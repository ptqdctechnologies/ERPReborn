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6585" tabRatio="728" firstSheet="2" activeTab="5"/>
  </bookViews>
  <sheets>
    <sheet name="MAIN" sheetId="1" r:id="rId1"/>
    <sheet name="DataLookUp" sheetId="4" r:id="rId2"/>
    <sheet name="MAIN - OrgJobsPos" sheetId="8" r:id="rId3"/>
    <sheet name="MAIN - OrgDepartment" sheetId="7" r:id="rId4"/>
    <sheet name="Internal Career (Last Position)" sheetId="2" r:id="rId5"/>
    <sheet name="DataLookUp - InternalCareer(LP)" sheetId="9" r:id="rId6"/>
    <sheet name="Internal Career (Previous Pos)" sheetId="3" r:id="rId7"/>
    <sheet name="Sheet2" sheetId="6" r:id="rId8"/>
  </sheets>
  <externalReferences>
    <externalReference r:id="rId9"/>
    <externalReference r:id="rId10"/>
  </externalReferences>
  <calcPr calcId="152511"/>
</workbook>
</file>

<file path=xl/calcChain.xml><?xml version="1.0" encoding="utf-8"?>
<calcChain xmlns="http://schemas.openxmlformats.org/spreadsheetml/2006/main">
  <c r="B625" i="9" l="1"/>
  <c r="C625" i="9"/>
  <c r="D625" i="9"/>
  <c r="B621" i="9"/>
  <c r="C621" i="9"/>
  <c r="D621" i="9"/>
  <c r="B622" i="9"/>
  <c r="C622" i="9"/>
  <c r="D622" i="9"/>
  <c r="B623" i="9"/>
  <c r="C623" i="9"/>
  <c r="D623" i="9"/>
  <c r="B624" i="9"/>
  <c r="C624" i="9"/>
  <c r="D624" i="9"/>
  <c r="I624" i="2"/>
  <c r="G624" i="2"/>
  <c r="E624" i="2"/>
  <c r="P624" i="2"/>
  <c r="O624" i="2"/>
  <c r="E622" i="2"/>
  <c r="B623" i="4"/>
  <c r="C623" i="4"/>
  <c r="D623" i="4"/>
  <c r="E623" i="4"/>
  <c r="B624" i="4"/>
  <c r="C624" i="4"/>
  <c r="D624" i="4"/>
  <c r="E624" i="4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H621" i="1"/>
  <c r="G621" i="1" s="1"/>
  <c r="G622" i="1" s="1"/>
  <c r="G623" i="1" s="1"/>
  <c r="G624" i="1" s="1"/>
  <c r="H622" i="1"/>
  <c r="H623" i="1"/>
  <c r="H624" i="1"/>
  <c r="C621" i="1"/>
  <c r="C622" i="1"/>
  <c r="C623" i="1"/>
  <c r="C624" i="1"/>
  <c r="E621" i="4"/>
  <c r="E622" i="4"/>
  <c r="B625" i="4"/>
  <c r="C625" i="4"/>
  <c r="D625" i="4"/>
  <c r="E625" i="4"/>
  <c r="H619" i="1"/>
  <c r="H620" i="1"/>
  <c r="D622" i="4" l="1"/>
  <c r="C622" i="4"/>
  <c r="D621" i="4"/>
  <c r="C621" i="4"/>
  <c r="G620" i="2"/>
  <c r="G619" i="2"/>
  <c r="I620" i="2"/>
  <c r="I619" i="2"/>
  <c r="E620" i="2"/>
  <c r="E619" i="2"/>
  <c r="C619" i="4" l="1"/>
  <c r="E619" i="4"/>
  <c r="C620" i="4"/>
  <c r="E620" i="4"/>
  <c r="C620" i="1"/>
  <c r="C619" i="1"/>
  <c r="D620" i="4" l="1"/>
  <c r="D619" i="4"/>
  <c r="P7" i="3"/>
  <c r="G11" i="3" l="1"/>
  <c r="I14" i="3"/>
  <c r="I5" i="3"/>
  <c r="I6" i="3"/>
  <c r="I7" i="3"/>
  <c r="I8" i="3"/>
  <c r="I9" i="3"/>
  <c r="I10" i="3"/>
  <c r="I11" i="3"/>
  <c r="I12" i="3"/>
  <c r="I13" i="3"/>
  <c r="I15" i="3"/>
  <c r="I16" i="3"/>
  <c r="I17" i="3"/>
  <c r="I18" i="3"/>
  <c r="I4" i="3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5" i="2"/>
  <c r="I4" i="2"/>
  <c r="G18" i="3"/>
  <c r="G17" i="3"/>
  <c r="G16" i="3"/>
  <c r="G15" i="3"/>
  <c r="G14" i="3"/>
  <c r="G13" i="3"/>
  <c r="G12" i="3"/>
  <c r="G10" i="3"/>
  <c r="G9" i="3"/>
  <c r="G8" i="3"/>
  <c r="G7" i="3"/>
  <c r="G6" i="3"/>
  <c r="G5" i="3"/>
  <c r="G4" i="3"/>
  <c r="C18" i="3"/>
  <c r="C17" i="3"/>
  <c r="C16" i="3"/>
  <c r="C15" i="3"/>
  <c r="C14" i="3"/>
  <c r="C13" i="3"/>
  <c r="C12" i="3"/>
  <c r="C11" i="3"/>
  <c r="C10" i="3"/>
  <c r="C9" i="3"/>
  <c r="C8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169" i="2" l="1"/>
  <c r="E170" i="2"/>
  <c r="G617" i="2"/>
  <c r="G615" i="2"/>
  <c r="G614" i="2"/>
  <c r="G613" i="2"/>
  <c r="G618" i="2"/>
  <c r="G608" i="2"/>
  <c r="G609" i="2"/>
  <c r="G610" i="2"/>
  <c r="G611" i="2"/>
  <c r="G612" i="2"/>
  <c r="G616" i="2"/>
  <c r="E618" i="2" l="1"/>
  <c r="G16" i="2" l="1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6" i="2"/>
  <c r="G607" i="2"/>
  <c r="G15" i="2"/>
  <c r="G14" i="2"/>
  <c r="G13" i="2"/>
  <c r="G12" i="2"/>
  <c r="G11" i="2"/>
  <c r="G10" i="2"/>
  <c r="G9" i="2"/>
  <c r="G8" i="2"/>
  <c r="G7" i="2"/>
  <c r="G6" i="2"/>
  <c r="G5" i="2"/>
  <c r="G4" i="2"/>
  <c r="E611" i="2" l="1"/>
  <c r="E612" i="2"/>
  <c r="E613" i="2"/>
  <c r="E614" i="2"/>
  <c r="E615" i="2"/>
  <c r="E616" i="2"/>
  <c r="E617" i="2"/>
  <c r="G67" i="6" l="1"/>
  <c r="G63" i="6"/>
  <c r="G6" i="6"/>
  <c r="D3" i="6"/>
  <c r="D4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2" i="6"/>
  <c r="C58" i="6"/>
  <c r="E603" i="2"/>
  <c r="E604" i="2"/>
  <c r="E605" i="2"/>
  <c r="E606" i="2"/>
  <c r="E607" i="2"/>
  <c r="E608" i="2"/>
  <c r="E609" i="2"/>
  <c r="E610" i="2"/>
  <c r="E602" i="2"/>
  <c r="E594" i="2"/>
  <c r="E595" i="2"/>
  <c r="E596" i="2"/>
  <c r="E597" i="2"/>
  <c r="E598" i="2"/>
  <c r="E599" i="2"/>
  <c r="E600" i="2"/>
  <c r="E601" i="2"/>
  <c r="E267" i="2" l="1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48" i="2" l="1"/>
  <c r="E274" i="2" l="1"/>
  <c r="E277" i="2"/>
  <c r="E279" i="2"/>
  <c r="E302" i="2"/>
  <c r="E350" i="2"/>
  <c r="E394" i="2"/>
  <c r="E440" i="2"/>
  <c r="E453" i="2"/>
  <c r="E488" i="2"/>
  <c r="E269" i="2"/>
  <c r="E268" i="2" l="1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49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8" i="2"/>
  <c r="E276" i="2"/>
  <c r="E275" i="2"/>
  <c r="E273" i="2"/>
  <c r="E272" i="2"/>
  <c r="E271" i="2"/>
  <c r="E270" i="2"/>
  <c r="E555" i="2" l="1"/>
  <c r="C2" i="4" l="1"/>
  <c r="D2" i="4"/>
  <c r="E2" i="4"/>
  <c r="C2" i="2" l="1"/>
  <c r="C2" i="3"/>
  <c r="B4" i="1"/>
  <c r="C4" i="1" s="1"/>
  <c r="E4" i="4" l="1"/>
  <c r="H4" i="1"/>
  <c r="B5" i="1" l="1"/>
  <c r="C5" i="1" s="1"/>
  <c r="G4" i="1"/>
  <c r="D4" i="4"/>
  <c r="C4" i="4"/>
  <c r="G4" i="4" s="1"/>
  <c r="B4" i="4"/>
  <c r="B6" i="1"/>
  <c r="E6" i="4" l="1"/>
  <c r="C6" i="1"/>
  <c r="H6" i="1"/>
  <c r="C6" i="2"/>
  <c r="C4" i="2"/>
  <c r="B4" i="2"/>
  <c r="H5" i="1"/>
  <c r="C5" i="2"/>
  <c r="E5" i="4"/>
  <c r="B7" i="1"/>
  <c r="E7" i="4" l="1"/>
  <c r="C7" i="1"/>
  <c r="P4" i="2"/>
  <c r="O4" i="2" s="1"/>
  <c r="H7" i="1"/>
  <c r="C7" i="2"/>
  <c r="D5" i="4"/>
  <c r="C5" i="4"/>
  <c r="G5" i="4" s="1"/>
  <c r="G5" i="1"/>
  <c r="G6" i="1" s="1"/>
  <c r="G7" i="1" s="1"/>
  <c r="D6" i="4"/>
  <c r="C6" i="4"/>
  <c r="G6" i="4" s="1"/>
  <c r="B6" i="4"/>
  <c r="B8" i="1"/>
  <c r="B6" i="2" l="1"/>
  <c r="P6" i="2" s="1"/>
  <c r="D4" i="9"/>
  <c r="C4" i="9"/>
  <c r="B4" i="9"/>
  <c r="E8" i="4"/>
  <c r="C8" i="1"/>
  <c r="H8" i="1"/>
  <c r="C8" i="2"/>
  <c r="G8" i="1"/>
  <c r="B5" i="4"/>
  <c r="D7" i="4"/>
  <c r="C7" i="4"/>
  <c r="G7" i="4" s="1"/>
  <c r="B7" i="4"/>
  <c r="B9" i="1"/>
  <c r="B7" i="2" l="1"/>
  <c r="P7" i="2" s="1"/>
  <c r="E9" i="4"/>
  <c r="C9" i="1"/>
  <c r="B5" i="2"/>
  <c r="H9" i="1"/>
  <c r="C9" i="2"/>
  <c r="G9" i="1"/>
  <c r="D8" i="4"/>
  <c r="C8" i="4"/>
  <c r="G8" i="4" s="1"/>
  <c r="B8" i="4"/>
  <c r="B10" i="1"/>
  <c r="B8" i="2" l="1"/>
  <c r="P8" i="2" s="1"/>
  <c r="E10" i="4"/>
  <c r="C10" i="1"/>
  <c r="P5" i="2"/>
  <c r="O5" i="2" s="1"/>
  <c r="H10" i="1"/>
  <c r="C10" i="2"/>
  <c r="G10" i="1"/>
  <c r="D9" i="4"/>
  <c r="C9" i="4"/>
  <c r="G9" i="4" s="1"/>
  <c r="B9" i="4"/>
  <c r="B11" i="1"/>
  <c r="B9" i="2" l="1"/>
  <c r="P9" i="2" s="1"/>
  <c r="O6" i="2"/>
  <c r="D5" i="9"/>
  <c r="C5" i="9"/>
  <c r="B5" i="9"/>
  <c r="E11" i="4"/>
  <c r="C11" i="1"/>
  <c r="H11" i="1"/>
  <c r="C11" i="2"/>
  <c r="G11" i="1"/>
  <c r="D10" i="4"/>
  <c r="C10" i="4"/>
  <c r="G10" i="4" s="1"/>
  <c r="B10" i="4"/>
  <c r="B12" i="1"/>
  <c r="B10" i="2" l="1"/>
  <c r="P10" i="2" s="1"/>
  <c r="O7" i="2"/>
  <c r="D6" i="9"/>
  <c r="C6" i="9"/>
  <c r="B6" i="9"/>
  <c r="E12" i="4"/>
  <c r="C12" i="1"/>
  <c r="H12" i="1"/>
  <c r="C12" i="2"/>
  <c r="G12" i="1"/>
  <c r="D11" i="4"/>
  <c r="C11" i="4"/>
  <c r="G11" i="4" s="1"/>
  <c r="B11" i="4"/>
  <c r="B13" i="1"/>
  <c r="B11" i="2" l="1"/>
  <c r="P11" i="2" s="1"/>
  <c r="O8" i="2"/>
  <c r="D7" i="9"/>
  <c r="C7" i="9"/>
  <c r="B7" i="9"/>
  <c r="E13" i="4"/>
  <c r="C13" i="1"/>
  <c r="H13" i="1"/>
  <c r="C13" i="2"/>
  <c r="G13" i="1"/>
  <c r="D12" i="4"/>
  <c r="C12" i="4"/>
  <c r="G12" i="4" s="1"/>
  <c r="B12" i="4"/>
  <c r="B14" i="1"/>
  <c r="B12" i="2" l="1"/>
  <c r="P12" i="2" s="1"/>
  <c r="D8" i="9"/>
  <c r="C8" i="9"/>
  <c r="B8" i="9"/>
  <c r="O9" i="2"/>
  <c r="E14" i="4"/>
  <c r="C14" i="1"/>
  <c r="H14" i="1"/>
  <c r="C14" i="2"/>
  <c r="G14" i="1"/>
  <c r="D13" i="4"/>
  <c r="C13" i="4"/>
  <c r="G13" i="4" s="1"/>
  <c r="B13" i="4"/>
  <c r="B15" i="1"/>
  <c r="B13" i="2" l="1"/>
  <c r="P13" i="2" s="1"/>
  <c r="D9" i="9"/>
  <c r="C9" i="9"/>
  <c r="B9" i="9"/>
  <c r="O10" i="2"/>
  <c r="E15" i="4"/>
  <c r="C15" i="1"/>
  <c r="H15" i="1"/>
  <c r="C15" i="2"/>
  <c r="G15" i="1"/>
  <c r="D14" i="4"/>
  <c r="C14" i="4"/>
  <c r="G14" i="4" s="1"/>
  <c r="B14" i="4"/>
  <c r="B16" i="1"/>
  <c r="B14" i="2" l="1"/>
  <c r="P14" i="2" s="1"/>
  <c r="D10" i="9"/>
  <c r="C10" i="9"/>
  <c r="B10" i="9"/>
  <c r="O11" i="2"/>
  <c r="E16" i="4"/>
  <c r="C16" i="1"/>
  <c r="H16" i="1"/>
  <c r="C16" i="2"/>
  <c r="G16" i="1"/>
  <c r="D15" i="4"/>
  <c r="C15" i="4"/>
  <c r="G15" i="4" s="1"/>
  <c r="B15" i="4"/>
  <c r="B17" i="1"/>
  <c r="B15" i="2" l="1"/>
  <c r="P15" i="2" s="1"/>
  <c r="D11" i="9"/>
  <c r="C11" i="9"/>
  <c r="B11" i="9"/>
  <c r="O12" i="2"/>
  <c r="E17" i="4"/>
  <c r="C17" i="1"/>
  <c r="H17" i="1"/>
  <c r="C17" i="2"/>
  <c r="G17" i="1"/>
  <c r="D16" i="4"/>
  <c r="C16" i="4"/>
  <c r="G16" i="4" s="1"/>
  <c r="B16" i="4"/>
  <c r="B18" i="1"/>
  <c r="B16" i="2" l="1"/>
  <c r="P16" i="2" s="1"/>
  <c r="D12" i="9"/>
  <c r="C12" i="9"/>
  <c r="B12" i="9"/>
  <c r="O13" i="2"/>
  <c r="E18" i="4"/>
  <c r="C18" i="1"/>
  <c r="H18" i="1"/>
  <c r="C18" i="2"/>
  <c r="G18" i="1"/>
  <c r="D17" i="4"/>
  <c r="C17" i="4"/>
  <c r="G17" i="4" s="1"/>
  <c r="B17" i="4"/>
  <c r="B19" i="1"/>
  <c r="B17" i="2" l="1"/>
  <c r="P17" i="2" s="1"/>
  <c r="D13" i="9"/>
  <c r="C13" i="9"/>
  <c r="B13" i="9"/>
  <c r="O14" i="2"/>
  <c r="E19" i="4"/>
  <c r="C19" i="1"/>
  <c r="H19" i="1"/>
  <c r="C19" i="2"/>
  <c r="G19" i="1"/>
  <c r="D18" i="4"/>
  <c r="C18" i="4"/>
  <c r="G18" i="4" s="1"/>
  <c r="B18" i="4"/>
  <c r="B20" i="1"/>
  <c r="B18" i="2" l="1"/>
  <c r="P18" i="2" s="1"/>
  <c r="D14" i="9"/>
  <c r="C14" i="9"/>
  <c r="B14" i="9"/>
  <c r="O15" i="2"/>
  <c r="E20" i="4"/>
  <c r="C20" i="1"/>
  <c r="H20" i="1"/>
  <c r="C20" i="2"/>
  <c r="G20" i="1"/>
  <c r="D19" i="4"/>
  <c r="C19" i="4"/>
  <c r="G19" i="4" s="1"/>
  <c r="B19" i="4"/>
  <c r="B21" i="1"/>
  <c r="B19" i="2" l="1"/>
  <c r="P19" i="2" s="1"/>
  <c r="D15" i="9"/>
  <c r="C15" i="9"/>
  <c r="B15" i="9"/>
  <c r="O16" i="2"/>
  <c r="E21" i="4"/>
  <c r="C21" i="1"/>
  <c r="H21" i="1"/>
  <c r="C21" i="2"/>
  <c r="G21" i="1"/>
  <c r="D20" i="4"/>
  <c r="C20" i="4"/>
  <c r="G20" i="4" s="1"/>
  <c r="B20" i="4"/>
  <c r="B22" i="1"/>
  <c r="B20" i="2" l="1"/>
  <c r="P20" i="2" s="1"/>
  <c r="D16" i="9"/>
  <c r="C16" i="9"/>
  <c r="B16" i="9"/>
  <c r="O17" i="2"/>
  <c r="E22" i="4"/>
  <c r="C22" i="1"/>
  <c r="H22" i="1"/>
  <c r="C22" i="2"/>
  <c r="B5" i="3"/>
  <c r="G22" i="1"/>
  <c r="D21" i="4"/>
  <c r="C21" i="4"/>
  <c r="G21" i="4" s="1"/>
  <c r="B21" i="4"/>
  <c r="B23" i="1"/>
  <c r="B21" i="2" l="1"/>
  <c r="P21" i="2" s="1"/>
  <c r="D17" i="9"/>
  <c r="C17" i="9"/>
  <c r="B17" i="9"/>
  <c r="O18" i="2"/>
  <c r="E23" i="4"/>
  <c r="C23" i="1"/>
  <c r="C5" i="3"/>
  <c r="P5" i="3"/>
  <c r="H23" i="1"/>
  <c r="C23" i="2"/>
  <c r="G23" i="1"/>
  <c r="D22" i="4"/>
  <c r="C22" i="4"/>
  <c r="G22" i="4" s="1"/>
  <c r="B22" i="4"/>
  <c r="B24" i="1"/>
  <c r="B22" i="2" l="1"/>
  <c r="P22" i="2" s="1"/>
  <c r="B18" i="9"/>
  <c r="C18" i="9"/>
  <c r="D18" i="9"/>
  <c r="O19" i="2"/>
  <c r="E24" i="4"/>
  <c r="C24" i="1"/>
  <c r="H24" i="1"/>
  <c r="C24" i="2"/>
  <c r="G24" i="1"/>
  <c r="D23" i="4"/>
  <c r="C23" i="4"/>
  <c r="G23" i="4" s="1"/>
  <c r="B23" i="4"/>
  <c r="B25" i="1"/>
  <c r="B23" i="2" l="1"/>
  <c r="P23" i="2" s="1"/>
  <c r="B19" i="9"/>
  <c r="C19" i="9"/>
  <c r="D19" i="9"/>
  <c r="O20" i="2"/>
  <c r="E25" i="4"/>
  <c r="C25" i="1"/>
  <c r="H25" i="1"/>
  <c r="C25" i="2"/>
  <c r="G25" i="1"/>
  <c r="D24" i="4"/>
  <c r="C24" i="4"/>
  <c r="G24" i="4" s="1"/>
  <c r="B24" i="4"/>
  <c r="B26" i="1"/>
  <c r="B24" i="2" l="1"/>
  <c r="P24" i="2" s="1"/>
  <c r="B20" i="9"/>
  <c r="C20" i="9"/>
  <c r="D20" i="9"/>
  <c r="O21" i="2"/>
  <c r="E26" i="4"/>
  <c r="C26" i="1"/>
  <c r="H26" i="1"/>
  <c r="C26" i="2"/>
  <c r="G26" i="1"/>
  <c r="D25" i="4"/>
  <c r="C25" i="4"/>
  <c r="G25" i="4" s="1"/>
  <c r="B25" i="4"/>
  <c r="B27" i="1"/>
  <c r="B25" i="2" l="1"/>
  <c r="P25" i="2" s="1"/>
  <c r="B21" i="9"/>
  <c r="C21" i="9"/>
  <c r="D21" i="9"/>
  <c r="O22" i="2"/>
  <c r="E27" i="4"/>
  <c r="C27" i="1"/>
  <c r="H27" i="1"/>
  <c r="C27" i="2"/>
  <c r="G27" i="1"/>
  <c r="D26" i="4"/>
  <c r="C26" i="4"/>
  <c r="G26" i="4" s="1"/>
  <c r="B26" i="4"/>
  <c r="B28" i="1"/>
  <c r="B26" i="2" l="1"/>
  <c r="P26" i="2" s="1"/>
  <c r="B22" i="9"/>
  <c r="C22" i="9"/>
  <c r="D22" i="9"/>
  <c r="O23" i="2"/>
  <c r="E28" i="4"/>
  <c r="C28" i="1"/>
  <c r="H28" i="1"/>
  <c r="C28" i="2"/>
  <c r="G28" i="1"/>
  <c r="D27" i="4"/>
  <c r="C27" i="4"/>
  <c r="G27" i="4" s="1"/>
  <c r="B27" i="4"/>
  <c r="B29" i="1"/>
  <c r="B27" i="2" l="1"/>
  <c r="P27" i="2" s="1"/>
  <c r="B23" i="9"/>
  <c r="C23" i="9"/>
  <c r="D23" i="9"/>
  <c r="O24" i="2"/>
  <c r="E29" i="4"/>
  <c r="C29" i="1"/>
  <c r="H29" i="1"/>
  <c r="C29" i="2"/>
  <c r="G29" i="1"/>
  <c r="D28" i="4"/>
  <c r="C28" i="4"/>
  <c r="G28" i="4" s="1"/>
  <c r="B28" i="4"/>
  <c r="B30" i="1"/>
  <c r="B28" i="2" l="1"/>
  <c r="P28" i="2" s="1"/>
  <c r="B24" i="9"/>
  <c r="C24" i="9"/>
  <c r="D24" i="9"/>
  <c r="O25" i="2"/>
  <c r="E30" i="4"/>
  <c r="C30" i="1"/>
  <c r="H30" i="1"/>
  <c r="C30" i="2"/>
  <c r="G30" i="1"/>
  <c r="D29" i="4"/>
  <c r="C29" i="4"/>
  <c r="G29" i="4" s="1"/>
  <c r="B29" i="4"/>
  <c r="B31" i="1"/>
  <c r="B29" i="2" l="1"/>
  <c r="P29" i="2" s="1"/>
  <c r="B25" i="9"/>
  <c r="C25" i="9"/>
  <c r="D25" i="9"/>
  <c r="O26" i="2"/>
  <c r="E31" i="4"/>
  <c r="C31" i="1"/>
  <c r="H31" i="1"/>
  <c r="C31" i="2"/>
  <c r="G31" i="1"/>
  <c r="D30" i="4"/>
  <c r="C30" i="4"/>
  <c r="G30" i="4" s="1"/>
  <c r="B30" i="4"/>
  <c r="B32" i="1"/>
  <c r="B30" i="2" l="1"/>
  <c r="P30" i="2" s="1"/>
  <c r="B26" i="9"/>
  <c r="C26" i="9"/>
  <c r="D26" i="9"/>
  <c r="O27" i="2"/>
  <c r="E32" i="4"/>
  <c r="C32" i="1"/>
  <c r="H32" i="1"/>
  <c r="C32" i="2"/>
  <c r="G32" i="1"/>
  <c r="D31" i="4"/>
  <c r="C31" i="4"/>
  <c r="G31" i="4" s="1"/>
  <c r="B31" i="4"/>
  <c r="B33" i="1"/>
  <c r="B31" i="2" l="1"/>
  <c r="P31" i="2" s="1"/>
  <c r="B27" i="9"/>
  <c r="C27" i="9"/>
  <c r="D27" i="9"/>
  <c r="O28" i="2"/>
  <c r="E33" i="4"/>
  <c r="C33" i="1"/>
  <c r="H33" i="1"/>
  <c r="C33" i="2"/>
  <c r="G33" i="1"/>
  <c r="D32" i="4"/>
  <c r="C32" i="4"/>
  <c r="G32" i="4" s="1"/>
  <c r="B32" i="4"/>
  <c r="B34" i="1"/>
  <c r="B32" i="2" l="1"/>
  <c r="P32" i="2" s="1"/>
  <c r="B28" i="9"/>
  <c r="C28" i="9"/>
  <c r="D28" i="9"/>
  <c r="O29" i="2"/>
  <c r="E34" i="4"/>
  <c r="C34" i="1"/>
  <c r="H34" i="1"/>
  <c r="C34" i="2"/>
  <c r="G34" i="1"/>
  <c r="D33" i="4"/>
  <c r="C33" i="4"/>
  <c r="G33" i="4" s="1"/>
  <c r="B33" i="4"/>
  <c r="B35" i="1"/>
  <c r="B33" i="2" l="1"/>
  <c r="P33" i="2" s="1"/>
  <c r="B29" i="9"/>
  <c r="C29" i="9"/>
  <c r="D29" i="9"/>
  <c r="O30" i="2"/>
  <c r="E35" i="4"/>
  <c r="C35" i="1"/>
  <c r="H35" i="1"/>
  <c r="C35" i="2"/>
  <c r="G35" i="1"/>
  <c r="D34" i="4"/>
  <c r="C34" i="4"/>
  <c r="G34" i="4" s="1"/>
  <c r="B34" i="4"/>
  <c r="B36" i="1"/>
  <c r="B34" i="2" l="1"/>
  <c r="P34" i="2" s="1"/>
  <c r="B30" i="9"/>
  <c r="C30" i="9"/>
  <c r="D30" i="9"/>
  <c r="O31" i="2"/>
  <c r="E36" i="4"/>
  <c r="C36" i="1"/>
  <c r="H36" i="1"/>
  <c r="C36" i="2"/>
  <c r="G36" i="1"/>
  <c r="D35" i="4"/>
  <c r="C35" i="4"/>
  <c r="G35" i="4" s="1"/>
  <c r="B35" i="4"/>
  <c r="B37" i="1"/>
  <c r="B35" i="2" l="1"/>
  <c r="P35" i="2" s="1"/>
  <c r="B31" i="9"/>
  <c r="C31" i="9"/>
  <c r="D31" i="9"/>
  <c r="O32" i="2"/>
  <c r="E37" i="4"/>
  <c r="C37" i="1"/>
  <c r="H37" i="1"/>
  <c r="C37" i="2"/>
  <c r="G37" i="1"/>
  <c r="D36" i="4"/>
  <c r="C36" i="4"/>
  <c r="G36" i="4" s="1"/>
  <c r="B36" i="4"/>
  <c r="B38" i="1"/>
  <c r="B36" i="2" l="1"/>
  <c r="P36" i="2" s="1"/>
  <c r="B32" i="9"/>
  <c r="C32" i="9"/>
  <c r="D32" i="9"/>
  <c r="O33" i="2"/>
  <c r="E38" i="4"/>
  <c r="C38" i="1"/>
  <c r="H38" i="1"/>
  <c r="C38" i="2"/>
  <c r="G38" i="1"/>
  <c r="D37" i="4"/>
  <c r="C37" i="4"/>
  <c r="G37" i="4" s="1"/>
  <c r="B37" i="4"/>
  <c r="B39" i="1"/>
  <c r="B37" i="2" l="1"/>
  <c r="P37" i="2" s="1"/>
  <c r="B33" i="9"/>
  <c r="C33" i="9"/>
  <c r="D33" i="9"/>
  <c r="O34" i="2"/>
  <c r="E39" i="4"/>
  <c r="C39" i="1"/>
  <c r="H39" i="1"/>
  <c r="C39" i="2"/>
  <c r="G39" i="1"/>
  <c r="D38" i="4"/>
  <c r="C38" i="4"/>
  <c r="G38" i="4" s="1"/>
  <c r="B38" i="4"/>
  <c r="B40" i="1"/>
  <c r="B38" i="2" l="1"/>
  <c r="P38" i="2" s="1"/>
  <c r="B34" i="9"/>
  <c r="C34" i="9"/>
  <c r="D34" i="9"/>
  <c r="O35" i="2"/>
  <c r="E40" i="4"/>
  <c r="C40" i="1"/>
  <c r="H40" i="1"/>
  <c r="C40" i="2"/>
  <c r="G40" i="1"/>
  <c r="D39" i="4"/>
  <c r="C39" i="4"/>
  <c r="G39" i="4" s="1"/>
  <c r="B39" i="4"/>
  <c r="B41" i="1"/>
  <c r="B39" i="2" l="1"/>
  <c r="P39" i="2" s="1"/>
  <c r="B35" i="9"/>
  <c r="C35" i="9"/>
  <c r="D35" i="9"/>
  <c r="O36" i="2"/>
  <c r="E41" i="4"/>
  <c r="C41" i="1"/>
  <c r="H41" i="1"/>
  <c r="C41" i="2"/>
  <c r="G41" i="1"/>
  <c r="D40" i="4"/>
  <c r="C40" i="4"/>
  <c r="G40" i="4" s="1"/>
  <c r="B40" i="4"/>
  <c r="B42" i="1"/>
  <c r="B40" i="2" l="1"/>
  <c r="P40" i="2" s="1"/>
  <c r="B36" i="9"/>
  <c r="C36" i="9"/>
  <c r="D36" i="9"/>
  <c r="O37" i="2"/>
  <c r="E42" i="4"/>
  <c r="C42" i="1"/>
  <c r="H42" i="1"/>
  <c r="C42" i="2"/>
  <c r="G42" i="1"/>
  <c r="D41" i="4"/>
  <c r="C41" i="4"/>
  <c r="G41" i="4" s="1"/>
  <c r="B41" i="4"/>
  <c r="B43" i="1"/>
  <c r="B41" i="2" l="1"/>
  <c r="P41" i="2" s="1"/>
  <c r="B37" i="9"/>
  <c r="C37" i="9"/>
  <c r="D37" i="9"/>
  <c r="O38" i="2"/>
  <c r="E43" i="4"/>
  <c r="C43" i="1"/>
  <c r="H43" i="1"/>
  <c r="C43" i="2"/>
  <c r="G43" i="1"/>
  <c r="D42" i="4"/>
  <c r="C42" i="4"/>
  <c r="G42" i="4" s="1"/>
  <c r="B42" i="4"/>
  <c r="B44" i="1"/>
  <c r="B42" i="2" l="1"/>
  <c r="P42" i="2" s="1"/>
  <c r="B38" i="9"/>
  <c r="C38" i="9"/>
  <c r="D38" i="9"/>
  <c r="O39" i="2"/>
  <c r="E44" i="4"/>
  <c r="C44" i="1"/>
  <c r="H44" i="1"/>
  <c r="C44" i="2"/>
  <c r="G44" i="1"/>
  <c r="D43" i="4"/>
  <c r="C43" i="4"/>
  <c r="G43" i="4" s="1"/>
  <c r="B43" i="4"/>
  <c r="B45" i="1"/>
  <c r="B43" i="2" l="1"/>
  <c r="P43" i="2" s="1"/>
  <c r="B39" i="9"/>
  <c r="C39" i="9"/>
  <c r="D39" i="9"/>
  <c r="O40" i="2"/>
  <c r="E45" i="4"/>
  <c r="C45" i="1"/>
  <c r="H45" i="1"/>
  <c r="C45" i="2"/>
  <c r="G45" i="1"/>
  <c r="D44" i="4"/>
  <c r="C44" i="4"/>
  <c r="G44" i="4" s="1"/>
  <c r="B44" i="4"/>
  <c r="B46" i="1"/>
  <c r="B44" i="2" l="1"/>
  <c r="P44" i="2" s="1"/>
  <c r="B40" i="9"/>
  <c r="C40" i="9"/>
  <c r="D40" i="9"/>
  <c r="O41" i="2"/>
  <c r="E46" i="4"/>
  <c r="C46" i="1"/>
  <c r="H46" i="1"/>
  <c r="C46" i="2"/>
  <c r="G46" i="1"/>
  <c r="D45" i="4"/>
  <c r="C45" i="4"/>
  <c r="G45" i="4" s="1"/>
  <c r="B45" i="4"/>
  <c r="B47" i="1"/>
  <c r="B45" i="2" l="1"/>
  <c r="P45" i="2" s="1"/>
  <c r="B41" i="9"/>
  <c r="C41" i="9"/>
  <c r="D41" i="9"/>
  <c r="O42" i="2"/>
  <c r="E47" i="4"/>
  <c r="C47" i="1"/>
  <c r="H47" i="1"/>
  <c r="C47" i="2"/>
  <c r="G47" i="1"/>
  <c r="D46" i="4"/>
  <c r="C46" i="4"/>
  <c r="G46" i="4" s="1"/>
  <c r="B46" i="4"/>
  <c r="B48" i="1"/>
  <c r="B46" i="2" l="1"/>
  <c r="P46" i="2" s="1"/>
  <c r="B42" i="9"/>
  <c r="C42" i="9"/>
  <c r="D42" i="9"/>
  <c r="O43" i="2"/>
  <c r="E48" i="4"/>
  <c r="C48" i="1"/>
  <c r="H48" i="1"/>
  <c r="C48" i="2"/>
  <c r="G48" i="1"/>
  <c r="D47" i="4"/>
  <c r="C47" i="4"/>
  <c r="G47" i="4" s="1"/>
  <c r="B47" i="4"/>
  <c r="B49" i="1"/>
  <c r="B47" i="2" l="1"/>
  <c r="P47" i="2" s="1"/>
  <c r="B43" i="9"/>
  <c r="C43" i="9"/>
  <c r="D43" i="9"/>
  <c r="O44" i="2"/>
  <c r="E49" i="4"/>
  <c r="C49" i="1"/>
  <c r="H49" i="1"/>
  <c r="C49" i="2"/>
  <c r="G49" i="1"/>
  <c r="D48" i="4"/>
  <c r="C48" i="4"/>
  <c r="G48" i="4" s="1"/>
  <c r="B48" i="4"/>
  <c r="B50" i="1"/>
  <c r="B48" i="2" l="1"/>
  <c r="P48" i="2" s="1"/>
  <c r="B44" i="9"/>
  <c r="C44" i="9"/>
  <c r="D44" i="9"/>
  <c r="O45" i="2"/>
  <c r="E50" i="4"/>
  <c r="C50" i="1"/>
  <c r="H50" i="1"/>
  <c r="C50" i="2"/>
  <c r="G50" i="1"/>
  <c r="D49" i="4"/>
  <c r="C49" i="4"/>
  <c r="G49" i="4" s="1"/>
  <c r="B49" i="4"/>
  <c r="B51" i="1"/>
  <c r="B49" i="2" l="1"/>
  <c r="P49" i="2" s="1"/>
  <c r="B45" i="9"/>
  <c r="C45" i="9"/>
  <c r="D45" i="9"/>
  <c r="O46" i="2"/>
  <c r="E51" i="4"/>
  <c r="C51" i="1"/>
  <c r="H51" i="1"/>
  <c r="C51" i="2"/>
  <c r="G51" i="1"/>
  <c r="D50" i="4"/>
  <c r="C50" i="4"/>
  <c r="G50" i="4" s="1"/>
  <c r="B50" i="4"/>
  <c r="B52" i="1"/>
  <c r="B50" i="2" l="1"/>
  <c r="P50" i="2" s="1"/>
  <c r="B46" i="9"/>
  <c r="C46" i="9"/>
  <c r="D46" i="9"/>
  <c r="O47" i="2"/>
  <c r="E52" i="4"/>
  <c r="C52" i="1"/>
  <c r="H52" i="1"/>
  <c r="C52" i="2"/>
  <c r="G52" i="1"/>
  <c r="D51" i="4"/>
  <c r="C51" i="4"/>
  <c r="G51" i="4" s="1"/>
  <c r="B51" i="4"/>
  <c r="B53" i="1"/>
  <c r="B51" i="2" l="1"/>
  <c r="P51" i="2" s="1"/>
  <c r="B47" i="9"/>
  <c r="C47" i="9"/>
  <c r="D47" i="9"/>
  <c r="O48" i="2"/>
  <c r="E53" i="4"/>
  <c r="C53" i="1"/>
  <c r="H53" i="1"/>
  <c r="C53" i="2"/>
  <c r="G53" i="1"/>
  <c r="D52" i="4"/>
  <c r="C52" i="4"/>
  <c r="G52" i="4" s="1"/>
  <c r="B52" i="4"/>
  <c r="B54" i="1"/>
  <c r="B52" i="2" l="1"/>
  <c r="P52" i="2" s="1"/>
  <c r="B48" i="9"/>
  <c r="C48" i="9"/>
  <c r="D48" i="9"/>
  <c r="O49" i="2"/>
  <c r="E54" i="4"/>
  <c r="C54" i="1"/>
  <c r="H54" i="1"/>
  <c r="C54" i="2"/>
  <c r="G54" i="1"/>
  <c r="D53" i="4"/>
  <c r="C53" i="4"/>
  <c r="G53" i="4" s="1"/>
  <c r="B53" i="4"/>
  <c r="B55" i="1"/>
  <c r="B53" i="2" l="1"/>
  <c r="P53" i="2" s="1"/>
  <c r="B49" i="9"/>
  <c r="C49" i="9"/>
  <c r="D49" i="9"/>
  <c r="O50" i="2"/>
  <c r="E55" i="4"/>
  <c r="C55" i="1"/>
  <c r="H55" i="1"/>
  <c r="C55" i="2"/>
  <c r="G55" i="1"/>
  <c r="D54" i="4"/>
  <c r="C54" i="4"/>
  <c r="G54" i="4" s="1"/>
  <c r="B54" i="4"/>
  <c r="B56" i="1"/>
  <c r="B54" i="2" l="1"/>
  <c r="P54" i="2" s="1"/>
  <c r="B50" i="9"/>
  <c r="C50" i="9"/>
  <c r="D50" i="9"/>
  <c r="O51" i="2"/>
  <c r="E56" i="4"/>
  <c r="C56" i="1"/>
  <c r="H56" i="1"/>
  <c r="C56" i="2"/>
  <c r="G56" i="1"/>
  <c r="D55" i="4"/>
  <c r="C55" i="4"/>
  <c r="G55" i="4" s="1"/>
  <c r="B55" i="4"/>
  <c r="B55" i="2" s="1"/>
  <c r="P55" i="2" s="1"/>
  <c r="B57" i="1"/>
  <c r="B51" i="9" l="1"/>
  <c r="C51" i="9"/>
  <c r="D51" i="9"/>
  <c r="O52" i="2"/>
  <c r="E57" i="4"/>
  <c r="C57" i="1"/>
  <c r="H57" i="1"/>
  <c r="C57" i="2"/>
  <c r="G57" i="1"/>
  <c r="D56" i="4"/>
  <c r="C56" i="4"/>
  <c r="G56" i="4" s="1"/>
  <c r="B56" i="4"/>
  <c r="B56" i="2" s="1"/>
  <c r="P56" i="2" s="1"/>
  <c r="B58" i="1"/>
  <c r="B52" i="9" l="1"/>
  <c r="C52" i="9"/>
  <c r="D52" i="9"/>
  <c r="O53" i="2"/>
  <c r="E58" i="4"/>
  <c r="C58" i="1"/>
  <c r="H58" i="1"/>
  <c r="C58" i="2"/>
  <c r="G58" i="1"/>
  <c r="D57" i="4"/>
  <c r="C57" i="4"/>
  <c r="G57" i="4" s="1"/>
  <c r="B57" i="4"/>
  <c r="B57" i="2" s="1"/>
  <c r="P57" i="2" s="1"/>
  <c r="B59" i="1"/>
  <c r="B53" i="9" l="1"/>
  <c r="C53" i="9"/>
  <c r="D53" i="9"/>
  <c r="O54" i="2"/>
  <c r="E59" i="4"/>
  <c r="C59" i="1"/>
  <c r="H59" i="1"/>
  <c r="C59" i="2"/>
  <c r="G59" i="1"/>
  <c r="D58" i="4"/>
  <c r="C58" i="4"/>
  <c r="G58" i="4" s="1"/>
  <c r="B58" i="4"/>
  <c r="B58" i="2" s="1"/>
  <c r="P58" i="2" s="1"/>
  <c r="B60" i="1"/>
  <c r="B54" i="9" l="1"/>
  <c r="C54" i="9"/>
  <c r="D54" i="9"/>
  <c r="O55" i="2"/>
  <c r="E60" i="4"/>
  <c r="C60" i="1"/>
  <c r="H60" i="1"/>
  <c r="C60" i="2"/>
  <c r="G60" i="1"/>
  <c r="D59" i="4"/>
  <c r="C59" i="4"/>
  <c r="G59" i="4" s="1"/>
  <c r="B59" i="4"/>
  <c r="B59" i="2" s="1"/>
  <c r="P59" i="2" s="1"/>
  <c r="B61" i="1"/>
  <c r="B55" i="9" l="1"/>
  <c r="C55" i="9"/>
  <c r="D55" i="9"/>
  <c r="O56" i="2"/>
  <c r="E61" i="4"/>
  <c r="C61" i="1"/>
  <c r="H61" i="1"/>
  <c r="C61" i="2"/>
  <c r="G61" i="1"/>
  <c r="D60" i="4"/>
  <c r="C60" i="4"/>
  <c r="G60" i="4" s="1"/>
  <c r="B60" i="4"/>
  <c r="B60" i="2" s="1"/>
  <c r="P60" i="2" s="1"/>
  <c r="B62" i="1"/>
  <c r="B56" i="9" l="1"/>
  <c r="C56" i="9"/>
  <c r="D56" i="9"/>
  <c r="O57" i="2"/>
  <c r="E62" i="4"/>
  <c r="C62" i="1"/>
  <c r="H62" i="1"/>
  <c r="C62" i="2"/>
  <c r="G62" i="1"/>
  <c r="D61" i="4"/>
  <c r="C61" i="4"/>
  <c r="G61" i="4" s="1"/>
  <c r="B61" i="4"/>
  <c r="B61" i="2" s="1"/>
  <c r="P61" i="2" s="1"/>
  <c r="B63" i="1"/>
  <c r="B57" i="9" l="1"/>
  <c r="C57" i="9"/>
  <c r="D57" i="9"/>
  <c r="O58" i="2"/>
  <c r="E63" i="4"/>
  <c r="C63" i="1"/>
  <c r="H63" i="1"/>
  <c r="C63" i="2"/>
  <c r="G63" i="1"/>
  <c r="D62" i="4"/>
  <c r="C62" i="4"/>
  <c r="G62" i="4" s="1"/>
  <c r="B62" i="4"/>
  <c r="B62" i="2" s="1"/>
  <c r="P62" i="2" s="1"/>
  <c r="B64" i="1"/>
  <c r="B58" i="9" l="1"/>
  <c r="C58" i="9"/>
  <c r="D58" i="9"/>
  <c r="O59" i="2"/>
  <c r="E64" i="4"/>
  <c r="C64" i="1"/>
  <c r="H64" i="1"/>
  <c r="C64" i="2"/>
  <c r="G64" i="1"/>
  <c r="D63" i="4"/>
  <c r="C63" i="4"/>
  <c r="G63" i="4" s="1"/>
  <c r="B63" i="4"/>
  <c r="B63" i="2" s="1"/>
  <c r="P63" i="2" s="1"/>
  <c r="B65" i="1"/>
  <c r="B59" i="9" l="1"/>
  <c r="C59" i="9"/>
  <c r="D59" i="9"/>
  <c r="O60" i="2"/>
  <c r="E65" i="4"/>
  <c r="C65" i="1"/>
  <c r="H65" i="1"/>
  <c r="C65" i="2"/>
  <c r="G65" i="1"/>
  <c r="D64" i="4"/>
  <c r="C64" i="4"/>
  <c r="G64" i="4" s="1"/>
  <c r="B64" i="4"/>
  <c r="B64" i="2" s="1"/>
  <c r="P64" i="2" s="1"/>
  <c r="B66" i="1"/>
  <c r="B60" i="9" l="1"/>
  <c r="C60" i="9"/>
  <c r="D60" i="9"/>
  <c r="O61" i="2"/>
  <c r="E66" i="4"/>
  <c r="C66" i="1"/>
  <c r="H66" i="1"/>
  <c r="C66" i="2"/>
  <c r="G66" i="1"/>
  <c r="D65" i="4"/>
  <c r="C65" i="4"/>
  <c r="G65" i="4" s="1"/>
  <c r="B65" i="4"/>
  <c r="B65" i="2" s="1"/>
  <c r="P65" i="2" s="1"/>
  <c r="B67" i="1"/>
  <c r="B61" i="9" l="1"/>
  <c r="C61" i="9"/>
  <c r="D61" i="9"/>
  <c r="O62" i="2"/>
  <c r="E67" i="4"/>
  <c r="C67" i="1"/>
  <c r="H67" i="1"/>
  <c r="C67" i="2"/>
  <c r="G67" i="1"/>
  <c r="D66" i="4"/>
  <c r="C66" i="4"/>
  <c r="G66" i="4" s="1"/>
  <c r="B66" i="4"/>
  <c r="B66" i="2" s="1"/>
  <c r="P66" i="2" s="1"/>
  <c r="B68" i="1"/>
  <c r="B62" i="9" l="1"/>
  <c r="C62" i="9"/>
  <c r="D62" i="9"/>
  <c r="O63" i="2"/>
  <c r="E68" i="4"/>
  <c r="C68" i="1"/>
  <c r="H68" i="1"/>
  <c r="C68" i="2"/>
  <c r="G68" i="1"/>
  <c r="D67" i="4"/>
  <c r="C67" i="4"/>
  <c r="G67" i="4" s="1"/>
  <c r="B67" i="4"/>
  <c r="B67" i="2" s="1"/>
  <c r="P67" i="2" s="1"/>
  <c r="B69" i="1"/>
  <c r="B63" i="9" l="1"/>
  <c r="C63" i="9"/>
  <c r="D63" i="9"/>
  <c r="O64" i="2"/>
  <c r="E69" i="4"/>
  <c r="C69" i="1"/>
  <c r="H69" i="1"/>
  <c r="C69" i="2"/>
  <c r="G69" i="1"/>
  <c r="D68" i="4"/>
  <c r="C68" i="4"/>
  <c r="G68" i="4" s="1"/>
  <c r="B68" i="4"/>
  <c r="B68" i="2" s="1"/>
  <c r="P68" i="2" s="1"/>
  <c r="B70" i="1"/>
  <c r="B64" i="9" l="1"/>
  <c r="C64" i="9"/>
  <c r="D64" i="9"/>
  <c r="O65" i="2"/>
  <c r="E70" i="4"/>
  <c r="C70" i="1"/>
  <c r="H70" i="1"/>
  <c r="C70" i="2"/>
  <c r="G70" i="1"/>
  <c r="D69" i="4"/>
  <c r="C69" i="4"/>
  <c r="G69" i="4" s="1"/>
  <c r="B69" i="4"/>
  <c r="B69" i="2" s="1"/>
  <c r="P69" i="2" s="1"/>
  <c r="B71" i="1"/>
  <c r="B65" i="9" l="1"/>
  <c r="C65" i="9"/>
  <c r="D65" i="9"/>
  <c r="O66" i="2"/>
  <c r="E71" i="4"/>
  <c r="C71" i="1"/>
  <c r="H71" i="1"/>
  <c r="C71" i="2"/>
  <c r="G71" i="1"/>
  <c r="D70" i="4"/>
  <c r="C70" i="4"/>
  <c r="G70" i="4" s="1"/>
  <c r="B70" i="4"/>
  <c r="B70" i="2" s="1"/>
  <c r="P70" i="2" s="1"/>
  <c r="B72" i="1"/>
  <c r="B66" i="9" l="1"/>
  <c r="C66" i="9"/>
  <c r="D66" i="9"/>
  <c r="O67" i="2"/>
  <c r="E72" i="4"/>
  <c r="C72" i="1"/>
  <c r="H72" i="1"/>
  <c r="C72" i="2"/>
  <c r="G72" i="1"/>
  <c r="D71" i="4"/>
  <c r="C71" i="4"/>
  <c r="G71" i="4" s="1"/>
  <c r="B71" i="4"/>
  <c r="B71" i="2" s="1"/>
  <c r="P71" i="2" s="1"/>
  <c r="B73" i="1"/>
  <c r="B67" i="9" l="1"/>
  <c r="C67" i="9"/>
  <c r="D67" i="9"/>
  <c r="O68" i="2"/>
  <c r="E73" i="4"/>
  <c r="C73" i="1"/>
  <c r="H73" i="1"/>
  <c r="C73" i="2"/>
  <c r="G73" i="1"/>
  <c r="D72" i="4"/>
  <c r="C72" i="4"/>
  <c r="G72" i="4" s="1"/>
  <c r="B72" i="4"/>
  <c r="B72" i="2" s="1"/>
  <c r="P72" i="2" s="1"/>
  <c r="B74" i="1"/>
  <c r="B68" i="9" l="1"/>
  <c r="C68" i="9"/>
  <c r="D68" i="9"/>
  <c r="O69" i="2"/>
  <c r="E74" i="4"/>
  <c r="C74" i="1"/>
  <c r="H74" i="1"/>
  <c r="C74" i="2"/>
  <c r="G74" i="1"/>
  <c r="D73" i="4"/>
  <c r="C73" i="4"/>
  <c r="G73" i="4" s="1"/>
  <c r="B73" i="4"/>
  <c r="B73" i="2" s="1"/>
  <c r="P73" i="2" s="1"/>
  <c r="B75" i="1"/>
  <c r="B69" i="9" l="1"/>
  <c r="C69" i="9"/>
  <c r="D69" i="9"/>
  <c r="O70" i="2"/>
  <c r="E75" i="4"/>
  <c r="C75" i="1"/>
  <c r="H75" i="1"/>
  <c r="C75" i="2"/>
  <c r="G75" i="1"/>
  <c r="D74" i="4"/>
  <c r="C74" i="4"/>
  <c r="G74" i="4" s="1"/>
  <c r="B74" i="4"/>
  <c r="B74" i="2" s="1"/>
  <c r="P74" i="2" s="1"/>
  <c r="B76" i="1"/>
  <c r="B70" i="9" l="1"/>
  <c r="C70" i="9"/>
  <c r="D70" i="9"/>
  <c r="O71" i="2"/>
  <c r="E76" i="4"/>
  <c r="C76" i="1"/>
  <c r="H76" i="1"/>
  <c r="C76" i="2"/>
  <c r="G76" i="1"/>
  <c r="D75" i="4"/>
  <c r="C75" i="4"/>
  <c r="G75" i="4" s="1"/>
  <c r="B75" i="4"/>
  <c r="B75" i="2" s="1"/>
  <c r="P75" i="2" s="1"/>
  <c r="B77" i="1"/>
  <c r="B71" i="9" l="1"/>
  <c r="C71" i="9"/>
  <c r="D71" i="9"/>
  <c r="O72" i="2"/>
  <c r="E77" i="4"/>
  <c r="C77" i="1"/>
  <c r="H77" i="1"/>
  <c r="C77" i="2"/>
  <c r="G77" i="1"/>
  <c r="D76" i="4"/>
  <c r="C76" i="4"/>
  <c r="G76" i="4" s="1"/>
  <c r="B76" i="4"/>
  <c r="B76" i="2" s="1"/>
  <c r="P76" i="2" s="1"/>
  <c r="B78" i="1"/>
  <c r="B72" i="9" l="1"/>
  <c r="C72" i="9"/>
  <c r="D72" i="9"/>
  <c r="O73" i="2"/>
  <c r="E78" i="4"/>
  <c r="C78" i="1"/>
  <c r="H78" i="1"/>
  <c r="C78" i="2"/>
  <c r="G78" i="1"/>
  <c r="D77" i="4"/>
  <c r="C77" i="4"/>
  <c r="G77" i="4" s="1"/>
  <c r="B77" i="4"/>
  <c r="B77" i="2" s="1"/>
  <c r="P77" i="2" s="1"/>
  <c r="B79" i="1"/>
  <c r="B73" i="9" l="1"/>
  <c r="C73" i="9"/>
  <c r="D73" i="9"/>
  <c r="O74" i="2"/>
  <c r="E79" i="4"/>
  <c r="C79" i="1"/>
  <c r="H79" i="1"/>
  <c r="C79" i="2"/>
  <c r="G79" i="1"/>
  <c r="D78" i="4"/>
  <c r="C78" i="4"/>
  <c r="G78" i="4" s="1"/>
  <c r="B78" i="4"/>
  <c r="B78" i="2" s="1"/>
  <c r="P78" i="2" s="1"/>
  <c r="B80" i="1"/>
  <c r="B74" i="9" l="1"/>
  <c r="C74" i="9"/>
  <c r="D74" i="9"/>
  <c r="O75" i="2"/>
  <c r="E80" i="4"/>
  <c r="C80" i="1"/>
  <c r="H80" i="1"/>
  <c r="C80" i="2"/>
  <c r="B4" i="3"/>
  <c r="P4" i="3" s="1"/>
  <c r="G80" i="1"/>
  <c r="D79" i="4"/>
  <c r="C79" i="4"/>
  <c r="G79" i="4" s="1"/>
  <c r="B79" i="4"/>
  <c r="B79" i="2" s="1"/>
  <c r="P79" i="2" s="1"/>
  <c r="B81" i="1"/>
  <c r="B75" i="9" l="1"/>
  <c r="C75" i="9"/>
  <c r="D75" i="9"/>
  <c r="O76" i="2"/>
  <c r="E81" i="4"/>
  <c r="C81" i="1"/>
  <c r="C4" i="3"/>
  <c r="H81" i="1"/>
  <c r="C81" i="2"/>
  <c r="G81" i="1"/>
  <c r="D80" i="4"/>
  <c r="C80" i="4"/>
  <c r="G80" i="4" s="1"/>
  <c r="B80" i="4"/>
  <c r="B80" i="2" s="1"/>
  <c r="P80" i="2" s="1"/>
  <c r="B82" i="1"/>
  <c r="B76" i="9" l="1"/>
  <c r="C76" i="9"/>
  <c r="D76" i="9"/>
  <c r="O77" i="2"/>
  <c r="E82" i="4"/>
  <c r="C82" i="1"/>
  <c r="H82" i="1"/>
  <c r="C82" i="2"/>
  <c r="G82" i="1"/>
  <c r="D81" i="4"/>
  <c r="C81" i="4"/>
  <c r="G81" i="4" s="1"/>
  <c r="B81" i="4"/>
  <c r="B81" i="2" s="1"/>
  <c r="P81" i="2" s="1"/>
  <c r="B83" i="1"/>
  <c r="B77" i="9" l="1"/>
  <c r="C77" i="9"/>
  <c r="D77" i="9"/>
  <c r="O78" i="2"/>
  <c r="E83" i="4"/>
  <c r="C83" i="1"/>
  <c r="H83" i="1"/>
  <c r="C83" i="2"/>
  <c r="G83" i="1"/>
  <c r="D82" i="4"/>
  <c r="C82" i="4"/>
  <c r="G82" i="4" s="1"/>
  <c r="B82" i="4"/>
  <c r="B82" i="2" s="1"/>
  <c r="P82" i="2" s="1"/>
  <c r="B84" i="1"/>
  <c r="B78" i="9" l="1"/>
  <c r="C78" i="9"/>
  <c r="D78" i="9"/>
  <c r="O79" i="2"/>
  <c r="E84" i="4"/>
  <c r="C84" i="1"/>
  <c r="H84" i="1"/>
  <c r="C84" i="2"/>
  <c r="G84" i="1"/>
  <c r="D83" i="4"/>
  <c r="C83" i="4"/>
  <c r="G83" i="4" s="1"/>
  <c r="B83" i="4"/>
  <c r="B83" i="2" s="1"/>
  <c r="P83" i="2" s="1"/>
  <c r="B85" i="1"/>
  <c r="B79" i="9" l="1"/>
  <c r="C79" i="9"/>
  <c r="D79" i="9"/>
  <c r="O80" i="2"/>
  <c r="E85" i="4"/>
  <c r="C85" i="1"/>
  <c r="H85" i="1"/>
  <c r="C85" i="2"/>
  <c r="G85" i="1"/>
  <c r="D84" i="4"/>
  <c r="C84" i="4"/>
  <c r="G84" i="4" s="1"/>
  <c r="B84" i="4"/>
  <c r="B84" i="2" s="1"/>
  <c r="P84" i="2" s="1"/>
  <c r="B86" i="1"/>
  <c r="B80" i="9" l="1"/>
  <c r="C80" i="9"/>
  <c r="D80" i="9"/>
  <c r="O81" i="2"/>
  <c r="E86" i="4"/>
  <c r="C86" i="1"/>
  <c r="H86" i="1"/>
  <c r="C86" i="2"/>
  <c r="G86" i="1"/>
  <c r="D85" i="4"/>
  <c r="C85" i="4"/>
  <c r="G85" i="4" s="1"/>
  <c r="B85" i="4"/>
  <c r="B85" i="2" s="1"/>
  <c r="P85" i="2" s="1"/>
  <c r="B87" i="1"/>
  <c r="B81" i="9" l="1"/>
  <c r="C81" i="9"/>
  <c r="D81" i="9"/>
  <c r="O82" i="2"/>
  <c r="E87" i="4"/>
  <c r="C87" i="1"/>
  <c r="H87" i="1"/>
  <c r="C87" i="2"/>
  <c r="G87" i="1"/>
  <c r="D86" i="4"/>
  <c r="C86" i="4"/>
  <c r="G86" i="4" s="1"/>
  <c r="B86" i="4"/>
  <c r="B86" i="2" s="1"/>
  <c r="P86" i="2" s="1"/>
  <c r="B88" i="1"/>
  <c r="B82" i="9" l="1"/>
  <c r="C82" i="9"/>
  <c r="D82" i="9"/>
  <c r="O83" i="2"/>
  <c r="E88" i="4"/>
  <c r="C88" i="1"/>
  <c r="H88" i="1"/>
  <c r="C88" i="2"/>
  <c r="G88" i="1"/>
  <c r="D87" i="4"/>
  <c r="C87" i="4"/>
  <c r="G87" i="4" s="1"/>
  <c r="B87" i="4"/>
  <c r="B87" i="2" s="1"/>
  <c r="P87" i="2" s="1"/>
  <c r="B89" i="1"/>
  <c r="B83" i="9" l="1"/>
  <c r="C83" i="9"/>
  <c r="D83" i="9"/>
  <c r="O84" i="2"/>
  <c r="E89" i="4"/>
  <c r="C89" i="1"/>
  <c r="H89" i="1"/>
  <c r="C89" i="2"/>
  <c r="G89" i="1"/>
  <c r="D88" i="4"/>
  <c r="C88" i="4"/>
  <c r="G88" i="4" s="1"/>
  <c r="B88" i="4"/>
  <c r="B88" i="2" s="1"/>
  <c r="P88" i="2" s="1"/>
  <c r="B90" i="1"/>
  <c r="B84" i="9" l="1"/>
  <c r="C84" i="9"/>
  <c r="D84" i="9"/>
  <c r="O85" i="2"/>
  <c r="E90" i="4"/>
  <c r="C90" i="1"/>
  <c r="H90" i="1"/>
  <c r="C90" i="2"/>
  <c r="G90" i="1"/>
  <c r="D89" i="4"/>
  <c r="C89" i="4"/>
  <c r="G89" i="4" s="1"/>
  <c r="B89" i="4"/>
  <c r="B89" i="2" s="1"/>
  <c r="P89" i="2" s="1"/>
  <c r="B91" i="1"/>
  <c r="B85" i="9" l="1"/>
  <c r="C85" i="9"/>
  <c r="D85" i="9"/>
  <c r="O86" i="2"/>
  <c r="E91" i="4"/>
  <c r="C91" i="1"/>
  <c r="H91" i="1"/>
  <c r="C91" i="2"/>
  <c r="G91" i="1"/>
  <c r="D90" i="4"/>
  <c r="C90" i="4"/>
  <c r="G90" i="4" s="1"/>
  <c r="B90" i="4"/>
  <c r="B90" i="2" s="1"/>
  <c r="P90" i="2" s="1"/>
  <c r="B92" i="1"/>
  <c r="B86" i="9" l="1"/>
  <c r="C86" i="9"/>
  <c r="D86" i="9"/>
  <c r="O87" i="2"/>
  <c r="E92" i="4"/>
  <c r="C92" i="1"/>
  <c r="H92" i="1"/>
  <c r="C92" i="2"/>
  <c r="G92" i="1"/>
  <c r="D91" i="4"/>
  <c r="C91" i="4"/>
  <c r="G91" i="4" s="1"/>
  <c r="B91" i="4"/>
  <c r="B91" i="2" s="1"/>
  <c r="P91" i="2" s="1"/>
  <c r="B93" i="1"/>
  <c r="B87" i="9" l="1"/>
  <c r="C87" i="9"/>
  <c r="D87" i="9"/>
  <c r="O88" i="2"/>
  <c r="E93" i="4"/>
  <c r="C93" i="1"/>
  <c r="H93" i="1"/>
  <c r="C93" i="2"/>
  <c r="G93" i="1"/>
  <c r="D92" i="4"/>
  <c r="C92" i="4"/>
  <c r="G92" i="4" s="1"/>
  <c r="B92" i="4"/>
  <c r="B92" i="2" s="1"/>
  <c r="P92" i="2" s="1"/>
  <c r="B94" i="1"/>
  <c r="B88" i="9" l="1"/>
  <c r="C88" i="9"/>
  <c r="D88" i="9"/>
  <c r="O89" i="2"/>
  <c r="E94" i="4"/>
  <c r="C94" i="1"/>
  <c r="H94" i="1"/>
  <c r="C94" i="2"/>
  <c r="G94" i="1"/>
  <c r="D93" i="4"/>
  <c r="C93" i="4"/>
  <c r="G93" i="4" s="1"/>
  <c r="B93" i="4"/>
  <c r="B93" i="2" s="1"/>
  <c r="P93" i="2" s="1"/>
  <c r="B95" i="1"/>
  <c r="B89" i="9" l="1"/>
  <c r="C89" i="9"/>
  <c r="D89" i="9"/>
  <c r="O90" i="2"/>
  <c r="E95" i="4"/>
  <c r="C95" i="1"/>
  <c r="H95" i="1"/>
  <c r="C95" i="2"/>
  <c r="G95" i="1"/>
  <c r="D94" i="4"/>
  <c r="C94" i="4"/>
  <c r="G94" i="4" s="1"/>
  <c r="B94" i="4"/>
  <c r="B94" i="2" s="1"/>
  <c r="P94" i="2" s="1"/>
  <c r="B96" i="1"/>
  <c r="B90" i="9" l="1"/>
  <c r="C90" i="9"/>
  <c r="D90" i="9"/>
  <c r="O91" i="2"/>
  <c r="E96" i="4"/>
  <c r="C96" i="1"/>
  <c r="H96" i="1"/>
  <c r="C96" i="2"/>
  <c r="G96" i="1"/>
  <c r="D95" i="4"/>
  <c r="C95" i="4"/>
  <c r="G95" i="4" s="1"/>
  <c r="B95" i="4"/>
  <c r="B95" i="2" s="1"/>
  <c r="P95" i="2" s="1"/>
  <c r="B97" i="1"/>
  <c r="B91" i="9" l="1"/>
  <c r="C91" i="9"/>
  <c r="D91" i="9"/>
  <c r="O92" i="2"/>
  <c r="E97" i="4"/>
  <c r="C97" i="1"/>
  <c r="H97" i="1"/>
  <c r="C97" i="2"/>
  <c r="G97" i="1"/>
  <c r="D96" i="4"/>
  <c r="C96" i="4"/>
  <c r="G96" i="4" s="1"/>
  <c r="B96" i="4"/>
  <c r="B96" i="2" s="1"/>
  <c r="P96" i="2" s="1"/>
  <c r="B98" i="1"/>
  <c r="B92" i="9" l="1"/>
  <c r="C92" i="9"/>
  <c r="D92" i="9"/>
  <c r="O93" i="2"/>
  <c r="E98" i="4"/>
  <c r="C98" i="1"/>
  <c r="H98" i="1"/>
  <c r="C98" i="2"/>
  <c r="G98" i="1"/>
  <c r="D97" i="4"/>
  <c r="C97" i="4"/>
  <c r="G97" i="4" s="1"/>
  <c r="B97" i="4"/>
  <c r="B97" i="2" s="1"/>
  <c r="P97" i="2" s="1"/>
  <c r="B99" i="1"/>
  <c r="B93" i="9" l="1"/>
  <c r="C93" i="9"/>
  <c r="D93" i="9"/>
  <c r="O94" i="2"/>
  <c r="E99" i="4"/>
  <c r="C99" i="1"/>
  <c r="H99" i="1"/>
  <c r="C99" i="2"/>
  <c r="G99" i="1"/>
  <c r="D98" i="4"/>
  <c r="C98" i="4"/>
  <c r="G98" i="4" s="1"/>
  <c r="B98" i="4"/>
  <c r="B98" i="2" s="1"/>
  <c r="P98" i="2" s="1"/>
  <c r="B100" i="1"/>
  <c r="B94" i="9" l="1"/>
  <c r="C94" i="9"/>
  <c r="D94" i="9"/>
  <c r="O95" i="2"/>
  <c r="E100" i="4"/>
  <c r="C100" i="1"/>
  <c r="H100" i="1"/>
  <c r="C100" i="2"/>
  <c r="G100" i="1"/>
  <c r="D99" i="4"/>
  <c r="C99" i="4"/>
  <c r="G99" i="4" s="1"/>
  <c r="B99" i="4"/>
  <c r="B99" i="2" s="1"/>
  <c r="P99" i="2" s="1"/>
  <c r="B101" i="1"/>
  <c r="B95" i="9" l="1"/>
  <c r="C95" i="9"/>
  <c r="D95" i="9"/>
  <c r="O96" i="2"/>
  <c r="E101" i="4"/>
  <c r="C101" i="1"/>
  <c r="H101" i="1"/>
  <c r="C101" i="2"/>
  <c r="G101" i="1"/>
  <c r="D100" i="4"/>
  <c r="C100" i="4"/>
  <c r="G100" i="4" s="1"/>
  <c r="B100" i="4"/>
  <c r="B100" i="2" s="1"/>
  <c r="P100" i="2" s="1"/>
  <c r="B102" i="1"/>
  <c r="B96" i="9" l="1"/>
  <c r="C96" i="9"/>
  <c r="D96" i="9"/>
  <c r="O97" i="2"/>
  <c r="E102" i="4"/>
  <c r="C102" i="1"/>
  <c r="H102" i="1"/>
  <c r="C102" i="2"/>
  <c r="G102" i="1"/>
  <c r="D101" i="4"/>
  <c r="C101" i="4"/>
  <c r="G101" i="4" s="1"/>
  <c r="B101" i="4"/>
  <c r="B101" i="2" s="1"/>
  <c r="P101" i="2" s="1"/>
  <c r="B103" i="1"/>
  <c r="B97" i="9" l="1"/>
  <c r="C97" i="9"/>
  <c r="D97" i="9"/>
  <c r="O98" i="2"/>
  <c r="E103" i="4"/>
  <c r="C103" i="1"/>
  <c r="H103" i="1"/>
  <c r="C103" i="2"/>
  <c r="G103" i="1"/>
  <c r="D102" i="4"/>
  <c r="C102" i="4"/>
  <c r="G102" i="4" s="1"/>
  <c r="B102" i="4"/>
  <c r="B102" i="2" s="1"/>
  <c r="P102" i="2" s="1"/>
  <c r="B104" i="1"/>
  <c r="B98" i="9" l="1"/>
  <c r="C98" i="9"/>
  <c r="D98" i="9"/>
  <c r="O99" i="2"/>
  <c r="E104" i="4"/>
  <c r="C104" i="1"/>
  <c r="H104" i="1"/>
  <c r="C104" i="2"/>
  <c r="G104" i="1"/>
  <c r="D103" i="4"/>
  <c r="C103" i="4"/>
  <c r="G103" i="4" s="1"/>
  <c r="B103" i="4"/>
  <c r="B103" i="2" s="1"/>
  <c r="P103" i="2" s="1"/>
  <c r="B105" i="1"/>
  <c r="B99" i="9" l="1"/>
  <c r="C99" i="9"/>
  <c r="D99" i="9"/>
  <c r="O100" i="2"/>
  <c r="E105" i="4"/>
  <c r="C105" i="1"/>
  <c r="H105" i="1"/>
  <c r="C105" i="2"/>
  <c r="G105" i="1"/>
  <c r="D104" i="4"/>
  <c r="C104" i="4"/>
  <c r="G104" i="4" s="1"/>
  <c r="B104" i="4"/>
  <c r="B104" i="2" s="1"/>
  <c r="P104" i="2" s="1"/>
  <c r="B106" i="1"/>
  <c r="B100" i="9" l="1"/>
  <c r="C100" i="9"/>
  <c r="D100" i="9"/>
  <c r="O101" i="2"/>
  <c r="E106" i="4"/>
  <c r="C106" i="1"/>
  <c r="H106" i="1"/>
  <c r="C106" i="2"/>
  <c r="G106" i="1"/>
  <c r="D105" i="4"/>
  <c r="C105" i="4"/>
  <c r="G105" i="4" s="1"/>
  <c r="B105" i="4"/>
  <c r="B105" i="2" s="1"/>
  <c r="P105" i="2" s="1"/>
  <c r="B107" i="1"/>
  <c r="B101" i="9" l="1"/>
  <c r="C101" i="9"/>
  <c r="D101" i="9"/>
  <c r="O102" i="2"/>
  <c r="E107" i="4"/>
  <c r="C107" i="1"/>
  <c r="H107" i="1"/>
  <c r="C107" i="2"/>
  <c r="G107" i="1"/>
  <c r="D106" i="4"/>
  <c r="C106" i="4"/>
  <c r="G106" i="4" s="1"/>
  <c r="B106" i="4"/>
  <c r="B106" i="2" s="1"/>
  <c r="P106" i="2" s="1"/>
  <c r="B108" i="1"/>
  <c r="B102" i="9" l="1"/>
  <c r="C102" i="9"/>
  <c r="D102" i="9"/>
  <c r="O103" i="2"/>
  <c r="E108" i="4"/>
  <c r="C108" i="1"/>
  <c r="H108" i="1"/>
  <c r="C108" i="2"/>
  <c r="G108" i="1"/>
  <c r="D107" i="4"/>
  <c r="C107" i="4"/>
  <c r="G107" i="4" s="1"/>
  <c r="B107" i="4"/>
  <c r="B107" i="2" s="1"/>
  <c r="P107" i="2" s="1"/>
  <c r="B109" i="1"/>
  <c r="B103" i="9" l="1"/>
  <c r="C103" i="9"/>
  <c r="D103" i="9"/>
  <c r="O104" i="2"/>
  <c r="E109" i="4"/>
  <c r="C109" i="1"/>
  <c r="H109" i="1"/>
  <c r="C109" i="2"/>
  <c r="G109" i="1"/>
  <c r="D108" i="4"/>
  <c r="C108" i="4"/>
  <c r="G108" i="4" s="1"/>
  <c r="B108" i="4"/>
  <c r="B108" i="2" s="1"/>
  <c r="P108" i="2" s="1"/>
  <c r="B110" i="1"/>
  <c r="B104" i="9" l="1"/>
  <c r="C104" i="9"/>
  <c r="D104" i="9"/>
  <c r="O105" i="2"/>
  <c r="E110" i="4"/>
  <c r="C110" i="1"/>
  <c r="H110" i="1"/>
  <c r="C110" i="2"/>
  <c r="G110" i="1"/>
  <c r="D109" i="4"/>
  <c r="C109" i="4"/>
  <c r="G109" i="4" s="1"/>
  <c r="B109" i="4"/>
  <c r="B109" i="2" s="1"/>
  <c r="P109" i="2" s="1"/>
  <c r="B111" i="1"/>
  <c r="B105" i="9" l="1"/>
  <c r="C105" i="9"/>
  <c r="D105" i="9"/>
  <c r="O106" i="2"/>
  <c r="E111" i="4"/>
  <c r="C111" i="1"/>
  <c r="H111" i="1"/>
  <c r="C111" i="2"/>
  <c r="G111" i="1"/>
  <c r="D110" i="4"/>
  <c r="C110" i="4"/>
  <c r="G110" i="4" s="1"/>
  <c r="B110" i="4"/>
  <c r="B110" i="2" s="1"/>
  <c r="P110" i="2" s="1"/>
  <c r="B112" i="1"/>
  <c r="B106" i="9" l="1"/>
  <c r="C106" i="9"/>
  <c r="D106" i="9"/>
  <c r="O107" i="2"/>
  <c r="E112" i="4"/>
  <c r="C112" i="1"/>
  <c r="H112" i="1"/>
  <c r="C112" i="2"/>
  <c r="G112" i="1"/>
  <c r="D111" i="4"/>
  <c r="C111" i="4"/>
  <c r="G111" i="4" s="1"/>
  <c r="B111" i="4"/>
  <c r="B111" i="2" s="1"/>
  <c r="P111" i="2" s="1"/>
  <c r="B113" i="1"/>
  <c r="B107" i="9" l="1"/>
  <c r="C107" i="9"/>
  <c r="D107" i="9"/>
  <c r="O108" i="2"/>
  <c r="E113" i="4"/>
  <c r="C113" i="1"/>
  <c r="H113" i="1"/>
  <c r="C113" i="2"/>
  <c r="G113" i="1"/>
  <c r="D112" i="4"/>
  <c r="C112" i="4"/>
  <c r="G112" i="4" s="1"/>
  <c r="B112" i="4"/>
  <c r="B112" i="2" s="1"/>
  <c r="P112" i="2" s="1"/>
  <c r="B114" i="1"/>
  <c r="B108" i="9" l="1"/>
  <c r="C108" i="9"/>
  <c r="D108" i="9"/>
  <c r="O109" i="2"/>
  <c r="E114" i="4"/>
  <c r="C114" i="1"/>
  <c r="H114" i="1"/>
  <c r="C114" i="2"/>
  <c r="G114" i="1"/>
  <c r="D113" i="4"/>
  <c r="C113" i="4"/>
  <c r="G113" i="4" s="1"/>
  <c r="B113" i="4"/>
  <c r="B113" i="2" s="1"/>
  <c r="P113" i="2" s="1"/>
  <c r="B115" i="1"/>
  <c r="B109" i="9" l="1"/>
  <c r="C109" i="9"/>
  <c r="D109" i="9"/>
  <c r="O110" i="2"/>
  <c r="E115" i="4"/>
  <c r="C115" i="1"/>
  <c r="H115" i="1"/>
  <c r="C115" i="2"/>
  <c r="G115" i="1"/>
  <c r="D114" i="4"/>
  <c r="C114" i="4"/>
  <c r="G114" i="4" s="1"/>
  <c r="B114" i="4"/>
  <c r="B114" i="2" s="1"/>
  <c r="P114" i="2" s="1"/>
  <c r="B116" i="1"/>
  <c r="B110" i="9" l="1"/>
  <c r="C110" i="9"/>
  <c r="D110" i="9"/>
  <c r="O111" i="2"/>
  <c r="E116" i="4"/>
  <c r="C116" i="1"/>
  <c r="H116" i="1"/>
  <c r="C116" i="2"/>
  <c r="G116" i="1"/>
  <c r="D115" i="4"/>
  <c r="C115" i="4"/>
  <c r="G115" i="4" s="1"/>
  <c r="B115" i="4"/>
  <c r="B115" i="2" s="1"/>
  <c r="P115" i="2" s="1"/>
  <c r="B111" i="9" l="1"/>
  <c r="C111" i="9"/>
  <c r="D111" i="9"/>
  <c r="O112" i="2"/>
  <c r="B117" i="1"/>
  <c r="H117" i="1"/>
  <c r="G117" i="1"/>
  <c r="D116" i="4"/>
  <c r="C116" i="4"/>
  <c r="G116" i="4" s="1"/>
  <c r="B116" i="4"/>
  <c r="B116" i="2" s="1"/>
  <c r="P116" i="2" s="1"/>
  <c r="B118" i="1"/>
  <c r="B112" i="9" l="1"/>
  <c r="C112" i="9"/>
  <c r="D112" i="9"/>
  <c r="O113" i="2"/>
  <c r="E118" i="4"/>
  <c r="C118" i="1"/>
  <c r="E117" i="4"/>
  <c r="C117" i="1"/>
  <c r="C117" i="2" s="1"/>
  <c r="H118" i="1"/>
  <c r="C118" i="2"/>
  <c r="G118" i="1"/>
  <c r="D117" i="4"/>
  <c r="C117" i="4"/>
  <c r="G117" i="4" s="1"/>
  <c r="B117" i="4"/>
  <c r="B117" i="2" s="1"/>
  <c r="P117" i="2" s="1"/>
  <c r="B119" i="1"/>
  <c r="B113" i="9" l="1"/>
  <c r="C113" i="9"/>
  <c r="D113" i="9"/>
  <c r="O114" i="2"/>
  <c r="E119" i="4"/>
  <c r="C119" i="1"/>
  <c r="H119" i="1"/>
  <c r="C119" i="2"/>
  <c r="G119" i="1"/>
  <c r="D118" i="4"/>
  <c r="C118" i="4"/>
  <c r="G118" i="4" s="1"/>
  <c r="B118" i="4"/>
  <c r="B118" i="2" s="1"/>
  <c r="P118" i="2" s="1"/>
  <c r="B120" i="1"/>
  <c r="B114" i="9" l="1"/>
  <c r="C114" i="9"/>
  <c r="D114" i="9"/>
  <c r="O115" i="2"/>
  <c r="E120" i="4"/>
  <c r="C120" i="1"/>
  <c r="H120" i="1"/>
  <c r="C120" i="2"/>
  <c r="G120" i="1"/>
  <c r="D119" i="4"/>
  <c r="C119" i="4"/>
  <c r="G119" i="4" s="1"/>
  <c r="B119" i="4"/>
  <c r="B119" i="2" s="1"/>
  <c r="P119" i="2" s="1"/>
  <c r="B121" i="1"/>
  <c r="B115" i="9" l="1"/>
  <c r="C115" i="9"/>
  <c r="D115" i="9"/>
  <c r="O116" i="2"/>
  <c r="E121" i="4"/>
  <c r="C121" i="1"/>
  <c r="H121" i="1"/>
  <c r="C121" i="2"/>
  <c r="G121" i="1"/>
  <c r="D120" i="4"/>
  <c r="C120" i="4"/>
  <c r="G120" i="4" s="1"/>
  <c r="B120" i="4"/>
  <c r="B120" i="2" s="1"/>
  <c r="P120" i="2" s="1"/>
  <c r="B122" i="1"/>
  <c r="B116" i="9" l="1"/>
  <c r="C116" i="9"/>
  <c r="D116" i="9"/>
  <c r="O117" i="2"/>
  <c r="E122" i="4"/>
  <c r="C122" i="1"/>
  <c r="H122" i="1"/>
  <c r="C122" i="2"/>
  <c r="G122" i="1"/>
  <c r="D121" i="4"/>
  <c r="C121" i="4"/>
  <c r="G121" i="4" s="1"/>
  <c r="B121" i="4"/>
  <c r="B121" i="2" s="1"/>
  <c r="P121" i="2" s="1"/>
  <c r="B123" i="1"/>
  <c r="B117" i="9" l="1"/>
  <c r="C117" i="9"/>
  <c r="D117" i="9"/>
  <c r="O118" i="2"/>
  <c r="E123" i="4"/>
  <c r="C123" i="1"/>
  <c r="H123" i="1"/>
  <c r="C123" i="2"/>
  <c r="G123" i="1"/>
  <c r="D122" i="4"/>
  <c r="C122" i="4"/>
  <c r="G122" i="4" s="1"/>
  <c r="B122" i="4"/>
  <c r="B122" i="2" s="1"/>
  <c r="P122" i="2" s="1"/>
  <c r="B124" i="1"/>
  <c r="B118" i="9" l="1"/>
  <c r="C118" i="9"/>
  <c r="D118" i="9"/>
  <c r="O119" i="2"/>
  <c r="E124" i="4"/>
  <c r="C124" i="1"/>
  <c r="H124" i="1"/>
  <c r="C124" i="2"/>
  <c r="G124" i="1"/>
  <c r="D123" i="4"/>
  <c r="C123" i="4"/>
  <c r="G123" i="4" s="1"/>
  <c r="B123" i="4"/>
  <c r="B123" i="2" s="1"/>
  <c r="P123" i="2" s="1"/>
  <c r="B125" i="1"/>
  <c r="B119" i="9" l="1"/>
  <c r="C119" i="9"/>
  <c r="D119" i="9"/>
  <c r="O120" i="2"/>
  <c r="E125" i="4"/>
  <c r="C125" i="1"/>
  <c r="H125" i="1"/>
  <c r="C125" i="2"/>
  <c r="G125" i="1"/>
  <c r="D124" i="4"/>
  <c r="C124" i="4"/>
  <c r="G124" i="4" s="1"/>
  <c r="B124" i="4"/>
  <c r="B124" i="2" s="1"/>
  <c r="P124" i="2" s="1"/>
  <c r="B126" i="1"/>
  <c r="B120" i="9" l="1"/>
  <c r="C120" i="9"/>
  <c r="D120" i="9"/>
  <c r="O121" i="2"/>
  <c r="E126" i="4"/>
  <c r="C126" i="1"/>
  <c r="H126" i="1"/>
  <c r="C126" i="2"/>
  <c r="G126" i="1"/>
  <c r="D125" i="4"/>
  <c r="C125" i="4"/>
  <c r="G125" i="4" s="1"/>
  <c r="B125" i="4"/>
  <c r="B125" i="2" s="1"/>
  <c r="P125" i="2" s="1"/>
  <c r="B127" i="1"/>
  <c r="B121" i="9" l="1"/>
  <c r="C121" i="9"/>
  <c r="D121" i="9"/>
  <c r="O122" i="2"/>
  <c r="E127" i="4"/>
  <c r="C127" i="1"/>
  <c r="H127" i="1"/>
  <c r="C127" i="2"/>
  <c r="G127" i="1"/>
  <c r="D126" i="4"/>
  <c r="C126" i="4"/>
  <c r="G126" i="4" s="1"/>
  <c r="B126" i="4"/>
  <c r="B126" i="2" s="1"/>
  <c r="P126" i="2" s="1"/>
  <c r="B128" i="1"/>
  <c r="B122" i="9" l="1"/>
  <c r="C122" i="9"/>
  <c r="D122" i="9"/>
  <c r="O123" i="2"/>
  <c r="E128" i="4"/>
  <c r="C128" i="1"/>
  <c r="H128" i="1"/>
  <c r="C128" i="2"/>
  <c r="G128" i="1"/>
  <c r="D127" i="4"/>
  <c r="C127" i="4"/>
  <c r="G127" i="4" s="1"/>
  <c r="B127" i="4"/>
  <c r="B127" i="2" s="1"/>
  <c r="P127" i="2" s="1"/>
  <c r="B129" i="1"/>
  <c r="B123" i="9" l="1"/>
  <c r="C123" i="9"/>
  <c r="D123" i="9"/>
  <c r="O124" i="2"/>
  <c r="E129" i="4"/>
  <c r="C129" i="1"/>
  <c r="H129" i="1"/>
  <c r="C129" i="2"/>
  <c r="G129" i="1"/>
  <c r="D128" i="4"/>
  <c r="C128" i="4"/>
  <c r="G128" i="4" s="1"/>
  <c r="B128" i="4"/>
  <c r="B128" i="2" s="1"/>
  <c r="P128" i="2" s="1"/>
  <c r="B130" i="1"/>
  <c r="B124" i="9" l="1"/>
  <c r="C124" i="9"/>
  <c r="D124" i="9"/>
  <c r="O125" i="2"/>
  <c r="E130" i="4"/>
  <c r="C130" i="1"/>
  <c r="H130" i="1"/>
  <c r="C130" i="2"/>
  <c r="G130" i="1"/>
  <c r="D129" i="4"/>
  <c r="C129" i="4"/>
  <c r="G129" i="4" s="1"/>
  <c r="B129" i="4"/>
  <c r="B129" i="2" s="1"/>
  <c r="P129" i="2" s="1"/>
  <c r="B131" i="1"/>
  <c r="B125" i="9" l="1"/>
  <c r="C125" i="9"/>
  <c r="D125" i="9"/>
  <c r="O126" i="2"/>
  <c r="E131" i="4"/>
  <c r="C131" i="1"/>
  <c r="H131" i="1"/>
  <c r="C131" i="2"/>
  <c r="G131" i="1"/>
  <c r="D130" i="4"/>
  <c r="C130" i="4"/>
  <c r="G130" i="4" s="1"/>
  <c r="B130" i="4"/>
  <c r="B130" i="2" s="1"/>
  <c r="P130" i="2" s="1"/>
  <c r="B132" i="1"/>
  <c r="B126" i="9" l="1"/>
  <c r="C126" i="9"/>
  <c r="D126" i="9"/>
  <c r="O127" i="2"/>
  <c r="E132" i="4"/>
  <c r="C132" i="1"/>
  <c r="H132" i="1"/>
  <c r="C132" i="2"/>
  <c r="G132" i="1"/>
  <c r="D131" i="4"/>
  <c r="C131" i="4"/>
  <c r="G131" i="4" s="1"/>
  <c r="B131" i="4"/>
  <c r="B131" i="2" s="1"/>
  <c r="P131" i="2" s="1"/>
  <c r="B133" i="1"/>
  <c r="B127" i="9" l="1"/>
  <c r="C127" i="9"/>
  <c r="D127" i="9"/>
  <c r="O128" i="2"/>
  <c r="E133" i="4"/>
  <c r="C133" i="1"/>
  <c r="H133" i="1"/>
  <c r="C133" i="2"/>
  <c r="G133" i="1"/>
  <c r="D132" i="4"/>
  <c r="C132" i="4"/>
  <c r="G132" i="4" s="1"/>
  <c r="B132" i="4"/>
  <c r="B132" i="2" s="1"/>
  <c r="P132" i="2" s="1"/>
  <c r="B134" i="1"/>
  <c r="B128" i="9" l="1"/>
  <c r="C128" i="9"/>
  <c r="D128" i="9"/>
  <c r="O129" i="2"/>
  <c r="E134" i="4"/>
  <c r="C134" i="1"/>
  <c r="H134" i="1"/>
  <c r="C134" i="2"/>
  <c r="G134" i="1"/>
  <c r="D133" i="4"/>
  <c r="C133" i="4"/>
  <c r="G133" i="4" s="1"/>
  <c r="B133" i="4"/>
  <c r="B133" i="2" s="1"/>
  <c r="P133" i="2" s="1"/>
  <c r="B135" i="1"/>
  <c r="B129" i="9" l="1"/>
  <c r="C129" i="9"/>
  <c r="D129" i="9"/>
  <c r="O130" i="2"/>
  <c r="E135" i="4"/>
  <c r="C135" i="1"/>
  <c r="H135" i="1"/>
  <c r="C135" i="2"/>
  <c r="G135" i="1"/>
  <c r="D134" i="4"/>
  <c r="C134" i="4"/>
  <c r="G134" i="4" s="1"/>
  <c r="B134" i="4"/>
  <c r="B134" i="2" s="1"/>
  <c r="P134" i="2" s="1"/>
  <c r="B136" i="1"/>
  <c r="B130" i="9" l="1"/>
  <c r="C130" i="9"/>
  <c r="D130" i="9"/>
  <c r="O131" i="2"/>
  <c r="E136" i="4"/>
  <c r="C136" i="1"/>
  <c r="H136" i="1"/>
  <c r="C136" i="2"/>
  <c r="G136" i="1"/>
  <c r="D135" i="4"/>
  <c r="C135" i="4"/>
  <c r="G135" i="4" s="1"/>
  <c r="B135" i="4"/>
  <c r="B135" i="2" s="1"/>
  <c r="P135" i="2" s="1"/>
  <c r="B137" i="1"/>
  <c r="B131" i="9" l="1"/>
  <c r="C131" i="9"/>
  <c r="D131" i="9"/>
  <c r="O132" i="2"/>
  <c r="E137" i="4"/>
  <c r="C137" i="1"/>
  <c r="H137" i="1"/>
  <c r="C137" i="2"/>
  <c r="G137" i="1"/>
  <c r="D136" i="4"/>
  <c r="C136" i="4"/>
  <c r="G136" i="4" s="1"/>
  <c r="B136" i="4"/>
  <c r="B136" i="2" s="1"/>
  <c r="P136" i="2" s="1"/>
  <c r="B138" i="1"/>
  <c r="B132" i="9" l="1"/>
  <c r="C132" i="9"/>
  <c r="D132" i="9"/>
  <c r="O133" i="2"/>
  <c r="E138" i="4"/>
  <c r="C138" i="1"/>
  <c r="H138" i="1"/>
  <c r="C138" i="2"/>
  <c r="G138" i="1"/>
  <c r="D137" i="4"/>
  <c r="C137" i="4"/>
  <c r="G137" i="4" s="1"/>
  <c r="B137" i="4"/>
  <c r="B137" i="2" s="1"/>
  <c r="P137" i="2" s="1"/>
  <c r="B139" i="1"/>
  <c r="B133" i="9" l="1"/>
  <c r="C133" i="9"/>
  <c r="D133" i="9"/>
  <c r="O134" i="2"/>
  <c r="E139" i="4"/>
  <c r="C139" i="1"/>
  <c r="H139" i="1"/>
  <c r="C139" i="2"/>
  <c r="G139" i="1"/>
  <c r="D138" i="4"/>
  <c r="C138" i="4"/>
  <c r="G138" i="4" s="1"/>
  <c r="B138" i="4"/>
  <c r="B138" i="2" s="1"/>
  <c r="P138" i="2" s="1"/>
  <c r="B140" i="1"/>
  <c r="B134" i="9" l="1"/>
  <c r="C134" i="9"/>
  <c r="D134" i="9"/>
  <c r="O135" i="2"/>
  <c r="E140" i="4"/>
  <c r="C140" i="1"/>
  <c r="H140" i="1"/>
  <c r="C140" i="2"/>
  <c r="G140" i="1"/>
  <c r="D139" i="4"/>
  <c r="C139" i="4"/>
  <c r="G139" i="4" s="1"/>
  <c r="B139" i="4"/>
  <c r="B139" i="2" s="1"/>
  <c r="P139" i="2" s="1"/>
  <c r="B141" i="1"/>
  <c r="B135" i="9" l="1"/>
  <c r="C135" i="9"/>
  <c r="D135" i="9"/>
  <c r="O136" i="2"/>
  <c r="E141" i="4"/>
  <c r="C141" i="1"/>
  <c r="H141" i="1"/>
  <c r="C141" i="2"/>
  <c r="G141" i="1"/>
  <c r="D140" i="4"/>
  <c r="C140" i="4"/>
  <c r="G140" i="4" s="1"/>
  <c r="B140" i="4"/>
  <c r="B140" i="2" s="1"/>
  <c r="P140" i="2" s="1"/>
  <c r="B142" i="1"/>
  <c r="B136" i="9" l="1"/>
  <c r="C136" i="9"/>
  <c r="D136" i="9"/>
  <c r="O137" i="2"/>
  <c r="E142" i="4"/>
  <c r="C142" i="1"/>
  <c r="H142" i="1"/>
  <c r="C142" i="2"/>
  <c r="G142" i="1"/>
  <c r="D141" i="4"/>
  <c r="C141" i="4"/>
  <c r="G141" i="4" s="1"/>
  <c r="B141" i="4"/>
  <c r="B141" i="2" s="1"/>
  <c r="P141" i="2" s="1"/>
  <c r="B143" i="1"/>
  <c r="B137" i="9" l="1"/>
  <c r="C137" i="9"/>
  <c r="D137" i="9"/>
  <c r="O138" i="2"/>
  <c r="E143" i="4"/>
  <c r="C143" i="1"/>
  <c r="H143" i="1"/>
  <c r="C143" i="2"/>
  <c r="G143" i="1"/>
  <c r="D142" i="4"/>
  <c r="C142" i="4"/>
  <c r="G142" i="4" s="1"/>
  <c r="B142" i="4"/>
  <c r="B142" i="2" s="1"/>
  <c r="P142" i="2" s="1"/>
  <c r="B144" i="1"/>
  <c r="B138" i="9" l="1"/>
  <c r="C138" i="9"/>
  <c r="D138" i="9"/>
  <c r="O139" i="2"/>
  <c r="E144" i="4"/>
  <c r="C144" i="1"/>
  <c r="H144" i="1"/>
  <c r="C144" i="2"/>
  <c r="G144" i="1"/>
  <c r="D143" i="4"/>
  <c r="C143" i="4"/>
  <c r="G143" i="4" s="1"/>
  <c r="B143" i="4"/>
  <c r="B143" i="2" s="1"/>
  <c r="P143" i="2" s="1"/>
  <c r="B145" i="1"/>
  <c r="B139" i="9" l="1"/>
  <c r="C139" i="9"/>
  <c r="D139" i="9"/>
  <c r="O140" i="2"/>
  <c r="E145" i="4"/>
  <c r="C145" i="1"/>
  <c r="H145" i="1"/>
  <c r="C145" i="2"/>
  <c r="G145" i="1"/>
  <c r="D144" i="4"/>
  <c r="C144" i="4"/>
  <c r="G144" i="4" s="1"/>
  <c r="B144" i="4"/>
  <c r="B144" i="2" s="1"/>
  <c r="P144" i="2" s="1"/>
  <c r="B146" i="1"/>
  <c r="B140" i="9" l="1"/>
  <c r="C140" i="9"/>
  <c r="D140" i="9"/>
  <c r="O141" i="2"/>
  <c r="E146" i="4"/>
  <c r="C146" i="1"/>
  <c r="H146" i="1"/>
  <c r="C146" i="2"/>
  <c r="G146" i="1"/>
  <c r="D145" i="4"/>
  <c r="C145" i="4"/>
  <c r="G145" i="4" s="1"/>
  <c r="B145" i="4"/>
  <c r="B145" i="2" s="1"/>
  <c r="P145" i="2" s="1"/>
  <c r="B147" i="1"/>
  <c r="B141" i="9" l="1"/>
  <c r="C141" i="9"/>
  <c r="D141" i="9"/>
  <c r="O142" i="2"/>
  <c r="E147" i="4"/>
  <c r="C147" i="1"/>
  <c r="H147" i="1"/>
  <c r="C147" i="2"/>
  <c r="G147" i="1"/>
  <c r="D146" i="4"/>
  <c r="C146" i="4"/>
  <c r="G146" i="4" s="1"/>
  <c r="B146" i="4"/>
  <c r="B146" i="2" s="1"/>
  <c r="P146" i="2" s="1"/>
  <c r="B148" i="1"/>
  <c r="B142" i="9" l="1"/>
  <c r="C142" i="9"/>
  <c r="D142" i="9"/>
  <c r="O143" i="2"/>
  <c r="E148" i="4"/>
  <c r="C148" i="1"/>
  <c r="H148" i="1"/>
  <c r="C148" i="2"/>
  <c r="G148" i="1"/>
  <c r="D147" i="4"/>
  <c r="C147" i="4"/>
  <c r="G147" i="4" s="1"/>
  <c r="B147" i="4"/>
  <c r="B147" i="2" s="1"/>
  <c r="P147" i="2" s="1"/>
  <c r="B149" i="1"/>
  <c r="B143" i="9" l="1"/>
  <c r="C143" i="9"/>
  <c r="D143" i="9"/>
  <c r="O144" i="2"/>
  <c r="E149" i="4"/>
  <c r="C149" i="1"/>
  <c r="H149" i="1"/>
  <c r="C149" i="2"/>
  <c r="G149" i="1"/>
  <c r="D148" i="4"/>
  <c r="C148" i="4"/>
  <c r="G148" i="4" s="1"/>
  <c r="B148" i="4"/>
  <c r="B148" i="2" s="1"/>
  <c r="P148" i="2" s="1"/>
  <c r="B150" i="1"/>
  <c r="B144" i="9" l="1"/>
  <c r="C144" i="9"/>
  <c r="D144" i="9"/>
  <c r="O145" i="2"/>
  <c r="E150" i="4"/>
  <c r="C150" i="1"/>
  <c r="H150" i="1"/>
  <c r="C150" i="2"/>
  <c r="G150" i="1"/>
  <c r="D149" i="4"/>
  <c r="C149" i="4"/>
  <c r="G149" i="4" s="1"/>
  <c r="B149" i="4"/>
  <c r="B149" i="2" s="1"/>
  <c r="P149" i="2" s="1"/>
  <c r="B151" i="1"/>
  <c r="B145" i="9" l="1"/>
  <c r="C145" i="9"/>
  <c r="D145" i="9"/>
  <c r="O146" i="2"/>
  <c r="E151" i="4"/>
  <c r="C151" i="1"/>
  <c r="H151" i="1"/>
  <c r="C151" i="2"/>
  <c r="G151" i="1"/>
  <c r="D150" i="4"/>
  <c r="C150" i="4"/>
  <c r="G150" i="4" s="1"/>
  <c r="B150" i="4"/>
  <c r="B150" i="2" s="1"/>
  <c r="P150" i="2" s="1"/>
  <c r="B152" i="1"/>
  <c r="B146" i="9" l="1"/>
  <c r="C146" i="9"/>
  <c r="D146" i="9"/>
  <c r="O147" i="2"/>
  <c r="E152" i="4"/>
  <c r="C152" i="1"/>
  <c r="H152" i="1"/>
  <c r="C152" i="2"/>
  <c r="G152" i="1"/>
  <c r="D151" i="4"/>
  <c r="C151" i="4"/>
  <c r="G151" i="4" s="1"/>
  <c r="B151" i="4"/>
  <c r="B151" i="2" s="1"/>
  <c r="P151" i="2" s="1"/>
  <c r="B153" i="1"/>
  <c r="B147" i="9" l="1"/>
  <c r="C147" i="9"/>
  <c r="D147" i="9"/>
  <c r="O148" i="2"/>
  <c r="E153" i="4"/>
  <c r="C153" i="1"/>
  <c r="H153" i="1"/>
  <c r="C153" i="2"/>
  <c r="G153" i="1"/>
  <c r="D152" i="4"/>
  <c r="C152" i="4"/>
  <c r="G152" i="4" s="1"/>
  <c r="B152" i="4"/>
  <c r="B152" i="2" s="1"/>
  <c r="P152" i="2" s="1"/>
  <c r="B154" i="1"/>
  <c r="B148" i="9" l="1"/>
  <c r="C148" i="9"/>
  <c r="D148" i="9"/>
  <c r="O149" i="2"/>
  <c r="E154" i="4"/>
  <c r="C154" i="1"/>
  <c r="H154" i="1"/>
  <c r="C154" i="2"/>
  <c r="G154" i="1"/>
  <c r="D153" i="4"/>
  <c r="C153" i="4"/>
  <c r="G153" i="4" s="1"/>
  <c r="B153" i="4"/>
  <c r="B153" i="2" s="1"/>
  <c r="P153" i="2" s="1"/>
  <c r="B155" i="1"/>
  <c r="B149" i="9" l="1"/>
  <c r="C149" i="9"/>
  <c r="D149" i="9"/>
  <c r="O150" i="2"/>
  <c r="E155" i="4"/>
  <c r="C155" i="1"/>
  <c r="H155" i="1"/>
  <c r="C155" i="2"/>
  <c r="G155" i="1"/>
  <c r="D154" i="4"/>
  <c r="C154" i="4"/>
  <c r="G154" i="4" s="1"/>
  <c r="B154" i="4"/>
  <c r="B154" i="2" s="1"/>
  <c r="P154" i="2" s="1"/>
  <c r="B156" i="1"/>
  <c r="B150" i="9" l="1"/>
  <c r="C150" i="9"/>
  <c r="D150" i="9"/>
  <c r="O151" i="2"/>
  <c r="E156" i="4"/>
  <c r="C156" i="1"/>
  <c r="H156" i="1"/>
  <c r="C156" i="2"/>
  <c r="G156" i="1"/>
  <c r="D155" i="4"/>
  <c r="C155" i="4"/>
  <c r="G155" i="4" s="1"/>
  <c r="B155" i="4"/>
  <c r="B155" i="2" s="1"/>
  <c r="P155" i="2" s="1"/>
  <c r="B157" i="1"/>
  <c r="B151" i="9" l="1"/>
  <c r="C151" i="9"/>
  <c r="D151" i="9"/>
  <c r="O152" i="2"/>
  <c r="E157" i="4"/>
  <c r="C157" i="1"/>
  <c r="H157" i="1"/>
  <c r="C157" i="2"/>
  <c r="G157" i="1"/>
  <c r="D156" i="4"/>
  <c r="C156" i="4"/>
  <c r="G156" i="4" s="1"/>
  <c r="B156" i="4"/>
  <c r="B156" i="2" s="1"/>
  <c r="P156" i="2" s="1"/>
  <c r="B158" i="1"/>
  <c r="B152" i="9" l="1"/>
  <c r="C152" i="9"/>
  <c r="D152" i="9"/>
  <c r="O153" i="2"/>
  <c r="E158" i="4"/>
  <c r="C158" i="1"/>
  <c r="H158" i="1"/>
  <c r="C158" i="2"/>
  <c r="G158" i="1"/>
  <c r="D157" i="4"/>
  <c r="C157" i="4"/>
  <c r="G157" i="4" s="1"/>
  <c r="B157" i="4"/>
  <c r="B157" i="2" s="1"/>
  <c r="P157" i="2" s="1"/>
  <c r="B159" i="1"/>
  <c r="B153" i="9" l="1"/>
  <c r="C153" i="9"/>
  <c r="D153" i="9"/>
  <c r="O154" i="2"/>
  <c r="E159" i="4"/>
  <c r="C159" i="1"/>
  <c r="H159" i="1"/>
  <c r="C159" i="2"/>
  <c r="G159" i="1"/>
  <c r="D158" i="4"/>
  <c r="C158" i="4"/>
  <c r="G158" i="4" s="1"/>
  <c r="B158" i="4"/>
  <c r="B158" i="2" s="1"/>
  <c r="P158" i="2" s="1"/>
  <c r="B160" i="1"/>
  <c r="B154" i="9" l="1"/>
  <c r="C154" i="9"/>
  <c r="D154" i="9"/>
  <c r="O155" i="2"/>
  <c r="E160" i="4"/>
  <c r="C160" i="1"/>
  <c r="H160" i="1"/>
  <c r="C160" i="2"/>
  <c r="G160" i="1"/>
  <c r="D159" i="4"/>
  <c r="C159" i="4"/>
  <c r="G159" i="4" s="1"/>
  <c r="B159" i="4"/>
  <c r="B159" i="2" s="1"/>
  <c r="P159" i="2" s="1"/>
  <c r="B161" i="1"/>
  <c r="B155" i="9" l="1"/>
  <c r="C155" i="9"/>
  <c r="D155" i="9"/>
  <c r="O156" i="2"/>
  <c r="E161" i="4"/>
  <c r="C161" i="1"/>
  <c r="H161" i="1"/>
  <c r="C161" i="2"/>
  <c r="G161" i="1"/>
  <c r="D160" i="4"/>
  <c r="C160" i="4"/>
  <c r="G160" i="4" s="1"/>
  <c r="B160" i="4"/>
  <c r="B160" i="2" s="1"/>
  <c r="P160" i="2" s="1"/>
  <c r="B162" i="1"/>
  <c r="B156" i="9" l="1"/>
  <c r="C156" i="9"/>
  <c r="D156" i="9"/>
  <c r="O157" i="2"/>
  <c r="E162" i="4"/>
  <c r="C162" i="1"/>
  <c r="H162" i="1"/>
  <c r="C162" i="2"/>
  <c r="G162" i="1"/>
  <c r="D161" i="4"/>
  <c r="C161" i="4"/>
  <c r="G161" i="4" s="1"/>
  <c r="B161" i="4"/>
  <c r="B161" i="2" s="1"/>
  <c r="P161" i="2" s="1"/>
  <c r="B163" i="1"/>
  <c r="B157" i="9" l="1"/>
  <c r="C157" i="9"/>
  <c r="D157" i="9"/>
  <c r="O158" i="2"/>
  <c r="E163" i="4"/>
  <c r="C163" i="1"/>
  <c r="H163" i="1"/>
  <c r="C163" i="2"/>
  <c r="G163" i="1"/>
  <c r="D162" i="4"/>
  <c r="C162" i="4"/>
  <c r="G162" i="4" s="1"/>
  <c r="B162" i="4"/>
  <c r="B162" i="2" s="1"/>
  <c r="P162" i="2" s="1"/>
  <c r="B164" i="1"/>
  <c r="B158" i="9" l="1"/>
  <c r="C158" i="9"/>
  <c r="D158" i="9"/>
  <c r="O159" i="2"/>
  <c r="E164" i="4"/>
  <c r="C164" i="1"/>
  <c r="H164" i="1"/>
  <c r="C164" i="2"/>
  <c r="G164" i="1"/>
  <c r="D163" i="4"/>
  <c r="C163" i="4"/>
  <c r="G163" i="4" s="1"/>
  <c r="B163" i="4"/>
  <c r="B163" i="2" s="1"/>
  <c r="P163" i="2" s="1"/>
  <c r="B165" i="1"/>
  <c r="B159" i="9" l="1"/>
  <c r="C159" i="9"/>
  <c r="D159" i="9"/>
  <c r="O160" i="2"/>
  <c r="E165" i="4"/>
  <c r="C165" i="1"/>
  <c r="H165" i="1"/>
  <c r="C165" i="2"/>
  <c r="G165" i="1"/>
  <c r="D164" i="4"/>
  <c r="C164" i="4"/>
  <c r="G164" i="4" s="1"/>
  <c r="B164" i="4"/>
  <c r="B164" i="2" s="1"/>
  <c r="P164" i="2" s="1"/>
  <c r="B166" i="1"/>
  <c r="B160" i="9" l="1"/>
  <c r="C160" i="9"/>
  <c r="D160" i="9"/>
  <c r="O161" i="2"/>
  <c r="E166" i="4"/>
  <c r="C166" i="1"/>
  <c r="H166" i="1"/>
  <c r="C166" i="2"/>
  <c r="G166" i="1"/>
  <c r="D165" i="4"/>
  <c r="C165" i="4"/>
  <c r="G165" i="4" s="1"/>
  <c r="B165" i="4"/>
  <c r="B165" i="2" s="1"/>
  <c r="P165" i="2" s="1"/>
  <c r="B167" i="1"/>
  <c r="B161" i="9" l="1"/>
  <c r="C161" i="9"/>
  <c r="D161" i="9"/>
  <c r="O162" i="2"/>
  <c r="E167" i="4"/>
  <c r="C167" i="1"/>
  <c r="H167" i="1"/>
  <c r="C167" i="2"/>
  <c r="G167" i="1"/>
  <c r="D166" i="4"/>
  <c r="C166" i="4"/>
  <c r="G166" i="4" s="1"/>
  <c r="B166" i="4"/>
  <c r="B166" i="2" s="1"/>
  <c r="P166" i="2" s="1"/>
  <c r="B168" i="1"/>
  <c r="B162" i="9" l="1"/>
  <c r="C162" i="9"/>
  <c r="D162" i="9"/>
  <c r="O163" i="2"/>
  <c r="E168" i="4"/>
  <c r="C168" i="1"/>
  <c r="H168" i="1"/>
  <c r="C168" i="2"/>
  <c r="G168" i="1"/>
  <c r="D167" i="4"/>
  <c r="C167" i="4"/>
  <c r="G167" i="4" s="1"/>
  <c r="B167" i="4"/>
  <c r="B167" i="2" s="1"/>
  <c r="P167" i="2" s="1"/>
  <c r="B169" i="1"/>
  <c r="B163" i="9" l="1"/>
  <c r="C163" i="9"/>
  <c r="D163" i="9"/>
  <c r="O164" i="2"/>
  <c r="E169" i="4"/>
  <c r="C169" i="1"/>
  <c r="H169" i="1"/>
  <c r="C169" i="2"/>
  <c r="G169" i="1"/>
  <c r="D168" i="4"/>
  <c r="C168" i="4"/>
  <c r="G168" i="4" s="1"/>
  <c r="B168" i="4"/>
  <c r="B168" i="2" s="1"/>
  <c r="P168" i="2" s="1"/>
  <c r="B170" i="1"/>
  <c r="B164" i="9" l="1"/>
  <c r="C164" i="9"/>
  <c r="D164" i="9"/>
  <c r="O165" i="2"/>
  <c r="E170" i="4"/>
  <c r="C170" i="1"/>
  <c r="H170" i="1"/>
  <c r="C170" i="2"/>
  <c r="G170" i="1"/>
  <c r="D169" i="4"/>
  <c r="C169" i="4"/>
  <c r="G169" i="4" s="1"/>
  <c r="B169" i="4"/>
  <c r="B169" i="2" s="1"/>
  <c r="P169" i="2" s="1"/>
  <c r="B171" i="1"/>
  <c r="B165" i="9" l="1"/>
  <c r="C165" i="9"/>
  <c r="D165" i="9"/>
  <c r="O166" i="2"/>
  <c r="E171" i="4"/>
  <c r="C171" i="1"/>
  <c r="H171" i="1"/>
  <c r="C171" i="2"/>
  <c r="G171" i="1"/>
  <c r="D170" i="4"/>
  <c r="C170" i="4"/>
  <c r="G170" i="4" s="1"/>
  <c r="B170" i="4"/>
  <c r="B170" i="2" s="1"/>
  <c r="P170" i="2" s="1"/>
  <c r="B172" i="1"/>
  <c r="B166" i="9" l="1"/>
  <c r="C166" i="9"/>
  <c r="D166" i="9"/>
  <c r="O167" i="2"/>
  <c r="E172" i="4"/>
  <c r="C172" i="1"/>
  <c r="H172" i="1"/>
  <c r="C172" i="2"/>
  <c r="G172" i="1"/>
  <c r="D171" i="4"/>
  <c r="C171" i="4"/>
  <c r="G171" i="4" s="1"/>
  <c r="B171" i="4"/>
  <c r="B171" i="2" s="1"/>
  <c r="P171" i="2" s="1"/>
  <c r="B173" i="1"/>
  <c r="B167" i="9" l="1"/>
  <c r="C167" i="9"/>
  <c r="D167" i="9"/>
  <c r="O168" i="2"/>
  <c r="E173" i="4"/>
  <c r="C173" i="1"/>
  <c r="H173" i="1"/>
  <c r="C173" i="2"/>
  <c r="G173" i="1"/>
  <c r="D172" i="4"/>
  <c r="C172" i="4"/>
  <c r="G172" i="4" s="1"/>
  <c r="B172" i="4"/>
  <c r="B172" i="2" s="1"/>
  <c r="P172" i="2" s="1"/>
  <c r="B174" i="1"/>
  <c r="B168" i="9" l="1"/>
  <c r="C168" i="9"/>
  <c r="D168" i="9"/>
  <c r="O169" i="2"/>
  <c r="E174" i="4"/>
  <c r="C174" i="1"/>
  <c r="H174" i="1"/>
  <c r="C174" i="2"/>
  <c r="G174" i="1"/>
  <c r="D173" i="4"/>
  <c r="C173" i="4"/>
  <c r="G173" i="4" s="1"/>
  <c r="B173" i="4"/>
  <c r="B173" i="2" s="1"/>
  <c r="P173" i="2" s="1"/>
  <c r="B175" i="1"/>
  <c r="B169" i="9" l="1"/>
  <c r="C169" i="9"/>
  <c r="D169" i="9"/>
  <c r="O170" i="2"/>
  <c r="E175" i="4"/>
  <c r="C175" i="1"/>
  <c r="H175" i="1"/>
  <c r="C175" i="2"/>
  <c r="G175" i="1"/>
  <c r="D174" i="4"/>
  <c r="C174" i="4"/>
  <c r="G174" i="4" s="1"/>
  <c r="B174" i="4"/>
  <c r="B174" i="2" s="1"/>
  <c r="P174" i="2" s="1"/>
  <c r="B176" i="1"/>
  <c r="B170" i="9" l="1"/>
  <c r="C170" i="9"/>
  <c r="D170" i="9"/>
  <c r="O171" i="2"/>
  <c r="E176" i="4"/>
  <c r="C176" i="1"/>
  <c r="H176" i="1"/>
  <c r="C176" i="2"/>
  <c r="G176" i="1"/>
  <c r="D175" i="4"/>
  <c r="C175" i="4"/>
  <c r="G175" i="4" s="1"/>
  <c r="B175" i="4"/>
  <c r="B175" i="2" s="1"/>
  <c r="P175" i="2" s="1"/>
  <c r="B177" i="1"/>
  <c r="B171" i="9" l="1"/>
  <c r="C171" i="9"/>
  <c r="D171" i="9"/>
  <c r="O172" i="2"/>
  <c r="E177" i="4"/>
  <c r="C177" i="1"/>
  <c r="H177" i="1"/>
  <c r="C177" i="2"/>
  <c r="G177" i="1"/>
  <c r="D176" i="4"/>
  <c r="C176" i="4"/>
  <c r="G176" i="4" s="1"/>
  <c r="B176" i="4"/>
  <c r="B176" i="2" s="1"/>
  <c r="P176" i="2" s="1"/>
  <c r="B178" i="1"/>
  <c r="B172" i="9" l="1"/>
  <c r="C172" i="9"/>
  <c r="D172" i="9"/>
  <c r="O173" i="2"/>
  <c r="E178" i="4"/>
  <c r="C178" i="1"/>
  <c r="H178" i="1"/>
  <c r="C178" i="2"/>
  <c r="G178" i="1"/>
  <c r="D177" i="4"/>
  <c r="C177" i="4"/>
  <c r="G177" i="4" s="1"/>
  <c r="B177" i="4"/>
  <c r="B177" i="2" s="1"/>
  <c r="P177" i="2" s="1"/>
  <c r="B179" i="1"/>
  <c r="B173" i="9" l="1"/>
  <c r="C173" i="9"/>
  <c r="D173" i="9"/>
  <c r="O174" i="2"/>
  <c r="E179" i="4"/>
  <c r="C179" i="1"/>
  <c r="H179" i="1"/>
  <c r="C179" i="2"/>
  <c r="G179" i="1"/>
  <c r="D178" i="4"/>
  <c r="C178" i="4"/>
  <c r="G178" i="4" s="1"/>
  <c r="B178" i="4"/>
  <c r="B178" i="2" s="1"/>
  <c r="P178" i="2" s="1"/>
  <c r="B180" i="1"/>
  <c r="B174" i="9" l="1"/>
  <c r="C174" i="9"/>
  <c r="D174" i="9"/>
  <c r="O175" i="2"/>
  <c r="E180" i="4"/>
  <c r="C180" i="1"/>
  <c r="H180" i="1"/>
  <c r="C180" i="2"/>
  <c r="G180" i="1"/>
  <c r="D179" i="4"/>
  <c r="C179" i="4"/>
  <c r="G179" i="4" s="1"/>
  <c r="B179" i="4"/>
  <c r="B179" i="2" s="1"/>
  <c r="P179" i="2" s="1"/>
  <c r="B181" i="1"/>
  <c r="B175" i="9" l="1"/>
  <c r="C175" i="9"/>
  <c r="D175" i="9"/>
  <c r="O176" i="2"/>
  <c r="E181" i="4"/>
  <c r="C181" i="1"/>
  <c r="H181" i="1"/>
  <c r="C181" i="2"/>
  <c r="G181" i="1"/>
  <c r="D180" i="4"/>
  <c r="C180" i="4"/>
  <c r="G180" i="4" s="1"/>
  <c r="B180" i="4"/>
  <c r="B180" i="2" s="1"/>
  <c r="P180" i="2" s="1"/>
  <c r="B182" i="1"/>
  <c r="B176" i="9" l="1"/>
  <c r="C176" i="9"/>
  <c r="D176" i="9"/>
  <c r="O177" i="2"/>
  <c r="E182" i="4"/>
  <c r="C182" i="1"/>
  <c r="H182" i="1"/>
  <c r="C182" i="2"/>
  <c r="G182" i="1"/>
  <c r="D181" i="4"/>
  <c r="C181" i="4"/>
  <c r="G181" i="4" s="1"/>
  <c r="B181" i="4"/>
  <c r="B181" i="2" s="1"/>
  <c r="P181" i="2" s="1"/>
  <c r="B183" i="1"/>
  <c r="B177" i="9" l="1"/>
  <c r="C177" i="9"/>
  <c r="D177" i="9"/>
  <c r="O178" i="2"/>
  <c r="E183" i="4"/>
  <c r="C183" i="1"/>
  <c r="H183" i="1"/>
  <c r="C183" i="2"/>
  <c r="G183" i="1"/>
  <c r="D182" i="4"/>
  <c r="C182" i="4"/>
  <c r="G182" i="4" s="1"/>
  <c r="B182" i="4"/>
  <c r="B182" i="2" s="1"/>
  <c r="P182" i="2" s="1"/>
  <c r="B184" i="1"/>
  <c r="B178" i="9" l="1"/>
  <c r="C178" i="9"/>
  <c r="D178" i="9"/>
  <c r="O179" i="2"/>
  <c r="E184" i="4"/>
  <c r="C184" i="1"/>
  <c r="H184" i="1"/>
  <c r="C184" i="2"/>
  <c r="G184" i="1"/>
  <c r="D183" i="4"/>
  <c r="C183" i="4"/>
  <c r="G183" i="4" s="1"/>
  <c r="B183" i="4"/>
  <c r="B183" i="2" s="1"/>
  <c r="P183" i="2" s="1"/>
  <c r="B185" i="1"/>
  <c r="B179" i="9" l="1"/>
  <c r="C179" i="9"/>
  <c r="D179" i="9"/>
  <c r="O180" i="2"/>
  <c r="E185" i="4"/>
  <c r="C185" i="1"/>
  <c r="H185" i="1"/>
  <c r="C185" i="2"/>
  <c r="G185" i="1"/>
  <c r="D184" i="4"/>
  <c r="C184" i="4"/>
  <c r="G184" i="4" s="1"/>
  <c r="B184" i="4"/>
  <c r="B184" i="2" s="1"/>
  <c r="P184" i="2" s="1"/>
  <c r="B186" i="1"/>
  <c r="B180" i="9" l="1"/>
  <c r="C180" i="9"/>
  <c r="D180" i="9"/>
  <c r="O181" i="2"/>
  <c r="E186" i="4"/>
  <c r="C186" i="1"/>
  <c r="H186" i="1"/>
  <c r="C186" i="2"/>
  <c r="G186" i="1"/>
  <c r="D185" i="4"/>
  <c r="C185" i="4"/>
  <c r="G185" i="4" s="1"/>
  <c r="B185" i="4"/>
  <c r="B185" i="2" s="1"/>
  <c r="P185" i="2" s="1"/>
  <c r="B187" i="1"/>
  <c r="B181" i="9" l="1"/>
  <c r="C181" i="9"/>
  <c r="D181" i="9"/>
  <c r="O182" i="2"/>
  <c r="E187" i="4"/>
  <c r="C187" i="1"/>
  <c r="H187" i="1"/>
  <c r="C187" i="2"/>
  <c r="G187" i="1"/>
  <c r="D186" i="4"/>
  <c r="C186" i="4"/>
  <c r="G186" i="4" s="1"/>
  <c r="B186" i="4"/>
  <c r="B186" i="2" s="1"/>
  <c r="P186" i="2" s="1"/>
  <c r="B188" i="1"/>
  <c r="B182" i="9" l="1"/>
  <c r="C182" i="9"/>
  <c r="D182" i="9"/>
  <c r="O183" i="2"/>
  <c r="E188" i="4"/>
  <c r="C188" i="1"/>
  <c r="H188" i="1"/>
  <c r="C188" i="2"/>
  <c r="G188" i="1"/>
  <c r="D187" i="4"/>
  <c r="C187" i="4"/>
  <c r="G187" i="4" s="1"/>
  <c r="B187" i="4"/>
  <c r="B187" i="2" s="1"/>
  <c r="P187" i="2" s="1"/>
  <c r="B189" i="1"/>
  <c r="B183" i="9" l="1"/>
  <c r="C183" i="9"/>
  <c r="D183" i="9"/>
  <c r="O184" i="2"/>
  <c r="E189" i="4"/>
  <c r="C189" i="1"/>
  <c r="H189" i="1"/>
  <c r="C189" i="2"/>
  <c r="G189" i="1"/>
  <c r="D188" i="4"/>
  <c r="C188" i="4"/>
  <c r="G188" i="4" s="1"/>
  <c r="B188" i="4"/>
  <c r="B188" i="2" s="1"/>
  <c r="P188" i="2" s="1"/>
  <c r="B190" i="1"/>
  <c r="B184" i="9" l="1"/>
  <c r="C184" i="9"/>
  <c r="D184" i="9"/>
  <c r="O185" i="2"/>
  <c r="E190" i="4"/>
  <c r="C190" i="1"/>
  <c r="H190" i="1"/>
  <c r="C190" i="2"/>
  <c r="G190" i="1"/>
  <c r="D189" i="4"/>
  <c r="C189" i="4"/>
  <c r="G189" i="4" s="1"/>
  <c r="B189" i="4"/>
  <c r="B189" i="2" s="1"/>
  <c r="P189" i="2" s="1"/>
  <c r="B191" i="1"/>
  <c r="B185" i="9" l="1"/>
  <c r="C185" i="9"/>
  <c r="D185" i="9"/>
  <c r="O186" i="2"/>
  <c r="E191" i="4"/>
  <c r="C191" i="1"/>
  <c r="H191" i="1"/>
  <c r="C191" i="2"/>
  <c r="G191" i="1"/>
  <c r="D190" i="4"/>
  <c r="C190" i="4"/>
  <c r="G190" i="4" s="1"/>
  <c r="B190" i="4"/>
  <c r="B190" i="2" s="1"/>
  <c r="P190" i="2" s="1"/>
  <c r="B192" i="1"/>
  <c r="B186" i="9" l="1"/>
  <c r="C186" i="9"/>
  <c r="D186" i="9"/>
  <c r="O187" i="2"/>
  <c r="E192" i="4"/>
  <c r="C192" i="1"/>
  <c r="H192" i="1"/>
  <c r="C192" i="2"/>
  <c r="G192" i="1"/>
  <c r="D191" i="4"/>
  <c r="C191" i="4"/>
  <c r="G191" i="4" s="1"/>
  <c r="B191" i="4"/>
  <c r="B191" i="2" s="1"/>
  <c r="P191" i="2" s="1"/>
  <c r="B193" i="1"/>
  <c r="B187" i="9" l="1"/>
  <c r="C187" i="9"/>
  <c r="D187" i="9"/>
  <c r="O188" i="2"/>
  <c r="E193" i="4"/>
  <c r="C193" i="1"/>
  <c r="H193" i="1"/>
  <c r="C193" i="2"/>
  <c r="G193" i="1"/>
  <c r="D192" i="4"/>
  <c r="C192" i="4"/>
  <c r="G192" i="4" s="1"/>
  <c r="B192" i="4"/>
  <c r="B192" i="2" s="1"/>
  <c r="P192" i="2" s="1"/>
  <c r="B194" i="1"/>
  <c r="B188" i="9" l="1"/>
  <c r="C188" i="9"/>
  <c r="D188" i="9"/>
  <c r="O189" i="2"/>
  <c r="E194" i="4"/>
  <c r="C194" i="1"/>
  <c r="H194" i="1"/>
  <c r="C194" i="2"/>
  <c r="G194" i="1"/>
  <c r="D193" i="4"/>
  <c r="C193" i="4"/>
  <c r="G193" i="4" s="1"/>
  <c r="B193" i="4"/>
  <c r="B193" i="2" s="1"/>
  <c r="P193" i="2" s="1"/>
  <c r="B195" i="1"/>
  <c r="B189" i="9" l="1"/>
  <c r="C189" i="9"/>
  <c r="D189" i="9"/>
  <c r="O190" i="2"/>
  <c r="E195" i="4"/>
  <c r="C195" i="1"/>
  <c r="H195" i="1"/>
  <c r="C195" i="2"/>
  <c r="G195" i="1"/>
  <c r="D194" i="4"/>
  <c r="C194" i="4"/>
  <c r="G194" i="4" s="1"/>
  <c r="B194" i="4"/>
  <c r="B194" i="2" s="1"/>
  <c r="P194" i="2" s="1"/>
  <c r="B196" i="1"/>
  <c r="B190" i="9" l="1"/>
  <c r="C190" i="9"/>
  <c r="D190" i="9"/>
  <c r="O191" i="2"/>
  <c r="E196" i="4"/>
  <c r="C196" i="1"/>
  <c r="H196" i="1"/>
  <c r="C196" i="2"/>
  <c r="G196" i="1"/>
  <c r="D195" i="4"/>
  <c r="C195" i="4"/>
  <c r="G195" i="4" s="1"/>
  <c r="B195" i="4"/>
  <c r="B195" i="2" s="1"/>
  <c r="P195" i="2" s="1"/>
  <c r="B197" i="1"/>
  <c r="B191" i="9" l="1"/>
  <c r="C191" i="9"/>
  <c r="D191" i="9"/>
  <c r="O192" i="2"/>
  <c r="E197" i="4"/>
  <c r="C197" i="1"/>
  <c r="H197" i="1"/>
  <c r="C197" i="2"/>
  <c r="G197" i="1"/>
  <c r="D196" i="4"/>
  <c r="C196" i="4"/>
  <c r="G196" i="4" s="1"/>
  <c r="B196" i="4"/>
  <c r="B196" i="2" s="1"/>
  <c r="P196" i="2" s="1"/>
  <c r="B198" i="1"/>
  <c r="B192" i="9" l="1"/>
  <c r="C192" i="9"/>
  <c r="D192" i="9"/>
  <c r="O193" i="2"/>
  <c r="E198" i="4"/>
  <c r="C198" i="1"/>
  <c r="H198" i="1"/>
  <c r="C198" i="2"/>
  <c r="G198" i="1"/>
  <c r="D197" i="4"/>
  <c r="C197" i="4"/>
  <c r="G197" i="4" s="1"/>
  <c r="B197" i="4"/>
  <c r="B197" i="2" s="1"/>
  <c r="P197" i="2" s="1"/>
  <c r="B199" i="1"/>
  <c r="B193" i="9" l="1"/>
  <c r="C193" i="9"/>
  <c r="D193" i="9"/>
  <c r="O194" i="2"/>
  <c r="E199" i="4"/>
  <c r="C199" i="1"/>
  <c r="H199" i="1"/>
  <c r="C199" i="2"/>
  <c r="G199" i="1"/>
  <c r="D198" i="4"/>
  <c r="C198" i="4"/>
  <c r="G198" i="4" s="1"/>
  <c r="B198" i="4"/>
  <c r="B198" i="2" s="1"/>
  <c r="P198" i="2" s="1"/>
  <c r="B200" i="1"/>
  <c r="B194" i="9" l="1"/>
  <c r="C194" i="9"/>
  <c r="D194" i="9"/>
  <c r="O195" i="2"/>
  <c r="E200" i="4"/>
  <c r="C200" i="1"/>
  <c r="H200" i="1"/>
  <c r="C200" i="2"/>
  <c r="G200" i="1"/>
  <c r="D199" i="4"/>
  <c r="C199" i="4"/>
  <c r="G199" i="4" s="1"/>
  <c r="B199" i="4"/>
  <c r="B199" i="2" s="1"/>
  <c r="P199" i="2" s="1"/>
  <c r="B201" i="1"/>
  <c r="B195" i="9" l="1"/>
  <c r="C195" i="9"/>
  <c r="D195" i="9"/>
  <c r="O196" i="2"/>
  <c r="E201" i="4"/>
  <c r="C201" i="1"/>
  <c r="H201" i="1"/>
  <c r="C201" i="2"/>
  <c r="G201" i="1"/>
  <c r="D200" i="4"/>
  <c r="C200" i="4"/>
  <c r="G200" i="4" s="1"/>
  <c r="B200" i="4"/>
  <c r="B200" i="2" s="1"/>
  <c r="P200" i="2" s="1"/>
  <c r="B202" i="1"/>
  <c r="B196" i="9" l="1"/>
  <c r="C196" i="9"/>
  <c r="D196" i="9"/>
  <c r="O197" i="2"/>
  <c r="E202" i="4"/>
  <c r="C202" i="1"/>
  <c r="H202" i="1"/>
  <c r="C202" i="2"/>
  <c r="G202" i="1"/>
  <c r="D201" i="4"/>
  <c r="C201" i="4"/>
  <c r="G201" i="4" s="1"/>
  <c r="B201" i="4"/>
  <c r="B201" i="2" s="1"/>
  <c r="P201" i="2" s="1"/>
  <c r="B203" i="1"/>
  <c r="B197" i="9" l="1"/>
  <c r="C197" i="9"/>
  <c r="D197" i="9"/>
  <c r="O198" i="2"/>
  <c r="E203" i="4"/>
  <c r="C203" i="1"/>
  <c r="H203" i="1"/>
  <c r="C203" i="2"/>
  <c r="G203" i="1"/>
  <c r="D202" i="4"/>
  <c r="C202" i="4"/>
  <c r="G202" i="4" s="1"/>
  <c r="B202" i="4"/>
  <c r="B202" i="2" s="1"/>
  <c r="P202" i="2" s="1"/>
  <c r="B204" i="1"/>
  <c r="B198" i="9" l="1"/>
  <c r="C198" i="9"/>
  <c r="D198" i="9"/>
  <c r="O199" i="2"/>
  <c r="E204" i="4"/>
  <c r="C204" i="1"/>
  <c r="H204" i="1"/>
  <c r="C204" i="2"/>
  <c r="G204" i="1"/>
  <c r="D203" i="4"/>
  <c r="C203" i="4"/>
  <c r="G203" i="4" s="1"/>
  <c r="B203" i="4"/>
  <c r="B203" i="2" s="1"/>
  <c r="P203" i="2" s="1"/>
  <c r="B205" i="1"/>
  <c r="B199" i="9" l="1"/>
  <c r="C199" i="9"/>
  <c r="D199" i="9"/>
  <c r="O200" i="2"/>
  <c r="E205" i="4"/>
  <c r="C205" i="1"/>
  <c r="H205" i="1"/>
  <c r="C205" i="2"/>
  <c r="G205" i="1"/>
  <c r="D204" i="4"/>
  <c r="C204" i="4"/>
  <c r="G204" i="4" s="1"/>
  <c r="B204" i="4"/>
  <c r="B204" i="2" s="1"/>
  <c r="P204" i="2" s="1"/>
  <c r="B206" i="1"/>
  <c r="B200" i="9" l="1"/>
  <c r="C200" i="9"/>
  <c r="D200" i="9"/>
  <c r="O201" i="2"/>
  <c r="E206" i="4"/>
  <c r="C206" i="1"/>
  <c r="H206" i="1"/>
  <c r="C206" i="2"/>
  <c r="G206" i="1"/>
  <c r="D205" i="4"/>
  <c r="C205" i="4"/>
  <c r="G205" i="4" s="1"/>
  <c r="B205" i="4"/>
  <c r="B205" i="2" s="1"/>
  <c r="P205" i="2" s="1"/>
  <c r="B207" i="1"/>
  <c r="B201" i="9" l="1"/>
  <c r="C201" i="9"/>
  <c r="D201" i="9"/>
  <c r="O202" i="2"/>
  <c r="E207" i="4"/>
  <c r="C207" i="1"/>
  <c r="H207" i="1"/>
  <c r="C207" i="2"/>
  <c r="G207" i="1"/>
  <c r="D206" i="4"/>
  <c r="C206" i="4"/>
  <c r="G206" i="4" s="1"/>
  <c r="B206" i="4"/>
  <c r="B206" i="2" s="1"/>
  <c r="P206" i="2" s="1"/>
  <c r="B208" i="1"/>
  <c r="B202" i="9" l="1"/>
  <c r="C202" i="9"/>
  <c r="D202" i="9"/>
  <c r="O203" i="2"/>
  <c r="E208" i="4"/>
  <c r="C208" i="1"/>
  <c r="H208" i="1"/>
  <c r="C208" i="2"/>
  <c r="G208" i="1"/>
  <c r="D207" i="4"/>
  <c r="C207" i="4"/>
  <c r="G207" i="4" s="1"/>
  <c r="B207" i="4"/>
  <c r="B207" i="2" s="1"/>
  <c r="P207" i="2" s="1"/>
  <c r="B209" i="1"/>
  <c r="B203" i="9" l="1"/>
  <c r="C203" i="9"/>
  <c r="D203" i="9"/>
  <c r="O204" i="2"/>
  <c r="E209" i="4"/>
  <c r="C209" i="1"/>
  <c r="H209" i="1"/>
  <c r="C209" i="2"/>
  <c r="G209" i="1"/>
  <c r="D208" i="4"/>
  <c r="C208" i="4"/>
  <c r="G208" i="4" s="1"/>
  <c r="B208" i="4"/>
  <c r="B208" i="2" s="1"/>
  <c r="P208" i="2" s="1"/>
  <c r="B210" i="1"/>
  <c r="B204" i="9" l="1"/>
  <c r="C204" i="9"/>
  <c r="D204" i="9"/>
  <c r="O205" i="2"/>
  <c r="E210" i="4"/>
  <c r="C210" i="1"/>
  <c r="H210" i="1"/>
  <c r="C210" i="2"/>
  <c r="G210" i="1"/>
  <c r="D209" i="4"/>
  <c r="C209" i="4"/>
  <c r="G209" i="4" s="1"/>
  <c r="B209" i="4"/>
  <c r="B209" i="2" s="1"/>
  <c r="P209" i="2" s="1"/>
  <c r="B211" i="1"/>
  <c r="B205" i="9" l="1"/>
  <c r="C205" i="9"/>
  <c r="D205" i="9"/>
  <c r="O206" i="2"/>
  <c r="E211" i="4"/>
  <c r="C211" i="1"/>
  <c r="H211" i="1"/>
  <c r="C211" i="2"/>
  <c r="G211" i="1"/>
  <c r="D210" i="4"/>
  <c r="C210" i="4"/>
  <c r="G210" i="4" s="1"/>
  <c r="B210" i="4"/>
  <c r="B210" i="2" s="1"/>
  <c r="P210" i="2" s="1"/>
  <c r="B212" i="1"/>
  <c r="B206" i="9" l="1"/>
  <c r="C206" i="9"/>
  <c r="D206" i="9"/>
  <c r="O207" i="2"/>
  <c r="E212" i="4"/>
  <c r="C212" i="1"/>
  <c r="H212" i="1"/>
  <c r="C212" i="2"/>
  <c r="G212" i="1"/>
  <c r="D211" i="4"/>
  <c r="C211" i="4"/>
  <c r="G211" i="4" s="1"/>
  <c r="B211" i="4"/>
  <c r="B211" i="2" s="1"/>
  <c r="P211" i="2" s="1"/>
  <c r="B213" i="1"/>
  <c r="B207" i="9" l="1"/>
  <c r="C207" i="9"/>
  <c r="D207" i="9"/>
  <c r="O208" i="2"/>
  <c r="E213" i="4"/>
  <c r="C213" i="1"/>
  <c r="H213" i="1"/>
  <c r="C213" i="2"/>
  <c r="G213" i="1"/>
  <c r="D212" i="4"/>
  <c r="C212" i="4"/>
  <c r="G212" i="4" s="1"/>
  <c r="B212" i="4"/>
  <c r="B212" i="2" s="1"/>
  <c r="P212" i="2" s="1"/>
  <c r="B214" i="1"/>
  <c r="B208" i="9" l="1"/>
  <c r="C208" i="9"/>
  <c r="D208" i="9"/>
  <c r="O209" i="2"/>
  <c r="E214" i="4"/>
  <c r="C214" i="1"/>
  <c r="H214" i="1"/>
  <c r="C214" i="2"/>
  <c r="G214" i="1"/>
  <c r="D213" i="4"/>
  <c r="C213" i="4"/>
  <c r="G213" i="4" s="1"/>
  <c r="B213" i="4"/>
  <c r="B213" i="2" s="1"/>
  <c r="P213" i="2" s="1"/>
  <c r="B215" i="1"/>
  <c r="B209" i="9" l="1"/>
  <c r="C209" i="9"/>
  <c r="D209" i="9"/>
  <c r="O210" i="2"/>
  <c r="E215" i="4"/>
  <c r="C215" i="1"/>
  <c r="H215" i="1"/>
  <c r="C215" i="2"/>
  <c r="G215" i="1"/>
  <c r="D214" i="4"/>
  <c r="C214" i="4"/>
  <c r="G214" i="4" s="1"/>
  <c r="B214" i="4"/>
  <c r="B214" i="2" s="1"/>
  <c r="P214" i="2" s="1"/>
  <c r="B216" i="1"/>
  <c r="B210" i="9" l="1"/>
  <c r="C210" i="9"/>
  <c r="D210" i="9"/>
  <c r="O211" i="2"/>
  <c r="E216" i="4"/>
  <c r="C216" i="1"/>
  <c r="H216" i="1"/>
  <c r="C216" i="2"/>
  <c r="G216" i="1"/>
  <c r="D215" i="4"/>
  <c r="C215" i="4"/>
  <c r="G215" i="4" s="1"/>
  <c r="B215" i="4"/>
  <c r="B215" i="2" s="1"/>
  <c r="P215" i="2" s="1"/>
  <c r="B217" i="1"/>
  <c r="B211" i="9" l="1"/>
  <c r="C211" i="9"/>
  <c r="D211" i="9"/>
  <c r="O212" i="2"/>
  <c r="E217" i="4"/>
  <c r="C217" i="1"/>
  <c r="H217" i="1"/>
  <c r="C217" i="2"/>
  <c r="G217" i="1"/>
  <c r="D216" i="4"/>
  <c r="C216" i="4"/>
  <c r="G216" i="4" s="1"/>
  <c r="B216" i="4"/>
  <c r="B216" i="2" s="1"/>
  <c r="P216" i="2" s="1"/>
  <c r="B218" i="1"/>
  <c r="B212" i="9" l="1"/>
  <c r="C212" i="9"/>
  <c r="D212" i="9"/>
  <c r="O213" i="2"/>
  <c r="E218" i="4"/>
  <c r="C218" i="1"/>
  <c r="H218" i="1"/>
  <c r="C218" i="2"/>
  <c r="G218" i="1"/>
  <c r="D217" i="4"/>
  <c r="C217" i="4"/>
  <c r="G217" i="4" s="1"/>
  <c r="B217" i="4"/>
  <c r="B217" i="2" s="1"/>
  <c r="P217" i="2" s="1"/>
  <c r="B219" i="1"/>
  <c r="B213" i="9" l="1"/>
  <c r="C213" i="9"/>
  <c r="D213" i="9"/>
  <c r="O214" i="2"/>
  <c r="E219" i="4"/>
  <c r="C219" i="1"/>
  <c r="H219" i="1"/>
  <c r="C219" i="2"/>
  <c r="G219" i="1"/>
  <c r="D218" i="4"/>
  <c r="C218" i="4"/>
  <c r="G218" i="4" s="1"/>
  <c r="B218" i="4"/>
  <c r="B218" i="2" s="1"/>
  <c r="P218" i="2" s="1"/>
  <c r="B220" i="1"/>
  <c r="B214" i="9" l="1"/>
  <c r="C214" i="9"/>
  <c r="D214" i="9"/>
  <c r="O215" i="2"/>
  <c r="E220" i="4"/>
  <c r="C220" i="1"/>
  <c r="H220" i="1"/>
  <c r="C220" i="2"/>
  <c r="G220" i="1"/>
  <c r="D219" i="4"/>
  <c r="C219" i="4"/>
  <c r="G219" i="4" s="1"/>
  <c r="B219" i="4"/>
  <c r="B219" i="2" s="1"/>
  <c r="P219" i="2" s="1"/>
  <c r="B221" i="1"/>
  <c r="B215" i="9" l="1"/>
  <c r="C215" i="9"/>
  <c r="D215" i="9"/>
  <c r="O216" i="2"/>
  <c r="E221" i="4"/>
  <c r="C221" i="1"/>
  <c r="H221" i="1"/>
  <c r="C221" i="2"/>
  <c r="G221" i="1"/>
  <c r="D220" i="4"/>
  <c r="C220" i="4"/>
  <c r="G220" i="4" s="1"/>
  <c r="B220" i="4"/>
  <c r="B220" i="2" s="1"/>
  <c r="P220" i="2" s="1"/>
  <c r="B222" i="1"/>
  <c r="B216" i="9" l="1"/>
  <c r="C216" i="9"/>
  <c r="D216" i="9"/>
  <c r="O217" i="2"/>
  <c r="E222" i="4"/>
  <c r="C222" i="1"/>
  <c r="H222" i="1"/>
  <c r="C222" i="2"/>
  <c r="G222" i="1"/>
  <c r="D221" i="4"/>
  <c r="C221" i="4"/>
  <c r="G221" i="4" s="1"/>
  <c r="B221" i="4"/>
  <c r="B221" i="2" s="1"/>
  <c r="P221" i="2" s="1"/>
  <c r="B223" i="1"/>
  <c r="B217" i="9" l="1"/>
  <c r="C217" i="9"/>
  <c r="D217" i="9"/>
  <c r="O218" i="2"/>
  <c r="E223" i="4"/>
  <c r="C223" i="1"/>
  <c r="H223" i="1"/>
  <c r="C223" i="2"/>
  <c r="G223" i="1"/>
  <c r="D222" i="4"/>
  <c r="C222" i="4"/>
  <c r="G222" i="4" s="1"/>
  <c r="B222" i="4"/>
  <c r="B222" i="2" s="1"/>
  <c r="P222" i="2" s="1"/>
  <c r="B224" i="1"/>
  <c r="B218" i="9" l="1"/>
  <c r="C218" i="9"/>
  <c r="D218" i="9"/>
  <c r="O219" i="2"/>
  <c r="E224" i="4"/>
  <c r="C224" i="1"/>
  <c r="H224" i="1"/>
  <c r="C224" i="2"/>
  <c r="G224" i="1"/>
  <c r="D223" i="4"/>
  <c r="C223" i="4"/>
  <c r="G223" i="4" s="1"/>
  <c r="B223" i="4"/>
  <c r="B223" i="2" s="1"/>
  <c r="P223" i="2" s="1"/>
  <c r="B225" i="1"/>
  <c r="B219" i="9" l="1"/>
  <c r="C219" i="9"/>
  <c r="D219" i="9"/>
  <c r="O220" i="2"/>
  <c r="E225" i="4"/>
  <c r="C225" i="1"/>
  <c r="H225" i="1"/>
  <c r="C225" i="2"/>
  <c r="G225" i="1"/>
  <c r="D224" i="4"/>
  <c r="C224" i="4"/>
  <c r="G224" i="4" s="1"/>
  <c r="B224" i="4"/>
  <c r="B224" i="2" s="1"/>
  <c r="P224" i="2" s="1"/>
  <c r="B226" i="1"/>
  <c r="B220" i="9" l="1"/>
  <c r="C220" i="9"/>
  <c r="D220" i="9"/>
  <c r="O221" i="2"/>
  <c r="E226" i="4"/>
  <c r="C226" i="1"/>
  <c r="H226" i="1"/>
  <c r="C226" i="2"/>
  <c r="G226" i="1"/>
  <c r="D225" i="4"/>
  <c r="C225" i="4"/>
  <c r="G225" i="4" s="1"/>
  <c r="B225" i="4"/>
  <c r="B225" i="2" s="1"/>
  <c r="P225" i="2" s="1"/>
  <c r="B227" i="1"/>
  <c r="B221" i="9" l="1"/>
  <c r="C221" i="9"/>
  <c r="D221" i="9"/>
  <c r="O222" i="2"/>
  <c r="E227" i="4"/>
  <c r="C227" i="1"/>
  <c r="H227" i="1"/>
  <c r="C227" i="2"/>
  <c r="G227" i="1"/>
  <c r="D226" i="4"/>
  <c r="C226" i="4"/>
  <c r="G226" i="4" s="1"/>
  <c r="B226" i="4"/>
  <c r="B226" i="2" s="1"/>
  <c r="P226" i="2" s="1"/>
  <c r="B228" i="1"/>
  <c r="B222" i="9" l="1"/>
  <c r="C222" i="9"/>
  <c r="D222" i="9"/>
  <c r="O223" i="2"/>
  <c r="E228" i="4"/>
  <c r="C228" i="1"/>
  <c r="H228" i="1"/>
  <c r="C228" i="2"/>
  <c r="G228" i="1"/>
  <c r="D227" i="4"/>
  <c r="C227" i="4"/>
  <c r="G227" i="4" s="1"/>
  <c r="B227" i="4"/>
  <c r="B227" i="2" s="1"/>
  <c r="P227" i="2" s="1"/>
  <c r="B229" i="1"/>
  <c r="B223" i="9" l="1"/>
  <c r="C223" i="9"/>
  <c r="D223" i="9"/>
  <c r="O224" i="2"/>
  <c r="E229" i="4"/>
  <c r="C229" i="1"/>
  <c r="H229" i="1"/>
  <c r="C229" i="2"/>
  <c r="G229" i="1"/>
  <c r="D228" i="4"/>
  <c r="C228" i="4"/>
  <c r="G228" i="4" s="1"/>
  <c r="B228" i="4"/>
  <c r="B228" i="2" s="1"/>
  <c r="P228" i="2" s="1"/>
  <c r="B230" i="1"/>
  <c r="B224" i="9" l="1"/>
  <c r="C224" i="9"/>
  <c r="D224" i="9"/>
  <c r="O225" i="2"/>
  <c r="E230" i="4"/>
  <c r="C230" i="1"/>
  <c r="H230" i="1"/>
  <c r="C230" i="2"/>
  <c r="G230" i="1"/>
  <c r="D229" i="4"/>
  <c r="C229" i="4"/>
  <c r="G229" i="4" s="1"/>
  <c r="B229" i="4"/>
  <c r="B229" i="2" s="1"/>
  <c r="P229" i="2" s="1"/>
  <c r="B231" i="1"/>
  <c r="B225" i="9" l="1"/>
  <c r="C225" i="9"/>
  <c r="D225" i="9"/>
  <c r="O226" i="2"/>
  <c r="E231" i="4"/>
  <c r="C231" i="1"/>
  <c r="H231" i="1"/>
  <c r="C231" i="2"/>
  <c r="G231" i="1"/>
  <c r="D230" i="4"/>
  <c r="C230" i="4"/>
  <c r="G230" i="4" s="1"/>
  <c r="B230" i="4"/>
  <c r="B230" i="2" s="1"/>
  <c r="P230" i="2" s="1"/>
  <c r="B232" i="1"/>
  <c r="B226" i="9" l="1"/>
  <c r="C226" i="9"/>
  <c r="D226" i="9"/>
  <c r="O227" i="2"/>
  <c r="E232" i="4"/>
  <c r="C232" i="1"/>
  <c r="H232" i="1"/>
  <c r="C232" i="2"/>
  <c r="G232" i="1"/>
  <c r="D231" i="4"/>
  <c r="C231" i="4"/>
  <c r="G231" i="4" s="1"/>
  <c r="B231" i="4"/>
  <c r="B231" i="2" s="1"/>
  <c r="P231" i="2" s="1"/>
  <c r="B233" i="1"/>
  <c r="B227" i="9" l="1"/>
  <c r="C227" i="9"/>
  <c r="D227" i="9"/>
  <c r="O228" i="2"/>
  <c r="E233" i="4"/>
  <c r="C233" i="1"/>
  <c r="H233" i="1"/>
  <c r="C233" i="2"/>
  <c r="G233" i="1"/>
  <c r="D232" i="4"/>
  <c r="C232" i="4"/>
  <c r="G232" i="4" s="1"/>
  <c r="B232" i="4"/>
  <c r="B232" i="2" s="1"/>
  <c r="P232" i="2" s="1"/>
  <c r="B234" i="1"/>
  <c r="B228" i="9" l="1"/>
  <c r="C228" i="9"/>
  <c r="D228" i="9"/>
  <c r="O229" i="2"/>
  <c r="E234" i="4"/>
  <c r="C234" i="1"/>
  <c r="H234" i="1"/>
  <c r="C234" i="2"/>
  <c r="G234" i="1"/>
  <c r="D233" i="4"/>
  <c r="C233" i="4"/>
  <c r="G233" i="4" s="1"/>
  <c r="B233" i="4"/>
  <c r="B233" i="2" s="1"/>
  <c r="P233" i="2" s="1"/>
  <c r="B235" i="1"/>
  <c r="B229" i="9" l="1"/>
  <c r="C229" i="9"/>
  <c r="D229" i="9"/>
  <c r="O230" i="2"/>
  <c r="E235" i="4"/>
  <c r="C235" i="1"/>
  <c r="H235" i="1"/>
  <c r="C235" i="2"/>
  <c r="G235" i="1"/>
  <c r="D234" i="4"/>
  <c r="C234" i="4"/>
  <c r="G234" i="4" s="1"/>
  <c r="B234" i="4"/>
  <c r="B234" i="2" s="1"/>
  <c r="P234" i="2" s="1"/>
  <c r="B236" i="1"/>
  <c r="B230" i="9" l="1"/>
  <c r="C230" i="9"/>
  <c r="D230" i="9"/>
  <c r="O231" i="2"/>
  <c r="E236" i="4"/>
  <c r="C236" i="1"/>
  <c r="H236" i="1"/>
  <c r="C236" i="2"/>
  <c r="G236" i="1"/>
  <c r="D235" i="4"/>
  <c r="C235" i="4"/>
  <c r="G235" i="4" s="1"/>
  <c r="B235" i="4"/>
  <c r="B235" i="2" s="1"/>
  <c r="P235" i="2" s="1"/>
  <c r="B237" i="1"/>
  <c r="B231" i="9" l="1"/>
  <c r="C231" i="9"/>
  <c r="D231" i="9"/>
  <c r="O232" i="2"/>
  <c r="E237" i="4"/>
  <c r="C237" i="1"/>
  <c r="H237" i="1"/>
  <c r="C237" i="2"/>
  <c r="G237" i="1"/>
  <c r="D236" i="4"/>
  <c r="C236" i="4"/>
  <c r="G236" i="4" s="1"/>
  <c r="B236" i="4"/>
  <c r="B236" i="2" s="1"/>
  <c r="P236" i="2" s="1"/>
  <c r="B238" i="1"/>
  <c r="B232" i="9" l="1"/>
  <c r="C232" i="9"/>
  <c r="D232" i="9"/>
  <c r="O233" i="2"/>
  <c r="E238" i="4"/>
  <c r="C238" i="1"/>
  <c r="H238" i="1"/>
  <c r="C238" i="2"/>
  <c r="G238" i="1"/>
  <c r="D237" i="4"/>
  <c r="C237" i="4"/>
  <c r="G237" i="4" s="1"/>
  <c r="B237" i="4"/>
  <c r="B237" i="2" s="1"/>
  <c r="P237" i="2" s="1"/>
  <c r="B239" i="1"/>
  <c r="B233" i="9" l="1"/>
  <c r="C233" i="9"/>
  <c r="D233" i="9"/>
  <c r="O234" i="2"/>
  <c r="E239" i="4"/>
  <c r="C239" i="1"/>
  <c r="H239" i="1"/>
  <c r="C239" i="2"/>
  <c r="G239" i="1"/>
  <c r="D238" i="4"/>
  <c r="C238" i="4"/>
  <c r="G238" i="4" s="1"/>
  <c r="B238" i="4"/>
  <c r="B238" i="2" s="1"/>
  <c r="P238" i="2" s="1"/>
  <c r="B240" i="1"/>
  <c r="B234" i="9" l="1"/>
  <c r="C234" i="9"/>
  <c r="D234" i="9"/>
  <c r="O235" i="2"/>
  <c r="E240" i="4"/>
  <c r="C240" i="1"/>
  <c r="H240" i="1"/>
  <c r="C240" i="2"/>
  <c r="G240" i="1"/>
  <c r="D239" i="4"/>
  <c r="C239" i="4"/>
  <c r="G239" i="4" s="1"/>
  <c r="B239" i="4"/>
  <c r="B239" i="2" s="1"/>
  <c r="P239" i="2" s="1"/>
  <c r="B241" i="1"/>
  <c r="B235" i="9" l="1"/>
  <c r="C235" i="9"/>
  <c r="D235" i="9"/>
  <c r="O236" i="2"/>
  <c r="E241" i="4"/>
  <c r="C241" i="1"/>
  <c r="H241" i="1"/>
  <c r="C241" i="2"/>
  <c r="G241" i="1"/>
  <c r="D240" i="4"/>
  <c r="C240" i="4"/>
  <c r="G240" i="4" s="1"/>
  <c r="B240" i="4"/>
  <c r="B240" i="2" s="1"/>
  <c r="P240" i="2" s="1"/>
  <c r="B242" i="1"/>
  <c r="B236" i="9" l="1"/>
  <c r="C236" i="9"/>
  <c r="D236" i="9"/>
  <c r="O237" i="2"/>
  <c r="E242" i="4"/>
  <c r="C242" i="1"/>
  <c r="H242" i="1"/>
  <c r="C242" i="2"/>
  <c r="G242" i="1"/>
  <c r="D241" i="4"/>
  <c r="C241" i="4"/>
  <c r="G241" i="4" s="1"/>
  <c r="B241" i="4"/>
  <c r="B241" i="2" s="1"/>
  <c r="P241" i="2" s="1"/>
  <c r="B243" i="1"/>
  <c r="B237" i="9" l="1"/>
  <c r="C237" i="9"/>
  <c r="D237" i="9"/>
  <c r="O238" i="2"/>
  <c r="E243" i="4"/>
  <c r="C243" i="1"/>
  <c r="H243" i="1"/>
  <c r="C243" i="2"/>
  <c r="G243" i="1"/>
  <c r="D242" i="4"/>
  <c r="C242" i="4"/>
  <c r="G242" i="4" s="1"/>
  <c r="B242" i="4"/>
  <c r="B242" i="2" s="1"/>
  <c r="P242" i="2" s="1"/>
  <c r="B244" i="1"/>
  <c r="B238" i="9" l="1"/>
  <c r="C238" i="9"/>
  <c r="D238" i="9"/>
  <c r="O239" i="2"/>
  <c r="E244" i="4"/>
  <c r="C244" i="1"/>
  <c r="H244" i="1"/>
  <c r="C244" i="2"/>
  <c r="G244" i="1"/>
  <c r="D243" i="4"/>
  <c r="C243" i="4"/>
  <c r="G243" i="4" s="1"/>
  <c r="B243" i="4"/>
  <c r="B243" i="2" s="1"/>
  <c r="P243" i="2" s="1"/>
  <c r="B245" i="1"/>
  <c r="B239" i="9" l="1"/>
  <c r="C239" i="9"/>
  <c r="D239" i="9"/>
  <c r="O240" i="2"/>
  <c r="E245" i="4"/>
  <c r="C245" i="1"/>
  <c r="H245" i="1"/>
  <c r="C245" i="2"/>
  <c r="G245" i="1"/>
  <c r="D244" i="4"/>
  <c r="C244" i="4"/>
  <c r="G244" i="4" s="1"/>
  <c r="B244" i="4"/>
  <c r="B244" i="2" s="1"/>
  <c r="P244" i="2" s="1"/>
  <c r="B246" i="1"/>
  <c r="B240" i="9" l="1"/>
  <c r="C240" i="9"/>
  <c r="D240" i="9"/>
  <c r="O241" i="2"/>
  <c r="E246" i="4"/>
  <c r="C246" i="1"/>
  <c r="H246" i="1"/>
  <c r="C246" i="2"/>
  <c r="G246" i="1"/>
  <c r="D245" i="4"/>
  <c r="C245" i="4"/>
  <c r="G245" i="4" s="1"/>
  <c r="B245" i="4"/>
  <c r="B245" i="2" s="1"/>
  <c r="P245" i="2" s="1"/>
  <c r="B247" i="1"/>
  <c r="B241" i="9" l="1"/>
  <c r="C241" i="9"/>
  <c r="D241" i="9"/>
  <c r="O242" i="2"/>
  <c r="E247" i="4"/>
  <c r="C247" i="1"/>
  <c r="H247" i="1"/>
  <c r="C247" i="2"/>
  <c r="G247" i="1"/>
  <c r="D246" i="4"/>
  <c r="C246" i="4"/>
  <c r="G246" i="4" s="1"/>
  <c r="B246" i="4"/>
  <c r="B246" i="2" s="1"/>
  <c r="P246" i="2" s="1"/>
  <c r="B248" i="1"/>
  <c r="B242" i="9" l="1"/>
  <c r="C242" i="9"/>
  <c r="D242" i="9"/>
  <c r="O243" i="2"/>
  <c r="E248" i="4"/>
  <c r="C248" i="1"/>
  <c r="H248" i="1"/>
  <c r="C248" i="2"/>
  <c r="G248" i="1"/>
  <c r="D247" i="4"/>
  <c r="C247" i="4"/>
  <c r="G247" i="4" s="1"/>
  <c r="B247" i="4"/>
  <c r="B247" i="2" s="1"/>
  <c r="P247" i="2" s="1"/>
  <c r="B249" i="1"/>
  <c r="B243" i="9" l="1"/>
  <c r="C243" i="9"/>
  <c r="D243" i="9"/>
  <c r="O244" i="2"/>
  <c r="E249" i="4"/>
  <c r="C249" i="1"/>
  <c r="H249" i="1"/>
  <c r="C249" i="2"/>
  <c r="G249" i="1"/>
  <c r="D248" i="4"/>
  <c r="C248" i="4"/>
  <c r="G248" i="4" s="1"/>
  <c r="B248" i="4"/>
  <c r="B248" i="2" s="1"/>
  <c r="P248" i="2" s="1"/>
  <c r="B250" i="1"/>
  <c r="B244" i="9" l="1"/>
  <c r="C244" i="9"/>
  <c r="D244" i="9"/>
  <c r="O245" i="2"/>
  <c r="E250" i="4"/>
  <c r="C250" i="1"/>
  <c r="H250" i="1"/>
  <c r="C250" i="2"/>
  <c r="G250" i="1"/>
  <c r="D249" i="4"/>
  <c r="C249" i="4"/>
  <c r="G249" i="4" s="1"/>
  <c r="B249" i="4"/>
  <c r="B249" i="2" s="1"/>
  <c r="P249" i="2" s="1"/>
  <c r="B251" i="1"/>
  <c r="B245" i="9" l="1"/>
  <c r="C245" i="9"/>
  <c r="D245" i="9"/>
  <c r="O246" i="2"/>
  <c r="E251" i="4"/>
  <c r="C251" i="1"/>
  <c r="H251" i="1"/>
  <c r="C251" i="2"/>
  <c r="G251" i="1"/>
  <c r="D250" i="4"/>
  <c r="C250" i="4"/>
  <c r="G250" i="4" s="1"/>
  <c r="B250" i="4"/>
  <c r="B250" i="2" s="1"/>
  <c r="P250" i="2" s="1"/>
  <c r="B252" i="1"/>
  <c r="B246" i="9" l="1"/>
  <c r="C246" i="9"/>
  <c r="D246" i="9"/>
  <c r="O247" i="2"/>
  <c r="E252" i="4"/>
  <c r="C252" i="1"/>
  <c r="H252" i="1"/>
  <c r="C252" i="2"/>
  <c r="G252" i="1"/>
  <c r="D251" i="4"/>
  <c r="C251" i="4"/>
  <c r="G251" i="4" s="1"/>
  <c r="B251" i="4"/>
  <c r="B251" i="2" s="1"/>
  <c r="P251" i="2" s="1"/>
  <c r="B253" i="1"/>
  <c r="B247" i="9" l="1"/>
  <c r="C247" i="9"/>
  <c r="D247" i="9"/>
  <c r="O248" i="2"/>
  <c r="E253" i="4"/>
  <c r="C253" i="1"/>
  <c r="H253" i="1"/>
  <c r="C253" i="2"/>
  <c r="G253" i="1"/>
  <c r="D252" i="4"/>
  <c r="C252" i="4"/>
  <c r="G252" i="4" s="1"/>
  <c r="B252" i="4"/>
  <c r="B252" i="2" s="1"/>
  <c r="P252" i="2" s="1"/>
  <c r="B254" i="1"/>
  <c r="B248" i="9" l="1"/>
  <c r="C248" i="9"/>
  <c r="D248" i="9"/>
  <c r="O249" i="2"/>
  <c r="E254" i="4"/>
  <c r="C254" i="1"/>
  <c r="H254" i="1"/>
  <c r="C254" i="2"/>
  <c r="G254" i="1"/>
  <c r="D253" i="4"/>
  <c r="C253" i="4"/>
  <c r="G253" i="4" s="1"/>
  <c r="B253" i="4"/>
  <c r="B253" i="2" s="1"/>
  <c r="P253" i="2" s="1"/>
  <c r="B255" i="1"/>
  <c r="B249" i="9" l="1"/>
  <c r="C249" i="9"/>
  <c r="D249" i="9"/>
  <c r="O250" i="2"/>
  <c r="E255" i="4"/>
  <c r="C255" i="1"/>
  <c r="H255" i="1"/>
  <c r="C255" i="2"/>
  <c r="G255" i="1"/>
  <c r="D254" i="4"/>
  <c r="C254" i="4"/>
  <c r="G254" i="4" s="1"/>
  <c r="B254" i="4"/>
  <c r="B254" i="2" s="1"/>
  <c r="P254" i="2" s="1"/>
  <c r="B256" i="1"/>
  <c r="B250" i="9" l="1"/>
  <c r="C250" i="9"/>
  <c r="D250" i="9"/>
  <c r="O251" i="2"/>
  <c r="E256" i="4"/>
  <c r="C256" i="1"/>
  <c r="H256" i="1"/>
  <c r="C256" i="2"/>
  <c r="G256" i="1"/>
  <c r="D255" i="4"/>
  <c r="C255" i="4"/>
  <c r="G255" i="4" s="1"/>
  <c r="B255" i="4"/>
  <c r="B255" i="2" s="1"/>
  <c r="P255" i="2" s="1"/>
  <c r="B257" i="1"/>
  <c r="B251" i="9" l="1"/>
  <c r="C251" i="9"/>
  <c r="D251" i="9"/>
  <c r="O252" i="2"/>
  <c r="E257" i="4"/>
  <c r="C257" i="1"/>
  <c r="H257" i="1"/>
  <c r="C257" i="2"/>
  <c r="G257" i="1"/>
  <c r="D256" i="4"/>
  <c r="C256" i="4"/>
  <c r="G256" i="4" s="1"/>
  <c r="B256" i="4"/>
  <c r="B256" i="2" s="1"/>
  <c r="P256" i="2" s="1"/>
  <c r="B258" i="1"/>
  <c r="B252" i="9" l="1"/>
  <c r="C252" i="9"/>
  <c r="D252" i="9"/>
  <c r="O253" i="2"/>
  <c r="E258" i="4"/>
  <c r="C258" i="1"/>
  <c r="H258" i="1"/>
  <c r="C258" i="2"/>
  <c r="G258" i="1"/>
  <c r="D257" i="4"/>
  <c r="C257" i="4"/>
  <c r="G257" i="4" s="1"/>
  <c r="B257" i="4"/>
  <c r="B257" i="2" s="1"/>
  <c r="P257" i="2" s="1"/>
  <c r="B259" i="1"/>
  <c r="B253" i="9" l="1"/>
  <c r="C253" i="9"/>
  <c r="D253" i="9"/>
  <c r="O254" i="2"/>
  <c r="E259" i="4"/>
  <c r="C259" i="1"/>
  <c r="H259" i="1"/>
  <c r="C259" i="2"/>
  <c r="G259" i="1"/>
  <c r="D258" i="4"/>
  <c r="C258" i="4"/>
  <c r="G258" i="4" s="1"/>
  <c r="B258" i="4"/>
  <c r="B258" i="2" s="1"/>
  <c r="P258" i="2" s="1"/>
  <c r="B260" i="1"/>
  <c r="B254" i="9" l="1"/>
  <c r="C254" i="9"/>
  <c r="D254" i="9"/>
  <c r="O255" i="2"/>
  <c r="E260" i="4"/>
  <c r="C260" i="1"/>
  <c r="H260" i="1"/>
  <c r="C260" i="2"/>
  <c r="G260" i="1"/>
  <c r="D259" i="4"/>
  <c r="C259" i="4"/>
  <c r="G259" i="4" s="1"/>
  <c r="B259" i="4"/>
  <c r="B259" i="2" s="1"/>
  <c r="P259" i="2" s="1"/>
  <c r="B261" i="1"/>
  <c r="B255" i="9" l="1"/>
  <c r="C255" i="9"/>
  <c r="D255" i="9"/>
  <c r="O256" i="2"/>
  <c r="E261" i="4"/>
  <c r="C261" i="1"/>
  <c r="H261" i="1"/>
  <c r="C261" i="2"/>
  <c r="G261" i="1"/>
  <c r="D260" i="4"/>
  <c r="C260" i="4"/>
  <c r="G260" i="4" s="1"/>
  <c r="B260" i="4"/>
  <c r="B260" i="2" s="1"/>
  <c r="P260" i="2" s="1"/>
  <c r="B262" i="1"/>
  <c r="B256" i="9" l="1"/>
  <c r="C256" i="9"/>
  <c r="D256" i="9"/>
  <c r="O257" i="2"/>
  <c r="E262" i="4"/>
  <c r="C262" i="1"/>
  <c r="H262" i="1"/>
  <c r="C262" i="2"/>
  <c r="G262" i="1"/>
  <c r="D261" i="4"/>
  <c r="C261" i="4"/>
  <c r="G261" i="4" s="1"/>
  <c r="B261" i="4"/>
  <c r="B261" i="2" s="1"/>
  <c r="P261" i="2" s="1"/>
  <c r="B263" i="1"/>
  <c r="B257" i="9" l="1"/>
  <c r="C257" i="9"/>
  <c r="D257" i="9"/>
  <c r="O258" i="2"/>
  <c r="E263" i="4"/>
  <c r="C263" i="1"/>
  <c r="H263" i="1"/>
  <c r="C263" i="2"/>
  <c r="G263" i="1"/>
  <c r="D262" i="4"/>
  <c r="C262" i="4"/>
  <c r="G262" i="4" s="1"/>
  <c r="B262" i="4"/>
  <c r="B262" i="2" s="1"/>
  <c r="P262" i="2" s="1"/>
  <c r="B264" i="1"/>
  <c r="B258" i="9" l="1"/>
  <c r="C258" i="9"/>
  <c r="D258" i="9"/>
  <c r="O259" i="2"/>
  <c r="E264" i="4"/>
  <c r="C264" i="1"/>
  <c r="H264" i="1"/>
  <c r="C264" i="2"/>
  <c r="G264" i="1"/>
  <c r="D263" i="4"/>
  <c r="C263" i="4"/>
  <c r="G263" i="4" s="1"/>
  <c r="B263" i="4"/>
  <c r="B263" i="2" s="1"/>
  <c r="P263" i="2" s="1"/>
  <c r="B265" i="1"/>
  <c r="B259" i="9" l="1"/>
  <c r="C259" i="9"/>
  <c r="D259" i="9"/>
  <c r="O260" i="2"/>
  <c r="E265" i="4"/>
  <c r="C265" i="1"/>
  <c r="H265" i="1"/>
  <c r="C265" i="2"/>
  <c r="G265" i="1"/>
  <c r="D264" i="4"/>
  <c r="C264" i="4"/>
  <c r="G264" i="4" s="1"/>
  <c r="B264" i="4"/>
  <c r="B264" i="2" s="1"/>
  <c r="P264" i="2" s="1"/>
  <c r="B266" i="1"/>
  <c r="B260" i="9" l="1"/>
  <c r="C260" i="9"/>
  <c r="D260" i="9"/>
  <c r="O261" i="2"/>
  <c r="E266" i="4"/>
  <c r="C266" i="1"/>
  <c r="H266" i="1"/>
  <c r="C266" i="2"/>
  <c r="G266" i="1"/>
  <c r="D265" i="4"/>
  <c r="C265" i="4"/>
  <c r="G265" i="4" s="1"/>
  <c r="B265" i="4"/>
  <c r="B265" i="2" s="1"/>
  <c r="P265" i="2" s="1"/>
  <c r="B267" i="1"/>
  <c r="B261" i="9" l="1"/>
  <c r="C261" i="9"/>
  <c r="D261" i="9"/>
  <c r="O262" i="2"/>
  <c r="E267" i="4"/>
  <c r="C267" i="1"/>
  <c r="H267" i="1"/>
  <c r="C267" i="2"/>
  <c r="G267" i="1"/>
  <c r="D266" i="4"/>
  <c r="C266" i="4"/>
  <c r="G266" i="4" s="1"/>
  <c r="B266" i="4"/>
  <c r="B266" i="2" s="1"/>
  <c r="P266" i="2" s="1"/>
  <c r="B268" i="1"/>
  <c r="B262" i="9" l="1"/>
  <c r="C262" i="9"/>
  <c r="D262" i="9"/>
  <c r="O263" i="2"/>
  <c r="E268" i="4"/>
  <c r="C268" i="1"/>
  <c r="H268" i="1"/>
  <c r="C268" i="2"/>
  <c r="G268" i="1"/>
  <c r="D267" i="4"/>
  <c r="C267" i="4"/>
  <c r="G267" i="4" s="1"/>
  <c r="B267" i="4"/>
  <c r="B267" i="2" s="1"/>
  <c r="P267" i="2" s="1"/>
  <c r="B269" i="1"/>
  <c r="B263" i="9" l="1"/>
  <c r="C263" i="9"/>
  <c r="D263" i="9"/>
  <c r="O264" i="2"/>
  <c r="E269" i="4"/>
  <c r="C269" i="1"/>
  <c r="H269" i="1"/>
  <c r="C269" i="2"/>
  <c r="G269" i="1"/>
  <c r="D268" i="4"/>
  <c r="C268" i="4"/>
  <c r="G268" i="4" s="1"/>
  <c r="B268" i="4"/>
  <c r="B268" i="2" s="1"/>
  <c r="P268" i="2" s="1"/>
  <c r="B270" i="1"/>
  <c r="B264" i="9" l="1"/>
  <c r="C264" i="9"/>
  <c r="D264" i="9"/>
  <c r="O265" i="2"/>
  <c r="E270" i="4"/>
  <c r="C270" i="1"/>
  <c r="H270" i="1"/>
  <c r="C270" i="2"/>
  <c r="G270" i="1"/>
  <c r="D269" i="4"/>
  <c r="C269" i="4"/>
  <c r="G269" i="4" s="1"/>
  <c r="B269" i="4"/>
  <c r="B269" i="2" s="1"/>
  <c r="P269" i="2" s="1"/>
  <c r="B271" i="1"/>
  <c r="B265" i="9" l="1"/>
  <c r="C265" i="9"/>
  <c r="D265" i="9"/>
  <c r="O266" i="2"/>
  <c r="E271" i="4"/>
  <c r="C271" i="1"/>
  <c r="H271" i="1"/>
  <c r="C271" i="2"/>
  <c r="G271" i="1"/>
  <c r="D270" i="4"/>
  <c r="C270" i="4"/>
  <c r="G270" i="4" s="1"/>
  <c r="B270" i="4"/>
  <c r="B270" i="2" s="1"/>
  <c r="P270" i="2" s="1"/>
  <c r="B272" i="1"/>
  <c r="B266" i="9" l="1"/>
  <c r="C266" i="9"/>
  <c r="D266" i="9"/>
  <c r="O267" i="2"/>
  <c r="E272" i="4"/>
  <c r="C272" i="1"/>
  <c r="H272" i="1"/>
  <c r="C272" i="2"/>
  <c r="G272" i="1"/>
  <c r="D271" i="4"/>
  <c r="C271" i="4"/>
  <c r="G271" i="4" s="1"/>
  <c r="B271" i="4"/>
  <c r="B271" i="2" s="1"/>
  <c r="P271" i="2" s="1"/>
  <c r="B273" i="1"/>
  <c r="B267" i="9" l="1"/>
  <c r="C267" i="9"/>
  <c r="D267" i="9"/>
  <c r="O268" i="2"/>
  <c r="E273" i="4"/>
  <c r="C273" i="1"/>
  <c r="H273" i="1"/>
  <c r="C273" i="2"/>
  <c r="G273" i="1"/>
  <c r="D272" i="4"/>
  <c r="C272" i="4"/>
  <c r="G272" i="4" s="1"/>
  <c r="B272" i="4"/>
  <c r="B272" i="2" s="1"/>
  <c r="P272" i="2" s="1"/>
  <c r="B274" i="1"/>
  <c r="B268" i="9" l="1"/>
  <c r="C268" i="9"/>
  <c r="D268" i="9"/>
  <c r="O269" i="2"/>
  <c r="E274" i="4"/>
  <c r="C274" i="1"/>
  <c r="H274" i="1"/>
  <c r="C274" i="2"/>
  <c r="G274" i="1"/>
  <c r="D273" i="4"/>
  <c r="C273" i="4"/>
  <c r="G273" i="4" s="1"/>
  <c r="B273" i="4"/>
  <c r="B273" i="2" s="1"/>
  <c r="P273" i="2" s="1"/>
  <c r="B275" i="1"/>
  <c r="B269" i="9" l="1"/>
  <c r="C269" i="9"/>
  <c r="D269" i="9"/>
  <c r="O270" i="2"/>
  <c r="E275" i="4"/>
  <c r="C275" i="1"/>
  <c r="H275" i="1"/>
  <c r="C275" i="2"/>
  <c r="G275" i="1"/>
  <c r="D274" i="4"/>
  <c r="C274" i="4"/>
  <c r="G274" i="4" s="1"/>
  <c r="B274" i="4"/>
  <c r="B274" i="2" s="1"/>
  <c r="P274" i="2" s="1"/>
  <c r="B276" i="1"/>
  <c r="B270" i="9" l="1"/>
  <c r="C270" i="9"/>
  <c r="D270" i="9"/>
  <c r="O271" i="2"/>
  <c r="E276" i="4"/>
  <c r="C276" i="1"/>
  <c r="H276" i="1"/>
  <c r="C276" i="2"/>
  <c r="G276" i="1"/>
  <c r="D275" i="4"/>
  <c r="C275" i="4"/>
  <c r="G275" i="4" s="1"/>
  <c r="B275" i="4"/>
  <c r="B275" i="2" s="1"/>
  <c r="P275" i="2" s="1"/>
  <c r="B277" i="1"/>
  <c r="B271" i="9" l="1"/>
  <c r="C271" i="9"/>
  <c r="D271" i="9"/>
  <c r="O272" i="2"/>
  <c r="E277" i="4"/>
  <c r="C277" i="1"/>
  <c r="H277" i="1"/>
  <c r="C277" i="2"/>
  <c r="G277" i="1"/>
  <c r="D276" i="4"/>
  <c r="C276" i="4"/>
  <c r="G276" i="4" s="1"/>
  <c r="B276" i="4"/>
  <c r="B276" i="2" s="1"/>
  <c r="P276" i="2" s="1"/>
  <c r="B278" i="1"/>
  <c r="B272" i="9" l="1"/>
  <c r="C272" i="9"/>
  <c r="D272" i="9"/>
  <c r="O273" i="2"/>
  <c r="E278" i="4"/>
  <c r="C278" i="1"/>
  <c r="H278" i="1"/>
  <c r="C278" i="2"/>
  <c r="G278" i="1"/>
  <c r="D277" i="4"/>
  <c r="C277" i="4"/>
  <c r="G277" i="4" s="1"/>
  <c r="B277" i="4"/>
  <c r="B277" i="2" s="1"/>
  <c r="P277" i="2" s="1"/>
  <c r="B279" i="1"/>
  <c r="B273" i="9" l="1"/>
  <c r="C273" i="9"/>
  <c r="D273" i="9"/>
  <c r="O274" i="2"/>
  <c r="E279" i="4"/>
  <c r="C279" i="1"/>
  <c r="H279" i="1"/>
  <c r="C279" i="2"/>
  <c r="G279" i="1"/>
  <c r="D278" i="4"/>
  <c r="C278" i="4"/>
  <c r="G278" i="4" s="1"/>
  <c r="B278" i="4"/>
  <c r="B278" i="2" s="1"/>
  <c r="P278" i="2" s="1"/>
  <c r="B280" i="1"/>
  <c r="B274" i="9" l="1"/>
  <c r="C274" i="9"/>
  <c r="D274" i="9"/>
  <c r="O275" i="2"/>
  <c r="E280" i="4"/>
  <c r="C280" i="1"/>
  <c r="H280" i="1"/>
  <c r="C280" i="2"/>
  <c r="G280" i="1"/>
  <c r="D279" i="4"/>
  <c r="C279" i="4"/>
  <c r="G279" i="4" s="1"/>
  <c r="B279" i="4"/>
  <c r="B279" i="2" s="1"/>
  <c r="P279" i="2" s="1"/>
  <c r="B281" i="1"/>
  <c r="B275" i="9" l="1"/>
  <c r="C275" i="9"/>
  <c r="D275" i="9"/>
  <c r="O276" i="2"/>
  <c r="E281" i="4"/>
  <c r="C281" i="1"/>
  <c r="H281" i="1"/>
  <c r="C281" i="2"/>
  <c r="G281" i="1"/>
  <c r="D280" i="4"/>
  <c r="C280" i="4"/>
  <c r="G280" i="4" s="1"/>
  <c r="B280" i="4"/>
  <c r="B280" i="2" s="1"/>
  <c r="P280" i="2" s="1"/>
  <c r="B282" i="1"/>
  <c r="B276" i="9" l="1"/>
  <c r="C276" i="9"/>
  <c r="D276" i="9"/>
  <c r="O277" i="2"/>
  <c r="E282" i="4"/>
  <c r="C282" i="1"/>
  <c r="H282" i="1"/>
  <c r="C282" i="2"/>
  <c r="G282" i="1"/>
  <c r="D281" i="4"/>
  <c r="C281" i="4"/>
  <c r="G281" i="4" s="1"/>
  <c r="B281" i="4"/>
  <c r="B281" i="2" s="1"/>
  <c r="P281" i="2" s="1"/>
  <c r="B283" i="1"/>
  <c r="B277" i="9" l="1"/>
  <c r="C277" i="9"/>
  <c r="D277" i="9"/>
  <c r="O278" i="2"/>
  <c r="E283" i="4"/>
  <c r="C283" i="1"/>
  <c r="H283" i="1"/>
  <c r="C283" i="2"/>
  <c r="G283" i="1"/>
  <c r="D282" i="4"/>
  <c r="C282" i="4"/>
  <c r="G282" i="4" s="1"/>
  <c r="B282" i="4"/>
  <c r="B282" i="2" s="1"/>
  <c r="P282" i="2" s="1"/>
  <c r="B284" i="1"/>
  <c r="B278" i="9" l="1"/>
  <c r="C278" i="9"/>
  <c r="D278" i="9"/>
  <c r="O279" i="2"/>
  <c r="E284" i="4"/>
  <c r="C284" i="1"/>
  <c r="H284" i="1"/>
  <c r="C284" i="2"/>
  <c r="G284" i="1"/>
  <c r="D283" i="4"/>
  <c r="C283" i="4"/>
  <c r="G283" i="4" s="1"/>
  <c r="B283" i="4"/>
  <c r="B283" i="2" s="1"/>
  <c r="P283" i="2" s="1"/>
  <c r="B285" i="1"/>
  <c r="B279" i="9" l="1"/>
  <c r="C279" i="9"/>
  <c r="D279" i="9"/>
  <c r="O280" i="2"/>
  <c r="E285" i="4"/>
  <c r="C285" i="1"/>
  <c r="H285" i="1"/>
  <c r="C285" i="2"/>
  <c r="G285" i="1"/>
  <c r="D284" i="4"/>
  <c r="C284" i="4"/>
  <c r="G284" i="4" s="1"/>
  <c r="B284" i="4"/>
  <c r="B284" i="2" s="1"/>
  <c r="P284" i="2" s="1"/>
  <c r="B286" i="1"/>
  <c r="B280" i="9" l="1"/>
  <c r="C280" i="9"/>
  <c r="D280" i="9"/>
  <c r="O281" i="2"/>
  <c r="E286" i="4"/>
  <c r="C286" i="1"/>
  <c r="H286" i="1"/>
  <c r="C286" i="2"/>
  <c r="G286" i="1"/>
  <c r="D285" i="4"/>
  <c r="C285" i="4"/>
  <c r="G285" i="4" s="1"/>
  <c r="B285" i="4"/>
  <c r="B285" i="2" s="1"/>
  <c r="P285" i="2" s="1"/>
  <c r="B287" i="1"/>
  <c r="B281" i="9" l="1"/>
  <c r="C281" i="9"/>
  <c r="D281" i="9"/>
  <c r="O282" i="2"/>
  <c r="E287" i="4"/>
  <c r="C287" i="1"/>
  <c r="H287" i="1"/>
  <c r="C287" i="2"/>
  <c r="G287" i="1"/>
  <c r="D286" i="4"/>
  <c r="C286" i="4"/>
  <c r="G286" i="4" s="1"/>
  <c r="B286" i="4"/>
  <c r="B286" i="2" s="1"/>
  <c r="P286" i="2" s="1"/>
  <c r="B288" i="1"/>
  <c r="B282" i="9" l="1"/>
  <c r="C282" i="9"/>
  <c r="D282" i="9"/>
  <c r="O283" i="2"/>
  <c r="E288" i="4"/>
  <c r="C288" i="1"/>
  <c r="H288" i="1"/>
  <c r="C288" i="2"/>
  <c r="G288" i="1"/>
  <c r="D287" i="4"/>
  <c r="C287" i="4"/>
  <c r="G287" i="4" s="1"/>
  <c r="B287" i="4"/>
  <c r="B287" i="2" s="1"/>
  <c r="P287" i="2" s="1"/>
  <c r="B289" i="1"/>
  <c r="B283" i="9" l="1"/>
  <c r="C283" i="9"/>
  <c r="D283" i="9"/>
  <c r="O284" i="2"/>
  <c r="E289" i="4"/>
  <c r="C289" i="1"/>
  <c r="H289" i="1"/>
  <c r="C289" i="2"/>
  <c r="G289" i="1"/>
  <c r="D288" i="4"/>
  <c r="C288" i="4"/>
  <c r="G288" i="4" s="1"/>
  <c r="B288" i="4"/>
  <c r="B288" i="2" s="1"/>
  <c r="P288" i="2" s="1"/>
  <c r="B290" i="1"/>
  <c r="B284" i="9" l="1"/>
  <c r="C284" i="9"/>
  <c r="D284" i="9"/>
  <c r="O285" i="2"/>
  <c r="E290" i="4"/>
  <c r="C290" i="1"/>
  <c r="H290" i="1"/>
  <c r="C290" i="2"/>
  <c r="G290" i="1"/>
  <c r="D289" i="4"/>
  <c r="C289" i="4"/>
  <c r="G289" i="4" s="1"/>
  <c r="B289" i="4"/>
  <c r="B289" i="2" s="1"/>
  <c r="P289" i="2" s="1"/>
  <c r="B291" i="1"/>
  <c r="B285" i="9" l="1"/>
  <c r="C285" i="9"/>
  <c r="D285" i="9"/>
  <c r="O286" i="2"/>
  <c r="E291" i="4"/>
  <c r="C291" i="1"/>
  <c r="H291" i="1"/>
  <c r="C291" i="2"/>
  <c r="G291" i="1"/>
  <c r="D290" i="4"/>
  <c r="C290" i="4"/>
  <c r="G290" i="4" s="1"/>
  <c r="B290" i="4"/>
  <c r="B290" i="2" s="1"/>
  <c r="P290" i="2" s="1"/>
  <c r="B292" i="1"/>
  <c r="B286" i="9" l="1"/>
  <c r="C286" i="9"/>
  <c r="D286" i="9"/>
  <c r="O287" i="2"/>
  <c r="E292" i="4"/>
  <c r="C292" i="1"/>
  <c r="H292" i="1"/>
  <c r="C292" i="2"/>
  <c r="G292" i="1"/>
  <c r="D291" i="4"/>
  <c r="C291" i="4"/>
  <c r="G291" i="4" s="1"/>
  <c r="B291" i="4"/>
  <c r="B291" i="2" s="1"/>
  <c r="P291" i="2" s="1"/>
  <c r="B293" i="1"/>
  <c r="B287" i="9" l="1"/>
  <c r="C287" i="9"/>
  <c r="D287" i="9"/>
  <c r="O288" i="2"/>
  <c r="E293" i="4"/>
  <c r="C293" i="1"/>
  <c r="H293" i="1"/>
  <c r="C293" i="2"/>
  <c r="G293" i="1"/>
  <c r="D292" i="4"/>
  <c r="C292" i="4"/>
  <c r="G292" i="4" s="1"/>
  <c r="B292" i="4"/>
  <c r="B292" i="2" s="1"/>
  <c r="P292" i="2" s="1"/>
  <c r="B294" i="1"/>
  <c r="B288" i="9" l="1"/>
  <c r="C288" i="9"/>
  <c r="D288" i="9"/>
  <c r="O289" i="2"/>
  <c r="E294" i="4"/>
  <c r="C294" i="1"/>
  <c r="H294" i="1"/>
  <c r="C294" i="2"/>
  <c r="G294" i="1"/>
  <c r="D293" i="4"/>
  <c r="C293" i="4"/>
  <c r="G293" i="4" s="1"/>
  <c r="B293" i="4"/>
  <c r="B293" i="2" s="1"/>
  <c r="P293" i="2" s="1"/>
  <c r="B295" i="1"/>
  <c r="B289" i="9" l="1"/>
  <c r="C289" i="9"/>
  <c r="D289" i="9"/>
  <c r="O290" i="2"/>
  <c r="E295" i="4"/>
  <c r="C295" i="1"/>
  <c r="H295" i="1"/>
  <c r="C295" i="2"/>
  <c r="G295" i="1"/>
  <c r="D294" i="4"/>
  <c r="C294" i="4"/>
  <c r="G294" i="4" s="1"/>
  <c r="B294" i="4"/>
  <c r="B294" i="2" s="1"/>
  <c r="P294" i="2" s="1"/>
  <c r="B296" i="1"/>
  <c r="B290" i="9" l="1"/>
  <c r="C290" i="9"/>
  <c r="D290" i="9"/>
  <c r="O291" i="2"/>
  <c r="E296" i="4"/>
  <c r="C296" i="1"/>
  <c r="H296" i="1"/>
  <c r="C296" i="2"/>
  <c r="G296" i="1"/>
  <c r="D295" i="4"/>
  <c r="C295" i="4"/>
  <c r="G295" i="4" s="1"/>
  <c r="B295" i="4"/>
  <c r="B295" i="2" s="1"/>
  <c r="P295" i="2" s="1"/>
  <c r="B297" i="1"/>
  <c r="B291" i="9" l="1"/>
  <c r="C291" i="9"/>
  <c r="D291" i="9"/>
  <c r="O292" i="2"/>
  <c r="E297" i="4"/>
  <c r="C297" i="1"/>
  <c r="H297" i="1"/>
  <c r="C297" i="2"/>
  <c r="G297" i="1"/>
  <c r="D296" i="4"/>
  <c r="C296" i="4"/>
  <c r="G296" i="4" s="1"/>
  <c r="B296" i="4"/>
  <c r="B296" i="2" s="1"/>
  <c r="P296" i="2" s="1"/>
  <c r="B298" i="1"/>
  <c r="B292" i="9" l="1"/>
  <c r="C292" i="9"/>
  <c r="D292" i="9"/>
  <c r="O293" i="2"/>
  <c r="E298" i="4"/>
  <c r="C298" i="1"/>
  <c r="H298" i="1"/>
  <c r="C298" i="2"/>
  <c r="G298" i="1"/>
  <c r="D297" i="4"/>
  <c r="C297" i="4"/>
  <c r="G297" i="4" s="1"/>
  <c r="B297" i="4"/>
  <c r="B297" i="2" s="1"/>
  <c r="P297" i="2" s="1"/>
  <c r="B299" i="1"/>
  <c r="B293" i="9" l="1"/>
  <c r="C293" i="9"/>
  <c r="D293" i="9"/>
  <c r="O294" i="2"/>
  <c r="E299" i="4"/>
  <c r="C299" i="1"/>
  <c r="H299" i="1"/>
  <c r="C299" i="2"/>
  <c r="G299" i="1"/>
  <c r="D298" i="4"/>
  <c r="C298" i="4"/>
  <c r="G298" i="4" s="1"/>
  <c r="B298" i="4"/>
  <c r="B298" i="2" s="1"/>
  <c r="P298" i="2" s="1"/>
  <c r="B300" i="1"/>
  <c r="B294" i="9" l="1"/>
  <c r="C294" i="9"/>
  <c r="D294" i="9"/>
  <c r="O295" i="2"/>
  <c r="E300" i="4"/>
  <c r="C300" i="1"/>
  <c r="H300" i="1"/>
  <c r="C300" i="2"/>
  <c r="G300" i="1"/>
  <c r="D299" i="4"/>
  <c r="C299" i="4"/>
  <c r="G299" i="4" s="1"/>
  <c r="B299" i="4"/>
  <c r="B299" i="2" s="1"/>
  <c r="P299" i="2" s="1"/>
  <c r="B301" i="1"/>
  <c r="B295" i="9" l="1"/>
  <c r="C295" i="9"/>
  <c r="D295" i="9"/>
  <c r="O296" i="2"/>
  <c r="E301" i="4"/>
  <c r="C301" i="1"/>
  <c r="H301" i="1"/>
  <c r="C301" i="2"/>
  <c r="G301" i="1"/>
  <c r="D300" i="4"/>
  <c r="C300" i="4"/>
  <c r="G300" i="4" s="1"/>
  <c r="B300" i="4"/>
  <c r="B300" i="2" s="1"/>
  <c r="P300" i="2" s="1"/>
  <c r="B302" i="1"/>
  <c r="B296" i="9" l="1"/>
  <c r="C296" i="9"/>
  <c r="D296" i="9"/>
  <c r="O297" i="2"/>
  <c r="E302" i="4"/>
  <c r="C302" i="1"/>
  <c r="H302" i="1"/>
  <c r="C302" i="2"/>
  <c r="G302" i="1"/>
  <c r="D301" i="4"/>
  <c r="C301" i="4"/>
  <c r="G301" i="4" s="1"/>
  <c r="B301" i="4"/>
  <c r="B301" i="2" s="1"/>
  <c r="P301" i="2" s="1"/>
  <c r="B303" i="1"/>
  <c r="B297" i="9" l="1"/>
  <c r="C297" i="9"/>
  <c r="D297" i="9"/>
  <c r="O298" i="2"/>
  <c r="E303" i="4"/>
  <c r="C303" i="1"/>
  <c r="H303" i="1"/>
  <c r="C303" i="2"/>
  <c r="G303" i="1"/>
  <c r="D302" i="4"/>
  <c r="C302" i="4"/>
  <c r="G302" i="4" s="1"/>
  <c r="B302" i="4"/>
  <c r="B302" i="2" s="1"/>
  <c r="P302" i="2" s="1"/>
  <c r="B304" i="1"/>
  <c r="B298" i="9" l="1"/>
  <c r="C298" i="9"/>
  <c r="D298" i="9"/>
  <c r="O299" i="2"/>
  <c r="E304" i="4"/>
  <c r="C304" i="1"/>
  <c r="H304" i="1"/>
  <c r="C304" i="2"/>
  <c r="G304" i="1"/>
  <c r="D303" i="4"/>
  <c r="C303" i="4"/>
  <c r="G303" i="4" s="1"/>
  <c r="B303" i="4"/>
  <c r="B303" i="2" s="1"/>
  <c r="P303" i="2" s="1"/>
  <c r="B305" i="1"/>
  <c r="B299" i="9" l="1"/>
  <c r="C299" i="9"/>
  <c r="D299" i="9"/>
  <c r="O300" i="2"/>
  <c r="E305" i="4"/>
  <c r="C305" i="1"/>
  <c r="H305" i="1"/>
  <c r="C305" i="2"/>
  <c r="G305" i="1"/>
  <c r="D304" i="4"/>
  <c r="C304" i="4"/>
  <c r="G304" i="4" s="1"/>
  <c r="B304" i="4"/>
  <c r="B304" i="2" s="1"/>
  <c r="P304" i="2" s="1"/>
  <c r="B306" i="1"/>
  <c r="B300" i="9" l="1"/>
  <c r="C300" i="9"/>
  <c r="D300" i="9"/>
  <c r="O301" i="2"/>
  <c r="E306" i="4"/>
  <c r="C306" i="1"/>
  <c r="H306" i="1"/>
  <c r="C306" i="2"/>
  <c r="G306" i="1"/>
  <c r="D305" i="4"/>
  <c r="C305" i="4"/>
  <c r="G305" i="4" s="1"/>
  <c r="B305" i="4"/>
  <c r="B305" i="2" s="1"/>
  <c r="P305" i="2" s="1"/>
  <c r="B307" i="1"/>
  <c r="B301" i="9" l="1"/>
  <c r="C301" i="9"/>
  <c r="D301" i="9"/>
  <c r="O302" i="2"/>
  <c r="E307" i="4"/>
  <c r="C307" i="1"/>
  <c r="H307" i="1"/>
  <c r="C307" i="2"/>
  <c r="G307" i="1"/>
  <c r="D306" i="4"/>
  <c r="C306" i="4"/>
  <c r="G306" i="4" s="1"/>
  <c r="B306" i="4"/>
  <c r="B306" i="2" s="1"/>
  <c r="P306" i="2" s="1"/>
  <c r="B308" i="1"/>
  <c r="B302" i="9" l="1"/>
  <c r="C302" i="9"/>
  <c r="D302" i="9"/>
  <c r="O303" i="2"/>
  <c r="E308" i="4"/>
  <c r="C308" i="1"/>
  <c r="H308" i="1"/>
  <c r="C308" i="2"/>
  <c r="G308" i="1"/>
  <c r="D307" i="4"/>
  <c r="C307" i="4"/>
  <c r="G307" i="4" s="1"/>
  <c r="B307" i="4"/>
  <c r="B307" i="2" s="1"/>
  <c r="P307" i="2" s="1"/>
  <c r="B309" i="1"/>
  <c r="B303" i="9" l="1"/>
  <c r="C303" i="9"/>
  <c r="D303" i="9"/>
  <c r="O304" i="2"/>
  <c r="E309" i="4"/>
  <c r="C309" i="1"/>
  <c r="H309" i="1"/>
  <c r="C309" i="2"/>
  <c r="G309" i="1"/>
  <c r="D308" i="4"/>
  <c r="C308" i="4"/>
  <c r="G308" i="4" s="1"/>
  <c r="B308" i="4"/>
  <c r="B308" i="2" s="1"/>
  <c r="P308" i="2" s="1"/>
  <c r="B310" i="1"/>
  <c r="B304" i="9" l="1"/>
  <c r="C304" i="9"/>
  <c r="D304" i="9"/>
  <c r="O305" i="2"/>
  <c r="E310" i="4"/>
  <c r="C310" i="1"/>
  <c r="H310" i="1"/>
  <c r="C310" i="2"/>
  <c r="G310" i="1"/>
  <c r="D309" i="4"/>
  <c r="C309" i="4"/>
  <c r="G309" i="4" s="1"/>
  <c r="B309" i="4"/>
  <c r="B309" i="2" s="1"/>
  <c r="P309" i="2" s="1"/>
  <c r="B311" i="1"/>
  <c r="B305" i="9" l="1"/>
  <c r="C305" i="9"/>
  <c r="D305" i="9"/>
  <c r="O306" i="2"/>
  <c r="E311" i="4"/>
  <c r="C311" i="1"/>
  <c r="H311" i="1"/>
  <c r="C311" i="2"/>
  <c r="G311" i="1"/>
  <c r="D310" i="4"/>
  <c r="C310" i="4"/>
  <c r="G310" i="4" s="1"/>
  <c r="B310" i="4"/>
  <c r="B310" i="2" s="1"/>
  <c r="P310" i="2" s="1"/>
  <c r="B312" i="1"/>
  <c r="B306" i="9" l="1"/>
  <c r="C306" i="9"/>
  <c r="D306" i="9"/>
  <c r="O307" i="2"/>
  <c r="E312" i="4"/>
  <c r="C312" i="1"/>
  <c r="H312" i="1"/>
  <c r="C312" i="2"/>
  <c r="G312" i="1"/>
  <c r="D311" i="4"/>
  <c r="C311" i="4"/>
  <c r="G311" i="4" s="1"/>
  <c r="B311" i="4"/>
  <c r="B311" i="2" s="1"/>
  <c r="P311" i="2" s="1"/>
  <c r="B313" i="1"/>
  <c r="B307" i="9" l="1"/>
  <c r="C307" i="9"/>
  <c r="D307" i="9"/>
  <c r="O308" i="2"/>
  <c r="E313" i="4"/>
  <c r="C313" i="1"/>
  <c r="H313" i="1"/>
  <c r="C313" i="2"/>
  <c r="G313" i="1"/>
  <c r="D312" i="4"/>
  <c r="C312" i="4"/>
  <c r="G312" i="4" s="1"/>
  <c r="B312" i="4"/>
  <c r="B312" i="2" s="1"/>
  <c r="P312" i="2" s="1"/>
  <c r="B314" i="1"/>
  <c r="B308" i="9" l="1"/>
  <c r="C308" i="9"/>
  <c r="D308" i="9"/>
  <c r="O309" i="2"/>
  <c r="E314" i="4"/>
  <c r="C314" i="1"/>
  <c r="H314" i="1"/>
  <c r="C314" i="2"/>
  <c r="G314" i="1"/>
  <c r="D313" i="4"/>
  <c r="C313" i="4"/>
  <c r="G313" i="4" s="1"/>
  <c r="B313" i="4"/>
  <c r="B313" i="2" s="1"/>
  <c r="P313" i="2" s="1"/>
  <c r="B315" i="1"/>
  <c r="B309" i="9" l="1"/>
  <c r="C309" i="9"/>
  <c r="D309" i="9"/>
  <c r="O310" i="2"/>
  <c r="E315" i="4"/>
  <c r="C315" i="1"/>
  <c r="H315" i="1"/>
  <c r="C315" i="2"/>
  <c r="G315" i="1"/>
  <c r="D314" i="4"/>
  <c r="C314" i="4"/>
  <c r="G314" i="4" s="1"/>
  <c r="B314" i="4"/>
  <c r="B314" i="2" s="1"/>
  <c r="P314" i="2" s="1"/>
  <c r="B316" i="1"/>
  <c r="B310" i="9" l="1"/>
  <c r="C310" i="9"/>
  <c r="D310" i="9"/>
  <c r="O311" i="2"/>
  <c r="E316" i="4"/>
  <c r="C316" i="1"/>
  <c r="H316" i="1"/>
  <c r="C316" i="2"/>
  <c r="G316" i="1"/>
  <c r="D315" i="4"/>
  <c r="C315" i="4"/>
  <c r="G315" i="4" s="1"/>
  <c r="B315" i="4"/>
  <c r="B315" i="2" s="1"/>
  <c r="P315" i="2" s="1"/>
  <c r="B317" i="1"/>
  <c r="B311" i="9" l="1"/>
  <c r="C311" i="9"/>
  <c r="D311" i="9"/>
  <c r="O312" i="2"/>
  <c r="E317" i="4"/>
  <c r="C317" i="1"/>
  <c r="H317" i="1"/>
  <c r="C317" i="2"/>
  <c r="G317" i="1"/>
  <c r="D316" i="4"/>
  <c r="C316" i="4"/>
  <c r="G316" i="4" s="1"/>
  <c r="B316" i="4"/>
  <c r="B316" i="2" s="1"/>
  <c r="P316" i="2" s="1"/>
  <c r="B318" i="1"/>
  <c r="B312" i="9" l="1"/>
  <c r="C312" i="9"/>
  <c r="D312" i="9"/>
  <c r="O313" i="2"/>
  <c r="E318" i="4"/>
  <c r="C318" i="1"/>
  <c r="H318" i="1"/>
  <c r="C318" i="2"/>
  <c r="G318" i="1"/>
  <c r="D317" i="4"/>
  <c r="C317" i="4"/>
  <c r="G317" i="4" s="1"/>
  <c r="B317" i="4"/>
  <c r="B317" i="2" s="1"/>
  <c r="P317" i="2" s="1"/>
  <c r="B319" i="1"/>
  <c r="B313" i="9" l="1"/>
  <c r="C313" i="9"/>
  <c r="D313" i="9"/>
  <c r="O314" i="2"/>
  <c r="E319" i="4"/>
  <c r="C319" i="1"/>
  <c r="H319" i="1"/>
  <c r="C319" i="2"/>
  <c r="G319" i="1"/>
  <c r="D318" i="4"/>
  <c r="C318" i="4"/>
  <c r="G318" i="4" s="1"/>
  <c r="B318" i="4"/>
  <c r="B318" i="2" s="1"/>
  <c r="P318" i="2" s="1"/>
  <c r="B320" i="1"/>
  <c r="B314" i="9" l="1"/>
  <c r="C314" i="9"/>
  <c r="D314" i="9"/>
  <c r="O315" i="2"/>
  <c r="E320" i="4"/>
  <c r="C320" i="1"/>
  <c r="H320" i="1"/>
  <c r="C320" i="2"/>
  <c r="G320" i="1"/>
  <c r="D319" i="4"/>
  <c r="C319" i="4"/>
  <c r="G319" i="4" s="1"/>
  <c r="B319" i="4"/>
  <c r="B319" i="2" s="1"/>
  <c r="P319" i="2" s="1"/>
  <c r="B321" i="1"/>
  <c r="B315" i="9" l="1"/>
  <c r="C315" i="9"/>
  <c r="D315" i="9"/>
  <c r="O316" i="2"/>
  <c r="E321" i="4"/>
  <c r="C321" i="1"/>
  <c r="H321" i="1"/>
  <c r="C321" i="2"/>
  <c r="G321" i="1"/>
  <c r="D320" i="4"/>
  <c r="C320" i="4"/>
  <c r="G320" i="4" s="1"/>
  <c r="B320" i="4"/>
  <c r="B320" i="2" s="1"/>
  <c r="P320" i="2" s="1"/>
  <c r="B322" i="1"/>
  <c r="B316" i="9" l="1"/>
  <c r="C316" i="9"/>
  <c r="D316" i="9"/>
  <c r="O317" i="2"/>
  <c r="E322" i="4"/>
  <c r="C322" i="1"/>
  <c r="H322" i="1"/>
  <c r="C322" i="2"/>
  <c r="G322" i="1"/>
  <c r="D321" i="4"/>
  <c r="C321" i="4"/>
  <c r="G321" i="4" s="1"/>
  <c r="B321" i="4"/>
  <c r="B321" i="2" s="1"/>
  <c r="P321" i="2" s="1"/>
  <c r="B323" i="1"/>
  <c r="B317" i="9" l="1"/>
  <c r="C317" i="9"/>
  <c r="D317" i="9"/>
  <c r="O318" i="2"/>
  <c r="E323" i="4"/>
  <c r="C323" i="1"/>
  <c r="H323" i="1"/>
  <c r="C323" i="2"/>
  <c r="G323" i="1"/>
  <c r="D322" i="4"/>
  <c r="C322" i="4"/>
  <c r="G322" i="4" s="1"/>
  <c r="B322" i="4"/>
  <c r="B322" i="2" s="1"/>
  <c r="P322" i="2" s="1"/>
  <c r="B324" i="1"/>
  <c r="B318" i="9" l="1"/>
  <c r="C318" i="9"/>
  <c r="D318" i="9"/>
  <c r="O319" i="2"/>
  <c r="E324" i="4"/>
  <c r="C324" i="1"/>
  <c r="H324" i="1"/>
  <c r="C324" i="2"/>
  <c r="G324" i="1"/>
  <c r="D323" i="4"/>
  <c r="C323" i="4"/>
  <c r="G323" i="4" s="1"/>
  <c r="B323" i="4"/>
  <c r="B323" i="2" s="1"/>
  <c r="P323" i="2" s="1"/>
  <c r="B325" i="1"/>
  <c r="B319" i="9" l="1"/>
  <c r="C319" i="9"/>
  <c r="D319" i="9"/>
  <c r="O320" i="2"/>
  <c r="E325" i="4"/>
  <c r="C325" i="1"/>
  <c r="H325" i="1"/>
  <c r="C325" i="2"/>
  <c r="G325" i="1"/>
  <c r="D324" i="4"/>
  <c r="C324" i="4"/>
  <c r="G324" i="4" s="1"/>
  <c r="B324" i="4"/>
  <c r="B324" i="2" s="1"/>
  <c r="P324" i="2" s="1"/>
  <c r="B326" i="1"/>
  <c r="B320" i="9" l="1"/>
  <c r="C320" i="9"/>
  <c r="D320" i="9"/>
  <c r="O321" i="2"/>
  <c r="E326" i="4"/>
  <c r="C326" i="1"/>
  <c r="H326" i="1"/>
  <c r="C326" i="2"/>
  <c r="G326" i="1"/>
  <c r="D325" i="4"/>
  <c r="C325" i="4"/>
  <c r="G325" i="4" s="1"/>
  <c r="B325" i="4"/>
  <c r="B325" i="2" s="1"/>
  <c r="P325" i="2" s="1"/>
  <c r="B327" i="1"/>
  <c r="B321" i="9" l="1"/>
  <c r="C321" i="9"/>
  <c r="D321" i="9"/>
  <c r="O322" i="2"/>
  <c r="E327" i="4"/>
  <c r="C327" i="1"/>
  <c r="H327" i="1"/>
  <c r="C327" i="2"/>
  <c r="G327" i="1"/>
  <c r="D326" i="4"/>
  <c r="C326" i="4"/>
  <c r="G326" i="4" s="1"/>
  <c r="B326" i="4"/>
  <c r="B326" i="2" s="1"/>
  <c r="P326" i="2" s="1"/>
  <c r="B328" i="1"/>
  <c r="B322" i="9" l="1"/>
  <c r="C322" i="9"/>
  <c r="D322" i="9"/>
  <c r="O323" i="2"/>
  <c r="E328" i="4"/>
  <c r="C328" i="1"/>
  <c r="H328" i="1"/>
  <c r="C328" i="2"/>
  <c r="G328" i="1"/>
  <c r="D327" i="4"/>
  <c r="C327" i="4"/>
  <c r="G327" i="4" s="1"/>
  <c r="B327" i="4"/>
  <c r="B327" i="2" s="1"/>
  <c r="P327" i="2" s="1"/>
  <c r="B329" i="1"/>
  <c r="B323" i="9" l="1"/>
  <c r="C323" i="9"/>
  <c r="D323" i="9"/>
  <c r="O324" i="2"/>
  <c r="E329" i="4"/>
  <c r="C329" i="1"/>
  <c r="H329" i="1"/>
  <c r="C329" i="2"/>
  <c r="G329" i="1"/>
  <c r="D328" i="4"/>
  <c r="C328" i="4"/>
  <c r="G328" i="4" s="1"/>
  <c r="B328" i="4"/>
  <c r="B328" i="2" s="1"/>
  <c r="P328" i="2" s="1"/>
  <c r="B330" i="1"/>
  <c r="B324" i="9" l="1"/>
  <c r="C324" i="9"/>
  <c r="D324" i="9"/>
  <c r="O325" i="2"/>
  <c r="E330" i="4"/>
  <c r="C330" i="1"/>
  <c r="H330" i="1"/>
  <c r="C330" i="2"/>
  <c r="G330" i="1"/>
  <c r="D329" i="4"/>
  <c r="C329" i="4"/>
  <c r="G329" i="4" s="1"/>
  <c r="B329" i="4"/>
  <c r="B329" i="2" s="1"/>
  <c r="P329" i="2" s="1"/>
  <c r="B331" i="1"/>
  <c r="B325" i="9" l="1"/>
  <c r="C325" i="9"/>
  <c r="D325" i="9"/>
  <c r="O326" i="2"/>
  <c r="E331" i="4"/>
  <c r="C331" i="1"/>
  <c r="H331" i="1"/>
  <c r="C331" i="2"/>
  <c r="G331" i="1"/>
  <c r="D330" i="4"/>
  <c r="C330" i="4"/>
  <c r="G330" i="4" s="1"/>
  <c r="B330" i="4"/>
  <c r="B330" i="2" s="1"/>
  <c r="P330" i="2" s="1"/>
  <c r="B332" i="1"/>
  <c r="B326" i="9" l="1"/>
  <c r="C326" i="9"/>
  <c r="D326" i="9"/>
  <c r="O327" i="2"/>
  <c r="E332" i="4"/>
  <c r="C332" i="1"/>
  <c r="H332" i="1"/>
  <c r="C332" i="2"/>
  <c r="G332" i="1"/>
  <c r="D331" i="4"/>
  <c r="C331" i="4"/>
  <c r="G331" i="4" s="1"/>
  <c r="B331" i="4"/>
  <c r="B331" i="2" s="1"/>
  <c r="P331" i="2" s="1"/>
  <c r="B333" i="1"/>
  <c r="B327" i="9" l="1"/>
  <c r="C327" i="9"/>
  <c r="D327" i="9"/>
  <c r="O328" i="2"/>
  <c r="E333" i="4"/>
  <c r="C333" i="1"/>
  <c r="H333" i="1"/>
  <c r="C333" i="2"/>
  <c r="G333" i="1"/>
  <c r="D332" i="4"/>
  <c r="C332" i="4"/>
  <c r="G332" i="4" s="1"/>
  <c r="B332" i="4"/>
  <c r="B332" i="2" s="1"/>
  <c r="P332" i="2" s="1"/>
  <c r="B334" i="1"/>
  <c r="B328" i="9" l="1"/>
  <c r="C328" i="9"/>
  <c r="D328" i="9"/>
  <c r="O329" i="2"/>
  <c r="E334" i="4"/>
  <c r="C334" i="1"/>
  <c r="H334" i="1"/>
  <c r="C334" i="2"/>
  <c r="G334" i="1"/>
  <c r="D333" i="4"/>
  <c r="C333" i="4"/>
  <c r="G333" i="4" s="1"/>
  <c r="B333" i="4"/>
  <c r="B333" i="2" s="1"/>
  <c r="P333" i="2" s="1"/>
  <c r="B335" i="1"/>
  <c r="B329" i="9" l="1"/>
  <c r="C329" i="9"/>
  <c r="D329" i="9"/>
  <c r="O330" i="2"/>
  <c r="E335" i="4"/>
  <c r="C335" i="1"/>
  <c r="H335" i="1"/>
  <c r="C335" i="2"/>
  <c r="G335" i="1"/>
  <c r="D334" i="4"/>
  <c r="C334" i="4"/>
  <c r="G334" i="4" s="1"/>
  <c r="B334" i="4"/>
  <c r="B334" i="2" s="1"/>
  <c r="P334" i="2" s="1"/>
  <c r="B336" i="1"/>
  <c r="B330" i="9" l="1"/>
  <c r="C330" i="9"/>
  <c r="D330" i="9"/>
  <c r="O331" i="2"/>
  <c r="E336" i="4"/>
  <c r="C336" i="1"/>
  <c r="H336" i="1"/>
  <c r="C336" i="2"/>
  <c r="G336" i="1"/>
  <c r="D335" i="4"/>
  <c r="C335" i="4"/>
  <c r="G335" i="4" s="1"/>
  <c r="B335" i="4"/>
  <c r="B335" i="2" s="1"/>
  <c r="P335" i="2" s="1"/>
  <c r="B337" i="1"/>
  <c r="B331" i="9" l="1"/>
  <c r="C331" i="9"/>
  <c r="D331" i="9"/>
  <c r="O332" i="2"/>
  <c r="E337" i="4"/>
  <c r="C337" i="1"/>
  <c r="H337" i="1"/>
  <c r="C337" i="2"/>
  <c r="G337" i="1"/>
  <c r="D336" i="4"/>
  <c r="C336" i="4"/>
  <c r="G336" i="4" s="1"/>
  <c r="B336" i="4"/>
  <c r="B336" i="2" s="1"/>
  <c r="P336" i="2" s="1"/>
  <c r="B338" i="1"/>
  <c r="B332" i="9" l="1"/>
  <c r="C332" i="9"/>
  <c r="D332" i="9"/>
  <c r="O333" i="2"/>
  <c r="E338" i="4"/>
  <c r="C338" i="1"/>
  <c r="H338" i="1"/>
  <c r="C338" i="2"/>
  <c r="G338" i="1"/>
  <c r="D337" i="4"/>
  <c r="C337" i="4"/>
  <c r="G337" i="4" s="1"/>
  <c r="B337" i="4"/>
  <c r="B337" i="2" s="1"/>
  <c r="P337" i="2" s="1"/>
  <c r="B339" i="1"/>
  <c r="B333" i="9" l="1"/>
  <c r="C333" i="9"/>
  <c r="D333" i="9"/>
  <c r="O334" i="2"/>
  <c r="E339" i="4"/>
  <c r="C339" i="1"/>
  <c r="H339" i="1"/>
  <c r="C339" i="2"/>
  <c r="G339" i="1"/>
  <c r="D338" i="4"/>
  <c r="C338" i="4"/>
  <c r="G338" i="4" s="1"/>
  <c r="B338" i="4"/>
  <c r="B338" i="2" s="1"/>
  <c r="P338" i="2" s="1"/>
  <c r="B340" i="1"/>
  <c r="B334" i="9" l="1"/>
  <c r="C334" i="9"/>
  <c r="D334" i="9"/>
  <c r="O335" i="2"/>
  <c r="E340" i="4"/>
  <c r="C340" i="1"/>
  <c r="H340" i="1"/>
  <c r="C340" i="2"/>
  <c r="G340" i="1"/>
  <c r="D339" i="4"/>
  <c r="C339" i="4"/>
  <c r="G339" i="4" s="1"/>
  <c r="B339" i="4"/>
  <c r="B339" i="2" s="1"/>
  <c r="P339" i="2" s="1"/>
  <c r="B341" i="1"/>
  <c r="B335" i="9" l="1"/>
  <c r="C335" i="9"/>
  <c r="D335" i="9"/>
  <c r="O336" i="2"/>
  <c r="E341" i="4"/>
  <c r="C341" i="1"/>
  <c r="H341" i="1"/>
  <c r="C341" i="2"/>
  <c r="G341" i="1"/>
  <c r="D340" i="4"/>
  <c r="C340" i="4"/>
  <c r="G340" i="4" s="1"/>
  <c r="B340" i="4"/>
  <c r="B340" i="2" s="1"/>
  <c r="P340" i="2" s="1"/>
  <c r="B342" i="1"/>
  <c r="B336" i="9" l="1"/>
  <c r="C336" i="9"/>
  <c r="D336" i="9"/>
  <c r="O337" i="2"/>
  <c r="E342" i="4"/>
  <c r="C342" i="1"/>
  <c r="H342" i="1"/>
  <c r="C342" i="2"/>
  <c r="G342" i="1"/>
  <c r="D341" i="4"/>
  <c r="C341" i="4"/>
  <c r="G341" i="4" s="1"/>
  <c r="B341" i="4"/>
  <c r="B341" i="2" s="1"/>
  <c r="P341" i="2" s="1"/>
  <c r="B343" i="1"/>
  <c r="B337" i="9" l="1"/>
  <c r="C337" i="9"/>
  <c r="D337" i="9"/>
  <c r="O338" i="2"/>
  <c r="E343" i="4"/>
  <c r="C343" i="1"/>
  <c r="H343" i="1"/>
  <c r="C343" i="2"/>
  <c r="G343" i="1"/>
  <c r="D342" i="4"/>
  <c r="C342" i="4"/>
  <c r="G342" i="4" s="1"/>
  <c r="B342" i="4"/>
  <c r="B342" i="2" s="1"/>
  <c r="P342" i="2" s="1"/>
  <c r="B344" i="1"/>
  <c r="B338" i="9" l="1"/>
  <c r="C338" i="9"/>
  <c r="D338" i="9"/>
  <c r="O339" i="2"/>
  <c r="E344" i="4"/>
  <c r="C344" i="1"/>
  <c r="H344" i="1"/>
  <c r="C344" i="2"/>
  <c r="G344" i="1"/>
  <c r="D343" i="4"/>
  <c r="C343" i="4"/>
  <c r="G343" i="4" s="1"/>
  <c r="B343" i="4"/>
  <c r="B343" i="2" s="1"/>
  <c r="P343" i="2" s="1"/>
  <c r="B345" i="1"/>
  <c r="B339" i="9" l="1"/>
  <c r="C339" i="9"/>
  <c r="D339" i="9"/>
  <c r="O340" i="2"/>
  <c r="E345" i="4"/>
  <c r="C345" i="1"/>
  <c r="H345" i="1"/>
  <c r="C345" i="2"/>
  <c r="G345" i="1"/>
  <c r="D344" i="4"/>
  <c r="C344" i="4"/>
  <c r="G344" i="4" s="1"/>
  <c r="B344" i="4"/>
  <c r="B344" i="2" s="1"/>
  <c r="P344" i="2" s="1"/>
  <c r="B346" i="1"/>
  <c r="B340" i="9" l="1"/>
  <c r="C340" i="9"/>
  <c r="D340" i="9"/>
  <c r="O341" i="2"/>
  <c r="E346" i="4"/>
  <c r="C346" i="1"/>
  <c r="H346" i="1"/>
  <c r="C346" i="2"/>
  <c r="G346" i="1"/>
  <c r="D345" i="4"/>
  <c r="C345" i="4"/>
  <c r="G345" i="4" s="1"/>
  <c r="B345" i="4"/>
  <c r="B345" i="2" s="1"/>
  <c r="P345" i="2" s="1"/>
  <c r="B347" i="1"/>
  <c r="B341" i="9" l="1"/>
  <c r="C341" i="9"/>
  <c r="D341" i="9"/>
  <c r="O342" i="2"/>
  <c r="E347" i="4"/>
  <c r="C347" i="1"/>
  <c r="H347" i="1"/>
  <c r="C347" i="2"/>
  <c r="G347" i="1"/>
  <c r="D346" i="4"/>
  <c r="C346" i="4"/>
  <c r="G346" i="4" s="1"/>
  <c r="B346" i="4"/>
  <c r="B346" i="2" s="1"/>
  <c r="P346" i="2" s="1"/>
  <c r="B348" i="1"/>
  <c r="B342" i="9" l="1"/>
  <c r="C342" i="9"/>
  <c r="D342" i="9"/>
  <c r="O343" i="2"/>
  <c r="E348" i="4"/>
  <c r="C348" i="1"/>
  <c r="H348" i="1"/>
  <c r="C348" i="2"/>
  <c r="G348" i="1"/>
  <c r="D347" i="4"/>
  <c r="C347" i="4"/>
  <c r="G347" i="4" s="1"/>
  <c r="B347" i="4"/>
  <c r="B347" i="2" s="1"/>
  <c r="P347" i="2" s="1"/>
  <c r="B349" i="1"/>
  <c r="B343" i="9" l="1"/>
  <c r="C343" i="9"/>
  <c r="D343" i="9"/>
  <c r="O344" i="2"/>
  <c r="E349" i="4"/>
  <c r="C349" i="1"/>
  <c r="H349" i="1"/>
  <c r="C349" i="2"/>
  <c r="G349" i="1"/>
  <c r="D348" i="4"/>
  <c r="C348" i="4"/>
  <c r="G348" i="4" s="1"/>
  <c r="B348" i="4"/>
  <c r="B348" i="2" s="1"/>
  <c r="P348" i="2" s="1"/>
  <c r="B350" i="1"/>
  <c r="B344" i="9" l="1"/>
  <c r="C344" i="9"/>
  <c r="D344" i="9"/>
  <c r="O345" i="2"/>
  <c r="E350" i="4"/>
  <c r="C350" i="1"/>
  <c r="H350" i="1"/>
  <c r="C350" i="2"/>
  <c r="G350" i="1"/>
  <c r="D349" i="4"/>
  <c r="C349" i="4"/>
  <c r="G349" i="4" s="1"/>
  <c r="B349" i="4"/>
  <c r="B349" i="2" s="1"/>
  <c r="P349" i="2" s="1"/>
  <c r="B351" i="1"/>
  <c r="B345" i="9" l="1"/>
  <c r="C345" i="9"/>
  <c r="D345" i="9"/>
  <c r="O346" i="2"/>
  <c r="E351" i="4"/>
  <c r="C351" i="1"/>
  <c r="H351" i="1"/>
  <c r="C351" i="2"/>
  <c r="G351" i="1"/>
  <c r="D350" i="4"/>
  <c r="C350" i="4"/>
  <c r="G350" i="4" s="1"/>
  <c r="B350" i="4"/>
  <c r="B350" i="2" s="1"/>
  <c r="P350" i="2" s="1"/>
  <c r="B352" i="1"/>
  <c r="B346" i="9" l="1"/>
  <c r="C346" i="9"/>
  <c r="D346" i="9"/>
  <c r="O347" i="2"/>
  <c r="E352" i="4"/>
  <c r="C352" i="1"/>
  <c r="H352" i="1"/>
  <c r="C352" i="2"/>
  <c r="G352" i="1"/>
  <c r="D351" i="4"/>
  <c r="C351" i="4"/>
  <c r="G351" i="4" s="1"/>
  <c r="B351" i="4"/>
  <c r="B351" i="2" s="1"/>
  <c r="P351" i="2" s="1"/>
  <c r="B353" i="1"/>
  <c r="B347" i="9" l="1"/>
  <c r="C347" i="9"/>
  <c r="D347" i="9"/>
  <c r="O348" i="2"/>
  <c r="E353" i="4"/>
  <c r="C353" i="1"/>
  <c r="H353" i="1"/>
  <c r="C353" i="2"/>
  <c r="G353" i="1"/>
  <c r="D352" i="4"/>
  <c r="C352" i="4"/>
  <c r="G352" i="4" s="1"/>
  <c r="B352" i="4"/>
  <c r="B352" i="2" s="1"/>
  <c r="P352" i="2" s="1"/>
  <c r="B354" i="1"/>
  <c r="B348" i="9" l="1"/>
  <c r="C348" i="9"/>
  <c r="D348" i="9"/>
  <c r="O349" i="2"/>
  <c r="E354" i="4"/>
  <c r="C354" i="1"/>
  <c r="H354" i="1"/>
  <c r="C354" i="2"/>
  <c r="G354" i="1"/>
  <c r="D353" i="4"/>
  <c r="C353" i="4"/>
  <c r="G353" i="4" s="1"/>
  <c r="B353" i="4"/>
  <c r="B353" i="2" s="1"/>
  <c r="P353" i="2" s="1"/>
  <c r="B355" i="1"/>
  <c r="B349" i="9" l="1"/>
  <c r="C349" i="9"/>
  <c r="D349" i="9"/>
  <c r="O350" i="2"/>
  <c r="E355" i="4"/>
  <c r="C355" i="1"/>
  <c r="H355" i="1"/>
  <c r="C355" i="2"/>
  <c r="G355" i="1"/>
  <c r="D354" i="4"/>
  <c r="C354" i="4"/>
  <c r="G354" i="4" s="1"/>
  <c r="B354" i="4"/>
  <c r="B354" i="2" s="1"/>
  <c r="P354" i="2" s="1"/>
  <c r="B356" i="1"/>
  <c r="B350" i="9" l="1"/>
  <c r="C350" i="9"/>
  <c r="D350" i="9"/>
  <c r="O351" i="2"/>
  <c r="E356" i="4"/>
  <c r="C356" i="1"/>
  <c r="H356" i="1"/>
  <c r="C356" i="2"/>
  <c r="G356" i="1"/>
  <c r="D355" i="4"/>
  <c r="C355" i="4"/>
  <c r="G355" i="4" s="1"/>
  <c r="B355" i="4"/>
  <c r="B355" i="2" s="1"/>
  <c r="P355" i="2" s="1"/>
  <c r="B357" i="1"/>
  <c r="B351" i="9" l="1"/>
  <c r="C351" i="9"/>
  <c r="D351" i="9"/>
  <c r="O352" i="2"/>
  <c r="E357" i="4"/>
  <c r="C357" i="1"/>
  <c r="H357" i="1"/>
  <c r="C357" i="2"/>
  <c r="G357" i="1"/>
  <c r="D356" i="4"/>
  <c r="C356" i="4"/>
  <c r="G356" i="4" s="1"/>
  <c r="B356" i="4"/>
  <c r="B356" i="2" s="1"/>
  <c r="P356" i="2" s="1"/>
  <c r="B358" i="1"/>
  <c r="B352" i="9" l="1"/>
  <c r="C352" i="9"/>
  <c r="D352" i="9"/>
  <c r="O353" i="2"/>
  <c r="E358" i="4"/>
  <c r="C358" i="1"/>
  <c r="H358" i="1"/>
  <c r="C358" i="2"/>
  <c r="G358" i="1"/>
  <c r="D357" i="4"/>
  <c r="C357" i="4"/>
  <c r="G357" i="4" s="1"/>
  <c r="B357" i="4"/>
  <c r="B357" i="2" s="1"/>
  <c r="P357" i="2" s="1"/>
  <c r="B359" i="1"/>
  <c r="B353" i="9" l="1"/>
  <c r="C353" i="9"/>
  <c r="D353" i="9"/>
  <c r="O354" i="2"/>
  <c r="E359" i="4"/>
  <c r="C359" i="1"/>
  <c r="H359" i="1"/>
  <c r="C359" i="2"/>
  <c r="G359" i="1"/>
  <c r="D358" i="4"/>
  <c r="C358" i="4"/>
  <c r="G358" i="4" s="1"/>
  <c r="B358" i="4"/>
  <c r="B358" i="2" s="1"/>
  <c r="P358" i="2" s="1"/>
  <c r="B360" i="1"/>
  <c r="B354" i="9" l="1"/>
  <c r="C354" i="9"/>
  <c r="D354" i="9"/>
  <c r="O355" i="2"/>
  <c r="E360" i="4"/>
  <c r="C360" i="1"/>
  <c r="H360" i="1"/>
  <c r="C360" i="2"/>
  <c r="G360" i="1"/>
  <c r="D359" i="4"/>
  <c r="C359" i="4"/>
  <c r="G359" i="4" s="1"/>
  <c r="B359" i="4"/>
  <c r="B359" i="2" s="1"/>
  <c r="P359" i="2" s="1"/>
  <c r="B361" i="1"/>
  <c r="B355" i="9" l="1"/>
  <c r="C355" i="9"/>
  <c r="D355" i="9"/>
  <c r="O356" i="2"/>
  <c r="E361" i="4"/>
  <c r="C361" i="1"/>
  <c r="H361" i="1"/>
  <c r="C361" i="2"/>
  <c r="G361" i="1"/>
  <c r="D360" i="4"/>
  <c r="C360" i="4"/>
  <c r="G360" i="4" s="1"/>
  <c r="B360" i="4"/>
  <c r="B360" i="2" s="1"/>
  <c r="P360" i="2" s="1"/>
  <c r="B362" i="1"/>
  <c r="B356" i="9" l="1"/>
  <c r="C356" i="9"/>
  <c r="D356" i="9"/>
  <c r="O357" i="2"/>
  <c r="E362" i="4"/>
  <c r="C362" i="1"/>
  <c r="H362" i="1"/>
  <c r="C362" i="2"/>
  <c r="G362" i="1"/>
  <c r="D361" i="4"/>
  <c r="C361" i="4"/>
  <c r="G361" i="4" s="1"/>
  <c r="B361" i="4"/>
  <c r="B361" i="2" s="1"/>
  <c r="P361" i="2" s="1"/>
  <c r="B363" i="1"/>
  <c r="B357" i="9" l="1"/>
  <c r="C357" i="9"/>
  <c r="D357" i="9"/>
  <c r="O358" i="2"/>
  <c r="E363" i="4"/>
  <c r="C363" i="1"/>
  <c r="H363" i="1"/>
  <c r="C363" i="2"/>
  <c r="G363" i="1"/>
  <c r="D362" i="4"/>
  <c r="C362" i="4"/>
  <c r="G362" i="4" s="1"/>
  <c r="B362" i="4"/>
  <c r="B362" i="2" s="1"/>
  <c r="P362" i="2" s="1"/>
  <c r="B364" i="1"/>
  <c r="B358" i="9" l="1"/>
  <c r="C358" i="9"/>
  <c r="D358" i="9"/>
  <c r="O359" i="2"/>
  <c r="E364" i="4"/>
  <c r="C364" i="1"/>
  <c r="H364" i="1"/>
  <c r="C364" i="2"/>
  <c r="G364" i="1"/>
  <c r="D363" i="4"/>
  <c r="C363" i="4"/>
  <c r="G363" i="4" s="1"/>
  <c r="B363" i="4"/>
  <c r="B363" i="2" s="1"/>
  <c r="P363" i="2" s="1"/>
  <c r="B365" i="1"/>
  <c r="B359" i="9" l="1"/>
  <c r="C359" i="9"/>
  <c r="D359" i="9"/>
  <c r="O360" i="2"/>
  <c r="E365" i="4"/>
  <c r="C365" i="1"/>
  <c r="H365" i="1"/>
  <c r="C365" i="2"/>
  <c r="G365" i="1"/>
  <c r="D364" i="4"/>
  <c r="C364" i="4"/>
  <c r="G364" i="4" s="1"/>
  <c r="B364" i="4"/>
  <c r="B364" i="2" s="1"/>
  <c r="P364" i="2" s="1"/>
  <c r="B366" i="1"/>
  <c r="B360" i="9" l="1"/>
  <c r="C360" i="9"/>
  <c r="D360" i="9"/>
  <c r="O361" i="2"/>
  <c r="E366" i="4"/>
  <c r="C366" i="1"/>
  <c r="H366" i="1"/>
  <c r="C366" i="2"/>
  <c r="G366" i="1"/>
  <c r="D365" i="4"/>
  <c r="C365" i="4"/>
  <c r="G365" i="4" s="1"/>
  <c r="B365" i="4"/>
  <c r="B365" i="2" s="1"/>
  <c r="P365" i="2" s="1"/>
  <c r="B367" i="1"/>
  <c r="B361" i="9" l="1"/>
  <c r="C361" i="9"/>
  <c r="D361" i="9"/>
  <c r="O362" i="2"/>
  <c r="E367" i="4"/>
  <c r="C367" i="1"/>
  <c r="H367" i="1"/>
  <c r="C367" i="2"/>
  <c r="G367" i="1"/>
  <c r="D366" i="4"/>
  <c r="C366" i="4"/>
  <c r="G366" i="4" s="1"/>
  <c r="B366" i="4"/>
  <c r="B366" i="2" s="1"/>
  <c r="P366" i="2" s="1"/>
  <c r="B368" i="1"/>
  <c r="B362" i="9" l="1"/>
  <c r="C362" i="9"/>
  <c r="D362" i="9"/>
  <c r="O363" i="2"/>
  <c r="E368" i="4"/>
  <c r="C368" i="1"/>
  <c r="H368" i="1"/>
  <c r="C368" i="2"/>
  <c r="G368" i="1"/>
  <c r="D367" i="4"/>
  <c r="C367" i="4"/>
  <c r="G367" i="4" s="1"/>
  <c r="B367" i="4"/>
  <c r="B367" i="2" s="1"/>
  <c r="P367" i="2" s="1"/>
  <c r="B369" i="1"/>
  <c r="B363" i="9" l="1"/>
  <c r="C363" i="9"/>
  <c r="D363" i="9"/>
  <c r="O364" i="2"/>
  <c r="E369" i="4"/>
  <c r="C369" i="1"/>
  <c r="H369" i="1"/>
  <c r="C369" i="2"/>
  <c r="G369" i="1"/>
  <c r="D368" i="4"/>
  <c r="C368" i="4"/>
  <c r="G368" i="4" s="1"/>
  <c r="B368" i="4"/>
  <c r="B368" i="2" s="1"/>
  <c r="P368" i="2" s="1"/>
  <c r="B370" i="1"/>
  <c r="B364" i="9" l="1"/>
  <c r="C364" i="9"/>
  <c r="D364" i="9"/>
  <c r="O365" i="2"/>
  <c r="E370" i="4"/>
  <c r="C370" i="1"/>
  <c r="H370" i="1"/>
  <c r="C370" i="2"/>
  <c r="G370" i="1"/>
  <c r="D369" i="4"/>
  <c r="C369" i="4"/>
  <c r="G369" i="4" s="1"/>
  <c r="B369" i="4"/>
  <c r="B369" i="2" s="1"/>
  <c r="P369" i="2" s="1"/>
  <c r="B371" i="1"/>
  <c r="B365" i="9" l="1"/>
  <c r="C365" i="9"/>
  <c r="D365" i="9"/>
  <c r="O366" i="2"/>
  <c r="E371" i="4"/>
  <c r="C371" i="1"/>
  <c r="H371" i="1"/>
  <c r="C371" i="2"/>
  <c r="G371" i="1"/>
  <c r="D370" i="4"/>
  <c r="C370" i="4"/>
  <c r="G370" i="4" s="1"/>
  <c r="B370" i="4"/>
  <c r="B370" i="2" s="1"/>
  <c r="P370" i="2" s="1"/>
  <c r="B372" i="1"/>
  <c r="B366" i="9" l="1"/>
  <c r="C366" i="9"/>
  <c r="D366" i="9"/>
  <c r="O367" i="2"/>
  <c r="E372" i="4"/>
  <c r="C372" i="1"/>
  <c r="H372" i="1"/>
  <c r="C372" i="2"/>
  <c r="G372" i="1"/>
  <c r="D371" i="4"/>
  <c r="C371" i="4"/>
  <c r="G371" i="4" s="1"/>
  <c r="B371" i="4"/>
  <c r="B371" i="2" s="1"/>
  <c r="P371" i="2" s="1"/>
  <c r="B373" i="1"/>
  <c r="B367" i="9" l="1"/>
  <c r="C367" i="9"/>
  <c r="D367" i="9"/>
  <c r="O368" i="2"/>
  <c r="E373" i="4"/>
  <c r="C373" i="1"/>
  <c r="H373" i="1"/>
  <c r="C373" i="2"/>
  <c r="G373" i="1"/>
  <c r="D372" i="4"/>
  <c r="C372" i="4"/>
  <c r="G372" i="4" s="1"/>
  <c r="B372" i="4"/>
  <c r="B372" i="2" s="1"/>
  <c r="P372" i="2" s="1"/>
  <c r="B374" i="1"/>
  <c r="B368" i="9" l="1"/>
  <c r="C368" i="9"/>
  <c r="D368" i="9"/>
  <c r="O369" i="2"/>
  <c r="E374" i="4"/>
  <c r="C374" i="1"/>
  <c r="H374" i="1"/>
  <c r="C374" i="2"/>
  <c r="G374" i="1"/>
  <c r="D373" i="4"/>
  <c r="C373" i="4"/>
  <c r="G373" i="4" s="1"/>
  <c r="B373" i="4"/>
  <c r="B373" i="2" s="1"/>
  <c r="P373" i="2" s="1"/>
  <c r="B375" i="1"/>
  <c r="B369" i="9" l="1"/>
  <c r="C369" i="9"/>
  <c r="D369" i="9"/>
  <c r="O370" i="2"/>
  <c r="E375" i="4"/>
  <c r="C375" i="1"/>
  <c r="H375" i="1"/>
  <c r="C375" i="2"/>
  <c r="G375" i="1"/>
  <c r="D374" i="4"/>
  <c r="C374" i="4"/>
  <c r="G374" i="4" s="1"/>
  <c r="B374" i="4"/>
  <c r="B374" i="2" s="1"/>
  <c r="P374" i="2" s="1"/>
  <c r="B376" i="1"/>
  <c r="B370" i="9" l="1"/>
  <c r="C370" i="9"/>
  <c r="D370" i="9"/>
  <c r="O371" i="2"/>
  <c r="E376" i="4"/>
  <c r="C376" i="1"/>
  <c r="H376" i="1"/>
  <c r="C376" i="2"/>
  <c r="G376" i="1"/>
  <c r="D375" i="4"/>
  <c r="C375" i="4"/>
  <c r="G375" i="4" s="1"/>
  <c r="B375" i="4"/>
  <c r="B375" i="2" s="1"/>
  <c r="P375" i="2" s="1"/>
  <c r="B377" i="1"/>
  <c r="B371" i="9" l="1"/>
  <c r="C371" i="9"/>
  <c r="D371" i="9"/>
  <c r="O372" i="2"/>
  <c r="E377" i="4"/>
  <c r="C377" i="1"/>
  <c r="H377" i="1"/>
  <c r="C377" i="2"/>
  <c r="B6" i="3"/>
  <c r="G377" i="1"/>
  <c r="D376" i="4"/>
  <c r="C376" i="4"/>
  <c r="G376" i="4" s="1"/>
  <c r="B376" i="4"/>
  <c r="B376" i="2" s="1"/>
  <c r="P376" i="2" s="1"/>
  <c r="B378" i="1"/>
  <c r="B372" i="9" l="1"/>
  <c r="C372" i="9"/>
  <c r="D372" i="9"/>
  <c r="O373" i="2"/>
  <c r="E378" i="4"/>
  <c r="C378" i="1"/>
  <c r="C6" i="3"/>
  <c r="P6" i="3"/>
  <c r="H378" i="1"/>
  <c r="C378" i="2"/>
  <c r="G378" i="1"/>
  <c r="D377" i="4"/>
  <c r="C377" i="4"/>
  <c r="G377" i="4" s="1"/>
  <c r="B377" i="4"/>
  <c r="B377" i="2" s="1"/>
  <c r="P377" i="2" s="1"/>
  <c r="B379" i="1"/>
  <c r="B373" i="9" l="1"/>
  <c r="C373" i="9"/>
  <c r="D373" i="9"/>
  <c r="O374" i="2"/>
  <c r="E379" i="4"/>
  <c r="C379" i="1"/>
  <c r="H379" i="1"/>
  <c r="C379" i="2"/>
  <c r="G379" i="1"/>
  <c r="D378" i="4"/>
  <c r="C378" i="4"/>
  <c r="G378" i="4" s="1"/>
  <c r="B378" i="4"/>
  <c r="B378" i="2" s="1"/>
  <c r="P378" i="2" s="1"/>
  <c r="B380" i="1"/>
  <c r="B374" i="9" l="1"/>
  <c r="C374" i="9"/>
  <c r="D374" i="9"/>
  <c r="O375" i="2"/>
  <c r="E380" i="4"/>
  <c r="C380" i="1"/>
  <c r="H380" i="1"/>
  <c r="C380" i="2"/>
  <c r="G380" i="1"/>
  <c r="D379" i="4"/>
  <c r="C379" i="4"/>
  <c r="G379" i="4" s="1"/>
  <c r="B379" i="4"/>
  <c r="B379" i="2" s="1"/>
  <c r="P379" i="2" s="1"/>
  <c r="B381" i="1"/>
  <c r="B375" i="9" l="1"/>
  <c r="C375" i="9"/>
  <c r="D375" i="9"/>
  <c r="O376" i="2"/>
  <c r="E381" i="4"/>
  <c r="C381" i="1"/>
  <c r="H381" i="1"/>
  <c r="C381" i="2"/>
  <c r="G381" i="1"/>
  <c r="D380" i="4"/>
  <c r="C380" i="4"/>
  <c r="G380" i="4" s="1"/>
  <c r="B380" i="4"/>
  <c r="B380" i="2" s="1"/>
  <c r="P380" i="2" s="1"/>
  <c r="B382" i="1"/>
  <c r="B376" i="9" l="1"/>
  <c r="C376" i="9"/>
  <c r="D376" i="9"/>
  <c r="O377" i="2"/>
  <c r="E382" i="4"/>
  <c r="C382" i="1"/>
  <c r="H382" i="1"/>
  <c r="C382" i="2"/>
  <c r="G382" i="1"/>
  <c r="D381" i="4"/>
  <c r="C381" i="4"/>
  <c r="G381" i="4" s="1"/>
  <c r="B381" i="4"/>
  <c r="B381" i="2" s="1"/>
  <c r="P381" i="2" s="1"/>
  <c r="B383" i="1"/>
  <c r="B377" i="9" l="1"/>
  <c r="C377" i="9"/>
  <c r="D377" i="9"/>
  <c r="O378" i="2"/>
  <c r="E383" i="4"/>
  <c r="C383" i="1"/>
  <c r="H383" i="1"/>
  <c r="C383" i="2"/>
  <c r="G383" i="1"/>
  <c r="D382" i="4"/>
  <c r="C382" i="4"/>
  <c r="G382" i="4" s="1"/>
  <c r="B382" i="4"/>
  <c r="B382" i="2" s="1"/>
  <c r="P382" i="2" s="1"/>
  <c r="B384" i="1"/>
  <c r="B378" i="9" l="1"/>
  <c r="C378" i="9"/>
  <c r="D378" i="9"/>
  <c r="O379" i="2"/>
  <c r="E384" i="4"/>
  <c r="C384" i="1"/>
  <c r="H384" i="1"/>
  <c r="C384" i="2"/>
  <c r="G384" i="1"/>
  <c r="D383" i="4"/>
  <c r="C383" i="4"/>
  <c r="G383" i="4" s="1"/>
  <c r="B383" i="4"/>
  <c r="B383" i="2" s="1"/>
  <c r="P383" i="2" s="1"/>
  <c r="B385" i="1"/>
  <c r="B379" i="9" l="1"/>
  <c r="C379" i="9"/>
  <c r="D379" i="9"/>
  <c r="O380" i="2"/>
  <c r="E385" i="4"/>
  <c r="C385" i="1"/>
  <c r="H385" i="1"/>
  <c r="C385" i="2"/>
  <c r="G385" i="1"/>
  <c r="D384" i="4"/>
  <c r="C384" i="4"/>
  <c r="G384" i="4" s="1"/>
  <c r="B384" i="4"/>
  <c r="B384" i="2" s="1"/>
  <c r="P384" i="2" s="1"/>
  <c r="B386" i="1"/>
  <c r="B380" i="9" l="1"/>
  <c r="C380" i="9"/>
  <c r="D380" i="9"/>
  <c r="O381" i="2"/>
  <c r="E386" i="4"/>
  <c r="C386" i="1"/>
  <c r="H386" i="1"/>
  <c r="C386" i="2"/>
  <c r="G386" i="1"/>
  <c r="D385" i="4"/>
  <c r="C385" i="4"/>
  <c r="G385" i="4" s="1"/>
  <c r="B385" i="4"/>
  <c r="B385" i="2" s="1"/>
  <c r="P385" i="2" s="1"/>
  <c r="B387" i="1"/>
  <c r="B381" i="9" l="1"/>
  <c r="C381" i="9"/>
  <c r="D381" i="9"/>
  <c r="O382" i="2"/>
  <c r="E387" i="4"/>
  <c r="C387" i="1"/>
  <c r="H387" i="1"/>
  <c r="C387" i="2"/>
  <c r="G387" i="1"/>
  <c r="D386" i="4"/>
  <c r="C386" i="4"/>
  <c r="G386" i="4" s="1"/>
  <c r="B386" i="4"/>
  <c r="B386" i="2" s="1"/>
  <c r="P386" i="2" s="1"/>
  <c r="B388" i="1"/>
  <c r="B382" i="9" l="1"/>
  <c r="C382" i="9"/>
  <c r="D382" i="9"/>
  <c r="O383" i="2"/>
  <c r="E388" i="4"/>
  <c r="C388" i="1"/>
  <c r="H388" i="1"/>
  <c r="C388" i="2"/>
  <c r="G388" i="1"/>
  <c r="D387" i="4"/>
  <c r="C387" i="4"/>
  <c r="G387" i="4" s="1"/>
  <c r="B387" i="4"/>
  <c r="B387" i="2" s="1"/>
  <c r="P387" i="2" s="1"/>
  <c r="B389" i="1"/>
  <c r="B383" i="9" l="1"/>
  <c r="C383" i="9"/>
  <c r="D383" i="9"/>
  <c r="O384" i="2"/>
  <c r="E389" i="4"/>
  <c r="C389" i="1"/>
  <c r="H389" i="1"/>
  <c r="C389" i="2"/>
  <c r="G389" i="1"/>
  <c r="D388" i="4"/>
  <c r="C388" i="4"/>
  <c r="G388" i="4" s="1"/>
  <c r="B388" i="4"/>
  <c r="B388" i="2" s="1"/>
  <c r="P388" i="2" s="1"/>
  <c r="B390" i="1"/>
  <c r="B384" i="9" l="1"/>
  <c r="C384" i="9"/>
  <c r="D384" i="9"/>
  <c r="O385" i="2"/>
  <c r="E390" i="4"/>
  <c r="C390" i="1"/>
  <c r="H390" i="1"/>
  <c r="C390" i="2"/>
  <c r="G390" i="1"/>
  <c r="D389" i="4"/>
  <c r="C389" i="4"/>
  <c r="G389" i="4" s="1"/>
  <c r="B389" i="4"/>
  <c r="B389" i="2" s="1"/>
  <c r="P389" i="2" s="1"/>
  <c r="B391" i="1"/>
  <c r="B385" i="9" l="1"/>
  <c r="C385" i="9"/>
  <c r="D385" i="9"/>
  <c r="O386" i="2"/>
  <c r="E391" i="4"/>
  <c r="C391" i="1"/>
  <c r="H391" i="1"/>
  <c r="C391" i="2"/>
  <c r="G391" i="1"/>
  <c r="D390" i="4"/>
  <c r="C390" i="4"/>
  <c r="G390" i="4" s="1"/>
  <c r="B390" i="4"/>
  <c r="B390" i="2" s="1"/>
  <c r="P390" i="2" s="1"/>
  <c r="B392" i="1"/>
  <c r="B386" i="9" l="1"/>
  <c r="C386" i="9"/>
  <c r="D386" i="9"/>
  <c r="O387" i="2"/>
  <c r="E392" i="4"/>
  <c r="C392" i="1"/>
  <c r="H392" i="1"/>
  <c r="C392" i="2"/>
  <c r="G392" i="1"/>
  <c r="D391" i="4"/>
  <c r="C391" i="4"/>
  <c r="G391" i="4" s="1"/>
  <c r="B391" i="4"/>
  <c r="B391" i="2" s="1"/>
  <c r="P391" i="2" s="1"/>
  <c r="B393" i="1"/>
  <c r="B387" i="9" l="1"/>
  <c r="C387" i="9"/>
  <c r="D387" i="9"/>
  <c r="O388" i="2"/>
  <c r="E393" i="4"/>
  <c r="C393" i="1"/>
  <c r="H393" i="1"/>
  <c r="C393" i="2"/>
  <c r="G393" i="1"/>
  <c r="D392" i="4"/>
  <c r="C392" i="4"/>
  <c r="G392" i="4" s="1"/>
  <c r="B392" i="4"/>
  <c r="B392" i="2" s="1"/>
  <c r="P392" i="2" s="1"/>
  <c r="B394" i="1"/>
  <c r="B388" i="9" l="1"/>
  <c r="C388" i="9"/>
  <c r="D388" i="9"/>
  <c r="O389" i="2"/>
  <c r="E394" i="4"/>
  <c r="C394" i="1"/>
  <c r="H394" i="1"/>
  <c r="C394" i="2"/>
  <c r="G394" i="1"/>
  <c r="D393" i="4"/>
  <c r="C393" i="4"/>
  <c r="G393" i="4" s="1"/>
  <c r="B393" i="4"/>
  <c r="B393" i="2" s="1"/>
  <c r="P393" i="2" s="1"/>
  <c r="B395" i="1"/>
  <c r="B389" i="9" l="1"/>
  <c r="C389" i="9"/>
  <c r="D389" i="9"/>
  <c r="O390" i="2"/>
  <c r="E395" i="4"/>
  <c r="C395" i="1"/>
  <c r="H395" i="1"/>
  <c r="C395" i="2"/>
  <c r="G395" i="1"/>
  <c r="D394" i="4"/>
  <c r="C394" i="4"/>
  <c r="G394" i="4" s="1"/>
  <c r="B394" i="4"/>
  <c r="B394" i="2" s="1"/>
  <c r="P394" i="2" s="1"/>
  <c r="B396" i="1"/>
  <c r="B390" i="9" l="1"/>
  <c r="C390" i="9"/>
  <c r="D390" i="9"/>
  <c r="O391" i="2"/>
  <c r="E396" i="4"/>
  <c r="C396" i="1"/>
  <c r="H396" i="1"/>
  <c r="C396" i="2"/>
  <c r="G396" i="1"/>
  <c r="D395" i="4"/>
  <c r="C395" i="4"/>
  <c r="G395" i="4" s="1"/>
  <c r="B395" i="4"/>
  <c r="B395" i="2" s="1"/>
  <c r="P395" i="2" s="1"/>
  <c r="B397" i="1"/>
  <c r="B391" i="9" l="1"/>
  <c r="C391" i="9"/>
  <c r="D391" i="9"/>
  <c r="O392" i="2"/>
  <c r="E397" i="4"/>
  <c r="C397" i="1"/>
  <c r="H397" i="1"/>
  <c r="C397" i="2"/>
  <c r="G397" i="1"/>
  <c r="D396" i="4"/>
  <c r="C396" i="4"/>
  <c r="G396" i="4" s="1"/>
  <c r="B396" i="4"/>
  <c r="B396" i="2" s="1"/>
  <c r="P396" i="2" s="1"/>
  <c r="B398" i="1"/>
  <c r="B392" i="9" l="1"/>
  <c r="C392" i="9"/>
  <c r="D392" i="9"/>
  <c r="O393" i="2"/>
  <c r="E398" i="4"/>
  <c r="C398" i="1"/>
  <c r="H398" i="1"/>
  <c r="C398" i="2"/>
  <c r="G398" i="1"/>
  <c r="D397" i="4"/>
  <c r="C397" i="4"/>
  <c r="G397" i="4" s="1"/>
  <c r="B397" i="4"/>
  <c r="B397" i="2" s="1"/>
  <c r="P397" i="2" s="1"/>
  <c r="B399" i="1"/>
  <c r="B393" i="9" l="1"/>
  <c r="C393" i="9"/>
  <c r="D393" i="9"/>
  <c r="O394" i="2"/>
  <c r="E399" i="4"/>
  <c r="C399" i="1"/>
  <c r="H399" i="1"/>
  <c r="C399" i="2"/>
  <c r="G399" i="1"/>
  <c r="D398" i="4"/>
  <c r="C398" i="4"/>
  <c r="G398" i="4" s="1"/>
  <c r="B398" i="4"/>
  <c r="B398" i="2" s="1"/>
  <c r="P398" i="2" s="1"/>
  <c r="B400" i="1"/>
  <c r="B394" i="9" l="1"/>
  <c r="C394" i="9"/>
  <c r="D394" i="9"/>
  <c r="O395" i="2"/>
  <c r="E400" i="4"/>
  <c r="C400" i="1"/>
  <c r="H400" i="1"/>
  <c r="C400" i="2"/>
  <c r="G400" i="1"/>
  <c r="D399" i="4"/>
  <c r="C399" i="4"/>
  <c r="G399" i="4" s="1"/>
  <c r="B399" i="4"/>
  <c r="B399" i="2" s="1"/>
  <c r="P399" i="2" s="1"/>
  <c r="B401" i="1"/>
  <c r="B395" i="9" l="1"/>
  <c r="C395" i="9"/>
  <c r="D395" i="9"/>
  <c r="O396" i="2"/>
  <c r="E401" i="4"/>
  <c r="C401" i="1"/>
  <c r="H401" i="1"/>
  <c r="C401" i="2"/>
  <c r="G401" i="1"/>
  <c r="D400" i="4"/>
  <c r="C400" i="4"/>
  <c r="G400" i="4" s="1"/>
  <c r="B400" i="4"/>
  <c r="B400" i="2" s="1"/>
  <c r="P400" i="2" s="1"/>
  <c r="B402" i="1"/>
  <c r="B396" i="9" l="1"/>
  <c r="C396" i="9"/>
  <c r="D396" i="9"/>
  <c r="O397" i="2"/>
  <c r="E402" i="4"/>
  <c r="C402" i="1"/>
  <c r="H402" i="1"/>
  <c r="C402" i="2"/>
  <c r="G402" i="1"/>
  <c r="D401" i="4"/>
  <c r="C401" i="4"/>
  <c r="G401" i="4" s="1"/>
  <c r="B401" i="4"/>
  <c r="B401" i="2" s="1"/>
  <c r="P401" i="2" s="1"/>
  <c r="B403" i="1"/>
  <c r="B397" i="9" l="1"/>
  <c r="C397" i="9"/>
  <c r="D397" i="9"/>
  <c r="O398" i="2"/>
  <c r="E403" i="4"/>
  <c r="C403" i="1"/>
  <c r="H403" i="1"/>
  <c r="C403" i="2"/>
  <c r="G403" i="1"/>
  <c r="D402" i="4"/>
  <c r="C402" i="4"/>
  <c r="G402" i="4" s="1"/>
  <c r="B402" i="4"/>
  <c r="B402" i="2" s="1"/>
  <c r="P402" i="2" s="1"/>
  <c r="B404" i="1"/>
  <c r="B398" i="9" l="1"/>
  <c r="C398" i="9"/>
  <c r="D398" i="9"/>
  <c r="O399" i="2"/>
  <c r="E404" i="4"/>
  <c r="C404" i="1"/>
  <c r="H404" i="1"/>
  <c r="C404" i="2"/>
  <c r="G404" i="1"/>
  <c r="D403" i="4"/>
  <c r="C403" i="4"/>
  <c r="G403" i="4" s="1"/>
  <c r="B403" i="4"/>
  <c r="B403" i="2" s="1"/>
  <c r="P403" i="2" s="1"/>
  <c r="B405" i="1"/>
  <c r="B399" i="9" l="1"/>
  <c r="C399" i="9"/>
  <c r="D399" i="9"/>
  <c r="O400" i="2"/>
  <c r="E405" i="4"/>
  <c r="C405" i="1"/>
  <c r="H405" i="1"/>
  <c r="C405" i="2"/>
  <c r="G405" i="1"/>
  <c r="D404" i="4"/>
  <c r="C404" i="4"/>
  <c r="G404" i="4" s="1"/>
  <c r="B404" i="4"/>
  <c r="B404" i="2" s="1"/>
  <c r="P404" i="2" s="1"/>
  <c r="B406" i="1"/>
  <c r="B400" i="9" l="1"/>
  <c r="C400" i="9"/>
  <c r="D400" i="9"/>
  <c r="O401" i="2"/>
  <c r="E406" i="4"/>
  <c r="C406" i="1"/>
  <c r="H406" i="1"/>
  <c r="C406" i="2"/>
  <c r="G406" i="1"/>
  <c r="D405" i="4"/>
  <c r="C405" i="4"/>
  <c r="G405" i="4" s="1"/>
  <c r="B405" i="4"/>
  <c r="B405" i="2" s="1"/>
  <c r="P405" i="2" s="1"/>
  <c r="B407" i="1"/>
  <c r="B401" i="9" l="1"/>
  <c r="C401" i="9"/>
  <c r="D401" i="9"/>
  <c r="O402" i="2"/>
  <c r="E407" i="4"/>
  <c r="C407" i="1"/>
  <c r="H407" i="1"/>
  <c r="C407" i="2"/>
  <c r="G407" i="1"/>
  <c r="D406" i="4"/>
  <c r="C406" i="4"/>
  <c r="G406" i="4" s="1"/>
  <c r="B406" i="4"/>
  <c r="B406" i="2" s="1"/>
  <c r="P406" i="2" s="1"/>
  <c r="B408" i="1"/>
  <c r="B402" i="9" l="1"/>
  <c r="C402" i="9"/>
  <c r="D402" i="9"/>
  <c r="O403" i="2"/>
  <c r="E408" i="4"/>
  <c r="C408" i="1"/>
  <c r="H408" i="1"/>
  <c r="C408" i="2"/>
  <c r="G408" i="1"/>
  <c r="D407" i="4"/>
  <c r="C407" i="4"/>
  <c r="G407" i="4" s="1"/>
  <c r="B407" i="4"/>
  <c r="B407" i="2" s="1"/>
  <c r="P407" i="2" s="1"/>
  <c r="B409" i="1"/>
  <c r="B403" i="9" l="1"/>
  <c r="C403" i="9"/>
  <c r="D403" i="9"/>
  <c r="O404" i="2"/>
  <c r="E409" i="4"/>
  <c r="C409" i="1"/>
  <c r="H409" i="1"/>
  <c r="C409" i="2"/>
  <c r="G409" i="1"/>
  <c r="D408" i="4"/>
  <c r="C408" i="4"/>
  <c r="G408" i="4" s="1"/>
  <c r="B408" i="4"/>
  <c r="B408" i="2" s="1"/>
  <c r="P408" i="2" s="1"/>
  <c r="B410" i="1"/>
  <c r="B404" i="9" l="1"/>
  <c r="C404" i="9"/>
  <c r="D404" i="9"/>
  <c r="O405" i="2"/>
  <c r="E410" i="4"/>
  <c r="C410" i="1"/>
  <c r="H410" i="1"/>
  <c r="C410" i="2"/>
  <c r="G410" i="1"/>
  <c r="D409" i="4"/>
  <c r="C409" i="4"/>
  <c r="G409" i="4" s="1"/>
  <c r="B409" i="4"/>
  <c r="B409" i="2" s="1"/>
  <c r="P409" i="2" s="1"/>
  <c r="B411" i="1"/>
  <c r="B405" i="9" l="1"/>
  <c r="C405" i="9"/>
  <c r="D405" i="9"/>
  <c r="O406" i="2"/>
  <c r="E411" i="4"/>
  <c r="C411" i="1"/>
  <c r="H411" i="1"/>
  <c r="C411" i="2"/>
  <c r="G411" i="1"/>
  <c r="D410" i="4"/>
  <c r="C410" i="4"/>
  <c r="G410" i="4" s="1"/>
  <c r="B410" i="4"/>
  <c r="B410" i="2" s="1"/>
  <c r="P410" i="2" s="1"/>
  <c r="B412" i="1"/>
  <c r="B406" i="9" l="1"/>
  <c r="C406" i="9"/>
  <c r="D406" i="9"/>
  <c r="O407" i="2"/>
  <c r="E412" i="4"/>
  <c r="C412" i="1"/>
  <c r="H412" i="1"/>
  <c r="C412" i="2"/>
  <c r="G412" i="1"/>
  <c r="D411" i="4"/>
  <c r="C411" i="4"/>
  <c r="G411" i="4" s="1"/>
  <c r="B411" i="4"/>
  <c r="B411" i="2" s="1"/>
  <c r="P411" i="2" s="1"/>
  <c r="B413" i="1"/>
  <c r="B407" i="9" l="1"/>
  <c r="C407" i="9"/>
  <c r="D407" i="9"/>
  <c r="O408" i="2"/>
  <c r="E413" i="4"/>
  <c r="C413" i="1"/>
  <c r="H413" i="1"/>
  <c r="C413" i="2"/>
  <c r="G413" i="1"/>
  <c r="D412" i="4"/>
  <c r="C412" i="4"/>
  <c r="G412" i="4" s="1"/>
  <c r="B412" i="4"/>
  <c r="B412" i="2" s="1"/>
  <c r="P412" i="2" s="1"/>
  <c r="B414" i="1"/>
  <c r="B408" i="9" l="1"/>
  <c r="C408" i="9"/>
  <c r="D408" i="9"/>
  <c r="O409" i="2"/>
  <c r="E414" i="4"/>
  <c r="C414" i="1"/>
  <c r="H414" i="1"/>
  <c r="C414" i="2"/>
  <c r="G414" i="1"/>
  <c r="D413" i="4"/>
  <c r="C413" i="4"/>
  <c r="G413" i="4" s="1"/>
  <c r="B413" i="4"/>
  <c r="B413" i="2" s="1"/>
  <c r="P413" i="2" s="1"/>
  <c r="B415" i="1"/>
  <c r="B409" i="9" l="1"/>
  <c r="C409" i="9"/>
  <c r="D409" i="9"/>
  <c r="O410" i="2"/>
  <c r="E415" i="4"/>
  <c r="C415" i="1"/>
  <c r="H415" i="1"/>
  <c r="C415" i="2"/>
  <c r="G415" i="1"/>
  <c r="D414" i="4"/>
  <c r="C414" i="4"/>
  <c r="G414" i="4" s="1"/>
  <c r="B414" i="4"/>
  <c r="B414" i="2" s="1"/>
  <c r="P414" i="2" s="1"/>
  <c r="B416" i="1"/>
  <c r="B410" i="9" l="1"/>
  <c r="C410" i="9"/>
  <c r="D410" i="9"/>
  <c r="O411" i="2"/>
  <c r="E416" i="4"/>
  <c r="C416" i="1"/>
  <c r="H416" i="1"/>
  <c r="C416" i="2"/>
  <c r="G416" i="1"/>
  <c r="D415" i="4"/>
  <c r="C415" i="4"/>
  <c r="G415" i="4" s="1"/>
  <c r="B415" i="4"/>
  <c r="B415" i="2" s="1"/>
  <c r="P415" i="2" s="1"/>
  <c r="B417" i="1"/>
  <c r="B411" i="9" l="1"/>
  <c r="C411" i="9"/>
  <c r="D411" i="9"/>
  <c r="O412" i="2"/>
  <c r="E417" i="4"/>
  <c r="C417" i="1"/>
  <c r="H417" i="1"/>
  <c r="C417" i="2"/>
  <c r="G417" i="1"/>
  <c r="D416" i="4"/>
  <c r="C416" i="4"/>
  <c r="G416" i="4" s="1"/>
  <c r="B416" i="4"/>
  <c r="B416" i="2" s="1"/>
  <c r="P416" i="2" s="1"/>
  <c r="B418" i="1"/>
  <c r="B412" i="9" l="1"/>
  <c r="C412" i="9"/>
  <c r="D412" i="9"/>
  <c r="O413" i="2"/>
  <c r="E418" i="4"/>
  <c r="C418" i="1"/>
  <c r="H418" i="1"/>
  <c r="C418" i="2"/>
  <c r="G418" i="1"/>
  <c r="D417" i="4"/>
  <c r="C417" i="4"/>
  <c r="G417" i="4" s="1"/>
  <c r="B417" i="4"/>
  <c r="B417" i="2" s="1"/>
  <c r="P417" i="2" s="1"/>
  <c r="B419" i="1"/>
  <c r="B413" i="9" l="1"/>
  <c r="C413" i="9"/>
  <c r="D413" i="9"/>
  <c r="O414" i="2"/>
  <c r="E419" i="4"/>
  <c r="C419" i="1"/>
  <c r="H419" i="1"/>
  <c r="C419" i="2"/>
  <c r="G419" i="1"/>
  <c r="D418" i="4"/>
  <c r="C418" i="4"/>
  <c r="G418" i="4" s="1"/>
  <c r="B418" i="4"/>
  <c r="B418" i="2" s="1"/>
  <c r="P418" i="2" s="1"/>
  <c r="B420" i="1"/>
  <c r="B414" i="9" l="1"/>
  <c r="C414" i="9"/>
  <c r="D414" i="9"/>
  <c r="O415" i="2"/>
  <c r="E420" i="4"/>
  <c r="C420" i="1"/>
  <c r="H420" i="1"/>
  <c r="C420" i="2"/>
  <c r="G420" i="1"/>
  <c r="D419" i="4"/>
  <c r="C419" i="4"/>
  <c r="G419" i="4" s="1"/>
  <c r="B419" i="4"/>
  <c r="B419" i="2" s="1"/>
  <c r="P419" i="2" s="1"/>
  <c r="B421" i="1"/>
  <c r="B415" i="9" l="1"/>
  <c r="C415" i="9"/>
  <c r="D415" i="9"/>
  <c r="O416" i="2"/>
  <c r="E421" i="4"/>
  <c r="C421" i="1"/>
  <c r="H421" i="1"/>
  <c r="C421" i="2"/>
  <c r="G421" i="1"/>
  <c r="D420" i="4"/>
  <c r="C420" i="4"/>
  <c r="G420" i="4" s="1"/>
  <c r="B420" i="4"/>
  <c r="B420" i="2" s="1"/>
  <c r="P420" i="2" s="1"/>
  <c r="B422" i="1"/>
  <c r="B416" i="9" l="1"/>
  <c r="C416" i="9"/>
  <c r="D416" i="9"/>
  <c r="O417" i="2"/>
  <c r="E422" i="4"/>
  <c r="C422" i="1"/>
  <c r="H422" i="1"/>
  <c r="C422" i="2"/>
  <c r="G422" i="1"/>
  <c r="D421" i="4"/>
  <c r="C421" i="4"/>
  <c r="G421" i="4" s="1"/>
  <c r="B421" i="4"/>
  <c r="B421" i="2" s="1"/>
  <c r="P421" i="2" s="1"/>
  <c r="B423" i="1"/>
  <c r="B417" i="9" l="1"/>
  <c r="C417" i="9"/>
  <c r="D417" i="9"/>
  <c r="O418" i="2"/>
  <c r="E423" i="4"/>
  <c r="C423" i="1"/>
  <c r="H423" i="1"/>
  <c r="C423" i="2"/>
  <c r="G423" i="1"/>
  <c r="D422" i="4"/>
  <c r="C422" i="4"/>
  <c r="G422" i="4" s="1"/>
  <c r="B422" i="4"/>
  <c r="B422" i="2" s="1"/>
  <c r="P422" i="2" s="1"/>
  <c r="B424" i="1"/>
  <c r="B418" i="9" l="1"/>
  <c r="C418" i="9"/>
  <c r="D418" i="9"/>
  <c r="O419" i="2"/>
  <c r="E424" i="4"/>
  <c r="C424" i="1"/>
  <c r="H424" i="1"/>
  <c r="C424" i="2"/>
  <c r="G424" i="1"/>
  <c r="D423" i="4"/>
  <c r="C423" i="4"/>
  <c r="G423" i="4" s="1"/>
  <c r="B423" i="4"/>
  <c r="B423" i="2" s="1"/>
  <c r="P423" i="2" s="1"/>
  <c r="B425" i="1"/>
  <c r="B419" i="9" l="1"/>
  <c r="C419" i="9"/>
  <c r="D419" i="9"/>
  <c r="O420" i="2"/>
  <c r="E425" i="4"/>
  <c r="C425" i="1"/>
  <c r="H425" i="1"/>
  <c r="C425" i="2"/>
  <c r="G425" i="1"/>
  <c r="D424" i="4"/>
  <c r="C424" i="4"/>
  <c r="G424" i="4" s="1"/>
  <c r="B424" i="4"/>
  <c r="B424" i="2" s="1"/>
  <c r="P424" i="2" s="1"/>
  <c r="B426" i="1"/>
  <c r="B420" i="9" l="1"/>
  <c r="C420" i="9"/>
  <c r="D420" i="9"/>
  <c r="O421" i="2"/>
  <c r="E426" i="4"/>
  <c r="C426" i="1"/>
  <c r="H426" i="1"/>
  <c r="C426" i="2"/>
  <c r="G426" i="1"/>
  <c r="D425" i="4"/>
  <c r="C425" i="4"/>
  <c r="G425" i="4" s="1"/>
  <c r="B425" i="4"/>
  <c r="B425" i="2" s="1"/>
  <c r="P425" i="2" s="1"/>
  <c r="B427" i="1"/>
  <c r="B421" i="9" l="1"/>
  <c r="C421" i="9"/>
  <c r="D421" i="9"/>
  <c r="O422" i="2"/>
  <c r="E427" i="4"/>
  <c r="C427" i="1"/>
  <c r="H427" i="1"/>
  <c r="C427" i="2"/>
  <c r="G427" i="1"/>
  <c r="D426" i="4"/>
  <c r="C426" i="4"/>
  <c r="G426" i="4" s="1"/>
  <c r="B426" i="4"/>
  <c r="B426" i="2" s="1"/>
  <c r="P426" i="2" s="1"/>
  <c r="B428" i="1"/>
  <c r="B422" i="9" l="1"/>
  <c r="C422" i="9"/>
  <c r="D422" i="9"/>
  <c r="O423" i="2"/>
  <c r="E428" i="4"/>
  <c r="C428" i="1"/>
  <c r="H428" i="1"/>
  <c r="C428" i="2"/>
  <c r="G428" i="1"/>
  <c r="D427" i="4"/>
  <c r="C427" i="4"/>
  <c r="G427" i="4" s="1"/>
  <c r="B427" i="4"/>
  <c r="B427" i="2" s="1"/>
  <c r="P427" i="2" s="1"/>
  <c r="B429" i="1"/>
  <c r="B423" i="9" l="1"/>
  <c r="C423" i="9"/>
  <c r="D423" i="9"/>
  <c r="O424" i="2"/>
  <c r="E429" i="4"/>
  <c r="C429" i="1"/>
  <c r="H429" i="1"/>
  <c r="C429" i="2"/>
  <c r="G429" i="1"/>
  <c r="D428" i="4"/>
  <c r="C428" i="4"/>
  <c r="G428" i="4" s="1"/>
  <c r="B428" i="4"/>
  <c r="B428" i="2" s="1"/>
  <c r="P428" i="2" s="1"/>
  <c r="B430" i="1"/>
  <c r="B424" i="9" l="1"/>
  <c r="C424" i="9"/>
  <c r="D424" i="9"/>
  <c r="O425" i="2"/>
  <c r="E430" i="4"/>
  <c r="C430" i="1"/>
  <c r="H430" i="1"/>
  <c r="C430" i="2"/>
  <c r="G430" i="1"/>
  <c r="D429" i="4"/>
  <c r="C429" i="4"/>
  <c r="G429" i="4" s="1"/>
  <c r="B429" i="4"/>
  <c r="B429" i="2" s="1"/>
  <c r="P429" i="2" s="1"/>
  <c r="B431" i="1"/>
  <c r="B425" i="9" l="1"/>
  <c r="C425" i="9"/>
  <c r="D425" i="9"/>
  <c r="O426" i="2"/>
  <c r="E431" i="4"/>
  <c r="C431" i="1"/>
  <c r="H431" i="1"/>
  <c r="C431" i="2"/>
  <c r="G431" i="1"/>
  <c r="D430" i="4"/>
  <c r="C430" i="4"/>
  <c r="G430" i="4" s="1"/>
  <c r="B430" i="4"/>
  <c r="B430" i="2" s="1"/>
  <c r="P430" i="2" s="1"/>
  <c r="B432" i="1"/>
  <c r="B426" i="9" l="1"/>
  <c r="C426" i="9"/>
  <c r="D426" i="9"/>
  <c r="O427" i="2"/>
  <c r="E432" i="4"/>
  <c r="C432" i="1"/>
  <c r="H432" i="1"/>
  <c r="C432" i="2"/>
  <c r="G432" i="1"/>
  <c r="D431" i="4"/>
  <c r="C431" i="4"/>
  <c r="G431" i="4" s="1"/>
  <c r="B431" i="4"/>
  <c r="B431" i="2" s="1"/>
  <c r="P431" i="2" s="1"/>
  <c r="B433" i="1"/>
  <c r="B427" i="9" l="1"/>
  <c r="C427" i="9"/>
  <c r="D427" i="9"/>
  <c r="O428" i="2"/>
  <c r="E433" i="4"/>
  <c r="C433" i="1"/>
  <c r="H433" i="1"/>
  <c r="C433" i="2"/>
  <c r="G433" i="1"/>
  <c r="D432" i="4"/>
  <c r="C432" i="4"/>
  <c r="G432" i="4" s="1"/>
  <c r="B432" i="4"/>
  <c r="B432" i="2" s="1"/>
  <c r="P432" i="2" s="1"/>
  <c r="B434" i="1"/>
  <c r="B428" i="9" l="1"/>
  <c r="C428" i="9"/>
  <c r="D428" i="9"/>
  <c r="O429" i="2"/>
  <c r="E434" i="4"/>
  <c r="C434" i="1"/>
  <c r="H434" i="1"/>
  <c r="C434" i="2"/>
  <c r="G434" i="1"/>
  <c r="D433" i="4"/>
  <c r="C433" i="4"/>
  <c r="G433" i="4" s="1"/>
  <c r="B433" i="4"/>
  <c r="B433" i="2" s="1"/>
  <c r="P433" i="2" s="1"/>
  <c r="B435" i="1"/>
  <c r="B429" i="9" l="1"/>
  <c r="C429" i="9"/>
  <c r="D429" i="9"/>
  <c r="O430" i="2"/>
  <c r="E435" i="4"/>
  <c r="C435" i="1"/>
  <c r="H435" i="1"/>
  <c r="C435" i="2"/>
  <c r="G435" i="1"/>
  <c r="D434" i="4"/>
  <c r="C434" i="4"/>
  <c r="G434" i="4" s="1"/>
  <c r="B434" i="4"/>
  <c r="B434" i="2" s="1"/>
  <c r="P434" i="2" s="1"/>
  <c r="B436" i="1"/>
  <c r="B430" i="9" l="1"/>
  <c r="C430" i="9"/>
  <c r="D430" i="9"/>
  <c r="O431" i="2"/>
  <c r="E436" i="4"/>
  <c r="C436" i="1"/>
  <c r="H436" i="1"/>
  <c r="C436" i="2"/>
  <c r="G436" i="1"/>
  <c r="D435" i="4"/>
  <c r="C435" i="4"/>
  <c r="G435" i="4" s="1"/>
  <c r="B435" i="4"/>
  <c r="B435" i="2" s="1"/>
  <c r="P435" i="2" s="1"/>
  <c r="B437" i="1"/>
  <c r="B431" i="9" l="1"/>
  <c r="C431" i="9"/>
  <c r="D431" i="9"/>
  <c r="O432" i="2"/>
  <c r="E437" i="4"/>
  <c r="C437" i="1"/>
  <c r="H437" i="1"/>
  <c r="C437" i="2"/>
  <c r="G437" i="1"/>
  <c r="D436" i="4"/>
  <c r="C436" i="4"/>
  <c r="G436" i="4" s="1"/>
  <c r="B436" i="4"/>
  <c r="B436" i="2" s="1"/>
  <c r="P436" i="2" s="1"/>
  <c r="B438" i="1"/>
  <c r="B432" i="9" l="1"/>
  <c r="C432" i="9"/>
  <c r="D432" i="9"/>
  <c r="O433" i="2"/>
  <c r="E438" i="4"/>
  <c r="C438" i="1"/>
  <c r="H438" i="1"/>
  <c r="C438" i="2"/>
  <c r="G438" i="1"/>
  <c r="D437" i="4"/>
  <c r="C437" i="4"/>
  <c r="G437" i="4" s="1"/>
  <c r="B437" i="4"/>
  <c r="B437" i="2" s="1"/>
  <c r="P437" i="2" s="1"/>
  <c r="B439" i="1"/>
  <c r="B433" i="9" l="1"/>
  <c r="C433" i="9"/>
  <c r="D433" i="9"/>
  <c r="O434" i="2"/>
  <c r="E439" i="4"/>
  <c r="C439" i="1"/>
  <c r="H439" i="1"/>
  <c r="C439" i="2"/>
  <c r="G439" i="1"/>
  <c r="D438" i="4"/>
  <c r="C438" i="4"/>
  <c r="G438" i="4" s="1"/>
  <c r="B438" i="4"/>
  <c r="B438" i="2" s="1"/>
  <c r="P438" i="2" s="1"/>
  <c r="B440" i="1"/>
  <c r="B434" i="9" l="1"/>
  <c r="C434" i="9"/>
  <c r="D434" i="9"/>
  <c r="O435" i="2"/>
  <c r="E440" i="4"/>
  <c r="C440" i="1"/>
  <c r="H440" i="1"/>
  <c r="C440" i="2"/>
  <c r="G440" i="1"/>
  <c r="D439" i="4"/>
  <c r="C439" i="4"/>
  <c r="G439" i="4" s="1"/>
  <c r="B439" i="4"/>
  <c r="B439" i="2" s="1"/>
  <c r="P439" i="2" s="1"/>
  <c r="B441" i="1"/>
  <c r="B435" i="9" l="1"/>
  <c r="C435" i="9"/>
  <c r="D435" i="9"/>
  <c r="O436" i="2"/>
  <c r="E441" i="4"/>
  <c r="C441" i="1"/>
  <c r="H441" i="1"/>
  <c r="C441" i="2"/>
  <c r="G441" i="1"/>
  <c r="D440" i="4"/>
  <c r="C440" i="4"/>
  <c r="G440" i="4" s="1"/>
  <c r="B440" i="4"/>
  <c r="B440" i="2" s="1"/>
  <c r="P440" i="2" s="1"/>
  <c r="B442" i="1"/>
  <c r="B436" i="9" l="1"/>
  <c r="C436" i="9"/>
  <c r="D436" i="9"/>
  <c r="O437" i="2"/>
  <c r="E442" i="4"/>
  <c r="C442" i="1"/>
  <c r="H442" i="1"/>
  <c r="C442" i="2"/>
  <c r="G442" i="1"/>
  <c r="D441" i="4"/>
  <c r="C441" i="4"/>
  <c r="G441" i="4" s="1"/>
  <c r="B441" i="4"/>
  <c r="B441" i="2" s="1"/>
  <c r="P441" i="2" s="1"/>
  <c r="B443" i="1"/>
  <c r="B437" i="9" l="1"/>
  <c r="C437" i="9"/>
  <c r="D437" i="9"/>
  <c r="O438" i="2"/>
  <c r="E443" i="4"/>
  <c r="C443" i="1"/>
  <c r="H443" i="1"/>
  <c r="C443" i="2"/>
  <c r="G443" i="1"/>
  <c r="D442" i="4"/>
  <c r="C442" i="4"/>
  <c r="G442" i="4" s="1"/>
  <c r="B442" i="4"/>
  <c r="B442" i="2" s="1"/>
  <c r="P442" i="2" s="1"/>
  <c r="B444" i="1"/>
  <c r="B438" i="9" l="1"/>
  <c r="C438" i="9"/>
  <c r="D438" i="9"/>
  <c r="O439" i="2"/>
  <c r="E444" i="4"/>
  <c r="C444" i="1"/>
  <c r="H444" i="1"/>
  <c r="C444" i="2"/>
  <c r="G444" i="1"/>
  <c r="D443" i="4"/>
  <c r="C443" i="4"/>
  <c r="G443" i="4" s="1"/>
  <c r="B443" i="4"/>
  <c r="B443" i="2" s="1"/>
  <c r="P443" i="2" s="1"/>
  <c r="B445" i="1"/>
  <c r="B439" i="9" l="1"/>
  <c r="C439" i="9"/>
  <c r="D439" i="9"/>
  <c r="O440" i="2"/>
  <c r="E445" i="4"/>
  <c r="C445" i="1"/>
  <c r="H445" i="1"/>
  <c r="C445" i="2"/>
  <c r="G445" i="1"/>
  <c r="D444" i="4"/>
  <c r="C444" i="4"/>
  <c r="G444" i="4" s="1"/>
  <c r="B444" i="4"/>
  <c r="B444" i="2" s="1"/>
  <c r="P444" i="2" s="1"/>
  <c r="B446" i="1"/>
  <c r="B440" i="9" l="1"/>
  <c r="C440" i="9"/>
  <c r="D440" i="9"/>
  <c r="O441" i="2"/>
  <c r="E446" i="4"/>
  <c r="C446" i="1"/>
  <c r="H446" i="1"/>
  <c r="C446" i="2"/>
  <c r="G446" i="1"/>
  <c r="D445" i="4"/>
  <c r="C445" i="4"/>
  <c r="G445" i="4" s="1"/>
  <c r="B445" i="4"/>
  <c r="B445" i="2" s="1"/>
  <c r="P445" i="2" s="1"/>
  <c r="B447" i="1"/>
  <c r="B441" i="9" l="1"/>
  <c r="C441" i="9"/>
  <c r="D441" i="9"/>
  <c r="O442" i="2"/>
  <c r="E447" i="4"/>
  <c r="C447" i="1"/>
  <c r="H447" i="1"/>
  <c r="C447" i="2"/>
  <c r="G447" i="1"/>
  <c r="D446" i="4"/>
  <c r="C446" i="4"/>
  <c r="G446" i="4" s="1"/>
  <c r="B446" i="4"/>
  <c r="B446" i="2" s="1"/>
  <c r="P446" i="2" s="1"/>
  <c r="B448" i="1"/>
  <c r="B442" i="9" l="1"/>
  <c r="C442" i="9"/>
  <c r="D442" i="9"/>
  <c r="O443" i="2"/>
  <c r="E448" i="4"/>
  <c r="C448" i="1"/>
  <c r="H448" i="1"/>
  <c r="C448" i="2"/>
  <c r="G448" i="1"/>
  <c r="D447" i="4"/>
  <c r="C447" i="4"/>
  <c r="G447" i="4" s="1"/>
  <c r="B447" i="4"/>
  <c r="B447" i="2" s="1"/>
  <c r="P447" i="2" s="1"/>
  <c r="B449" i="1"/>
  <c r="B443" i="9" l="1"/>
  <c r="C443" i="9"/>
  <c r="D443" i="9"/>
  <c r="O444" i="2"/>
  <c r="E449" i="4"/>
  <c r="C449" i="1"/>
  <c r="H449" i="1"/>
  <c r="C449" i="2"/>
  <c r="G449" i="1"/>
  <c r="D448" i="4"/>
  <c r="C448" i="4"/>
  <c r="G448" i="4" s="1"/>
  <c r="B448" i="4"/>
  <c r="B448" i="2" s="1"/>
  <c r="P448" i="2" s="1"/>
  <c r="B450" i="1"/>
  <c r="B444" i="9" l="1"/>
  <c r="C444" i="9"/>
  <c r="D444" i="9"/>
  <c r="O445" i="2"/>
  <c r="E450" i="4"/>
  <c r="C450" i="1"/>
  <c r="H450" i="1"/>
  <c r="C450" i="2"/>
  <c r="G450" i="1"/>
  <c r="D449" i="4"/>
  <c r="C449" i="4"/>
  <c r="G449" i="4" s="1"/>
  <c r="B449" i="4"/>
  <c r="B449" i="2" s="1"/>
  <c r="P449" i="2" s="1"/>
  <c r="B451" i="1"/>
  <c r="B445" i="9" l="1"/>
  <c r="C445" i="9"/>
  <c r="D445" i="9"/>
  <c r="O446" i="2"/>
  <c r="E451" i="4"/>
  <c r="C451" i="1"/>
  <c r="H451" i="1"/>
  <c r="C451" i="2"/>
  <c r="G451" i="1"/>
  <c r="D450" i="4"/>
  <c r="C450" i="4"/>
  <c r="G450" i="4" s="1"/>
  <c r="B450" i="4"/>
  <c r="B450" i="2" s="1"/>
  <c r="P450" i="2" s="1"/>
  <c r="B452" i="1"/>
  <c r="B446" i="9" l="1"/>
  <c r="C446" i="9"/>
  <c r="D446" i="9"/>
  <c r="O447" i="2"/>
  <c r="E452" i="4"/>
  <c r="C452" i="1"/>
  <c r="H452" i="1"/>
  <c r="C452" i="2"/>
  <c r="G452" i="1"/>
  <c r="D451" i="4"/>
  <c r="C451" i="4"/>
  <c r="G451" i="4" s="1"/>
  <c r="B451" i="4"/>
  <c r="B451" i="2" s="1"/>
  <c r="P451" i="2" s="1"/>
  <c r="B453" i="1"/>
  <c r="B447" i="9" l="1"/>
  <c r="C447" i="9"/>
  <c r="D447" i="9"/>
  <c r="O448" i="2"/>
  <c r="E453" i="4"/>
  <c r="C453" i="1"/>
  <c r="H453" i="1"/>
  <c r="C453" i="2"/>
  <c r="G453" i="1"/>
  <c r="D452" i="4"/>
  <c r="C452" i="4"/>
  <c r="G452" i="4" s="1"/>
  <c r="B452" i="4"/>
  <c r="B452" i="2" s="1"/>
  <c r="P452" i="2" s="1"/>
  <c r="B454" i="1"/>
  <c r="B448" i="9" l="1"/>
  <c r="C448" i="9"/>
  <c r="D448" i="9"/>
  <c r="O449" i="2"/>
  <c r="E454" i="4"/>
  <c r="C454" i="1"/>
  <c r="H454" i="1"/>
  <c r="C454" i="2"/>
  <c r="G454" i="1"/>
  <c r="D453" i="4"/>
  <c r="C453" i="4"/>
  <c r="G453" i="4" s="1"/>
  <c r="B453" i="4"/>
  <c r="B453" i="2" s="1"/>
  <c r="P453" i="2" s="1"/>
  <c r="B455" i="1"/>
  <c r="B449" i="9" l="1"/>
  <c r="C449" i="9"/>
  <c r="D449" i="9"/>
  <c r="O450" i="2"/>
  <c r="E455" i="4"/>
  <c r="C455" i="1"/>
  <c r="H455" i="1"/>
  <c r="C455" i="2"/>
  <c r="G455" i="1"/>
  <c r="D454" i="4"/>
  <c r="C454" i="4"/>
  <c r="G454" i="4" s="1"/>
  <c r="B454" i="4"/>
  <c r="B454" i="2" s="1"/>
  <c r="P454" i="2" s="1"/>
  <c r="B456" i="1"/>
  <c r="B450" i="9" l="1"/>
  <c r="C450" i="9"/>
  <c r="D450" i="9"/>
  <c r="O451" i="2"/>
  <c r="E456" i="4"/>
  <c r="C456" i="1"/>
  <c r="H456" i="1"/>
  <c r="C456" i="2"/>
  <c r="G456" i="1"/>
  <c r="D455" i="4"/>
  <c r="C455" i="4"/>
  <c r="G455" i="4" s="1"/>
  <c r="B455" i="4"/>
  <c r="B455" i="2" s="1"/>
  <c r="P455" i="2" s="1"/>
  <c r="B457" i="1"/>
  <c r="B451" i="9" l="1"/>
  <c r="C451" i="9"/>
  <c r="D451" i="9"/>
  <c r="O452" i="2"/>
  <c r="E457" i="4"/>
  <c r="C457" i="1"/>
  <c r="H457" i="1"/>
  <c r="C457" i="2"/>
  <c r="G457" i="1"/>
  <c r="D456" i="4"/>
  <c r="C456" i="4"/>
  <c r="G456" i="4" s="1"/>
  <c r="B456" i="4"/>
  <c r="B456" i="2" s="1"/>
  <c r="P456" i="2" s="1"/>
  <c r="B458" i="1"/>
  <c r="B452" i="9" l="1"/>
  <c r="C452" i="9"/>
  <c r="D452" i="9"/>
  <c r="O453" i="2"/>
  <c r="E458" i="4"/>
  <c r="C458" i="1"/>
  <c r="H458" i="1"/>
  <c r="C458" i="2"/>
  <c r="G458" i="1"/>
  <c r="D457" i="4"/>
  <c r="C457" i="4"/>
  <c r="G457" i="4" s="1"/>
  <c r="B457" i="4"/>
  <c r="B457" i="2" s="1"/>
  <c r="P457" i="2" s="1"/>
  <c r="B459" i="1"/>
  <c r="B453" i="9" l="1"/>
  <c r="C453" i="9"/>
  <c r="D453" i="9"/>
  <c r="O454" i="2"/>
  <c r="E459" i="4"/>
  <c r="C459" i="1"/>
  <c r="H459" i="1"/>
  <c r="C459" i="2"/>
  <c r="G459" i="1"/>
  <c r="D458" i="4"/>
  <c r="C458" i="4"/>
  <c r="G458" i="4" s="1"/>
  <c r="B458" i="4"/>
  <c r="B458" i="2" s="1"/>
  <c r="P458" i="2" s="1"/>
  <c r="B460" i="1"/>
  <c r="B454" i="9" l="1"/>
  <c r="C454" i="9"/>
  <c r="D454" i="9"/>
  <c r="O455" i="2"/>
  <c r="E460" i="4"/>
  <c r="C460" i="1"/>
  <c r="H460" i="1"/>
  <c r="C460" i="2"/>
  <c r="G460" i="1"/>
  <c r="D459" i="4"/>
  <c r="C459" i="4"/>
  <c r="G459" i="4" s="1"/>
  <c r="B459" i="4"/>
  <c r="B459" i="2" s="1"/>
  <c r="P459" i="2" s="1"/>
  <c r="B461" i="1"/>
  <c r="B455" i="9" l="1"/>
  <c r="C455" i="9"/>
  <c r="D455" i="9"/>
  <c r="O456" i="2"/>
  <c r="E461" i="4"/>
  <c r="C461" i="1"/>
  <c r="H461" i="1"/>
  <c r="C461" i="2"/>
  <c r="G461" i="1"/>
  <c r="D460" i="4"/>
  <c r="C460" i="4"/>
  <c r="G460" i="4" s="1"/>
  <c r="B460" i="4"/>
  <c r="B460" i="2" s="1"/>
  <c r="P460" i="2" s="1"/>
  <c r="B462" i="1"/>
  <c r="B456" i="9" l="1"/>
  <c r="C456" i="9"/>
  <c r="D456" i="9"/>
  <c r="O457" i="2"/>
  <c r="E462" i="4"/>
  <c r="C462" i="1"/>
  <c r="H462" i="1"/>
  <c r="C462" i="2"/>
  <c r="G462" i="1"/>
  <c r="D461" i="4"/>
  <c r="C461" i="4"/>
  <c r="G461" i="4" s="1"/>
  <c r="B461" i="4"/>
  <c r="B461" i="2" s="1"/>
  <c r="P461" i="2" s="1"/>
  <c r="B463" i="1"/>
  <c r="B457" i="9" l="1"/>
  <c r="C457" i="9"/>
  <c r="D457" i="9"/>
  <c r="O458" i="2"/>
  <c r="E463" i="4"/>
  <c r="C463" i="1"/>
  <c r="H463" i="1"/>
  <c r="C463" i="2"/>
  <c r="G463" i="1"/>
  <c r="D462" i="4"/>
  <c r="C462" i="4"/>
  <c r="G462" i="4" s="1"/>
  <c r="B462" i="4"/>
  <c r="B462" i="2" s="1"/>
  <c r="P462" i="2" s="1"/>
  <c r="B464" i="1"/>
  <c r="B458" i="9" l="1"/>
  <c r="C458" i="9"/>
  <c r="D458" i="9"/>
  <c r="O459" i="2"/>
  <c r="E464" i="4"/>
  <c r="C464" i="1"/>
  <c r="H464" i="1"/>
  <c r="C464" i="2"/>
  <c r="G464" i="1"/>
  <c r="D463" i="4"/>
  <c r="C463" i="4"/>
  <c r="G463" i="4" s="1"/>
  <c r="B463" i="4"/>
  <c r="B463" i="2" s="1"/>
  <c r="P463" i="2" s="1"/>
  <c r="B465" i="1"/>
  <c r="B459" i="9" l="1"/>
  <c r="C459" i="9"/>
  <c r="D459" i="9"/>
  <c r="O460" i="2"/>
  <c r="E465" i="4"/>
  <c r="C465" i="1"/>
  <c r="H465" i="1"/>
  <c r="C465" i="2"/>
  <c r="G465" i="1"/>
  <c r="D464" i="4"/>
  <c r="C464" i="4"/>
  <c r="G464" i="4" s="1"/>
  <c r="B464" i="4"/>
  <c r="B464" i="2" s="1"/>
  <c r="P464" i="2" s="1"/>
  <c r="B466" i="1"/>
  <c r="B460" i="9" l="1"/>
  <c r="C460" i="9"/>
  <c r="D460" i="9"/>
  <c r="O461" i="2"/>
  <c r="E466" i="4"/>
  <c r="C466" i="1"/>
  <c r="H466" i="1"/>
  <c r="C466" i="2"/>
  <c r="G466" i="1"/>
  <c r="D465" i="4"/>
  <c r="C465" i="4"/>
  <c r="G465" i="4" s="1"/>
  <c r="B465" i="4"/>
  <c r="B465" i="2" s="1"/>
  <c r="P465" i="2" s="1"/>
  <c r="B467" i="1"/>
  <c r="B461" i="9" l="1"/>
  <c r="C461" i="9"/>
  <c r="D461" i="9"/>
  <c r="O462" i="2"/>
  <c r="E467" i="4"/>
  <c r="C467" i="1"/>
  <c r="H467" i="1"/>
  <c r="C467" i="2"/>
  <c r="G467" i="1"/>
  <c r="D466" i="4"/>
  <c r="C466" i="4"/>
  <c r="G466" i="4" s="1"/>
  <c r="B466" i="4"/>
  <c r="B466" i="2" s="1"/>
  <c r="P466" i="2" s="1"/>
  <c r="B468" i="1"/>
  <c r="B462" i="9" l="1"/>
  <c r="C462" i="9"/>
  <c r="D462" i="9"/>
  <c r="O463" i="2"/>
  <c r="E468" i="4"/>
  <c r="C468" i="1"/>
  <c r="H468" i="1"/>
  <c r="C468" i="2"/>
  <c r="G468" i="1"/>
  <c r="D467" i="4"/>
  <c r="C467" i="4"/>
  <c r="G467" i="4" s="1"/>
  <c r="B467" i="4"/>
  <c r="B467" i="2" s="1"/>
  <c r="P467" i="2" s="1"/>
  <c r="B469" i="1"/>
  <c r="B463" i="9" l="1"/>
  <c r="C463" i="9"/>
  <c r="D463" i="9"/>
  <c r="O464" i="2"/>
  <c r="E469" i="4"/>
  <c r="C469" i="1"/>
  <c r="H469" i="1"/>
  <c r="C469" i="2"/>
  <c r="G469" i="1"/>
  <c r="D468" i="4"/>
  <c r="C468" i="4"/>
  <c r="G468" i="4" s="1"/>
  <c r="B468" i="4"/>
  <c r="B468" i="2" s="1"/>
  <c r="P468" i="2" s="1"/>
  <c r="B470" i="1"/>
  <c r="B464" i="9" l="1"/>
  <c r="C464" i="9"/>
  <c r="D464" i="9"/>
  <c r="O465" i="2"/>
  <c r="E470" i="4"/>
  <c r="C470" i="1"/>
  <c r="H470" i="1"/>
  <c r="C470" i="2"/>
  <c r="G470" i="1"/>
  <c r="D469" i="4"/>
  <c r="C469" i="4"/>
  <c r="G469" i="4" s="1"/>
  <c r="B469" i="4"/>
  <c r="B469" i="2" s="1"/>
  <c r="P469" i="2" s="1"/>
  <c r="B471" i="1"/>
  <c r="B465" i="9" l="1"/>
  <c r="C465" i="9"/>
  <c r="D465" i="9"/>
  <c r="O466" i="2"/>
  <c r="E471" i="4"/>
  <c r="C471" i="1"/>
  <c r="H471" i="1"/>
  <c r="C471" i="2"/>
  <c r="G471" i="1"/>
  <c r="D470" i="4"/>
  <c r="C470" i="4"/>
  <c r="G470" i="4" s="1"/>
  <c r="B470" i="4"/>
  <c r="B470" i="2" s="1"/>
  <c r="P470" i="2" s="1"/>
  <c r="B472" i="1"/>
  <c r="B466" i="9" l="1"/>
  <c r="C466" i="9"/>
  <c r="D466" i="9"/>
  <c r="O467" i="2"/>
  <c r="E472" i="4"/>
  <c r="C472" i="1"/>
  <c r="H472" i="1"/>
  <c r="C472" i="2"/>
  <c r="G472" i="1"/>
  <c r="D471" i="4"/>
  <c r="C471" i="4"/>
  <c r="G471" i="4" s="1"/>
  <c r="B471" i="4"/>
  <c r="B471" i="2" s="1"/>
  <c r="P471" i="2" s="1"/>
  <c r="B473" i="1"/>
  <c r="B467" i="9" l="1"/>
  <c r="C467" i="9"/>
  <c r="D467" i="9"/>
  <c r="O468" i="2"/>
  <c r="E473" i="4"/>
  <c r="C473" i="1"/>
  <c r="H473" i="1"/>
  <c r="C473" i="2"/>
  <c r="G473" i="1"/>
  <c r="D472" i="4"/>
  <c r="C472" i="4"/>
  <c r="G472" i="4" s="1"/>
  <c r="B472" i="4"/>
  <c r="B472" i="2" s="1"/>
  <c r="P472" i="2" s="1"/>
  <c r="B474" i="1"/>
  <c r="B468" i="9" l="1"/>
  <c r="C468" i="9"/>
  <c r="D468" i="9"/>
  <c r="O469" i="2"/>
  <c r="E474" i="4"/>
  <c r="C474" i="1"/>
  <c r="H474" i="1"/>
  <c r="C474" i="2"/>
  <c r="G474" i="1"/>
  <c r="D473" i="4"/>
  <c r="C473" i="4"/>
  <c r="G473" i="4" s="1"/>
  <c r="B473" i="4"/>
  <c r="B473" i="2" s="1"/>
  <c r="P473" i="2" s="1"/>
  <c r="B475" i="1"/>
  <c r="B469" i="9" l="1"/>
  <c r="C469" i="9"/>
  <c r="D469" i="9"/>
  <c r="O470" i="2"/>
  <c r="E475" i="4"/>
  <c r="C475" i="1"/>
  <c r="H475" i="1"/>
  <c r="C475" i="2"/>
  <c r="G475" i="1"/>
  <c r="D474" i="4"/>
  <c r="C474" i="4"/>
  <c r="G474" i="4" s="1"/>
  <c r="B474" i="4"/>
  <c r="B474" i="2" s="1"/>
  <c r="P474" i="2" s="1"/>
  <c r="B476" i="1"/>
  <c r="B470" i="9" l="1"/>
  <c r="C470" i="9"/>
  <c r="D470" i="9"/>
  <c r="O471" i="2"/>
  <c r="E476" i="4"/>
  <c r="C476" i="1"/>
  <c r="H476" i="1"/>
  <c r="C476" i="2"/>
  <c r="G476" i="1"/>
  <c r="D475" i="4"/>
  <c r="C475" i="4"/>
  <c r="G475" i="4" s="1"/>
  <c r="B475" i="4"/>
  <c r="B475" i="2" s="1"/>
  <c r="P475" i="2" s="1"/>
  <c r="B477" i="1"/>
  <c r="B471" i="9" l="1"/>
  <c r="C471" i="9"/>
  <c r="D471" i="9"/>
  <c r="O472" i="2"/>
  <c r="E477" i="4"/>
  <c r="C477" i="1"/>
  <c r="H477" i="1"/>
  <c r="C477" i="2"/>
  <c r="G477" i="1"/>
  <c r="D476" i="4"/>
  <c r="C476" i="4"/>
  <c r="G476" i="4" s="1"/>
  <c r="B476" i="4"/>
  <c r="B476" i="2" s="1"/>
  <c r="P476" i="2" s="1"/>
  <c r="B478" i="1"/>
  <c r="B472" i="9" l="1"/>
  <c r="C472" i="9"/>
  <c r="D472" i="9"/>
  <c r="O473" i="2"/>
  <c r="E478" i="4"/>
  <c r="C478" i="1"/>
  <c r="H478" i="1"/>
  <c r="C478" i="2"/>
  <c r="G478" i="1"/>
  <c r="D477" i="4"/>
  <c r="C477" i="4"/>
  <c r="G477" i="4" s="1"/>
  <c r="B477" i="4"/>
  <c r="B477" i="2" s="1"/>
  <c r="P477" i="2" s="1"/>
  <c r="B479" i="1"/>
  <c r="B473" i="9" l="1"/>
  <c r="C473" i="9"/>
  <c r="D473" i="9"/>
  <c r="O474" i="2"/>
  <c r="E479" i="4"/>
  <c r="C479" i="1"/>
  <c r="H479" i="1"/>
  <c r="C479" i="2"/>
  <c r="G479" i="1"/>
  <c r="D478" i="4"/>
  <c r="C478" i="4"/>
  <c r="G478" i="4" s="1"/>
  <c r="B478" i="4"/>
  <c r="B478" i="2" s="1"/>
  <c r="P478" i="2" s="1"/>
  <c r="B480" i="1"/>
  <c r="B474" i="9" l="1"/>
  <c r="C474" i="9"/>
  <c r="D474" i="9"/>
  <c r="O475" i="2"/>
  <c r="E480" i="4"/>
  <c r="C480" i="1"/>
  <c r="H480" i="1"/>
  <c r="C480" i="2"/>
  <c r="G480" i="1"/>
  <c r="D479" i="4"/>
  <c r="C479" i="4"/>
  <c r="G479" i="4" s="1"/>
  <c r="B479" i="4"/>
  <c r="B479" i="2" s="1"/>
  <c r="P479" i="2" s="1"/>
  <c r="B481" i="1"/>
  <c r="B475" i="9" l="1"/>
  <c r="C475" i="9"/>
  <c r="D475" i="9"/>
  <c r="O476" i="2"/>
  <c r="E481" i="4"/>
  <c r="C481" i="1"/>
  <c r="H481" i="1"/>
  <c r="C481" i="2"/>
  <c r="G481" i="1"/>
  <c r="D480" i="4"/>
  <c r="C480" i="4"/>
  <c r="G480" i="4" s="1"/>
  <c r="B480" i="4"/>
  <c r="B480" i="2" s="1"/>
  <c r="P480" i="2" s="1"/>
  <c r="B482" i="1"/>
  <c r="B476" i="9" l="1"/>
  <c r="C476" i="9"/>
  <c r="D476" i="9"/>
  <c r="O477" i="2"/>
  <c r="E482" i="4"/>
  <c r="C482" i="1"/>
  <c r="H482" i="1"/>
  <c r="C482" i="2"/>
  <c r="G482" i="1"/>
  <c r="D481" i="4"/>
  <c r="C481" i="4"/>
  <c r="G481" i="4" s="1"/>
  <c r="B481" i="4"/>
  <c r="B481" i="2" s="1"/>
  <c r="P481" i="2" s="1"/>
  <c r="B483" i="1"/>
  <c r="B477" i="9" l="1"/>
  <c r="C477" i="9"/>
  <c r="D477" i="9"/>
  <c r="O478" i="2"/>
  <c r="E483" i="4"/>
  <c r="C483" i="1"/>
  <c r="H483" i="1"/>
  <c r="C483" i="2"/>
  <c r="G483" i="1"/>
  <c r="D482" i="4"/>
  <c r="C482" i="4"/>
  <c r="G482" i="4" s="1"/>
  <c r="B482" i="4"/>
  <c r="B482" i="2" s="1"/>
  <c r="P482" i="2" s="1"/>
  <c r="B484" i="1"/>
  <c r="B478" i="9" l="1"/>
  <c r="C478" i="9"/>
  <c r="D478" i="9"/>
  <c r="O479" i="2"/>
  <c r="E484" i="4"/>
  <c r="C484" i="1"/>
  <c r="H484" i="1"/>
  <c r="C484" i="2"/>
  <c r="G484" i="1"/>
  <c r="D483" i="4"/>
  <c r="C483" i="4"/>
  <c r="G483" i="4" s="1"/>
  <c r="B483" i="4"/>
  <c r="B483" i="2" s="1"/>
  <c r="P483" i="2" s="1"/>
  <c r="B485" i="1"/>
  <c r="B479" i="9" l="1"/>
  <c r="C479" i="9"/>
  <c r="D479" i="9"/>
  <c r="O480" i="2"/>
  <c r="E485" i="4"/>
  <c r="C485" i="1"/>
  <c r="H485" i="1"/>
  <c r="C485" i="2"/>
  <c r="G485" i="1"/>
  <c r="D484" i="4"/>
  <c r="C484" i="4"/>
  <c r="G484" i="4" s="1"/>
  <c r="B484" i="4"/>
  <c r="B484" i="2" s="1"/>
  <c r="P484" i="2" s="1"/>
  <c r="B486" i="1"/>
  <c r="B480" i="9" l="1"/>
  <c r="C480" i="9"/>
  <c r="D480" i="9"/>
  <c r="O481" i="2"/>
  <c r="E486" i="4"/>
  <c r="C486" i="1"/>
  <c r="H486" i="1"/>
  <c r="C486" i="2"/>
  <c r="G486" i="1"/>
  <c r="D485" i="4"/>
  <c r="C485" i="4"/>
  <c r="G485" i="4" s="1"/>
  <c r="B485" i="4"/>
  <c r="B485" i="2" s="1"/>
  <c r="P485" i="2" s="1"/>
  <c r="B487" i="1"/>
  <c r="B481" i="9" l="1"/>
  <c r="C481" i="9"/>
  <c r="D481" i="9"/>
  <c r="O482" i="2"/>
  <c r="E487" i="4"/>
  <c r="C487" i="1"/>
  <c r="H487" i="1"/>
  <c r="C487" i="2"/>
  <c r="G487" i="1"/>
  <c r="D486" i="4"/>
  <c r="C486" i="4"/>
  <c r="G486" i="4" s="1"/>
  <c r="B486" i="4"/>
  <c r="B486" i="2" s="1"/>
  <c r="P486" i="2" s="1"/>
  <c r="B488" i="1"/>
  <c r="B482" i="9" l="1"/>
  <c r="C482" i="9"/>
  <c r="D482" i="9"/>
  <c r="O483" i="2"/>
  <c r="E488" i="4"/>
  <c r="C488" i="1"/>
  <c r="H488" i="1"/>
  <c r="C488" i="2"/>
  <c r="G488" i="1"/>
  <c r="D487" i="4"/>
  <c r="C487" i="4"/>
  <c r="G487" i="4" s="1"/>
  <c r="B487" i="4"/>
  <c r="B487" i="2" s="1"/>
  <c r="P487" i="2" s="1"/>
  <c r="B489" i="1"/>
  <c r="B483" i="9" l="1"/>
  <c r="C483" i="9"/>
  <c r="D483" i="9"/>
  <c r="O484" i="2"/>
  <c r="E489" i="4"/>
  <c r="C489" i="1"/>
  <c r="H489" i="1"/>
  <c r="C489" i="2"/>
  <c r="G489" i="1"/>
  <c r="D488" i="4"/>
  <c r="C488" i="4"/>
  <c r="G488" i="4" s="1"/>
  <c r="B488" i="4"/>
  <c r="B488" i="2" s="1"/>
  <c r="P488" i="2" s="1"/>
  <c r="B490" i="1"/>
  <c r="B484" i="9" l="1"/>
  <c r="C484" i="9"/>
  <c r="D484" i="9"/>
  <c r="O485" i="2"/>
  <c r="E490" i="4"/>
  <c r="C490" i="1"/>
  <c r="H490" i="1"/>
  <c r="C490" i="2"/>
  <c r="G490" i="1"/>
  <c r="D489" i="4"/>
  <c r="C489" i="4"/>
  <c r="G489" i="4" s="1"/>
  <c r="B489" i="4"/>
  <c r="B489" i="2" s="1"/>
  <c r="P489" i="2" s="1"/>
  <c r="B491" i="1"/>
  <c r="B485" i="9" l="1"/>
  <c r="C485" i="9"/>
  <c r="D485" i="9"/>
  <c r="O486" i="2"/>
  <c r="E491" i="4"/>
  <c r="C491" i="1"/>
  <c r="H491" i="1"/>
  <c r="C491" i="2"/>
  <c r="G491" i="1"/>
  <c r="D490" i="4"/>
  <c r="C490" i="4"/>
  <c r="G490" i="4" s="1"/>
  <c r="B490" i="4"/>
  <c r="B490" i="2" s="1"/>
  <c r="P490" i="2" s="1"/>
  <c r="B492" i="1"/>
  <c r="B486" i="9" l="1"/>
  <c r="C486" i="9"/>
  <c r="D486" i="9"/>
  <c r="O487" i="2"/>
  <c r="E492" i="4"/>
  <c r="C492" i="1"/>
  <c r="H492" i="1"/>
  <c r="C492" i="2"/>
  <c r="G492" i="1"/>
  <c r="D491" i="4"/>
  <c r="C491" i="4"/>
  <c r="G491" i="4" s="1"/>
  <c r="B491" i="4"/>
  <c r="B491" i="2" s="1"/>
  <c r="P491" i="2" s="1"/>
  <c r="B493" i="1"/>
  <c r="B487" i="9" l="1"/>
  <c r="C487" i="9"/>
  <c r="D487" i="9"/>
  <c r="O488" i="2"/>
  <c r="E493" i="4"/>
  <c r="C493" i="1"/>
  <c r="H493" i="1"/>
  <c r="C493" i="2"/>
  <c r="G493" i="1"/>
  <c r="D492" i="4"/>
  <c r="C492" i="4"/>
  <c r="G492" i="4" s="1"/>
  <c r="B492" i="4"/>
  <c r="B492" i="2" s="1"/>
  <c r="P492" i="2" s="1"/>
  <c r="B494" i="1"/>
  <c r="B488" i="9" l="1"/>
  <c r="C488" i="9"/>
  <c r="D488" i="9"/>
  <c r="O489" i="2"/>
  <c r="E494" i="4"/>
  <c r="C494" i="1"/>
  <c r="H494" i="1"/>
  <c r="C494" i="2"/>
  <c r="G494" i="1"/>
  <c r="D493" i="4"/>
  <c r="C493" i="4"/>
  <c r="G493" i="4" s="1"/>
  <c r="B493" i="4"/>
  <c r="B493" i="2" s="1"/>
  <c r="P493" i="2" s="1"/>
  <c r="B495" i="1"/>
  <c r="B489" i="9" l="1"/>
  <c r="C489" i="9"/>
  <c r="D489" i="9"/>
  <c r="O490" i="2"/>
  <c r="E495" i="4"/>
  <c r="C495" i="1"/>
  <c r="H495" i="1"/>
  <c r="C495" i="2"/>
  <c r="G495" i="1"/>
  <c r="D494" i="4"/>
  <c r="C494" i="4"/>
  <c r="G494" i="4" s="1"/>
  <c r="B494" i="4"/>
  <c r="B494" i="2" s="1"/>
  <c r="P494" i="2" s="1"/>
  <c r="B496" i="1"/>
  <c r="B490" i="9" l="1"/>
  <c r="C490" i="9"/>
  <c r="D490" i="9"/>
  <c r="O491" i="2"/>
  <c r="E496" i="4"/>
  <c r="C496" i="1"/>
  <c r="H496" i="1"/>
  <c r="C496" i="2"/>
  <c r="G496" i="1"/>
  <c r="D495" i="4"/>
  <c r="C495" i="4"/>
  <c r="G495" i="4" s="1"/>
  <c r="B495" i="4"/>
  <c r="B495" i="2" s="1"/>
  <c r="P495" i="2" s="1"/>
  <c r="B497" i="1"/>
  <c r="B491" i="9" l="1"/>
  <c r="C491" i="9"/>
  <c r="D491" i="9"/>
  <c r="O492" i="2"/>
  <c r="E497" i="4"/>
  <c r="C497" i="1"/>
  <c r="H497" i="1"/>
  <c r="C497" i="2"/>
  <c r="G497" i="1"/>
  <c r="D496" i="4"/>
  <c r="C496" i="4"/>
  <c r="G496" i="4" s="1"/>
  <c r="B496" i="4"/>
  <c r="B496" i="2" s="1"/>
  <c r="P496" i="2" s="1"/>
  <c r="B498" i="1"/>
  <c r="B492" i="9" l="1"/>
  <c r="C492" i="9"/>
  <c r="D492" i="9"/>
  <c r="O493" i="2"/>
  <c r="E498" i="4"/>
  <c r="C498" i="1"/>
  <c r="H498" i="1"/>
  <c r="C498" i="2"/>
  <c r="G498" i="1"/>
  <c r="D497" i="4"/>
  <c r="C497" i="4"/>
  <c r="G497" i="4" s="1"/>
  <c r="B497" i="4"/>
  <c r="B497" i="2" s="1"/>
  <c r="P497" i="2" s="1"/>
  <c r="B499" i="1"/>
  <c r="B493" i="9" l="1"/>
  <c r="C493" i="9"/>
  <c r="D493" i="9"/>
  <c r="O494" i="2"/>
  <c r="E499" i="4"/>
  <c r="C499" i="1"/>
  <c r="H499" i="1"/>
  <c r="C499" i="2"/>
  <c r="G499" i="1"/>
  <c r="D498" i="4"/>
  <c r="C498" i="4"/>
  <c r="G498" i="4" s="1"/>
  <c r="B498" i="4"/>
  <c r="B498" i="2" s="1"/>
  <c r="P498" i="2" s="1"/>
  <c r="B500" i="1"/>
  <c r="B494" i="9" l="1"/>
  <c r="C494" i="9"/>
  <c r="D494" i="9"/>
  <c r="O495" i="2"/>
  <c r="E500" i="4"/>
  <c r="C500" i="1"/>
  <c r="H500" i="1"/>
  <c r="C500" i="2"/>
  <c r="G500" i="1"/>
  <c r="D499" i="4"/>
  <c r="C499" i="4"/>
  <c r="G499" i="4" s="1"/>
  <c r="B499" i="4"/>
  <c r="B499" i="2" s="1"/>
  <c r="P499" i="2" s="1"/>
  <c r="B501" i="1"/>
  <c r="B495" i="9" l="1"/>
  <c r="C495" i="9"/>
  <c r="D495" i="9"/>
  <c r="O496" i="2"/>
  <c r="E501" i="4"/>
  <c r="C501" i="1"/>
  <c r="H501" i="1"/>
  <c r="C501" i="2"/>
  <c r="G501" i="1"/>
  <c r="D500" i="4"/>
  <c r="C500" i="4"/>
  <c r="G500" i="4" s="1"/>
  <c r="B500" i="4"/>
  <c r="B500" i="2" s="1"/>
  <c r="P500" i="2" s="1"/>
  <c r="B502" i="1"/>
  <c r="B496" i="9" l="1"/>
  <c r="C496" i="9"/>
  <c r="D496" i="9"/>
  <c r="O497" i="2"/>
  <c r="E502" i="4"/>
  <c r="C502" i="1"/>
  <c r="H502" i="1"/>
  <c r="C502" i="2"/>
  <c r="G502" i="1"/>
  <c r="D501" i="4"/>
  <c r="C501" i="4"/>
  <c r="G501" i="4" s="1"/>
  <c r="B501" i="4"/>
  <c r="B501" i="2" s="1"/>
  <c r="P501" i="2" s="1"/>
  <c r="B503" i="1"/>
  <c r="B497" i="9" l="1"/>
  <c r="C497" i="9"/>
  <c r="D497" i="9"/>
  <c r="O498" i="2"/>
  <c r="E503" i="4"/>
  <c r="C503" i="1"/>
  <c r="H503" i="1"/>
  <c r="C503" i="2"/>
  <c r="G503" i="1"/>
  <c r="D502" i="4"/>
  <c r="C502" i="4"/>
  <c r="G502" i="4" s="1"/>
  <c r="B502" i="4"/>
  <c r="B502" i="2" s="1"/>
  <c r="P502" i="2" s="1"/>
  <c r="B504" i="1"/>
  <c r="B498" i="9" l="1"/>
  <c r="C498" i="9"/>
  <c r="D498" i="9"/>
  <c r="O499" i="2"/>
  <c r="E504" i="4"/>
  <c r="C504" i="1"/>
  <c r="H504" i="1"/>
  <c r="C504" i="2"/>
  <c r="G504" i="1"/>
  <c r="D503" i="4"/>
  <c r="C503" i="4"/>
  <c r="G503" i="4" s="1"/>
  <c r="B503" i="4"/>
  <c r="B503" i="2" s="1"/>
  <c r="P503" i="2" s="1"/>
  <c r="B505" i="1"/>
  <c r="B499" i="9" l="1"/>
  <c r="C499" i="9"/>
  <c r="D499" i="9"/>
  <c r="O500" i="2"/>
  <c r="E505" i="4"/>
  <c r="C505" i="1"/>
  <c r="H505" i="1"/>
  <c r="C505" i="2"/>
  <c r="G505" i="1"/>
  <c r="D504" i="4"/>
  <c r="C504" i="4"/>
  <c r="G504" i="4" s="1"/>
  <c r="B504" i="4"/>
  <c r="B504" i="2" s="1"/>
  <c r="P504" i="2" s="1"/>
  <c r="B506" i="1"/>
  <c r="B500" i="9" l="1"/>
  <c r="C500" i="9"/>
  <c r="D500" i="9"/>
  <c r="O501" i="2"/>
  <c r="E506" i="4"/>
  <c r="C506" i="1"/>
  <c r="H506" i="1"/>
  <c r="C506" i="2"/>
  <c r="G506" i="1"/>
  <c r="D505" i="4"/>
  <c r="C505" i="4"/>
  <c r="G505" i="4" s="1"/>
  <c r="B505" i="4"/>
  <c r="B505" i="2" s="1"/>
  <c r="P505" i="2" s="1"/>
  <c r="B507" i="1"/>
  <c r="B501" i="9" l="1"/>
  <c r="C501" i="9"/>
  <c r="D501" i="9"/>
  <c r="O502" i="2"/>
  <c r="E507" i="4"/>
  <c r="C507" i="1"/>
  <c r="H507" i="1"/>
  <c r="C507" i="2"/>
  <c r="G507" i="1"/>
  <c r="D506" i="4"/>
  <c r="C506" i="4"/>
  <c r="G506" i="4" s="1"/>
  <c r="B506" i="4"/>
  <c r="B506" i="2" s="1"/>
  <c r="P506" i="2" s="1"/>
  <c r="B508" i="1"/>
  <c r="B502" i="9" l="1"/>
  <c r="C502" i="9"/>
  <c r="D502" i="9"/>
  <c r="O503" i="2"/>
  <c r="E508" i="4"/>
  <c r="C508" i="1"/>
  <c r="H508" i="1"/>
  <c r="C508" i="2"/>
  <c r="G508" i="1"/>
  <c r="D507" i="4"/>
  <c r="C507" i="4"/>
  <c r="G507" i="4" s="1"/>
  <c r="B507" i="4"/>
  <c r="B507" i="2" s="1"/>
  <c r="P507" i="2" s="1"/>
  <c r="B509" i="1"/>
  <c r="B503" i="9" l="1"/>
  <c r="C503" i="9"/>
  <c r="D503" i="9"/>
  <c r="O504" i="2"/>
  <c r="E509" i="4"/>
  <c r="C509" i="1"/>
  <c r="H509" i="1"/>
  <c r="C509" i="2"/>
  <c r="G509" i="1"/>
  <c r="D508" i="4"/>
  <c r="C508" i="4"/>
  <c r="G508" i="4" s="1"/>
  <c r="B508" i="4"/>
  <c r="B508" i="2" s="1"/>
  <c r="P508" i="2" s="1"/>
  <c r="B510" i="1"/>
  <c r="B504" i="9" l="1"/>
  <c r="C504" i="9"/>
  <c r="D504" i="9"/>
  <c r="O505" i="2"/>
  <c r="E510" i="4"/>
  <c r="C510" i="1"/>
  <c r="H510" i="1"/>
  <c r="C510" i="2"/>
  <c r="G510" i="1"/>
  <c r="D509" i="4"/>
  <c r="C509" i="4"/>
  <c r="G509" i="4" s="1"/>
  <c r="B509" i="4"/>
  <c r="B509" i="2" s="1"/>
  <c r="P509" i="2" s="1"/>
  <c r="B511" i="1"/>
  <c r="B505" i="9" l="1"/>
  <c r="C505" i="9"/>
  <c r="D505" i="9"/>
  <c r="O506" i="2"/>
  <c r="E511" i="4"/>
  <c r="C511" i="1"/>
  <c r="H511" i="1"/>
  <c r="C511" i="2"/>
  <c r="G511" i="1"/>
  <c r="D510" i="4"/>
  <c r="C510" i="4"/>
  <c r="G510" i="4" s="1"/>
  <c r="B510" i="4"/>
  <c r="B510" i="2" s="1"/>
  <c r="P510" i="2" s="1"/>
  <c r="B512" i="1"/>
  <c r="B506" i="9" l="1"/>
  <c r="C506" i="9"/>
  <c r="D506" i="9"/>
  <c r="O507" i="2"/>
  <c r="E512" i="4"/>
  <c r="C512" i="1"/>
  <c r="H512" i="1"/>
  <c r="C512" i="2"/>
  <c r="G512" i="1"/>
  <c r="D511" i="4"/>
  <c r="C511" i="4"/>
  <c r="G511" i="4" s="1"/>
  <c r="B511" i="4"/>
  <c r="B511" i="2" s="1"/>
  <c r="P511" i="2" s="1"/>
  <c r="B513" i="1"/>
  <c r="B507" i="9" l="1"/>
  <c r="C507" i="9"/>
  <c r="D507" i="9"/>
  <c r="O508" i="2"/>
  <c r="E513" i="4"/>
  <c r="C513" i="1"/>
  <c r="H513" i="1"/>
  <c r="C513" i="2"/>
  <c r="G513" i="1"/>
  <c r="D512" i="4"/>
  <c r="C512" i="4"/>
  <c r="G512" i="4" s="1"/>
  <c r="B512" i="4"/>
  <c r="B512" i="2" s="1"/>
  <c r="P512" i="2" s="1"/>
  <c r="B514" i="1"/>
  <c r="B508" i="9" l="1"/>
  <c r="C508" i="9"/>
  <c r="D508" i="9"/>
  <c r="O509" i="2"/>
  <c r="E514" i="4"/>
  <c r="C514" i="1"/>
  <c r="H514" i="1"/>
  <c r="C514" i="2"/>
  <c r="G514" i="1"/>
  <c r="D513" i="4"/>
  <c r="C513" i="4"/>
  <c r="G513" i="4" s="1"/>
  <c r="B513" i="4"/>
  <c r="B513" i="2" s="1"/>
  <c r="P513" i="2" s="1"/>
  <c r="B515" i="1"/>
  <c r="B509" i="9" l="1"/>
  <c r="C509" i="9"/>
  <c r="D509" i="9"/>
  <c r="O510" i="2"/>
  <c r="E515" i="4"/>
  <c r="C515" i="1"/>
  <c r="H515" i="1"/>
  <c r="C515" i="2"/>
  <c r="G515" i="1"/>
  <c r="D514" i="4"/>
  <c r="C514" i="4"/>
  <c r="G514" i="4" s="1"/>
  <c r="B514" i="4"/>
  <c r="B514" i="2" s="1"/>
  <c r="P514" i="2" s="1"/>
  <c r="B516" i="1"/>
  <c r="B510" i="9" l="1"/>
  <c r="C510" i="9"/>
  <c r="D510" i="9"/>
  <c r="O511" i="2"/>
  <c r="E516" i="4"/>
  <c r="C516" i="1"/>
  <c r="H516" i="1"/>
  <c r="C516" i="2"/>
  <c r="G516" i="1"/>
  <c r="D515" i="4"/>
  <c r="C515" i="4"/>
  <c r="G515" i="4" s="1"/>
  <c r="B515" i="4"/>
  <c r="B515" i="2" s="1"/>
  <c r="P515" i="2" s="1"/>
  <c r="B517" i="1"/>
  <c r="B511" i="9" l="1"/>
  <c r="C511" i="9"/>
  <c r="D511" i="9"/>
  <c r="O512" i="2"/>
  <c r="E517" i="4"/>
  <c r="C517" i="1"/>
  <c r="H517" i="1"/>
  <c r="C517" i="2"/>
  <c r="G517" i="1"/>
  <c r="D516" i="4"/>
  <c r="C516" i="4"/>
  <c r="G516" i="4" s="1"/>
  <c r="B516" i="4"/>
  <c r="B516" i="2" s="1"/>
  <c r="P516" i="2" s="1"/>
  <c r="B518" i="1"/>
  <c r="B512" i="9" l="1"/>
  <c r="C512" i="9"/>
  <c r="D512" i="9"/>
  <c r="O513" i="2"/>
  <c r="E518" i="4"/>
  <c r="C518" i="1"/>
  <c r="H518" i="1"/>
  <c r="C518" i="2"/>
  <c r="G518" i="1"/>
  <c r="D517" i="4"/>
  <c r="C517" i="4"/>
  <c r="G517" i="4" s="1"/>
  <c r="B517" i="4"/>
  <c r="B517" i="2" s="1"/>
  <c r="P517" i="2" s="1"/>
  <c r="B519" i="1"/>
  <c r="B513" i="9" l="1"/>
  <c r="C513" i="9"/>
  <c r="D513" i="9"/>
  <c r="O514" i="2"/>
  <c r="E519" i="4"/>
  <c r="C519" i="1"/>
  <c r="H519" i="1"/>
  <c r="C519" i="2"/>
  <c r="G519" i="1"/>
  <c r="D518" i="4"/>
  <c r="C518" i="4"/>
  <c r="G518" i="4" s="1"/>
  <c r="B518" i="4"/>
  <c r="B518" i="2" s="1"/>
  <c r="P518" i="2" s="1"/>
  <c r="B520" i="1"/>
  <c r="B514" i="9" l="1"/>
  <c r="C514" i="9"/>
  <c r="D514" i="9"/>
  <c r="O515" i="2"/>
  <c r="E520" i="4"/>
  <c r="C520" i="1"/>
  <c r="H520" i="1"/>
  <c r="C520" i="2"/>
  <c r="G520" i="1"/>
  <c r="D519" i="4"/>
  <c r="C519" i="4"/>
  <c r="G519" i="4" s="1"/>
  <c r="B519" i="4"/>
  <c r="B519" i="2" s="1"/>
  <c r="P519" i="2" s="1"/>
  <c r="B521" i="1"/>
  <c r="B515" i="9" l="1"/>
  <c r="C515" i="9"/>
  <c r="D515" i="9"/>
  <c r="O516" i="2"/>
  <c r="E521" i="4"/>
  <c r="C521" i="1"/>
  <c r="H521" i="1"/>
  <c r="C521" i="2"/>
  <c r="G521" i="1"/>
  <c r="D520" i="4"/>
  <c r="C520" i="4"/>
  <c r="G520" i="4" s="1"/>
  <c r="B520" i="4"/>
  <c r="B520" i="2" s="1"/>
  <c r="P520" i="2" s="1"/>
  <c r="B522" i="1"/>
  <c r="B516" i="9" l="1"/>
  <c r="C516" i="9"/>
  <c r="D516" i="9"/>
  <c r="O517" i="2"/>
  <c r="E522" i="4"/>
  <c r="C522" i="1"/>
  <c r="H522" i="1"/>
  <c r="C522" i="2"/>
  <c r="G522" i="1"/>
  <c r="D521" i="4"/>
  <c r="C521" i="4"/>
  <c r="G521" i="4" s="1"/>
  <c r="B521" i="4"/>
  <c r="B521" i="2" s="1"/>
  <c r="P521" i="2" s="1"/>
  <c r="B523" i="1"/>
  <c r="B517" i="9" l="1"/>
  <c r="C517" i="9"/>
  <c r="D517" i="9"/>
  <c r="O518" i="2"/>
  <c r="E523" i="4"/>
  <c r="C523" i="1"/>
  <c r="H523" i="1"/>
  <c r="C523" i="2"/>
  <c r="G523" i="1"/>
  <c r="D522" i="4"/>
  <c r="C522" i="4"/>
  <c r="G522" i="4" s="1"/>
  <c r="B522" i="4"/>
  <c r="B522" i="2" s="1"/>
  <c r="P522" i="2" s="1"/>
  <c r="B524" i="1"/>
  <c r="B518" i="9" l="1"/>
  <c r="C518" i="9"/>
  <c r="D518" i="9"/>
  <c r="O519" i="2"/>
  <c r="E524" i="4"/>
  <c r="C524" i="1"/>
  <c r="H524" i="1"/>
  <c r="C524" i="2"/>
  <c r="G524" i="1"/>
  <c r="D523" i="4"/>
  <c r="C523" i="4"/>
  <c r="G523" i="4" s="1"/>
  <c r="B523" i="4"/>
  <c r="B523" i="2" s="1"/>
  <c r="P523" i="2" s="1"/>
  <c r="B525" i="1"/>
  <c r="B519" i="9" l="1"/>
  <c r="C519" i="9"/>
  <c r="D519" i="9"/>
  <c r="O520" i="2"/>
  <c r="E525" i="4"/>
  <c r="C525" i="1"/>
  <c r="H525" i="1"/>
  <c r="C525" i="2"/>
  <c r="G525" i="1"/>
  <c r="D524" i="4"/>
  <c r="C524" i="4"/>
  <c r="G524" i="4" s="1"/>
  <c r="B524" i="4"/>
  <c r="B524" i="2" s="1"/>
  <c r="P524" i="2" s="1"/>
  <c r="B520" i="9" l="1"/>
  <c r="C520" i="9"/>
  <c r="D520" i="9"/>
  <c r="O521" i="2"/>
  <c r="D525" i="4"/>
  <c r="C525" i="4"/>
  <c r="G525" i="4" s="1"/>
  <c r="B525" i="4"/>
  <c r="B525" i="2" s="1"/>
  <c r="P525" i="2" s="1"/>
  <c r="B521" i="9" l="1"/>
  <c r="C521" i="9"/>
  <c r="D521" i="9"/>
  <c r="O522" i="2"/>
  <c r="B522" i="9" l="1"/>
  <c r="C522" i="9"/>
  <c r="D522" i="9"/>
  <c r="O523" i="2"/>
  <c r="B526" i="1"/>
  <c r="C526" i="1" s="1"/>
  <c r="B523" i="9" l="1"/>
  <c r="C523" i="9"/>
  <c r="D523" i="9"/>
  <c r="O524" i="2"/>
  <c r="E526" i="4"/>
  <c r="H526" i="1"/>
  <c r="C526" i="2"/>
  <c r="B527" i="1"/>
  <c r="C527" i="1" s="1"/>
  <c r="B524" i="9" l="1"/>
  <c r="C524" i="9"/>
  <c r="D524" i="9"/>
  <c r="O525" i="2"/>
  <c r="E527" i="4"/>
  <c r="H527" i="1"/>
  <c r="C527" i="2"/>
  <c r="G526" i="1"/>
  <c r="G527" i="1" s="1"/>
  <c r="D526" i="4"/>
  <c r="C526" i="4"/>
  <c r="G526" i="4" s="1"/>
  <c r="B526" i="4"/>
  <c r="B528" i="1"/>
  <c r="C528" i="1" s="1"/>
  <c r="B525" i="9" l="1"/>
  <c r="C525" i="9"/>
  <c r="D525" i="9"/>
  <c r="E528" i="4"/>
  <c r="H528" i="1"/>
  <c r="C528" i="2"/>
  <c r="B526" i="2"/>
  <c r="G528" i="1"/>
  <c r="D527" i="4"/>
  <c r="C527" i="4"/>
  <c r="G527" i="4" s="1"/>
  <c r="B527" i="4"/>
  <c r="B529" i="1"/>
  <c r="C529" i="1" s="1"/>
  <c r="P526" i="2" l="1"/>
  <c r="O526" i="2" s="1"/>
  <c r="E529" i="4"/>
  <c r="H529" i="1"/>
  <c r="C529" i="2"/>
  <c r="B527" i="2"/>
  <c r="G529" i="1"/>
  <c r="D528" i="4"/>
  <c r="C528" i="4"/>
  <c r="G528" i="4" s="1"/>
  <c r="B528" i="4"/>
  <c r="B530" i="1"/>
  <c r="C530" i="1" s="1"/>
  <c r="B526" i="9" l="1"/>
  <c r="C526" i="9"/>
  <c r="D526" i="9"/>
  <c r="P527" i="2"/>
  <c r="O527" i="2" s="1"/>
  <c r="E530" i="4"/>
  <c r="H530" i="1"/>
  <c r="C530" i="2"/>
  <c r="B528" i="2"/>
  <c r="G530" i="1"/>
  <c r="D529" i="4"/>
  <c r="C529" i="4"/>
  <c r="G529" i="4" s="1"/>
  <c r="B529" i="4"/>
  <c r="B531" i="1"/>
  <c r="C531" i="1" s="1"/>
  <c r="B527" i="9" l="1"/>
  <c r="C527" i="9"/>
  <c r="D527" i="9"/>
  <c r="P528" i="2"/>
  <c r="O528" i="2" s="1"/>
  <c r="E531" i="4"/>
  <c r="H531" i="1"/>
  <c r="C531" i="2"/>
  <c r="B529" i="2"/>
  <c r="G531" i="1"/>
  <c r="D530" i="4"/>
  <c r="C530" i="4"/>
  <c r="G530" i="4" s="1"/>
  <c r="B530" i="4"/>
  <c r="B532" i="1"/>
  <c r="C532" i="1" s="1"/>
  <c r="B528" i="9" l="1"/>
  <c r="C528" i="9"/>
  <c r="D528" i="9"/>
  <c r="P529" i="2"/>
  <c r="O529" i="2" s="1"/>
  <c r="E532" i="4"/>
  <c r="H532" i="1"/>
  <c r="C532" i="2"/>
  <c r="B530" i="2"/>
  <c r="G532" i="1"/>
  <c r="D531" i="4"/>
  <c r="C531" i="4"/>
  <c r="G531" i="4" s="1"/>
  <c r="B531" i="4"/>
  <c r="B533" i="1"/>
  <c r="C533" i="1" s="1"/>
  <c r="B529" i="9" l="1"/>
  <c r="C529" i="9"/>
  <c r="D529" i="9"/>
  <c r="P530" i="2"/>
  <c r="O530" i="2" s="1"/>
  <c r="E533" i="4"/>
  <c r="H533" i="1"/>
  <c r="C533" i="2"/>
  <c r="B531" i="2"/>
  <c r="G533" i="1"/>
  <c r="D532" i="4"/>
  <c r="C532" i="4"/>
  <c r="G532" i="4" s="1"/>
  <c r="B532" i="4"/>
  <c r="B534" i="1"/>
  <c r="C534" i="1" s="1"/>
  <c r="B530" i="9" l="1"/>
  <c r="C530" i="9"/>
  <c r="D530" i="9"/>
  <c r="P531" i="2"/>
  <c r="O531" i="2" s="1"/>
  <c r="E534" i="4"/>
  <c r="H534" i="1"/>
  <c r="C534" i="2"/>
  <c r="B532" i="2"/>
  <c r="G534" i="1"/>
  <c r="D533" i="4"/>
  <c r="C533" i="4"/>
  <c r="G533" i="4" s="1"/>
  <c r="B533" i="4"/>
  <c r="B535" i="1"/>
  <c r="C535" i="1" s="1"/>
  <c r="B531" i="9" l="1"/>
  <c r="C531" i="9"/>
  <c r="D531" i="9"/>
  <c r="P532" i="2"/>
  <c r="O532" i="2" s="1"/>
  <c r="E535" i="4"/>
  <c r="H535" i="1"/>
  <c r="C535" i="2"/>
  <c r="B533" i="2"/>
  <c r="G535" i="1"/>
  <c r="D534" i="4"/>
  <c r="C534" i="4"/>
  <c r="G534" i="4" s="1"/>
  <c r="B534" i="4"/>
  <c r="B536" i="1"/>
  <c r="C536" i="1" s="1"/>
  <c r="B532" i="9" l="1"/>
  <c r="C532" i="9"/>
  <c r="D532" i="9"/>
  <c r="P533" i="2"/>
  <c r="O533" i="2" s="1"/>
  <c r="E536" i="4"/>
  <c r="H536" i="1"/>
  <c r="C536" i="2"/>
  <c r="B534" i="2"/>
  <c r="G536" i="1"/>
  <c r="D535" i="4"/>
  <c r="C535" i="4"/>
  <c r="G535" i="4" s="1"/>
  <c r="B535" i="4"/>
  <c r="B537" i="1"/>
  <c r="C537" i="1" s="1"/>
  <c r="B533" i="9" l="1"/>
  <c r="C533" i="9"/>
  <c r="D533" i="9"/>
  <c r="P534" i="2"/>
  <c r="O534" i="2" s="1"/>
  <c r="E537" i="4"/>
  <c r="H537" i="1"/>
  <c r="C537" i="2"/>
  <c r="B535" i="2"/>
  <c r="G537" i="1"/>
  <c r="D536" i="4"/>
  <c r="C536" i="4"/>
  <c r="G536" i="4" s="1"/>
  <c r="B536" i="4"/>
  <c r="B538" i="1"/>
  <c r="C538" i="1" s="1"/>
  <c r="B534" i="9" l="1"/>
  <c r="C534" i="9"/>
  <c r="D534" i="9"/>
  <c r="P535" i="2"/>
  <c r="O535" i="2" s="1"/>
  <c r="E538" i="4"/>
  <c r="H538" i="1"/>
  <c r="C538" i="2"/>
  <c r="B536" i="2"/>
  <c r="G538" i="1"/>
  <c r="D537" i="4"/>
  <c r="C537" i="4"/>
  <c r="G537" i="4" s="1"/>
  <c r="B537" i="4"/>
  <c r="B539" i="1"/>
  <c r="C539" i="1" s="1"/>
  <c r="B535" i="9" l="1"/>
  <c r="C535" i="9"/>
  <c r="D535" i="9"/>
  <c r="P536" i="2"/>
  <c r="O536" i="2" s="1"/>
  <c r="E539" i="4"/>
  <c r="H539" i="1"/>
  <c r="C539" i="2"/>
  <c r="B537" i="2"/>
  <c r="G539" i="1"/>
  <c r="D538" i="4"/>
  <c r="C538" i="4"/>
  <c r="G538" i="4" s="1"/>
  <c r="B538" i="4"/>
  <c r="B540" i="1"/>
  <c r="C540" i="1" s="1"/>
  <c r="B536" i="9" l="1"/>
  <c r="C536" i="9"/>
  <c r="D536" i="9"/>
  <c r="P537" i="2"/>
  <c r="O537" i="2" s="1"/>
  <c r="E540" i="4"/>
  <c r="H540" i="1"/>
  <c r="C540" i="2"/>
  <c r="B538" i="2"/>
  <c r="G540" i="1"/>
  <c r="D539" i="4"/>
  <c r="C539" i="4"/>
  <c r="G539" i="4" s="1"/>
  <c r="B539" i="4"/>
  <c r="B541" i="1"/>
  <c r="C541" i="1" s="1"/>
  <c r="B537" i="9" l="1"/>
  <c r="C537" i="9"/>
  <c r="D537" i="9"/>
  <c r="P538" i="2"/>
  <c r="O538" i="2" s="1"/>
  <c r="E541" i="4"/>
  <c r="H541" i="1"/>
  <c r="C541" i="2"/>
  <c r="B539" i="2"/>
  <c r="G541" i="1"/>
  <c r="D540" i="4"/>
  <c r="C540" i="4"/>
  <c r="G540" i="4" s="1"/>
  <c r="B540" i="4"/>
  <c r="B542" i="1"/>
  <c r="C542" i="1" s="1"/>
  <c r="B538" i="9" l="1"/>
  <c r="C538" i="9"/>
  <c r="D538" i="9"/>
  <c r="P539" i="2"/>
  <c r="O539" i="2" s="1"/>
  <c r="E542" i="4"/>
  <c r="H542" i="1"/>
  <c r="C542" i="2"/>
  <c r="B540" i="2"/>
  <c r="G542" i="1"/>
  <c r="D541" i="4"/>
  <c r="C541" i="4"/>
  <c r="G541" i="4" s="1"/>
  <c r="B541" i="4"/>
  <c r="B543" i="1"/>
  <c r="C543" i="1" s="1"/>
  <c r="B539" i="9" l="1"/>
  <c r="C539" i="9"/>
  <c r="D539" i="9"/>
  <c r="P540" i="2"/>
  <c r="O540" i="2" s="1"/>
  <c r="E543" i="4"/>
  <c r="H543" i="1"/>
  <c r="C543" i="2"/>
  <c r="B541" i="2"/>
  <c r="G543" i="1"/>
  <c r="D542" i="4"/>
  <c r="C542" i="4"/>
  <c r="G542" i="4" s="1"/>
  <c r="B542" i="4"/>
  <c r="B544" i="1"/>
  <c r="C544" i="1" s="1"/>
  <c r="B540" i="9" l="1"/>
  <c r="C540" i="9"/>
  <c r="D540" i="9"/>
  <c r="P541" i="2"/>
  <c r="O541" i="2" s="1"/>
  <c r="E544" i="4"/>
  <c r="H544" i="1"/>
  <c r="C544" i="2"/>
  <c r="B542" i="2"/>
  <c r="G544" i="1"/>
  <c r="D543" i="4"/>
  <c r="C543" i="4"/>
  <c r="G543" i="4" s="1"/>
  <c r="B543" i="4"/>
  <c r="B545" i="1"/>
  <c r="C545" i="1" s="1"/>
  <c r="B541" i="9" l="1"/>
  <c r="C541" i="9"/>
  <c r="D541" i="9"/>
  <c r="P542" i="2"/>
  <c r="O542" i="2" s="1"/>
  <c r="E545" i="4"/>
  <c r="H545" i="1"/>
  <c r="C545" i="2"/>
  <c r="B543" i="2"/>
  <c r="G545" i="1"/>
  <c r="D544" i="4"/>
  <c r="C544" i="4"/>
  <c r="G544" i="4" s="1"/>
  <c r="B544" i="4"/>
  <c r="B546" i="1"/>
  <c r="C546" i="1" s="1"/>
  <c r="B542" i="9" l="1"/>
  <c r="C542" i="9"/>
  <c r="D542" i="9"/>
  <c r="P543" i="2"/>
  <c r="O543" i="2" s="1"/>
  <c r="E546" i="4"/>
  <c r="H546" i="1"/>
  <c r="C546" i="2"/>
  <c r="B544" i="2"/>
  <c r="G546" i="1"/>
  <c r="D545" i="4"/>
  <c r="C545" i="4"/>
  <c r="G545" i="4" s="1"/>
  <c r="B545" i="4"/>
  <c r="B547" i="1"/>
  <c r="C547" i="1" s="1"/>
  <c r="B543" i="9" l="1"/>
  <c r="C543" i="9"/>
  <c r="D543" i="9"/>
  <c r="P544" i="2"/>
  <c r="O544" i="2" s="1"/>
  <c r="E547" i="4"/>
  <c r="H547" i="1"/>
  <c r="C547" i="2"/>
  <c r="B545" i="2"/>
  <c r="G547" i="1"/>
  <c r="D546" i="4"/>
  <c r="C546" i="4"/>
  <c r="G546" i="4" s="1"/>
  <c r="B546" i="4"/>
  <c r="B548" i="1"/>
  <c r="C548" i="1" s="1"/>
  <c r="B544" i="9" l="1"/>
  <c r="C544" i="9"/>
  <c r="D544" i="9"/>
  <c r="P545" i="2"/>
  <c r="O545" i="2" s="1"/>
  <c r="E548" i="4"/>
  <c r="H548" i="1"/>
  <c r="C548" i="2"/>
  <c r="B546" i="2"/>
  <c r="G548" i="1"/>
  <c r="D547" i="4"/>
  <c r="C547" i="4"/>
  <c r="G547" i="4" s="1"/>
  <c r="B547" i="4"/>
  <c r="B549" i="1"/>
  <c r="C549" i="1" s="1"/>
  <c r="B545" i="9" l="1"/>
  <c r="C545" i="9"/>
  <c r="D545" i="9"/>
  <c r="P546" i="2"/>
  <c r="O546" i="2" s="1"/>
  <c r="E549" i="4"/>
  <c r="H549" i="1"/>
  <c r="C549" i="2"/>
  <c r="B547" i="2"/>
  <c r="G549" i="1"/>
  <c r="D548" i="4"/>
  <c r="C548" i="4"/>
  <c r="G548" i="4" s="1"/>
  <c r="B548" i="4"/>
  <c r="B550" i="1"/>
  <c r="C550" i="1" s="1"/>
  <c r="B546" i="9" l="1"/>
  <c r="C546" i="9"/>
  <c r="D546" i="9"/>
  <c r="P547" i="2"/>
  <c r="O547" i="2" s="1"/>
  <c r="E550" i="4"/>
  <c r="H550" i="1"/>
  <c r="C550" i="2"/>
  <c r="B548" i="2"/>
  <c r="G550" i="1"/>
  <c r="D549" i="4"/>
  <c r="C549" i="4"/>
  <c r="G549" i="4" s="1"/>
  <c r="B549" i="4"/>
  <c r="B551" i="1"/>
  <c r="C551" i="1" s="1"/>
  <c r="B547" i="9" l="1"/>
  <c r="C547" i="9"/>
  <c r="D547" i="9"/>
  <c r="P548" i="2"/>
  <c r="O548" i="2" s="1"/>
  <c r="E551" i="4"/>
  <c r="H551" i="1"/>
  <c r="C551" i="2"/>
  <c r="B549" i="2"/>
  <c r="G551" i="1"/>
  <c r="D550" i="4"/>
  <c r="C550" i="4"/>
  <c r="G550" i="4" s="1"/>
  <c r="B550" i="4"/>
  <c r="B552" i="1"/>
  <c r="C552" i="1" s="1"/>
  <c r="B548" i="9" l="1"/>
  <c r="C548" i="9"/>
  <c r="D548" i="9"/>
  <c r="P549" i="2"/>
  <c r="O549" i="2" s="1"/>
  <c r="E552" i="4"/>
  <c r="H552" i="1"/>
  <c r="C552" i="2"/>
  <c r="B550" i="2"/>
  <c r="G552" i="1"/>
  <c r="D551" i="4"/>
  <c r="C551" i="4"/>
  <c r="G551" i="4" s="1"/>
  <c r="B551" i="4"/>
  <c r="B553" i="1"/>
  <c r="C553" i="1" s="1"/>
  <c r="B549" i="9" l="1"/>
  <c r="C549" i="9"/>
  <c r="D549" i="9"/>
  <c r="P550" i="2"/>
  <c r="O550" i="2" s="1"/>
  <c r="E553" i="4"/>
  <c r="H553" i="1"/>
  <c r="C553" i="2"/>
  <c r="B551" i="2"/>
  <c r="G553" i="1"/>
  <c r="D552" i="4"/>
  <c r="C552" i="4"/>
  <c r="G552" i="4" s="1"/>
  <c r="B552" i="4"/>
  <c r="B554" i="1"/>
  <c r="C554" i="1" s="1"/>
  <c r="B550" i="9" l="1"/>
  <c r="C550" i="9"/>
  <c r="D550" i="9"/>
  <c r="P551" i="2"/>
  <c r="O551" i="2" s="1"/>
  <c r="E554" i="4"/>
  <c r="H554" i="1"/>
  <c r="C554" i="2"/>
  <c r="B552" i="2"/>
  <c r="G554" i="1"/>
  <c r="D553" i="4"/>
  <c r="C553" i="4"/>
  <c r="G553" i="4" s="1"/>
  <c r="B553" i="4"/>
  <c r="B555" i="1"/>
  <c r="C555" i="1" s="1"/>
  <c r="B551" i="9" l="1"/>
  <c r="C551" i="9"/>
  <c r="D551" i="9"/>
  <c r="P552" i="2"/>
  <c r="O552" i="2" s="1"/>
  <c r="E555" i="4"/>
  <c r="H555" i="1"/>
  <c r="C555" i="2"/>
  <c r="B553" i="2"/>
  <c r="G555" i="1"/>
  <c r="D554" i="4"/>
  <c r="C554" i="4"/>
  <c r="G554" i="4" s="1"/>
  <c r="B554" i="4"/>
  <c r="B556" i="1"/>
  <c r="C556" i="1" s="1"/>
  <c r="B552" i="9" l="1"/>
  <c r="C552" i="9"/>
  <c r="D552" i="9"/>
  <c r="P553" i="2"/>
  <c r="O553" i="2" s="1"/>
  <c r="E556" i="4"/>
  <c r="H556" i="1"/>
  <c r="C556" i="2"/>
  <c r="B554" i="2"/>
  <c r="G556" i="1"/>
  <c r="D555" i="4"/>
  <c r="C555" i="4"/>
  <c r="G555" i="4" s="1"/>
  <c r="B555" i="4"/>
  <c r="B557" i="1"/>
  <c r="C557" i="1" s="1"/>
  <c r="B553" i="9" l="1"/>
  <c r="C553" i="9"/>
  <c r="D553" i="9"/>
  <c r="P554" i="2"/>
  <c r="O554" i="2" s="1"/>
  <c r="E557" i="4"/>
  <c r="H557" i="1"/>
  <c r="C557" i="2"/>
  <c r="B555" i="2"/>
  <c r="G557" i="1"/>
  <c r="D556" i="4"/>
  <c r="C556" i="4"/>
  <c r="G556" i="4" s="1"/>
  <c r="B556" i="4"/>
  <c r="B558" i="1"/>
  <c r="C558" i="1" s="1"/>
  <c r="B554" i="9" l="1"/>
  <c r="C554" i="9"/>
  <c r="D554" i="9"/>
  <c r="P555" i="2"/>
  <c r="O555" i="2" s="1"/>
  <c r="E558" i="4"/>
  <c r="H558" i="1"/>
  <c r="C558" i="2"/>
  <c r="B556" i="2"/>
  <c r="G558" i="1"/>
  <c r="D557" i="4"/>
  <c r="C557" i="4"/>
  <c r="G557" i="4" s="1"/>
  <c r="B557" i="4"/>
  <c r="B559" i="1"/>
  <c r="C559" i="1" s="1"/>
  <c r="B555" i="9" l="1"/>
  <c r="C555" i="9"/>
  <c r="D555" i="9"/>
  <c r="P556" i="2"/>
  <c r="O556" i="2" s="1"/>
  <c r="E559" i="4"/>
  <c r="H559" i="1"/>
  <c r="C559" i="2"/>
  <c r="B557" i="2"/>
  <c r="G559" i="1"/>
  <c r="D558" i="4"/>
  <c r="C558" i="4"/>
  <c r="G558" i="4" s="1"/>
  <c r="B558" i="4"/>
  <c r="B560" i="1"/>
  <c r="C560" i="1" s="1"/>
  <c r="B556" i="9" l="1"/>
  <c r="C556" i="9"/>
  <c r="D556" i="9"/>
  <c r="P557" i="2"/>
  <c r="O557" i="2" s="1"/>
  <c r="E560" i="4"/>
  <c r="H560" i="1"/>
  <c r="C560" i="2"/>
  <c r="B558" i="2"/>
  <c r="G560" i="1"/>
  <c r="D559" i="4"/>
  <c r="C559" i="4"/>
  <c r="G559" i="4" s="1"/>
  <c r="B559" i="4"/>
  <c r="B561" i="1"/>
  <c r="C561" i="1" s="1"/>
  <c r="B557" i="9" l="1"/>
  <c r="C557" i="9"/>
  <c r="D557" i="9"/>
  <c r="P558" i="2"/>
  <c r="O558" i="2" s="1"/>
  <c r="E561" i="4"/>
  <c r="H561" i="1"/>
  <c r="C561" i="2"/>
  <c r="B559" i="2"/>
  <c r="G561" i="1"/>
  <c r="D560" i="4"/>
  <c r="C560" i="4"/>
  <c r="G560" i="4" s="1"/>
  <c r="B560" i="4"/>
  <c r="B562" i="1"/>
  <c r="C562" i="1" s="1"/>
  <c r="B563" i="1"/>
  <c r="C563" i="1" s="1"/>
  <c r="B558" i="9" l="1"/>
  <c r="C558" i="9"/>
  <c r="D558" i="9"/>
  <c r="P559" i="2"/>
  <c r="O559" i="2" s="1"/>
  <c r="E563" i="4"/>
  <c r="C563" i="2"/>
  <c r="H563" i="1"/>
  <c r="E562" i="4"/>
  <c r="H562" i="1"/>
  <c r="C562" i="2"/>
  <c r="B560" i="2"/>
  <c r="G562" i="1"/>
  <c r="G563" i="1" s="1"/>
  <c r="D561" i="4"/>
  <c r="C561" i="4"/>
  <c r="G561" i="4" s="1"/>
  <c r="B561" i="4"/>
  <c r="B564" i="1"/>
  <c r="C564" i="1" s="1"/>
  <c r="B559" i="9" l="1"/>
  <c r="C559" i="9"/>
  <c r="D559" i="9"/>
  <c r="P560" i="2"/>
  <c r="O560" i="2" s="1"/>
  <c r="E564" i="4"/>
  <c r="H564" i="1"/>
  <c r="C564" i="2"/>
  <c r="B561" i="2"/>
  <c r="G564" i="1"/>
  <c r="D562" i="4"/>
  <c r="C562" i="4"/>
  <c r="G562" i="4" s="1"/>
  <c r="B562" i="4"/>
  <c r="C563" i="4"/>
  <c r="G563" i="4" s="1"/>
  <c r="D563" i="4"/>
  <c r="B563" i="4"/>
  <c r="B565" i="1"/>
  <c r="C565" i="1" s="1"/>
  <c r="B560" i="9" l="1"/>
  <c r="C560" i="9"/>
  <c r="D560" i="9"/>
  <c r="P561" i="2"/>
  <c r="O561" i="2" s="1"/>
  <c r="E565" i="4"/>
  <c r="H565" i="1"/>
  <c r="C565" i="2"/>
  <c r="B563" i="2"/>
  <c r="P563" i="2" s="1"/>
  <c r="B562" i="2"/>
  <c r="G565" i="1"/>
  <c r="C564" i="4"/>
  <c r="G564" i="4" s="1"/>
  <c r="D564" i="4"/>
  <c r="B564" i="4"/>
  <c r="B566" i="1"/>
  <c r="C566" i="1" s="1"/>
  <c r="B561" i="9" l="1"/>
  <c r="C561" i="9"/>
  <c r="D561" i="9"/>
  <c r="P562" i="2"/>
  <c r="O562" i="2" s="1"/>
  <c r="E566" i="4"/>
  <c r="H566" i="1"/>
  <c r="C566" i="2"/>
  <c r="B564" i="2"/>
  <c r="G566" i="1"/>
  <c r="C565" i="4"/>
  <c r="G565" i="4" s="1"/>
  <c r="D565" i="4"/>
  <c r="B565" i="4"/>
  <c r="O563" i="2" l="1"/>
  <c r="B562" i="9"/>
  <c r="C562" i="9"/>
  <c r="D562" i="9"/>
  <c r="P564" i="2"/>
  <c r="O564" i="2" s="1"/>
  <c r="B565" i="2"/>
  <c r="C566" i="4"/>
  <c r="G566" i="4" s="1"/>
  <c r="D566" i="4"/>
  <c r="B566" i="4"/>
  <c r="B567" i="1"/>
  <c r="C567" i="1" s="1"/>
  <c r="B564" i="9" l="1"/>
  <c r="C564" i="9"/>
  <c r="D564" i="9"/>
  <c r="B563" i="9"/>
  <c r="C563" i="9"/>
  <c r="D563" i="9"/>
  <c r="P565" i="2"/>
  <c r="O565" i="2" s="1"/>
  <c r="E567" i="4"/>
  <c r="H567" i="1"/>
  <c r="C567" i="2"/>
  <c r="B566" i="2"/>
  <c r="B568" i="1"/>
  <c r="C568" i="1" s="1"/>
  <c r="B565" i="9" l="1"/>
  <c r="C565" i="9"/>
  <c r="D565" i="9"/>
  <c r="P566" i="2"/>
  <c r="O566" i="2" s="1"/>
  <c r="E568" i="4"/>
  <c r="H568" i="1"/>
  <c r="C568" i="2"/>
  <c r="C567" i="4"/>
  <c r="G567" i="4" s="1"/>
  <c r="D567" i="4"/>
  <c r="G567" i="1"/>
  <c r="G568" i="1" s="1"/>
  <c r="B569" i="1"/>
  <c r="C569" i="1" s="1"/>
  <c r="B566" i="9" l="1"/>
  <c r="C566" i="9"/>
  <c r="D566" i="9"/>
  <c r="E569" i="4"/>
  <c r="H569" i="1"/>
  <c r="C569" i="2"/>
  <c r="G569" i="1"/>
  <c r="B567" i="4"/>
  <c r="C568" i="4"/>
  <c r="G568" i="4" s="1"/>
  <c r="D568" i="4"/>
  <c r="B568" i="4"/>
  <c r="B570" i="1"/>
  <c r="C570" i="1" s="1"/>
  <c r="E570" i="4" l="1"/>
  <c r="H570" i="1"/>
  <c r="C570" i="2"/>
  <c r="B568" i="2"/>
  <c r="P568" i="2" s="1"/>
  <c r="B567" i="2"/>
  <c r="G570" i="1"/>
  <c r="C569" i="4"/>
  <c r="G569" i="4" s="1"/>
  <c r="D569" i="4"/>
  <c r="B569" i="4"/>
  <c r="B571" i="1"/>
  <c r="C571" i="1" s="1"/>
  <c r="P567" i="2" l="1"/>
  <c r="O567" i="2" s="1"/>
  <c r="E571" i="4"/>
  <c r="H571" i="1"/>
  <c r="C571" i="2"/>
  <c r="B569" i="2"/>
  <c r="G571" i="1"/>
  <c r="C570" i="4"/>
  <c r="G570" i="4" s="1"/>
  <c r="D570" i="4"/>
  <c r="B570" i="4"/>
  <c r="B572" i="1"/>
  <c r="C572" i="1" s="1"/>
  <c r="O568" i="2" l="1"/>
  <c r="B567" i="9"/>
  <c r="C567" i="9"/>
  <c r="D567" i="9"/>
  <c r="P569" i="2"/>
  <c r="O569" i="2" s="1"/>
  <c r="E572" i="4"/>
  <c r="H572" i="1"/>
  <c r="C572" i="2"/>
  <c r="B570" i="2"/>
  <c r="G572" i="1"/>
  <c r="C571" i="4"/>
  <c r="G571" i="4" s="1"/>
  <c r="D571" i="4"/>
  <c r="B571" i="4"/>
  <c r="B573" i="1"/>
  <c r="C573" i="1" s="1"/>
  <c r="B569" i="9" l="1"/>
  <c r="C569" i="9"/>
  <c r="D569" i="9"/>
  <c r="B568" i="9"/>
  <c r="C568" i="9"/>
  <c r="D568" i="9"/>
  <c r="P570" i="2"/>
  <c r="O570" i="2" s="1"/>
  <c r="E573" i="4"/>
  <c r="H573" i="1"/>
  <c r="C573" i="2"/>
  <c r="B571" i="2"/>
  <c r="G573" i="1"/>
  <c r="C572" i="4"/>
  <c r="G572" i="4" s="1"/>
  <c r="D572" i="4"/>
  <c r="B572" i="4"/>
  <c r="B574" i="1"/>
  <c r="C574" i="1" s="1"/>
  <c r="B570" i="9" l="1"/>
  <c r="C570" i="9"/>
  <c r="D570" i="9"/>
  <c r="P571" i="2"/>
  <c r="O571" i="2" s="1"/>
  <c r="E574" i="4"/>
  <c r="H574" i="1"/>
  <c r="C574" i="2"/>
  <c r="B572" i="2"/>
  <c r="G574" i="1"/>
  <c r="C573" i="4"/>
  <c r="G573" i="4" s="1"/>
  <c r="D573" i="4"/>
  <c r="B573" i="4"/>
  <c r="B575" i="1"/>
  <c r="C575" i="1" s="1"/>
  <c r="B571" i="9" l="1"/>
  <c r="C571" i="9"/>
  <c r="D571" i="9"/>
  <c r="P572" i="2"/>
  <c r="O572" i="2" s="1"/>
  <c r="E575" i="4"/>
  <c r="H575" i="1"/>
  <c r="C575" i="2"/>
  <c r="B573" i="2"/>
  <c r="G575" i="1"/>
  <c r="C574" i="4"/>
  <c r="G574" i="4" s="1"/>
  <c r="D574" i="4"/>
  <c r="B574" i="4"/>
  <c r="B576" i="1"/>
  <c r="C576" i="1" s="1"/>
  <c r="B572" i="9" l="1"/>
  <c r="C572" i="9"/>
  <c r="D572" i="9"/>
  <c r="P573" i="2"/>
  <c r="O573" i="2" s="1"/>
  <c r="E576" i="4"/>
  <c r="H576" i="1"/>
  <c r="C576" i="2"/>
  <c r="B574" i="2"/>
  <c r="G576" i="1"/>
  <c r="C575" i="4"/>
  <c r="G575" i="4" s="1"/>
  <c r="D575" i="4"/>
  <c r="B575" i="4"/>
  <c r="B577" i="1"/>
  <c r="C577" i="1" s="1"/>
  <c r="B573" i="9" l="1"/>
  <c r="C573" i="9"/>
  <c r="D573" i="9"/>
  <c r="P574" i="2"/>
  <c r="O574" i="2" s="1"/>
  <c r="E577" i="4"/>
  <c r="H577" i="1"/>
  <c r="C577" i="2"/>
  <c r="B575" i="2"/>
  <c r="G577" i="1"/>
  <c r="C576" i="4"/>
  <c r="G576" i="4" s="1"/>
  <c r="D576" i="4"/>
  <c r="B576" i="4"/>
  <c r="B578" i="1"/>
  <c r="C578" i="1" s="1"/>
  <c r="B574" i="9" l="1"/>
  <c r="C574" i="9"/>
  <c r="D574" i="9"/>
  <c r="P575" i="2"/>
  <c r="O575" i="2" s="1"/>
  <c r="E578" i="4"/>
  <c r="H578" i="1"/>
  <c r="C578" i="2"/>
  <c r="B576" i="2"/>
  <c r="G578" i="1"/>
  <c r="C577" i="4"/>
  <c r="G577" i="4" s="1"/>
  <c r="D577" i="4"/>
  <c r="B577" i="4"/>
  <c r="B579" i="1"/>
  <c r="C579" i="1" s="1"/>
  <c r="B575" i="9" l="1"/>
  <c r="C575" i="9"/>
  <c r="D575" i="9"/>
  <c r="P576" i="2"/>
  <c r="O576" i="2" s="1"/>
  <c r="E579" i="4"/>
  <c r="H579" i="1"/>
  <c r="C579" i="2"/>
  <c r="B577" i="2"/>
  <c r="G579" i="1"/>
  <c r="C578" i="4"/>
  <c r="G578" i="4" s="1"/>
  <c r="D578" i="4"/>
  <c r="B578" i="4"/>
  <c r="B580" i="1"/>
  <c r="C580" i="1" s="1"/>
  <c r="B576" i="9" l="1"/>
  <c r="C576" i="9"/>
  <c r="D576" i="9"/>
  <c r="P577" i="2"/>
  <c r="O577" i="2" s="1"/>
  <c r="E580" i="4"/>
  <c r="H580" i="1"/>
  <c r="C580" i="2"/>
  <c r="B578" i="2"/>
  <c r="G580" i="1"/>
  <c r="C579" i="4"/>
  <c r="G579" i="4" s="1"/>
  <c r="D579" i="4"/>
  <c r="B579" i="4"/>
  <c r="B581" i="1"/>
  <c r="C581" i="1" s="1"/>
  <c r="B577" i="9" l="1"/>
  <c r="C577" i="9"/>
  <c r="D577" i="9"/>
  <c r="P578" i="2"/>
  <c r="O578" i="2" s="1"/>
  <c r="E581" i="4"/>
  <c r="H581" i="1"/>
  <c r="C581" i="2"/>
  <c r="B579" i="2"/>
  <c r="G581" i="1"/>
  <c r="C580" i="4"/>
  <c r="G580" i="4" s="1"/>
  <c r="D580" i="4"/>
  <c r="B580" i="4"/>
  <c r="B582" i="1"/>
  <c r="C582" i="1" s="1"/>
  <c r="B578" i="9" l="1"/>
  <c r="C578" i="9"/>
  <c r="D578" i="9"/>
  <c r="P579" i="2"/>
  <c r="O579" i="2" s="1"/>
  <c r="E582" i="4"/>
  <c r="H582" i="1"/>
  <c r="C582" i="2"/>
  <c r="B580" i="2"/>
  <c r="G582" i="1"/>
  <c r="C581" i="4"/>
  <c r="G581" i="4" s="1"/>
  <c r="D581" i="4"/>
  <c r="B581" i="4"/>
  <c r="B583" i="1"/>
  <c r="C583" i="1" s="1"/>
  <c r="B579" i="9" l="1"/>
  <c r="C579" i="9"/>
  <c r="D579" i="9"/>
  <c r="P580" i="2"/>
  <c r="O580" i="2" s="1"/>
  <c r="E583" i="4"/>
  <c r="H583" i="1"/>
  <c r="C583" i="2"/>
  <c r="B581" i="2"/>
  <c r="G583" i="1"/>
  <c r="C582" i="4"/>
  <c r="G582" i="4" s="1"/>
  <c r="D582" i="4"/>
  <c r="B582" i="4"/>
  <c r="B584" i="1"/>
  <c r="C584" i="1" s="1"/>
  <c r="B580" i="9" l="1"/>
  <c r="C580" i="9"/>
  <c r="D580" i="9"/>
  <c r="P581" i="2"/>
  <c r="O581" i="2" s="1"/>
  <c r="E584" i="4"/>
  <c r="H584" i="1"/>
  <c r="C584" i="2"/>
  <c r="B582" i="2"/>
  <c r="G584" i="1"/>
  <c r="C583" i="4"/>
  <c r="G583" i="4" s="1"/>
  <c r="D583" i="4"/>
  <c r="B583" i="4"/>
  <c r="B585" i="1"/>
  <c r="C585" i="1" s="1"/>
  <c r="B581" i="9" l="1"/>
  <c r="C581" i="9"/>
  <c r="D581" i="9"/>
  <c r="P582" i="2"/>
  <c r="O582" i="2" s="1"/>
  <c r="E585" i="4"/>
  <c r="H585" i="1"/>
  <c r="C585" i="2"/>
  <c r="B583" i="2"/>
  <c r="G585" i="1"/>
  <c r="C584" i="4"/>
  <c r="G584" i="4" s="1"/>
  <c r="D584" i="4"/>
  <c r="B584" i="4"/>
  <c r="B586" i="1"/>
  <c r="C586" i="1" s="1"/>
  <c r="B582" i="9" l="1"/>
  <c r="C582" i="9"/>
  <c r="D582" i="9"/>
  <c r="P583" i="2"/>
  <c r="O583" i="2" s="1"/>
  <c r="E586" i="4"/>
  <c r="H586" i="1"/>
  <c r="C586" i="2"/>
  <c r="B584" i="2"/>
  <c r="G586" i="1"/>
  <c r="C585" i="4"/>
  <c r="G585" i="4" s="1"/>
  <c r="D585" i="4"/>
  <c r="B585" i="4"/>
  <c r="B587" i="1"/>
  <c r="C587" i="1" s="1"/>
  <c r="B583" i="9" l="1"/>
  <c r="C583" i="9"/>
  <c r="D583" i="9"/>
  <c r="P584" i="2"/>
  <c r="O584" i="2" s="1"/>
  <c r="E587" i="4"/>
  <c r="H587" i="1"/>
  <c r="C587" i="2"/>
  <c r="B585" i="2"/>
  <c r="G587" i="1"/>
  <c r="C586" i="4"/>
  <c r="G586" i="4" s="1"/>
  <c r="D586" i="4"/>
  <c r="B586" i="4"/>
  <c r="B588" i="1"/>
  <c r="C588" i="1" s="1"/>
  <c r="B584" i="9" l="1"/>
  <c r="C584" i="9"/>
  <c r="D584" i="9"/>
  <c r="P585" i="2"/>
  <c r="O585" i="2" s="1"/>
  <c r="E588" i="4"/>
  <c r="H588" i="1"/>
  <c r="C588" i="2"/>
  <c r="B586" i="2"/>
  <c r="G588" i="1"/>
  <c r="C587" i="4"/>
  <c r="G587" i="4" s="1"/>
  <c r="D587" i="4"/>
  <c r="B587" i="4"/>
  <c r="B589" i="1"/>
  <c r="C589" i="1" s="1"/>
  <c r="B585" i="9" l="1"/>
  <c r="C585" i="9"/>
  <c r="D585" i="9"/>
  <c r="P586" i="2"/>
  <c r="O586" i="2" s="1"/>
  <c r="E589" i="4"/>
  <c r="H589" i="1"/>
  <c r="C589" i="2"/>
  <c r="B587" i="2"/>
  <c r="G589" i="1"/>
  <c r="C588" i="4"/>
  <c r="G588" i="4" s="1"/>
  <c r="D588" i="4"/>
  <c r="B588" i="4"/>
  <c r="B590" i="1"/>
  <c r="C590" i="1" s="1"/>
  <c r="B586" i="9" l="1"/>
  <c r="C586" i="9"/>
  <c r="D586" i="9"/>
  <c r="P587" i="2"/>
  <c r="O587" i="2" s="1"/>
  <c r="E590" i="4"/>
  <c r="H590" i="1"/>
  <c r="C590" i="2"/>
  <c r="B588" i="2"/>
  <c r="G590" i="1"/>
  <c r="C589" i="4"/>
  <c r="G589" i="4" s="1"/>
  <c r="D589" i="4"/>
  <c r="B589" i="4"/>
  <c r="B591" i="1"/>
  <c r="C591" i="1" s="1"/>
  <c r="B587" i="9" l="1"/>
  <c r="C587" i="9"/>
  <c r="D587" i="9"/>
  <c r="P588" i="2"/>
  <c r="O588" i="2" s="1"/>
  <c r="E591" i="4"/>
  <c r="H591" i="1"/>
  <c r="C591" i="2"/>
  <c r="B589" i="2"/>
  <c r="G591" i="1"/>
  <c r="C590" i="4"/>
  <c r="G590" i="4" s="1"/>
  <c r="D590" i="4"/>
  <c r="B590" i="4"/>
  <c r="B592" i="1"/>
  <c r="C592" i="1" s="1"/>
  <c r="B588" i="9" l="1"/>
  <c r="C588" i="9"/>
  <c r="D588" i="9"/>
  <c r="P589" i="2"/>
  <c r="O589" i="2" s="1"/>
  <c r="E592" i="4"/>
  <c r="H592" i="1"/>
  <c r="C592" i="2"/>
  <c r="B590" i="2"/>
  <c r="G592" i="1"/>
  <c r="C591" i="4"/>
  <c r="G591" i="4" s="1"/>
  <c r="D591" i="4"/>
  <c r="B591" i="4"/>
  <c r="B593" i="1"/>
  <c r="C593" i="1" s="1"/>
  <c r="B589" i="9" l="1"/>
  <c r="C589" i="9"/>
  <c r="D589" i="9"/>
  <c r="P590" i="2"/>
  <c r="O590" i="2" s="1"/>
  <c r="E593" i="4"/>
  <c r="H593" i="1"/>
  <c r="C593" i="2"/>
  <c r="B591" i="2"/>
  <c r="G593" i="1"/>
  <c r="C592" i="4"/>
  <c r="G592" i="4" s="1"/>
  <c r="D592" i="4"/>
  <c r="B592" i="4"/>
  <c r="B594" i="1"/>
  <c r="C594" i="1" s="1"/>
  <c r="B590" i="9" l="1"/>
  <c r="C590" i="9"/>
  <c r="D590" i="9"/>
  <c r="P591" i="2"/>
  <c r="O591" i="2" s="1"/>
  <c r="E594" i="4"/>
  <c r="H594" i="1"/>
  <c r="C594" i="2"/>
  <c r="B592" i="2"/>
  <c r="G594" i="1"/>
  <c r="C593" i="4"/>
  <c r="G593" i="4" s="1"/>
  <c r="D593" i="4"/>
  <c r="B593" i="4"/>
  <c r="B595" i="1"/>
  <c r="C595" i="1" s="1"/>
  <c r="B591" i="9" l="1"/>
  <c r="C591" i="9"/>
  <c r="D591" i="9"/>
  <c r="P592" i="2"/>
  <c r="O592" i="2" s="1"/>
  <c r="E595" i="4"/>
  <c r="H595" i="1"/>
  <c r="C595" i="2"/>
  <c r="B593" i="2"/>
  <c r="G595" i="1"/>
  <c r="C594" i="4"/>
  <c r="G594" i="4" s="1"/>
  <c r="D594" i="4"/>
  <c r="B594" i="4"/>
  <c r="B596" i="1"/>
  <c r="C596" i="1" s="1"/>
  <c r="B592" i="9" l="1"/>
  <c r="C592" i="9"/>
  <c r="D592" i="9"/>
  <c r="P593" i="2"/>
  <c r="O593" i="2" s="1"/>
  <c r="E596" i="4"/>
  <c r="H596" i="1"/>
  <c r="C596" i="2"/>
  <c r="B594" i="2"/>
  <c r="G596" i="1"/>
  <c r="C595" i="4"/>
  <c r="G595" i="4" s="1"/>
  <c r="D595" i="4"/>
  <c r="B595" i="4"/>
  <c r="B597" i="1"/>
  <c r="C597" i="1" s="1"/>
  <c r="B593" i="9" l="1"/>
  <c r="C593" i="9"/>
  <c r="D593" i="9"/>
  <c r="P594" i="2"/>
  <c r="O594" i="2" s="1"/>
  <c r="E597" i="4"/>
  <c r="H597" i="1"/>
  <c r="C597" i="2"/>
  <c r="B595" i="2"/>
  <c r="G597" i="1"/>
  <c r="C596" i="4"/>
  <c r="G596" i="4" s="1"/>
  <c r="D596" i="4"/>
  <c r="B596" i="4"/>
  <c r="B598" i="1"/>
  <c r="C598" i="1" s="1"/>
  <c r="B594" i="9" l="1"/>
  <c r="C594" i="9"/>
  <c r="D594" i="9"/>
  <c r="P595" i="2"/>
  <c r="O595" i="2" s="1"/>
  <c r="E598" i="4"/>
  <c r="H598" i="1"/>
  <c r="C598" i="2"/>
  <c r="B596" i="2"/>
  <c r="G598" i="1"/>
  <c r="C597" i="4"/>
  <c r="G597" i="4" s="1"/>
  <c r="D597" i="4"/>
  <c r="B597" i="4"/>
  <c r="B599" i="1"/>
  <c r="C599" i="1" s="1"/>
  <c r="B595" i="9" l="1"/>
  <c r="C595" i="9"/>
  <c r="D595" i="9"/>
  <c r="P596" i="2"/>
  <c r="O596" i="2" s="1"/>
  <c r="E599" i="4"/>
  <c r="H599" i="1"/>
  <c r="C599" i="2"/>
  <c r="B597" i="2"/>
  <c r="G599" i="1"/>
  <c r="C598" i="4"/>
  <c r="G598" i="4" s="1"/>
  <c r="D598" i="4"/>
  <c r="B598" i="4"/>
  <c r="B600" i="1"/>
  <c r="C600" i="1" s="1"/>
  <c r="B596" i="9" l="1"/>
  <c r="C596" i="9"/>
  <c r="D596" i="9"/>
  <c r="P597" i="2"/>
  <c r="O597" i="2" s="1"/>
  <c r="E600" i="4"/>
  <c r="H600" i="1"/>
  <c r="C600" i="2"/>
  <c r="B598" i="2"/>
  <c r="G600" i="1"/>
  <c r="C599" i="4"/>
  <c r="G599" i="4" s="1"/>
  <c r="D599" i="4"/>
  <c r="B599" i="4"/>
  <c r="B601" i="1"/>
  <c r="C601" i="1" s="1"/>
  <c r="B597" i="9" l="1"/>
  <c r="C597" i="9"/>
  <c r="D597" i="9"/>
  <c r="P598" i="2"/>
  <c r="O598" i="2" s="1"/>
  <c r="E601" i="4"/>
  <c r="H601" i="1"/>
  <c r="C601" i="2"/>
  <c r="B599" i="2"/>
  <c r="G601" i="1"/>
  <c r="C600" i="4"/>
  <c r="G600" i="4" s="1"/>
  <c r="D600" i="4"/>
  <c r="B600" i="4"/>
  <c r="B602" i="1"/>
  <c r="C602" i="1" s="1"/>
  <c r="B598" i="9" l="1"/>
  <c r="C598" i="9"/>
  <c r="D598" i="9"/>
  <c r="P599" i="2"/>
  <c r="O599" i="2" s="1"/>
  <c r="E602" i="4"/>
  <c r="H602" i="1"/>
  <c r="C602" i="2"/>
  <c r="B600" i="2"/>
  <c r="G602" i="1"/>
  <c r="C601" i="4"/>
  <c r="G601" i="4" s="1"/>
  <c r="D601" i="4"/>
  <c r="B601" i="4"/>
  <c r="B603" i="1"/>
  <c r="C603" i="1" s="1"/>
  <c r="B599" i="9" l="1"/>
  <c r="C599" i="9"/>
  <c r="D599" i="9"/>
  <c r="P600" i="2"/>
  <c r="O600" i="2" s="1"/>
  <c r="E603" i="4"/>
  <c r="H603" i="1"/>
  <c r="C603" i="2"/>
  <c r="B601" i="2"/>
  <c r="G603" i="1"/>
  <c r="C602" i="4"/>
  <c r="G602" i="4" s="1"/>
  <c r="D602" i="4"/>
  <c r="B602" i="4"/>
  <c r="B604" i="1"/>
  <c r="C604" i="1" s="1"/>
  <c r="B600" i="9" l="1"/>
  <c r="C600" i="9"/>
  <c r="D600" i="9"/>
  <c r="P601" i="2"/>
  <c r="O601" i="2" s="1"/>
  <c r="E604" i="4"/>
  <c r="H604" i="1"/>
  <c r="C604" i="2"/>
  <c r="B602" i="2"/>
  <c r="G604" i="1"/>
  <c r="C603" i="4"/>
  <c r="G603" i="4" s="1"/>
  <c r="D603" i="4"/>
  <c r="B603" i="4"/>
  <c r="B605" i="1"/>
  <c r="C605" i="1" s="1"/>
  <c r="B601" i="9" l="1"/>
  <c r="C601" i="9"/>
  <c r="D601" i="9"/>
  <c r="P602" i="2"/>
  <c r="O602" i="2" s="1"/>
  <c r="E605" i="4"/>
  <c r="H605" i="1"/>
  <c r="C605" i="2"/>
  <c r="B603" i="2"/>
  <c r="G605" i="1"/>
  <c r="C604" i="4"/>
  <c r="G604" i="4" s="1"/>
  <c r="D604" i="4"/>
  <c r="B604" i="4"/>
  <c r="B606" i="1"/>
  <c r="C606" i="1" s="1"/>
  <c r="B602" i="9" l="1"/>
  <c r="C602" i="9"/>
  <c r="D602" i="9"/>
  <c r="P603" i="2"/>
  <c r="O603" i="2" s="1"/>
  <c r="E606" i="4"/>
  <c r="H606" i="1"/>
  <c r="C606" i="2"/>
  <c r="B604" i="2"/>
  <c r="G606" i="1"/>
  <c r="C605" i="4"/>
  <c r="G605" i="4" s="1"/>
  <c r="D605" i="4"/>
  <c r="B605" i="4"/>
  <c r="B607" i="1"/>
  <c r="C607" i="1" s="1"/>
  <c r="B603" i="9" l="1"/>
  <c r="C603" i="9"/>
  <c r="D603" i="9"/>
  <c r="P604" i="2"/>
  <c r="O604" i="2" s="1"/>
  <c r="E607" i="4"/>
  <c r="H607" i="1"/>
  <c r="C607" i="2"/>
  <c r="B605" i="2"/>
  <c r="G607" i="1"/>
  <c r="C606" i="4"/>
  <c r="G606" i="4" s="1"/>
  <c r="D606" i="4"/>
  <c r="B606" i="4"/>
  <c r="B608" i="1"/>
  <c r="C608" i="1" s="1"/>
  <c r="B604" i="9" l="1"/>
  <c r="C604" i="9"/>
  <c r="D604" i="9"/>
  <c r="P605" i="2"/>
  <c r="O605" i="2" s="1"/>
  <c r="E608" i="4"/>
  <c r="H608" i="1"/>
  <c r="C608" i="2"/>
  <c r="B606" i="2"/>
  <c r="G608" i="1"/>
  <c r="C607" i="4"/>
  <c r="G607" i="4" s="1"/>
  <c r="D607" i="4"/>
  <c r="B607" i="4"/>
  <c r="B609" i="1"/>
  <c r="C609" i="1" s="1"/>
  <c r="B605" i="9" l="1"/>
  <c r="C605" i="9"/>
  <c r="D605" i="9"/>
  <c r="P606" i="2"/>
  <c r="O606" i="2" s="1"/>
  <c r="E609" i="4"/>
  <c r="H609" i="1"/>
  <c r="C609" i="2"/>
  <c r="B607" i="2"/>
  <c r="G609" i="1"/>
  <c r="C608" i="4"/>
  <c r="G608" i="4" s="1"/>
  <c r="D608" i="4"/>
  <c r="B608" i="4"/>
  <c r="B610" i="1"/>
  <c r="C610" i="1" s="1"/>
  <c r="B606" i="9" l="1"/>
  <c r="C606" i="9"/>
  <c r="D606" i="9"/>
  <c r="P607" i="2"/>
  <c r="O607" i="2" s="1"/>
  <c r="E610" i="4"/>
  <c r="H610" i="1"/>
  <c r="C610" i="2"/>
  <c r="B608" i="2"/>
  <c r="G610" i="1"/>
  <c r="C609" i="4"/>
  <c r="G609" i="4" s="1"/>
  <c r="D609" i="4"/>
  <c r="B609" i="4"/>
  <c r="B611" i="1"/>
  <c r="C611" i="1" s="1"/>
  <c r="B607" i="9" l="1"/>
  <c r="C607" i="9"/>
  <c r="D607" i="9"/>
  <c r="P608" i="2"/>
  <c r="O608" i="2" s="1"/>
  <c r="E611" i="4"/>
  <c r="H611" i="1"/>
  <c r="C611" i="2"/>
  <c r="B609" i="2"/>
  <c r="G611" i="1"/>
  <c r="C610" i="4"/>
  <c r="G610" i="4" s="1"/>
  <c r="D610" i="4"/>
  <c r="B610" i="4"/>
  <c r="B612" i="1"/>
  <c r="C612" i="1" s="1"/>
  <c r="B608" i="9" l="1"/>
  <c r="C608" i="9"/>
  <c r="D608" i="9"/>
  <c r="P609" i="2"/>
  <c r="O609" i="2" s="1"/>
  <c r="E612" i="4"/>
  <c r="H612" i="1"/>
  <c r="C612" i="2"/>
  <c r="B610" i="2"/>
  <c r="G612" i="1"/>
  <c r="C611" i="4"/>
  <c r="G611" i="4" s="1"/>
  <c r="D611" i="4"/>
  <c r="B611" i="4"/>
  <c r="B613" i="1"/>
  <c r="C613" i="1" s="1"/>
  <c r="B609" i="9" l="1"/>
  <c r="C609" i="9"/>
  <c r="D609" i="9"/>
  <c r="P610" i="2"/>
  <c r="O610" i="2" s="1"/>
  <c r="E613" i="4"/>
  <c r="H613" i="1"/>
  <c r="C613" i="2"/>
  <c r="B611" i="2"/>
  <c r="G613" i="1"/>
  <c r="C612" i="4"/>
  <c r="G612" i="4" s="1"/>
  <c r="D612" i="4"/>
  <c r="B612" i="4"/>
  <c r="B614" i="1"/>
  <c r="C614" i="1" s="1"/>
  <c r="B610" i="9" l="1"/>
  <c r="C610" i="9"/>
  <c r="D610" i="9"/>
  <c r="P611" i="2"/>
  <c r="O611" i="2" s="1"/>
  <c r="E614" i="4"/>
  <c r="H614" i="1"/>
  <c r="C614" i="2"/>
  <c r="B612" i="2"/>
  <c r="G614" i="1"/>
  <c r="C613" i="4"/>
  <c r="G613" i="4" s="1"/>
  <c r="D613" i="4"/>
  <c r="B613" i="4"/>
  <c r="B615" i="1"/>
  <c r="C615" i="1" s="1"/>
  <c r="B611" i="9" l="1"/>
  <c r="C611" i="9"/>
  <c r="D611" i="9"/>
  <c r="P612" i="2"/>
  <c r="O612" i="2" s="1"/>
  <c r="E615" i="4"/>
  <c r="H615" i="1"/>
  <c r="C615" i="2"/>
  <c r="B613" i="2"/>
  <c r="G615" i="1"/>
  <c r="C614" i="4"/>
  <c r="G614" i="4" s="1"/>
  <c r="D614" i="4"/>
  <c r="B614" i="4"/>
  <c r="B616" i="1"/>
  <c r="C616" i="1" s="1"/>
  <c r="B612" i="9" l="1"/>
  <c r="C612" i="9"/>
  <c r="D612" i="9"/>
  <c r="P613" i="2"/>
  <c r="O613" i="2" s="1"/>
  <c r="E616" i="4"/>
  <c r="H616" i="1"/>
  <c r="C616" i="2"/>
  <c r="B614" i="2"/>
  <c r="G616" i="1"/>
  <c r="C615" i="4"/>
  <c r="G615" i="4" s="1"/>
  <c r="D615" i="4"/>
  <c r="B615" i="4"/>
  <c r="B617" i="1"/>
  <c r="C617" i="1" s="1"/>
  <c r="B618" i="1"/>
  <c r="C618" i="1" s="1"/>
  <c r="B613" i="9" l="1"/>
  <c r="C613" i="9"/>
  <c r="D613" i="9"/>
  <c r="P614" i="2"/>
  <c r="O614" i="2" s="1"/>
  <c r="E618" i="4"/>
  <c r="H618" i="1"/>
  <c r="E617" i="4"/>
  <c r="H617" i="1"/>
  <c r="C617" i="2"/>
  <c r="B615" i="2"/>
  <c r="G617" i="1"/>
  <c r="G618" i="1" s="1"/>
  <c r="G619" i="1" s="1"/>
  <c r="G620" i="1" s="1"/>
  <c r="C616" i="4"/>
  <c r="G616" i="4" s="1"/>
  <c r="D616" i="4"/>
  <c r="B616" i="4"/>
  <c r="B621" i="4" l="1"/>
  <c r="P621" i="2" s="1"/>
  <c r="B614" i="9"/>
  <c r="C614" i="9"/>
  <c r="D614" i="9"/>
  <c r="B619" i="4"/>
  <c r="P619" i="2" s="1"/>
  <c r="B620" i="4"/>
  <c r="P620" i="2" s="1"/>
  <c r="P615" i="2"/>
  <c r="O615" i="2" s="1"/>
  <c r="B616" i="2"/>
  <c r="C617" i="4"/>
  <c r="G617" i="4" s="1"/>
  <c r="D617" i="4"/>
  <c r="B617" i="4"/>
  <c r="B618" i="4"/>
  <c r="P618" i="2" s="1"/>
  <c r="C618" i="4"/>
  <c r="D618" i="4"/>
  <c r="C7" i="3" s="1"/>
  <c r="P623" i="2" l="1"/>
  <c r="B622" i="4"/>
  <c r="P622" i="2" s="1"/>
  <c r="B615" i="9"/>
  <c r="C615" i="9"/>
  <c r="D615" i="9"/>
  <c r="P616" i="2"/>
  <c r="O616" i="2" s="1"/>
  <c r="B617" i="2"/>
  <c r="B616" i="9" l="1"/>
  <c r="C616" i="9"/>
  <c r="D616" i="9"/>
  <c r="P617" i="2"/>
  <c r="O617" i="2" s="1"/>
  <c r="B617" i="9" l="1"/>
  <c r="C617" i="9"/>
  <c r="D617" i="9"/>
  <c r="O618" i="2"/>
  <c r="B618" i="9" l="1"/>
  <c r="C618" i="9"/>
  <c r="D618" i="9"/>
  <c r="O619" i="2"/>
  <c r="B619" i="9" l="1"/>
  <c r="C619" i="9"/>
  <c r="D619" i="9"/>
  <c r="O620" i="2"/>
  <c r="O621" i="2" s="1"/>
  <c r="O622" i="2" s="1"/>
  <c r="O623" i="2" s="1"/>
  <c r="O3" i="3"/>
  <c r="O4" i="3" s="1"/>
  <c r="O5" i="3" s="1"/>
  <c r="O6" i="3" s="1"/>
  <c r="O7" i="3" s="1"/>
  <c r="B620" i="9" l="1"/>
  <c r="C620" i="9"/>
  <c r="D620" i="9"/>
</calcChain>
</file>

<file path=xl/sharedStrings.xml><?xml version="1.0" encoding="utf-8"?>
<sst xmlns="http://schemas.openxmlformats.org/spreadsheetml/2006/main" count="1072" uniqueCount="336">
  <si>
    <t>ValidStartDateTimeTZ</t>
  </si>
  <si>
    <t>ValidFinishDateTimeTZ</t>
  </si>
  <si>
    <t>DocumentEmploymentRelationship_RefID</t>
  </si>
  <si>
    <t>9999-12-31 23:59:59+07</t>
  </si>
  <si>
    <t>2014-09-30 23:59:59+07</t>
  </si>
  <si>
    <t>2010-03-01 00:00:00+07</t>
  </si>
  <si>
    <t>2023-02-11 23:59:59+07</t>
  </si>
  <si>
    <t>1900-12-31 23:59:59+07</t>
  </si>
  <si>
    <t>2023-01-05 00:00:00+07</t>
  </si>
  <si>
    <t>110422962</t>
  </si>
  <si>
    <t>010703020</t>
  </si>
  <si>
    <t>130223978</t>
  </si>
  <si>
    <t>310821007</t>
  </si>
  <si>
    <t>100920934</t>
  </si>
  <si>
    <t>060515769</t>
  </si>
  <si>
    <t>050123975</t>
  </si>
  <si>
    <t>040803040</t>
  </si>
  <si>
    <t>200420932</t>
  </si>
  <si>
    <t>060121944</t>
  </si>
  <si>
    <t>010806250</t>
  </si>
  <si>
    <t>070806256</t>
  </si>
  <si>
    <t>040822965</t>
  </si>
  <si>
    <t>040515767</t>
  </si>
  <si>
    <t>070305123</t>
  </si>
  <si>
    <t>010513665</t>
  </si>
  <si>
    <t>030105116</t>
  </si>
  <si>
    <t>061106279</t>
  </si>
  <si>
    <t>211222971</t>
  </si>
  <si>
    <t>141118892</t>
  </si>
  <si>
    <t>240518874</t>
  </si>
  <si>
    <t>010507354</t>
  </si>
  <si>
    <t>140421948</t>
  </si>
  <si>
    <t>261219925</t>
  </si>
  <si>
    <t>010210516</t>
  </si>
  <si>
    <t>030717839</t>
  </si>
  <si>
    <t>090818879</t>
  </si>
  <si>
    <t>040219900</t>
  </si>
  <si>
    <t>090819915</t>
  </si>
  <si>
    <t>090821952</t>
  </si>
  <si>
    <t>110523979</t>
  </si>
  <si>
    <t>020123976</t>
  </si>
  <si>
    <t>031022970</t>
  </si>
  <si>
    <t>080822967</t>
  </si>
  <si>
    <t>040722964</t>
  </si>
  <si>
    <t>050422961</t>
  </si>
  <si>
    <t>050321947</t>
  </si>
  <si>
    <t>220221946</t>
  </si>
  <si>
    <t>030221945</t>
  </si>
  <si>
    <t>031212631</t>
  </si>
  <si>
    <t>010605133</t>
  </si>
  <si>
    <t>070703034</t>
  </si>
  <si>
    <t>070518868</t>
  </si>
  <si>
    <t>280618877</t>
  </si>
  <si>
    <t>Ref ID
Worker</t>
  </si>
  <si>
    <t>Ref ID
Worker Type</t>
  </si>
  <si>
    <t>Ref ID
Organizational Department</t>
  </si>
  <si>
    <t>Ref ID
Organizational Job Position</t>
  </si>
  <si>
    <t>Person Name</t>
  </si>
  <si>
    <t>SYS_PID Prediction</t>
  </si>
  <si>
    <t>SQL Syntax</t>
  </si>
  <si>
    <t>Nomor Induk Pekerja</t>
  </si>
  <si>
    <t>Valid Start
DateTimeTZ</t>
  </si>
  <si>
    <t>Valid Finish
DateTimeTZ</t>
  </si>
  <si>
    <t>SYS_PID</t>
  </si>
  <si>
    <t>Ref ID
Person</t>
  </si>
  <si>
    <t>Worker Type Name</t>
  </si>
  <si>
    <t>Ref ID
Document Employment  Relationship</t>
  </si>
  <si>
    <t>010803042</t>
  </si>
  <si>
    <t>2024-06-14 23:59:59+07</t>
  </si>
  <si>
    <t>Ahmad Sandi Asyuri</t>
  </si>
  <si>
    <t>Andi Mapasoro</t>
  </si>
  <si>
    <t>Arief Yulianto</t>
  </si>
  <si>
    <t>Burhan</t>
  </si>
  <si>
    <t>Mochamad Ulul Azmi Wira Utama</t>
  </si>
  <si>
    <t>Muhammad Rizal</t>
  </si>
  <si>
    <t>Rahmad Dwifar</t>
  </si>
  <si>
    <t>Ridwan Nur Muttaqin</t>
  </si>
  <si>
    <t>Risty Alawiyah</t>
  </si>
  <si>
    <t>Rustono</t>
  </si>
  <si>
    <t>Solihin</t>
  </si>
  <si>
    <t>Supriatna</t>
  </si>
  <si>
    <t>Timotius Tabun</t>
  </si>
  <si>
    <t>0403251002</t>
  </si>
  <si>
    <t>181124994</t>
  </si>
  <si>
    <t>Agnes Sutedja</t>
  </si>
  <si>
    <t>Ahmad Choerul</t>
  </si>
  <si>
    <t>Belina Lindarwani</t>
  </si>
  <si>
    <t>Budianto</t>
  </si>
  <si>
    <t>Darsito</t>
  </si>
  <si>
    <t>Dionesius Sostenist Duka</t>
  </si>
  <si>
    <t>Edi Waluyo</t>
  </si>
  <si>
    <t>Eka Bagus Dwi Putra</t>
  </si>
  <si>
    <t>120324987</t>
  </si>
  <si>
    <t>Eka Kurniawan Hidayatullah</t>
  </si>
  <si>
    <t>Eka Purwanti</t>
  </si>
  <si>
    <t>Endang Sutrisno</t>
  </si>
  <si>
    <t>Gunawan</t>
  </si>
  <si>
    <t>Icha Mailinda</t>
  </si>
  <si>
    <t>Irma Maulidawati</t>
  </si>
  <si>
    <t>Istikaro Fauziah</t>
  </si>
  <si>
    <t>Jimmywal</t>
  </si>
  <si>
    <t>Kornelius Sakan</t>
  </si>
  <si>
    <t>Lisma Natalia</t>
  </si>
  <si>
    <t>M Fikri Caesarandi Hasibuan</t>
  </si>
  <si>
    <t>Marthen Tabun</t>
  </si>
  <si>
    <t>1206251007</t>
  </si>
  <si>
    <t>230125998</t>
  </si>
  <si>
    <t>Mullan Tresna</t>
  </si>
  <si>
    <t>Nandang Effendi</t>
  </si>
  <si>
    <t>Rahmata Novanisa</t>
  </si>
  <si>
    <t>051023981</t>
  </si>
  <si>
    <t>Restu Dwi Anjayani</t>
  </si>
  <si>
    <t>0603251003</t>
  </si>
  <si>
    <t>2703251004</t>
  </si>
  <si>
    <t>Rhino Priawan</t>
  </si>
  <si>
    <t>Seftiyan Hadi Maulana</t>
  </si>
  <si>
    <t>Setiadi</t>
  </si>
  <si>
    <t>Sholehah</t>
  </si>
  <si>
    <t>Sudarlan</t>
  </si>
  <si>
    <t>T Marungkil U.S. Sagala</t>
  </si>
  <si>
    <t>Tegar Hersaputra</t>
  </si>
  <si>
    <t>Teguh Pratama Januzir</t>
  </si>
  <si>
    <t>Turita Pramuning M</t>
  </si>
  <si>
    <t>Wardah Laily Khoiriyah</t>
  </si>
  <si>
    <t>Wisnu Trenggono Wirayuda</t>
  </si>
  <si>
    <t>Yogi Perbangkara</t>
  </si>
  <si>
    <t>Yuliandaru Suryoatmodjo</t>
  </si>
  <si>
    <t>Zainudin Anwar</t>
  </si>
  <si>
    <t>3107251008</t>
  </si>
  <si>
    <t>Zulfikar K Siregar IR</t>
  </si>
  <si>
    <t>Redi Subekti</t>
  </si>
  <si>
    <t>010218858</t>
  </si>
  <si>
    <t>Grace Kurniawan</t>
  </si>
  <si>
    <t>010224985</t>
  </si>
  <si>
    <t>Adhe Kurniawan</t>
  </si>
  <si>
    <t>Ahmad Faiz Haems Muda</t>
  </si>
  <si>
    <t>Riza Emir Subekti</t>
  </si>
  <si>
    <t>Ares S. Mauboy</t>
  </si>
  <si>
    <t>010413650</t>
  </si>
  <si>
    <t>Cahyana</t>
  </si>
  <si>
    <t>Davit Lumban Gaol</t>
  </si>
  <si>
    <t>Dian Tri Rahmawati</t>
  </si>
  <si>
    <t>0701251000</t>
  </si>
  <si>
    <t>Edy Syahputra Situmeang</t>
  </si>
  <si>
    <t>Fabrian Danang Destiyara</t>
  </si>
  <si>
    <t>030225999</t>
  </si>
  <si>
    <t>Iman Faisal Abdurahman</t>
  </si>
  <si>
    <t>Langgeng Eko Dwiantoro</t>
  </si>
  <si>
    <t>Roy Aditya</t>
  </si>
  <si>
    <t>010413649</t>
  </si>
  <si>
    <t>020916798</t>
  </si>
  <si>
    <t>Sugiarto</t>
  </si>
  <si>
    <t>Sulaeman</t>
  </si>
  <si>
    <t>010413653</t>
  </si>
  <si>
    <t>010906267</t>
  </si>
  <si>
    <t>Urbanus Boimau</t>
  </si>
  <si>
    <t>0209251009</t>
  </si>
  <si>
    <t>Adi</t>
  </si>
  <si>
    <t>Project Manager</t>
  </si>
  <si>
    <t>Drafter</t>
  </si>
  <si>
    <t>Sitac Coordinator</t>
  </si>
  <si>
    <t>Tax Internship</t>
  </si>
  <si>
    <t>Accounting Officer</t>
  </si>
  <si>
    <t>Site Supervisor</t>
  </si>
  <si>
    <t>Installer</t>
  </si>
  <si>
    <t>Project Controller</t>
  </si>
  <si>
    <t>Procurement Coordinator</t>
  </si>
  <si>
    <t>Project Administrator</t>
  </si>
  <si>
    <t>Sitac Officer</t>
  </si>
  <si>
    <t>IT Software Engineer</t>
  </si>
  <si>
    <t>Tax &amp; Accounting Staff</t>
  </si>
  <si>
    <t>Receptionist &amp; Administration</t>
  </si>
  <si>
    <t>GA Staff</t>
  </si>
  <si>
    <t>Excecutive Secretary</t>
  </si>
  <si>
    <t>Jr. Project Controller</t>
  </si>
  <si>
    <t>Helper</t>
  </si>
  <si>
    <t>HR Recruitment &amp; Personnel</t>
  </si>
  <si>
    <t>Accounting</t>
  </si>
  <si>
    <t>CME Supervisor</t>
  </si>
  <si>
    <t>Finance Accounting</t>
  </si>
  <si>
    <t>Admin HSE</t>
  </si>
  <si>
    <t>Procurement Specialist</t>
  </si>
  <si>
    <t>Estimator</t>
  </si>
  <si>
    <t>Payroll Officer</t>
  </si>
  <si>
    <t>HR Recruitment &amp; Development</t>
  </si>
  <si>
    <t>CME Manager</t>
  </si>
  <si>
    <t>IT System Manager</t>
  </si>
  <si>
    <t>Relation Manager</t>
  </si>
  <si>
    <t>Bid &amp; Sales Administrator</t>
  </si>
  <si>
    <t>Senior Relationship Officer</t>
  </si>
  <si>
    <t>IT System Engineer</t>
  </si>
  <si>
    <t>Presiden Direktur</t>
  </si>
  <si>
    <t>GM Sales</t>
  </si>
  <si>
    <t>Finance &amp; Accounting GM</t>
  </si>
  <si>
    <t>Corporate Finance Specialist</t>
  </si>
  <si>
    <t>Driver</t>
  </si>
  <si>
    <t>Mechanic &amp; Maintenance</t>
  </si>
  <si>
    <t>Security</t>
  </si>
  <si>
    <t>Operator Stringing Machine</t>
  </si>
  <si>
    <t>Finance &amp; Accounting Staff</t>
  </si>
  <si>
    <t>-</t>
  </si>
  <si>
    <t>GM Business Development &amp; Operation</t>
  </si>
  <si>
    <t>Maintenance Building &amp; Technician</t>
  </si>
  <si>
    <t>Telco &amp; Stringing Coordinator</t>
  </si>
  <si>
    <t>Office Boy</t>
  </si>
  <si>
    <t>Driver Operational &amp; Ops Truck Crane</t>
  </si>
  <si>
    <t>Accounting Staff</t>
  </si>
  <si>
    <t>HR Coordinator</t>
  </si>
  <si>
    <t>Spv Warehouse &amp; Operator Stringing</t>
  </si>
  <si>
    <t>Telco &amp; Drone Coord</t>
  </si>
  <si>
    <t>2003-07-07 00:00:00+07</t>
  </si>
  <si>
    <t>2024-11-18 00:00:00+07</t>
  </si>
  <si>
    <t>2025-03-01 00:00:00+07</t>
  </si>
  <si>
    <t>2003-07-01 00:00:00+07</t>
  </si>
  <si>
    <t>2020-02-11 00:00:00+07</t>
  </si>
  <si>
    <t>2015-05-06 00:00:00+07</t>
  </si>
  <si>
    <t>2012-12-03 00:00:00+07</t>
  </si>
  <si>
    <t>2005-06-01 00:00:00+07</t>
  </si>
  <si>
    <t>2003-08-04 00:00:00+07</t>
  </si>
  <si>
    <t>2020-04-20 00:00:00+07</t>
  </si>
  <si>
    <t>2024-03-12 00:00:00+07</t>
  </si>
  <si>
    <t>2021-01-06 00:00:00+07</t>
  </si>
  <si>
    <t>2006-08-01 00:00:00+07</t>
  </si>
  <si>
    <t>2006-08-07 00:00:00+07</t>
  </si>
  <si>
    <t>2015-10-19 00:00:00+07</t>
  </si>
  <si>
    <t>2022-08-04 00:00:00+07</t>
  </si>
  <si>
    <t>2022-03-17 00:00:00+07</t>
  </si>
  <si>
    <t>2015-05-04 00:00:00+07</t>
  </si>
  <si>
    <t>2003-08-19 00:00:00+07</t>
  </si>
  <si>
    <t>2018-09-17 00:00:00+07</t>
  </si>
  <si>
    <t>2016-09-16 00:00:00+07</t>
  </si>
  <si>
    <t>2013-05-01 00:00:00+07</t>
  </si>
  <si>
    <t>2025-06-12 00:00:00+07</t>
  </si>
  <si>
    <t>2025-01-23 00:00:00+07</t>
  </si>
  <si>
    <t>2005-01-03 00:00:00+07</t>
  </si>
  <si>
    <t>2006-11-06 00:00:00+07</t>
  </si>
  <si>
    <t>2024-09-23 00:00:00+07</t>
  </si>
  <si>
    <t>2025-11-20 00:00:00+07</t>
  </si>
  <si>
    <t>1995-07-15 00:00:00+07</t>
  </si>
  <si>
    <t>2025-03-06 00:00:00+07</t>
  </si>
  <si>
    <t>2025-03-27 00:00:00+07</t>
  </si>
  <si>
    <t>2010-11-22 00:00:00+07</t>
  </si>
  <si>
    <t>2018-11-14 00:00:00+07</t>
  </si>
  <si>
    <t>2006-09-13 00:00:00+07</t>
  </si>
  <si>
    <t>2018-05-24 00:00:00+07</t>
  </si>
  <si>
    <t>2007-05-01 00:00:00+07</t>
  </si>
  <si>
    <t>2010-02-01 00:00:00+07</t>
  </si>
  <si>
    <t>2024-03-28 00:00:00+07</t>
  </si>
  <si>
    <t>2017-07-03 00:00:00+07</t>
  </si>
  <si>
    <t>2018-08-09 00:00:00+07</t>
  </si>
  <si>
    <t>2022-01-24 00:00:00+07</t>
  </si>
  <si>
    <t>2024-05-15 00:00:00+07</t>
  </si>
  <si>
    <t>2023-01-26 00:00:00+07</t>
  </si>
  <si>
    <t>2014-07-16 00:00:00+07</t>
  </si>
  <si>
    <t>2019-08-09 00:00:00+07</t>
  </si>
  <si>
    <t>2025-07-31 00:00:00+07</t>
  </si>
  <si>
    <t>2020-09-10 00:00:00+07</t>
  </si>
  <si>
    <t>2025-01-07 00:00:00+07</t>
  </si>
  <si>
    <t>2021-09-16 00:00:00+07</t>
  </si>
  <si>
    <t>2020-09-09 23:59:59+07</t>
  </si>
  <si>
    <t>2021-09-15 23:59:59+07</t>
  </si>
  <si>
    <t>Non Department</t>
  </si>
  <si>
    <t>Business Development</t>
  </si>
  <si>
    <t>Information Technology</t>
  </si>
  <si>
    <t>Sales &amp; Marketing</t>
  </si>
  <si>
    <t>Finance &amp; Accounting</t>
  </si>
  <si>
    <t>Human Resource Development</t>
  </si>
  <si>
    <t>Health Safety Environment</t>
  </si>
  <si>
    <t>Logistics &amp; Warehouse</t>
  </si>
  <si>
    <t>Legal</t>
  </si>
  <si>
    <t>Tools &amp; Asset Management</t>
  </si>
  <si>
    <t>Project</t>
  </si>
  <si>
    <t>Procurement</t>
  </si>
  <si>
    <t>Civil And Mechanical Engineering</t>
  </si>
  <si>
    <t>Corporate Social Responsibility</t>
  </si>
  <si>
    <t>Organizational Department Name</t>
  </si>
  <si>
    <t>Staff</t>
  </si>
  <si>
    <t>Supervisor</t>
  </si>
  <si>
    <t>Manager</t>
  </si>
  <si>
    <t>General Manager</t>
  </si>
  <si>
    <t>Director</t>
  </si>
  <si>
    <t>Project Management Office</t>
  </si>
  <si>
    <t>2025-12-03 23:59:59+07</t>
  </si>
  <si>
    <t>IMD</t>
  </si>
  <si>
    <t>QDC</t>
  </si>
  <si>
    <t>Operation &amp; Maintenance</t>
  </si>
  <si>
    <t>Sales</t>
  </si>
  <si>
    <t>Warehouse &amp; TAM</t>
  </si>
  <si>
    <t>Warehouse &amp; Stringing Machine Operator</t>
  </si>
  <si>
    <t>Warehouse</t>
  </si>
  <si>
    <t>Organizational Job Position Name</t>
  </si>
  <si>
    <t>Job Title</t>
  </si>
  <si>
    <t>Operational Building</t>
  </si>
  <si>
    <t>Maintenance Building and Technician</t>
  </si>
  <si>
    <t>GM Operation &amp; Business Development</t>
  </si>
  <si>
    <t>Operation &amp; Business Development</t>
  </si>
  <si>
    <t>Mechanic and Maintenance Warehouse</t>
  </si>
  <si>
    <t>Sales Coodinator</t>
  </si>
  <si>
    <t>TAM &amp; Warehouse Coordinator</t>
  </si>
  <si>
    <t>Bid &amp; Proposal</t>
  </si>
  <si>
    <t>Senior Estimator &amp; Bid Specialist</t>
  </si>
  <si>
    <t>PMO General Manager</t>
  </si>
  <si>
    <t>HRD Manager</t>
  </si>
  <si>
    <t>GM Finance &amp; Accounting</t>
  </si>
  <si>
    <t>QHSE Manager</t>
  </si>
  <si>
    <t>Relation/Account Officer</t>
  </si>
  <si>
    <t>Plt Finance Manager</t>
  </si>
  <si>
    <t>CME Design Engineering</t>
  </si>
  <si>
    <t>Site Manager</t>
  </si>
  <si>
    <t>Jointer/ RF Installer</t>
  </si>
  <si>
    <t>Project Administration</t>
  </si>
  <si>
    <t>Jointer</t>
  </si>
  <si>
    <t>QA &amp; HSE Staff</t>
  </si>
  <si>
    <t>Receptionist &amp; HRGA Administrator</t>
  </si>
  <si>
    <t>Admin &amp; Finance Site Project</t>
  </si>
  <si>
    <t>Material Handler</t>
  </si>
  <si>
    <t>HR Recruitment &amp; Personnel Administration</t>
  </si>
  <si>
    <t>Accounting &amp; Tax Manager</t>
  </si>
  <si>
    <t>Finance Staff</t>
  </si>
  <si>
    <t>HSE Administrator</t>
  </si>
  <si>
    <t>Clerical</t>
  </si>
  <si>
    <t>Senior Manager</t>
  </si>
  <si>
    <t>Bid and Sales Administrator</t>
  </si>
  <si>
    <t>Senior Relation Specialist</t>
  </si>
  <si>
    <t>HR Development &amp; Industrial Relation</t>
  </si>
  <si>
    <t>President Director</t>
  </si>
  <si>
    <t>Administratif Staff</t>
  </si>
  <si>
    <t>Operator Stringing &amp; Pilot Drone</t>
  </si>
  <si>
    <t>Senior Clerical</t>
  </si>
  <si>
    <t>Senior Supervisor</t>
  </si>
  <si>
    <t>Magang IT - EDP ERP Reborn</t>
  </si>
  <si>
    <t>2026-01-19 00:00:00+07</t>
  </si>
  <si>
    <t>Worker Name</t>
  </si>
  <si>
    <t>Default Entity</t>
  </si>
  <si>
    <t>KSO</t>
  </si>
  <si>
    <t>2026-05-29 00:00:00+07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</si>
</sst>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[$-409]d\-mmm\-yy;@"/>
    <numFmt numFmtId="165" formatCode="yyyy\-mm\-dd;@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0"/>
      <color indexed="8"/>
      <name val="MS Sans Serif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9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41" fontId="5" fillId="0" borderId="0" applyFont="0" applyFill="0" applyBorder="0" applyAlignment="0" applyProtection="0"/>
    <xf numFmtId="0" fontId="13" fillId="0" borderId="0"/>
  </cellStyleXfs>
  <cellXfs count="111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4" fontId="1" fillId="4" borderId="0" xfId="0" applyNumberFormat="1" applyFont="1" applyFill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2" xfId="0" applyFont="1" applyBorder="1"/>
    <xf numFmtId="1" fontId="1" fillId="0" borderId="2" xfId="0" applyNumberFormat="1" applyFont="1" applyBorder="1"/>
    <xf numFmtId="14" fontId="1" fillId="0" borderId="2" xfId="0" applyNumberFormat="1" applyFont="1" applyBorder="1"/>
    <xf numFmtId="0" fontId="1" fillId="0" borderId="1" xfId="0" applyFont="1" applyBorder="1"/>
    <xf numFmtId="1" fontId="1" fillId="0" borderId="1" xfId="0" applyNumberFormat="1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" fillId="7" borderId="6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49" fontId="1" fillId="0" borderId="2" xfId="0" applyNumberFormat="1" applyFont="1" applyBorder="1" applyAlignment="1">
      <alignment horizontal="right"/>
    </xf>
    <xf numFmtId="49" fontId="1" fillId="0" borderId="2" xfId="0" quotePrefix="1" applyNumberFormat="1" applyFont="1" applyBorder="1" applyAlignment="1">
      <alignment horizontal="right"/>
    </xf>
    <xf numFmtId="49" fontId="4" fillId="0" borderId="2" xfId="1" applyNumberFormat="1" applyFont="1" applyFill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1" fontId="7" fillId="8" borderId="11" xfId="0" applyNumberFormat="1" applyFont="1" applyFill="1" applyBorder="1" applyAlignment="1"/>
    <xf numFmtId="1" fontId="7" fillId="8" borderId="12" xfId="0" applyNumberFormat="1" applyFont="1" applyFill="1" applyBorder="1" applyAlignment="1"/>
    <xf numFmtId="1" fontId="8" fillId="3" borderId="2" xfId="0" applyNumberFormat="1" applyFont="1" applyFill="1" applyBorder="1" applyAlignment="1">
      <alignment horizontal="center"/>
    </xf>
    <xf numFmtId="0" fontId="9" fillId="0" borderId="2" xfId="0" applyFont="1" applyBorder="1"/>
    <xf numFmtId="1" fontId="8" fillId="3" borderId="1" xfId="0" applyNumberFormat="1" applyFont="1" applyFill="1" applyBorder="1" applyAlignment="1">
      <alignment horizontal="center"/>
    </xf>
    <xf numFmtId="0" fontId="9" fillId="0" borderId="1" xfId="0" applyFont="1" applyBorder="1"/>
    <xf numFmtId="1" fontId="6" fillId="6" borderId="3" xfId="0" applyNumberFormat="1" applyFont="1" applyFill="1" applyBorder="1" applyAlignment="1">
      <alignment horizontal="center" vertical="center" wrapText="1"/>
    </xf>
    <xf numFmtId="1" fontId="1" fillId="7" borderId="6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7" borderId="6" xfId="0" applyNumberFormat="1" applyFont="1" applyFill="1" applyBorder="1"/>
    <xf numFmtId="1" fontId="1" fillId="5" borderId="2" xfId="0" applyNumberFormat="1" applyFont="1" applyFill="1" applyBorder="1"/>
    <xf numFmtId="0" fontId="1" fillId="5" borderId="2" xfId="0" applyFont="1" applyFill="1" applyBorder="1"/>
    <xf numFmtId="1" fontId="1" fillId="5" borderId="2" xfId="2" applyNumberFormat="1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9" borderId="0" xfId="1" applyFont="1" applyFill="1" applyAlignment="1">
      <alignment horizontal="center" vertical="center"/>
    </xf>
    <xf numFmtId="0" fontId="11" fillId="0" borderId="13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1" fillId="10" borderId="13" xfId="1" applyFont="1" applyFill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11" fillId="0" borderId="0" xfId="1" applyFont="1" applyAlignment="1">
      <alignment vertical="center"/>
    </xf>
    <xf numFmtId="0" fontId="11" fillId="0" borderId="13" xfId="0" applyFont="1" applyBorder="1" applyAlignment="1">
      <alignment horizontal="left" vertical="center"/>
    </xf>
    <xf numFmtId="1" fontId="1" fillId="5" borderId="4" xfId="0" applyNumberFormat="1" applyFont="1" applyFill="1" applyBorder="1"/>
    <xf numFmtId="164" fontId="11" fillId="10" borderId="13" xfId="1" applyNumberFormat="1" applyFont="1" applyFill="1" applyBorder="1" applyAlignment="1">
      <alignment horizontal="left"/>
    </xf>
    <xf numFmtId="164" fontId="11" fillId="0" borderId="13" xfId="1" applyNumberFormat="1" applyFont="1" applyBorder="1" applyAlignment="1">
      <alignment horizontal="left"/>
    </xf>
    <xf numFmtId="0" fontId="14" fillId="0" borderId="13" xfId="3" applyFont="1" applyBorder="1" applyAlignment="1">
      <alignment horizontal="left"/>
    </xf>
    <xf numFmtId="0" fontId="15" fillId="0" borderId="13" xfId="3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164" fontId="11" fillId="0" borderId="1" xfId="1" applyNumberFormat="1" applyFont="1" applyBorder="1" applyAlignment="1">
      <alignment horizontal="center"/>
    </xf>
    <xf numFmtId="164" fontId="11" fillId="9" borderId="0" xfId="1" applyNumberFormat="1" applyFont="1" applyFill="1" applyAlignment="1">
      <alignment horizontal="center"/>
    </xf>
    <xf numFmtId="164" fontId="11" fillId="0" borderId="0" xfId="1" applyNumberFormat="1" applyFont="1" applyAlignment="1">
      <alignment horizontal="center"/>
    </xf>
    <xf numFmtId="164" fontId="11" fillId="0" borderId="13" xfId="1" quotePrefix="1" applyNumberFormat="1" applyFont="1" applyBorder="1" applyAlignment="1">
      <alignment horizontal="left"/>
    </xf>
    <xf numFmtId="165" fontId="1" fillId="0" borderId="0" xfId="0" applyNumberFormat="1" applyFont="1" applyAlignment="1">
      <alignment horizontal="center"/>
    </xf>
    <xf numFmtId="165" fontId="6" fillId="6" borderId="4" xfId="0" applyNumberFormat="1" applyFont="1" applyFill="1" applyBorder="1" applyAlignment="1">
      <alignment horizontal="center" vertical="center" wrapText="1"/>
    </xf>
    <xf numFmtId="165" fontId="1" fillId="7" borderId="7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1" fontId="1" fillId="0" borderId="2" xfId="0" applyNumberFormat="1" applyFont="1" applyFill="1" applyBorder="1"/>
    <xf numFmtId="0" fontId="1" fillId="5" borderId="14" xfId="0" applyFont="1" applyFill="1" applyBorder="1"/>
    <xf numFmtId="0" fontId="1" fillId="5" borderId="1" xfId="0" applyFont="1" applyFill="1" applyBorder="1"/>
    <xf numFmtId="1" fontId="1" fillId="0" borderId="4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7" borderId="7" xfId="0" applyFont="1" applyFill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" fontId="1" fillId="5" borderId="1" xfId="0" applyNumberFormat="1" applyFont="1" applyFill="1" applyBorder="1"/>
    <xf numFmtId="0" fontId="1" fillId="0" borderId="1" xfId="0" applyFont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1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7" borderId="7" xfId="0" applyNumberFormat="1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5" borderId="4" xfId="0" applyNumberFormat="1" applyFont="1" applyFill="1" applyBorder="1" applyAlignment="1">
      <alignment horizontal="left"/>
    </xf>
    <xf numFmtId="1" fontId="6" fillId="6" borderId="17" xfId="0" applyNumberFormat="1" applyFont="1" applyFill="1" applyBorder="1" applyAlignment="1">
      <alignment horizontal="center" vertical="center" wrapText="1"/>
    </xf>
    <xf numFmtId="1" fontId="1" fillId="7" borderId="18" xfId="0" applyNumberFormat="1" applyFont="1" applyFill="1" applyBorder="1" applyAlignment="1">
      <alignment horizontal="center"/>
    </xf>
    <xf numFmtId="1" fontId="1" fillId="7" borderId="7" xfId="0" applyNumberFormat="1" applyFont="1" applyFill="1" applyBorder="1"/>
    <xf numFmtId="0" fontId="1" fillId="5" borderId="4" xfId="0" applyFont="1" applyFill="1" applyBorder="1"/>
    <xf numFmtId="1" fontId="6" fillId="6" borderId="5" xfId="0" applyNumberFormat="1" applyFont="1" applyFill="1" applyBorder="1" applyAlignment="1">
      <alignment horizontal="center" vertical="center" wrapText="1"/>
    </xf>
    <xf numFmtId="1" fontId="1" fillId="7" borderId="8" xfId="0" applyNumberFormat="1" applyFont="1" applyFill="1" applyBorder="1"/>
    <xf numFmtId="49" fontId="6" fillId="6" borderId="19" xfId="0" applyNumberFormat="1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center" vertical="center" wrapText="1"/>
    </xf>
    <xf numFmtId="49" fontId="1" fillId="7" borderId="7" xfId="0" applyNumberFormat="1" applyFont="1" applyFill="1" applyBorder="1"/>
    <xf numFmtId="49" fontId="1" fillId="0" borderId="0" xfId="0" applyNumberFormat="1" applyFont="1" applyAlignment="1">
      <alignment horizontal="center"/>
    </xf>
    <xf numFmtId="49" fontId="1" fillId="7" borderId="20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4" fillId="0" borderId="2" xfId="1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</cellXfs>
  <cellStyles count="4">
    <cellStyle name="Comma [0]" xfId="2" builtinId="6"/>
    <cellStyle name="Normal" xfId="0" builtinId="0"/>
    <cellStyle name="Normal 2 3" xfId="1"/>
    <cellStyle name="Normal_Data of Employee (Up Date)" xfId="3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Pers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Resource.TblWorker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MAIN"/>
      <sheetName val="DataLookUp"/>
      <sheetName val="Pindahan dari DB ERP Live"/>
      <sheetName val="Sheet1"/>
      <sheetName val="Sheet2"/>
    </sheetNames>
    <sheetDataSet>
      <sheetData sheetId="0"/>
      <sheetData sheetId="1"/>
      <sheetData sheetId="2">
        <row r="4">
          <cell r="B4">
            <v>25000000000001</v>
          </cell>
          <cell r="C4" t="str">
            <v>Abdollah Syani Siregar</v>
          </cell>
        </row>
        <row r="5">
          <cell r="B5">
            <v>25000000000002</v>
          </cell>
          <cell r="C5" t="str">
            <v>Abdul Karim</v>
          </cell>
        </row>
        <row r="6">
          <cell r="B6">
            <v>25000000000003</v>
          </cell>
          <cell r="C6" t="str">
            <v>Abdul Rahman Sitompul</v>
          </cell>
        </row>
        <row r="7">
          <cell r="B7">
            <v>25000000000004</v>
          </cell>
          <cell r="C7" t="str">
            <v>Abdul Risan</v>
          </cell>
        </row>
        <row r="8">
          <cell r="B8">
            <v>25000000000005</v>
          </cell>
          <cell r="C8" t="str">
            <v>Abdullah Nabil</v>
          </cell>
        </row>
        <row r="9">
          <cell r="B9">
            <v>25000000000006</v>
          </cell>
          <cell r="C9" t="str">
            <v>Adhitya Danar</v>
          </cell>
        </row>
        <row r="10">
          <cell r="B10">
            <v>25000000000007</v>
          </cell>
          <cell r="C10" t="str">
            <v>Adi Ruswandi</v>
          </cell>
        </row>
        <row r="11">
          <cell r="B11">
            <v>25000000000008</v>
          </cell>
          <cell r="C11" t="str">
            <v>Adietya Dharmawan</v>
          </cell>
        </row>
        <row r="12">
          <cell r="B12">
            <v>25000000000009</v>
          </cell>
          <cell r="C12" t="str">
            <v>Aditya Yudha Prawira</v>
          </cell>
        </row>
        <row r="13">
          <cell r="B13">
            <v>25000000000010</v>
          </cell>
          <cell r="C13" t="str">
            <v>Adli Margie</v>
          </cell>
        </row>
        <row r="14">
          <cell r="B14">
            <v>25000000000011</v>
          </cell>
          <cell r="C14" t="str">
            <v>Afrida Eka Putri</v>
          </cell>
        </row>
        <row r="15">
          <cell r="B15">
            <v>25000000000012</v>
          </cell>
          <cell r="C15" t="str">
            <v>Agnes Sutedja</v>
          </cell>
        </row>
        <row r="16">
          <cell r="B16">
            <v>25000000000013</v>
          </cell>
          <cell r="C16" t="str">
            <v>Agung Hendarto</v>
          </cell>
        </row>
        <row r="17">
          <cell r="B17">
            <v>25000000000014</v>
          </cell>
          <cell r="C17" t="str">
            <v>Agus Priyatno Mahmudo</v>
          </cell>
        </row>
        <row r="18">
          <cell r="B18">
            <v>25000000000015</v>
          </cell>
          <cell r="C18" t="str">
            <v>Agus Salim</v>
          </cell>
        </row>
        <row r="19">
          <cell r="B19">
            <v>25000000000016</v>
          </cell>
          <cell r="C19" t="str">
            <v>Agus Tanto</v>
          </cell>
        </row>
        <row r="20">
          <cell r="B20">
            <v>25000000000017</v>
          </cell>
          <cell r="C20" t="str">
            <v>Ahmad Faiz Haems Muda</v>
          </cell>
        </row>
        <row r="21">
          <cell r="B21">
            <v>25000000000018</v>
          </cell>
          <cell r="C21" t="str">
            <v>Ahmad Faza</v>
          </cell>
        </row>
        <row r="22">
          <cell r="B22">
            <v>25000000000019</v>
          </cell>
          <cell r="C22" t="str">
            <v>Ahmad Syaifulloh</v>
          </cell>
        </row>
        <row r="23">
          <cell r="B23">
            <v>25000000000020</v>
          </cell>
          <cell r="C23" t="str">
            <v>Ahmad Zulkarnaen</v>
          </cell>
        </row>
        <row r="24">
          <cell r="B24">
            <v>25000000000021</v>
          </cell>
          <cell r="C24" t="str">
            <v>Ajan</v>
          </cell>
        </row>
        <row r="25">
          <cell r="B25">
            <v>25000000000022</v>
          </cell>
          <cell r="C25" t="str">
            <v>Al Amin</v>
          </cell>
        </row>
        <row r="26">
          <cell r="B26">
            <v>25000000000023</v>
          </cell>
          <cell r="C26" t="str">
            <v>Aldi Mulyadi</v>
          </cell>
        </row>
        <row r="27">
          <cell r="B27">
            <v>25000000000024</v>
          </cell>
          <cell r="C27" t="str">
            <v>Alexandri</v>
          </cell>
        </row>
        <row r="28">
          <cell r="B28">
            <v>25000000000025</v>
          </cell>
          <cell r="C28" t="str">
            <v>Alfaedi</v>
          </cell>
        </row>
        <row r="29">
          <cell r="B29">
            <v>25000000000026</v>
          </cell>
          <cell r="C29" t="str">
            <v>Ali Wahono</v>
          </cell>
        </row>
        <row r="30">
          <cell r="B30">
            <v>25000000000027</v>
          </cell>
          <cell r="C30" t="str">
            <v>Alphaliyanri Lasria</v>
          </cell>
        </row>
        <row r="31">
          <cell r="B31">
            <v>25000000000028</v>
          </cell>
          <cell r="C31" t="str">
            <v>Ambon Rumalean</v>
          </cell>
        </row>
        <row r="32">
          <cell r="B32">
            <v>25000000000029</v>
          </cell>
          <cell r="C32" t="str">
            <v>Amir Sofyan Hadi</v>
          </cell>
        </row>
        <row r="33">
          <cell r="B33">
            <v>25000000000030</v>
          </cell>
          <cell r="C33" t="str">
            <v>Anak Agung Netti Ariani</v>
          </cell>
        </row>
        <row r="34">
          <cell r="B34">
            <v>25000000000031</v>
          </cell>
          <cell r="C34" t="str">
            <v>Andri Gunawan</v>
          </cell>
        </row>
        <row r="35">
          <cell r="B35">
            <v>25000000000032</v>
          </cell>
          <cell r="C35" t="str">
            <v>Andri Herdiansyah</v>
          </cell>
        </row>
        <row r="36">
          <cell r="B36">
            <v>25000000000033</v>
          </cell>
          <cell r="C36" t="str">
            <v>Andrie</v>
          </cell>
        </row>
        <row r="37">
          <cell r="B37">
            <v>25000000000034</v>
          </cell>
          <cell r="C37" t="str">
            <v>Anggina Tri Yudandi</v>
          </cell>
        </row>
        <row r="38">
          <cell r="B38">
            <v>25000000000035</v>
          </cell>
          <cell r="C38" t="str">
            <v>Anggit Ismiyanto</v>
          </cell>
        </row>
        <row r="39">
          <cell r="B39">
            <v>25000000000036</v>
          </cell>
          <cell r="C39" t="str">
            <v>Anika Setyowati</v>
          </cell>
        </row>
        <row r="40">
          <cell r="B40">
            <v>25000000000037</v>
          </cell>
          <cell r="C40" t="str">
            <v>Anisah</v>
          </cell>
        </row>
        <row r="41">
          <cell r="B41">
            <v>25000000000038</v>
          </cell>
          <cell r="C41" t="str">
            <v>Anna Savitrie</v>
          </cell>
        </row>
        <row r="42">
          <cell r="B42">
            <v>25000000000039</v>
          </cell>
          <cell r="C42" t="str">
            <v>Annisa Dewi Arumsari</v>
          </cell>
        </row>
        <row r="43">
          <cell r="B43">
            <v>25000000000040</v>
          </cell>
          <cell r="C43" t="str">
            <v>Annyes Sri Maristi</v>
          </cell>
        </row>
        <row r="44">
          <cell r="B44">
            <v>25000000000041</v>
          </cell>
          <cell r="C44" t="str">
            <v>Antok</v>
          </cell>
        </row>
        <row r="45">
          <cell r="B45">
            <v>25000000000042</v>
          </cell>
          <cell r="C45" t="str">
            <v>Anton Iryanto</v>
          </cell>
        </row>
        <row r="46">
          <cell r="B46">
            <v>25000000000043</v>
          </cell>
          <cell r="C46" t="str">
            <v>Antony Pakpahan</v>
          </cell>
        </row>
        <row r="47">
          <cell r="B47">
            <v>25000000000044</v>
          </cell>
          <cell r="C47" t="str">
            <v>Anugerah Januariansyah</v>
          </cell>
        </row>
        <row r="48">
          <cell r="B48">
            <v>25000000000045</v>
          </cell>
          <cell r="C48" t="str">
            <v>Anwar Purnomo</v>
          </cell>
        </row>
        <row r="49">
          <cell r="B49">
            <v>25000000000046</v>
          </cell>
          <cell r="C49" t="str">
            <v>Ardhi Swasono</v>
          </cell>
        </row>
        <row r="50">
          <cell r="B50">
            <v>25000000000047</v>
          </cell>
          <cell r="C50" t="str">
            <v>Ardi</v>
          </cell>
        </row>
        <row r="51">
          <cell r="B51">
            <v>25000000000048</v>
          </cell>
          <cell r="C51" t="str">
            <v>Ardiansyah</v>
          </cell>
        </row>
        <row r="52">
          <cell r="B52">
            <v>25000000000049</v>
          </cell>
          <cell r="C52" t="str">
            <v>Ardisam</v>
          </cell>
        </row>
        <row r="53">
          <cell r="B53">
            <v>25000000000050</v>
          </cell>
          <cell r="C53" t="str">
            <v>Ardita</v>
          </cell>
        </row>
        <row r="54">
          <cell r="B54">
            <v>25000000000051</v>
          </cell>
          <cell r="C54" t="str">
            <v>Ares S. Mauboi</v>
          </cell>
        </row>
        <row r="55">
          <cell r="B55">
            <v>25000000000052</v>
          </cell>
          <cell r="C55" t="str">
            <v>Arfah Hanum</v>
          </cell>
        </row>
        <row r="56">
          <cell r="B56">
            <v>25000000000053</v>
          </cell>
          <cell r="C56" t="str">
            <v>Arfianti Haryani</v>
          </cell>
        </row>
        <row r="57">
          <cell r="B57">
            <v>25000000000054</v>
          </cell>
          <cell r="C57" t="str">
            <v>Ari Priwarsono</v>
          </cell>
        </row>
        <row r="58">
          <cell r="B58">
            <v>25000000000055</v>
          </cell>
          <cell r="C58" t="str">
            <v>Ari Yuniasmono</v>
          </cell>
        </row>
        <row r="59">
          <cell r="B59">
            <v>25000000000056</v>
          </cell>
          <cell r="C59" t="str">
            <v>Arif Gunawan</v>
          </cell>
        </row>
        <row r="60">
          <cell r="B60">
            <v>25000000000057</v>
          </cell>
          <cell r="C60" t="str">
            <v>Arif Prasetyo</v>
          </cell>
        </row>
        <row r="61">
          <cell r="B61">
            <v>25000000000058</v>
          </cell>
          <cell r="C61" t="str">
            <v>Arini</v>
          </cell>
        </row>
        <row r="62">
          <cell r="B62">
            <v>25000000000059</v>
          </cell>
          <cell r="C62" t="str">
            <v>Ario Setyo Gunawan</v>
          </cell>
        </row>
        <row r="63">
          <cell r="B63">
            <v>25000000000060</v>
          </cell>
          <cell r="C63" t="str">
            <v>Ario Yulianto Wibowo</v>
          </cell>
        </row>
        <row r="64">
          <cell r="B64">
            <v>25000000000061</v>
          </cell>
          <cell r="C64" t="str">
            <v>Aris Widodo Pamungkas</v>
          </cell>
        </row>
        <row r="65">
          <cell r="B65">
            <v>25000000000062</v>
          </cell>
          <cell r="C65" t="str">
            <v>Arjiyanto</v>
          </cell>
        </row>
        <row r="66">
          <cell r="B66">
            <v>25000000000063</v>
          </cell>
          <cell r="C66" t="str">
            <v>Arman</v>
          </cell>
        </row>
        <row r="67">
          <cell r="B67">
            <v>25000000000064</v>
          </cell>
          <cell r="C67" t="str">
            <v>Aryoko Sudiro</v>
          </cell>
        </row>
        <row r="68">
          <cell r="B68">
            <v>25000000000065</v>
          </cell>
          <cell r="C68" t="str">
            <v>Astamyugo</v>
          </cell>
        </row>
        <row r="69">
          <cell r="B69">
            <v>25000000000066</v>
          </cell>
          <cell r="C69" t="str">
            <v>Atmo Sastro Dinoto</v>
          </cell>
        </row>
        <row r="70">
          <cell r="B70">
            <v>25000000000067</v>
          </cell>
          <cell r="C70" t="str">
            <v>Awaludin</v>
          </cell>
        </row>
        <row r="71">
          <cell r="B71">
            <v>25000000000068</v>
          </cell>
          <cell r="C71" t="str">
            <v>Bachtiar</v>
          </cell>
        </row>
        <row r="72">
          <cell r="B72">
            <v>25000000000069</v>
          </cell>
          <cell r="C72" t="str">
            <v>Bambang Irawan</v>
          </cell>
        </row>
        <row r="73">
          <cell r="B73">
            <v>25000000000070</v>
          </cell>
          <cell r="C73" t="str">
            <v>Bambang Prihatin</v>
          </cell>
        </row>
        <row r="74">
          <cell r="B74">
            <v>25000000000071</v>
          </cell>
          <cell r="C74" t="str">
            <v>Bani Mustazeni</v>
          </cell>
        </row>
        <row r="75">
          <cell r="B75">
            <v>25000000000072</v>
          </cell>
          <cell r="C75" t="str">
            <v>Bardai</v>
          </cell>
        </row>
        <row r="76">
          <cell r="B76">
            <v>25000000000073</v>
          </cell>
          <cell r="C76" t="str">
            <v>Barika</v>
          </cell>
        </row>
        <row r="77">
          <cell r="B77">
            <v>25000000000074</v>
          </cell>
          <cell r="C77" t="str">
            <v>Bela Retmalantika</v>
          </cell>
        </row>
        <row r="78">
          <cell r="B78">
            <v>25000000000075</v>
          </cell>
          <cell r="C78" t="str">
            <v>Belina Lindarwani</v>
          </cell>
        </row>
        <row r="79">
          <cell r="B79">
            <v>25000000000076</v>
          </cell>
          <cell r="C79" t="str">
            <v>Benita Sofia</v>
          </cell>
        </row>
        <row r="80">
          <cell r="B80">
            <v>25000000000077</v>
          </cell>
          <cell r="C80" t="str">
            <v>Bherly Novrandy</v>
          </cell>
        </row>
        <row r="81">
          <cell r="B81">
            <v>25000000000078</v>
          </cell>
          <cell r="C81" t="str">
            <v>Binsar</v>
          </cell>
        </row>
        <row r="82">
          <cell r="B82">
            <v>25000000000079</v>
          </cell>
          <cell r="C82" t="str">
            <v>Bondhan Sosiarta</v>
          </cell>
        </row>
        <row r="83">
          <cell r="B83">
            <v>25000000000080</v>
          </cell>
          <cell r="C83" t="str">
            <v>Budi Pranata Sinaga</v>
          </cell>
        </row>
        <row r="84">
          <cell r="B84">
            <v>25000000000081</v>
          </cell>
          <cell r="C84" t="str">
            <v>Budi Satrio</v>
          </cell>
        </row>
        <row r="85">
          <cell r="B85">
            <v>25000000000082</v>
          </cell>
          <cell r="C85" t="str">
            <v>Budianto</v>
          </cell>
        </row>
        <row r="86">
          <cell r="B86">
            <v>25000000000083</v>
          </cell>
          <cell r="C86" t="str">
            <v>Budiman</v>
          </cell>
        </row>
        <row r="87">
          <cell r="B87">
            <v>25000000000084</v>
          </cell>
          <cell r="C87" t="str">
            <v>Cahyaning Annisa</v>
          </cell>
        </row>
        <row r="88">
          <cell r="B88">
            <v>25000000000085</v>
          </cell>
          <cell r="C88" t="str">
            <v>Cahyaningrum Widiastuti</v>
          </cell>
        </row>
        <row r="89">
          <cell r="B89">
            <v>25000000000086</v>
          </cell>
          <cell r="C89" t="str">
            <v>Cecep Maulana</v>
          </cell>
        </row>
        <row r="90">
          <cell r="B90">
            <v>25000000000087</v>
          </cell>
          <cell r="C90" t="str">
            <v>Chairul Musaddat</v>
          </cell>
        </row>
        <row r="91">
          <cell r="B91">
            <v>25000000000088</v>
          </cell>
          <cell r="C91" t="str">
            <v>Christianto</v>
          </cell>
        </row>
        <row r="92">
          <cell r="B92">
            <v>25000000000089</v>
          </cell>
          <cell r="C92" t="str">
            <v>Dadan Hermawan</v>
          </cell>
        </row>
        <row r="93">
          <cell r="B93">
            <v>25000000000090</v>
          </cell>
          <cell r="C93" t="str">
            <v>Dadan Suhendar</v>
          </cell>
        </row>
        <row r="94">
          <cell r="B94">
            <v>25000000000091</v>
          </cell>
          <cell r="C94" t="str">
            <v>Dadi Anda Zuchradi</v>
          </cell>
        </row>
        <row r="95">
          <cell r="B95">
            <v>25000000000092</v>
          </cell>
          <cell r="C95" t="str">
            <v>Darsito</v>
          </cell>
        </row>
        <row r="96">
          <cell r="B96">
            <v>25000000000093</v>
          </cell>
          <cell r="C96" t="str">
            <v>Davit Lumban Gaol</v>
          </cell>
        </row>
        <row r="97">
          <cell r="B97">
            <v>25000000000094</v>
          </cell>
          <cell r="C97" t="str">
            <v>Deddy Rochman</v>
          </cell>
        </row>
        <row r="98">
          <cell r="B98">
            <v>25000000000095</v>
          </cell>
          <cell r="C98" t="str">
            <v>Dedi Kusnadi</v>
          </cell>
        </row>
        <row r="99">
          <cell r="B99">
            <v>25000000000096</v>
          </cell>
          <cell r="C99" t="str">
            <v>Dedi Marciano Rizanur</v>
          </cell>
        </row>
        <row r="100">
          <cell r="B100">
            <v>25000000000097</v>
          </cell>
          <cell r="C100" t="str">
            <v>Dedi Rianto</v>
          </cell>
        </row>
        <row r="101">
          <cell r="B101">
            <v>25000000000098</v>
          </cell>
          <cell r="C101" t="str">
            <v>Dedi Syahputra</v>
          </cell>
        </row>
        <row r="102">
          <cell r="B102">
            <v>25000000000099</v>
          </cell>
          <cell r="C102" t="str">
            <v>Deni Setiawan</v>
          </cell>
        </row>
        <row r="103">
          <cell r="B103">
            <v>25000000000100</v>
          </cell>
          <cell r="C103" t="str">
            <v>Deny Adi Purnama</v>
          </cell>
        </row>
        <row r="104">
          <cell r="B104">
            <v>25000000000101</v>
          </cell>
          <cell r="C104" t="str">
            <v>Desi Herawati</v>
          </cell>
        </row>
        <row r="105">
          <cell r="B105">
            <v>25000000000102</v>
          </cell>
          <cell r="C105" t="str">
            <v>Desi Setiowati</v>
          </cell>
        </row>
        <row r="106">
          <cell r="B106">
            <v>25000000000103</v>
          </cell>
          <cell r="C106" t="str">
            <v>Dian Firdaus</v>
          </cell>
        </row>
        <row r="107">
          <cell r="B107">
            <v>25000000000104</v>
          </cell>
          <cell r="C107" t="str">
            <v>Dian Hariyana</v>
          </cell>
        </row>
        <row r="108">
          <cell r="B108">
            <v>25000000000105</v>
          </cell>
          <cell r="C108" t="str">
            <v>Dinnar Budiarti</v>
          </cell>
        </row>
        <row r="109">
          <cell r="B109">
            <v>25000000000106</v>
          </cell>
          <cell r="C109" t="str">
            <v>Dionesius Sostenist Duka</v>
          </cell>
        </row>
        <row r="110">
          <cell r="B110">
            <v>25000000000107</v>
          </cell>
          <cell r="C110" t="str">
            <v>Diyah Martina</v>
          </cell>
        </row>
        <row r="111">
          <cell r="B111">
            <v>25000000000108</v>
          </cell>
          <cell r="C111" t="str">
            <v>Djuang Tampubolon</v>
          </cell>
        </row>
        <row r="112">
          <cell r="B112">
            <v>25000000000109</v>
          </cell>
          <cell r="C112" t="str">
            <v>Dodit Widiarto</v>
          </cell>
        </row>
        <row r="113">
          <cell r="B113">
            <v>25000000000110</v>
          </cell>
          <cell r="C113" t="str">
            <v>Dony Darmawan</v>
          </cell>
        </row>
        <row r="114">
          <cell r="B114">
            <v>25000000000111</v>
          </cell>
          <cell r="C114" t="str">
            <v>Dony Setiawan</v>
          </cell>
        </row>
        <row r="115">
          <cell r="B115">
            <v>25000000000112</v>
          </cell>
          <cell r="C115" t="str">
            <v>Dudi Rustandi</v>
          </cell>
        </row>
        <row r="116">
          <cell r="B116">
            <v>25000000000113</v>
          </cell>
          <cell r="C116" t="str">
            <v>Dudung</v>
          </cell>
        </row>
        <row r="117">
          <cell r="B117">
            <v>25000000000114</v>
          </cell>
          <cell r="C117" t="str">
            <v>Dwi Joko Setio Tjaroko</v>
          </cell>
        </row>
        <row r="118">
          <cell r="B118">
            <v>25000000000115</v>
          </cell>
          <cell r="C118" t="str">
            <v>Dwinanto Prabowo</v>
          </cell>
        </row>
        <row r="119">
          <cell r="B119">
            <v>25000000000116</v>
          </cell>
          <cell r="C119" t="str">
            <v>Edi Waluyo</v>
          </cell>
        </row>
        <row r="120">
          <cell r="B120">
            <v>25000000000117</v>
          </cell>
          <cell r="C120" t="str">
            <v>Edi Siswanto</v>
          </cell>
        </row>
        <row r="121">
          <cell r="B121">
            <v>25000000000118</v>
          </cell>
          <cell r="C121" t="str">
            <v>Edi Turnip</v>
          </cell>
        </row>
        <row r="122">
          <cell r="B122">
            <v>25000000000119</v>
          </cell>
          <cell r="C122" t="str">
            <v>Edy Putra Waskita</v>
          </cell>
        </row>
        <row r="123">
          <cell r="B123">
            <v>25000000000120</v>
          </cell>
          <cell r="C123" t="str">
            <v>Edy Syahputra Situmeang</v>
          </cell>
        </row>
        <row r="124">
          <cell r="B124">
            <v>25000000000121</v>
          </cell>
          <cell r="C124" t="str">
            <v>Effendi fendi</v>
          </cell>
        </row>
        <row r="125">
          <cell r="B125">
            <v>25000000000122</v>
          </cell>
          <cell r="C125" t="str">
            <v>Efrina Dwililia</v>
          </cell>
        </row>
        <row r="126">
          <cell r="B126">
            <v>25000000000123</v>
          </cell>
          <cell r="C126" t="str">
            <v>Eka Bagus Dwi Putra</v>
          </cell>
        </row>
        <row r="127">
          <cell r="B127">
            <v>25000000000124</v>
          </cell>
          <cell r="C127" t="str">
            <v>Eka Hamidah</v>
          </cell>
        </row>
        <row r="128">
          <cell r="B128">
            <v>25000000000125</v>
          </cell>
          <cell r="C128" t="str">
            <v>Eka Purwanti</v>
          </cell>
        </row>
        <row r="129">
          <cell r="B129">
            <v>25000000000126</v>
          </cell>
          <cell r="C129" t="str">
            <v>Eka Kurniawan Hidayatullah</v>
          </cell>
        </row>
        <row r="130">
          <cell r="B130">
            <v>25000000000127</v>
          </cell>
          <cell r="C130" t="str">
            <v>Eko Laksono</v>
          </cell>
        </row>
        <row r="131">
          <cell r="B131">
            <v>25000000000128</v>
          </cell>
          <cell r="C131" t="str">
            <v>Eko Syambudi</v>
          </cell>
        </row>
        <row r="132">
          <cell r="B132">
            <v>25000000000129</v>
          </cell>
          <cell r="C132" t="str">
            <v>Elieser Ferdy P.</v>
          </cell>
        </row>
        <row r="133">
          <cell r="B133">
            <v>25000000000130</v>
          </cell>
          <cell r="C133" t="str">
            <v>Elisa</v>
          </cell>
        </row>
        <row r="134">
          <cell r="B134">
            <v>25000000000131</v>
          </cell>
          <cell r="C134" t="str">
            <v>Elsa Jayanti</v>
          </cell>
        </row>
        <row r="135">
          <cell r="B135">
            <v>25000000000132</v>
          </cell>
          <cell r="C135" t="str">
            <v>Elsa Mardian</v>
          </cell>
        </row>
        <row r="136">
          <cell r="B136">
            <v>25000000000133</v>
          </cell>
          <cell r="C136" t="str">
            <v>Emir Paranita Nasution</v>
          </cell>
        </row>
        <row r="137">
          <cell r="B137">
            <v>25000000000134</v>
          </cell>
          <cell r="C137" t="str">
            <v>Enceng Hemawan</v>
          </cell>
        </row>
        <row r="138">
          <cell r="B138">
            <v>25000000000135</v>
          </cell>
          <cell r="C138" t="str">
            <v>Endang</v>
          </cell>
        </row>
        <row r="139">
          <cell r="B139">
            <v>25000000000136</v>
          </cell>
          <cell r="C139" t="str">
            <v>Endang Lestari</v>
          </cell>
        </row>
        <row r="140">
          <cell r="B140">
            <v>25000000000137</v>
          </cell>
          <cell r="C140" t="str">
            <v>Endang Sobari</v>
          </cell>
        </row>
        <row r="141">
          <cell r="B141">
            <v>25000000000138</v>
          </cell>
          <cell r="C141" t="str">
            <v>Endang Sutrisna</v>
          </cell>
        </row>
        <row r="142">
          <cell r="B142">
            <v>25000000000139</v>
          </cell>
          <cell r="C142" t="str">
            <v>Erfananda Rasyid</v>
          </cell>
        </row>
        <row r="143">
          <cell r="B143">
            <v>25000000000140</v>
          </cell>
          <cell r="C143" t="str">
            <v>Ernawati</v>
          </cell>
        </row>
        <row r="144">
          <cell r="B144">
            <v>25000000000141</v>
          </cell>
          <cell r="C144" t="str">
            <v>Erwin Firmansyah</v>
          </cell>
        </row>
        <row r="145">
          <cell r="B145">
            <v>25000000000142</v>
          </cell>
          <cell r="C145" t="str">
            <v>Erwin Said</v>
          </cell>
        </row>
        <row r="146">
          <cell r="B146">
            <v>25000000000143</v>
          </cell>
          <cell r="C146" t="str">
            <v>Esa Annahar</v>
          </cell>
        </row>
        <row r="147">
          <cell r="B147">
            <v>25000000000144</v>
          </cell>
          <cell r="C147" t="str">
            <v>Faiz Horifal</v>
          </cell>
        </row>
        <row r="148">
          <cell r="B148">
            <v>25000000000145</v>
          </cell>
          <cell r="C148" t="str">
            <v>Fani Dwi Astutik</v>
          </cell>
        </row>
        <row r="149">
          <cell r="B149">
            <v>25000000000146</v>
          </cell>
          <cell r="C149" t="str">
            <v>Fardi Nauli R</v>
          </cell>
        </row>
        <row r="150">
          <cell r="B150">
            <v>25000000000147</v>
          </cell>
          <cell r="C150" t="str">
            <v>Farekh Huzair</v>
          </cell>
        </row>
        <row r="151">
          <cell r="B151">
            <v>25000000000148</v>
          </cell>
          <cell r="C151" t="str">
            <v>Farhana</v>
          </cell>
        </row>
        <row r="152">
          <cell r="B152">
            <v>25000000000149</v>
          </cell>
          <cell r="C152" t="str">
            <v>Febriyanto Ahdiat</v>
          </cell>
        </row>
        <row r="153">
          <cell r="B153">
            <v>25000000000150</v>
          </cell>
          <cell r="C153" t="str">
            <v>Febryan Mahsyar</v>
          </cell>
        </row>
        <row r="154">
          <cell r="B154">
            <v>25000000000151</v>
          </cell>
          <cell r="C154" t="str">
            <v>Felpy</v>
          </cell>
        </row>
        <row r="155">
          <cell r="B155">
            <v>25000000000152</v>
          </cell>
          <cell r="C155" t="str">
            <v>Feri Priyanto</v>
          </cell>
        </row>
        <row r="156">
          <cell r="B156">
            <v>25000000000153</v>
          </cell>
          <cell r="C156" t="str">
            <v>Ferry P Simanjuntak</v>
          </cell>
        </row>
        <row r="157">
          <cell r="B157">
            <v>25000000000154</v>
          </cell>
          <cell r="C157" t="str">
            <v>Fikri</v>
          </cell>
        </row>
        <row r="158">
          <cell r="B158">
            <v>25000000000155</v>
          </cell>
          <cell r="C158" t="str">
            <v>M. Fikri Caesarandi Hasibuan</v>
          </cell>
        </row>
        <row r="159">
          <cell r="B159">
            <v>25000000000156</v>
          </cell>
          <cell r="C159" t="str">
            <v>Firman Akbar</v>
          </cell>
        </row>
        <row r="160">
          <cell r="B160">
            <v>25000000000157</v>
          </cell>
          <cell r="C160" t="str">
            <v>Fitriastuti Kurnia</v>
          </cell>
        </row>
        <row r="161">
          <cell r="B161">
            <v>25000000000158</v>
          </cell>
          <cell r="C161" t="str">
            <v>Francis Imanuel</v>
          </cell>
        </row>
        <row r="162">
          <cell r="B162">
            <v>25000000000159</v>
          </cell>
          <cell r="C162" t="str">
            <v>Frando Judi Siahaan</v>
          </cell>
        </row>
        <row r="163">
          <cell r="B163">
            <v>25000000000160</v>
          </cell>
          <cell r="C163" t="str">
            <v>Frederika Intan</v>
          </cell>
        </row>
        <row r="164">
          <cell r="B164">
            <v>25000000000161</v>
          </cell>
          <cell r="C164" t="str">
            <v>Fuad Febrian</v>
          </cell>
        </row>
        <row r="165">
          <cell r="B165">
            <v>25000000000162</v>
          </cell>
          <cell r="C165" t="str">
            <v>Wiyadianto</v>
          </cell>
        </row>
        <row r="166">
          <cell r="B166">
            <v>25000000000163</v>
          </cell>
          <cell r="C166" t="str">
            <v>Galuh Swastika</v>
          </cell>
        </row>
        <row r="167">
          <cell r="B167">
            <v>25000000000164</v>
          </cell>
          <cell r="C167" t="str">
            <v>Ganda Yuharis R.</v>
          </cell>
        </row>
        <row r="168">
          <cell r="B168">
            <v>25000000000165</v>
          </cell>
          <cell r="C168" t="str">
            <v>Gatot Harsono</v>
          </cell>
        </row>
        <row r="169">
          <cell r="B169">
            <v>25000000000166</v>
          </cell>
          <cell r="C169" t="str">
            <v>Gina Septa</v>
          </cell>
        </row>
        <row r="170">
          <cell r="B170">
            <v>25000000000167</v>
          </cell>
          <cell r="C170" t="str">
            <v>Grace Kurniawan</v>
          </cell>
        </row>
        <row r="171">
          <cell r="B171">
            <v>25000000000168</v>
          </cell>
          <cell r="C171" t="str">
            <v>Gunawan</v>
          </cell>
        </row>
        <row r="172">
          <cell r="B172">
            <v>25000000000169</v>
          </cell>
          <cell r="C172" t="str">
            <v>Gustia Rakhmanita</v>
          </cell>
        </row>
        <row r="173">
          <cell r="B173">
            <v>25000000000170</v>
          </cell>
          <cell r="C173" t="str">
            <v>Habib Abdullah</v>
          </cell>
        </row>
        <row r="174">
          <cell r="B174">
            <v>25000000000171</v>
          </cell>
          <cell r="C174" t="str">
            <v>Hadi Kasmuri</v>
          </cell>
        </row>
        <row r="175">
          <cell r="B175">
            <v>25000000000172</v>
          </cell>
          <cell r="C175" t="str">
            <v>Haikal</v>
          </cell>
        </row>
        <row r="176">
          <cell r="B176">
            <v>25000000000173</v>
          </cell>
          <cell r="C176" t="str">
            <v>Hanantowiryo Tamtama</v>
          </cell>
        </row>
        <row r="177">
          <cell r="B177">
            <v>25000000000174</v>
          </cell>
          <cell r="C177" t="str">
            <v>Handoko</v>
          </cell>
        </row>
        <row r="178">
          <cell r="B178">
            <v>25000000000175</v>
          </cell>
          <cell r="C178" t="str">
            <v>Hanif Ashari</v>
          </cell>
        </row>
        <row r="179">
          <cell r="B179">
            <v>25000000000176</v>
          </cell>
          <cell r="C179" t="str">
            <v>Hanif Eko Saputro</v>
          </cell>
        </row>
        <row r="180">
          <cell r="B180">
            <v>25000000000177</v>
          </cell>
          <cell r="C180" t="str">
            <v>Hardianto</v>
          </cell>
        </row>
        <row r="181">
          <cell r="B181">
            <v>25000000000178</v>
          </cell>
          <cell r="C181" t="str">
            <v>Harlen Amudi Purba</v>
          </cell>
        </row>
        <row r="182">
          <cell r="B182">
            <v>25000000000179</v>
          </cell>
          <cell r="C182" t="str">
            <v>Harry Isnaeni</v>
          </cell>
        </row>
        <row r="183">
          <cell r="B183">
            <v>25000000000180</v>
          </cell>
          <cell r="C183" t="str">
            <v>Hasan Gani</v>
          </cell>
        </row>
        <row r="184">
          <cell r="B184">
            <v>25000000000181</v>
          </cell>
          <cell r="C184" t="str">
            <v>Hasrul</v>
          </cell>
        </row>
        <row r="185">
          <cell r="B185">
            <v>25000000000182</v>
          </cell>
          <cell r="C185" t="str">
            <v>Hendar Pambudi</v>
          </cell>
        </row>
        <row r="186">
          <cell r="B186">
            <v>25000000000183</v>
          </cell>
          <cell r="C186" t="str">
            <v>Hendri Kustian</v>
          </cell>
        </row>
        <row r="187">
          <cell r="B187">
            <v>25000000000184</v>
          </cell>
          <cell r="C187" t="str">
            <v>Hendrik</v>
          </cell>
        </row>
        <row r="188">
          <cell r="B188">
            <v>25000000000185</v>
          </cell>
          <cell r="C188" t="str">
            <v>Herdi Yulia Rohmana</v>
          </cell>
        </row>
        <row r="189">
          <cell r="B189">
            <v>25000000000186</v>
          </cell>
          <cell r="C189" t="str">
            <v>Heri Susanto</v>
          </cell>
        </row>
        <row r="190">
          <cell r="B190">
            <v>25000000000187</v>
          </cell>
          <cell r="C190" t="str">
            <v>Herlin Juli Asri</v>
          </cell>
        </row>
        <row r="191">
          <cell r="B191">
            <v>25000000000188</v>
          </cell>
          <cell r="C191" t="str">
            <v>Herman Budoyo</v>
          </cell>
        </row>
        <row r="192">
          <cell r="B192">
            <v>25000000000189</v>
          </cell>
          <cell r="C192" t="str">
            <v>Herni Yuliati</v>
          </cell>
        </row>
        <row r="193">
          <cell r="B193">
            <v>25000000000190</v>
          </cell>
          <cell r="C193" t="str">
            <v>Hernita Dwi</v>
          </cell>
        </row>
        <row r="194">
          <cell r="B194">
            <v>25000000000191</v>
          </cell>
          <cell r="C194" t="str">
            <v>Herri Setyawan</v>
          </cell>
        </row>
        <row r="195">
          <cell r="B195">
            <v>25000000000192</v>
          </cell>
          <cell r="C195" t="str">
            <v>Heru Sugiri</v>
          </cell>
        </row>
        <row r="196">
          <cell r="B196">
            <v>25000000000193</v>
          </cell>
          <cell r="C196" t="str">
            <v>Hervian Bagus Saputra</v>
          </cell>
        </row>
        <row r="197">
          <cell r="B197">
            <v>25000000000194</v>
          </cell>
          <cell r="C197" t="str">
            <v>H.R. Marlina S. T. R.</v>
          </cell>
        </row>
        <row r="198">
          <cell r="B198">
            <v>25000000000195</v>
          </cell>
          <cell r="C198" t="str">
            <v>Ibrahim Soukani</v>
          </cell>
        </row>
        <row r="199">
          <cell r="B199">
            <v>25000000000196</v>
          </cell>
          <cell r="C199" t="str">
            <v>Icha Mailinda Syamsoedin</v>
          </cell>
        </row>
        <row r="200">
          <cell r="B200">
            <v>25000000000197</v>
          </cell>
          <cell r="C200" t="str">
            <v>Ichsanudin</v>
          </cell>
        </row>
        <row r="201">
          <cell r="B201">
            <v>25000000000198</v>
          </cell>
          <cell r="C201" t="str">
            <v>Ida Tri Wulaningsih</v>
          </cell>
        </row>
        <row r="202">
          <cell r="B202">
            <v>25000000000199</v>
          </cell>
          <cell r="C202" t="str">
            <v>Idham</v>
          </cell>
        </row>
        <row r="203">
          <cell r="B203">
            <v>25000000000200</v>
          </cell>
          <cell r="C203" t="str">
            <v>Idham Nasution</v>
          </cell>
        </row>
        <row r="204">
          <cell r="B204">
            <v>25000000000201</v>
          </cell>
          <cell r="C204" t="str">
            <v>Idian</v>
          </cell>
        </row>
        <row r="205">
          <cell r="B205">
            <v>25000000000202</v>
          </cell>
          <cell r="C205" t="str">
            <v>Ikun M. Soedrajat</v>
          </cell>
        </row>
        <row r="206">
          <cell r="B206">
            <v>25000000000203</v>
          </cell>
          <cell r="C206" t="str">
            <v>Ilham Arisyandy</v>
          </cell>
        </row>
        <row r="207">
          <cell r="B207">
            <v>25000000000204</v>
          </cell>
          <cell r="C207" t="str">
            <v>Ilham Akbar</v>
          </cell>
        </row>
        <row r="208">
          <cell r="B208">
            <v>25000000000205</v>
          </cell>
          <cell r="C208" t="str">
            <v>Imam Basuki</v>
          </cell>
        </row>
        <row r="209">
          <cell r="B209">
            <v>25000000000206</v>
          </cell>
          <cell r="C209" t="str">
            <v>Imam Mustofa</v>
          </cell>
        </row>
        <row r="210">
          <cell r="B210">
            <v>25000000000207</v>
          </cell>
          <cell r="C210" t="str">
            <v>Imam Safiiy</v>
          </cell>
        </row>
        <row r="211">
          <cell r="B211">
            <v>25000000000208</v>
          </cell>
          <cell r="C211" t="str">
            <v>Iman Hakiki</v>
          </cell>
        </row>
        <row r="212">
          <cell r="B212">
            <v>25000000000209</v>
          </cell>
          <cell r="C212" t="str">
            <v>Imelda Claudia</v>
          </cell>
        </row>
        <row r="213">
          <cell r="B213">
            <v>25000000000210</v>
          </cell>
          <cell r="C213" t="str">
            <v>Indawan Haryadi</v>
          </cell>
        </row>
        <row r="214">
          <cell r="B214">
            <v>25000000000211</v>
          </cell>
          <cell r="C214" t="str">
            <v>Indra Jaya</v>
          </cell>
        </row>
        <row r="215">
          <cell r="B215">
            <v>25000000000212</v>
          </cell>
          <cell r="C215" t="str">
            <v>Indra Muchtar</v>
          </cell>
        </row>
        <row r="216">
          <cell r="B216">
            <v>25000000000213</v>
          </cell>
          <cell r="C216" t="str">
            <v>Irvan</v>
          </cell>
        </row>
        <row r="217">
          <cell r="B217">
            <v>25000000000214</v>
          </cell>
          <cell r="C217" t="str">
            <v>Irvan Agus Dharma Eka Putra</v>
          </cell>
        </row>
        <row r="218">
          <cell r="B218">
            <v>25000000000215</v>
          </cell>
          <cell r="C218" t="str">
            <v>Irwan</v>
          </cell>
        </row>
        <row r="219">
          <cell r="B219">
            <v>25000000000216</v>
          </cell>
          <cell r="C219" t="str">
            <v>Isa Anshori</v>
          </cell>
        </row>
        <row r="220">
          <cell r="B220">
            <v>25000000000217</v>
          </cell>
          <cell r="C220" t="str">
            <v>Isa Taufiq</v>
          </cell>
        </row>
        <row r="221">
          <cell r="B221">
            <v>25000000000218</v>
          </cell>
          <cell r="C221" t="str">
            <v>Iskandarsyah</v>
          </cell>
        </row>
        <row r="222">
          <cell r="B222">
            <v>25000000000219</v>
          </cell>
          <cell r="C222" t="str">
            <v>Istanto Istanto</v>
          </cell>
        </row>
        <row r="223">
          <cell r="B223">
            <v>25000000000220</v>
          </cell>
          <cell r="C223" t="str">
            <v>Iswahyuni</v>
          </cell>
        </row>
        <row r="224">
          <cell r="B224">
            <v>25000000000221</v>
          </cell>
          <cell r="C224" t="str">
            <v>Iva Nurvahayati</v>
          </cell>
        </row>
        <row r="225">
          <cell r="B225">
            <v>25000000000222</v>
          </cell>
          <cell r="C225" t="str">
            <v>Iwan Setiawan</v>
          </cell>
        </row>
        <row r="226">
          <cell r="B226">
            <v>25000000000223</v>
          </cell>
          <cell r="C226" t="str">
            <v>Iwan Sumantri</v>
          </cell>
        </row>
        <row r="227">
          <cell r="B227">
            <v>25000000000224</v>
          </cell>
          <cell r="C227" t="str">
            <v>Iwan Wibawa</v>
          </cell>
        </row>
        <row r="228">
          <cell r="B228">
            <v>25000000000225</v>
          </cell>
          <cell r="C228" t="str">
            <v>Iyus Darwin</v>
          </cell>
        </row>
        <row r="229">
          <cell r="B229">
            <v>25000000000226</v>
          </cell>
          <cell r="C229" t="str">
            <v>Jaenudin</v>
          </cell>
        </row>
        <row r="230">
          <cell r="B230">
            <v>25000000000227</v>
          </cell>
          <cell r="C230" t="str">
            <v>Jaruli Samosir</v>
          </cell>
        </row>
        <row r="231">
          <cell r="B231">
            <v>25000000000228</v>
          </cell>
          <cell r="C231" t="str">
            <v>Jaya Ganef</v>
          </cell>
        </row>
        <row r="232">
          <cell r="B232">
            <v>25000000000229</v>
          </cell>
          <cell r="C232" t="str">
            <v>Jaya Sitepu</v>
          </cell>
        </row>
        <row r="233">
          <cell r="B233">
            <v>25000000000230</v>
          </cell>
          <cell r="C233" t="str">
            <v>Jeefrianda H. P. Sigalingging</v>
          </cell>
        </row>
        <row r="234">
          <cell r="B234">
            <v>25000000000231</v>
          </cell>
          <cell r="C234" t="str">
            <v>Jerry Djajasaputra</v>
          </cell>
        </row>
        <row r="235">
          <cell r="B235">
            <v>25000000000232</v>
          </cell>
          <cell r="C235" t="str">
            <v>Jimmywal</v>
          </cell>
        </row>
        <row r="236">
          <cell r="B236">
            <v>25000000000233</v>
          </cell>
          <cell r="C236" t="str">
            <v>Jodie Satria</v>
          </cell>
        </row>
        <row r="237">
          <cell r="B237">
            <v>25000000000234</v>
          </cell>
          <cell r="C237" t="str">
            <v>Johannes Silalahi</v>
          </cell>
        </row>
        <row r="238">
          <cell r="B238">
            <v>25000000000235</v>
          </cell>
          <cell r="C238" t="str">
            <v>Joko Wiyono</v>
          </cell>
        </row>
        <row r="239">
          <cell r="B239">
            <v>25000000000236</v>
          </cell>
          <cell r="C239" t="str">
            <v>Jondril Hantoni</v>
          </cell>
        </row>
        <row r="240">
          <cell r="B240">
            <v>25000000000237</v>
          </cell>
          <cell r="C240" t="str">
            <v>Jonhar Aziz</v>
          </cell>
        </row>
        <row r="241">
          <cell r="B241">
            <v>25000000000238</v>
          </cell>
          <cell r="C241" t="str">
            <v>Juan Talitha</v>
          </cell>
        </row>
        <row r="242">
          <cell r="B242">
            <v>25000000000239</v>
          </cell>
          <cell r="C242" t="str">
            <v>Juharja Juharja</v>
          </cell>
        </row>
        <row r="243">
          <cell r="B243">
            <v>25000000000240</v>
          </cell>
          <cell r="C243" t="str">
            <v>Juminar</v>
          </cell>
        </row>
        <row r="244">
          <cell r="B244">
            <v>25000000000241</v>
          </cell>
          <cell r="C244" t="str">
            <v>Jumino</v>
          </cell>
        </row>
        <row r="245">
          <cell r="B245">
            <v>25000000000242</v>
          </cell>
          <cell r="C245" t="str">
            <v>Junaedi</v>
          </cell>
        </row>
        <row r="246">
          <cell r="B246">
            <v>25000000000243</v>
          </cell>
          <cell r="C246" t="str">
            <v>Junaidi</v>
          </cell>
        </row>
        <row r="247">
          <cell r="B247">
            <v>25000000000244</v>
          </cell>
          <cell r="C247" t="str">
            <v>Jusuf Bobby Putra</v>
          </cell>
        </row>
        <row r="248">
          <cell r="B248">
            <v>25000000000245</v>
          </cell>
          <cell r="C248" t="str">
            <v>Jusuf Gandi</v>
          </cell>
        </row>
        <row r="249">
          <cell r="B249">
            <v>25000000000246</v>
          </cell>
          <cell r="C249" t="str">
            <v>Kahar Triyono</v>
          </cell>
        </row>
        <row r="250">
          <cell r="B250">
            <v>25000000000247</v>
          </cell>
          <cell r="C250" t="str">
            <v>Keila</v>
          </cell>
        </row>
        <row r="251">
          <cell r="B251">
            <v>25000000000248</v>
          </cell>
          <cell r="C251" t="str">
            <v>Kendra Daniswara</v>
          </cell>
        </row>
        <row r="252">
          <cell r="B252">
            <v>25000000000249</v>
          </cell>
          <cell r="C252" t="str">
            <v>Kevin Henokh Tambunan</v>
          </cell>
        </row>
        <row r="253">
          <cell r="B253">
            <v>25000000000250</v>
          </cell>
          <cell r="C253" t="str">
            <v>Khafid Fahrurrozi</v>
          </cell>
        </row>
        <row r="254">
          <cell r="B254">
            <v>25000000000251</v>
          </cell>
          <cell r="C254" t="str">
            <v>Kholik</v>
          </cell>
        </row>
        <row r="255">
          <cell r="B255">
            <v>25000000000252</v>
          </cell>
          <cell r="C255" t="str">
            <v>Kiki Mustikawati</v>
          </cell>
        </row>
        <row r="256">
          <cell r="B256">
            <v>25000000000253</v>
          </cell>
          <cell r="C256" t="str">
            <v>Kornelius Sakan</v>
          </cell>
        </row>
        <row r="257">
          <cell r="B257">
            <v>25000000000254</v>
          </cell>
          <cell r="C257" t="str">
            <v>Kosasih</v>
          </cell>
        </row>
        <row r="258">
          <cell r="B258">
            <v>25000000000255</v>
          </cell>
          <cell r="C258" t="str">
            <v>Krisnawan</v>
          </cell>
        </row>
        <row r="259">
          <cell r="B259">
            <v>25000000000256</v>
          </cell>
          <cell r="C259" t="str">
            <v>Kurniadi</v>
          </cell>
        </row>
        <row r="260">
          <cell r="B260">
            <v>25000000000257</v>
          </cell>
          <cell r="C260" t="str">
            <v>Kurniawan</v>
          </cell>
        </row>
        <row r="261">
          <cell r="B261">
            <v>25000000000258</v>
          </cell>
          <cell r="C261" t="str">
            <v>Laode</v>
          </cell>
        </row>
        <row r="262">
          <cell r="B262">
            <v>25000000000259</v>
          </cell>
          <cell r="C262" t="str">
            <v>Leo Nababan</v>
          </cell>
        </row>
        <row r="263">
          <cell r="B263">
            <v>25000000000260</v>
          </cell>
          <cell r="C263" t="str">
            <v>Liani Atmaningrum</v>
          </cell>
        </row>
        <row r="264">
          <cell r="B264">
            <v>25000000000261</v>
          </cell>
          <cell r="C264" t="str">
            <v>Liaseptriani Liaseptriani</v>
          </cell>
        </row>
        <row r="265">
          <cell r="B265">
            <v>25000000000262</v>
          </cell>
          <cell r="C265" t="str">
            <v>Lisma Natalia</v>
          </cell>
        </row>
        <row r="266">
          <cell r="B266">
            <v>25000000000263</v>
          </cell>
          <cell r="C266" t="str">
            <v>Listyo Hartanto</v>
          </cell>
        </row>
        <row r="267">
          <cell r="B267">
            <v>25000000000264</v>
          </cell>
          <cell r="C267" t="str">
            <v>M. Ari Ardizah Nasution</v>
          </cell>
        </row>
        <row r="268">
          <cell r="B268">
            <v>25000000000265</v>
          </cell>
          <cell r="C268" t="str">
            <v>M. Denny  Micrazudin</v>
          </cell>
        </row>
        <row r="269">
          <cell r="B269">
            <v>25000000000266</v>
          </cell>
          <cell r="C269" t="str">
            <v>M. Ridho Pramudia</v>
          </cell>
        </row>
        <row r="270">
          <cell r="B270">
            <v>25000000000267</v>
          </cell>
          <cell r="C270" t="str">
            <v>M. Rusdi</v>
          </cell>
        </row>
        <row r="271">
          <cell r="B271">
            <v>25000000000268</v>
          </cell>
          <cell r="C271" t="str">
            <v>M. Ervan Isyawal Akbar</v>
          </cell>
        </row>
        <row r="272">
          <cell r="B272">
            <v>25000000000269</v>
          </cell>
          <cell r="C272" t="str">
            <v>Maharani Tanjungsari</v>
          </cell>
        </row>
        <row r="273">
          <cell r="B273">
            <v>25000000000270</v>
          </cell>
          <cell r="C273" t="str">
            <v>Maharani Uthmaniah</v>
          </cell>
        </row>
        <row r="274">
          <cell r="B274">
            <v>25000000000271</v>
          </cell>
          <cell r="C274" t="str">
            <v>Manotar Tamba</v>
          </cell>
        </row>
        <row r="275">
          <cell r="B275">
            <v>25000000000272</v>
          </cell>
          <cell r="C275" t="str">
            <v>Maradona Manurung</v>
          </cell>
        </row>
        <row r="276">
          <cell r="B276">
            <v>25000000000273</v>
          </cell>
          <cell r="C276" t="str">
            <v>Pantas Banjarnahor Marbun</v>
          </cell>
        </row>
        <row r="277">
          <cell r="B277">
            <v>25000000000274</v>
          </cell>
          <cell r="C277" t="str">
            <v>Marcella Avia Ramadhinaningrum</v>
          </cell>
        </row>
        <row r="278">
          <cell r="B278">
            <v>25000000000275</v>
          </cell>
          <cell r="C278" t="str">
            <v>Marissa Watak</v>
          </cell>
        </row>
        <row r="279">
          <cell r="B279">
            <v>25000000000276</v>
          </cell>
          <cell r="C279" t="str">
            <v>Marten Tabun</v>
          </cell>
        </row>
        <row r="280">
          <cell r="B280">
            <v>25000000000277</v>
          </cell>
          <cell r="C280" t="str">
            <v>Martimbul Rahman</v>
          </cell>
        </row>
        <row r="281">
          <cell r="B281">
            <v>25000000000278</v>
          </cell>
          <cell r="C281" t="str">
            <v>T. Marungkil U. S. Sagala</v>
          </cell>
        </row>
        <row r="282">
          <cell r="B282">
            <v>25000000000279</v>
          </cell>
          <cell r="C282" t="str">
            <v>Marzuki</v>
          </cell>
        </row>
        <row r="283">
          <cell r="B283">
            <v>25000000000280</v>
          </cell>
          <cell r="C283" t="str">
            <v>Mashuri Mashuri</v>
          </cell>
        </row>
        <row r="284">
          <cell r="B284">
            <v>25000000000281</v>
          </cell>
          <cell r="C284" t="str">
            <v>Mat Soleh</v>
          </cell>
        </row>
        <row r="285">
          <cell r="B285">
            <v>25000000000282</v>
          </cell>
          <cell r="C285" t="str">
            <v>Mhd Syahputra</v>
          </cell>
        </row>
        <row r="286">
          <cell r="B286">
            <v>25000000000283</v>
          </cell>
          <cell r="C286" t="str">
            <v>Mia Puspitasari</v>
          </cell>
        </row>
        <row r="287">
          <cell r="B287">
            <v>25000000000284</v>
          </cell>
          <cell r="C287" t="str">
            <v>Midin Ena</v>
          </cell>
        </row>
        <row r="288">
          <cell r="B288">
            <v>25000000000285</v>
          </cell>
          <cell r="C288" t="str">
            <v>Miftakhul Muzakky</v>
          </cell>
        </row>
        <row r="289">
          <cell r="B289">
            <v>25000000000286</v>
          </cell>
          <cell r="C289" t="str">
            <v>Mista</v>
          </cell>
        </row>
        <row r="290">
          <cell r="B290">
            <v>25000000000287</v>
          </cell>
          <cell r="C290" t="str">
            <v>Mochamad Samman</v>
          </cell>
        </row>
        <row r="291">
          <cell r="B291">
            <v>25000000000288</v>
          </cell>
          <cell r="C291" t="str">
            <v>Moh. Afif</v>
          </cell>
        </row>
        <row r="292">
          <cell r="B292">
            <v>25000000000289</v>
          </cell>
          <cell r="C292" t="str">
            <v>Mohammad Arman Tompo</v>
          </cell>
        </row>
        <row r="293">
          <cell r="B293">
            <v>25000000000290</v>
          </cell>
          <cell r="C293" t="str">
            <v>Mohd. Elfan Pratama</v>
          </cell>
        </row>
        <row r="294">
          <cell r="B294">
            <v>25000000000291</v>
          </cell>
          <cell r="C294" t="str">
            <v>Monang Simarmata</v>
          </cell>
        </row>
        <row r="295">
          <cell r="B295">
            <v>25000000000292</v>
          </cell>
          <cell r="C295" t="str">
            <v>Moritz Thomsen Marbun</v>
          </cell>
        </row>
        <row r="296">
          <cell r="B296">
            <v>25000000000293</v>
          </cell>
          <cell r="C296" t="str">
            <v>Muhamad Hamdan Rifai</v>
          </cell>
        </row>
        <row r="297">
          <cell r="B297">
            <v>25000000000294</v>
          </cell>
          <cell r="C297" t="str">
            <v>Muhamad Ikhsan</v>
          </cell>
        </row>
        <row r="298">
          <cell r="B298">
            <v>25000000000295</v>
          </cell>
          <cell r="C298" t="str">
            <v>Muhamad Nurhamsach</v>
          </cell>
        </row>
        <row r="299">
          <cell r="B299">
            <v>25000000000296</v>
          </cell>
          <cell r="C299" t="str">
            <v>Muhammad Ardiansyah</v>
          </cell>
        </row>
        <row r="300">
          <cell r="B300">
            <v>25000000000297</v>
          </cell>
          <cell r="C300" t="str">
            <v>Muhammad Khadafy</v>
          </cell>
        </row>
        <row r="301">
          <cell r="B301">
            <v>25000000000298</v>
          </cell>
          <cell r="C301" t="str">
            <v>Muhammad Taufan</v>
          </cell>
        </row>
        <row r="302">
          <cell r="B302">
            <v>25000000000299</v>
          </cell>
          <cell r="C302" t="str">
            <v>Muklis</v>
          </cell>
        </row>
        <row r="303">
          <cell r="B303">
            <v>25000000000300</v>
          </cell>
          <cell r="C303" t="str">
            <v>Mulia Rohanson Harahap</v>
          </cell>
        </row>
        <row r="304">
          <cell r="B304">
            <v>25000000000301</v>
          </cell>
          <cell r="C304" t="str">
            <v>Mullan Tresna</v>
          </cell>
        </row>
        <row r="305">
          <cell r="B305">
            <v>25000000000302</v>
          </cell>
          <cell r="C305" t="str">
            <v>Mulyadi</v>
          </cell>
        </row>
        <row r="306">
          <cell r="B306">
            <v>25000000000303</v>
          </cell>
          <cell r="C306" t="str">
            <v>Mulyono</v>
          </cell>
        </row>
        <row r="307">
          <cell r="B307">
            <v>25000000000304</v>
          </cell>
          <cell r="C307" t="str">
            <v>Murdiansyah</v>
          </cell>
        </row>
        <row r="308">
          <cell r="B308">
            <v>25000000000305</v>
          </cell>
          <cell r="C308" t="str">
            <v>Mursalim</v>
          </cell>
        </row>
        <row r="309">
          <cell r="B309">
            <v>25000000000306</v>
          </cell>
          <cell r="C309" t="str">
            <v>Nancy Meriana Sinaga</v>
          </cell>
        </row>
        <row r="310">
          <cell r="B310">
            <v>25000000000307</v>
          </cell>
          <cell r="C310" t="str">
            <v>Nandang Effendi</v>
          </cell>
        </row>
        <row r="311">
          <cell r="B311">
            <v>25000000000308</v>
          </cell>
          <cell r="C311" t="str">
            <v>Narno</v>
          </cell>
        </row>
        <row r="312">
          <cell r="B312">
            <v>25000000000309</v>
          </cell>
          <cell r="C312" t="str">
            <v>Nasrul Anwar P.</v>
          </cell>
        </row>
        <row r="313">
          <cell r="B313">
            <v>25000000000310</v>
          </cell>
          <cell r="C313" t="str">
            <v>Nawal</v>
          </cell>
        </row>
        <row r="314">
          <cell r="B314">
            <v>25000000000311</v>
          </cell>
          <cell r="C314" t="str">
            <v>Nawir Lahamutu</v>
          </cell>
        </row>
        <row r="315">
          <cell r="B315">
            <v>25000000000312</v>
          </cell>
          <cell r="C315" t="str">
            <v>Nicky Kurnia</v>
          </cell>
        </row>
        <row r="316">
          <cell r="B316">
            <v>25000000000313</v>
          </cell>
          <cell r="C316" t="str">
            <v>Noercholis Firmansyah</v>
          </cell>
        </row>
        <row r="317">
          <cell r="B317">
            <v>25000000000314</v>
          </cell>
          <cell r="C317" t="str">
            <v>Nopitasari</v>
          </cell>
        </row>
        <row r="318">
          <cell r="B318">
            <v>25000000000315</v>
          </cell>
          <cell r="C318" t="str">
            <v>Nora Meilissa</v>
          </cell>
        </row>
        <row r="319">
          <cell r="B319">
            <v>25000000000316</v>
          </cell>
          <cell r="C319" t="str">
            <v>Novalia</v>
          </cell>
        </row>
        <row r="320">
          <cell r="B320">
            <v>25000000000317</v>
          </cell>
          <cell r="C320" t="str">
            <v>Novan Nugraha</v>
          </cell>
        </row>
        <row r="321">
          <cell r="B321">
            <v>25000000000318</v>
          </cell>
          <cell r="C321" t="str">
            <v>Nugraha</v>
          </cell>
        </row>
        <row r="322">
          <cell r="B322">
            <v>25000000000319</v>
          </cell>
          <cell r="C322" t="str">
            <v>Nugroho Putranto</v>
          </cell>
        </row>
        <row r="323">
          <cell r="B323">
            <v>25000000000320</v>
          </cell>
          <cell r="C323" t="str">
            <v>Nur Indra Sri Melati</v>
          </cell>
        </row>
        <row r="324">
          <cell r="B324">
            <v>25000000000321</v>
          </cell>
          <cell r="C324" t="str">
            <v>Nur Kusumowati</v>
          </cell>
        </row>
        <row r="325">
          <cell r="B325">
            <v>25000000000322</v>
          </cell>
          <cell r="C325" t="str">
            <v>Nurhidayat</v>
          </cell>
        </row>
        <row r="326">
          <cell r="B326">
            <v>25000000000323</v>
          </cell>
          <cell r="C326" t="str">
            <v>Otong Bustori</v>
          </cell>
        </row>
        <row r="327">
          <cell r="B327">
            <v>25000000000324</v>
          </cell>
          <cell r="C327" t="str">
            <v>Paino Suprayinto</v>
          </cell>
        </row>
        <row r="328">
          <cell r="B328">
            <v>25000000000325</v>
          </cell>
          <cell r="C328" t="str">
            <v>Panca Yudi Baskoro</v>
          </cell>
        </row>
        <row r="329">
          <cell r="B329">
            <v>25000000000326</v>
          </cell>
          <cell r="C329" t="str">
            <v>Panji Bima Santri</v>
          </cell>
        </row>
        <row r="330">
          <cell r="B330">
            <v>25000000000327</v>
          </cell>
          <cell r="C330" t="str">
            <v>Parulian Napitupulu</v>
          </cell>
        </row>
        <row r="331">
          <cell r="B331">
            <v>25000000000328</v>
          </cell>
          <cell r="C331" t="str">
            <v>Paryanto</v>
          </cell>
        </row>
        <row r="332">
          <cell r="B332">
            <v>25000000000329</v>
          </cell>
          <cell r="C332" t="str">
            <v>Pikri Hidayat</v>
          </cell>
        </row>
        <row r="333">
          <cell r="B333">
            <v>25000000000330</v>
          </cell>
          <cell r="C333" t="str">
            <v>Prayanti Dewi Anggraini</v>
          </cell>
        </row>
        <row r="334">
          <cell r="B334">
            <v>25000000000331</v>
          </cell>
          <cell r="C334" t="str">
            <v>Prayati Zai</v>
          </cell>
        </row>
        <row r="335">
          <cell r="B335">
            <v>25000000000332</v>
          </cell>
          <cell r="C335" t="str">
            <v>Pristu Andonoto</v>
          </cell>
        </row>
        <row r="336">
          <cell r="B336">
            <v>25000000000333</v>
          </cell>
          <cell r="C336" t="str">
            <v>Putra Perdana Tirtomoyo</v>
          </cell>
        </row>
        <row r="337">
          <cell r="B337">
            <v>25000000000334</v>
          </cell>
          <cell r="C337" t="str">
            <v>R. Lar Kumalaning Tresno</v>
          </cell>
        </row>
        <row r="338">
          <cell r="B338">
            <v>25000000000335</v>
          </cell>
          <cell r="C338" t="str">
            <v>Rachmad</v>
          </cell>
        </row>
        <row r="339">
          <cell r="B339">
            <v>25000000000336</v>
          </cell>
          <cell r="C339" t="str">
            <v>Radjiman</v>
          </cell>
        </row>
        <row r="340">
          <cell r="B340">
            <v>25000000000337</v>
          </cell>
          <cell r="C340" t="str">
            <v>Rafi Firman Saputra</v>
          </cell>
        </row>
        <row r="341">
          <cell r="B341">
            <v>25000000000338</v>
          </cell>
          <cell r="C341" t="str">
            <v>Rahmat Riyadi</v>
          </cell>
        </row>
        <row r="342">
          <cell r="B342">
            <v>25000000000339</v>
          </cell>
          <cell r="C342" t="str">
            <v>Rahmat Sirfano</v>
          </cell>
        </row>
        <row r="343">
          <cell r="B343">
            <v>25000000000340</v>
          </cell>
          <cell r="C343" t="str">
            <v>Rais Indra Noor</v>
          </cell>
        </row>
        <row r="344">
          <cell r="B344">
            <v>25000000000341</v>
          </cell>
          <cell r="C344" t="str">
            <v>Rakman A. Hadi</v>
          </cell>
        </row>
        <row r="345">
          <cell r="B345">
            <v>25000000000342</v>
          </cell>
          <cell r="C345" t="str">
            <v>Ramaizon</v>
          </cell>
        </row>
        <row r="346">
          <cell r="B346">
            <v>25000000000343</v>
          </cell>
          <cell r="C346" t="str">
            <v>Rangga Darmawan</v>
          </cell>
        </row>
        <row r="347">
          <cell r="B347">
            <v>25000000000344</v>
          </cell>
          <cell r="C347" t="str">
            <v>Raoli Nainggolan</v>
          </cell>
        </row>
        <row r="348">
          <cell r="B348">
            <v>25000000000345</v>
          </cell>
          <cell r="C348" t="str">
            <v>Rayan Suryadikara</v>
          </cell>
        </row>
        <row r="349">
          <cell r="B349">
            <v>25000000000346</v>
          </cell>
          <cell r="C349" t="str">
            <v>Redi Setiadi</v>
          </cell>
        </row>
        <row r="350">
          <cell r="B350">
            <v>25000000000347</v>
          </cell>
          <cell r="C350" t="str">
            <v>Redi Subekti</v>
          </cell>
        </row>
        <row r="351">
          <cell r="B351">
            <v>25000000000348</v>
          </cell>
          <cell r="C351" t="str">
            <v>Rendy Prananta Purba</v>
          </cell>
        </row>
        <row r="352">
          <cell r="B352">
            <v>25000000000349</v>
          </cell>
          <cell r="C352" t="str">
            <v>Reni Septiana</v>
          </cell>
        </row>
        <row r="353">
          <cell r="B353">
            <v>25000000000350</v>
          </cell>
          <cell r="C353" t="str">
            <v>Rere Ronggolawe</v>
          </cell>
        </row>
        <row r="354">
          <cell r="B354">
            <v>25000000000351</v>
          </cell>
          <cell r="C354" t="str">
            <v>Retnasha Gameswari</v>
          </cell>
        </row>
        <row r="355">
          <cell r="B355">
            <v>25000000000352</v>
          </cell>
          <cell r="C355" t="str">
            <v>Rhino Priawan</v>
          </cell>
        </row>
        <row r="356">
          <cell r="B356">
            <v>25000000000353</v>
          </cell>
          <cell r="C356" t="str">
            <v>Rian Yushak</v>
          </cell>
        </row>
        <row r="357">
          <cell r="B357">
            <v>25000000000354</v>
          </cell>
          <cell r="C357" t="str">
            <v>Riandi</v>
          </cell>
        </row>
        <row r="358">
          <cell r="B358">
            <v>25000000000355</v>
          </cell>
          <cell r="C358" t="str">
            <v>Ricky Samuel</v>
          </cell>
        </row>
        <row r="359">
          <cell r="B359">
            <v>25000000000356</v>
          </cell>
          <cell r="C359" t="str">
            <v>Ridwan Nurhadi</v>
          </cell>
        </row>
        <row r="360">
          <cell r="B360">
            <v>25000000000357</v>
          </cell>
          <cell r="C360" t="str">
            <v>Rifki</v>
          </cell>
        </row>
        <row r="361">
          <cell r="B361">
            <v>25000000000358</v>
          </cell>
          <cell r="C361" t="str">
            <v>Rika Ginting</v>
          </cell>
        </row>
        <row r="362">
          <cell r="B362">
            <v>25000000000359</v>
          </cell>
          <cell r="C362" t="str">
            <v>Riki Chairul Anwar</v>
          </cell>
        </row>
        <row r="363">
          <cell r="B363">
            <v>25000000000360</v>
          </cell>
          <cell r="C363" t="str">
            <v>Riki Evindra</v>
          </cell>
        </row>
        <row r="364">
          <cell r="B364">
            <v>25000000000361</v>
          </cell>
          <cell r="C364" t="str">
            <v>Rinaldi Asrin</v>
          </cell>
        </row>
        <row r="365">
          <cell r="B365">
            <v>25000000000362</v>
          </cell>
          <cell r="C365" t="str">
            <v>Rio Hakim</v>
          </cell>
        </row>
        <row r="366">
          <cell r="B366">
            <v>25000000000363</v>
          </cell>
          <cell r="C366" t="str">
            <v>Rio Martha</v>
          </cell>
        </row>
        <row r="367">
          <cell r="B367">
            <v>25000000000364</v>
          </cell>
          <cell r="C367" t="str">
            <v>Risdyanto Risdyanto</v>
          </cell>
        </row>
        <row r="368">
          <cell r="B368">
            <v>25000000000365</v>
          </cell>
          <cell r="C368" t="str">
            <v>Rizak Tri Septian</v>
          </cell>
        </row>
        <row r="369">
          <cell r="B369">
            <v>25000000000366</v>
          </cell>
          <cell r="C369" t="str">
            <v>Rizki Akbar</v>
          </cell>
        </row>
        <row r="370">
          <cell r="B370">
            <v>25000000000367</v>
          </cell>
          <cell r="C370" t="str">
            <v>Rizky Fauzy</v>
          </cell>
        </row>
        <row r="371">
          <cell r="B371">
            <v>25000000000368</v>
          </cell>
          <cell r="C371" t="str">
            <v>Rizky Reza Pradipta</v>
          </cell>
        </row>
        <row r="372">
          <cell r="B372">
            <v>25000000000369</v>
          </cell>
          <cell r="C372" t="str">
            <v>Rohendi Rohendi</v>
          </cell>
        </row>
        <row r="373">
          <cell r="B373">
            <v>25000000000370</v>
          </cell>
          <cell r="C373" t="str">
            <v>Rohmani</v>
          </cell>
        </row>
        <row r="374">
          <cell r="B374">
            <v>25000000000371</v>
          </cell>
          <cell r="C374" t="str">
            <v>Rommel Hutapea</v>
          </cell>
        </row>
        <row r="375">
          <cell r="B375">
            <v>25000000000372</v>
          </cell>
          <cell r="C375" t="str">
            <v>Roy Aditya</v>
          </cell>
        </row>
        <row r="376">
          <cell r="B376">
            <v>25000000000373</v>
          </cell>
          <cell r="C376" t="str">
            <v>Rubah</v>
          </cell>
        </row>
        <row r="377">
          <cell r="B377">
            <v>25000000000374</v>
          </cell>
          <cell r="C377" t="str">
            <v>Rudi Junaedi</v>
          </cell>
        </row>
        <row r="378">
          <cell r="B378">
            <v>25000000000375</v>
          </cell>
          <cell r="C378" t="str">
            <v>Ruswandi</v>
          </cell>
        </row>
        <row r="379">
          <cell r="B379">
            <v>25000000000376</v>
          </cell>
          <cell r="C379" t="str">
            <v>Ryan Bagus Sasminta</v>
          </cell>
        </row>
        <row r="380">
          <cell r="B380">
            <v>25000000000377</v>
          </cell>
          <cell r="C380" t="str">
            <v>Saarah Andriani</v>
          </cell>
        </row>
        <row r="381">
          <cell r="B381">
            <v>25000000000378</v>
          </cell>
          <cell r="C381" t="str">
            <v>Safira Nurbaiti</v>
          </cell>
        </row>
        <row r="382">
          <cell r="B382">
            <v>25000000000379</v>
          </cell>
          <cell r="C382" t="str">
            <v>Saifulloh</v>
          </cell>
        </row>
        <row r="383">
          <cell r="B383">
            <v>25000000000380</v>
          </cell>
          <cell r="C383" t="str">
            <v>Saifuloh</v>
          </cell>
        </row>
        <row r="384">
          <cell r="B384">
            <v>25000000000381</v>
          </cell>
          <cell r="C384" t="str">
            <v>Sakinah Tantriani Lubis</v>
          </cell>
        </row>
        <row r="385">
          <cell r="B385">
            <v>25000000000382</v>
          </cell>
          <cell r="C385" t="str">
            <v>Abdul Samad</v>
          </cell>
        </row>
        <row r="386">
          <cell r="B386">
            <v>25000000000383</v>
          </cell>
          <cell r="C386" t="str">
            <v>Samsul Hadi</v>
          </cell>
        </row>
        <row r="387">
          <cell r="B387">
            <v>25000000000384</v>
          </cell>
          <cell r="C387" t="str">
            <v>Sandika</v>
          </cell>
        </row>
        <row r="388">
          <cell r="B388">
            <v>25000000000385</v>
          </cell>
          <cell r="C388" t="str">
            <v>Sang Toga Sitompul</v>
          </cell>
        </row>
        <row r="389">
          <cell r="B389">
            <v>25000000000386</v>
          </cell>
          <cell r="C389" t="str">
            <v>Santi Dewi R. W.</v>
          </cell>
        </row>
        <row r="390">
          <cell r="B390">
            <v>25000000000387</v>
          </cell>
          <cell r="C390" t="str">
            <v>Sarah Sibarani</v>
          </cell>
        </row>
        <row r="391">
          <cell r="B391">
            <v>25000000000388</v>
          </cell>
          <cell r="C391" t="str">
            <v>Sarif Hidayatul Umah</v>
          </cell>
        </row>
        <row r="392">
          <cell r="B392">
            <v>25000000000389</v>
          </cell>
          <cell r="C392" t="str">
            <v>Satria Budi Raharja</v>
          </cell>
        </row>
        <row r="393">
          <cell r="B393">
            <v>25000000000390</v>
          </cell>
          <cell r="C393" t="str">
            <v>Saut M. P. L. Tobing</v>
          </cell>
        </row>
        <row r="394">
          <cell r="B394">
            <v>25000000000391</v>
          </cell>
          <cell r="C394" t="str">
            <v>Seftiyan Hadi Maulana</v>
          </cell>
        </row>
        <row r="395">
          <cell r="B395">
            <v>25000000000392</v>
          </cell>
          <cell r="C395" t="str">
            <v>Sena Andi Satria</v>
          </cell>
        </row>
        <row r="396">
          <cell r="B396">
            <v>25000000000393</v>
          </cell>
          <cell r="C396" t="str">
            <v>Setiadi</v>
          </cell>
        </row>
        <row r="397">
          <cell r="B397">
            <v>25000000000394</v>
          </cell>
          <cell r="C397" t="str">
            <v>Sherly Tamira</v>
          </cell>
        </row>
        <row r="398">
          <cell r="B398">
            <v>25000000000395</v>
          </cell>
          <cell r="C398" t="str">
            <v>Shihab</v>
          </cell>
        </row>
        <row r="399">
          <cell r="B399">
            <v>25000000000396</v>
          </cell>
          <cell r="C399" t="str">
            <v>Shobarin Jabar</v>
          </cell>
        </row>
        <row r="400">
          <cell r="B400">
            <v>25000000000397</v>
          </cell>
          <cell r="C400" t="str">
            <v>Sholehah</v>
          </cell>
        </row>
        <row r="401">
          <cell r="B401">
            <v>25000000000398</v>
          </cell>
          <cell r="C401" t="str">
            <v>Sigit Rudiantono</v>
          </cell>
        </row>
        <row r="402">
          <cell r="B402">
            <v>25000000000399</v>
          </cell>
          <cell r="C402" t="str">
            <v>Silvia Putri</v>
          </cell>
        </row>
        <row r="403">
          <cell r="B403">
            <v>25000000000400</v>
          </cell>
          <cell r="C403" t="str">
            <v>Simron Ronaldi Nasution</v>
          </cell>
        </row>
        <row r="404">
          <cell r="B404">
            <v>25000000000401</v>
          </cell>
          <cell r="C404" t="str">
            <v>Sinta Vera Trikawati</v>
          </cell>
        </row>
        <row r="405">
          <cell r="B405">
            <v>25000000000402</v>
          </cell>
          <cell r="C405" t="str">
            <v>Sir Muhammad Zafrulloh Khan</v>
          </cell>
        </row>
        <row r="406">
          <cell r="B406">
            <v>25000000000403</v>
          </cell>
          <cell r="C406" t="str">
            <v>Siska Marlina</v>
          </cell>
        </row>
        <row r="407">
          <cell r="B407">
            <v>25000000000404</v>
          </cell>
          <cell r="C407" t="str">
            <v>Siswanto</v>
          </cell>
        </row>
        <row r="408">
          <cell r="B408">
            <v>25000000000405</v>
          </cell>
          <cell r="C408" t="str">
            <v>Siti Mulyani</v>
          </cell>
        </row>
        <row r="409">
          <cell r="B409">
            <v>25000000000406</v>
          </cell>
          <cell r="C409" t="str">
            <v>Sjanti Devi</v>
          </cell>
        </row>
        <row r="410">
          <cell r="B410">
            <v>25000000000407</v>
          </cell>
          <cell r="C410" t="str">
            <v>Slamet Budi Setiawan</v>
          </cell>
        </row>
        <row r="411">
          <cell r="B411">
            <v>25000000000408</v>
          </cell>
          <cell r="C411" t="str">
            <v>Sofyan Maulana</v>
          </cell>
        </row>
        <row r="412">
          <cell r="B412">
            <v>25000000000409</v>
          </cell>
          <cell r="C412" t="str">
            <v>Subagio</v>
          </cell>
        </row>
        <row r="413">
          <cell r="B413">
            <v>25000000000410</v>
          </cell>
          <cell r="C413" t="str">
            <v>Suci Mardiana</v>
          </cell>
        </row>
        <row r="414">
          <cell r="B414">
            <v>25000000000411</v>
          </cell>
          <cell r="C414" t="str">
            <v>Suci Rachma Sari</v>
          </cell>
        </row>
        <row r="415">
          <cell r="B415">
            <v>25000000000412</v>
          </cell>
          <cell r="C415" t="str">
            <v>Sudarlan</v>
          </cell>
        </row>
        <row r="416">
          <cell r="B416">
            <v>25000000000413</v>
          </cell>
          <cell r="C416" t="str">
            <v>Sufie Amalia</v>
          </cell>
        </row>
        <row r="417">
          <cell r="B417">
            <v>25000000000414</v>
          </cell>
          <cell r="C417" t="str">
            <v>Sugeng Ismanto</v>
          </cell>
        </row>
        <row r="418">
          <cell r="B418">
            <v>25000000000415</v>
          </cell>
          <cell r="C418" t="str">
            <v>Sugiarto</v>
          </cell>
        </row>
        <row r="419">
          <cell r="B419">
            <v>25000000000416</v>
          </cell>
          <cell r="C419" t="str">
            <v>Sulih</v>
          </cell>
        </row>
        <row r="420">
          <cell r="B420">
            <v>25000000000417</v>
          </cell>
          <cell r="C420" t="str">
            <v>Sumadi</v>
          </cell>
        </row>
        <row r="421">
          <cell r="B421">
            <v>25000000000418</v>
          </cell>
          <cell r="C421" t="str">
            <v>Sumirat</v>
          </cell>
        </row>
        <row r="422">
          <cell r="B422">
            <v>25000000000419</v>
          </cell>
          <cell r="C422" t="str">
            <v>Sunaryati</v>
          </cell>
        </row>
        <row r="423">
          <cell r="B423">
            <v>25000000000420</v>
          </cell>
          <cell r="C423" t="str">
            <v>Supriyadi</v>
          </cell>
        </row>
        <row r="424">
          <cell r="B424">
            <v>25000000000421</v>
          </cell>
          <cell r="C424" t="str">
            <v>Suriono Suriono</v>
          </cell>
        </row>
        <row r="425">
          <cell r="B425">
            <v>25000000000422</v>
          </cell>
          <cell r="C425" t="str">
            <v>Surono</v>
          </cell>
        </row>
        <row r="426">
          <cell r="B426">
            <v>25000000000423</v>
          </cell>
          <cell r="C426" t="str">
            <v>Surtoyo Syukri</v>
          </cell>
        </row>
        <row r="427">
          <cell r="B427">
            <v>25000000000424</v>
          </cell>
          <cell r="C427" t="str">
            <v>Suryadi</v>
          </cell>
        </row>
        <row r="428">
          <cell r="B428">
            <v>25000000000425</v>
          </cell>
          <cell r="C428" t="str">
            <v>Susilawati</v>
          </cell>
        </row>
        <row r="429">
          <cell r="B429">
            <v>25000000000426</v>
          </cell>
          <cell r="C429" t="str">
            <v>Sutarno</v>
          </cell>
        </row>
        <row r="430">
          <cell r="B430">
            <v>25000000000427</v>
          </cell>
          <cell r="C430" t="str">
            <v>Sutra Riandi</v>
          </cell>
        </row>
        <row r="431">
          <cell r="B431">
            <v>25000000000428</v>
          </cell>
          <cell r="C431" t="str">
            <v>Suyanto</v>
          </cell>
        </row>
        <row r="432">
          <cell r="B432">
            <v>25000000000429</v>
          </cell>
          <cell r="C432" t="str">
            <v>Swar Jono</v>
          </cell>
        </row>
        <row r="433">
          <cell r="B433">
            <v>25000000000430</v>
          </cell>
          <cell r="C433" t="str">
            <v>Syafruddin</v>
          </cell>
        </row>
        <row r="434">
          <cell r="B434">
            <v>25000000000431</v>
          </cell>
          <cell r="C434" t="str">
            <v>Syafrudin Machmud</v>
          </cell>
        </row>
        <row r="435">
          <cell r="B435">
            <v>25000000000432</v>
          </cell>
          <cell r="C435" t="str">
            <v>Syahrizal</v>
          </cell>
        </row>
        <row r="436">
          <cell r="B436">
            <v>25000000000433</v>
          </cell>
          <cell r="C436" t="str">
            <v>Syaiful Idjam</v>
          </cell>
        </row>
        <row r="437">
          <cell r="B437">
            <v>25000000000434</v>
          </cell>
          <cell r="C437" t="str">
            <v>Tajuddin Assubki Ismail</v>
          </cell>
        </row>
        <row r="438">
          <cell r="B438">
            <v>25000000000435</v>
          </cell>
          <cell r="C438" t="str">
            <v>Taslim</v>
          </cell>
        </row>
        <row r="439">
          <cell r="B439">
            <v>25000000000436</v>
          </cell>
          <cell r="C439" t="str">
            <v>Taufik Mulia Pane</v>
          </cell>
        </row>
        <row r="440">
          <cell r="B440">
            <v>25000000000437</v>
          </cell>
          <cell r="C440" t="str">
            <v>Tedy Harseno</v>
          </cell>
        </row>
        <row r="441">
          <cell r="B441">
            <v>25000000000438</v>
          </cell>
          <cell r="C441" t="str">
            <v>Teguh Joko Pamuji</v>
          </cell>
        </row>
        <row r="442">
          <cell r="B442">
            <v>25000000000439</v>
          </cell>
          <cell r="C442" t="str">
            <v>Teguh Pratama Januzir Sukin</v>
          </cell>
        </row>
        <row r="443">
          <cell r="B443">
            <v>25000000000440</v>
          </cell>
          <cell r="C443" t="str">
            <v>Teguh Susanto</v>
          </cell>
        </row>
        <row r="444">
          <cell r="B444">
            <v>25000000000441</v>
          </cell>
          <cell r="C444" t="str">
            <v>Tenri Sumange</v>
          </cell>
        </row>
        <row r="445">
          <cell r="B445">
            <v>25000000000442</v>
          </cell>
          <cell r="C445" t="str">
            <v>Teuku Zulkifli</v>
          </cell>
        </row>
        <row r="446">
          <cell r="B446">
            <v>25000000000443</v>
          </cell>
          <cell r="C446" t="str">
            <v>Tiara Kemalasari</v>
          </cell>
        </row>
        <row r="447">
          <cell r="B447">
            <v>25000000000444</v>
          </cell>
          <cell r="C447" t="str">
            <v>Tjhang Linawati</v>
          </cell>
        </row>
        <row r="448">
          <cell r="B448">
            <v>25000000000445</v>
          </cell>
          <cell r="C448" t="str">
            <v>Totok Kristianto</v>
          </cell>
        </row>
        <row r="449">
          <cell r="B449">
            <v>25000000000446</v>
          </cell>
          <cell r="C449" t="str">
            <v>Tri Aji</v>
          </cell>
        </row>
        <row r="450">
          <cell r="B450">
            <v>25000000000447</v>
          </cell>
          <cell r="C450" t="str">
            <v>Tri M. Saputra</v>
          </cell>
        </row>
        <row r="451">
          <cell r="B451">
            <v>25000000000448</v>
          </cell>
          <cell r="C451" t="str">
            <v>Triani Irma</v>
          </cell>
        </row>
        <row r="452">
          <cell r="B452">
            <v>25000000000449</v>
          </cell>
          <cell r="C452" t="str">
            <v>Trisyanto</v>
          </cell>
        </row>
        <row r="453">
          <cell r="B453">
            <v>25000000000450</v>
          </cell>
          <cell r="C453" t="str">
            <v>Triwiarti Dibya</v>
          </cell>
        </row>
        <row r="454">
          <cell r="B454">
            <v>25000000000451</v>
          </cell>
          <cell r="C454" t="str">
            <v>Triyono</v>
          </cell>
        </row>
        <row r="455">
          <cell r="B455">
            <v>25000000000452</v>
          </cell>
          <cell r="C455" t="str">
            <v>Turita Pramuning Marantina</v>
          </cell>
        </row>
        <row r="456">
          <cell r="B456">
            <v>25000000000453</v>
          </cell>
          <cell r="C456" t="str">
            <v>Tutus Ary</v>
          </cell>
        </row>
        <row r="457">
          <cell r="B457">
            <v>25000000000454</v>
          </cell>
          <cell r="C457" t="str">
            <v>Ubaidillah</v>
          </cell>
        </row>
        <row r="458">
          <cell r="B458">
            <v>25000000000455</v>
          </cell>
          <cell r="C458" t="str">
            <v>Ujang Barma</v>
          </cell>
        </row>
        <row r="459">
          <cell r="B459">
            <v>25000000000456</v>
          </cell>
          <cell r="C459" t="str">
            <v>Ujang Suryana</v>
          </cell>
        </row>
        <row r="460">
          <cell r="B460">
            <v>25000000000457</v>
          </cell>
          <cell r="C460" t="str">
            <v>Ulman Juanda</v>
          </cell>
        </row>
        <row r="461">
          <cell r="B461">
            <v>25000000000458</v>
          </cell>
          <cell r="C461" t="str">
            <v>Urbanus Boimau</v>
          </cell>
        </row>
        <row r="462">
          <cell r="B462">
            <v>25000000000459</v>
          </cell>
          <cell r="C462" t="str">
            <v>Uswatun Hasamah</v>
          </cell>
        </row>
        <row r="463">
          <cell r="B463">
            <v>25000000000460</v>
          </cell>
          <cell r="C463" t="str">
            <v>Uswatun Khasanah</v>
          </cell>
        </row>
        <row r="464">
          <cell r="B464">
            <v>25000000000461</v>
          </cell>
          <cell r="C464" t="str">
            <v>Utami Dewi</v>
          </cell>
        </row>
        <row r="465">
          <cell r="B465">
            <v>25000000000462</v>
          </cell>
          <cell r="C465" t="str">
            <v>Utanto</v>
          </cell>
        </row>
        <row r="466">
          <cell r="B466">
            <v>25000000000463</v>
          </cell>
          <cell r="C466" t="str">
            <v>Veradita Yulanda</v>
          </cell>
        </row>
        <row r="467">
          <cell r="B467">
            <v>25000000000464</v>
          </cell>
          <cell r="C467" t="str">
            <v>Vidhy Kartika Putri</v>
          </cell>
        </row>
        <row r="468">
          <cell r="B468">
            <v>25000000000465</v>
          </cell>
          <cell r="C468" t="str">
            <v>Vonny Agram</v>
          </cell>
        </row>
        <row r="469">
          <cell r="B469">
            <v>25000000000466</v>
          </cell>
          <cell r="C469" t="str">
            <v>Wahyu</v>
          </cell>
        </row>
        <row r="470">
          <cell r="B470">
            <v>25000000000467</v>
          </cell>
          <cell r="C470" t="str">
            <v>Wahyu Ramadhani</v>
          </cell>
        </row>
        <row r="471">
          <cell r="B471">
            <v>25000000000468</v>
          </cell>
          <cell r="C471" t="str">
            <v>Wahyu Widodo</v>
          </cell>
        </row>
        <row r="472">
          <cell r="B472">
            <v>25000000000469</v>
          </cell>
          <cell r="C472" t="str">
            <v>Warsito Edy Saputra</v>
          </cell>
        </row>
        <row r="473">
          <cell r="B473">
            <v>25000000000470</v>
          </cell>
          <cell r="C473" t="str">
            <v>Weldi Wimar</v>
          </cell>
        </row>
        <row r="474">
          <cell r="B474">
            <v>25000000000471</v>
          </cell>
          <cell r="C474" t="str">
            <v>Wendy Septiyan</v>
          </cell>
        </row>
        <row r="475">
          <cell r="B475">
            <v>25000000000472</v>
          </cell>
          <cell r="C475" t="str">
            <v>Willy Indarto</v>
          </cell>
        </row>
        <row r="476">
          <cell r="B476">
            <v>25000000000473</v>
          </cell>
          <cell r="C476" t="str">
            <v>Winda Suherman</v>
          </cell>
        </row>
        <row r="477">
          <cell r="B477">
            <v>25000000000474</v>
          </cell>
          <cell r="C477" t="str">
            <v>Wisnu Ardian</v>
          </cell>
        </row>
        <row r="478">
          <cell r="B478">
            <v>25000000000475</v>
          </cell>
          <cell r="C478" t="str">
            <v>Wisudanto C. Suntoyo</v>
          </cell>
        </row>
        <row r="479">
          <cell r="B479">
            <v>25000000000476</v>
          </cell>
          <cell r="C479" t="str">
            <v>Yahya Adyasa Febriansyah</v>
          </cell>
        </row>
        <row r="480">
          <cell r="B480">
            <v>25000000000477</v>
          </cell>
          <cell r="C480" t="str">
            <v>Yakup Sunaryo</v>
          </cell>
        </row>
        <row r="481">
          <cell r="B481">
            <v>25000000000478</v>
          </cell>
          <cell r="C481" t="str">
            <v>Yanuar Tri Ananda</v>
          </cell>
        </row>
        <row r="482">
          <cell r="B482">
            <v>25000000000479</v>
          </cell>
          <cell r="C482" t="str">
            <v>Yasir Liem</v>
          </cell>
        </row>
        <row r="483">
          <cell r="B483">
            <v>25000000000480</v>
          </cell>
          <cell r="C483" t="str">
            <v>Yefri Hendrayani</v>
          </cell>
        </row>
        <row r="484">
          <cell r="B484">
            <v>25000000000481</v>
          </cell>
          <cell r="C484" t="str">
            <v>Yessi Setiarini</v>
          </cell>
        </row>
        <row r="485">
          <cell r="B485">
            <v>25000000000482</v>
          </cell>
          <cell r="C485" t="str">
            <v>Yorid Fae</v>
          </cell>
        </row>
        <row r="486">
          <cell r="B486">
            <v>25000000000483</v>
          </cell>
          <cell r="C486" t="str">
            <v>Yosef Hang Wan</v>
          </cell>
        </row>
        <row r="487">
          <cell r="B487">
            <v>25000000000484</v>
          </cell>
          <cell r="C487" t="str">
            <v>Yossie Deliana</v>
          </cell>
        </row>
        <row r="488">
          <cell r="B488">
            <v>25000000000485</v>
          </cell>
          <cell r="C488" t="str">
            <v>Yudi Rahmadi</v>
          </cell>
        </row>
        <row r="489">
          <cell r="B489">
            <v>25000000000486</v>
          </cell>
          <cell r="C489" t="str">
            <v>Yudo Jati Rahmat Satrio</v>
          </cell>
        </row>
        <row r="490">
          <cell r="B490">
            <v>25000000000487</v>
          </cell>
          <cell r="C490" t="str">
            <v>Yuliandaru Suryoatmodjo</v>
          </cell>
        </row>
        <row r="491">
          <cell r="B491">
            <v>25000000000488</v>
          </cell>
          <cell r="C491" t="str">
            <v>Yulianta</v>
          </cell>
        </row>
        <row r="492">
          <cell r="B492">
            <v>25000000000489</v>
          </cell>
          <cell r="C492" t="str">
            <v>Yulianti</v>
          </cell>
        </row>
        <row r="493">
          <cell r="B493">
            <v>25000000000490</v>
          </cell>
          <cell r="C493" t="str">
            <v>Yulius</v>
          </cell>
        </row>
        <row r="494">
          <cell r="B494">
            <v>25000000000491</v>
          </cell>
          <cell r="C494" t="str">
            <v>Yunni Sazili</v>
          </cell>
        </row>
        <row r="495">
          <cell r="B495">
            <v>25000000000492</v>
          </cell>
          <cell r="C495" t="str">
            <v>Yusman</v>
          </cell>
        </row>
        <row r="496">
          <cell r="B496">
            <v>25000000000493</v>
          </cell>
          <cell r="C496" t="str">
            <v>Yusri Azhar</v>
          </cell>
        </row>
        <row r="497">
          <cell r="B497">
            <v>25000000000494</v>
          </cell>
          <cell r="C497" t="str">
            <v>Zafrizal</v>
          </cell>
        </row>
        <row r="498">
          <cell r="B498">
            <v>25000000000495</v>
          </cell>
          <cell r="C498" t="str">
            <v>Zafrizal Rifla (Ucok)</v>
          </cell>
        </row>
        <row r="499">
          <cell r="B499">
            <v>25000000000496</v>
          </cell>
          <cell r="C499" t="str">
            <v>Zainuddin</v>
          </cell>
        </row>
        <row r="500">
          <cell r="B500">
            <v>25000000000497</v>
          </cell>
          <cell r="C500" t="str">
            <v>Zainudin Anwar</v>
          </cell>
        </row>
        <row r="501">
          <cell r="B501">
            <v>25000000000498</v>
          </cell>
          <cell r="C501" t="str">
            <v>Zaire Dite Biscaya</v>
          </cell>
        </row>
        <row r="502">
          <cell r="B502">
            <v>25000000000499</v>
          </cell>
          <cell r="C502" t="str">
            <v>Zalfi Yandri</v>
          </cell>
        </row>
        <row r="503">
          <cell r="B503">
            <v>25000000000500</v>
          </cell>
          <cell r="C503" t="str">
            <v>Zam Roji</v>
          </cell>
        </row>
        <row r="504">
          <cell r="B504">
            <v>25000000000501</v>
          </cell>
          <cell r="C504" t="str">
            <v>Zulfikar K. Siregar</v>
          </cell>
        </row>
        <row r="505">
          <cell r="B505">
            <v>25000000000502</v>
          </cell>
          <cell r="C505" t="str">
            <v>Adythia Adikara</v>
          </cell>
        </row>
        <row r="506">
          <cell r="B506">
            <v>25000000000503</v>
          </cell>
          <cell r="C506" t="str">
            <v>Agus Sopyan Hadi</v>
          </cell>
        </row>
        <row r="507">
          <cell r="B507">
            <v>25000000000504</v>
          </cell>
          <cell r="C507" t="str">
            <v>Azis Purwandana</v>
          </cell>
        </row>
        <row r="508">
          <cell r="B508">
            <v>25000000000505</v>
          </cell>
          <cell r="C508" t="str">
            <v>Heryanto</v>
          </cell>
        </row>
        <row r="509">
          <cell r="B509">
            <v>25000000000506</v>
          </cell>
          <cell r="C509" t="str">
            <v>Imran</v>
          </cell>
        </row>
        <row r="510">
          <cell r="B510">
            <v>25000000000507</v>
          </cell>
          <cell r="C510" t="str">
            <v>Khamim Taryono</v>
          </cell>
        </row>
        <row r="511">
          <cell r="B511">
            <v>25000000000508</v>
          </cell>
          <cell r="C511" t="str">
            <v>Rafi Artman Siddiq</v>
          </cell>
        </row>
        <row r="512">
          <cell r="B512">
            <v>25000000000509</v>
          </cell>
          <cell r="C512" t="str">
            <v>Riza Emir Subekti</v>
          </cell>
        </row>
        <row r="513">
          <cell r="B513">
            <v>25000000000510</v>
          </cell>
          <cell r="C513" t="str">
            <v>Slamet Riadi</v>
          </cell>
        </row>
        <row r="514">
          <cell r="B514">
            <v>25000000000511</v>
          </cell>
          <cell r="C514" t="str">
            <v>Wisnu Andra Isdianto</v>
          </cell>
        </row>
        <row r="515">
          <cell r="B515">
            <v>25000000000512</v>
          </cell>
          <cell r="C515" t="str">
            <v>Agus Budi Setiawan</v>
          </cell>
        </row>
        <row r="516">
          <cell r="B516">
            <v>25000000000513</v>
          </cell>
          <cell r="C516" t="str">
            <v>Ahmad Choerul</v>
          </cell>
        </row>
        <row r="517">
          <cell r="B517">
            <v>25000000000514</v>
          </cell>
          <cell r="C517" t="str">
            <v>Achmad Yunadi</v>
          </cell>
        </row>
        <row r="518">
          <cell r="B518">
            <v>25000000000515</v>
          </cell>
          <cell r="C518" t="str">
            <v>Asep mulyana</v>
          </cell>
        </row>
        <row r="519">
          <cell r="B519">
            <v>25000000000516</v>
          </cell>
          <cell r="C519" t="str">
            <v>Bagus Isdiantara</v>
          </cell>
        </row>
        <row r="520">
          <cell r="B520">
            <v>25000000000517</v>
          </cell>
          <cell r="C520" t="str">
            <v>Cahyana</v>
          </cell>
        </row>
        <row r="521">
          <cell r="B521">
            <v>25000000000518</v>
          </cell>
          <cell r="C521" t="str">
            <v>Dede Hartanto</v>
          </cell>
        </row>
        <row r="522">
          <cell r="B522">
            <v>25000000000519</v>
          </cell>
          <cell r="C522" t="str">
            <v>Denny Achmad Ferlando</v>
          </cell>
        </row>
        <row r="523">
          <cell r="B523">
            <v>25000000000520</v>
          </cell>
          <cell r="C523" t="str">
            <v>Dian Setiawan</v>
          </cell>
        </row>
        <row r="524">
          <cell r="B524">
            <v>25000000000521</v>
          </cell>
          <cell r="C524" t="str">
            <v>Fabrian Danang Destiyara</v>
          </cell>
        </row>
        <row r="525">
          <cell r="B525">
            <v>25000000000522</v>
          </cell>
          <cell r="C525" t="str">
            <v>Ferdian Kriswantoro</v>
          </cell>
        </row>
        <row r="526">
          <cell r="B526">
            <v>25000000000523</v>
          </cell>
          <cell r="C526" t="str">
            <v>Fuzi Mafrozi</v>
          </cell>
        </row>
        <row r="527">
          <cell r="B527">
            <v>25000000000524</v>
          </cell>
          <cell r="C527" t="str">
            <v>Gilang Setiawan</v>
          </cell>
        </row>
        <row r="528">
          <cell r="B528">
            <v>25000000000525</v>
          </cell>
          <cell r="C528" t="str">
            <v>Idris Affandi</v>
          </cell>
        </row>
        <row r="529">
          <cell r="B529">
            <v>25000000000526</v>
          </cell>
          <cell r="C529" t="str">
            <v>Indra Wijaya</v>
          </cell>
        </row>
        <row r="530">
          <cell r="B530">
            <v>25000000000527</v>
          </cell>
          <cell r="C530" t="str">
            <v>Irma Maulidawati</v>
          </cell>
        </row>
        <row r="531">
          <cell r="B531">
            <v>25000000000528</v>
          </cell>
          <cell r="C531" t="str">
            <v>Istikaro Fauziah</v>
          </cell>
        </row>
        <row r="532">
          <cell r="B532">
            <v>25000000000529</v>
          </cell>
          <cell r="C532" t="str">
            <v>Muhammad Lukbani</v>
          </cell>
        </row>
        <row r="533">
          <cell r="B533">
            <v>25000000000530</v>
          </cell>
          <cell r="C533" t="str">
            <v>Muhammad Sholikhun</v>
          </cell>
        </row>
        <row r="534">
          <cell r="B534">
            <v>25000000000531</v>
          </cell>
          <cell r="C534" t="str">
            <v>Muhammad Syarifudin</v>
          </cell>
        </row>
        <row r="535">
          <cell r="B535">
            <v>25000000000532</v>
          </cell>
          <cell r="C535" t="str">
            <v>Nadia Rizkiah</v>
          </cell>
        </row>
        <row r="536">
          <cell r="B536">
            <v>25000000000533</v>
          </cell>
          <cell r="C536" t="str">
            <v>Nikko Septian</v>
          </cell>
        </row>
        <row r="537">
          <cell r="B537">
            <v>25000000000534</v>
          </cell>
          <cell r="C537" t="str">
            <v>Novizan</v>
          </cell>
        </row>
        <row r="538">
          <cell r="B538">
            <v>25000000000535</v>
          </cell>
          <cell r="C538" t="str">
            <v>Oqi Suhaqi Yunus</v>
          </cell>
        </row>
        <row r="539">
          <cell r="B539">
            <v>25000000000536</v>
          </cell>
          <cell r="C539" t="str">
            <v>Restu Dwi Anjayani</v>
          </cell>
        </row>
        <row r="540">
          <cell r="B540">
            <v>25000000000537</v>
          </cell>
          <cell r="C540" t="str">
            <v>Rizal Amri</v>
          </cell>
        </row>
        <row r="541">
          <cell r="B541">
            <v>25000000000538</v>
          </cell>
          <cell r="C541" t="str">
            <v>Ronny Anindika Arnold</v>
          </cell>
        </row>
        <row r="542">
          <cell r="B542">
            <v>25000000000539</v>
          </cell>
          <cell r="C542" t="str">
            <v>Samta Harahap</v>
          </cell>
        </row>
        <row r="543">
          <cell r="B543">
            <v>25000000000540</v>
          </cell>
          <cell r="C543" t="str">
            <v>Vingky Hendriek Yomerlin</v>
          </cell>
        </row>
        <row r="544">
          <cell r="B544">
            <v>25000000000541</v>
          </cell>
          <cell r="C544" t="str">
            <v>Wahyu Teluk Naga</v>
          </cell>
        </row>
        <row r="545">
          <cell r="B545">
            <v>25000000000542</v>
          </cell>
          <cell r="C545" t="str">
            <v>Wardah Laily Khoiriyah</v>
          </cell>
        </row>
        <row r="546">
          <cell r="B546">
            <v>25000000000543</v>
          </cell>
          <cell r="C546" t="str">
            <v>Wawan Kusworo</v>
          </cell>
        </row>
        <row r="547">
          <cell r="B547">
            <v>25000000000544</v>
          </cell>
          <cell r="C547" t="str">
            <v>Wulanraniasih</v>
          </cell>
        </row>
        <row r="548">
          <cell r="B548">
            <v>25000000000545</v>
          </cell>
          <cell r="C548" t="str">
            <v>Yogi Perbangkara</v>
          </cell>
        </row>
        <row r="549">
          <cell r="B549">
            <v>25000000000546</v>
          </cell>
          <cell r="C549" t="str">
            <v>Yusuf Fathurahman</v>
          </cell>
        </row>
        <row r="550">
          <cell r="B550">
            <v>25000000000547</v>
          </cell>
          <cell r="C550" t="str">
            <v>Zeinurani</v>
          </cell>
        </row>
        <row r="551">
          <cell r="B551">
            <v>25000000000548</v>
          </cell>
          <cell r="C551" t="str">
            <v>Sulaeman</v>
          </cell>
        </row>
        <row r="552">
          <cell r="B552">
            <v>25000000000549</v>
          </cell>
          <cell r="C552" t="str">
            <v>Agus Nuryadi</v>
          </cell>
        </row>
        <row r="553">
          <cell r="B553">
            <v>25000000000550</v>
          </cell>
          <cell r="C553" t="str">
            <v>Dian Tri Rahmawati</v>
          </cell>
        </row>
        <row r="554">
          <cell r="B554">
            <v>25000000000551</v>
          </cell>
          <cell r="C554" t="str">
            <v>Langgeng Eko Dwiantoro</v>
          </cell>
        </row>
        <row r="555">
          <cell r="B555">
            <v>25000000000552</v>
          </cell>
          <cell r="C555" t="str">
            <v>Aldi Rizaldi</v>
          </cell>
        </row>
        <row r="556">
          <cell r="B556">
            <v>25000000000553</v>
          </cell>
          <cell r="C556" t="str">
            <v>Masimin</v>
          </cell>
        </row>
        <row r="557">
          <cell r="B557">
            <v>25000000000554</v>
          </cell>
          <cell r="C557" t="str">
            <v>Santoso Dwi Cahyo</v>
          </cell>
        </row>
        <row r="558">
          <cell r="B558">
            <v>25000000000555</v>
          </cell>
          <cell r="C558" t="str">
            <v>Wartono</v>
          </cell>
        </row>
        <row r="559">
          <cell r="B559">
            <v>25000000000556</v>
          </cell>
          <cell r="C559" t="str">
            <v>Yusarman</v>
          </cell>
        </row>
        <row r="560">
          <cell r="B560">
            <v>25000000000557</v>
          </cell>
          <cell r="C560" t="str">
            <v>Abdul Rachman</v>
          </cell>
        </row>
        <row r="561">
          <cell r="B561">
            <v>25000000000558</v>
          </cell>
          <cell r="C561" t="str">
            <v>Aden Bagus</v>
          </cell>
        </row>
        <row r="562">
          <cell r="B562">
            <v>25000000000559</v>
          </cell>
          <cell r="C562" t="str">
            <v>Adhe Kurniawan</v>
          </cell>
        </row>
        <row r="563">
          <cell r="B563">
            <v>25000000000560</v>
          </cell>
          <cell r="C563" t="str">
            <v>Ahmad Fauzi</v>
          </cell>
        </row>
        <row r="564">
          <cell r="B564">
            <v>25000000000561</v>
          </cell>
          <cell r="C564" t="str">
            <v>Ahmad Gunawan</v>
          </cell>
        </row>
        <row r="565">
          <cell r="B565">
            <v>25000000000562</v>
          </cell>
          <cell r="C565" t="str">
            <v>Andri Andriyan</v>
          </cell>
        </row>
        <row r="566">
          <cell r="B566">
            <v>25000000000563</v>
          </cell>
          <cell r="C566" t="str">
            <v>Budi Sulistianto</v>
          </cell>
        </row>
        <row r="567">
          <cell r="B567">
            <v>25000000000564</v>
          </cell>
          <cell r="C567" t="str">
            <v>Eka Budi</v>
          </cell>
        </row>
        <row r="568">
          <cell r="B568">
            <v>25000000000565</v>
          </cell>
          <cell r="C568" t="str">
            <v>Haerul Gunawan</v>
          </cell>
        </row>
        <row r="569">
          <cell r="B569">
            <v>25000000000566</v>
          </cell>
          <cell r="C569" t="str">
            <v>Irvan Agus</v>
          </cell>
        </row>
        <row r="570">
          <cell r="B570">
            <v>25000000000567</v>
          </cell>
          <cell r="C570" t="str">
            <v>Joshika Pradirga</v>
          </cell>
        </row>
        <row r="571">
          <cell r="B571">
            <v>25000000000568</v>
          </cell>
          <cell r="C571" t="str">
            <v>Khaidir</v>
          </cell>
        </row>
        <row r="572">
          <cell r="B572">
            <v>25000000000569</v>
          </cell>
          <cell r="C572" t="str">
            <v>Latip Muhlanto</v>
          </cell>
        </row>
        <row r="573">
          <cell r="B573">
            <v>25000000000570</v>
          </cell>
          <cell r="C573" t="str">
            <v>Leonardo Putra</v>
          </cell>
        </row>
        <row r="574">
          <cell r="B574">
            <v>25000000000571</v>
          </cell>
          <cell r="C574" t="str">
            <v>Muhammad Ramadani</v>
          </cell>
        </row>
        <row r="575">
          <cell r="B575">
            <v>25000000000572</v>
          </cell>
          <cell r="C575" t="str">
            <v>Musdalipa</v>
          </cell>
        </row>
        <row r="576">
          <cell r="B576">
            <v>25000000000573</v>
          </cell>
          <cell r="C576" t="str">
            <v>Nico Melky</v>
          </cell>
        </row>
        <row r="577">
          <cell r="B577">
            <v>25000000000574</v>
          </cell>
          <cell r="C577" t="str">
            <v>Rahmata Novanisa</v>
          </cell>
        </row>
        <row r="578">
          <cell r="B578">
            <v>25000000000575</v>
          </cell>
          <cell r="C578" t="str">
            <v>Satrio Dhiaputra</v>
          </cell>
        </row>
        <row r="579">
          <cell r="B579">
            <v>25000000000576</v>
          </cell>
          <cell r="C579" t="str">
            <v>Sudirman</v>
          </cell>
        </row>
        <row r="580">
          <cell r="B580">
            <v>25000000000577</v>
          </cell>
          <cell r="C580" t="str">
            <v>Suparji</v>
          </cell>
        </row>
        <row r="581">
          <cell r="B581">
            <v>25000000000578</v>
          </cell>
          <cell r="C581" t="str">
            <v>Taufik Iskandar</v>
          </cell>
        </row>
        <row r="582">
          <cell r="B582">
            <v>25000000000579</v>
          </cell>
          <cell r="C582" t="str">
            <v>Tegar Hersaputra</v>
          </cell>
        </row>
        <row r="583">
          <cell r="B583">
            <v>25000000000580</v>
          </cell>
          <cell r="C583" t="str">
            <v>Togar Sihombing</v>
          </cell>
        </row>
        <row r="584">
          <cell r="B584">
            <v>25000000000581</v>
          </cell>
          <cell r="C584" t="str">
            <v>Wisnu Trenggono Wirayuda</v>
          </cell>
        </row>
        <row r="585">
          <cell r="B585">
            <v>25000000000582</v>
          </cell>
          <cell r="C585" t="str">
            <v>Yogo</v>
          </cell>
        </row>
        <row r="586">
          <cell r="B586">
            <v>25000000000583</v>
          </cell>
          <cell r="C586" t="str">
            <v>Yustiana Firda</v>
          </cell>
        </row>
        <row r="587">
          <cell r="B587">
            <v>25000000000584</v>
          </cell>
          <cell r="C587" t="str">
            <v>Zainal Abidin</v>
          </cell>
        </row>
        <row r="588">
          <cell r="B588">
            <v>25000000000585</v>
          </cell>
          <cell r="C588" t="str">
            <v>Budi Sandika</v>
          </cell>
        </row>
        <row r="589">
          <cell r="B589">
            <v>25000000000586</v>
          </cell>
          <cell r="C589" t="str">
            <v>Fachri Azhar</v>
          </cell>
        </row>
        <row r="590">
          <cell r="B590">
            <v>25000000000587</v>
          </cell>
          <cell r="C590" t="str">
            <v>Firmansyah Awaludin</v>
          </cell>
        </row>
        <row r="591">
          <cell r="B591">
            <v>25000000000588</v>
          </cell>
          <cell r="C591" t="str">
            <v>Iman Faisal Abdurahman</v>
          </cell>
        </row>
        <row r="592">
          <cell r="B592">
            <v>25000000000589</v>
          </cell>
          <cell r="C592" t="str">
            <v>Muhammad Irfan Alfikri Rayana</v>
          </cell>
        </row>
        <row r="593">
          <cell r="B593">
            <v>25000000000590</v>
          </cell>
          <cell r="C593" t="str">
            <v>Syafri Johansah</v>
          </cell>
        </row>
        <row r="594">
          <cell r="B594">
            <v>25000000000591</v>
          </cell>
          <cell r="C594" t="str">
            <v>Agus Sobar</v>
          </cell>
        </row>
        <row r="595">
          <cell r="B595">
            <v>25000000000592</v>
          </cell>
          <cell r="C595" t="str">
            <v>Ahmad Sandi Asyuri</v>
          </cell>
        </row>
        <row r="596">
          <cell r="B596">
            <v>25000000000593</v>
          </cell>
          <cell r="C596" t="str">
            <v>Andi Mapasoro</v>
          </cell>
        </row>
        <row r="597">
          <cell r="B597">
            <v>25000000000594</v>
          </cell>
          <cell r="C597" t="str">
            <v>Arie Gustaman</v>
          </cell>
        </row>
        <row r="598">
          <cell r="B598">
            <v>25000000000595</v>
          </cell>
          <cell r="C598" t="str">
            <v>Arief Yulianto</v>
          </cell>
        </row>
        <row r="599">
          <cell r="B599">
            <v>25000000000596</v>
          </cell>
          <cell r="C599" t="str">
            <v>Burhan</v>
          </cell>
        </row>
        <row r="600">
          <cell r="B600">
            <v>25000000000597</v>
          </cell>
          <cell r="C600" t="str">
            <v>Deby Syahputa</v>
          </cell>
        </row>
        <row r="601">
          <cell r="B601">
            <v>25000000000598</v>
          </cell>
          <cell r="C601" t="str">
            <v>Ibrahim Arya Yuda</v>
          </cell>
        </row>
        <row r="602">
          <cell r="B602">
            <v>25000000000599</v>
          </cell>
          <cell r="C602" t="str">
            <v>Jamil</v>
          </cell>
        </row>
        <row r="603">
          <cell r="B603">
            <v>25000000000600</v>
          </cell>
          <cell r="C603" t="str">
            <v>Kiki Prasetyo</v>
          </cell>
        </row>
        <row r="604">
          <cell r="B604">
            <v>25000000000601</v>
          </cell>
          <cell r="C604" t="str">
            <v>Mochamad Ulul Azmi Wira Utama</v>
          </cell>
        </row>
        <row r="605">
          <cell r="B605">
            <v>25000000000602</v>
          </cell>
          <cell r="C605" t="str">
            <v>Muhammad Bilal Sharony</v>
          </cell>
        </row>
        <row r="606">
          <cell r="B606">
            <v>25000000000603</v>
          </cell>
          <cell r="C606" t="str">
            <v>Muhammad Hairul</v>
          </cell>
        </row>
        <row r="607">
          <cell r="B607">
            <v>25000000000604</v>
          </cell>
          <cell r="C607" t="str">
            <v>Muhammad Rizal</v>
          </cell>
        </row>
        <row r="608">
          <cell r="B608">
            <v>25000000000605</v>
          </cell>
          <cell r="C608" t="str">
            <v>Rahmad Dwifar</v>
          </cell>
        </row>
        <row r="609">
          <cell r="B609">
            <v>25000000000606</v>
          </cell>
          <cell r="C609" t="str">
            <v>Reza Sanjaya</v>
          </cell>
        </row>
        <row r="610">
          <cell r="B610">
            <v>25000000000607</v>
          </cell>
          <cell r="C610" t="str">
            <v>Ridwan Nur Muttaqin</v>
          </cell>
        </row>
        <row r="611">
          <cell r="B611">
            <v>25000000000608</v>
          </cell>
          <cell r="C611" t="str">
            <v xml:space="preserve">Risaldi </v>
          </cell>
        </row>
        <row r="612">
          <cell r="B612">
            <v>25000000000609</v>
          </cell>
          <cell r="C612" t="str">
            <v>Risty Alawiyah</v>
          </cell>
        </row>
        <row r="613">
          <cell r="B613">
            <v>25000000000610</v>
          </cell>
          <cell r="C613" t="str">
            <v>Rustono</v>
          </cell>
        </row>
        <row r="614">
          <cell r="B614">
            <v>25000000000611</v>
          </cell>
          <cell r="C614" t="str">
            <v>Solihin</v>
          </cell>
        </row>
        <row r="615">
          <cell r="B615">
            <v>25000000000612</v>
          </cell>
          <cell r="C615" t="str">
            <v>Supriatna</v>
          </cell>
        </row>
        <row r="616">
          <cell r="B616">
            <v>25000000000613</v>
          </cell>
          <cell r="C616" t="str">
            <v>Taufik Aminudin</v>
          </cell>
        </row>
        <row r="617">
          <cell r="B617">
            <v>25000000000614</v>
          </cell>
          <cell r="C617" t="str">
            <v>Timotius Tabun</v>
          </cell>
        </row>
        <row r="618">
          <cell r="B618">
            <v>25000000000615</v>
          </cell>
          <cell r="C618" t="str">
            <v>Adi</v>
          </cell>
        </row>
        <row r="619">
          <cell r="B619">
            <v>25000000000616</v>
          </cell>
          <cell r="C619" t="str">
            <v>Andrean Fahrizi</v>
          </cell>
        </row>
        <row r="620">
          <cell r="B620">
            <v>25000000000617</v>
          </cell>
          <cell r="C620" t="str">
            <v>Amar Abdilah</v>
          </cell>
        </row>
        <row r="621">
          <cell r="B621">
            <v>25000000000618</v>
          </cell>
          <cell r="C621" t="str">
            <v>Heru Indra Permana</v>
          </cell>
        </row>
        <row r="622">
          <cell r="B622">
            <v>25000000000619</v>
          </cell>
          <cell r="C622" t="str">
            <v>Budi Santosa (KSO)</v>
          </cell>
        </row>
        <row r="623">
          <cell r="B623">
            <v>25000000000620</v>
          </cell>
          <cell r="C623" t="str">
            <v>Haryono</v>
          </cell>
        </row>
        <row r="624">
          <cell r="B624">
            <v>25000000000621</v>
          </cell>
          <cell r="C624" t="str">
            <v>Indah Sri Rejeki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/>
      <sheetData sheetId="1">
        <row r="4">
          <cell r="B4">
            <v>163000000000001</v>
          </cell>
          <cell r="C4" t="str">
            <v>Non Karyawan</v>
          </cell>
          <cell r="D4" t="str">
            <v>Non Employee</v>
          </cell>
        </row>
        <row r="5">
          <cell r="B5">
            <v>163000000000002</v>
          </cell>
          <cell r="C5" t="str">
            <v>Karyawan Tetap (Purna Waktu)</v>
          </cell>
          <cell r="D5" t="str">
            <v>Full-Time Employee</v>
          </cell>
        </row>
        <row r="6">
          <cell r="B6">
            <v>163000000000003</v>
          </cell>
          <cell r="C6" t="str">
            <v>Karyawan Tidak Tetap (Kontrak)</v>
          </cell>
          <cell r="D6" t="str">
            <v>Temporary Employee</v>
          </cell>
        </row>
        <row r="7">
          <cell r="B7">
            <v>163000000000004</v>
          </cell>
          <cell r="C7" t="str">
            <v>Karyawan Percobaan</v>
          </cell>
          <cell r="D7" t="str">
            <v>Probation Employee</v>
          </cell>
        </row>
        <row r="8">
          <cell r="B8">
            <v>163000000000005</v>
          </cell>
          <cell r="C8" t="str">
            <v>Karyawan Alih Daya (Outsourcing)</v>
          </cell>
          <cell r="D8" t="str">
            <v>Outsourcing Employee</v>
          </cell>
        </row>
        <row r="9">
          <cell r="B9">
            <v>163000000000006</v>
          </cell>
          <cell r="C9" t="str">
            <v>Karyawan Paruh Waktu</v>
          </cell>
          <cell r="D9" t="str">
            <v>Part-Time Employee</v>
          </cell>
        </row>
        <row r="10">
          <cell r="B10">
            <v>163000000000007</v>
          </cell>
          <cell r="C10" t="str">
            <v>Karyawan Musiman</v>
          </cell>
          <cell r="D10" t="str">
            <v>Seasonal Employee</v>
          </cell>
        </row>
        <row r="11">
          <cell r="B11">
            <v>163000000000008</v>
          </cell>
          <cell r="C11" t="str">
            <v>Karyawan Magang</v>
          </cell>
          <cell r="D11" t="str">
            <v>Apprentice Employee</v>
          </cell>
        </row>
        <row r="12">
          <cell r="B12">
            <v>163000000000009</v>
          </cell>
          <cell r="C12" t="str">
            <v>Praktek Kerja Lapangan (PKL)</v>
          </cell>
          <cell r="D12" t="str">
            <v>Field Practice</v>
          </cell>
        </row>
        <row r="13">
          <cell r="B13">
            <v>163000000000010</v>
          </cell>
          <cell r="C13" t="str">
            <v>Konsultan</v>
          </cell>
          <cell r="D13" t="str">
            <v>Consultant</v>
          </cell>
        </row>
        <row r="14">
          <cell r="B14">
            <v>163000000000011</v>
          </cell>
          <cell r="C14" t="str">
            <v>Pekerja Lepas</v>
          </cell>
          <cell r="D14" t="str">
            <v>Freelancer</v>
          </cell>
        </row>
        <row r="15">
          <cell r="B15">
            <v>163000000000012</v>
          </cell>
          <cell r="C15" t="str">
            <v>Pekerja Sementara</v>
          </cell>
          <cell r="D15" t="str">
            <v>Temporary Worker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H625"/>
  <sheetViews>
    <sheetView workbookViewId="0">
      <pane xSplit="2" ySplit="3" topLeftCell="C616" activePane="bottomRight" state="frozen"/>
      <selection pane="topRight" activeCell="C1" sqref="C1"/>
      <selection pane="bottomLeft" activeCell="A4" sqref="A4"/>
      <selection pane="bottomRight" activeCell="K622" sqref="K622"/>
    </sheetView>
  </sheetViews>
  <sheetFormatPr defaultRowHeight="12.75" x14ac:dyDescent="0.2"/>
  <cols>
    <col min="1" max="1" width="8.7109375" style="1" bestFit="1" customWidth="1"/>
    <col min="2" max="2" width="13.140625" style="2" bestFit="1" customWidth="1"/>
    <col min="3" max="3" width="23" style="1" bestFit="1" customWidth="1"/>
    <col min="4" max="4" width="9.5703125" style="6" bestFit="1" customWidth="1"/>
    <col min="5" max="5" width="9.5703125" style="105" customWidth="1"/>
    <col min="6" max="6" width="2.85546875" style="1" customWidth="1"/>
    <col min="7" max="7" width="13.140625" style="2" bestFit="1" customWidth="1"/>
    <col min="8" max="16384" width="9.140625" style="1"/>
  </cols>
  <sheetData>
    <row r="1" spans="2:8" ht="13.5" thickBot="1" x14ac:dyDescent="0.25"/>
    <row r="2" spans="2:8" s="8" customFormat="1" ht="38.25" x14ac:dyDescent="0.25">
      <c r="B2" s="33" t="s">
        <v>64</v>
      </c>
      <c r="C2" s="16" t="s">
        <v>57</v>
      </c>
      <c r="D2" s="103" t="s">
        <v>60</v>
      </c>
      <c r="E2" s="102" t="s">
        <v>333</v>
      </c>
      <c r="G2" s="25" t="s">
        <v>58</v>
      </c>
      <c r="H2" s="26" t="s">
        <v>59</v>
      </c>
    </row>
    <row r="3" spans="2:8" s="8" customFormat="1" ht="13.5" thickBot="1" x14ac:dyDescent="0.25">
      <c r="B3" s="36"/>
      <c r="C3" s="19"/>
      <c r="D3" s="104"/>
      <c r="E3" s="106"/>
      <c r="G3" s="27">
        <v>32000000000000</v>
      </c>
      <c r="H3" s="28"/>
    </row>
    <row r="4" spans="2:8" x14ac:dyDescent="0.2">
      <c r="B4" s="37">
        <f>IF(EXACT([1]DataLookUp!$B4, ""), "", [1]DataLookUp!$B4)</f>
        <v>25000000000001</v>
      </c>
      <c r="C4" s="38" t="str">
        <f>IF(EXACT(B4, ""), "", VLOOKUP(B4, [1]DataLookUp!$B$4:$C$1000, 2,FALSE ))</f>
        <v>Abdollah Syani Siregar</v>
      </c>
      <c r="D4" s="21"/>
      <c r="E4" s="107"/>
      <c r="G4" s="29">
        <f xml:space="preserve"> G3 + IF(EXACT(H4, ""), 0, 1)</f>
        <v>32000000000001</v>
      </c>
      <c r="H4" s="30" t="str">
        <f>CONCATENATE("PERFORM ""SchData-OLTP-HumanResource"".""Func_TblWorker_SET""(varSystemLoginSession, null::bigint, null::varchar, null::timestamptz, null::timestamptz, null::varchar, varInstitutionBranchID, varBaseCurrencyID, ", B4, "::bigint, ", IF(EXACT(D4, ""), "null", CONCATENATE("'", D4, "'")), "::varchar);")</f>
        <v>PERFORM "SchData-OLTP-HumanResource"."Func_TblWorker_SET"(varSystemLoginSession, null::bigint, null::varchar, null::timestamptz, null::timestamptz, null::varchar, varInstitutionBranchID, varBaseCurrencyID, 25000000000001::bigint, null::varchar);</v>
      </c>
    </row>
    <row r="5" spans="2:8" x14ac:dyDescent="0.2">
      <c r="B5" s="37">
        <f>IF(EXACT([1]DataLookUp!$B5, ""), "", [1]DataLookUp!$B5)</f>
        <v>25000000000002</v>
      </c>
      <c r="C5" s="38" t="str">
        <f>IF(EXACT(B5, ""), "", VLOOKUP(B5, [1]DataLookUp!$B$4:$C$1000, 2,FALSE ))</f>
        <v>Abdul Karim</v>
      </c>
      <c r="D5" s="21"/>
      <c r="E5" s="108"/>
      <c r="G5" s="29">
        <f t="shared" ref="G5:G68" si="0" xml:space="preserve"> G4 + IF(EXACT(H5, ""), 0, 1)</f>
        <v>32000000000002</v>
      </c>
      <c r="H5" s="30" t="str">
        <f t="shared" ref="H5:H68" si="1">CONCATENATE("PERFORM ""SchData-OLTP-HumanResource"".""Func_TblWorker_SET""(varSystemLoginSession, null::bigint, null::varchar, null::timestamptz, null::timestamptz, null::varchar, varInstitutionBranchID, varBaseCurrencyID, ", B5, "::bigint, ", IF(EXACT(D5, ""), "null", CONCATENATE("'", D5, "'")), "::varchar);")</f>
        <v>PERFORM "SchData-OLTP-HumanResource"."Func_TblWorker_SET"(varSystemLoginSession, null::bigint, null::varchar, null::timestamptz, null::timestamptz, null::varchar, varInstitutionBranchID, varBaseCurrencyID, 25000000000002::bigint, null::varchar);</v>
      </c>
    </row>
    <row r="6" spans="2:8" x14ac:dyDescent="0.2">
      <c r="B6" s="37">
        <f>IF(EXACT([1]DataLookUp!$B6, ""), "", [1]DataLookUp!$B6)</f>
        <v>25000000000003</v>
      </c>
      <c r="C6" s="38" t="str">
        <f>IF(EXACT(B6, ""), "", VLOOKUP(B6, [1]DataLookUp!$B$4:$C$1000, 2,FALSE ))</f>
        <v>Abdul Rahman Sitompul</v>
      </c>
      <c r="D6" s="21"/>
      <c r="E6" s="108"/>
      <c r="G6" s="29">
        <f t="shared" si="0"/>
        <v>32000000000003</v>
      </c>
      <c r="H6" s="30" t="str">
        <f t="shared" si="1"/>
        <v>PERFORM "SchData-OLTP-HumanResource"."Func_TblWorker_SET"(varSystemLoginSession, null::bigint, null::varchar, null::timestamptz, null::timestamptz, null::varchar, varInstitutionBranchID, varBaseCurrencyID, 25000000000003::bigint, null::varchar);</v>
      </c>
    </row>
    <row r="7" spans="2:8" x14ac:dyDescent="0.2">
      <c r="B7" s="37">
        <f>IF(EXACT([1]DataLookUp!$B7, ""), "", [1]DataLookUp!$B7)</f>
        <v>25000000000004</v>
      </c>
      <c r="C7" s="38" t="str">
        <f>IF(EXACT(B7, ""), "", VLOOKUP(B7, [1]DataLookUp!$B$4:$C$1000, 2,FALSE ))</f>
        <v>Abdul Risan</v>
      </c>
      <c r="D7" s="21"/>
      <c r="E7" s="108"/>
      <c r="G7" s="29">
        <f t="shared" si="0"/>
        <v>32000000000004</v>
      </c>
      <c r="H7" s="30" t="str">
        <f t="shared" si="1"/>
        <v>PERFORM "SchData-OLTP-HumanResource"."Func_TblWorker_SET"(varSystemLoginSession, null::bigint, null::varchar, null::timestamptz, null::timestamptz, null::varchar, varInstitutionBranchID, varBaseCurrencyID, 25000000000004::bigint, null::varchar);</v>
      </c>
    </row>
    <row r="8" spans="2:8" x14ac:dyDescent="0.2">
      <c r="B8" s="37">
        <f>IF(EXACT([1]DataLookUp!$B8, ""), "", [1]DataLookUp!$B8)</f>
        <v>25000000000005</v>
      </c>
      <c r="C8" s="38" t="str">
        <f>IF(EXACT(B8, ""), "", VLOOKUP(B8, [1]DataLookUp!$B$4:$C$1000, 2,FALSE ))</f>
        <v>Abdullah Nabil</v>
      </c>
      <c r="D8" s="21"/>
      <c r="E8" s="108"/>
      <c r="G8" s="29">
        <f t="shared" si="0"/>
        <v>32000000000005</v>
      </c>
      <c r="H8" s="30" t="str">
        <f t="shared" si="1"/>
        <v>PERFORM "SchData-OLTP-HumanResource"."Func_TblWorker_SET"(varSystemLoginSession, null::bigint, null::varchar, null::timestamptz, null::timestamptz, null::varchar, varInstitutionBranchID, varBaseCurrencyID, 25000000000005::bigint, null::varchar);</v>
      </c>
    </row>
    <row r="9" spans="2:8" x14ac:dyDescent="0.2">
      <c r="B9" s="37">
        <f>IF(EXACT([1]DataLookUp!$B9, ""), "", [1]DataLookUp!$B9)</f>
        <v>25000000000006</v>
      </c>
      <c r="C9" s="38" t="str">
        <f>IF(EXACT(B9, ""), "", VLOOKUP(B9, [1]DataLookUp!$B$4:$C$1000, 2,FALSE ))</f>
        <v>Adhitya Danar</v>
      </c>
      <c r="D9" s="21"/>
      <c r="E9" s="108"/>
      <c r="G9" s="29">
        <f t="shared" si="0"/>
        <v>32000000000006</v>
      </c>
      <c r="H9" s="30" t="str">
        <f t="shared" si="1"/>
        <v>PERFORM "SchData-OLTP-HumanResource"."Func_TblWorker_SET"(varSystemLoginSession, null::bigint, null::varchar, null::timestamptz, null::timestamptz, null::varchar, varInstitutionBranchID, varBaseCurrencyID, 25000000000006::bigint, null::varchar);</v>
      </c>
    </row>
    <row r="10" spans="2:8" x14ac:dyDescent="0.2">
      <c r="B10" s="37">
        <f>IF(EXACT([1]DataLookUp!$B10, ""), "", [1]DataLookUp!$B10)</f>
        <v>25000000000007</v>
      </c>
      <c r="C10" s="38" t="str">
        <f>IF(EXACT(B10, ""), "", VLOOKUP(B10, [1]DataLookUp!$B$4:$C$1000, 2,FALSE ))</f>
        <v>Adi Ruswandi</v>
      </c>
      <c r="D10" s="21" t="s">
        <v>156</v>
      </c>
      <c r="E10" s="108" t="s">
        <v>284</v>
      </c>
      <c r="G10" s="29">
        <f t="shared" si="0"/>
        <v>32000000000007</v>
      </c>
      <c r="H10" s="30" t="str">
        <f t="shared" si="1"/>
        <v>PERFORM "SchData-OLTP-HumanResource"."Func_TblWorker_SET"(varSystemLoginSession, null::bigint, null::varchar, null::timestamptz, null::timestamptz, null::varchar, varInstitutionBranchID, varBaseCurrencyID, 25000000000007::bigint, '0209251009'::varchar);</v>
      </c>
    </row>
    <row r="11" spans="2:8" x14ac:dyDescent="0.2">
      <c r="B11" s="37">
        <f>IF(EXACT([1]DataLookUp!$B11, ""), "", [1]DataLookUp!$B11)</f>
        <v>25000000000008</v>
      </c>
      <c r="C11" s="38" t="str">
        <f>IF(EXACT(B11, ""), "", VLOOKUP(B11, [1]DataLookUp!$B$4:$C$1000, 2,FALSE ))</f>
        <v>Adietya Dharmawan</v>
      </c>
      <c r="D11" s="21" t="s">
        <v>45</v>
      </c>
      <c r="E11" s="108" t="s">
        <v>284</v>
      </c>
      <c r="G11" s="29">
        <f t="shared" si="0"/>
        <v>32000000000008</v>
      </c>
      <c r="H11" s="30" t="str">
        <f t="shared" si="1"/>
        <v>PERFORM "SchData-OLTP-HumanResource"."Func_TblWorker_SET"(varSystemLoginSession, null::bigint, null::varchar, null::timestamptz, null::timestamptz, null::varchar, varInstitutionBranchID, varBaseCurrencyID, 25000000000008::bigint, '050321947'::varchar);</v>
      </c>
    </row>
    <row r="12" spans="2:8" x14ac:dyDescent="0.2">
      <c r="B12" s="37">
        <f>IF(EXACT([1]DataLookUp!$B12, ""), "", [1]DataLookUp!$B12)</f>
        <v>25000000000009</v>
      </c>
      <c r="C12" s="38" t="str">
        <f>IF(EXACT(B12, ""), "", VLOOKUP(B12, [1]DataLookUp!$B$4:$C$1000, 2,FALSE ))</f>
        <v>Aditya Yudha Prawira</v>
      </c>
      <c r="D12" s="21"/>
      <c r="E12" s="108"/>
      <c r="G12" s="29">
        <f t="shared" si="0"/>
        <v>32000000000009</v>
      </c>
      <c r="H12" s="30" t="str">
        <f t="shared" si="1"/>
        <v>PERFORM "SchData-OLTP-HumanResource"."Func_TblWorker_SET"(varSystemLoginSession, null::bigint, null::varchar, null::timestamptz, null::timestamptz, null::varchar, varInstitutionBranchID, varBaseCurrencyID, 25000000000009::bigint, null::varchar);</v>
      </c>
    </row>
    <row r="13" spans="2:8" x14ac:dyDescent="0.2">
      <c r="B13" s="37">
        <f>IF(EXACT([1]DataLookUp!$B13, ""), "", [1]DataLookUp!$B13)</f>
        <v>25000000000010</v>
      </c>
      <c r="C13" s="38" t="str">
        <f>IF(EXACT(B13, ""), "", VLOOKUP(B13, [1]DataLookUp!$B$4:$C$1000, 2,FALSE ))</f>
        <v>Adli Margie</v>
      </c>
      <c r="D13" s="21"/>
      <c r="E13" s="108"/>
      <c r="G13" s="29">
        <f t="shared" si="0"/>
        <v>32000000000010</v>
      </c>
      <c r="H13" s="30" t="str">
        <f t="shared" si="1"/>
        <v>PERFORM "SchData-OLTP-HumanResource"."Func_TblWorker_SET"(varSystemLoginSession, null::bigint, null::varchar, null::timestamptz, null::timestamptz, null::varchar, varInstitutionBranchID, varBaseCurrencyID, 25000000000010::bigint, null::varchar);</v>
      </c>
    </row>
    <row r="14" spans="2:8" x14ac:dyDescent="0.2">
      <c r="B14" s="37">
        <f>IF(EXACT([1]DataLookUp!$B14, ""), "", [1]DataLookUp!$B14)</f>
        <v>25000000000011</v>
      </c>
      <c r="C14" s="38" t="str">
        <f>IF(EXACT(B14, ""), "", VLOOKUP(B14, [1]DataLookUp!$B$4:$C$1000, 2,FALSE ))</f>
        <v>Afrida Eka Putri</v>
      </c>
      <c r="D14" s="21"/>
      <c r="E14" s="108"/>
      <c r="G14" s="29">
        <f t="shared" si="0"/>
        <v>32000000000011</v>
      </c>
      <c r="H14" s="30" t="str">
        <f t="shared" si="1"/>
        <v>PERFORM "SchData-OLTP-HumanResource"."Func_TblWorker_SET"(varSystemLoginSession, null::bigint, null::varchar, null::timestamptz, null::timestamptz, null::varchar, varInstitutionBranchID, varBaseCurrencyID, 25000000000011::bigint, null::varchar);</v>
      </c>
    </row>
    <row r="15" spans="2:8" x14ac:dyDescent="0.2">
      <c r="B15" s="37">
        <f>IF(EXACT([1]DataLookUp!$B15, ""), "", [1]DataLookUp!$B15)</f>
        <v>25000000000012</v>
      </c>
      <c r="C15" s="38" t="str">
        <f>IF(EXACT(B15, ""), "", VLOOKUP(B15, [1]DataLookUp!$B$4:$C$1000, 2,FALSE ))</f>
        <v>Agnes Sutedja</v>
      </c>
      <c r="D15" s="22" t="s">
        <v>10</v>
      </c>
      <c r="E15" s="108" t="s">
        <v>284</v>
      </c>
      <c r="G15" s="29">
        <f t="shared" si="0"/>
        <v>32000000000012</v>
      </c>
      <c r="H15" s="30" t="str">
        <f t="shared" si="1"/>
        <v>PERFORM "SchData-OLTP-HumanResource"."Func_TblWorker_SET"(varSystemLoginSession, null::bigint, null::varchar, null::timestamptz, null::timestamptz, null::varchar, varInstitutionBranchID, varBaseCurrencyID, 25000000000012::bigint, '010703020'::varchar);</v>
      </c>
    </row>
    <row r="16" spans="2:8" x14ac:dyDescent="0.2">
      <c r="B16" s="37">
        <f>IF(EXACT([1]DataLookUp!$B16, ""), "", [1]DataLookUp!$B16)</f>
        <v>25000000000013</v>
      </c>
      <c r="C16" s="38" t="str">
        <f>IF(EXACT(B16, ""), "", VLOOKUP(B16, [1]DataLookUp!$B$4:$C$1000, 2,FALSE ))</f>
        <v>Agung Hendarto</v>
      </c>
      <c r="D16" s="21"/>
      <c r="E16" s="108"/>
      <c r="G16" s="29">
        <f t="shared" si="0"/>
        <v>32000000000013</v>
      </c>
      <c r="H16" s="30" t="str">
        <f t="shared" si="1"/>
        <v>PERFORM "SchData-OLTP-HumanResource"."Func_TblWorker_SET"(varSystemLoginSession, null::bigint, null::varchar, null::timestamptz, null::timestamptz, null::varchar, varInstitutionBranchID, varBaseCurrencyID, 25000000000013::bigint, null::varchar);</v>
      </c>
    </row>
    <row r="17" spans="2:8" x14ac:dyDescent="0.2">
      <c r="B17" s="37">
        <f>IF(EXACT([1]DataLookUp!$B17, ""), "", [1]DataLookUp!$B17)</f>
        <v>25000000000014</v>
      </c>
      <c r="C17" s="38" t="str">
        <f>IF(EXACT(B17, ""), "", VLOOKUP(B17, [1]DataLookUp!$B$4:$C$1000, 2,FALSE ))</f>
        <v>Agus Priyatno Mahmudo</v>
      </c>
      <c r="D17" s="21"/>
      <c r="E17" s="108"/>
      <c r="G17" s="29">
        <f t="shared" si="0"/>
        <v>32000000000014</v>
      </c>
      <c r="H17" s="30" t="str">
        <f t="shared" si="1"/>
        <v>PERFORM "SchData-OLTP-HumanResource"."Func_TblWorker_SET"(varSystemLoginSession, null::bigint, null::varchar, null::timestamptz, null::timestamptz, null::varchar, varInstitutionBranchID, varBaseCurrencyID, 25000000000014::bigint, null::varchar);</v>
      </c>
    </row>
    <row r="18" spans="2:8" x14ac:dyDescent="0.2">
      <c r="B18" s="37">
        <f>IF(EXACT([1]DataLookUp!$B18, ""), "", [1]DataLookUp!$B18)</f>
        <v>25000000000015</v>
      </c>
      <c r="C18" s="38" t="str">
        <f>IF(EXACT(B18, ""), "", VLOOKUP(B18, [1]DataLookUp!$B$4:$C$1000, 2,FALSE ))</f>
        <v>Agus Salim</v>
      </c>
      <c r="D18" s="22" t="s">
        <v>11</v>
      </c>
      <c r="E18" s="108" t="s">
        <v>284</v>
      </c>
      <c r="G18" s="29">
        <f t="shared" si="0"/>
        <v>32000000000015</v>
      </c>
      <c r="H18" s="30" t="str">
        <f t="shared" si="1"/>
        <v>PERFORM "SchData-OLTP-HumanResource"."Func_TblWorker_SET"(varSystemLoginSession, null::bigint, null::varchar, null::timestamptz, null::timestamptz, null::varchar, varInstitutionBranchID, varBaseCurrencyID, 25000000000015::bigint, '130223978'::varchar);</v>
      </c>
    </row>
    <row r="19" spans="2:8" x14ac:dyDescent="0.2">
      <c r="B19" s="37">
        <f>IF(EXACT([1]DataLookUp!$B19, ""), "", [1]DataLookUp!$B19)</f>
        <v>25000000000016</v>
      </c>
      <c r="C19" s="38" t="str">
        <f>IF(EXACT(B19, ""), "", VLOOKUP(B19, [1]DataLookUp!$B$4:$C$1000, 2,FALSE ))</f>
        <v>Agus Tanto</v>
      </c>
      <c r="D19" s="21"/>
      <c r="E19" s="108"/>
      <c r="G19" s="29">
        <f t="shared" si="0"/>
        <v>32000000000016</v>
      </c>
      <c r="H19" s="30" t="str">
        <f t="shared" si="1"/>
        <v>PERFORM "SchData-OLTP-HumanResource"."Func_TblWorker_SET"(varSystemLoginSession, null::bigint, null::varchar, null::timestamptz, null::timestamptz, null::varchar, varInstitutionBranchID, varBaseCurrencyID, 25000000000016::bigint, null::varchar);</v>
      </c>
    </row>
    <row r="20" spans="2:8" x14ac:dyDescent="0.2">
      <c r="B20" s="37">
        <f>IF(EXACT([1]DataLookUp!$B20, ""), "", [1]DataLookUp!$B20)</f>
        <v>25000000000017</v>
      </c>
      <c r="C20" s="38" t="str">
        <f>IF(EXACT(B20, ""), "", VLOOKUP(B20, [1]DataLookUp!$B$4:$C$1000, 2,FALSE ))</f>
        <v>Ahmad Faiz Haems Muda</v>
      </c>
      <c r="D20" s="21">
        <v>280314716</v>
      </c>
      <c r="E20" s="108" t="s">
        <v>284</v>
      </c>
      <c r="G20" s="29">
        <f t="shared" si="0"/>
        <v>32000000000017</v>
      </c>
      <c r="H20" s="30" t="str">
        <f t="shared" si="1"/>
        <v>PERFORM "SchData-OLTP-HumanResource"."Func_TblWorker_SET"(varSystemLoginSession, null::bigint, null::varchar, null::timestamptz, null::timestamptz, null::varchar, varInstitutionBranchID, varBaseCurrencyID, 25000000000017::bigint, '280314716'::varchar);</v>
      </c>
    </row>
    <row r="21" spans="2:8" x14ac:dyDescent="0.2">
      <c r="B21" s="37">
        <f>IF(EXACT([1]DataLookUp!$B21, ""), "", [1]DataLookUp!$B21)</f>
        <v>25000000000018</v>
      </c>
      <c r="C21" s="38" t="str">
        <f>IF(EXACT(B21, ""), "", VLOOKUP(B21, [1]DataLookUp!$B$4:$C$1000, 2,FALSE ))</f>
        <v>Ahmad Faza</v>
      </c>
      <c r="D21" s="21"/>
      <c r="E21" s="108"/>
      <c r="G21" s="29">
        <f t="shared" si="0"/>
        <v>32000000000018</v>
      </c>
      <c r="H21" s="30" t="str">
        <f t="shared" si="1"/>
        <v>PERFORM "SchData-OLTP-HumanResource"."Func_TblWorker_SET"(varSystemLoginSession, null::bigint, null::varchar, null::timestamptz, null::timestamptz, null::varchar, varInstitutionBranchID, varBaseCurrencyID, 25000000000018::bigint, null::varchar);</v>
      </c>
    </row>
    <row r="22" spans="2:8" x14ac:dyDescent="0.2">
      <c r="B22" s="37">
        <f>IF(EXACT([1]DataLookUp!$B22, ""), "", [1]DataLookUp!$B22)</f>
        <v>25000000000019</v>
      </c>
      <c r="C22" s="38" t="str">
        <f>IF(EXACT(B22, ""), "", VLOOKUP(B22, [1]DataLookUp!$B$4:$C$1000, 2,FALSE ))</f>
        <v>Ahmad Syaifulloh</v>
      </c>
      <c r="D22" s="21">
        <v>150506222</v>
      </c>
      <c r="E22" s="108" t="s">
        <v>284</v>
      </c>
      <c r="G22" s="29">
        <f t="shared" si="0"/>
        <v>32000000000019</v>
      </c>
      <c r="H22" s="30" t="str">
        <f t="shared" si="1"/>
        <v>PERFORM "SchData-OLTP-HumanResource"."Func_TblWorker_SET"(varSystemLoginSession, null::bigint, null::varchar, null::timestamptz, null::timestamptz, null::varchar, varInstitutionBranchID, varBaseCurrencyID, 25000000000019::bigint, '150506222'::varchar);</v>
      </c>
    </row>
    <row r="23" spans="2:8" x14ac:dyDescent="0.2">
      <c r="B23" s="37">
        <f>IF(EXACT([1]DataLookUp!$B23, ""), "", [1]DataLookUp!$B23)</f>
        <v>25000000000020</v>
      </c>
      <c r="C23" s="38" t="str">
        <f>IF(EXACT(B23, ""), "", VLOOKUP(B23, [1]DataLookUp!$B$4:$C$1000, 2,FALSE ))</f>
        <v>Ahmad Zulkarnaen</v>
      </c>
      <c r="D23" s="21"/>
      <c r="E23" s="108"/>
      <c r="G23" s="29">
        <f t="shared" si="0"/>
        <v>32000000000020</v>
      </c>
      <c r="H23" s="30" t="str">
        <f t="shared" si="1"/>
        <v>PERFORM "SchData-OLTP-HumanResource"."Func_TblWorker_SET"(varSystemLoginSession, null::bigint, null::varchar, null::timestamptz, null::timestamptz, null::varchar, varInstitutionBranchID, varBaseCurrencyID, 25000000000020::bigint, null::varchar);</v>
      </c>
    </row>
    <row r="24" spans="2:8" x14ac:dyDescent="0.2">
      <c r="B24" s="37">
        <f>IF(EXACT([1]DataLookUp!$B24, ""), "", [1]DataLookUp!$B24)</f>
        <v>25000000000021</v>
      </c>
      <c r="C24" s="38" t="str">
        <f>IF(EXACT(B24, ""), "", VLOOKUP(B24, [1]DataLookUp!$B$4:$C$1000, 2,FALSE ))</f>
        <v>Ajan</v>
      </c>
      <c r="D24" s="21"/>
      <c r="E24" s="108"/>
      <c r="G24" s="29">
        <f t="shared" si="0"/>
        <v>32000000000021</v>
      </c>
      <c r="H24" s="30" t="str">
        <f t="shared" si="1"/>
        <v>PERFORM "SchData-OLTP-HumanResource"."Func_TblWorker_SET"(varSystemLoginSession, null::bigint, null::varchar, null::timestamptz, null::timestamptz, null::varchar, varInstitutionBranchID, varBaseCurrencyID, 25000000000021::bigint, null::varchar);</v>
      </c>
    </row>
    <row r="25" spans="2:8" x14ac:dyDescent="0.2">
      <c r="B25" s="37">
        <f>IF(EXACT([1]DataLookUp!$B25, ""), "", [1]DataLookUp!$B25)</f>
        <v>25000000000022</v>
      </c>
      <c r="C25" s="38" t="str">
        <f>IF(EXACT(B25, ""), "", VLOOKUP(B25, [1]DataLookUp!$B$4:$C$1000, 2,FALSE ))</f>
        <v>Al Amin</v>
      </c>
      <c r="D25" s="21"/>
      <c r="E25" s="108"/>
      <c r="G25" s="29">
        <f t="shared" si="0"/>
        <v>32000000000022</v>
      </c>
      <c r="H25" s="30" t="str">
        <f t="shared" si="1"/>
        <v>PERFORM "SchData-OLTP-HumanResource"."Func_TblWorker_SET"(varSystemLoginSession, null::bigint, null::varchar, null::timestamptz, null::timestamptz, null::varchar, varInstitutionBranchID, varBaseCurrencyID, 25000000000022::bigint, null::varchar);</v>
      </c>
    </row>
    <row r="26" spans="2:8" x14ac:dyDescent="0.2">
      <c r="B26" s="37">
        <f>IF(EXACT([1]DataLookUp!$B26, ""), "", [1]DataLookUp!$B26)</f>
        <v>25000000000023</v>
      </c>
      <c r="C26" s="38" t="str">
        <f>IF(EXACT(B26, ""), "", VLOOKUP(B26, [1]DataLookUp!$B$4:$C$1000, 2,FALSE ))</f>
        <v>Aldi Mulyadi</v>
      </c>
      <c r="D26" s="21">
        <v>141020935</v>
      </c>
      <c r="E26" s="108" t="s">
        <v>284</v>
      </c>
      <c r="G26" s="29">
        <f t="shared" si="0"/>
        <v>32000000000023</v>
      </c>
      <c r="H26" s="30" t="str">
        <f t="shared" si="1"/>
        <v>PERFORM "SchData-OLTP-HumanResource"."Func_TblWorker_SET"(varSystemLoginSession, null::bigint, null::varchar, null::timestamptz, null::timestamptz, null::varchar, varInstitutionBranchID, varBaseCurrencyID, 25000000000023::bigint, '141020935'::varchar);</v>
      </c>
    </row>
    <row r="27" spans="2:8" x14ac:dyDescent="0.2">
      <c r="B27" s="37">
        <f>IF(EXACT([1]DataLookUp!$B27, ""), "", [1]DataLookUp!$B27)</f>
        <v>25000000000024</v>
      </c>
      <c r="C27" s="38" t="str">
        <f>IF(EXACT(B27, ""), "", VLOOKUP(B27, [1]DataLookUp!$B$4:$C$1000, 2,FALSE ))</f>
        <v>Alexandri</v>
      </c>
      <c r="D27" s="21"/>
      <c r="E27" s="108"/>
      <c r="G27" s="29">
        <f t="shared" si="0"/>
        <v>32000000000024</v>
      </c>
      <c r="H27" s="30" t="str">
        <f t="shared" si="1"/>
        <v>PERFORM "SchData-OLTP-HumanResource"."Func_TblWorker_SET"(varSystemLoginSession, null::bigint, null::varchar, null::timestamptz, null::timestamptz, null::varchar, varInstitutionBranchID, varBaseCurrencyID, 25000000000024::bigint, null::varchar);</v>
      </c>
    </row>
    <row r="28" spans="2:8" x14ac:dyDescent="0.2">
      <c r="B28" s="37">
        <f>IF(EXACT([1]DataLookUp!$B28, ""), "", [1]DataLookUp!$B28)</f>
        <v>25000000000025</v>
      </c>
      <c r="C28" s="38" t="str">
        <f>IF(EXACT(B28, ""), "", VLOOKUP(B28, [1]DataLookUp!$B$4:$C$1000, 2,FALSE ))</f>
        <v>Alfaedi</v>
      </c>
      <c r="D28" s="21"/>
      <c r="E28" s="108"/>
      <c r="G28" s="29">
        <f t="shared" si="0"/>
        <v>32000000000025</v>
      </c>
      <c r="H28" s="30" t="str">
        <f t="shared" si="1"/>
        <v>PERFORM "SchData-OLTP-HumanResource"."Func_TblWorker_SET"(varSystemLoginSession, null::bigint, null::varchar, null::timestamptz, null::timestamptz, null::varchar, varInstitutionBranchID, varBaseCurrencyID, 25000000000025::bigint, null::varchar);</v>
      </c>
    </row>
    <row r="29" spans="2:8" x14ac:dyDescent="0.2">
      <c r="B29" s="37">
        <f>IF(EXACT([1]DataLookUp!$B29, ""), "", [1]DataLookUp!$B29)</f>
        <v>25000000000026</v>
      </c>
      <c r="C29" s="38" t="str">
        <f>IF(EXACT(B29, ""), "", VLOOKUP(B29, [1]DataLookUp!$B$4:$C$1000, 2,FALSE ))</f>
        <v>Ali Wahono</v>
      </c>
      <c r="D29" s="21"/>
      <c r="E29" s="108"/>
      <c r="G29" s="29">
        <f t="shared" si="0"/>
        <v>32000000000026</v>
      </c>
      <c r="H29" s="30" t="str">
        <f t="shared" si="1"/>
        <v>PERFORM "SchData-OLTP-HumanResource"."Func_TblWorker_SET"(varSystemLoginSession, null::bigint, null::varchar, null::timestamptz, null::timestamptz, null::varchar, varInstitutionBranchID, varBaseCurrencyID, 25000000000026::bigint, null::varchar);</v>
      </c>
    </row>
    <row r="30" spans="2:8" x14ac:dyDescent="0.2">
      <c r="B30" s="37">
        <f>IF(EXACT([1]DataLookUp!$B30, ""), "", [1]DataLookUp!$B30)</f>
        <v>25000000000027</v>
      </c>
      <c r="C30" s="38" t="str">
        <f>IF(EXACT(B30, ""), "", VLOOKUP(B30, [1]DataLookUp!$B$4:$C$1000, 2,FALSE ))</f>
        <v>Alphaliyanri Lasria</v>
      </c>
      <c r="D30" s="21"/>
      <c r="E30" s="108"/>
      <c r="G30" s="29">
        <f t="shared" si="0"/>
        <v>32000000000027</v>
      </c>
      <c r="H30" s="30" t="str">
        <f t="shared" si="1"/>
        <v>PERFORM "SchData-OLTP-HumanResource"."Func_TblWorker_SET"(varSystemLoginSession, null::bigint, null::varchar, null::timestamptz, null::timestamptz, null::varchar, varInstitutionBranchID, varBaseCurrencyID, 25000000000027::bigint, null::varchar);</v>
      </c>
    </row>
    <row r="31" spans="2:8" x14ac:dyDescent="0.2">
      <c r="B31" s="37">
        <f>IF(EXACT([1]DataLookUp!$B31, ""), "", [1]DataLookUp!$B31)</f>
        <v>25000000000028</v>
      </c>
      <c r="C31" s="38" t="str">
        <f>IF(EXACT(B31, ""), "", VLOOKUP(B31, [1]DataLookUp!$B$4:$C$1000, 2,FALSE ))</f>
        <v>Ambon Rumalean</v>
      </c>
      <c r="D31" s="21"/>
      <c r="E31" s="108"/>
      <c r="G31" s="29">
        <f t="shared" si="0"/>
        <v>32000000000028</v>
      </c>
      <c r="H31" s="30" t="str">
        <f t="shared" si="1"/>
        <v>PERFORM "SchData-OLTP-HumanResource"."Func_TblWorker_SET"(varSystemLoginSession, null::bigint, null::varchar, null::timestamptz, null::timestamptz, null::varchar, varInstitutionBranchID, varBaseCurrencyID, 25000000000028::bigint, null::varchar);</v>
      </c>
    </row>
    <row r="32" spans="2:8" x14ac:dyDescent="0.2">
      <c r="B32" s="37">
        <f>IF(EXACT([1]DataLookUp!$B32, ""), "", [1]DataLookUp!$B32)</f>
        <v>25000000000029</v>
      </c>
      <c r="C32" s="38" t="str">
        <f>IF(EXACT(B32, ""), "", VLOOKUP(B32, [1]DataLookUp!$B$4:$C$1000, 2,FALSE ))</f>
        <v>Amir Sofyan Hadi</v>
      </c>
      <c r="D32" s="21"/>
      <c r="E32" s="108"/>
      <c r="G32" s="29">
        <f t="shared" si="0"/>
        <v>32000000000029</v>
      </c>
      <c r="H32" s="30" t="str">
        <f t="shared" si="1"/>
        <v>PERFORM "SchData-OLTP-HumanResource"."Func_TblWorker_SET"(varSystemLoginSession, null::bigint, null::varchar, null::timestamptz, null::timestamptz, null::varchar, varInstitutionBranchID, varBaseCurrencyID, 25000000000029::bigint, null::varchar);</v>
      </c>
    </row>
    <row r="33" spans="2:8" x14ac:dyDescent="0.2">
      <c r="B33" s="37">
        <f>IF(EXACT([1]DataLookUp!$B33, ""), "", [1]DataLookUp!$B33)</f>
        <v>25000000000030</v>
      </c>
      <c r="C33" s="38" t="str">
        <f>IF(EXACT(B33, ""), "", VLOOKUP(B33, [1]DataLookUp!$B$4:$C$1000, 2,FALSE ))</f>
        <v>Anak Agung Netti Ariani</v>
      </c>
      <c r="D33" s="21"/>
      <c r="E33" s="108"/>
      <c r="G33" s="29">
        <f t="shared" si="0"/>
        <v>32000000000030</v>
      </c>
      <c r="H33" s="30" t="str">
        <f t="shared" si="1"/>
        <v>PERFORM "SchData-OLTP-HumanResource"."Func_TblWorker_SET"(varSystemLoginSession, null::bigint, null::varchar, null::timestamptz, null::timestamptz, null::varchar, varInstitutionBranchID, varBaseCurrencyID, 25000000000030::bigint, null::varchar);</v>
      </c>
    </row>
    <row r="34" spans="2:8" x14ac:dyDescent="0.2">
      <c r="B34" s="37">
        <f>IF(EXACT([1]DataLookUp!$B34, ""), "", [1]DataLookUp!$B34)</f>
        <v>25000000000031</v>
      </c>
      <c r="C34" s="38" t="str">
        <f>IF(EXACT(B34, ""), "", VLOOKUP(B34, [1]DataLookUp!$B$4:$C$1000, 2,FALSE ))</f>
        <v>Andri Gunawan</v>
      </c>
      <c r="D34" s="21"/>
      <c r="E34" s="108"/>
      <c r="G34" s="29">
        <f t="shared" si="0"/>
        <v>32000000000031</v>
      </c>
      <c r="H34" s="30" t="str">
        <f t="shared" si="1"/>
        <v>PERFORM "SchData-OLTP-HumanResource"."Func_TblWorker_SET"(varSystemLoginSession, null::bigint, null::varchar, null::timestamptz, null::timestamptz, null::varchar, varInstitutionBranchID, varBaseCurrencyID, 25000000000031::bigint, null::varchar);</v>
      </c>
    </row>
    <row r="35" spans="2:8" x14ac:dyDescent="0.2">
      <c r="B35" s="37">
        <f>IF(EXACT([1]DataLookUp!$B35, ""), "", [1]DataLookUp!$B35)</f>
        <v>25000000000032</v>
      </c>
      <c r="C35" s="38" t="str">
        <f>IF(EXACT(B35, ""), "", VLOOKUP(B35, [1]DataLookUp!$B$4:$C$1000, 2,FALSE ))</f>
        <v>Andri Herdiansyah</v>
      </c>
      <c r="D35" s="21"/>
      <c r="E35" s="108"/>
      <c r="G35" s="29">
        <f t="shared" si="0"/>
        <v>32000000000032</v>
      </c>
      <c r="H35" s="30" t="str">
        <f t="shared" si="1"/>
        <v>PERFORM "SchData-OLTP-HumanResource"."Func_TblWorker_SET"(varSystemLoginSession, null::bigint, null::varchar, null::timestamptz, null::timestamptz, null::varchar, varInstitutionBranchID, varBaseCurrencyID, 25000000000032::bigint, null::varchar);</v>
      </c>
    </row>
    <row r="36" spans="2:8" x14ac:dyDescent="0.2">
      <c r="B36" s="37">
        <f>IF(EXACT([1]DataLookUp!$B36, ""), "", [1]DataLookUp!$B36)</f>
        <v>25000000000033</v>
      </c>
      <c r="C36" s="38" t="str">
        <f>IF(EXACT(B36, ""), "", VLOOKUP(B36, [1]DataLookUp!$B$4:$C$1000, 2,FALSE ))</f>
        <v>Andrie</v>
      </c>
      <c r="D36" s="21"/>
      <c r="E36" s="108"/>
      <c r="G36" s="29">
        <f t="shared" si="0"/>
        <v>32000000000033</v>
      </c>
      <c r="H36" s="30" t="str">
        <f t="shared" si="1"/>
        <v>PERFORM "SchData-OLTP-HumanResource"."Func_TblWorker_SET"(varSystemLoginSession, null::bigint, null::varchar, null::timestamptz, null::timestamptz, null::varchar, varInstitutionBranchID, varBaseCurrencyID, 25000000000033::bigint, null::varchar);</v>
      </c>
    </row>
    <row r="37" spans="2:8" x14ac:dyDescent="0.2">
      <c r="B37" s="37">
        <f>IF(EXACT([1]DataLookUp!$B37, ""), "", [1]DataLookUp!$B37)</f>
        <v>25000000000034</v>
      </c>
      <c r="C37" s="38" t="str">
        <f>IF(EXACT(B37, ""), "", VLOOKUP(B37, [1]DataLookUp!$B$4:$C$1000, 2,FALSE ))</f>
        <v>Anggina Tri Yudandi</v>
      </c>
      <c r="D37" s="21"/>
      <c r="E37" s="108"/>
      <c r="G37" s="29">
        <f t="shared" si="0"/>
        <v>32000000000034</v>
      </c>
      <c r="H37" s="30" t="str">
        <f t="shared" si="1"/>
        <v>PERFORM "SchData-OLTP-HumanResource"."Func_TblWorker_SET"(varSystemLoginSession, null::bigint, null::varchar, null::timestamptz, null::timestamptz, null::varchar, varInstitutionBranchID, varBaseCurrencyID, 25000000000034::bigint, null::varchar);</v>
      </c>
    </row>
    <row r="38" spans="2:8" x14ac:dyDescent="0.2">
      <c r="B38" s="37">
        <f>IF(EXACT([1]DataLookUp!$B38, ""), "", [1]DataLookUp!$B38)</f>
        <v>25000000000035</v>
      </c>
      <c r="C38" s="38" t="str">
        <f>IF(EXACT(B38, ""), "", VLOOKUP(B38, [1]DataLookUp!$B$4:$C$1000, 2,FALSE ))</f>
        <v>Anggit Ismiyanto</v>
      </c>
      <c r="D38" s="21"/>
      <c r="E38" s="108"/>
      <c r="G38" s="29">
        <f t="shared" si="0"/>
        <v>32000000000035</v>
      </c>
      <c r="H38" s="30" t="str">
        <f t="shared" si="1"/>
        <v>PERFORM "SchData-OLTP-HumanResource"."Func_TblWorker_SET"(varSystemLoginSession, null::bigint, null::varchar, null::timestamptz, null::timestamptz, null::varchar, varInstitutionBranchID, varBaseCurrencyID, 25000000000035::bigint, null::varchar);</v>
      </c>
    </row>
    <row r="39" spans="2:8" x14ac:dyDescent="0.2">
      <c r="B39" s="37">
        <f>IF(EXACT([1]DataLookUp!$B39, ""), "", [1]DataLookUp!$B39)</f>
        <v>25000000000036</v>
      </c>
      <c r="C39" s="38" t="str">
        <f>IF(EXACT(B39, ""), "", VLOOKUP(B39, [1]DataLookUp!$B$4:$C$1000, 2,FALSE ))</f>
        <v>Anika Setyowati</v>
      </c>
      <c r="D39" s="21"/>
      <c r="E39" s="108"/>
      <c r="G39" s="29">
        <f t="shared" si="0"/>
        <v>32000000000036</v>
      </c>
      <c r="H39" s="30" t="str">
        <f t="shared" si="1"/>
        <v>PERFORM "SchData-OLTP-HumanResource"."Func_TblWorker_SET"(varSystemLoginSession, null::bigint, null::varchar, null::timestamptz, null::timestamptz, null::varchar, varInstitutionBranchID, varBaseCurrencyID, 25000000000036::bigint, null::varchar);</v>
      </c>
    </row>
    <row r="40" spans="2:8" x14ac:dyDescent="0.2">
      <c r="B40" s="37">
        <f>IF(EXACT([1]DataLookUp!$B40, ""), "", [1]DataLookUp!$B40)</f>
        <v>25000000000037</v>
      </c>
      <c r="C40" s="38" t="str">
        <f>IF(EXACT(B40, ""), "", VLOOKUP(B40, [1]DataLookUp!$B$4:$C$1000, 2,FALSE ))</f>
        <v>Anisah</v>
      </c>
      <c r="D40" s="21"/>
      <c r="E40" s="108"/>
      <c r="G40" s="29">
        <f t="shared" si="0"/>
        <v>32000000000037</v>
      </c>
      <c r="H40" s="30" t="str">
        <f t="shared" si="1"/>
        <v>PERFORM "SchData-OLTP-HumanResource"."Func_TblWorker_SET"(varSystemLoginSession, null::bigint, null::varchar, null::timestamptz, null::timestamptz, null::varchar, varInstitutionBranchID, varBaseCurrencyID, 25000000000037::bigint, null::varchar);</v>
      </c>
    </row>
    <row r="41" spans="2:8" x14ac:dyDescent="0.2">
      <c r="B41" s="37">
        <f>IF(EXACT([1]DataLookUp!$B41, ""), "", [1]DataLookUp!$B41)</f>
        <v>25000000000038</v>
      </c>
      <c r="C41" s="38" t="str">
        <f>IF(EXACT(B41, ""), "", VLOOKUP(B41, [1]DataLookUp!$B$4:$C$1000, 2,FALSE ))</f>
        <v>Anna Savitrie</v>
      </c>
      <c r="D41" s="21"/>
      <c r="E41" s="108"/>
      <c r="G41" s="29">
        <f t="shared" si="0"/>
        <v>32000000000038</v>
      </c>
      <c r="H41" s="30" t="str">
        <f t="shared" si="1"/>
        <v>PERFORM "SchData-OLTP-HumanResource"."Func_TblWorker_SET"(varSystemLoginSession, null::bigint, null::varchar, null::timestamptz, null::timestamptz, null::varchar, varInstitutionBranchID, varBaseCurrencyID, 25000000000038::bigint, null::varchar);</v>
      </c>
    </row>
    <row r="42" spans="2:8" x14ac:dyDescent="0.2">
      <c r="B42" s="37">
        <f>IF(EXACT([1]DataLookUp!$B42, ""), "", [1]DataLookUp!$B42)</f>
        <v>25000000000039</v>
      </c>
      <c r="C42" s="38" t="str">
        <f>IF(EXACT(B42, ""), "", VLOOKUP(B42, [1]DataLookUp!$B$4:$C$1000, 2,FALSE ))</f>
        <v>Annisa Dewi Arumsari</v>
      </c>
      <c r="D42" s="21">
        <v>100419903</v>
      </c>
      <c r="E42" s="108" t="s">
        <v>284</v>
      </c>
      <c r="G42" s="29">
        <f t="shared" si="0"/>
        <v>32000000000039</v>
      </c>
      <c r="H42" s="30" t="str">
        <f t="shared" si="1"/>
        <v>PERFORM "SchData-OLTP-HumanResource"."Func_TblWorker_SET"(varSystemLoginSession, null::bigint, null::varchar, null::timestamptz, null::timestamptz, null::varchar, varInstitutionBranchID, varBaseCurrencyID, 25000000000039::bigint, '100419903'::varchar);</v>
      </c>
    </row>
    <row r="43" spans="2:8" x14ac:dyDescent="0.2">
      <c r="B43" s="37">
        <f>IF(EXACT([1]DataLookUp!$B43, ""), "", [1]DataLookUp!$B43)</f>
        <v>25000000000040</v>
      </c>
      <c r="C43" s="38" t="str">
        <f>IF(EXACT(B43, ""), "", VLOOKUP(B43, [1]DataLookUp!$B$4:$C$1000, 2,FALSE ))</f>
        <v>Annyes Sri Maristi</v>
      </c>
      <c r="D43" s="21"/>
      <c r="E43" s="108"/>
      <c r="G43" s="29">
        <f t="shared" si="0"/>
        <v>32000000000040</v>
      </c>
      <c r="H43" s="30" t="str">
        <f t="shared" si="1"/>
        <v>PERFORM "SchData-OLTP-HumanResource"."Func_TblWorker_SET"(varSystemLoginSession, null::bigint, null::varchar, null::timestamptz, null::timestamptz, null::varchar, varInstitutionBranchID, varBaseCurrencyID, 25000000000040::bigint, null::varchar);</v>
      </c>
    </row>
    <row r="44" spans="2:8" x14ac:dyDescent="0.2">
      <c r="B44" s="37">
        <f>IF(EXACT([1]DataLookUp!$B44, ""), "", [1]DataLookUp!$B44)</f>
        <v>25000000000041</v>
      </c>
      <c r="C44" s="38" t="str">
        <f>IF(EXACT(B44, ""), "", VLOOKUP(B44, [1]DataLookUp!$B$4:$C$1000, 2,FALSE ))</f>
        <v>Antok</v>
      </c>
      <c r="D44" s="21"/>
      <c r="E44" s="108"/>
      <c r="G44" s="29">
        <f t="shared" si="0"/>
        <v>32000000000041</v>
      </c>
      <c r="H44" s="30" t="str">
        <f t="shared" si="1"/>
        <v>PERFORM "SchData-OLTP-HumanResource"."Func_TblWorker_SET"(varSystemLoginSession, null::bigint, null::varchar, null::timestamptz, null::timestamptz, null::varchar, varInstitutionBranchID, varBaseCurrencyID, 25000000000041::bigint, null::varchar);</v>
      </c>
    </row>
    <row r="45" spans="2:8" x14ac:dyDescent="0.2">
      <c r="B45" s="37">
        <f>IF(EXACT([1]DataLookUp!$B45, ""), "", [1]DataLookUp!$B45)</f>
        <v>25000000000042</v>
      </c>
      <c r="C45" s="38" t="str">
        <f>IF(EXACT(B45, ""), "", VLOOKUP(B45, [1]DataLookUp!$B$4:$C$1000, 2,FALSE ))</f>
        <v>Anton Iryanto</v>
      </c>
      <c r="D45" s="21"/>
      <c r="E45" s="108"/>
      <c r="G45" s="29">
        <f t="shared" si="0"/>
        <v>32000000000042</v>
      </c>
      <c r="H45" s="30" t="str">
        <f t="shared" si="1"/>
        <v>PERFORM "SchData-OLTP-HumanResource"."Func_TblWorker_SET"(varSystemLoginSession, null::bigint, null::varchar, null::timestamptz, null::timestamptz, null::varchar, varInstitutionBranchID, varBaseCurrencyID, 25000000000042::bigint, null::varchar);</v>
      </c>
    </row>
    <row r="46" spans="2:8" x14ac:dyDescent="0.2">
      <c r="B46" s="37">
        <f>IF(EXACT([1]DataLookUp!$B46, ""), "", [1]DataLookUp!$B46)</f>
        <v>25000000000043</v>
      </c>
      <c r="C46" s="38" t="str">
        <f>IF(EXACT(B46, ""), "", VLOOKUP(B46, [1]DataLookUp!$B$4:$C$1000, 2,FALSE ))</f>
        <v>Antony Pakpahan</v>
      </c>
      <c r="D46" s="21"/>
      <c r="E46" s="108"/>
      <c r="G46" s="29">
        <f t="shared" si="0"/>
        <v>32000000000043</v>
      </c>
      <c r="H46" s="30" t="str">
        <f t="shared" si="1"/>
        <v>PERFORM "SchData-OLTP-HumanResource"."Func_TblWorker_SET"(varSystemLoginSession, null::bigint, null::varchar, null::timestamptz, null::timestamptz, null::varchar, varInstitutionBranchID, varBaseCurrencyID, 25000000000043::bigint, null::varchar);</v>
      </c>
    </row>
    <row r="47" spans="2:8" x14ac:dyDescent="0.2">
      <c r="B47" s="37">
        <f>IF(EXACT([1]DataLookUp!$B47, ""), "", [1]DataLookUp!$B47)</f>
        <v>25000000000044</v>
      </c>
      <c r="C47" s="38" t="str">
        <f>IF(EXACT(B47, ""), "", VLOOKUP(B47, [1]DataLookUp!$B$4:$C$1000, 2,FALSE ))</f>
        <v>Anugerah Januariansyah</v>
      </c>
      <c r="D47" s="21" t="s">
        <v>12</v>
      </c>
      <c r="E47" s="108" t="s">
        <v>284</v>
      </c>
      <c r="G47" s="29">
        <f t="shared" si="0"/>
        <v>32000000000044</v>
      </c>
      <c r="H47" s="30" t="str">
        <f t="shared" si="1"/>
        <v>PERFORM "SchData-OLTP-HumanResource"."Func_TblWorker_SET"(varSystemLoginSession, null::bigint, null::varchar, null::timestamptz, null::timestamptz, null::varchar, varInstitutionBranchID, varBaseCurrencyID, 25000000000044::bigint, '310821007'::varchar);</v>
      </c>
    </row>
    <row r="48" spans="2:8" x14ac:dyDescent="0.2">
      <c r="B48" s="37">
        <f>IF(EXACT([1]DataLookUp!$B48, ""), "", [1]DataLookUp!$B48)</f>
        <v>25000000000045</v>
      </c>
      <c r="C48" s="38" t="str">
        <f>IF(EXACT(B48, ""), "", VLOOKUP(B48, [1]DataLookUp!$B$4:$C$1000, 2,FALSE ))</f>
        <v>Anwar Purnomo</v>
      </c>
      <c r="D48" s="21"/>
      <c r="E48" s="108"/>
      <c r="G48" s="29">
        <f t="shared" si="0"/>
        <v>32000000000045</v>
      </c>
      <c r="H48" s="30" t="str">
        <f t="shared" si="1"/>
        <v>PERFORM "SchData-OLTP-HumanResource"."Func_TblWorker_SET"(varSystemLoginSession, null::bigint, null::varchar, null::timestamptz, null::timestamptz, null::varchar, varInstitutionBranchID, varBaseCurrencyID, 25000000000045::bigint, null::varchar);</v>
      </c>
    </row>
    <row r="49" spans="2:8" x14ac:dyDescent="0.2">
      <c r="B49" s="37">
        <f>IF(EXACT([1]DataLookUp!$B49, ""), "", [1]DataLookUp!$B49)</f>
        <v>25000000000046</v>
      </c>
      <c r="C49" s="38" t="str">
        <f>IF(EXACT(B49, ""), "", VLOOKUP(B49, [1]DataLookUp!$B$4:$C$1000, 2,FALSE ))</f>
        <v>Ardhi Swasono</v>
      </c>
      <c r="D49" s="21"/>
      <c r="E49" s="108"/>
      <c r="G49" s="29">
        <f t="shared" si="0"/>
        <v>32000000000046</v>
      </c>
      <c r="H49" s="30" t="str">
        <f t="shared" si="1"/>
        <v>PERFORM "SchData-OLTP-HumanResource"."Func_TblWorker_SET"(varSystemLoginSession, null::bigint, null::varchar, null::timestamptz, null::timestamptz, null::varchar, varInstitutionBranchID, varBaseCurrencyID, 25000000000046::bigint, null::varchar);</v>
      </c>
    </row>
    <row r="50" spans="2:8" x14ac:dyDescent="0.2">
      <c r="B50" s="37">
        <f>IF(EXACT([1]DataLookUp!$B50, ""), "", [1]DataLookUp!$B50)</f>
        <v>25000000000047</v>
      </c>
      <c r="C50" s="38" t="str">
        <f>IF(EXACT(B50, ""), "", VLOOKUP(B50, [1]DataLookUp!$B$4:$C$1000, 2,FALSE ))</f>
        <v>Ardi</v>
      </c>
      <c r="D50" s="21"/>
      <c r="E50" s="108"/>
      <c r="G50" s="29">
        <f t="shared" si="0"/>
        <v>32000000000047</v>
      </c>
      <c r="H50" s="30" t="str">
        <f t="shared" si="1"/>
        <v>PERFORM "SchData-OLTP-HumanResource"."Func_TblWorker_SET"(varSystemLoginSession, null::bigint, null::varchar, null::timestamptz, null::timestamptz, null::varchar, varInstitutionBranchID, varBaseCurrencyID, 25000000000047::bigint, null::varchar);</v>
      </c>
    </row>
    <row r="51" spans="2:8" x14ac:dyDescent="0.2">
      <c r="B51" s="37">
        <f>IF(EXACT([1]DataLookUp!$B51, ""), "", [1]DataLookUp!$B51)</f>
        <v>25000000000048</v>
      </c>
      <c r="C51" s="38" t="str">
        <f>IF(EXACT(B51, ""), "", VLOOKUP(B51, [1]DataLookUp!$B$4:$C$1000, 2,FALSE ))</f>
        <v>Ardiansyah</v>
      </c>
      <c r="D51" s="21"/>
      <c r="E51" s="108"/>
      <c r="G51" s="29">
        <f t="shared" si="0"/>
        <v>32000000000048</v>
      </c>
      <c r="H51" s="30" t="str">
        <f t="shared" si="1"/>
        <v>PERFORM "SchData-OLTP-HumanResource"."Func_TblWorker_SET"(varSystemLoginSession, null::bigint, null::varchar, null::timestamptz, null::timestamptz, null::varchar, varInstitutionBranchID, varBaseCurrencyID, 25000000000048::bigint, null::varchar);</v>
      </c>
    </row>
    <row r="52" spans="2:8" x14ac:dyDescent="0.2">
      <c r="B52" s="37">
        <f>IF(EXACT([1]DataLookUp!$B52, ""), "", [1]DataLookUp!$B52)</f>
        <v>25000000000049</v>
      </c>
      <c r="C52" s="38" t="str">
        <f>IF(EXACT(B52, ""), "", VLOOKUP(B52, [1]DataLookUp!$B$4:$C$1000, 2,FALSE ))</f>
        <v>Ardisam</v>
      </c>
      <c r="D52" s="21"/>
      <c r="E52" s="108"/>
      <c r="G52" s="29">
        <f t="shared" si="0"/>
        <v>32000000000049</v>
      </c>
      <c r="H52" s="30" t="str">
        <f t="shared" si="1"/>
        <v>PERFORM "SchData-OLTP-HumanResource"."Func_TblWorker_SET"(varSystemLoginSession, null::bigint, null::varchar, null::timestamptz, null::timestamptz, null::varchar, varInstitutionBranchID, varBaseCurrencyID, 25000000000049::bigint, null::varchar);</v>
      </c>
    </row>
    <row r="53" spans="2:8" x14ac:dyDescent="0.2">
      <c r="B53" s="37">
        <f>IF(EXACT([1]DataLookUp!$B53, ""), "", [1]DataLookUp!$B53)</f>
        <v>25000000000050</v>
      </c>
      <c r="C53" s="38" t="str">
        <f>IF(EXACT(B53, ""), "", VLOOKUP(B53, [1]DataLookUp!$B$4:$C$1000, 2,FALSE ))</f>
        <v>Ardita</v>
      </c>
      <c r="D53" s="21"/>
      <c r="E53" s="108"/>
      <c r="G53" s="29">
        <f t="shared" si="0"/>
        <v>32000000000050</v>
      </c>
      <c r="H53" s="30" t="str">
        <f t="shared" si="1"/>
        <v>PERFORM "SchData-OLTP-HumanResource"."Func_TblWorker_SET"(varSystemLoginSession, null::bigint, null::varchar, null::timestamptz, null::timestamptz, null::varchar, varInstitutionBranchID, varBaseCurrencyID, 25000000000050::bigint, null::varchar);</v>
      </c>
    </row>
    <row r="54" spans="2:8" x14ac:dyDescent="0.2">
      <c r="B54" s="37">
        <f>IF(EXACT([1]DataLookUp!$B54, ""), "", [1]DataLookUp!$B54)</f>
        <v>25000000000051</v>
      </c>
      <c r="C54" s="38" t="str">
        <f>IF(EXACT(B54, ""), "", VLOOKUP(B54, [1]DataLookUp!$B$4:$C$1000, 2,FALSE ))</f>
        <v>Ares S. Mauboi</v>
      </c>
      <c r="D54" s="21">
        <v>160313008</v>
      </c>
      <c r="E54" s="108" t="s">
        <v>283</v>
      </c>
      <c r="G54" s="29">
        <f t="shared" si="0"/>
        <v>32000000000051</v>
      </c>
      <c r="H54" s="30" t="str">
        <f t="shared" si="1"/>
        <v>PERFORM "SchData-OLTP-HumanResource"."Func_TblWorker_SET"(varSystemLoginSession, null::bigint, null::varchar, null::timestamptz, null::timestamptz, null::varchar, varInstitutionBranchID, varBaseCurrencyID, 25000000000051::bigint, '160313008'::varchar);</v>
      </c>
    </row>
    <row r="55" spans="2:8" x14ac:dyDescent="0.2">
      <c r="B55" s="37">
        <f>IF(EXACT([1]DataLookUp!$B55, ""), "", [1]DataLookUp!$B55)</f>
        <v>25000000000052</v>
      </c>
      <c r="C55" s="38" t="str">
        <f>IF(EXACT(B55, ""), "", VLOOKUP(B55, [1]DataLookUp!$B$4:$C$1000, 2,FALSE ))</f>
        <v>Arfah Hanum</v>
      </c>
      <c r="D55" s="21"/>
      <c r="E55" s="108"/>
      <c r="G55" s="29">
        <f t="shared" si="0"/>
        <v>32000000000052</v>
      </c>
      <c r="H55" s="30" t="str">
        <f t="shared" si="1"/>
        <v>PERFORM "SchData-OLTP-HumanResource"."Func_TblWorker_SET"(varSystemLoginSession, null::bigint, null::varchar, null::timestamptz, null::timestamptz, null::varchar, varInstitutionBranchID, varBaseCurrencyID, 25000000000052::bigint, null::varchar);</v>
      </c>
    </row>
    <row r="56" spans="2:8" x14ac:dyDescent="0.2">
      <c r="B56" s="37">
        <f>IF(EXACT([1]DataLookUp!$B56, ""), "", [1]DataLookUp!$B56)</f>
        <v>25000000000053</v>
      </c>
      <c r="C56" s="38" t="str">
        <f>IF(EXACT(B56, ""), "", VLOOKUP(B56, [1]DataLookUp!$B$4:$C$1000, 2,FALSE ))</f>
        <v>Arfianti Haryani</v>
      </c>
      <c r="D56" s="21"/>
      <c r="E56" s="108"/>
      <c r="G56" s="29">
        <f t="shared" si="0"/>
        <v>32000000000053</v>
      </c>
      <c r="H56" s="30" t="str">
        <f t="shared" si="1"/>
        <v>PERFORM "SchData-OLTP-HumanResource"."Func_TblWorker_SET"(varSystemLoginSession, null::bigint, null::varchar, null::timestamptz, null::timestamptz, null::varchar, varInstitutionBranchID, varBaseCurrencyID, 25000000000053::bigint, null::varchar);</v>
      </c>
    </row>
    <row r="57" spans="2:8" x14ac:dyDescent="0.2">
      <c r="B57" s="37">
        <f>IF(EXACT([1]DataLookUp!$B57, ""), "", [1]DataLookUp!$B57)</f>
        <v>25000000000054</v>
      </c>
      <c r="C57" s="38" t="str">
        <f>IF(EXACT(B57, ""), "", VLOOKUP(B57, [1]DataLookUp!$B$4:$C$1000, 2,FALSE ))</f>
        <v>Ari Priwarsono</v>
      </c>
      <c r="D57" s="21"/>
      <c r="E57" s="108"/>
      <c r="G57" s="29">
        <f t="shared" si="0"/>
        <v>32000000000054</v>
      </c>
      <c r="H57" s="30" t="str">
        <f t="shared" si="1"/>
        <v>PERFORM "SchData-OLTP-HumanResource"."Func_TblWorker_SET"(varSystemLoginSession, null::bigint, null::varchar, null::timestamptz, null::timestamptz, null::varchar, varInstitutionBranchID, varBaseCurrencyID, 25000000000054::bigint, null::varchar);</v>
      </c>
    </row>
    <row r="58" spans="2:8" x14ac:dyDescent="0.2">
      <c r="B58" s="37">
        <f>IF(EXACT([1]DataLookUp!$B58, ""), "", [1]DataLookUp!$B58)</f>
        <v>25000000000055</v>
      </c>
      <c r="C58" s="38" t="str">
        <f>IF(EXACT(B58, ""), "", VLOOKUP(B58, [1]DataLookUp!$B$4:$C$1000, 2,FALSE ))</f>
        <v>Ari Yuniasmono</v>
      </c>
      <c r="D58" s="21"/>
      <c r="E58" s="108"/>
      <c r="G58" s="29">
        <f t="shared" si="0"/>
        <v>32000000000055</v>
      </c>
      <c r="H58" s="30" t="str">
        <f t="shared" si="1"/>
        <v>PERFORM "SchData-OLTP-HumanResource"."Func_TblWorker_SET"(varSystemLoginSession, null::bigint, null::varchar, null::timestamptz, null::timestamptz, null::varchar, varInstitutionBranchID, varBaseCurrencyID, 25000000000055::bigint, null::varchar);</v>
      </c>
    </row>
    <row r="59" spans="2:8" x14ac:dyDescent="0.2">
      <c r="B59" s="37">
        <f>IF(EXACT([1]DataLookUp!$B59, ""), "", [1]DataLookUp!$B59)</f>
        <v>25000000000056</v>
      </c>
      <c r="C59" s="38" t="str">
        <f>IF(EXACT(B59, ""), "", VLOOKUP(B59, [1]DataLookUp!$B$4:$C$1000, 2,FALSE ))</f>
        <v>Arif Gunawan</v>
      </c>
      <c r="D59" s="21"/>
      <c r="E59" s="108"/>
      <c r="G59" s="29">
        <f t="shared" si="0"/>
        <v>32000000000056</v>
      </c>
      <c r="H59" s="30" t="str">
        <f t="shared" si="1"/>
        <v>PERFORM "SchData-OLTP-HumanResource"."Func_TblWorker_SET"(varSystemLoginSession, null::bigint, null::varchar, null::timestamptz, null::timestamptz, null::varchar, varInstitutionBranchID, varBaseCurrencyID, 25000000000056::bigint, null::varchar);</v>
      </c>
    </row>
    <row r="60" spans="2:8" x14ac:dyDescent="0.2">
      <c r="B60" s="37">
        <f>IF(EXACT([1]DataLookUp!$B60, ""), "", [1]DataLookUp!$B60)</f>
        <v>25000000000057</v>
      </c>
      <c r="C60" s="38" t="str">
        <f>IF(EXACT(B60, ""), "", VLOOKUP(B60, [1]DataLookUp!$B$4:$C$1000, 2,FALSE ))</f>
        <v>Arif Prasetyo</v>
      </c>
      <c r="D60" s="21"/>
      <c r="E60" s="108"/>
      <c r="G60" s="29">
        <f t="shared" si="0"/>
        <v>32000000000057</v>
      </c>
      <c r="H60" s="30" t="str">
        <f t="shared" si="1"/>
        <v>PERFORM "SchData-OLTP-HumanResource"."Func_TblWorker_SET"(varSystemLoginSession, null::bigint, null::varchar, null::timestamptz, null::timestamptz, null::varchar, varInstitutionBranchID, varBaseCurrencyID, 25000000000057::bigint, null::varchar);</v>
      </c>
    </row>
    <row r="61" spans="2:8" x14ac:dyDescent="0.2">
      <c r="B61" s="37">
        <f>IF(EXACT([1]DataLookUp!$B61, ""), "", [1]DataLookUp!$B61)</f>
        <v>25000000000058</v>
      </c>
      <c r="C61" s="38" t="str">
        <f>IF(EXACT(B61, ""), "", VLOOKUP(B61, [1]DataLookUp!$B$4:$C$1000, 2,FALSE ))</f>
        <v>Arini</v>
      </c>
      <c r="D61" s="21"/>
      <c r="E61" s="108"/>
      <c r="G61" s="29">
        <f t="shared" si="0"/>
        <v>32000000000058</v>
      </c>
      <c r="H61" s="30" t="str">
        <f t="shared" si="1"/>
        <v>PERFORM "SchData-OLTP-HumanResource"."Func_TblWorker_SET"(varSystemLoginSession, null::bigint, null::varchar, null::timestamptz, null::timestamptz, null::varchar, varInstitutionBranchID, varBaseCurrencyID, 25000000000058::bigint, null::varchar);</v>
      </c>
    </row>
    <row r="62" spans="2:8" x14ac:dyDescent="0.2">
      <c r="B62" s="37">
        <f>IF(EXACT([1]DataLookUp!$B62, ""), "", [1]DataLookUp!$B62)</f>
        <v>25000000000059</v>
      </c>
      <c r="C62" s="38" t="str">
        <f>IF(EXACT(B62, ""), "", VLOOKUP(B62, [1]DataLookUp!$B$4:$C$1000, 2,FALSE ))</f>
        <v>Ario Setyo Gunawan</v>
      </c>
      <c r="D62" s="21"/>
      <c r="E62" s="108"/>
      <c r="G62" s="29">
        <f t="shared" si="0"/>
        <v>32000000000059</v>
      </c>
      <c r="H62" s="30" t="str">
        <f t="shared" si="1"/>
        <v>PERFORM "SchData-OLTP-HumanResource"."Func_TblWorker_SET"(varSystemLoginSession, null::bigint, null::varchar, null::timestamptz, null::timestamptz, null::varchar, varInstitutionBranchID, varBaseCurrencyID, 25000000000059::bigint, null::varchar);</v>
      </c>
    </row>
    <row r="63" spans="2:8" x14ac:dyDescent="0.2">
      <c r="B63" s="37">
        <f>IF(EXACT([1]DataLookUp!$B63, ""), "", [1]DataLookUp!$B63)</f>
        <v>25000000000060</v>
      </c>
      <c r="C63" s="38" t="str">
        <f>IF(EXACT(B63, ""), "", VLOOKUP(B63, [1]DataLookUp!$B$4:$C$1000, 2,FALSE ))</f>
        <v>Ario Yulianto Wibowo</v>
      </c>
      <c r="D63" s="21"/>
      <c r="E63" s="108"/>
      <c r="G63" s="29">
        <f t="shared" si="0"/>
        <v>32000000000060</v>
      </c>
      <c r="H63" s="30" t="str">
        <f t="shared" si="1"/>
        <v>PERFORM "SchData-OLTP-HumanResource"."Func_TblWorker_SET"(varSystemLoginSession, null::bigint, null::varchar, null::timestamptz, null::timestamptz, null::varchar, varInstitutionBranchID, varBaseCurrencyID, 25000000000060::bigint, null::varchar);</v>
      </c>
    </row>
    <row r="64" spans="2:8" x14ac:dyDescent="0.2">
      <c r="B64" s="37">
        <f>IF(EXACT([1]DataLookUp!$B64, ""), "", [1]DataLookUp!$B64)</f>
        <v>25000000000061</v>
      </c>
      <c r="C64" s="38" t="str">
        <f>IF(EXACT(B64, ""), "", VLOOKUP(B64, [1]DataLookUp!$B$4:$C$1000, 2,FALSE ))</f>
        <v>Aris Widodo Pamungkas</v>
      </c>
      <c r="D64" s="21"/>
      <c r="E64" s="108"/>
      <c r="G64" s="29">
        <f t="shared" si="0"/>
        <v>32000000000061</v>
      </c>
      <c r="H64" s="30" t="str">
        <f t="shared" si="1"/>
        <v>PERFORM "SchData-OLTP-HumanResource"."Func_TblWorker_SET"(varSystemLoginSession, null::bigint, null::varchar, null::timestamptz, null::timestamptz, null::varchar, varInstitutionBranchID, varBaseCurrencyID, 25000000000061::bigint, null::varchar);</v>
      </c>
    </row>
    <row r="65" spans="2:8" x14ac:dyDescent="0.2">
      <c r="B65" s="37">
        <f>IF(EXACT([1]DataLookUp!$B65, ""), "", [1]DataLookUp!$B65)</f>
        <v>25000000000062</v>
      </c>
      <c r="C65" s="38" t="str">
        <f>IF(EXACT(B65, ""), "", VLOOKUP(B65, [1]DataLookUp!$B$4:$C$1000, 2,FALSE ))</f>
        <v>Arjiyanto</v>
      </c>
      <c r="D65" s="21"/>
      <c r="E65" s="108"/>
      <c r="G65" s="29">
        <f t="shared" si="0"/>
        <v>32000000000062</v>
      </c>
      <c r="H65" s="30" t="str">
        <f t="shared" si="1"/>
        <v>PERFORM "SchData-OLTP-HumanResource"."Func_TblWorker_SET"(varSystemLoginSession, null::bigint, null::varchar, null::timestamptz, null::timestamptz, null::varchar, varInstitutionBranchID, varBaseCurrencyID, 25000000000062::bigint, null::varchar);</v>
      </c>
    </row>
    <row r="66" spans="2:8" x14ac:dyDescent="0.2">
      <c r="B66" s="37">
        <f>IF(EXACT([1]DataLookUp!$B66, ""), "", [1]DataLookUp!$B66)</f>
        <v>25000000000063</v>
      </c>
      <c r="C66" s="38" t="str">
        <f>IF(EXACT(B66, ""), "", VLOOKUP(B66, [1]DataLookUp!$B$4:$C$1000, 2,FALSE ))</f>
        <v>Arman</v>
      </c>
      <c r="D66" s="21"/>
      <c r="E66" s="108"/>
      <c r="G66" s="29">
        <f t="shared" si="0"/>
        <v>32000000000063</v>
      </c>
      <c r="H66" s="30" t="str">
        <f t="shared" si="1"/>
        <v>PERFORM "SchData-OLTP-HumanResource"."Func_TblWorker_SET"(varSystemLoginSession, null::bigint, null::varchar, null::timestamptz, null::timestamptz, null::varchar, varInstitutionBranchID, varBaseCurrencyID, 25000000000063::bigint, null::varchar);</v>
      </c>
    </row>
    <row r="67" spans="2:8" x14ac:dyDescent="0.2">
      <c r="B67" s="37">
        <f>IF(EXACT([1]DataLookUp!$B67, ""), "", [1]DataLookUp!$B67)</f>
        <v>25000000000064</v>
      </c>
      <c r="C67" s="38" t="str">
        <f>IF(EXACT(B67, ""), "", VLOOKUP(B67, [1]DataLookUp!$B$4:$C$1000, 2,FALSE ))</f>
        <v>Aryoko Sudiro</v>
      </c>
      <c r="D67" s="21"/>
      <c r="E67" s="108"/>
      <c r="G67" s="29">
        <f t="shared" si="0"/>
        <v>32000000000064</v>
      </c>
      <c r="H67" s="30" t="str">
        <f t="shared" si="1"/>
        <v>PERFORM "SchData-OLTP-HumanResource"."Func_TblWorker_SET"(varSystemLoginSession, null::bigint, null::varchar, null::timestamptz, null::timestamptz, null::varchar, varInstitutionBranchID, varBaseCurrencyID, 25000000000064::bigint, null::varchar);</v>
      </c>
    </row>
    <row r="68" spans="2:8" x14ac:dyDescent="0.2">
      <c r="B68" s="37">
        <f>IF(EXACT([1]DataLookUp!$B68, ""), "", [1]DataLookUp!$B68)</f>
        <v>25000000000065</v>
      </c>
      <c r="C68" s="38" t="str">
        <f>IF(EXACT(B68, ""), "", VLOOKUP(B68, [1]DataLookUp!$B$4:$C$1000, 2,FALSE ))</f>
        <v>Astamyugo</v>
      </c>
      <c r="D68" s="21"/>
      <c r="E68" s="108"/>
      <c r="G68" s="29">
        <f t="shared" si="0"/>
        <v>32000000000065</v>
      </c>
      <c r="H68" s="30" t="str">
        <f t="shared" si="1"/>
        <v>PERFORM "SchData-OLTP-HumanResource"."Func_TblWorker_SET"(varSystemLoginSession, null::bigint, null::varchar, null::timestamptz, null::timestamptz, null::varchar, varInstitutionBranchID, varBaseCurrencyID, 25000000000065::bigint, null::varchar);</v>
      </c>
    </row>
    <row r="69" spans="2:8" x14ac:dyDescent="0.2">
      <c r="B69" s="37">
        <f>IF(EXACT([1]DataLookUp!$B69, ""), "", [1]DataLookUp!$B69)</f>
        <v>25000000000066</v>
      </c>
      <c r="C69" s="38" t="str">
        <f>IF(EXACT(B69, ""), "", VLOOKUP(B69, [1]DataLookUp!$B$4:$C$1000, 2,FALSE ))</f>
        <v>Atmo Sastro Dinoto</v>
      </c>
      <c r="D69" s="21"/>
      <c r="E69" s="108"/>
      <c r="G69" s="29">
        <f t="shared" ref="G69:G132" si="2" xml:space="preserve"> G68 + IF(EXACT(H69, ""), 0, 1)</f>
        <v>32000000000066</v>
      </c>
      <c r="H69" s="30" t="str">
        <f t="shared" ref="H69:H132" si="3">CONCATENATE("PERFORM ""SchData-OLTP-HumanResource"".""Func_TblWorker_SET""(varSystemLoginSession, null::bigint, null::varchar, null::timestamptz, null::timestamptz, null::varchar, varInstitutionBranchID, varBaseCurrencyID, ", B69, "::bigint, ", IF(EXACT(D69, ""), "null", CONCATENATE("'", D69, "'")), "::varchar);")</f>
        <v>PERFORM "SchData-OLTP-HumanResource"."Func_TblWorker_SET"(varSystemLoginSession, null::bigint, null::varchar, null::timestamptz, null::timestamptz, null::varchar, varInstitutionBranchID, varBaseCurrencyID, 25000000000066::bigint, null::varchar);</v>
      </c>
    </row>
    <row r="70" spans="2:8" x14ac:dyDescent="0.2">
      <c r="B70" s="37">
        <f>IF(EXACT([1]DataLookUp!$B70, ""), "", [1]DataLookUp!$B70)</f>
        <v>25000000000067</v>
      </c>
      <c r="C70" s="38" t="str">
        <f>IF(EXACT(B70, ""), "", VLOOKUP(B70, [1]DataLookUp!$B$4:$C$1000, 2,FALSE ))</f>
        <v>Awaludin</v>
      </c>
      <c r="D70" s="21"/>
      <c r="E70" s="108"/>
      <c r="G70" s="29">
        <f t="shared" si="2"/>
        <v>32000000000067</v>
      </c>
      <c r="H70" s="30" t="str">
        <f t="shared" si="3"/>
        <v>PERFORM "SchData-OLTP-HumanResource"."Func_TblWorker_SET"(varSystemLoginSession, null::bigint, null::varchar, null::timestamptz, null::timestamptz, null::varchar, varInstitutionBranchID, varBaseCurrencyID, 25000000000067::bigint, null::varchar);</v>
      </c>
    </row>
    <row r="71" spans="2:8" x14ac:dyDescent="0.2">
      <c r="B71" s="37">
        <f>IF(EXACT([1]DataLookUp!$B71, ""), "", [1]DataLookUp!$B71)</f>
        <v>25000000000068</v>
      </c>
      <c r="C71" s="38" t="str">
        <f>IF(EXACT(B71, ""), "", VLOOKUP(B71, [1]DataLookUp!$B$4:$C$1000, 2,FALSE ))</f>
        <v>Bachtiar</v>
      </c>
      <c r="D71" s="21"/>
      <c r="E71" s="108"/>
      <c r="G71" s="29">
        <f t="shared" si="2"/>
        <v>32000000000068</v>
      </c>
      <c r="H71" s="30" t="str">
        <f t="shared" si="3"/>
        <v>PERFORM "SchData-OLTP-HumanResource"."Func_TblWorker_SET"(varSystemLoginSession, null::bigint, null::varchar, null::timestamptz, null::timestamptz, null::varchar, varInstitutionBranchID, varBaseCurrencyID, 25000000000068::bigint, null::varchar);</v>
      </c>
    </row>
    <row r="72" spans="2:8" x14ac:dyDescent="0.2">
      <c r="B72" s="37">
        <f>IF(EXACT([1]DataLookUp!$B72, ""), "", [1]DataLookUp!$B72)</f>
        <v>25000000000069</v>
      </c>
      <c r="C72" s="38" t="str">
        <f>IF(EXACT(B72, ""), "", VLOOKUP(B72, [1]DataLookUp!$B$4:$C$1000, 2,FALSE ))</f>
        <v>Bambang Irawan</v>
      </c>
      <c r="D72" s="21"/>
      <c r="E72" s="108"/>
      <c r="G72" s="29">
        <f t="shared" si="2"/>
        <v>32000000000069</v>
      </c>
      <c r="H72" s="30" t="str">
        <f t="shared" si="3"/>
        <v>PERFORM "SchData-OLTP-HumanResource"."Func_TblWorker_SET"(varSystemLoginSession, null::bigint, null::varchar, null::timestamptz, null::timestamptz, null::varchar, varInstitutionBranchID, varBaseCurrencyID, 25000000000069::bigint, null::varchar);</v>
      </c>
    </row>
    <row r="73" spans="2:8" x14ac:dyDescent="0.2">
      <c r="B73" s="37">
        <f>IF(EXACT([1]DataLookUp!$B73, ""), "", [1]DataLookUp!$B73)</f>
        <v>25000000000070</v>
      </c>
      <c r="C73" s="38" t="str">
        <f>IF(EXACT(B73, ""), "", VLOOKUP(B73, [1]DataLookUp!$B$4:$C$1000, 2,FALSE ))</f>
        <v>Bambang Prihatin</v>
      </c>
      <c r="D73" s="21"/>
      <c r="E73" s="108"/>
      <c r="G73" s="29">
        <f t="shared" si="2"/>
        <v>32000000000070</v>
      </c>
      <c r="H73" s="30" t="str">
        <f t="shared" si="3"/>
        <v>PERFORM "SchData-OLTP-HumanResource"."Func_TblWorker_SET"(varSystemLoginSession, null::bigint, null::varchar, null::timestamptz, null::timestamptz, null::varchar, varInstitutionBranchID, varBaseCurrencyID, 25000000000070::bigint, null::varchar);</v>
      </c>
    </row>
    <row r="74" spans="2:8" x14ac:dyDescent="0.2">
      <c r="B74" s="37">
        <f>IF(EXACT([1]DataLookUp!$B74, ""), "", [1]DataLookUp!$B74)</f>
        <v>25000000000071</v>
      </c>
      <c r="C74" s="38" t="str">
        <f>IF(EXACT(B74, ""), "", VLOOKUP(B74, [1]DataLookUp!$B$4:$C$1000, 2,FALSE ))</f>
        <v>Bani Mustazeni</v>
      </c>
      <c r="D74" s="21"/>
      <c r="E74" s="108"/>
      <c r="G74" s="29">
        <f t="shared" si="2"/>
        <v>32000000000071</v>
      </c>
      <c r="H74" s="30" t="str">
        <f t="shared" si="3"/>
        <v>PERFORM "SchData-OLTP-HumanResource"."Func_TblWorker_SET"(varSystemLoginSession, null::bigint, null::varchar, null::timestamptz, null::timestamptz, null::varchar, varInstitutionBranchID, varBaseCurrencyID, 25000000000071::bigint, null::varchar);</v>
      </c>
    </row>
    <row r="75" spans="2:8" x14ac:dyDescent="0.2">
      <c r="B75" s="37">
        <f>IF(EXACT([1]DataLookUp!$B75, ""), "", [1]DataLookUp!$B75)</f>
        <v>25000000000072</v>
      </c>
      <c r="C75" s="38" t="str">
        <f>IF(EXACT(B75, ""), "", VLOOKUP(B75, [1]DataLookUp!$B$4:$C$1000, 2,FALSE ))</f>
        <v>Bardai</v>
      </c>
      <c r="D75" s="21"/>
      <c r="E75" s="108"/>
      <c r="G75" s="29">
        <f t="shared" si="2"/>
        <v>32000000000072</v>
      </c>
      <c r="H75" s="30" t="str">
        <f t="shared" si="3"/>
        <v>PERFORM "SchData-OLTP-HumanResource"."Func_TblWorker_SET"(varSystemLoginSession, null::bigint, null::varchar, null::timestamptz, null::timestamptz, null::varchar, varInstitutionBranchID, varBaseCurrencyID, 25000000000072::bigint, null::varchar);</v>
      </c>
    </row>
    <row r="76" spans="2:8" x14ac:dyDescent="0.2">
      <c r="B76" s="37">
        <f>IF(EXACT([1]DataLookUp!$B76, ""), "", [1]DataLookUp!$B76)</f>
        <v>25000000000073</v>
      </c>
      <c r="C76" s="38" t="str">
        <f>IF(EXACT(B76, ""), "", VLOOKUP(B76, [1]DataLookUp!$B$4:$C$1000, 2,FALSE ))</f>
        <v>Barika</v>
      </c>
      <c r="D76" s="21"/>
      <c r="E76" s="108"/>
      <c r="G76" s="29">
        <f t="shared" si="2"/>
        <v>32000000000073</v>
      </c>
      <c r="H76" s="30" t="str">
        <f t="shared" si="3"/>
        <v>PERFORM "SchData-OLTP-HumanResource"."Func_TblWorker_SET"(varSystemLoginSession, null::bigint, null::varchar, null::timestamptz, null::timestamptz, null::varchar, varInstitutionBranchID, varBaseCurrencyID, 25000000000073::bigint, null::varchar);</v>
      </c>
    </row>
    <row r="77" spans="2:8" x14ac:dyDescent="0.2">
      <c r="B77" s="37">
        <f>IF(EXACT([1]DataLookUp!$B77, ""), "", [1]DataLookUp!$B77)</f>
        <v>25000000000074</v>
      </c>
      <c r="C77" s="38" t="str">
        <f>IF(EXACT(B77, ""), "", VLOOKUP(B77, [1]DataLookUp!$B$4:$C$1000, 2,FALSE ))</f>
        <v>Bela Retmalantika</v>
      </c>
      <c r="D77" s="21"/>
      <c r="E77" s="108"/>
      <c r="G77" s="29">
        <f t="shared" si="2"/>
        <v>32000000000074</v>
      </c>
      <c r="H77" s="30" t="str">
        <f t="shared" si="3"/>
        <v>PERFORM "SchData-OLTP-HumanResource"."Func_TblWorker_SET"(varSystemLoginSession, null::bigint, null::varchar, null::timestamptz, null::timestamptz, null::varchar, varInstitutionBranchID, varBaseCurrencyID, 25000000000074::bigint, null::varchar);</v>
      </c>
    </row>
    <row r="78" spans="2:8" x14ac:dyDescent="0.2">
      <c r="B78" s="37">
        <f>IF(EXACT([1]DataLookUp!$B78, ""), "", [1]DataLookUp!$B78)</f>
        <v>25000000000075</v>
      </c>
      <c r="C78" s="38" t="str">
        <f>IF(EXACT(B78, ""), "", VLOOKUP(B78, [1]DataLookUp!$B$4:$C$1000, 2,FALSE ))</f>
        <v>Belina Lindarwani</v>
      </c>
      <c r="D78" s="21" t="s">
        <v>13</v>
      </c>
      <c r="E78" s="108" t="s">
        <v>284</v>
      </c>
      <c r="G78" s="29">
        <f t="shared" si="2"/>
        <v>32000000000075</v>
      </c>
      <c r="H78" s="30" t="str">
        <f t="shared" si="3"/>
        <v>PERFORM "SchData-OLTP-HumanResource"."Func_TblWorker_SET"(varSystemLoginSession, null::bigint, null::varchar, null::timestamptz, null::timestamptz, null::varchar, varInstitutionBranchID, varBaseCurrencyID, 25000000000075::bigint, '100920934'::varchar);</v>
      </c>
    </row>
    <row r="79" spans="2:8" x14ac:dyDescent="0.2">
      <c r="B79" s="37">
        <f>IF(EXACT([1]DataLookUp!$B79, ""), "", [1]DataLookUp!$B79)</f>
        <v>25000000000076</v>
      </c>
      <c r="C79" s="38" t="str">
        <f>IF(EXACT(B79, ""), "", VLOOKUP(B79, [1]DataLookUp!$B$4:$C$1000, 2,FALSE ))</f>
        <v>Benita Sofia</v>
      </c>
      <c r="D79" s="21"/>
      <c r="E79" s="108"/>
      <c r="G79" s="29">
        <f t="shared" si="2"/>
        <v>32000000000076</v>
      </c>
      <c r="H79" s="30" t="str">
        <f t="shared" si="3"/>
        <v>PERFORM "SchData-OLTP-HumanResource"."Func_TblWorker_SET"(varSystemLoginSession, null::bigint, null::varchar, null::timestamptz, null::timestamptz, null::varchar, varInstitutionBranchID, varBaseCurrencyID, 25000000000076::bigint, null::varchar);</v>
      </c>
    </row>
    <row r="80" spans="2:8" x14ac:dyDescent="0.2">
      <c r="B80" s="37">
        <f>IF(EXACT([1]DataLookUp!$B80, ""), "", [1]DataLookUp!$B80)</f>
        <v>25000000000077</v>
      </c>
      <c r="C80" s="38" t="str">
        <f>IF(EXACT(B80, ""), "", VLOOKUP(B80, [1]DataLookUp!$B$4:$C$1000, 2,FALSE ))</f>
        <v>Bherly Novrandy</v>
      </c>
      <c r="D80" s="21"/>
      <c r="E80" s="108"/>
      <c r="G80" s="29">
        <f t="shared" si="2"/>
        <v>32000000000077</v>
      </c>
      <c r="H80" s="30" t="str">
        <f t="shared" si="3"/>
        <v>PERFORM "SchData-OLTP-HumanResource"."Func_TblWorker_SET"(varSystemLoginSession, null::bigint, null::varchar, null::timestamptz, null::timestamptz, null::varchar, varInstitutionBranchID, varBaseCurrencyID, 25000000000077::bigint, null::varchar);</v>
      </c>
    </row>
    <row r="81" spans="2:8" x14ac:dyDescent="0.2">
      <c r="B81" s="37">
        <f>IF(EXACT([1]DataLookUp!$B81, ""), "", [1]DataLookUp!$B81)</f>
        <v>25000000000078</v>
      </c>
      <c r="C81" s="38" t="str">
        <f>IF(EXACT(B81, ""), "", VLOOKUP(B81, [1]DataLookUp!$B$4:$C$1000, 2,FALSE ))</f>
        <v>Binsar</v>
      </c>
      <c r="D81" s="21"/>
      <c r="E81" s="108"/>
      <c r="G81" s="29">
        <f t="shared" si="2"/>
        <v>32000000000078</v>
      </c>
      <c r="H81" s="30" t="str">
        <f t="shared" si="3"/>
        <v>PERFORM "SchData-OLTP-HumanResource"."Func_TblWorker_SET"(varSystemLoginSession, null::bigint, null::varchar, null::timestamptz, null::timestamptz, null::varchar, varInstitutionBranchID, varBaseCurrencyID, 25000000000078::bigint, null::varchar);</v>
      </c>
    </row>
    <row r="82" spans="2:8" x14ac:dyDescent="0.2">
      <c r="B82" s="37">
        <f>IF(EXACT([1]DataLookUp!$B82, ""), "", [1]DataLookUp!$B82)</f>
        <v>25000000000079</v>
      </c>
      <c r="C82" s="38" t="str">
        <f>IF(EXACT(B82, ""), "", VLOOKUP(B82, [1]DataLookUp!$B$4:$C$1000, 2,FALSE ))</f>
        <v>Bondhan Sosiarta</v>
      </c>
      <c r="D82" s="21"/>
      <c r="E82" s="108"/>
      <c r="G82" s="29">
        <f t="shared" si="2"/>
        <v>32000000000079</v>
      </c>
      <c r="H82" s="30" t="str">
        <f t="shared" si="3"/>
        <v>PERFORM "SchData-OLTP-HumanResource"."Func_TblWorker_SET"(varSystemLoginSession, null::bigint, null::varchar, null::timestamptz, null::timestamptz, null::varchar, varInstitutionBranchID, varBaseCurrencyID, 25000000000079::bigint, null::varchar);</v>
      </c>
    </row>
    <row r="83" spans="2:8" x14ac:dyDescent="0.2">
      <c r="B83" s="37">
        <f>IF(EXACT([1]DataLookUp!$B83, ""), "", [1]DataLookUp!$B83)</f>
        <v>25000000000080</v>
      </c>
      <c r="C83" s="38" t="str">
        <f>IF(EXACT(B83, ""), "", VLOOKUP(B83, [1]DataLookUp!$B$4:$C$1000, 2,FALSE ))</f>
        <v>Budi Pranata Sinaga</v>
      </c>
      <c r="D83" s="21"/>
      <c r="E83" s="108"/>
      <c r="G83" s="29">
        <f t="shared" si="2"/>
        <v>32000000000080</v>
      </c>
      <c r="H83" s="30" t="str">
        <f t="shared" si="3"/>
        <v>PERFORM "SchData-OLTP-HumanResource"."Func_TblWorker_SET"(varSystemLoginSession, null::bigint, null::varchar, null::timestamptz, null::timestamptz, null::varchar, varInstitutionBranchID, varBaseCurrencyID, 25000000000080::bigint, null::varchar);</v>
      </c>
    </row>
    <row r="84" spans="2:8" x14ac:dyDescent="0.2">
      <c r="B84" s="37">
        <f>IF(EXACT([1]DataLookUp!$B84, ""), "", [1]DataLookUp!$B84)</f>
        <v>25000000000081</v>
      </c>
      <c r="C84" s="38" t="str">
        <f>IF(EXACT(B84, ""), "", VLOOKUP(B84, [1]DataLookUp!$B$4:$C$1000, 2,FALSE ))</f>
        <v>Budi Satrio</v>
      </c>
      <c r="D84" s="21"/>
      <c r="E84" s="108"/>
      <c r="G84" s="29">
        <f t="shared" si="2"/>
        <v>32000000000081</v>
      </c>
      <c r="H84" s="30" t="str">
        <f t="shared" si="3"/>
        <v>PERFORM "SchData-OLTP-HumanResource"."Func_TblWorker_SET"(varSystemLoginSession, null::bigint, null::varchar, null::timestamptz, null::timestamptz, null::varchar, varInstitutionBranchID, varBaseCurrencyID, 25000000000081::bigint, null::varchar);</v>
      </c>
    </row>
    <row r="85" spans="2:8" x14ac:dyDescent="0.2">
      <c r="B85" s="37">
        <f>IF(EXACT([1]DataLookUp!$B85, ""), "", [1]DataLookUp!$B85)</f>
        <v>25000000000082</v>
      </c>
      <c r="C85" s="38" t="str">
        <f>IF(EXACT(B85, ""), "", VLOOKUP(B85, [1]DataLookUp!$B$4:$C$1000, 2,FALSE ))</f>
        <v>Budianto</v>
      </c>
      <c r="D85" s="21" t="s">
        <v>14</v>
      </c>
      <c r="E85" s="108" t="s">
        <v>284</v>
      </c>
      <c r="G85" s="29">
        <f t="shared" si="2"/>
        <v>32000000000082</v>
      </c>
      <c r="H85" s="30" t="str">
        <f t="shared" si="3"/>
        <v>PERFORM "SchData-OLTP-HumanResource"."Func_TblWorker_SET"(varSystemLoginSession, null::bigint, null::varchar, null::timestamptz, null::timestamptz, null::varchar, varInstitutionBranchID, varBaseCurrencyID, 25000000000082::bigint, '060515769'::varchar);</v>
      </c>
    </row>
    <row r="86" spans="2:8" x14ac:dyDescent="0.2">
      <c r="B86" s="37">
        <f>IF(EXACT([1]DataLookUp!$B86, ""), "", [1]DataLookUp!$B86)</f>
        <v>25000000000083</v>
      </c>
      <c r="C86" s="38" t="str">
        <f>IF(EXACT(B86, ""), "", VLOOKUP(B86, [1]DataLookUp!$B$4:$C$1000, 2,FALSE ))</f>
        <v>Budiman</v>
      </c>
      <c r="D86" s="21"/>
      <c r="E86" s="108"/>
      <c r="G86" s="29">
        <f t="shared" si="2"/>
        <v>32000000000083</v>
      </c>
      <c r="H86" s="30" t="str">
        <f t="shared" si="3"/>
        <v>PERFORM "SchData-OLTP-HumanResource"."Func_TblWorker_SET"(varSystemLoginSession, null::bigint, null::varchar, null::timestamptz, null::timestamptz, null::varchar, varInstitutionBranchID, varBaseCurrencyID, 25000000000083::bigint, null::varchar);</v>
      </c>
    </row>
    <row r="87" spans="2:8" x14ac:dyDescent="0.2">
      <c r="B87" s="37">
        <f>IF(EXACT([1]DataLookUp!$B87, ""), "", [1]DataLookUp!$B87)</f>
        <v>25000000000084</v>
      </c>
      <c r="C87" s="38" t="str">
        <f>IF(EXACT(B87, ""), "", VLOOKUP(B87, [1]DataLookUp!$B$4:$C$1000, 2,FALSE ))</f>
        <v>Cahyaning Annisa</v>
      </c>
      <c r="D87" s="21"/>
      <c r="E87" s="108"/>
      <c r="G87" s="29">
        <f t="shared" si="2"/>
        <v>32000000000084</v>
      </c>
      <c r="H87" s="30" t="str">
        <f t="shared" si="3"/>
        <v>PERFORM "SchData-OLTP-HumanResource"."Func_TblWorker_SET"(varSystemLoginSession, null::bigint, null::varchar, null::timestamptz, null::timestamptz, null::varchar, varInstitutionBranchID, varBaseCurrencyID, 25000000000084::bigint, null::varchar);</v>
      </c>
    </row>
    <row r="88" spans="2:8" x14ac:dyDescent="0.2">
      <c r="B88" s="37">
        <f>IF(EXACT([1]DataLookUp!$B88, ""), "", [1]DataLookUp!$B88)</f>
        <v>25000000000085</v>
      </c>
      <c r="C88" s="38" t="str">
        <f>IF(EXACT(B88, ""), "", VLOOKUP(B88, [1]DataLookUp!$B$4:$C$1000, 2,FALSE ))</f>
        <v>Cahyaningrum Widiastuti</v>
      </c>
      <c r="D88" s="21"/>
      <c r="E88" s="108"/>
      <c r="G88" s="29">
        <f t="shared" si="2"/>
        <v>32000000000085</v>
      </c>
      <c r="H88" s="30" t="str">
        <f t="shared" si="3"/>
        <v>PERFORM "SchData-OLTP-HumanResource"."Func_TblWorker_SET"(varSystemLoginSession, null::bigint, null::varchar, null::timestamptz, null::timestamptz, null::varchar, varInstitutionBranchID, varBaseCurrencyID, 25000000000085::bigint, null::varchar);</v>
      </c>
    </row>
    <row r="89" spans="2:8" x14ac:dyDescent="0.2">
      <c r="B89" s="37">
        <f>IF(EXACT([1]DataLookUp!$B89, ""), "", [1]DataLookUp!$B89)</f>
        <v>25000000000086</v>
      </c>
      <c r="C89" s="38" t="str">
        <f>IF(EXACT(B89, ""), "", VLOOKUP(B89, [1]DataLookUp!$B$4:$C$1000, 2,FALSE ))</f>
        <v>Cecep Maulana</v>
      </c>
      <c r="D89" s="21"/>
      <c r="E89" s="108"/>
      <c r="G89" s="29">
        <f t="shared" si="2"/>
        <v>32000000000086</v>
      </c>
      <c r="H89" s="30" t="str">
        <f t="shared" si="3"/>
        <v>PERFORM "SchData-OLTP-HumanResource"."Func_TblWorker_SET"(varSystemLoginSession, null::bigint, null::varchar, null::timestamptz, null::timestamptz, null::varchar, varInstitutionBranchID, varBaseCurrencyID, 25000000000086::bigint, null::varchar);</v>
      </c>
    </row>
    <row r="90" spans="2:8" x14ac:dyDescent="0.2">
      <c r="B90" s="37">
        <f>IF(EXACT([1]DataLookUp!$B90, ""), "", [1]DataLookUp!$B90)</f>
        <v>25000000000087</v>
      </c>
      <c r="C90" s="38" t="str">
        <f>IF(EXACT(B90, ""), "", VLOOKUP(B90, [1]DataLookUp!$B$4:$C$1000, 2,FALSE ))</f>
        <v>Chairul Musaddat</v>
      </c>
      <c r="D90" s="21"/>
      <c r="E90" s="108"/>
      <c r="G90" s="29">
        <f t="shared" si="2"/>
        <v>32000000000087</v>
      </c>
      <c r="H90" s="30" t="str">
        <f t="shared" si="3"/>
        <v>PERFORM "SchData-OLTP-HumanResource"."Func_TblWorker_SET"(varSystemLoginSession, null::bigint, null::varchar, null::timestamptz, null::timestamptz, null::varchar, varInstitutionBranchID, varBaseCurrencyID, 25000000000087::bigint, null::varchar);</v>
      </c>
    </row>
    <row r="91" spans="2:8" x14ac:dyDescent="0.2">
      <c r="B91" s="37">
        <f>IF(EXACT([1]DataLookUp!$B91, ""), "", [1]DataLookUp!$B91)</f>
        <v>25000000000088</v>
      </c>
      <c r="C91" s="38" t="str">
        <f>IF(EXACT(B91, ""), "", VLOOKUP(B91, [1]DataLookUp!$B$4:$C$1000, 2,FALSE ))</f>
        <v>Christianto</v>
      </c>
      <c r="D91" s="21"/>
      <c r="E91" s="108"/>
      <c r="G91" s="29">
        <f t="shared" si="2"/>
        <v>32000000000088</v>
      </c>
      <c r="H91" s="30" t="str">
        <f t="shared" si="3"/>
        <v>PERFORM "SchData-OLTP-HumanResource"."Func_TblWorker_SET"(varSystemLoginSession, null::bigint, null::varchar, null::timestamptz, null::timestamptz, null::varchar, varInstitutionBranchID, varBaseCurrencyID, 25000000000088::bigint, null::varchar);</v>
      </c>
    </row>
    <row r="92" spans="2:8" x14ac:dyDescent="0.2">
      <c r="B92" s="37">
        <f>IF(EXACT([1]DataLookUp!$B92, ""), "", [1]DataLookUp!$B92)</f>
        <v>25000000000089</v>
      </c>
      <c r="C92" s="38" t="str">
        <f>IF(EXACT(B92, ""), "", VLOOKUP(B92, [1]DataLookUp!$B$4:$C$1000, 2,FALSE ))</f>
        <v>Dadan Hermawan</v>
      </c>
      <c r="D92" s="21"/>
      <c r="E92" s="108"/>
      <c r="G92" s="29">
        <f t="shared" si="2"/>
        <v>32000000000089</v>
      </c>
      <c r="H92" s="30" t="str">
        <f t="shared" si="3"/>
        <v>PERFORM "SchData-OLTP-HumanResource"."Func_TblWorker_SET"(varSystemLoginSession, null::bigint, null::varchar, null::timestamptz, null::timestamptz, null::varchar, varInstitutionBranchID, varBaseCurrencyID, 25000000000089::bigint, null::varchar);</v>
      </c>
    </row>
    <row r="93" spans="2:8" x14ac:dyDescent="0.2">
      <c r="B93" s="37">
        <f>IF(EXACT([1]DataLookUp!$B93, ""), "", [1]DataLookUp!$B93)</f>
        <v>25000000000090</v>
      </c>
      <c r="C93" s="38" t="str">
        <f>IF(EXACT(B93, ""), "", VLOOKUP(B93, [1]DataLookUp!$B$4:$C$1000, 2,FALSE ))</f>
        <v>Dadan Suhendar</v>
      </c>
      <c r="D93" s="21"/>
      <c r="E93" s="108"/>
      <c r="G93" s="29">
        <f t="shared" si="2"/>
        <v>32000000000090</v>
      </c>
      <c r="H93" s="30" t="str">
        <f t="shared" si="3"/>
        <v>PERFORM "SchData-OLTP-HumanResource"."Func_TblWorker_SET"(varSystemLoginSession, null::bigint, null::varchar, null::timestamptz, null::timestamptz, null::varchar, varInstitutionBranchID, varBaseCurrencyID, 25000000000090::bigint, null::varchar);</v>
      </c>
    </row>
    <row r="94" spans="2:8" x14ac:dyDescent="0.2">
      <c r="B94" s="37">
        <f>IF(EXACT([1]DataLookUp!$B94, ""), "", [1]DataLookUp!$B94)</f>
        <v>25000000000091</v>
      </c>
      <c r="C94" s="38" t="str">
        <f>IF(EXACT(B94, ""), "", VLOOKUP(B94, [1]DataLookUp!$B$4:$C$1000, 2,FALSE ))</f>
        <v>Dadi Anda Zuchradi</v>
      </c>
      <c r="D94" s="21"/>
      <c r="E94" s="108"/>
      <c r="G94" s="29">
        <f t="shared" si="2"/>
        <v>32000000000091</v>
      </c>
      <c r="H94" s="30" t="str">
        <f t="shared" si="3"/>
        <v>PERFORM "SchData-OLTP-HumanResource"."Func_TblWorker_SET"(varSystemLoginSession, null::bigint, null::varchar, null::timestamptz, null::timestamptz, null::varchar, varInstitutionBranchID, varBaseCurrencyID, 25000000000091::bigint, null::varchar);</v>
      </c>
    </row>
    <row r="95" spans="2:8" x14ac:dyDescent="0.2">
      <c r="B95" s="37">
        <f>IF(EXACT([1]DataLookUp!$B95, ""), "", [1]DataLookUp!$B95)</f>
        <v>25000000000092</v>
      </c>
      <c r="C95" s="38" t="str">
        <f>IF(EXACT(B95, ""), "", VLOOKUP(B95, [1]DataLookUp!$B$4:$C$1000, 2,FALSE ))</f>
        <v>Darsito</v>
      </c>
      <c r="D95" s="21" t="s">
        <v>48</v>
      </c>
      <c r="E95" s="108" t="s">
        <v>284</v>
      </c>
      <c r="G95" s="29">
        <f t="shared" si="2"/>
        <v>32000000000092</v>
      </c>
      <c r="H95" s="30" t="str">
        <f t="shared" si="3"/>
        <v>PERFORM "SchData-OLTP-HumanResource"."Func_TblWorker_SET"(varSystemLoginSession, null::bigint, null::varchar, null::timestamptz, null::timestamptz, null::varchar, varInstitutionBranchID, varBaseCurrencyID, 25000000000092::bigint, '031212631'::varchar);</v>
      </c>
    </row>
    <row r="96" spans="2:8" x14ac:dyDescent="0.2">
      <c r="B96" s="37">
        <f>IF(EXACT([1]DataLookUp!$B96, ""), "", [1]DataLookUp!$B96)</f>
        <v>25000000000093</v>
      </c>
      <c r="C96" s="38" t="str">
        <f>IF(EXACT(B96, ""), "", VLOOKUP(B96, [1]DataLookUp!$B$4:$C$1000, 2,FALSE ))</f>
        <v>Davit Lumban Gaol</v>
      </c>
      <c r="D96" s="21">
        <v>170417832</v>
      </c>
      <c r="E96" s="108" t="s">
        <v>284</v>
      </c>
      <c r="G96" s="29">
        <f t="shared" si="2"/>
        <v>32000000000093</v>
      </c>
      <c r="H96" s="30" t="str">
        <f t="shared" si="3"/>
        <v>PERFORM "SchData-OLTP-HumanResource"."Func_TblWorker_SET"(varSystemLoginSession, null::bigint, null::varchar, null::timestamptz, null::timestamptz, null::varchar, varInstitutionBranchID, varBaseCurrencyID, 25000000000093::bigint, '170417832'::varchar);</v>
      </c>
    </row>
    <row r="97" spans="2:8" x14ac:dyDescent="0.2">
      <c r="B97" s="37">
        <f>IF(EXACT([1]DataLookUp!$B97, ""), "", [1]DataLookUp!$B97)</f>
        <v>25000000000094</v>
      </c>
      <c r="C97" s="38" t="str">
        <f>IF(EXACT(B97, ""), "", VLOOKUP(B97, [1]DataLookUp!$B$4:$C$1000, 2,FALSE ))</f>
        <v>Deddy Rochman</v>
      </c>
      <c r="D97" s="21">
        <v>171215791</v>
      </c>
      <c r="E97" s="108" t="s">
        <v>284</v>
      </c>
      <c r="G97" s="29">
        <f t="shared" si="2"/>
        <v>32000000000094</v>
      </c>
      <c r="H97" s="30" t="str">
        <f t="shared" si="3"/>
        <v>PERFORM "SchData-OLTP-HumanResource"."Func_TblWorker_SET"(varSystemLoginSession, null::bigint, null::varchar, null::timestamptz, null::timestamptz, null::varchar, varInstitutionBranchID, varBaseCurrencyID, 25000000000094::bigint, '171215791'::varchar);</v>
      </c>
    </row>
    <row r="98" spans="2:8" x14ac:dyDescent="0.2">
      <c r="B98" s="37">
        <f>IF(EXACT([1]DataLookUp!$B98, ""), "", [1]DataLookUp!$B98)</f>
        <v>25000000000095</v>
      </c>
      <c r="C98" s="38" t="str">
        <f>IF(EXACT(B98, ""), "", VLOOKUP(B98, [1]DataLookUp!$B$4:$C$1000, 2,FALSE ))</f>
        <v>Dedi Kusnadi</v>
      </c>
      <c r="D98" s="21"/>
      <c r="E98" s="108"/>
      <c r="G98" s="29">
        <f t="shared" si="2"/>
        <v>32000000000095</v>
      </c>
      <c r="H98" s="30" t="str">
        <f t="shared" si="3"/>
        <v>PERFORM "SchData-OLTP-HumanResource"."Func_TblWorker_SET"(varSystemLoginSession, null::bigint, null::varchar, null::timestamptz, null::timestamptz, null::varchar, varInstitutionBranchID, varBaseCurrencyID, 25000000000095::bigint, null::varchar);</v>
      </c>
    </row>
    <row r="99" spans="2:8" x14ac:dyDescent="0.2">
      <c r="B99" s="37">
        <f>IF(EXACT([1]DataLookUp!$B99, ""), "", [1]DataLookUp!$B99)</f>
        <v>25000000000096</v>
      </c>
      <c r="C99" s="38" t="str">
        <f>IF(EXACT(B99, ""), "", VLOOKUP(B99, [1]DataLookUp!$B$4:$C$1000, 2,FALSE ))</f>
        <v>Dedi Marciano Rizanur</v>
      </c>
      <c r="D99" s="21"/>
      <c r="E99" s="108"/>
      <c r="G99" s="29">
        <f t="shared" si="2"/>
        <v>32000000000096</v>
      </c>
      <c r="H99" s="30" t="str">
        <f t="shared" si="3"/>
        <v>PERFORM "SchData-OLTP-HumanResource"."Func_TblWorker_SET"(varSystemLoginSession, null::bigint, null::varchar, null::timestamptz, null::timestamptz, null::varchar, varInstitutionBranchID, varBaseCurrencyID, 25000000000096::bigint, null::varchar);</v>
      </c>
    </row>
    <row r="100" spans="2:8" x14ac:dyDescent="0.2">
      <c r="B100" s="37">
        <f>IF(EXACT([1]DataLookUp!$B100, ""), "", [1]DataLookUp!$B100)</f>
        <v>25000000000097</v>
      </c>
      <c r="C100" s="38" t="str">
        <f>IF(EXACT(B100, ""), "", VLOOKUP(B100, [1]DataLookUp!$B$4:$C$1000, 2,FALSE ))</f>
        <v>Dedi Rianto</v>
      </c>
      <c r="D100" s="21"/>
      <c r="E100" s="108"/>
      <c r="G100" s="29">
        <f t="shared" si="2"/>
        <v>32000000000097</v>
      </c>
      <c r="H100" s="30" t="str">
        <f t="shared" si="3"/>
        <v>PERFORM "SchData-OLTP-HumanResource"."Func_TblWorker_SET"(varSystemLoginSession, null::bigint, null::varchar, null::timestamptz, null::timestamptz, null::varchar, varInstitutionBranchID, varBaseCurrencyID, 25000000000097::bigint, null::varchar);</v>
      </c>
    </row>
    <row r="101" spans="2:8" x14ac:dyDescent="0.2">
      <c r="B101" s="37">
        <f>IF(EXACT([1]DataLookUp!$B101, ""), "", [1]DataLookUp!$B101)</f>
        <v>25000000000098</v>
      </c>
      <c r="C101" s="38" t="str">
        <f>IF(EXACT(B101, ""), "", VLOOKUP(B101, [1]DataLookUp!$B$4:$C$1000, 2,FALSE ))</f>
        <v>Dedi Syahputra</v>
      </c>
      <c r="D101" s="21"/>
      <c r="E101" s="108"/>
      <c r="G101" s="29">
        <f t="shared" si="2"/>
        <v>32000000000098</v>
      </c>
      <c r="H101" s="30" t="str">
        <f t="shared" si="3"/>
        <v>PERFORM "SchData-OLTP-HumanResource"."Func_TblWorker_SET"(varSystemLoginSession, null::bigint, null::varchar, null::timestamptz, null::timestamptz, null::varchar, varInstitutionBranchID, varBaseCurrencyID, 25000000000098::bigint, null::varchar);</v>
      </c>
    </row>
    <row r="102" spans="2:8" x14ac:dyDescent="0.2">
      <c r="B102" s="37">
        <f>IF(EXACT([1]DataLookUp!$B102, ""), "", [1]DataLookUp!$B102)</f>
        <v>25000000000099</v>
      </c>
      <c r="C102" s="38" t="str">
        <f>IF(EXACT(B102, ""), "", VLOOKUP(B102, [1]DataLookUp!$B$4:$C$1000, 2,FALSE ))</f>
        <v>Deni Setiawan</v>
      </c>
      <c r="D102" s="21"/>
      <c r="E102" s="108"/>
      <c r="G102" s="29">
        <f t="shared" si="2"/>
        <v>32000000000099</v>
      </c>
      <c r="H102" s="30" t="str">
        <f t="shared" si="3"/>
        <v>PERFORM "SchData-OLTP-HumanResource"."Func_TblWorker_SET"(varSystemLoginSession, null::bigint, null::varchar, null::timestamptz, null::timestamptz, null::varchar, varInstitutionBranchID, varBaseCurrencyID, 25000000000099::bigint, null::varchar);</v>
      </c>
    </row>
    <row r="103" spans="2:8" x14ac:dyDescent="0.2">
      <c r="B103" s="37">
        <f>IF(EXACT([1]DataLookUp!$B103, ""), "", [1]DataLookUp!$B103)</f>
        <v>25000000000100</v>
      </c>
      <c r="C103" s="38" t="str">
        <f>IF(EXACT(B103, ""), "", VLOOKUP(B103, [1]DataLookUp!$B$4:$C$1000, 2,FALSE ))</f>
        <v>Deny Adi Purnama</v>
      </c>
      <c r="D103" s="21" t="s">
        <v>15</v>
      </c>
      <c r="E103" s="108" t="s">
        <v>284</v>
      </c>
      <c r="G103" s="29">
        <f t="shared" si="2"/>
        <v>32000000000100</v>
      </c>
      <c r="H103" s="30" t="str">
        <f t="shared" si="3"/>
        <v>PERFORM "SchData-OLTP-HumanResource"."Func_TblWorker_SET"(varSystemLoginSession, null::bigint, null::varchar, null::timestamptz, null::timestamptz, null::varchar, varInstitutionBranchID, varBaseCurrencyID, 25000000000100::bigint, '050123975'::varchar);</v>
      </c>
    </row>
    <row r="104" spans="2:8" x14ac:dyDescent="0.2">
      <c r="B104" s="37">
        <f>IF(EXACT([1]DataLookUp!$B104, ""), "", [1]DataLookUp!$B104)</f>
        <v>25000000000101</v>
      </c>
      <c r="C104" s="38" t="str">
        <f>IF(EXACT(B104, ""), "", VLOOKUP(B104, [1]DataLookUp!$B$4:$C$1000, 2,FALSE ))</f>
        <v>Desi Herawati</v>
      </c>
      <c r="D104" s="21"/>
      <c r="E104" s="108"/>
      <c r="G104" s="29">
        <f t="shared" si="2"/>
        <v>32000000000101</v>
      </c>
      <c r="H104" s="30" t="str">
        <f t="shared" si="3"/>
        <v>PERFORM "SchData-OLTP-HumanResource"."Func_TblWorker_SET"(varSystemLoginSession, null::bigint, null::varchar, null::timestamptz, null::timestamptz, null::varchar, varInstitutionBranchID, varBaseCurrencyID, 25000000000101::bigint, null::varchar);</v>
      </c>
    </row>
    <row r="105" spans="2:8" x14ac:dyDescent="0.2">
      <c r="B105" s="37">
        <f>IF(EXACT([1]DataLookUp!$B105, ""), "", [1]DataLookUp!$B105)</f>
        <v>25000000000102</v>
      </c>
      <c r="C105" s="38" t="str">
        <f>IF(EXACT(B105, ""), "", VLOOKUP(B105, [1]DataLookUp!$B$4:$C$1000, 2,FALSE ))</f>
        <v>Desi Setiowati</v>
      </c>
      <c r="D105" s="21"/>
      <c r="E105" s="108"/>
      <c r="G105" s="29">
        <f t="shared" si="2"/>
        <v>32000000000102</v>
      </c>
      <c r="H105" s="30" t="str">
        <f t="shared" si="3"/>
        <v>PERFORM "SchData-OLTP-HumanResource"."Func_TblWorker_SET"(varSystemLoginSession, null::bigint, null::varchar, null::timestamptz, null::timestamptz, null::varchar, varInstitutionBranchID, varBaseCurrencyID, 25000000000102::bigint, null::varchar);</v>
      </c>
    </row>
    <row r="106" spans="2:8" x14ac:dyDescent="0.2">
      <c r="B106" s="37">
        <f>IF(EXACT([1]DataLookUp!$B106, ""), "", [1]DataLookUp!$B106)</f>
        <v>25000000000103</v>
      </c>
      <c r="C106" s="38" t="str">
        <f>IF(EXACT(B106, ""), "", VLOOKUP(B106, [1]DataLookUp!$B$4:$C$1000, 2,FALSE ))</f>
        <v>Dian Firdaus</v>
      </c>
      <c r="D106" s="21"/>
      <c r="E106" s="108"/>
      <c r="G106" s="29">
        <f t="shared" si="2"/>
        <v>32000000000103</v>
      </c>
      <c r="H106" s="30" t="str">
        <f t="shared" si="3"/>
        <v>PERFORM "SchData-OLTP-HumanResource"."Func_TblWorker_SET"(varSystemLoginSession, null::bigint, null::varchar, null::timestamptz, null::timestamptz, null::varchar, varInstitutionBranchID, varBaseCurrencyID, 25000000000103::bigint, null::varchar);</v>
      </c>
    </row>
    <row r="107" spans="2:8" x14ac:dyDescent="0.2">
      <c r="B107" s="37">
        <f>IF(EXACT([1]DataLookUp!$B107, ""), "", [1]DataLookUp!$B107)</f>
        <v>25000000000104</v>
      </c>
      <c r="C107" s="38" t="str">
        <f>IF(EXACT(B107, ""), "", VLOOKUP(B107, [1]DataLookUp!$B$4:$C$1000, 2,FALSE ))</f>
        <v>Dian Hariyana</v>
      </c>
      <c r="D107" s="21"/>
      <c r="E107" s="108"/>
      <c r="G107" s="29">
        <f t="shared" si="2"/>
        <v>32000000000104</v>
      </c>
      <c r="H107" s="30" t="str">
        <f t="shared" si="3"/>
        <v>PERFORM "SchData-OLTP-HumanResource"."Func_TblWorker_SET"(varSystemLoginSession, null::bigint, null::varchar, null::timestamptz, null::timestamptz, null::varchar, varInstitutionBranchID, varBaseCurrencyID, 25000000000104::bigint, null::varchar);</v>
      </c>
    </row>
    <row r="108" spans="2:8" x14ac:dyDescent="0.2">
      <c r="B108" s="37">
        <f>IF(EXACT([1]DataLookUp!$B108, ""), "", [1]DataLookUp!$B108)</f>
        <v>25000000000105</v>
      </c>
      <c r="C108" s="38" t="str">
        <f>IF(EXACT(B108, ""), "", VLOOKUP(B108, [1]DataLookUp!$B$4:$C$1000, 2,FALSE ))</f>
        <v>Dinnar Budiarti</v>
      </c>
      <c r="D108" s="21"/>
      <c r="E108" s="108"/>
      <c r="G108" s="29">
        <f t="shared" si="2"/>
        <v>32000000000105</v>
      </c>
      <c r="H108" s="30" t="str">
        <f t="shared" si="3"/>
        <v>PERFORM "SchData-OLTP-HumanResource"."Func_TblWorker_SET"(varSystemLoginSession, null::bigint, null::varchar, null::timestamptz, null::timestamptz, null::varchar, varInstitutionBranchID, varBaseCurrencyID, 25000000000105::bigint, null::varchar);</v>
      </c>
    </row>
    <row r="109" spans="2:8" x14ac:dyDescent="0.2">
      <c r="B109" s="37">
        <f>IF(EXACT([1]DataLookUp!$B109, ""), "", [1]DataLookUp!$B109)</f>
        <v>25000000000106</v>
      </c>
      <c r="C109" s="38" t="str">
        <f>IF(EXACT(B109, ""), "", VLOOKUP(B109, [1]DataLookUp!$B$4:$C$1000, 2,FALSE ))</f>
        <v>Dionesius Sostenist Duka</v>
      </c>
      <c r="D109" s="23" t="s">
        <v>49</v>
      </c>
      <c r="E109" s="109" t="s">
        <v>284</v>
      </c>
      <c r="G109" s="29">
        <f t="shared" si="2"/>
        <v>32000000000106</v>
      </c>
      <c r="H109" s="30" t="str">
        <f t="shared" si="3"/>
        <v>PERFORM "SchData-OLTP-HumanResource"."Func_TblWorker_SET"(varSystemLoginSession, null::bigint, null::varchar, null::timestamptz, null::timestamptz, null::varchar, varInstitutionBranchID, varBaseCurrencyID, 25000000000106::bigint, '010605133'::varchar);</v>
      </c>
    </row>
    <row r="110" spans="2:8" x14ac:dyDescent="0.2">
      <c r="B110" s="37">
        <f>IF(EXACT([1]DataLookUp!$B110, ""), "", [1]DataLookUp!$B110)</f>
        <v>25000000000107</v>
      </c>
      <c r="C110" s="38" t="str">
        <f>IF(EXACT(B110, ""), "", VLOOKUP(B110, [1]DataLookUp!$B$4:$C$1000, 2,FALSE ))</f>
        <v>Diyah Martina</v>
      </c>
      <c r="D110" s="21"/>
      <c r="E110" s="108"/>
      <c r="G110" s="29">
        <f t="shared" si="2"/>
        <v>32000000000107</v>
      </c>
      <c r="H110" s="30" t="str">
        <f t="shared" si="3"/>
        <v>PERFORM "SchData-OLTP-HumanResource"."Func_TblWorker_SET"(varSystemLoginSession, null::bigint, null::varchar, null::timestamptz, null::timestamptz, null::varchar, varInstitutionBranchID, varBaseCurrencyID, 25000000000107::bigint, null::varchar);</v>
      </c>
    </row>
    <row r="111" spans="2:8" x14ac:dyDescent="0.2">
      <c r="B111" s="37">
        <f>IF(EXACT([1]DataLookUp!$B111, ""), "", [1]DataLookUp!$B111)</f>
        <v>25000000000108</v>
      </c>
      <c r="C111" s="38" t="str">
        <f>IF(EXACT(B111, ""), "", VLOOKUP(B111, [1]DataLookUp!$B$4:$C$1000, 2,FALSE ))</f>
        <v>Djuang Tampubolon</v>
      </c>
      <c r="D111" s="21"/>
      <c r="E111" s="108"/>
      <c r="G111" s="29">
        <f t="shared" si="2"/>
        <v>32000000000108</v>
      </c>
      <c r="H111" s="30" t="str">
        <f t="shared" si="3"/>
        <v>PERFORM "SchData-OLTP-HumanResource"."Func_TblWorker_SET"(varSystemLoginSession, null::bigint, null::varchar, null::timestamptz, null::timestamptz, null::varchar, varInstitutionBranchID, varBaseCurrencyID, 25000000000108::bigint, null::varchar);</v>
      </c>
    </row>
    <row r="112" spans="2:8" x14ac:dyDescent="0.2">
      <c r="B112" s="37">
        <f>IF(EXACT([1]DataLookUp!$B112, ""), "", [1]DataLookUp!$B112)</f>
        <v>25000000000109</v>
      </c>
      <c r="C112" s="38" t="str">
        <f>IF(EXACT(B112, ""), "", VLOOKUP(B112, [1]DataLookUp!$B$4:$C$1000, 2,FALSE ))</f>
        <v>Dodit Widiarto</v>
      </c>
      <c r="D112" s="21"/>
      <c r="E112" s="108"/>
      <c r="G112" s="29">
        <f t="shared" si="2"/>
        <v>32000000000109</v>
      </c>
      <c r="H112" s="30" t="str">
        <f t="shared" si="3"/>
        <v>PERFORM "SchData-OLTP-HumanResource"."Func_TblWorker_SET"(varSystemLoginSession, null::bigint, null::varchar, null::timestamptz, null::timestamptz, null::varchar, varInstitutionBranchID, varBaseCurrencyID, 25000000000109::bigint, null::varchar);</v>
      </c>
    </row>
    <row r="113" spans="2:8" x14ac:dyDescent="0.2">
      <c r="B113" s="37">
        <f>IF(EXACT([1]DataLookUp!$B113, ""), "", [1]DataLookUp!$B113)</f>
        <v>25000000000110</v>
      </c>
      <c r="C113" s="38" t="str">
        <f>IF(EXACT(B113, ""), "", VLOOKUP(B113, [1]DataLookUp!$B$4:$C$1000, 2,FALSE ))</f>
        <v>Dony Darmawan</v>
      </c>
      <c r="D113" s="21"/>
      <c r="E113" s="108"/>
      <c r="G113" s="29">
        <f t="shared" si="2"/>
        <v>32000000000110</v>
      </c>
      <c r="H113" s="30" t="str">
        <f t="shared" si="3"/>
        <v>PERFORM "SchData-OLTP-HumanResource"."Func_TblWorker_SET"(varSystemLoginSession, null::bigint, null::varchar, null::timestamptz, null::timestamptz, null::varchar, varInstitutionBranchID, varBaseCurrencyID, 25000000000110::bigint, null::varchar);</v>
      </c>
    </row>
    <row r="114" spans="2:8" x14ac:dyDescent="0.2">
      <c r="B114" s="37">
        <f>IF(EXACT([1]DataLookUp!$B114, ""), "", [1]DataLookUp!$B114)</f>
        <v>25000000000111</v>
      </c>
      <c r="C114" s="38" t="str">
        <f>IF(EXACT(B114, ""), "", VLOOKUP(B114, [1]DataLookUp!$B$4:$C$1000, 2,FALSE ))</f>
        <v>Dony Setiawan</v>
      </c>
      <c r="D114" s="21"/>
      <c r="E114" s="108"/>
      <c r="G114" s="29">
        <f t="shared" si="2"/>
        <v>32000000000111</v>
      </c>
      <c r="H114" s="30" t="str">
        <f t="shared" si="3"/>
        <v>PERFORM "SchData-OLTP-HumanResource"."Func_TblWorker_SET"(varSystemLoginSession, null::bigint, null::varchar, null::timestamptz, null::timestamptz, null::varchar, varInstitutionBranchID, varBaseCurrencyID, 25000000000111::bigint, null::varchar);</v>
      </c>
    </row>
    <row r="115" spans="2:8" x14ac:dyDescent="0.2">
      <c r="B115" s="37">
        <f>IF(EXACT([1]DataLookUp!$B115, ""), "", [1]DataLookUp!$B115)</f>
        <v>25000000000112</v>
      </c>
      <c r="C115" s="38" t="str">
        <f>IF(EXACT(B115, ""), "", VLOOKUP(B115, [1]DataLookUp!$B$4:$C$1000, 2,FALSE ))</f>
        <v>Dudi Rustandi</v>
      </c>
      <c r="D115" s="21"/>
      <c r="E115" s="108"/>
      <c r="G115" s="29">
        <f t="shared" si="2"/>
        <v>32000000000112</v>
      </c>
      <c r="H115" s="30" t="str">
        <f t="shared" si="3"/>
        <v>PERFORM "SchData-OLTP-HumanResource"."Func_TblWorker_SET"(varSystemLoginSession, null::bigint, null::varchar, null::timestamptz, null::timestamptz, null::varchar, varInstitutionBranchID, varBaseCurrencyID, 25000000000112::bigint, null::varchar);</v>
      </c>
    </row>
    <row r="116" spans="2:8" x14ac:dyDescent="0.2">
      <c r="B116" s="37">
        <f>IF(EXACT([1]DataLookUp!$B116, ""), "", [1]DataLookUp!$B116)</f>
        <v>25000000000113</v>
      </c>
      <c r="C116" s="38" t="str">
        <f>IF(EXACT(B116, ""), "", VLOOKUP(B116, [1]DataLookUp!$B$4:$C$1000, 2,FALSE ))</f>
        <v>Dudung</v>
      </c>
      <c r="D116" s="21"/>
      <c r="E116" s="108"/>
      <c r="G116" s="29">
        <f t="shared" si="2"/>
        <v>32000000000113</v>
      </c>
      <c r="H116" s="30" t="str">
        <f t="shared" si="3"/>
        <v>PERFORM "SchData-OLTP-HumanResource"."Func_TblWorker_SET"(varSystemLoginSession, null::bigint, null::varchar, null::timestamptz, null::timestamptz, null::varchar, varInstitutionBranchID, varBaseCurrencyID, 25000000000113::bigint, null::varchar);</v>
      </c>
    </row>
    <row r="117" spans="2:8" x14ac:dyDescent="0.2">
      <c r="B117" s="37">
        <f>IF(EXACT([1]DataLookUp!$B117, ""), "", [1]DataLookUp!$B117)</f>
        <v>25000000000114</v>
      </c>
      <c r="C117" s="38" t="str">
        <f>IF(EXACT(B117, ""), "", VLOOKUP(B117, [1]DataLookUp!$B$4:$C$1000, 2,FALSE ))</f>
        <v>Dwi Joko Setio Tjaroko</v>
      </c>
      <c r="D117" s="21"/>
      <c r="E117" s="108"/>
      <c r="G117" s="29">
        <f t="shared" si="2"/>
        <v>32000000000114</v>
      </c>
      <c r="H117" s="30" t="str">
        <f t="shared" si="3"/>
        <v>PERFORM "SchData-OLTP-HumanResource"."Func_TblWorker_SET"(varSystemLoginSession, null::bigint, null::varchar, null::timestamptz, null::timestamptz, null::varchar, varInstitutionBranchID, varBaseCurrencyID, 25000000000114::bigint, null::varchar);</v>
      </c>
    </row>
    <row r="118" spans="2:8" x14ac:dyDescent="0.2">
      <c r="B118" s="37">
        <f>IF(EXACT([1]DataLookUp!$B118, ""), "", [1]DataLookUp!$B118)</f>
        <v>25000000000115</v>
      </c>
      <c r="C118" s="38" t="str">
        <f>IF(EXACT(B118, ""), "", VLOOKUP(B118, [1]DataLookUp!$B$4:$C$1000, 2,FALSE ))</f>
        <v>Dwinanto Prabowo</v>
      </c>
      <c r="D118" s="21"/>
      <c r="E118" s="108"/>
      <c r="G118" s="29">
        <f t="shared" si="2"/>
        <v>32000000000115</v>
      </c>
      <c r="H118" s="30" t="str">
        <f t="shared" si="3"/>
        <v>PERFORM "SchData-OLTP-HumanResource"."Func_TblWorker_SET"(varSystemLoginSession, null::bigint, null::varchar, null::timestamptz, null::timestamptz, null::varchar, varInstitutionBranchID, varBaseCurrencyID, 25000000000115::bigint, null::varchar);</v>
      </c>
    </row>
    <row r="119" spans="2:8" x14ac:dyDescent="0.2">
      <c r="B119" s="37">
        <f>IF(EXACT([1]DataLookUp!$B119, ""), "", [1]DataLookUp!$B119)</f>
        <v>25000000000116</v>
      </c>
      <c r="C119" s="38" t="str">
        <f>IF(EXACT(B119, ""), "", VLOOKUP(B119, [1]DataLookUp!$B$4:$C$1000, 2,FALSE ))</f>
        <v>Edi Waluyo</v>
      </c>
      <c r="D119" s="21" t="s">
        <v>16</v>
      </c>
      <c r="E119" s="108" t="s">
        <v>284</v>
      </c>
      <c r="G119" s="29">
        <f t="shared" si="2"/>
        <v>32000000000116</v>
      </c>
      <c r="H119" s="30" t="str">
        <f t="shared" si="3"/>
        <v>PERFORM "SchData-OLTP-HumanResource"."Func_TblWorker_SET"(varSystemLoginSession, null::bigint, null::varchar, null::timestamptz, null::timestamptz, null::varchar, varInstitutionBranchID, varBaseCurrencyID, 25000000000116::bigint, '040803040'::varchar);</v>
      </c>
    </row>
    <row r="120" spans="2:8" x14ac:dyDescent="0.2">
      <c r="B120" s="37">
        <f>IF(EXACT([1]DataLookUp!$B120, ""), "", [1]DataLookUp!$B120)</f>
        <v>25000000000117</v>
      </c>
      <c r="C120" s="38" t="str">
        <f>IF(EXACT(B120, ""), "", VLOOKUP(B120, [1]DataLookUp!$B$4:$C$1000, 2,FALSE ))</f>
        <v>Edi Siswanto</v>
      </c>
      <c r="D120" s="21"/>
      <c r="E120" s="108"/>
      <c r="G120" s="29">
        <f t="shared" si="2"/>
        <v>32000000000117</v>
      </c>
      <c r="H120" s="30" t="str">
        <f t="shared" si="3"/>
        <v>PERFORM "SchData-OLTP-HumanResource"."Func_TblWorker_SET"(varSystemLoginSession, null::bigint, null::varchar, null::timestamptz, null::timestamptz, null::varchar, varInstitutionBranchID, varBaseCurrencyID, 25000000000117::bigint, null::varchar);</v>
      </c>
    </row>
    <row r="121" spans="2:8" x14ac:dyDescent="0.2">
      <c r="B121" s="37">
        <f>IF(EXACT([1]DataLookUp!$B121, ""), "", [1]DataLookUp!$B121)</f>
        <v>25000000000118</v>
      </c>
      <c r="C121" s="38" t="str">
        <f>IF(EXACT(B121, ""), "", VLOOKUP(B121, [1]DataLookUp!$B$4:$C$1000, 2,FALSE ))</f>
        <v>Edi Turnip</v>
      </c>
      <c r="D121" s="21"/>
      <c r="E121" s="108"/>
      <c r="G121" s="29">
        <f t="shared" si="2"/>
        <v>32000000000118</v>
      </c>
      <c r="H121" s="30" t="str">
        <f t="shared" si="3"/>
        <v>PERFORM "SchData-OLTP-HumanResource"."Func_TblWorker_SET"(varSystemLoginSession, null::bigint, null::varchar, null::timestamptz, null::timestamptz, null::varchar, varInstitutionBranchID, varBaseCurrencyID, 25000000000118::bigint, null::varchar);</v>
      </c>
    </row>
    <row r="122" spans="2:8" x14ac:dyDescent="0.2">
      <c r="B122" s="37">
        <f>IF(EXACT([1]DataLookUp!$B122, ""), "", [1]DataLookUp!$B122)</f>
        <v>25000000000119</v>
      </c>
      <c r="C122" s="38" t="str">
        <f>IF(EXACT(B122, ""), "", VLOOKUP(B122, [1]DataLookUp!$B$4:$C$1000, 2,FALSE ))</f>
        <v>Edy Putra Waskita</v>
      </c>
      <c r="D122" s="21"/>
      <c r="E122" s="108"/>
      <c r="G122" s="29">
        <f t="shared" si="2"/>
        <v>32000000000119</v>
      </c>
      <c r="H122" s="30" t="str">
        <f t="shared" si="3"/>
        <v>PERFORM "SchData-OLTP-HumanResource"."Func_TblWorker_SET"(varSystemLoginSession, null::bigint, null::varchar, null::timestamptz, null::timestamptz, null::varchar, varInstitutionBranchID, varBaseCurrencyID, 25000000000119::bigint, null::varchar);</v>
      </c>
    </row>
    <row r="123" spans="2:8" x14ac:dyDescent="0.2">
      <c r="B123" s="37">
        <f>IF(EXACT([1]DataLookUp!$B123, ""), "", [1]DataLookUp!$B123)</f>
        <v>25000000000120</v>
      </c>
      <c r="C123" s="38" t="str">
        <f>IF(EXACT(B123, ""), "", VLOOKUP(B123, [1]DataLookUp!$B$4:$C$1000, 2,FALSE ))</f>
        <v>Edy Syahputra Situmeang</v>
      </c>
      <c r="D123" s="21" t="s">
        <v>142</v>
      </c>
      <c r="E123" s="108" t="s">
        <v>284</v>
      </c>
      <c r="G123" s="29">
        <f t="shared" si="2"/>
        <v>32000000000120</v>
      </c>
      <c r="H123" s="30" t="str">
        <f t="shared" si="3"/>
        <v>PERFORM "SchData-OLTP-HumanResource"."Func_TblWorker_SET"(varSystemLoginSession, null::bigint, null::varchar, null::timestamptz, null::timestamptz, null::varchar, varInstitutionBranchID, varBaseCurrencyID, 25000000000120::bigint, '0701251000'::varchar);</v>
      </c>
    </row>
    <row r="124" spans="2:8" x14ac:dyDescent="0.2">
      <c r="B124" s="37">
        <f>IF(EXACT([1]DataLookUp!$B124, ""), "", [1]DataLookUp!$B124)</f>
        <v>25000000000121</v>
      </c>
      <c r="C124" s="38" t="str">
        <f>IF(EXACT(B124, ""), "", VLOOKUP(B124, [1]DataLookUp!$B$4:$C$1000, 2,FALSE ))</f>
        <v>Effendi fendi</v>
      </c>
      <c r="D124" s="21"/>
      <c r="E124" s="108"/>
      <c r="G124" s="29">
        <f t="shared" si="2"/>
        <v>32000000000121</v>
      </c>
      <c r="H124" s="30" t="str">
        <f t="shared" si="3"/>
        <v>PERFORM "SchData-OLTP-HumanResource"."Func_TblWorker_SET"(varSystemLoginSession, null::bigint, null::varchar, null::timestamptz, null::timestamptz, null::varchar, varInstitutionBranchID, varBaseCurrencyID, 25000000000121::bigint, null::varchar);</v>
      </c>
    </row>
    <row r="125" spans="2:8" x14ac:dyDescent="0.2">
      <c r="B125" s="37">
        <f>IF(EXACT([1]DataLookUp!$B125, ""), "", [1]DataLookUp!$B125)</f>
        <v>25000000000122</v>
      </c>
      <c r="C125" s="38" t="str">
        <f>IF(EXACT(B125, ""), "", VLOOKUP(B125, [1]DataLookUp!$B$4:$C$1000, 2,FALSE ))</f>
        <v>Efrina Dwililia</v>
      </c>
      <c r="D125" s="21"/>
      <c r="E125" s="108"/>
      <c r="G125" s="29">
        <f t="shared" si="2"/>
        <v>32000000000122</v>
      </c>
      <c r="H125" s="30" t="str">
        <f t="shared" si="3"/>
        <v>PERFORM "SchData-OLTP-HumanResource"."Func_TblWorker_SET"(varSystemLoginSession, null::bigint, null::varchar, null::timestamptz, null::timestamptz, null::varchar, varInstitutionBranchID, varBaseCurrencyID, 25000000000122::bigint, null::varchar);</v>
      </c>
    </row>
    <row r="126" spans="2:8" x14ac:dyDescent="0.2">
      <c r="B126" s="37">
        <f>IF(EXACT([1]DataLookUp!$B126, ""), "", [1]DataLookUp!$B126)</f>
        <v>25000000000123</v>
      </c>
      <c r="C126" s="38" t="str">
        <f>IF(EXACT(B126, ""), "", VLOOKUP(B126, [1]DataLookUp!$B$4:$C$1000, 2,FALSE ))</f>
        <v>Eka Bagus Dwi Putra</v>
      </c>
      <c r="D126" s="21" t="s">
        <v>17</v>
      </c>
      <c r="E126" s="108" t="s">
        <v>284</v>
      </c>
      <c r="G126" s="29">
        <f t="shared" si="2"/>
        <v>32000000000123</v>
      </c>
      <c r="H126" s="30" t="str">
        <f t="shared" si="3"/>
        <v>PERFORM "SchData-OLTP-HumanResource"."Func_TblWorker_SET"(varSystemLoginSession, null::bigint, null::varchar, null::timestamptz, null::timestamptz, null::varchar, varInstitutionBranchID, varBaseCurrencyID, 25000000000123::bigint, '200420932'::varchar);</v>
      </c>
    </row>
    <row r="127" spans="2:8" x14ac:dyDescent="0.2">
      <c r="B127" s="37">
        <f>IF(EXACT([1]DataLookUp!$B127, ""), "", [1]DataLookUp!$B127)</f>
        <v>25000000000124</v>
      </c>
      <c r="C127" s="38" t="str">
        <f>IF(EXACT(B127, ""), "", VLOOKUP(B127, [1]DataLookUp!$B$4:$C$1000, 2,FALSE ))</f>
        <v>Eka Hamidah</v>
      </c>
      <c r="D127" s="21"/>
      <c r="E127" s="108"/>
      <c r="G127" s="29">
        <f t="shared" si="2"/>
        <v>32000000000124</v>
      </c>
      <c r="H127" s="30" t="str">
        <f t="shared" si="3"/>
        <v>PERFORM "SchData-OLTP-HumanResource"."Func_TblWorker_SET"(varSystemLoginSession, null::bigint, null::varchar, null::timestamptz, null::timestamptz, null::varchar, varInstitutionBranchID, varBaseCurrencyID, 25000000000124::bigint, null::varchar);</v>
      </c>
    </row>
    <row r="128" spans="2:8" x14ac:dyDescent="0.2">
      <c r="B128" s="37">
        <f>IF(EXACT([1]DataLookUp!$B128, ""), "", [1]DataLookUp!$B128)</f>
        <v>25000000000125</v>
      </c>
      <c r="C128" s="38" t="str">
        <f>IF(EXACT(B128, ""), "", VLOOKUP(B128, [1]DataLookUp!$B$4:$C$1000, 2,FALSE ))</f>
        <v>Eka Purwanti</v>
      </c>
      <c r="D128" s="21" t="s">
        <v>18</v>
      </c>
      <c r="E128" s="108" t="s">
        <v>284</v>
      </c>
      <c r="G128" s="29">
        <f t="shared" si="2"/>
        <v>32000000000125</v>
      </c>
      <c r="H128" s="30" t="str">
        <f t="shared" si="3"/>
        <v>PERFORM "SchData-OLTP-HumanResource"."Func_TblWorker_SET"(varSystemLoginSession, null::bigint, null::varchar, null::timestamptz, null::timestamptz, null::varchar, varInstitutionBranchID, varBaseCurrencyID, 25000000000125::bigint, '060121944'::varchar);</v>
      </c>
    </row>
    <row r="129" spans="2:8" x14ac:dyDescent="0.2">
      <c r="B129" s="37">
        <f>IF(EXACT([1]DataLookUp!$B129, ""), "", [1]DataLookUp!$B129)</f>
        <v>25000000000126</v>
      </c>
      <c r="C129" s="38" t="str">
        <f>IF(EXACT(B129, ""), "", VLOOKUP(B129, [1]DataLookUp!$B$4:$C$1000, 2,FALSE ))</f>
        <v>Eka Kurniawan Hidayatullah</v>
      </c>
      <c r="D129" s="21" t="s">
        <v>92</v>
      </c>
      <c r="E129" s="108" t="s">
        <v>284</v>
      </c>
      <c r="G129" s="29">
        <f t="shared" si="2"/>
        <v>32000000000126</v>
      </c>
      <c r="H129" s="30" t="str">
        <f t="shared" si="3"/>
        <v>PERFORM "SchData-OLTP-HumanResource"."Func_TblWorker_SET"(varSystemLoginSession, null::bigint, null::varchar, null::timestamptz, null::timestamptz, null::varchar, varInstitutionBranchID, varBaseCurrencyID, 25000000000126::bigint, '120324987'::varchar);</v>
      </c>
    </row>
    <row r="130" spans="2:8" x14ac:dyDescent="0.2">
      <c r="B130" s="37">
        <f>IF(EXACT([1]DataLookUp!$B130, ""), "", [1]DataLookUp!$B130)</f>
        <v>25000000000127</v>
      </c>
      <c r="C130" s="38" t="str">
        <f>IF(EXACT(B130, ""), "", VLOOKUP(B130, [1]DataLookUp!$B$4:$C$1000, 2,FALSE ))</f>
        <v>Eko Laksono</v>
      </c>
      <c r="D130" s="21"/>
      <c r="E130" s="108"/>
      <c r="G130" s="29">
        <f t="shared" si="2"/>
        <v>32000000000127</v>
      </c>
      <c r="H130" s="30" t="str">
        <f t="shared" si="3"/>
        <v>PERFORM "SchData-OLTP-HumanResource"."Func_TblWorker_SET"(varSystemLoginSession, null::bigint, null::varchar, null::timestamptz, null::timestamptz, null::varchar, varInstitutionBranchID, varBaseCurrencyID, 25000000000127::bigint, null::varchar);</v>
      </c>
    </row>
    <row r="131" spans="2:8" x14ac:dyDescent="0.2">
      <c r="B131" s="37">
        <f>IF(EXACT([1]DataLookUp!$B131, ""), "", [1]DataLookUp!$B131)</f>
        <v>25000000000128</v>
      </c>
      <c r="C131" s="38" t="str">
        <f>IF(EXACT(B131, ""), "", VLOOKUP(B131, [1]DataLookUp!$B$4:$C$1000, 2,FALSE ))</f>
        <v>Eko Syambudi</v>
      </c>
      <c r="D131" s="21"/>
      <c r="E131" s="108"/>
      <c r="G131" s="29">
        <f t="shared" si="2"/>
        <v>32000000000128</v>
      </c>
      <c r="H131" s="30" t="str">
        <f t="shared" si="3"/>
        <v>PERFORM "SchData-OLTP-HumanResource"."Func_TblWorker_SET"(varSystemLoginSession, null::bigint, null::varchar, null::timestamptz, null::timestamptz, null::varchar, varInstitutionBranchID, varBaseCurrencyID, 25000000000128::bigint, null::varchar);</v>
      </c>
    </row>
    <row r="132" spans="2:8" x14ac:dyDescent="0.2">
      <c r="B132" s="37">
        <f>IF(EXACT([1]DataLookUp!$B132, ""), "", [1]DataLookUp!$B132)</f>
        <v>25000000000129</v>
      </c>
      <c r="C132" s="38" t="str">
        <f>IF(EXACT(B132, ""), "", VLOOKUP(B132, [1]DataLookUp!$B$4:$C$1000, 2,FALSE ))</f>
        <v>Elieser Ferdy P.</v>
      </c>
      <c r="D132" s="21"/>
      <c r="E132" s="108"/>
      <c r="G132" s="29">
        <f t="shared" si="2"/>
        <v>32000000000129</v>
      </c>
      <c r="H132" s="30" t="str">
        <f t="shared" si="3"/>
        <v>PERFORM "SchData-OLTP-HumanResource"."Func_TblWorker_SET"(varSystemLoginSession, null::bigint, null::varchar, null::timestamptz, null::timestamptz, null::varchar, varInstitutionBranchID, varBaseCurrencyID, 25000000000129::bigint, null::varchar);</v>
      </c>
    </row>
    <row r="133" spans="2:8" x14ac:dyDescent="0.2">
      <c r="B133" s="37">
        <f>IF(EXACT([1]DataLookUp!$B133, ""), "", [1]DataLookUp!$B133)</f>
        <v>25000000000130</v>
      </c>
      <c r="C133" s="38" t="str">
        <f>IF(EXACT(B133, ""), "", VLOOKUP(B133, [1]DataLookUp!$B$4:$C$1000, 2,FALSE ))</f>
        <v>Elisa</v>
      </c>
      <c r="D133" s="21"/>
      <c r="E133" s="108"/>
      <c r="G133" s="29">
        <f t="shared" ref="G133:G196" si="4" xml:space="preserve"> G132 + IF(EXACT(H133, ""), 0, 1)</f>
        <v>32000000000130</v>
      </c>
      <c r="H133" s="30" t="str">
        <f t="shared" ref="H133:H196" si="5">CONCATENATE("PERFORM ""SchData-OLTP-HumanResource"".""Func_TblWorker_SET""(varSystemLoginSession, null::bigint, null::varchar, null::timestamptz, null::timestamptz, null::varchar, varInstitutionBranchID, varBaseCurrencyID, ", B133, "::bigint, ", IF(EXACT(D133, ""), "null", CONCATENATE("'", D133, "'")), "::varchar);")</f>
        <v>PERFORM "SchData-OLTP-HumanResource"."Func_TblWorker_SET"(varSystemLoginSession, null::bigint, null::varchar, null::timestamptz, null::timestamptz, null::varchar, varInstitutionBranchID, varBaseCurrencyID, 25000000000130::bigint, null::varchar);</v>
      </c>
    </row>
    <row r="134" spans="2:8" x14ac:dyDescent="0.2">
      <c r="B134" s="37">
        <f>IF(EXACT([1]DataLookUp!$B134, ""), "", [1]DataLookUp!$B134)</f>
        <v>25000000000131</v>
      </c>
      <c r="C134" s="38" t="str">
        <f>IF(EXACT(B134, ""), "", VLOOKUP(B134, [1]DataLookUp!$B$4:$C$1000, 2,FALSE ))</f>
        <v>Elsa Jayanti</v>
      </c>
      <c r="D134" s="21"/>
      <c r="E134" s="108"/>
      <c r="G134" s="29">
        <f t="shared" si="4"/>
        <v>32000000000131</v>
      </c>
      <c r="H134" s="30" t="str">
        <f t="shared" si="5"/>
        <v>PERFORM "SchData-OLTP-HumanResource"."Func_TblWorker_SET"(varSystemLoginSession, null::bigint, null::varchar, null::timestamptz, null::timestamptz, null::varchar, varInstitutionBranchID, varBaseCurrencyID, 25000000000131::bigint, null::varchar);</v>
      </c>
    </row>
    <row r="135" spans="2:8" x14ac:dyDescent="0.2">
      <c r="B135" s="37">
        <f>IF(EXACT([1]DataLookUp!$B135, ""), "", [1]DataLookUp!$B135)</f>
        <v>25000000000132</v>
      </c>
      <c r="C135" s="38" t="str">
        <f>IF(EXACT(B135, ""), "", VLOOKUP(B135, [1]DataLookUp!$B$4:$C$1000, 2,FALSE ))</f>
        <v>Elsa Mardian</v>
      </c>
      <c r="D135" s="21"/>
      <c r="E135" s="108"/>
      <c r="G135" s="29">
        <f t="shared" si="4"/>
        <v>32000000000132</v>
      </c>
      <c r="H135" s="30" t="str">
        <f t="shared" si="5"/>
        <v>PERFORM "SchData-OLTP-HumanResource"."Func_TblWorker_SET"(varSystemLoginSession, null::bigint, null::varchar, null::timestamptz, null::timestamptz, null::varchar, varInstitutionBranchID, varBaseCurrencyID, 25000000000132::bigint, null::varchar);</v>
      </c>
    </row>
    <row r="136" spans="2:8" x14ac:dyDescent="0.2">
      <c r="B136" s="37">
        <f>IF(EXACT([1]DataLookUp!$B136, ""), "", [1]DataLookUp!$B136)</f>
        <v>25000000000133</v>
      </c>
      <c r="C136" s="38" t="str">
        <f>IF(EXACT(B136, ""), "", VLOOKUP(B136, [1]DataLookUp!$B$4:$C$1000, 2,FALSE ))</f>
        <v>Emir Paranita Nasution</v>
      </c>
      <c r="D136" s="21"/>
      <c r="E136" s="108"/>
      <c r="G136" s="29">
        <f t="shared" si="4"/>
        <v>32000000000133</v>
      </c>
      <c r="H136" s="30" t="str">
        <f t="shared" si="5"/>
        <v>PERFORM "SchData-OLTP-HumanResource"."Func_TblWorker_SET"(varSystemLoginSession, null::bigint, null::varchar, null::timestamptz, null::timestamptz, null::varchar, varInstitutionBranchID, varBaseCurrencyID, 25000000000133::bigint, null::varchar);</v>
      </c>
    </row>
    <row r="137" spans="2:8" x14ac:dyDescent="0.2">
      <c r="B137" s="37">
        <f>IF(EXACT([1]DataLookUp!$B137, ""), "", [1]DataLookUp!$B137)</f>
        <v>25000000000134</v>
      </c>
      <c r="C137" s="38" t="str">
        <f>IF(EXACT(B137, ""), "", VLOOKUP(B137, [1]DataLookUp!$B$4:$C$1000, 2,FALSE ))</f>
        <v>Enceng Hemawan</v>
      </c>
      <c r="D137" s="21"/>
      <c r="E137" s="108"/>
      <c r="G137" s="29">
        <f t="shared" si="4"/>
        <v>32000000000134</v>
      </c>
      <c r="H137" s="30" t="str">
        <f t="shared" si="5"/>
        <v>PERFORM "SchData-OLTP-HumanResource"."Func_TblWorker_SET"(varSystemLoginSession, null::bigint, null::varchar, null::timestamptz, null::timestamptz, null::varchar, varInstitutionBranchID, varBaseCurrencyID, 25000000000134::bigint, null::varchar);</v>
      </c>
    </row>
    <row r="138" spans="2:8" x14ac:dyDescent="0.2">
      <c r="B138" s="37">
        <f>IF(EXACT([1]DataLookUp!$B138, ""), "", [1]DataLookUp!$B138)</f>
        <v>25000000000135</v>
      </c>
      <c r="C138" s="38" t="str">
        <f>IF(EXACT(B138, ""), "", VLOOKUP(B138, [1]DataLookUp!$B$4:$C$1000, 2,FALSE ))</f>
        <v>Endang</v>
      </c>
      <c r="D138" s="21"/>
      <c r="E138" s="108"/>
      <c r="G138" s="29">
        <f t="shared" si="4"/>
        <v>32000000000135</v>
      </c>
      <c r="H138" s="30" t="str">
        <f t="shared" si="5"/>
        <v>PERFORM "SchData-OLTP-HumanResource"."Func_TblWorker_SET"(varSystemLoginSession, null::bigint, null::varchar, null::timestamptz, null::timestamptz, null::varchar, varInstitutionBranchID, varBaseCurrencyID, 25000000000135::bigint, null::varchar);</v>
      </c>
    </row>
    <row r="139" spans="2:8" x14ac:dyDescent="0.2">
      <c r="B139" s="37">
        <f>IF(EXACT([1]DataLookUp!$B139, ""), "", [1]DataLookUp!$B139)</f>
        <v>25000000000136</v>
      </c>
      <c r="C139" s="38" t="str">
        <f>IF(EXACT(B139, ""), "", VLOOKUP(B139, [1]DataLookUp!$B$4:$C$1000, 2,FALSE ))</f>
        <v>Endang Lestari</v>
      </c>
      <c r="D139" s="21"/>
      <c r="E139" s="108"/>
      <c r="G139" s="29">
        <f t="shared" si="4"/>
        <v>32000000000136</v>
      </c>
      <c r="H139" s="30" t="str">
        <f t="shared" si="5"/>
        <v>PERFORM "SchData-OLTP-HumanResource"."Func_TblWorker_SET"(varSystemLoginSession, null::bigint, null::varchar, null::timestamptz, null::timestamptz, null::varchar, varInstitutionBranchID, varBaseCurrencyID, 25000000000136::bigint, null::varchar);</v>
      </c>
    </row>
    <row r="140" spans="2:8" x14ac:dyDescent="0.2">
      <c r="B140" s="37">
        <f>IF(EXACT([1]DataLookUp!$B140, ""), "", [1]DataLookUp!$B140)</f>
        <v>25000000000137</v>
      </c>
      <c r="C140" s="38" t="str">
        <f>IF(EXACT(B140, ""), "", VLOOKUP(B140, [1]DataLookUp!$B$4:$C$1000, 2,FALSE ))</f>
        <v>Endang Sobari</v>
      </c>
      <c r="D140" s="21"/>
      <c r="E140" s="108"/>
      <c r="G140" s="29">
        <f t="shared" si="4"/>
        <v>32000000000137</v>
      </c>
      <c r="H140" s="30" t="str">
        <f t="shared" si="5"/>
        <v>PERFORM "SchData-OLTP-HumanResource"."Func_TblWorker_SET"(varSystemLoginSession, null::bigint, null::varchar, null::timestamptz, null::timestamptz, null::varchar, varInstitutionBranchID, varBaseCurrencyID, 25000000000137::bigint, null::varchar);</v>
      </c>
    </row>
    <row r="141" spans="2:8" x14ac:dyDescent="0.2">
      <c r="B141" s="37">
        <f>IF(EXACT([1]DataLookUp!$B141, ""), "", [1]DataLookUp!$B141)</f>
        <v>25000000000138</v>
      </c>
      <c r="C141" s="38" t="str">
        <f>IF(EXACT(B141, ""), "", VLOOKUP(B141, [1]DataLookUp!$B$4:$C$1000, 2,FALSE ))</f>
        <v>Endang Sutrisna</v>
      </c>
      <c r="D141" s="21" t="s">
        <v>19</v>
      </c>
      <c r="E141" s="108" t="s">
        <v>284</v>
      </c>
      <c r="G141" s="29">
        <f t="shared" si="4"/>
        <v>32000000000138</v>
      </c>
      <c r="H141" s="30" t="str">
        <f t="shared" si="5"/>
        <v>PERFORM "SchData-OLTP-HumanResource"."Func_TblWorker_SET"(varSystemLoginSession, null::bigint, null::varchar, null::timestamptz, null::timestamptz, null::varchar, varInstitutionBranchID, varBaseCurrencyID, 25000000000138::bigint, '010806250'::varchar);</v>
      </c>
    </row>
    <row r="142" spans="2:8" x14ac:dyDescent="0.2">
      <c r="B142" s="37">
        <f>IF(EXACT([1]DataLookUp!$B142, ""), "", [1]DataLookUp!$B142)</f>
        <v>25000000000139</v>
      </c>
      <c r="C142" s="38" t="str">
        <f>IF(EXACT(B142, ""), "", VLOOKUP(B142, [1]DataLookUp!$B$4:$C$1000, 2,FALSE ))</f>
        <v>Erfananda Rasyid</v>
      </c>
      <c r="D142" s="21"/>
      <c r="E142" s="108"/>
      <c r="G142" s="29">
        <f t="shared" si="4"/>
        <v>32000000000139</v>
      </c>
      <c r="H142" s="30" t="str">
        <f t="shared" si="5"/>
        <v>PERFORM "SchData-OLTP-HumanResource"."Func_TblWorker_SET"(varSystemLoginSession, null::bigint, null::varchar, null::timestamptz, null::timestamptz, null::varchar, varInstitutionBranchID, varBaseCurrencyID, 25000000000139::bigint, null::varchar);</v>
      </c>
    </row>
    <row r="143" spans="2:8" x14ac:dyDescent="0.2">
      <c r="B143" s="37">
        <f>IF(EXACT([1]DataLookUp!$B143, ""), "", [1]DataLookUp!$B143)</f>
        <v>25000000000140</v>
      </c>
      <c r="C143" s="38" t="str">
        <f>IF(EXACT(B143, ""), "", VLOOKUP(B143, [1]DataLookUp!$B$4:$C$1000, 2,FALSE ))</f>
        <v>Ernawati</v>
      </c>
      <c r="D143" s="21"/>
      <c r="E143" s="108"/>
      <c r="G143" s="29">
        <f t="shared" si="4"/>
        <v>32000000000140</v>
      </c>
      <c r="H143" s="30" t="str">
        <f t="shared" si="5"/>
        <v>PERFORM "SchData-OLTP-HumanResource"."Func_TblWorker_SET"(varSystemLoginSession, null::bigint, null::varchar, null::timestamptz, null::timestamptz, null::varchar, varInstitutionBranchID, varBaseCurrencyID, 25000000000140::bigint, null::varchar);</v>
      </c>
    </row>
    <row r="144" spans="2:8" x14ac:dyDescent="0.2">
      <c r="B144" s="37">
        <f>IF(EXACT([1]DataLookUp!$B144, ""), "", [1]DataLookUp!$B144)</f>
        <v>25000000000141</v>
      </c>
      <c r="C144" s="38" t="str">
        <f>IF(EXACT(B144, ""), "", VLOOKUP(B144, [1]DataLookUp!$B$4:$C$1000, 2,FALSE ))</f>
        <v>Erwin Firmansyah</v>
      </c>
      <c r="D144" s="21"/>
      <c r="E144" s="108"/>
      <c r="G144" s="29">
        <f t="shared" si="4"/>
        <v>32000000000141</v>
      </c>
      <c r="H144" s="30" t="str">
        <f t="shared" si="5"/>
        <v>PERFORM "SchData-OLTP-HumanResource"."Func_TblWorker_SET"(varSystemLoginSession, null::bigint, null::varchar, null::timestamptz, null::timestamptz, null::varchar, varInstitutionBranchID, varBaseCurrencyID, 25000000000141::bigint, null::varchar);</v>
      </c>
    </row>
    <row r="145" spans="2:8" x14ac:dyDescent="0.2">
      <c r="B145" s="37">
        <f>IF(EXACT([1]DataLookUp!$B145, ""), "", [1]DataLookUp!$B145)</f>
        <v>25000000000142</v>
      </c>
      <c r="C145" s="38" t="str">
        <f>IF(EXACT(B145, ""), "", VLOOKUP(B145, [1]DataLookUp!$B$4:$C$1000, 2,FALSE ))</f>
        <v>Erwin Said</v>
      </c>
      <c r="D145" s="21"/>
      <c r="E145" s="108"/>
      <c r="G145" s="29">
        <f t="shared" si="4"/>
        <v>32000000000142</v>
      </c>
      <c r="H145" s="30" t="str">
        <f t="shared" si="5"/>
        <v>PERFORM "SchData-OLTP-HumanResource"."Func_TblWorker_SET"(varSystemLoginSession, null::bigint, null::varchar, null::timestamptz, null::timestamptz, null::varchar, varInstitutionBranchID, varBaseCurrencyID, 25000000000142::bigint, null::varchar);</v>
      </c>
    </row>
    <row r="146" spans="2:8" x14ac:dyDescent="0.2">
      <c r="B146" s="37">
        <f>IF(EXACT([1]DataLookUp!$B146, ""), "", [1]DataLookUp!$B146)</f>
        <v>25000000000143</v>
      </c>
      <c r="C146" s="38" t="str">
        <f>IF(EXACT(B146, ""), "", VLOOKUP(B146, [1]DataLookUp!$B$4:$C$1000, 2,FALSE ))</f>
        <v>Esa Annahar</v>
      </c>
      <c r="D146" s="21"/>
      <c r="E146" s="108"/>
      <c r="G146" s="29">
        <f t="shared" si="4"/>
        <v>32000000000143</v>
      </c>
      <c r="H146" s="30" t="str">
        <f t="shared" si="5"/>
        <v>PERFORM "SchData-OLTP-HumanResource"."Func_TblWorker_SET"(varSystemLoginSession, null::bigint, null::varchar, null::timestamptz, null::timestamptz, null::varchar, varInstitutionBranchID, varBaseCurrencyID, 25000000000143::bigint, null::varchar);</v>
      </c>
    </row>
    <row r="147" spans="2:8" x14ac:dyDescent="0.2">
      <c r="B147" s="37">
        <f>IF(EXACT([1]DataLookUp!$B147, ""), "", [1]DataLookUp!$B147)</f>
        <v>25000000000144</v>
      </c>
      <c r="C147" s="38" t="str">
        <f>IF(EXACT(B147, ""), "", VLOOKUP(B147, [1]DataLookUp!$B$4:$C$1000, 2,FALSE ))</f>
        <v>Faiz Horifal</v>
      </c>
      <c r="D147" s="21"/>
      <c r="E147" s="108"/>
      <c r="G147" s="29">
        <f t="shared" si="4"/>
        <v>32000000000144</v>
      </c>
      <c r="H147" s="30" t="str">
        <f t="shared" si="5"/>
        <v>PERFORM "SchData-OLTP-HumanResource"."Func_TblWorker_SET"(varSystemLoginSession, null::bigint, null::varchar, null::timestamptz, null::timestamptz, null::varchar, varInstitutionBranchID, varBaseCurrencyID, 25000000000144::bigint, null::varchar);</v>
      </c>
    </row>
    <row r="148" spans="2:8" x14ac:dyDescent="0.2">
      <c r="B148" s="37">
        <f>IF(EXACT([1]DataLookUp!$B148, ""), "", [1]DataLookUp!$B148)</f>
        <v>25000000000145</v>
      </c>
      <c r="C148" s="38" t="str">
        <f>IF(EXACT(B148, ""), "", VLOOKUP(B148, [1]DataLookUp!$B$4:$C$1000, 2,FALSE ))</f>
        <v>Fani Dwi Astutik</v>
      </c>
      <c r="D148" s="21"/>
      <c r="E148" s="108"/>
      <c r="G148" s="29">
        <f t="shared" si="4"/>
        <v>32000000000145</v>
      </c>
      <c r="H148" s="30" t="str">
        <f t="shared" si="5"/>
        <v>PERFORM "SchData-OLTP-HumanResource"."Func_TblWorker_SET"(varSystemLoginSession, null::bigint, null::varchar, null::timestamptz, null::timestamptz, null::varchar, varInstitutionBranchID, varBaseCurrencyID, 25000000000145::bigint, null::varchar);</v>
      </c>
    </row>
    <row r="149" spans="2:8" x14ac:dyDescent="0.2">
      <c r="B149" s="37">
        <f>IF(EXACT([1]DataLookUp!$B149, ""), "", [1]DataLookUp!$B149)</f>
        <v>25000000000146</v>
      </c>
      <c r="C149" s="38" t="str">
        <f>IF(EXACT(B149, ""), "", VLOOKUP(B149, [1]DataLookUp!$B$4:$C$1000, 2,FALSE ))</f>
        <v>Fardi Nauli R</v>
      </c>
      <c r="D149" s="21"/>
      <c r="E149" s="108"/>
      <c r="G149" s="29">
        <f t="shared" si="4"/>
        <v>32000000000146</v>
      </c>
      <c r="H149" s="30" t="str">
        <f t="shared" si="5"/>
        <v>PERFORM "SchData-OLTP-HumanResource"."Func_TblWorker_SET"(varSystemLoginSession, null::bigint, null::varchar, null::timestamptz, null::timestamptz, null::varchar, varInstitutionBranchID, varBaseCurrencyID, 25000000000146::bigint, null::varchar);</v>
      </c>
    </row>
    <row r="150" spans="2:8" x14ac:dyDescent="0.2">
      <c r="B150" s="37">
        <f>IF(EXACT([1]DataLookUp!$B150, ""), "", [1]DataLookUp!$B150)</f>
        <v>25000000000147</v>
      </c>
      <c r="C150" s="38" t="str">
        <f>IF(EXACT(B150, ""), "", VLOOKUP(B150, [1]DataLookUp!$B$4:$C$1000, 2,FALSE ))</f>
        <v>Farekh Huzair</v>
      </c>
      <c r="D150" s="21"/>
      <c r="E150" s="108"/>
      <c r="G150" s="29">
        <f t="shared" si="4"/>
        <v>32000000000147</v>
      </c>
      <c r="H150" s="30" t="str">
        <f t="shared" si="5"/>
        <v>PERFORM "SchData-OLTP-HumanResource"."Func_TblWorker_SET"(varSystemLoginSession, null::bigint, null::varchar, null::timestamptz, null::timestamptz, null::varchar, varInstitutionBranchID, varBaseCurrencyID, 25000000000147::bigint, null::varchar);</v>
      </c>
    </row>
    <row r="151" spans="2:8" x14ac:dyDescent="0.2">
      <c r="B151" s="37">
        <f>IF(EXACT([1]DataLookUp!$B151, ""), "", [1]DataLookUp!$B151)</f>
        <v>25000000000148</v>
      </c>
      <c r="C151" s="38" t="str">
        <f>IF(EXACT(B151, ""), "", VLOOKUP(B151, [1]DataLookUp!$B$4:$C$1000, 2,FALSE ))</f>
        <v>Farhana</v>
      </c>
      <c r="D151" s="21"/>
      <c r="E151" s="108"/>
      <c r="G151" s="29">
        <f t="shared" si="4"/>
        <v>32000000000148</v>
      </c>
      <c r="H151" s="30" t="str">
        <f t="shared" si="5"/>
        <v>PERFORM "SchData-OLTP-HumanResource"."Func_TblWorker_SET"(varSystemLoginSession, null::bigint, null::varchar, null::timestamptz, null::timestamptz, null::varchar, varInstitutionBranchID, varBaseCurrencyID, 25000000000148::bigint, null::varchar);</v>
      </c>
    </row>
    <row r="152" spans="2:8" x14ac:dyDescent="0.2">
      <c r="B152" s="37">
        <f>IF(EXACT([1]DataLookUp!$B152, ""), "", [1]DataLookUp!$B152)</f>
        <v>25000000000149</v>
      </c>
      <c r="C152" s="38" t="str">
        <f>IF(EXACT(B152, ""), "", VLOOKUP(B152, [1]DataLookUp!$B$4:$C$1000, 2,FALSE ))</f>
        <v>Febriyanto Ahdiat</v>
      </c>
      <c r="D152" s="21"/>
      <c r="E152" s="108"/>
      <c r="G152" s="29">
        <f t="shared" si="4"/>
        <v>32000000000149</v>
      </c>
      <c r="H152" s="30" t="str">
        <f t="shared" si="5"/>
        <v>PERFORM "SchData-OLTP-HumanResource"."Func_TblWorker_SET"(varSystemLoginSession, null::bigint, null::varchar, null::timestamptz, null::timestamptz, null::varchar, varInstitutionBranchID, varBaseCurrencyID, 25000000000149::bigint, null::varchar);</v>
      </c>
    </row>
    <row r="153" spans="2:8" x14ac:dyDescent="0.2">
      <c r="B153" s="37">
        <f>IF(EXACT([1]DataLookUp!$B153, ""), "", [1]DataLookUp!$B153)</f>
        <v>25000000000150</v>
      </c>
      <c r="C153" s="38" t="str">
        <f>IF(EXACT(B153, ""), "", VLOOKUP(B153, [1]DataLookUp!$B$4:$C$1000, 2,FALSE ))</f>
        <v>Febryan Mahsyar</v>
      </c>
      <c r="D153" s="21"/>
      <c r="E153" s="108"/>
      <c r="G153" s="29">
        <f t="shared" si="4"/>
        <v>32000000000150</v>
      </c>
      <c r="H153" s="30" t="str">
        <f t="shared" si="5"/>
        <v>PERFORM "SchData-OLTP-HumanResource"."Func_TblWorker_SET"(varSystemLoginSession, null::bigint, null::varchar, null::timestamptz, null::timestamptz, null::varchar, varInstitutionBranchID, varBaseCurrencyID, 25000000000150::bigint, null::varchar);</v>
      </c>
    </row>
    <row r="154" spans="2:8" x14ac:dyDescent="0.2">
      <c r="B154" s="37">
        <f>IF(EXACT([1]DataLookUp!$B154, ""), "", [1]DataLookUp!$B154)</f>
        <v>25000000000151</v>
      </c>
      <c r="C154" s="38" t="str">
        <f>IF(EXACT(B154, ""), "", VLOOKUP(B154, [1]DataLookUp!$B$4:$C$1000, 2,FALSE ))</f>
        <v>Felpy</v>
      </c>
      <c r="D154" s="21"/>
      <c r="E154" s="108"/>
      <c r="G154" s="29">
        <f t="shared" si="4"/>
        <v>32000000000151</v>
      </c>
      <c r="H154" s="30" t="str">
        <f t="shared" si="5"/>
        <v>PERFORM "SchData-OLTP-HumanResource"."Func_TblWorker_SET"(varSystemLoginSession, null::bigint, null::varchar, null::timestamptz, null::timestamptz, null::varchar, varInstitutionBranchID, varBaseCurrencyID, 25000000000151::bigint, null::varchar);</v>
      </c>
    </row>
    <row r="155" spans="2:8" x14ac:dyDescent="0.2">
      <c r="B155" s="37">
        <f>IF(EXACT([1]DataLookUp!$B155, ""), "", [1]DataLookUp!$B155)</f>
        <v>25000000000152</v>
      </c>
      <c r="C155" s="38" t="str">
        <f>IF(EXACT(B155, ""), "", VLOOKUP(B155, [1]DataLookUp!$B$4:$C$1000, 2,FALSE ))</f>
        <v>Feri Priyanto</v>
      </c>
      <c r="D155" s="21"/>
      <c r="E155" s="108"/>
      <c r="G155" s="29">
        <f t="shared" si="4"/>
        <v>32000000000152</v>
      </c>
      <c r="H155" s="30" t="str">
        <f t="shared" si="5"/>
        <v>PERFORM "SchData-OLTP-HumanResource"."Func_TblWorker_SET"(varSystemLoginSession, null::bigint, null::varchar, null::timestamptz, null::timestamptz, null::varchar, varInstitutionBranchID, varBaseCurrencyID, 25000000000152::bigint, null::varchar);</v>
      </c>
    </row>
    <row r="156" spans="2:8" x14ac:dyDescent="0.2">
      <c r="B156" s="37">
        <f>IF(EXACT([1]DataLookUp!$B156, ""), "", [1]DataLookUp!$B156)</f>
        <v>25000000000153</v>
      </c>
      <c r="C156" s="38" t="str">
        <f>IF(EXACT(B156, ""), "", VLOOKUP(B156, [1]DataLookUp!$B$4:$C$1000, 2,FALSE ))</f>
        <v>Ferry P Simanjuntak</v>
      </c>
      <c r="D156" s="21"/>
      <c r="E156" s="108"/>
      <c r="G156" s="29">
        <f t="shared" si="4"/>
        <v>32000000000153</v>
      </c>
      <c r="H156" s="30" t="str">
        <f t="shared" si="5"/>
        <v>PERFORM "SchData-OLTP-HumanResource"."Func_TblWorker_SET"(varSystemLoginSession, null::bigint, null::varchar, null::timestamptz, null::timestamptz, null::varchar, varInstitutionBranchID, varBaseCurrencyID, 25000000000153::bigint, null::varchar);</v>
      </c>
    </row>
    <row r="157" spans="2:8" x14ac:dyDescent="0.2">
      <c r="B157" s="37">
        <f>IF(EXACT([1]DataLookUp!$B157, ""), "", [1]DataLookUp!$B157)</f>
        <v>25000000000154</v>
      </c>
      <c r="C157" s="38" t="str">
        <f>IF(EXACT(B157, ""), "", VLOOKUP(B157, [1]DataLookUp!$B$4:$C$1000, 2,FALSE ))</f>
        <v>Fikri</v>
      </c>
      <c r="D157" s="21"/>
      <c r="E157" s="108"/>
      <c r="G157" s="29">
        <f t="shared" si="4"/>
        <v>32000000000154</v>
      </c>
      <c r="H157" s="30" t="str">
        <f t="shared" si="5"/>
        <v>PERFORM "SchData-OLTP-HumanResource"."Func_TblWorker_SET"(varSystemLoginSession, null::bigint, null::varchar, null::timestamptz, null::timestamptz, null::varchar, varInstitutionBranchID, varBaseCurrencyID, 25000000000154::bigint, null::varchar);</v>
      </c>
    </row>
    <row r="158" spans="2:8" x14ac:dyDescent="0.2">
      <c r="B158" s="37">
        <f>IF(EXACT([1]DataLookUp!$B158, ""), "", [1]DataLookUp!$B158)</f>
        <v>25000000000155</v>
      </c>
      <c r="C158" s="38" t="str">
        <f>IF(EXACT(B158, ""), "", VLOOKUP(B158, [1]DataLookUp!$B$4:$C$1000, 2,FALSE ))</f>
        <v>M. Fikri Caesarandi Hasibuan</v>
      </c>
      <c r="D158" s="21">
        <v>160916799</v>
      </c>
      <c r="E158" s="108" t="s">
        <v>284</v>
      </c>
      <c r="G158" s="29">
        <f t="shared" si="4"/>
        <v>32000000000155</v>
      </c>
      <c r="H158" s="30" t="str">
        <f t="shared" si="5"/>
        <v>PERFORM "SchData-OLTP-HumanResource"."Func_TblWorker_SET"(varSystemLoginSession, null::bigint, null::varchar, null::timestamptz, null::timestamptz, null::varchar, varInstitutionBranchID, varBaseCurrencyID, 25000000000155::bigint, '160916799'::varchar);</v>
      </c>
    </row>
    <row r="159" spans="2:8" x14ac:dyDescent="0.2">
      <c r="B159" s="37">
        <f>IF(EXACT([1]DataLookUp!$B159, ""), "", [1]DataLookUp!$B159)</f>
        <v>25000000000156</v>
      </c>
      <c r="C159" s="38" t="str">
        <f>IF(EXACT(B159, ""), "", VLOOKUP(B159, [1]DataLookUp!$B$4:$C$1000, 2,FALSE ))</f>
        <v>Firman Akbar</v>
      </c>
      <c r="D159" s="21"/>
      <c r="E159" s="108"/>
      <c r="G159" s="29">
        <f t="shared" si="4"/>
        <v>32000000000156</v>
      </c>
      <c r="H159" s="30" t="str">
        <f t="shared" si="5"/>
        <v>PERFORM "SchData-OLTP-HumanResource"."Func_TblWorker_SET"(varSystemLoginSession, null::bigint, null::varchar, null::timestamptz, null::timestamptz, null::varchar, varInstitutionBranchID, varBaseCurrencyID, 25000000000156::bigint, null::varchar);</v>
      </c>
    </row>
    <row r="160" spans="2:8" x14ac:dyDescent="0.2">
      <c r="B160" s="37">
        <f>IF(EXACT([1]DataLookUp!$B160, ""), "", [1]DataLookUp!$B160)</f>
        <v>25000000000157</v>
      </c>
      <c r="C160" s="38" t="str">
        <f>IF(EXACT(B160, ""), "", VLOOKUP(B160, [1]DataLookUp!$B$4:$C$1000, 2,FALSE ))</f>
        <v>Fitriastuti Kurnia</v>
      </c>
      <c r="D160" s="21" t="s">
        <v>23</v>
      </c>
      <c r="E160" s="108" t="s">
        <v>284</v>
      </c>
      <c r="G160" s="29">
        <f t="shared" si="4"/>
        <v>32000000000157</v>
      </c>
      <c r="H160" s="30" t="str">
        <f t="shared" si="5"/>
        <v>PERFORM "SchData-OLTP-HumanResource"."Func_TblWorker_SET"(varSystemLoginSession, null::bigint, null::varchar, null::timestamptz, null::timestamptz, null::varchar, varInstitutionBranchID, varBaseCurrencyID, 25000000000157::bigint, '070305123'::varchar);</v>
      </c>
    </row>
    <row r="161" spans="2:8" x14ac:dyDescent="0.2">
      <c r="B161" s="37">
        <f>IF(EXACT([1]DataLookUp!$B161, ""), "", [1]DataLookUp!$B161)</f>
        <v>25000000000158</v>
      </c>
      <c r="C161" s="38" t="str">
        <f>IF(EXACT(B161, ""), "", VLOOKUP(B161, [1]DataLookUp!$B$4:$C$1000, 2,FALSE ))</f>
        <v>Francis Imanuel</v>
      </c>
      <c r="D161" s="21"/>
      <c r="E161" s="108"/>
      <c r="G161" s="29">
        <f t="shared" si="4"/>
        <v>32000000000158</v>
      </c>
      <c r="H161" s="30" t="str">
        <f t="shared" si="5"/>
        <v>PERFORM "SchData-OLTP-HumanResource"."Func_TblWorker_SET"(varSystemLoginSession, null::bigint, null::varchar, null::timestamptz, null::timestamptz, null::varchar, varInstitutionBranchID, varBaseCurrencyID, 25000000000158::bigint, null::varchar);</v>
      </c>
    </row>
    <row r="162" spans="2:8" x14ac:dyDescent="0.2">
      <c r="B162" s="37">
        <f>IF(EXACT([1]DataLookUp!$B162, ""), "", [1]DataLookUp!$B162)</f>
        <v>25000000000159</v>
      </c>
      <c r="C162" s="38" t="str">
        <f>IF(EXACT(B162, ""), "", VLOOKUP(B162, [1]DataLookUp!$B$4:$C$1000, 2,FALSE ))</f>
        <v>Frando Judi Siahaan</v>
      </c>
      <c r="D162" s="21">
        <v>181114748</v>
      </c>
      <c r="E162" s="108" t="s">
        <v>284</v>
      </c>
      <c r="G162" s="29">
        <f t="shared" si="4"/>
        <v>32000000000159</v>
      </c>
      <c r="H162" s="30" t="str">
        <f t="shared" si="5"/>
        <v>PERFORM "SchData-OLTP-HumanResource"."Func_TblWorker_SET"(varSystemLoginSession, null::bigint, null::varchar, null::timestamptz, null::timestamptz, null::varchar, varInstitutionBranchID, varBaseCurrencyID, 25000000000159::bigint, '181114748'::varchar);</v>
      </c>
    </row>
    <row r="163" spans="2:8" x14ac:dyDescent="0.2">
      <c r="B163" s="37">
        <f>IF(EXACT([1]DataLookUp!$B163, ""), "", [1]DataLookUp!$B163)</f>
        <v>25000000000160</v>
      </c>
      <c r="C163" s="38" t="str">
        <f>IF(EXACT(B163, ""), "", VLOOKUP(B163, [1]DataLookUp!$B$4:$C$1000, 2,FALSE ))</f>
        <v>Frederika Intan</v>
      </c>
      <c r="D163" s="21"/>
      <c r="E163" s="108"/>
      <c r="G163" s="29">
        <f t="shared" si="4"/>
        <v>32000000000160</v>
      </c>
      <c r="H163" s="30" t="str">
        <f t="shared" si="5"/>
        <v>PERFORM "SchData-OLTP-HumanResource"."Func_TblWorker_SET"(varSystemLoginSession, null::bigint, null::varchar, null::timestamptz, null::timestamptz, null::varchar, varInstitutionBranchID, varBaseCurrencyID, 25000000000160::bigint, null::varchar);</v>
      </c>
    </row>
    <row r="164" spans="2:8" x14ac:dyDescent="0.2">
      <c r="B164" s="37">
        <f>IF(EXACT([1]DataLookUp!$B164, ""), "", [1]DataLookUp!$B164)</f>
        <v>25000000000161</v>
      </c>
      <c r="C164" s="38" t="str">
        <f>IF(EXACT(B164, ""), "", VLOOKUP(B164, [1]DataLookUp!$B$4:$C$1000, 2,FALSE ))</f>
        <v>Fuad Febrian</v>
      </c>
      <c r="D164" s="21"/>
      <c r="E164" s="108"/>
      <c r="G164" s="29">
        <f t="shared" si="4"/>
        <v>32000000000161</v>
      </c>
      <c r="H164" s="30" t="str">
        <f t="shared" si="5"/>
        <v>PERFORM "SchData-OLTP-HumanResource"."Func_TblWorker_SET"(varSystemLoginSession, null::bigint, null::varchar, null::timestamptz, null::timestamptz, null::varchar, varInstitutionBranchID, varBaseCurrencyID, 25000000000161::bigint, null::varchar);</v>
      </c>
    </row>
    <row r="165" spans="2:8" x14ac:dyDescent="0.2">
      <c r="B165" s="37">
        <f>IF(EXACT([1]DataLookUp!$B165, ""), "", [1]DataLookUp!$B165)</f>
        <v>25000000000162</v>
      </c>
      <c r="C165" s="38" t="str">
        <f>IF(EXACT(B165, ""), "", VLOOKUP(B165, [1]DataLookUp!$B$4:$C$1000, 2,FALSE ))</f>
        <v>Wiyadianto</v>
      </c>
      <c r="D165" s="21"/>
      <c r="E165" s="108"/>
      <c r="G165" s="29">
        <f t="shared" si="4"/>
        <v>32000000000162</v>
      </c>
      <c r="H165" s="30" t="str">
        <f t="shared" si="5"/>
        <v>PERFORM "SchData-OLTP-HumanResource"."Func_TblWorker_SET"(varSystemLoginSession, null::bigint, null::varchar, null::timestamptz, null::timestamptz, null::varchar, varInstitutionBranchID, varBaseCurrencyID, 25000000000162::bigint, null::varchar);</v>
      </c>
    </row>
    <row r="166" spans="2:8" x14ac:dyDescent="0.2">
      <c r="B166" s="37">
        <f>IF(EXACT([1]DataLookUp!$B166, ""), "", [1]DataLookUp!$B166)</f>
        <v>25000000000163</v>
      </c>
      <c r="C166" s="38" t="str">
        <f>IF(EXACT(B166, ""), "", VLOOKUP(B166, [1]DataLookUp!$B$4:$C$1000, 2,FALSE ))</f>
        <v>Galuh Swastika</v>
      </c>
      <c r="D166" s="21"/>
      <c r="E166" s="108"/>
      <c r="G166" s="29">
        <f t="shared" si="4"/>
        <v>32000000000163</v>
      </c>
      <c r="H166" s="30" t="str">
        <f t="shared" si="5"/>
        <v>PERFORM "SchData-OLTP-HumanResource"."Func_TblWorker_SET"(varSystemLoginSession, null::bigint, null::varchar, null::timestamptz, null::timestamptz, null::varchar, varInstitutionBranchID, varBaseCurrencyID, 25000000000163::bigint, null::varchar);</v>
      </c>
    </row>
    <row r="167" spans="2:8" x14ac:dyDescent="0.2">
      <c r="B167" s="37">
        <f>IF(EXACT([1]DataLookUp!$B167, ""), "", [1]DataLookUp!$B167)</f>
        <v>25000000000164</v>
      </c>
      <c r="C167" s="38" t="str">
        <f>IF(EXACT(B167, ""), "", VLOOKUP(B167, [1]DataLookUp!$B$4:$C$1000, 2,FALSE ))</f>
        <v>Ganda Yuharis R.</v>
      </c>
      <c r="D167" s="21"/>
      <c r="E167" s="108"/>
      <c r="G167" s="29">
        <f t="shared" si="4"/>
        <v>32000000000164</v>
      </c>
      <c r="H167" s="30" t="str">
        <f t="shared" si="5"/>
        <v>PERFORM "SchData-OLTP-HumanResource"."Func_TblWorker_SET"(varSystemLoginSession, null::bigint, null::varchar, null::timestamptz, null::timestamptz, null::varchar, varInstitutionBranchID, varBaseCurrencyID, 25000000000164::bigint, null::varchar);</v>
      </c>
    </row>
    <row r="168" spans="2:8" x14ac:dyDescent="0.2">
      <c r="B168" s="37">
        <f>IF(EXACT([1]DataLookUp!$B168, ""), "", [1]DataLookUp!$B168)</f>
        <v>25000000000165</v>
      </c>
      <c r="C168" s="38" t="str">
        <f>IF(EXACT(B168, ""), "", VLOOKUP(B168, [1]DataLookUp!$B$4:$C$1000, 2,FALSE ))</f>
        <v>Gatot Harsono</v>
      </c>
      <c r="D168" s="21"/>
      <c r="E168" s="108"/>
      <c r="G168" s="29">
        <f t="shared" si="4"/>
        <v>32000000000165</v>
      </c>
      <c r="H168" s="30" t="str">
        <f t="shared" si="5"/>
        <v>PERFORM "SchData-OLTP-HumanResource"."Func_TblWorker_SET"(varSystemLoginSession, null::bigint, null::varchar, null::timestamptz, null::timestamptz, null::varchar, varInstitutionBranchID, varBaseCurrencyID, 25000000000165::bigint, null::varchar);</v>
      </c>
    </row>
    <row r="169" spans="2:8" x14ac:dyDescent="0.2">
      <c r="B169" s="37">
        <f>IF(EXACT([1]DataLookUp!$B169, ""), "", [1]DataLookUp!$B169)</f>
        <v>25000000000166</v>
      </c>
      <c r="C169" s="38" t="str">
        <f>IF(EXACT(B169, ""), "", VLOOKUP(B169, [1]DataLookUp!$B$4:$C$1000, 2,FALSE ))</f>
        <v>Gina Septa</v>
      </c>
      <c r="D169" s="21"/>
      <c r="E169" s="108"/>
      <c r="G169" s="29">
        <f t="shared" si="4"/>
        <v>32000000000166</v>
      </c>
      <c r="H169" s="30" t="str">
        <f t="shared" si="5"/>
        <v>PERFORM "SchData-OLTP-HumanResource"."Func_TblWorker_SET"(varSystemLoginSession, null::bigint, null::varchar, null::timestamptz, null::timestamptz, null::varchar, varInstitutionBranchID, varBaseCurrencyID, 25000000000166::bigint, null::varchar);</v>
      </c>
    </row>
    <row r="170" spans="2:8" x14ac:dyDescent="0.2">
      <c r="B170" s="37">
        <f>IF(EXACT([1]DataLookUp!$B170, ""), "", [1]DataLookUp!$B170)</f>
        <v>25000000000167</v>
      </c>
      <c r="C170" s="38" t="str">
        <f>IF(EXACT(B170, ""), "", VLOOKUP(B170, [1]DataLookUp!$B$4:$C$1000, 2,FALSE ))</f>
        <v>Grace Kurniawan</v>
      </c>
      <c r="D170" s="21" t="s">
        <v>131</v>
      </c>
      <c r="E170" s="108"/>
      <c r="G170" s="29">
        <f t="shared" si="4"/>
        <v>32000000000167</v>
      </c>
      <c r="H170" s="30" t="str">
        <f t="shared" si="5"/>
        <v>PERFORM "SchData-OLTP-HumanResource"."Func_TblWorker_SET"(varSystemLoginSession, null::bigint, null::varchar, null::timestamptz, null::timestamptz, null::varchar, varInstitutionBranchID, varBaseCurrencyID, 25000000000167::bigint, '010218858'::varchar);</v>
      </c>
    </row>
    <row r="171" spans="2:8" x14ac:dyDescent="0.2">
      <c r="B171" s="37">
        <f>IF(EXACT([1]DataLookUp!$B171, ""), "", [1]DataLookUp!$B171)</f>
        <v>25000000000168</v>
      </c>
      <c r="C171" s="38" t="str">
        <f>IF(EXACT(B171, ""), "", VLOOKUP(B171, [1]DataLookUp!$B$4:$C$1000, 2,FALSE ))</f>
        <v>Gunawan</v>
      </c>
      <c r="D171" s="21" t="s">
        <v>20</v>
      </c>
      <c r="E171" s="108"/>
      <c r="G171" s="29">
        <f t="shared" si="4"/>
        <v>32000000000168</v>
      </c>
      <c r="H171" s="30" t="str">
        <f t="shared" si="5"/>
        <v>PERFORM "SchData-OLTP-HumanResource"."Func_TblWorker_SET"(varSystemLoginSession, null::bigint, null::varchar, null::timestamptz, null::timestamptz, null::varchar, varInstitutionBranchID, varBaseCurrencyID, 25000000000168::bigint, '070806256'::varchar);</v>
      </c>
    </row>
    <row r="172" spans="2:8" x14ac:dyDescent="0.2">
      <c r="B172" s="37">
        <f>IF(EXACT([1]DataLookUp!$B172, ""), "", [1]DataLookUp!$B172)</f>
        <v>25000000000169</v>
      </c>
      <c r="C172" s="38" t="str">
        <f>IF(EXACT(B172, ""), "", VLOOKUP(B172, [1]DataLookUp!$B$4:$C$1000, 2,FALSE ))</f>
        <v>Gustia Rakhmanita</v>
      </c>
      <c r="D172" s="21"/>
      <c r="E172" s="108"/>
      <c r="G172" s="29">
        <f t="shared" si="4"/>
        <v>32000000000169</v>
      </c>
      <c r="H172" s="30" t="str">
        <f t="shared" si="5"/>
        <v>PERFORM "SchData-OLTP-HumanResource"."Func_TblWorker_SET"(varSystemLoginSession, null::bigint, null::varchar, null::timestamptz, null::timestamptz, null::varchar, varInstitutionBranchID, varBaseCurrencyID, 25000000000169::bigint, null::varchar);</v>
      </c>
    </row>
    <row r="173" spans="2:8" x14ac:dyDescent="0.2">
      <c r="B173" s="37">
        <f>IF(EXACT([1]DataLookUp!$B173, ""), "", [1]DataLookUp!$B173)</f>
        <v>25000000000170</v>
      </c>
      <c r="C173" s="38" t="str">
        <f>IF(EXACT(B173, ""), "", VLOOKUP(B173, [1]DataLookUp!$B$4:$C$1000, 2,FALSE ))</f>
        <v>Habib Abdullah</v>
      </c>
      <c r="D173" s="21"/>
      <c r="E173" s="108"/>
      <c r="G173" s="29">
        <f t="shared" si="4"/>
        <v>32000000000170</v>
      </c>
      <c r="H173" s="30" t="str">
        <f t="shared" si="5"/>
        <v>PERFORM "SchData-OLTP-HumanResource"."Func_TblWorker_SET"(varSystemLoginSession, null::bigint, null::varchar, null::timestamptz, null::timestamptz, null::varchar, varInstitutionBranchID, varBaseCurrencyID, 25000000000170::bigint, null::varchar);</v>
      </c>
    </row>
    <row r="174" spans="2:8" x14ac:dyDescent="0.2">
      <c r="B174" s="37">
        <f>IF(EXACT([1]DataLookUp!$B174, ""), "", [1]DataLookUp!$B174)</f>
        <v>25000000000171</v>
      </c>
      <c r="C174" s="38" t="str">
        <f>IF(EXACT(B174, ""), "", VLOOKUP(B174, [1]DataLookUp!$B$4:$C$1000, 2,FALSE ))</f>
        <v>Hadi Kasmuri</v>
      </c>
      <c r="D174" s="21"/>
      <c r="E174" s="108"/>
      <c r="G174" s="29">
        <f t="shared" si="4"/>
        <v>32000000000171</v>
      </c>
      <c r="H174" s="30" t="str">
        <f t="shared" si="5"/>
        <v>PERFORM "SchData-OLTP-HumanResource"."Func_TblWorker_SET"(varSystemLoginSession, null::bigint, null::varchar, null::timestamptz, null::timestamptz, null::varchar, varInstitutionBranchID, varBaseCurrencyID, 25000000000171::bigint, null::varchar);</v>
      </c>
    </row>
    <row r="175" spans="2:8" x14ac:dyDescent="0.2">
      <c r="B175" s="37">
        <f>IF(EXACT([1]DataLookUp!$B175, ""), "", [1]DataLookUp!$B175)</f>
        <v>25000000000172</v>
      </c>
      <c r="C175" s="38" t="str">
        <f>IF(EXACT(B175, ""), "", VLOOKUP(B175, [1]DataLookUp!$B$4:$C$1000, 2,FALSE ))</f>
        <v>Haikal</v>
      </c>
      <c r="D175" s="21"/>
      <c r="E175" s="108"/>
      <c r="G175" s="29">
        <f t="shared" si="4"/>
        <v>32000000000172</v>
      </c>
      <c r="H175" s="30" t="str">
        <f t="shared" si="5"/>
        <v>PERFORM "SchData-OLTP-HumanResource"."Func_TblWorker_SET"(varSystemLoginSession, null::bigint, null::varchar, null::timestamptz, null::timestamptz, null::varchar, varInstitutionBranchID, varBaseCurrencyID, 25000000000172::bigint, null::varchar);</v>
      </c>
    </row>
    <row r="176" spans="2:8" x14ac:dyDescent="0.2">
      <c r="B176" s="37">
        <f>IF(EXACT([1]DataLookUp!$B176, ""), "", [1]DataLookUp!$B176)</f>
        <v>25000000000173</v>
      </c>
      <c r="C176" s="38" t="str">
        <f>IF(EXACT(B176, ""), "", VLOOKUP(B176, [1]DataLookUp!$B$4:$C$1000, 2,FALSE ))</f>
        <v>Hanantowiryo Tamtama</v>
      </c>
      <c r="D176" s="21"/>
      <c r="E176" s="108"/>
      <c r="G176" s="29">
        <f t="shared" si="4"/>
        <v>32000000000173</v>
      </c>
      <c r="H176" s="30" t="str">
        <f t="shared" si="5"/>
        <v>PERFORM "SchData-OLTP-HumanResource"."Func_TblWorker_SET"(varSystemLoginSession, null::bigint, null::varchar, null::timestamptz, null::timestamptz, null::varchar, varInstitutionBranchID, varBaseCurrencyID, 25000000000173::bigint, null::varchar);</v>
      </c>
    </row>
    <row r="177" spans="2:8" x14ac:dyDescent="0.2">
      <c r="B177" s="37">
        <f>IF(EXACT([1]DataLookUp!$B177, ""), "", [1]DataLookUp!$B177)</f>
        <v>25000000000174</v>
      </c>
      <c r="C177" s="38" t="str">
        <f>IF(EXACT(B177, ""), "", VLOOKUP(B177, [1]DataLookUp!$B$4:$C$1000, 2,FALSE ))</f>
        <v>Handoko</v>
      </c>
      <c r="D177" s="21"/>
      <c r="E177" s="108"/>
      <c r="G177" s="29">
        <f t="shared" si="4"/>
        <v>32000000000174</v>
      </c>
      <c r="H177" s="30" t="str">
        <f t="shared" si="5"/>
        <v>PERFORM "SchData-OLTP-HumanResource"."Func_TblWorker_SET"(varSystemLoginSession, null::bigint, null::varchar, null::timestamptz, null::timestamptz, null::varchar, varInstitutionBranchID, varBaseCurrencyID, 25000000000174::bigint, null::varchar);</v>
      </c>
    </row>
    <row r="178" spans="2:8" x14ac:dyDescent="0.2">
      <c r="B178" s="37">
        <f>IF(EXACT([1]DataLookUp!$B178, ""), "", [1]DataLookUp!$B178)</f>
        <v>25000000000175</v>
      </c>
      <c r="C178" s="38" t="str">
        <f>IF(EXACT(B178, ""), "", VLOOKUP(B178, [1]DataLookUp!$B$4:$C$1000, 2,FALSE ))</f>
        <v>Hanif Ashari</v>
      </c>
      <c r="D178" s="21"/>
      <c r="E178" s="108"/>
      <c r="G178" s="29">
        <f t="shared" si="4"/>
        <v>32000000000175</v>
      </c>
      <c r="H178" s="30" t="str">
        <f t="shared" si="5"/>
        <v>PERFORM "SchData-OLTP-HumanResource"."Func_TblWorker_SET"(varSystemLoginSession, null::bigint, null::varchar, null::timestamptz, null::timestamptz, null::varchar, varInstitutionBranchID, varBaseCurrencyID, 25000000000175::bigint, null::varchar);</v>
      </c>
    </row>
    <row r="179" spans="2:8" x14ac:dyDescent="0.2">
      <c r="B179" s="37">
        <f>IF(EXACT([1]DataLookUp!$B179, ""), "", [1]DataLookUp!$B179)</f>
        <v>25000000000176</v>
      </c>
      <c r="C179" s="38" t="str">
        <f>IF(EXACT(B179, ""), "", VLOOKUP(B179, [1]DataLookUp!$B$4:$C$1000, 2,FALSE ))</f>
        <v>Hanif Eko Saputro</v>
      </c>
      <c r="D179" s="21"/>
      <c r="E179" s="108"/>
      <c r="G179" s="29">
        <f t="shared" si="4"/>
        <v>32000000000176</v>
      </c>
      <c r="H179" s="30" t="str">
        <f t="shared" si="5"/>
        <v>PERFORM "SchData-OLTP-HumanResource"."Func_TblWorker_SET"(varSystemLoginSession, null::bigint, null::varchar, null::timestamptz, null::timestamptz, null::varchar, varInstitutionBranchID, varBaseCurrencyID, 25000000000176::bigint, null::varchar);</v>
      </c>
    </row>
    <row r="180" spans="2:8" x14ac:dyDescent="0.2">
      <c r="B180" s="37">
        <f>IF(EXACT([1]DataLookUp!$B180, ""), "", [1]DataLookUp!$B180)</f>
        <v>25000000000177</v>
      </c>
      <c r="C180" s="38" t="str">
        <f>IF(EXACT(B180, ""), "", VLOOKUP(B180, [1]DataLookUp!$B$4:$C$1000, 2,FALSE ))</f>
        <v>Hardianto</v>
      </c>
      <c r="D180" s="21"/>
      <c r="E180" s="108"/>
      <c r="G180" s="29">
        <f t="shared" si="4"/>
        <v>32000000000177</v>
      </c>
      <c r="H180" s="30" t="str">
        <f t="shared" si="5"/>
        <v>PERFORM "SchData-OLTP-HumanResource"."Func_TblWorker_SET"(varSystemLoginSession, null::bigint, null::varchar, null::timestamptz, null::timestamptz, null::varchar, varInstitutionBranchID, varBaseCurrencyID, 25000000000177::bigint, null::varchar);</v>
      </c>
    </row>
    <row r="181" spans="2:8" x14ac:dyDescent="0.2">
      <c r="B181" s="37">
        <f>IF(EXACT([1]DataLookUp!$B181, ""), "", [1]DataLookUp!$B181)</f>
        <v>25000000000178</v>
      </c>
      <c r="C181" s="38" t="str">
        <f>IF(EXACT(B181, ""), "", VLOOKUP(B181, [1]DataLookUp!$B$4:$C$1000, 2,FALSE ))</f>
        <v>Harlen Amudi Purba</v>
      </c>
      <c r="D181" s="21"/>
      <c r="E181" s="108"/>
      <c r="G181" s="29">
        <f t="shared" si="4"/>
        <v>32000000000178</v>
      </c>
      <c r="H181" s="30" t="str">
        <f t="shared" si="5"/>
        <v>PERFORM "SchData-OLTP-HumanResource"."Func_TblWorker_SET"(varSystemLoginSession, null::bigint, null::varchar, null::timestamptz, null::timestamptz, null::varchar, varInstitutionBranchID, varBaseCurrencyID, 25000000000178::bigint, null::varchar);</v>
      </c>
    </row>
    <row r="182" spans="2:8" x14ac:dyDescent="0.2">
      <c r="B182" s="37">
        <f>IF(EXACT([1]DataLookUp!$B182, ""), "", [1]DataLookUp!$B182)</f>
        <v>25000000000179</v>
      </c>
      <c r="C182" s="38" t="str">
        <f>IF(EXACT(B182, ""), "", VLOOKUP(B182, [1]DataLookUp!$B$4:$C$1000, 2,FALSE ))</f>
        <v>Harry Isnaeni</v>
      </c>
      <c r="D182" s="21"/>
      <c r="E182" s="108"/>
      <c r="G182" s="29">
        <f t="shared" si="4"/>
        <v>32000000000179</v>
      </c>
      <c r="H182" s="30" t="str">
        <f t="shared" si="5"/>
        <v>PERFORM "SchData-OLTP-HumanResource"."Func_TblWorker_SET"(varSystemLoginSession, null::bigint, null::varchar, null::timestamptz, null::timestamptz, null::varchar, varInstitutionBranchID, varBaseCurrencyID, 25000000000179::bigint, null::varchar);</v>
      </c>
    </row>
    <row r="183" spans="2:8" x14ac:dyDescent="0.2">
      <c r="B183" s="37">
        <f>IF(EXACT([1]DataLookUp!$B183, ""), "", [1]DataLookUp!$B183)</f>
        <v>25000000000180</v>
      </c>
      <c r="C183" s="38" t="str">
        <f>IF(EXACT(B183, ""), "", VLOOKUP(B183, [1]DataLookUp!$B$4:$C$1000, 2,FALSE ))</f>
        <v>Hasan Gani</v>
      </c>
      <c r="D183" s="21"/>
      <c r="E183" s="108"/>
      <c r="G183" s="29">
        <f t="shared" si="4"/>
        <v>32000000000180</v>
      </c>
      <c r="H183" s="30" t="str">
        <f t="shared" si="5"/>
        <v>PERFORM "SchData-OLTP-HumanResource"."Func_TblWorker_SET"(varSystemLoginSession, null::bigint, null::varchar, null::timestamptz, null::timestamptz, null::varchar, varInstitutionBranchID, varBaseCurrencyID, 25000000000180::bigint, null::varchar);</v>
      </c>
    </row>
    <row r="184" spans="2:8" x14ac:dyDescent="0.2">
      <c r="B184" s="37">
        <f>IF(EXACT([1]DataLookUp!$B184, ""), "", [1]DataLookUp!$B184)</f>
        <v>25000000000181</v>
      </c>
      <c r="C184" s="38" t="str">
        <f>IF(EXACT(B184, ""), "", VLOOKUP(B184, [1]DataLookUp!$B$4:$C$1000, 2,FALSE ))</f>
        <v>Hasrul</v>
      </c>
      <c r="D184" s="21"/>
      <c r="E184" s="108"/>
      <c r="G184" s="29">
        <f t="shared" si="4"/>
        <v>32000000000181</v>
      </c>
      <c r="H184" s="30" t="str">
        <f t="shared" si="5"/>
        <v>PERFORM "SchData-OLTP-HumanResource"."Func_TblWorker_SET"(varSystemLoginSession, null::bigint, null::varchar, null::timestamptz, null::timestamptz, null::varchar, varInstitutionBranchID, varBaseCurrencyID, 25000000000181::bigint, null::varchar);</v>
      </c>
    </row>
    <row r="185" spans="2:8" x14ac:dyDescent="0.2">
      <c r="B185" s="37">
        <f>IF(EXACT([1]DataLookUp!$B185, ""), "", [1]DataLookUp!$B185)</f>
        <v>25000000000182</v>
      </c>
      <c r="C185" s="38" t="str">
        <f>IF(EXACT(B185, ""), "", VLOOKUP(B185, [1]DataLookUp!$B$4:$C$1000, 2,FALSE ))</f>
        <v>Hendar Pambudi</v>
      </c>
      <c r="D185" s="21"/>
      <c r="E185" s="108"/>
      <c r="G185" s="29">
        <f t="shared" si="4"/>
        <v>32000000000182</v>
      </c>
      <c r="H185" s="30" t="str">
        <f t="shared" si="5"/>
        <v>PERFORM "SchData-OLTP-HumanResource"."Func_TblWorker_SET"(varSystemLoginSession, null::bigint, null::varchar, null::timestamptz, null::timestamptz, null::varchar, varInstitutionBranchID, varBaseCurrencyID, 25000000000182::bigint, null::varchar);</v>
      </c>
    </row>
    <row r="186" spans="2:8" x14ac:dyDescent="0.2">
      <c r="B186" s="37">
        <f>IF(EXACT([1]DataLookUp!$B186, ""), "", [1]DataLookUp!$B186)</f>
        <v>25000000000183</v>
      </c>
      <c r="C186" s="38" t="str">
        <f>IF(EXACT(B186, ""), "", VLOOKUP(B186, [1]DataLookUp!$B$4:$C$1000, 2,FALSE ))</f>
        <v>Hendri Kustian</v>
      </c>
      <c r="D186" s="21"/>
      <c r="E186" s="108"/>
      <c r="G186" s="29">
        <f t="shared" si="4"/>
        <v>32000000000183</v>
      </c>
      <c r="H186" s="30" t="str">
        <f t="shared" si="5"/>
        <v>PERFORM "SchData-OLTP-HumanResource"."Func_TblWorker_SET"(varSystemLoginSession, null::bigint, null::varchar, null::timestamptz, null::timestamptz, null::varchar, varInstitutionBranchID, varBaseCurrencyID, 25000000000183::bigint, null::varchar);</v>
      </c>
    </row>
    <row r="187" spans="2:8" x14ac:dyDescent="0.2">
      <c r="B187" s="37">
        <f>IF(EXACT([1]DataLookUp!$B187, ""), "", [1]DataLookUp!$B187)</f>
        <v>25000000000184</v>
      </c>
      <c r="C187" s="38" t="str">
        <f>IF(EXACT(B187, ""), "", VLOOKUP(B187, [1]DataLookUp!$B$4:$C$1000, 2,FALSE ))</f>
        <v>Hendrik</v>
      </c>
      <c r="D187" s="21"/>
      <c r="E187" s="108"/>
      <c r="G187" s="29">
        <f t="shared" si="4"/>
        <v>32000000000184</v>
      </c>
      <c r="H187" s="30" t="str">
        <f t="shared" si="5"/>
        <v>PERFORM "SchData-OLTP-HumanResource"."Func_TblWorker_SET"(varSystemLoginSession, null::bigint, null::varchar, null::timestamptz, null::timestamptz, null::varchar, varInstitutionBranchID, varBaseCurrencyID, 25000000000184::bigint, null::varchar);</v>
      </c>
    </row>
    <row r="188" spans="2:8" x14ac:dyDescent="0.2">
      <c r="B188" s="37">
        <f>IF(EXACT([1]DataLookUp!$B188, ""), "", [1]DataLookUp!$B188)</f>
        <v>25000000000185</v>
      </c>
      <c r="C188" s="38" t="str">
        <f>IF(EXACT(B188, ""), "", VLOOKUP(B188, [1]DataLookUp!$B$4:$C$1000, 2,FALSE ))</f>
        <v>Herdi Yulia Rohmana</v>
      </c>
      <c r="D188" s="21"/>
      <c r="E188" s="108"/>
      <c r="G188" s="29">
        <f t="shared" si="4"/>
        <v>32000000000185</v>
      </c>
      <c r="H188" s="30" t="str">
        <f t="shared" si="5"/>
        <v>PERFORM "SchData-OLTP-HumanResource"."Func_TblWorker_SET"(varSystemLoginSession, null::bigint, null::varchar, null::timestamptz, null::timestamptz, null::varchar, varInstitutionBranchID, varBaseCurrencyID, 25000000000185::bigint, null::varchar);</v>
      </c>
    </row>
    <row r="189" spans="2:8" x14ac:dyDescent="0.2">
      <c r="B189" s="37">
        <f>IF(EXACT([1]DataLookUp!$B189, ""), "", [1]DataLookUp!$B189)</f>
        <v>25000000000186</v>
      </c>
      <c r="C189" s="38" t="str">
        <f>IF(EXACT(B189, ""), "", VLOOKUP(B189, [1]DataLookUp!$B$4:$C$1000, 2,FALSE ))</f>
        <v>Heri Susanto</v>
      </c>
      <c r="D189" s="21"/>
      <c r="E189" s="108"/>
      <c r="G189" s="29">
        <f t="shared" si="4"/>
        <v>32000000000186</v>
      </c>
      <c r="H189" s="30" t="str">
        <f t="shared" si="5"/>
        <v>PERFORM "SchData-OLTP-HumanResource"."Func_TblWorker_SET"(varSystemLoginSession, null::bigint, null::varchar, null::timestamptz, null::timestamptz, null::varchar, varInstitutionBranchID, varBaseCurrencyID, 25000000000186::bigint, null::varchar);</v>
      </c>
    </row>
    <row r="190" spans="2:8" x14ac:dyDescent="0.2">
      <c r="B190" s="37">
        <f>IF(EXACT([1]DataLookUp!$B190, ""), "", [1]DataLookUp!$B190)</f>
        <v>25000000000187</v>
      </c>
      <c r="C190" s="38" t="str">
        <f>IF(EXACT(B190, ""), "", VLOOKUP(B190, [1]DataLookUp!$B$4:$C$1000, 2,FALSE ))</f>
        <v>Herlin Juli Asri</v>
      </c>
      <c r="D190" s="21"/>
      <c r="E190" s="108"/>
      <c r="G190" s="29">
        <f t="shared" si="4"/>
        <v>32000000000187</v>
      </c>
      <c r="H190" s="30" t="str">
        <f t="shared" si="5"/>
        <v>PERFORM "SchData-OLTP-HumanResource"."Func_TblWorker_SET"(varSystemLoginSession, null::bigint, null::varchar, null::timestamptz, null::timestamptz, null::varchar, varInstitutionBranchID, varBaseCurrencyID, 25000000000187::bigint, null::varchar);</v>
      </c>
    </row>
    <row r="191" spans="2:8" x14ac:dyDescent="0.2">
      <c r="B191" s="37">
        <f>IF(EXACT([1]DataLookUp!$B191, ""), "", [1]DataLookUp!$B191)</f>
        <v>25000000000188</v>
      </c>
      <c r="C191" s="38" t="str">
        <f>IF(EXACT(B191, ""), "", VLOOKUP(B191, [1]DataLookUp!$B$4:$C$1000, 2,FALSE ))</f>
        <v>Herman Budoyo</v>
      </c>
      <c r="D191" s="21"/>
      <c r="E191" s="108"/>
      <c r="G191" s="29">
        <f t="shared" si="4"/>
        <v>32000000000188</v>
      </c>
      <c r="H191" s="30" t="str">
        <f t="shared" si="5"/>
        <v>PERFORM "SchData-OLTP-HumanResource"."Func_TblWorker_SET"(varSystemLoginSession, null::bigint, null::varchar, null::timestamptz, null::timestamptz, null::varchar, varInstitutionBranchID, varBaseCurrencyID, 25000000000188::bigint, null::varchar);</v>
      </c>
    </row>
    <row r="192" spans="2:8" x14ac:dyDescent="0.2">
      <c r="B192" s="37">
        <f>IF(EXACT([1]DataLookUp!$B192, ""), "", [1]DataLookUp!$B192)</f>
        <v>25000000000189</v>
      </c>
      <c r="C192" s="38" t="str">
        <f>IF(EXACT(B192, ""), "", VLOOKUP(B192, [1]DataLookUp!$B$4:$C$1000, 2,FALSE ))</f>
        <v>Herni Yuliati</v>
      </c>
      <c r="D192" s="21"/>
      <c r="E192" s="108"/>
      <c r="G192" s="29">
        <f t="shared" si="4"/>
        <v>32000000000189</v>
      </c>
      <c r="H192" s="30" t="str">
        <f t="shared" si="5"/>
        <v>PERFORM "SchData-OLTP-HumanResource"."Func_TblWorker_SET"(varSystemLoginSession, null::bigint, null::varchar, null::timestamptz, null::timestamptz, null::varchar, varInstitutionBranchID, varBaseCurrencyID, 25000000000189::bigint, null::varchar);</v>
      </c>
    </row>
    <row r="193" spans="2:8" x14ac:dyDescent="0.2">
      <c r="B193" s="37">
        <f>IF(EXACT([1]DataLookUp!$B193, ""), "", [1]DataLookUp!$B193)</f>
        <v>25000000000190</v>
      </c>
      <c r="C193" s="38" t="str">
        <f>IF(EXACT(B193, ""), "", VLOOKUP(B193, [1]DataLookUp!$B$4:$C$1000, 2,FALSE ))</f>
        <v>Hernita Dwi</v>
      </c>
      <c r="D193" s="21"/>
      <c r="E193" s="108"/>
      <c r="G193" s="29">
        <f t="shared" si="4"/>
        <v>32000000000190</v>
      </c>
      <c r="H193" s="30" t="str">
        <f t="shared" si="5"/>
        <v>PERFORM "SchData-OLTP-HumanResource"."Func_TblWorker_SET"(varSystemLoginSession, null::bigint, null::varchar, null::timestamptz, null::timestamptz, null::varchar, varInstitutionBranchID, varBaseCurrencyID, 25000000000190::bigint, null::varchar);</v>
      </c>
    </row>
    <row r="194" spans="2:8" x14ac:dyDescent="0.2">
      <c r="B194" s="37">
        <f>IF(EXACT([1]DataLookUp!$B194, ""), "", [1]DataLookUp!$B194)</f>
        <v>25000000000191</v>
      </c>
      <c r="C194" s="38" t="str">
        <f>IF(EXACT(B194, ""), "", VLOOKUP(B194, [1]DataLookUp!$B$4:$C$1000, 2,FALSE ))</f>
        <v>Herri Setyawan</v>
      </c>
      <c r="D194" s="21"/>
      <c r="E194" s="108"/>
      <c r="G194" s="29">
        <f t="shared" si="4"/>
        <v>32000000000191</v>
      </c>
      <c r="H194" s="30" t="str">
        <f t="shared" si="5"/>
        <v>PERFORM "SchData-OLTP-HumanResource"."Func_TblWorker_SET"(varSystemLoginSession, null::bigint, null::varchar, null::timestamptz, null::timestamptz, null::varchar, varInstitutionBranchID, varBaseCurrencyID, 25000000000191::bigint, null::varchar);</v>
      </c>
    </row>
    <row r="195" spans="2:8" x14ac:dyDescent="0.2">
      <c r="B195" s="37">
        <f>IF(EXACT([1]DataLookUp!$B195, ""), "", [1]DataLookUp!$B195)</f>
        <v>25000000000192</v>
      </c>
      <c r="C195" s="38" t="str">
        <f>IF(EXACT(B195, ""), "", VLOOKUP(B195, [1]DataLookUp!$B$4:$C$1000, 2,FALSE ))</f>
        <v>Heru Sugiri</v>
      </c>
      <c r="D195" s="21"/>
      <c r="E195" s="108"/>
      <c r="G195" s="29">
        <f t="shared" si="4"/>
        <v>32000000000192</v>
      </c>
      <c r="H195" s="30" t="str">
        <f t="shared" si="5"/>
        <v>PERFORM "SchData-OLTP-HumanResource"."Func_TblWorker_SET"(varSystemLoginSession, null::bigint, null::varchar, null::timestamptz, null::timestamptz, null::varchar, varInstitutionBranchID, varBaseCurrencyID, 25000000000192::bigint, null::varchar);</v>
      </c>
    </row>
    <row r="196" spans="2:8" x14ac:dyDescent="0.2">
      <c r="B196" s="37">
        <f>IF(EXACT([1]DataLookUp!$B196, ""), "", [1]DataLookUp!$B196)</f>
        <v>25000000000193</v>
      </c>
      <c r="C196" s="38" t="str">
        <f>IF(EXACT(B196, ""), "", VLOOKUP(B196, [1]DataLookUp!$B$4:$C$1000, 2,FALSE ))</f>
        <v>Hervian Bagus Saputra</v>
      </c>
      <c r="D196" s="21"/>
      <c r="E196" s="108"/>
      <c r="G196" s="29">
        <f t="shared" si="4"/>
        <v>32000000000193</v>
      </c>
      <c r="H196" s="30" t="str">
        <f t="shared" si="5"/>
        <v>PERFORM "SchData-OLTP-HumanResource"."Func_TblWorker_SET"(varSystemLoginSession, null::bigint, null::varchar, null::timestamptz, null::timestamptz, null::varchar, varInstitutionBranchID, varBaseCurrencyID, 25000000000193::bigint, null::varchar);</v>
      </c>
    </row>
    <row r="197" spans="2:8" x14ac:dyDescent="0.2">
      <c r="B197" s="37">
        <f>IF(EXACT([1]DataLookUp!$B197, ""), "", [1]DataLookUp!$B197)</f>
        <v>25000000000194</v>
      </c>
      <c r="C197" s="38" t="str">
        <f>IF(EXACT(B197, ""), "", VLOOKUP(B197, [1]DataLookUp!$B$4:$C$1000, 2,FALSE ))</f>
        <v>H.R. Marlina S. T. R.</v>
      </c>
      <c r="D197" s="21"/>
      <c r="E197" s="108"/>
      <c r="G197" s="29">
        <f t="shared" ref="G197:G260" si="6" xml:space="preserve"> G196 + IF(EXACT(H197, ""), 0, 1)</f>
        <v>32000000000194</v>
      </c>
      <c r="H197" s="30" t="str">
        <f t="shared" ref="H197:H260" si="7">CONCATENATE("PERFORM ""SchData-OLTP-HumanResource"".""Func_TblWorker_SET""(varSystemLoginSession, null::bigint, null::varchar, null::timestamptz, null::timestamptz, null::varchar, varInstitutionBranchID, varBaseCurrencyID, ", B197, "::bigint, ", IF(EXACT(D197, ""), "null", CONCATENATE("'", D197, "'")), "::varchar);")</f>
        <v>PERFORM "SchData-OLTP-HumanResource"."Func_TblWorker_SET"(varSystemLoginSession, null::bigint, null::varchar, null::timestamptz, null::timestamptz, null::varchar, varInstitutionBranchID, varBaseCurrencyID, 25000000000194::bigint, null::varchar);</v>
      </c>
    </row>
    <row r="198" spans="2:8" x14ac:dyDescent="0.2">
      <c r="B198" s="37">
        <f>IF(EXACT([1]DataLookUp!$B198, ""), "", [1]DataLookUp!$B198)</f>
        <v>25000000000195</v>
      </c>
      <c r="C198" s="38" t="str">
        <f>IF(EXACT(B198, ""), "", VLOOKUP(B198, [1]DataLookUp!$B$4:$C$1000, 2,FALSE ))</f>
        <v>Ibrahim Soukani</v>
      </c>
      <c r="D198" s="21"/>
      <c r="E198" s="108"/>
      <c r="G198" s="29">
        <f t="shared" si="6"/>
        <v>32000000000195</v>
      </c>
      <c r="H198" s="30" t="str">
        <f t="shared" si="7"/>
        <v>PERFORM "SchData-OLTP-HumanResource"."Func_TblWorker_SET"(varSystemLoginSession, null::bigint, null::varchar, null::timestamptz, null::timestamptz, null::varchar, varInstitutionBranchID, varBaseCurrencyID, 25000000000195::bigint, null::varchar);</v>
      </c>
    </row>
    <row r="199" spans="2:8" x14ac:dyDescent="0.2">
      <c r="B199" s="37">
        <f>IF(EXACT([1]DataLookUp!$B199, ""), "", [1]DataLookUp!$B199)</f>
        <v>25000000000196</v>
      </c>
      <c r="C199" s="38" t="str">
        <f>IF(EXACT(B199, ""), "", VLOOKUP(B199, [1]DataLookUp!$B$4:$C$1000, 2,FALSE ))</f>
        <v>Icha Mailinda Syamsoedin</v>
      </c>
      <c r="D199" s="21">
        <v>191015786</v>
      </c>
      <c r="E199" s="108"/>
      <c r="G199" s="29">
        <f t="shared" si="6"/>
        <v>32000000000196</v>
      </c>
      <c r="H199" s="30" t="str">
        <f t="shared" si="7"/>
        <v>PERFORM "SchData-OLTP-HumanResource"."Func_TblWorker_SET"(varSystemLoginSession, null::bigint, null::varchar, null::timestamptz, null::timestamptz, null::varchar, varInstitutionBranchID, varBaseCurrencyID, 25000000000196::bigint, '191015786'::varchar);</v>
      </c>
    </row>
    <row r="200" spans="2:8" x14ac:dyDescent="0.2">
      <c r="B200" s="37">
        <f>IF(EXACT([1]DataLookUp!$B200, ""), "", [1]DataLookUp!$B200)</f>
        <v>25000000000197</v>
      </c>
      <c r="C200" s="38" t="str">
        <f>IF(EXACT(B200, ""), "", VLOOKUP(B200, [1]DataLookUp!$B$4:$C$1000, 2,FALSE ))</f>
        <v>Ichsanudin</v>
      </c>
      <c r="D200" s="21"/>
      <c r="E200" s="108"/>
      <c r="G200" s="29">
        <f t="shared" si="6"/>
        <v>32000000000197</v>
      </c>
      <c r="H200" s="30" t="str">
        <f t="shared" si="7"/>
        <v>PERFORM "SchData-OLTP-HumanResource"."Func_TblWorker_SET"(varSystemLoginSession, null::bigint, null::varchar, null::timestamptz, null::timestamptz, null::varchar, varInstitutionBranchID, varBaseCurrencyID, 25000000000197::bigint, null::varchar);</v>
      </c>
    </row>
    <row r="201" spans="2:8" x14ac:dyDescent="0.2">
      <c r="B201" s="37">
        <f>IF(EXACT([1]DataLookUp!$B201, ""), "", [1]DataLookUp!$B201)</f>
        <v>25000000000198</v>
      </c>
      <c r="C201" s="38" t="str">
        <f>IF(EXACT(B201, ""), "", VLOOKUP(B201, [1]DataLookUp!$B$4:$C$1000, 2,FALSE ))</f>
        <v>Ida Tri Wulaningsih</v>
      </c>
      <c r="D201" s="21"/>
      <c r="E201" s="108"/>
      <c r="G201" s="29">
        <f t="shared" si="6"/>
        <v>32000000000198</v>
      </c>
      <c r="H201" s="30" t="str">
        <f t="shared" si="7"/>
        <v>PERFORM "SchData-OLTP-HumanResource"."Func_TblWorker_SET"(varSystemLoginSession, null::bigint, null::varchar, null::timestamptz, null::timestamptz, null::varchar, varInstitutionBranchID, varBaseCurrencyID, 25000000000198::bigint, null::varchar);</v>
      </c>
    </row>
    <row r="202" spans="2:8" x14ac:dyDescent="0.2">
      <c r="B202" s="37">
        <f>IF(EXACT([1]DataLookUp!$B202, ""), "", [1]DataLookUp!$B202)</f>
        <v>25000000000199</v>
      </c>
      <c r="C202" s="38" t="str">
        <f>IF(EXACT(B202, ""), "", VLOOKUP(B202, [1]DataLookUp!$B$4:$C$1000, 2,FALSE ))</f>
        <v>Idham</v>
      </c>
      <c r="D202" s="21"/>
      <c r="E202" s="108"/>
      <c r="G202" s="29">
        <f t="shared" si="6"/>
        <v>32000000000199</v>
      </c>
      <c r="H202" s="30" t="str">
        <f t="shared" si="7"/>
        <v>PERFORM "SchData-OLTP-HumanResource"."Func_TblWorker_SET"(varSystemLoginSession, null::bigint, null::varchar, null::timestamptz, null::timestamptz, null::varchar, varInstitutionBranchID, varBaseCurrencyID, 25000000000199::bigint, null::varchar);</v>
      </c>
    </row>
    <row r="203" spans="2:8" x14ac:dyDescent="0.2">
      <c r="B203" s="37">
        <f>IF(EXACT([1]DataLookUp!$B203, ""), "", [1]DataLookUp!$B203)</f>
        <v>25000000000200</v>
      </c>
      <c r="C203" s="38" t="str">
        <f>IF(EXACT(B203, ""), "", VLOOKUP(B203, [1]DataLookUp!$B$4:$C$1000, 2,FALSE ))</f>
        <v>Idham Nasution</v>
      </c>
      <c r="D203" s="21"/>
      <c r="E203" s="108"/>
      <c r="G203" s="29">
        <f t="shared" si="6"/>
        <v>32000000000200</v>
      </c>
      <c r="H203" s="30" t="str">
        <f t="shared" si="7"/>
        <v>PERFORM "SchData-OLTP-HumanResource"."Func_TblWorker_SET"(varSystemLoginSession, null::bigint, null::varchar, null::timestamptz, null::timestamptz, null::varchar, varInstitutionBranchID, varBaseCurrencyID, 25000000000200::bigint, null::varchar);</v>
      </c>
    </row>
    <row r="204" spans="2:8" x14ac:dyDescent="0.2">
      <c r="B204" s="37">
        <f>IF(EXACT([1]DataLookUp!$B204, ""), "", [1]DataLookUp!$B204)</f>
        <v>25000000000201</v>
      </c>
      <c r="C204" s="38" t="str">
        <f>IF(EXACT(B204, ""), "", VLOOKUP(B204, [1]DataLookUp!$B$4:$C$1000, 2,FALSE ))</f>
        <v>Idian</v>
      </c>
      <c r="D204" s="21"/>
      <c r="E204" s="108"/>
      <c r="G204" s="29">
        <f t="shared" si="6"/>
        <v>32000000000201</v>
      </c>
      <c r="H204" s="30" t="str">
        <f t="shared" si="7"/>
        <v>PERFORM "SchData-OLTP-HumanResource"."Func_TblWorker_SET"(varSystemLoginSession, null::bigint, null::varchar, null::timestamptz, null::timestamptz, null::varchar, varInstitutionBranchID, varBaseCurrencyID, 25000000000201::bigint, null::varchar);</v>
      </c>
    </row>
    <row r="205" spans="2:8" x14ac:dyDescent="0.2">
      <c r="B205" s="37">
        <f>IF(EXACT([1]DataLookUp!$B205, ""), "", [1]DataLookUp!$B205)</f>
        <v>25000000000202</v>
      </c>
      <c r="C205" s="38" t="str">
        <f>IF(EXACT(B205, ""), "", VLOOKUP(B205, [1]DataLookUp!$B$4:$C$1000, 2,FALSE ))</f>
        <v>Ikun M. Soedrajat</v>
      </c>
      <c r="D205" s="21"/>
      <c r="E205" s="108"/>
      <c r="G205" s="29">
        <f t="shared" si="6"/>
        <v>32000000000202</v>
      </c>
      <c r="H205" s="30" t="str">
        <f t="shared" si="7"/>
        <v>PERFORM "SchData-OLTP-HumanResource"."Func_TblWorker_SET"(varSystemLoginSession, null::bigint, null::varchar, null::timestamptz, null::timestamptz, null::varchar, varInstitutionBranchID, varBaseCurrencyID, 25000000000202::bigint, null::varchar);</v>
      </c>
    </row>
    <row r="206" spans="2:8" x14ac:dyDescent="0.2">
      <c r="B206" s="37">
        <f>IF(EXACT([1]DataLookUp!$B206, ""), "", [1]DataLookUp!$B206)</f>
        <v>25000000000203</v>
      </c>
      <c r="C206" s="38" t="str">
        <f>IF(EXACT(B206, ""), "", VLOOKUP(B206, [1]DataLookUp!$B$4:$C$1000, 2,FALSE ))</f>
        <v>Ilham Arisyandy</v>
      </c>
      <c r="D206" s="21"/>
      <c r="E206" s="108"/>
      <c r="G206" s="29">
        <f t="shared" si="6"/>
        <v>32000000000203</v>
      </c>
      <c r="H206" s="30" t="str">
        <f t="shared" si="7"/>
        <v>PERFORM "SchData-OLTP-HumanResource"."Func_TblWorker_SET"(varSystemLoginSession, null::bigint, null::varchar, null::timestamptz, null::timestamptz, null::varchar, varInstitutionBranchID, varBaseCurrencyID, 25000000000203::bigint, null::varchar);</v>
      </c>
    </row>
    <row r="207" spans="2:8" x14ac:dyDescent="0.2">
      <c r="B207" s="37">
        <f>IF(EXACT([1]DataLookUp!$B207, ""), "", [1]DataLookUp!$B207)</f>
        <v>25000000000204</v>
      </c>
      <c r="C207" s="38" t="str">
        <f>IF(EXACT(B207, ""), "", VLOOKUP(B207, [1]DataLookUp!$B$4:$C$1000, 2,FALSE ))</f>
        <v>Ilham Akbar</v>
      </c>
      <c r="D207" s="21">
        <v>170217825</v>
      </c>
      <c r="E207" s="108"/>
      <c r="G207" s="29">
        <f t="shared" si="6"/>
        <v>32000000000204</v>
      </c>
      <c r="H207" s="30" t="str">
        <f t="shared" si="7"/>
        <v>PERFORM "SchData-OLTP-HumanResource"."Func_TblWorker_SET"(varSystemLoginSession, null::bigint, null::varchar, null::timestamptz, null::timestamptz, null::varchar, varInstitutionBranchID, varBaseCurrencyID, 25000000000204::bigint, '170217825'::varchar);</v>
      </c>
    </row>
    <row r="208" spans="2:8" x14ac:dyDescent="0.2">
      <c r="B208" s="37">
        <f>IF(EXACT([1]DataLookUp!$B208, ""), "", [1]DataLookUp!$B208)</f>
        <v>25000000000205</v>
      </c>
      <c r="C208" s="38" t="str">
        <f>IF(EXACT(B208, ""), "", VLOOKUP(B208, [1]DataLookUp!$B$4:$C$1000, 2,FALSE ))</f>
        <v>Imam Basuki</v>
      </c>
      <c r="D208" s="21"/>
      <c r="E208" s="108"/>
      <c r="G208" s="29">
        <f t="shared" si="6"/>
        <v>32000000000205</v>
      </c>
      <c r="H208" s="30" t="str">
        <f t="shared" si="7"/>
        <v>PERFORM "SchData-OLTP-HumanResource"."Func_TblWorker_SET"(varSystemLoginSession, null::bigint, null::varchar, null::timestamptz, null::timestamptz, null::varchar, varInstitutionBranchID, varBaseCurrencyID, 25000000000205::bigint, null::varchar);</v>
      </c>
    </row>
    <row r="209" spans="2:8" x14ac:dyDescent="0.2">
      <c r="B209" s="37">
        <f>IF(EXACT([1]DataLookUp!$B209, ""), "", [1]DataLookUp!$B209)</f>
        <v>25000000000206</v>
      </c>
      <c r="C209" s="38" t="str">
        <f>IF(EXACT(B209, ""), "", VLOOKUP(B209, [1]DataLookUp!$B$4:$C$1000, 2,FALSE ))</f>
        <v>Imam Mustofa</v>
      </c>
      <c r="D209" s="21"/>
      <c r="E209" s="108"/>
      <c r="G209" s="29">
        <f t="shared" si="6"/>
        <v>32000000000206</v>
      </c>
      <c r="H209" s="30" t="str">
        <f t="shared" si="7"/>
        <v>PERFORM "SchData-OLTP-HumanResource"."Func_TblWorker_SET"(varSystemLoginSession, null::bigint, null::varchar, null::timestamptz, null::timestamptz, null::varchar, varInstitutionBranchID, varBaseCurrencyID, 25000000000206::bigint, null::varchar);</v>
      </c>
    </row>
    <row r="210" spans="2:8" x14ac:dyDescent="0.2">
      <c r="B210" s="37">
        <f>IF(EXACT([1]DataLookUp!$B210, ""), "", [1]DataLookUp!$B210)</f>
        <v>25000000000207</v>
      </c>
      <c r="C210" s="38" t="str">
        <f>IF(EXACT(B210, ""), "", VLOOKUP(B210, [1]DataLookUp!$B$4:$C$1000, 2,FALSE ))</f>
        <v>Imam Safiiy</v>
      </c>
      <c r="D210" s="21"/>
      <c r="E210" s="108"/>
      <c r="G210" s="29">
        <f t="shared" si="6"/>
        <v>32000000000207</v>
      </c>
      <c r="H210" s="30" t="str">
        <f t="shared" si="7"/>
        <v>PERFORM "SchData-OLTP-HumanResource"."Func_TblWorker_SET"(varSystemLoginSession, null::bigint, null::varchar, null::timestamptz, null::timestamptz, null::varchar, varInstitutionBranchID, varBaseCurrencyID, 25000000000207::bigint, null::varchar);</v>
      </c>
    </row>
    <row r="211" spans="2:8" x14ac:dyDescent="0.2">
      <c r="B211" s="37">
        <f>IF(EXACT([1]DataLookUp!$B211, ""), "", [1]DataLookUp!$B211)</f>
        <v>25000000000208</v>
      </c>
      <c r="C211" s="38" t="str">
        <f>IF(EXACT(B211, ""), "", VLOOKUP(B211, [1]DataLookUp!$B$4:$C$1000, 2,FALSE ))</f>
        <v>Iman Hakiki</v>
      </c>
      <c r="D211" s="21"/>
      <c r="E211" s="108"/>
      <c r="G211" s="29">
        <f t="shared" si="6"/>
        <v>32000000000208</v>
      </c>
      <c r="H211" s="30" t="str">
        <f t="shared" si="7"/>
        <v>PERFORM "SchData-OLTP-HumanResource"."Func_TblWorker_SET"(varSystemLoginSession, null::bigint, null::varchar, null::timestamptz, null::timestamptz, null::varchar, varInstitutionBranchID, varBaseCurrencyID, 25000000000208::bigint, null::varchar);</v>
      </c>
    </row>
    <row r="212" spans="2:8" x14ac:dyDescent="0.2">
      <c r="B212" s="37">
        <f>IF(EXACT([1]DataLookUp!$B212, ""), "", [1]DataLookUp!$B212)</f>
        <v>25000000000209</v>
      </c>
      <c r="C212" s="38" t="str">
        <f>IF(EXACT(B212, ""), "", VLOOKUP(B212, [1]DataLookUp!$B$4:$C$1000, 2,FALSE ))</f>
        <v>Imelda Claudia</v>
      </c>
      <c r="D212" s="21"/>
      <c r="E212" s="108"/>
      <c r="G212" s="29">
        <f t="shared" si="6"/>
        <v>32000000000209</v>
      </c>
      <c r="H212" s="30" t="str">
        <f t="shared" si="7"/>
        <v>PERFORM "SchData-OLTP-HumanResource"."Func_TblWorker_SET"(varSystemLoginSession, null::bigint, null::varchar, null::timestamptz, null::timestamptz, null::varchar, varInstitutionBranchID, varBaseCurrencyID, 25000000000209::bigint, null::varchar);</v>
      </c>
    </row>
    <row r="213" spans="2:8" x14ac:dyDescent="0.2">
      <c r="B213" s="37">
        <f>IF(EXACT([1]DataLookUp!$B213, ""), "", [1]DataLookUp!$B213)</f>
        <v>25000000000210</v>
      </c>
      <c r="C213" s="38" t="str">
        <f>IF(EXACT(B213, ""), "", VLOOKUP(B213, [1]DataLookUp!$B$4:$C$1000, 2,FALSE ))</f>
        <v>Indawan Haryadi</v>
      </c>
      <c r="D213" s="21"/>
      <c r="E213" s="108"/>
      <c r="G213" s="29">
        <f t="shared" si="6"/>
        <v>32000000000210</v>
      </c>
      <c r="H213" s="30" t="str">
        <f t="shared" si="7"/>
        <v>PERFORM "SchData-OLTP-HumanResource"."Func_TblWorker_SET"(varSystemLoginSession, null::bigint, null::varchar, null::timestamptz, null::timestamptz, null::varchar, varInstitutionBranchID, varBaseCurrencyID, 25000000000210::bigint, null::varchar);</v>
      </c>
    </row>
    <row r="214" spans="2:8" x14ac:dyDescent="0.2">
      <c r="B214" s="37">
        <f>IF(EXACT([1]DataLookUp!$B214, ""), "", [1]DataLookUp!$B214)</f>
        <v>25000000000211</v>
      </c>
      <c r="C214" s="38" t="str">
        <f>IF(EXACT(B214, ""), "", VLOOKUP(B214, [1]DataLookUp!$B$4:$C$1000, 2,FALSE ))</f>
        <v>Indra Jaya</v>
      </c>
      <c r="D214" s="21"/>
      <c r="E214" s="108"/>
      <c r="G214" s="29">
        <f t="shared" si="6"/>
        <v>32000000000211</v>
      </c>
      <c r="H214" s="30" t="str">
        <f t="shared" si="7"/>
        <v>PERFORM "SchData-OLTP-HumanResource"."Func_TblWorker_SET"(varSystemLoginSession, null::bigint, null::varchar, null::timestamptz, null::timestamptz, null::varchar, varInstitutionBranchID, varBaseCurrencyID, 25000000000211::bigint, null::varchar);</v>
      </c>
    </row>
    <row r="215" spans="2:8" x14ac:dyDescent="0.2">
      <c r="B215" s="37">
        <f>IF(EXACT([1]DataLookUp!$B215, ""), "", [1]DataLookUp!$B215)</f>
        <v>25000000000212</v>
      </c>
      <c r="C215" s="38" t="str">
        <f>IF(EXACT(B215, ""), "", VLOOKUP(B215, [1]DataLookUp!$B$4:$C$1000, 2,FALSE ))</f>
        <v>Indra Muchtar</v>
      </c>
      <c r="D215" s="21"/>
      <c r="E215" s="108"/>
      <c r="G215" s="29">
        <f t="shared" si="6"/>
        <v>32000000000212</v>
      </c>
      <c r="H215" s="30" t="str">
        <f t="shared" si="7"/>
        <v>PERFORM "SchData-OLTP-HumanResource"."Func_TblWorker_SET"(varSystemLoginSession, null::bigint, null::varchar, null::timestamptz, null::timestamptz, null::varchar, varInstitutionBranchID, varBaseCurrencyID, 25000000000212::bigint, null::varchar);</v>
      </c>
    </row>
    <row r="216" spans="2:8" x14ac:dyDescent="0.2">
      <c r="B216" s="37">
        <f>IF(EXACT([1]DataLookUp!$B216, ""), "", [1]DataLookUp!$B216)</f>
        <v>25000000000213</v>
      </c>
      <c r="C216" s="38" t="str">
        <f>IF(EXACT(B216, ""), "", VLOOKUP(B216, [1]DataLookUp!$B$4:$C$1000, 2,FALSE ))</f>
        <v>Irvan</v>
      </c>
      <c r="D216" s="21"/>
      <c r="E216" s="108"/>
      <c r="G216" s="29">
        <f t="shared" si="6"/>
        <v>32000000000213</v>
      </c>
      <c r="H216" s="30" t="str">
        <f t="shared" si="7"/>
        <v>PERFORM "SchData-OLTP-HumanResource"."Func_TblWorker_SET"(varSystemLoginSession, null::bigint, null::varchar, null::timestamptz, null::timestamptz, null::varchar, varInstitutionBranchID, varBaseCurrencyID, 25000000000213::bigint, null::varchar);</v>
      </c>
    </row>
    <row r="217" spans="2:8" x14ac:dyDescent="0.2">
      <c r="B217" s="37">
        <f>IF(EXACT([1]DataLookUp!$B217, ""), "", [1]DataLookUp!$B217)</f>
        <v>25000000000214</v>
      </c>
      <c r="C217" s="38" t="str">
        <f>IF(EXACT(B217, ""), "", VLOOKUP(B217, [1]DataLookUp!$B$4:$C$1000, 2,FALSE ))</f>
        <v>Irvan Agus Dharma Eka Putra</v>
      </c>
      <c r="D217" s="21" t="s">
        <v>46</v>
      </c>
      <c r="E217" s="108"/>
      <c r="G217" s="29">
        <f t="shared" si="6"/>
        <v>32000000000214</v>
      </c>
      <c r="H217" s="30" t="str">
        <f t="shared" si="7"/>
        <v>PERFORM "SchData-OLTP-HumanResource"."Func_TblWorker_SET"(varSystemLoginSession, null::bigint, null::varchar, null::timestamptz, null::timestamptz, null::varchar, varInstitutionBranchID, varBaseCurrencyID, 25000000000214::bigint, '220221946'::varchar);</v>
      </c>
    </row>
    <row r="218" spans="2:8" x14ac:dyDescent="0.2">
      <c r="B218" s="37">
        <f>IF(EXACT([1]DataLookUp!$B218, ""), "", [1]DataLookUp!$B218)</f>
        <v>25000000000215</v>
      </c>
      <c r="C218" s="38" t="str">
        <f>IF(EXACT(B218, ""), "", VLOOKUP(B218, [1]DataLookUp!$B$4:$C$1000, 2,FALSE ))</f>
        <v>Irwan</v>
      </c>
      <c r="D218" s="21"/>
      <c r="E218" s="108"/>
      <c r="G218" s="29">
        <f t="shared" si="6"/>
        <v>32000000000215</v>
      </c>
      <c r="H218" s="30" t="str">
        <f t="shared" si="7"/>
        <v>PERFORM "SchData-OLTP-HumanResource"."Func_TblWorker_SET"(varSystemLoginSession, null::bigint, null::varchar, null::timestamptz, null::timestamptz, null::varchar, varInstitutionBranchID, varBaseCurrencyID, 25000000000215::bigint, null::varchar);</v>
      </c>
    </row>
    <row r="219" spans="2:8" x14ac:dyDescent="0.2">
      <c r="B219" s="37">
        <f>IF(EXACT([1]DataLookUp!$B219, ""), "", [1]DataLookUp!$B219)</f>
        <v>25000000000216</v>
      </c>
      <c r="C219" s="38" t="str">
        <f>IF(EXACT(B219, ""), "", VLOOKUP(B219, [1]DataLookUp!$B$4:$C$1000, 2,FALSE ))</f>
        <v>Isa Anshori</v>
      </c>
      <c r="D219" s="21"/>
      <c r="E219" s="108"/>
      <c r="G219" s="29">
        <f t="shared" si="6"/>
        <v>32000000000216</v>
      </c>
      <c r="H219" s="30" t="str">
        <f t="shared" si="7"/>
        <v>PERFORM "SchData-OLTP-HumanResource"."Func_TblWorker_SET"(varSystemLoginSession, null::bigint, null::varchar, null::timestamptz, null::timestamptz, null::varchar, varInstitutionBranchID, varBaseCurrencyID, 25000000000216::bigint, null::varchar);</v>
      </c>
    </row>
    <row r="220" spans="2:8" x14ac:dyDescent="0.2">
      <c r="B220" s="37">
        <f>IF(EXACT([1]DataLookUp!$B220, ""), "", [1]DataLookUp!$B220)</f>
        <v>25000000000217</v>
      </c>
      <c r="C220" s="38" t="str">
        <f>IF(EXACT(B220, ""), "", VLOOKUP(B220, [1]DataLookUp!$B$4:$C$1000, 2,FALSE ))</f>
        <v>Isa Taufiq</v>
      </c>
      <c r="D220" s="21">
        <v>150805153</v>
      </c>
      <c r="E220" s="108"/>
      <c r="G220" s="29">
        <f t="shared" si="6"/>
        <v>32000000000217</v>
      </c>
      <c r="H220" s="30" t="str">
        <f t="shared" si="7"/>
        <v>PERFORM "SchData-OLTP-HumanResource"."Func_TblWorker_SET"(varSystemLoginSession, null::bigint, null::varchar, null::timestamptz, null::timestamptz, null::varchar, varInstitutionBranchID, varBaseCurrencyID, 25000000000217::bigint, '150805153'::varchar);</v>
      </c>
    </row>
    <row r="221" spans="2:8" x14ac:dyDescent="0.2">
      <c r="B221" s="37">
        <f>IF(EXACT([1]DataLookUp!$B221, ""), "", [1]DataLookUp!$B221)</f>
        <v>25000000000218</v>
      </c>
      <c r="C221" s="38" t="str">
        <f>IF(EXACT(B221, ""), "", VLOOKUP(B221, [1]DataLookUp!$B$4:$C$1000, 2,FALSE ))</f>
        <v>Iskandarsyah</v>
      </c>
      <c r="D221" s="21"/>
      <c r="E221" s="108"/>
      <c r="G221" s="29">
        <f t="shared" si="6"/>
        <v>32000000000218</v>
      </c>
      <c r="H221" s="30" t="str">
        <f t="shared" si="7"/>
        <v>PERFORM "SchData-OLTP-HumanResource"."Func_TblWorker_SET"(varSystemLoginSession, null::bigint, null::varchar, null::timestamptz, null::timestamptz, null::varchar, varInstitutionBranchID, varBaseCurrencyID, 25000000000218::bigint, null::varchar);</v>
      </c>
    </row>
    <row r="222" spans="2:8" x14ac:dyDescent="0.2">
      <c r="B222" s="37">
        <f>IF(EXACT([1]DataLookUp!$B222, ""), "", [1]DataLookUp!$B222)</f>
        <v>25000000000219</v>
      </c>
      <c r="C222" s="38" t="str">
        <f>IF(EXACT(B222, ""), "", VLOOKUP(B222, [1]DataLookUp!$B$4:$C$1000, 2,FALSE ))</f>
        <v>Istanto Istanto</v>
      </c>
      <c r="D222" s="21"/>
      <c r="E222" s="108"/>
      <c r="G222" s="29">
        <f t="shared" si="6"/>
        <v>32000000000219</v>
      </c>
      <c r="H222" s="30" t="str">
        <f t="shared" si="7"/>
        <v>PERFORM "SchData-OLTP-HumanResource"."Func_TblWorker_SET"(varSystemLoginSession, null::bigint, null::varchar, null::timestamptz, null::timestamptz, null::varchar, varInstitutionBranchID, varBaseCurrencyID, 25000000000219::bigint, null::varchar);</v>
      </c>
    </row>
    <row r="223" spans="2:8" x14ac:dyDescent="0.2">
      <c r="B223" s="37">
        <f>IF(EXACT([1]DataLookUp!$B223, ""), "", [1]DataLookUp!$B223)</f>
        <v>25000000000220</v>
      </c>
      <c r="C223" s="38" t="str">
        <f>IF(EXACT(B223, ""), "", VLOOKUP(B223, [1]DataLookUp!$B$4:$C$1000, 2,FALSE ))</f>
        <v>Iswahyuni</v>
      </c>
      <c r="D223" s="21"/>
      <c r="E223" s="108"/>
      <c r="G223" s="29">
        <f t="shared" si="6"/>
        <v>32000000000220</v>
      </c>
      <c r="H223" s="30" t="str">
        <f t="shared" si="7"/>
        <v>PERFORM "SchData-OLTP-HumanResource"."Func_TblWorker_SET"(varSystemLoginSession, null::bigint, null::varchar, null::timestamptz, null::timestamptz, null::varchar, varInstitutionBranchID, varBaseCurrencyID, 25000000000220::bigint, null::varchar);</v>
      </c>
    </row>
    <row r="224" spans="2:8" x14ac:dyDescent="0.2">
      <c r="B224" s="37">
        <f>IF(EXACT([1]DataLookUp!$B224, ""), "", [1]DataLookUp!$B224)</f>
        <v>25000000000221</v>
      </c>
      <c r="C224" s="38" t="str">
        <f>IF(EXACT(B224, ""), "", VLOOKUP(B224, [1]DataLookUp!$B$4:$C$1000, 2,FALSE ))</f>
        <v>Iva Nurvahayati</v>
      </c>
      <c r="D224" s="21"/>
      <c r="E224" s="108"/>
      <c r="G224" s="29">
        <f t="shared" si="6"/>
        <v>32000000000221</v>
      </c>
      <c r="H224" s="30" t="str">
        <f t="shared" si="7"/>
        <v>PERFORM "SchData-OLTP-HumanResource"."Func_TblWorker_SET"(varSystemLoginSession, null::bigint, null::varchar, null::timestamptz, null::timestamptz, null::varchar, varInstitutionBranchID, varBaseCurrencyID, 25000000000221::bigint, null::varchar);</v>
      </c>
    </row>
    <row r="225" spans="2:8" x14ac:dyDescent="0.2">
      <c r="B225" s="37">
        <f>IF(EXACT([1]DataLookUp!$B225, ""), "", [1]DataLookUp!$B225)</f>
        <v>25000000000222</v>
      </c>
      <c r="C225" s="38" t="str">
        <f>IF(EXACT(B225, ""), "", VLOOKUP(B225, [1]DataLookUp!$B$4:$C$1000, 2,FALSE ))</f>
        <v>Iwan Setiawan</v>
      </c>
      <c r="D225" s="21"/>
      <c r="E225" s="108"/>
      <c r="G225" s="29">
        <f t="shared" si="6"/>
        <v>32000000000222</v>
      </c>
      <c r="H225" s="30" t="str">
        <f t="shared" si="7"/>
        <v>PERFORM "SchData-OLTP-HumanResource"."Func_TblWorker_SET"(varSystemLoginSession, null::bigint, null::varchar, null::timestamptz, null::timestamptz, null::varchar, varInstitutionBranchID, varBaseCurrencyID, 25000000000222::bigint, null::varchar);</v>
      </c>
    </row>
    <row r="226" spans="2:8" x14ac:dyDescent="0.2">
      <c r="B226" s="37">
        <f>IF(EXACT([1]DataLookUp!$B226, ""), "", [1]DataLookUp!$B226)</f>
        <v>25000000000223</v>
      </c>
      <c r="C226" s="38" t="str">
        <f>IF(EXACT(B226, ""), "", VLOOKUP(B226, [1]DataLookUp!$B$4:$C$1000, 2,FALSE ))</f>
        <v>Iwan Sumantri</v>
      </c>
      <c r="D226" s="21"/>
      <c r="E226" s="108"/>
      <c r="G226" s="29">
        <f t="shared" si="6"/>
        <v>32000000000223</v>
      </c>
      <c r="H226" s="30" t="str">
        <f t="shared" si="7"/>
        <v>PERFORM "SchData-OLTP-HumanResource"."Func_TblWorker_SET"(varSystemLoginSession, null::bigint, null::varchar, null::timestamptz, null::timestamptz, null::varchar, varInstitutionBranchID, varBaseCurrencyID, 25000000000223::bigint, null::varchar);</v>
      </c>
    </row>
    <row r="227" spans="2:8" x14ac:dyDescent="0.2">
      <c r="B227" s="37">
        <f>IF(EXACT([1]DataLookUp!$B227, ""), "", [1]DataLookUp!$B227)</f>
        <v>25000000000224</v>
      </c>
      <c r="C227" s="38" t="str">
        <f>IF(EXACT(B227, ""), "", VLOOKUP(B227, [1]DataLookUp!$B$4:$C$1000, 2,FALSE ))</f>
        <v>Iwan Wibawa</v>
      </c>
      <c r="D227" s="21"/>
      <c r="E227" s="108"/>
      <c r="G227" s="29">
        <f t="shared" si="6"/>
        <v>32000000000224</v>
      </c>
      <c r="H227" s="30" t="str">
        <f t="shared" si="7"/>
        <v>PERFORM "SchData-OLTP-HumanResource"."Func_TblWorker_SET"(varSystemLoginSession, null::bigint, null::varchar, null::timestamptz, null::timestamptz, null::varchar, varInstitutionBranchID, varBaseCurrencyID, 25000000000224::bigint, null::varchar);</v>
      </c>
    </row>
    <row r="228" spans="2:8" x14ac:dyDescent="0.2">
      <c r="B228" s="37">
        <f>IF(EXACT([1]DataLookUp!$B228, ""), "", [1]DataLookUp!$B228)</f>
        <v>25000000000225</v>
      </c>
      <c r="C228" s="38" t="str">
        <f>IF(EXACT(B228, ""), "", VLOOKUP(B228, [1]DataLookUp!$B$4:$C$1000, 2,FALSE ))</f>
        <v>Iyus Darwin</v>
      </c>
      <c r="D228" s="21"/>
      <c r="E228" s="108"/>
      <c r="G228" s="29">
        <f t="shared" si="6"/>
        <v>32000000000225</v>
      </c>
      <c r="H228" s="30" t="str">
        <f t="shared" si="7"/>
        <v>PERFORM "SchData-OLTP-HumanResource"."Func_TblWorker_SET"(varSystemLoginSession, null::bigint, null::varchar, null::timestamptz, null::timestamptz, null::varchar, varInstitutionBranchID, varBaseCurrencyID, 25000000000225::bigint, null::varchar);</v>
      </c>
    </row>
    <row r="229" spans="2:8" x14ac:dyDescent="0.2">
      <c r="B229" s="37">
        <f>IF(EXACT([1]DataLookUp!$B229, ""), "", [1]DataLookUp!$B229)</f>
        <v>25000000000226</v>
      </c>
      <c r="C229" s="38" t="str">
        <f>IF(EXACT(B229, ""), "", VLOOKUP(B229, [1]DataLookUp!$B$4:$C$1000, 2,FALSE ))</f>
        <v>Jaenudin</v>
      </c>
      <c r="D229" s="21"/>
      <c r="E229" s="108"/>
      <c r="G229" s="29">
        <f t="shared" si="6"/>
        <v>32000000000226</v>
      </c>
      <c r="H229" s="30" t="str">
        <f t="shared" si="7"/>
        <v>PERFORM "SchData-OLTP-HumanResource"."Func_TblWorker_SET"(varSystemLoginSession, null::bigint, null::varchar, null::timestamptz, null::timestamptz, null::varchar, varInstitutionBranchID, varBaseCurrencyID, 25000000000226::bigint, null::varchar);</v>
      </c>
    </row>
    <row r="230" spans="2:8" x14ac:dyDescent="0.2">
      <c r="B230" s="37">
        <f>IF(EXACT([1]DataLookUp!$B230, ""), "", [1]DataLookUp!$B230)</f>
        <v>25000000000227</v>
      </c>
      <c r="C230" s="38" t="str">
        <f>IF(EXACT(B230, ""), "", VLOOKUP(B230, [1]DataLookUp!$B$4:$C$1000, 2,FALSE ))</f>
        <v>Jaruli Samosir</v>
      </c>
      <c r="D230" s="21"/>
      <c r="E230" s="108"/>
      <c r="G230" s="29">
        <f t="shared" si="6"/>
        <v>32000000000227</v>
      </c>
      <c r="H230" s="30" t="str">
        <f t="shared" si="7"/>
        <v>PERFORM "SchData-OLTP-HumanResource"."Func_TblWorker_SET"(varSystemLoginSession, null::bigint, null::varchar, null::timestamptz, null::timestamptz, null::varchar, varInstitutionBranchID, varBaseCurrencyID, 25000000000227::bigint, null::varchar);</v>
      </c>
    </row>
    <row r="231" spans="2:8" x14ac:dyDescent="0.2">
      <c r="B231" s="37">
        <f>IF(EXACT([1]DataLookUp!$B231, ""), "", [1]DataLookUp!$B231)</f>
        <v>25000000000228</v>
      </c>
      <c r="C231" s="38" t="str">
        <f>IF(EXACT(B231, ""), "", VLOOKUP(B231, [1]DataLookUp!$B$4:$C$1000, 2,FALSE ))</f>
        <v>Jaya Ganef</v>
      </c>
      <c r="D231" s="21"/>
      <c r="E231" s="108"/>
      <c r="G231" s="29">
        <f t="shared" si="6"/>
        <v>32000000000228</v>
      </c>
      <c r="H231" s="30" t="str">
        <f t="shared" si="7"/>
        <v>PERFORM "SchData-OLTP-HumanResource"."Func_TblWorker_SET"(varSystemLoginSession, null::bigint, null::varchar, null::timestamptz, null::timestamptz, null::varchar, varInstitutionBranchID, varBaseCurrencyID, 25000000000228::bigint, null::varchar);</v>
      </c>
    </row>
    <row r="232" spans="2:8" x14ac:dyDescent="0.2">
      <c r="B232" s="37">
        <f>IF(EXACT([1]DataLookUp!$B232, ""), "", [1]DataLookUp!$B232)</f>
        <v>25000000000229</v>
      </c>
      <c r="C232" s="38" t="str">
        <f>IF(EXACT(B232, ""), "", VLOOKUP(B232, [1]DataLookUp!$B$4:$C$1000, 2,FALSE ))</f>
        <v>Jaya Sitepu</v>
      </c>
      <c r="D232" s="21"/>
      <c r="E232" s="108"/>
      <c r="G232" s="29">
        <f t="shared" si="6"/>
        <v>32000000000229</v>
      </c>
      <c r="H232" s="30" t="str">
        <f t="shared" si="7"/>
        <v>PERFORM "SchData-OLTP-HumanResource"."Func_TblWorker_SET"(varSystemLoginSession, null::bigint, null::varchar, null::timestamptz, null::timestamptz, null::varchar, varInstitutionBranchID, varBaseCurrencyID, 25000000000229::bigint, null::varchar);</v>
      </c>
    </row>
    <row r="233" spans="2:8" x14ac:dyDescent="0.2">
      <c r="B233" s="37">
        <f>IF(EXACT([1]DataLookUp!$B233, ""), "", [1]DataLookUp!$B233)</f>
        <v>25000000000230</v>
      </c>
      <c r="C233" s="38" t="str">
        <f>IF(EXACT(B233, ""), "", VLOOKUP(B233, [1]DataLookUp!$B$4:$C$1000, 2,FALSE ))</f>
        <v>Jeefrianda H. P. Sigalingging</v>
      </c>
      <c r="D233" s="21"/>
      <c r="E233" s="108"/>
      <c r="G233" s="29">
        <f t="shared" si="6"/>
        <v>32000000000230</v>
      </c>
      <c r="H233" s="30" t="str">
        <f t="shared" si="7"/>
        <v>PERFORM "SchData-OLTP-HumanResource"."Func_TblWorker_SET"(varSystemLoginSession, null::bigint, null::varchar, null::timestamptz, null::timestamptz, null::varchar, varInstitutionBranchID, varBaseCurrencyID, 25000000000230::bigint, null::varchar);</v>
      </c>
    </row>
    <row r="234" spans="2:8" x14ac:dyDescent="0.2">
      <c r="B234" s="37">
        <f>IF(EXACT([1]DataLookUp!$B234, ""), "", [1]DataLookUp!$B234)</f>
        <v>25000000000231</v>
      </c>
      <c r="C234" s="38" t="str">
        <f>IF(EXACT(B234, ""), "", VLOOKUP(B234, [1]DataLookUp!$B$4:$C$1000, 2,FALSE ))</f>
        <v>Jerry Djajasaputra</v>
      </c>
      <c r="D234" s="21"/>
      <c r="E234" s="108"/>
      <c r="G234" s="29">
        <f t="shared" si="6"/>
        <v>32000000000231</v>
      </c>
      <c r="H234" s="30" t="str">
        <f t="shared" si="7"/>
        <v>PERFORM "SchData-OLTP-HumanResource"."Func_TblWorker_SET"(varSystemLoginSession, null::bigint, null::varchar, null::timestamptz, null::timestamptz, null::varchar, varInstitutionBranchID, varBaseCurrencyID, 25000000000231::bigint, null::varchar);</v>
      </c>
    </row>
    <row r="235" spans="2:8" x14ac:dyDescent="0.2">
      <c r="B235" s="37">
        <f>IF(EXACT([1]DataLookUp!$B235, ""), "", [1]DataLookUp!$B235)</f>
        <v>25000000000232</v>
      </c>
      <c r="C235" s="38" t="str">
        <f>IF(EXACT(B235, ""), "", VLOOKUP(B235, [1]DataLookUp!$B$4:$C$1000, 2,FALSE ))</f>
        <v>Jimmywal</v>
      </c>
      <c r="D235" s="21" t="s">
        <v>22</v>
      </c>
      <c r="E235" s="108"/>
      <c r="G235" s="29">
        <f t="shared" si="6"/>
        <v>32000000000232</v>
      </c>
      <c r="H235" s="30" t="str">
        <f t="shared" si="7"/>
        <v>PERFORM "SchData-OLTP-HumanResource"."Func_TblWorker_SET"(varSystemLoginSession, null::bigint, null::varchar, null::timestamptz, null::timestamptz, null::varchar, varInstitutionBranchID, varBaseCurrencyID, 25000000000232::bigint, '040515767'::varchar);</v>
      </c>
    </row>
    <row r="236" spans="2:8" x14ac:dyDescent="0.2">
      <c r="B236" s="37">
        <f>IF(EXACT([1]DataLookUp!$B236, ""), "", [1]DataLookUp!$B236)</f>
        <v>25000000000233</v>
      </c>
      <c r="C236" s="38" t="str">
        <f>IF(EXACT(B236, ""), "", VLOOKUP(B236, [1]DataLookUp!$B$4:$C$1000, 2,FALSE ))</f>
        <v>Jodie Satria</v>
      </c>
      <c r="D236" s="21"/>
      <c r="E236" s="108"/>
      <c r="G236" s="29">
        <f t="shared" si="6"/>
        <v>32000000000233</v>
      </c>
      <c r="H236" s="30" t="str">
        <f t="shared" si="7"/>
        <v>PERFORM "SchData-OLTP-HumanResource"."Func_TblWorker_SET"(varSystemLoginSession, null::bigint, null::varchar, null::timestamptz, null::timestamptz, null::varchar, varInstitutionBranchID, varBaseCurrencyID, 25000000000233::bigint, null::varchar);</v>
      </c>
    </row>
    <row r="237" spans="2:8" x14ac:dyDescent="0.2">
      <c r="B237" s="37">
        <f>IF(EXACT([1]DataLookUp!$B237, ""), "", [1]DataLookUp!$B237)</f>
        <v>25000000000234</v>
      </c>
      <c r="C237" s="38" t="str">
        <f>IF(EXACT(B237, ""), "", VLOOKUP(B237, [1]DataLookUp!$B$4:$C$1000, 2,FALSE ))</f>
        <v>Johannes Silalahi</v>
      </c>
      <c r="D237" s="21"/>
      <c r="E237" s="108"/>
      <c r="G237" s="29">
        <f t="shared" si="6"/>
        <v>32000000000234</v>
      </c>
      <c r="H237" s="30" t="str">
        <f t="shared" si="7"/>
        <v>PERFORM "SchData-OLTP-HumanResource"."Func_TblWorker_SET"(varSystemLoginSession, null::bigint, null::varchar, null::timestamptz, null::timestamptz, null::varchar, varInstitutionBranchID, varBaseCurrencyID, 25000000000234::bigint, null::varchar);</v>
      </c>
    </row>
    <row r="238" spans="2:8" x14ac:dyDescent="0.2">
      <c r="B238" s="37">
        <f>IF(EXACT([1]DataLookUp!$B238, ""), "", [1]DataLookUp!$B238)</f>
        <v>25000000000235</v>
      </c>
      <c r="C238" s="38" t="str">
        <f>IF(EXACT(B238, ""), "", VLOOKUP(B238, [1]DataLookUp!$B$4:$C$1000, 2,FALSE ))</f>
        <v>Joko Wiyono</v>
      </c>
      <c r="D238" s="21"/>
      <c r="E238" s="108"/>
      <c r="G238" s="29">
        <f t="shared" si="6"/>
        <v>32000000000235</v>
      </c>
      <c r="H238" s="30" t="str">
        <f t="shared" si="7"/>
        <v>PERFORM "SchData-OLTP-HumanResource"."Func_TblWorker_SET"(varSystemLoginSession, null::bigint, null::varchar, null::timestamptz, null::timestamptz, null::varchar, varInstitutionBranchID, varBaseCurrencyID, 25000000000235::bigint, null::varchar);</v>
      </c>
    </row>
    <row r="239" spans="2:8" x14ac:dyDescent="0.2">
      <c r="B239" s="37">
        <f>IF(EXACT([1]DataLookUp!$B239, ""), "", [1]DataLookUp!$B239)</f>
        <v>25000000000236</v>
      </c>
      <c r="C239" s="38" t="str">
        <f>IF(EXACT(B239, ""), "", VLOOKUP(B239, [1]DataLookUp!$B$4:$C$1000, 2,FALSE ))</f>
        <v>Jondril Hantoni</v>
      </c>
      <c r="D239" s="21"/>
      <c r="E239" s="108"/>
      <c r="G239" s="29">
        <f t="shared" si="6"/>
        <v>32000000000236</v>
      </c>
      <c r="H239" s="30" t="str">
        <f t="shared" si="7"/>
        <v>PERFORM "SchData-OLTP-HumanResource"."Func_TblWorker_SET"(varSystemLoginSession, null::bigint, null::varchar, null::timestamptz, null::timestamptz, null::varchar, varInstitutionBranchID, varBaseCurrencyID, 25000000000236::bigint, null::varchar);</v>
      </c>
    </row>
    <row r="240" spans="2:8" x14ac:dyDescent="0.2">
      <c r="B240" s="37">
        <f>IF(EXACT([1]DataLookUp!$B240, ""), "", [1]DataLookUp!$B240)</f>
        <v>25000000000237</v>
      </c>
      <c r="C240" s="38" t="str">
        <f>IF(EXACT(B240, ""), "", VLOOKUP(B240, [1]DataLookUp!$B$4:$C$1000, 2,FALSE ))</f>
        <v>Jonhar Aziz</v>
      </c>
      <c r="D240" s="21"/>
      <c r="E240" s="108"/>
      <c r="G240" s="29">
        <f t="shared" si="6"/>
        <v>32000000000237</v>
      </c>
      <c r="H240" s="30" t="str">
        <f t="shared" si="7"/>
        <v>PERFORM "SchData-OLTP-HumanResource"."Func_TblWorker_SET"(varSystemLoginSession, null::bigint, null::varchar, null::timestamptz, null::timestamptz, null::varchar, varInstitutionBranchID, varBaseCurrencyID, 25000000000237::bigint, null::varchar);</v>
      </c>
    </row>
    <row r="241" spans="2:8" x14ac:dyDescent="0.2">
      <c r="B241" s="37">
        <f>IF(EXACT([1]DataLookUp!$B241, ""), "", [1]DataLookUp!$B241)</f>
        <v>25000000000238</v>
      </c>
      <c r="C241" s="38" t="str">
        <f>IF(EXACT(B241, ""), "", VLOOKUP(B241, [1]DataLookUp!$B$4:$C$1000, 2,FALSE ))</f>
        <v>Juan Talitha</v>
      </c>
      <c r="D241" s="21"/>
      <c r="E241" s="108"/>
      <c r="G241" s="29">
        <f t="shared" si="6"/>
        <v>32000000000238</v>
      </c>
      <c r="H241" s="30" t="str">
        <f t="shared" si="7"/>
        <v>PERFORM "SchData-OLTP-HumanResource"."Func_TblWorker_SET"(varSystemLoginSession, null::bigint, null::varchar, null::timestamptz, null::timestamptz, null::varchar, varInstitutionBranchID, varBaseCurrencyID, 25000000000238::bigint, null::varchar);</v>
      </c>
    </row>
    <row r="242" spans="2:8" x14ac:dyDescent="0.2">
      <c r="B242" s="37">
        <f>IF(EXACT([1]DataLookUp!$B242, ""), "", [1]DataLookUp!$B242)</f>
        <v>25000000000239</v>
      </c>
      <c r="C242" s="38" t="str">
        <f>IF(EXACT(B242, ""), "", VLOOKUP(B242, [1]DataLookUp!$B$4:$C$1000, 2,FALSE ))</f>
        <v>Juharja Juharja</v>
      </c>
      <c r="D242" s="21"/>
      <c r="E242" s="108"/>
      <c r="G242" s="29">
        <f t="shared" si="6"/>
        <v>32000000000239</v>
      </c>
      <c r="H242" s="30" t="str">
        <f t="shared" si="7"/>
        <v>PERFORM "SchData-OLTP-HumanResource"."Func_TblWorker_SET"(varSystemLoginSession, null::bigint, null::varchar, null::timestamptz, null::timestamptz, null::varchar, varInstitutionBranchID, varBaseCurrencyID, 25000000000239::bigint, null::varchar);</v>
      </c>
    </row>
    <row r="243" spans="2:8" x14ac:dyDescent="0.2">
      <c r="B243" s="37">
        <f>IF(EXACT([1]DataLookUp!$B243, ""), "", [1]DataLookUp!$B243)</f>
        <v>25000000000240</v>
      </c>
      <c r="C243" s="38" t="str">
        <f>IF(EXACT(B243, ""), "", VLOOKUP(B243, [1]DataLookUp!$B$4:$C$1000, 2,FALSE ))</f>
        <v>Juminar</v>
      </c>
      <c r="D243" s="21"/>
      <c r="E243" s="108"/>
      <c r="G243" s="29">
        <f t="shared" si="6"/>
        <v>32000000000240</v>
      </c>
      <c r="H243" s="30" t="str">
        <f t="shared" si="7"/>
        <v>PERFORM "SchData-OLTP-HumanResource"."Func_TblWorker_SET"(varSystemLoginSession, null::bigint, null::varchar, null::timestamptz, null::timestamptz, null::varchar, varInstitutionBranchID, varBaseCurrencyID, 25000000000240::bigint, null::varchar);</v>
      </c>
    </row>
    <row r="244" spans="2:8" x14ac:dyDescent="0.2">
      <c r="B244" s="37">
        <f>IF(EXACT([1]DataLookUp!$B244, ""), "", [1]DataLookUp!$B244)</f>
        <v>25000000000241</v>
      </c>
      <c r="C244" s="38" t="str">
        <f>IF(EXACT(B244, ""), "", VLOOKUP(B244, [1]DataLookUp!$B$4:$C$1000, 2,FALSE ))</f>
        <v>Jumino</v>
      </c>
      <c r="D244" s="21"/>
      <c r="E244" s="108"/>
      <c r="G244" s="29">
        <f t="shared" si="6"/>
        <v>32000000000241</v>
      </c>
      <c r="H244" s="30" t="str">
        <f t="shared" si="7"/>
        <v>PERFORM "SchData-OLTP-HumanResource"."Func_TblWorker_SET"(varSystemLoginSession, null::bigint, null::varchar, null::timestamptz, null::timestamptz, null::varchar, varInstitutionBranchID, varBaseCurrencyID, 25000000000241::bigint, null::varchar);</v>
      </c>
    </row>
    <row r="245" spans="2:8" x14ac:dyDescent="0.2">
      <c r="B245" s="37">
        <f>IF(EXACT([1]DataLookUp!$B245, ""), "", [1]DataLookUp!$B245)</f>
        <v>25000000000242</v>
      </c>
      <c r="C245" s="38" t="str">
        <f>IF(EXACT(B245, ""), "", VLOOKUP(B245, [1]DataLookUp!$B$4:$C$1000, 2,FALSE ))</f>
        <v>Junaedi</v>
      </c>
      <c r="D245" s="21"/>
      <c r="E245" s="108"/>
      <c r="G245" s="29">
        <f t="shared" si="6"/>
        <v>32000000000242</v>
      </c>
      <c r="H245" s="30" t="str">
        <f t="shared" si="7"/>
        <v>PERFORM "SchData-OLTP-HumanResource"."Func_TblWorker_SET"(varSystemLoginSession, null::bigint, null::varchar, null::timestamptz, null::timestamptz, null::varchar, varInstitutionBranchID, varBaseCurrencyID, 25000000000242::bigint, null::varchar);</v>
      </c>
    </row>
    <row r="246" spans="2:8" x14ac:dyDescent="0.2">
      <c r="B246" s="37">
        <f>IF(EXACT([1]DataLookUp!$B246, ""), "", [1]DataLookUp!$B246)</f>
        <v>25000000000243</v>
      </c>
      <c r="C246" s="38" t="str">
        <f>IF(EXACT(B246, ""), "", VLOOKUP(B246, [1]DataLookUp!$B$4:$C$1000, 2,FALSE ))</f>
        <v>Junaidi</v>
      </c>
      <c r="D246" s="21"/>
      <c r="E246" s="108"/>
      <c r="G246" s="29">
        <f t="shared" si="6"/>
        <v>32000000000243</v>
      </c>
      <c r="H246" s="30" t="str">
        <f t="shared" si="7"/>
        <v>PERFORM "SchData-OLTP-HumanResource"."Func_TblWorker_SET"(varSystemLoginSession, null::bigint, null::varchar, null::timestamptz, null::timestamptz, null::varchar, varInstitutionBranchID, varBaseCurrencyID, 25000000000243::bigint, null::varchar);</v>
      </c>
    </row>
    <row r="247" spans="2:8" x14ac:dyDescent="0.2">
      <c r="B247" s="37">
        <f>IF(EXACT([1]DataLookUp!$B247, ""), "", [1]DataLookUp!$B247)</f>
        <v>25000000000244</v>
      </c>
      <c r="C247" s="38" t="str">
        <f>IF(EXACT(B247, ""), "", VLOOKUP(B247, [1]DataLookUp!$B$4:$C$1000, 2,FALSE ))</f>
        <v>Jusuf Bobby Putra</v>
      </c>
      <c r="D247" s="21"/>
      <c r="E247" s="108"/>
      <c r="G247" s="29">
        <f t="shared" si="6"/>
        <v>32000000000244</v>
      </c>
      <c r="H247" s="30" t="str">
        <f t="shared" si="7"/>
        <v>PERFORM "SchData-OLTP-HumanResource"."Func_TblWorker_SET"(varSystemLoginSession, null::bigint, null::varchar, null::timestamptz, null::timestamptz, null::varchar, varInstitutionBranchID, varBaseCurrencyID, 25000000000244::bigint, null::varchar);</v>
      </c>
    </row>
    <row r="248" spans="2:8" x14ac:dyDescent="0.2">
      <c r="B248" s="37">
        <f>IF(EXACT([1]DataLookUp!$B248, ""), "", [1]DataLookUp!$B248)</f>
        <v>25000000000245</v>
      </c>
      <c r="C248" s="38" t="str">
        <f>IF(EXACT(B248, ""), "", VLOOKUP(B248, [1]DataLookUp!$B$4:$C$1000, 2,FALSE ))</f>
        <v>Jusuf Gandi</v>
      </c>
      <c r="D248" s="21"/>
      <c r="E248" s="108"/>
      <c r="G248" s="29">
        <f t="shared" si="6"/>
        <v>32000000000245</v>
      </c>
      <c r="H248" s="30" t="str">
        <f t="shared" si="7"/>
        <v>PERFORM "SchData-OLTP-HumanResource"."Func_TblWorker_SET"(varSystemLoginSession, null::bigint, null::varchar, null::timestamptz, null::timestamptz, null::varchar, varInstitutionBranchID, varBaseCurrencyID, 25000000000245::bigint, null::varchar);</v>
      </c>
    </row>
    <row r="249" spans="2:8" x14ac:dyDescent="0.2">
      <c r="B249" s="37">
        <f>IF(EXACT([1]DataLookUp!$B249, ""), "", [1]DataLookUp!$B249)</f>
        <v>25000000000246</v>
      </c>
      <c r="C249" s="38" t="str">
        <f>IF(EXACT(B249, ""), "", VLOOKUP(B249, [1]DataLookUp!$B$4:$C$1000, 2,FALSE ))</f>
        <v>Kahar Triyono</v>
      </c>
      <c r="D249" s="21"/>
      <c r="E249" s="108"/>
      <c r="G249" s="29">
        <f t="shared" si="6"/>
        <v>32000000000246</v>
      </c>
      <c r="H249" s="30" t="str">
        <f t="shared" si="7"/>
        <v>PERFORM "SchData-OLTP-HumanResource"."Func_TblWorker_SET"(varSystemLoginSession, null::bigint, null::varchar, null::timestamptz, null::timestamptz, null::varchar, varInstitutionBranchID, varBaseCurrencyID, 25000000000246::bigint, null::varchar);</v>
      </c>
    </row>
    <row r="250" spans="2:8" x14ac:dyDescent="0.2">
      <c r="B250" s="37">
        <f>IF(EXACT([1]DataLookUp!$B250, ""), "", [1]DataLookUp!$B250)</f>
        <v>25000000000247</v>
      </c>
      <c r="C250" s="38" t="str">
        <f>IF(EXACT(B250, ""), "", VLOOKUP(B250, [1]DataLookUp!$B$4:$C$1000, 2,FALSE ))</f>
        <v>Keila</v>
      </c>
      <c r="D250" s="21"/>
      <c r="E250" s="108"/>
      <c r="G250" s="29">
        <f t="shared" si="6"/>
        <v>32000000000247</v>
      </c>
      <c r="H250" s="30" t="str">
        <f t="shared" si="7"/>
        <v>PERFORM "SchData-OLTP-HumanResource"."Func_TblWorker_SET"(varSystemLoginSession, null::bigint, null::varchar, null::timestamptz, null::timestamptz, null::varchar, varInstitutionBranchID, varBaseCurrencyID, 25000000000247::bigint, null::varchar);</v>
      </c>
    </row>
    <row r="251" spans="2:8" x14ac:dyDescent="0.2">
      <c r="B251" s="37">
        <f>IF(EXACT([1]DataLookUp!$B251, ""), "", [1]DataLookUp!$B251)</f>
        <v>25000000000248</v>
      </c>
      <c r="C251" s="38" t="str">
        <f>IF(EXACT(B251, ""), "", VLOOKUP(B251, [1]DataLookUp!$B$4:$C$1000, 2,FALSE ))</f>
        <v>Kendra Daniswara</v>
      </c>
      <c r="D251" s="21"/>
      <c r="E251" s="108"/>
      <c r="G251" s="29">
        <f t="shared" si="6"/>
        <v>32000000000248</v>
      </c>
      <c r="H251" s="30" t="str">
        <f t="shared" si="7"/>
        <v>PERFORM "SchData-OLTP-HumanResource"."Func_TblWorker_SET"(varSystemLoginSession, null::bigint, null::varchar, null::timestamptz, null::timestamptz, null::varchar, varInstitutionBranchID, varBaseCurrencyID, 25000000000248::bigint, null::varchar);</v>
      </c>
    </row>
    <row r="252" spans="2:8" x14ac:dyDescent="0.2">
      <c r="B252" s="37">
        <f>IF(EXACT([1]DataLookUp!$B252, ""), "", [1]DataLookUp!$B252)</f>
        <v>25000000000249</v>
      </c>
      <c r="C252" s="38" t="str">
        <f>IF(EXACT(B252, ""), "", VLOOKUP(B252, [1]DataLookUp!$B$4:$C$1000, 2,FALSE ))</f>
        <v>Kevin Henokh Tambunan</v>
      </c>
      <c r="D252" s="21"/>
      <c r="E252" s="108"/>
      <c r="G252" s="29">
        <f t="shared" si="6"/>
        <v>32000000000249</v>
      </c>
      <c r="H252" s="30" t="str">
        <f t="shared" si="7"/>
        <v>PERFORM "SchData-OLTP-HumanResource"."Func_TblWorker_SET"(varSystemLoginSession, null::bigint, null::varchar, null::timestamptz, null::timestamptz, null::varchar, varInstitutionBranchID, varBaseCurrencyID, 25000000000249::bigint, null::varchar);</v>
      </c>
    </row>
    <row r="253" spans="2:8" x14ac:dyDescent="0.2">
      <c r="B253" s="37">
        <f>IF(EXACT([1]DataLookUp!$B253, ""), "", [1]DataLookUp!$B253)</f>
        <v>25000000000250</v>
      </c>
      <c r="C253" s="38" t="str">
        <f>IF(EXACT(B253, ""), "", VLOOKUP(B253, [1]DataLookUp!$B$4:$C$1000, 2,FALSE ))</f>
        <v>Khafid Fahrurrozi</v>
      </c>
      <c r="D253" s="21"/>
      <c r="E253" s="108"/>
      <c r="G253" s="29">
        <f t="shared" si="6"/>
        <v>32000000000250</v>
      </c>
      <c r="H253" s="30" t="str">
        <f t="shared" si="7"/>
        <v>PERFORM "SchData-OLTP-HumanResource"."Func_TblWorker_SET"(varSystemLoginSession, null::bigint, null::varchar, null::timestamptz, null::timestamptz, null::varchar, varInstitutionBranchID, varBaseCurrencyID, 25000000000250::bigint, null::varchar);</v>
      </c>
    </row>
    <row r="254" spans="2:8" x14ac:dyDescent="0.2">
      <c r="B254" s="37">
        <f>IF(EXACT([1]DataLookUp!$B254, ""), "", [1]DataLookUp!$B254)</f>
        <v>25000000000251</v>
      </c>
      <c r="C254" s="38" t="str">
        <f>IF(EXACT(B254, ""), "", VLOOKUP(B254, [1]DataLookUp!$B$4:$C$1000, 2,FALSE ))</f>
        <v>Kholik</v>
      </c>
      <c r="D254" s="21"/>
      <c r="E254" s="108"/>
      <c r="G254" s="29">
        <f t="shared" si="6"/>
        <v>32000000000251</v>
      </c>
      <c r="H254" s="30" t="str">
        <f t="shared" si="7"/>
        <v>PERFORM "SchData-OLTP-HumanResource"."Func_TblWorker_SET"(varSystemLoginSession, null::bigint, null::varchar, null::timestamptz, null::timestamptz, null::varchar, varInstitutionBranchID, varBaseCurrencyID, 25000000000251::bigint, null::varchar);</v>
      </c>
    </row>
    <row r="255" spans="2:8" x14ac:dyDescent="0.2">
      <c r="B255" s="37">
        <f>IF(EXACT([1]DataLookUp!$B255, ""), "", [1]DataLookUp!$B255)</f>
        <v>25000000000252</v>
      </c>
      <c r="C255" s="38" t="str">
        <f>IF(EXACT(B255, ""), "", VLOOKUP(B255, [1]DataLookUp!$B$4:$C$1000, 2,FALSE ))</f>
        <v>Kiki Mustikawati</v>
      </c>
      <c r="D255" s="21"/>
      <c r="E255" s="108"/>
      <c r="G255" s="29">
        <f t="shared" si="6"/>
        <v>32000000000252</v>
      </c>
      <c r="H255" s="30" t="str">
        <f t="shared" si="7"/>
        <v>PERFORM "SchData-OLTP-HumanResource"."Func_TblWorker_SET"(varSystemLoginSession, null::bigint, null::varchar, null::timestamptz, null::timestamptz, null::varchar, varInstitutionBranchID, varBaseCurrencyID, 25000000000252::bigint, null::varchar);</v>
      </c>
    </row>
    <row r="256" spans="2:8" x14ac:dyDescent="0.2">
      <c r="B256" s="37">
        <f>IF(EXACT([1]DataLookUp!$B256, ""), "", [1]DataLookUp!$B256)</f>
        <v>25000000000253</v>
      </c>
      <c r="C256" s="38" t="str">
        <f>IF(EXACT(B256, ""), "", VLOOKUP(B256, [1]DataLookUp!$B$4:$C$1000, 2,FALSE ))</f>
        <v>Kornelius Sakan</v>
      </c>
      <c r="D256" s="21">
        <v>190803044</v>
      </c>
      <c r="E256" s="108"/>
      <c r="G256" s="29">
        <f t="shared" si="6"/>
        <v>32000000000253</v>
      </c>
      <c r="H256" s="30" t="str">
        <f t="shared" si="7"/>
        <v>PERFORM "SchData-OLTP-HumanResource"."Func_TblWorker_SET"(varSystemLoginSession, null::bigint, null::varchar, null::timestamptz, null::timestamptz, null::varchar, varInstitutionBranchID, varBaseCurrencyID, 25000000000253::bigint, '190803044'::varchar);</v>
      </c>
    </row>
    <row r="257" spans="2:8" x14ac:dyDescent="0.2">
      <c r="B257" s="37">
        <f>IF(EXACT([1]DataLookUp!$B257, ""), "", [1]DataLookUp!$B257)</f>
        <v>25000000000254</v>
      </c>
      <c r="C257" s="38" t="str">
        <f>IF(EXACT(B257, ""), "", VLOOKUP(B257, [1]DataLookUp!$B$4:$C$1000, 2,FALSE ))</f>
        <v>Kosasih</v>
      </c>
      <c r="D257" s="21"/>
      <c r="E257" s="108"/>
      <c r="G257" s="29">
        <f t="shared" si="6"/>
        <v>32000000000254</v>
      </c>
      <c r="H257" s="30" t="str">
        <f t="shared" si="7"/>
        <v>PERFORM "SchData-OLTP-HumanResource"."Func_TblWorker_SET"(varSystemLoginSession, null::bigint, null::varchar, null::timestamptz, null::timestamptz, null::varchar, varInstitutionBranchID, varBaseCurrencyID, 25000000000254::bigint, null::varchar);</v>
      </c>
    </row>
    <row r="258" spans="2:8" x14ac:dyDescent="0.2">
      <c r="B258" s="37">
        <f>IF(EXACT([1]DataLookUp!$B258, ""), "", [1]DataLookUp!$B258)</f>
        <v>25000000000255</v>
      </c>
      <c r="C258" s="38" t="str">
        <f>IF(EXACT(B258, ""), "", VLOOKUP(B258, [1]DataLookUp!$B$4:$C$1000, 2,FALSE ))</f>
        <v>Krisnawan</v>
      </c>
      <c r="D258" s="21"/>
      <c r="E258" s="108"/>
      <c r="G258" s="29">
        <f t="shared" si="6"/>
        <v>32000000000255</v>
      </c>
      <c r="H258" s="30" t="str">
        <f t="shared" si="7"/>
        <v>PERFORM "SchData-OLTP-HumanResource"."Func_TblWorker_SET"(varSystemLoginSession, null::bigint, null::varchar, null::timestamptz, null::timestamptz, null::varchar, varInstitutionBranchID, varBaseCurrencyID, 25000000000255::bigint, null::varchar);</v>
      </c>
    </row>
    <row r="259" spans="2:8" x14ac:dyDescent="0.2">
      <c r="B259" s="37">
        <f>IF(EXACT([1]DataLookUp!$B259, ""), "", [1]DataLookUp!$B259)</f>
        <v>25000000000256</v>
      </c>
      <c r="C259" s="38" t="str">
        <f>IF(EXACT(B259, ""), "", VLOOKUP(B259, [1]DataLookUp!$B$4:$C$1000, 2,FALSE ))</f>
        <v>Kurniadi</v>
      </c>
      <c r="D259" s="21"/>
      <c r="E259" s="108"/>
      <c r="G259" s="29">
        <f t="shared" si="6"/>
        <v>32000000000256</v>
      </c>
      <c r="H259" s="30" t="str">
        <f t="shared" si="7"/>
        <v>PERFORM "SchData-OLTP-HumanResource"."Func_TblWorker_SET"(varSystemLoginSession, null::bigint, null::varchar, null::timestamptz, null::timestamptz, null::varchar, varInstitutionBranchID, varBaseCurrencyID, 25000000000256::bigint, null::varchar);</v>
      </c>
    </row>
    <row r="260" spans="2:8" x14ac:dyDescent="0.2">
      <c r="B260" s="37">
        <f>IF(EXACT([1]DataLookUp!$B260, ""), "", [1]DataLookUp!$B260)</f>
        <v>25000000000257</v>
      </c>
      <c r="C260" s="38" t="str">
        <f>IF(EXACT(B260, ""), "", VLOOKUP(B260, [1]DataLookUp!$B$4:$C$1000, 2,FALSE ))</f>
        <v>Kurniawan</v>
      </c>
      <c r="D260" s="21"/>
      <c r="E260" s="108"/>
      <c r="G260" s="29">
        <f t="shared" si="6"/>
        <v>32000000000257</v>
      </c>
      <c r="H260" s="30" t="str">
        <f t="shared" si="7"/>
        <v>PERFORM "SchData-OLTP-HumanResource"."Func_TblWorker_SET"(varSystemLoginSession, null::bigint, null::varchar, null::timestamptz, null::timestamptz, null::varchar, varInstitutionBranchID, varBaseCurrencyID, 25000000000257::bigint, null::varchar);</v>
      </c>
    </row>
    <row r="261" spans="2:8" x14ac:dyDescent="0.2">
      <c r="B261" s="37">
        <f>IF(EXACT([1]DataLookUp!$B261, ""), "", [1]DataLookUp!$B261)</f>
        <v>25000000000258</v>
      </c>
      <c r="C261" s="38" t="str">
        <f>IF(EXACT(B261, ""), "", VLOOKUP(B261, [1]DataLookUp!$B$4:$C$1000, 2,FALSE ))</f>
        <v>Laode</v>
      </c>
      <c r="D261" s="21"/>
      <c r="E261" s="108"/>
      <c r="G261" s="29">
        <f t="shared" ref="G261:G324" si="8" xml:space="preserve"> G260 + IF(EXACT(H261, ""), 0, 1)</f>
        <v>32000000000258</v>
      </c>
      <c r="H261" s="30" t="str">
        <f t="shared" ref="H261:H324" si="9">CONCATENATE("PERFORM ""SchData-OLTP-HumanResource"".""Func_TblWorker_SET""(varSystemLoginSession, null::bigint, null::varchar, null::timestamptz, null::timestamptz, null::varchar, varInstitutionBranchID, varBaseCurrencyID, ", B261, "::bigint, ", IF(EXACT(D261, ""), "null", CONCATENATE("'", D261, "'")), "::varchar);")</f>
        <v>PERFORM "SchData-OLTP-HumanResource"."Func_TblWorker_SET"(varSystemLoginSession, null::bigint, null::varchar, null::timestamptz, null::timestamptz, null::varchar, varInstitutionBranchID, varBaseCurrencyID, 25000000000258::bigint, null::varchar);</v>
      </c>
    </row>
    <row r="262" spans="2:8" x14ac:dyDescent="0.2">
      <c r="B262" s="37">
        <f>IF(EXACT([1]DataLookUp!$B262, ""), "", [1]DataLookUp!$B262)</f>
        <v>25000000000259</v>
      </c>
      <c r="C262" s="38" t="str">
        <f>IF(EXACT(B262, ""), "", VLOOKUP(B262, [1]DataLookUp!$B$4:$C$1000, 2,FALSE ))</f>
        <v>Leo Nababan</v>
      </c>
      <c r="D262" s="21"/>
      <c r="E262" s="108"/>
      <c r="G262" s="29">
        <f t="shared" si="8"/>
        <v>32000000000259</v>
      </c>
      <c r="H262" s="30" t="str">
        <f t="shared" si="9"/>
        <v>PERFORM "SchData-OLTP-HumanResource"."Func_TblWorker_SET"(varSystemLoginSession, null::bigint, null::varchar, null::timestamptz, null::timestamptz, null::varchar, varInstitutionBranchID, varBaseCurrencyID, 25000000000259::bigint, null::varchar);</v>
      </c>
    </row>
    <row r="263" spans="2:8" x14ac:dyDescent="0.2">
      <c r="B263" s="37">
        <f>IF(EXACT([1]DataLookUp!$B263, ""), "", [1]DataLookUp!$B263)</f>
        <v>25000000000260</v>
      </c>
      <c r="C263" s="38" t="str">
        <f>IF(EXACT(B263, ""), "", VLOOKUP(B263, [1]DataLookUp!$B$4:$C$1000, 2,FALSE ))</f>
        <v>Liani Atmaningrum</v>
      </c>
      <c r="D263" s="21"/>
      <c r="E263" s="108"/>
      <c r="G263" s="29">
        <f t="shared" si="8"/>
        <v>32000000000260</v>
      </c>
      <c r="H263" s="30" t="str">
        <f t="shared" si="9"/>
        <v>PERFORM "SchData-OLTP-HumanResource"."Func_TblWorker_SET"(varSystemLoginSession, null::bigint, null::varchar, null::timestamptz, null::timestamptz, null::varchar, varInstitutionBranchID, varBaseCurrencyID, 25000000000260::bigint, null::varchar);</v>
      </c>
    </row>
    <row r="264" spans="2:8" x14ac:dyDescent="0.2">
      <c r="B264" s="37">
        <f>IF(EXACT([1]DataLookUp!$B264, ""), "", [1]DataLookUp!$B264)</f>
        <v>25000000000261</v>
      </c>
      <c r="C264" s="38" t="str">
        <f>IF(EXACT(B264, ""), "", VLOOKUP(B264, [1]DataLookUp!$B$4:$C$1000, 2,FALSE ))</f>
        <v>Liaseptriani Liaseptriani</v>
      </c>
      <c r="D264" s="21"/>
      <c r="E264" s="108"/>
      <c r="G264" s="29">
        <f t="shared" si="8"/>
        <v>32000000000261</v>
      </c>
      <c r="H264" s="30" t="str">
        <f t="shared" si="9"/>
        <v>PERFORM "SchData-OLTP-HumanResource"."Func_TblWorker_SET"(varSystemLoginSession, null::bigint, null::varchar, null::timestamptz, null::timestamptz, null::varchar, varInstitutionBranchID, varBaseCurrencyID, 25000000000261::bigint, null::varchar);</v>
      </c>
    </row>
    <row r="265" spans="2:8" x14ac:dyDescent="0.2">
      <c r="B265" s="37">
        <f>IF(EXACT([1]DataLookUp!$B265, ""), "", [1]DataLookUp!$B265)</f>
        <v>25000000000262</v>
      </c>
      <c r="C265" s="38" t="str">
        <f>IF(EXACT(B265, ""), "", VLOOKUP(B265, [1]DataLookUp!$B$4:$C$1000, 2,FALSE ))</f>
        <v>Lisma Natalia</v>
      </c>
      <c r="D265" s="21">
        <v>170918883</v>
      </c>
      <c r="E265" s="108"/>
      <c r="G265" s="29">
        <f t="shared" si="8"/>
        <v>32000000000262</v>
      </c>
      <c r="H265" s="30" t="str">
        <f t="shared" si="9"/>
        <v>PERFORM "SchData-OLTP-HumanResource"."Func_TblWorker_SET"(varSystemLoginSession, null::bigint, null::varchar, null::timestamptz, null::timestamptz, null::varchar, varInstitutionBranchID, varBaseCurrencyID, 25000000000262::bigint, '170918883'::varchar);</v>
      </c>
    </row>
    <row r="266" spans="2:8" x14ac:dyDescent="0.2">
      <c r="B266" s="37">
        <f>IF(EXACT([1]DataLookUp!$B266, ""), "", [1]DataLookUp!$B266)</f>
        <v>25000000000263</v>
      </c>
      <c r="C266" s="38" t="str">
        <f>IF(EXACT(B266, ""), "", VLOOKUP(B266, [1]DataLookUp!$B$4:$C$1000, 2,FALSE ))</f>
        <v>Listyo Hartanto</v>
      </c>
      <c r="D266" s="21"/>
      <c r="E266" s="108"/>
      <c r="G266" s="29">
        <f t="shared" si="8"/>
        <v>32000000000263</v>
      </c>
      <c r="H266" s="30" t="str">
        <f t="shared" si="9"/>
        <v>PERFORM "SchData-OLTP-HumanResource"."Func_TblWorker_SET"(varSystemLoginSession, null::bigint, null::varchar, null::timestamptz, null::timestamptz, null::varchar, varInstitutionBranchID, varBaseCurrencyID, 25000000000263::bigint, null::varchar);</v>
      </c>
    </row>
    <row r="267" spans="2:8" x14ac:dyDescent="0.2">
      <c r="B267" s="37">
        <f>IF(EXACT([1]DataLookUp!$B267, ""), "", [1]DataLookUp!$B267)</f>
        <v>25000000000264</v>
      </c>
      <c r="C267" s="38" t="str">
        <f>IF(EXACT(B267, ""), "", VLOOKUP(B267, [1]DataLookUp!$B$4:$C$1000, 2,FALSE ))</f>
        <v>M. Ari Ardizah Nasution</v>
      </c>
      <c r="D267" s="21"/>
      <c r="E267" s="108"/>
      <c r="G267" s="29">
        <f t="shared" si="8"/>
        <v>32000000000264</v>
      </c>
      <c r="H267" s="30" t="str">
        <f t="shared" si="9"/>
        <v>PERFORM "SchData-OLTP-HumanResource"."Func_TblWorker_SET"(varSystemLoginSession, null::bigint, null::varchar, null::timestamptz, null::timestamptz, null::varchar, varInstitutionBranchID, varBaseCurrencyID, 25000000000264::bigint, null::varchar);</v>
      </c>
    </row>
    <row r="268" spans="2:8" x14ac:dyDescent="0.2">
      <c r="B268" s="37">
        <f>IF(EXACT([1]DataLookUp!$B268, ""), "", [1]DataLookUp!$B268)</f>
        <v>25000000000265</v>
      </c>
      <c r="C268" s="38" t="str">
        <f>IF(EXACT(B268, ""), "", VLOOKUP(B268, [1]DataLookUp!$B$4:$C$1000, 2,FALSE ))</f>
        <v>M. Denny  Micrazudin</v>
      </c>
      <c r="D268" s="21"/>
      <c r="E268" s="108"/>
      <c r="G268" s="29">
        <f t="shared" si="8"/>
        <v>32000000000265</v>
      </c>
      <c r="H268" s="30" t="str">
        <f t="shared" si="9"/>
        <v>PERFORM "SchData-OLTP-HumanResource"."Func_TblWorker_SET"(varSystemLoginSession, null::bigint, null::varchar, null::timestamptz, null::timestamptz, null::varchar, varInstitutionBranchID, varBaseCurrencyID, 25000000000265::bigint, null::varchar);</v>
      </c>
    </row>
    <row r="269" spans="2:8" x14ac:dyDescent="0.2">
      <c r="B269" s="37">
        <f>IF(EXACT([1]DataLookUp!$B269, ""), "", [1]DataLookUp!$B269)</f>
        <v>25000000000266</v>
      </c>
      <c r="C269" s="38" t="str">
        <f>IF(EXACT(B269, ""), "", VLOOKUP(B269, [1]DataLookUp!$B$4:$C$1000, 2,FALSE ))</f>
        <v>M. Ridho Pramudia</v>
      </c>
      <c r="D269" s="21"/>
      <c r="E269" s="108"/>
      <c r="G269" s="29">
        <f t="shared" si="8"/>
        <v>32000000000266</v>
      </c>
      <c r="H269" s="30" t="str">
        <f t="shared" si="9"/>
        <v>PERFORM "SchData-OLTP-HumanResource"."Func_TblWorker_SET"(varSystemLoginSession, null::bigint, null::varchar, null::timestamptz, null::timestamptz, null::varchar, varInstitutionBranchID, varBaseCurrencyID, 25000000000266::bigint, null::varchar);</v>
      </c>
    </row>
    <row r="270" spans="2:8" x14ac:dyDescent="0.2">
      <c r="B270" s="37">
        <f>IF(EXACT([1]DataLookUp!$B270, ""), "", [1]DataLookUp!$B270)</f>
        <v>25000000000267</v>
      </c>
      <c r="C270" s="38" t="str">
        <f>IF(EXACT(B270, ""), "", VLOOKUP(B270, [1]DataLookUp!$B$4:$C$1000, 2,FALSE ))</f>
        <v>M. Rusdi</v>
      </c>
      <c r="D270" s="21"/>
      <c r="E270" s="108"/>
      <c r="G270" s="29">
        <f t="shared" si="8"/>
        <v>32000000000267</v>
      </c>
      <c r="H270" s="30" t="str">
        <f t="shared" si="9"/>
        <v>PERFORM "SchData-OLTP-HumanResource"."Func_TblWorker_SET"(varSystemLoginSession, null::bigint, null::varchar, null::timestamptz, null::timestamptz, null::varchar, varInstitutionBranchID, varBaseCurrencyID, 25000000000267::bigint, null::varchar);</v>
      </c>
    </row>
    <row r="271" spans="2:8" x14ac:dyDescent="0.2">
      <c r="B271" s="37">
        <f>IF(EXACT([1]DataLookUp!$B271, ""), "", [1]DataLookUp!$B271)</f>
        <v>25000000000268</v>
      </c>
      <c r="C271" s="38" t="str">
        <f>IF(EXACT(B271, ""), "", VLOOKUP(B271, [1]DataLookUp!$B$4:$C$1000, 2,FALSE ))</f>
        <v>M. Ervan Isyawal Akbar</v>
      </c>
      <c r="D271" s="21"/>
      <c r="E271" s="108"/>
      <c r="G271" s="29">
        <f t="shared" si="8"/>
        <v>32000000000268</v>
      </c>
      <c r="H271" s="30" t="str">
        <f t="shared" si="9"/>
        <v>PERFORM "SchData-OLTP-HumanResource"."Func_TblWorker_SET"(varSystemLoginSession, null::bigint, null::varchar, null::timestamptz, null::timestamptz, null::varchar, varInstitutionBranchID, varBaseCurrencyID, 25000000000268::bigint, null::varchar);</v>
      </c>
    </row>
    <row r="272" spans="2:8" x14ac:dyDescent="0.2">
      <c r="B272" s="37">
        <f>IF(EXACT([1]DataLookUp!$B272, ""), "", [1]DataLookUp!$B272)</f>
        <v>25000000000269</v>
      </c>
      <c r="C272" s="38" t="str">
        <f>IF(EXACT(B272, ""), "", VLOOKUP(B272, [1]DataLookUp!$B$4:$C$1000, 2,FALSE ))</f>
        <v>Maharani Tanjungsari</v>
      </c>
      <c r="D272" s="21"/>
      <c r="E272" s="108"/>
      <c r="G272" s="29">
        <f t="shared" si="8"/>
        <v>32000000000269</v>
      </c>
      <c r="H272" s="30" t="str">
        <f t="shared" si="9"/>
        <v>PERFORM "SchData-OLTP-HumanResource"."Func_TblWorker_SET"(varSystemLoginSession, null::bigint, null::varchar, null::timestamptz, null::timestamptz, null::varchar, varInstitutionBranchID, varBaseCurrencyID, 25000000000269::bigint, null::varchar);</v>
      </c>
    </row>
    <row r="273" spans="2:8" x14ac:dyDescent="0.2">
      <c r="B273" s="37">
        <f>IF(EXACT([1]DataLookUp!$B273, ""), "", [1]DataLookUp!$B273)</f>
        <v>25000000000270</v>
      </c>
      <c r="C273" s="38" t="str">
        <f>IF(EXACT(B273, ""), "", VLOOKUP(B273, [1]DataLookUp!$B$4:$C$1000, 2,FALSE ))</f>
        <v>Maharani Uthmaniah</v>
      </c>
      <c r="D273" s="21"/>
      <c r="E273" s="108"/>
      <c r="G273" s="29">
        <f t="shared" si="8"/>
        <v>32000000000270</v>
      </c>
      <c r="H273" s="30" t="str">
        <f t="shared" si="9"/>
        <v>PERFORM "SchData-OLTP-HumanResource"."Func_TblWorker_SET"(varSystemLoginSession, null::bigint, null::varchar, null::timestamptz, null::timestamptz, null::varchar, varInstitutionBranchID, varBaseCurrencyID, 25000000000270::bigint, null::varchar);</v>
      </c>
    </row>
    <row r="274" spans="2:8" x14ac:dyDescent="0.2">
      <c r="B274" s="37">
        <f>IF(EXACT([1]DataLookUp!$B274, ""), "", [1]DataLookUp!$B274)</f>
        <v>25000000000271</v>
      </c>
      <c r="C274" s="38" t="str">
        <f>IF(EXACT(B274, ""), "", VLOOKUP(B274, [1]DataLookUp!$B$4:$C$1000, 2,FALSE ))</f>
        <v>Manotar Tamba</v>
      </c>
      <c r="D274" s="21"/>
      <c r="E274" s="108"/>
      <c r="G274" s="29">
        <f t="shared" si="8"/>
        <v>32000000000271</v>
      </c>
      <c r="H274" s="30" t="str">
        <f t="shared" si="9"/>
        <v>PERFORM "SchData-OLTP-HumanResource"."Func_TblWorker_SET"(varSystemLoginSession, null::bigint, null::varchar, null::timestamptz, null::timestamptz, null::varchar, varInstitutionBranchID, varBaseCurrencyID, 25000000000271::bigint, null::varchar);</v>
      </c>
    </row>
    <row r="275" spans="2:8" x14ac:dyDescent="0.2">
      <c r="B275" s="37">
        <f>IF(EXACT([1]DataLookUp!$B275, ""), "", [1]DataLookUp!$B275)</f>
        <v>25000000000272</v>
      </c>
      <c r="C275" s="38" t="str">
        <f>IF(EXACT(B275, ""), "", VLOOKUP(B275, [1]DataLookUp!$B$4:$C$1000, 2,FALSE ))</f>
        <v>Maradona Manurung</v>
      </c>
      <c r="D275" s="21"/>
      <c r="E275" s="108"/>
      <c r="G275" s="29">
        <f t="shared" si="8"/>
        <v>32000000000272</v>
      </c>
      <c r="H275" s="30" t="str">
        <f t="shared" si="9"/>
        <v>PERFORM "SchData-OLTP-HumanResource"."Func_TblWorker_SET"(varSystemLoginSession, null::bigint, null::varchar, null::timestamptz, null::timestamptz, null::varchar, varInstitutionBranchID, varBaseCurrencyID, 25000000000272::bigint, null::varchar);</v>
      </c>
    </row>
    <row r="276" spans="2:8" x14ac:dyDescent="0.2">
      <c r="B276" s="37">
        <f>IF(EXACT([1]DataLookUp!$B276, ""), "", [1]DataLookUp!$B276)</f>
        <v>25000000000273</v>
      </c>
      <c r="C276" s="38" t="str">
        <f>IF(EXACT(B276, ""), "", VLOOKUP(B276, [1]DataLookUp!$B$4:$C$1000, 2,FALSE ))</f>
        <v>Pantas Banjarnahor Marbun</v>
      </c>
      <c r="D276" s="21">
        <v>160603011</v>
      </c>
      <c r="E276" s="108"/>
      <c r="G276" s="29">
        <f t="shared" si="8"/>
        <v>32000000000273</v>
      </c>
      <c r="H276" s="30" t="str">
        <f t="shared" si="9"/>
        <v>PERFORM "SchData-OLTP-HumanResource"."Func_TblWorker_SET"(varSystemLoginSession, null::bigint, null::varchar, null::timestamptz, null::timestamptz, null::varchar, varInstitutionBranchID, varBaseCurrencyID, 25000000000273::bigint, '160603011'::varchar);</v>
      </c>
    </row>
    <row r="277" spans="2:8" x14ac:dyDescent="0.2">
      <c r="B277" s="37">
        <f>IF(EXACT([1]DataLookUp!$B277, ""), "", [1]DataLookUp!$B277)</f>
        <v>25000000000274</v>
      </c>
      <c r="C277" s="38" t="str">
        <f>IF(EXACT(B277, ""), "", VLOOKUP(B277, [1]DataLookUp!$B$4:$C$1000, 2,FALSE ))</f>
        <v>Marcella Avia Ramadhinaningrum</v>
      </c>
      <c r="D277" s="21"/>
      <c r="E277" s="108"/>
      <c r="G277" s="29">
        <f t="shared" si="8"/>
        <v>32000000000274</v>
      </c>
      <c r="H277" s="30" t="str">
        <f t="shared" si="9"/>
        <v>PERFORM "SchData-OLTP-HumanResource"."Func_TblWorker_SET"(varSystemLoginSession, null::bigint, null::varchar, null::timestamptz, null::timestamptz, null::varchar, varInstitutionBranchID, varBaseCurrencyID, 25000000000274::bigint, null::varchar);</v>
      </c>
    </row>
    <row r="278" spans="2:8" x14ac:dyDescent="0.2">
      <c r="B278" s="37">
        <f>IF(EXACT([1]DataLookUp!$B278, ""), "", [1]DataLookUp!$B278)</f>
        <v>25000000000275</v>
      </c>
      <c r="C278" s="38" t="str">
        <f>IF(EXACT(B278, ""), "", VLOOKUP(B278, [1]DataLookUp!$B$4:$C$1000, 2,FALSE ))</f>
        <v>Marissa Watak</v>
      </c>
      <c r="D278" s="21"/>
      <c r="E278" s="108"/>
      <c r="G278" s="29">
        <f t="shared" si="8"/>
        <v>32000000000275</v>
      </c>
      <c r="H278" s="30" t="str">
        <f t="shared" si="9"/>
        <v>PERFORM "SchData-OLTP-HumanResource"."Func_TblWorker_SET"(varSystemLoginSession, null::bigint, null::varchar, null::timestamptz, null::timestamptz, null::varchar, varInstitutionBranchID, varBaseCurrencyID, 25000000000275::bigint, null::varchar);</v>
      </c>
    </row>
    <row r="279" spans="2:8" x14ac:dyDescent="0.2">
      <c r="B279" s="37">
        <f>IF(EXACT([1]DataLookUp!$B279, ""), "", [1]DataLookUp!$B279)</f>
        <v>25000000000276</v>
      </c>
      <c r="C279" s="38" t="str">
        <f>IF(EXACT(B279, ""), "", VLOOKUP(B279, [1]DataLookUp!$B$4:$C$1000, 2,FALSE ))</f>
        <v>Marten Tabun</v>
      </c>
      <c r="D279" s="21" t="s">
        <v>24</v>
      </c>
      <c r="E279" s="108"/>
      <c r="G279" s="29">
        <f t="shared" si="8"/>
        <v>32000000000276</v>
      </c>
      <c r="H279" s="30" t="str">
        <f t="shared" si="9"/>
        <v>PERFORM "SchData-OLTP-HumanResource"."Func_TblWorker_SET"(varSystemLoginSession, null::bigint, null::varchar, null::timestamptz, null::timestamptz, null::varchar, varInstitutionBranchID, varBaseCurrencyID, 25000000000276::bigint, '010513665'::varchar);</v>
      </c>
    </row>
    <row r="280" spans="2:8" x14ac:dyDescent="0.2">
      <c r="B280" s="37">
        <f>IF(EXACT([1]DataLookUp!$B280, ""), "", [1]DataLookUp!$B280)</f>
        <v>25000000000277</v>
      </c>
      <c r="C280" s="38" t="str">
        <f>IF(EXACT(B280, ""), "", VLOOKUP(B280, [1]DataLookUp!$B$4:$C$1000, 2,FALSE ))</f>
        <v>Martimbul Rahman</v>
      </c>
      <c r="D280" s="21">
        <v>110621951</v>
      </c>
      <c r="E280" s="108"/>
      <c r="G280" s="29">
        <f t="shared" si="8"/>
        <v>32000000000277</v>
      </c>
      <c r="H280" s="30" t="str">
        <f t="shared" si="9"/>
        <v>PERFORM "SchData-OLTP-HumanResource"."Func_TblWorker_SET"(varSystemLoginSession, null::bigint, null::varchar, null::timestamptz, null::timestamptz, null::varchar, varInstitutionBranchID, varBaseCurrencyID, 25000000000277::bigint, '110621951'::varchar);</v>
      </c>
    </row>
    <row r="281" spans="2:8" x14ac:dyDescent="0.2">
      <c r="B281" s="37">
        <f>IF(EXACT([1]DataLookUp!$B281, ""), "", [1]DataLookUp!$B281)</f>
        <v>25000000000278</v>
      </c>
      <c r="C281" s="38" t="str">
        <f>IF(EXACT(B281, ""), "", VLOOKUP(B281, [1]DataLookUp!$B$4:$C$1000, 2,FALSE ))</f>
        <v>T. Marungkil U. S. Sagala</v>
      </c>
      <c r="D281" s="21" t="s">
        <v>33</v>
      </c>
      <c r="E281" s="108"/>
      <c r="G281" s="29">
        <f t="shared" si="8"/>
        <v>32000000000278</v>
      </c>
      <c r="H281" s="30" t="str">
        <f t="shared" si="9"/>
        <v>PERFORM "SchData-OLTP-HumanResource"."Func_TblWorker_SET"(varSystemLoginSession, null::bigint, null::varchar, null::timestamptz, null::timestamptz, null::varchar, varInstitutionBranchID, varBaseCurrencyID, 25000000000278::bigint, '010210516'::varchar);</v>
      </c>
    </row>
    <row r="282" spans="2:8" x14ac:dyDescent="0.2">
      <c r="B282" s="37">
        <f>IF(EXACT([1]DataLookUp!$B282, ""), "", [1]DataLookUp!$B282)</f>
        <v>25000000000279</v>
      </c>
      <c r="C282" s="38" t="str">
        <f>IF(EXACT(B282, ""), "", VLOOKUP(B282, [1]DataLookUp!$B$4:$C$1000, 2,FALSE ))</f>
        <v>Marzuki</v>
      </c>
      <c r="D282" s="21"/>
      <c r="E282" s="108"/>
      <c r="G282" s="29">
        <f t="shared" si="8"/>
        <v>32000000000279</v>
      </c>
      <c r="H282" s="30" t="str">
        <f t="shared" si="9"/>
        <v>PERFORM "SchData-OLTP-HumanResource"."Func_TblWorker_SET"(varSystemLoginSession, null::bigint, null::varchar, null::timestamptz, null::timestamptz, null::varchar, varInstitutionBranchID, varBaseCurrencyID, 25000000000279::bigint, null::varchar);</v>
      </c>
    </row>
    <row r="283" spans="2:8" x14ac:dyDescent="0.2">
      <c r="B283" s="37">
        <f>IF(EXACT([1]DataLookUp!$B283, ""), "", [1]DataLookUp!$B283)</f>
        <v>25000000000280</v>
      </c>
      <c r="C283" s="38" t="str">
        <f>IF(EXACT(B283, ""), "", VLOOKUP(B283, [1]DataLookUp!$B$4:$C$1000, 2,FALSE ))</f>
        <v>Mashuri Mashuri</v>
      </c>
      <c r="D283" s="21"/>
      <c r="E283" s="108"/>
      <c r="G283" s="29">
        <f t="shared" si="8"/>
        <v>32000000000280</v>
      </c>
      <c r="H283" s="30" t="str">
        <f t="shared" si="9"/>
        <v>PERFORM "SchData-OLTP-HumanResource"."Func_TblWorker_SET"(varSystemLoginSession, null::bigint, null::varchar, null::timestamptz, null::timestamptz, null::varchar, varInstitutionBranchID, varBaseCurrencyID, 25000000000280::bigint, null::varchar);</v>
      </c>
    </row>
    <row r="284" spans="2:8" x14ac:dyDescent="0.2">
      <c r="B284" s="37">
        <f>IF(EXACT([1]DataLookUp!$B284, ""), "", [1]DataLookUp!$B284)</f>
        <v>25000000000281</v>
      </c>
      <c r="C284" s="38" t="str">
        <f>IF(EXACT(B284, ""), "", VLOOKUP(B284, [1]DataLookUp!$B$4:$C$1000, 2,FALSE ))</f>
        <v>Mat Soleh</v>
      </c>
      <c r="D284" s="21"/>
      <c r="E284" s="108"/>
      <c r="G284" s="29">
        <f t="shared" si="8"/>
        <v>32000000000281</v>
      </c>
      <c r="H284" s="30" t="str">
        <f t="shared" si="9"/>
        <v>PERFORM "SchData-OLTP-HumanResource"."Func_TblWorker_SET"(varSystemLoginSession, null::bigint, null::varchar, null::timestamptz, null::timestamptz, null::varchar, varInstitutionBranchID, varBaseCurrencyID, 25000000000281::bigint, null::varchar);</v>
      </c>
    </row>
    <row r="285" spans="2:8" x14ac:dyDescent="0.2">
      <c r="B285" s="37">
        <f>IF(EXACT([1]DataLookUp!$B285, ""), "", [1]DataLookUp!$B285)</f>
        <v>25000000000282</v>
      </c>
      <c r="C285" s="38" t="str">
        <f>IF(EXACT(B285, ""), "", VLOOKUP(B285, [1]DataLookUp!$B$4:$C$1000, 2,FALSE ))</f>
        <v>Mhd Syahputra</v>
      </c>
      <c r="D285" s="21"/>
      <c r="E285" s="108"/>
      <c r="G285" s="29">
        <f t="shared" si="8"/>
        <v>32000000000282</v>
      </c>
      <c r="H285" s="30" t="str">
        <f t="shared" si="9"/>
        <v>PERFORM "SchData-OLTP-HumanResource"."Func_TblWorker_SET"(varSystemLoginSession, null::bigint, null::varchar, null::timestamptz, null::timestamptz, null::varchar, varInstitutionBranchID, varBaseCurrencyID, 25000000000282::bigint, null::varchar);</v>
      </c>
    </row>
    <row r="286" spans="2:8" x14ac:dyDescent="0.2">
      <c r="B286" s="37">
        <f>IF(EXACT([1]DataLookUp!$B286, ""), "", [1]DataLookUp!$B286)</f>
        <v>25000000000283</v>
      </c>
      <c r="C286" s="38" t="str">
        <f>IF(EXACT(B286, ""), "", VLOOKUP(B286, [1]DataLookUp!$B$4:$C$1000, 2,FALSE ))</f>
        <v>Mia Puspitasari</v>
      </c>
      <c r="D286" s="21"/>
      <c r="E286" s="108"/>
      <c r="G286" s="29">
        <f t="shared" si="8"/>
        <v>32000000000283</v>
      </c>
      <c r="H286" s="30" t="str">
        <f t="shared" si="9"/>
        <v>PERFORM "SchData-OLTP-HumanResource"."Func_TblWorker_SET"(varSystemLoginSession, null::bigint, null::varchar, null::timestamptz, null::timestamptz, null::varchar, varInstitutionBranchID, varBaseCurrencyID, 25000000000283::bigint, null::varchar);</v>
      </c>
    </row>
    <row r="287" spans="2:8" x14ac:dyDescent="0.2">
      <c r="B287" s="37">
        <f>IF(EXACT([1]DataLookUp!$B287, ""), "", [1]DataLookUp!$B287)</f>
        <v>25000000000284</v>
      </c>
      <c r="C287" s="38" t="str">
        <f>IF(EXACT(B287, ""), "", VLOOKUP(B287, [1]DataLookUp!$B$4:$C$1000, 2,FALSE ))</f>
        <v>Midin Ena</v>
      </c>
      <c r="D287" s="21"/>
      <c r="E287" s="108"/>
      <c r="G287" s="29">
        <f t="shared" si="8"/>
        <v>32000000000284</v>
      </c>
      <c r="H287" s="30" t="str">
        <f t="shared" si="9"/>
        <v>PERFORM "SchData-OLTP-HumanResource"."Func_TblWorker_SET"(varSystemLoginSession, null::bigint, null::varchar, null::timestamptz, null::timestamptz, null::varchar, varInstitutionBranchID, varBaseCurrencyID, 25000000000284::bigint, null::varchar);</v>
      </c>
    </row>
    <row r="288" spans="2:8" x14ac:dyDescent="0.2">
      <c r="B288" s="37">
        <f>IF(EXACT([1]DataLookUp!$B288, ""), "", [1]DataLookUp!$B288)</f>
        <v>25000000000285</v>
      </c>
      <c r="C288" s="38" t="str">
        <f>IF(EXACT(B288, ""), "", VLOOKUP(B288, [1]DataLookUp!$B$4:$C$1000, 2,FALSE ))</f>
        <v>Miftakhul Muzakky</v>
      </c>
      <c r="D288" s="21"/>
      <c r="E288" s="108"/>
      <c r="G288" s="29">
        <f t="shared" si="8"/>
        <v>32000000000285</v>
      </c>
      <c r="H288" s="30" t="str">
        <f t="shared" si="9"/>
        <v>PERFORM "SchData-OLTP-HumanResource"."Func_TblWorker_SET"(varSystemLoginSession, null::bigint, null::varchar, null::timestamptz, null::timestamptz, null::varchar, varInstitutionBranchID, varBaseCurrencyID, 25000000000285::bigint, null::varchar);</v>
      </c>
    </row>
    <row r="289" spans="2:8" x14ac:dyDescent="0.2">
      <c r="B289" s="37">
        <f>IF(EXACT([1]DataLookUp!$B289, ""), "", [1]DataLookUp!$B289)</f>
        <v>25000000000286</v>
      </c>
      <c r="C289" s="38" t="str">
        <f>IF(EXACT(B289, ""), "", VLOOKUP(B289, [1]DataLookUp!$B$4:$C$1000, 2,FALSE ))</f>
        <v>Mista</v>
      </c>
      <c r="D289" s="21"/>
      <c r="E289" s="108"/>
      <c r="G289" s="29">
        <f t="shared" si="8"/>
        <v>32000000000286</v>
      </c>
      <c r="H289" s="30" t="str">
        <f t="shared" si="9"/>
        <v>PERFORM "SchData-OLTP-HumanResource"."Func_TblWorker_SET"(varSystemLoginSession, null::bigint, null::varchar, null::timestamptz, null::timestamptz, null::varchar, varInstitutionBranchID, varBaseCurrencyID, 25000000000286::bigint, null::varchar);</v>
      </c>
    </row>
    <row r="290" spans="2:8" x14ac:dyDescent="0.2">
      <c r="B290" s="37">
        <f>IF(EXACT([1]DataLookUp!$B290, ""), "", [1]DataLookUp!$B290)</f>
        <v>25000000000287</v>
      </c>
      <c r="C290" s="38" t="str">
        <f>IF(EXACT(B290, ""), "", VLOOKUP(B290, [1]DataLookUp!$B$4:$C$1000, 2,FALSE ))</f>
        <v>Mochamad Samman</v>
      </c>
      <c r="D290" s="21"/>
      <c r="E290" s="108"/>
      <c r="G290" s="29">
        <f t="shared" si="8"/>
        <v>32000000000287</v>
      </c>
      <c r="H290" s="30" t="str">
        <f t="shared" si="9"/>
        <v>PERFORM "SchData-OLTP-HumanResource"."Func_TblWorker_SET"(varSystemLoginSession, null::bigint, null::varchar, null::timestamptz, null::timestamptz, null::varchar, varInstitutionBranchID, varBaseCurrencyID, 25000000000287::bigint, null::varchar);</v>
      </c>
    </row>
    <row r="291" spans="2:8" x14ac:dyDescent="0.2">
      <c r="B291" s="37">
        <f>IF(EXACT([1]DataLookUp!$B291, ""), "", [1]DataLookUp!$B291)</f>
        <v>25000000000288</v>
      </c>
      <c r="C291" s="38" t="str">
        <f>IF(EXACT(B291, ""), "", VLOOKUP(B291, [1]DataLookUp!$B$4:$C$1000, 2,FALSE ))</f>
        <v>Moh. Afif</v>
      </c>
      <c r="D291" s="21"/>
      <c r="E291" s="108"/>
      <c r="G291" s="29">
        <f t="shared" si="8"/>
        <v>32000000000288</v>
      </c>
      <c r="H291" s="30" t="str">
        <f t="shared" si="9"/>
        <v>PERFORM "SchData-OLTP-HumanResource"."Func_TblWorker_SET"(varSystemLoginSession, null::bigint, null::varchar, null::timestamptz, null::timestamptz, null::varchar, varInstitutionBranchID, varBaseCurrencyID, 25000000000288::bigint, null::varchar);</v>
      </c>
    </row>
    <row r="292" spans="2:8" x14ac:dyDescent="0.2">
      <c r="B292" s="37">
        <f>IF(EXACT([1]DataLookUp!$B292, ""), "", [1]DataLookUp!$B292)</f>
        <v>25000000000289</v>
      </c>
      <c r="C292" s="38" t="str">
        <f>IF(EXACT(B292, ""), "", VLOOKUP(B292, [1]DataLookUp!$B$4:$C$1000, 2,FALSE ))</f>
        <v>Mohammad Arman Tompo</v>
      </c>
      <c r="D292" s="21"/>
      <c r="E292" s="108"/>
      <c r="G292" s="29">
        <f t="shared" si="8"/>
        <v>32000000000289</v>
      </c>
      <c r="H292" s="30" t="str">
        <f t="shared" si="9"/>
        <v>PERFORM "SchData-OLTP-HumanResource"."Func_TblWorker_SET"(varSystemLoginSession, null::bigint, null::varchar, null::timestamptz, null::timestamptz, null::varchar, varInstitutionBranchID, varBaseCurrencyID, 25000000000289::bigint, null::varchar);</v>
      </c>
    </row>
    <row r="293" spans="2:8" x14ac:dyDescent="0.2">
      <c r="B293" s="37">
        <f>IF(EXACT([1]DataLookUp!$B293, ""), "", [1]DataLookUp!$B293)</f>
        <v>25000000000290</v>
      </c>
      <c r="C293" s="38" t="str">
        <f>IF(EXACT(B293, ""), "", VLOOKUP(B293, [1]DataLookUp!$B$4:$C$1000, 2,FALSE ))</f>
        <v>Mohd. Elfan Pratama</v>
      </c>
      <c r="D293" s="21"/>
      <c r="E293" s="108"/>
      <c r="G293" s="29">
        <f t="shared" si="8"/>
        <v>32000000000290</v>
      </c>
      <c r="H293" s="30" t="str">
        <f t="shared" si="9"/>
        <v>PERFORM "SchData-OLTP-HumanResource"."Func_TblWorker_SET"(varSystemLoginSession, null::bigint, null::varchar, null::timestamptz, null::timestamptz, null::varchar, varInstitutionBranchID, varBaseCurrencyID, 25000000000290::bigint, null::varchar);</v>
      </c>
    </row>
    <row r="294" spans="2:8" x14ac:dyDescent="0.2">
      <c r="B294" s="37">
        <f>IF(EXACT([1]DataLookUp!$B294, ""), "", [1]DataLookUp!$B294)</f>
        <v>25000000000291</v>
      </c>
      <c r="C294" s="38" t="str">
        <f>IF(EXACT(B294, ""), "", VLOOKUP(B294, [1]DataLookUp!$B$4:$C$1000, 2,FALSE ))</f>
        <v>Monang Simarmata</v>
      </c>
      <c r="D294" s="21"/>
      <c r="E294" s="108"/>
      <c r="G294" s="29">
        <f t="shared" si="8"/>
        <v>32000000000291</v>
      </c>
      <c r="H294" s="30" t="str">
        <f t="shared" si="9"/>
        <v>PERFORM "SchData-OLTP-HumanResource"."Func_TblWorker_SET"(varSystemLoginSession, null::bigint, null::varchar, null::timestamptz, null::timestamptz, null::varchar, varInstitutionBranchID, varBaseCurrencyID, 25000000000291::bigint, null::varchar);</v>
      </c>
    </row>
    <row r="295" spans="2:8" x14ac:dyDescent="0.2">
      <c r="B295" s="37">
        <f>IF(EXACT([1]DataLookUp!$B295, ""), "", [1]DataLookUp!$B295)</f>
        <v>25000000000292</v>
      </c>
      <c r="C295" s="38" t="str">
        <f>IF(EXACT(B295, ""), "", VLOOKUP(B295, [1]DataLookUp!$B$4:$C$1000, 2,FALSE ))</f>
        <v>Moritz Thomsen Marbun</v>
      </c>
      <c r="D295" s="21"/>
      <c r="E295" s="108"/>
      <c r="G295" s="29">
        <f t="shared" si="8"/>
        <v>32000000000292</v>
      </c>
      <c r="H295" s="30" t="str">
        <f t="shared" si="9"/>
        <v>PERFORM "SchData-OLTP-HumanResource"."Func_TblWorker_SET"(varSystemLoginSession, null::bigint, null::varchar, null::timestamptz, null::timestamptz, null::varchar, varInstitutionBranchID, varBaseCurrencyID, 25000000000292::bigint, null::varchar);</v>
      </c>
    </row>
    <row r="296" spans="2:8" x14ac:dyDescent="0.2">
      <c r="B296" s="37">
        <f>IF(EXACT([1]DataLookUp!$B296, ""), "", [1]DataLookUp!$B296)</f>
        <v>25000000000293</v>
      </c>
      <c r="C296" s="38" t="str">
        <f>IF(EXACT(B296, ""), "", VLOOKUP(B296, [1]DataLookUp!$B$4:$C$1000, 2,FALSE ))</f>
        <v>Muhamad Hamdan Rifai</v>
      </c>
      <c r="D296" s="21"/>
      <c r="E296" s="108"/>
      <c r="G296" s="29">
        <f t="shared" si="8"/>
        <v>32000000000293</v>
      </c>
      <c r="H296" s="30" t="str">
        <f t="shared" si="9"/>
        <v>PERFORM "SchData-OLTP-HumanResource"."Func_TblWorker_SET"(varSystemLoginSession, null::bigint, null::varchar, null::timestamptz, null::timestamptz, null::varchar, varInstitutionBranchID, varBaseCurrencyID, 25000000000293::bigint, null::varchar);</v>
      </c>
    </row>
    <row r="297" spans="2:8" x14ac:dyDescent="0.2">
      <c r="B297" s="37">
        <f>IF(EXACT([1]DataLookUp!$B297, ""), "", [1]DataLookUp!$B297)</f>
        <v>25000000000294</v>
      </c>
      <c r="C297" s="38" t="str">
        <f>IF(EXACT(B297, ""), "", VLOOKUP(B297, [1]DataLookUp!$B$4:$C$1000, 2,FALSE ))</f>
        <v>Muhamad Ikhsan</v>
      </c>
      <c r="D297" s="21"/>
      <c r="E297" s="108"/>
      <c r="G297" s="29">
        <f t="shared" si="8"/>
        <v>32000000000294</v>
      </c>
      <c r="H297" s="30" t="str">
        <f t="shared" si="9"/>
        <v>PERFORM "SchData-OLTP-HumanResource"."Func_TblWorker_SET"(varSystemLoginSession, null::bigint, null::varchar, null::timestamptz, null::timestamptz, null::varchar, varInstitutionBranchID, varBaseCurrencyID, 25000000000294::bigint, null::varchar);</v>
      </c>
    </row>
    <row r="298" spans="2:8" x14ac:dyDescent="0.2">
      <c r="B298" s="37">
        <f>IF(EXACT([1]DataLookUp!$B298, ""), "", [1]DataLookUp!$B298)</f>
        <v>25000000000295</v>
      </c>
      <c r="C298" s="38" t="str">
        <f>IF(EXACT(B298, ""), "", VLOOKUP(B298, [1]DataLookUp!$B$4:$C$1000, 2,FALSE ))</f>
        <v>Muhamad Nurhamsach</v>
      </c>
      <c r="D298" s="21"/>
      <c r="E298" s="108"/>
      <c r="G298" s="29">
        <f t="shared" si="8"/>
        <v>32000000000295</v>
      </c>
      <c r="H298" s="30" t="str">
        <f t="shared" si="9"/>
        <v>PERFORM "SchData-OLTP-HumanResource"."Func_TblWorker_SET"(varSystemLoginSession, null::bigint, null::varchar, null::timestamptz, null::timestamptz, null::varchar, varInstitutionBranchID, varBaseCurrencyID, 25000000000295::bigint, null::varchar);</v>
      </c>
    </row>
    <row r="299" spans="2:8" x14ac:dyDescent="0.2">
      <c r="B299" s="37">
        <f>IF(EXACT([1]DataLookUp!$B299, ""), "", [1]DataLookUp!$B299)</f>
        <v>25000000000296</v>
      </c>
      <c r="C299" s="38" t="str">
        <f>IF(EXACT(B299, ""), "", VLOOKUP(B299, [1]DataLookUp!$B$4:$C$1000, 2,FALSE ))</f>
        <v>Muhammad Ardiansyah</v>
      </c>
      <c r="D299" s="21"/>
      <c r="E299" s="108"/>
      <c r="G299" s="29">
        <f t="shared" si="8"/>
        <v>32000000000296</v>
      </c>
      <c r="H299" s="30" t="str">
        <f t="shared" si="9"/>
        <v>PERFORM "SchData-OLTP-HumanResource"."Func_TblWorker_SET"(varSystemLoginSession, null::bigint, null::varchar, null::timestamptz, null::timestamptz, null::varchar, varInstitutionBranchID, varBaseCurrencyID, 25000000000296::bigint, null::varchar);</v>
      </c>
    </row>
    <row r="300" spans="2:8" x14ac:dyDescent="0.2">
      <c r="B300" s="37">
        <f>IF(EXACT([1]DataLookUp!$B300, ""), "", [1]DataLookUp!$B300)</f>
        <v>25000000000297</v>
      </c>
      <c r="C300" s="38" t="str">
        <f>IF(EXACT(B300, ""), "", VLOOKUP(B300, [1]DataLookUp!$B$4:$C$1000, 2,FALSE ))</f>
        <v>Muhammad Khadafy</v>
      </c>
      <c r="D300" s="21"/>
      <c r="E300" s="108"/>
      <c r="G300" s="29">
        <f t="shared" si="8"/>
        <v>32000000000297</v>
      </c>
      <c r="H300" s="30" t="str">
        <f t="shared" si="9"/>
        <v>PERFORM "SchData-OLTP-HumanResource"."Func_TblWorker_SET"(varSystemLoginSession, null::bigint, null::varchar, null::timestamptz, null::timestamptz, null::varchar, varInstitutionBranchID, varBaseCurrencyID, 25000000000297::bigint, null::varchar);</v>
      </c>
    </row>
    <row r="301" spans="2:8" x14ac:dyDescent="0.2">
      <c r="B301" s="37">
        <f>IF(EXACT([1]DataLookUp!$B301, ""), "", [1]DataLookUp!$B301)</f>
        <v>25000000000298</v>
      </c>
      <c r="C301" s="38" t="str">
        <f>IF(EXACT(B301, ""), "", VLOOKUP(B301, [1]DataLookUp!$B$4:$C$1000, 2,FALSE ))</f>
        <v>Muhammad Taufan</v>
      </c>
      <c r="D301" s="21"/>
      <c r="E301" s="108"/>
      <c r="G301" s="29">
        <f t="shared" si="8"/>
        <v>32000000000298</v>
      </c>
      <c r="H301" s="30" t="str">
        <f t="shared" si="9"/>
        <v>PERFORM "SchData-OLTP-HumanResource"."Func_TblWorker_SET"(varSystemLoginSession, null::bigint, null::varchar, null::timestamptz, null::timestamptz, null::varchar, varInstitutionBranchID, varBaseCurrencyID, 25000000000298::bigint, null::varchar);</v>
      </c>
    </row>
    <row r="302" spans="2:8" x14ac:dyDescent="0.2">
      <c r="B302" s="37">
        <f>IF(EXACT([1]DataLookUp!$B302, ""), "", [1]DataLookUp!$B302)</f>
        <v>25000000000299</v>
      </c>
      <c r="C302" s="38" t="str">
        <f>IF(EXACT(B302, ""), "", VLOOKUP(B302, [1]DataLookUp!$B$4:$C$1000, 2,FALSE ))</f>
        <v>Muklis</v>
      </c>
      <c r="D302" s="21"/>
      <c r="E302" s="108"/>
      <c r="G302" s="29">
        <f t="shared" si="8"/>
        <v>32000000000299</v>
      </c>
      <c r="H302" s="30" t="str">
        <f t="shared" si="9"/>
        <v>PERFORM "SchData-OLTP-HumanResource"."Func_TblWorker_SET"(varSystemLoginSession, null::bigint, null::varchar, null::timestamptz, null::timestamptz, null::varchar, varInstitutionBranchID, varBaseCurrencyID, 25000000000299::bigint, null::varchar);</v>
      </c>
    </row>
    <row r="303" spans="2:8" x14ac:dyDescent="0.2">
      <c r="B303" s="37">
        <f>IF(EXACT([1]DataLookUp!$B303, ""), "", [1]DataLookUp!$B303)</f>
        <v>25000000000300</v>
      </c>
      <c r="C303" s="38" t="str">
        <f>IF(EXACT(B303, ""), "", VLOOKUP(B303, [1]DataLookUp!$B$4:$C$1000, 2,FALSE ))</f>
        <v>Mulia Rohanson Harahap</v>
      </c>
      <c r="D303" s="21"/>
      <c r="E303" s="108"/>
      <c r="G303" s="29">
        <f t="shared" si="8"/>
        <v>32000000000300</v>
      </c>
      <c r="H303" s="30" t="str">
        <f t="shared" si="9"/>
        <v>PERFORM "SchData-OLTP-HumanResource"."Func_TblWorker_SET"(varSystemLoginSession, null::bigint, null::varchar, null::timestamptz, null::timestamptz, null::varchar, varInstitutionBranchID, varBaseCurrencyID, 25000000000300::bigint, null::varchar);</v>
      </c>
    </row>
    <row r="304" spans="2:8" x14ac:dyDescent="0.2">
      <c r="B304" s="37">
        <f>IF(EXACT([1]DataLookUp!$B304, ""), "", [1]DataLookUp!$B304)</f>
        <v>25000000000301</v>
      </c>
      <c r="C304" s="38" t="str">
        <f>IF(EXACT(B304, ""), "", VLOOKUP(B304, [1]DataLookUp!$B$4:$C$1000, 2,FALSE ))</f>
        <v>Mullan Tresna</v>
      </c>
      <c r="D304" s="21" t="s">
        <v>25</v>
      </c>
      <c r="E304" s="108"/>
      <c r="G304" s="29">
        <f t="shared" si="8"/>
        <v>32000000000301</v>
      </c>
      <c r="H304" s="30" t="str">
        <f t="shared" si="9"/>
        <v>PERFORM "SchData-OLTP-HumanResource"."Func_TblWorker_SET"(varSystemLoginSession, null::bigint, null::varchar, null::timestamptz, null::timestamptz, null::varchar, varInstitutionBranchID, varBaseCurrencyID, 25000000000301::bigint, '030105116'::varchar);</v>
      </c>
    </row>
    <row r="305" spans="2:8" x14ac:dyDescent="0.2">
      <c r="B305" s="37">
        <f>IF(EXACT([1]DataLookUp!$B305, ""), "", [1]DataLookUp!$B305)</f>
        <v>25000000000302</v>
      </c>
      <c r="C305" s="38" t="str">
        <f>IF(EXACT(B305, ""), "", VLOOKUP(B305, [1]DataLookUp!$B$4:$C$1000, 2,FALSE ))</f>
        <v>Mulyadi</v>
      </c>
      <c r="D305" s="21"/>
      <c r="E305" s="108"/>
      <c r="G305" s="29">
        <f t="shared" si="8"/>
        <v>32000000000302</v>
      </c>
      <c r="H305" s="30" t="str">
        <f t="shared" si="9"/>
        <v>PERFORM "SchData-OLTP-HumanResource"."Func_TblWorker_SET"(varSystemLoginSession, null::bigint, null::varchar, null::timestamptz, null::timestamptz, null::varchar, varInstitutionBranchID, varBaseCurrencyID, 25000000000302::bigint, null::varchar);</v>
      </c>
    </row>
    <row r="306" spans="2:8" x14ac:dyDescent="0.2">
      <c r="B306" s="37">
        <f>IF(EXACT([1]DataLookUp!$B306, ""), "", [1]DataLookUp!$B306)</f>
        <v>25000000000303</v>
      </c>
      <c r="C306" s="38" t="str">
        <f>IF(EXACT(B306, ""), "", VLOOKUP(B306, [1]DataLookUp!$B$4:$C$1000, 2,FALSE ))</f>
        <v>Mulyono</v>
      </c>
      <c r="D306" s="21"/>
      <c r="E306" s="108"/>
      <c r="G306" s="29">
        <f t="shared" si="8"/>
        <v>32000000000303</v>
      </c>
      <c r="H306" s="30" t="str">
        <f t="shared" si="9"/>
        <v>PERFORM "SchData-OLTP-HumanResource"."Func_TblWorker_SET"(varSystemLoginSession, null::bigint, null::varchar, null::timestamptz, null::timestamptz, null::varchar, varInstitutionBranchID, varBaseCurrencyID, 25000000000303::bigint, null::varchar);</v>
      </c>
    </row>
    <row r="307" spans="2:8" x14ac:dyDescent="0.2">
      <c r="B307" s="37">
        <f>IF(EXACT([1]DataLookUp!$B307, ""), "", [1]DataLookUp!$B307)</f>
        <v>25000000000304</v>
      </c>
      <c r="C307" s="38" t="str">
        <f>IF(EXACT(B307, ""), "", VLOOKUP(B307, [1]DataLookUp!$B$4:$C$1000, 2,FALSE ))</f>
        <v>Murdiansyah</v>
      </c>
      <c r="D307" s="21"/>
      <c r="E307" s="108"/>
      <c r="G307" s="29">
        <f t="shared" si="8"/>
        <v>32000000000304</v>
      </c>
      <c r="H307" s="30" t="str">
        <f t="shared" si="9"/>
        <v>PERFORM "SchData-OLTP-HumanResource"."Func_TblWorker_SET"(varSystemLoginSession, null::bigint, null::varchar, null::timestamptz, null::timestamptz, null::varchar, varInstitutionBranchID, varBaseCurrencyID, 25000000000304::bigint, null::varchar);</v>
      </c>
    </row>
    <row r="308" spans="2:8" x14ac:dyDescent="0.2">
      <c r="B308" s="37">
        <f>IF(EXACT([1]DataLookUp!$B308, ""), "", [1]DataLookUp!$B308)</f>
        <v>25000000000305</v>
      </c>
      <c r="C308" s="38" t="str">
        <f>IF(EXACT(B308, ""), "", VLOOKUP(B308, [1]DataLookUp!$B$4:$C$1000, 2,FALSE ))</f>
        <v>Mursalim</v>
      </c>
      <c r="D308" s="21"/>
      <c r="E308" s="108"/>
      <c r="G308" s="29">
        <f t="shared" si="8"/>
        <v>32000000000305</v>
      </c>
      <c r="H308" s="30" t="str">
        <f t="shared" si="9"/>
        <v>PERFORM "SchData-OLTP-HumanResource"."Func_TblWorker_SET"(varSystemLoginSession, null::bigint, null::varchar, null::timestamptz, null::timestamptz, null::varchar, varInstitutionBranchID, varBaseCurrencyID, 25000000000305::bigint, null::varchar);</v>
      </c>
    </row>
    <row r="309" spans="2:8" x14ac:dyDescent="0.2">
      <c r="B309" s="37">
        <f>IF(EXACT([1]DataLookUp!$B309, ""), "", [1]DataLookUp!$B309)</f>
        <v>25000000000306</v>
      </c>
      <c r="C309" s="38" t="str">
        <f>IF(EXACT(B309, ""), "", VLOOKUP(B309, [1]DataLookUp!$B$4:$C$1000, 2,FALSE ))</f>
        <v>Nancy Meriana Sinaga</v>
      </c>
      <c r="D309" s="21"/>
      <c r="E309" s="108"/>
      <c r="G309" s="29">
        <f t="shared" si="8"/>
        <v>32000000000306</v>
      </c>
      <c r="H309" s="30" t="str">
        <f t="shared" si="9"/>
        <v>PERFORM "SchData-OLTP-HumanResource"."Func_TblWorker_SET"(varSystemLoginSession, null::bigint, null::varchar, null::timestamptz, null::timestamptz, null::varchar, varInstitutionBranchID, varBaseCurrencyID, 25000000000306::bigint, null::varchar);</v>
      </c>
    </row>
    <row r="310" spans="2:8" x14ac:dyDescent="0.2">
      <c r="B310" s="37">
        <f>IF(EXACT([1]DataLookUp!$B310, ""), "", [1]DataLookUp!$B310)</f>
        <v>25000000000307</v>
      </c>
      <c r="C310" s="38" t="str">
        <f>IF(EXACT(B310, ""), "", VLOOKUP(B310, [1]DataLookUp!$B$4:$C$1000, 2,FALSE ))</f>
        <v>Nandang Effendi</v>
      </c>
      <c r="D310" s="21" t="s">
        <v>26</v>
      </c>
      <c r="E310" s="108"/>
      <c r="G310" s="29">
        <f t="shared" si="8"/>
        <v>32000000000307</v>
      </c>
      <c r="H310" s="30" t="str">
        <f t="shared" si="9"/>
        <v>PERFORM "SchData-OLTP-HumanResource"."Func_TblWorker_SET"(varSystemLoginSession, null::bigint, null::varchar, null::timestamptz, null::timestamptz, null::varchar, varInstitutionBranchID, varBaseCurrencyID, 25000000000307::bigint, '061106279'::varchar);</v>
      </c>
    </row>
    <row r="311" spans="2:8" x14ac:dyDescent="0.2">
      <c r="B311" s="37">
        <f>IF(EXACT([1]DataLookUp!$B311, ""), "", [1]DataLookUp!$B311)</f>
        <v>25000000000308</v>
      </c>
      <c r="C311" s="38" t="str">
        <f>IF(EXACT(B311, ""), "", VLOOKUP(B311, [1]DataLookUp!$B$4:$C$1000, 2,FALSE ))</f>
        <v>Narno</v>
      </c>
      <c r="D311" s="21"/>
      <c r="E311" s="108"/>
      <c r="G311" s="29">
        <f t="shared" si="8"/>
        <v>32000000000308</v>
      </c>
      <c r="H311" s="30" t="str">
        <f t="shared" si="9"/>
        <v>PERFORM "SchData-OLTP-HumanResource"."Func_TblWorker_SET"(varSystemLoginSession, null::bigint, null::varchar, null::timestamptz, null::timestamptz, null::varchar, varInstitutionBranchID, varBaseCurrencyID, 25000000000308::bigint, null::varchar);</v>
      </c>
    </row>
    <row r="312" spans="2:8" x14ac:dyDescent="0.2">
      <c r="B312" s="37">
        <f>IF(EXACT([1]DataLookUp!$B312, ""), "", [1]DataLookUp!$B312)</f>
        <v>25000000000309</v>
      </c>
      <c r="C312" s="38" t="str">
        <f>IF(EXACT(B312, ""), "", VLOOKUP(B312, [1]DataLookUp!$B$4:$C$1000, 2,FALSE ))</f>
        <v>Nasrul Anwar P.</v>
      </c>
      <c r="D312" s="21"/>
      <c r="E312" s="108"/>
      <c r="G312" s="29">
        <f t="shared" si="8"/>
        <v>32000000000309</v>
      </c>
      <c r="H312" s="30" t="str">
        <f t="shared" si="9"/>
        <v>PERFORM "SchData-OLTP-HumanResource"."Func_TblWorker_SET"(varSystemLoginSession, null::bigint, null::varchar, null::timestamptz, null::timestamptz, null::varchar, varInstitutionBranchID, varBaseCurrencyID, 25000000000309::bigint, null::varchar);</v>
      </c>
    </row>
    <row r="313" spans="2:8" x14ac:dyDescent="0.2">
      <c r="B313" s="37">
        <f>IF(EXACT([1]DataLookUp!$B313, ""), "", [1]DataLookUp!$B313)</f>
        <v>25000000000310</v>
      </c>
      <c r="C313" s="38" t="str">
        <f>IF(EXACT(B313, ""), "", VLOOKUP(B313, [1]DataLookUp!$B$4:$C$1000, 2,FALSE ))</f>
        <v>Nawal</v>
      </c>
      <c r="D313" s="21"/>
      <c r="E313" s="108"/>
      <c r="G313" s="29">
        <f t="shared" si="8"/>
        <v>32000000000310</v>
      </c>
      <c r="H313" s="30" t="str">
        <f t="shared" si="9"/>
        <v>PERFORM "SchData-OLTP-HumanResource"."Func_TblWorker_SET"(varSystemLoginSession, null::bigint, null::varchar, null::timestamptz, null::timestamptz, null::varchar, varInstitutionBranchID, varBaseCurrencyID, 25000000000310::bigint, null::varchar);</v>
      </c>
    </row>
    <row r="314" spans="2:8" x14ac:dyDescent="0.2">
      <c r="B314" s="37">
        <f>IF(EXACT([1]DataLookUp!$B314, ""), "", [1]DataLookUp!$B314)</f>
        <v>25000000000311</v>
      </c>
      <c r="C314" s="38" t="str">
        <f>IF(EXACT(B314, ""), "", VLOOKUP(B314, [1]DataLookUp!$B$4:$C$1000, 2,FALSE ))</f>
        <v>Nawir Lahamutu</v>
      </c>
      <c r="D314" s="21"/>
      <c r="E314" s="108"/>
      <c r="G314" s="29">
        <f t="shared" si="8"/>
        <v>32000000000311</v>
      </c>
      <c r="H314" s="30" t="str">
        <f t="shared" si="9"/>
        <v>PERFORM "SchData-OLTP-HumanResource"."Func_TblWorker_SET"(varSystemLoginSession, null::bigint, null::varchar, null::timestamptz, null::timestamptz, null::varchar, varInstitutionBranchID, varBaseCurrencyID, 25000000000311::bigint, null::varchar);</v>
      </c>
    </row>
    <row r="315" spans="2:8" x14ac:dyDescent="0.2">
      <c r="B315" s="37">
        <f>IF(EXACT([1]DataLookUp!$B315, ""), "", [1]DataLookUp!$B315)</f>
        <v>25000000000312</v>
      </c>
      <c r="C315" s="38" t="str">
        <f>IF(EXACT(B315, ""), "", VLOOKUP(B315, [1]DataLookUp!$B$4:$C$1000, 2,FALSE ))</f>
        <v>Nicky Kurnia</v>
      </c>
      <c r="D315" s="21"/>
      <c r="E315" s="108"/>
      <c r="G315" s="29">
        <f t="shared" si="8"/>
        <v>32000000000312</v>
      </c>
      <c r="H315" s="30" t="str">
        <f t="shared" si="9"/>
        <v>PERFORM "SchData-OLTP-HumanResource"."Func_TblWorker_SET"(varSystemLoginSession, null::bigint, null::varchar, null::timestamptz, null::timestamptz, null::varchar, varInstitutionBranchID, varBaseCurrencyID, 25000000000312::bigint, null::varchar);</v>
      </c>
    </row>
    <row r="316" spans="2:8" x14ac:dyDescent="0.2">
      <c r="B316" s="37">
        <f>IF(EXACT([1]DataLookUp!$B316, ""), "", [1]DataLookUp!$B316)</f>
        <v>25000000000313</v>
      </c>
      <c r="C316" s="38" t="str">
        <f>IF(EXACT(B316, ""), "", VLOOKUP(B316, [1]DataLookUp!$B$4:$C$1000, 2,FALSE ))</f>
        <v>Noercholis Firmansyah</v>
      </c>
      <c r="D316" s="21"/>
      <c r="E316" s="108"/>
      <c r="G316" s="29">
        <f t="shared" si="8"/>
        <v>32000000000313</v>
      </c>
      <c r="H316" s="30" t="str">
        <f t="shared" si="9"/>
        <v>PERFORM "SchData-OLTP-HumanResource"."Func_TblWorker_SET"(varSystemLoginSession, null::bigint, null::varchar, null::timestamptz, null::timestamptz, null::varchar, varInstitutionBranchID, varBaseCurrencyID, 25000000000313::bigint, null::varchar);</v>
      </c>
    </row>
    <row r="317" spans="2:8" x14ac:dyDescent="0.2">
      <c r="B317" s="37">
        <f>IF(EXACT([1]DataLookUp!$B317, ""), "", [1]DataLookUp!$B317)</f>
        <v>25000000000314</v>
      </c>
      <c r="C317" s="38" t="str">
        <f>IF(EXACT(B317, ""), "", VLOOKUP(B317, [1]DataLookUp!$B$4:$C$1000, 2,FALSE ))</f>
        <v>Nopitasari</v>
      </c>
      <c r="D317" s="21"/>
      <c r="E317" s="108"/>
      <c r="G317" s="29">
        <f t="shared" si="8"/>
        <v>32000000000314</v>
      </c>
      <c r="H317" s="30" t="str">
        <f t="shared" si="9"/>
        <v>PERFORM "SchData-OLTP-HumanResource"."Func_TblWorker_SET"(varSystemLoginSession, null::bigint, null::varchar, null::timestamptz, null::timestamptz, null::varchar, varInstitutionBranchID, varBaseCurrencyID, 25000000000314::bigint, null::varchar);</v>
      </c>
    </row>
    <row r="318" spans="2:8" x14ac:dyDescent="0.2">
      <c r="B318" s="37">
        <f>IF(EXACT([1]DataLookUp!$B318, ""), "", [1]DataLookUp!$B318)</f>
        <v>25000000000315</v>
      </c>
      <c r="C318" s="38" t="str">
        <f>IF(EXACT(B318, ""), "", VLOOKUP(B318, [1]DataLookUp!$B$4:$C$1000, 2,FALSE ))</f>
        <v>Nora Meilissa</v>
      </c>
      <c r="D318" s="21"/>
      <c r="E318" s="108"/>
      <c r="G318" s="29">
        <f t="shared" si="8"/>
        <v>32000000000315</v>
      </c>
      <c r="H318" s="30" t="str">
        <f t="shared" si="9"/>
        <v>PERFORM "SchData-OLTP-HumanResource"."Func_TblWorker_SET"(varSystemLoginSession, null::bigint, null::varchar, null::timestamptz, null::timestamptz, null::varchar, varInstitutionBranchID, varBaseCurrencyID, 25000000000315::bigint, null::varchar);</v>
      </c>
    </row>
    <row r="319" spans="2:8" x14ac:dyDescent="0.2">
      <c r="B319" s="37">
        <f>IF(EXACT([1]DataLookUp!$B319, ""), "", [1]DataLookUp!$B319)</f>
        <v>25000000000316</v>
      </c>
      <c r="C319" s="38" t="str">
        <f>IF(EXACT(B319, ""), "", VLOOKUP(B319, [1]DataLookUp!$B$4:$C$1000, 2,FALSE ))</f>
        <v>Novalia</v>
      </c>
      <c r="D319" s="21"/>
      <c r="E319" s="108"/>
      <c r="G319" s="29">
        <f t="shared" si="8"/>
        <v>32000000000316</v>
      </c>
      <c r="H319" s="30" t="str">
        <f t="shared" si="9"/>
        <v>PERFORM "SchData-OLTP-HumanResource"."Func_TblWorker_SET"(varSystemLoginSession, null::bigint, null::varchar, null::timestamptz, null::timestamptz, null::varchar, varInstitutionBranchID, varBaseCurrencyID, 25000000000316::bigint, null::varchar);</v>
      </c>
    </row>
    <row r="320" spans="2:8" x14ac:dyDescent="0.2">
      <c r="B320" s="37">
        <f>IF(EXACT([1]DataLookUp!$B320, ""), "", [1]DataLookUp!$B320)</f>
        <v>25000000000317</v>
      </c>
      <c r="C320" s="38" t="str">
        <f>IF(EXACT(B320, ""), "", VLOOKUP(B320, [1]DataLookUp!$B$4:$C$1000, 2,FALSE ))</f>
        <v>Novan Nugraha</v>
      </c>
      <c r="D320" s="21"/>
      <c r="E320" s="108"/>
      <c r="G320" s="29">
        <f t="shared" si="8"/>
        <v>32000000000317</v>
      </c>
      <c r="H320" s="30" t="str">
        <f t="shared" si="9"/>
        <v>PERFORM "SchData-OLTP-HumanResource"."Func_TblWorker_SET"(varSystemLoginSession, null::bigint, null::varchar, null::timestamptz, null::timestamptz, null::varchar, varInstitutionBranchID, varBaseCurrencyID, 25000000000317::bigint, null::varchar);</v>
      </c>
    </row>
    <row r="321" spans="2:8" x14ac:dyDescent="0.2">
      <c r="B321" s="37">
        <f>IF(EXACT([1]DataLookUp!$B321, ""), "", [1]DataLookUp!$B321)</f>
        <v>25000000000318</v>
      </c>
      <c r="C321" s="38" t="str">
        <f>IF(EXACT(B321, ""), "", VLOOKUP(B321, [1]DataLookUp!$B$4:$C$1000, 2,FALSE ))</f>
        <v>Nugraha</v>
      </c>
      <c r="D321" s="21"/>
      <c r="E321" s="108"/>
      <c r="G321" s="29">
        <f t="shared" si="8"/>
        <v>32000000000318</v>
      </c>
      <c r="H321" s="30" t="str">
        <f t="shared" si="9"/>
        <v>PERFORM "SchData-OLTP-HumanResource"."Func_TblWorker_SET"(varSystemLoginSession, null::bigint, null::varchar, null::timestamptz, null::timestamptz, null::varchar, varInstitutionBranchID, varBaseCurrencyID, 25000000000318::bigint, null::varchar);</v>
      </c>
    </row>
    <row r="322" spans="2:8" x14ac:dyDescent="0.2">
      <c r="B322" s="37">
        <f>IF(EXACT([1]DataLookUp!$B322, ""), "", [1]DataLookUp!$B322)</f>
        <v>25000000000319</v>
      </c>
      <c r="C322" s="38" t="str">
        <f>IF(EXACT(B322, ""), "", VLOOKUP(B322, [1]DataLookUp!$B$4:$C$1000, 2,FALSE ))</f>
        <v>Nugroho Putranto</v>
      </c>
      <c r="D322" s="21"/>
      <c r="E322" s="108"/>
      <c r="G322" s="29">
        <f t="shared" si="8"/>
        <v>32000000000319</v>
      </c>
      <c r="H322" s="30" t="str">
        <f t="shared" si="9"/>
        <v>PERFORM "SchData-OLTP-HumanResource"."Func_TblWorker_SET"(varSystemLoginSession, null::bigint, null::varchar, null::timestamptz, null::timestamptz, null::varchar, varInstitutionBranchID, varBaseCurrencyID, 25000000000319::bigint, null::varchar);</v>
      </c>
    </row>
    <row r="323" spans="2:8" x14ac:dyDescent="0.2">
      <c r="B323" s="37">
        <f>IF(EXACT([1]DataLookUp!$B323, ""), "", [1]DataLookUp!$B323)</f>
        <v>25000000000320</v>
      </c>
      <c r="C323" s="38" t="str">
        <f>IF(EXACT(B323, ""), "", VLOOKUP(B323, [1]DataLookUp!$B$4:$C$1000, 2,FALSE ))</f>
        <v>Nur Indra Sri Melati</v>
      </c>
      <c r="D323" s="21"/>
      <c r="E323" s="108"/>
      <c r="G323" s="29">
        <f t="shared" si="8"/>
        <v>32000000000320</v>
      </c>
      <c r="H323" s="30" t="str">
        <f t="shared" si="9"/>
        <v>PERFORM "SchData-OLTP-HumanResource"."Func_TblWorker_SET"(varSystemLoginSession, null::bigint, null::varchar, null::timestamptz, null::timestamptz, null::varchar, varInstitutionBranchID, varBaseCurrencyID, 25000000000320::bigint, null::varchar);</v>
      </c>
    </row>
    <row r="324" spans="2:8" x14ac:dyDescent="0.2">
      <c r="B324" s="37">
        <f>IF(EXACT([1]DataLookUp!$B324, ""), "", [1]DataLookUp!$B324)</f>
        <v>25000000000321</v>
      </c>
      <c r="C324" s="38" t="str">
        <f>IF(EXACT(B324, ""), "", VLOOKUP(B324, [1]DataLookUp!$B$4:$C$1000, 2,FALSE ))</f>
        <v>Nur Kusumowati</v>
      </c>
      <c r="D324" s="21"/>
      <c r="E324" s="108"/>
      <c r="G324" s="29">
        <f t="shared" si="8"/>
        <v>32000000000321</v>
      </c>
      <c r="H324" s="30" t="str">
        <f t="shared" si="9"/>
        <v>PERFORM "SchData-OLTP-HumanResource"."Func_TblWorker_SET"(varSystemLoginSession, null::bigint, null::varchar, null::timestamptz, null::timestamptz, null::varchar, varInstitutionBranchID, varBaseCurrencyID, 25000000000321::bigint, null::varchar);</v>
      </c>
    </row>
    <row r="325" spans="2:8" x14ac:dyDescent="0.2">
      <c r="B325" s="37">
        <f>IF(EXACT([1]DataLookUp!$B325, ""), "", [1]DataLookUp!$B325)</f>
        <v>25000000000322</v>
      </c>
      <c r="C325" s="38" t="str">
        <f>IF(EXACT(B325, ""), "", VLOOKUP(B325, [1]DataLookUp!$B$4:$C$1000, 2,FALSE ))</f>
        <v>Nurhidayat</v>
      </c>
      <c r="D325" s="21"/>
      <c r="E325" s="108"/>
      <c r="G325" s="29">
        <f t="shared" ref="G325:G388" si="10" xml:space="preserve"> G324 + IF(EXACT(H325, ""), 0, 1)</f>
        <v>32000000000322</v>
      </c>
      <c r="H325" s="30" t="str">
        <f t="shared" ref="H325:H388" si="11">CONCATENATE("PERFORM ""SchData-OLTP-HumanResource"".""Func_TblWorker_SET""(varSystemLoginSession, null::bigint, null::varchar, null::timestamptz, null::timestamptz, null::varchar, varInstitutionBranchID, varBaseCurrencyID, ", B325, "::bigint, ", IF(EXACT(D325, ""), "null", CONCATENATE("'", D325, "'")), "::varchar);")</f>
        <v>PERFORM "SchData-OLTP-HumanResource"."Func_TblWorker_SET"(varSystemLoginSession, null::bigint, null::varchar, null::timestamptz, null::timestamptz, null::varchar, varInstitutionBranchID, varBaseCurrencyID, 25000000000322::bigint, null::varchar);</v>
      </c>
    </row>
    <row r="326" spans="2:8" x14ac:dyDescent="0.2">
      <c r="B326" s="37">
        <f>IF(EXACT([1]DataLookUp!$B326, ""), "", [1]DataLookUp!$B326)</f>
        <v>25000000000323</v>
      </c>
      <c r="C326" s="38" t="str">
        <f>IF(EXACT(B326, ""), "", VLOOKUP(B326, [1]DataLookUp!$B$4:$C$1000, 2,FALSE ))</f>
        <v>Otong Bustori</v>
      </c>
      <c r="D326" s="21"/>
      <c r="E326" s="108"/>
      <c r="G326" s="29">
        <f t="shared" si="10"/>
        <v>32000000000323</v>
      </c>
      <c r="H32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25000000000323::bigint, null::varchar);</v>
      </c>
    </row>
    <row r="327" spans="2:8" x14ac:dyDescent="0.2">
      <c r="B327" s="37">
        <f>IF(EXACT([1]DataLookUp!$B327, ""), "", [1]DataLookUp!$B327)</f>
        <v>25000000000324</v>
      </c>
      <c r="C327" s="38" t="str">
        <f>IF(EXACT(B327, ""), "", VLOOKUP(B327, [1]DataLookUp!$B$4:$C$1000, 2,FALSE ))</f>
        <v>Paino Suprayinto</v>
      </c>
      <c r="D327" s="21"/>
      <c r="E327" s="108"/>
      <c r="G327" s="29">
        <f t="shared" si="10"/>
        <v>32000000000324</v>
      </c>
      <c r="H32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25000000000324::bigint, null::varchar);</v>
      </c>
    </row>
    <row r="328" spans="2:8" x14ac:dyDescent="0.2">
      <c r="B328" s="37">
        <f>IF(EXACT([1]DataLookUp!$B328, ""), "", [1]DataLookUp!$B328)</f>
        <v>25000000000325</v>
      </c>
      <c r="C328" s="38" t="str">
        <f>IF(EXACT(B328, ""), "", VLOOKUP(B328, [1]DataLookUp!$B$4:$C$1000, 2,FALSE ))</f>
        <v>Panca Yudi Baskoro</v>
      </c>
      <c r="D328" s="21" t="s">
        <v>51</v>
      </c>
      <c r="E328" s="108"/>
      <c r="G328" s="29">
        <f t="shared" si="10"/>
        <v>32000000000325</v>
      </c>
      <c r="H32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25000000000325::bigint, '070518868'::varchar);</v>
      </c>
    </row>
    <row r="329" spans="2:8" x14ac:dyDescent="0.2">
      <c r="B329" s="37">
        <f>IF(EXACT([1]DataLookUp!$B329, ""), "", [1]DataLookUp!$B329)</f>
        <v>25000000000326</v>
      </c>
      <c r="C329" s="38" t="str">
        <f>IF(EXACT(B329, ""), "", VLOOKUP(B329, [1]DataLookUp!$B$4:$C$1000, 2,FALSE ))</f>
        <v>Panji Bima Santri</v>
      </c>
      <c r="D329" s="21"/>
      <c r="E329" s="108"/>
      <c r="G329" s="29">
        <f t="shared" si="10"/>
        <v>32000000000326</v>
      </c>
      <c r="H329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25000000000326::bigint, null::varchar);</v>
      </c>
    </row>
    <row r="330" spans="2:8" x14ac:dyDescent="0.2">
      <c r="B330" s="37">
        <f>IF(EXACT([1]DataLookUp!$B330, ""), "", [1]DataLookUp!$B330)</f>
        <v>25000000000327</v>
      </c>
      <c r="C330" s="38" t="str">
        <f>IF(EXACT(B330, ""), "", VLOOKUP(B330, [1]DataLookUp!$B$4:$C$1000, 2,FALSE ))</f>
        <v>Parulian Napitupulu</v>
      </c>
      <c r="D330" s="21"/>
      <c r="E330" s="108"/>
      <c r="G330" s="29">
        <f t="shared" si="10"/>
        <v>32000000000327</v>
      </c>
      <c r="H330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25000000000327::bigint, null::varchar);</v>
      </c>
    </row>
    <row r="331" spans="2:8" x14ac:dyDescent="0.2">
      <c r="B331" s="37">
        <f>IF(EXACT([1]DataLookUp!$B331, ""), "", [1]DataLookUp!$B331)</f>
        <v>25000000000328</v>
      </c>
      <c r="C331" s="38" t="str">
        <f>IF(EXACT(B331, ""), "", VLOOKUP(B331, [1]DataLookUp!$B$4:$C$1000, 2,FALSE ))</f>
        <v>Paryanto</v>
      </c>
      <c r="D331" s="21"/>
      <c r="E331" s="108"/>
      <c r="G331" s="29">
        <f t="shared" si="10"/>
        <v>32000000000328</v>
      </c>
      <c r="H331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25000000000328::bigint, null::varchar);</v>
      </c>
    </row>
    <row r="332" spans="2:8" x14ac:dyDescent="0.2">
      <c r="B332" s="37">
        <f>IF(EXACT([1]DataLookUp!$B332, ""), "", [1]DataLookUp!$B332)</f>
        <v>25000000000329</v>
      </c>
      <c r="C332" s="38" t="str">
        <f>IF(EXACT(B332, ""), "", VLOOKUP(B332, [1]DataLookUp!$B$4:$C$1000, 2,FALSE ))</f>
        <v>Pikri Hidayat</v>
      </c>
      <c r="D332" s="21"/>
      <c r="E332" s="108"/>
      <c r="G332" s="29">
        <f t="shared" si="10"/>
        <v>32000000000329</v>
      </c>
      <c r="H332" s="30" t="str">
        <f t="shared" si="11"/>
        <v>PERFORM "SchData-OLTP-HumanResource"."Func_TblWorker_SET"(varSystemLoginSession, null::bigint, null::varchar, null::timestamptz, null::timestamptz, null::varchar, varInstitutionBranchID, varBaseCurrencyID, 25000000000329::bigint, null::varchar);</v>
      </c>
    </row>
    <row r="333" spans="2:8" x14ac:dyDescent="0.2">
      <c r="B333" s="37">
        <f>IF(EXACT([1]DataLookUp!$B333, ""), "", [1]DataLookUp!$B333)</f>
        <v>25000000000330</v>
      </c>
      <c r="C333" s="38" t="str">
        <f>IF(EXACT(B333, ""), "", VLOOKUP(B333, [1]DataLookUp!$B$4:$C$1000, 2,FALSE ))</f>
        <v>Prayanti Dewi Anggraini</v>
      </c>
      <c r="D333" s="21">
        <v>260115754</v>
      </c>
      <c r="E333" s="108"/>
      <c r="G333" s="29">
        <f t="shared" si="10"/>
        <v>32000000000330</v>
      </c>
      <c r="H333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25000000000330::bigint, '260115754'::varchar);</v>
      </c>
    </row>
    <row r="334" spans="2:8" x14ac:dyDescent="0.2">
      <c r="B334" s="37">
        <f>IF(EXACT([1]DataLookUp!$B334, ""), "", [1]DataLookUp!$B334)</f>
        <v>25000000000331</v>
      </c>
      <c r="C334" s="38" t="str">
        <f>IF(EXACT(B334, ""), "", VLOOKUP(B334, [1]DataLookUp!$B$4:$C$1000, 2,FALSE ))</f>
        <v>Prayati Zai</v>
      </c>
      <c r="D334" s="21"/>
      <c r="E334" s="108"/>
      <c r="G334" s="29">
        <f t="shared" si="10"/>
        <v>32000000000331</v>
      </c>
      <c r="H334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25000000000331::bigint, null::varchar);</v>
      </c>
    </row>
    <row r="335" spans="2:8" x14ac:dyDescent="0.2">
      <c r="B335" s="37">
        <f>IF(EXACT([1]DataLookUp!$B335, ""), "", [1]DataLookUp!$B335)</f>
        <v>25000000000332</v>
      </c>
      <c r="C335" s="38" t="str">
        <f>IF(EXACT(B335, ""), "", VLOOKUP(B335, [1]DataLookUp!$B$4:$C$1000, 2,FALSE ))</f>
        <v>Pristu Andonoto</v>
      </c>
      <c r="D335" s="21"/>
      <c r="E335" s="108"/>
      <c r="G335" s="29">
        <f t="shared" si="10"/>
        <v>32000000000332</v>
      </c>
      <c r="H335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25000000000332::bigint, null::varchar);</v>
      </c>
    </row>
    <row r="336" spans="2:8" x14ac:dyDescent="0.2">
      <c r="B336" s="37">
        <f>IF(EXACT([1]DataLookUp!$B336, ""), "", [1]DataLookUp!$B336)</f>
        <v>25000000000333</v>
      </c>
      <c r="C336" s="38" t="str">
        <f>IF(EXACT(B336, ""), "", VLOOKUP(B336, [1]DataLookUp!$B$4:$C$1000, 2,FALSE ))</f>
        <v>Putra Perdana Tirtomoyo</v>
      </c>
      <c r="D336" s="21"/>
      <c r="E336" s="108"/>
      <c r="G336" s="29">
        <f t="shared" si="10"/>
        <v>32000000000333</v>
      </c>
      <c r="H33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25000000000333::bigint, null::varchar);</v>
      </c>
    </row>
    <row r="337" spans="2:8" x14ac:dyDescent="0.2">
      <c r="B337" s="37">
        <f>IF(EXACT([1]DataLookUp!$B337, ""), "", [1]DataLookUp!$B337)</f>
        <v>25000000000334</v>
      </c>
      <c r="C337" s="38" t="str">
        <f>IF(EXACT(B337, ""), "", VLOOKUP(B337, [1]DataLookUp!$B$4:$C$1000, 2,FALSE ))</f>
        <v>R. Lar Kumalaning Tresno</v>
      </c>
      <c r="D337" s="21"/>
      <c r="E337" s="108"/>
      <c r="G337" s="29">
        <f t="shared" si="10"/>
        <v>32000000000334</v>
      </c>
      <c r="H33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25000000000334::bigint, null::varchar);</v>
      </c>
    </row>
    <row r="338" spans="2:8" x14ac:dyDescent="0.2">
      <c r="B338" s="37">
        <f>IF(EXACT([1]DataLookUp!$B338, ""), "", [1]DataLookUp!$B338)</f>
        <v>25000000000335</v>
      </c>
      <c r="C338" s="38" t="str">
        <f>IF(EXACT(B338, ""), "", VLOOKUP(B338, [1]DataLookUp!$B$4:$C$1000, 2,FALSE ))</f>
        <v>Rachmad</v>
      </c>
      <c r="D338" s="21"/>
      <c r="E338" s="108"/>
      <c r="G338" s="29">
        <f t="shared" si="10"/>
        <v>32000000000335</v>
      </c>
      <c r="H33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25000000000335::bigint, null::varchar);</v>
      </c>
    </row>
    <row r="339" spans="2:8" x14ac:dyDescent="0.2">
      <c r="B339" s="37">
        <f>IF(EXACT([1]DataLookUp!$B339, ""), "", [1]DataLookUp!$B339)</f>
        <v>25000000000336</v>
      </c>
      <c r="C339" s="38" t="str">
        <f>IF(EXACT(B339, ""), "", VLOOKUP(B339, [1]DataLookUp!$B$4:$C$1000, 2,FALSE ))</f>
        <v>Radjiman</v>
      </c>
      <c r="D339" s="21"/>
      <c r="E339" s="108"/>
      <c r="G339" s="29">
        <f t="shared" si="10"/>
        <v>32000000000336</v>
      </c>
      <c r="H339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25000000000336::bigint, null::varchar);</v>
      </c>
    </row>
    <row r="340" spans="2:8" x14ac:dyDescent="0.2">
      <c r="B340" s="37">
        <f>IF(EXACT([1]DataLookUp!$B340, ""), "", [1]DataLookUp!$B340)</f>
        <v>25000000000337</v>
      </c>
      <c r="C340" s="38" t="str">
        <f>IF(EXACT(B340, ""), "", VLOOKUP(B340, [1]DataLookUp!$B$4:$C$1000, 2,FALSE ))</f>
        <v>Rafi Firman Saputra</v>
      </c>
      <c r="D340" s="21"/>
      <c r="E340" s="108"/>
      <c r="G340" s="29">
        <f t="shared" si="10"/>
        <v>32000000000337</v>
      </c>
      <c r="H340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25000000000337::bigint, null::varchar);</v>
      </c>
    </row>
    <row r="341" spans="2:8" x14ac:dyDescent="0.2">
      <c r="B341" s="37">
        <f>IF(EXACT([1]DataLookUp!$B341, ""), "", [1]DataLookUp!$B341)</f>
        <v>25000000000338</v>
      </c>
      <c r="C341" s="38" t="str">
        <f>IF(EXACT(B341, ""), "", VLOOKUP(B341, [1]DataLookUp!$B$4:$C$1000, 2,FALSE ))</f>
        <v>Rahmat Riyadi</v>
      </c>
      <c r="D341" s="21"/>
      <c r="E341" s="108"/>
      <c r="G341" s="29">
        <f t="shared" si="10"/>
        <v>32000000000338</v>
      </c>
      <c r="H341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25000000000338::bigint, null::varchar);</v>
      </c>
    </row>
    <row r="342" spans="2:8" x14ac:dyDescent="0.2">
      <c r="B342" s="37">
        <f>IF(EXACT([1]DataLookUp!$B342, ""), "", [1]DataLookUp!$B342)</f>
        <v>25000000000339</v>
      </c>
      <c r="C342" s="38" t="str">
        <f>IF(EXACT(B342, ""), "", VLOOKUP(B342, [1]DataLookUp!$B$4:$C$1000, 2,FALSE ))</f>
        <v>Rahmat Sirfano</v>
      </c>
      <c r="D342" s="21"/>
      <c r="E342" s="108"/>
      <c r="G342" s="29">
        <f t="shared" si="10"/>
        <v>32000000000339</v>
      </c>
      <c r="H342" s="30" t="str">
        <f t="shared" si="11"/>
        <v>PERFORM "SchData-OLTP-HumanResource"."Func_TblWorker_SET"(varSystemLoginSession, null::bigint, null::varchar, null::timestamptz, null::timestamptz, null::varchar, varInstitutionBranchID, varBaseCurrencyID, 25000000000339::bigint, null::varchar);</v>
      </c>
    </row>
    <row r="343" spans="2:8" x14ac:dyDescent="0.2">
      <c r="B343" s="37">
        <f>IF(EXACT([1]DataLookUp!$B343, ""), "", [1]DataLookUp!$B343)</f>
        <v>25000000000340</v>
      </c>
      <c r="C343" s="38" t="str">
        <f>IF(EXACT(B343, ""), "", VLOOKUP(B343, [1]DataLookUp!$B$4:$C$1000, 2,FALSE ))</f>
        <v>Rais Indra Noor</v>
      </c>
      <c r="D343" s="21"/>
      <c r="E343" s="108"/>
      <c r="G343" s="29">
        <f t="shared" si="10"/>
        <v>32000000000340</v>
      </c>
      <c r="H343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25000000000340::bigint, null::varchar);</v>
      </c>
    </row>
    <row r="344" spans="2:8" x14ac:dyDescent="0.2">
      <c r="B344" s="37">
        <f>IF(EXACT([1]DataLookUp!$B344, ""), "", [1]DataLookUp!$B344)</f>
        <v>25000000000341</v>
      </c>
      <c r="C344" s="38" t="str">
        <f>IF(EXACT(B344, ""), "", VLOOKUP(B344, [1]DataLookUp!$B$4:$C$1000, 2,FALSE ))</f>
        <v>Rakman A. Hadi</v>
      </c>
      <c r="D344" s="21"/>
      <c r="E344" s="108"/>
      <c r="G344" s="29">
        <f t="shared" si="10"/>
        <v>32000000000341</v>
      </c>
      <c r="H344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25000000000341::bigint, null::varchar);</v>
      </c>
    </row>
    <row r="345" spans="2:8" x14ac:dyDescent="0.2">
      <c r="B345" s="37">
        <f>IF(EXACT([1]DataLookUp!$B345, ""), "", [1]DataLookUp!$B345)</f>
        <v>25000000000342</v>
      </c>
      <c r="C345" s="38" t="str">
        <f>IF(EXACT(B345, ""), "", VLOOKUP(B345, [1]DataLookUp!$B$4:$C$1000, 2,FALSE ))</f>
        <v>Ramaizon</v>
      </c>
      <c r="D345" s="21"/>
      <c r="E345" s="108"/>
      <c r="G345" s="29">
        <f t="shared" si="10"/>
        <v>32000000000342</v>
      </c>
      <c r="H345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25000000000342::bigint, null::varchar);</v>
      </c>
    </row>
    <row r="346" spans="2:8" x14ac:dyDescent="0.2">
      <c r="B346" s="37">
        <f>IF(EXACT([1]DataLookUp!$B346, ""), "", [1]DataLookUp!$B346)</f>
        <v>25000000000343</v>
      </c>
      <c r="C346" s="38" t="str">
        <f>IF(EXACT(B346, ""), "", VLOOKUP(B346, [1]DataLookUp!$B$4:$C$1000, 2,FALSE ))</f>
        <v>Rangga Darmawan</v>
      </c>
      <c r="D346" s="21"/>
      <c r="E346" s="108"/>
      <c r="G346" s="29">
        <f t="shared" si="10"/>
        <v>32000000000343</v>
      </c>
      <c r="H34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25000000000343::bigint, null::varchar);</v>
      </c>
    </row>
    <row r="347" spans="2:8" x14ac:dyDescent="0.2">
      <c r="B347" s="37">
        <f>IF(EXACT([1]DataLookUp!$B347, ""), "", [1]DataLookUp!$B347)</f>
        <v>25000000000344</v>
      </c>
      <c r="C347" s="38" t="str">
        <f>IF(EXACT(B347, ""), "", VLOOKUP(B347, [1]DataLookUp!$B$4:$C$1000, 2,FALSE ))</f>
        <v>Raoli Nainggolan</v>
      </c>
      <c r="D347" s="21"/>
      <c r="E347" s="108"/>
      <c r="G347" s="29">
        <f t="shared" si="10"/>
        <v>32000000000344</v>
      </c>
      <c r="H34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25000000000344::bigint, null::varchar);</v>
      </c>
    </row>
    <row r="348" spans="2:8" x14ac:dyDescent="0.2">
      <c r="B348" s="37">
        <f>IF(EXACT([1]DataLookUp!$B348, ""), "", [1]DataLookUp!$B348)</f>
        <v>25000000000345</v>
      </c>
      <c r="C348" s="38" t="str">
        <f>IF(EXACT(B348, ""), "", VLOOKUP(B348, [1]DataLookUp!$B$4:$C$1000, 2,FALSE ))</f>
        <v>Rayan Suryadikara</v>
      </c>
      <c r="D348" s="21"/>
      <c r="E348" s="108"/>
      <c r="G348" s="29">
        <f t="shared" si="10"/>
        <v>32000000000345</v>
      </c>
      <c r="H34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25000000000345::bigint, null::varchar);</v>
      </c>
    </row>
    <row r="349" spans="2:8" x14ac:dyDescent="0.2">
      <c r="B349" s="37">
        <f>IF(EXACT([1]DataLookUp!$B349, ""), "", [1]DataLookUp!$B349)</f>
        <v>25000000000346</v>
      </c>
      <c r="C349" s="38" t="str">
        <f>IF(EXACT(B349, ""), "", VLOOKUP(B349, [1]DataLookUp!$B$4:$C$1000, 2,FALSE ))</f>
        <v>Redi Setiadi</v>
      </c>
      <c r="D349" s="21"/>
      <c r="E349" s="108"/>
      <c r="G349" s="29">
        <f t="shared" si="10"/>
        <v>32000000000346</v>
      </c>
      <c r="H349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25000000000346::bigint, null::varchar);</v>
      </c>
    </row>
    <row r="350" spans="2:8" x14ac:dyDescent="0.2">
      <c r="B350" s="37">
        <f>IF(EXACT([1]DataLookUp!$B350, ""), "", [1]DataLookUp!$B350)</f>
        <v>25000000000347</v>
      </c>
      <c r="C350" s="38" t="str">
        <f>IF(EXACT(B350, ""), "", VLOOKUP(B350, [1]DataLookUp!$B$4:$C$1000, 2,FALSE ))</f>
        <v>Redi Subekti</v>
      </c>
      <c r="D350" s="21">
        <v>160603000</v>
      </c>
      <c r="E350" s="108"/>
      <c r="G350" s="29">
        <f t="shared" si="10"/>
        <v>32000000000347</v>
      </c>
      <c r="H350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25000000000347::bigint, '160603000'::varchar);</v>
      </c>
    </row>
    <row r="351" spans="2:8" x14ac:dyDescent="0.2">
      <c r="B351" s="37">
        <f>IF(EXACT([1]DataLookUp!$B351, ""), "", [1]DataLookUp!$B351)</f>
        <v>25000000000348</v>
      </c>
      <c r="C351" s="38" t="str">
        <f>IF(EXACT(B351, ""), "", VLOOKUP(B351, [1]DataLookUp!$B$4:$C$1000, 2,FALSE ))</f>
        <v>Rendy Prananta Purba</v>
      </c>
      <c r="D351" s="21"/>
      <c r="E351" s="108"/>
      <c r="G351" s="29">
        <f t="shared" si="10"/>
        <v>32000000000348</v>
      </c>
      <c r="H351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25000000000348::bigint, null::varchar);</v>
      </c>
    </row>
    <row r="352" spans="2:8" x14ac:dyDescent="0.2">
      <c r="B352" s="37">
        <f>IF(EXACT([1]DataLookUp!$B352, ""), "", [1]DataLookUp!$B352)</f>
        <v>25000000000349</v>
      </c>
      <c r="C352" s="38" t="str">
        <f>IF(EXACT(B352, ""), "", VLOOKUP(B352, [1]DataLookUp!$B$4:$C$1000, 2,FALSE ))</f>
        <v>Reni Septiana</v>
      </c>
      <c r="D352" s="21"/>
      <c r="E352" s="108"/>
      <c r="G352" s="29">
        <f t="shared" si="10"/>
        <v>32000000000349</v>
      </c>
      <c r="H352" s="30" t="str">
        <f t="shared" si="11"/>
        <v>PERFORM "SchData-OLTP-HumanResource"."Func_TblWorker_SET"(varSystemLoginSession, null::bigint, null::varchar, null::timestamptz, null::timestamptz, null::varchar, varInstitutionBranchID, varBaseCurrencyID, 25000000000349::bigint, null::varchar);</v>
      </c>
    </row>
    <row r="353" spans="2:8" x14ac:dyDescent="0.2">
      <c r="B353" s="37">
        <f>IF(EXACT([1]DataLookUp!$B353, ""), "", [1]DataLookUp!$B353)</f>
        <v>25000000000350</v>
      </c>
      <c r="C353" s="38" t="str">
        <f>IF(EXACT(B353, ""), "", VLOOKUP(B353, [1]DataLookUp!$B$4:$C$1000, 2,FALSE ))</f>
        <v>Rere Ronggolawe</v>
      </c>
      <c r="D353" s="21"/>
      <c r="E353" s="108"/>
      <c r="G353" s="29">
        <f t="shared" si="10"/>
        <v>32000000000350</v>
      </c>
      <c r="H353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25000000000350::bigint, null::varchar);</v>
      </c>
    </row>
    <row r="354" spans="2:8" x14ac:dyDescent="0.2">
      <c r="B354" s="37">
        <f>IF(EXACT([1]DataLookUp!$B354, ""), "", [1]DataLookUp!$B354)</f>
        <v>25000000000351</v>
      </c>
      <c r="C354" s="38" t="str">
        <f>IF(EXACT(B354, ""), "", VLOOKUP(B354, [1]DataLookUp!$B$4:$C$1000, 2,FALSE ))</f>
        <v>Retnasha Gameswari</v>
      </c>
      <c r="D354" s="21"/>
      <c r="E354" s="108"/>
      <c r="G354" s="29">
        <f t="shared" si="10"/>
        <v>32000000000351</v>
      </c>
      <c r="H354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25000000000351::bigint, null::varchar);</v>
      </c>
    </row>
    <row r="355" spans="2:8" x14ac:dyDescent="0.2">
      <c r="B355" s="37">
        <f>IF(EXACT([1]DataLookUp!$B355, ""), "", [1]DataLookUp!$B355)</f>
        <v>25000000000352</v>
      </c>
      <c r="C355" s="38" t="str">
        <f>IF(EXACT(B355, ""), "", VLOOKUP(B355, [1]DataLookUp!$B$4:$C$1000, 2,FALSE ))</f>
        <v>Rhino Priawan</v>
      </c>
      <c r="D355" s="21">
        <v>221110557</v>
      </c>
      <c r="E355" s="108"/>
      <c r="G355" s="29">
        <f t="shared" si="10"/>
        <v>32000000000352</v>
      </c>
      <c r="H355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25000000000352::bigint, '221110557'::varchar);</v>
      </c>
    </row>
    <row r="356" spans="2:8" x14ac:dyDescent="0.2">
      <c r="B356" s="37">
        <f>IF(EXACT([1]DataLookUp!$B356, ""), "", [1]DataLookUp!$B356)</f>
        <v>25000000000353</v>
      </c>
      <c r="C356" s="38" t="str">
        <f>IF(EXACT(B356, ""), "", VLOOKUP(B356, [1]DataLookUp!$B$4:$C$1000, 2,FALSE ))</f>
        <v>Rian Yushak</v>
      </c>
      <c r="D356" s="21"/>
      <c r="E356" s="108"/>
      <c r="G356" s="29">
        <f t="shared" si="10"/>
        <v>32000000000353</v>
      </c>
      <c r="H35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25000000000353::bigint, null::varchar);</v>
      </c>
    </row>
    <row r="357" spans="2:8" x14ac:dyDescent="0.2">
      <c r="B357" s="37">
        <f>IF(EXACT([1]DataLookUp!$B357, ""), "", [1]DataLookUp!$B357)</f>
        <v>25000000000354</v>
      </c>
      <c r="C357" s="38" t="str">
        <f>IF(EXACT(B357, ""), "", VLOOKUP(B357, [1]DataLookUp!$B$4:$C$1000, 2,FALSE ))</f>
        <v>Riandi</v>
      </c>
      <c r="D357" s="21"/>
      <c r="E357" s="108"/>
      <c r="G357" s="29">
        <f t="shared" si="10"/>
        <v>32000000000354</v>
      </c>
      <c r="H35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25000000000354::bigint, null::varchar);</v>
      </c>
    </row>
    <row r="358" spans="2:8" x14ac:dyDescent="0.2">
      <c r="B358" s="37">
        <f>IF(EXACT([1]DataLookUp!$B358, ""), "", [1]DataLookUp!$B358)</f>
        <v>25000000000355</v>
      </c>
      <c r="C358" s="38" t="str">
        <f>IF(EXACT(B358, ""), "", VLOOKUP(B358, [1]DataLookUp!$B$4:$C$1000, 2,FALSE ))</f>
        <v>Ricky Samuel</v>
      </c>
      <c r="D358" s="21"/>
      <c r="E358" s="108"/>
      <c r="G358" s="29">
        <f t="shared" si="10"/>
        <v>32000000000355</v>
      </c>
      <c r="H35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25000000000355::bigint, null::varchar);</v>
      </c>
    </row>
    <row r="359" spans="2:8" x14ac:dyDescent="0.2">
      <c r="B359" s="37">
        <f>IF(EXACT([1]DataLookUp!$B359, ""), "", [1]DataLookUp!$B359)</f>
        <v>25000000000356</v>
      </c>
      <c r="C359" s="38" t="str">
        <f>IF(EXACT(B359, ""), "", VLOOKUP(B359, [1]DataLookUp!$B$4:$C$1000, 2,FALSE ))</f>
        <v>Ridwan Nurhadi</v>
      </c>
      <c r="D359" s="21"/>
      <c r="E359" s="108"/>
      <c r="G359" s="29">
        <f t="shared" si="10"/>
        <v>32000000000356</v>
      </c>
      <c r="H359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25000000000356::bigint, null::varchar);</v>
      </c>
    </row>
    <row r="360" spans="2:8" x14ac:dyDescent="0.2">
      <c r="B360" s="37">
        <f>IF(EXACT([1]DataLookUp!$B360, ""), "", [1]DataLookUp!$B360)</f>
        <v>25000000000357</v>
      </c>
      <c r="C360" s="38" t="str">
        <f>IF(EXACT(B360, ""), "", VLOOKUP(B360, [1]DataLookUp!$B$4:$C$1000, 2,FALSE ))</f>
        <v>Rifki</v>
      </c>
      <c r="D360" s="21"/>
      <c r="E360" s="108"/>
      <c r="G360" s="29">
        <f t="shared" si="10"/>
        <v>32000000000357</v>
      </c>
      <c r="H360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25000000000357::bigint, null::varchar);</v>
      </c>
    </row>
    <row r="361" spans="2:8" x14ac:dyDescent="0.2">
      <c r="B361" s="37">
        <f>IF(EXACT([1]DataLookUp!$B361, ""), "", [1]DataLookUp!$B361)</f>
        <v>25000000000358</v>
      </c>
      <c r="C361" s="38" t="str">
        <f>IF(EXACT(B361, ""), "", VLOOKUP(B361, [1]DataLookUp!$B$4:$C$1000, 2,FALSE ))</f>
        <v>Rika Ginting</v>
      </c>
      <c r="D361" s="21"/>
      <c r="E361" s="108"/>
      <c r="G361" s="29">
        <f t="shared" si="10"/>
        <v>32000000000358</v>
      </c>
      <c r="H361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25000000000358::bigint, null::varchar);</v>
      </c>
    </row>
    <row r="362" spans="2:8" x14ac:dyDescent="0.2">
      <c r="B362" s="37">
        <f>IF(EXACT([1]DataLookUp!$B362, ""), "", [1]DataLookUp!$B362)</f>
        <v>25000000000359</v>
      </c>
      <c r="C362" s="38" t="str">
        <f>IF(EXACT(B362, ""), "", VLOOKUP(B362, [1]DataLookUp!$B$4:$C$1000, 2,FALSE ))</f>
        <v>Riki Chairul Anwar</v>
      </c>
      <c r="D362" s="21"/>
      <c r="E362" s="108"/>
      <c r="G362" s="29">
        <f t="shared" si="10"/>
        <v>32000000000359</v>
      </c>
      <c r="H362" s="30" t="str">
        <f t="shared" si="11"/>
        <v>PERFORM "SchData-OLTP-HumanResource"."Func_TblWorker_SET"(varSystemLoginSession, null::bigint, null::varchar, null::timestamptz, null::timestamptz, null::varchar, varInstitutionBranchID, varBaseCurrencyID, 25000000000359::bigint, null::varchar);</v>
      </c>
    </row>
    <row r="363" spans="2:8" x14ac:dyDescent="0.2">
      <c r="B363" s="37">
        <f>IF(EXACT([1]DataLookUp!$B363, ""), "", [1]DataLookUp!$B363)</f>
        <v>25000000000360</v>
      </c>
      <c r="C363" s="38" t="str">
        <f>IF(EXACT(B363, ""), "", VLOOKUP(B363, [1]DataLookUp!$B$4:$C$1000, 2,FALSE ))</f>
        <v>Riki Evindra</v>
      </c>
      <c r="D363" s="21"/>
      <c r="E363" s="108"/>
      <c r="G363" s="29">
        <f t="shared" si="10"/>
        <v>32000000000360</v>
      </c>
      <c r="H363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25000000000360::bigint, null::varchar);</v>
      </c>
    </row>
    <row r="364" spans="2:8" x14ac:dyDescent="0.2">
      <c r="B364" s="37">
        <f>IF(EXACT([1]DataLookUp!$B364, ""), "", [1]DataLookUp!$B364)</f>
        <v>25000000000361</v>
      </c>
      <c r="C364" s="38" t="str">
        <f>IF(EXACT(B364, ""), "", VLOOKUP(B364, [1]DataLookUp!$B$4:$C$1000, 2,FALSE ))</f>
        <v>Rinaldi Asrin</v>
      </c>
      <c r="D364" s="21"/>
      <c r="E364" s="108"/>
      <c r="G364" s="29">
        <f t="shared" si="10"/>
        <v>32000000000361</v>
      </c>
      <c r="H364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25000000000361::bigint, null::varchar);</v>
      </c>
    </row>
    <row r="365" spans="2:8" x14ac:dyDescent="0.2">
      <c r="B365" s="37">
        <f>IF(EXACT([1]DataLookUp!$B365, ""), "", [1]DataLookUp!$B365)</f>
        <v>25000000000362</v>
      </c>
      <c r="C365" s="38" t="str">
        <f>IF(EXACT(B365, ""), "", VLOOKUP(B365, [1]DataLookUp!$B$4:$C$1000, 2,FALSE ))</f>
        <v>Rio Hakim</v>
      </c>
      <c r="D365" s="21"/>
      <c r="E365" s="108"/>
      <c r="G365" s="29">
        <f t="shared" si="10"/>
        <v>32000000000362</v>
      </c>
      <c r="H365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25000000000362::bigint, null::varchar);</v>
      </c>
    </row>
    <row r="366" spans="2:8" x14ac:dyDescent="0.2">
      <c r="B366" s="37">
        <f>IF(EXACT([1]DataLookUp!$B366, ""), "", [1]DataLookUp!$B366)</f>
        <v>25000000000363</v>
      </c>
      <c r="C366" s="38" t="str">
        <f>IF(EXACT(B366, ""), "", VLOOKUP(B366, [1]DataLookUp!$B$4:$C$1000, 2,FALSE ))</f>
        <v>Rio Martha</v>
      </c>
      <c r="D366" s="21"/>
      <c r="E366" s="108"/>
      <c r="G366" s="29">
        <f t="shared" si="10"/>
        <v>32000000000363</v>
      </c>
      <c r="H36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25000000000363::bigint, null::varchar);</v>
      </c>
    </row>
    <row r="367" spans="2:8" x14ac:dyDescent="0.2">
      <c r="B367" s="37">
        <f>IF(EXACT([1]DataLookUp!$B367, ""), "", [1]DataLookUp!$B367)</f>
        <v>25000000000364</v>
      </c>
      <c r="C367" s="38" t="str">
        <f>IF(EXACT(B367, ""), "", VLOOKUP(B367, [1]DataLookUp!$B$4:$C$1000, 2,FALSE ))</f>
        <v>Risdyanto Risdyanto</v>
      </c>
      <c r="D367" s="21"/>
      <c r="E367" s="108"/>
      <c r="G367" s="29">
        <f t="shared" si="10"/>
        <v>32000000000364</v>
      </c>
      <c r="H36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25000000000364::bigint, null::varchar);</v>
      </c>
    </row>
    <row r="368" spans="2:8" x14ac:dyDescent="0.2">
      <c r="B368" s="37">
        <f>IF(EXACT([1]DataLookUp!$B368, ""), "", [1]DataLookUp!$B368)</f>
        <v>25000000000365</v>
      </c>
      <c r="C368" s="38" t="str">
        <f>IF(EXACT(B368, ""), "", VLOOKUP(B368, [1]DataLookUp!$B$4:$C$1000, 2,FALSE ))</f>
        <v>Rizak Tri Septian</v>
      </c>
      <c r="D368" s="21"/>
      <c r="E368" s="108"/>
      <c r="G368" s="29">
        <f t="shared" si="10"/>
        <v>32000000000365</v>
      </c>
      <c r="H36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25000000000365::bigint, null::varchar);</v>
      </c>
    </row>
    <row r="369" spans="2:8" x14ac:dyDescent="0.2">
      <c r="B369" s="37">
        <f>IF(EXACT([1]DataLookUp!$B369, ""), "", [1]DataLookUp!$B369)</f>
        <v>25000000000366</v>
      </c>
      <c r="C369" s="38" t="str">
        <f>IF(EXACT(B369, ""), "", VLOOKUP(B369, [1]DataLookUp!$B$4:$C$1000, 2,FALSE ))</f>
        <v>Rizki Akbar</v>
      </c>
      <c r="D369" s="21"/>
      <c r="E369" s="108"/>
      <c r="G369" s="29">
        <f t="shared" si="10"/>
        <v>32000000000366</v>
      </c>
      <c r="H369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25000000000366::bigint, null::varchar);</v>
      </c>
    </row>
    <row r="370" spans="2:8" x14ac:dyDescent="0.2">
      <c r="B370" s="37">
        <f>IF(EXACT([1]DataLookUp!$B370, ""), "", [1]DataLookUp!$B370)</f>
        <v>25000000000367</v>
      </c>
      <c r="C370" s="38" t="str">
        <f>IF(EXACT(B370, ""), "", VLOOKUP(B370, [1]DataLookUp!$B$4:$C$1000, 2,FALSE ))</f>
        <v>Rizky Fauzy</v>
      </c>
      <c r="D370" s="21"/>
      <c r="E370" s="108"/>
      <c r="G370" s="29">
        <f t="shared" si="10"/>
        <v>32000000000367</v>
      </c>
      <c r="H370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25000000000367::bigint, null::varchar);</v>
      </c>
    </row>
    <row r="371" spans="2:8" x14ac:dyDescent="0.2">
      <c r="B371" s="37">
        <f>IF(EXACT([1]DataLookUp!$B371, ""), "", [1]DataLookUp!$B371)</f>
        <v>25000000000368</v>
      </c>
      <c r="C371" s="38" t="str">
        <f>IF(EXACT(B371, ""), "", VLOOKUP(B371, [1]DataLookUp!$B$4:$C$1000, 2,FALSE ))</f>
        <v>Rizky Reza Pradipta</v>
      </c>
      <c r="D371" s="21"/>
      <c r="E371" s="108"/>
      <c r="G371" s="29">
        <f t="shared" si="10"/>
        <v>32000000000368</v>
      </c>
      <c r="H371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25000000000368::bigint, null::varchar);</v>
      </c>
    </row>
    <row r="372" spans="2:8" x14ac:dyDescent="0.2">
      <c r="B372" s="37">
        <f>IF(EXACT([1]DataLookUp!$B372, ""), "", [1]DataLookUp!$B372)</f>
        <v>25000000000369</v>
      </c>
      <c r="C372" s="38" t="str">
        <f>IF(EXACT(B372, ""), "", VLOOKUP(B372, [1]DataLookUp!$B$4:$C$1000, 2,FALSE ))</f>
        <v>Rohendi Rohendi</v>
      </c>
      <c r="D372" s="21"/>
      <c r="E372" s="108"/>
      <c r="G372" s="29">
        <f t="shared" si="10"/>
        <v>32000000000369</v>
      </c>
      <c r="H372" s="30" t="str">
        <f t="shared" si="11"/>
        <v>PERFORM "SchData-OLTP-HumanResource"."Func_TblWorker_SET"(varSystemLoginSession, null::bigint, null::varchar, null::timestamptz, null::timestamptz, null::varchar, varInstitutionBranchID, varBaseCurrencyID, 25000000000369::bigint, null::varchar);</v>
      </c>
    </row>
    <row r="373" spans="2:8" x14ac:dyDescent="0.2">
      <c r="B373" s="37">
        <f>IF(EXACT([1]DataLookUp!$B373, ""), "", [1]DataLookUp!$B373)</f>
        <v>25000000000370</v>
      </c>
      <c r="C373" s="38" t="str">
        <f>IF(EXACT(B373, ""), "", VLOOKUP(B373, [1]DataLookUp!$B$4:$C$1000, 2,FALSE ))</f>
        <v>Rohmani</v>
      </c>
      <c r="D373" s="21"/>
      <c r="E373" s="108"/>
      <c r="G373" s="29">
        <f t="shared" si="10"/>
        <v>32000000000370</v>
      </c>
      <c r="H373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25000000000370::bigint, null::varchar);</v>
      </c>
    </row>
    <row r="374" spans="2:8" x14ac:dyDescent="0.2">
      <c r="B374" s="37">
        <f>IF(EXACT([1]DataLookUp!$B374, ""), "", [1]DataLookUp!$B374)</f>
        <v>25000000000371</v>
      </c>
      <c r="C374" s="38" t="str">
        <f>IF(EXACT(B374, ""), "", VLOOKUP(B374, [1]DataLookUp!$B$4:$C$1000, 2,FALSE ))</f>
        <v>Rommel Hutapea</v>
      </c>
      <c r="D374" s="21"/>
      <c r="E374" s="108"/>
      <c r="G374" s="29">
        <f t="shared" si="10"/>
        <v>32000000000371</v>
      </c>
      <c r="H374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25000000000371::bigint, null::varchar);</v>
      </c>
    </row>
    <row r="375" spans="2:8" x14ac:dyDescent="0.2">
      <c r="B375" s="37">
        <f>IF(EXACT([1]DataLookUp!$B375, ""), "", [1]DataLookUp!$B375)</f>
        <v>25000000000372</v>
      </c>
      <c r="C375" s="38" t="str">
        <f>IF(EXACT(B375, ""), "", VLOOKUP(B375, [1]DataLookUp!$B$4:$C$1000, 2,FALSE ))</f>
        <v>Roy Aditya</v>
      </c>
      <c r="D375" s="21">
        <v>160921954</v>
      </c>
      <c r="E375" s="108"/>
      <c r="G375" s="29">
        <f t="shared" si="10"/>
        <v>32000000000372</v>
      </c>
      <c r="H375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25000000000372::bigint, '160921954'::varchar);</v>
      </c>
    </row>
    <row r="376" spans="2:8" x14ac:dyDescent="0.2">
      <c r="B376" s="37">
        <f>IF(EXACT([1]DataLookUp!$B376, ""), "", [1]DataLookUp!$B376)</f>
        <v>25000000000373</v>
      </c>
      <c r="C376" s="38" t="str">
        <f>IF(EXACT(B376, ""), "", VLOOKUP(B376, [1]DataLookUp!$B$4:$C$1000, 2,FALSE ))</f>
        <v>Rubah</v>
      </c>
      <c r="D376" s="21"/>
      <c r="E376" s="108"/>
      <c r="G376" s="29">
        <f t="shared" si="10"/>
        <v>32000000000373</v>
      </c>
      <c r="H37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25000000000373::bigint, null::varchar);</v>
      </c>
    </row>
    <row r="377" spans="2:8" x14ac:dyDescent="0.2">
      <c r="B377" s="37">
        <f>IF(EXACT([1]DataLookUp!$B377, ""), "", [1]DataLookUp!$B377)</f>
        <v>25000000000374</v>
      </c>
      <c r="C377" s="38" t="str">
        <f>IF(EXACT(B377, ""), "", VLOOKUP(B377, [1]DataLookUp!$B$4:$C$1000, 2,FALSE ))</f>
        <v>Rudi Junaedi</v>
      </c>
      <c r="D377" s="21"/>
      <c r="E377" s="108"/>
      <c r="G377" s="29">
        <f t="shared" si="10"/>
        <v>32000000000374</v>
      </c>
      <c r="H37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25000000000374::bigint, null::varchar);</v>
      </c>
    </row>
    <row r="378" spans="2:8" x14ac:dyDescent="0.2">
      <c r="B378" s="37">
        <f>IF(EXACT([1]DataLookUp!$B378, ""), "", [1]DataLookUp!$B378)</f>
        <v>25000000000375</v>
      </c>
      <c r="C378" s="38" t="str">
        <f>IF(EXACT(B378, ""), "", VLOOKUP(B378, [1]DataLookUp!$B$4:$C$1000, 2,FALSE ))</f>
        <v>Ruswandi</v>
      </c>
      <c r="D378" s="21"/>
      <c r="E378" s="108"/>
      <c r="G378" s="29">
        <f t="shared" si="10"/>
        <v>32000000000375</v>
      </c>
      <c r="H37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25000000000375::bigint, null::varchar);</v>
      </c>
    </row>
    <row r="379" spans="2:8" x14ac:dyDescent="0.2">
      <c r="B379" s="37">
        <f>IF(EXACT([1]DataLookUp!$B379, ""), "", [1]DataLookUp!$B379)</f>
        <v>25000000000376</v>
      </c>
      <c r="C379" s="38" t="str">
        <f>IF(EXACT(B379, ""), "", VLOOKUP(B379, [1]DataLookUp!$B$4:$C$1000, 2,FALSE ))</f>
        <v>Ryan Bagus Sasminta</v>
      </c>
      <c r="D379" s="21"/>
      <c r="E379" s="108"/>
      <c r="G379" s="29">
        <f t="shared" si="10"/>
        <v>32000000000376</v>
      </c>
      <c r="H379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25000000000376::bigint, null::varchar);</v>
      </c>
    </row>
    <row r="380" spans="2:8" x14ac:dyDescent="0.2">
      <c r="B380" s="37">
        <f>IF(EXACT([1]DataLookUp!$B380, ""), "", [1]DataLookUp!$B380)</f>
        <v>25000000000377</v>
      </c>
      <c r="C380" s="38" t="str">
        <f>IF(EXACT(B380, ""), "", VLOOKUP(B380, [1]DataLookUp!$B$4:$C$1000, 2,FALSE ))</f>
        <v>Saarah Andriani</v>
      </c>
      <c r="D380" s="21"/>
      <c r="E380" s="108"/>
      <c r="G380" s="29">
        <f t="shared" si="10"/>
        <v>32000000000377</v>
      </c>
      <c r="H380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25000000000377::bigint, null::varchar);</v>
      </c>
    </row>
    <row r="381" spans="2:8" x14ac:dyDescent="0.2">
      <c r="B381" s="37">
        <f>IF(EXACT([1]DataLookUp!$B381, ""), "", [1]DataLookUp!$B381)</f>
        <v>25000000000378</v>
      </c>
      <c r="C381" s="38" t="str">
        <f>IF(EXACT(B381, ""), "", VLOOKUP(B381, [1]DataLookUp!$B$4:$C$1000, 2,FALSE ))</f>
        <v>Safira Nurbaiti</v>
      </c>
      <c r="D381" s="21" t="s">
        <v>47</v>
      </c>
      <c r="E381" s="108"/>
      <c r="G381" s="29">
        <f t="shared" si="10"/>
        <v>32000000000378</v>
      </c>
      <c r="H381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25000000000378::bigint, '030221945'::varchar);</v>
      </c>
    </row>
    <row r="382" spans="2:8" x14ac:dyDescent="0.2">
      <c r="B382" s="37">
        <f>IF(EXACT([1]DataLookUp!$B382, ""), "", [1]DataLookUp!$B382)</f>
        <v>25000000000379</v>
      </c>
      <c r="C382" s="38" t="str">
        <f>IF(EXACT(B382, ""), "", VLOOKUP(B382, [1]DataLookUp!$B$4:$C$1000, 2,FALSE ))</f>
        <v>Saifulloh</v>
      </c>
      <c r="D382" s="21"/>
      <c r="E382" s="108"/>
      <c r="G382" s="29">
        <f t="shared" si="10"/>
        <v>32000000000379</v>
      </c>
      <c r="H382" s="30" t="str">
        <f t="shared" si="11"/>
        <v>PERFORM "SchData-OLTP-HumanResource"."Func_TblWorker_SET"(varSystemLoginSession, null::bigint, null::varchar, null::timestamptz, null::timestamptz, null::varchar, varInstitutionBranchID, varBaseCurrencyID, 25000000000379::bigint, null::varchar);</v>
      </c>
    </row>
    <row r="383" spans="2:8" x14ac:dyDescent="0.2">
      <c r="B383" s="37">
        <f>IF(EXACT([1]DataLookUp!$B383, ""), "", [1]DataLookUp!$B383)</f>
        <v>25000000000380</v>
      </c>
      <c r="C383" s="38" t="str">
        <f>IF(EXACT(B383, ""), "", VLOOKUP(B383, [1]DataLookUp!$B$4:$C$1000, 2,FALSE ))</f>
        <v>Saifuloh</v>
      </c>
      <c r="D383" s="21"/>
      <c r="E383" s="108"/>
      <c r="G383" s="29">
        <f t="shared" si="10"/>
        <v>32000000000380</v>
      </c>
      <c r="H383" s="30" t="str">
        <f t="shared" si="11"/>
        <v>PERFORM "SchData-OLTP-HumanResource"."Func_TblWorker_SET"(varSystemLoginSession, null::bigint, null::varchar, null::timestamptz, null::timestamptz, null::varchar, varInstitutionBranchID, varBaseCurrencyID, 25000000000380::bigint, null::varchar);</v>
      </c>
    </row>
    <row r="384" spans="2:8" x14ac:dyDescent="0.2">
      <c r="B384" s="37">
        <f>IF(EXACT([1]DataLookUp!$B384, ""), "", [1]DataLookUp!$B384)</f>
        <v>25000000000381</v>
      </c>
      <c r="C384" s="38" t="str">
        <f>IF(EXACT(B384, ""), "", VLOOKUP(B384, [1]DataLookUp!$B$4:$C$1000, 2,FALSE ))</f>
        <v>Sakinah Tantriani Lubis</v>
      </c>
      <c r="D384" s="21">
        <v>161220941</v>
      </c>
      <c r="E384" s="108"/>
      <c r="G384" s="29">
        <f t="shared" si="10"/>
        <v>32000000000381</v>
      </c>
      <c r="H384" s="30" t="str">
        <f t="shared" si="11"/>
        <v>PERFORM "SchData-OLTP-HumanResource"."Func_TblWorker_SET"(varSystemLoginSession, null::bigint, null::varchar, null::timestamptz, null::timestamptz, null::varchar, varInstitutionBranchID, varBaseCurrencyID, 25000000000381::bigint, '161220941'::varchar);</v>
      </c>
    </row>
    <row r="385" spans="2:8" x14ac:dyDescent="0.2">
      <c r="B385" s="37">
        <f>IF(EXACT([1]DataLookUp!$B385, ""), "", [1]DataLookUp!$B385)</f>
        <v>25000000000382</v>
      </c>
      <c r="C385" s="38" t="str">
        <f>IF(EXACT(B385, ""), "", VLOOKUP(B385, [1]DataLookUp!$B$4:$C$1000, 2,FALSE ))</f>
        <v>Abdul Samad</v>
      </c>
      <c r="D385" s="21">
        <v>210904088</v>
      </c>
      <c r="E385" s="108"/>
      <c r="G385" s="29">
        <f t="shared" si="10"/>
        <v>32000000000382</v>
      </c>
      <c r="H385" s="30" t="str">
        <f t="shared" si="11"/>
        <v>PERFORM "SchData-OLTP-HumanResource"."Func_TblWorker_SET"(varSystemLoginSession, null::bigint, null::varchar, null::timestamptz, null::timestamptz, null::varchar, varInstitutionBranchID, varBaseCurrencyID, 25000000000382::bigint, '210904088'::varchar);</v>
      </c>
    </row>
    <row r="386" spans="2:8" x14ac:dyDescent="0.2">
      <c r="B386" s="37">
        <f>IF(EXACT([1]DataLookUp!$B386, ""), "", [1]DataLookUp!$B386)</f>
        <v>25000000000383</v>
      </c>
      <c r="C386" s="38" t="str">
        <f>IF(EXACT(B386, ""), "", VLOOKUP(B386, [1]DataLookUp!$B$4:$C$1000, 2,FALSE ))</f>
        <v>Samsul Hadi</v>
      </c>
      <c r="D386" s="21"/>
      <c r="E386" s="108"/>
      <c r="G386" s="29">
        <f t="shared" si="10"/>
        <v>32000000000383</v>
      </c>
      <c r="H386" s="30" t="str">
        <f t="shared" si="11"/>
        <v>PERFORM "SchData-OLTP-HumanResource"."Func_TblWorker_SET"(varSystemLoginSession, null::bigint, null::varchar, null::timestamptz, null::timestamptz, null::varchar, varInstitutionBranchID, varBaseCurrencyID, 25000000000383::bigint, null::varchar);</v>
      </c>
    </row>
    <row r="387" spans="2:8" x14ac:dyDescent="0.2">
      <c r="B387" s="37">
        <f>IF(EXACT([1]DataLookUp!$B387, ""), "", [1]DataLookUp!$B387)</f>
        <v>25000000000384</v>
      </c>
      <c r="C387" s="38" t="str">
        <f>IF(EXACT(B387, ""), "", VLOOKUP(B387, [1]DataLookUp!$B$4:$C$1000, 2,FALSE ))</f>
        <v>Sandika</v>
      </c>
      <c r="D387" s="21"/>
      <c r="E387" s="108"/>
      <c r="G387" s="29">
        <f t="shared" si="10"/>
        <v>32000000000384</v>
      </c>
      <c r="H387" s="30" t="str">
        <f t="shared" si="11"/>
        <v>PERFORM "SchData-OLTP-HumanResource"."Func_TblWorker_SET"(varSystemLoginSession, null::bigint, null::varchar, null::timestamptz, null::timestamptz, null::varchar, varInstitutionBranchID, varBaseCurrencyID, 25000000000384::bigint, null::varchar);</v>
      </c>
    </row>
    <row r="388" spans="2:8" x14ac:dyDescent="0.2">
      <c r="B388" s="37">
        <f>IF(EXACT([1]DataLookUp!$B388, ""), "", [1]DataLookUp!$B388)</f>
        <v>25000000000385</v>
      </c>
      <c r="C388" s="38" t="str">
        <f>IF(EXACT(B388, ""), "", VLOOKUP(B388, [1]DataLookUp!$B$4:$C$1000, 2,FALSE ))</f>
        <v>Sang Toga Sitompul</v>
      </c>
      <c r="D388" s="21"/>
      <c r="E388" s="108"/>
      <c r="G388" s="29">
        <f t="shared" si="10"/>
        <v>32000000000385</v>
      </c>
      <c r="H388" s="30" t="str">
        <f t="shared" si="11"/>
        <v>PERFORM "SchData-OLTP-HumanResource"."Func_TblWorker_SET"(varSystemLoginSession, null::bigint, null::varchar, null::timestamptz, null::timestamptz, null::varchar, varInstitutionBranchID, varBaseCurrencyID, 25000000000385::bigint, null::varchar);</v>
      </c>
    </row>
    <row r="389" spans="2:8" x14ac:dyDescent="0.2">
      <c r="B389" s="37">
        <f>IF(EXACT([1]DataLookUp!$B389, ""), "", [1]DataLookUp!$B389)</f>
        <v>25000000000386</v>
      </c>
      <c r="C389" s="38" t="str">
        <f>IF(EXACT(B389, ""), "", VLOOKUP(B389, [1]DataLookUp!$B$4:$C$1000, 2,FALSE ))</f>
        <v>Santi Dewi R. W.</v>
      </c>
      <c r="D389" s="21"/>
      <c r="E389" s="108"/>
      <c r="G389" s="29">
        <f t="shared" ref="G389:G452" si="12" xml:space="preserve"> G388 + IF(EXACT(H389, ""), 0, 1)</f>
        <v>32000000000386</v>
      </c>
      <c r="H389" s="30" t="str">
        <f t="shared" ref="H389:H452" si="13">CONCATENATE("PERFORM ""SchData-OLTP-HumanResource"".""Func_TblWorker_SET""(varSystemLoginSession, null::bigint, null::varchar, null::timestamptz, null::timestamptz, null::varchar, varInstitutionBranchID, varBaseCurrencyID, ", B389, "::bigint, ", IF(EXACT(D389, ""), "null", CONCATENATE("'", D389, "'")), "::varchar);")</f>
        <v>PERFORM "SchData-OLTP-HumanResource"."Func_TblWorker_SET"(varSystemLoginSession, null::bigint, null::varchar, null::timestamptz, null::timestamptz, null::varchar, varInstitutionBranchID, varBaseCurrencyID, 25000000000386::bigint, null::varchar);</v>
      </c>
    </row>
    <row r="390" spans="2:8" x14ac:dyDescent="0.2">
      <c r="B390" s="37">
        <f>IF(EXACT([1]DataLookUp!$B390, ""), "", [1]DataLookUp!$B390)</f>
        <v>25000000000387</v>
      </c>
      <c r="C390" s="38" t="str">
        <f>IF(EXACT(B390, ""), "", VLOOKUP(B390, [1]DataLookUp!$B$4:$C$1000, 2,FALSE ))</f>
        <v>Sarah Sibarani</v>
      </c>
      <c r="D390" s="21"/>
      <c r="E390" s="108"/>
      <c r="G390" s="29">
        <f t="shared" si="12"/>
        <v>32000000000387</v>
      </c>
      <c r="H390" s="30" t="str">
        <f t="shared" si="13"/>
        <v>PERFORM "SchData-OLTP-HumanResource"."Func_TblWorker_SET"(varSystemLoginSession, null::bigint, null::varchar, null::timestamptz, null::timestamptz, null::varchar, varInstitutionBranchID, varBaseCurrencyID, 25000000000387::bigint, null::varchar);</v>
      </c>
    </row>
    <row r="391" spans="2:8" x14ac:dyDescent="0.2">
      <c r="B391" s="37">
        <f>IF(EXACT([1]DataLookUp!$B391, ""), "", [1]DataLookUp!$B391)</f>
        <v>25000000000388</v>
      </c>
      <c r="C391" s="38" t="str">
        <f>IF(EXACT(B391, ""), "", VLOOKUP(B391, [1]DataLookUp!$B$4:$C$1000, 2,FALSE ))</f>
        <v>Sarif Hidayatul Umah</v>
      </c>
      <c r="D391" s="21"/>
      <c r="E391" s="108"/>
      <c r="G391" s="29">
        <f t="shared" si="12"/>
        <v>32000000000388</v>
      </c>
      <c r="H391" s="30" t="str">
        <f t="shared" si="13"/>
        <v>PERFORM "SchData-OLTP-HumanResource"."Func_TblWorker_SET"(varSystemLoginSession, null::bigint, null::varchar, null::timestamptz, null::timestamptz, null::varchar, varInstitutionBranchID, varBaseCurrencyID, 25000000000388::bigint, null::varchar);</v>
      </c>
    </row>
    <row r="392" spans="2:8" x14ac:dyDescent="0.2">
      <c r="B392" s="37">
        <f>IF(EXACT([1]DataLookUp!$B392, ""), "", [1]DataLookUp!$B392)</f>
        <v>25000000000389</v>
      </c>
      <c r="C392" s="38" t="str">
        <f>IF(EXACT(B392, ""), "", VLOOKUP(B392, [1]DataLookUp!$B$4:$C$1000, 2,FALSE ))</f>
        <v>Satria Budi Raharja</v>
      </c>
      <c r="D392" s="21"/>
      <c r="E392" s="108"/>
      <c r="G392" s="29">
        <f t="shared" si="12"/>
        <v>32000000000389</v>
      </c>
      <c r="H392" s="30" t="str">
        <f t="shared" si="13"/>
        <v>PERFORM "SchData-OLTP-HumanResource"."Func_TblWorker_SET"(varSystemLoginSession, null::bigint, null::varchar, null::timestamptz, null::timestamptz, null::varchar, varInstitutionBranchID, varBaseCurrencyID, 25000000000389::bigint, null::varchar);</v>
      </c>
    </row>
    <row r="393" spans="2:8" x14ac:dyDescent="0.2">
      <c r="B393" s="37">
        <f>IF(EXACT([1]DataLookUp!$B393, ""), "", [1]DataLookUp!$B393)</f>
        <v>25000000000390</v>
      </c>
      <c r="C393" s="38" t="str">
        <f>IF(EXACT(B393, ""), "", VLOOKUP(B393, [1]DataLookUp!$B$4:$C$1000, 2,FALSE ))</f>
        <v>Saut M. P. L. Tobing</v>
      </c>
      <c r="D393" s="21"/>
      <c r="E393" s="108"/>
      <c r="G393" s="29">
        <f t="shared" si="12"/>
        <v>32000000000390</v>
      </c>
      <c r="H393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25000000000390::bigint, null::varchar);</v>
      </c>
    </row>
    <row r="394" spans="2:8" x14ac:dyDescent="0.2">
      <c r="B394" s="37">
        <f>IF(EXACT([1]DataLookUp!$B394, ""), "", [1]DataLookUp!$B394)</f>
        <v>25000000000391</v>
      </c>
      <c r="C394" s="38" t="str">
        <f>IF(EXACT(B394, ""), "", VLOOKUP(B394, [1]DataLookUp!$B$4:$C$1000, 2,FALSE ))</f>
        <v>Seftiyan Hadi Maulana</v>
      </c>
      <c r="D394" s="21" t="s">
        <v>28</v>
      </c>
      <c r="E394" s="108"/>
      <c r="G394" s="29">
        <f t="shared" si="12"/>
        <v>32000000000391</v>
      </c>
      <c r="H394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25000000000391::bigint, '141118892'::varchar);</v>
      </c>
    </row>
    <row r="395" spans="2:8" x14ac:dyDescent="0.2">
      <c r="B395" s="37">
        <f>IF(EXACT([1]DataLookUp!$B395, ""), "", [1]DataLookUp!$B395)</f>
        <v>25000000000392</v>
      </c>
      <c r="C395" s="38" t="str">
        <f>IF(EXACT(B395, ""), "", VLOOKUP(B395, [1]DataLookUp!$B$4:$C$1000, 2,FALSE ))</f>
        <v>Sena Andi Satria</v>
      </c>
      <c r="D395" s="21"/>
      <c r="E395" s="108"/>
      <c r="G395" s="29">
        <f t="shared" si="12"/>
        <v>32000000000392</v>
      </c>
      <c r="H395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25000000000392::bigint, null::varchar);</v>
      </c>
    </row>
    <row r="396" spans="2:8" x14ac:dyDescent="0.2">
      <c r="B396" s="37">
        <f>IF(EXACT([1]DataLookUp!$B396, ""), "", [1]DataLookUp!$B396)</f>
        <v>25000000000393</v>
      </c>
      <c r="C396" s="38" t="str">
        <f>IF(EXACT(B396, ""), "", VLOOKUP(B396, [1]DataLookUp!$B$4:$C$1000, 2,FALSE ))</f>
        <v>Setiadi</v>
      </c>
      <c r="D396" s="21">
        <v>130906272</v>
      </c>
      <c r="E396" s="108"/>
      <c r="G396" s="29">
        <f t="shared" si="12"/>
        <v>32000000000393</v>
      </c>
      <c r="H396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25000000000393::bigint, '130906272'::varchar);</v>
      </c>
    </row>
    <row r="397" spans="2:8" x14ac:dyDescent="0.2">
      <c r="B397" s="37">
        <f>IF(EXACT([1]DataLookUp!$B397, ""), "", [1]DataLookUp!$B397)</f>
        <v>25000000000394</v>
      </c>
      <c r="C397" s="38" t="str">
        <f>IF(EXACT(B397, ""), "", VLOOKUP(B397, [1]DataLookUp!$B$4:$C$1000, 2,FALSE ))</f>
        <v>Sherly Tamira</v>
      </c>
      <c r="D397" s="21"/>
      <c r="E397" s="108"/>
      <c r="G397" s="29">
        <f t="shared" si="12"/>
        <v>32000000000394</v>
      </c>
      <c r="H397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25000000000394::bigint, null::varchar);</v>
      </c>
    </row>
    <row r="398" spans="2:8" x14ac:dyDescent="0.2">
      <c r="B398" s="37">
        <f>IF(EXACT([1]DataLookUp!$B398, ""), "", [1]DataLookUp!$B398)</f>
        <v>25000000000395</v>
      </c>
      <c r="C398" s="38" t="str">
        <f>IF(EXACT(B398, ""), "", VLOOKUP(B398, [1]DataLookUp!$B$4:$C$1000, 2,FALSE ))</f>
        <v>Shihab</v>
      </c>
      <c r="D398" s="21"/>
      <c r="E398" s="108"/>
      <c r="G398" s="29">
        <f t="shared" si="12"/>
        <v>32000000000395</v>
      </c>
      <c r="H398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25000000000395::bigint, null::varchar);</v>
      </c>
    </row>
    <row r="399" spans="2:8" x14ac:dyDescent="0.2">
      <c r="B399" s="37">
        <f>IF(EXACT([1]DataLookUp!$B399, ""), "", [1]DataLookUp!$B399)</f>
        <v>25000000000396</v>
      </c>
      <c r="C399" s="38" t="str">
        <f>IF(EXACT(B399, ""), "", VLOOKUP(B399, [1]DataLookUp!$B$4:$C$1000, 2,FALSE ))</f>
        <v>Shobarin Jabar</v>
      </c>
      <c r="D399" s="21"/>
      <c r="E399" s="108"/>
      <c r="G399" s="29">
        <f t="shared" si="12"/>
        <v>32000000000396</v>
      </c>
      <c r="H399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25000000000396::bigint, null::varchar);</v>
      </c>
    </row>
    <row r="400" spans="2:8" x14ac:dyDescent="0.2">
      <c r="B400" s="37">
        <f>IF(EXACT([1]DataLookUp!$B400, ""), "", [1]DataLookUp!$B400)</f>
        <v>25000000000397</v>
      </c>
      <c r="C400" s="38" t="str">
        <f>IF(EXACT(B400, ""), "", VLOOKUP(B400, [1]DataLookUp!$B$4:$C$1000, 2,FALSE ))</f>
        <v>Sholehah</v>
      </c>
      <c r="D400" s="21" t="s">
        <v>29</v>
      </c>
      <c r="E400" s="108"/>
      <c r="G400" s="29">
        <f t="shared" si="12"/>
        <v>32000000000397</v>
      </c>
      <c r="H400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25000000000397::bigint, '240518874'::varchar);</v>
      </c>
    </row>
    <row r="401" spans="2:8" x14ac:dyDescent="0.2">
      <c r="B401" s="37">
        <f>IF(EXACT([1]DataLookUp!$B401, ""), "", [1]DataLookUp!$B401)</f>
        <v>25000000000398</v>
      </c>
      <c r="C401" s="38" t="str">
        <f>IF(EXACT(B401, ""), "", VLOOKUP(B401, [1]DataLookUp!$B$4:$C$1000, 2,FALSE ))</f>
        <v>Sigit Rudiantono</v>
      </c>
      <c r="D401" s="21"/>
      <c r="E401" s="108"/>
      <c r="G401" s="29">
        <f t="shared" si="12"/>
        <v>32000000000398</v>
      </c>
      <c r="H401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25000000000398::bigint, null::varchar);</v>
      </c>
    </row>
    <row r="402" spans="2:8" x14ac:dyDescent="0.2">
      <c r="B402" s="37">
        <f>IF(EXACT([1]DataLookUp!$B402, ""), "", [1]DataLookUp!$B402)</f>
        <v>25000000000399</v>
      </c>
      <c r="C402" s="38" t="str">
        <f>IF(EXACT(B402, ""), "", VLOOKUP(B402, [1]DataLookUp!$B$4:$C$1000, 2,FALSE ))</f>
        <v>Silvia Putri</v>
      </c>
      <c r="D402" s="21"/>
      <c r="E402" s="108"/>
      <c r="G402" s="29">
        <f t="shared" si="12"/>
        <v>32000000000399</v>
      </c>
      <c r="H402" s="30" t="str">
        <f t="shared" si="13"/>
        <v>PERFORM "SchData-OLTP-HumanResource"."Func_TblWorker_SET"(varSystemLoginSession, null::bigint, null::varchar, null::timestamptz, null::timestamptz, null::varchar, varInstitutionBranchID, varBaseCurrencyID, 25000000000399::bigint, null::varchar);</v>
      </c>
    </row>
    <row r="403" spans="2:8" x14ac:dyDescent="0.2">
      <c r="B403" s="37">
        <f>IF(EXACT([1]DataLookUp!$B403, ""), "", [1]DataLookUp!$B403)</f>
        <v>25000000000400</v>
      </c>
      <c r="C403" s="38" t="str">
        <f>IF(EXACT(B403, ""), "", VLOOKUP(B403, [1]DataLookUp!$B$4:$C$1000, 2,FALSE ))</f>
        <v>Simron Ronaldi Nasution</v>
      </c>
      <c r="D403" s="21"/>
      <c r="E403" s="108"/>
      <c r="G403" s="29">
        <f t="shared" si="12"/>
        <v>32000000000400</v>
      </c>
      <c r="H403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25000000000400::bigint, null::varchar);</v>
      </c>
    </row>
    <row r="404" spans="2:8" x14ac:dyDescent="0.2">
      <c r="B404" s="37">
        <f>IF(EXACT([1]DataLookUp!$B404, ""), "", [1]DataLookUp!$B404)</f>
        <v>25000000000401</v>
      </c>
      <c r="C404" s="38" t="str">
        <f>IF(EXACT(B404, ""), "", VLOOKUP(B404, [1]DataLookUp!$B$4:$C$1000, 2,FALSE ))</f>
        <v>Sinta Vera Trikawati</v>
      </c>
      <c r="D404" s="21"/>
      <c r="E404" s="108"/>
      <c r="G404" s="29">
        <f t="shared" si="12"/>
        <v>32000000000401</v>
      </c>
      <c r="H404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25000000000401::bigint, null::varchar);</v>
      </c>
    </row>
    <row r="405" spans="2:8" x14ac:dyDescent="0.2">
      <c r="B405" s="37">
        <f>IF(EXACT([1]DataLookUp!$B405, ""), "", [1]DataLookUp!$B405)</f>
        <v>25000000000402</v>
      </c>
      <c r="C405" s="38" t="str">
        <f>IF(EXACT(B405, ""), "", VLOOKUP(B405, [1]DataLookUp!$B$4:$C$1000, 2,FALSE ))</f>
        <v>Sir Muhammad Zafrulloh Khan</v>
      </c>
      <c r="D405" s="21"/>
      <c r="E405" s="108"/>
      <c r="G405" s="29">
        <f t="shared" si="12"/>
        <v>32000000000402</v>
      </c>
      <c r="H405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25000000000402::bigint, null::varchar);</v>
      </c>
    </row>
    <row r="406" spans="2:8" x14ac:dyDescent="0.2">
      <c r="B406" s="37">
        <f>IF(EXACT([1]DataLookUp!$B406, ""), "", [1]DataLookUp!$B406)</f>
        <v>25000000000403</v>
      </c>
      <c r="C406" s="38" t="str">
        <f>IF(EXACT(B406, ""), "", VLOOKUP(B406, [1]DataLookUp!$B$4:$C$1000, 2,FALSE ))</f>
        <v>Siska Marlina</v>
      </c>
      <c r="D406" s="21"/>
      <c r="E406" s="108"/>
      <c r="G406" s="29">
        <f t="shared" si="12"/>
        <v>32000000000403</v>
      </c>
      <c r="H406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25000000000403::bigint, null::varchar);</v>
      </c>
    </row>
    <row r="407" spans="2:8" x14ac:dyDescent="0.2">
      <c r="B407" s="37">
        <f>IF(EXACT([1]DataLookUp!$B407, ""), "", [1]DataLookUp!$B407)</f>
        <v>25000000000404</v>
      </c>
      <c r="C407" s="38" t="str">
        <f>IF(EXACT(B407, ""), "", VLOOKUP(B407, [1]DataLookUp!$B$4:$C$1000, 2,FALSE ))</f>
        <v>Siswanto</v>
      </c>
      <c r="D407" s="21"/>
      <c r="E407" s="108"/>
      <c r="G407" s="29">
        <f t="shared" si="12"/>
        <v>32000000000404</v>
      </c>
      <c r="H407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25000000000404::bigint, null::varchar);</v>
      </c>
    </row>
    <row r="408" spans="2:8" x14ac:dyDescent="0.2">
      <c r="B408" s="37">
        <f>IF(EXACT([1]DataLookUp!$B408, ""), "", [1]DataLookUp!$B408)</f>
        <v>25000000000405</v>
      </c>
      <c r="C408" s="38" t="str">
        <f>IF(EXACT(B408, ""), "", VLOOKUP(B408, [1]DataLookUp!$B$4:$C$1000, 2,FALSE ))</f>
        <v>Siti Mulyani</v>
      </c>
      <c r="D408" s="21"/>
      <c r="E408" s="108"/>
      <c r="G408" s="29">
        <f t="shared" si="12"/>
        <v>32000000000405</v>
      </c>
      <c r="H408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25000000000405::bigint, null::varchar);</v>
      </c>
    </row>
    <row r="409" spans="2:8" x14ac:dyDescent="0.2">
      <c r="B409" s="37">
        <f>IF(EXACT([1]DataLookUp!$B409, ""), "", [1]DataLookUp!$B409)</f>
        <v>25000000000406</v>
      </c>
      <c r="C409" s="38" t="str">
        <f>IF(EXACT(B409, ""), "", VLOOKUP(B409, [1]DataLookUp!$B$4:$C$1000, 2,FALSE ))</f>
        <v>Sjanti Devi</v>
      </c>
      <c r="D409" s="21"/>
      <c r="E409" s="108"/>
      <c r="G409" s="29">
        <f t="shared" si="12"/>
        <v>32000000000406</v>
      </c>
      <c r="H409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25000000000406::bigint, null::varchar);</v>
      </c>
    </row>
    <row r="410" spans="2:8" x14ac:dyDescent="0.2">
      <c r="B410" s="37">
        <f>IF(EXACT([1]DataLookUp!$B410, ""), "", [1]DataLookUp!$B410)</f>
        <v>25000000000407</v>
      </c>
      <c r="C410" s="38" t="str">
        <f>IF(EXACT(B410, ""), "", VLOOKUP(B410, [1]DataLookUp!$B$4:$C$1000, 2,FALSE ))</f>
        <v>Slamet Budi Setiawan</v>
      </c>
      <c r="D410" s="21"/>
      <c r="E410" s="108"/>
      <c r="G410" s="29">
        <f t="shared" si="12"/>
        <v>32000000000407</v>
      </c>
      <c r="H410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25000000000407::bigint, null::varchar);</v>
      </c>
    </row>
    <row r="411" spans="2:8" x14ac:dyDescent="0.2">
      <c r="B411" s="37">
        <f>IF(EXACT([1]DataLookUp!$B411, ""), "", [1]DataLookUp!$B411)</f>
        <v>25000000000408</v>
      </c>
      <c r="C411" s="38" t="str">
        <f>IF(EXACT(B411, ""), "", VLOOKUP(B411, [1]DataLookUp!$B$4:$C$1000, 2,FALSE ))</f>
        <v>Sofyan Maulana</v>
      </c>
      <c r="D411" s="21"/>
      <c r="E411" s="108"/>
      <c r="G411" s="29">
        <f t="shared" si="12"/>
        <v>32000000000408</v>
      </c>
      <c r="H411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25000000000408::bigint, null::varchar);</v>
      </c>
    </row>
    <row r="412" spans="2:8" x14ac:dyDescent="0.2">
      <c r="B412" s="37">
        <f>IF(EXACT([1]DataLookUp!$B412, ""), "", [1]DataLookUp!$B412)</f>
        <v>25000000000409</v>
      </c>
      <c r="C412" s="38" t="str">
        <f>IF(EXACT(B412, ""), "", VLOOKUP(B412, [1]DataLookUp!$B$4:$C$1000, 2,FALSE ))</f>
        <v>Subagio</v>
      </c>
      <c r="D412" s="21"/>
      <c r="E412" s="108"/>
      <c r="G412" s="29">
        <f t="shared" si="12"/>
        <v>32000000000409</v>
      </c>
      <c r="H412" s="30" t="str">
        <f t="shared" si="13"/>
        <v>PERFORM "SchData-OLTP-HumanResource"."Func_TblWorker_SET"(varSystemLoginSession, null::bigint, null::varchar, null::timestamptz, null::timestamptz, null::varchar, varInstitutionBranchID, varBaseCurrencyID, 25000000000409::bigint, null::varchar);</v>
      </c>
    </row>
    <row r="413" spans="2:8" x14ac:dyDescent="0.2">
      <c r="B413" s="37">
        <f>IF(EXACT([1]DataLookUp!$B413, ""), "", [1]DataLookUp!$B413)</f>
        <v>25000000000410</v>
      </c>
      <c r="C413" s="38" t="str">
        <f>IF(EXACT(B413, ""), "", VLOOKUP(B413, [1]DataLookUp!$B$4:$C$1000, 2,FALSE ))</f>
        <v>Suci Mardiana</v>
      </c>
      <c r="D413" s="21"/>
      <c r="E413" s="108"/>
      <c r="G413" s="29">
        <f t="shared" si="12"/>
        <v>32000000000410</v>
      </c>
      <c r="H413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25000000000410::bigint, null::varchar);</v>
      </c>
    </row>
    <row r="414" spans="2:8" x14ac:dyDescent="0.2">
      <c r="B414" s="37">
        <f>IF(EXACT([1]DataLookUp!$B414, ""), "", [1]DataLookUp!$B414)</f>
        <v>25000000000411</v>
      </c>
      <c r="C414" s="38" t="str">
        <f>IF(EXACT(B414, ""), "", VLOOKUP(B414, [1]DataLookUp!$B$4:$C$1000, 2,FALSE ))</f>
        <v>Suci Rachma Sari</v>
      </c>
      <c r="D414" s="21"/>
      <c r="E414" s="108"/>
      <c r="G414" s="29">
        <f t="shared" si="12"/>
        <v>32000000000411</v>
      </c>
      <c r="H414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25000000000411::bigint, null::varchar);</v>
      </c>
    </row>
    <row r="415" spans="2:8" x14ac:dyDescent="0.2">
      <c r="B415" s="37">
        <f>IF(EXACT([1]DataLookUp!$B415, ""), "", [1]DataLookUp!$B415)</f>
        <v>25000000000412</v>
      </c>
      <c r="C415" s="38" t="str">
        <f>IF(EXACT(B415, ""), "", VLOOKUP(B415, [1]DataLookUp!$B$4:$C$1000, 2,FALSE ))</f>
        <v>Sudarlan</v>
      </c>
      <c r="D415" s="21" t="s">
        <v>30</v>
      </c>
      <c r="E415" s="108"/>
      <c r="G415" s="29">
        <f t="shared" si="12"/>
        <v>32000000000412</v>
      </c>
      <c r="H415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25000000000412::bigint, '010507354'::varchar);</v>
      </c>
    </row>
    <row r="416" spans="2:8" x14ac:dyDescent="0.2">
      <c r="B416" s="37">
        <f>IF(EXACT([1]DataLookUp!$B416, ""), "", [1]DataLookUp!$B416)</f>
        <v>25000000000413</v>
      </c>
      <c r="C416" s="38" t="str">
        <f>IF(EXACT(B416, ""), "", VLOOKUP(B416, [1]DataLookUp!$B$4:$C$1000, 2,FALSE ))</f>
        <v>Sufie Amalia</v>
      </c>
      <c r="D416" s="21" t="s">
        <v>31</v>
      </c>
      <c r="E416" s="108"/>
      <c r="G416" s="29">
        <f t="shared" si="12"/>
        <v>32000000000413</v>
      </c>
      <c r="H416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25000000000413::bigint, '140421948'::varchar);</v>
      </c>
    </row>
    <row r="417" spans="2:8" x14ac:dyDescent="0.2">
      <c r="B417" s="37">
        <f>IF(EXACT([1]DataLookUp!$B417, ""), "", [1]DataLookUp!$B417)</f>
        <v>25000000000414</v>
      </c>
      <c r="C417" s="38" t="str">
        <f>IF(EXACT(B417, ""), "", VLOOKUP(B417, [1]DataLookUp!$B$4:$C$1000, 2,FALSE ))</f>
        <v>Sugeng Ismanto</v>
      </c>
      <c r="D417" s="21"/>
      <c r="E417" s="108"/>
      <c r="G417" s="29">
        <f t="shared" si="12"/>
        <v>32000000000414</v>
      </c>
      <c r="H417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25000000000414::bigint, null::varchar);</v>
      </c>
    </row>
    <row r="418" spans="2:8" x14ac:dyDescent="0.2">
      <c r="B418" s="37">
        <f>IF(EXACT([1]DataLookUp!$B418, ""), "", [1]DataLookUp!$B418)</f>
        <v>25000000000415</v>
      </c>
      <c r="C418" s="38" t="str">
        <f>IF(EXACT(B418, ""), "", VLOOKUP(B418, [1]DataLookUp!$B$4:$C$1000, 2,FALSE ))</f>
        <v>Sugiarto</v>
      </c>
      <c r="D418" s="21" t="s">
        <v>42</v>
      </c>
      <c r="E418" s="108"/>
      <c r="G418" s="29">
        <f t="shared" si="12"/>
        <v>32000000000415</v>
      </c>
      <c r="H418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25000000000415::bigint, '080822967'::varchar);</v>
      </c>
    </row>
    <row r="419" spans="2:8" x14ac:dyDescent="0.2">
      <c r="B419" s="37">
        <f>IF(EXACT([1]DataLookUp!$B419, ""), "", [1]DataLookUp!$B419)</f>
        <v>25000000000416</v>
      </c>
      <c r="C419" s="38" t="str">
        <f>IF(EXACT(B419, ""), "", VLOOKUP(B419, [1]DataLookUp!$B$4:$C$1000, 2,FALSE ))</f>
        <v>Sulih</v>
      </c>
      <c r="D419" s="21"/>
      <c r="E419" s="108"/>
      <c r="G419" s="29">
        <f t="shared" si="12"/>
        <v>32000000000416</v>
      </c>
      <c r="H419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25000000000416::bigint, null::varchar);</v>
      </c>
    </row>
    <row r="420" spans="2:8" x14ac:dyDescent="0.2">
      <c r="B420" s="37">
        <f>IF(EXACT([1]DataLookUp!$B420, ""), "", [1]DataLookUp!$B420)</f>
        <v>25000000000417</v>
      </c>
      <c r="C420" s="38" t="str">
        <f>IF(EXACT(B420, ""), "", VLOOKUP(B420, [1]DataLookUp!$B$4:$C$1000, 2,FALSE ))</f>
        <v>Sumadi</v>
      </c>
      <c r="D420" s="21"/>
      <c r="E420" s="108"/>
      <c r="G420" s="29">
        <f t="shared" si="12"/>
        <v>32000000000417</v>
      </c>
      <c r="H420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25000000000417::bigint, null::varchar);</v>
      </c>
    </row>
    <row r="421" spans="2:8" x14ac:dyDescent="0.2">
      <c r="B421" s="37">
        <f>IF(EXACT([1]DataLookUp!$B421, ""), "", [1]DataLookUp!$B421)</f>
        <v>25000000000418</v>
      </c>
      <c r="C421" s="38" t="str">
        <f>IF(EXACT(B421, ""), "", VLOOKUP(B421, [1]DataLookUp!$B$4:$C$1000, 2,FALSE ))</f>
        <v>Sumirat</v>
      </c>
      <c r="D421" s="21"/>
      <c r="E421" s="108"/>
      <c r="G421" s="29">
        <f t="shared" si="12"/>
        <v>32000000000418</v>
      </c>
      <c r="H421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25000000000418::bigint, null::varchar);</v>
      </c>
    </row>
    <row r="422" spans="2:8" x14ac:dyDescent="0.2">
      <c r="B422" s="37">
        <f>IF(EXACT([1]DataLookUp!$B422, ""), "", [1]DataLookUp!$B422)</f>
        <v>25000000000419</v>
      </c>
      <c r="C422" s="38" t="str">
        <f>IF(EXACT(B422, ""), "", VLOOKUP(B422, [1]DataLookUp!$B$4:$C$1000, 2,FALSE ))</f>
        <v>Sunaryati</v>
      </c>
      <c r="D422" s="21"/>
      <c r="E422" s="108"/>
      <c r="G422" s="29">
        <f t="shared" si="12"/>
        <v>32000000000419</v>
      </c>
      <c r="H422" s="30" t="str">
        <f t="shared" si="13"/>
        <v>PERFORM "SchData-OLTP-HumanResource"."Func_TblWorker_SET"(varSystemLoginSession, null::bigint, null::varchar, null::timestamptz, null::timestamptz, null::varchar, varInstitutionBranchID, varBaseCurrencyID, 25000000000419::bigint, null::varchar);</v>
      </c>
    </row>
    <row r="423" spans="2:8" x14ac:dyDescent="0.2">
      <c r="B423" s="37">
        <f>IF(EXACT([1]DataLookUp!$B423, ""), "", [1]DataLookUp!$B423)</f>
        <v>25000000000420</v>
      </c>
      <c r="C423" s="38" t="str">
        <f>IF(EXACT(B423, ""), "", VLOOKUP(B423, [1]DataLookUp!$B$4:$C$1000, 2,FALSE ))</f>
        <v>Supriyadi</v>
      </c>
      <c r="D423" s="21"/>
      <c r="E423" s="108"/>
      <c r="G423" s="29">
        <f t="shared" si="12"/>
        <v>32000000000420</v>
      </c>
      <c r="H423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25000000000420::bigint, null::varchar);</v>
      </c>
    </row>
    <row r="424" spans="2:8" x14ac:dyDescent="0.2">
      <c r="B424" s="37">
        <f>IF(EXACT([1]DataLookUp!$B424, ""), "", [1]DataLookUp!$B424)</f>
        <v>25000000000421</v>
      </c>
      <c r="C424" s="38" t="str">
        <f>IF(EXACT(B424, ""), "", VLOOKUP(B424, [1]DataLookUp!$B$4:$C$1000, 2,FALSE ))</f>
        <v>Suriono Suriono</v>
      </c>
      <c r="D424" s="21"/>
      <c r="E424" s="108"/>
      <c r="G424" s="29">
        <f t="shared" si="12"/>
        <v>32000000000421</v>
      </c>
      <c r="H424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25000000000421::bigint, null::varchar);</v>
      </c>
    </row>
    <row r="425" spans="2:8" x14ac:dyDescent="0.2">
      <c r="B425" s="37">
        <f>IF(EXACT([1]DataLookUp!$B425, ""), "", [1]DataLookUp!$B425)</f>
        <v>25000000000422</v>
      </c>
      <c r="C425" s="38" t="str">
        <f>IF(EXACT(B425, ""), "", VLOOKUP(B425, [1]DataLookUp!$B$4:$C$1000, 2,FALSE ))</f>
        <v>Surono</v>
      </c>
      <c r="D425" s="21"/>
      <c r="E425" s="108"/>
      <c r="G425" s="29">
        <f t="shared" si="12"/>
        <v>32000000000422</v>
      </c>
      <c r="H425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25000000000422::bigint, null::varchar);</v>
      </c>
    </row>
    <row r="426" spans="2:8" x14ac:dyDescent="0.2">
      <c r="B426" s="37">
        <f>IF(EXACT([1]DataLookUp!$B426, ""), "", [1]DataLookUp!$B426)</f>
        <v>25000000000423</v>
      </c>
      <c r="C426" s="38" t="str">
        <f>IF(EXACT(B426, ""), "", VLOOKUP(B426, [1]DataLookUp!$B$4:$C$1000, 2,FALSE ))</f>
        <v>Surtoyo Syukri</v>
      </c>
      <c r="D426" s="21"/>
      <c r="E426" s="108"/>
      <c r="G426" s="29">
        <f t="shared" si="12"/>
        <v>32000000000423</v>
      </c>
      <c r="H426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25000000000423::bigint, null::varchar);</v>
      </c>
    </row>
    <row r="427" spans="2:8" x14ac:dyDescent="0.2">
      <c r="B427" s="37">
        <f>IF(EXACT([1]DataLookUp!$B427, ""), "", [1]DataLookUp!$B427)</f>
        <v>25000000000424</v>
      </c>
      <c r="C427" s="38" t="str">
        <f>IF(EXACT(B427, ""), "", VLOOKUP(B427, [1]DataLookUp!$B$4:$C$1000, 2,FALSE ))</f>
        <v>Suryadi</v>
      </c>
      <c r="D427" s="21"/>
      <c r="E427" s="108"/>
      <c r="G427" s="29">
        <f t="shared" si="12"/>
        <v>32000000000424</v>
      </c>
      <c r="H427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25000000000424::bigint, null::varchar);</v>
      </c>
    </row>
    <row r="428" spans="2:8" x14ac:dyDescent="0.2">
      <c r="B428" s="37">
        <f>IF(EXACT([1]DataLookUp!$B428, ""), "", [1]DataLookUp!$B428)</f>
        <v>25000000000425</v>
      </c>
      <c r="C428" s="38" t="str">
        <f>IF(EXACT(B428, ""), "", VLOOKUP(B428, [1]DataLookUp!$B$4:$C$1000, 2,FALSE ))</f>
        <v>Susilawati</v>
      </c>
      <c r="D428" s="21"/>
      <c r="E428" s="108"/>
      <c r="G428" s="29">
        <f t="shared" si="12"/>
        <v>32000000000425</v>
      </c>
      <c r="H428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25000000000425::bigint, null::varchar);</v>
      </c>
    </row>
    <row r="429" spans="2:8" x14ac:dyDescent="0.2">
      <c r="B429" s="37">
        <f>IF(EXACT([1]DataLookUp!$B429, ""), "", [1]DataLookUp!$B429)</f>
        <v>25000000000426</v>
      </c>
      <c r="C429" s="38" t="str">
        <f>IF(EXACT(B429, ""), "", VLOOKUP(B429, [1]DataLookUp!$B$4:$C$1000, 2,FALSE ))</f>
        <v>Sutarno</v>
      </c>
      <c r="D429" s="21"/>
      <c r="E429" s="108"/>
      <c r="G429" s="29">
        <f t="shared" si="12"/>
        <v>32000000000426</v>
      </c>
      <c r="H429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25000000000426::bigint, null::varchar);</v>
      </c>
    </row>
    <row r="430" spans="2:8" x14ac:dyDescent="0.2">
      <c r="B430" s="37">
        <f>IF(EXACT([1]DataLookUp!$B430, ""), "", [1]DataLookUp!$B430)</f>
        <v>25000000000427</v>
      </c>
      <c r="C430" s="38" t="str">
        <f>IF(EXACT(B430, ""), "", VLOOKUP(B430, [1]DataLookUp!$B$4:$C$1000, 2,FALSE ))</f>
        <v>Sutra Riandi</v>
      </c>
      <c r="D430" s="21"/>
      <c r="E430" s="108"/>
      <c r="G430" s="29">
        <f t="shared" si="12"/>
        <v>32000000000427</v>
      </c>
      <c r="H430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25000000000427::bigint, null::varchar);</v>
      </c>
    </row>
    <row r="431" spans="2:8" x14ac:dyDescent="0.2">
      <c r="B431" s="37">
        <f>IF(EXACT([1]DataLookUp!$B431, ""), "", [1]DataLookUp!$B431)</f>
        <v>25000000000428</v>
      </c>
      <c r="C431" s="38" t="str">
        <f>IF(EXACT(B431, ""), "", VLOOKUP(B431, [1]DataLookUp!$B$4:$C$1000, 2,FALSE ))</f>
        <v>Suyanto</v>
      </c>
      <c r="D431" s="21" t="s">
        <v>32</v>
      </c>
      <c r="E431" s="108"/>
      <c r="G431" s="29">
        <f t="shared" si="12"/>
        <v>32000000000428</v>
      </c>
      <c r="H431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25000000000428::bigint, '261219925'::varchar);</v>
      </c>
    </row>
    <row r="432" spans="2:8" x14ac:dyDescent="0.2">
      <c r="B432" s="37">
        <f>IF(EXACT([1]DataLookUp!$B432, ""), "", [1]DataLookUp!$B432)</f>
        <v>25000000000429</v>
      </c>
      <c r="C432" s="38" t="str">
        <f>IF(EXACT(B432, ""), "", VLOOKUP(B432, [1]DataLookUp!$B$4:$C$1000, 2,FALSE ))</f>
        <v>Swar Jono</v>
      </c>
      <c r="D432" s="21"/>
      <c r="E432" s="108"/>
      <c r="G432" s="29">
        <f t="shared" si="12"/>
        <v>32000000000429</v>
      </c>
      <c r="H432" s="30" t="str">
        <f t="shared" si="13"/>
        <v>PERFORM "SchData-OLTP-HumanResource"."Func_TblWorker_SET"(varSystemLoginSession, null::bigint, null::varchar, null::timestamptz, null::timestamptz, null::varchar, varInstitutionBranchID, varBaseCurrencyID, 25000000000429::bigint, null::varchar);</v>
      </c>
    </row>
    <row r="433" spans="2:8" x14ac:dyDescent="0.2">
      <c r="B433" s="37">
        <f>IF(EXACT([1]DataLookUp!$B433, ""), "", [1]DataLookUp!$B433)</f>
        <v>25000000000430</v>
      </c>
      <c r="C433" s="38" t="str">
        <f>IF(EXACT(B433, ""), "", VLOOKUP(B433, [1]DataLookUp!$B$4:$C$1000, 2,FALSE ))</f>
        <v>Syafruddin</v>
      </c>
      <c r="D433" s="21"/>
      <c r="E433" s="108"/>
      <c r="G433" s="29">
        <f t="shared" si="12"/>
        <v>32000000000430</v>
      </c>
      <c r="H433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25000000000430::bigint, null::varchar);</v>
      </c>
    </row>
    <row r="434" spans="2:8" x14ac:dyDescent="0.2">
      <c r="B434" s="37">
        <f>IF(EXACT([1]DataLookUp!$B434, ""), "", [1]DataLookUp!$B434)</f>
        <v>25000000000431</v>
      </c>
      <c r="C434" s="38" t="str">
        <f>IF(EXACT(B434, ""), "", VLOOKUP(B434, [1]DataLookUp!$B$4:$C$1000, 2,FALSE ))</f>
        <v>Syafrudin Machmud</v>
      </c>
      <c r="D434" s="21"/>
      <c r="E434" s="108"/>
      <c r="G434" s="29">
        <f t="shared" si="12"/>
        <v>32000000000431</v>
      </c>
      <c r="H434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25000000000431::bigint, null::varchar);</v>
      </c>
    </row>
    <row r="435" spans="2:8" x14ac:dyDescent="0.2">
      <c r="B435" s="37">
        <f>IF(EXACT([1]DataLookUp!$B435, ""), "", [1]DataLookUp!$B435)</f>
        <v>25000000000432</v>
      </c>
      <c r="C435" s="38" t="str">
        <f>IF(EXACT(B435, ""), "", VLOOKUP(B435, [1]DataLookUp!$B$4:$C$1000, 2,FALSE ))</f>
        <v>Syahrizal</v>
      </c>
      <c r="D435" s="21"/>
      <c r="E435" s="108"/>
      <c r="G435" s="29">
        <f t="shared" si="12"/>
        <v>32000000000432</v>
      </c>
      <c r="H435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25000000000432::bigint, null::varchar);</v>
      </c>
    </row>
    <row r="436" spans="2:8" x14ac:dyDescent="0.2">
      <c r="B436" s="37">
        <f>IF(EXACT([1]DataLookUp!$B436, ""), "", [1]DataLookUp!$B436)</f>
        <v>25000000000433</v>
      </c>
      <c r="C436" s="38" t="str">
        <f>IF(EXACT(B436, ""), "", VLOOKUP(B436, [1]DataLookUp!$B$4:$C$1000, 2,FALSE ))</f>
        <v>Syaiful Idjam</v>
      </c>
      <c r="D436" s="21"/>
      <c r="E436" s="108"/>
      <c r="G436" s="29">
        <f t="shared" si="12"/>
        <v>32000000000433</v>
      </c>
      <c r="H436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25000000000433::bigint, null::varchar);</v>
      </c>
    </row>
    <row r="437" spans="2:8" x14ac:dyDescent="0.2">
      <c r="B437" s="37">
        <f>IF(EXACT([1]DataLookUp!$B437, ""), "", [1]DataLookUp!$B437)</f>
        <v>25000000000434</v>
      </c>
      <c r="C437" s="38" t="str">
        <f>IF(EXACT(B437, ""), "", VLOOKUP(B437, [1]DataLookUp!$B$4:$C$1000, 2,FALSE ))</f>
        <v>Tajuddin Assubki Ismail</v>
      </c>
      <c r="D437" s="21" t="s">
        <v>50</v>
      </c>
      <c r="E437" s="108"/>
      <c r="G437" s="29">
        <f t="shared" si="12"/>
        <v>32000000000434</v>
      </c>
      <c r="H437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25000000000434::bigint, '070703034'::varchar);</v>
      </c>
    </row>
    <row r="438" spans="2:8" x14ac:dyDescent="0.2">
      <c r="B438" s="37">
        <f>IF(EXACT([1]DataLookUp!$B438, ""), "", [1]DataLookUp!$B438)</f>
        <v>25000000000435</v>
      </c>
      <c r="C438" s="38" t="str">
        <f>IF(EXACT(B438, ""), "", VLOOKUP(B438, [1]DataLookUp!$B$4:$C$1000, 2,FALSE ))</f>
        <v>Taslim</v>
      </c>
      <c r="D438" s="21"/>
      <c r="E438" s="108"/>
      <c r="G438" s="29">
        <f t="shared" si="12"/>
        <v>32000000000435</v>
      </c>
      <c r="H438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25000000000435::bigint, null::varchar);</v>
      </c>
    </row>
    <row r="439" spans="2:8" x14ac:dyDescent="0.2">
      <c r="B439" s="37">
        <f>IF(EXACT([1]DataLookUp!$B439, ""), "", [1]DataLookUp!$B439)</f>
        <v>25000000000436</v>
      </c>
      <c r="C439" s="38" t="str">
        <f>IF(EXACT(B439, ""), "", VLOOKUP(B439, [1]DataLookUp!$B$4:$C$1000, 2,FALSE ))</f>
        <v>Taufik Mulia Pane</v>
      </c>
      <c r="D439" s="21"/>
      <c r="E439" s="108"/>
      <c r="G439" s="29">
        <f t="shared" si="12"/>
        <v>32000000000436</v>
      </c>
      <c r="H439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25000000000436::bigint, null::varchar);</v>
      </c>
    </row>
    <row r="440" spans="2:8" x14ac:dyDescent="0.2">
      <c r="B440" s="37">
        <f>IF(EXACT([1]DataLookUp!$B440, ""), "", [1]DataLookUp!$B440)</f>
        <v>25000000000437</v>
      </c>
      <c r="C440" s="38" t="str">
        <f>IF(EXACT(B440, ""), "", VLOOKUP(B440, [1]DataLookUp!$B$4:$C$1000, 2,FALSE ))</f>
        <v>Tedy Harseno</v>
      </c>
      <c r="D440" s="21"/>
      <c r="E440" s="108"/>
      <c r="G440" s="29">
        <f t="shared" si="12"/>
        <v>32000000000437</v>
      </c>
      <c r="H440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25000000000437::bigint, null::varchar);</v>
      </c>
    </row>
    <row r="441" spans="2:8" x14ac:dyDescent="0.2">
      <c r="B441" s="37">
        <f>IF(EXACT([1]DataLookUp!$B441, ""), "", [1]DataLookUp!$B441)</f>
        <v>25000000000438</v>
      </c>
      <c r="C441" s="38" t="str">
        <f>IF(EXACT(B441, ""), "", VLOOKUP(B441, [1]DataLookUp!$B$4:$C$1000, 2,FALSE ))</f>
        <v>Teguh Joko Pamuji</v>
      </c>
      <c r="D441" s="21"/>
      <c r="E441" s="108"/>
      <c r="G441" s="29">
        <f t="shared" si="12"/>
        <v>32000000000438</v>
      </c>
      <c r="H441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25000000000438::bigint, null::varchar);</v>
      </c>
    </row>
    <row r="442" spans="2:8" x14ac:dyDescent="0.2">
      <c r="B442" s="37">
        <f>IF(EXACT([1]DataLookUp!$B442, ""), "", [1]DataLookUp!$B442)</f>
        <v>25000000000439</v>
      </c>
      <c r="C442" s="38" t="str">
        <f>IF(EXACT(B442, ""), "", VLOOKUP(B442, [1]DataLookUp!$B$4:$C$1000, 2,FALSE ))</f>
        <v>Teguh Pratama Januzir Sukin</v>
      </c>
      <c r="D442" s="21" t="s">
        <v>34</v>
      </c>
      <c r="E442" s="108"/>
      <c r="G442" s="29">
        <f t="shared" si="12"/>
        <v>32000000000439</v>
      </c>
      <c r="H442" s="30" t="str">
        <f t="shared" si="13"/>
        <v>PERFORM "SchData-OLTP-HumanResource"."Func_TblWorker_SET"(varSystemLoginSession, null::bigint, null::varchar, null::timestamptz, null::timestamptz, null::varchar, varInstitutionBranchID, varBaseCurrencyID, 25000000000439::bigint, '030717839'::varchar);</v>
      </c>
    </row>
    <row r="443" spans="2:8" x14ac:dyDescent="0.2">
      <c r="B443" s="37">
        <f>IF(EXACT([1]DataLookUp!$B443, ""), "", [1]DataLookUp!$B443)</f>
        <v>25000000000440</v>
      </c>
      <c r="C443" s="38" t="str">
        <f>IF(EXACT(B443, ""), "", VLOOKUP(B443, [1]DataLookUp!$B$4:$C$1000, 2,FALSE ))</f>
        <v>Teguh Susanto</v>
      </c>
      <c r="D443" s="21"/>
      <c r="E443" s="108"/>
      <c r="G443" s="29">
        <f t="shared" si="12"/>
        <v>32000000000440</v>
      </c>
      <c r="H443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25000000000440::bigint, null::varchar);</v>
      </c>
    </row>
    <row r="444" spans="2:8" x14ac:dyDescent="0.2">
      <c r="B444" s="37">
        <f>IF(EXACT([1]DataLookUp!$B444, ""), "", [1]DataLookUp!$B444)</f>
        <v>25000000000441</v>
      </c>
      <c r="C444" s="38" t="str">
        <f>IF(EXACT(B444, ""), "", VLOOKUP(B444, [1]DataLookUp!$B$4:$C$1000, 2,FALSE ))</f>
        <v>Tenri Sumange</v>
      </c>
      <c r="D444" s="21"/>
      <c r="E444" s="108"/>
      <c r="G444" s="29">
        <f t="shared" si="12"/>
        <v>32000000000441</v>
      </c>
      <c r="H444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25000000000441::bigint, null::varchar);</v>
      </c>
    </row>
    <row r="445" spans="2:8" x14ac:dyDescent="0.2">
      <c r="B445" s="37">
        <f>IF(EXACT([1]DataLookUp!$B445, ""), "", [1]DataLookUp!$B445)</f>
        <v>25000000000442</v>
      </c>
      <c r="C445" s="38" t="str">
        <f>IF(EXACT(B445, ""), "", VLOOKUP(B445, [1]DataLookUp!$B$4:$C$1000, 2,FALSE ))</f>
        <v>Teuku Zulkifli</v>
      </c>
      <c r="D445" s="21"/>
      <c r="E445" s="108"/>
      <c r="G445" s="29">
        <f t="shared" si="12"/>
        <v>32000000000442</v>
      </c>
      <c r="H445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25000000000442::bigint, null::varchar);</v>
      </c>
    </row>
    <row r="446" spans="2:8" x14ac:dyDescent="0.2">
      <c r="B446" s="37">
        <f>IF(EXACT([1]DataLookUp!$B446, ""), "", [1]DataLookUp!$B446)</f>
        <v>25000000000443</v>
      </c>
      <c r="C446" s="38" t="str">
        <f>IF(EXACT(B446, ""), "", VLOOKUP(B446, [1]DataLookUp!$B$4:$C$1000, 2,FALSE ))</f>
        <v>Tiara Kemalasari</v>
      </c>
      <c r="D446" s="21"/>
      <c r="E446" s="108"/>
      <c r="G446" s="29">
        <f t="shared" si="12"/>
        <v>32000000000443</v>
      </c>
      <c r="H446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25000000000443::bigint, null::varchar);</v>
      </c>
    </row>
    <row r="447" spans="2:8" x14ac:dyDescent="0.2">
      <c r="B447" s="37">
        <f>IF(EXACT([1]DataLookUp!$B447, ""), "", [1]DataLookUp!$B447)</f>
        <v>25000000000444</v>
      </c>
      <c r="C447" s="38" t="str">
        <f>IF(EXACT(B447, ""), "", VLOOKUP(B447, [1]DataLookUp!$B$4:$C$1000, 2,FALSE ))</f>
        <v>Tjhang Linawati</v>
      </c>
      <c r="D447" s="21"/>
      <c r="E447" s="108"/>
      <c r="G447" s="29">
        <f t="shared" si="12"/>
        <v>32000000000444</v>
      </c>
      <c r="H447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25000000000444::bigint, null::varchar);</v>
      </c>
    </row>
    <row r="448" spans="2:8" x14ac:dyDescent="0.2">
      <c r="B448" s="37">
        <f>IF(EXACT([1]DataLookUp!$B448, ""), "", [1]DataLookUp!$B448)</f>
        <v>25000000000445</v>
      </c>
      <c r="C448" s="38" t="str">
        <f>IF(EXACT(B448, ""), "", VLOOKUP(B448, [1]DataLookUp!$B$4:$C$1000, 2,FALSE ))</f>
        <v>Totok Kristianto</v>
      </c>
      <c r="D448" s="21"/>
      <c r="E448" s="108"/>
      <c r="G448" s="29">
        <f t="shared" si="12"/>
        <v>32000000000445</v>
      </c>
      <c r="H448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25000000000445::bigint, null::varchar);</v>
      </c>
    </row>
    <row r="449" spans="2:8" x14ac:dyDescent="0.2">
      <c r="B449" s="37">
        <f>IF(EXACT([1]DataLookUp!$B449, ""), "", [1]DataLookUp!$B449)</f>
        <v>25000000000446</v>
      </c>
      <c r="C449" s="38" t="str">
        <f>IF(EXACT(B449, ""), "", VLOOKUP(B449, [1]DataLookUp!$B$4:$C$1000, 2,FALSE ))</f>
        <v>Tri Aji</v>
      </c>
      <c r="D449" s="21"/>
      <c r="E449" s="108"/>
      <c r="G449" s="29">
        <f t="shared" si="12"/>
        <v>32000000000446</v>
      </c>
      <c r="H449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25000000000446::bigint, null::varchar);</v>
      </c>
    </row>
    <row r="450" spans="2:8" x14ac:dyDescent="0.2">
      <c r="B450" s="37">
        <f>IF(EXACT([1]DataLookUp!$B450, ""), "", [1]DataLookUp!$B450)</f>
        <v>25000000000447</v>
      </c>
      <c r="C450" s="38" t="str">
        <f>IF(EXACT(B450, ""), "", VLOOKUP(B450, [1]DataLookUp!$B$4:$C$1000, 2,FALSE ))</f>
        <v>Tri M. Saputra</v>
      </c>
      <c r="D450" s="21"/>
      <c r="E450" s="108"/>
      <c r="G450" s="29">
        <f t="shared" si="12"/>
        <v>32000000000447</v>
      </c>
      <c r="H450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25000000000447::bigint, null::varchar);</v>
      </c>
    </row>
    <row r="451" spans="2:8" x14ac:dyDescent="0.2">
      <c r="B451" s="37">
        <f>IF(EXACT([1]DataLookUp!$B451, ""), "", [1]DataLookUp!$B451)</f>
        <v>25000000000448</v>
      </c>
      <c r="C451" s="38" t="str">
        <f>IF(EXACT(B451, ""), "", VLOOKUP(B451, [1]DataLookUp!$B$4:$C$1000, 2,FALSE ))</f>
        <v>Triani Irma</v>
      </c>
      <c r="D451" s="21"/>
      <c r="E451" s="108"/>
      <c r="G451" s="29">
        <f t="shared" si="12"/>
        <v>32000000000448</v>
      </c>
      <c r="H451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25000000000448::bigint, null::varchar);</v>
      </c>
    </row>
    <row r="452" spans="2:8" x14ac:dyDescent="0.2">
      <c r="B452" s="37">
        <f>IF(EXACT([1]DataLookUp!$B452, ""), "", [1]DataLookUp!$B452)</f>
        <v>25000000000449</v>
      </c>
      <c r="C452" s="38" t="str">
        <f>IF(EXACT(B452, ""), "", VLOOKUP(B452, [1]DataLookUp!$B$4:$C$1000, 2,FALSE ))</f>
        <v>Trisyanto</v>
      </c>
      <c r="D452" s="21"/>
      <c r="E452" s="108"/>
      <c r="G452" s="29">
        <f t="shared" si="12"/>
        <v>32000000000449</v>
      </c>
      <c r="H452" s="30" t="str">
        <f t="shared" si="13"/>
        <v>PERFORM "SchData-OLTP-HumanResource"."Func_TblWorker_SET"(varSystemLoginSession, null::bigint, null::varchar, null::timestamptz, null::timestamptz, null::varchar, varInstitutionBranchID, varBaseCurrencyID, 25000000000449::bigint, null::varchar);</v>
      </c>
    </row>
    <row r="453" spans="2:8" x14ac:dyDescent="0.2">
      <c r="B453" s="37">
        <f>IF(EXACT([1]DataLookUp!$B453, ""), "", [1]DataLookUp!$B453)</f>
        <v>25000000000450</v>
      </c>
      <c r="C453" s="38" t="str">
        <f>IF(EXACT(B453, ""), "", VLOOKUP(B453, [1]DataLookUp!$B$4:$C$1000, 2,FALSE ))</f>
        <v>Triwiarti Dibya</v>
      </c>
      <c r="D453" s="21"/>
      <c r="E453" s="108"/>
      <c r="G453" s="29">
        <f t="shared" ref="G453:G516" si="14" xml:space="preserve"> G452 + IF(EXACT(H453, ""), 0, 1)</f>
        <v>32000000000450</v>
      </c>
      <c r="H453" s="30" t="str">
        <f t="shared" ref="H453:H516" si="15">CONCATENATE("PERFORM ""SchData-OLTP-HumanResource"".""Func_TblWorker_SET""(varSystemLoginSession, null::bigint, null::varchar, null::timestamptz, null::timestamptz, null::varchar, varInstitutionBranchID, varBaseCurrencyID, ", B453, "::bigint, ", IF(EXACT(D453, ""), "null", CONCATENATE("'", D453, "'")), "::varchar);")</f>
        <v>PERFORM "SchData-OLTP-HumanResource"."Func_TblWorker_SET"(varSystemLoginSession, null::bigint, null::varchar, null::timestamptz, null::timestamptz, null::varchar, varInstitutionBranchID, varBaseCurrencyID, 25000000000450::bigint, null::varchar);</v>
      </c>
    </row>
    <row r="454" spans="2:8" x14ac:dyDescent="0.2">
      <c r="B454" s="37">
        <f>IF(EXACT([1]DataLookUp!$B454, ""), "", [1]DataLookUp!$B454)</f>
        <v>25000000000451</v>
      </c>
      <c r="C454" s="38" t="str">
        <f>IF(EXACT(B454, ""), "", VLOOKUP(B454, [1]DataLookUp!$B$4:$C$1000, 2,FALSE ))</f>
        <v>Triyono</v>
      </c>
      <c r="D454" s="21"/>
      <c r="E454" s="108"/>
      <c r="G454" s="29">
        <f t="shared" si="14"/>
        <v>32000000000451</v>
      </c>
      <c r="H454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25000000000451::bigint, null::varchar);</v>
      </c>
    </row>
    <row r="455" spans="2:8" x14ac:dyDescent="0.2">
      <c r="B455" s="37">
        <f>IF(EXACT([1]DataLookUp!$B455, ""), "", [1]DataLookUp!$B455)</f>
        <v>25000000000452</v>
      </c>
      <c r="C455" s="38" t="str">
        <f>IF(EXACT(B455, ""), "", VLOOKUP(B455, [1]DataLookUp!$B$4:$C$1000, 2,FALSE ))</f>
        <v>Turita Pramuning Marantina</v>
      </c>
      <c r="D455" s="21" t="s">
        <v>35</v>
      </c>
      <c r="E455" s="108"/>
      <c r="G455" s="29">
        <f t="shared" si="14"/>
        <v>32000000000452</v>
      </c>
      <c r="H455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25000000000452::bigint, '090818879'::varchar);</v>
      </c>
    </row>
    <row r="456" spans="2:8" x14ac:dyDescent="0.2">
      <c r="B456" s="37">
        <f>IF(EXACT([1]DataLookUp!$B456, ""), "", [1]DataLookUp!$B456)</f>
        <v>25000000000453</v>
      </c>
      <c r="C456" s="38" t="str">
        <f>IF(EXACT(B456, ""), "", VLOOKUP(B456, [1]DataLookUp!$B$4:$C$1000, 2,FALSE ))</f>
        <v>Tutus Ary</v>
      </c>
      <c r="D456" s="21"/>
      <c r="E456" s="108"/>
      <c r="G456" s="29">
        <f t="shared" si="14"/>
        <v>32000000000453</v>
      </c>
      <c r="H456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25000000000453::bigint, null::varchar);</v>
      </c>
    </row>
    <row r="457" spans="2:8" x14ac:dyDescent="0.2">
      <c r="B457" s="37">
        <f>IF(EXACT([1]DataLookUp!$B457, ""), "", [1]DataLookUp!$B457)</f>
        <v>25000000000454</v>
      </c>
      <c r="C457" s="38" t="str">
        <f>IF(EXACT(B457, ""), "", VLOOKUP(B457, [1]DataLookUp!$B$4:$C$1000, 2,FALSE ))</f>
        <v>Ubaidillah</v>
      </c>
      <c r="D457" s="21"/>
      <c r="E457" s="108"/>
      <c r="G457" s="29">
        <f t="shared" si="14"/>
        <v>32000000000454</v>
      </c>
      <c r="H457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25000000000454::bigint, null::varchar);</v>
      </c>
    </row>
    <row r="458" spans="2:8" x14ac:dyDescent="0.2">
      <c r="B458" s="37">
        <f>IF(EXACT([1]DataLookUp!$B458, ""), "", [1]DataLookUp!$B458)</f>
        <v>25000000000455</v>
      </c>
      <c r="C458" s="38" t="str">
        <f>IF(EXACT(B458, ""), "", VLOOKUP(B458, [1]DataLookUp!$B$4:$C$1000, 2,FALSE ))</f>
        <v>Ujang Barma</v>
      </c>
      <c r="D458" s="21"/>
      <c r="E458" s="108"/>
      <c r="G458" s="29">
        <f t="shared" si="14"/>
        <v>32000000000455</v>
      </c>
      <c r="H458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25000000000455::bigint, null::varchar);</v>
      </c>
    </row>
    <row r="459" spans="2:8" x14ac:dyDescent="0.2">
      <c r="B459" s="37">
        <f>IF(EXACT([1]DataLookUp!$B459, ""), "", [1]DataLookUp!$B459)</f>
        <v>25000000000456</v>
      </c>
      <c r="C459" s="38" t="str">
        <f>IF(EXACT(B459, ""), "", VLOOKUP(B459, [1]DataLookUp!$B$4:$C$1000, 2,FALSE ))</f>
        <v>Ujang Suryana</v>
      </c>
      <c r="D459" s="21"/>
      <c r="E459" s="108"/>
      <c r="G459" s="29">
        <f t="shared" si="14"/>
        <v>32000000000456</v>
      </c>
      <c r="H459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25000000000456::bigint, null::varchar);</v>
      </c>
    </row>
    <row r="460" spans="2:8" x14ac:dyDescent="0.2">
      <c r="B460" s="37">
        <f>IF(EXACT([1]DataLookUp!$B460, ""), "", [1]DataLookUp!$B460)</f>
        <v>25000000000457</v>
      </c>
      <c r="C460" s="38" t="str">
        <f>IF(EXACT(B460, ""), "", VLOOKUP(B460, [1]DataLookUp!$B$4:$C$1000, 2,FALSE ))</f>
        <v>Ulman Juanda</v>
      </c>
      <c r="D460" s="21"/>
      <c r="E460" s="108"/>
      <c r="G460" s="29">
        <f t="shared" si="14"/>
        <v>32000000000457</v>
      </c>
      <c r="H460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25000000000457::bigint, null::varchar);</v>
      </c>
    </row>
    <row r="461" spans="2:8" x14ac:dyDescent="0.2">
      <c r="B461" s="37">
        <f>IF(EXACT([1]DataLookUp!$B461, ""), "", [1]DataLookUp!$B461)</f>
        <v>25000000000458</v>
      </c>
      <c r="C461" s="38" t="str">
        <f>IF(EXACT(B461, ""), "", VLOOKUP(B461, [1]DataLookUp!$B$4:$C$1000, 2,FALSE ))</f>
        <v>Urbanus Boimau</v>
      </c>
      <c r="D461" s="21" t="s">
        <v>154</v>
      </c>
      <c r="E461" s="108"/>
      <c r="G461" s="29">
        <f t="shared" si="14"/>
        <v>32000000000458</v>
      </c>
      <c r="H461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25000000000458::bigint, '010906267'::varchar);</v>
      </c>
    </row>
    <row r="462" spans="2:8" x14ac:dyDescent="0.2">
      <c r="B462" s="37">
        <f>IF(EXACT([1]DataLookUp!$B462, ""), "", [1]DataLookUp!$B462)</f>
        <v>25000000000459</v>
      </c>
      <c r="C462" s="38" t="str">
        <f>IF(EXACT(B462, ""), "", VLOOKUP(B462, [1]DataLookUp!$B$4:$C$1000, 2,FALSE ))</f>
        <v>Uswatun Hasamah</v>
      </c>
      <c r="D462" s="21"/>
      <c r="E462" s="108"/>
      <c r="G462" s="29">
        <f t="shared" si="14"/>
        <v>32000000000459</v>
      </c>
      <c r="H462" s="30" t="str">
        <f t="shared" si="15"/>
        <v>PERFORM "SchData-OLTP-HumanResource"."Func_TblWorker_SET"(varSystemLoginSession, null::bigint, null::varchar, null::timestamptz, null::timestamptz, null::varchar, varInstitutionBranchID, varBaseCurrencyID, 25000000000459::bigint, null::varchar);</v>
      </c>
    </row>
    <row r="463" spans="2:8" x14ac:dyDescent="0.2">
      <c r="B463" s="37">
        <f>IF(EXACT([1]DataLookUp!$B463, ""), "", [1]DataLookUp!$B463)</f>
        <v>25000000000460</v>
      </c>
      <c r="C463" s="38" t="str">
        <f>IF(EXACT(B463, ""), "", VLOOKUP(B463, [1]DataLookUp!$B$4:$C$1000, 2,FALSE ))</f>
        <v>Uswatun Khasanah</v>
      </c>
      <c r="D463" s="21"/>
      <c r="E463" s="108"/>
      <c r="G463" s="29">
        <f t="shared" si="14"/>
        <v>32000000000460</v>
      </c>
      <c r="H463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25000000000460::bigint, null::varchar);</v>
      </c>
    </row>
    <row r="464" spans="2:8" x14ac:dyDescent="0.2">
      <c r="B464" s="37">
        <f>IF(EXACT([1]DataLookUp!$B464, ""), "", [1]DataLookUp!$B464)</f>
        <v>25000000000461</v>
      </c>
      <c r="C464" s="38" t="str">
        <f>IF(EXACT(B464, ""), "", VLOOKUP(B464, [1]DataLookUp!$B$4:$C$1000, 2,FALSE ))</f>
        <v>Utami Dewi</v>
      </c>
      <c r="D464" s="21"/>
      <c r="E464" s="108"/>
      <c r="G464" s="29">
        <f t="shared" si="14"/>
        <v>32000000000461</v>
      </c>
      <c r="H464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25000000000461::bigint, null::varchar);</v>
      </c>
    </row>
    <row r="465" spans="2:8" x14ac:dyDescent="0.2">
      <c r="B465" s="37">
        <f>IF(EXACT([1]DataLookUp!$B465, ""), "", [1]DataLookUp!$B465)</f>
        <v>25000000000462</v>
      </c>
      <c r="C465" s="38" t="str">
        <f>IF(EXACT(B465, ""), "", VLOOKUP(B465, [1]DataLookUp!$B$4:$C$1000, 2,FALSE ))</f>
        <v>Utanto</v>
      </c>
      <c r="D465" s="21"/>
      <c r="E465" s="108"/>
      <c r="G465" s="29">
        <f t="shared" si="14"/>
        <v>32000000000462</v>
      </c>
      <c r="H465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25000000000462::bigint, null::varchar);</v>
      </c>
    </row>
    <row r="466" spans="2:8" x14ac:dyDescent="0.2">
      <c r="B466" s="37">
        <f>IF(EXACT([1]DataLookUp!$B466, ""), "", [1]DataLookUp!$B466)</f>
        <v>25000000000463</v>
      </c>
      <c r="C466" s="38" t="str">
        <f>IF(EXACT(B466, ""), "", VLOOKUP(B466, [1]DataLookUp!$B$4:$C$1000, 2,FALSE ))</f>
        <v>Veradita Yulanda</v>
      </c>
      <c r="D466" s="21"/>
      <c r="E466" s="108"/>
      <c r="G466" s="29">
        <f t="shared" si="14"/>
        <v>32000000000463</v>
      </c>
      <c r="H466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25000000000463::bigint, null::varchar);</v>
      </c>
    </row>
    <row r="467" spans="2:8" x14ac:dyDescent="0.2">
      <c r="B467" s="37">
        <f>IF(EXACT([1]DataLookUp!$B467, ""), "", [1]DataLookUp!$B467)</f>
        <v>25000000000464</v>
      </c>
      <c r="C467" s="38" t="str">
        <f>IF(EXACT(B467, ""), "", VLOOKUP(B467, [1]DataLookUp!$B$4:$C$1000, 2,FALSE ))</f>
        <v>Vidhy Kartika Putri</v>
      </c>
      <c r="D467" s="21"/>
      <c r="E467" s="108"/>
      <c r="G467" s="29">
        <f t="shared" si="14"/>
        <v>32000000000464</v>
      </c>
      <c r="H467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25000000000464::bigint, null::varchar);</v>
      </c>
    </row>
    <row r="468" spans="2:8" x14ac:dyDescent="0.2">
      <c r="B468" s="37">
        <f>IF(EXACT([1]DataLookUp!$B468, ""), "", [1]DataLookUp!$B468)</f>
        <v>25000000000465</v>
      </c>
      <c r="C468" s="38" t="str">
        <f>IF(EXACT(B468, ""), "", VLOOKUP(B468, [1]DataLookUp!$B$4:$C$1000, 2,FALSE ))</f>
        <v>Vonny Agram</v>
      </c>
      <c r="D468" s="21"/>
      <c r="E468" s="108"/>
      <c r="G468" s="29">
        <f t="shared" si="14"/>
        <v>32000000000465</v>
      </c>
      <c r="H468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25000000000465::bigint, null::varchar);</v>
      </c>
    </row>
    <row r="469" spans="2:8" x14ac:dyDescent="0.2">
      <c r="B469" s="37">
        <f>IF(EXACT([1]DataLookUp!$B469, ""), "", [1]DataLookUp!$B469)</f>
        <v>25000000000466</v>
      </c>
      <c r="C469" s="38" t="str">
        <f>IF(EXACT(B469, ""), "", VLOOKUP(B469, [1]DataLookUp!$B$4:$C$1000, 2,FALSE ))</f>
        <v>Wahyu</v>
      </c>
      <c r="D469" s="21"/>
      <c r="E469" s="108"/>
      <c r="G469" s="29">
        <f t="shared" si="14"/>
        <v>32000000000466</v>
      </c>
      <c r="H469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25000000000466::bigint, null::varchar);</v>
      </c>
    </row>
    <row r="470" spans="2:8" x14ac:dyDescent="0.2">
      <c r="B470" s="37">
        <f>IF(EXACT([1]DataLookUp!$B470, ""), "", [1]DataLookUp!$B470)</f>
        <v>25000000000467</v>
      </c>
      <c r="C470" s="38" t="str">
        <f>IF(EXACT(B470, ""), "", VLOOKUP(B470, [1]DataLookUp!$B$4:$C$1000, 2,FALSE ))</f>
        <v>Wahyu Ramadhani</v>
      </c>
      <c r="D470" s="21" t="s">
        <v>36</v>
      </c>
      <c r="E470" s="108"/>
      <c r="G470" s="29">
        <f t="shared" si="14"/>
        <v>32000000000467</v>
      </c>
      <c r="H470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25000000000467::bigint, '040219900'::varchar);</v>
      </c>
    </row>
    <row r="471" spans="2:8" x14ac:dyDescent="0.2">
      <c r="B471" s="37">
        <f>IF(EXACT([1]DataLookUp!$B471, ""), "", [1]DataLookUp!$B471)</f>
        <v>25000000000468</v>
      </c>
      <c r="C471" s="38" t="str">
        <f>IF(EXACT(B471, ""), "", VLOOKUP(B471, [1]DataLookUp!$B$4:$C$1000, 2,FALSE ))</f>
        <v>Wahyu Widodo</v>
      </c>
      <c r="D471" s="21"/>
      <c r="E471" s="108"/>
      <c r="G471" s="29">
        <f t="shared" si="14"/>
        <v>32000000000468</v>
      </c>
      <c r="H471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25000000000468::bigint, null::varchar);</v>
      </c>
    </row>
    <row r="472" spans="2:8" x14ac:dyDescent="0.2">
      <c r="B472" s="37">
        <f>IF(EXACT([1]DataLookUp!$B472, ""), "", [1]DataLookUp!$B472)</f>
        <v>25000000000469</v>
      </c>
      <c r="C472" s="38" t="str">
        <f>IF(EXACT(B472, ""), "", VLOOKUP(B472, [1]DataLookUp!$B$4:$C$1000, 2,FALSE ))</f>
        <v>Warsito Edy Saputra</v>
      </c>
      <c r="D472" s="21"/>
      <c r="E472" s="108"/>
      <c r="G472" s="29">
        <f t="shared" si="14"/>
        <v>32000000000469</v>
      </c>
      <c r="H472" s="30" t="str">
        <f t="shared" si="15"/>
        <v>PERFORM "SchData-OLTP-HumanResource"."Func_TblWorker_SET"(varSystemLoginSession, null::bigint, null::varchar, null::timestamptz, null::timestamptz, null::varchar, varInstitutionBranchID, varBaseCurrencyID, 25000000000469::bigint, null::varchar);</v>
      </c>
    </row>
    <row r="473" spans="2:8" x14ac:dyDescent="0.2">
      <c r="B473" s="37">
        <f>IF(EXACT([1]DataLookUp!$B473, ""), "", [1]DataLookUp!$B473)</f>
        <v>25000000000470</v>
      </c>
      <c r="C473" s="38" t="str">
        <f>IF(EXACT(B473, ""), "", VLOOKUP(B473, [1]DataLookUp!$B$4:$C$1000, 2,FALSE ))</f>
        <v>Weldi Wimar</v>
      </c>
      <c r="D473" s="21"/>
      <c r="E473" s="108"/>
      <c r="G473" s="29">
        <f t="shared" si="14"/>
        <v>32000000000470</v>
      </c>
      <c r="H473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25000000000470::bigint, null::varchar);</v>
      </c>
    </row>
    <row r="474" spans="2:8" x14ac:dyDescent="0.2">
      <c r="B474" s="37">
        <f>IF(EXACT([1]DataLookUp!$B474, ""), "", [1]DataLookUp!$B474)</f>
        <v>25000000000471</v>
      </c>
      <c r="C474" s="38" t="str">
        <f>IF(EXACT(B474, ""), "", VLOOKUP(B474, [1]DataLookUp!$B$4:$C$1000, 2,FALSE ))</f>
        <v>Wendy Septiyan</v>
      </c>
      <c r="D474" s="21"/>
      <c r="E474" s="108"/>
      <c r="G474" s="29">
        <f t="shared" si="14"/>
        <v>32000000000471</v>
      </c>
      <c r="H474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25000000000471::bigint, null::varchar);</v>
      </c>
    </row>
    <row r="475" spans="2:8" x14ac:dyDescent="0.2">
      <c r="B475" s="37">
        <f>IF(EXACT([1]DataLookUp!$B475, ""), "", [1]DataLookUp!$B475)</f>
        <v>25000000000472</v>
      </c>
      <c r="C475" s="38" t="str">
        <f>IF(EXACT(B475, ""), "", VLOOKUP(B475, [1]DataLookUp!$B$4:$C$1000, 2,FALSE ))</f>
        <v>Willy Indarto</v>
      </c>
      <c r="D475" s="21"/>
      <c r="E475" s="108"/>
      <c r="G475" s="29">
        <f t="shared" si="14"/>
        <v>32000000000472</v>
      </c>
      <c r="H475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25000000000472::bigint, null::varchar);</v>
      </c>
    </row>
    <row r="476" spans="2:8" x14ac:dyDescent="0.2">
      <c r="B476" s="37">
        <f>IF(EXACT([1]DataLookUp!$B476, ""), "", [1]DataLookUp!$B476)</f>
        <v>25000000000473</v>
      </c>
      <c r="C476" s="38" t="str">
        <f>IF(EXACT(B476, ""), "", VLOOKUP(B476, [1]DataLookUp!$B$4:$C$1000, 2,FALSE ))</f>
        <v>Winda Suherman</v>
      </c>
      <c r="D476" s="21"/>
      <c r="E476" s="108"/>
      <c r="G476" s="29">
        <f t="shared" si="14"/>
        <v>32000000000473</v>
      </c>
      <c r="H476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25000000000473::bigint, null::varchar);</v>
      </c>
    </row>
    <row r="477" spans="2:8" x14ac:dyDescent="0.2">
      <c r="B477" s="37">
        <f>IF(EXACT([1]DataLookUp!$B477, ""), "", [1]DataLookUp!$B477)</f>
        <v>25000000000474</v>
      </c>
      <c r="C477" s="38" t="str">
        <f>IF(EXACT(B477, ""), "", VLOOKUP(B477, [1]DataLookUp!$B$4:$C$1000, 2,FALSE ))</f>
        <v>Wisnu Ardian</v>
      </c>
      <c r="D477" s="21" t="s">
        <v>52</v>
      </c>
      <c r="E477" s="108"/>
      <c r="G477" s="29">
        <f t="shared" si="14"/>
        <v>32000000000474</v>
      </c>
      <c r="H477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25000000000474::bigint, '280618877'::varchar);</v>
      </c>
    </row>
    <row r="478" spans="2:8" x14ac:dyDescent="0.2">
      <c r="B478" s="37">
        <f>IF(EXACT([1]DataLookUp!$B478, ""), "", [1]DataLookUp!$B478)</f>
        <v>25000000000475</v>
      </c>
      <c r="C478" s="38" t="str">
        <f>IF(EXACT(B478, ""), "", VLOOKUP(B478, [1]DataLookUp!$B$4:$C$1000, 2,FALSE ))</f>
        <v>Wisudanto C. Suntoyo</v>
      </c>
      <c r="D478" s="21"/>
      <c r="E478" s="108"/>
      <c r="G478" s="29">
        <f t="shared" si="14"/>
        <v>32000000000475</v>
      </c>
      <c r="H478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25000000000475::bigint, null::varchar);</v>
      </c>
    </row>
    <row r="479" spans="2:8" x14ac:dyDescent="0.2">
      <c r="B479" s="37">
        <f>IF(EXACT([1]DataLookUp!$B479, ""), "", [1]DataLookUp!$B479)</f>
        <v>25000000000476</v>
      </c>
      <c r="C479" s="38" t="str">
        <f>IF(EXACT(B479, ""), "", VLOOKUP(B479, [1]DataLookUp!$B$4:$C$1000, 2,FALSE ))</f>
        <v>Yahya Adyasa Febriansyah</v>
      </c>
      <c r="D479" s="21"/>
      <c r="E479" s="108"/>
      <c r="G479" s="29">
        <f t="shared" si="14"/>
        <v>32000000000476</v>
      </c>
      <c r="H479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25000000000476::bigint, null::varchar);</v>
      </c>
    </row>
    <row r="480" spans="2:8" x14ac:dyDescent="0.2">
      <c r="B480" s="37">
        <f>IF(EXACT([1]DataLookUp!$B480, ""), "", [1]DataLookUp!$B480)</f>
        <v>25000000000477</v>
      </c>
      <c r="C480" s="38" t="str">
        <f>IF(EXACT(B480, ""), "", VLOOKUP(B480, [1]DataLookUp!$B$4:$C$1000, 2,FALSE ))</f>
        <v>Yakup Sunaryo</v>
      </c>
      <c r="D480" s="21"/>
      <c r="E480" s="108"/>
      <c r="G480" s="29">
        <f t="shared" si="14"/>
        <v>32000000000477</v>
      </c>
      <c r="H480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25000000000477::bigint, null::varchar);</v>
      </c>
    </row>
    <row r="481" spans="2:8" x14ac:dyDescent="0.2">
      <c r="B481" s="37">
        <f>IF(EXACT([1]DataLookUp!$B481, ""), "", [1]DataLookUp!$B481)</f>
        <v>25000000000478</v>
      </c>
      <c r="C481" s="38" t="str">
        <f>IF(EXACT(B481, ""), "", VLOOKUP(B481, [1]DataLookUp!$B$4:$C$1000, 2,FALSE ))</f>
        <v>Yanuar Tri Ananda</v>
      </c>
      <c r="D481" s="21"/>
      <c r="E481" s="108"/>
      <c r="G481" s="29">
        <f t="shared" si="14"/>
        <v>32000000000478</v>
      </c>
      <c r="H481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25000000000478::bigint, null::varchar);</v>
      </c>
    </row>
    <row r="482" spans="2:8" x14ac:dyDescent="0.2">
      <c r="B482" s="37">
        <f>IF(EXACT([1]DataLookUp!$B482, ""), "", [1]DataLookUp!$B482)</f>
        <v>25000000000479</v>
      </c>
      <c r="C482" s="38" t="str">
        <f>IF(EXACT(B482, ""), "", VLOOKUP(B482, [1]DataLookUp!$B$4:$C$1000, 2,FALSE ))</f>
        <v>Yasir Liem</v>
      </c>
      <c r="D482" s="21"/>
      <c r="E482" s="108"/>
      <c r="G482" s="29">
        <f t="shared" si="14"/>
        <v>32000000000479</v>
      </c>
      <c r="H482" s="30" t="str">
        <f t="shared" si="15"/>
        <v>PERFORM "SchData-OLTP-HumanResource"."Func_TblWorker_SET"(varSystemLoginSession, null::bigint, null::varchar, null::timestamptz, null::timestamptz, null::varchar, varInstitutionBranchID, varBaseCurrencyID, 25000000000479::bigint, null::varchar);</v>
      </c>
    </row>
    <row r="483" spans="2:8" x14ac:dyDescent="0.2">
      <c r="B483" s="37">
        <f>IF(EXACT([1]DataLookUp!$B483, ""), "", [1]DataLookUp!$B483)</f>
        <v>25000000000480</v>
      </c>
      <c r="C483" s="38" t="str">
        <f>IF(EXACT(B483, ""), "", VLOOKUP(B483, [1]DataLookUp!$B$4:$C$1000, 2,FALSE ))</f>
        <v>Yefri Hendrayani</v>
      </c>
      <c r="D483" s="21"/>
      <c r="E483" s="108"/>
      <c r="G483" s="29">
        <f t="shared" si="14"/>
        <v>32000000000480</v>
      </c>
      <c r="H483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25000000000480::bigint, null::varchar);</v>
      </c>
    </row>
    <row r="484" spans="2:8" x14ac:dyDescent="0.2">
      <c r="B484" s="37">
        <f>IF(EXACT([1]DataLookUp!$B484, ""), "", [1]DataLookUp!$B484)</f>
        <v>25000000000481</v>
      </c>
      <c r="C484" s="38" t="str">
        <f>IF(EXACT(B484, ""), "", VLOOKUP(B484, [1]DataLookUp!$B$4:$C$1000, 2,FALSE ))</f>
        <v>Yessi Setiarini</v>
      </c>
      <c r="D484" s="21"/>
      <c r="E484" s="108"/>
      <c r="G484" s="29">
        <f t="shared" si="14"/>
        <v>32000000000481</v>
      </c>
      <c r="H484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25000000000481::bigint, null::varchar);</v>
      </c>
    </row>
    <row r="485" spans="2:8" x14ac:dyDescent="0.2">
      <c r="B485" s="37">
        <f>IF(EXACT([1]DataLookUp!$B485, ""), "", [1]DataLookUp!$B485)</f>
        <v>25000000000482</v>
      </c>
      <c r="C485" s="38" t="str">
        <f>IF(EXACT(B485, ""), "", VLOOKUP(B485, [1]DataLookUp!$B$4:$C$1000, 2,FALSE ))</f>
        <v>Yorid Fae</v>
      </c>
      <c r="D485" s="21"/>
      <c r="E485" s="108"/>
      <c r="G485" s="29">
        <f t="shared" si="14"/>
        <v>32000000000482</v>
      </c>
      <c r="H485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25000000000482::bigint, null::varchar);</v>
      </c>
    </row>
    <row r="486" spans="2:8" x14ac:dyDescent="0.2">
      <c r="B486" s="37">
        <f>IF(EXACT([1]DataLookUp!$B486, ""), "", [1]DataLookUp!$B486)</f>
        <v>25000000000483</v>
      </c>
      <c r="C486" s="38" t="str">
        <f>IF(EXACT(B486, ""), "", VLOOKUP(B486, [1]DataLookUp!$B$4:$C$1000, 2,FALSE ))</f>
        <v>Yosef Hang Wan</v>
      </c>
      <c r="D486" s="21"/>
      <c r="E486" s="108"/>
      <c r="G486" s="29">
        <f t="shared" si="14"/>
        <v>32000000000483</v>
      </c>
      <c r="H486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25000000000483::bigint, null::varchar);</v>
      </c>
    </row>
    <row r="487" spans="2:8" x14ac:dyDescent="0.2">
      <c r="B487" s="37">
        <f>IF(EXACT([1]DataLookUp!$B487, ""), "", [1]DataLookUp!$B487)</f>
        <v>25000000000484</v>
      </c>
      <c r="C487" s="38" t="str">
        <f>IF(EXACT(B487, ""), "", VLOOKUP(B487, [1]DataLookUp!$B$4:$C$1000, 2,FALSE ))</f>
        <v>Yossie Deliana</v>
      </c>
      <c r="D487" s="21"/>
      <c r="E487" s="108"/>
      <c r="G487" s="29">
        <f t="shared" si="14"/>
        <v>32000000000484</v>
      </c>
      <c r="H487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25000000000484::bigint, null::varchar);</v>
      </c>
    </row>
    <row r="488" spans="2:8" x14ac:dyDescent="0.2">
      <c r="B488" s="37">
        <f>IF(EXACT([1]DataLookUp!$B488, ""), "", [1]DataLookUp!$B488)</f>
        <v>25000000000485</v>
      </c>
      <c r="C488" s="38" t="str">
        <f>IF(EXACT(B488, ""), "", VLOOKUP(B488, [1]DataLookUp!$B$4:$C$1000, 2,FALSE ))</f>
        <v>Yudi Rahmadi</v>
      </c>
      <c r="D488" s="21"/>
      <c r="E488" s="108"/>
      <c r="G488" s="29">
        <f t="shared" si="14"/>
        <v>32000000000485</v>
      </c>
      <c r="H488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25000000000485::bigint, null::varchar);</v>
      </c>
    </row>
    <row r="489" spans="2:8" x14ac:dyDescent="0.2">
      <c r="B489" s="37">
        <f>IF(EXACT([1]DataLookUp!$B489, ""), "", [1]DataLookUp!$B489)</f>
        <v>25000000000486</v>
      </c>
      <c r="C489" s="38" t="str">
        <f>IF(EXACT(B489, ""), "", VLOOKUP(B489, [1]DataLookUp!$B$4:$C$1000, 2,FALSE ))</f>
        <v>Yudo Jati Rahmat Satrio</v>
      </c>
      <c r="D489" s="21"/>
      <c r="E489" s="108"/>
      <c r="G489" s="29">
        <f t="shared" si="14"/>
        <v>32000000000486</v>
      </c>
      <c r="H489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25000000000486::bigint, null::varchar);</v>
      </c>
    </row>
    <row r="490" spans="2:8" x14ac:dyDescent="0.2">
      <c r="B490" s="37">
        <f>IF(EXACT([1]DataLookUp!$B490, ""), "", [1]DataLookUp!$B490)</f>
        <v>25000000000487</v>
      </c>
      <c r="C490" s="38" t="str">
        <f>IF(EXACT(B490, ""), "", VLOOKUP(B490, [1]DataLookUp!$B$4:$C$1000, 2,FALSE ))</f>
        <v>Yuliandaru Suryoatmodjo</v>
      </c>
      <c r="D490" s="21">
        <v>160714734</v>
      </c>
      <c r="E490" s="108"/>
      <c r="G490" s="29">
        <f t="shared" si="14"/>
        <v>32000000000487</v>
      </c>
      <c r="H490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25000000000487::bigint, '160714734'::varchar);</v>
      </c>
    </row>
    <row r="491" spans="2:8" x14ac:dyDescent="0.2">
      <c r="B491" s="37">
        <f>IF(EXACT([1]DataLookUp!$B491, ""), "", [1]DataLookUp!$B491)</f>
        <v>25000000000488</v>
      </c>
      <c r="C491" s="38" t="str">
        <f>IF(EXACT(B491, ""), "", VLOOKUP(B491, [1]DataLookUp!$B$4:$C$1000, 2,FALSE ))</f>
        <v>Yulianta</v>
      </c>
      <c r="D491" s="21"/>
      <c r="E491" s="108"/>
      <c r="G491" s="29">
        <f t="shared" si="14"/>
        <v>32000000000488</v>
      </c>
      <c r="H491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25000000000488::bigint, null::varchar);</v>
      </c>
    </row>
    <row r="492" spans="2:8" x14ac:dyDescent="0.2">
      <c r="B492" s="37">
        <f>IF(EXACT([1]DataLookUp!$B492, ""), "", [1]DataLookUp!$B492)</f>
        <v>25000000000489</v>
      </c>
      <c r="C492" s="38" t="str">
        <f>IF(EXACT(B492, ""), "", VLOOKUP(B492, [1]DataLookUp!$B$4:$C$1000, 2,FALSE ))</f>
        <v>Yulianti</v>
      </c>
      <c r="D492" s="21"/>
      <c r="E492" s="108"/>
      <c r="G492" s="29">
        <f t="shared" si="14"/>
        <v>32000000000489</v>
      </c>
      <c r="H492" s="30" t="str">
        <f t="shared" si="15"/>
        <v>PERFORM "SchData-OLTP-HumanResource"."Func_TblWorker_SET"(varSystemLoginSession, null::bigint, null::varchar, null::timestamptz, null::timestamptz, null::varchar, varInstitutionBranchID, varBaseCurrencyID, 25000000000489::bigint, null::varchar);</v>
      </c>
    </row>
    <row r="493" spans="2:8" x14ac:dyDescent="0.2">
      <c r="B493" s="37">
        <f>IF(EXACT([1]DataLookUp!$B493, ""), "", [1]DataLookUp!$B493)</f>
        <v>25000000000490</v>
      </c>
      <c r="C493" s="38" t="str">
        <f>IF(EXACT(B493, ""), "", VLOOKUP(B493, [1]DataLookUp!$B$4:$C$1000, 2,FALSE ))</f>
        <v>Yulius</v>
      </c>
      <c r="D493" s="21"/>
      <c r="E493" s="108"/>
      <c r="G493" s="29">
        <f t="shared" si="14"/>
        <v>32000000000490</v>
      </c>
      <c r="H493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25000000000490::bigint, null::varchar);</v>
      </c>
    </row>
    <row r="494" spans="2:8" x14ac:dyDescent="0.2">
      <c r="B494" s="37">
        <f>IF(EXACT([1]DataLookUp!$B494, ""), "", [1]DataLookUp!$B494)</f>
        <v>25000000000491</v>
      </c>
      <c r="C494" s="38" t="str">
        <f>IF(EXACT(B494, ""), "", VLOOKUP(B494, [1]DataLookUp!$B$4:$C$1000, 2,FALSE ))</f>
        <v>Yunni Sazili</v>
      </c>
      <c r="D494" s="21"/>
      <c r="E494" s="108"/>
      <c r="G494" s="29">
        <f t="shared" si="14"/>
        <v>32000000000491</v>
      </c>
      <c r="H494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25000000000491::bigint, null::varchar);</v>
      </c>
    </row>
    <row r="495" spans="2:8" x14ac:dyDescent="0.2">
      <c r="B495" s="37">
        <f>IF(EXACT([1]DataLookUp!$B495, ""), "", [1]DataLookUp!$B495)</f>
        <v>25000000000492</v>
      </c>
      <c r="C495" s="38" t="str">
        <f>IF(EXACT(B495, ""), "", VLOOKUP(B495, [1]DataLookUp!$B$4:$C$1000, 2,FALSE ))</f>
        <v>Yusman</v>
      </c>
      <c r="D495" s="21"/>
      <c r="E495" s="108"/>
      <c r="G495" s="29">
        <f t="shared" si="14"/>
        <v>32000000000492</v>
      </c>
      <c r="H495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25000000000492::bigint, null::varchar);</v>
      </c>
    </row>
    <row r="496" spans="2:8" x14ac:dyDescent="0.2">
      <c r="B496" s="37">
        <f>IF(EXACT([1]DataLookUp!$B496, ""), "", [1]DataLookUp!$B496)</f>
        <v>25000000000493</v>
      </c>
      <c r="C496" s="38" t="str">
        <f>IF(EXACT(B496, ""), "", VLOOKUP(B496, [1]DataLookUp!$B$4:$C$1000, 2,FALSE ))</f>
        <v>Yusri Azhar</v>
      </c>
      <c r="D496" s="21"/>
      <c r="E496" s="108"/>
      <c r="G496" s="29">
        <f t="shared" si="14"/>
        <v>32000000000493</v>
      </c>
      <c r="H496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25000000000493::bigint, null::varchar);</v>
      </c>
    </row>
    <row r="497" spans="1:8" x14ac:dyDescent="0.2">
      <c r="B497" s="37">
        <f>IF(EXACT([1]DataLookUp!$B497, ""), "", [1]DataLookUp!$B497)</f>
        <v>25000000000494</v>
      </c>
      <c r="C497" s="38" t="str">
        <f>IF(EXACT(B497, ""), "", VLOOKUP(B497, [1]DataLookUp!$B$4:$C$1000, 2,FALSE ))</f>
        <v>Zafrizal</v>
      </c>
      <c r="D497" s="21"/>
      <c r="E497" s="108"/>
      <c r="G497" s="29">
        <f t="shared" si="14"/>
        <v>32000000000494</v>
      </c>
      <c r="H497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25000000000494::bigint, null::varchar);</v>
      </c>
    </row>
    <row r="498" spans="1:8" x14ac:dyDescent="0.2">
      <c r="B498" s="37">
        <f>IF(EXACT([1]DataLookUp!$B498, ""), "", [1]DataLookUp!$B498)</f>
        <v>25000000000495</v>
      </c>
      <c r="C498" s="38" t="str">
        <f>IF(EXACT(B498, ""), "", VLOOKUP(B498, [1]DataLookUp!$B$4:$C$1000, 2,FALSE ))</f>
        <v>Zafrizal Rifla (Ucok)</v>
      </c>
      <c r="D498" s="21"/>
      <c r="E498" s="108"/>
      <c r="G498" s="29">
        <f t="shared" si="14"/>
        <v>32000000000495</v>
      </c>
      <c r="H498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25000000000495::bigint, null::varchar);</v>
      </c>
    </row>
    <row r="499" spans="1:8" x14ac:dyDescent="0.2">
      <c r="B499" s="37">
        <f>IF(EXACT([1]DataLookUp!$B499, ""), "", [1]DataLookUp!$B499)</f>
        <v>25000000000496</v>
      </c>
      <c r="C499" s="38" t="str">
        <f>IF(EXACT(B499, ""), "", VLOOKUP(B499, [1]DataLookUp!$B$4:$C$1000, 2,FALSE ))</f>
        <v>Zainuddin</v>
      </c>
      <c r="D499" s="21"/>
      <c r="E499" s="108"/>
      <c r="G499" s="29">
        <f t="shared" si="14"/>
        <v>32000000000496</v>
      </c>
      <c r="H499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25000000000496::bigint, null::varchar);</v>
      </c>
    </row>
    <row r="500" spans="1:8" x14ac:dyDescent="0.2">
      <c r="B500" s="37">
        <f>IF(EXACT([1]DataLookUp!$B500, ""), "", [1]DataLookUp!$B500)</f>
        <v>25000000000497</v>
      </c>
      <c r="C500" s="38" t="str">
        <f>IF(EXACT(B500, ""), "", VLOOKUP(B500, [1]DataLookUp!$B$4:$C$1000, 2,FALSE ))</f>
        <v>Zainudin Anwar</v>
      </c>
      <c r="D500" s="21" t="s">
        <v>37</v>
      </c>
      <c r="E500" s="108"/>
      <c r="G500" s="29">
        <f t="shared" si="14"/>
        <v>32000000000497</v>
      </c>
      <c r="H500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25000000000497::bigint, '090819915'::varchar);</v>
      </c>
    </row>
    <row r="501" spans="1:8" x14ac:dyDescent="0.2">
      <c r="B501" s="37">
        <f>IF(EXACT([1]DataLookUp!$B501, ""), "", [1]DataLookUp!$B501)</f>
        <v>25000000000498</v>
      </c>
      <c r="C501" s="38" t="str">
        <f>IF(EXACT(B501, ""), "", VLOOKUP(B501, [1]DataLookUp!$B$4:$C$1000, 2,FALSE ))</f>
        <v>Zaire Dite Biscaya</v>
      </c>
      <c r="D501" s="21"/>
      <c r="E501" s="108"/>
      <c r="G501" s="29">
        <f t="shared" si="14"/>
        <v>32000000000498</v>
      </c>
      <c r="H501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25000000000498::bigint, null::varchar);</v>
      </c>
    </row>
    <row r="502" spans="1:8" x14ac:dyDescent="0.2">
      <c r="B502" s="37">
        <f>IF(EXACT([1]DataLookUp!$B502, ""), "", [1]DataLookUp!$B502)</f>
        <v>25000000000499</v>
      </c>
      <c r="C502" s="38" t="str">
        <f>IF(EXACT(B502, ""), "", VLOOKUP(B502, [1]DataLookUp!$B$4:$C$1000, 2,FALSE ))</f>
        <v>Zalfi Yandri</v>
      </c>
      <c r="D502" s="21"/>
      <c r="E502" s="108"/>
      <c r="G502" s="29">
        <f t="shared" si="14"/>
        <v>32000000000499</v>
      </c>
      <c r="H502" s="30" t="str">
        <f t="shared" si="15"/>
        <v>PERFORM "SchData-OLTP-HumanResource"."Func_TblWorker_SET"(varSystemLoginSession, null::bigint, null::varchar, null::timestamptz, null::timestamptz, null::varchar, varInstitutionBranchID, varBaseCurrencyID, 25000000000499::bigint, null::varchar);</v>
      </c>
    </row>
    <row r="503" spans="1:8" x14ac:dyDescent="0.2">
      <c r="B503" s="37">
        <f>IF(EXACT([1]DataLookUp!$B503, ""), "", [1]DataLookUp!$B503)</f>
        <v>25000000000500</v>
      </c>
      <c r="C503" s="38" t="str">
        <f>IF(EXACT(B503, ""), "", VLOOKUP(B503, [1]DataLookUp!$B$4:$C$1000, 2,FALSE ))</f>
        <v>Zam Roji</v>
      </c>
      <c r="D503" s="21"/>
      <c r="E503" s="108"/>
      <c r="G503" s="29">
        <f t="shared" si="14"/>
        <v>32000000000500</v>
      </c>
      <c r="H503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25000000000500::bigint, null::varchar);</v>
      </c>
    </row>
    <row r="504" spans="1:8" x14ac:dyDescent="0.2">
      <c r="B504" s="37">
        <f>IF(EXACT([1]DataLookUp!$B504, ""), "", [1]DataLookUp!$B504)</f>
        <v>25000000000501</v>
      </c>
      <c r="C504" s="38" t="str">
        <f>IF(EXACT(B504, ""), "", VLOOKUP(B504, [1]DataLookUp!$B$4:$C$1000, 2,FALSE ))</f>
        <v>Zulfikar K. Siregar</v>
      </c>
      <c r="D504" s="21" t="s">
        <v>128</v>
      </c>
      <c r="E504" s="108"/>
      <c r="G504" s="29">
        <f t="shared" si="14"/>
        <v>32000000000501</v>
      </c>
      <c r="H504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25000000000501::bigint, '3107251008'::varchar);</v>
      </c>
    </row>
    <row r="505" spans="1:8" x14ac:dyDescent="0.2">
      <c r="A505" s="4">
        <v>44491</v>
      </c>
      <c r="B505" s="37">
        <f>IF(EXACT([1]DataLookUp!$B505, ""), "", [1]DataLookUp!$B505)</f>
        <v>25000000000502</v>
      </c>
      <c r="C505" s="38" t="str">
        <f>IF(EXACT(B505, ""), "", VLOOKUP(B505, [1]DataLookUp!$B$4:$C$1000, 2,FALSE ))</f>
        <v>Adythia Adikara</v>
      </c>
      <c r="D505" s="21"/>
      <c r="E505" s="108"/>
      <c r="G505" s="29">
        <f t="shared" si="14"/>
        <v>32000000000502</v>
      </c>
      <c r="H505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25000000000502::bigint, null::varchar);</v>
      </c>
    </row>
    <row r="506" spans="1:8" x14ac:dyDescent="0.2">
      <c r="B506" s="37">
        <f>IF(EXACT([1]DataLookUp!$B506, ""), "", [1]DataLookUp!$B506)</f>
        <v>25000000000503</v>
      </c>
      <c r="C506" s="38" t="str">
        <f>IF(EXACT(B506, ""), "", VLOOKUP(B506, [1]DataLookUp!$B$4:$C$1000, 2,FALSE ))</f>
        <v>Agus Sopyan Hadi</v>
      </c>
      <c r="D506" s="21"/>
      <c r="E506" s="108"/>
      <c r="G506" s="29">
        <f t="shared" si="14"/>
        <v>32000000000503</v>
      </c>
      <c r="H506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25000000000503::bigint, null::varchar);</v>
      </c>
    </row>
    <row r="507" spans="1:8" x14ac:dyDescent="0.2">
      <c r="B507" s="37">
        <f>IF(EXACT([1]DataLookUp!$B507, ""), "", [1]DataLookUp!$B507)</f>
        <v>25000000000504</v>
      </c>
      <c r="C507" s="38" t="str">
        <f>IF(EXACT(B507, ""), "", VLOOKUP(B507, [1]DataLookUp!$B$4:$C$1000, 2,FALSE ))</f>
        <v>Azis Purwandana</v>
      </c>
      <c r="D507" s="21"/>
      <c r="E507" s="108"/>
      <c r="G507" s="29">
        <f t="shared" si="14"/>
        <v>32000000000504</v>
      </c>
      <c r="H507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25000000000504::bigint, null::varchar);</v>
      </c>
    </row>
    <row r="508" spans="1:8" x14ac:dyDescent="0.2">
      <c r="B508" s="37">
        <f>IF(EXACT([1]DataLookUp!$B508, ""), "", [1]DataLookUp!$B508)</f>
        <v>25000000000505</v>
      </c>
      <c r="C508" s="38" t="str">
        <f>IF(EXACT(B508, ""), "", VLOOKUP(B508, [1]DataLookUp!$B$4:$C$1000, 2,FALSE ))</f>
        <v>Heryanto</v>
      </c>
      <c r="D508" s="21"/>
      <c r="E508" s="108"/>
      <c r="G508" s="29">
        <f t="shared" si="14"/>
        <v>32000000000505</v>
      </c>
      <c r="H508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25000000000505::bigint, null::varchar);</v>
      </c>
    </row>
    <row r="509" spans="1:8" x14ac:dyDescent="0.2">
      <c r="B509" s="37">
        <f>IF(EXACT([1]DataLookUp!$B509, ""), "", [1]DataLookUp!$B509)</f>
        <v>25000000000506</v>
      </c>
      <c r="C509" s="38" t="str">
        <f>IF(EXACT(B509, ""), "", VLOOKUP(B509, [1]DataLookUp!$B$4:$C$1000, 2,FALSE ))</f>
        <v>Imran</v>
      </c>
      <c r="D509" s="21"/>
      <c r="E509" s="108"/>
      <c r="G509" s="29">
        <f t="shared" si="14"/>
        <v>32000000000506</v>
      </c>
      <c r="H509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25000000000506::bigint, null::varchar);</v>
      </c>
    </row>
    <row r="510" spans="1:8" x14ac:dyDescent="0.2">
      <c r="B510" s="37">
        <f>IF(EXACT([1]DataLookUp!$B510, ""), "", [1]DataLookUp!$B510)</f>
        <v>25000000000507</v>
      </c>
      <c r="C510" s="38" t="str">
        <f>IF(EXACT(B510, ""), "", VLOOKUP(B510, [1]DataLookUp!$B$4:$C$1000, 2,FALSE ))</f>
        <v>Khamim Taryono</v>
      </c>
      <c r="D510" s="21">
        <v>280621950</v>
      </c>
      <c r="E510" s="108"/>
      <c r="G510" s="29">
        <f t="shared" si="14"/>
        <v>32000000000507</v>
      </c>
      <c r="H510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25000000000507::bigint, '280621950'::varchar);</v>
      </c>
    </row>
    <row r="511" spans="1:8" x14ac:dyDescent="0.2">
      <c r="B511" s="37">
        <f>IF(EXACT([1]DataLookUp!$B511, ""), "", [1]DataLookUp!$B511)</f>
        <v>25000000000508</v>
      </c>
      <c r="C511" s="38" t="str">
        <f>IF(EXACT(B511, ""), "", VLOOKUP(B511, [1]DataLookUp!$B$4:$C$1000, 2,FALSE ))</f>
        <v>Rafi Artman Siddiq</v>
      </c>
      <c r="D511" s="21">
        <v>130921953</v>
      </c>
      <c r="E511" s="108"/>
      <c r="G511" s="29">
        <f t="shared" si="14"/>
        <v>32000000000508</v>
      </c>
      <c r="H511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25000000000508::bigint, '130921953'::varchar);</v>
      </c>
    </row>
    <row r="512" spans="1:8" x14ac:dyDescent="0.2">
      <c r="B512" s="37">
        <f>IF(EXACT([1]DataLookUp!$B512, ""), "", [1]DataLookUp!$B512)</f>
        <v>25000000000509</v>
      </c>
      <c r="C512" s="38" t="str">
        <f>IF(EXACT(B512, ""), "", VLOOKUP(B512, [1]DataLookUp!$B$4:$C$1000, 2,FALSE ))</f>
        <v>Riza Emir Subekti</v>
      </c>
      <c r="D512" s="21">
        <v>260716795</v>
      </c>
      <c r="E512" s="108"/>
      <c r="G512" s="29">
        <f t="shared" si="14"/>
        <v>32000000000509</v>
      </c>
      <c r="H512" s="30" t="str">
        <f t="shared" si="15"/>
        <v>PERFORM "SchData-OLTP-HumanResource"."Func_TblWorker_SET"(varSystemLoginSession, null::bigint, null::varchar, null::timestamptz, null::timestamptz, null::varchar, varInstitutionBranchID, varBaseCurrencyID, 25000000000509::bigint, '260716795'::varchar);</v>
      </c>
    </row>
    <row r="513" spans="1:8" x14ac:dyDescent="0.2">
      <c r="B513" s="37">
        <f>IF(EXACT([1]DataLookUp!$B513, ""), "", [1]DataLookUp!$B513)</f>
        <v>25000000000510</v>
      </c>
      <c r="C513" s="38" t="str">
        <f>IF(EXACT(B513, ""), "", VLOOKUP(B513, [1]DataLookUp!$B$4:$C$1000, 2,FALSE ))</f>
        <v>Slamet Riadi</v>
      </c>
      <c r="D513" s="21"/>
      <c r="E513" s="108"/>
      <c r="G513" s="29">
        <f t="shared" si="14"/>
        <v>32000000000510</v>
      </c>
      <c r="H513" s="30" t="str">
        <f t="shared" si="15"/>
        <v>PERFORM "SchData-OLTP-HumanResource"."Func_TblWorker_SET"(varSystemLoginSession, null::bigint, null::varchar, null::timestamptz, null::timestamptz, null::varchar, varInstitutionBranchID, varBaseCurrencyID, 25000000000510::bigint, null::varchar);</v>
      </c>
    </row>
    <row r="514" spans="1:8" x14ac:dyDescent="0.2">
      <c r="B514" s="37">
        <f>IF(EXACT([1]DataLookUp!$B514, ""), "", [1]DataLookUp!$B514)</f>
        <v>25000000000511</v>
      </c>
      <c r="C514" s="38" t="str">
        <f>IF(EXACT(B514, ""), "", VLOOKUP(B514, [1]DataLookUp!$B$4:$C$1000, 2,FALSE ))</f>
        <v>Wisnu Andra Isdianto</v>
      </c>
      <c r="D514" s="21">
        <v>150721949</v>
      </c>
      <c r="E514" s="108"/>
      <c r="G514" s="29">
        <f t="shared" si="14"/>
        <v>32000000000511</v>
      </c>
      <c r="H514" s="30" t="str">
        <f t="shared" si="15"/>
        <v>PERFORM "SchData-OLTP-HumanResource"."Func_TblWorker_SET"(varSystemLoginSession, null::bigint, null::varchar, null::timestamptz, null::timestamptz, null::varchar, varInstitutionBranchID, varBaseCurrencyID, 25000000000511::bigint, '150721949'::varchar);</v>
      </c>
    </row>
    <row r="515" spans="1:8" x14ac:dyDescent="0.2">
      <c r="A515" s="4">
        <v>45069</v>
      </c>
      <c r="B515" s="37">
        <f>IF(EXACT([1]DataLookUp!$B515, ""), "", [1]DataLookUp!$B515)</f>
        <v>25000000000512</v>
      </c>
      <c r="C515" s="38" t="str">
        <f>IF(EXACT(B515, ""), "", VLOOKUP(B515, [1]DataLookUp!$B$4:$C$1000, 2,FALSE ))</f>
        <v>Agus Budi Setiawan</v>
      </c>
      <c r="D515" s="21">
        <v>171121955</v>
      </c>
      <c r="E515" s="108"/>
      <c r="G515" s="29">
        <f t="shared" si="14"/>
        <v>32000000000512</v>
      </c>
      <c r="H515" s="30" t="str">
        <f t="shared" si="15"/>
        <v>PERFORM "SchData-OLTP-HumanResource"."Func_TblWorker_SET"(varSystemLoginSession, null::bigint, null::varchar, null::timestamptz, null::timestamptz, null::varchar, varInstitutionBranchID, varBaseCurrencyID, 25000000000512::bigint, '171121955'::varchar);</v>
      </c>
    </row>
    <row r="516" spans="1:8" x14ac:dyDescent="0.2">
      <c r="B516" s="37">
        <f>IF(EXACT([1]DataLookUp!$B516, ""), "", [1]DataLookUp!$B516)</f>
        <v>25000000000513</v>
      </c>
      <c r="C516" s="38" t="str">
        <f>IF(EXACT(B516, ""), "", VLOOKUP(B516, [1]DataLookUp!$B$4:$C$1000, 2,FALSE ))</f>
        <v>Ahmad Choerul</v>
      </c>
      <c r="D516" s="21">
        <v>191022969</v>
      </c>
      <c r="E516" s="108"/>
      <c r="G516" s="29">
        <f t="shared" si="14"/>
        <v>32000000000513</v>
      </c>
      <c r="H516" s="30" t="str">
        <f t="shared" si="15"/>
        <v>PERFORM "SchData-OLTP-HumanResource"."Func_TblWorker_SET"(varSystemLoginSession, null::bigint, null::varchar, null::timestamptz, null::timestamptz, null::varchar, varInstitutionBranchID, varBaseCurrencyID, 25000000000513::bigint, '191022969'::varchar);</v>
      </c>
    </row>
    <row r="517" spans="1:8" x14ac:dyDescent="0.2">
      <c r="B517" s="37">
        <f>IF(EXACT([1]DataLookUp!$B517, ""), "", [1]DataLookUp!$B517)</f>
        <v>25000000000514</v>
      </c>
      <c r="C517" s="38" t="str">
        <f>IF(EXACT(B517, ""), "", VLOOKUP(B517, [1]DataLookUp!$B$4:$C$1000, 2,FALSE ))</f>
        <v>Achmad Yunadi</v>
      </c>
      <c r="D517" s="21" t="s">
        <v>9</v>
      </c>
      <c r="E517" s="108"/>
      <c r="G517" s="29">
        <f t="shared" ref="G517:G580" si="16" xml:space="preserve"> G516 + IF(EXACT(H517, ""), 0, 1)</f>
        <v>32000000000514</v>
      </c>
      <c r="H517" s="30" t="str">
        <f t="shared" ref="H517:H580" si="17">CONCATENATE("PERFORM ""SchData-OLTP-HumanResource"".""Func_TblWorker_SET""(varSystemLoginSession, null::bigint, null::varchar, null::timestamptz, null::timestamptz, null::varchar, varInstitutionBranchID, varBaseCurrencyID, ", B517, "::bigint, ", IF(EXACT(D517, ""), "null", CONCATENATE("'", D517, "'")), "::varchar);")</f>
        <v>PERFORM "SchData-OLTP-HumanResource"."Func_TblWorker_SET"(varSystemLoginSession, null::bigint, null::varchar, null::timestamptz, null::timestamptz, null::varchar, varInstitutionBranchID, varBaseCurrencyID, 25000000000514::bigint, '110422962'::varchar);</v>
      </c>
    </row>
    <row r="518" spans="1:8" x14ac:dyDescent="0.2">
      <c r="B518" s="37">
        <f>IF(EXACT([1]DataLookUp!$B518, ""), "", [1]DataLookUp!$B518)</f>
        <v>25000000000515</v>
      </c>
      <c r="C518" s="38" t="str">
        <f>IF(EXACT(B518, ""), "", VLOOKUP(B518, [1]DataLookUp!$B$4:$C$1000, 2,FALSE ))</f>
        <v>Asep mulyana</v>
      </c>
      <c r="D518" s="21"/>
      <c r="E518" s="108"/>
      <c r="G518" s="29">
        <f t="shared" si="16"/>
        <v>32000000000515</v>
      </c>
      <c r="H51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25000000000515::bigint, null::varchar);</v>
      </c>
    </row>
    <row r="519" spans="1:8" x14ac:dyDescent="0.2">
      <c r="B519" s="37">
        <f>IF(EXACT([1]DataLookUp!$B519, ""), "", [1]DataLookUp!$B519)</f>
        <v>25000000000516</v>
      </c>
      <c r="C519" s="38" t="str">
        <f>IF(EXACT(B519, ""), "", VLOOKUP(B519, [1]DataLookUp!$B$4:$C$1000, 2,FALSE ))</f>
        <v>Bagus Isdiantara</v>
      </c>
      <c r="D519" s="21"/>
      <c r="E519" s="108"/>
      <c r="G519" s="29">
        <f t="shared" si="16"/>
        <v>32000000000516</v>
      </c>
      <c r="H51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25000000000516::bigint, null::varchar);</v>
      </c>
    </row>
    <row r="520" spans="1:8" x14ac:dyDescent="0.2">
      <c r="B520" s="37">
        <f>IF(EXACT([1]DataLookUp!$B520, ""), "", [1]DataLookUp!$B520)</f>
        <v>25000000000517</v>
      </c>
      <c r="C520" s="38" t="str">
        <f>IF(EXACT(B520, ""), "", VLOOKUP(B520, [1]DataLookUp!$B$4:$C$1000, 2,FALSE ))</f>
        <v>Cahyana</v>
      </c>
      <c r="D520" s="21" t="s">
        <v>38</v>
      </c>
      <c r="E520" s="108"/>
      <c r="G520" s="29">
        <f t="shared" si="16"/>
        <v>32000000000517</v>
      </c>
      <c r="H52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25000000000517::bigint, '090821952'::varchar);</v>
      </c>
    </row>
    <row r="521" spans="1:8" x14ac:dyDescent="0.2">
      <c r="B521" s="37">
        <f>IF(EXACT([1]DataLookUp!$B521, ""), "", [1]DataLookUp!$B521)</f>
        <v>25000000000518</v>
      </c>
      <c r="C521" s="38" t="str">
        <f>IF(EXACT(B521, ""), "", VLOOKUP(B521, [1]DataLookUp!$B$4:$C$1000, 2,FALSE ))</f>
        <v>Dede Hartanto</v>
      </c>
      <c r="D521" s="21"/>
      <c r="E521" s="108"/>
      <c r="G521" s="29">
        <f t="shared" si="16"/>
        <v>32000000000518</v>
      </c>
      <c r="H521" s="30" t="str">
        <f t="shared" si="17"/>
        <v>PERFORM "SchData-OLTP-HumanResource"."Func_TblWorker_SET"(varSystemLoginSession, null::bigint, null::varchar, null::timestamptz, null::timestamptz, null::varchar, varInstitutionBranchID, varBaseCurrencyID, 25000000000518::bigint, null::varchar);</v>
      </c>
    </row>
    <row r="522" spans="1:8" x14ac:dyDescent="0.2">
      <c r="B522" s="37">
        <f>IF(EXACT([1]DataLookUp!$B522, ""), "", [1]DataLookUp!$B522)</f>
        <v>25000000000519</v>
      </c>
      <c r="C522" s="38" t="str">
        <f>IF(EXACT(B522, ""), "", VLOOKUP(B522, [1]DataLookUp!$B$4:$C$1000, 2,FALSE ))</f>
        <v>Denny Achmad Ferlando</v>
      </c>
      <c r="D522" s="21">
        <v>170522963</v>
      </c>
      <c r="E522" s="108"/>
      <c r="G522" s="29">
        <f t="shared" si="16"/>
        <v>32000000000519</v>
      </c>
      <c r="H522" s="30" t="str">
        <f t="shared" si="17"/>
        <v>PERFORM "SchData-OLTP-HumanResource"."Func_TblWorker_SET"(varSystemLoginSession, null::bigint, null::varchar, null::timestamptz, null::timestamptz, null::varchar, varInstitutionBranchID, varBaseCurrencyID, 25000000000519::bigint, '170522963'::varchar);</v>
      </c>
    </row>
    <row r="523" spans="1:8" x14ac:dyDescent="0.2">
      <c r="B523" s="37">
        <f>IF(EXACT([1]DataLookUp!$B523, ""), "", [1]DataLookUp!$B523)</f>
        <v>25000000000520</v>
      </c>
      <c r="C523" s="38" t="str">
        <f>IF(EXACT(B523, ""), "", VLOOKUP(B523, [1]DataLookUp!$B$4:$C$1000, 2,FALSE ))</f>
        <v>Dian Setiawan</v>
      </c>
      <c r="D523" s="21"/>
      <c r="E523" s="108"/>
      <c r="G523" s="29">
        <f t="shared" si="16"/>
        <v>32000000000520</v>
      </c>
      <c r="H523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25000000000520::bigint, null::varchar);</v>
      </c>
    </row>
    <row r="524" spans="1:8" x14ac:dyDescent="0.2">
      <c r="B524" s="37">
        <f>IF(EXACT([1]DataLookUp!$B524, ""), "", [1]DataLookUp!$B524)</f>
        <v>25000000000521</v>
      </c>
      <c r="C524" s="38" t="str">
        <f>IF(EXACT(B524, ""), "", VLOOKUP(B524, [1]DataLookUp!$B$4:$C$1000, 2,FALSE ))</f>
        <v>Fabrian Danang Destiyara</v>
      </c>
      <c r="D524" s="21" t="s">
        <v>39</v>
      </c>
      <c r="E524" s="108"/>
      <c r="G524" s="29">
        <f t="shared" si="16"/>
        <v>32000000000521</v>
      </c>
      <c r="H524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25000000000521::bigint, '110523979'::varchar);</v>
      </c>
    </row>
    <row r="525" spans="1:8" x14ac:dyDescent="0.2">
      <c r="B525" s="37">
        <f>IF(EXACT([1]DataLookUp!$B525, ""), "", [1]DataLookUp!$B525)</f>
        <v>25000000000522</v>
      </c>
      <c r="C525" s="38" t="str">
        <f>IF(EXACT(B525, ""), "", VLOOKUP(B525, [1]DataLookUp!$B$4:$C$1000, 2,FALSE ))</f>
        <v>Ferdian Kriswantoro</v>
      </c>
      <c r="D525" s="21">
        <v>191022968</v>
      </c>
      <c r="E525" s="108"/>
      <c r="G525" s="29">
        <f t="shared" si="16"/>
        <v>32000000000522</v>
      </c>
      <c r="H525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25000000000522::bigint, '191022968'::varchar);</v>
      </c>
    </row>
    <row r="526" spans="1:8" x14ac:dyDescent="0.2">
      <c r="B526" s="37">
        <f>IF(EXACT([1]DataLookUp!$B526, ""), "", [1]DataLookUp!$B526)</f>
        <v>25000000000523</v>
      </c>
      <c r="C526" s="38" t="str">
        <f>IF(EXACT(B526, ""), "", VLOOKUP(B526, [1]DataLookUp!$B$4:$C$1000, 2,FALSE ))</f>
        <v>Fuzi Mafrozi</v>
      </c>
      <c r="D526" s="21" t="s">
        <v>43</v>
      </c>
      <c r="E526" s="108"/>
      <c r="G526" s="29">
        <f t="shared" si="16"/>
        <v>32000000000523</v>
      </c>
      <c r="H526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25000000000523::bigint, '040722964'::varchar);</v>
      </c>
    </row>
    <row r="527" spans="1:8" x14ac:dyDescent="0.2">
      <c r="B527" s="37">
        <f>IF(EXACT([1]DataLookUp!$B527, ""), "", [1]DataLookUp!$B527)</f>
        <v>25000000000524</v>
      </c>
      <c r="C527" s="38" t="str">
        <f>IF(EXACT(B527, ""), "", VLOOKUP(B527, [1]DataLookUp!$B$4:$C$1000, 2,FALSE ))</f>
        <v>Gilang Setiawan</v>
      </c>
      <c r="D527" s="21"/>
      <c r="E527" s="108"/>
      <c r="G527" s="29">
        <f t="shared" si="16"/>
        <v>32000000000524</v>
      </c>
      <c r="H527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25000000000524::bigint, null::varchar);</v>
      </c>
    </row>
    <row r="528" spans="1:8" x14ac:dyDescent="0.2">
      <c r="B528" s="37">
        <f>IF(EXACT([1]DataLookUp!$B528, ""), "", [1]DataLookUp!$B528)</f>
        <v>25000000000525</v>
      </c>
      <c r="C528" s="38" t="str">
        <f>IF(EXACT(B528, ""), "", VLOOKUP(B528, [1]DataLookUp!$B$4:$C$1000, 2,FALSE ))</f>
        <v>Idris Affandi</v>
      </c>
      <c r="D528" s="21"/>
      <c r="E528" s="108"/>
      <c r="G528" s="29">
        <f t="shared" si="16"/>
        <v>32000000000525</v>
      </c>
      <c r="H52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25000000000525::bigint, null::varchar);</v>
      </c>
    </row>
    <row r="529" spans="2:8" x14ac:dyDescent="0.2">
      <c r="B529" s="37">
        <f>IF(EXACT([1]DataLookUp!$B529, ""), "", [1]DataLookUp!$B529)</f>
        <v>25000000000526</v>
      </c>
      <c r="C529" s="38" t="str">
        <f>IF(EXACT(B529, ""), "", VLOOKUP(B529, [1]DataLookUp!$B$4:$C$1000, 2,FALSE ))</f>
        <v>Indra Wijaya</v>
      </c>
      <c r="D529" s="21"/>
      <c r="E529" s="108"/>
      <c r="G529" s="29">
        <f t="shared" si="16"/>
        <v>32000000000526</v>
      </c>
      <c r="H52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25000000000526::bigint, null::varchar);</v>
      </c>
    </row>
    <row r="530" spans="2:8" x14ac:dyDescent="0.2">
      <c r="B530" s="37">
        <f>IF(EXACT([1]DataLookUp!$B530, ""), "", [1]DataLookUp!$B530)</f>
        <v>25000000000527</v>
      </c>
      <c r="C530" s="38" t="str">
        <f>IF(EXACT(B530, ""), "", VLOOKUP(B530, [1]DataLookUp!$B$4:$C$1000, 2,FALSE ))</f>
        <v>Irma Maulidawati</v>
      </c>
      <c r="D530" s="21" t="s">
        <v>21</v>
      </c>
      <c r="E530" s="108"/>
      <c r="G530" s="29">
        <f t="shared" si="16"/>
        <v>32000000000527</v>
      </c>
      <c r="H53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25000000000527::bigint, '040822965'::varchar);</v>
      </c>
    </row>
    <row r="531" spans="2:8" x14ac:dyDescent="0.2">
      <c r="B531" s="37">
        <f>IF(EXACT([1]DataLookUp!$B531, ""), "", [1]DataLookUp!$B531)</f>
        <v>25000000000528</v>
      </c>
      <c r="C531" s="38" t="str">
        <f>IF(EXACT(B531, ""), "", VLOOKUP(B531, [1]DataLookUp!$B$4:$C$1000, 2,FALSE ))</f>
        <v>Istikaro Fauziah</v>
      </c>
      <c r="D531" s="21">
        <v>170322960</v>
      </c>
      <c r="E531" s="108"/>
      <c r="G531" s="29">
        <f t="shared" si="16"/>
        <v>32000000000528</v>
      </c>
      <c r="H531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25000000000528::bigint, '170322960'::varchar);</v>
      </c>
    </row>
    <row r="532" spans="2:8" x14ac:dyDescent="0.2">
      <c r="B532" s="37">
        <f>IF(EXACT([1]DataLookUp!$B532, ""), "", [1]DataLookUp!$B532)</f>
        <v>25000000000529</v>
      </c>
      <c r="C532" s="38" t="str">
        <f>IF(EXACT(B532, ""), "", VLOOKUP(B532, [1]DataLookUp!$B$4:$C$1000, 2,FALSE ))</f>
        <v>Muhammad Lukbani</v>
      </c>
      <c r="D532" s="21"/>
      <c r="E532" s="108"/>
      <c r="G532" s="29">
        <f t="shared" si="16"/>
        <v>32000000000529</v>
      </c>
      <c r="H532" s="30" t="str">
        <f t="shared" si="17"/>
        <v>PERFORM "SchData-OLTP-HumanResource"."Func_TblWorker_SET"(varSystemLoginSession, null::bigint, null::varchar, null::timestamptz, null::timestamptz, null::varchar, varInstitutionBranchID, varBaseCurrencyID, 25000000000529::bigint, null::varchar);</v>
      </c>
    </row>
    <row r="533" spans="2:8" x14ac:dyDescent="0.2">
      <c r="B533" s="37">
        <f>IF(EXACT([1]DataLookUp!$B533, ""), "", [1]DataLookUp!$B533)</f>
        <v>25000000000530</v>
      </c>
      <c r="C533" s="38" t="str">
        <f>IF(EXACT(B533, ""), "", VLOOKUP(B533, [1]DataLookUp!$B$4:$C$1000, 2,FALSE ))</f>
        <v>Muhammad Sholikhun</v>
      </c>
      <c r="D533" s="21"/>
      <c r="E533" s="108"/>
      <c r="G533" s="29">
        <f t="shared" si="16"/>
        <v>32000000000530</v>
      </c>
      <c r="H533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25000000000530::bigint, null::varchar);</v>
      </c>
    </row>
    <row r="534" spans="2:8" x14ac:dyDescent="0.2">
      <c r="B534" s="37">
        <f>IF(EXACT([1]DataLookUp!$B534, ""), "", [1]DataLookUp!$B534)</f>
        <v>25000000000531</v>
      </c>
      <c r="C534" s="38" t="str">
        <f>IF(EXACT(B534, ""), "", VLOOKUP(B534, [1]DataLookUp!$B$4:$C$1000, 2,FALSE ))</f>
        <v>Muhammad Syarifudin</v>
      </c>
      <c r="D534" s="21"/>
      <c r="E534" s="108"/>
      <c r="G534" s="29">
        <f t="shared" si="16"/>
        <v>32000000000531</v>
      </c>
      <c r="H534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25000000000531::bigint, null::varchar);</v>
      </c>
    </row>
    <row r="535" spans="2:8" x14ac:dyDescent="0.2">
      <c r="B535" s="37">
        <f>IF(EXACT([1]DataLookUp!$B535, ""), "", [1]DataLookUp!$B535)</f>
        <v>25000000000532</v>
      </c>
      <c r="C535" s="38" t="str">
        <f>IF(EXACT(B535, ""), "", VLOOKUP(B535, [1]DataLookUp!$B$4:$C$1000, 2,FALSE ))</f>
        <v>Nadia Rizkiah</v>
      </c>
      <c r="D535" s="21">
        <v>170222959</v>
      </c>
      <c r="E535" s="108"/>
      <c r="G535" s="29">
        <f t="shared" si="16"/>
        <v>32000000000532</v>
      </c>
      <c r="H535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25000000000532::bigint, '170222959'::varchar);</v>
      </c>
    </row>
    <row r="536" spans="2:8" x14ac:dyDescent="0.2">
      <c r="B536" s="37">
        <f>IF(EXACT([1]DataLookUp!$B536, ""), "", [1]DataLookUp!$B536)</f>
        <v>25000000000533</v>
      </c>
      <c r="C536" s="38" t="str">
        <f>IF(EXACT(B536, ""), "", VLOOKUP(B536, [1]DataLookUp!$B$4:$C$1000, 2,FALSE ))</f>
        <v>Nikko Septian</v>
      </c>
      <c r="D536" s="21"/>
      <c r="E536" s="108"/>
      <c r="G536" s="29">
        <f t="shared" si="16"/>
        <v>32000000000533</v>
      </c>
      <c r="H536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25000000000533::bigint, null::varchar);</v>
      </c>
    </row>
    <row r="537" spans="2:8" x14ac:dyDescent="0.2">
      <c r="B537" s="37">
        <f>IF(EXACT([1]DataLookUp!$B537, ""), "", [1]DataLookUp!$B537)</f>
        <v>25000000000534</v>
      </c>
      <c r="C537" s="38" t="str">
        <f>IF(EXACT(B537, ""), "", VLOOKUP(B537, [1]DataLookUp!$B$4:$C$1000, 2,FALSE ))</f>
        <v>Novizan</v>
      </c>
      <c r="D537" s="21">
        <v>291121956</v>
      </c>
      <c r="E537" s="108"/>
      <c r="G537" s="29">
        <f t="shared" si="16"/>
        <v>32000000000534</v>
      </c>
      <c r="H537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25000000000534::bigint, '291121956'::varchar);</v>
      </c>
    </row>
    <row r="538" spans="2:8" x14ac:dyDescent="0.2">
      <c r="B538" s="37">
        <f>IF(EXACT([1]DataLookUp!$B538, ""), "", [1]DataLookUp!$B538)</f>
        <v>25000000000535</v>
      </c>
      <c r="C538" s="38" t="str">
        <f>IF(EXACT(B538, ""), "", VLOOKUP(B538, [1]DataLookUp!$B$4:$C$1000, 2,FALSE ))</f>
        <v>Oqi Suhaqi Yunus</v>
      </c>
      <c r="D538" s="21"/>
      <c r="E538" s="108"/>
      <c r="G538" s="29">
        <f t="shared" si="16"/>
        <v>32000000000535</v>
      </c>
      <c r="H53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25000000000535::bigint, null::varchar);</v>
      </c>
    </row>
    <row r="539" spans="2:8" x14ac:dyDescent="0.2">
      <c r="B539" s="37">
        <f>IF(EXACT([1]DataLookUp!$B539, ""), "", [1]DataLookUp!$B539)</f>
        <v>25000000000536</v>
      </c>
      <c r="C539" s="38" t="str">
        <f>IF(EXACT(B539, ""), "", VLOOKUP(B539, [1]DataLookUp!$B$4:$C$1000, 2,FALSE ))</f>
        <v>Restu Dwi Anjayani</v>
      </c>
      <c r="D539" s="21" t="s">
        <v>110</v>
      </c>
      <c r="E539" s="108"/>
      <c r="G539" s="29">
        <f t="shared" si="16"/>
        <v>32000000000536</v>
      </c>
      <c r="H53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25000000000536::bigint, '051023981'::varchar);</v>
      </c>
    </row>
    <row r="540" spans="2:8" x14ac:dyDescent="0.2">
      <c r="B540" s="37">
        <f>IF(EXACT([1]DataLookUp!$B540, ""), "", [1]DataLookUp!$B540)</f>
        <v>25000000000537</v>
      </c>
      <c r="C540" s="38" t="str">
        <f>IF(EXACT(B540, ""), "", VLOOKUP(B540, [1]DataLookUp!$B$4:$C$1000, 2,FALSE ))</f>
        <v>Rizal Amri</v>
      </c>
      <c r="D540" s="21" t="s">
        <v>27</v>
      </c>
      <c r="E540" s="108"/>
      <c r="G540" s="29">
        <f t="shared" si="16"/>
        <v>32000000000537</v>
      </c>
      <c r="H54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25000000000537::bigint, '211222971'::varchar);</v>
      </c>
    </row>
    <row r="541" spans="2:8" x14ac:dyDescent="0.2">
      <c r="B541" s="37">
        <f>IF(EXACT([1]DataLookUp!$B541, ""), "", [1]DataLookUp!$B541)</f>
        <v>25000000000538</v>
      </c>
      <c r="C541" s="38" t="str">
        <f>IF(EXACT(B541, ""), "", VLOOKUP(B541, [1]DataLookUp!$B$4:$C$1000, 2,FALSE ))</f>
        <v>Ronny Anindika Arnold</v>
      </c>
      <c r="D541" s="21"/>
      <c r="E541" s="108"/>
      <c r="G541" s="29">
        <f t="shared" si="16"/>
        <v>32000000000538</v>
      </c>
      <c r="H541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25000000000538::bigint, null::varchar);</v>
      </c>
    </row>
    <row r="542" spans="2:8" x14ac:dyDescent="0.2">
      <c r="B542" s="37">
        <f>IF(EXACT([1]DataLookUp!$B542, ""), "", [1]DataLookUp!$B542)</f>
        <v>25000000000539</v>
      </c>
      <c r="C542" s="38" t="str">
        <f>IF(EXACT(B542, ""), "", VLOOKUP(B542, [1]DataLookUp!$B$4:$C$1000, 2,FALSE ))</f>
        <v>Samta Harahap</v>
      </c>
      <c r="D542" s="21"/>
      <c r="E542" s="108"/>
      <c r="G542" s="29">
        <f t="shared" si="16"/>
        <v>32000000000539</v>
      </c>
      <c r="H542" s="30" t="str">
        <f t="shared" si="17"/>
        <v>PERFORM "SchData-OLTP-HumanResource"."Func_TblWorker_SET"(varSystemLoginSession, null::bigint, null::varchar, null::timestamptz, null::timestamptz, null::varchar, varInstitutionBranchID, varBaseCurrencyID, 25000000000539::bigint, null::varchar);</v>
      </c>
    </row>
    <row r="543" spans="2:8" x14ac:dyDescent="0.2">
      <c r="B543" s="37">
        <f>IF(EXACT([1]DataLookUp!$B543, ""), "", [1]DataLookUp!$B543)</f>
        <v>25000000000540</v>
      </c>
      <c r="C543" s="38" t="str">
        <f>IF(EXACT(B543, ""), "", VLOOKUP(B543, [1]DataLookUp!$B$4:$C$1000, 2,FALSE ))</f>
        <v>Vingky Hendriek Yomerlin</v>
      </c>
      <c r="D543" s="21">
        <v>131221957</v>
      </c>
      <c r="E543" s="108"/>
      <c r="G543" s="29">
        <f t="shared" si="16"/>
        <v>32000000000540</v>
      </c>
      <c r="H543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25000000000540::bigint, '131221957'::varchar);</v>
      </c>
    </row>
    <row r="544" spans="2:8" x14ac:dyDescent="0.2">
      <c r="B544" s="37">
        <f>IF(EXACT([1]DataLookUp!$B544, ""), "", [1]DataLookUp!$B544)</f>
        <v>25000000000541</v>
      </c>
      <c r="C544" s="38" t="str">
        <f>IF(EXACT(B544, ""), "", VLOOKUP(B544, [1]DataLookUp!$B$4:$C$1000, 2,FALSE ))</f>
        <v>Wahyu Teluk Naga</v>
      </c>
      <c r="D544" s="21"/>
      <c r="E544" s="108"/>
      <c r="G544" s="29">
        <f t="shared" si="16"/>
        <v>32000000000541</v>
      </c>
      <c r="H544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25000000000541::bigint, null::varchar);</v>
      </c>
    </row>
    <row r="545" spans="1:8" x14ac:dyDescent="0.2">
      <c r="B545" s="37">
        <f>IF(EXACT([1]DataLookUp!$B545, ""), "", [1]DataLookUp!$B545)</f>
        <v>25000000000542</v>
      </c>
      <c r="C545" s="38" t="str">
        <f>IF(EXACT(B545, ""), "", VLOOKUP(B545, [1]DataLookUp!$B$4:$C$1000, 2,FALSE ))</f>
        <v>Wardah Laily Khoiriyah</v>
      </c>
      <c r="D545" s="21">
        <v>240122958</v>
      </c>
      <c r="E545" s="108"/>
      <c r="G545" s="29">
        <f t="shared" si="16"/>
        <v>32000000000542</v>
      </c>
      <c r="H545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25000000000542::bigint, '240122958'::varchar);</v>
      </c>
    </row>
    <row r="546" spans="1:8" x14ac:dyDescent="0.2">
      <c r="B546" s="37">
        <f>IF(EXACT([1]DataLookUp!$B546, ""), "", [1]DataLookUp!$B546)</f>
        <v>25000000000543</v>
      </c>
      <c r="C546" s="38" t="str">
        <f>IF(EXACT(B546, ""), "", VLOOKUP(B546, [1]DataLookUp!$B$4:$C$1000, 2,FALSE ))</f>
        <v>Wawan Kusworo</v>
      </c>
      <c r="D546" s="21"/>
      <c r="E546" s="108"/>
      <c r="G546" s="29">
        <f t="shared" si="16"/>
        <v>32000000000543</v>
      </c>
      <c r="H546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25000000000543::bigint, null::varchar);</v>
      </c>
    </row>
    <row r="547" spans="1:8" x14ac:dyDescent="0.2">
      <c r="B547" s="37">
        <f>IF(EXACT([1]DataLookUp!$B547, ""), "", [1]DataLookUp!$B547)</f>
        <v>25000000000544</v>
      </c>
      <c r="C547" s="38" t="str">
        <f>IF(EXACT(B547, ""), "", VLOOKUP(B547, [1]DataLookUp!$B$4:$C$1000, 2,FALSE ))</f>
        <v>Wulanraniasih</v>
      </c>
      <c r="D547" s="21">
        <v>180822966</v>
      </c>
      <c r="E547" s="108"/>
      <c r="G547" s="29">
        <f t="shared" si="16"/>
        <v>32000000000544</v>
      </c>
      <c r="H547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25000000000544::bigint, '180822966'::varchar);</v>
      </c>
    </row>
    <row r="548" spans="1:8" x14ac:dyDescent="0.2">
      <c r="B548" s="37">
        <f>IF(EXACT([1]DataLookUp!$B548, ""), "", [1]DataLookUp!$B548)</f>
        <v>25000000000545</v>
      </c>
      <c r="C548" s="38" t="str">
        <f>IF(EXACT(B548, ""), "", VLOOKUP(B548, [1]DataLookUp!$B$4:$C$1000, 2,FALSE ))</f>
        <v>Yogi Perbangkara</v>
      </c>
      <c r="D548" s="21">
        <v>260123977</v>
      </c>
      <c r="E548" s="108"/>
      <c r="G548" s="29">
        <f t="shared" si="16"/>
        <v>32000000000545</v>
      </c>
      <c r="H54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25000000000545::bigint, '260123977'::varchar);</v>
      </c>
    </row>
    <row r="549" spans="1:8" x14ac:dyDescent="0.2">
      <c r="B549" s="37">
        <f>IF(EXACT([1]DataLookUp!$B549, ""), "", [1]DataLookUp!$B549)</f>
        <v>25000000000546</v>
      </c>
      <c r="C549" s="38" t="str">
        <f>IF(EXACT(B549, ""), "", VLOOKUP(B549, [1]DataLookUp!$B$4:$C$1000, 2,FALSE ))</f>
        <v>Yusuf Fathurahman</v>
      </c>
      <c r="D549" s="21"/>
      <c r="E549" s="108"/>
      <c r="G549" s="29">
        <f t="shared" si="16"/>
        <v>32000000000546</v>
      </c>
      <c r="H54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25000000000546::bigint, null::varchar);</v>
      </c>
    </row>
    <row r="550" spans="1:8" x14ac:dyDescent="0.2">
      <c r="B550" s="37">
        <f>IF(EXACT([1]DataLookUp!$B550, ""), "", [1]DataLookUp!$B550)</f>
        <v>25000000000547</v>
      </c>
      <c r="C550" s="38" t="str">
        <f>IF(EXACT(B550, ""), "", VLOOKUP(B550, [1]DataLookUp!$B$4:$C$1000, 2,FALSE ))</f>
        <v>Zeinurani</v>
      </c>
      <c r="D550" s="21">
        <v>271222973</v>
      </c>
      <c r="E550" s="108"/>
      <c r="G550" s="29">
        <f t="shared" si="16"/>
        <v>32000000000547</v>
      </c>
      <c r="H55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25000000000547::bigint, '271222973'::varchar);</v>
      </c>
    </row>
    <row r="551" spans="1:8" x14ac:dyDescent="0.2">
      <c r="B551" s="37">
        <f>IF(EXACT([1]DataLookUp!$B551, ""), "", [1]DataLookUp!$B551)</f>
        <v>25000000000548</v>
      </c>
      <c r="C551" s="38" t="str">
        <f>IF(EXACT(B551, ""), "", VLOOKUP(B551, [1]DataLookUp!$B$4:$C$1000, 2,FALSE ))</f>
        <v>Sulaeman</v>
      </c>
      <c r="D551" s="21" t="s">
        <v>40</v>
      </c>
      <c r="E551" s="108"/>
      <c r="G551" s="29">
        <f t="shared" si="16"/>
        <v>32000000000548</v>
      </c>
      <c r="H551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25000000000548::bigint, '020123976'::varchar);</v>
      </c>
    </row>
    <row r="552" spans="1:8" x14ac:dyDescent="0.2">
      <c r="B552" s="37">
        <f>IF(EXACT([1]DataLookUp!$B552, ""), "", [1]DataLookUp!$B552)</f>
        <v>25000000000549</v>
      </c>
      <c r="C552" s="38" t="str">
        <f>IF(EXACT(B552, ""), "", VLOOKUP(B552, [1]DataLookUp!$B$4:$C$1000, 2,FALSE ))</f>
        <v>Agus Nuryadi</v>
      </c>
      <c r="D552" s="21">
        <v>311022972</v>
      </c>
      <c r="E552" s="108"/>
      <c r="G552" s="29">
        <f t="shared" si="16"/>
        <v>32000000000549</v>
      </c>
      <c r="H552" s="30" t="str">
        <f t="shared" si="17"/>
        <v>PERFORM "SchData-OLTP-HumanResource"."Func_TblWorker_SET"(varSystemLoginSession, null::bigint, null::varchar, null::timestamptz, null::timestamptz, null::varchar, varInstitutionBranchID, varBaseCurrencyID, 25000000000549::bigint, '311022972'::varchar);</v>
      </c>
    </row>
    <row r="553" spans="1:8" x14ac:dyDescent="0.2">
      <c r="B553" s="37">
        <f>IF(EXACT([1]DataLookUp!$B553, ""), "", [1]DataLookUp!$B553)</f>
        <v>25000000000550</v>
      </c>
      <c r="C553" s="38" t="str">
        <f>IF(EXACT(B553, ""), "", VLOOKUP(B553, [1]DataLookUp!$B$4:$C$1000, 2,FALSE ))</f>
        <v>Dian Tri Rahmawati</v>
      </c>
      <c r="D553" s="21" t="s">
        <v>41</v>
      </c>
      <c r="E553" s="108"/>
      <c r="G553" s="29">
        <f t="shared" si="16"/>
        <v>32000000000550</v>
      </c>
      <c r="H553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25000000000550::bigint, '031022970'::varchar);</v>
      </c>
    </row>
    <row r="554" spans="1:8" x14ac:dyDescent="0.2">
      <c r="B554" s="37">
        <f>IF(EXACT([1]DataLookUp!$B554, ""), "", [1]DataLookUp!$B554)</f>
        <v>25000000000551</v>
      </c>
      <c r="C554" s="38" t="str">
        <f>IF(EXACT(B554, ""), "", VLOOKUP(B554, [1]DataLookUp!$B$4:$C$1000, 2,FALSE ))</f>
        <v>Langgeng Eko Dwiantoro</v>
      </c>
      <c r="D554" s="21" t="s">
        <v>44</v>
      </c>
      <c r="E554" s="108"/>
      <c r="G554" s="29">
        <f t="shared" si="16"/>
        <v>32000000000551</v>
      </c>
      <c r="H554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25000000000551::bigint, '050422961'::varchar);</v>
      </c>
    </row>
    <row r="555" spans="1:8" x14ac:dyDescent="0.2">
      <c r="B555" s="37">
        <f>IF(EXACT([1]DataLookUp!$B555, ""), "", [1]DataLookUp!$B555)</f>
        <v>25000000000552</v>
      </c>
      <c r="C555" s="38" t="str">
        <f>IF(EXACT(B555, ""), "", VLOOKUP(B555, [1]DataLookUp!$B$4:$C$1000, 2,FALSE ))</f>
        <v>Aldi Rizaldi</v>
      </c>
      <c r="D555" s="21">
        <v>110121943</v>
      </c>
      <c r="E555" s="108"/>
      <c r="G555" s="29">
        <f t="shared" si="16"/>
        <v>32000000000552</v>
      </c>
      <c r="H555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25000000000552::bigint, '110121943'::varchar);</v>
      </c>
    </row>
    <row r="556" spans="1:8" x14ac:dyDescent="0.2">
      <c r="B556" s="37">
        <f>IF(EXACT([1]DataLookUp!$B556, ""), "", [1]DataLookUp!$B556)</f>
        <v>25000000000553</v>
      </c>
      <c r="C556" s="38" t="str">
        <f>IF(EXACT(B556, ""), "", VLOOKUP(B556, [1]DataLookUp!$B$4:$C$1000, 2,FALSE ))</f>
        <v>Masimin</v>
      </c>
      <c r="D556" s="21" t="s">
        <v>67</v>
      </c>
      <c r="E556" s="108"/>
      <c r="G556" s="29">
        <f t="shared" si="16"/>
        <v>32000000000553</v>
      </c>
      <c r="H556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25000000000553::bigint, '010803042'::varchar);</v>
      </c>
    </row>
    <row r="557" spans="1:8" x14ac:dyDescent="0.2">
      <c r="B557" s="37">
        <f>IF(EXACT([1]DataLookUp!$B557, ""), "", [1]DataLookUp!$B557)</f>
        <v>25000000000554</v>
      </c>
      <c r="C557" s="38" t="str">
        <f>IF(EXACT(B557, ""), "", VLOOKUP(B557, [1]DataLookUp!$B$4:$C$1000, 2,FALSE ))</f>
        <v>Santoso Dwi Cahyo</v>
      </c>
      <c r="D557" s="21"/>
      <c r="E557" s="108"/>
      <c r="G557" s="29">
        <f t="shared" si="16"/>
        <v>32000000000554</v>
      </c>
      <c r="H557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25000000000554::bigint, null::varchar);</v>
      </c>
    </row>
    <row r="558" spans="1:8" x14ac:dyDescent="0.2">
      <c r="B558" s="37">
        <f>IF(EXACT([1]DataLookUp!$B558, ""), "", [1]DataLookUp!$B558)</f>
        <v>25000000000555</v>
      </c>
      <c r="C558" s="38" t="str">
        <f>IF(EXACT(B558, ""), "", VLOOKUP(B558, [1]DataLookUp!$B$4:$C$1000, 2,FALSE ))</f>
        <v>Wartono</v>
      </c>
      <c r="D558" s="21"/>
      <c r="E558" s="108"/>
      <c r="G558" s="29">
        <f t="shared" si="16"/>
        <v>32000000000555</v>
      </c>
      <c r="H55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25000000000555::bigint, null::varchar);</v>
      </c>
    </row>
    <row r="559" spans="1:8" x14ac:dyDescent="0.2">
      <c r="B559" s="37">
        <f>IF(EXACT([1]DataLookUp!$B559, ""), "", [1]DataLookUp!$B559)</f>
        <v>25000000000556</v>
      </c>
      <c r="C559" s="38" t="str">
        <f>IF(EXACT(B559, ""), "", VLOOKUP(B559, [1]DataLookUp!$B$4:$C$1000, 2,FALSE ))</f>
        <v>Yusarman</v>
      </c>
      <c r="D559" s="21"/>
      <c r="E559" s="108"/>
      <c r="G559" s="29">
        <f t="shared" si="16"/>
        <v>32000000000556</v>
      </c>
      <c r="H55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25000000000556::bigint, null::varchar);</v>
      </c>
    </row>
    <row r="560" spans="1:8" x14ac:dyDescent="0.2">
      <c r="A560" s="4">
        <v>45597</v>
      </c>
      <c r="B560" s="37">
        <f>IF(EXACT([1]DataLookUp!$B560, ""), "", [1]DataLookUp!$B560)</f>
        <v>25000000000557</v>
      </c>
      <c r="C560" s="38" t="str">
        <f>IF(EXACT(B560, ""), "", VLOOKUP(B560, [1]DataLookUp!$B$4:$C$1000, 2,FALSE ))</f>
        <v>Abdul Rachman</v>
      </c>
      <c r="D560" s="21"/>
      <c r="E560" s="108"/>
      <c r="G560" s="29">
        <f t="shared" si="16"/>
        <v>32000000000557</v>
      </c>
      <c r="H56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25000000000557::bigint, null::varchar);</v>
      </c>
    </row>
    <row r="561" spans="2:8" x14ac:dyDescent="0.2">
      <c r="B561" s="37">
        <f>IF(EXACT([1]DataLookUp!$B561, ""), "", [1]DataLookUp!$B561)</f>
        <v>25000000000558</v>
      </c>
      <c r="C561" s="38" t="str">
        <f>IF(EXACT(B561, ""), "", VLOOKUP(B561, [1]DataLookUp!$B$4:$C$1000, 2,FALSE ))</f>
        <v>Aden Bagus</v>
      </c>
      <c r="D561" s="21"/>
      <c r="E561" s="108"/>
      <c r="G561" s="29">
        <f t="shared" si="16"/>
        <v>32000000000558</v>
      </c>
      <c r="H561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25000000000558::bigint, null::varchar);</v>
      </c>
    </row>
    <row r="562" spans="2:8" x14ac:dyDescent="0.2">
      <c r="B562" s="37">
        <f>IF(EXACT([1]DataLookUp!$B562, ""), "", [1]DataLookUp!$B562)</f>
        <v>25000000000559</v>
      </c>
      <c r="C562" s="38" t="str">
        <f>IF(EXACT(B562, ""), "", VLOOKUP(B562, [1]DataLookUp!$B$4:$C$1000, 2,FALSE ))</f>
        <v>Adhe Kurniawan</v>
      </c>
      <c r="D562" s="21" t="s">
        <v>133</v>
      </c>
      <c r="E562" s="108"/>
      <c r="G562" s="29">
        <f t="shared" si="16"/>
        <v>32000000000559</v>
      </c>
      <c r="H562" s="30" t="str">
        <f t="shared" si="17"/>
        <v>PERFORM "SchData-OLTP-HumanResource"."Func_TblWorker_SET"(varSystemLoginSession, null::bigint, null::varchar, null::timestamptz, null::timestamptz, null::varchar, varInstitutionBranchID, varBaseCurrencyID, 25000000000559::bigint, '010224985'::varchar);</v>
      </c>
    </row>
    <row r="563" spans="2:8" x14ac:dyDescent="0.2">
      <c r="B563" s="37">
        <f>IF(EXACT([1]DataLookUp!$B563, ""), "", [1]DataLookUp!$B563)</f>
        <v>25000000000560</v>
      </c>
      <c r="C563" s="38" t="str">
        <f>IF(EXACT(B563, ""), "", VLOOKUP(B563, [1]DataLookUp!$B$4:$C$1000, 2,FALSE ))</f>
        <v>Ahmad Fauzi</v>
      </c>
      <c r="D563" s="21"/>
      <c r="E563" s="108"/>
      <c r="G563" s="29">
        <f t="shared" si="16"/>
        <v>32000000000560</v>
      </c>
      <c r="H563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25000000000560::bigint, null::varchar);</v>
      </c>
    </row>
    <row r="564" spans="2:8" x14ac:dyDescent="0.2">
      <c r="B564" s="37">
        <f>IF(EXACT([1]DataLookUp!$B564, ""), "", [1]DataLookUp!$B564)</f>
        <v>25000000000561</v>
      </c>
      <c r="C564" s="38" t="str">
        <f>IF(EXACT(B564, ""), "", VLOOKUP(B564, [1]DataLookUp!$B$4:$C$1000, 2,FALSE ))</f>
        <v>Ahmad Gunawan</v>
      </c>
      <c r="D564" s="21"/>
      <c r="E564" s="108"/>
      <c r="G564" s="29">
        <f t="shared" si="16"/>
        <v>32000000000561</v>
      </c>
      <c r="H564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25000000000561::bigint, null::varchar);</v>
      </c>
    </row>
    <row r="565" spans="2:8" x14ac:dyDescent="0.2">
      <c r="B565" s="37">
        <f>IF(EXACT([1]DataLookUp!$B565, ""), "", [1]DataLookUp!$B565)</f>
        <v>25000000000562</v>
      </c>
      <c r="C565" s="38" t="str">
        <f>IF(EXACT(B565, ""), "", VLOOKUP(B565, [1]DataLookUp!$B$4:$C$1000, 2,FALSE ))</f>
        <v>Andri Andriyan</v>
      </c>
      <c r="D565" s="21"/>
      <c r="E565" s="108"/>
      <c r="G565" s="29">
        <f t="shared" si="16"/>
        <v>32000000000562</v>
      </c>
      <c r="H565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25000000000562::bigint, null::varchar);</v>
      </c>
    </row>
    <row r="566" spans="2:8" x14ac:dyDescent="0.2">
      <c r="B566" s="37">
        <f>IF(EXACT([1]DataLookUp!$B566, ""), "", [1]DataLookUp!$B566)</f>
        <v>25000000000563</v>
      </c>
      <c r="C566" s="38" t="str">
        <f>IF(EXACT(B566, ""), "", VLOOKUP(B566, [1]DataLookUp!$B$4:$C$1000, 2,FALSE ))</f>
        <v>Budi Sulistianto</v>
      </c>
      <c r="D566" s="21"/>
      <c r="E566" s="108"/>
      <c r="G566" s="29">
        <f t="shared" si="16"/>
        <v>32000000000563</v>
      </c>
      <c r="H566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25000000000563::bigint, null::varchar);</v>
      </c>
    </row>
    <row r="567" spans="2:8" x14ac:dyDescent="0.2">
      <c r="B567" s="37">
        <f>IF(EXACT([1]DataLookUp!$B567, ""), "", [1]DataLookUp!$B567)</f>
        <v>25000000000564</v>
      </c>
      <c r="C567" s="38" t="str">
        <f>IF(EXACT(B567, ""), "", VLOOKUP(B567, [1]DataLookUp!$B$4:$C$1000, 2,FALSE ))</f>
        <v>Eka Budi</v>
      </c>
      <c r="D567" s="21"/>
      <c r="E567" s="108"/>
      <c r="G567" s="29">
        <f t="shared" si="16"/>
        <v>32000000000564</v>
      </c>
      <c r="H567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25000000000564::bigint, null::varchar);</v>
      </c>
    </row>
    <row r="568" spans="2:8" x14ac:dyDescent="0.2">
      <c r="B568" s="37">
        <f>IF(EXACT([1]DataLookUp!$B568, ""), "", [1]DataLookUp!$B568)</f>
        <v>25000000000565</v>
      </c>
      <c r="C568" s="38" t="str">
        <f>IF(EXACT(B568, ""), "", VLOOKUP(B568, [1]DataLookUp!$B$4:$C$1000, 2,FALSE ))</f>
        <v>Haerul Gunawan</v>
      </c>
      <c r="D568" s="21"/>
      <c r="E568" s="108"/>
      <c r="G568" s="29">
        <f t="shared" si="16"/>
        <v>32000000000565</v>
      </c>
      <c r="H56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25000000000565::bigint, null::varchar);</v>
      </c>
    </row>
    <row r="569" spans="2:8" x14ac:dyDescent="0.2">
      <c r="B569" s="37">
        <f>IF(EXACT([1]DataLookUp!$B569, ""), "", [1]DataLookUp!$B569)</f>
        <v>25000000000566</v>
      </c>
      <c r="C569" s="38" t="str">
        <f>IF(EXACT(B569, ""), "", VLOOKUP(B569, [1]DataLookUp!$B$4:$C$1000, 2,FALSE ))</f>
        <v>Irvan Agus</v>
      </c>
      <c r="D569" s="21"/>
      <c r="E569" s="108"/>
      <c r="G569" s="29">
        <f t="shared" si="16"/>
        <v>32000000000566</v>
      </c>
      <c r="H56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25000000000566::bigint, null::varchar);</v>
      </c>
    </row>
    <row r="570" spans="2:8" x14ac:dyDescent="0.2">
      <c r="B570" s="37">
        <f>IF(EXACT([1]DataLookUp!$B570, ""), "", [1]DataLookUp!$B570)</f>
        <v>25000000000567</v>
      </c>
      <c r="C570" s="38" t="str">
        <f>IF(EXACT(B570, ""), "", VLOOKUP(B570, [1]DataLookUp!$B$4:$C$1000, 2,FALSE ))</f>
        <v>Joshika Pradirga</v>
      </c>
      <c r="D570" s="21"/>
      <c r="E570" s="108"/>
      <c r="G570" s="29">
        <f t="shared" si="16"/>
        <v>32000000000567</v>
      </c>
      <c r="H57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25000000000567::bigint, null::varchar);</v>
      </c>
    </row>
    <row r="571" spans="2:8" x14ac:dyDescent="0.2">
      <c r="B571" s="37">
        <f>IF(EXACT([1]DataLookUp!$B571, ""), "", [1]DataLookUp!$B571)</f>
        <v>25000000000568</v>
      </c>
      <c r="C571" s="38" t="str">
        <f>IF(EXACT(B571, ""), "", VLOOKUP(B571, [1]DataLookUp!$B$4:$C$1000, 2,FALSE ))</f>
        <v>Khaidir</v>
      </c>
      <c r="D571" s="21"/>
      <c r="E571" s="108"/>
      <c r="G571" s="29">
        <f t="shared" si="16"/>
        <v>32000000000568</v>
      </c>
      <c r="H571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25000000000568::bigint, null::varchar);</v>
      </c>
    </row>
    <row r="572" spans="2:8" x14ac:dyDescent="0.2">
      <c r="B572" s="37">
        <f>IF(EXACT([1]DataLookUp!$B572, ""), "", [1]DataLookUp!$B572)</f>
        <v>25000000000569</v>
      </c>
      <c r="C572" s="38" t="str">
        <f>IF(EXACT(B572, ""), "", VLOOKUP(B572, [1]DataLookUp!$B$4:$C$1000, 2,FALSE ))</f>
        <v>Latip Muhlanto</v>
      </c>
      <c r="D572" s="21"/>
      <c r="E572" s="108"/>
      <c r="G572" s="29">
        <f t="shared" si="16"/>
        <v>32000000000569</v>
      </c>
      <c r="H572" s="30" t="str">
        <f t="shared" si="17"/>
        <v>PERFORM "SchData-OLTP-HumanResource"."Func_TblWorker_SET"(varSystemLoginSession, null::bigint, null::varchar, null::timestamptz, null::timestamptz, null::varchar, varInstitutionBranchID, varBaseCurrencyID, 25000000000569::bigint, null::varchar);</v>
      </c>
    </row>
    <row r="573" spans="2:8" x14ac:dyDescent="0.2">
      <c r="B573" s="37">
        <f>IF(EXACT([1]DataLookUp!$B573, ""), "", [1]DataLookUp!$B573)</f>
        <v>25000000000570</v>
      </c>
      <c r="C573" s="38" t="str">
        <f>IF(EXACT(B573, ""), "", VLOOKUP(B573, [1]DataLookUp!$B$4:$C$1000, 2,FALSE ))</f>
        <v>Leonardo Putra</v>
      </c>
      <c r="D573" s="21"/>
      <c r="E573" s="108"/>
      <c r="G573" s="29">
        <f t="shared" si="16"/>
        <v>32000000000570</v>
      </c>
      <c r="H573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25000000000570::bigint, null::varchar);</v>
      </c>
    </row>
    <row r="574" spans="2:8" x14ac:dyDescent="0.2">
      <c r="B574" s="37">
        <f>IF(EXACT([1]DataLookUp!$B574, ""), "", [1]DataLookUp!$B574)</f>
        <v>25000000000571</v>
      </c>
      <c r="C574" s="38" t="str">
        <f>IF(EXACT(B574, ""), "", VLOOKUP(B574, [1]DataLookUp!$B$4:$C$1000, 2,FALSE ))</f>
        <v>Muhammad Ramadani</v>
      </c>
      <c r="D574" s="21"/>
      <c r="E574" s="108"/>
      <c r="G574" s="29">
        <f t="shared" si="16"/>
        <v>32000000000571</v>
      </c>
      <c r="H574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25000000000571::bigint, null::varchar);</v>
      </c>
    </row>
    <row r="575" spans="2:8" x14ac:dyDescent="0.2">
      <c r="B575" s="37">
        <f>IF(EXACT([1]DataLookUp!$B575, ""), "", [1]DataLookUp!$B575)</f>
        <v>25000000000572</v>
      </c>
      <c r="C575" s="38" t="str">
        <f>IF(EXACT(B575, ""), "", VLOOKUP(B575, [1]DataLookUp!$B$4:$C$1000, 2,FALSE ))</f>
        <v>Musdalipa</v>
      </c>
      <c r="D575" s="21"/>
      <c r="E575" s="108"/>
      <c r="G575" s="29">
        <f t="shared" si="16"/>
        <v>32000000000572</v>
      </c>
      <c r="H575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25000000000572::bigint, null::varchar);</v>
      </c>
    </row>
    <row r="576" spans="2:8" x14ac:dyDescent="0.2">
      <c r="B576" s="37">
        <f>IF(EXACT([1]DataLookUp!$B576, ""), "", [1]DataLookUp!$B576)</f>
        <v>25000000000573</v>
      </c>
      <c r="C576" s="38" t="str">
        <f>IF(EXACT(B576, ""), "", VLOOKUP(B576, [1]DataLookUp!$B$4:$C$1000, 2,FALSE ))</f>
        <v>Nico Melky</v>
      </c>
      <c r="D576" s="21"/>
      <c r="E576" s="108"/>
      <c r="G576" s="29">
        <f t="shared" si="16"/>
        <v>32000000000573</v>
      </c>
      <c r="H576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25000000000573::bigint, null::varchar);</v>
      </c>
    </row>
    <row r="577" spans="2:8" x14ac:dyDescent="0.2">
      <c r="B577" s="37">
        <f>IF(EXACT([1]DataLookUp!$B577, ""), "", [1]DataLookUp!$B577)</f>
        <v>25000000000574</v>
      </c>
      <c r="C577" s="38" t="str">
        <f>IF(EXACT(B577, ""), "", VLOOKUP(B577, [1]DataLookUp!$B$4:$C$1000, 2,FALSE ))</f>
        <v>Rahmata Novanisa</v>
      </c>
      <c r="D577" s="21">
        <v>230924993</v>
      </c>
      <c r="E577" s="108"/>
      <c r="G577" s="29">
        <f t="shared" si="16"/>
        <v>32000000000574</v>
      </c>
      <c r="H577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25000000000574::bigint, '230924993'::varchar);</v>
      </c>
    </row>
    <row r="578" spans="2:8" x14ac:dyDescent="0.2">
      <c r="B578" s="37">
        <f>IF(EXACT([1]DataLookUp!$B578, ""), "", [1]DataLookUp!$B578)</f>
        <v>25000000000575</v>
      </c>
      <c r="C578" s="38" t="str">
        <f>IF(EXACT(B578, ""), "", VLOOKUP(B578, [1]DataLookUp!$B$4:$C$1000, 2,FALSE ))</f>
        <v>Satrio Dhiaputra</v>
      </c>
      <c r="D578" s="21"/>
      <c r="E578" s="108"/>
      <c r="G578" s="29">
        <f t="shared" si="16"/>
        <v>32000000000575</v>
      </c>
      <c r="H578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25000000000575::bigint, null::varchar);</v>
      </c>
    </row>
    <row r="579" spans="2:8" x14ac:dyDescent="0.2">
      <c r="B579" s="37">
        <f>IF(EXACT([1]DataLookUp!$B579, ""), "", [1]DataLookUp!$B579)</f>
        <v>25000000000576</v>
      </c>
      <c r="C579" s="38" t="str">
        <f>IF(EXACT(B579, ""), "", VLOOKUP(B579, [1]DataLookUp!$B$4:$C$1000, 2,FALSE ))</f>
        <v>Sudirman</v>
      </c>
      <c r="D579" s="21"/>
      <c r="E579" s="108"/>
      <c r="G579" s="29">
        <f t="shared" si="16"/>
        <v>32000000000576</v>
      </c>
      <c r="H579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25000000000576::bigint, null::varchar);</v>
      </c>
    </row>
    <row r="580" spans="2:8" x14ac:dyDescent="0.2">
      <c r="B580" s="37">
        <f>IF(EXACT([1]DataLookUp!$B580, ""), "", [1]DataLookUp!$B580)</f>
        <v>25000000000577</v>
      </c>
      <c r="C580" s="38" t="str">
        <f>IF(EXACT(B580, ""), "", VLOOKUP(B580, [1]DataLookUp!$B$4:$C$1000, 2,FALSE ))</f>
        <v>Suparji</v>
      </c>
      <c r="D580" s="21"/>
      <c r="E580" s="108"/>
      <c r="G580" s="29">
        <f t="shared" si="16"/>
        <v>32000000000577</v>
      </c>
      <c r="H580" s="30" t="str">
        <f t="shared" si="17"/>
        <v>PERFORM "SchData-OLTP-HumanResource"."Func_TblWorker_SET"(varSystemLoginSession, null::bigint, null::varchar, null::timestamptz, null::timestamptz, null::varchar, varInstitutionBranchID, varBaseCurrencyID, 25000000000577::bigint, null::varchar);</v>
      </c>
    </row>
    <row r="581" spans="2:8" x14ac:dyDescent="0.2">
      <c r="B581" s="37">
        <f>IF(EXACT([1]DataLookUp!$B581, ""), "", [1]DataLookUp!$B581)</f>
        <v>25000000000578</v>
      </c>
      <c r="C581" s="38" t="str">
        <f>IF(EXACT(B581, ""), "", VLOOKUP(B581, [1]DataLookUp!$B$4:$C$1000, 2,FALSE ))</f>
        <v>Taufik Iskandar</v>
      </c>
      <c r="D581" s="21"/>
      <c r="E581" s="108"/>
      <c r="G581" s="29">
        <f t="shared" ref="G581:G588" si="18" xml:space="preserve"> G580 + IF(EXACT(H581, ""), 0, 1)</f>
        <v>32000000000578</v>
      </c>
      <c r="H581" s="30" t="str">
        <f t="shared" ref="H581:H623" si="19">CONCATENATE("PERFORM ""SchData-OLTP-HumanResource"".""Func_TblWorker_SET""(varSystemLoginSession, null::bigint, null::varchar, null::timestamptz, null::timestamptz, null::varchar, varInstitutionBranchID, varBaseCurrencyID, ", B581, "::bigint, ", IF(EXACT(D581, ""), "null", CONCATENATE("'", D581, "'")), "::varchar);")</f>
        <v>PERFORM "SchData-OLTP-HumanResource"."Func_TblWorker_SET"(varSystemLoginSession, null::bigint, null::varchar, null::timestamptz, null::timestamptz, null::varchar, varInstitutionBranchID, varBaseCurrencyID, 25000000000578::bigint, null::varchar);</v>
      </c>
    </row>
    <row r="582" spans="2:8" x14ac:dyDescent="0.2">
      <c r="B582" s="37">
        <f>IF(EXACT([1]DataLookUp!$B582, ""), "", [1]DataLookUp!$B582)</f>
        <v>25000000000579</v>
      </c>
      <c r="C582" s="38" t="str">
        <f>IF(EXACT(B582, ""), "", VLOOKUP(B582, [1]DataLookUp!$B$4:$C$1000, 2,FALSE ))</f>
        <v>Tegar Hersaputra</v>
      </c>
      <c r="D582" s="21">
        <v>280324989</v>
      </c>
      <c r="E582" s="108"/>
      <c r="G582" s="29">
        <f t="shared" si="18"/>
        <v>32000000000579</v>
      </c>
      <c r="H582" s="30" t="str">
        <f t="shared" si="19"/>
        <v>PERFORM "SchData-OLTP-HumanResource"."Func_TblWorker_SET"(varSystemLoginSession, null::bigint, null::varchar, null::timestamptz, null::timestamptz, null::varchar, varInstitutionBranchID, varBaseCurrencyID, 25000000000579::bigint, '280324989'::varchar);</v>
      </c>
    </row>
    <row r="583" spans="2:8" x14ac:dyDescent="0.2">
      <c r="B583" s="37">
        <f>IF(EXACT([1]DataLookUp!$B583, ""), "", [1]DataLookUp!$B583)</f>
        <v>25000000000580</v>
      </c>
      <c r="C583" s="38" t="str">
        <f>IF(EXACT(B583, ""), "", VLOOKUP(B583, [1]DataLookUp!$B$4:$C$1000, 2,FALSE ))</f>
        <v>Togar Sihombing</v>
      </c>
      <c r="D583" s="21"/>
      <c r="E583" s="108"/>
      <c r="G583" s="29">
        <f t="shared" si="18"/>
        <v>32000000000580</v>
      </c>
      <c r="H583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25000000000580::bigint, null::varchar);</v>
      </c>
    </row>
    <row r="584" spans="2:8" x14ac:dyDescent="0.2">
      <c r="B584" s="37">
        <f>IF(EXACT([1]DataLookUp!$B584, ""), "", [1]DataLookUp!$B584)</f>
        <v>25000000000581</v>
      </c>
      <c r="C584" s="38" t="str">
        <f>IF(EXACT(B584, ""), "", VLOOKUP(B584, [1]DataLookUp!$B$4:$C$1000, 2,FALSE ))</f>
        <v>Wisnu Trenggono Wirayuda</v>
      </c>
      <c r="D584" s="21">
        <v>150724991</v>
      </c>
      <c r="E584" s="108"/>
      <c r="G584" s="29">
        <f t="shared" si="18"/>
        <v>32000000000581</v>
      </c>
      <c r="H584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25000000000581::bigint, '150724991'::varchar);</v>
      </c>
    </row>
    <row r="585" spans="2:8" x14ac:dyDescent="0.2">
      <c r="B585" s="37">
        <f>IF(EXACT([1]DataLookUp!$B585, ""), "", [1]DataLookUp!$B585)</f>
        <v>25000000000582</v>
      </c>
      <c r="C585" s="38" t="str">
        <f>IF(EXACT(B585, ""), "", VLOOKUP(B585, [1]DataLookUp!$B$4:$C$1000, 2,FALSE ))</f>
        <v>Yogo</v>
      </c>
      <c r="D585" s="21"/>
      <c r="E585" s="108"/>
      <c r="G585" s="29">
        <f t="shared" si="18"/>
        <v>32000000000582</v>
      </c>
      <c r="H585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25000000000582::bigint, null::varchar);</v>
      </c>
    </row>
    <row r="586" spans="2:8" x14ac:dyDescent="0.2">
      <c r="B586" s="37">
        <f>IF(EXACT([1]DataLookUp!$B586, ""), "", [1]DataLookUp!$B586)</f>
        <v>25000000000583</v>
      </c>
      <c r="C586" s="38" t="str">
        <f>IF(EXACT(B586, ""), "", VLOOKUP(B586, [1]DataLookUp!$B$4:$C$1000, 2,FALSE ))</f>
        <v>Yustiana Firda</v>
      </c>
      <c r="D586" s="21"/>
      <c r="E586" s="108"/>
      <c r="G586" s="29">
        <f t="shared" si="18"/>
        <v>32000000000583</v>
      </c>
      <c r="H586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25000000000583::bigint, null::varchar);</v>
      </c>
    </row>
    <row r="587" spans="2:8" x14ac:dyDescent="0.2">
      <c r="B587" s="37">
        <f>IF(EXACT([1]DataLookUp!$B587, ""), "", [1]DataLookUp!$B587)</f>
        <v>25000000000584</v>
      </c>
      <c r="C587" s="38" t="str">
        <f>IF(EXACT(B587, ""), "", VLOOKUP(B587, [1]DataLookUp!$B$4:$C$1000, 2,FALSE ))</f>
        <v>Zainal Abidin</v>
      </c>
      <c r="D587" s="21"/>
      <c r="E587" s="108"/>
      <c r="G587" s="29">
        <f t="shared" si="18"/>
        <v>32000000000584</v>
      </c>
      <c r="H587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25000000000584::bigint, null::varchar);</v>
      </c>
    </row>
    <row r="588" spans="2:8" x14ac:dyDescent="0.2">
      <c r="B588" s="37">
        <f>IF(EXACT([1]DataLookUp!$B588, ""), "", [1]DataLookUp!$B588)</f>
        <v>25000000000585</v>
      </c>
      <c r="C588" s="38" t="str">
        <f>IF(EXACT(B588, ""), "", VLOOKUP(B588, [1]DataLookUp!$B$4:$C$1000, 2,FALSE ))</f>
        <v>Budi Sandika</v>
      </c>
      <c r="D588" s="21"/>
      <c r="E588" s="108"/>
      <c r="G588" s="29">
        <f t="shared" si="18"/>
        <v>32000000000585</v>
      </c>
      <c r="H588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25000000000585::bigint, null::varchar);</v>
      </c>
    </row>
    <row r="589" spans="2:8" x14ac:dyDescent="0.2">
      <c r="B589" s="37">
        <f>IF(EXACT([1]DataLookUp!$B589, ""), "", [1]DataLookUp!$B589)</f>
        <v>25000000000586</v>
      </c>
      <c r="C589" s="38" t="str">
        <f>IF(EXACT(B589, ""), "", VLOOKUP(B589, [1]DataLookUp!$B$4:$C$1000, 2,FALSE ))</f>
        <v>Fachri Azhar</v>
      </c>
      <c r="D589" s="21"/>
      <c r="E589" s="108"/>
      <c r="G589" s="29">
        <f t="shared" ref="G589:G623" si="20" xml:space="preserve"> G588 + IF(EXACT(H589, ""), 0, 1)</f>
        <v>32000000000586</v>
      </c>
      <c r="H589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25000000000586::bigint, null::varchar);</v>
      </c>
    </row>
    <row r="590" spans="2:8" x14ac:dyDescent="0.2">
      <c r="B590" s="37">
        <f>IF(EXACT([1]DataLookUp!$B590, ""), "", [1]DataLookUp!$B590)</f>
        <v>25000000000587</v>
      </c>
      <c r="C590" s="38" t="str">
        <f>IF(EXACT(B590, ""), "", VLOOKUP(B590, [1]DataLookUp!$B$4:$C$1000, 2,FALSE ))</f>
        <v>Firmansyah Awaludin</v>
      </c>
      <c r="D590" s="21"/>
      <c r="E590" s="108"/>
      <c r="G590" s="29">
        <f t="shared" si="20"/>
        <v>32000000000587</v>
      </c>
      <c r="H590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25000000000587::bigint, null::varchar);</v>
      </c>
    </row>
    <row r="591" spans="2:8" x14ac:dyDescent="0.2">
      <c r="B591" s="37">
        <f>IF(EXACT([1]DataLookUp!$B591, ""), "", [1]DataLookUp!$B591)</f>
        <v>25000000000588</v>
      </c>
      <c r="C591" s="38" t="str">
        <f>IF(EXACT(B591, ""), "", VLOOKUP(B591, [1]DataLookUp!$B$4:$C$1000, 2,FALSE ))</f>
        <v>Iman Faisal Abdurahman</v>
      </c>
      <c r="D591" s="21" t="s">
        <v>145</v>
      </c>
      <c r="E591" s="108"/>
      <c r="G591" s="29">
        <f t="shared" si="20"/>
        <v>32000000000588</v>
      </c>
      <c r="H591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25000000000588::bigint, '030225999'::varchar);</v>
      </c>
    </row>
    <row r="592" spans="2:8" x14ac:dyDescent="0.2">
      <c r="B592" s="37">
        <f>IF(EXACT([1]DataLookUp!$B592, ""), "", [1]DataLookUp!$B592)</f>
        <v>25000000000589</v>
      </c>
      <c r="C592" s="38" t="str">
        <f>IF(EXACT(B592, ""), "", VLOOKUP(B592, [1]DataLookUp!$B$4:$C$1000, 2,FALSE ))</f>
        <v>Muhammad Irfan Alfikri Rayana</v>
      </c>
      <c r="D592" s="21"/>
      <c r="E592" s="108"/>
      <c r="G592" s="29">
        <f t="shared" si="20"/>
        <v>32000000000589</v>
      </c>
      <c r="H592" s="30" t="str">
        <f t="shared" si="19"/>
        <v>PERFORM "SchData-OLTP-HumanResource"."Func_TblWorker_SET"(varSystemLoginSession, null::bigint, null::varchar, null::timestamptz, null::timestamptz, null::varchar, varInstitutionBranchID, varBaseCurrencyID, 25000000000589::bigint, null::varchar);</v>
      </c>
    </row>
    <row r="593" spans="2:8" x14ac:dyDescent="0.2">
      <c r="B593" s="37">
        <f>IF(EXACT([1]DataLookUp!$B593, ""), "", [1]DataLookUp!$B593)</f>
        <v>25000000000590</v>
      </c>
      <c r="C593" s="38" t="str">
        <f>IF(EXACT(B593, ""), "", VLOOKUP(B593, [1]DataLookUp!$B$4:$C$1000, 2,FALSE ))</f>
        <v>Syafri Johansah</v>
      </c>
      <c r="D593" s="21"/>
      <c r="E593" s="108"/>
      <c r="G593" s="29">
        <f t="shared" si="20"/>
        <v>32000000000590</v>
      </c>
      <c r="H593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25000000000590::bigint, null::varchar);</v>
      </c>
    </row>
    <row r="594" spans="2:8" x14ac:dyDescent="0.2">
      <c r="B594" s="37">
        <f>IF(EXACT([1]DataLookUp!$B594, ""), "", [1]DataLookUp!$B594)</f>
        <v>25000000000591</v>
      </c>
      <c r="C594" s="38" t="str">
        <f>IF(EXACT(B594, ""), "", VLOOKUP(B594, [1]DataLookUp!$B$4:$C$1000, 2,FALSE ))</f>
        <v>Agus Sobar</v>
      </c>
      <c r="D594" s="21"/>
      <c r="E594" s="108"/>
      <c r="G594" s="29">
        <f t="shared" si="20"/>
        <v>32000000000591</v>
      </c>
      <c r="H594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25000000000591::bigint, null::varchar);</v>
      </c>
    </row>
    <row r="595" spans="2:8" x14ac:dyDescent="0.2">
      <c r="B595" s="37">
        <f>IF(EXACT([1]DataLookUp!$B595, ""), "", [1]DataLookUp!$B595)</f>
        <v>25000000000592</v>
      </c>
      <c r="C595" s="38" t="str">
        <f>IF(EXACT(B595, ""), "", VLOOKUP(B595, [1]DataLookUp!$B$4:$C$1000, 2,FALSE ))</f>
        <v>Ahmad Sandi Asyuri</v>
      </c>
      <c r="D595" s="21" t="s">
        <v>83</v>
      </c>
      <c r="E595" s="108"/>
      <c r="G595" s="29">
        <f t="shared" si="20"/>
        <v>32000000000592</v>
      </c>
      <c r="H595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25000000000592::bigint, '181124994'::varchar);</v>
      </c>
    </row>
    <row r="596" spans="2:8" x14ac:dyDescent="0.2">
      <c r="B596" s="37">
        <f>IF(EXACT([1]DataLookUp!$B596, ""), "", [1]DataLookUp!$B596)</f>
        <v>25000000000593</v>
      </c>
      <c r="C596" s="38" t="str">
        <f>IF(EXACT(B596, ""), "", VLOOKUP(B596, [1]DataLookUp!$B$4:$C$1000, 2,FALSE ))</f>
        <v>Andi Mapasoro</v>
      </c>
      <c r="D596" s="21" t="s">
        <v>82</v>
      </c>
      <c r="E596" s="108"/>
      <c r="G596" s="29">
        <f t="shared" si="20"/>
        <v>32000000000593</v>
      </c>
      <c r="H596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25000000000593::bigint, '0403251002'::varchar);</v>
      </c>
    </row>
    <row r="597" spans="2:8" x14ac:dyDescent="0.2">
      <c r="B597" s="37">
        <f>IF(EXACT([1]DataLookUp!$B597, ""), "", [1]DataLookUp!$B597)</f>
        <v>25000000000594</v>
      </c>
      <c r="C597" s="38" t="str">
        <f>IF(EXACT(B597, ""), "", VLOOKUP(B597, [1]DataLookUp!$B$4:$C$1000, 2,FALSE ))</f>
        <v>Arie Gustaman</v>
      </c>
      <c r="D597" s="21"/>
      <c r="E597" s="108"/>
      <c r="G597" s="29">
        <f t="shared" si="20"/>
        <v>32000000000594</v>
      </c>
      <c r="H597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25000000000594::bigint, null::varchar);</v>
      </c>
    </row>
    <row r="598" spans="2:8" x14ac:dyDescent="0.2">
      <c r="B598" s="37">
        <f>IF(EXACT([1]DataLookUp!$B598, ""), "", [1]DataLookUp!$B598)</f>
        <v>25000000000595</v>
      </c>
      <c r="C598" s="38" t="str">
        <f>IF(EXACT(B598, ""), "", VLOOKUP(B598, [1]DataLookUp!$B$4:$C$1000, 2,FALSE ))</f>
        <v>Arief Yulianto</v>
      </c>
      <c r="D598" s="21">
        <v>120124984</v>
      </c>
      <c r="E598" s="108"/>
      <c r="G598" s="29">
        <f t="shared" si="20"/>
        <v>32000000000595</v>
      </c>
      <c r="H598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25000000000595::bigint, '120124984'::varchar);</v>
      </c>
    </row>
    <row r="599" spans="2:8" x14ac:dyDescent="0.2">
      <c r="B599" s="37">
        <f>IF(EXACT([1]DataLookUp!$B599, ""), "", [1]DataLookUp!$B599)</f>
        <v>25000000000596</v>
      </c>
      <c r="C599" s="38" t="str">
        <f>IF(EXACT(B599, ""), "", VLOOKUP(B599, [1]DataLookUp!$B$4:$C$1000, 2,FALSE ))</f>
        <v>Burhan</v>
      </c>
      <c r="D599" s="21" t="s">
        <v>138</v>
      </c>
      <c r="E599" s="108"/>
      <c r="G599" s="29">
        <f t="shared" si="20"/>
        <v>32000000000596</v>
      </c>
      <c r="H599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25000000000596::bigint, '010413650'::varchar);</v>
      </c>
    </row>
    <row r="600" spans="2:8" x14ac:dyDescent="0.2">
      <c r="B600" s="37">
        <f>IF(EXACT([1]DataLookUp!$B600, ""), "", [1]DataLookUp!$B600)</f>
        <v>25000000000597</v>
      </c>
      <c r="C600" s="38" t="str">
        <f>IF(EXACT(B600, ""), "", VLOOKUP(B600, [1]DataLookUp!$B$4:$C$1000, 2,FALSE ))</f>
        <v>Deby Syahputa</v>
      </c>
      <c r="D600" s="21"/>
      <c r="E600" s="108"/>
      <c r="G600" s="29">
        <f t="shared" si="20"/>
        <v>32000000000597</v>
      </c>
      <c r="H600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25000000000597::bigint, null::varchar);</v>
      </c>
    </row>
    <row r="601" spans="2:8" x14ac:dyDescent="0.2">
      <c r="B601" s="37">
        <f>IF(EXACT([1]DataLookUp!$B601, ""), "", [1]DataLookUp!$B601)</f>
        <v>25000000000598</v>
      </c>
      <c r="C601" s="38" t="str">
        <f>IF(EXACT(B601, ""), "", VLOOKUP(B601, [1]DataLookUp!$B$4:$C$1000, 2,FALSE ))</f>
        <v>Ibrahim Arya Yuda</v>
      </c>
      <c r="D601" s="21"/>
      <c r="E601" s="108"/>
      <c r="G601" s="29">
        <f t="shared" si="20"/>
        <v>32000000000598</v>
      </c>
      <c r="H601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25000000000598::bigint, null::varchar);</v>
      </c>
    </row>
    <row r="602" spans="2:8" x14ac:dyDescent="0.2">
      <c r="B602" s="37">
        <f>IF(EXACT([1]DataLookUp!$B602, ""), "", [1]DataLookUp!$B602)</f>
        <v>25000000000599</v>
      </c>
      <c r="C602" s="38" t="str">
        <f>IF(EXACT(B602, ""), "", VLOOKUP(B602, [1]DataLookUp!$B$4:$C$1000, 2,FALSE ))</f>
        <v>Jamil</v>
      </c>
      <c r="D602" s="21"/>
      <c r="E602" s="108"/>
      <c r="G602" s="29">
        <f t="shared" si="20"/>
        <v>32000000000599</v>
      </c>
      <c r="H602" s="30" t="str">
        <f t="shared" si="19"/>
        <v>PERFORM "SchData-OLTP-HumanResource"."Func_TblWorker_SET"(varSystemLoginSession, null::bigint, null::varchar, null::timestamptz, null::timestamptz, null::varchar, varInstitutionBranchID, varBaseCurrencyID, 25000000000599::bigint, null::varchar);</v>
      </c>
    </row>
    <row r="603" spans="2:8" x14ac:dyDescent="0.2">
      <c r="B603" s="37">
        <f>IF(EXACT([1]DataLookUp!$B603, ""), "", [1]DataLookUp!$B603)</f>
        <v>25000000000600</v>
      </c>
      <c r="C603" s="38" t="str">
        <f>IF(EXACT(B603, ""), "", VLOOKUP(B603, [1]DataLookUp!$B$4:$C$1000, 2,FALSE ))</f>
        <v>Kiki Prasetyo</v>
      </c>
      <c r="D603" s="21"/>
      <c r="E603" s="108"/>
      <c r="G603" s="29">
        <f t="shared" si="20"/>
        <v>32000000000600</v>
      </c>
      <c r="H603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25000000000600::bigint, null::varchar);</v>
      </c>
    </row>
    <row r="604" spans="2:8" x14ac:dyDescent="0.2">
      <c r="B604" s="37">
        <f>IF(EXACT([1]DataLookUp!$B604, ""), "", [1]DataLookUp!$B604)</f>
        <v>25000000000601</v>
      </c>
      <c r="C604" s="38" t="str">
        <f>IF(EXACT(B604, ""), "", VLOOKUP(B604, [1]DataLookUp!$B$4:$C$1000, 2,FALSE ))</f>
        <v>Mochamad Ulul Azmi Wira Utama</v>
      </c>
      <c r="D604" s="21" t="s">
        <v>105</v>
      </c>
      <c r="E604" s="108"/>
      <c r="G604" s="29">
        <f t="shared" si="20"/>
        <v>32000000000601</v>
      </c>
      <c r="H604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25000000000601::bigint, '1206251007'::varchar);</v>
      </c>
    </row>
    <row r="605" spans="2:8" x14ac:dyDescent="0.2">
      <c r="B605" s="37">
        <f>IF(EXACT([1]DataLookUp!$B605, ""), "", [1]DataLookUp!$B605)</f>
        <v>25000000000602</v>
      </c>
      <c r="C605" s="38" t="str">
        <f>IF(EXACT(B605, ""), "", VLOOKUP(B605, [1]DataLookUp!$B$4:$C$1000, 2,FALSE ))</f>
        <v>Muhammad Bilal Sharony</v>
      </c>
      <c r="D605" s="21"/>
      <c r="E605" s="108"/>
      <c r="G605" s="29">
        <f t="shared" si="20"/>
        <v>32000000000602</v>
      </c>
      <c r="H605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25000000000602::bigint, null::varchar);</v>
      </c>
    </row>
    <row r="606" spans="2:8" x14ac:dyDescent="0.2">
      <c r="B606" s="37">
        <f>IF(EXACT([1]DataLookUp!$B606, ""), "", [1]DataLookUp!$B606)</f>
        <v>25000000000603</v>
      </c>
      <c r="C606" s="38" t="str">
        <f>IF(EXACT(B606, ""), "", VLOOKUP(B606, [1]DataLookUp!$B$4:$C$1000, 2,FALSE ))</f>
        <v>Muhammad Hairul</v>
      </c>
      <c r="D606" s="21"/>
      <c r="E606" s="108"/>
      <c r="G606" s="29">
        <f t="shared" si="20"/>
        <v>32000000000603</v>
      </c>
      <c r="H606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25000000000603::bigint, null::varchar);</v>
      </c>
    </row>
    <row r="607" spans="2:8" x14ac:dyDescent="0.2">
      <c r="B607" s="37">
        <f>IF(EXACT([1]DataLookUp!$B607, ""), "", [1]DataLookUp!$B607)</f>
        <v>25000000000604</v>
      </c>
      <c r="C607" s="38" t="str">
        <f>IF(EXACT(B607, ""), "", VLOOKUP(B607, [1]DataLookUp!$B$4:$C$1000, 2,FALSE ))</f>
        <v>Muhammad Rizal</v>
      </c>
      <c r="D607" s="21" t="s">
        <v>106</v>
      </c>
      <c r="E607" s="108"/>
      <c r="G607" s="29">
        <f t="shared" si="20"/>
        <v>32000000000604</v>
      </c>
      <c r="H607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25000000000604::bigint, '230125998'::varchar);</v>
      </c>
    </row>
    <row r="608" spans="2:8" x14ac:dyDescent="0.2">
      <c r="B608" s="37">
        <f>IF(EXACT([1]DataLookUp!$B608, ""), "", [1]DataLookUp!$B608)</f>
        <v>25000000000605</v>
      </c>
      <c r="C608" s="38" t="str">
        <f>IF(EXACT(B608, ""), "", VLOOKUP(B608, [1]DataLookUp!$B$4:$C$1000, 2,FALSE ))</f>
        <v>Rahmad Dwifar</v>
      </c>
      <c r="D608" s="21">
        <v>2011251012</v>
      </c>
      <c r="E608" s="108"/>
      <c r="G608" s="29">
        <f t="shared" si="20"/>
        <v>32000000000605</v>
      </c>
      <c r="H608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25000000000605::bigint, '2011251012'::varchar);</v>
      </c>
    </row>
    <row r="609" spans="2:8" x14ac:dyDescent="0.2">
      <c r="B609" s="37">
        <f>IF(EXACT([1]DataLookUp!$B609, ""), "", [1]DataLookUp!$B609)</f>
        <v>25000000000606</v>
      </c>
      <c r="C609" s="38" t="str">
        <f>IF(EXACT(B609, ""), "", VLOOKUP(B609, [1]DataLookUp!$B$4:$C$1000, 2,FALSE ))</f>
        <v>Reza Sanjaya</v>
      </c>
      <c r="D609" s="21"/>
      <c r="E609" s="108"/>
      <c r="G609" s="29">
        <f t="shared" si="20"/>
        <v>32000000000606</v>
      </c>
      <c r="H609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25000000000606::bigint, null::varchar);</v>
      </c>
    </row>
    <row r="610" spans="2:8" x14ac:dyDescent="0.2">
      <c r="B610" s="37">
        <f>IF(EXACT([1]DataLookUp!$B610, ""), "", [1]DataLookUp!$B610)</f>
        <v>25000000000607</v>
      </c>
      <c r="C610" s="38" t="str">
        <f>IF(EXACT(B610, ""), "", VLOOKUP(B610, [1]DataLookUp!$B$4:$C$1000, 2,FALSE ))</f>
        <v>Ridwan Nur Muttaqin</v>
      </c>
      <c r="D610" s="21" t="s">
        <v>112</v>
      </c>
      <c r="E610" s="108"/>
      <c r="G610" s="29">
        <f t="shared" si="20"/>
        <v>32000000000607</v>
      </c>
      <c r="H610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25000000000607::bigint, '0603251003'::varchar);</v>
      </c>
    </row>
    <row r="611" spans="2:8" x14ac:dyDescent="0.2">
      <c r="B611" s="37">
        <f>IF(EXACT([1]DataLookUp!$B611, ""), "", [1]DataLookUp!$B611)</f>
        <v>25000000000608</v>
      </c>
      <c r="C611" s="38" t="str">
        <f>IF(EXACT(B611, ""), "", VLOOKUP(B611, [1]DataLookUp!$B$4:$C$1000, 2,FALSE ))</f>
        <v xml:space="preserve">Risaldi </v>
      </c>
      <c r="D611" s="21"/>
      <c r="E611" s="108"/>
      <c r="G611" s="29">
        <f t="shared" si="20"/>
        <v>32000000000608</v>
      </c>
      <c r="H611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25000000000608::bigint, null::varchar);</v>
      </c>
    </row>
    <row r="612" spans="2:8" x14ac:dyDescent="0.2">
      <c r="B612" s="37">
        <f>IF(EXACT([1]DataLookUp!$B612, ""), "", [1]DataLookUp!$B612)</f>
        <v>25000000000609</v>
      </c>
      <c r="C612" s="38" t="str">
        <f>IF(EXACT(B612, ""), "", VLOOKUP(B612, [1]DataLookUp!$B$4:$C$1000, 2,FALSE ))</f>
        <v>Risty Alawiyah</v>
      </c>
      <c r="D612" s="21" t="s">
        <v>113</v>
      </c>
      <c r="E612" s="108"/>
      <c r="G612" s="29">
        <f t="shared" si="20"/>
        <v>32000000000609</v>
      </c>
      <c r="H612" s="30" t="str">
        <f t="shared" si="19"/>
        <v>PERFORM "SchData-OLTP-HumanResource"."Func_TblWorker_SET"(varSystemLoginSession, null::bigint, null::varchar, null::timestamptz, null::timestamptz, null::varchar, varInstitutionBranchID, varBaseCurrencyID, 25000000000609::bigint, '2703251004'::varchar);</v>
      </c>
    </row>
    <row r="613" spans="2:8" x14ac:dyDescent="0.2">
      <c r="B613" s="37">
        <f>IF(EXACT([1]DataLookUp!$B613, ""), "", [1]DataLookUp!$B613)</f>
        <v>25000000000610</v>
      </c>
      <c r="C613" s="38" t="str">
        <f>IF(EXACT(B613, ""), "", VLOOKUP(B613, [1]DataLookUp!$B$4:$C$1000, 2,FALSE ))</f>
        <v>Rustono</v>
      </c>
      <c r="D613" s="21" t="s">
        <v>149</v>
      </c>
      <c r="E613" s="108"/>
      <c r="G613" s="29">
        <f t="shared" si="20"/>
        <v>32000000000610</v>
      </c>
      <c r="H613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25000000000610::bigint, '010413649'::varchar);</v>
      </c>
    </row>
    <row r="614" spans="2:8" x14ac:dyDescent="0.2">
      <c r="B614" s="37">
        <f>IF(EXACT([1]DataLookUp!$B614, ""), "", [1]DataLookUp!$B614)</f>
        <v>25000000000611</v>
      </c>
      <c r="C614" s="38" t="str">
        <f>IF(EXACT(B614, ""), "", VLOOKUP(B614, [1]DataLookUp!$B$4:$C$1000, 2,FALSE ))</f>
        <v>Solihin</v>
      </c>
      <c r="D614" s="21" t="s">
        <v>150</v>
      </c>
      <c r="E614" s="108"/>
      <c r="G614" s="29">
        <f t="shared" si="20"/>
        <v>32000000000611</v>
      </c>
      <c r="H614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25000000000611::bigint, '020916798'::varchar);</v>
      </c>
    </row>
    <row r="615" spans="2:8" x14ac:dyDescent="0.2">
      <c r="B615" s="37">
        <f>IF(EXACT([1]DataLookUp!$B615, ""), "", [1]DataLookUp!$B615)</f>
        <v>25000000000612</v>
      </c>
      <c r="C615" s="38" t="str">
        <f>IF(EXACT(B615, ""), "", VLOOKUP(B615, [1]DataLookUp!$B$4:$C$1000, 2,FALSE ))</f>
        <v>Supriatna</v>
      </c>
      <c r="D615" s="21" t="s">
        <v>153</v>
      </c>
      <c r="E615" s="108"/>
      <c r="G615" s="29">
        <f t="shared" si="20"/>
        <v>32000000000612</v>
      </c>
      <c r="H615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25000000000612::bigint, '010413653'::varchar);</v>
      </c>
    </row>
    <row r="616" spans="2:8" x14ac:dyDescent="0.2">
      <c r="B616" s="37">
        <f>IF(EXACT([1]DataLookUp!$B616, ""), "", [1]DataLookUp!$B616)</f>
        <v>25000000000613</v>
      </c>
      <c r="C616" s="38" t="str">
        <f>IF(EXACT(B616, ""), "", VLOOKUP(B616, [1]DataLookUp!$B$4:$C$1000, 2,FALSE ))</f>
        <v>Taufik Aminudin</v>
      </c>
      <c r="D616" s="21"/>
      <c r="E616" s="108"/>
      <c r="G616" s="29">
        <f t="shared" si="20"/>
        <v>32000000000613</v>
      </c>
      <c r="H616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25000000000613::bigint, null::varchar);</v>
      </c>
    </row>
    <row r="617" spans="2:8" x14ac:dyDescent="0.2">
      <c r="B617" s="37">
        <f>IF(EXACT([1]DataLookUp!$B617, ""), "", [1]DataLookUp!$B617)</f>
        <v>25000000000614</v>
      </c>
      <c r="C617" s="38" t="str">
        <f>IF(EXACT(B617, ""), "", VLOOKUP(B617, [1]DataLookUp!$B$4:$C$1000, 2,FALSE ))</f>
        <v>Timotius Tabun</v>
      </c>
      <c r="D617" s="21">
        <v>300913696</v>
      </c>
      <c r="E617" s="108"/>
      <c r="G617" s="29">
        <f t="shared" si="20"/>
        <v>32000000000614</v>
      </c>
      <c r="H617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25000000000614::bigint, '300913696'::varchar);</v>
      </c>
    </row>
    <row r="618" spans="2:8" x14ac:dyDescent="0.2">
      <c r="B618" s="37">
        <f>IF(EXACT([1]DataLookUp!$B618, ""), "", [1]DataLookUp!$B618)</f>
        <v>25000000000615</v>
      </c>
      <c r="C618" s="38" t="str">
        <f>IF(EXACT(B618, ""), "", VLOOKUP(B618, [1]DataLookUp!$B$4:$C$1000, 2,FALSE ))</f>
        <v>Adi</v>
      </c>
      <c r="D618" s="21" t="s">
        <v>156</v>
      </c>
      <c r="E618" s="108"/>
      <c r="G618" s="29">
        <f t="shared" si="20"/>
        <v>32000000000615</v>
      </c>
      <c r="H618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25000000000615::bigint, '0209251009'::varchar);</v>
      </c>
    </row>
    <row r="619" spans="2:8" x14ac:dyDescent="0.2">
      <c r="B619" s="37">
        <v>25000000000616</v>
      </c>
      <c r="C619" s="38" t="str">
        <f>IF(EXACT(B619, ""), "", VLOOKUP(B619, [1]DataLookUp!$B$4:$C$1000, 2,FALSE ))</f>
        <v>Andrean Fahrizi</v>
      </c>
      <c r="D619" s="21"/>
      <c r="E619" s="108"/>
      <c r="G619" s="29">
        <f t="shared" si="20"/>
        <v>32000000000616</v>
      </c>
      <c r="H619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25000000000616::bigint, null::varchar);</v>
      </c>
    </row>
    <row r="620" spans="2:8" x14ac:dyDescent="0.2">
      <c r="B620" s="37">
        <v>25000000000617</v>
      </c>
      <c r="C620" s="38" t="str">
        <f>IF(EXACT(B620, ""), "", VLOOKUP(B620, [1]DataLookUp!$B$4:$C$1000, 2,FALSE ))</f>
        <v>Amar Abdilah</v>
      </c>
      <c r="D620" s="21"/>
      <c r="E620" s="108"/>
      <c r="G620" s="29">
        <f t="shared" si="20"/>
        <v>32000000000617</v>
      </c>
      <c r="H620" s="30" t="str">
        <f t="shared" si="19"/>
        <v>PERFORM "SchData-OLTP-HumanResource"."Func_TblWorker_SET"(varSystemLoginSession, null::bigint, null::varchar, null::timestamptz, null::timestamptz, null::varchar, varInstitutionBranchID, varBaseCurrencyID, 25000000000617::bigint, null::varchar);</v>
      </c>
    </row>
    <row r="621" spans="2:8" x14ac:dyDescent="0.2">
      <c r="B621" s="37">
        <v>25000000000618</v>
      </c>
      <c r="C621" s="38" t="str">
        <f>IF(EXACT(B621, ""), "", VLOOKUP(B621, [1]DataLookUp!$B$4:$C$1000, 2,FALSE ))</f>
        <v>Heru Indra Permana</v>
      </c>
      <c r="D621" s="21"/>
      <c r="E621" s="108"/>
      <c r="G621" s="29">
        <f t="shared" ref="G621:G624" si="21" xml:space="preserve"> G620 + IF(EXACT(H621, ""), 0, 1)</f>
        <v>32000000000618</v>
      </c>
      <c r="H621" s="30" t="str">
        <f t="shared" ref="H621:H624" si="22">CONCATENATE("PERFORM ""SchData-OLTP-HumanResource"".""Func_TblWorker_SET""(varSystemLoginSession, null::bigint, null::varchar, null::timestamptz, null::timestamptz, null::varchar, varInstitutionBranchID, varBaseCurrencyID, ", B621, "::bigint, ", IF(EXACT(D621, ""), "null", CONCATENATE("'", D621, "'")), "::varchar);")</f>
        <v>PERFORM "SchData-OLTP-HumanResource"."Func_TblWorker_SET"(varSystemLoginSession, null::bigint, null::varchar, null::timestamptz, null::timestamptz, null::varchar, varInstitutionBranchID, varBaseCurrencyID, 25000000000618::bigint, null::varchar);</v>
      </c>
    </row>
    <row r="622" spans="2:8" x14ac:dyDescent="0.2">
      <c r="B622" s="37">
        <v>25000000000619</v>
      </c>
      <c r="C622" s="38" t="str">
        <f>IF(EXACT(B622, ""), "", VLOOKUP(B622, [1]DataLookUp!$B$4:$C$1000, 2,FALSE ))</f>
        <v>Budi Santosa (KSO)</v>
      </c>
      <c r="D622" s="21"/>
      <c r="E622" s="108"/>
      <c r="G622" s="29">
        <f t="shared" si="21"/>
        <v>32000000000619</v>
      </c>
      <c r="H622" s="30" t="str">
        <f t="shared" si="22"/>
        <v>PERFORM "SchData-OLTP-HumanResource"."Func_TblWorker_SET"(varSystemLoginSession, null::bigint, null::varchar, null::timestamptz, null::timestamptz, null::varchar, varInstitutionBranchID, varBaseCurrencyID, 25000000000619::bigint, null::varchar);</v>
      </c>
    </row>
    <row r="623" spans="2:8" x14ac:dyDescent="0.2">
      <c r="B623" s="37">
        <v>25000000000620</v>
      </c>
      <c r="C623" s="38" t="str">
        <f>IF(EXACT(B623, ""), "", VLOOKUP(B623, [1]DataLookUp!$B$4:$C$1000, 2,FALSE ))</f>
        <v>Haryono</v>
      </c>
      <c r="D623" s="21"/>
      <c r="E623" s="108"/>
      <c r="G623" s="29">
        <f t="shared" si="21"/>
        <v>32000000000620</v>
      </c>
      <c r="H623" s="30" t="str">
        <f t="shared" si="22"/>
        <v>PERFORM "SchData-OLTP-HumanResource"."Func_TblWorker_SET"(varSystemLoginSession, null::bigint, null::varchar, null::timestamptz, null::timestamptz, null::varchar, varInstitutionBranchID, varBaseCurrencyID, 25000000000620::bigint, null::varchar);</v>
      </c>
    </row>
    <row r="624" spans="2:8" x14ac:dyDescent="0.2">
      <c r="B624" s="37">
        <v>25000000000621</v>
      </c>
      <c r="C624" s="38" t="str">
        <f>IF(EXACT(B624, ""), "", VLOOKUP(B624, [1]DataLookUp!$B$4:$C$1000, 2,FALSE ))</f>
        <v>Indah Sri Rejeki</v>
      </c>
      <c r="D624" s="21"/>
      <c r="E624" s="108"/>
      <c r="G624" s="29">
        <f t="shared" si="21"/>
        <v>32000000000621</v>
      </c>
      <c r="H624" s="30" t="str">
        <f t="shared" si="22"/>
        <v>PERFORM "SchData-OLTP-HumanResource"."Func_TblWorker_SET"(varSystemLoginSession, null::bigint, null::varchar, null::timestamptz, null::timestamptz, null::varchar, varInstitutionBranchID, varBaseCurrencyID, 25000000000621::bigint, null::varchar);</v>
      </c>
    </row>
    <row r="625" spans="2:8" x14ac:dyDescent="0.2">
      <c r="B625" s="14"/>
      <c r="C625" s="13"/>
      <c r="D625" s="24"/>
      <c r="E625" s="110"/>
      <c r="G625" s="14"/>
      <c r="H625" s="13"/>
    </row>
  </sheetData>
  <conditionalFormatting sqref="G4:G624">
    <cfRule type="expression" dxfId="26" priority="1">
      <formula>EXACT(G3, G4)</formula>
    </cfRule>
  </conditionalFormatting>
  <pageMargins left="0.7" right="0.7" top="0.75" bottom="0.75" header="0.3" footer="0.3"/>
  <pageSetup orientation="portrait" horizontalDpi="300" verticalDpi="0" r:id="rId1"/>
  <ignoredErrors>
    <ignoredError sqref="D10:D15 D556 D16:D19 D517:D530 D79:D95 D130:D141 D129 D142:D170 D172:D198 D200:D349 D531:D539 D604 D540:D547 D397:D418 D549:D551 D505:D515 D351:D354 D171 D562 D21:D53 D55:D78 D97:D123 D124:D128 D461:D500 D595:D599 D607 D610 D356:D374 D501:D504 D591 D376:D395 D612:D615 D419:D460 D552:D554 D6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B1:H625"/>
  <sheetViews>
    <sheetView workbookViewId="0">
      <pane xSplit="2" ySplit="3" topLeftCell="C617" activePane="bottomRight" state="frozen"/>
      <selection pane="topRight" activeCell="C1" sqref="C1"/>
      <selection pane="bottomLeft" activeCell="A4" sqref="A4"/>
      <selection pane="bottomRight" activeCell="D628" sqref="D628"/>
    </sheetView>
  </sheetViews>
  <sheetFormatPr defaultRowHeight="12.75" x14ac:dyDescent="0.2"/>
  <cols>
    <col min="1" max="1" width="2.85546875" style="1" customWidth="1"/>
    <col min="2" max="3" width="13.140625" style="3" bestFit="1" customWidth="1"/>
    <col min="4" max="4" width="24.140625" style="1" bestFit="1" customWidth="1"/>
    <col min="5" max="5" width="10.85546875" style="3" bestFit="1" customWidth="1"/>
    <col min="6" max="6" width="9.140625" style="1"/>
    <col min="7" max="7" width="13.140625" style="1" bestFit="1" customWidth="1"/>
    <col min="8" max="16384" width="9.140625" style="1"/>
  </cols>
  <sheetData>
    <row r="1" spans="2:7" ht="13.5" thickBot="1" x14ac:dyDescent="0.25"/>
    <row r="2" spans="2:7" s="41" customFormat="1" ht="25.5" x14ac:dyDescent="0.2">
      <c r="B2" s="33" t="s">
        <v>63</v>
      </c>
      <c r="C2" s="40" t="str">
        <f>MAIN!B2</f>
        <v>Ref ID
Person</v>
      </c>
      <c r="D2" s="16" t="str">
        <f>MAIN!C2</f>
        <v>Person Name</v>
      </c>
      <c r="E2" s="17" t="str">
        <f>MAIN!D2</f>
        <v>Nomor Induk Pekerja</v>
      </c>
    </row>
    <row r="3" spans="2:7" s="8" customFormat="1" ht="13.5" thickBot="1" x14ac:dyDescent="0.25">
      <c r="B3" s="34"/>
      <c r="C3" s="19"/>
      <c r="D3" s="19"/>
      <c r="E3" s="20"/>
    </row>
    <row r="4" spans="2:7" x14ac:dyDescent="0.2">
      <c r="B4" s="35">
        <f>IF(EXACT(MAIN!$H4, ""), "", MAIN!$G4)</f>
        <v>32000000000001</v>
      </c>
      <c r="C4" s="39">
        <f>IF(EXACT(MAIN!$H4, ""), "", MAIN!$B4)</f>
        <v>25000000000001</v>
      </c>
      <c r="D4" s="38" t="str">
        <f>IF(EXACT(MAIN!$H4, ""), "", MAIN!$C4)</f>
        <v>Abdollah Syani Siregar</v>
      </c>
      <c r="E4" s="39" t="str">
        <f>IF(EXACT(MAIN!$B4, ""), "", ""&amp;MAIN!$D4)</f>
        <v/>
      </c>
      <c r="G4" s="2">
        <f>C4</f>
        <v>25000000000001</v>
      </c>
    </row>
    <row r="5" spans="2:7" x14ac:dyDescent="0.2">
      <c r="B5" s="35">
        <f>IF(EXACT(MAIN!$H5, ""), "", MAIN!$G5)</f>
        <v>32000000000002</v>
      </c>
      <c r="C5" s="39">
        <f>IF(EXACT(MAIN!$H5, ""), "", MAIN!$B5)</f>
        <v>25000000000002</v>
      </c>
      <c r="D5" s="38" t="str">
        <f>IF(EXACT(MAIN!$H5, ""), "", MAIN!$C5)</f>
        <v>Abdul Karim</v>
      </c>
      <c r="E5" s="39" t="str">
        <f>IF(EXACT(MAIN!$B5, ""), "", ""&amp;MAIN!$D5)</f>
        <v/>
      </c>
      <c r="G5" s="2">
        <f t="shared" ref="G5:G68" si="0">C5</f>
        <v>25000000000002</v>
      </c>
    </row>
    <row r="6" spans="2:7" x14ac:dyDescent="0.2">
      <c r="B6" s="35">
        <f>IF(EXACT(MAIN!$H6, ""), "", MAIN!$G6)</f>
        <v>32000000000003</v>
      </c>
      <c r="C6" s="39">
        <f>IF(EXACT(MAIN!$H6, ""), "", MAIN!$B6)</f>
        <v>25000000000003</v>
      </c>
      <c r="D6" s="38" t="str">
        <f>IF(EXACT(MAIN!$H6, ""), "", MAIN!$C6)</f>
        <v>Abdul Rahman Sitompul</v>
      </c>
      <c r="E6" s="39" t="str">
        <f>IF(EXACT(MAIN!$B6, ""), "", ""&amp;MAIN!$D6)</f>
        <v/>
      </c>
      <c r="G6" s="2">
        <f t="shared" si="0"/>
        <v>25000000000003</v>
      </c>
    </row>
    <row r="7" spans="2:7" x14ac:dyDescent="0.2">
      <c r="B7" s="35">
        <f>IF(EXACT(MAIN!$H7, ""), "", MAIN!$G7)</f>
        <v>32000000000004</v>
      </c>
      <c r="C7" s="39">
        <f>IF(EXACT(MAIN!$H7, ""), "", MAIN!$B7)</f>
        <v>25000000000004</v>
      </c>
      <c r="D7" s="38" t="str">
        <f>IF(EXACT(MAIN!$H7, ""), "", MAIN!$C7)</f>
        <v>Abdul Risan</v>
      </c>
      <c r="E7" s="39" t="str">
        <f>IF(EXACT(MAIN!$B7, ""), "", ""&amp;MAIN!$D7)</f>
        <v/>
      </c>
      <c r="G7" s="2">
        <f t="shared" si="0"/>
        <v>25000000000004</v>
      </c>
    </row>
    <row r="8" spans="2:7" x14ac:dyDescent="0.2">
      <c r="B8" s="35">
        <f>IF(EXACT(MAIN!$H8, ""), "", MAIN!$G8)</f>
        <v>32000000000005</v>
      </c>
      <c r="C8" s="39">
        <f>IF(EXACT(MAIN!$H8, ""), "", MAIN!$B8)</f>
        <v>25000000000005</v>
      </c>
      <c r="D8" s="38" t="str">
        <f>IF(EXACT(MAIN!$H8, ""), "", MAIN!$C8)</f>
        <v>Abdullah Nabil</v>
      </c>
      <c r="E8" s="39" t="str">
        <f>IF(EXACT(MAIN!$B8, ""), "", ""&amp;MAIN!$D8)</f>
        <v/>
      </c>
      <c r="G8" s="2">
        <f t="shared" si="0"/>
        <v>25000000000005</v>
      </c>
    </row>
    <row r="9" spans="2:7" x14ac:dyDescent="0.2">
      <c r="B9" s="35">
        <f>IF(EXACT(MAIN!$H9, ""), "", MAIN!$G9)</f>
        <v>32000000000006</v>
      </c>
      <c r="C9" s="39">
        <f>IF(EXACT(MAIN!$H9, ""), "", MAIN!$B9)</f>
        <v>25000000000006</v>
      </c>
      <c r="D9" s="38" t="str">
        <f>IF(EXACT(MAIN!$H9, ""), "", MAIN!$C9)</f>
        <v>Adhitya Danar</v>
      </c>
      <c r="E9" s="39" t="str">
        <f>IF(EXACT(MAIN!$B9, ""), "", ""&amp;MAIN!$D9)</f>
        <v/>
      </c>
      <c r="G9" s="2">
        <f t="shared" si="0"/>
        <v>25000000000006</v>
      </c>
    </row>
    <row r="10" spans="2:7" x14ac:dyDescent="0.2">
      <c r="B10" s="35">
        <f>IF(EXACT(MAIN!$H10, ""), "", MAIN!$G10)</f>
        <v>32000000000007</v>
      </c>
      <c r="C10" s="39">
        <f>IF(EXACT(MAIN!$H10, ""), "", MAIN!$B10)</f>
        <v>25000000000007</v>
      </c>
      <c r="D10" s="38" t="str">
        <f>IF(EXACT(MAIN!$H10, ""), "", MAIN!$C10)</f>
        <v>Adi Ruswandi</v>
      </c>
      <c r="E10" s="39" t="str">
        <f>IF(EXACT(MAIN!$B10, ""), "", ""&amp;MAIN!$D10)</f>
        <v>0209251009</v>
      </c>
      <c r="G10" s="2">
        <f t="shared" si="0"/>
        <v>25000000000007</v>
      </c>
    </row>
    <row r="11" spans="2:7" x14ac:dyDescent="0.2">
      <c r="B11" s="35">
        <f>IF(EXACT(MAIN!$H11, ""), "", MAIN!$G11)</f>
        <v>32000000000008</v>
      </c>
      <c r="C11" s="39">
        <f>IF(EXACT(MAIN!$H11, ""), "", MAIN!$B11)</f>
        <v>25000000000008</v>
      </c>
      <c r="D11" s="38" t="str">
        <f>IF(EXACT(MAIN!$H11, ""), "", MAIN!$C11)</f>
        <v>Adietya Dharmawan</v>
      </c>
      <c r="E11" s="39" t="str">
        <f>IF(EXACT(MAIN!$B11, ""), "", ""&amp;MAIN!$D11)</f>
        <v>050321947</v>
      </c>
      <c r="G11" s="2">
        <f t="shared" si="0"/>
        <v>25000000000008</v>
      </c>
    </row>
    <row r="12" spans="2:7" x14ac:dyDescent="0.2">
      <c r="B12" s="35">
        <f>IF(EXACT(MAIN!$H12, ""), "", MAIN!$G12)</f>
        <v>32000000000009</v>
      </c>
      <c r="C12" s="39">
        <f>IF(EXACT(MAIN!$H12, ""), "", MAIN!$B12)</f>
        <v>25000000000009</v>
      </c>
      <c r="D12" s="38" t="str">
        <f>IF(EXACT(MAIN!$H12, ""), "", MAIN!$C12)</f>
        <v>Aditya Yudha Prawira</v>
      </c>
      <c r="E12" s="39" t="str">
        <f>IF(EXACT(MAIN!$B12, ""), "", ""&amp;MAIN!$D12)</f>
        <v/>
      </c>
      <c r="G12" s="2">
        <f t="shared" si="0"/>
        <v>25000000000009</v>
      </c>
    </row>
    <row r="13" spans="2:7" x14ac:dyDescent="0.2">
      <c r="B13" s="35">
        <f>IF(EXACT(MAIN!$H13, ""), "", MAIN!$G13)</f>
        <v>32000000000010</v>
      </c>
      <c r="C13" s="39">
        <f>IF(EXACT(MAIN!$H13, ""), "", MAIN!$B13)</f>
        <v>25000000000010</v>
      </c>
      <c r="D13" s="38" t="str">
        <f>IF(EXACT(MAIN!$H13, ""), "", MAIN!$C13)</f>
        <v>Adli Margie</v>
      </c>
      <c r="E13" s="39" t="str">
        <f>IF(EXACT(MAIN!$B13, ""), "", ""&amp;MAIN!$D13)</f>
        <v/>
      </c>
      <c r="G13" s="2">
        <f t="shared" si="0"/>
        <v>25000000000010</v>
      </c>
    </row>
    <row r="14" spans="2:7" x14ac:dyDescent="0.2">
      <c r="B14" s="35">
        <f>IF(EXACT(MAIN!$H14, ""), "", MAIN!$G14)</f>
        <v>32000000000011</v>
      </c>
      <c r="C14" s="39">
        <f>IF(EXACT(MAIN!$H14, ""), "", MAIN!$B14)</f>
        <v>25000000000011</v>
      </c>
      <c r="D14" s="38" t="str">
        <f>IF(EXACT(MAIN!$H14, ""), "", MAIN!$C14)</f>
        <v>Afrida Eka Putri</v>
      </c>
      <c r="E14" s="39" t="str">
        <f>IF(EXACT(MAIN!$B14, ""), "", ""&amp;MAIN!$D14)</f>
        <v/>
      </c>
      <c r="G14" s="2">
        <f t="shared" si="0"/>
        <v>25000000000011</v>
      </c>
    </row>
    <row r="15" spans="2:7" x14ac:dyDescent="0.2">
      <c r="B15" s="35">
        <f>IF(EXACT(MAIN!$H15, ""), "", MAIN!$G15)</f>
        <v>32000000000012</v>
      </c>
      <c r="C15" s="39">
        <f>IF(EXACT(MAIN!$H15, ""), "", MAIN!$B15)</f>
        <v>25000000000012</v>
      </c>
      <c r="D15" s="38" t="str">
        <f>IF(EXACT(MAIN!$H15, ""), "", MAIN!$C15)</f>
        <v>Agnes Sutedja</v>
      </c>
      <c r="E15" s="39" t="str">
        <f>IF(EXACT(MAIN!$B15, ""), "", ""&amp;MAIN!$D15)</f>
        <v>010703020</v>
      </c>
      <c r="G15" s="2">
        <f t="shared" si="0"/>
        <v>25000000000012</v>
      </c>
    </row>
    <row r="16" spans="2:7" x14ac:dyDescent="0.2">
      <c r="B16" s="35">
        <f>IF(EXACT(MAIN!$H16, ""), "", MAIN!$G16)</f>
        <v>32000000000013</v>
      </c>
      <c r="C16" s="39">
        <f>IF(EXACT(MAIN!$H16, ""), "", MAIN!$B16)</f>
        <v>25000000000013</v>
      </c>
      <c r="D16" s="38" t="str">
        <f>IF(EXACT(MAIN!$H16, ""), "", MAIN!$C16)</f>
        <v>Agung Hendarto</v>
      </c>
      <c r="E16" s="39" t="str">
        <f>IF(EXACT(MAIN!$B16, ""), "", ""&amp;MAIN!$D16)</f>
        <v/>
      </c>
      <c r="G16" s="2">
        <f t="shared" si="0"/>
        <v>25000000000013</v>
      </c>
    </row>
    <row r="17" spans="2:7" x14ac:dyDescent="0.2">
      <c r="B17" s="35">
        <f>IF(EXACT(MAIN!$H17, ""), "", MAIN!$G17)</f>
        <v>32000000000014</v>
      </c>
      <c r="C17" s="39">
        <f>IF(EXACT(MAIN!$H17, ""), "", MAIN!$B17)</f>
        <v>25000000000014</v>
      </c>
      <c r="D17" s="38" t="str">
        <f>IF(EXACT(MAIN!$H17, ""), "", MAIN!$C17)</f>
        <v>Agus Priyatno Mahmudo</v>
      </c>
      <c r="E17" s="39" t="str">
        <f>IF(EXACT(MAIN!$B17, ""), "", ""&amp;MAIN!$D17)</f>
        <v/>
      </c>
      <c r="G17" s="2">
        <f t="shared" si="0"/>
        <v>25000000000014</v>
      </c>
    </row>
    <row r="18" spans="2:7" x14ac:dyDescent="0.2">
      <c r="B18" s="35">
        <f>IF(EXACT(MAIN!$H18, ""), "", MAIN!$G18)</f>
        <v>32000000000015</v>
      </c>
      <c r="C18" s="39">
        <f>IF(EXACT(MAIN!$H18, ""), "", MAIN!$B18)</f>
        <v>25000000000015</v>
      </c>
      <c r="D18" s="38" t="str">
        <f>IF(EXACT(MAIN!$H18, ""), "", MAIN!$C18)</f>
        <v>Agus Salim</v>
      </c>
      <c r="E18" s="39" t="str">
        <f>IF(EXACT(MAIN!$B18, ""), "", ""&amp;MAIN!$D18)</f>
        <v>130223978</v>
      </c>
      <c r="G18" s="2">
        <f t="shared" si="0"/>
        <v>25000000000015</v>
      </c>
    </row>
    <row r="19" spans="2:7" x14ac:dyDescent="0.2">
      <c r="B19" s="35">
        <f>IF(EXACT(MAIN!$H19, ""), "", MAIN!$G19)</f>
        <v>32000000000016</v>
      </c>
      <c r="C19" s="39">
        <f>IF(EXACT(MAIN!$H19, ""), "", MAIN!$B19)</f>
        <v>25000000000016</v>
      </c>
      <c r="D19" s="38" t="str">
        <f>IF(EXACT(MAIN!$H19, ""), "", MAIN!$C19)</f>
        <v>Agus Tanto</v>
      </c>
      <c r="E19" s="39" t="str">
        <f>IF(EXACT(MAIN!$B19, ""), "", ""&amp;MAIN!$D19)</f>
        <v/>
      </c>
      <c r="G19" s="2">
        <f t="shared" si="0"/>
        <v>25000000000016</v>
      </c>
    </row>
    <row r="20" spans="2:7" x14ac:dyDescent="0.2">
      <c r="B20" s="35">
        <f>IF(EXACT(MAIN!$H20, ""), "", MAIN!$G20)</f>
        <v>32000000000017</v>
      </c>
      <c r="C20" s="39">
        <f>IF(EXACT(MAIN!$H20, ""), "", MAIN!$B20)</f>
        <v>25000000000017</v>
      </c>
      <c r="D20" s="38" t="str">
        <f>IF(EXACT(MAIN!$H20, ""), "", MAIN!$C20)</f>
        <v>Ahmad Faiz Haems Muda</v>
      </c>
      <c r="E20" s="39" t="str">
        <f>IF(EXACT(MAIN!$B20, ""), "", ""&amp;MAIN!$D20)</f>
        <v>280314716</v>
      </c>
      <c r="G20" s="2">
        <f t="shared" si="0"/>
        <v>25000000000017</v>
      </c>
    </row>
    <row r="21" spans="2:7" x14ac:dyDescent="0.2">
      <c r="B21" s="35">
        <f>IF(EXACT(MAIN!$H21, ""), "", MAIN!$G21)</f>
        <v>32000000000018</v>
      </c>
      <c r="C21" s="39">
        <f>IF(EXACT(MAIN!$H21, ""), "", MAIN!$B21)</f>
        <v>25000000000018</v>
      </c>
      <c r="D21" s="38" t="str">
        <f>IF(EXACT(MAIN!$H21, ""), "", MAIN!$C21)</f>
        <v>Ahmad Faza</v>
      </c>
      <c r="E21" s="39" t="str">
        <f>IF(EXACT(MAIN!$B21, ""), "", ""&amp;MAIN!$D21)</f>
        <v/>
      </c>
      <c r="G21" s="2">
        <f t="shared" si="0"/>
        <v>25000000000018</v>
      </c>
    </row>
    <row r="22" spans="2:7" x14ac:dyDescent="0.2">
      <c r="B22" s="35">
        <f>IF(EXACT(MAIN!$H22, ""), "", MAIN!$G22)</f>
        <v>32000000000019</v>
      </c>
      <c r="C22" s="39">
        <f>IF(EXACT(MAIN!$H22, ""), "", MAIN!$B22)</f>
        <v>25000000000019</v>
      </c>
      <c r="D22" s="38" t="str">
        <f>IF(EXACT(MAIN!$H22, ""), "", MAIN!$C22)</f>
        <v>Ahmad Syaifulloh</v>
      </c>
      <c r="E22" s="39" t="str">
        <f>IF(EXACT(MAIN!$B22, ""), "", ""&amp;MAIN!$D22)</f>
        <v>150506222</v>
      </c>
      <c r="G22" s="2">
        <f t="shared" si="0"/>
        <v>25000000000019</v>
      </c>
    </row>
    <row r="23" spans="2:7" x14ac:dyDescent="0.2">
      <c r="B23" s="35">
        <f>IF(EXACT(MAIN!$H23, ""), "", MAIN!$G23)</f>
        <v>32000000000020</v>
      </c>
      <c r="C23" s="39">
        <f>IF(EXACT(MAIN!$H23, ""), "", MAIN!$B23)</f>
        <v>25000000000020</v>
      </c>
      <c r="D23" s="38" t="str">
        <f>IF(EXACT(MAIN!$H23, ""), "", MAIN!$C23)</f>
        <v>Ahmad Zulkarnaen</v>
      </c>
      <c r="E23" s="39" t="str">
        <f>IF(EXACT(MAIN!$B23, ""), "", ""&amp;MAIN!$D23)</f>
        <v/>
      </c>
      <c r="G23" s="2">
        <f t="shared" si="0"/>
        <v>25000000000020</v>
      </c>
    </row>
    <row r="24" spans="2:7" x14ac:dyDescent="0.2">
      <c r="B24" s="35">
        <f>IF(EXACT(MAIN!$H24, ""), "", MAIN!$G24)</f>
        <v>32000000000021</v>
      </c>
      <c r="C24" s="39">
        <f>IF(EXACT(MAIN!$H24, ""), "", MAIN!$B24)</f>
        <v>25000000000021</v>
      </c>
      <c r="D24" s="38" t="str">
        <f>IF(EXACT(MAIN!$H24, ""), "", MAIN!$C24)</f>
        <v>Ajan</v>
      </c>
      <c r="E24" s="39" t="str">
        <f>IF(EXACT(MAIN!$B24, ""), "", ""&amp;MAIN!$D24)</f>
        <v/>
      </c>
      <c r="G24" s="2">
        <f t="shared" si="0"/>
        <v>25000000000021</v>
      </c>
    </row>
    <row r="25" spans="2:7" x14ac:dyDescent="0.2">
      <c r="B25" s="35">
        <f>IF(EXACT(MAIN!$H25, ""), "", MAIN!$G25)</f>
        <v>32000000000022</v>
      </c>
      <c r="C25" s="39">
        <f>IF(EXACT(MAIN!$H25, ""), "", MAIN!$B25)</f>
        <v>25000000000022</v>
      </c>
      <c r="D25" s="38" t="str">
        <f>IF(EXACT(MAIN!$H25, ""), "", MAIN!$C25)</f>
        <v>Al Amin</v>
      </c>
      <c r="E25" s="39" t="str">
        <f>IF(EXACT(MAIN!$B25, ""), "", ""&amp;MAIN!$D25)</f>
        <v/>
      </c>
      <c r="G25" s="2">
        <f t="shared" si="0"/>
        <v>25000000000022</v>
      </c>
    </row>
    <row r="26" spans="2:7" x14ac:dyDescent="0.2">
      <c r="B26" s="35">
        <f>IF(EXACT(MAIN!$H26, ""), "", MAIN!$G26)</f>
        <v>32000000000023</v>
      </c>
      <c r="C26" s="39">
        <f>IF(EXACT(MAIN!$H26, ""), "", MAIN!$B26)</f>
        <v>25000000000023</v>
      </c>
      <c r="D26" s="38" t="str">
        <f>IF(EXACT(MAIN!$H26, ""), "", MAIN!$C26)</f>
        <v>Aldi Mulyadi</v>
      </c>
      <c r="E26" s="39" t="str">
        <f>IF(EXACT(MAIN!$B26, ""), "", ""&amp;MAIN!$D26)</f>
        <v>141020935</v>
      </c>
      <c r="G26" s="2">
        <f t="shared" si="0"/>
        <v>25000000000023</v>
      </c>
    </row>
    <row r="27" spans="2:7" x14ac:dyDescent="0.2">
      <c r="B27" s="35">
        <f>IF(EXACT(MAIN!$H27, ""), "", MAIN!$G27)</f>
        <v>32000000000024</v>
      </c>
      <c r="C27" s="39">
        <f>IF(EXACT(MAIN!$H27, ""), "", MAIN!$B27)</f>
        <v>25000000000024</v>
      </c>
      <c r="D27" s="38" t="str">
        <f>IF(EXACT(MAIN!$H27, ""), "", MAIN!$C27)</f>
        <v>Alexandri</v>
      </c>
      <c r="E27" s="39" t="str">
        <f>IF(EXACT(MAIN!$B27, ""), "", ""&amp;MAIN!$D27)</f>
        <v/>
      </c>
      <c r="G27" s="2">
        <f t="shared" si="0"/>
        <v>25000000000024</v>
      </c>
    </row>
    <row r="28" spans="2:7" x14ac:dyDescent="0.2">
      <c r="B28" s="35">
        <f>IF(EXACT(MAIN!$H28, ""), "", MAIN!$G28)</f>
        <v>32000000000025</v>
      </c>
      <c r="C28" s="39">
        <f>IF(EXACT(MAIN!$H28, ""), "", MAIN!$B28)</f>
        <v>25000000000025</v>
      </c>
      <c r="D28" s="38" t="str">
        <f>IF(EXACT(MAIN!$H28, ""), "", MAIN!$C28)</f>
        <v>Alfaedi</v>
      </c>
      <c r="E28" s="39" t="str">
        <f>IF(EXACT(MAIN!$B28, ""), "", ""&amp;MAIN!$D28)</f>
        <v/>
      </c>
      <c r="G28" s="2">
        <f t="shared" si="0"/>
        <v>25000000000025</v>
      </c>
    </row>
    <row r="29" spans="2:7" x14ac:dyDescent="0.2">
      <c r="B29" s="35">
        <f>IF(EXACT(MAIN!$H29, ""), "", MAIN!$G29)</f>
        <v>32000000000026</v>
      </c>
      <c r="C29" s="39">
        <f>IF(EXACT(MAIN!$H29, ""), "", MAIN!$B29)</f>
        <v>25000000000026</v>
      </c>
      <c r="D29" s="38" t="str">
        <f>IF(EXACT(MAIN!$H29, ""), "", MAIN!$C29)</f>
        <v>Ali Wahono</v>
      </c>
      <c r="E29" s="39" t="str">
        <f>IF(EXACT(MAIN!$B29, ""), "", ""&amp;MAIN!$D29)</f>
        <v/>
      </c>
      <c r="G29" s="2">
        <f t="shared" si="0"/>
        <v>25000000000026</v>
      </c>
    </row>
    <row r="30" spans="2:7" x14ac:dyDescent="0.2">
      <c r="B30" s="35">
        <f>IF(EXACT(MAIN!$H30, ""), "", MAIN!$G30)</f>
        <v>32000000000027</v>
      </c>
      <c r="C30" s="39">
        <f>IF(EXACT(MAIN!$H30, ""), "", MAIN!$B30)</f>
        <v>25000000000027</v>
      </c>
      <c r="D30" s="38" t="str">
        <f>IF(EXACT(MAIN!$H30, ""), "", MAIN!$C30)</f>
        <v>Alphaliyanri Lasria</v>
      </c>
      <c r="E30" s="39" t="str">
        <f>IF(EXACT(MAIN!$B30, ""), "", ""&amp;MAIN!$D30)</f>
        <v/>
      </c>
      <c r="G30" s="2">
        <f t="shared" si="0"/>
        <v>25000000000027</v>
      </c>
    </row>
    <row r="31" spans="2:7" x14ac:dyDescent="0.2">
      <c r="B31" s="35">
        <f>IF(EXACT(MAIN!$H31, ""), "", MAIN!$G31)</f>
        <v>32000000000028</v>
      </c>
      <c r="C31" s="39">
        <f>IF(EXACT(MAIN!$H31, ""), "", MAIN!$B31)</f>
        <v>25000000000028</v>
      </c>
      <c r="D31" s="38" t="str">
        <f>IF(EXACT(MAIN!$H31, ""), "", MAIN!$C31)</f>
        <v>Ambon Rumalean</v>
      </c>
      <c r="E31" s="39" t="str">
        <f>IF(EXACT(MAIN!$B31, ""), "", ""&amp;MAIN!$D31)</f>
        <v/>
      </c>
      <c r="G31" s="2">
        <f t="shared" si="0"/>
        <v>25000000000028</v>
      </c>
    </row>
    <row r="32" spans="2:7" x14ac:dyDescent="0.2">
      <c r="B32" s="35">
        <f>IF(EXACT(MAIN!$H32, ""), "", MAIN!$G32)</f>
        <v>32000000000029</v>
      </c>
      <c r="C32" s="39">
        <f>IF(EXACT(MAIN!$H32, ""), "", MAIN!$B32)</f>
        <v>25000000000029</v>
      </c>
      <c r="D32" s="38" t="str">
        <f>IF(EXACT(MAIN!$H32, ""), "", MAIN!$C32)</f>
        <v>Amir Sofyan Hadi</v>
      </c>
      <c r="E32" s="39" t="str">
        <f>IF(EXACT(MAIN!$B32, ""), "", ""&amp;MAIN!$D32)</f>
        <v/>
      </c>
      <c r="G32" s="2">
        <f t="shared" si="0"/>
        <v>25000000000029</v>
      </c>
    </row>
    <row r="33" spans="2:7" x14ac:dyDescent="0.2">
      <c r="B33" s="35">
        <f>IF(EXACT(MAIN!$H33, ""), "", MAIN!$G33)</f>
        <v>32000000000030</v>
      </c>
      <c r="C33" s="39">
        <f>IF(EXACT(MAIN!$H33, ""), "", MAIN!$B33)</f>
        <v>25000000000030</v>
      </c>
      <c r="D33" s="38" t="str">
        <f>IF(EXACT(MAIN!$H33, ""), "", MAIN!$C33)</f>
        <v>Anak Agung Netti Ariani</v>
      </c>
      <c r="E33" s="39" t="str">
        <f>IF(EXACT(MAIN!$B33, ""), "", ""&amp;MAIN!$D33)</f>
        <v/>
      </c>
      <c r="G33" s="2">
        <f t="shared" si="0"/>
        <v>25000000000030</v>
      </c>
    </row>
    <row r="34" spans="2:7" x14ac:dyDescent="0.2">
      <c r="B34" s="35">
        <f>IF(EXACT(MAIN!$H34, ""), "", MAIN!$G34)</f>
        <v>32000000000031</v>
      </c>
      <c r="C34" s="39">
        <f>IF(EXACT(MAIN!$H34, ""), "", MAIN!$B34)</f>
        <v>25000000000031</v>
      </c>
      <c r="D34" s="38" t="str">
        <f>IF(EXACT(MAIN!$H34, ""), "", MAIN!$C34)</f>
        <v>Andri Gunawan</v>
      </c>
      <c r="E34" s="39" t="str">
        <f>IF(EXACT(MAIN!$B34, ""), "", ""&amp;MAIN!$D34)</f>
        <v/>
      </c>
      <c r="G34" s="2">
        <f t="shared" si="0"/>
        <v>25000000000031</v>
      </c>
    </row>
    <row r="35" spans="2:7" x14ac:dyDescent="0.2">
      <c r="B35" s="35">
        <f>IF(EXACT(MAIN!$H35, ""), "", MAIN!$G35)</f>
        <v>32000000000032</v>
      </c>
      <c r="C35" s="39">
        <f>IF(EXACT(MAIN!$H35, ""), "", MAIN!$B35)</f>
        <v>25000000000032</v>
      </c>
      <c r="D35" s="38" t="str">
        <f>IF(EXACT(MAIN!$H35, ""), "", MAIN!$C35)</f>
        <v>Andri Herdiansyah</v>
      </c>
      <c r="E35" s="39" t="str">
        <f>IF(EXACT(MAIN!$B35, ""), "", ""&amp;MAIN!$D35)</f>
        <v/>
      </c>
      <c r="G35" s="2">
        <f t="shared" si="0"/>
        <v>25000000000032</v>
      </c>
    </row>
    <row r="36" spans="2:7" x14ac:dyDescent="0.2">
      <c r="B36" s="35">
        <f>IF(EXACT(MAIN!$H36, ""), "", MAIN!$G36)</f>
        <v>32000000000033</v>
      </c>
      <c r="C36" s="39">
        <f>IF(EXACT(MAIN!$H36, ""), "", MAIN!$B36)</f>
        <v>25000000000033</v>
      </c>
      <c r="D36" s="38" t="str">
        <f>IF(EXACT(MAIN!$H36, ""), "", MAIN!$C36)</f>
        <v>Andrie</v>
      </c>
      <c r="E36" s="39" t="str">
        <f>IF(EXACT(MAIN!$B36, ""), "", ""&amp;MAIN!$D36)</f>
        <v/>
      </c>
      <c r="G36" s="2">
        <f t="shared" si="0"/>
        <v>25000000000033</v>
      </c>
    </row>
    <row r="37" spans="2:7" x14ac:dyDescent="0.2">
      <c r="B37" s="35">
        <f>IF(EXACT(MAIN!$H37, ""), "", MAIN!$G37)</f>
        <v>32000000000034</v>
      </c>
      <c r="C37" s="39">
        <f>IF(EXACT(MAIN!$H37, ""), "", MAIN!$B37)</f>
        <v>25000000000034</v>
      </c>
      <c r="D37" s="38" t="str">
        <f>IF(EXACT(MAIN!$H37, ""), "", MAIN!$C37)</f>
        <v>Anggina Tri Yudandi</v>
      </c>
      <c r="E37" s="39" t="str">
        <f>IF(EXACT(MAIN!$B37, ""), "", ""&amp;MAIN!$D37)</f>
        <v/>
      </c>
      <c r="G37" s="2">
        <f t="shared" si="0"/>
        <v>25000000000034</v>
      </c>
    </row>
    <row r="38" spans="2:7" x14ac:dyDescent="0.2">
      <c r="B38" s="35">
        <f>IF(EXACT(MAIN!$H38, ""), "", MAIN!$G38)</f>
        <v>32000000000035</v>
      </c>
      <c r="C38" s="39">
        <f>IF(EXACT(MAIN!$H38, ""), "", MAIN!$B38)</f>
        <v>25000000000035</v>
      </c>
      <c r="D38" s="38" t="str">
        <f>IF(EXACT(MAIN!$H38, ""), "", MAIN!$C38)</f>
        <v>Anggit Ismiyanto</v>
      </c>
      <c r="E38" s="39" t="str">
        <f>IF(EXACT(MAIN!$B38, ""), "", ""&amp;MAIN!$D38)</f>
        <v/>
      </c>
      <c r="G38" s="2">
        <f t="shared" si="0"/>
        <v>25000000000035</v>
      </c>
    </row>
    <row r="39" spans="2:7" x14ac:dyDescent="0.2">
      <c r="B39" s="35">
        <f>IF(EXACT(MAIN!$H39, ""), "", MAIN!$G39)</f>
        <v>32000000000036</v>
      </c>
      <c r="C39" s="39">
        <f>IF(EXACT(MAIN!$H39, ""), "", MAIN!$B39)</f>
        <v>25000000000036</v>
      </c>
      <c r="D39" s="38" t="str">
        <f>IF(EXACT(MAIN!$H39, ""), "", MAIN!$C39)</f>
        <v>Anika Setyowati</v>
      </c>
      <c r="E39" s="39" t="str">
        <f>IF(EXACT(MAIN!$B39, ""), "", ""&amp;MAIN!$D39)</f>
        <v/>
      </c>
      <c r="G39" s="2">
        <f t="shared" si="0"/>
        <v>25000000000036</v>
      </c>
    </row>
    <row r="40" spans="2:7" x14ac:dyDescent="0.2">
      <c r="B40" s="35">
        <f>IF(EXACT(MAIN!$H40, ""), "", MAIN!$G40)</f>
        <v>32000000000037</v>
      </c>
      <c r="C40" s="39">
        <f>IF(EXACT(MAIN!$H40, ""), "", MAIN!$B40)</f>
        <v>25000000000037</v>
      </c>
      <c r="D40" s="38" t="str">
        <f>IF(EXACT(MAIN!$H40, ""), "", MAIN!$C40)</f>
        <v>Anisah</v>
      </c>
      <c r="E40" s="39" t="str">
        <f>IF(EXACT(MAIN!$B40, ""), "", ""&amp;MAIN!$D40)</f>
        <v/>
      </c>
      <c r="G40" s="2">
        <f t="shared" si="0"/>
        <v>25000000000037</v>
      </c>
    </row>
    <row r="41" spans="2:7" x14ac:dyDescent="0.2">
      <c r="B41" s="35">
        <f>IF(EXACT(MAIN!$H41, ""), "", MAIN!$G41)</f>
        <v>32000000000038</v>
      </c>
      <c r="C41" s="39">
        <f>IF(EXACT(MAIN!$H41, ""), "", MAIN!$B41)</f>
        <v>25000000000038</v>
      </c>
      <c r="D41" s="38" t="str">
        <f>IF(EXACT(MAIN!$H41, ""), "", MAIN!$C41)</f>
        <v>Anna Savitrie</v>
      </c>
      <c r="E41" s="39" t="str">
        <f>IF(EXACT(MAIN!$B41, ""), "", ""&amp;MAIN!$D41)</f>
        <v/>
      </c>
      <c r="G41" s="2">
        <f t="shared" si="0"/>
        <v>25000000000038</v>
      </c>
    </row>
    <row r="42" spans="2:7" x14ac:dyDescent="0.2">
      <c r="B42" s="35">
        <f>IF(EXACT(MAIN!$H42, ""), "", MAIN!$G42)</f>
        <v>32000000000039</v>
      </c>
      <c r="C42" s="39">
        <f>IF(EXACT(MAIN!$H42, ""), "", MAIN!$B42)</f>
        <v>25000000000039</v>
      </c>
      <c r="D42" s="38" t="str">
        <f>IF(EXACT(MAIN!$H42, ""), "", MAIN!$C42)</f>
        <v>Annisa Dewi Arumsari</v>
      </c>
      <c r="E42" s="39" t="str">
        <f>IF(EXACT(MAIN!$B42, ""), "", ""&amp;MAIN!$D42)</f>
        <v>100419903</v>
      </c>
      <c r="G42" s="2">
        <f t="shared" si="0"/>
        <v>25000000000039</v>
      </c>
    </row>
    <row r="43" spans="2:7" x14ac:dyDescent="0.2">
      <c r="B43" s="35">
        <f>IF(EXACT(MAIN!$H43, ""), "", MAIN!$G43)</f>
        <v>32000000000040</v>
      </c>
      <c r="C43" s="39">
        <f>IF(EXACT(MAIN!$H43, ""), "", MAIN!$B43)</f>
        <v>25000000000040</v>
      </c>
      <c r="D43" s="38" t="str">
        <f>IF(EXACT(MAIN!$H43, ""), "", MAIN!$C43)</f>
        <v>Annyes Sri Maristi</v>
      </c>
      <c r="E43" s="39" t="str">
        <f>IF(EXACT(MAIN!$B43, ""), "", ""&amp;MAIN!$D43)</f>
        <v/>
      </c>
      <c r="G43" s="2">
        <f t="shared" si="0"/>
        <v>25000000000040</v>
      </c>
    </row>
    <row r="44" spans="2:7" x14ac:dyDescent="0.2">
      <c r="B44" s="35">
        <f>IF(EXACT(MAIN!$H44, ""), "", MAIN!$G44)</f>
        <v>32000000000041</v>
      </c>
      <c r="C44" s="39">
        <f>IF(EXACT(MAIN!$H44, ""), "", MAIN!$B44)</f>
        <v>25000000000041</v>
      </c>
      <c r="D44" s="38" t="str">
        <f>IF(EXACT(MAIN!$H44, ""), "", MAIN!$C44)</f>
        <v>Antok</v>
      </c>
      <c r="E44" s="39" t="str">
        <f>IF(EXACT(MAIN!$B44, ""), "", ""&amp;MAIN!$D44)</f>
        <v/>
      </c>
      <c r="G44" s="2">
        <f t="shared" si="0"/>
        <v>25000000000041</v>
      </c>
    </row>
    <row r="45" spans="2:7" x14ac:dyDescent="0.2">
      <c r="B45" s="35">
        <f>IF(EXACT(MAIN!$H45, ""), "", MAIN!$G45)</f>
        <v>32000000000042</v>
      </c>
      <c r="C45" s="39">
        <f>IF(EXACT(MAIN!$H45, ""), "", MAIN!$B45)</f>
        <v>25000000000042</v>
      </c>
      <c r="D45" s="38" t="str">
        <f>IF(EXACT(MAIN!$H45, ""), "", MAIN!$C45)</f>
        <v>Anton Iryanto</v>
      </c>
      <c r="E45" s="39" t="str">
        <f>IF(EXACT(MAIN!$B45, ""), "", ""&amp;MAIN!$D45)</f>
        <v/>
      </c>
      <c r="G45" s="2">
        <f t="shared" si="0"/>
        <v>25000000000042</v>
      </c>
    </row>
    <row r="46" spans="2:7" x14ac:dyDescent="0.2">
      <c r="B46" s="35">
        <f>IF(EXACT(MAIN!$H46, ""), "", MAIN!$G46)</f>
        <v>32000000000043</v>
      </c>
      <c r="C46" s="39">
        <f>IF(EXACT(MAIN!$H46, ""), "", MAIN!$B46)</f>
        <v>25000000000043</v>
      </c>
      <c r="D46" s="38" t="str">
        <f>IF(EXACT(MAIN!$H46, ""), "", MAIN!$C46)</f>
        <v>Antony Pakpahan</v>
      </c>
      <c r="E46" s="39" t="str">
        <f>IF(EXACT(MAIN!$B46, ""), "", ""&amp;MAIN!$D46)</f>
        <v/>
      </c>
      <c r="G46" s="2">
        <f t="shared" si="0"/>
        <v>25000000000043</v>
      </c>
    </row>
    <row r="47" spans="2:7" x14ac:dyDescent="0.2">
      <c r="B47" s="35">
        <f>IF(EXACT(MAIN!$H47, ""), "", MAIN!$G47)</f>
        <v>32000000000044</v>
      </c>
      <c r="C47" s="39">
        <f>IF(EXACT(MAIN!$H47, ""), "", MAIN!$B47)</f>
        <v>25000000000044</v>
      </c>
      <c r="D47" s="38" t="str">
        <f>IF(EXACT(MAIN!$H47, ""), "", MAIN!$C47)</f>
        <v>Anugerah Januariansyah</v>
      </c>
      <c r="E47" s="39" t="str">
        <f>IF(EXACT(MAIN!$B47, ""), "", ""&amp;MAIN!$D47)</f>
        <v>310821007</v>
      </c>
      <c r="G47" s="2">
        <f t="shared" si="0"/>
        <v>25000000000044</v>
      </c>
    </row>
    <row r="48" spans="2:7" x14ac:dyDescent="0.2">
      <c r="B48" s="35">
        <f>IF(EXACT(MAIN!$H48, ""), "", MAIN!$G48)</f>
        <v>32000000000045</v>
      </c>
      <c r="C48" s="39">
        <f>IF(EXACT(MAIN!$H48, ""), "", MAIN!$B48)</f>
        <v>25000000000045</v>
      </c>
      <c r="D48" s="38" t="str">
        <f>IF(EXACT(MAIN!$H48, ""), "", MAIN!$C48)</f>
        <v>Anwar Purnomo</v>
      </c>
      <c r="E48" s="39" t="str">
        <f>IF(EXACT(MAIN!$B48, ""), "", ""&amp;MAIN!$D48)</f>
        <v/>
      </c>
      <c r="G48" s="2">
        <f t="shared" si="0"/>
        <v>25000000000045</v>
      </c>
    </row>
    <row r="49" spans="2:7" x14ac:dyDescent="0.2">
      <c r="B49" s="35">
        <f>IF(EXACT(MAIN!$H49, ""), "", MAIN!$G49)</f>
        <v>32000000000046</v>
      </c>
      <c r="C49" s="39">
        <f>IF(EXACT(MAIN!$H49, ""), "", MAIN!$B49)</f>
        <v>25000000000046</v>
      </c>
      <c r="D49" s="38" t="str">
        <f>IF(EXACT(MAIN!$H49, ""), "", MAIN!$C49)</f>
        <v>Ardhi Swasono</v>
      </c>
      <c r="E49" s="39" t="str">
        <f>IF(EXACT(MAIN!$B49, ""), "", ""&amp;MAIN!$D49)</f>
        <v/>
      </c>
      <c r="G49" s="2">
        <f t="shared" si="0"/>
        <v>25000000000046</v>
      </c>
    </row>
    <row r="50" spans="2:7" x14ac:dyDescent="0.2">
      <c r="B50" s="35">
        <f>IF(EXACT(MAIN!$H50, ""), "", MAIN!$G50)</f>
        <v>32000000000047</v>
      </c>
      <c r="C50" s="39">
        <f>IF(EXACT(MAIN!$H50, ""), "", MAIN!$B50)</f>
        <v>25000000000047</v>
      </c>
      <c r="D50" s="38" t="str">
        <f>IF(EXACT(MAIN!$H50, ""), "", MAIN!$C50)</f>
        <v>Ardi</v>
      </c>
      <c r="E50" s="39" t="str">
        <f>IF(EXACT(MAIN!$B50, ""), "", ""&amp;MAIN!$D50)</f>
        <v/>
      </c>
      <c r="G50" s="2">
        <f t="shared" si="0"/>
        <v>25000000000047</v>
      </c>
    </row>
    <row r="51" spans="2:7" x14ac:dyDescent="0.2">
      <c r="B51" s="35">
        <f>IF(EXACT(MAIN!$H51, ""), "", MAIN!$G51)</f>
        <v>32000000000048</v>
      </c>
      <c r="C51" s="39">
        <f>IF(EXACT(MAIN!$H51, ""), "", MAIN!$B51)</f>
        <v>25000000000048</v>
      </c>
      <c r="D51" s="38" t="str">
        <f>IF(EXACT(MAIN!$H51, ""), "", MAIN!$C51)</f>
        <v>Ardiansyah</v>
      </c>
      <c r="E51" s="39" t="str">
        <f>IF(EXACT(MAIN!$B51, ""), "", ""&amp;MAIN!$D51)</f>
        <v/>
      </c>
      <c r="G51" s="2">
        <f t="shared" si="0"/>
        <v>25000000000048</v>
      </c>
    </row>
    <row r="52" spans="2:7" x14ac:dyDescent="0.2">
      <c r="B52" s="35">
        <f>IF(EXACT(MAIN!$H52, ""), "", MAIN!$G52)</f>
        <v>32000000000049</v>
      </c>
      <c r="C52" s="39">
        <f>IF(EXACT(MAIN!$H52, ""), "", MAIN!$B52)</f>
        <v>25000000000049</v>
      </c>
      <c r="D52" s="38" t="str">
        <f>IF(EXACT(MAIN!$H52, ""), "", MAIN!$C52)</f>
        <v>Ardisam</v>
      </c>
      <c r="E52" s="39" t="str">
        <f>IF(EXACT(MAIN!$B52, ""), "", ""&amp;MAIN!$D52)</f>
        <v/>
      </c>
      <c r="G52" s="2">
        <f t="shared" si="0"/>
        <v>25000000000049</v>
      </c>
    </row>
    <row r="53" spans="2:7" x14ac:dyDescent="0.2">
      <c r="B53" s="35">
        <f>IF(EXACT(MAIN!$H53, ""), "", MAIN!$G53)</f>
        <v>32000000000050</v>
      </c>
      <c r="C53" s="39">
        <f>IF(EXACT(MAIN!$H53, ""), "", MAIN!$B53)</f>
        <v>25000000000050</v>
      </c>
      <c r="D53" s="38" t="str">
        <f>IF(EXACT(MAIN!$H53, ""), "", MAIN!$C53)</f>
        <v>Ardita</v>
      </c>
      <c r="E53" s="39" t="str">
        <f>IF(EXACT(MAIN!$B53, ""), "", ""&amp;MAIN!$D53)</f>
        <v/>
      </c>
      <c r="G53" s="2">
        <f t="shared" si="0"/>
        <v>25000000000050</v>
      </c>
    </row>
    <row r="54" spans="2:7" x14ac:dyDescent="0.2">
      <c r="B54" s="35">
        <f>IF(EXACT(MAIN!$H54, ""), "", MAIN!$G54)</f>
        <v>32000000000051</v>
      </c>
      <c r="C54" s="39">
        <f>IF(EXACT(MAIN!$H54, ""), "", MAIN!$B54)</f>
        <v>25000000000051</v>
      </c>
      <c r="D54" s="38" t="str">
        <f>IF(EXACT(MAIN!$H54, ""), "", MAIN!$C54)</f>
        <v>Ares S. Mauboi</v>
      </c>
      <c r="E54" s="39" t="str">
        <f>IF(EXACT(MAIN!$B54, ""), "", ""&amp;MAIN!$D54)</f>
        <v>160313008</v>
      </c>
      <c r="G54" s="2">
        <f t="shared" si="0"/>
        <v>25000000000051</v>
      </c>
    </row>
    <row r="55" spans="2:7" x14ac:dyDescent="0.2">
      <c r="B55" s="35">
        <f>IF(EXACT(MAIN!$H55, ""), "", MAIN!$G55)</f>
        <v>32000000000052</v>
      </c>
      <c r="C55" s="39">
        <f>IF(EXACT(MAIN!$H55, ""), "", MAIN!$B55)</f>
        <v>25000000000052</v>
      </c>
      <c r="D55" s="38" t="str">
        <f>IF(EXACT(MAIN!$H55, ""), "", MAIN!$C55)</f>
        <v>Arfah Hanum</v>
      </c>
      <c r="E55" s="39" t="str">
        <f>IF(EXACT(MAIN!$B55, ""), "", ""&amp;MAIN!$D55)</f>
        <v/>
      </c>
      <c r="G55" s="2">
        <f t="shared" si="0"/>
        <v>25000000000052</v>
      </c>
    </row>
    <row r="56" spans="2:7" x14ac:dyDescent="0.2">
      <c r="B56" s="35">
        <f>IF(EXACT(MAIN!$H56, ""), "", MAIN!$G56)</f>
        <v>32000000000053</v>
      </c>
      <c r="C56" s="39">
        <f>IF(EXACT(MAIN!$H56, ""), "", MAIN!$B56)</f>
        <v>25000000000053</v>
      </c>
      <c r="D56" s="38" t="str">
        <f>IF(EXACT(MAIN!$H56, ""), "", MAIN!$C56)</f>
        <v>Arfianti Haryani</v>
      </c>
      <c r="E56" s="39" t="str">
        <f>IF(EXACT(MAIN!$B56, ""), "", ""&amp;MAIN!$D56)</f>
        <v/>
      </c>
      <c r="G56" s="2">
        <f t="shared" si="0"/>
        <v>25000000000053</v>
      </c>
    </row>
    <row r="57" spans="2:7" x14ac:dyDescent="0.2">
      <c r="B57" s="35">
        <f>IF(EXACT(MAIN!$H57, ""), "", MAIN!$G57)</f>
        <v>32000000000054</v>
      </c>
      <c r="C57" s="39">
        <f>IF(EXACT(MAIN!$H57, ""), "", MAIN!$B57)</f>
        <v>25000000000054</v>
      </c>
      <c r="D57" s="38" t="str">
        <f>IF(EXACT(MAIN!$H57, ""), "", MAIN!$C57)</f>
        <v>Ari Priwarsono</v>
      </c>
      <c r="E57" s="39" t="str">
        <f>IF(EXACT(MAIN!$B57, ""), "", ""&amp;MAIN!$D57)</f>
        <v/>
      </c>
      <c r="G57" s="2">
        <f t="shared" si="0"/>
        <v>25000000000054</v>
      </c>
    </row>
    <row r="58" spans="2:7" x14ac:dyDescent="0.2">
      <c r="B58" s="35">
        <f>IF(EXACT(MAIN!$H58, ""), "", MAIN!$G58)</f>
        <v>32000000000055</v>
      </c>
      <c r="C58" s="39">
        <f>IF(EXACT(MAIN!$H58, ""), "", MAIN!$B58)</f>
        <v>25000000000055</v>
      </c>
      <c r="D58" s="38" t="str">
        <f>IF(EXACT(MAIN!$H58, ""), "", MAIN!$C58)</f>
        <v>Ari Yuniasmono</v>
      </c>
      <c r="E58" s="39" t="str">
        <f>IF(EXACT(MAIN!$B58, ""), "", ""&amp;MAIN!$D58)</f>
        <v/>
      </c>
      <c r="G58" s="2">
        <f t="shared" si="0"/>
        <v>25000000000055</v>
      </c>
    </row>
    <row r="59" spans="2:7" x14ac:dyDescent="0.2">
      <c r="B59" s="35">
        <f>IF(EXACT(MAIN!$H59, ""), "", MAIN!$G59)</f>
        <v>32000000000056</v>
      </c>
      <c r="C59" s="39">
        <f>IF(EXACT(MAIN!$H59, ""), "", MAIN!$B59)</f>
        <v>25000000000056</v>
      </c>
      <c r="D59" s="38" t="str">
        <f>IF(EXACT(MAIN!$H59, ""), "", MAIN!$C59)</f>
        <v>Arif Gunawan</v>
      </c>
      <c r="E59" s="39" t="str">
        <f>IF(EXACT(MAIN!$B59, ""), "", ""&amp;MAIN!$D59)</f>
        <v/>
      </c>
      <c r="G59" s="2">
        <f t="shared" si="0"/>
        <v>25000000000056</v>
      </c>
    </row>
    <row r="60" spans="2:7" x14ac:dyDescent="0.2">
      <c r="B60" s="35">
        <f>IF(EXACT(MAIN!$H60, ""), "", MAIN!$G60)</f>
        <v>32000000000057</v>
      </c>
      <c r="C60" s="39">
        <f>IF(EXACT(MAIN!$H60, ""), "", MAIN!$B60)</f>
        <v>25000000000057</v>
      </c>
      <c r="D60" s="38" t="str">
        <f>IF(EXACT(MAIN!$H60, ""), "", MAIN!$C60)</f>
        <v>Arif Prasetyo</v>
      </c>
      <c r="E60" s="39" t="str">
        <f>IF(EXACT(MAIN!$B60, ""), "", ""&amp;MAIN!$D60)</f>
        <v/>
      </c>
      <c r="G60" s="2">
        <f t="shared" si="0"/>
        <v>25000000000057</v>
      </c>
    </row>
    <row r="61" spans="2:7" x14ac:dyDescent="0.2">
      <c r="B61" s="35">
        <f>IF(EXACT(MAIN!$H61, ""), "", MAIN!$G61)</f>
        <v>32000000000058</v>
      </c>
      <c r="C61" s="39">
        <f>IF(EXACT(MAIN!$H61, ""), "", MAIN!$B61)</f>
        <v>25000000000058</v>
      </c>
      <c r="D61" s="38" t="str">
        <f>IF(EXACT(MAIN!$H61, ""), "", MAIN!$C61)</f>
        <v>Arini</v>
      </c>
      <c r="E61" s="39" t="str">
        <f>IF(EXACT(MAIN!$B61, ""), "", ""&amp;MAIN!$D61)</f>
        <v/>
      </c>
      <c r="G61" s="2">
        <f t="shared" si="0"/>
        <v>25000000000058</v>
      </c>
    </row>
    <row r="62" spans="2:7" x14ac:dyDescent="0.2">
      <c r="B62" s="35">
        <f>IF(EXACT(MAIN!$H62, ""), "", MAIN!$G62)</f>
        <v>32000000000059</v>
      </c>
      <c r="C62" s="39">
        <f>IF(EXACT(MAIN!$H62, ""), "", MAIN!$B62)</f>
        <v>25000000000059</v>
      </c>
      <c r="D62" s="38" t="str">
        <f>IF(EXACT(MAIN!$H62, ""), "", MAIN!$C62)</f>
        <v>Ario Setyo Gunawan</v>
      </c>
      <c r="E62" s="39" t="str">
        <f>IF(EXACT(MAIN!$B62, ""), "", ""&amp;MAIN!$D62)</f>
        <v/>
      </c>
      <c r="G62" s="2">
        <f t="shared" si="0"/>
        <v>25000000000059</v>
      </c>
    </row>
    <row r="63" spans="2:7" x14ac:dyDescent="0.2">
      <c r="B63" s="35">
        <f>IF(EXACT(MAIN!$H63, ""), "", MAIN!$G63)</f>
        <v>32000000000060</v>
      </c>
      <c r="C63" s="39">
        <f>IF(EXACT(MAIN!$H63, ""), "", MAIN!$B63)</f>
        <v>25000000000060</v>
      </c>
      <c r="D63" s="38" t="str">
        <f>IF(EXACT(MAIN!$H63, ""), "", MAIN!$C63)</f>
        <v>Ario Yulianto Wibowo</v>
      </c>
      <c r="E63" s="39" t="str">
        <f>IF(EXACT(MAIN!$B63, ""), "", ""&amp;MAIN!$D63)</f>
        <v/>
      </c>
      <c r="G63" s="2">
        <f t="shared" si="0"/>
        <v>25000000000060</v>
      </c>
    </row>
    <row r="64" spans="2:7" x14ac:dyDescent="0.2">
      <c r="B64" s="35">
        <f>IF(EXACT(MAIN!$H64, ""), "", MAIN!$G64)</f>
        <v>32000000000061</v>
      </c>
      <c r="C64" s="39">
        <f>IF(EXACT(MAIN!$H64, ""), "", MAIN!$B64)</f>
        <v>25000000000061</v>
      </c>
      <c r="D64" s="38" t="str">
        <f>IF(EXACT(MAIN!$H64, ""), "", MAIN!$C64)</f>
        <v>Aris Widodo Pamungkas</v>
      </c>
      <c r="E64" s="39" t="str">
        <f>IF(EXACT(MAIN!$B64, ""), "", ""&amp;MAIN!$D64)</f>
        <v/>
      </c>
      <c r="G64" s="2">
        <f t="shared" si="0"/>
        <v>25000000000061</v>
      </c>
    </row>
    <row r="65" spans="2:7" x14ac:dyDescent="0.2">
      <c r="B65" s="35">
        <f>IF(EXACT(MAIN!$H65, ""), "", MAIN!$G65)</f>
        <v>32000000000062</v>
      </c>
      <c r="C65" s="39">
        <f>IF(EXACT(MAIN!$H65, ""), "", MAIN!$B65)</f>
        <v>25000000000062</v>
      </c>
      <c r="D65" s="38" t="str">
        <f>IF(EXACT(MAIN!$H65, ""), "", MAIN!$C65)</f>
        <v>Arjiyanto</v>
      </c>
      <c r="E65" s="39" t="str">
        <f>IF(EXACT(MAIN!$B65, ""), "", ""&amp;MAIN!$D65)</f>
        <v/>
      </c>
      <c r="G65" s="2">
        <f t="shared" si="0"/>
        <v>25000000000062</v>
      </c>
    </row>
    <row r="66" spans="2:7" x14ac:dyDescent="0.2">
      <c r="B66" s="35">
        <f>IF(EXACT(MAIN!$H66, ""), "", MAIN!$G66)</f>
        <v>32000000000063</v>
      </c>
      <c r="C66" s="39">
        <f>IF(EXACT(MAIN!$H66, ""), "", MAIN!$B66)</f>
        <v>25000000000063</v>
      </c>
      <c r="D66" s="38" t="str">
        <f>IF(EXACT(MAIN!$H66, ""), "", MAIN!$C66)</f>
        <v>Arman</v>
      </c>
      <c r="E66" s="39" t="str">
        <f>IF(EXACT(MAIN!$B66, ""), "", ""&amp;MAIN!$D66)</f>
        <v/>
      </c>
      <c r="G66" s="2">
        <f t="shared" si="0"/>
        <v>25000000000063</v>
      </c>
    </row>
    <row r="67" spans="2:7" x14ac:dyDescent="0.2">
      <c r="B67" s="35">
        <f>IF(EXACT(MAIN!$H67, ""), "", MAIN!$G67)</f>
        <v>32000000000064</v>
      </c>
      <c r="C67" s="39">
        <f>IF(EXACT(MAIN!$H67, ""), "", MAIN!$B67)</f>
        <v>25000000000064</v>
      </c>
      <c r="D67" s="38" t="str">
        <f>IF(EXACT(MAIN!$H67, ""), "", MAIN!$C67)</f>
        <v>Aryoko Sudiro</v>
      </c>
      <c r="E67" s="39" t="str">
        <f>IF(EXACT(MAIN!$B67, ""), "", ""&amp;MAIN!$D67)</f>
        <v/>
      </c>
      <c r="G67" s="2">
        <f t="shared" si="0"/>
        <v>25000000000064</v>
      </c>
    </row>
    <row r="68" spans="2:7" x14ac:dyDescent="0.2">
      <c r="B68" s="35">
        <f>IF(EXACT(MAIN!$H68, ""), "", MAIN!$G68)</f>
        <v>32000000000065</v>
      </c>
      <c r="C68" s="39">
        <f>IF(EXACT(MAIN!$H68, ""), "", MAIN!$B68)</f>
        <v>25000000000065</v>
      </c>
      <c r="D68" s="38" t="str">
        <f>IF(EXACT(MAIN!$H68, ""), "", MAIN!$C68)</f>
        <v>Astamyugo</v>
      </c>
      <c r="E68" s="39" t="str">
        <f>IF(EXACT(MAIN!$B68, ""), "", ""&amp;MAIN!$D68)</f>
        <v/>
      </c>
      <c r="G68" s="2">
        <f t="shared" si="0"/>
        <v>25000000000065</v>
      </c>
    </row>
    <row r="69" spans="2:7" x14ac:dyDescent="0.2">
      <c r="B69" s="35">
        <f>IF(EXACT(MAIN!$H69, ""), "", MAIN!$G69)</f>
        <v>32000000000066</v>
      </c>
      <c r="C69" s="39">
        <f>IF(EXACT(MAIN!$H69, ""), "", MAIN!$B69)</f>
        <v>25000000000066</v>
      </c>
      <c r="D69" s="38" t="str">
        <f>IF(EXACT(MAIN!$H69, ""), "", MAIN!$C69)</f>
        <v>Atmo Sastro Dinoto</v>
      </c>
      <c r="E69" s="39" t="str">
        <f>IF(EXACT(MAIN!$B69, ""), "", ""&amp;MAIN!$D69)</f>
        <v/>
      </c>
      <c r="G69" s="2">
        <f t="shared" ref="G69:G132" si="1">C69</f>
        <v>25000000000066</v>
      </c>
    </row>
    <row r="70" spans="2:7" x14ac:dyDescent="0.2">
      <c r="B70" s="35">
        <f>IF(EXACT(MAIN!$H70, ""), "", MAIN!$G70)</f>
        <v>32000000000067</v>
      </c>
      <c r="C70" s="39">
        <f>IF(EXACT(MAIN!$H70, ""), "", MAIN!$B70)</f>
        <v>25000000000067</v>
      </c>
      <c r="D70" s="38" t="str">
        <f>IF(EXACT(MAIN!$H70, ""), "", MAIN!$C70)</f>
        <v>Awaludin</v>
      </c>
      <c r="E70" s="39" t="str">
        <f>IF(EXACT(MAIN!$B70, ""), "", ""&amp;MAIN!$D70)</f>
        <v/>
      </c>
      <c r="G70" s="2">
        <f t="shared" si="1"/>
        <v>25000000000067</v>
      </c>
    </row>
    <row r="71" spans="2:7" x14ac:dyDescent="0.2">
      <c r="B71" s="35">
        <f>IF(EXACT(MAIN!$H71, ""), "", MAIN!$G71)</f>
        <v>32000000000068</v>
      </c>
      <c r="C71" s="39">
        <f>IF(EXACT(MAIN!$H71, ""), "", MAIN!$B71)</f>
        <v>25000000000068</v>
      </c>
      <c r="D71" s="38" t="str">
        <f>IF(EXACT(MAIN!$H71, ""), "", MAIN!$C71)</f>
        <v>Bachtiar</v>
      </c>
      <c r="E71" s="39" t="str">
        <f>IF(EXACT(MAIN!$B71, ""), "", ""&amp;MAIN!$D71)</f>
        <v/>
      </c>
      <c r="G71" s="2">
        <f t="shared" si="1"/>
        <v>25000000000068</v>
      </c>
    </row>
    <row r="72" spans="2:7" x14ac:dyDescent="0.2">
      <c r="B72" s="35">
        <f>IF(EXACT(MAIN!$H72, ""), "", MAIN!$G72)</f>
        <v>32000000000069</v>
      </c>
      <c r="C72" s="39">
        <f>IF(EXACT(MAIN!$H72, ""), "", MAIN!$B72)</f>
        <v>25000000000069</v>
      </c>
      <c r="D72" s="38" t="str">
        <f>IF(EXACT(MAIN!$H72, ""), "", MAIN!$C72)</f>
        <v>Bambang Irawan</v>
      </c>
      <c r="E72" s="39" t="str">
        <f>IF(EXACT(MAIN!$B72, ""), "", ""&amp;MAIN!$D72)</f>
        <v/>
      </c>
      <c r="G72" s="2">
        <f t="shared" si="1"/>
        <v>25000000000069</v>
      </c>
    </row>
    <row r="73" spans="2:7" x14ac:dyDescent="0.2">
      <c r="B73" s="35">
        <f>IF(EXACT(MAIN!$H73, ""), "", MAIN!$G73)</f>
        <v>32000000000070</v>
      </c>
      <c r="C73" s="39">
        <f>IF(EXACT(MAIN!$H73, ""), "", MAIN!$B73)</f>
        <v>25000000000070</v>
      </c>
      <c r="D73" s="38" t="str">
        <f>IF(EXACT(MAIN!$H73, ""), "", MAIN!$C73)</f>
        <v>Bambang Prihatin</v>
      </c>
      <c r="E73" s="39" t="str">
        <f>IF(EXACT(MAIN!$B73, ""), "", ""&amp;MAIN!$D73)</f>
        <v/>
      </c>
      <c r="G73" s="2">
        <f t="shared" si="1"/>
        <v>25000000000070</v>
      </c>
    </row>
    <row r="74" spans="2:7" x14ac:dyDescent="0.2">
      <c r="B74" s="35">
        <f>IF(EXACT(MAIN!$H74, ""), "", MAIN!$G74)</f>
        <v>32000000000071</v>
      </c>
      <c r="C74" s="39">
        <f>IF(EXACT(MAIN!$H74, ""), "", MAIN!$B74)</f>
        <v>25000000000071</v>
      </c>
      <c r="D74" s="38" t="str">
        <f>IF(EXACT(MAIN!$H74, ""), "", MAIN!$C74)</f>
        <v>Bani Mustazeni</v>
      </c>
      <c r="E74" s="39" t="str">
        <f>IF(EXACT(MAIN!$B74, ""), "", ""&amp;MAIN!$D74)</f>
        <v/>
      </c>
      <c r="G74" s="2">
        <f t="shared" si="1"/>
        <v>25000000000071</v>
      </c>
    </row>
    <row r="75" spans="2:7" x14ac:dyDescent="0.2">
      <c r="B75" s="35">
        <f>IF(EXACT(MAIN!$H75, ""), "", MAIN!$G75)</f>
        <v>32000000000072</v>
      </c>
      <c r="C75" s="39">
        <f>IF(EXACT(MAIN!$H75, ""), "", MAIN!$B75)</f>
        <v>25000000000072</v>
      </c>
      <c r="D75" s="38" t="str">
        <f>IF(EXACT(MAIN!$H75, ""), "", MAIN!$C75)</f>
        <v>Bardai</v>
      </c>
      <c r="E75" s="39" t="str">
        <f>IF(EXACT(MAIN!$B75, ""), "", ""&amp;MAIN!$D75)</f>
        <v/>
      </c>
      <c r="G75" s="2">
        <f t="shared" si="1"/>
        <v>25000000000072</v>
      </c>
    </row>
    <row r="76" spans="2:7" x14ac:dyDescent="0.2">
      <c r="B76" s="35">
        <f>IF(EXACT(MAIN!$H76, ""), "", MAIN!$G76)</f>
        <v>32000000000073</v>
      </c>
      <c r="C76" s="39">
        <f>IF(EXACT(MAIN!$H76, ""), "", MAIN!$B76)</f>
        <v>25000000000073</v>
      </c>
      <c r="D76" s="38" t="str">
        <f>IF(EXACT(MAIN!$H76, ""), "", MAIN!$C76)</f>
        <v>Barika</v>
      </c>
      <c r="E76" s="39" t="str">
        <f>IF(EXACT(MAIN!$B76, ""), "", ""&amp;MAIN!$D76)</f>
        <v/>
      </c>
      <c r="G76" s="2">
        <f t="shared" si="1"/>
        <v>25000000000073</v>
      </c>
    </row>
    <row r="77" spans="2:7" x14ac:dyDescent="0.2">
      <c r="B77" s="35">
        <f>IF(EXACT(MAIN!$H77, ""), "", MAIN!$G77)</f>
        <v>32000000000074</v>
      </c>
      <c r="C77" s="39">
        <f>IF(EXACT(MAIN!$H77, ""), "", MAIN!$B77)</f>
        <v>25000000000074</v>
      </c>
      <c r="D77" s="38" t="str">
        <f>IF(EXACT(MAIN!$H77, ""), "", MAIN!$C77)</f>
        <v>Bela Retmalantika</v>
      </c>
      <c r="E77" s="39" t="str">
        <f>IF(EXACT(MAIN!$B77, ""), "", ""&amp;MAIN!$D77)</f>
        <v/>
      </c>
      <c r="G77" s="2">
        <f t="shared" si="1"/>
        <v>25000000000074</v>
      </c>
    </row>
    <row r="78" spans="2:7" x14ac:dyDescent="0.2">
      <c r="B78" s="35">
        <f>IF(EXACT(MAIN!$H78, ""), "", MAIN!$G78)</f>
        <v>32000000000075</v>
      </c>
      <c r="C78" s="39">
        <f>IF(EXACT(MAIN!$H78, ""), "", MAIN!$B78)</f>
        <v>25000000000075</v>
      </c>
      <c r="D78" s="38" t="str">
        <f>IF(EXACT(MAIN!$H78, ""), "", MAIN!$C78)</f>
        <v>Belina Lindarwani</v>
      </c>
      <c r="E78" s="39" t="str">
        <f>IF(EXACT(MAIN!$B78, ""), "", ""&amp;MAIN!$D78)</f>
        <v>100920934</v>
      </c>
      <c r="G78" s="2">
        <f t="shared" si="1"/>
        <v>25000000000075</v>
      </c>
    </row>
    <row r="79" spans="2:7" x14ac:dyDescent="0.2">
      <c r="B79" s="35">
        <f>IF(EXACT(MAIN!$H79, ""), "", MAIN!$G79)</f>
        <v>32000000000076</v>
      </c>
      <c r="C79" s="39">
        <f>IF(EXACT(MAIN!$H79, ""), "", MAIN!$B79)</f>
        <v>25000000000076</v>
      </c>
      <c r="D79" s="38" t="str">
        <f>IF(EXACT(MAIN!$H79, ""), "", MAIN!$C79)</f>
        <v>Benita Sofia</v>
      </c>
      <c r="E79" s="39" t="str">
        <f>IF(EXACT(MAIN!$B79, ""), "", ""&amp;MAIN!$D79)</f>
        <v/>
      </c>
      <c r="G79" s="2">
        <f t="shared" si="1"/>
        <v>25000000000076</v>
      </c>
    </row>
    <row r="80" spans="2:7" x14ac:dyDescent="0.2">
      <c r="B80" s="35">
        <f>IF(EXACT(MAIN!$H80, ""), "", MAIN!$G80)</f>
        <v>32000000000077</v>
      </c>
      <c r="C80" s="39">
        <f>IF(EXACT(MAIN!$H80, ""), "", MAIN!$B80)</f>
        <v>25000000000077</v>
      </c>
      <c r="D80" s="38" t="str">
        <f>IF(EXACT(MAIN!$H80, ""), "", MAIN!$C80)</f>
        <v>Bherly Novrandy</v>
      </c>
      <c r="E80" s="39" t="str">
        <f>IF(EXACT(MAIN!$B80, ""), "", ""&amp;MAIN!$D80)</f>
        <v/>
      </c>
      <c r="G80" s="2">
        <f t="shared" si="1"/>
        <v>25000000000077</v>
      </c>
    </row>
    <row r="81" spans="2:7" x14ac:dyDescent="0.2">
      <c r="B81" s="35">
        <f>IF(EXACT(MAIN!$H81, ""), "", MAIN!$G81)</f>
        <v>32000000000078</v>
      </c>
      <c r="C81" s="39">
        <f>IF(EXACT(MAIN!$H81, ""), "", MAIN!$B81)</f>
        <v>25000000000078</v>
      </c>
      <c r="D81" s="38" t="str">
        <f>IF(EXACT(MAIN!$H81, ""), "", MAIN!$C81)</f>
        <v>Binsar</v>
      </c>
      <c r="E81" s="39" t="str">
        <f>IF(EXACT(MAIN!$B81, ""), "", ""&amp;MAIN!$D81)</f>
        <v/>
      </c>
      <c r="G81" s="2">
        <f t="shared" si="1"/>
        <v>25000000000078</v>
      </c>
    </row>
    <row r="82" spans="2:7" x14ac:dyDescent="0.2">
      <c r="B82" s="35">
        <f>IF(EXACT(MAIN!$H82, ""), "", MAIN!$G82)</f>
        <v>32000000000079</v>
      </c>
      <c r="C82" s="39">
        <f>IF(EXACT(MAIN!$H82, ""), "", MAIN!$B82)</f>
        <v>25000000000079</v>
      </c>
      <c r="D82" s="38" t="str">
        <f>IF(EXACT(MAIN!$H82, ""), "", MAIN!$C82)</f>
        <v>Bondhan Sosiarta</v>
      </c>
      <c r="E82" s="39" t="str">
        <f>IF(EXACT(MAIN!$B82, ""), "", ""&amp;MAIN!$D82)</f>
        <v/>
      </c>
      <c r="G82" s="2">
        <f t="shared" si="1"/>
        <v>25000000000079</v>
      </c>
    </row>
    <row r="83" spans="2:7" x14ac:dyDescent="0.2">
      <c r="B83" s="35">
        <f>IF(EXACT(MAIN!$H83, ""), "", MAIN!$G83)</f>
        <v>32000000000080</v>
      </c>
      <c r="C83" s="39">
        <f>IF(EXACT(MAIN!$H83, ""), "", MAIN!$B83)</f>
        <v>25000000000080</v>
      </c>
      <c r="D83" s="38" t="str">
        <f>IF(EXACT(MAIN!$H83, ""), "", MAIN!$C83)</f>
        <v>Budi Pranata Sinaga</v>
      </c>
      <c r="E83" s="39" t="str">
        <f>IF(EXACT(MAIN!$B83, ""), "", ""&amp;MAIN!$D83)</f>
        <v/>
      </c>
      <c r="G83" s="2">
        <f t="shared" si="1"/>
        <v>25000000000080</v>
      </c>
    </row>
    <row r="84" spans="2:7" x14ac:dyDescent="0.2">
      <c r="B84" s="35">
        <f>IF(EXACT(MAIN!$H84, ""), "", MAIN!$G84)</f>
        <v>32000000000081</v>
      </c>
      <c r="C84" s="39">
        <f>IF(EXACT(MAIN!$H84, ""), "", MAIN!$B84)</f>
        <v>25000000000081</v>
      </c>
      <c r="D84" s="38" t="str">
        <f>IF(EXACT(MAIN!$H84, ""), "", MAIN!$C84)</f>
        <v>Budi Satrio</v>
      </c>
      <c r="E84" s="39" t="str">
        <f>IF(EXACT(MAIN!$B84, ""), "", ""&amp;MAIN!$D84)</f>
        <v/>
      </c>
      <c r="G84" s="2">
        <f t="shared" si="1"/>
        <v>25000000000081</v>
      </c>
    </row>
    <row r="85" spans="2:7" x14ac:dyDescent="0.2">
      <c r="B85" s="35">
        <f>IF(EXACT(MAIN!$H85, ""), "", MAIN!$G85)</f>
        <v>32000000000082</v>
      </c>
      <c r="C85" s="39">
        <f>IF(EXACT(MAIN!$H85, ""), "", MAIN!$B85)</f>
        <v>25000000000082</v>
      </c>
      <c r="D85" s="38" t="str">
        <f>IF(EXACT(MAIN!$H85, ""), "", MAIN!$C85)</f>
        <v>Budianto</v>
      </c>
      <c r="E85" s="39" t="str">
        <f>IF(EXACT(MAIN!$B85, ""), "", ""&amp;MAIN!$D85)</f>
        <v>060515769</v>
      </c>
      <c r="G85" s="2">
        <f t="shared" si="1"/>
        <v>25000000000082</v>
      </c>
    </row>
    <row r="86" spans="2:7" x14ac:dyDescent="0.2">
      <c r="B86" s="35">
        <f>IF(EXACT(MAIN!$H86, ""), "", MAIN!$G86)</f>
        <v>32000000000083</v>
      </c>
      <c r="C86" s="39">
        <f>IF(EXACT(MAIN!$H86, ""), "", MAIN!$B86)</f>
        <v>25000000000083</v>
      </c>
      <c r="D86" s="38" t="str">
        <f>IF(EXACT(MAIN!$H86, ""), "", MAIN!$C86)</f>
        <v>Budiman</v>
      </c>
      <c r="E86" s="39" t="str">
        <f>IF(EXACT(MAIN!$B86, ""), "", ""&amp;MAIN!$D86)</f>
        <v/>
      </c>
      <c r="G86" s="2">
        <f t="shared" si="1"/>
        <v>25000000000083</v>
      </c>
    </row>
    <row r="87" spans="2:7" x14ac:dyDescent="0.2">
      <c r="B87" s="35">
        <f>IF(EXACT(MAIN!$H87, ""), "", MAIN!$G87)</f>
        <v>32000000000084</v>
      </c>
      <c r="C87" s="39">
        <f>IF(EXACT(MAIN!$H87, ""), "", MAIN!$B87)</f>
        <v>25000000000084</v>
      </c>
      <c r="D87" s="38" t="str">
        <f>IF(EXACT(MAIN!$H87, ""), "", MAIN!$C87)</f>
        <v>Cahyaning Annisa</v>
      </c>
      <c r="E87" s="39" t="str">
        <f>IF(EXACT(MAIN!$B87, ""), "", ""&amp;MAIN!$D87)</f>
        <v/>
      </c>
      <c r="G87" s="2">
        <f t="shared" si="1"/>
        <v>25000000000084</v>
      </c>
    </row>
    <row r="88" spans="2:7" x14ac:dyDescent="0.2">
      <c r="B88" s="35">
        <f>IF(EXACT(MAIN!$H88, ""), "", MAIN!$G88)</f>
        <v>32000000000085</v>
      </c>
      <c r="C88" s="39">
        <f>IF(EXACT(MAIN!$H88, ""), "", MAIN!$B88)</f>
        <v>25000000000085</v>
      </c>
      <c r="D88" s="38" t="str">
        <f>IF(EXACT(MAIN!$H88, ""), "", MAIN!$C88)</f>
        <v>Cahyaningrum Widiastuti</v>
      </c>
      <c r="E88" s="39" t="str">
        <f>IF(EXACT(MAIN!$B88, ""), "", ""&amp;MAIN!$D88)</f>
        <v/>
      </c>
      <c r="G88" s="2">
        <f t="shared" si="1"/>
        <v>25000000000085</v>
      </c>
    </row>
    <row r="89" spans="2:7" x14ac:dyDescent="0.2">
      <c r="B89" s="35">
        <f>IF(EXACT(MAIN!$H89, ""), "", MAIN!$G89)</f>
        <v>32000000000086</v>
      </c>
      <c r="C89" s="39">
        <f>IF(EXACT(MAIN!$H89, ""), "", MAIN!$B89)</f>
        <v>25000000000086</v>
      </c>
      <c r="D89" s="38" t="str">
        <f>IF(EXACT(MAIN!$H89, ""), "", MAIN!$C89)</f>
        <v>Cecep Maulana</v>
      </c>
      <c r="E89" s="39" t="str">
        <f>IF(EXACT(MAIN!$B89, ""), "", ""&amp;MAIN!$D89)</f>
        <v/>
      </c>
      <c r="G89" s="2">
        <f t="shared" si="1"/>
        <v>25000000000086</v>
      </c>
    </row>
    <row r="90" spans="2:7" x14ac:dyDescent="0.2">
      <c r="B90" s="35">
        <f>IF(EXACT(MAIN!$H90, ""), "", MAIN!$G90)</f>
        <v>32000000000087</v>
      </c>
      <c r="C90" s="39">
        <f>IF(EXACT(MAIN!$H90, ""), "", MAIN!$B90)</f>
        <v>25000000000087</v>
      </c>
      <c r="D90" s="38" t="str">
        <f>IF(EXACT(MAIN!$H90, ""), "", MAIN!$C90)</f>
        <v>Chairul Musaddat</v>
      </c>
      <c r="E90" s="39" t="str">
        <f>IF(EXACT(MAIN!$B90, ""), "", ""&amp;MAIN!$D90)</f>
        <v/>
      </c>
      <c r="G90" s="2">
        <f t="shared" si="1"/>
        <v>25000000000087</v>
      </c>
    </row>
    <row r="91" spans="2:7" x14ac:dyDescent="0.2">
      <c r="B91" s="35">
        <f>IF(EXACT(MAIN!$H91, ""), "", MAIN!$G91)</f>
        <v>32000000000088</v>
      </c>
      <c r="C91" s="39">
        <f>IF(EXACT(MAIN!$H91, ""), "", MAIN!$B91)</f>
        <v>25000000000088</v>
      </c>
      <c r="D91" s="38" t="str">
        <f>IF(EXACT(MAIN!$H91, ""), "", MAIN!$C91)</f>
        <v>Christianto</v>
      </c>
      <c r="E91" s="39" t="str">
        <f>IF(EXACT(MAIN!$B91, ""), "", ""&amp;MAIN!$D91)</f>
        <v/>
      </c>
      <c r="G91" s="2">
        <f t="shared" si="1"/>
        <v>25000000000088</v>
      </c>
    </row>
    <row r="92" spans="2:7" x14ac:dyDescent="0.2">
      <c r="B92" s="35">
        <f>IF(EXACT(MAIN!$H92, ""), "", MAIN!$G92)</f>
        <v>32000000000089</v>
      </c>
      <c r="C92" s="39">
        <f>IF(EXACT(MAIN!$H92, ""), "", MAIN!$B92)</f>
        <v>25000000000089</v>
      </c>
      <c r="D92" s="38" t="str">
        <f>IF(EXACT(MAIN!$H92, ""), "", MAIN!$C92)</f>
        <v>Dadan Hermawan</v>
      </c>
      <c r="E92" s="39" t="str">
        <f>IF(EXACT(MAIN!$B92, ""), "", ""&amp;MAIN!$D92)</f>
        <v/>
      </c>
      <c r="G92" s="2">
        <f t="shared" si="1"/>
        <v>25000000000089</v>
      </c>
    </row>
    <row r="93" spans="2:7" x14ac:dyDescent="0.2">
      <c r="B93" s="35">
        <f>IF(EXACT(MAIN!$H93, ""), "", MAIN!$G93)</f>
        <v>32000000000090</v>
      </c>
      <c r="C93" s="39">
        <f>IF(EXACT(MAIN!$H93, ""), "", MAIN!$B93)</f>
        <v>25000000000090</v>
      </c>
      <c r="D93" s="38" t="str">
        <f>IF(EXACT(MAIN!$H93, ""), "", MAIN!$C93)</f>
        <v>Dadan Suhendar</v>
      </c>
      <c r="E93" s="39" t="str">
        <f>IF(EXACT(MAIN!$B93, ""), "", ""&amp;MAIN!$D93)</f>
        <v/>
      </c>
      <c r="G93" s="2">
        <f t="shared" si="1"/>
        <v>25000000000090</v>
      </c>
    </row>
    <row r="94" spans="2:7" x14ac:dyDescent="0.2">
      <c r="B94" s="35">
        <f>IF(EXACT(MAIN!$H94, ""), "", MAIN!$G94)</f>
        <v>32000000000091</v>
      </c>
      <c r="C94" s="39">
        <f>IF(EXACT(MAIN!$H94, ""), "", MAIN!$B94)</f>
        <v>25000000000091</v>
      </c>
      <c r="D94" s="38" t="str">
        <f>IF(EXACT(MAIN!$H94, ""), "", MAIN!$C94)</f>
        <v>Dadi Anda Zuchradi</v>
      </c>
      <c r="E94" s="39" t="str">
        <f>IF(EXACT(MAIN!$B94, ""), "", ""&amp;MAIN!$D94)</f>
        <v/>
      </c>
      <c r="G94" s="2">
        <f t="shared" si="1"/>
        <v>25000000000091</v>
      </c>
    </row>
    <row r="95" spans="2:7" x14ac:dyDescent="0.2">
      <c r="B95" s="35">
        <f>IF(EXACT(MAIN!$H95, ""), "", MAIN!$G95)</f>
        <v>32000000000092</v>
      </c>
      <c r="C95" s="39">
        <f>IF(EXACT(MAIN!$H95, ""), "", MAIN!$B95)</f>
        <v>25000000000092</v>
      </c>
      <c r="D95" s="38" t="str">
        <f>IF(EXACT(MAIN!$H95, ""), "", MAIN!$C95)</f>
        <v>Darsito</v>
      </c>
      <c r="E95" s="39" t="str">
        <f>IF(EXACT(MAIN!$B95, ""), "", ""&amp;MAIN!$D95)</f>
        <v>031212631</v>
      </c>
      <c r="G95" s="2">
        <f t="shared" si="1"/>
        <v>25000000000092</v>
      </c>
    </row>
    <row r="96" spans="2:7" x14ac:dyDescent="0.2">
      <c r="B96" s="35">
        <f>IF(EXACT(MAIN!$H96, ""), "", MAIN!$G96)</f>
        <v>32000000000093</v>
      </c>
      <c r="C96" s="39">
        <f>IF(EXACT(MAIN!$H96, ""), "", MAIN!$B96)</f>
        <v>25000000000093</v>
      </c>
      <c r="D96" s="38" t="str">
        <f>IF(EXACT(MAIN!$H96, ""), "", MAIN!$C96)</f>
        <v>Davit Lumban Gaol</v>
      </c>
      <c r="E96" s="39" t="str">
        <f>IF(EXACT(MAIN!$B96, ""), "", ""&amp;MAIN!$D96)</f>
        <v>170417832</v>
      </c>
      <c r="G96" s="2">
        <f t="shared" si="1"/>
        <v>25000000000093</v>
      </c>
    </row>
    <row r="97" spans="2:7" x14ac:dyDescent="0.2">
      <c r="B97" s="35">
        <f>IF(EXACT(MAIN!$H97, ""), "", MAIN!$G97)</f>
        <v>32000000000094</v>
      </c>
      <c r="C97" s="39">
        <f>IF(EXACT(MAIN!$H97, ""), "", MAIN!$B97)</f>
        <v>25000000000094</v>
      </c>
      <c r="D97" s="38" t="str">
        <f>IF(EXACT(MAIN!$H97, ""), "", MAIN!$C97)</f>
        <v>Deddy Rochman</v>
      </c>
      <c r="E97" s="39" t="str">
        <f>IF(EXACT(MAIN!$B97, ""), "", ""&amp;MAIN!$D97)</f>
        <v>171215791</v>
      </c>
      <c r="G97" s="2">
        <f t="shared" si="1"/>
        <v>25000000000094</v>
      </c>
    </row>
    <row r="98" spans="2:7" x14ac:dyDescent="0.2">
      <c r="B98" s="35">
        <f>IF(EXACT(MAIN!$H98, ""), "", MAIN!$G98)</f>
        <v>32000000000095</v>
      </c>
      <c r="C98" s="39">
        <f>IF(EXACT(MAIN!$H98, ""), "", MAIN!$B98)</f>
        <v>25000000000095</v>
      </c>
      <c r="D98" s="38" t="str">
        <f>IF(EXACT(MAIN!$H98, ""), "", MAIN!$C98)</f>
        <v>Dedi Kusnadi</v>
      </c>
      <c r="E98" s="39" t="str">
        <f>IF(EXACT(MAIN!$B98, ""), "", ""&amp;MAIN!$D98)</f>
        <v/>
      </c>
      <c r="G98" s="2">
        <f t="shared" si="1"/>
        <v>25000000000095</v>
      </c>
    </row>
    <row r="99" spans="2:7" x14ac:dyDescent="0.2">
      <c r="B99" s="35">
        <f>IF(EXACT(MAIN!$H99, ""), "", MAIN!$G99)</f>
        <v>32000000000096</v>
      </c>
      <c r="C99" s="39">
        <f>IF(EXACT(MAIN!$H99, ""), "", MAIN!$B99)</f>
        <v>25000000000096</v>
      </c>
      <c r="D99" s="38" t="str">
        <f>IF(EXACT(MAIN!$H99, ""), "", MAIN!$C99)</f>
        <v>Dedi Marciano Rizanur</v>
      </c>
      <c r="E99" s="39" t="str">
        <f>IF(EXACT(MAIN!$B99, ""), "", ""&amp;MAIN!$D99)</f>
        <v/>
      </c>
      <c r="G99" s="2">
        <f t="shared" si="1"/>
        <v>25000000000096</v>
      </c>
    </row>
    <row r="100" spans="2:7" x14ac:dyDescent="0.2">
      <c r="B100" s="35">
        <f>IF(EXACT(MAIN!$H100, ""), "", MAIN!$G100)</f>
        <v>32000000000097</v>
      </c>
      <c r="C100" s="39">
        <f>IF(EXACT(MAIN!$H100, ""), "", MAIN!$B100)</f>
        <v>25000000000097</v>
      </c>
      <c r="D100" s="38" t="str">
        <f>IF(EXACT(MAIN!$H100, ""), "", MAIN!$C100)</f>
        <v>Dedi Rianto</v>
      </c>
      <c r="E100" s="39" t="str">
        <f>IF(EXACT(MAIN!$B100, ""), "", ""&amp;MAIN!$D100)</f>
        <v/>
      </c>
      <c r="G100" s="2">
        <f t="shared" si="1"/>
        <v>25000000000097</v>
      </c>
    </row>
    <row r="101" spans="2:7" x14ac:dyDescent="0.2">
      <c r="B101" s="35">
        <f>IF(EXACT(MAIN!$H101, ""), "", MAIN!$G101)</f>
        <v>32000000000098</v>
      </c>
      <c r="C101" s="39">
        <f>IF(EXACT(MAIN!$H101, ""), "", MAIN!$B101)</f>
        <v>25000000000098</v>
      </c>
      <c r="D101" s="38" t="str">
        <f>IF(EXACT(MAIN!$H101, ""), "", MAIN!$C101)</f>
        <v>Dedi Syahputra</v>
      </c>
      <c r="E101" s="39" t="str">
        <f>IF(EXACT(MAIN!$B101, ""), "", ""&amp;MAIN!$D101)</f>
        <v/>
      </c>
      <c r="G101" s="2">
        <f t="shared" si="1"/>
        <v>25000000000098</v>
      </c>
    </row>
    <row r="102" spans="2:7" x14ac:dyDescent="0.2">
      <c r="B102" s="35">
        <f>IF(EXACT(MAIN!$H102, ""), "", MAIN!$G102)</f>
        <v>32000000000099</v>
      </c>
      <c r="C102" s="39">
        <f>IF(EXACT(MAIN!$H102, ""), "", MAIN!$B102)</f>
        <v>25000000000099</v>
      </c>
      <c r="D102" s="38" t="str">
        <f>IF(EXACT(MAIN!$H102, ""), "", MAIN!$C102)</f>
        <v>Deni Setiawan</v>
      </c>
      <c r="E102" s="39" t="str">
        <f>IF(EXACT(MAIN!$B102, ""), "", ""&amp;MAIN!$D102)</f>
        <v/>
      </c>
      <c r="G102" s="2">
        <f t="shared" si="1"/>
        <v>25000000000099</v>
      </c>
    </row>
    <row r="103" spans="2:7" x14ac:dyDescent="0.2">
      <c r="B103" s="35">
        <f>IF(EXACT(MAIN!$H103, ""), "", MAIN!$G103)</f>
        <v>32000000000100</v>
      </c>
      <c r="C103" s="39">
        <f>IF(EXACT(MAIN!$H103, ""), "", MAIN!$B103)</f>
        <v>25000000000100</v>
      </c>
      <c r="D103" s="38" t="str">
        <f>IF(EXACT(MAIN!$H103, ""), "", MAIN!$C103)</f>
        <v>Deny Adi Purnama</v>
      </c>
      <c r="E103" s="39" t="str">
        <f>IF(EXACT(MAIN!$B103, ""), "", ""&amp;MAIN!$D103)</f>
        <v>050123975</v>
      </c>
      <c r="G103" s="2">
        <f t="shared" si="1"/>
        <v>25000000000100</v>
      </c>
    </row>
    <row r="104" spans="2:7" x14ac:dyDescent="0.2">
      <c r="B104" s="35">
        <f>IF(EXACT(MAIN!$H104, ""), "", MAIN!$G104)</f>
        <v>32000000000101</v>
      </c>
      <c r="C104" s="39">
        <f>IF(EXACT(MAIN!$H104, ""), "", MAIN!$B104)</f>
        <v>25000000000101</v>
      </c>
      <c r="D104" s="38" t="str">
        <f>IF(EXACT(MAIN!$H104, ""), "", MAIN!$C104)</f>
        <v>Desi Herawati</v>
      </c>
      <c r="E104" s="39" t="str">
        <f>IF(EXACT(MAIN!$B104, ""), "", ""&amp;MAIN!$D104)</f>
        <v/>
      </c>
      <c r="G104" s="2">
        <f t="shared" si="1"/>
        <v>25000000000101</v>
      </c>
    </row>
    <row r="105" spans="2:7" x14ac:dyDescent="0.2">
      <c r="B105" s="35">
        <f>IF(EXACT(MAIN!$H105, ""), "", MAIN!$G105)</f>
        <v>32000000000102</v>
      </c>
      <c r="C105" s="39">
        <f>IF(EXACT(MAIN!$H105, ""), "", MAIN!$B105)</f>
        <v>25000000000102</v>
      </c>
      <c r="D105" s="38" t="str">
        <f>IF(EXACT(MAIN!$H105, ""), "", MAIN!$C105)</f>
        <v>Desi Setiowati</v>
      </c>
      <c r="E105" s="39" t="str">
        <f>IF(EXACT(MAIN!$B105, ""), "", ""&amp;MAIN!$D105)</f>
        <v/>
      </c>
      <c r="G105" s="2">
        <f t="shared" si="1"/>
        <v>25000000000102</v>
      </c>
    </row>
    <row r="106" spans="2:7" x14ac:dyDescent="0.2">
      <c r="B106" s="35">
        <f>IF(EXACT(MAIN!$H106, ""), "", MAIN!$G106)</f>
        <v>32000000000103</v>
      </c>
      <c r="C106" s="39">
        <f>IF(EXACT(MAIN!$H106, ""), "", MAIN!$B106)</f>
        <v>25000000000103</v>
      </c>
      <c r="D106" s="38" t="str">
        <f>IF(EXACT(MAIN!$H106, ""), "", MAIN!$C106)</f>
        <v>Dian Firdaus</v>
      </c>
      <c r="E106" s="39" t="str">
        <f>IF(EXACT(MAIN!$B106, ""), "", ""&amp;MAIN!$D106)</f>
        <v/>
      </c>
      <c r="G106" s="2">
        <f t="shared" si="1"/>
        <v>25000000000103</v>
      </c>
    </row>
    <row r="107" spans="2:7" x14ac:dyDescent="0.2">
      <c r="B107" s="35">
        <f>IF(EXACT(MAIN!$H107, ""), "", MAIN!$G107)</f>
        <v>32000000000104</v>
      </c>
      <c r="C107" s="39">
        <f>IF(EXACT(MAIN!$H107, ""), "", MAIN!$B107)</f>
        <v>25000000000104</v>
      </c>
      <c r="D107" s="38" t="str">
        <f>IF(EXACT(MAIN!$H107, ""), "", MAIN!$C107)</f>
        <v>Dian Hariyana</v>
      </c>
      <c r="E107" s="39" t="str">
        <f>IF(EXACT(MAIN!$B107, ""), "", ""&amp;MAIN!$D107)</f>
        <v/>
      </c>
      <c r="G107" s="2">
        <f t="shared" si="1"/>
        <v>25000000000104</v>
      </c>
    </row>
    <row r="108" spans="2:7" x14ac:dyDescent="0.2">
      <c r="B108" s="35">
        <f>IF(EXACT(MAIN!$H108, ""), "", MAIN!$G108)</f>
        <v>32000000000105</v>
      </c>
      <c r="C108" s="39">
        <f>IF(EXACT(MAIN!$H108, ""), "", MAIN!$B108)</f>
        <v>25000000000105</v>
      </c>
      <c r="D108" s="38" t="str">
        <f>IF(EXACT(MAIN!$H108, ""), "", MAIN!$C108)</f>
        <v>Dinnar Budiarti</v>
      </c>
      <c r="E108" s="39" t="str">
        <f>IF(EXACT(MAIN!$B108, ""), "", ""&amp;MAIN!$D108)</f>
        <v/>
      </c>
      <c r="G108" s="2">
        <f t="shared" si="1"/>
        <v>25000000000105</v>
      </c>
    </row>
    <row r="109" spans="2:7" x14ac:dyDescent="0.2">
      <c r="B109" s="35">
        <f>IF(EXACT(MAIN!$H109, ""), "", MAIN!$G109)</f>
        <v>32000000000106</v>
      </c>
      <c r="C109" s="39">
        <f>IF(EXACT(MAIN!$H109, ""), "", MAIN!$B109)</f>
        <v>25000000000106</v>
      </c>
      <c r="D109" s="38" t="str">
        <f>IF(EXACT(MAIN!$H109, ""), "", MAIN!$C109)</f>
        <v>Dionesius Sostenist Duka</v>
      </c>
      <c r="E109" s="39" t="str">
        <f>IF(EXACT(MAIN!$B109, ""), "", ""&amp;MAIN!$D109)</f>
        <v>010605133</v>
      </c>
      <c r="G109" s="2">
        <f t="shared" si="1"/>
        <v>25000000000106</v>
      </c>
    </row>
    <row r="110" spans="2:7" x14ac:dyDescent="0.2">
      <c r="B110" s="35">
        <f>IF(EXACT(MAIN!$H110, ""), "", MAIN!$G110)</f>
        <v>32000000000107</v>
      </c>
      <c r="C110" s="39">
        <f>IF(EXACT(MAIN!$H110, ""), "", MAIN!$B110)</f>
        <v>25000000000107</v>
      </c>
      <c r="D110" s="38" t="str">
        <f>IF(EXACT(MAIN!$H110, ""), "", MAIN!$C110)</f>
        <v>Diyah Martina</v>
      </c>
      <c r="E110" s="39" t="str">
        <f>IF(EXACT(MAIN!$B110, ""), "", ""&amp;MAIN!$D110)</f>
        <v/>
      </c>
      <c r="G110" s="2">
        <f t="shared" si="1"/>
        <v>25000000000107</v>
      </c>
    </row>
    <row r="111" spans="2:7" x14ac:dyDescent="0.2">
      <c r="B111" s="35">
        <f>IF(EXACT(MAIN!$H111, ""), "", MAIN!$G111)</f>
        <v>32000000000108</v>
      </c>
      <c r="C111" s="39">
        <f>IF(EXACT(MAIN!$H111, ""), "", MAIN!$B111)</f>
        <v>25000000000108</v>
      </c>
      <c r="D111" s="38" t="str">
        <f>IF(EXACT(MAIN!$H111, ""), "", MAIN!$C111)</f>
        <v>Djuang Tampubolon</v>
      </c>
      <c r="E111" s="39" t="str">
        <f>IF(EXACT(MAIN!$B111, ""), "", ""&amp;MAIN!$D111)</f>
        <v/>
      </c>
      <c r="G111" s="2">
        <f t="shared" si="1"/>
        <v>25000000000108</v>
      </c>
    </row>
    <row r="112" spans="2:7" x14ac:dyDescent="0.2">
      <c r="B112" s="35">
        <f>IF(EXACT(MAIN!$H112, ""), "", MAIN!$G112)</f>
        <v>32000000000109</v>
      </c>
      <c r="C112" s="39">
        <f>IF(EXACT(MAIN!$H112, ""), "", MAIN!$B112)</f>
        <v>25000000000109</v>
      </c>
      <c r="D112" s="38" t="str">
        <f>IF(EXACT(MAIN!$H112, ""), "", MAIN!$C112)</f>
        <v>Dodit Widiarto</v>
      </c>
      <c r="E112" s="39" t="str">
        <f>IF(EXACT(MAIN!$B112, ""), "", ""&amp;MAIN!$D112)</f>
        <v/>
      </c>
      <c r="G112" s="2">
        <f t="shared" si="1"/>
        <v>25000000000109</v>
      </c>
    </row>
    <row r="113" spans="2:7" x14ac:dyDescent="0.2">
      <c r="B113" s="35">
        <f>IF(EXACT(MAIN!$H113, ""), "", MAIN!$G113)</f>
        <v>32000000000110</v>
      </c>
      <c r="C113" s="39">
        <f>IF(EXACT(MAIN!$H113, ""), "", MAIN!$B113)</f>
        <v>25000000000110</v>
      </c>
      <c r="D113" s="38" t="str">
        <f>IF(EXACT(MAIN!$H113, ""), "", MAIN!$C113)</f>
        <v>Dony Darmawan</v>
      </c>
      <c r="E113" s="39" t="str">
        <f>IF(EXACT(MAIN!$B113, ""), "", ""&amp;MAIN!$D113)</f>
        <v/>
      </c>
      <c r="G113" s="2">
        <f t="shared" si="1"/>
        <v>25000000000110</v>
      </c>
    </row>
    <row r="114" spans="2:7" x14ac:dyDescent="0.2">
      <c r="B114" s="35">
        <f>IF(EXACT(MAIN!$H114, ""), "", MAIN!$G114)</f>
        <v>32000000000111</v>
      </c>
      <c r="C114" s="39">
        <f>IF(EXACT(MAIN!$H114, ""), "", MAIN!$B114)</f>
        <v>25000000000111</v>
      </c>
      <c r="D114" s="38" t="str">
        <f>IF(EXACT(MAIN!$H114, ""), "", MAIN!$C114)</f>
        <v>Dony Setiawan</v>
      </c>
      <c r="E114" s="39" t="str">
        <f>IF(EXACT(MAIN!$B114, ""), "", ""&amp;MAIN!$D114)</f>
        <v/>
      </c>
      <c r="G114" s="2">
        <f t="shared" si="1"/>
        <v>25000000000111</v>
      </c>
    </row>
    <row r="115" spans="2:7" x14ac:dyDescent="0.2">
      <c r="B115" s="35">
        <f>IF(EXACT(MAIN!$H115, ""), "", MAIN!$G115)</f>
        <v>32000000000112</v>
      </c>
      <c r="C115" s="39">
        <f>IF(EXACT(MAIN!$H115, ""), "", MAIN!$B115)</f>
        <v>25000000000112</v>
      </c>
      <c r="D115" s="38" t="str">
        <f>IF(EXACT(MAIN!$H115, ""), "", MAIN!$C115)</f>
        <v>Dudi Rustandi</v>
      </c>
      <c r="E115" s="39" t="str">
        <f>IF(EXACT(MAIN!$B115, ""), "", ""&amp;MAIN!$D115)</f>
        <v/>
      </c>
      <c r="G115" s="2">
        <f t="shared" si="1"/>
        <v>25000000000112</v>
      </c>
    </row>
    <row r="116" spans="2:7" x14ac:dyDescent="0.2">
      <c r="B116" s="35">
        <f>IF(EXACT(MAIN!$H116, ""), "", MAIN!$G116)</f>
        <v>32000000000113</v>
      </c>
      <c r="C116" s="39">
        <f>IF(EXACT(MAIN!$H116, ""), "", MAIN!$B116)</f>
        <v>25000000000113</v>
      </c>
      <c r="D116" s="38" t="str">
        <f>IF(EXACT(MAIN!$H116, ""), "", MAIN!$C116)</f>
        <v>Dudung</v>
      </c>
      <c r="E116" s="39" t="str">
        <f>IF(EXACT(MAIN!$B116, ""), "", ""&amp;MAIN!$D116)</f>
        <v/>
      </c>
      <c r="G116" s="2">
        <f t="shared" si="1"/>
        <v>25000000000113</v>
      </c>
    </row>
    <row r="117" spans="2:7" x14ac:dyDescent="0.2">
      <c r="B117" s="35">
        <f>IF(EXACT(MAIN!$H117, ""), "", MAIN!$G117)</f>
        <v>32000000000114</v>
      </c>
      <c r="C117" s="39">
        <f>IF(EXACT(MAIN!$H117, ""), "", MAIN!$B117)</f>
        <v>25000000000114</v>
      </c>
      <c r="D117" s="38" t="str">
        <f>IF(EXACT(MAIN!$H117, ""), "", MAIN!$C117)</f>
        <v>Dwi Joko Setio Tjaroko</v>
      </c>
      <c r="E117" s="39" t="str">
        <f>IF(EXACT(MAIN!$B117, ""), "", ""&amp;MAIN!$D117)</f>
        <v/>
      </c>
      <c r="G117" s="2">
        <f t="shared" si="1"/>
        <v>25000000000114</v>
      </c>
    </row>
    <row r="118" spans="2:7" x14ac:dyDescent="0.2">
      <c r="B118" s="35">
        <f>IF(EXACT(MAIN!$H118, ""), "", MAIN!$G118)</f>
        <v>32000000000115</v>
      </c>
      <c r="C118" s="39">
        <f>IF(EXACT(MAIN!$H118, ""), "", MAIN!$B118)</f>
        <v>25000000000115</v>
      </c>
      <c r="D118" s="38" t="str">
        <f>IF(EXACT(MAIN!$H118, ""), "", MAIN!$C118)</f>
        <v>Dwinanto Prabowo</v>
      </c>
      <c r="E118" s="39" t="str">
        <f>IF(EXACT(MAIN!$B118, ""), "", ""&amp;MAIN!$D118)</f>
        <v/>
      </c>
      <c r="G118" s="2">
        <f t="shared" si="1"/>
        <v>25000000000115</v>
      </c>
    </row>
    <row r="119" spans="2:7" x14ac:dyDescent="0.2">
      <c r="B119" s="35">
        <f>IF(EXACT(MAIN!$H119, ""), "", MAIN!$G119)</f>
        <v>32000000000116</v>
      </c>
      <c r="C119" s="39">
        <f>IF(EXACT(MAIN!$H119, ""), "", MAIN!$B119)</f>
        <v>25000000000116</v>
      </c>
      <c r="D119" s="38" t="str">
        <f>IF(EXACT(MAIN!$H119, ""), "", MAIN!$C119)</f>
        <v>Edi Waluyo</v>
      </c>
      <c r="E119" s="39" t="str">
        <f>IF(EXACT(MAIN!$B119, ""), "", ""&amp;MAIN!$D119)</f>
        <v>040803040</v>
      </c>
      <c r="G119" s="2">
        <f t="shared" si="1"/>
        <v>25000000000116</v>
      </c>
    </row>
    <row r="120" spans="2:7" x14ac:dyDescent="0.2">
      <c r="B120" s="35">
        <f>IF(EXACT(MAIN!$H120, ""), "", MAIN!$G120)</f>
        <v>32000000000117</v>
      </c>
      <c r="C120" s="39">
        <f>IF(EXACT(MAIN!$H120, ""), "", MAIN!$B120)</f>
        <v>25000000000117</v>
      </c>
      <c r="D120" s="38" t="str">
        <f>IF(EXACT(MAIN!$H120, ""), "", MAIN!$C120)</f>
        <v>Edi Siswanto</v>
      </c>
      <c r="E120" s="39" t="str">
        <f>IF(EXACT(MAIN!$B120, ""), "", ""&amp;MAIN!$D120)</f>
        <v/>
      </c>
      <c r="G120" s="2">
        <f t="shared" si="1"/>
        <v>25000000000117</v>
      </c>
    </row>
    <row r="121" spans="2:7" x14ac:dyDescent="0.2">
      <c r="B121" s="35">
        <f>IF(EXACT(MAIN!$H121, ""), "", MAIN!$G121)</f>
        <v>32000000000118</v>
      </c>
      <c r="C121" s="39">
        <f>IF(EXACT(MAIN!$H121, ""), "", MAIN!$B121)</f>
        <v>25000000000118</v>
      </c>
      <c r="D121" s="38" t="str">
        <f>IF(EXACT(MAIN!$H121, ""), "", MAIN!$C121)</f>
        <v>Edi Turnip</v>
      </c>
      <c r="E121" s="39" t="str">
        <f>IF(EXACT(MAIN!$B121, ""), "", ""&amp;MAIN!$D121)</f>
        <v/>
      </c>
      <c r="G121" s="2">
        <f t="shared" si="1"/>
        <v>25000000000118</v>
      </c>
    </row>
    <row r="122" spans="2:7" x14ac:dyDescent="0.2">
      <c r="B122" s="35">
        <f>IF(EXACT(MAIN!$H122, ""), "", MAIN!$G122)</f>
        <v>32000000000119</v>
      </c>
      <c r="C122" s="39">
        <f>IF(EXACT(MAIN!$H122, ""), "", MAIN!$B122)</f>
        <v>25000000000119</v>
      </c>
      <c r="D122" s="38" t="str">
        <f>IF(EXACT(MAIN!$H122, ""), "", MAIN!$C122)</f>
        <v>Edy Putra Waskita</v>
      </c>
      <c r="E122" s="39" t="str">
        <f>IF(EXACT(MAIN!$B122, ""), "", ""&amp;MAIN!$D122)</f>
        <v/>
      </c>
      <c r="G122" s="2">
        <f t="shared" si="1"/>
        <v>25000000000119</v>
      </c>
    </row>
    <row r="123" spans="2:7" x14ac:dyDescent="0.2">
      <c r="B123" s="35">
        <f>IF(EXACT(MAIN!$H123, ""), "", MAIN!$G123)</f>
        <v>32000000000120</v>
      </c>
      <c r="C123" s="39">
        <f>IF(EXACT(MAIN!$H123, ""), "", MAIN!$B123)</f>
        <v>25000000000120</v>
      </c>
      <c r="D123" s="38" t="str">
        <f>IF(EXACT(MAIN!$H123, ""), "", MAIN!$C123)</f>
        <v>Edy Syahputra Situmeang</v>
      </c>
      <c r="E123" s="39" t="str">
        <f>IF(EXACT(MAIN!$B123, ""), "", ""&amp;MAIN!$D123)</f>
        <v>0701251000</v>
      </c>
      <c r="G123" s="2">
        <f t="shared" si="1"/>
        <v>25000000000120</v>
      </c>
    </row>
    <row r="124" spans="2:7" x14ac:dyDescent="0.2">
      <c r="B124" s="35">
        <f>IF(EXACT(MAIN!$H124, ""), "", MAIN!$G124)</f>
        <v>32000000000121</v>
      </c>
      <c r="C124" s="39">
        <f>IF(EXACT(MAIN!$H124, ""), "", MAIN!$B124)</f>
        <v>25000000000121</v>
      </c>
      <c r="D124" s="38" t="str">
        <f>IF(EXACT(MAIN!$H124, ""), "", MAIN!$C124)</f>
        <v>Effendi fendi</v>
      </c>
      <c r="E124" s="39" t="str">
        <f>IF(EXACT(MAIN!$B124, ""), "", ""&amp;MAIN!$D124)</f>
        <v/>
      </c>
      <c r="G124" s="2">
        <f t="shared" si="1"/>
        <v>25000000000121</v>
      </c>
    </row>
    <row r="125" spans="2:7" x14ac:dyDescent="0.2">
      <c r="B125" s="35">
        <f>IF(EXACT(MAIN!$H125, ""), "", MAIN!$G125)</f>
        <v>32000000000122</v>
      </c>
      <c r="C125" s="39">
        <f>IF(EXACT(MAIN!$H125, ""), "", MAIN!$B125)</f>
        <v>25000000000122</v>
      </c>
      <c r="D125" s="38" t="str">
        <f>IF(EXACT(MAIN!$H125, ""), "", MAIN!$C125)</f>
        <v>Efrina Dwililia</v>
      </c>
      <c r="E125" s="39" t="str">
        <f>IF(EXACT(MAIN!$B125, ""), "", ""&amp;MAIN!$D125)</f>
        <v/>
      </c>
      <c r="G125" s="2">
        <f t="shared" si="1"/>
        <v>25000000000122</v>
      </c>
    </row>
    <row r="126" spans="2:7" x14ac:dyDescent="0.2">
      <c r="B126" s="35">
        <f>IF(EXACT(MAIN!$H126, ""), "", MAIN!$G126)</f>
        <v>32000000000123</v>
      </c>
      <c r="C126" s="39">
        <f>IF(EXACT(MAIN!$H126, ""), "", MAIN!$B126)</f>
        <v>25000000000123</v>
      </c>
      <c r="D126" s="38" t="str">
        <f>IF(EXACT(MAIN!$H126, ""), "", MAIN!$C126)</f>
        <v>Eka Bagus Dwi Putra</v>
      </c>
      <c r="E126" s="39" t="str">
        <f>IF(EXACT(MAIN!$B126, ""), "", ""&amp;MAIN!$D126)</f>
        <v>200420932</v>
      </c>
      <c r="G126" s="2">
        <f t="shared" si="1"/>
        <v>25000000000123</v>
      </c>
    </row>
    <row r="127" spans="2:7" x14ac:dyDescent="0.2">
      <c r="B127" s="35">
        <f>IF(EXACT(MAIN!$H127, ""), "", MAIN!$G127)</f>
        <v>32000000000124</v>
      </c>
      <c r="C127" s="39">
        <f>IF(EXACT(MAIN!$H127, ""), "", MAIN!$B127)</f>
        <v>25000000000124</v>
      </c>
      <c r="D127" s="38" t="str">
        <f>IF(EXACT(MAIN!$H127, ""), "", MAIN!$C127)</f>
        <v>Eka Hamidah</v>
      </c>
      <c r="E127" s="39" t="str">
        <f>IF(EXACT(MAIN!$B127, ""), "", ""&amp;MAIN!$D127)</f>
        <v/>
      </c>
      <c r="G127" s="2">
        <f t="shared" si="1"/>
        <v>25000000000124</v>
      </c>
    </row>
    <row r="128" spans="2:7" x14ac:dyDescent="0.2">
      <c r="B128" s="35">
        <f>IF(EXACT(MAIN!$H128, ""), "", MAIN!$G128)</f>
        <v>32000000000125</v>
      </c>
      <c r="C128" s="39">
        <f>IF(EXACT(MAIN!$H128, ""), "", MAIN!$B128)</f>
        <v>25000000000125</v>
      </c>
      <c r="D128" s="38" t="str">
        <f>IF(EXACT(MAIN!$H128, ""), "", MAIN!$C128)</f>
        <v>Eka Purwanti</v>
      </c>
      <c r="E128" s="39" t="str">
        <f>IF(EXACT(MAIN!$B128, ""), "", ""&amp;MAIN!$D128)</f>
        <v>060121944</v>
      </c>
      <c r="G128" s="2">
        <f t="shared" si="1"/>
        <v>25000000000125</v>
      </c>
    </row>
    <row r="129" spans="2:7" x14ac:dyDescent="0.2">
      <c r="B129" s="35">
        <f>IF(EXACT(MAIN!$H129, ""), "", MAIN!$G129)</f>
        <v>32000000000126</v>
      </c>
      <c r="C129" s="39">
        <f>IF(EXACT(MAIN!$H129, ""), "", MAIN!$B129)</f>
        <v>25000000000126</v>
      </c>
      <c r="D129" s="38" t="str">
        <f>IF(EXACT(MAIN!$H129, ""), "", MAIN!$C129)</f>
        <v>Eka Kurniawan Hidayatullah</v>
      </c>
      <c r="E129" s="39" t="str">
        <f>IF(EXACT(MAIN!$B129, ""), "", ""&amp;MAIN!$D129)</f>
        <v>120324987</v>
      </c>
      <c r="G129" s="2">
        <f t="shared" si="1"/>
        <v>25000000000126</v>
      </c>
    </row>
    <row r="130" spans="2:7" x14ac:dyDescent="0.2">
      <c r="B130" s="35">
        <f>IF(EXACT(MAIN!$H130, ""), "", MAIN!$G130)</f>
        <v>32000000000127</v>
      </c>
      <c r="C130" s="39">
        <f>IF(EXACT(MAIN!$H130, ""), "", MAIN!$B130)</f>
        <v>25000000000127</v>
      </c>
      <c r="D130" s="38" t="str">
        <f>IF(EXACT(MAIN!$H130, ""), "", MAIN!$C130)</f>
        <v>Eko Laksono</v>
      </c>
      <c r="E130" s="39" t="str">
        <f>IF(EXACT(MAIN!$B130, ""), "", ""&amp;MAIN!$D130)</f>
        <v/>
      </c>
      <c r="G130" s="2">
        <f t="shared" si="1"/>
        <v>25000000000127</v>
      </c>
    </row>
    <row r="131" spans="2:7" x14ac:dyDescent="0.2">
      <c r="B131" s="35">
        <f>IF(EXACT(MAIN!$H131, ""), "", MAIN!$G131)</f>
        <v>32000000000128</v>
      </c>
      <c r="C131" s="39">
        <f>IF(EXACT(MAIN!$H131, ""), "", MAIN!$B131)</f>
        <v>25000000000128</v>
      </c>
      <c r="D131" s="38" t="str">
        <f>IF(EXACT(MAIN!$H131, ""), "", MAIN!$C131)</f>
        <v>Eko Syambudi</v>
      </c>
      <c r="E131" s="39" t="str">
        <f>IF(EXACT(MAIN!$B131, ""), "", ""&amp;MAIN!$D131)</f>
        <v/>
      </c>
      <c r="G131" s="2">
        <f t="shared" si="1"/>
        <v>25000000000128</v>
      </c>
    </row>
    <row r="132" spans="2:7" x14ac:dyDescent="0.2">
      <c r="B132" s="35">
        <f>IF(EXACT(MAIN!$H132, ""), "", MAIN!$G132)</f>
        <v>32000000000129</v>
      </c>
      <c r="C132" s="39">
        <f>IF(EXACT(MAIN!$H132, ""), "", MAIN!$B132)</f>
        <v>25000000000129</v>
      </c>
      <c r="D132" s="38" t="str">
        <f>IF(EXACT(MAIN!$H132, ""), "", MAIN!$C132)</f>
        <v>Elieser Ferdy P.</v>
      </c>
      <c r="E132" s="39" t="str">
        <f>IF(EXACT(MAIN!$B132, ""), "", ""&amp;MAIN!$D132)</f>
        <v/>
      </c>
      <c r="G132" s="2">
        <f t="shared" si="1"/>
        <v>25000000000129</v>
      </c>
    </row>
    <row r="133" spans="2:7" x14ac:dyDescent="0.2">
      <c r="B133" s="35">
        <f>IF(EXACT(MAIN!$H133, ""), "", MAIN!$G133)</f>
        <v>32000000000130</v>
      </c>
      <c r="C133" s="39">
        <f>IF(EXACT(MAIN!$H133, ""), "", MAIN!$B133)</f>
        <v>25000000000130</v>
      </c>
      <c r="D133" s="38" t="str">
        <f>IF(EXACT(MAIN!$H133, ""), "", MAIN!$C133)</f>
        <v>Elisa</v>
      </c>
      <c r="E133" s="39" t="str">
        <f>IF(EXACT(MAIN!$B133, ""), "", ""&amp;MAIN!$D133)</f>
        <v/>
      </c>
      <c r="G133" s="2">
        <f t="shared" ref="G133:G196" si="2">C133</f>
        <v>25000000000130</v>
      </c>
    </row>
    <row r="134" spans="2:7" x14ac:dyDescent="0.2">
      <c r="B134" s="35">
        <f>IF(EXACT(MAIN!$H134, ""), "", MAIN!$G134)</f>
        <v>32000000000131</v>
      </c>
      <c r="C134" s="39">
        <f>IF(EXACT(MAIN!$H134, ""), "", MAIN!$B134)</f>
        <v>25000000000131</v>
      </c>
      <c r="D134" s="38" t="str">
        <f>IF(EXACT(MAIN!$H134, ""), "", MAIN!$C134)</f>
        <v>Elsa Jayanti</v>
      </c>
      <c r="E134" s="39" t="str">
        <f>IF(EXACT(MAIN!$B134, ""), "", ""&amp;MAIN!$D134)</f>
        <v/>
      </c>
      <c r="G134" s="2">
        <f t="shared" si="2"/>
        <v>25000000000131</v>
      </c>
    </row>
    <row r="135" spans="2:7" x14ac:dyDescent="0.2">
      <c r="B135" s="35">
        <f>IF(EXACT(MAIN!$H135, ""), "", MAIN!$G135)</f>
        <v>32000000000132</v>
      </c>
      <c r="C135" s="39">
        <f>IF(EXACT(MAIN!$H135, ""), "", MAIN!$B135)</f>
        <v>25000000000132</v>
      </c>
      <c r="D135" s="38" t="str">
        <f>IF(EXACT(MAIN!$H135, ""), "", MAIN!$C135)</f>
        <v>Elsa Mardian</v>
      </c>
      <c r="E135" s="39" t="str">
        <f>IF(EXACT(MAIN!$B135, ""), "", ""&amp;MAIN!$D135)</f>
        <v/>
      </c>
      <c r="G135" s="2">
        <f t="shared" si="2"/>
        <v>25000000000132</v>
      </c>
    </row>
    <row r="136" spans="2:7" x14ac:dyDescent="0.2">
      <c r="B136" s="35">
        <f>IF(EXACT(MAIN!$H136, ""), "", MAIN!$G136)</f>
        <v>32000000000133</v>
      </c>
      <c r="C136" s="39">
        <f>IF(EXACT(MAIN!$H136, ""), "", MAIN!$B136)</f>
        <v>25000000000133</v>
      </c>
      <c r="D136" s="38" t="str">
        <f>IF(EXACT(MAIN!$H136, ""), "", MAIN!$C136)</f>
        <v>Emir Paranita Nasution</v>
      </c>
      <c r="E136" s="39" t="str">
        <f>IF(EXACT(MAIN!$B136, ""), "", ""&amp;MAIN!$D136)</f>
        <v/>
      </c>
      <c r="G136" s="2">
        <f t="shared" si="2"/>
        <v>25000000000133</v>
      </c>
    </row>
    <row r="137" spans="2:7" x14ac:dyDescent="0.2">
      <c r="B137" s="35">
        <f>IF(EXACT(MAIN!$H137, ""), "", MAIN!$G137)</f>
        <v>32000000000134</v>
      </c>
      <c r="C137" s="39">
        <f>IF(EXACT(MAIN!$H137, ""), "", MAIN!$B137)</f>
        <v>25000000000134</v>
      </c>
      <c r="D137" s="38" t="str">
        <f>IF(EXACT(MAIN!$H137, ""), "", MAIN!$C137)</f>
        <v>Enceng Hemawan</v>
      </c>
      <c r="E137" s="39" t="str">
        <f>IF(EXACT(MAIN!$B137, ""), "", ""&amp;MAIN!$D137)</f>
        <v/>
      </c>
      <c r="G137" s="2">
        <f t="shared" si="2"/>
        <v>25000000000134</v>
      </c>
    </row>
    <row r="138" spans="2:7" x14ac:dyDescent="0.2">
      <c r="B138" s="35">
        <f>IF(EXACT(MAIN!$H138, ""), "", MAIN!$G138)</f>
        <v>32000000000135</v>
      </c>
      <c r="C138" s="39">
        <f>IF(EXACT(MAIN!$H138, ""), "", MAIN!$B138)</f>
        <v>25000000000135</v>
      </c>
      <c r="D138" s="38" t="str">
        <f>IF(EXACT(MAIN!$H138, ""), "", MAIN!$C138)</f>
        <v>Endang</v>
      </c>
      <c r="E138" s="39" t="str">
        <f>IF(EXACT(MAIN!$B138, ""), "", ""&amp;MAIN!$D138)</f>
        <v/>
      </c>
      <c r="G138" s="2">
        <f t="shared" si="2"/>
        <v>25000000000135</v>
      </c>
    </row>
    <row r="139" spans="2:7" x14ac:dyDescent="0.2">
      <c r="B139" s="35">
        <f>IF(EXACT(MAIN!$H139, ""), "", MAIN!$G139)</f>
        <v>32000000000136</v>
      </c>
      <c r="C139" s="39">
        <f>IF(EXACT(MAIN!$H139, ""), "", MAIN!$B139)</f>
        <v>25000000000136</v>
      </c>
      <c r="D139" s="38" t="str">
        <f>IF(EXACT(MAIN!$H139, ""), "", MAIN!$C139)</f>
        <v>Endang Lestari</v>
      </c>
      <c r="E139" s="39" t="str">
        <f>IF(EXACT(MAIN!$B139, ""), "", ""&amp;MAIN!$D139)</f>
        <v/>
      </c>
      <c r="G139" s="2">
        <f t="shared" si="2"/>
        <v>25000000000136</v>
      </c>
    </row>
    <row r="140" spans="2:7" x14ac:dyDescent="0.2">
      <c r="B140" s="35">
        <f>IF(EXACT(MAIN!$H140, ""), "", MAIN!$G140)</f>
        <v>32000000000137</v>
      </c>
      <c r="C140" s="39">
        <f>IF(EXACT(MAIN!$H140, ""), "", MAIN!$B140)</f>
        <v>25000000000137</v>
      </c>
      <c r="D140" s="38" t="str">
        <f>IF(EXACT(MAIN!$H140, ""), "", MAIN!$C140)</f>
        <v>Endang Sobari</v>
      </c>
      <c r="E140" s="39" t="str">
        <f>IF(EXACT(MAIN!$B140, ""), "", ""&amp;MAIN!$D140)</f>
        <v/>
      </c>
      <c r="G140" s="2">
        <f t="shared" si="2"/>
        <v>25000000000137</v>
      </c>
    </row>
    <row r="141" spans="2:7" x14ac:dyDescent="0.2">
      <c r="B141" s="35">
        <f>IF(EXACT(MAIN!$H141, ""), "", MAIN!$G141)</f>
        <v>32000000000138</v>
      </c>
      <c r="C141" s="39">
        <f>IF(EXACT(MAIN!$H141, ""), "", MAIN!$B141)</f>
        <v>25000000000138</v>
      </c>
      <c r="D141" s="38" t="str">
        <f>IF(EXACT(MAIN!$H141, ""), "", MAIN!$C141)</f>
        <v>Endang Sutrisna</v>
      </c>
      <c r="E141" s="39" t="str">
        <f>IF(EXACT(MAIN!$B141, ""), "", ""&amp;MAIN!$D141)</f>
        <v>010806250</v>
      </c>
      <c r="G141" s="2">
        <f t="shared" si="2"/>
        <v>25000000000138</v>
      </c>
    </row>
    <row r="142" spans="2:7" x14ac:dyDescent="0.2">
      <c r="B142" s="35">
        <f>IF(EXACT(MAIN!$H142, ""), "", MAIN!$G142)</f>
        <v>32000000000139</v>
      </c>
      <c r="C142" s="39">
        <f>IF(EXACT(MAIN!$H142, ""), "", MAIN!$B142)</f>
        <v>25000000000139</v>
      </c>
      <c r="D142" s="38" t="str">
        <f>IF(EXACT(MAIN!$H142, ""), "", MAIN!$C142)</f>
        <v>Erfananda Rasyid</v>
      </c>
      <c r="E142" s="39" t="str">
        <f>IF(EXACT(MAIN!$B142, ""), "", ""&amp;MAIN!$D142)</f>
        <v/>
      </c>
      <c r="G142" s="2">
        <f t="shared" si="2"/>
        <v>25000000000139</v>
      </c>
    </row>
    <row r="143" spans="2:7" x14ac:dyDescent="0.2">
      <c r="B143" s="35">
        <f>IF(EXACT(MAIN!$H143, ""), "", MAIN!$G143)</f>
        <v>32000000000140</v>
      </c>
      <c r="C143" s="39">
        <f>IF(EXACT(MAIN!$H143, ""), "", MAIN!$B143)</f>
        <v>25000000000140</v>
      </c>
      <c r="D143" s="38" t="str">
        <f>IF(EXACT(MAIN!$H143, ""), "", MAIN!$C143)</f>
        <v>Ernawati</v>
      </c>
      <c r="E143" s="39" t="str">
        <f>IF(EXACT(MAIN!$B143, ""), "", ""&amp;MAIN!$D143)</f>
        <v/>
      </c>
      <c r="G143" s="2">
        <f t="shared" si="2"/>
        <v>25000000000140</v>
      </c>
    </row>
    <row r="144" spans="2:7" x14ac:dyDescent="0.2">
      <c r="B144" s="35">
        <f>IF(EXACT(MAIN!$H144, ""), "", MAIN!$G144)</f>
        <v>32000000000141</v>
      </c>
      <c r="C144" s="39">
        <f>IF(EXACT(MAIN!$H144, ""), "", MAIN!$B144)</f>
        <v>25000000000141</v>
      </c>
      <c r="D144" s="38" t="str">
        <f>IF(EXACT(MAIN!$H144, ""), "", MAIN!$C144)</f>
        <v>Erwin Firmansyah</v>
      </c>
      <c r="E144" s="39" t="str">
        <f>IF(EXACT(MAIN!$B144, ""), "", ""&amp;MAIN!$D144)</f>
        <v/>
      </c>
      <c r="G144" s="2">
        <f t="shared" si="2"/>
        <v>25000000000141</v>
      </c>
    </row>
    <row r="145" spans="2:7" x14ac:dyDescent="0.2">
      <c r="B145" s="35">
        <f>IF(EXACT(MAIN!$H145, ""), "", MAIN!$G145)</f>
        <v>32000000000142</v>
      </c>
      <c r="C145" s="39">
        <f>IF(EXACT(MAIN!$H145, ""), "", MAIN!$B145)</f>
        <v>25000000000142</v>
      </c>
      <c r="D145" s="38" t="str">
        <f>IF(EXACT(MAIN!$H145, ""), "", MAIN!$C145)</f>
        <v>Erwin Said</v>
      </c>
      <c r="E145" s="39" t="str">
        <f>IF(EXACT(MAIN!$B145, ""), "", ""&amp;MAIN!$D145)</f>
        <v/>
      </c>
      <c r="G145" s="2">
        <f t="shared" si="2"/>
        <v>25000000000142</v>
      </c>
    </row>
    <row r="146" spans="2:7" x14ac:dyDescent="0.2">
      <c r="B146" s="35">
        <f>IF(EXACT(MAIN!$H146, ""), "", MAIN!$G146)</f>
        <v>32000000000143</v>
      </c>
      <c r="C146" s="39">
        <f>IF(EXACT(MAIN!$H146, ""), "", MAIN!$B146)</f>
        <v>25000000000143</v>
      </c>
      <c r="D146" s="38" t="str">
        <f>IF(EXACT(MAIN!$H146, ""), "", MAIN!$C146)</f>
        <v>Esa Annahar</v>
      </c>
      <c r="E146" s="39" t="str">
        <f>IF(EXACT(MAIN!$B146, ""), "", ""&amp;MAIN!$D146)</f>
        <v/>
      </c>
      <c r="G146" s="2">
        <f t="shared" si="2"/>
        <v>25000000000143</v>
      </c>
    </row>
    <row r="147" spans="2:7" x14ac:dyDescent="0.2">
      <c r="B147" s="35">
        <f>IF(EXACT(MAIN!$H147, ""), "", MAIN!$G147)</f>
        <v>32000000000144</v>
      </c>
      <c r="C147" s="39">
        <f>IF(EXACT(MAIN!$H147, ""), "", MAIN!$B147)</f>
        <v>25000000000144</v>
      </c>
      <c r="D147" s="38" t="str">
        <f>IF(EXACT(MAIN!$H147, ""), "", MAIN!$C147)</f>
        <v>Faiz Horifal</v>
      </c>
      <c r="E147" s="39" t="str">
        <f>IF(EXACT(MAIN!$B147, ""), "", ""&amp;MAIN!$D147)</f>
        <v/>
      </c>
      <c r="G147" s="2">
        <f t="shared" si="2"/>
        <v>25000000000144</v>
      </c>
    </row>
    <row r="148" spans="2:7" x14ac:dyDescent="0.2">
      <c r="B148" s="35">
        <f>IF(EXACT(MAIN!$H148, ""), "", MAIN!$G148)</f>
        <v>32000000000145</v>
      </c>
      <c r="C148" s="39">
        <f>IF(EXACT(MAIN!$H148, ""), "", MAIN!$B148)</f>
        <v>25000000000145</v>
      </c>
      <c r="D148" s="38" t="str">
        <f>IF(EXACT(MAIN!$H148, ""), "", MAIN!$C148)</f>
        <v>Fani Dwi Astutik</v>
      </c>
      <c r="E148" s="39" t="str">
        <f>IF(EXACT(MAIN!$B148, ""), "", ""&amp;MAIN!$D148)</f>
        <v/>
      </c>
      <c r="G148" s="2">
        <f t="shared" si="2"/>
        <v>25000000000145</v>
      </c>
    </row>
    <row r="149" spans="2:7" x14ac:dyDescent="0.2">
      <c r="B149" s="35">
        <f>IF(EXACT(MAIN!$H149, ""), "", MAIN!$G149)</f>
        <v>32000000000146</v>
      </c>
      <c r="C149" s="39">
        <f>IF(EXACT(MAIN!$H149, ""), "", MAIN!$B149)</f>
        <v>25000000000146</v>
      </c>
      <c r="D149" s="38" t="str">
        <f>IF(EXACT(MAIN!$H149, ""), "", MAIN!$C149)</f>
        <v>Fardi Nauli R</v>
      </c>
      <c r="E149" s="39" t="str">
        <f>IF(EXACT(MAIN!$B149, ""), "", ""&amp;MAIN!$D149)</f>
        <v/>
      </c>
      <c r="G149" s="2">
        <f t="shared" si="2"/>
        <v>25000000000146</v>
      </c>
    </row>
    <row r="150" spans="2:7" x14ac:dyDescent="0.2">
      <c r="B150" s="35">
        <f>IF(EXACT(MAIN!$H150, ""), "", MAIN!$G150)</f>
        <v>32000000000147</v>
      </c>
      <c r="C150" s="39">
        <f>IF(EXACT(MAIN!$H150, ""), "", MAIN!$B150)</f>
        <v>25000000000147</v>
      </c>
      <c r="D150" s="38" t="str">
        <f>IF(EXACT(MAIN!$H150, ""), "", MAIN!$C150)</f>
        <v>Farekh Huzair</v>
      </c>
      <c r="E150" s="39" t="str">
        <f>IF(EXACT(MAIN!$B150, ""), "", ""&amp;MAIN!$D150)</f>
        <v/>
      </c>
      <c r="G150" s="2">
        <f t="shared" si="2"/>
        <v>25000000000147</v>
      </c>
    </row>
    <row r="151" spans="2:7" x14ac:dyDescent="0.2">
      <c r="B151" s="35">
        <f>IF(EXACT(MAIN!$H151, ""), "", MAIN!$G151)</f>
        <v>32000000000148</v>
      </c>
      <c r="C151" s="39">
        <f>IF(EXACT(MAIN!$H151, ""), "", MAIN!$B151)</f>
        <v>25000000000148</v>
      </c>
      <c r="D151" s="38" t="str">
        <f>IF(EXACT(MAIN!$H151, ""), "", MAIN!$C151)</f>
        <v>Farhana</v>
      </c>
      <c r="E151" s="39" t="str">
        <f>IF(EXACT(MAIN!$B151, ""), "", ""&amp;MAIN!$D151)</f>
        <v/>
      </c>
      <c r="G151" s="2">
        <f t="shared" si="2"/>
        <v>25000000000148</v>
      </c>
    </row>
    <row r="152" spans="2:7" x14ac:dyDescent="0.2">
      <c r="B152" s="35">
        <f>IF(EXACT(MAIN!$H152, ""), "", MAIN!$G152)</f>
        <v>32000000000149</v>
      </c>
      <c r="C152" s="39">
        <f>IF(EXACT(MAIN!$H152, ""), "", MAIN!$B152)</f>
        <v>25000000000149</v>
      </c>
      <c r="D152" s="38" t="str">
        <f>IF(EXACT(MAIN!$H152, ""), "", MAIN!$C152)</f>
        <v>Febriyanto Ahdiat</v>
      </c>
      <c r="E152" s="39" t="str">
        <f>IF(EXACT(MAIN!$B152, ""), "", ""&amp;MAIN!$D152)</f>
        <v/>
      </c>
      <c r="G152" s="2">
        <f t="shared" si="2"/>
        <v>25000000000149</v>
      </c>
    </row>
    <row r="153" spans="2:7" x14ac:dyDescent="0.2">
      <c r="B153" s="35">
        <f>IF(EXACT(MAIN!$H153, ""), "", MAIN!$G153)</f>
        <v>32000000000150</v>
      </c>
      <c r="C153" s="39">
        <f>IF(EXACT(MAIN!$H153, ""), "", MAIN!$B153)</f>
        <v>25000000000150</v>
      </c>
      <c r="D153" s="38" t="str">
        <f>IF(EXACT(MAIN!$H153, ""), "", MAIN!$C153)</f>
        <v>Febryan Mahsyar</v>
      </c>
      <c r="E153" s="39" t="str">
        <f>IF(EXACT(MAIN!$B153, ""), "", ""&amp;MAIN!$D153)</f>
        <v/>
      </c>
      <c r="G153" s="2">
        <f t="shared" si="2"/>
        <v>25000000000150</v>
      </c>
    </row>
    <row r="154" spans="2:7" x14ac:dyDescent="0.2">
      <c r="B154" s="35">
        <f>IF(EXACT(MAIN!$H154, ""), "", MAIN!$G154)</f>
        <v>32000000000151</v>
      </c>
      <c r="C154" s="39">
        <f>IF(EXACT(MAIN!$H154, ""), "", MAIN!$B154)</f>
        <v>25000000000151</v>
      </c>
      <c r="D154" s="38" t="str">
        <f>IF(EXACT(MAIN!$H154, ""), "", MAIN!$C154)</f>
        <v>Felpy</v>
      </c>
      <c r="E154" s="39" t="str">
        <f>IF(EXACT(MAIN!$B154, ""), "", ""&amp;MAIN!$D154)</f>
        <v/>
      </c>
      <c r="G154" s="2">
        <f t="shared" si="2"/>
        <v>25000000000151</v>
      </c>
    </row>
    <row r="155" spans="2:7" x14ac:dyDescent="0.2">
      <c r="B155" s="35">
        <f>IF(EXACT(MAIN!$H155, ""), "", MAIN!$G155)</f>
        <v>32000000000152</v>
      </c>
      <c r="C155" s="39">
        <f>IF(EXACT(MAIN!$H155, ""), "", MAIN!$B155)</f>
        <v>25000000000152</v>
      </c>
      <c r="D155" s="38" t="str">
        <f>IF(EXACT(MAIN!$H155, ""), "", MAIN!$C155)</f>
        <v>Feri Priyanto</v>
      </c>
      <c r="E155" s="39" t="str">
        <f>IF(EXACT(MAIN!$B155, ""), "", ""&amp;MAIN!$D155)</f>
        <v/>
      </c>
      <c r="G155" s="2">
        <f t="shared" si="2"/>
        <v>25000000000152</v>
      </c>
    </row>
    <row r="156" spans="2:7" x14ac:dyDescent="0.2">
      <c r="B156" s="35">
        <f>IF(EXACT(MAIN!$H156, ""), "", MAIN!$G156)</f>
        <v>32000000000153</v>
      </c>
      <c r="C156" s="39">
        <f>IF(EXACT(MAIN!$H156, ""), "", MAIN!$B156)</f>
        <v>25000000000153</v>
      </c>
      <c r="D156" s="38" t="str">
        <f>IF(EXACT(MAIN!$H156, ""), "", MAIN!$C156)</f>
        <v>Ferry P Simanjuntak</v>
      </c>
      <c r="E156" s="39" t="str">
        <f>IF(EXACT(MAIN!$B156, ""), "", ""&amp;MAIN!$D156)</f>
        <v/>
      </c>
      <c r="G156" s="2">
        <f t="shared" si="2"/>
        <v>25000000000153</v>
      </c>
    </row>
    <row r="157" spans="2:7" x14ac:dyDescent="0.2">
      <c r="B157" s="35">
        <f>IF(EXACT(MAIN!$H157, ""), "", MAIN!$G157)</f>
        <v>32000000000154</v>
      </c>
      <c r="C157" s="39">
        <f>IF(EXACT(MAIN!$H157, ""), "", MAIN!$B157)</f>
        <v>25000000000154</v>
      </c>
      <c r="D157" s="38" t="str">
        <f>IF(EXACT(MAIN!$H157, ""), "", MAIN!$C157)</f>
        <v>Fikri</v>
      </c>
      <c r="E157" s="39" t="str">
        <f>IF(EXACT(MAIN!$B157, ""), "", ""&amp;MAIN!$D157)</f>
        <v/>
      </c>
      <c r="G157" s="2">
        <f t="shared" si="2"/>
        <v>25000000000154</v>
      </c>
    </row>
    <row r="158" spans="2:7" x14ac:dyDescent="0.2">
      <c r="B158" s="35">
        <f>IF(EXACT(MAIN!$H158, ""), "", MAIN!$G158)</f>
        <v>32000000000155</v>
      </c>
      <c r="C158" s="39">
        <f>IF(EXACT(MAIN!$H158, ""), "", MAIN!$B158)</f>
        <v>25000000000155</v>
      </c>
      <c r="D158" s="38" t="str">
        <f>IF(EXACT(MAIN!$H158, ""), "", MAIN!$C158)</f>
        <v>M. Fikri Caesarandi Hasibuan</v>
      </c>
      <c r="E158" s="39" t="str">
        <f>IF(EXACT(MAIN!$B158, ""), "", ""&amp;MAIN!$D158)</f>
        <v>160916799</v>
      </c>
      <c r="G158" s="2">
        <f t="shared" si="2"/>
        <v>25000000000155</v>
      </c>
    </row>
    <row r="159" spans="2:7" x14ac:dyDescent="0.2">
      <c r="B159" s="35">
        <f>IF(EXACT(MAIN!$H159, ""), "", MAIN!$G159)</f>
        <v>32000000000156</v>
      </c>
      <c r="C159" s="39">
        <f>IF(EXACT(MAIN!$H159, ""), "", MAIN!$B159)</f>
        <v>25000000000156</v>
      </c>
      <c r="D159" s="38" t="str">
        <f>IF(EXACT(MAIN!$H159, ""), "", MAIN!$C159)</f>
        <v>Firman Akbar</v>
      </c>
      <c r="E159" s="39" t="str">
        <f>IF(EXACT(MAIN!$B159, ""), "", ""&amp;MAIN!$D159)</f>
        <v/>
      </c>
      <c r="G159" s="2">
        <f t="shared" si="2"/>
        <v>25000000000156</v>
      </c>
    </row>
    <row r="160" spans="2:7" x14ac:dyDescent="0.2">
      <c r="B160" s="35">
        <f>IF(EXACT(MAIN!$H160, ""), "", MAIN!$G160)</f>
        <v>32000000000157</v>
      </c>
      <c r="C160" s="39">
        <f>IF(EXACT(MAIN!$H160, ""), "", MAIN!$B160)</f>
        <v>25000000000157</v>
      </c>
      <c r="D160" s="38" t="str">
        <f>IF(EXACT(MAIN!$H160, ""), "", MAIN!$C160)</f>
        <v>Fitriastuti Kurnia</v>
      </c>
      <c r="E160" s="39" t="str">
        <f>IF(EXACT(MAIN!$B160, ""), "", ""&amp;MAIN!$D160)</f>
        <v>070305123</v>
      </c>
      <c r="G160" s="2">
        <f t="shared" si="2"/>
        <v>25000000000157</v>
      </c>
    </row>
    <row r="161" spans="2:7" x14ac:dyDescent="0.2">
      <c r="B161" s="35">
        <f>IF(EXACT(MAIN!$H161, ""), "", MAIN!$G161)</f>
        <v>32000000000158</v>
      </c>
      <c r="C161" s="39">
        <f>IF(EXACT(MAIN!$H161, ""), "", MAIN!$B161)</f>
        <v>25000000000158</v>
      </c>
      <c r="D161" s="38" t="str">
        <f>IF(EXACT(MAIN!$H161, ""), "", MAIN!$C161)</f>
        <v>Francis Imanuel</v>
      </c>
      <c r="E161" s="39" t="str">
        <f>IF(EXACT(MAIN!$B161, ""), "", ""&amp;MAIN!$D161)</f>
        <v/>
      </c>
      <c r="G161" s="2">
        <f t="shared" si="2"/>
        <v>25000000000158</v>
      </c>
    </row>
    <row r="162" spans="2:7" x14ac:dyDescent="0.2">
      <c r="B162" s="35">
        <f>IF(EXACT(MAIN!$H162, ""), "", MAIN!$G162)</f>
        <v>32000000000159</v>
      </c>
      <c r="C162" s="39">
        <f>IF(EXACT(MAIN!$H162, ""), "", MAIN!$B162)</f>
        <v>25000000000159</v>
      </c>
      <c r="D162" s="38" t="str">
        <f>IF(EXACT(MAIN!$H162, ""), "", MAIN!$C162)</f>
        <v>Frando Judi Siahaan</v>
      </c>
      <c r="E162" s="39" t="str">
        <f>IF(EXACT(MAIN!$B162, ""), "", ""&amp;MAIN!$D162)</f>
        <v>181114748</v>
      </c>
      <c r="G162" s="2">
        <f t="shared" si="2"/>
        <v>25000000000159</v>
      </c>
    </row>
    <row r="163" spans="2:7" x14ac:dyDescent="0.2">
      <c r="B163" s="35">
        <f>IF(EXACT(MAIN!$H163, ""), "", MAIN!$G163)</f>
        <v>32000000000160</v>
      </c>
      <c r="C163" s="39">
        <f>IF(EXACT(MAIN!$H163, ""), "", MAIN!$B163)</f>
        <v>25000000000160</v>
      </c>
      <c r="D163" s="38" t="str">
        <f>IF(EXACT(MAIN!$H163, ""), "", MAIN!$C163)</f>
        <v>Frederika Intan</v>
      </c>
      <c r="E163" s="39" t="str">
        <f>IF(EXACT(MAIN!$B163, ""), "", ""&amp;MAIN!$D163)</f>
        <v/>
      </c>
      <c r="G163" s="2">
        <f t="shared" si="2"/>
        <v>25000000000160</v>
      </c>
    </row>
    <row r="164" spans="2:7" x14ac:dyDescent="0.2">
      <c r="B164" s="35">
        <f>IF(EXACT(MAIN!$H164, ""), "", MAIN!$G164)</f>
        <v>32000000000161</v>
      </c>
      <c r="C164" s="39">
        <f>IF(EXACT(MAIN!$H164, ""), "", MAIN!$B164)</f>
        <v>25000000000161</v>
      </c>
      <c r="D164" s="38" t="str">
        <f>IF(EXACT(MAIN!$H164, ""), "", MAIN!$C164)</f>
        <v>Fuad Febrian</v>
      </c>
      <c r="E164" s="39" t="str">
        <f>IF(EXACT(MAIN!$B164, ""), "", ""&amp;MAIN!$D164)</f>
        <v/>
      </c>
      <c r="G164" s="2">
        <f t="shared" si="2"/>
        <v>25000000000161</v>
      </c>
    </row>
    <row r="165" spans="2:7" x14ac:dyDescent="0.2">
      <c r="B165" s="35">
        <f>IF(EXACT(MAIN!$H165, ""), "", MAIN!$G165)</f>
        <v>32000000000162</v>
      </c>
      <c r="C165" s="39">
        <f>IF(EXACT(MAIN!$H165, ""), "", MAIN!$B165)</f>
        <v>25000000000162</v>
      </c>
      <c r="D165" s="38" t="str">
        <f>IF(EXACT(MAIN!$H165, ""), "", MAIN!$C165)</f>
        <v>Wiyadianto</v>
      </c>
      <c r="E165" s="39" t="str">
        <f>IF(EXACT(MAIN!$B165, ""), "", ""&amp;MAIN!$D165)</f>
        <v/>
      </c>
      <c r="G165" s="2">
        <f t="shared" si="2"/>
        <v>25000000000162</v>
      </c>
    </row>
    <row r="166" spans="2:7" x14ac:dyDescent="0.2">
      <c r="B166" s="35">
        <f>IF(EXACT(MAIN!$H166, ""), "", MAIN!$G166)</f>
        <v>32000000000163</v>
      </c>
      <c r="C166" s="39">
        <f>IF(EXACT(MAIN!$H166, ""), "", MAIN!$B166)</f>
        <v>25000000000163</v>
      </c>
      <c r="D166" s="38" t="str">
        <f>IF(EXACT(MAIN!$H166, ""), "", MAIN!$C166)</f>
        <v>Galuh Swastika</v>
      </c>
      <c r="E166" s="39" t="str">
        <f>IF(EXACT(MAIN!$B166, ""), "", ""&amp;MAIN!$D166)</f>
        <v/>
      </c>
      <c r="G166" s="2">
        <f t="shared" si="2"/>
        <v>25000000000163</v>
      </c>
    </row>
    <row r="167" spans="2:7" x14ac:dyDescent="0.2">
      <c r="B167" s="35">
        <f>IF(EXACT(MAIN!$H167, ""), "", MAIN!$G167)</f>
        <v>32000000000164</v>
      </c>
      <c r="C167" s="39">
        <f>IF(EXACT(MAIN!$H167, ""), "", MAIN!$B167)</f>
        <v>25000000000164</v>
      </c>
      <c r="D167" s="38" t="str">
        <f>IF(EXACT(MAIN!$H167, ""), "", MAIN!$C167)</f>
        <v>Ganda Yuharis R.</v>
      </c>
      <c r="E167" s="39" t="str">
        <f>IF(EXACT(MAIN!$B167, ""), "", ""&amp;MAIN!$D167)</f>
        <v/>
      </c>
      <c r="G167" s="2">
        <f t="shared" si="2"/>
        <v>25000000000164</v>
      </c>
    </row>
    <row r="168" spans="2:7" x14ac:dyDescent="0.2">
      <c r="B168" s="35">
        <f>IF(EXACT(MAIN!$H168, ""), "", MAIN!$G168)</f>
        <v>32000000000165</v>
      </c>
      <c r="C168" s="39">
        <f>IF(EXACT(MAIN!$H168, ""), "", MAIN!$B168)</f>
        <v>25000000000165</v>
      </c>
      <c r="D168" s="38" t="str">
        <f>IF(EXACT(MAIN!$H168, ""), "", MAIN!$C168)</f>
        <v>Gatot Harsono</v>
      </c>
      <c r="E168" s="39" t="str">
        <f>IF(EXACT(MAIN!$B168, ""), "", ""&amp;MAIN!$D168)</f>
        <v/>
      </c>
      <c r="G168" s="2">
        <f t="shared" si="2"/>
        <v>25000000000165</v>
      </c>
    </row>
    <row r="169" spans="2:7" x14ac:dyDescent="0.2">
      <c r="B169" s="35">
        <f>IF(EXACT(MAIN!$H169, ""), "", MAIN!$G169)</f>
        <v>32000000000166</v>
      </c>
      <c r="C169" s="39">
        <f>IF(EXACT(MAIN!$H169, ""), "", MAIN!$B169)</f>
        <v>25000000000166</v>
      </c>
      <c r="D169" s="38" t="str">
        <f>IF(EXACT(MAIN!$H169, ""), "", MAIN!$C169)</f>
        <v>Gina Septa</v>
      </c>
      <c r="E169" s="39" t="str">
        <f>IF(EXACT(MAIN!$B169, ""), "", ""&amp;MAIN!$D169)</f>
        <v/>
      </c>
      <c r="G169" s="2">
        <f t="shared" si="2"/>
        <v>25000000000166</v>
      </c>
    </row>
    <row r="170" spans="2:7" x14ac:dyDescent="0.2">
      <c r="B170" s="35">
        <f>IF(EXACT(MAIN!$H170, ""), "", MAIN!$G170)</f>
        <v>32000000000167</v>
      </c>
      <c r="C170" s="39">
        <f>IF(EXACT(MAIN!$H170, ""), "", MAIN!$B170)</f>
        <v>25000000000167</v>
      </c>
      <c r="D170" s="38" t="str">
        <f>IF(EXACT(MAIN!$H170, ""), "", MAIN!$C170)</f>
        <v>Grace Kurniawan</v>
      </c>
      <c r="E170" s="39" t="str">
        <f>IF(EXACT(MAIN!$B170, ""), "", ""&amp;MAIN!$D170)</f>
        <v>010218858</v>
      </c>
      <c r="G170" s="2">
        <f t="shared" si="2"/>
        <v>25000000000167</v>
      </c>
    </row>
    <row r="171" spans="2:7" x14ac:dyDescent="0.2">
      <c r="B171" s="35">
        <f>IF(EXACT(MAIN!$H171, ""), "", MAIN!$G171)</f>
        <v>32000000000168</v>
      </c>
      <c r="C171" s="39">
        <f>IF(EXACT(MAIN!$H171, ""), "", MAIN!$B171)</f>
        <v>25000000000168</v>
      </c>
      <c r="D171" s="38" t="str">
        <f>IF(EXACT(MAIN!$H171, ""), "", MAIN!$C171)</f>
        <v>Gunawan</v>
      </c>
      <c r="E171" s="39" t="str">
        <f>IF(EXACT(MAIN!$B171, ""), "", ""&amp;MAIN!$D171)</f>
        <v>070806256</v>
      </c>
      <c r="G171" s="2">
        <f t="shared" si="2"/>
        <v>25000000000168</v>
      </c>
    </row>
    <row r="172" spans="2:7" x14ac:dyDescent="0.2">
      <c r="B172" s="35">
        <f>IF(EXACT(MAIN!$H172, ""), "", MAIN!$G172)</f>
        <v>32000000000169</v>
      </c>
      <c r="C172" s="39">
        <f>IF(EXACT(MAIN!$H172, ""), "", MAIN!$B172)</f>
        <v>25000000000169</v>
      </c>
      <c r="D172" s="38" t="str">
        <f>IF(EXACT(MAIN!$H172, ""), "", MAIN!$C172)</f>
        <v>Gustia Rakhmanita</v>
      </c>
      <c r="E172" s="39" t="str">
        <f>IF(EXACT(MAIN!$B172, ""), "", ""&amp;MAIN!$D172)</f>
        <v/>
      </c>
      <c r="G172" s="2">
        <f t="shared" si="2"/>
        <v>25000000000169</v>
      </c>
    </row>
    <row r="173" spans="2:7" x14ac:dyDescent="0.2">
      <c r="B173" s="35">
        <f>IF(EXACT(MAIN!$H173, ""), "", MAIN!$G173)</f>
        <v>32000000000170</v>
      </c>
      <c r="C173" s="39">
        <f>IF(EXACT(MAIN!$H173, ""), "", MAIN!$B173)</f>
        <v>25000000000170</v>
      </c>
      <c r="D173" s="38" t="str">
        <f>IF(EXACT(MAIN!$H173, ""), "", MAIN!$C173)</f>
        <v>Habib Abdullah</v>
      </c>
      <c r="E173" s="39" t="str">
        <f>IF(EXACT(MAIN!$B173, ""), "", ""&amp;MAIN!$D173)</f>
        <v/>
      </c>
      <c r="G173" s="2">
        <f t="shared" si="2"/>
        <v>25000000000170</v>
      </c>
    </row>
    <row r="174" spans="2:7" x14ac:dyDescent="0.2">
      <c r="B174" s="35">
        <f>IF(EXACT(MAIN!$H174, ""), "", MAIN!$G174)</f>
        <v>32000000000171</v>
      </c>
      <c r="C174" s="39">
        <f>IF(EXACT(MAIN!$H174, ""), "", MAIN!$B174)</f>
        <v>25000000000171</v>
      </c>
      <c r="D174" s="38" t="str">
        <f>IF(EXACT(MAIN!$H174, ""), "", MAIN!$C174)</f>
        <v>Hadi Kasmuri</v>
      </c>
      <c r="E174" s="39" t="str">
        <f>IF(EXACT(MAIN!$B174, ""), "", ""&amp;MAIN!$D174)</f>
        <v/>
      </c>
      <c r="G174" s="2">
        <f t="shared" si="2"/>
        <v>25000000000171</v>
      </c>
    </row>
    <row r="175" spans="2:7" x14ac:dyDescent="0.2">
      <c r="B175" s="35">
        <f>IF(EXACT(MAIN!$H175, ""), "", MAIN!$G175)</f>
        <v>32000000000172</v>
      </c>
      <c r="C175" s="39">
        <f>IF(EXACT(MAIN!$H175, ""), "", MAIN!$B175)</f>
        <v>25000000000172</v>
      </c>
      <c r="D175" s="38" t="str">
        <f>IF(EXACT(MAIN!$H175, ""), "", MAIN!$C175)</f>
        <v>Haikal</v>
      </c>
      <c r="E175" s="39" t="str">
        <f>IF(EXACT(MAIN!$B175, ""), "", ""&amp;MAIN!$D175)</f>
        <v/>
      </c>
      <c r="G175" s="2">
        <f t="shared" si="2"/>
        <v>25000000000172</v>
      </c>
    </row>
    <row r="176" spans="2:7" x14ac:dyDescent="0.2">
      <c r="B176" s="35">
        <f>IF(EXACT(MAIN!$H176, ""), "", MAIN!$G176)</f>
        <v>32000000000173</v>
      </c>
      <c r="C176" s="39">
        <f>IF(EXACT(MAIN!$H176, ""), "", MAIN!$B176)</f>
        <v>25000000000173</v>
      </c>
      <c r="D176" s="38" t="str">
        <f>IF(EXACT(MAIN!$H176, ""), "", MAIN!$C176)</f>
        <v>Hanantowiryo Tamtama</v>
      </c>
      <c r="E176" s="39" t="str">
        <f>IF(EXACT(MAIN!$B176, ""), "", ""&amp;MAIN!$D176)</f>
        <v/>
      </c>
      <c r="G176" s="2">
        <f t="shared" si="2"/>
        <v>25000000000173</v>
      </c>
    </row>
    <row r="177" spans="2:7" x14ac:dyDescent="0.2">
      <c r="B177" s="35">
        <f>IF(EXACT(MAIN!$H177, ""), "", MAIN!$G177)</f>
        <v>32000000000174</v>
      </c>
      <c r="C177" s="39">
        <f>IF(EXACT(MAIN!$H177, ""), "", MAIN!$B177)</f>
        <v>25000000000174</v>
      </c>
      <c r="D177" s="38" t="str">
        <f>IF(EXACT(MAIN!$H177, ""), "", MAIN!$C177)</f>
        <v>Handoko</v>
      </c>
      <c r="E177" s="39" t="str">
        <f>IF(EXACT(MAIN!$B177, ""), "", ""&amp;MAIN!$D177)</f>
        <v/>
      </c>
      <c r="G177" s="2">
        <f t="shared" si="2"/>
        <v>25000000000174</v>
      </c>
    </row>
    <row r="178" spans="2:7" x14ac:dyDescent="0.2">
      <c r="B178" s="35">
        <f>IF(EXACT(MAIN!$H178, ""), "", MAIN!$G178)</f>
        <v>32000000000175</v>
      </c>
      <c r="C178" s="39">
        <f>IF(EXACT(MAIN!$H178, ""), "", MAIN!$B178)</f>
        <v>25000000000175</v>
      </c>
      <c r="D178" s="38" t="str">
        <f>IF(EXACT(MAIN!$H178, ""), "", MAIN!$C178)</f>
        <v>Hanif Ashari</v>
      </c>
      <c r="E178" s="39" t="str">
        <f>IF(EXACT(MAIN!$B178, ""), "", ""&amp;MAIN!$D178)</f>
        <v/>
      </c>
      <c r="G178" s="2">
        <f t="shared" si="2"/>
        <v>25000000000175</v>
      </c>
    </row>
    <row r="179" spans="2:7" x14ac:dyDescent="0.2">
      <c r="B179" s="35">
        <f>IF(EXACT(MAIN!$H179, ""), "", MAIN!$G179)</f>
        <v>32000000000176</v>
      </c>
      <c r="C179" s="39">
        <f>IF(EXACT(MAIN!$H179, ""), "", MAIN!$B179)</f>
        <v>25000000000176</v>
      </c>
      <c r="D179" s="38" t="str">
        <f>IF(EXACT(MAIN!$H179, ""), "", MAIN!$C179)</f>
        <v>Hanif Eko Saputro</v>
      </c>
      <c r="E179" s="39" t="str">
        <f>IF(EXACT(MAIN!$B179, ""), "", ""&amp;MAIN!$D179)</f>
        <v/>
      </c>
      <c r="G179" s="2">
        <f t="shared" si="2"/>
        <v>25000000000176</v>
      </c>
    </row>
    <row r="180" spans="2:7" x14ac:dyDescent="0.2">
      <c r="B180" s="35">
        <f>IF(EXACT(MAIN!$H180, ""), "", MAIN!$G180)</f>
        <v>32000000000177</v>
      </c>
      <c r="C180" s="39">
        <f>IF(EXACT(MAIN!$H180, ""), "", MAIN!$B180)</f>
        <v>25000000000177</v>
      </c>
      <c r="D180" s="38" t="str">
        <f>IF(EXACT(MAIN!$H180, ""), "", MAIN!$C180)</f>
        <v>Hardianto</v>
      </c>
      <c r="E180" s="39" t="str">
        <f>IF(EXACT(MAIN!$B180, ""), "", ""&amp;MAIN!$D180)</f>
        <v/>
      </c>
      <c r="G180" s="2">
        <f t="shared" si="2"/>
        <v>25000000000177</v>
      </c>
    </row>
    <row r="181" spans="2:7" x14ac:dyDescent="0.2">
      <c r="B181" s="35">
        <f>IF(EXACT(MAIN!$H181, ""), "", MAIN!$G181)</f>
        <v>32000000000178</v>
      </c>
      <c r="C181" s="39">
        <f>IF(EXACT(MAIN!$H181, ""), "", MAIN!$B181)</f>
        <v>25000000000178</v>
      </c>
      <c r="D181" s="38" t="str">
        <f>IF(EXACT(MAIN!$H181, ""), "", MAIN!$C181)</f>
        <v>Harlen Amudi Purba</v>
      </c>
      <c r="E181" s="39" t="str">
        <f>IF(EXACT(MAIN!$B181, ""), "", ""&amp;MAIN!$D181)</f>
        <v/>
      </c>
      <c r="G181" s="2">
        <f t="shared" si="2"/>
        <v>25000000000178</v>
      </c>
    </row>
    <row r="182" spans="2:7" x14ac:dyDescent="0.2">
      <c r="B182" s="35">
        <f>IF(EXACT(MAIN!$H182, ""), "", MAIN!$G182)</f>
        <v>32000000000179</v>
      </c>
      <c r="C182" s="39">
        <f>IF(EXACT(MAIN!$H182, ""), "", MAIN!$B182)</f>
        <v>25000000000179</v>
      </c>
      <c r="D182" s="38" t="str">
        <f>IF(EXACT(MAIN!$H182, ""), "", MAIN!$C182)</f>
        <v>Harry Isnaeni</v>
      </c>
      <c r="E182" s="39" t="str">
        <f>IF(EXACT(MAIN!$B182, ""), "", ""&amp;MAIN!$D182)</f>
        <v/>
      </c>
      <c r="G182" s="2">
        <f t="shared" si="2"/>
        <v>25000000000179</v>
      </c>
    </row>
    <row r="183" spans="2:7" x14ac:dyDescent="0.2">
      <c r="B183" s="35">
        <f>IF(EXACT(MAIN!$H183, ""), "", MAIN!$G183)</f>
        <v>32000000000180</v>
      </c>
      <c r="C183" s="39">
        <f>IF(EXACT(MAIN!$H183, ""), "", MAIN!$B183)</f>
        <v>25000000000180</v>
      </c>
      <c r="D183" s="38" t="str">
        <f>IF(EXACT(MAIN!$H183, ""), "", MAIN!$C183)</f>
        <v>Hasan Gani</v>
      </c>
      <c r="E183" s="39" t="str">
        <f>IF(EXACT(MAIN!$B183, ""), "", ""&amp;MAIN!$D183)</f>
        <v/>
      </c>
      <c r="G183" s="2">
        <f t="shared" si="2"/>
        <v>25000000000180</v>
      </c>
    </row>
    <row r="184" spans="2:7" x14ac:dyDescent="0.2">
      <c r="B184" s="35">
        <f>IF(EXACT(MAIN!$H184, ""), "", MAIN!$G184)</f>
        <v>32000000000181</v>
      </c>
      <c r="C184" s="39">
        <f>IF(EXACT(MAIN!$H184, ""), "", MAIN!$B184)</f>
        <v>25000000000181</v>
      </c>
      <c r="D184" s="38" t="str">
        <f>IF(EXACT(MAIN!$H184, ""), "", MAIN!$C184)</f>
        <v>Hasrul</v>
      </c>
      <c r="E184" s="39" t="str">
        <f>IF(EXACT(MAIN!$B184, ""), "", ""&amp;MAIN!$D184)</f>
        <v/>
      </c>
      <c r="G184" s="2">
        <f t="shared" si="2"/>
        <v>25000000000181</v>
      </c>
    </row>
    <row r="185" spans="2:7" x14ac:dyDescent="0.2">
      <c r="B185" s="35">
        <f>IF(EXACT(MAIN!$H185, ""), "", MAIN!$G185)</f>
        <v>32000000000182</v>
      </c>
      <c r="C185" s="39">
        <f>IF(EXACT(MAIN!$H185, ""), "", MAIN!$B185)</f>
        <v>25000000000182</v>
      </c>
      <c r="D185" s="38" t="str">
        <f>IF(EXACT(MAIN!$H185, ""), "", MAIN!$C185)</f>
        <v>Hendar Pambudi</v>
      </c>
      <c r="E185" s="39" t="str">
        <f>IF(EXACT(MAIN!$B185, ""), "", ""&amp;MAIN!$D185)</f>
        <v/>
      </c>
      <c r="G185" s="2">
        <f t="shared" si="2"/>
        <v>25000000000182</v>
      </c>
    </row>
    <row r="186" spans="2:7" x14ac:dyDescent="0.2">
      <c r="B186" s="35">
        <f>IF(EXACT(MAIN!$H186, ""), "", MAIN!$G186)</f>
        <v>32000000000183</v>
      </c>
      <c r="C186" s="39">
        <f>IF(EXACT(MAIN!$H186, ""), "", MAIN!$B186)</f>
        <v>25000000000183</v>
      </c>
      <c r="D186" s="38" t="str">
        <f>IF(EXACT(MAIN!$H186, ""), "", MAIN!$C186)</f>
        <v>Hendri Kustian</v>
      </c>
      <c r="E186" s="39" t="str">
        <f>IF(EXACT(MAIN!$B186, ""), "", ""&amp;MAIN!$D186)</f>
        <v/>
      </c>
      <c r="G186" s="2">
        <f t="shared" si="2"/>
        <v>25000000000183</v>
      </c>
    </row>
    <row r="187" spans="2:7" x14ac:dyDescent="0.2">
      <c r="B187" s="35">
        <f>IF(EXACT(MAIN!$H187, ""), "", MAIN!$G187)</f>
        <v>32000000000184</v>
      </c>
      <c r="C187" s="39">
        <f>IF(EXACT(MAIN!$H187, ""), "", MAIN!$B187)</f>
        <v>25000000000184</v>
      </c>
      <c r="D187" s="38" t="str">
        <f>IF(EXACT(MAIN!$H187, ""), "", MAIN!$C187)</f>
        <v>Hendrik</v>
      </c>
      <c r="E187" s="39" t="str">
        <f>IF(EXACT(MAIN!$B187, ""), "", ""&amp;MAIN!$D187)</f>
        <v/>
      </c>
      <c r="G187" s="2">
        <f t="shared" si="2"/>
        <v>25000000000184</v>
      </c>
    </row>
    <row r="188" spans="2:7" x14ac:dyDescent="0.2">
      <c r="B188" s="35">
        <f>IF(EXACT(MAIN!$H188, ""), "", MAIN!$G188)</f>
        <v>32000000000185</v>
      </c>
      <c r="C188" s="39">
        <f>IF(EXACT(MAIN!$H188, ""), "", MAIN!$B188)</f>
        <v>25000000000185</v>
      </c>
      <c r="D188" s="38" t="str">
        <f>IF(EXACT(MAIN!$H188, ""), "", MAIN!$C188)</f>
        <v>Herdi Yulia Rohmana</v>
      </c>
      <c r="E188" s="39" t="str">
        <f>IF(EXACT(MAIN!$B188, ""), "", ""&amp;MAIN!$D188)</f>
        <v/>
      </c>
      <c r="G188" s="2">
        <f t="shared" si="2"/>
        <v>25000000000185</v>
      </c>
    </row>
    <row r="189" spans="2:7" x14ac:dyDescent="0.2">
      <c r="B189" s="35">
        <f>IF(EXACT(MAIN!$H189, ""), "", MAIN!$G189)</f>
        <v>32000000000186</v>
      </c>
      <c r="C189" s="39">
        <f>IF(EXACT(MAIN!$H189, ""), "", MAIN!$B189)</f>
        <v>25000000000186</v>
      </c>
      <c r="D189" s="38" t="str">
        <f>IF(EXACT(MAIN!$H189, ""), "", MAIN!$C189)</f>
        <v>Heri Susanto</v>
      </c>
      <c r="E189" s="39" t="str">
        <f>IF(EXACT(MAIN!$B189, ""), "", ""&amp;MAIN!$D189)</f>
        <v/>
      </c>
      <c r="G189" s="2">
        <f t="shared" si="2"/>
        <v>25000000000186</v>
      </c>
    </row>
    <row r="190" spans="2:7" x14ac:dyDescent="0.2">
      <c r="B190" s="35">
        <f>IF(EXACT(MAIN!$H190, ""), "", MAIN!$G190)</f>
        <v>32000000000187</v>
      </c>
      <c r="C190" s="39">
        <f>IF(EXACT(MAIN!$H190, ""), "", MAIN!$B190)</f>
        <v>25000000000187</v>
      </c>
      <c r="D190" s="38" t="str">
        <f>IF(EXACT(MAIN!$H190, ""), "", MAIN!$C190)</f>
        <v>Herlin Juli Asri</v>
      </c>
      <c r="E190" s="39" t="str">
        <f>IF(EXACT(MAIN!$B190, ""), "", ""&amp;MAIN!$D190)</f>
        <v/>
      </c>
      <c r="G190" s="2">
        <f t="shared" si="2"/>
        <v>25000000000187</v>
      </c>
    </row>
    <row r="191" spans="2:7" x14ac:dyDescent="0.2">
      <c r="B191" s="35">
        <f>IF(EXACT(MAIN!$H191, ""), "", MAIN!$G191)</f>
        <v>32000000000188</v>
      </c>
      <c r="C191" s="39">
        <f>IF(EXACT(MAIN!$H191, ""), "", MAIN!$B191)</f>
        <v>25000000000188</v>
      </c>
      <c r="D191" s="38" t="str">
        <f>IF(EXACT(MAIN!$H191, ""), "", MAIN!$C191)</f>
        <v>Herman Budoyo</v>
      </c>
      <c r="E191" s="39" t="str">
        <f>IF(EXACT(MAIN!$B191, ""), "", ""&amp;MAIN!$D191)</f>
        <v/>
      </c>
      <c r="G191" s="2">
        <f t="shared" si="2"/>
        <v>25000000000188</v>
      </c>
    </row>
    <row r="192" spans="2:7" x14ac:dyDescent="0.2">
      <c r="B192" s="35">
        <f>IF(EXACT(MAIN!$H192, ""), "", MAIN!$G192)</f>
        <v>32000000000189</v>
      </c>
      <c r="C192" s="39">
        <f>IF(EXACT(MAIN!$H192, ""), "", MAIN!$B192)</f>
        <v>25000000000189</v>
      </c>
      <c r="D192" s="38" t="str">
        <f>IF(EXACT(MAIN!$H192, ""), "", MAIN!$C192)</f>
        <v>Herni Yuliati</v>
      </c>
      <c r="E192" s="39" t="str">
        <f>IF(EXACT(MAIN!$B192, ""), "", ""&amp;MAIN!$D192)</f>
        <v/>
      </c>
      <c r="G192" s="2">
        <f t="shared" si="2"/>
        <v>25000000000189</v>
      </c>
    </row>
    <row r="193" spans="2:7" x14ac:dyDescent="0.2">
      <c r="B193" s="35">
        <f>IF(EXACT(MAIN!$H193, ""), "", MAIN!$G193)</f>
        <v>32000000000190</v>
      </c>
      <c r="C193" s="39">
        <f>IF(EXACT(MAIN!$H193, ""), "", MAIN!$B193)</f>
        <v>25000000000190</v>
      </c>
      <c r="D193" s="38" t="str">
        <f>IF(EXACT(MAIN!$H193, ""), "", MAIN!$C193)</f>
        <v>Hernita Dwi</v>
      </c>
      <c r="E193" s="39" t="str">
        <f>IF(EXACT(MAIN!$B193, ""), "", ""&amp;MAIN!$D193)</f>
        <v/>
      </c>
      <c r="G193" s="2">
        <f t="shared" si="2"/>
        <v>25000000000190</v>
      </c>
    </row>
    <row r="194" spans="2:7" x14ac:dyDescent="0.2">
      <c r="B194" s="35">
        <f>IF(EXACT(MAIN!$H194, ""), "", MAIN!$G194)</f>
        <v>32000000000191</v>
      </c>
      <c r="C194" s="39">
        <f>IF(EXACT(MAIN!$H194, ""), "", MAIN!$B194)</f>
        <v>25000000000191</v>
      </c>
      <c r="D194" s="38" t="str">
        <f>IF(EXACT(MAIN!$H194, ""), "", MAIN!$C194)</f>
        <v>Herri Setyawan</v>
      </c>
      <c r="E194" s="39" t="str">
        <f>IF(EXACT(MAIN!$B194, ""), "", ""&amp;MAIN!$D194)</f>
        <v/>
      </c>
      <c r="G194" s="2">
        <f t="shared" si="2"/>
        <v>25000000000191</v>
      </c>
    </row>
    <row r="195" spans="2:7" x14ac:dyDescent="0.2">
      <c r="B195" s="35">
        <f>IF(EXACT(MAIN!$H195, ""), "", MAIN!$G195)</f>
        <v>32000000000192</v>
      </c>
      <c r="C195" s="39">
        <f>IF(EXACT(MAIN!$H195, ""), "", MAIN!$B195)</f>
        <v>25000000000192</v>
      </c>
      <c r="D195" s="38" t="str">
        <f>IF(EXACT(MAIN!$H195, ""), "", MAIN!$C195)</f>
        <v>Heru Sugiri</v>
      </c>
      <c r="E195" s="39" t="str">
        <f>IF(EXACT(MAIN!$B195, ""), "", ""&amp;MAIN!$D195)</f>
        <v/>
      </c>
      <c r="G195" s="2">
        <f t="shared" si="2"/>
        <v>25000000000192</v>
      </c>
    </row>
    <row r="196" spans="2:7" x14ac:dyDescent="0.2">
      <c r="B196" s="35">
        <f>IF(EXACT(MAIN!$H196, ""), "", MAIN!$G196)</f>
        <v>32000000000193</v>
      </c>
      <c r="C196" s="39">
        <f>IF(EXACT(MAIN!$H196, ""), "", MAIN!$B196)</f>
        <v>25000000000193</v>
      </c>
      <c r="D196" s="38" t="str">
        <f>IF(EXACT(MAIN!$H196, ""), "", MAIN!$C196)</f>
        <v>Hervian Bagus Saputra</v>
      </c>
      <c r="E196" s="39" t="str">
        <f>IF(EXACT(MAIN!$B196, ""), "", ""&amp;MAIN!$D196)</f>
        <v/>
      </c>
      <c r="G196" s="2">
        <f t="shared" si="2"/>
        <v>25000000000193</v>
      </c>
    </row>
    <row r="197" spans="2:7" x14ac:dyDescent="0.2">
      <c r="B197" s="35">
        <f>IF(EXACT(MAIN!$H197, ""), "", MAIN!$G197)</f>
        <v>32000000000194</v>
      </c>
      <c r="C197" s="39">
        <f>IF(EXACT(MAIN!$H197, ""), "", MAIN!$B197)</f>
        <v>25000000000194</v>
      </c>
      <c r="D197" s="38" t="str">
        <f>IF(EXACT(MAIN!$H197, ""), "", MAIN!$C197)</f>
        <v>H.R. Marlina S. T. R.</v>
      </c>
      <c r="E197" s="39" t="str">
        <f>IF(EXACT(MAIN!$B197, ""), "", ""&amp;MAIN!$D197)</f>
        <v/>
      </c>
      <c r="G197" s="2">
        <f t="shared" ref="G197:G260" si="3">C197</f>
        <v>25000000000194</v>
      </c>
    </row>
    <row r="198" spans="2:7" x14ac:dyDescent="0.2">
      <c r="B198" s="35">
        <f>IF(EXACT(MAIN!$H198, ""), "", MAIN!$G198)</f>
        <v>32000000000195</v>
      </c>
      <c r="C198" s="39">
        <f>IF(EXACT(MAIN!$H198, ""), "", MAIN!$B198)</f>
        <v>25000000000195</v>
      </c>
      <c r="D198" s="38" t="str">
        <f>IF(EXACT(MAIN!$H198, ""), "", MAIN!$C198)</f>
        <v>Ibrahim Soukani</v>
      </c>
      <c r="E198" s="39" t="str">
        <f>IF(EXACT(MAIN!$B198, ""), "", ""&amp;MAIN!$D198)</f>
        <v/>
      </c>
      <c r="G198" s="2">
        <f t="shared" si="3"/>
        <v>25000000000195</v>
      </c>
    </row>
    <row r="199" spans="2:7" x14ac:dyDescent="0.2">
      <c r="B199" s="35">
        <f>IF(EXACT(MAIN!$H199, ""), "", MAIN!$G199)</f>
        <v>32000000000196</v>
      </c>
      <c r="C199" s="39">
        <f>IF(EXACT(MAIN!$H199, ""), "", MAIN!$B199)</f>
        <v>25000000000196</v>
      </c>
      <c r="D199" s="38" t="str">
        <f>IF(EXACT(MAIN!$H199, ""), "", MAIN!$C199)</f>
        <v>Icha Mailinda Syamsoedin</v>
      </c>
      <c r="E199" s="39" t="str">
        <f>IF(EXACT(MAIN!$B199, ""), "", ""&amp;MAIN!$D199)</f>
        <v>191015786</v>
      </c>
      <c r="G199" s="2">
        <f t="shared" si="3"/>
        <v>25000000000196</v>
      </c>
    </row>
    <row r="200" spans="2:7" x14ac:dyDescent="0.2">
      <c r="B200" s="35">
        <f>IF(EXACT(MAIN!$H200, ""), "", MAIN!$G200)</f>
        <v>32000000000197</v>
      </c>
      <c r="C200" s="39">
        <f>IF(EXACT(MAIN!$H200, ""), "", MAIN!$B200)</f>
        <v>25000000000197</v>
      </c>
      <c r="D200" s="38" t="str">
        <f>IF(EXACT(MAIN!$H200, ""), "", MAIN!$C200)</f>
        <v>Ichsanudin</v>
      </c>
      <c r="E200" s="39" t="str">
        <f>IF(EXACT(MAIN!$B200, ""), "", ""&amp;MAIN!$D200)</f>
        <v/>
      </c>
      <c r="G200" s="2">
        <f t="shared" si="3"/>
        <v>25000000000197</v>
      </c>
    </row>
    <row r="201" spans="2:7" x14ac:dyDescent="0.2">
      <c r="B201" s="35">
        <f>IF(EXACT(MAIN!$H201, ""), "", MAIN!$G201)</f>
        <v>32000000000198</v>
      </c>
      <c r="C201" s="39">
        <f>IF(EXACT(MAIN!$H201, ""), "", MAIN!$B201)</f>
        <v>25000000000198</v>
      </c>
      <c r="D201" s="38" t="str">
        <f>IF(EXACT(MAIN!$H201, ""), "", MAIN!$C201)</f>
        <v>Ida Tri Wulaningsih</v>
      </c>
      <c r="E201" s="39" t="str">
        <f>IF(EXACT(MAIN!$B201, ""), "", ""&amp;MAIN!$D201)</f>
        <v/>
      </c>
      <c r="G201" s="2">
        <f t="shared" si="3"/>
        <v>25000000000198</v>
      </c>
    </row>
    <row r="202" spans="2:7" x14ac:dyDescent="0.2">
      <c r="B202" s="35">
        <f>IF(EXACT(MAIN!$H202, ""), "", MAIN!$G202)</f>
        <v>32000000000199</v>
      </c>
      <c r="C202" s="39">
        <f>IF(EXACT(MAIN!$H202, ""), "", MAIN!$B202)</f>
        <v>25000000000199</v>
      </c>
      <c r="D202" s="38" t="str">
        <f>IF(EXACT(MAIN!$H202, ""), "", MAIN!$C202)</f>
        <v>Idham</v>
      </c>
      <c r="E202" s="39" t="str">
        <f>IF(EXACT(MAIN!$B202, ""), "", ""&amp;MAIN!$D202)</f>
        <v/>
      </c>
      <c r="G202" s="2">
        <f t="shared" si="3"/>
        <v>25000000000199</v>
      </c>
    </row>
    <row r="203" spans="2:7" x14ac:dyDescent="0.2">
      <c r="B203" s="35">
        <f>IF(EXACT(MAIN!$H203, ""), "", MAIN!$G203)</f>
        <v>32000000000200</v>
      </c>
      <c r="C203" s="39">
        <f>IF(EXACT(MAIN!$H203, ""), "", MAIN!$B203)</f>
        <v>25000000000200</v>
      </c>
      <c r="D203" s="38" t="str">
        <f>IF(EXACT(MAIN!$H203, ""), "", MAIN!$C203)</f>
        <v>Idham Nasution</v>
      </c>
      <c r="E203" s="39" t="str">
        <f>IF(EXACT(MAIN!$B203, ""), "", ""&amp;MAIN!$D203)</f>
        <v/>
      </c>
      <c r="G203" s="2">
        <f t="shared" si="3"/>
        <v>25000000000200</v>
      </c>
    </row>
    <row r="204" spans="2:7" x14ac:dyDescent="0.2">
      <c r="B204" s="35">
        <f>IF(EXACT(MAIN!$H204, ""), "", MAIN!$G204)</f>
        <v>32000000000201</v>
      </c>
      <c r="C204" s="39">
        <f>IF(EXACT(MAIN!$H204, ""), "", MAIN!$B204)</f>
        <v>25000000000201</v>
      </c>
      <c r="D204" s="38" t="str">
        <f>IF(EXACT(MAIN!$H204, ""), "", MAIN!$C204)</f>
        <v>Idian</v>
      </c>
      <c r="E204" s="39" t="str">
        <f>IF(EXACT(MAIN!$B204, ""), "", ""&amp;MAIN!$D204)</f>
        <v/>
      </c>
      <c r="G204" s="2">
        <f t="shared" si="3"/>
        <v>25000000000201</v>
      </c>
    </row>
    <row r="205" spans="2:7" x14ac:dyDescent="0.2">
      <c r="B205" s="35">
        <f>IF(EXACT(MAIN!$H205, ""), "", MAIN!$G205)</f>
        <v>32000000000202</v>
      </c>
      <c r="C205" s="39">
        <f>IF(EXACT(MAIN!$H205, ""), "", MAIN!$B205)</f>
        <v>25000000000202</v>
      </c>
      <c r="D205" s="38" t="str">
        <f>IF(EXACT(MAIN!$H205, ""), "", MAIN!$C205)</f>
        <v>Ikun M. Soedrajat</v>
      </c>
      <c r="E205" s="39" t="str">
        <f>IF(EXACT(MAIN!$B205, ""), "", ""&amp;MAIN!$D205)</f>
        <v/>
      </c>
      <c r="G205" s="2">
        <f t="shared" si="3"/>
        <v>25000000000202</v>
      </c>
    </row>
    <row r="206" spans="2:7" x14ac:dyDescent="0.2">
      <c r="B206" s="35">
        <f>IF(EXACT(MAIN!$H206, ""), "", MAIN!$G206)</f>
        <v>32000000000203</v>
      </c>
      <c r="C206" s="39">
        <f>IF(EXACT(MAIN!$H206, ""), "", MAIN!$B206)</f>
        <v>25000000000203</v>
      </c>
      <c r="D206" s="38" t="str">
        <f>IF(EXACT(MAIN!$H206, ""), "", MAIN!$C206)</f>
        <v>Ilham Arisyandy</v>
      </c>
      <c r="E206" s="39" t="str">
        <f>IF(EXACT(MAIN!$B206, ""), "", ""&amp;MAIN!$D206)</f>
        <v/>
      </c>
      <c r="G206" s="2">
        <f t="shared" si="3"/>
        <v>25000000000203</v>
      </c>
    </row>
    <row r="207" spans="2:7" x14ac:dyDescent="0.2">
      <c r="B207" s="35">
        <f>IF(EXACT(MAIN!$H207, ""), "", MAIN!$G207)</f>
        <v>32000000000204</v>
      </c>
      <c r="C207" s="39">
        <f>IF(EXACT(MAIN!$H207, ""), "", MAIN!$B207)</f>
        <v>25000000000204</v>
      </c>
      <c r="D207" s="38" t="str">
        <f>IF(EXACT(MAIN!$H207, ""), "", MAIN!$C207)</f>
        <v>Ilham Akbar</v>
      </c>
      <c r="E207" s="39" t="str">
        <f>IF(EXACT(MAIN!$B207, ""), "", ""&amp;MAIN!$D207)</f>
        <v>170217825</v>
      </c>
      <c r="G207" s="2">
        <f t="shared" si="3"/>
        <v>25000000000204</v>
      </c>
    </row>
    <row r="208" spans="2:7" x14ac:dyDescent="0.2">
      <c r="B208" s="35">
        <f>IF(EXACT(MAIN!$H208, ""), "", MAIN!$G208)</f>
        <v>32000000000205</v>
      </c>
      <c r="C208" s="39">
        <f>IF(EXACT(MAIN!$H208, ""), "", MAIN!$B208)</f>
        <v>25000000000205</v>
      </c>
      <c r="D208" s="38" t="str">
        <f>IF(EXACT(MAIN!$H208, ""), "", MAIN!$C208)</f>
        <v>Imam Basuki</v>
      </c>
      <c r="E208" s="39" t="str">
        <f>IF(EXACT(MAIN!$B208, ""), "", ""&amp;MAIN!$D208)</f>
        <v/>
      </c>
      <c r="G208" s="2">
        <f t="shared" si="3"/>
        <v>25000000000205</v>
      </c>
    </row>
    <row r="209" spans="2:7" x14ac:dyDescent="0.2">
      <c r="B209" s="35">
        <f>IF(EXACT(MAIN!$H209, ""), "", MAIN!$G209)</f>
        <v>32000000000206</v>
      </c>
      <c r="C209" s="39">
        <f>IF(EXACT(MAIN!$H209, ""), "", MAIN!$B209)</f>
        <v>25000000000206</v>
      </c>
      <c r="D209" s="38" t="str">
        <f>IF(EXACT(MAIN!$H209, ""), "", MAIN!$C209)</f>
        <v>Imam Mustofa</v>
      </c>
      <c r="E209" s="39" t="str">
        <f>IF(EXACT(MAIN!$B209, ""), "", ""&amp;MAIN!$D209)</f>
        <v/>
      </c>
      <c r="G209" s="2">
        <f t="shared" si="3"/>
        <v>25000000000206</v>
      </c>
    </row>
    <row r="210" spans="2:7" x14ac:dyDescent="0.2">
      <c r="B210" s="35">
        <f>IF(EXACT(MAIN!$H210, ""), "", MAIN!$G210)</f>
        <v>32000000000207</v>
      </c>
      <c r="C210" s="39">
        <f>IF(EXACT(MAIN!$H210, ""), "", MAIN!$B210)</f>
        <v>25000000000207</v>
      </c>
      <c r="D210" s="38" t="str">
        <f>IF(EXACT(MAIN!$H210, ""), "", MAIN!$C210)</f>
        <v>Imam Safiiy</v>
      </c>
      <c r="E210" s="39" t="str">
        <f>IF(EXACT(MAIN!$B210, ""), "", ""&amp;MAIN!$D210)</f>
        <v/>
      </c>
      <c r="G210" s="2">
        <f t="shared" si="3"/>
        <v>25000000000207</v>
      </c>
    </row>
    <row r="211" spans="2:7" x14ac:dyDescent="0.2">
      <c r="B211" s="35">
        <f>IF(EXACT(MAIN!$H211, ""), "", MAIN!$G211)</f>
        <v>32000000000208</v>
      </c>
      <c r="C211" s="39">
        <f>IF(EXACT(MAIN!$H211, ""), "", MAIN!$B211)</f>
        <v>25000000000208</v>
      </c>
      <c r="D211" s="38" t="str">
        <f>IF(EXACT(MAIN!$H211, ""), "", MAIN!$C211)</f>
        <v>Iman Hakiki</v>
      </c>
      <c r="E211" s="39" t="str">
        <f>IF(EXACT(MAIN!$B211, ""), "", ""&amp;MAIN!$D211)</f>
        <v/>
      </c>
      <c r="G211" s="2">
        <f t="shared" si="3"/>
        <v>25000000000208</v>
      </c>
    </row>
    <row r="212" spans="2:7" x14ac:dyDescent="0.2">
      <c r="B212" s="35">
        <f>IF(EXACT(MAIN!$H212, ""), "", MAIN!$G212)</f>
        <v>32000000000209</v>
      </c>
      <c r="C212" s="39">
        <f>IF(EXACT(MAIN!$H212, ""), "", MAIN!$B212)</f>
        <v>25000000000209</v>
      </c>
      <c r="D212" s="38" t="str">
        <f>IF(EXACT(MAIN!$H212, ""), "", MAIN!$C212)</f>
        <v>Imelda Claudia</v>
      </c>
      <c r="E212" s="39" t="str">
        <f>IF(EXACT(MAIN!$B212, ""), "", ""&amp;MAIN!$D212)</f>
        <v/>
      </c>
      <c r="G212" s="2">
        <f t="shared" si="3"/>
        <v>25000000000209</v>
      </c>
    </row>
    <row r="213" spans="2:7" x14ac:dyDescent="0.2">
      <c r="B213" s="35">
        <f>IF(EXACT(MAIN!$H213, ""), "", MAIN!$G213)</f>
        <v>32000000000210</v>
      </c>
      <c r="C213" s="39">
        <f>IF(EXACT(MAIN!$H213, ""), "", MAIN!$B213)</f>
        <v>25000000000210</v>
      </c>
      <c r="D213" s="38" t="str">
        <f>IF(EXACT(MAIN!$H213, ""), "", MAIN!$C213)</f>
        <v>Indawan Haryadi</v>
      </c>
      <c r="E213" s="39" t="str">
        <f>IF(EXACT(MAIN!$B213, ""), "", ""&amp;MAIN!$D213)</f>
        <v/>
      </c>
      <c r="G213" s="2">
        <f t="shared" si="3"/>
        <v>25000000000210</v>
      </c>
    </row>
    <row r="214" spans="2:7" x14ac:dyDescent="0.2">
      <c r="B214" s="35">
        <f>IF(EXACT(MAIN!$H214, ""), "", MAIN!$G214)</f>
        <v>32000000000211</v>
      </c>
      <c r="C214" s="39">
        <f>IF(EXACT(MAIN!$H214, ""), "", MAIN!$B214)</f>
        <v>25000000000211</v>
      </c>
      <c r="D214" s="38" t="str">
        <f>IF(EXACT(MAIN!$H214, ""), "", MAIN!$C214)</f>
        <v>Indra Jaya</v>
      </c>
      <c r="E214" s="39" t="str">
        <f>IF(EXACT(MAIN!$B214, ""), "", ""&amp;MAIN!$D214)</f>
        <v/>
      </c>
      <c r="G214" s="2">
        <f t="shared" si="3"/>
        <v>25000000000211</v>
      </c>
    </row>
    <row r="215" spans="2:7" x14ac:dyDescent="0.2">
      <c r="B215" s="35">
        <f>IF(EXACT(MAIN!$H215, ""), "", MAIN!$G215)</f>
        <v>32000000000212</v>
      </c>
      <c r="C215" s="39">
        <f>IF(EXACT(MAIN!$H215, ""), "", MAIN!$B215)</f>
        <v>25000000000212</v>
      </c>
      <c r="D215" s="38" t="str">
        <f>IF(EXACT(MAIN!$H215, ""), "", MAIN!$C215)</f>
        <v>Indra Muchtar</v>
      </c>
      <c r="E215" s="39" t="str">
        <f>IF(EXACT(MAIN!$B215, ""), "", ""&amp;MAIN!$D215)</f>
        <v/>
      </c>
      <c r="G215" s="2">
        <f t="shared" si="3"/>
        <v>25000000000212</v>
      </c>
    </row>
    <row r="216" spans="2:7" x14ac:dyDescent="0.2">
      <c r="B216" s="35">
        <f>IF(EXACT(MAIN!$H216, ""), "", MAIN!$G216)</f>
        <v>32000000000213</v>
      </c>
      <c r="C216" s="39">
        <f>IF(EXACT(MAIN!$H216, ""), "", MAIN!$B216)</f>
        <v>25000000000213</v>
      </c>
      <c r="D216" s="38" t="str">
        <f>IF(EXACT(MAIN!$H216, ""), "", MAIN!$C216)</f>
        <v>Irvan</v>
      </c>
      <c r="E216" s="39" t="str">
        <f>IF(EXACT(MAIN!$B216, ""), "", ""&amp;MAIN!$D216)</f>
        <v/>
      </c>
      <c r="G216" s="2">
        <f t="shared" si="3"/>
        <v>25000000000213</v>
      </c>
    </row>
    <row r="217" spans="2:7" x14ac:dyDescent="0.2">
      <c r="B217" s="35">
        <f>IF(EXACT(MAIN!$H217, ""), "", MAIN!$G217)</f>
        <v>32000000000214</v>
      </c>
      <c r="C217" s="39">
        <f>IF(EXACT(MAIN!$H217, ""), "", MAIN!$B217)</f>
        <v>25000000000214</v>
      </c>
      <c r="D217" s="38" t="str">
        <f>IF(EXACT(MAIN!$H217, ""), "", MAIN!$C217)</f>
        <v>Irvan Agus Dharma Eka Putra</v>
      </c>
      <c r="E217" s="39" t="str">
        <f>IF(EXACT(MAIN!$B217, ""), "", ""&amp;MAIN!$D217)</f>
        <v>220221946</v>
      </c>
      <c r="G217" s="2">
        <f t="shared" si="3"/>
        <v>25000000000214</v>
      </c>
    </row>
    <row r="218" spans="2:7" x14ac:dyDescent="0.2">
      <c r="B218" s="35">
        <f>IF(EXACT(MAIN!$H218, ""), "", MAIN!$G218)</f>
        <v>32000000000215</v>
      </c>
      <c r="C218" s="39">
        <f>IF(EXACT(MAIN!$H218, ""), "", MAIN!$B218)</f>
        <v>25000000000215</v>
      </c>
      <c r="D218" s="38" t="str">
        <f>IF(EXACT(MAIN!$H218, ""), "", MAIN!$C218)</f>
        <v>Irwan</v>
      </c>
      <c r="E218" s="39" t="str">
        <f>IF(EXACT(MAIN!$B218, ""), "", ""&amp;MAIN!$D218)</f>
        <v/>
      </c>
      <c r="G218" s="2">
        <f t="shared" si="3"/>
        <v>25000000000215</v>
      </c>
    </row>
    <row r="219" spans="2:7" x14ac:dyDescent="0.2">
      <c r="B219" s="35">
        <f>IF(EXACT(MAIN!$H219, ""), "", MAIN!$G219)</f>
        <v>32000000000216</v>
      </c>
      <c r="C219" s="39">
        <f>IF(EXACT(MAIN!$H219, ""), "", MAIN!$B219)</f>
        <v>25000000000216</v>
      </c>
      <c r="D219" s="38" t="str">
        <f>IF(EXACT(MAIN!$H219, ""), "", MAIN!$C219)</f>
        <v>Isa Anshori</v>
      </c>
      <c r="E219" s="39" t="str">
        <f>IF(EXACT(MAIN!$B219, ""), "", ""&amp;MAIN!$D219)</f>
        <v/>
      </c>
      <c r="G219" s="2">
        <f t="shared" si="3"/>
        <v>25000000000216</v>
      </c>
    </row>
    <row r="220" spans="2:7" x14ac:dyDescent="0.2">
      <c r="B220" s="35">
        <f>IF(EXACT(MAIN!$H220, ""), "", MAIN!$G220)</f>
        <v>32000000000217</v>
      </c>
      <c r="C220" s="39">
        <f>IF(EXACT(MAIN!$H220, ""), "", MAIN!$B220)</f>
        <v>25000000000217</v>
      </c>
      <c r="D220" s="38" t="str">
        <f>IF(EXACT(MAIN!$H220, ""), "", MAIN!$C220)</f>
        <v>Isa Taufiq</v>
      </c>
      <c r="E220" s="39" t="str">
        <f>IF(EXACT(MAIN!$B220, ""), "", ""&amp;MAIN!$D220)</f>
        <v>150805153</v>
      </c>
      <c r="G220" s="2">
        <f t="shared" si="3"/>
        <v>25000000000217</v>
      </c>
    </row>
    <row r="221" spans="2:7" x14ac:dyDescent="0.2">
      <c r="B221" s="35">
        <f>IF(EXACT(MAIN!$H221, ""), "", MAIN!$G221)</f>
        <v>32000000000218</v>
      </c>
      <c r="C221" s="39">
        <f>IF(EXACT(MAIN!$H221, ""), "", MAIN!$B221)</f>
        <v>25000000000218</v>
      </c>
      <c r="D221" s="38" t="str">
        <f>IF(EXACT(MAIN!$H221, ""), "", MAIN!$C221)</f>
        <v>Iskandarsyah</v>
      </c>
      <c r="E221" s="39" t="str">
        <f>IF(EXACT(MAIN!$B221, ""), "", ""&amp;MAIN!$D221)</f>
        <v/>
      </c>
      <c r="G221" s="2">
        <f t="shared" si="3"/>
        <v>25000000000218</v>
      </c>
    </row>
    <row r="222" spans="2:7" x14ac:dyDescent="0.2">
      <c r="B222" s="35">
        <f>IF(EXACT(MAIN!$H222, ""), "", MAIN!$G222)</f>
        <v>32000000000219</v>
      </c>
      <c r="C222" s="39">
        <f>IF(EXACT(MAIN!$H222, ""), "", MAIN!$B222)</f>
        <v>25000000000219</v>
      </c>
      <c r="D222" s="38" t="str">
        <f>IF(EXACT(MAIN!$H222, ""), "", MAIN!$C222)</f>
        <v>Istanto Istanto</v>
      </c>
      <c r="E222" s="39" t="str">
        <f>IF(EXACT(MAIN!$B222, ""), "", ""&amp;MAIN!$D222)</f>
        <v/>
      </c>
      <c r="G222" s="2">
        <f t="shared" si="3"/>
        <v>25000000000219</v>
      </c>
    </row>
    <row r="223" spans="2:7" x14ac:dyDescent="0.2">
      <c r="B223" s="35">
        <f>IF(EXACT(MAIN!$H223, ""), "", MAIN!$G223)</f>
        <v>32000000000220</v>
      </c>
      <c r="C223" s="39">
        <f>IF(EXACT(MAIN!$H223, ""), "", MAIN!$B223)</f>
        <v>25000000000220</v>
      </c>
      <c r="D223" s="38" t="str">
        <f>IF(EXACT(MAIN!$H223, ""), "", MAIN!$C223)</f>
        <v>Iswahyuni</v>
      </c>
      <c r="E223" s="39" t="str">
        <f>IF(EXACT(MAIN!$B223, ""), "", ""&amp;MAIN!$D223)</f>
        <v/>
      </c>
      <c r="G223" s="2">
        <f t="shared" si="3"/>
        <v>25000000000220</v>
      </c>
    </row>
    <row r="224" spans="2:7" x14ac:dyDescent="0.2">
      <c r="B224" s="35">
        <f>IF(EXACT(MAIN!$H224, ""), "", MAIN!$G224)</f>
        <v>32000000000221</v>
      </c>
      <c r="C224" s="39">
        <f>IF(EXACT(MAIN!$H224, ""), "", MAIN!$B224)</f>
        <v>25000000000221</v>
      </c>
      <c r="D224" s="38" t="str">
        <f>IF(EXACT(MAIN!$H224, ""), "", MAIN!$C224)</f>
        <v>Iva Nurvahayati</v>
      </c>
      <c r="E224" s="39" t="str">
        <f>IF(EXACT(MAIN!$B224, ""), "", ""&amp;MAIN!$D224)</f>
        <v/>
      </c>
      <c r="G224" s="2">
        <f t="shared" si="3"/>
        <v>25000000000221</v>
      </c>
    </row>
    <row r="225" spans="2:7" x14ac:dyDescent="0.2">
      <c r="B225" s="35">
        <f>IF(EXACT(MAIN!$H225, ""), "", MAIN!$G225)</f>
        <v>32000000000222</v>
      </c>
      <c r="C225" s="39">
        <f>IF(EXACT(MAIN!$H225, ""), "", MAIN!$B225)</f>
        <v>25000000000222</v>
      </c>
      <c r="D225" s="38" t="str">
        <f>IF(EXACT(MAIN!$H225, ""), "", MAIN!$C225)</f>
        <v>Iwan Setiawan</v>
      </c>
      <c r="E225" s="39" t="str">
        <f>IF(EXACT(MAIN!$B225, ""), "", ""&amp;MAIN!$D225)</f>
        <v/>
      </c>
      <c r="G225" s="2">
        <f t="shared" si="3"/>
        <v>25000000000222</v>
      </c>
    </row>
    <row r="226" spans="2:7" x14ac:dyDescent="0.2">
      <c r="B226" s="35">
        <f>IF(EXACT(MAIN!$H226, ""), "", MAIN!$G226)</f>
        <v>32000000000223</v>
      </c>
      <c r="C226" s="39">
        <f>IF(EXACT(MAIN!$H226, ""), "", MAIN!$B226)</f>
        <v>25000000000223</v>
      </c>
      <c r="D226" s="38" t="str">
        <f>IF(EXACT(MAIN!$H226, ""), "", MAIN!$C226)</f>
        <v>Iwan Sumantri</v>
      </c>
      <c r="E226" s="39" t="str">
        <f>IF(EXACT(MAIN!$B226, ""), "", ""&amp;MAIN!$D226)</f>
        <v/>
      </c>
      <c r="G226" s="2">
        <f t="shared" si="3"/>
        <v>25000000000223</v>
      </c>
    </row>
    <row r="227" spans="2:7" x14ac:dyDescent="0.2">
      <c r="B227" s="35">
        <f>IF(EXACT(MAIN!$H227, ""), "", MAIN!$G227)</f>
        <v>32000000000224</v>
      </c>
      <c r="C227" s="39">
        <f>IF(EXACT(MAIN!$H227, ""), "", MAIN!$B227)</f>
        <v>25000000000224</v>
      </c>
      <c r="D227" s="38" t="str">
        <f>IF(EXACT(MAIN!$H227, ""), "", MAIN!$C227)</f>
        <v>Iwan Wibawa</v>
      </c>
      <c r="E227" s="39" t="str">
        <f>IF(EXACT(MAIN!$B227, ""), "", ""&amp;MAIN!$D227)</f>
        <v/>
      </c>
      <c r="G227" s="2">
        <f t="shared" si="3"/>
        <v>25000000000224</v>
      </c>
    </row>
    <row r="228" spans="2:7" x14ac:dyDescent="0.2">
      <c r="B228" s="35">
        <f>IF(EXACT(MAIN!$H228, ""), "", MAIN!$G228)</f>
        <v>32000000000225</v>
      </c>
      <c r="C228" s="39">
        <f>IF(EXACT(MAIN!$H228, ""), "", MAIN!$B228)</f>
        <v>25000000000225</v>
      </c>
      <c r="D228" s="38" t="str">
        <f>IF(EXACT(MAIN!$H228, ""), "", MAIN!$C228)</f>
        <v>Iyus Darwin</v>
      </c>
      <c r="E228" s="39" t="str">
        <f>IF(EXACT(MAIN!$B228, ""), "", ""&amp;MAIN!$D228)</f>
        <v/>
      </c>
      <c r="G228" s="2">
        <f t="shared" si="3"/>
        <v>25000000000225</v>
      </c>
    </row>
    <row r="229" spans="2:7" x14ac:dyDescent="0.2">
      <c r="B229" s="35">
        <f>IF(EXACT(MAIN!$H229, ""), "", MAIN!$G229)</f>
        <v>32000000000226</v>
      </c>
      <c r="C229" s="39">
        <f>IF(EXACT(MAIN!$H229, ""), "", MAIN!$B229)</f>
        <v>25000000000226</v>
      </c>
      <c r="D229" s="38" t="str">
        <f>IF(EXACT(MAIN!$H229, ""), "", MAIN!$C229)</f>
        <v>Jaenudin</v>
      </c>
      <c r="E229" s="39" t="str">
        <f>IF(EXACT(MAIN!$B229, ""), "", ""&amp;MAIN!$D229)</f>
        <v/>
      </c>
      <c r="G229" s="2">
        <f t="shared" si="3"/>
        <v>25000000000226</v>
      </c>
    </row>
    <row r="230" spans="2:7" x14ac:dyDescent="0.2">
      <c r="B230" s="35">
        <f>IF(EXACT(MAIN!$H230, ""), "", MAIN!$G230)</f>
        <v>32000000000227</v>
      </c>
      <c r="C230" s="39">
        <f>IF(EXACT(MAIN!$H230, ""), "", MAIN!$B230)</f>
        <v>25000000000227</v>
      </c>
      <c r="D230" s="38" t="str">
        <f>IF(EXACT(MAIN!$H230, ""), "", MAIN!$C230)</f>
        <v>Jaruli Samosir</v>
      </c>
      <c r="E230" s="39" t="str">
        <f>IF(EXACT(MAIN!$B230, ""), "", ""&amp;MAIN!$D230)</f>
        <v/>
      </c>
      <c r="G230" s="2">
        <f t="shared" si="3"/>
        <v>25000000000227</v>
      </c>
    </row>
    <row r="231" spans="2:7" x14ac:dyDescent="0.2">
      <c r="B231" s="35">
        <f>IF(EXACT(MAIN!$H231, ""), "", MAIN!$G231)</f>
        <v>32000000000228</v>
      </c>
      <c r="C231" s="39">
        <f>IF(EXACT(MAIN!$H231, ""), "", MAIN!$B231)</f>
        <v>25000000000228</v>
      </c>
      <c r="D231" s="38" t="str">
        <f>IF(EXACT(MAIN!$H231, ""), "", MAIN!$C231)</f>
        <v>Jaya Ganef</v>
      </c>
      <c r="E231" s="39" t="str">
        <f>IF(EXACT(MAIN!$B231, ""), "", ""&amp;MAIN!$D231)</f>
        <v/>
      </c>
      <c r="G231" s="2">
        <f t="shared" si="3"/>
        <v>25000000000228</v>
      </c>
    </row>
    <row r="232" spans="2:7" x14ac:dyDescent="0.2">
      <c r="B232" s="35">
        <f>IF(EXACT(MAIN!$H232, ""), "", MAIN!$G232)</f>
        <v>32000000000229</v>
      </c>
      <c r="C232" s="39">
        <f>IF(EXACT(MAIN!$H232, ""), "", MAIN!$B232)</f>
        <v>25000000000229</v>
      </c>
      <c r="D232" s="38" t="str">
        <f>IF(EXACT(MAIN!$H232, ""), "", MAIN!$C232)</f>
        <v>Jaya Sitepu</v>
      </c>
      <c r="E232" s="39" t="str">
        <f>IF(EXACT(MAIN!$B232, ""), "", ""&amp;MAIN!$D232)</f>
        <v/>
      </c>
      <c r="G232" s="2">
        <f t="shared" si="3"/>
        <v>25000000000229</v>
      </c>
    </row>
    <row r="233" spans="2:7" x14ac:dyDescent="0.2">
      <c r="B233" s="35">
        <f>IF(EXACT(MAIN!$H233, ""), "", MAIN!$G233)</f>
        <v>32000000000230</v>
      </c>
      <c r="C233" s="39">
        <f>IF(EXACT(MAIN!$H233, ""), "", MAIN!$B233)</f>
        <v>25000000000230</v>
      </c>
      <c r="D233" s="38" t="str">
        <f>IF(EXACT(MAIN!$H233, ""), "", MAIN!$C233)</f>
        <v>Jeefrianda H. P. Sigalingging</v>
      </c>
      <c r="E233" s="39" t="str">
        <f>IF(EXACT(MAIN!$B233, ""), "", ""&amp;MAIN!$D233)</f>
        <v/>
      </c>
      <c r="G233" s="2">
        <f t="shared" si="3"/>
        <v>25000000000230</v>
      </c>
    </row>
    <row r="234" spans="2:7" x14ac:dyDescent="0.2">
      <c r="B234" s="35">
        <f>IF(EXACT(MAIN!$H234, ""), "", MAIN!$G234)</f>
        <v>32000000000231</v>
      </c>
      <c r="C234" s="39">
        <f>IF(EXACT(MAIN!$H234, ""), "", MAIN!$B234)</f>
        <v>25000000000231</v>
      </c>
      <c r="D234" s="38" t="str">
        <f>IF(EXACT(MAIN!$H234, ""), "", MAIN!$C234)</f>
        <v>Jerry Djajasaputra</v>
      </c>
      <c r="E234" s="39" t="str">
        <f>IF(EXACT(MAIN!$B234, ""), "", ""&amp;MAIN!$D234)</f>
        <v/>
      </c>
      <c r="G234" s="2">
        <f t="shared" si="3"/>
        <v>25000000000231</v>
      </c>
    </row>
    <row r="235" spans="2:7" x14ac:dyDescent="0.2">
      <c r="B235" s="35">
        <f>IF(EXACT(MAIN!$H235, ""), "", MAIN!$G235)</f>
        <v>32000000000232</v>
      </c>
      <c r="C235" s="39">
        <f>IF(EXACT(MAIN!$H235, ""), "", MAIN!$B235)</f>
        <v>25000000000232</v>
      </c>
      <c r="D235" s="38" t="str">
        <f>IF(EXACT(MAIN!$H235, ""), "", MAIN!$C235)</f>
        <v>Jimmywal</v>
      </c>
      <c r="E235" s="39" t="str">
        <f>IF(EXACT(MAIN!$B235, ""), "", ""&amp;MAIN!$D235)</f>
        <v>040515767</v>
      </c>
      <c r="G235" s="2">
        <f t="shared" si="3"/>
        <v>25000000000232</v>
      </c>
    </row>
    <row r="236" spans="2:7" x14ac:dyDescent="0.2">
      <c r="B236" s="35">
        <f>IF(EXACT(MAIN!$H236, ""), "", MAIN!$G236)</f>
        <v>32000000000233</v>
      </c>
      <c r="C236" s="39">
        <f>IF(EXACT(MAIN!$H236, ""), "", MAIN!$B236)</f>
        <v>25000000000233</v>
      </c>
      <c r="D236" s="38" t="str">
        <f>IF(EXACT(MAIN!$H236, ""), "", MAIN!$C236)</f>
        <v>Jodie Satria</v>
      </c>
      <c r="E236" s="39" t="str">
        <f>IF(EXACT(MAIN!$B236, ""), "", ""&amp;MAIN!$D236)</f>
        <v/>
      </c>
      <c r="G236" s="2">
        <f t="shared" si="3"/>
        <v>25000000000233</v>
      </c>
    </row>
    <row r="237" spans="2:7" x14ac:dyDescent="0.2">
      <c r="B237" s="35">
        <f>IF(EXACT(MAIN!$H237, ""), "", MAIN!$G237)</f>
        <v>32000000000234</v>
      </c>
      <c r="C237" s="39">
        <f>IF(EXACT(MAIN!$H237, ""), "", MAIN!$B237)</f>
        <v>25000000000234</v>
      </c>
      <c r="D237" s="38" t="str">
        <f>IF(EXACT(MAIN!$H237, ""), "", MAIN!$C237)</f>
        <v>Johannes Silalahi</v>
      </c>
      <c r="E237" s="39" t="str">
        <f>IF(EXACT(MAIN!$B237, ""), "", ""&amp;MAIN!$D237)</f>
        <v/>
      </c>
      <c r="G237" s="2">
        <f t="shared" si="3"/>
        <v>25000000000234</v>
      </c>
    </row>
    <row r="238" spans="2:7" x14ac:dyDescent="0.2">
      <c r="B238" s="35">
        <f>IF(EXACT(MAIN!$H238, ""), "", MAIN!$G238)</f>
        <v>32000000000235</v>
      </c>
      <c r="C238" s="39">
        <f>IF(EXACT(MAIN!$H238, ""), "", MAIN!$B238)</f>
        <v>25000000000235</v>
      </c>
      <c r="D238" s="38" t="str">
        <f>IF(EXACT(MAIN!$H238, ""), "", MAIN!$C238)</f>
        <v>Joko Wiyono</v>
      </c>
      <c r="E238" s="39" t="str">
        <f>IF(EXACT(MAIN!$B238, ""), "", ""&amp;MAIN!$D238)</f>
        <v/>
      </c>
      <c r="G238" s="2">
        <f t="shared" si="3"/>
        <v>25000000000235</v>
      </c>
    </row>
    <row r="239" spans="2:7" x14ac:dyDescent="0.2">
      <c r="B239" s="35">
        <f>IF(EXACT(MAIN!$H239, ""), "", MAIN!$G239)</f>
        <v>32000000000236</v>
      </c>
      <c r="C239" s="39">
        <f>IF(EXACT(MAIN!$H239, ""), "", MAIN!$B239)</f>
        <v>25000000000236</v>
      </c>
      <c r="D239" s="38" t="str">
        <f>IF(EXACT(MAIN!$H239, ""), "", MAIN!$C239)</f>
        <v>Jondril Hantoni</v>
      </c>
      <c r="E239" s="39" t="str">
        <f>IF(EXACT(MAIN!$B239, ""), "", ""&amp;MAIN!$D239)</f>
        <v/>
      </c>
      <c r="G239" s="2">
        <f t="shared" si="3"/>
        <v>25000000000236</v>
      </c>
    </row>
    <row r="240" spans="2:7" x14ac:dyDescent="0.2">
      <c r="B240" s="35">
        <f>IF(EXACT(MAIN!$H240, ""), "", MAIN!$G240)</f>
        <v>32000000000237</v>
      </c>
      <c r="C240" s="39">
        <f>IF(EXACT(MAIN!$H240, ""), "", MAIN!$B240)</f>
        <v>25000000000237</v>
      </c>
      <c r="D240" s="38" t="str">
        <f>IF(EXACT(MAIN!$H240, ""), "", MAIN!$C240)</f>
        <v>Jonhar Aziz</v>
      </c>
      <c r="E240" s="39" t="str">
        <f>IF(EXACT(MAIN!$B240, ""), "", ""&amp;MAIN!$D240)</f>
        <v/>
      </c>
      <c r="G240" s="2">
        <f t="shared" si="3"/>
        <v>25000000000237</v>
      </c>
    </row>
    <row r="241" spans="2:7" x14ac:dyDescent="0.2">
      <c r="B241" s="35">
        <f>IF(EXACT(MAIN!$H241, ""), "", MAIN!$G241)</f>
        <v>32000000000238</v>
      </c>
      <c r="C241" s="39">
        <f>IF(EXACT(MAIN!$H241, ""), "", MAIN!$B241)</f>
        <v>25000000000238</v>
      </c>
      <c r="D241" s="38" t="str">
        <f>IF(EXACT(MAIN!$H241, ""), "", MAIN!$C241)</f>
        <v>Juan Talitha</v>
      </c>
      <c r="E241" s="39" t="str">
        <f>IF(EXACT(MAIN!$B241, ""), "", ""&amp;MAIN!$D241)</f>
        <v/>
      </c>
      <c r="G241" s="2">
        <f t="shared" si="3"/>
        <v>25000000000238</v>
      </c>
    </row>
    <row r="242" spans="2:7" x14ac:dyDescent="0.2">
      <c r="B242" s="35">
        <f>IF(EXACT(MAIN!$H242, ""), "", MAIN!$G242)</f>
        <v>32000000000239</v>
      </c>
      <c r="C242" s="39">
        <f>IF(EXACT(MAIN!$H242, ""), "", MAIN!$B242)</f>
        <v>25000000000239</v>
      </c>
      <c r="D242" s="38" t="str">
        <f>IF(EXACT(MAIN!$H242, ""), "", MAIN!$C242)</f>
        <v>Juharja Juharja</v>
      </c>
      <c r="E242" s="39" t="str">
        <f>IF(EXACT(MAIN!$B242, ""), "", ""&amp;MAIN!$D242)</f>
        <v/>
      </c>
      <c r="G242" s="2">
        <f t="shared" si="3"/>
        <v>25000000000239</v>
      </c>
    </row>
    <row r="243" spans="2:7" x14ac:dyDescent="0.2">
      <c r="B243" s="35">
        <f>IF(EXACT(MAIN!$H243, ""), "", MAIN!$G243)</f>
        <v>32000000000240</v>
      </c>
      <c r="C243" s="39">
        <f>IF(EXACT(MAIN!$H243, ""), "", MAIN!$B243)</f>
        <v>25000000000240</v>
      </c>
      <c r="D243" s="38" t="str">
        <f>IF(EXACT(MAIN!$H243, ""), "", MAIN!$C243)</f>
        <v>Juminar</v>
      </c>
      <c r="E243" s="39" t="str">
        <f>IF(EXACT(MAIN!$B243, ""), "", ""&amp;MAIN!$D243)</f>
        <v/>
      </c>
      <c r="G243" s="2">
        <f t="shared" si="3"/>
        <v>25000000000240</v>
      </c>
    </row>
    <row r="244" spans="2:7" x14ac:dyDescent="0.2">
      <c r="B244" s="35">
        <f>IF(EXACT(MAIN!$H244, ""), "", MAIN!$G244)</f>
        <v>32000000000241</v>
      </c>
      <c r="C244" s="39">
        <f>IF(EXACT(MAIN!$H244, ""), "", MAIN!$B244)</f>
        <v>25000000000241</v>
      </c>
      <c r="D244" s="38" t="str">
        <f>IF(EXACT(MAIN!$H244, ""), "", MAIN!$C244)</f>
        <v>Jumino</v>
      </c>
      <c r="E244" s="39" t="str">
        <f>IF(EXACT(MAIN!$B244, ""), "", ""&amp;MAIN!$D244)</f>
        <v/>
      </c>
      <c r="G244" s="2">
        <f t="shared" si="3"/>
        <v>25000000000241</v>
      </c>
    </row>
    <row r="245" spans="2:7" x14ac:dyDescent="0.2">
      <c r="B245" s="35">
        <f>IF(EXACT(MAIN!$H245, ""), "", MAIN!$G245)</f>
        <v>32000000000242</v>
      </c>
      <c r="C245" s="39">
        <f>IF(EXACT(MAIN!$H245, ""), "", MAIN!$B245)</f>
        <v>25000000000242</v>
      </c>
      <c r="D245" s="38" t="str">
        <f>IF(EXACT(MAIN!$H245, ""), "", MAIN!$C245)</f>
        <v>Junaedi</v>
      </c>
      <c r="E245" s="39" t="str">
        <f>IF(EXACT(MAIN!$B245, ""), "", ""&amp;MAIN!$D245)</f>
        <v/>
      </c>
      <c r="G245" s="2">
        <f t="shared" si="3"/>
        <v>25000000000242</v>
      </c>
    </row>
    <row r="246" spans="2:7" x14ac:dyDescent="0.2">
      <c r="B246" s="35">
        <f>IF(EXACT(MAIN!$H246, ""), "", MAIN!$G246)</f>
        <v>32000000000243</v>
      </c>
      <c r="C246" s="39">
        <f>IF(EXACT(MAIN!$H246, ""), "", MAIN!$B246)</f>
        <v>25000000000243</v>
      </c>
      <c r="D246" s="38" t="str">
        <f>IF(EXACT(MAIN!$H246, ""), "", MAIN!$C246)</f>
        <v>Junaidi</v>
      </c>
      <c r="E246" s="39" t="str">
        <f>IF(EXACT(MAIN!$B246, ""), "", ""&amp;MAIN!$D246)</f>
        <v/>
      </c>
      <c r="G246" s="2">
        <f t="shared" si="3"/>
        <v>25000000000243</v>
      </c>
    </row>
    <row r="247" spans="2:7" x14ac:dyDescent="0.2">
      <c r="B247" s="35">
        <f>IF(EXACT(MAIN!$H247, ""), "", MAIN!$G247)</f>
        <v>32000000000244</v>
      </c>
      <c r="C247" s="39">
        <f>IF(EXACT(MAIN!$H247, ""), "", MAIN!$B247)</f>
        <v>25000000000244</v>
      </c>
      <c r="D247" s="38" t="str">
        <f>IF(EXACT(MAIN!$H247, ""), "", MAIN!$C247)</f>
        <v>Jusuf Bobby Putra</v>
      </c>
      <c r="E247" s="39" t="str">
        <f>IF(EXACT(MAIN!$B247, ""), "", ""&amp;MAIN!$D247)</f>
        <v/>
      </c>
      <c r="G247" s="2">
        <f t="shared" si="3"/>
        <v>25000000000244</v>
      </c>
    </row>
    <row r="248" spans="2:7" x14ac:dyDescent="0.2">
      <c r="B248" s="35">
        <f>IF(EXACT(MAIN!$H248, ""), "", MAIN!$G248)</f>
        <v>32000000000245</v>
      </c>
      <c r="C248" s="39">
        <f>IF(EXACT(MAIN!$H248, ""), "", MAIN!$B248)</f>
        <v>25000000000245</v>
      </c>
      <c r="D248" s="38" t="str">
        <f>IF(EXACT(MAIN!$H248, ""), "", MAIN!$C248)</f>
        <v>Jusuf Gandi</v>
      </c>
      <c r="E248" s="39" t="str">
        <f>IF(EXACT(MAIN!$B248, ""), "", ""&amp;MAIN!$D248)</f>
        <v/>
      </c>
      <c r="G248" s="2">
        <f t="shared" si="3"/>
        <v>25000000000245</v>
      </c>
    </row>
    <row r="249" spans="2:7" x14ac:dyDescent="0.2">
      <c r="B249" s="35">
        <f>IF(EXACT(MAIN!$H249, ""), "", MAIN!$G249)</f>
        <v>32000000000246</v>
      </c>
      <c r="C249" s="39">
        <f>IF(EXACT(MAIN!$H249, ""), "", MAIN!$B249)</f>
        <v>25000000000246</v>
      </c>
      <c r="D249" s="38" t="str">
        <f>IF(EXACT(MAIN!$H249, ""), "", MAIN!$C249)</f>
        <v>Kahar Triyono</v>
      </c>
      <c r="E249" s="39" t="str">
        <f>IF(EXACT(MAIN!$B249, ""), "", ""&amp;MAIN!$D249)</f>
        <v/>
      </c>
      <c r="G249" s="2">
        <f t="shared" si="3"/>
        <v>25000000000246</v>
      </c>
    </row>
    <row r="250" spans="2:7" x14ac:dyDescent="0.2">
      <c r="B250" s="35">
        <f>IF(EXACT(MAIN!$H250, ""), "", MAIN!$G250)</f>
        <v>32000000000247</v>
      </c>
      <c r="C250" s="39">
        <f>IF(EXACT(MAIN!$H250, ""), "", MAIN!$B250)</f>
        <v>25000000000247</v>
      </c>
      <c r="D250" s="38" t="str">
        <f>IF(EXACT(MAIN!$H250, ""), "", MAIN!$C250)</f>
        <v>Keila</v>
      </c>
      <c r="E250" s="39" t="str">
        <f>IF(EXACT(MAIN!$B250, ""), "", ""&amp;MAIN!$D250)</f>
        <v/>
      </c>
      <c r="G250" s="2">
        <f t="shared" si="3"/>
        <v>25000000000247</v>
      </c>
    </row>
    <row r="251" spans="2:7" x14ac:dyDescent="0.2">
      <c r="B251" s="35">
        <f>IF(EXACT(MAIN!$H251, ""), "", MAIN!$G251)</f>
        <v>32000000000248</v>
      </c>
      <c r="C251" s="39">
        <f>IF(EXACT(MAIN!$H251, ""), "", MAIN!$B251)</f>
        <v>25000000000248</v>
      </c>
      <c r="D251" s="38" t="str">
        <f>IF(EXACT(MAIN!$H251, ""), "", MAIN!$C251)</f>
        <v>Kendra Daniswara</v>
      </c>
      <c r="E251" s="39" t="str">
        <f>IF(EXACT(MAIN!$B251, ""), "", ""&amp;MAIN!$D251)</f>
        <v/>
      </c>
      <c r="G251" s="2">
        <f t="shared" si="3"/>
        <v>25000000000248</v>
      </c>
    </row>
    <row r="252" spans="2:7" x14ac:dyDescent="0.2">
      <c r="B252" s="35">
        <f>IF(EXACT(MAIN!$H252, ""), "", MAIN!$G252)</f>
        <v>32000000000249</v>
      </c>
      <c r="C252" s="39">
        <f>IF(EXACT(MAIN!$H252, ""), "", MAIN!$B252)</f>
        <v>25000000000249</v>
      </c>
      <c r="D252" s="38" t="str">
        <f>IF(EXACT(MAIN!$H252, ""), "", MAIN!$C252)</f>
        <v>Kevin Henokh Tambunan</v>
      </c>
      <c r="E252" s="39" t="str">
        <f>IF(EXACT(MAIN!$B252, ""), "", ""&amp;MAIN!$D252)</f>
        <v/>
      </c>
      <c r="G252" s="2">
        <f t="shared" si="3"/>
        <v>25000000000249</v>
      </c>
    </row>
    <row r="253" spans="2:7" x14ac:dyDescent="0.2">
      <c r="B253" s="35">
        <f>IF(EXACT(MAIN!$H253, ""), "", MAIN!$G253)</f>
        <v>32000000000250</v>
      </c>
      <c r="C253" s="39">
        <f>IF(EXACT(MAIN!$H253, ""), "", MAIN!$B253)</f>
        <v>25000000000250</v>
      </c>
      <c r="D253" s="38" t="str">
        <f>IF(EXACT(MAIN!$H253, ""), "", MAIN!$C253)</f>
        <v>Khafid Fahrurrozi</v>
      </c>
      <c r="E253" s="39" t="str">
        <f>IF(EXACT(MAIN!$B253, ""), "", ""&amp;MAIN!$D253)</f>
        <v/>
      </c>
      <c r="G253" s="2">
        <f t="shared" si="3"/>
        <v>25000000000250</v>
      </c>
    </row>
    <row r="254" spans="2:7" x14ac:dyDescent="0.2">
      <c r="B254" s="35">
        <f>IF(EXACT(MAIN!$H254, ""), "", MAIN!$G254)</f>
        <v>32000000000251</v>
      </c>
      <c r="C254" s="39">
        <f>IF(EXACT(MAIN!$H254, ""), "", MAIN!$B254)</f>
        <v>25000000000251</v>
      </c>
      <c r="D254" s="38" t="str">
        <f>IF(EXACT(MAIN!$H254, ""), "", MAIN!$C254)</f>
        <v>Kholik</v>
      </c>
      <c r="E254" s="39" t="str">
        <f>IF(EXACT(MAIN!$B254, ""), "", ""&amp;MAIN!$D254)</f>
        <v/>
      </c>
      <c r="G254" s="2">
        <f t="shared" si="3"/>
        <v>25000000000251</v>
      </c>
    </row>
    <row r="255" spans="2:7" x14ac:dyDescent="0.2">
      <c r="B255" s="35">
        <f>IF(EXACT(MAIN!$H255, ""), "", MAIN!$G255)</f>
        <v>32000000000252</v>
      </c>
      <c r="C255" s="39">
        <f>IF(EXACT(MAIN!$H255, ""), "", MAIN!$B255)</f>
        <v>25000000000252</v>
      </c>
      <c r="D255" s="38" t="str">
        <f>IF(EXACT(MAIN!$H255, ""), "", MAIN!$C255)</f>
        <v>Kiki Mustikawati</v>
      </c>
      <c r="E255" s="39" t="str">
        <f>IF(EXACT(MAIN!$B255, ""), "", ""&amp;MAIN!$D255)</f>
        <v/>
      </c>
      <c r="G255" s="2">
        <f t="shared" si="3"/>
        <v>25000000000252</v>
      </c>
    </row>
    <row r="256" spans="2:7" x14ac:dyDescent="0.2">
      <c r="B256" s="35">
        <f>IF(EXACT(MAIN!$H256, ""), "", MAIN!$G256)</f>
        <v>32000000000253</v>
      </c>
      <c r="C256" s="39">
        <f>IF(EXACT(MAIN!$H256, ""), "", MAIN!$B256)</f>
        <v>25000000000253</v>
      </c>
      <c r="D256" s="38" t="str">
        <f>IF(EXACT(MAIN!$H256, ""), "", MAIN!$C256)</f>
        <v>Kornelius Sakan</v>
      </c>
      <c r="E256" s="39" t="str">
        <f>IF(EXACT(MAIN!$B256, ""), "", ""&amp;MAIN!$D256)</f>
        <v>190803044</v>
      </c>
      <c r="G256" s="2">
        <f t="shared" si="3"/>
        <v>25000000000253</v>
      </c>
    </row>
    <row r="257" spans="2:7" x14ac:dyDescent="0.2">
      <c r="B257" s="35">
        <f>IF(EXACT(MAIN!$H257, ""), "", MAIN!$G257)</f>
        <v>32000000000254</v>
      </c>
      <c r="C257" s="39">
        <f>IF(EXACT(MAIN!$H257, ""), "", MAIN!$B257)</f>
        <v>25000000000254</v>
      </c>
      <c r="D257" s="38" t="str">
        <f>IF(EXACT(MAIN!$H257, ""), "", MAIN!$C257)</f>
        <v>Kosasih</v>
      </c>
      <c r="E257" s="39" t="str">
        <f>IF(EXACT(MAIN!$B257, ""), "", ""&amp;MAIN!$D257)</f>
        <v/>
      </c>
      <c r="G257" s="2">
        <f t="shared" si="3"/>
        <v>25000000000254</v>
      </c>
    </row>
    <row r="258" spans="2:7" x14ac:dyDescent="0.2">
      <c r="B258" s="35">
        <f>IF(EXACT(MAIN!$H258, ""), "", MAIN!$G258)</f>
        <v>32000000000255</v>
      </c>
      <c r="C258" s="39">
        <f>IF(EXACT(MAIN!$H258, ""), "", MAIN!$B258)</f>
        <v>25000000000255</v>
      </c>
      <c r="D258" s="38" t="str">
        <f>IF(EXACT(MAIN!$H258, ""), "", MAIN!$C258)</f>
        <v>Krisnawan</v>
      </c>
      <c r="E258" s="39" t="str">
        <f>IF(EXACT(MAIN!$B258, ""), "", ""&amp;MAIN!$D258)</f>
        <v/>
      </c>
      <c r="G258" s="2">
        <f t="shared" si="3"/>
        <v>25000000000255</v>
      </c>
    </row>
    <row r="259" spans="2:7" x14ac:dyDescent="0.2">
      <c r="B259" s="35">
        <f>IF(EXACT(MAIN!$H259, ""), "", MAIN!$G259)</f>
        <v>32000000000256</v>
      </c>
      <c r="C259" s="39">
        <f>IF(EXACT(MAIN!$H259, ""), "", MAIN!$B259)</f>
        <v>25000000000256</v>
      </c>
      <c r="D259" s="38" t="str">
        <f>IF(EXACT(MAIN!$H259, ""), "", MAIN!$C259)</f>
        <v>Kurniadi</v>
      </c>
      <c r="E259" s="39" t="str">
        <f>IF(EXACT(MAIN!$B259, ""), "", ""&amp;MAIN!$D259)</f>
        <v/>
      </c>
      <c r="G259" s="2">
        <f t="shared" si="3"/>
        <v>25000000000256</v>
      </c>
    </row>
    <row r="260" spans="2:7" x14ac:dyDescent="0.2">
      <c r="B260" s="35">
        <f>IF(EXACT(MAIN!$H260, ""), "", MAIN!$G260)</f>
        <v>32000000000257</v>
      </c>
      <c r="C260" s="39">
        <f>IF(EXACT(MAIN!$H260, ""), "", MAIN!$B260)</f>
        <v>25000000000257</v>
      </c>
      <c r="D260" s="38" t="str">
        <f>IF(EXACT(MAIN!$H260, ""), "", MAIN!$C260)</f>
        <v>Kurniawan</v>
      </c>
      <c r="E260" s="39" t="str">
        <f>IF(EXACT(MAIN!$B260, ""), "", ""&amp;MAIN!$D260)</f>
        <v/>
      </c>
      <c r="G260" s="2">
        <f t="shared" si="3"/>
        <v>25000000000257</v>
      </c>
    </row>
    <row r="261" spans="2:7" x14ac:dyDescent="0.2">
      <c r="B261" s="35">
        <f>IF(EXACT(MAIN!$H261, ""), "", MAIN!$G261)</f>
        <v>32000000000258</v>
      </c>
      <c r="C261" s="39">
        <f>IF(EXACT(MAIN!$H261, ""), "", MAIN!$B261)</f>
        <v>25000000000258</v>
      </c>
      <c r="D261" s="38" t="str">
        <f>IF(EXACT(MAIN!$H261, ""), "", MAIN!$C261)</f>
        <v>Laode</v>
      </c>
      <c r="E261" s="39" t="str">
        <f>IF(EXACT(MAIN!$B261, ""), "", ""&amp;MAIN!$D261)</f>
        <v/>
      </c>
      <c r="G261" s="2">
        <f t="shared" ref="G261:G324" si="4">C261</f>
        <v>25000000000258</v>
      </c>
    </row>
    <row r="262" spans="2:7" x14ac:dyDescent="0.2">
      <c r="B262" s="35">
        <f>IF(EXACT(MAIN!$H262, ""), "", MAIN!$G262)</f>
        <v>32000000000259</v>
      </c>
      <c r="C262" s="39">
        <f>IF(EXACT(MAIN!$H262, ""), "", MAIN!$B262)</f>
        <v>25000000000259</v>
      </c>
      <c r="D262" s="38" t="str">
        <f>IF(EXACT(MAIN!$H262, ""), "", MAIN!$C262)</f>
        <v>Leo Nababan</v>
      </c>
      <c r="E262" s="39" t="str">
        <f>IF(EXACT(MAIN!$B262, ""), "", ""&amp;MAIN!$D262)</f>
        <v/>
      </c>
      <c r="G262" s="2">
        <f t="shared" si="4"/>
        <v>25000000000259</v>
      </c>
    </row>
    <row r="263" spans="2:7" x14ac:dyDescent="0.2">
      <c r="B263" s="35">
        <f>IF(EXACT(MAIN!$H263, ""), "", MAIN!$G263)</f>
        <v>32000000000260</v>
      </c>
      <c r="C263" s="39">
        <f>IF(EXACT(MAIN!$H263, ""), "", MAIN!$B263)</f>
        <v>25000000000260</v>
      </c>
      <c r="D263" s="38" t="str">
        <f>IF(EXACT(MAIN!$H263, ""), "", MAIN!$C263)</f>
        <v>Liani Atmaningrum</v>
      </c>
      <c r="E263" s="39" t="str">
        <f>IF(EXACT(MAIN!$B263, ""), "", ""&amp;MAIN!$D263)</f>
        <v/>
      </c>
      <c r="G263" s="2">
        <f t="shared" si="4"/>
        <v>25000000000260</v>
      </c>
    </row>
    <row r="264" spans="2:7" x14ac:dyDescent="0.2">
      <c r="B264" s="35">
        <f>IF(EXACT(MAIN!$H264, ""), "", MAIN!$G264)</f>
        <v>32000000000261</v>
      </c>
      <c r="C264" s="39">
        <f>IF(EXACT(MAIN!$H264, ""), "", MAIN!$B264)</f>
        <v>25000000000261</v>
      </c>
      <c r="D264" s="38" t="str">
        <f>IF(EXACT(MAIN!$H264, ""), "", MAIN!$C264)</f>
        <v>Liaseptriani Liaseptriani</v>
      </c>
      <c r="E264" s="39" t="str">
        <f>IF(EXACT(MAIN!$B264, ""), "", ""&amp;MAIN!$D264)</f>
        <v/>
      </c>
      <c r="G264" s="2">
        <f t="shared" si="4"/>
        <v>25000000000261</v>
      </c>
    </row>
    <row r="265" spans="2:7" x14ac:dyDescent="0.2">
      <c r="B265" s="35">
        <f>IF(EXACT(MAIN!$H265, ""), "", MAIN!$G265)</f>
        <v>32000000000262</v>
      </c>
      <c r="C265" s="39">
        <f>IF(EXACT(MAIN!$H265, ""), "", MAIN!$B265)</f>
        <v>25000000000262</v>
      </c>
      <c r="D265" s="38" t="str">
        <f>IF(EXACT(MAIN!$H265, ""), "", MAIN!$C265)</f>
        <v>Lisma Natalia</v>
      </c>
      <c r="E265" s="39" t="str">
        <f>IF(EXACT(MAIN!$B265, ""), "", ""&amp;MAIN!$D265)</f>
        <v>170918883</v>
      </c>
      <c r="G265" s="2">
        <f t="shared" si="4"/>
        <v>25000000000262</v>
      </c>
    </row>
    <row r="266" spans="2:7" x14ac:dyDescent="0.2">
      <c r="B266" s="35">
        <f>IF(EXACT(MAIN!$H266, ""), "", MAIN!$G266)</f>
        <v>32000000000263</v>
      </c>
      <c r="C266" s="39">
        <f>IF(EXACT(MAIN!$H266, ""), "", MAIN!$B266)</f>
        <v>25000000000263</v>
      </c>
      <c r="D266" s="38" t="str">
        <f>IF(EXACT(MAIN!$H266, ""), "", MAIN!$C266)</f>
        <v>Listyo Hartanto</v>
      </c>
      <c r="E266" s="39" t="str">
        <f>IF(EXACT(MAIN!$B266, ""), "", ""&amp;MAIN!$D266)</f>
        <v/>
      </c>
      <c r="G266" s="2">
        <f t="shared" si="4"/>
        <v>25000000000263</v>
      </c>
    </row>
    <row r="267" spans="2:7" x14ac:dyDescent="0.2">
      <c r="B267" s="35">
        <f>IF(EXACT(MAIN!$H267, ""), "", MAIN!$G267)</f>
        <v>32000000000264</v>
      </c>
      <c r="C267" s="39">
        <f>IF(EXACT(MAIN!$H267, ""), "", MAIN!$B267)</f>
        <v>25000000000264</v>
      </c>
      <c r="D267" s="38" t="str">
        <f>IF(EXACT(MAIN!$H267, ""), "", MAIN!$C267)</f>
        <v>M. Ari Ardizah Nasution</v>
      </c>
      <c r="E267" s="39" t="str">
        <f>IF(EXACT(MAIN!$B267, ""), "", ""&amp;MAIN!$D267)</f>
        <v/>
      </c>
      <c r="G267" s="2">
        <f t="shared" si="4"/>
        <v>25000000000264</v>
      </c>
    </row>
    <row r="268" spans="2:7" x14ac:dyDescent="0.2">
      <c r="B268" s="35">
        <f>IF(EXACT(MAIN!$H268, ""), "", MAIN!$G268)</f>
        <v>32000000000265</v>
      </c>
      <c r="C268" s="39">
        <f>IF(EXACT(MAIN!$H268, ""), "", MAIN!$B268)</f>
        <v>25000000000265</v>
      </c>
      <c r="D268" s="38" t="str">
        <f>IF(EXACT(MAIN!$H268, ""), "", MAIN!$C268)</f>
        <v>M. Denny  Micrazudin</v>
      </c>
      <c r="E268" s="39" t="str">
        <f>IF(EXACT(MAIN!$B268, ""), "", ""&amp;MAIN!$D268)</f>
        <v/>
      </c>
      <c r="G268" s="2">
        <f t="shared" si="4"/>
        <v>25000000000265</v>
      </c>
    </row>
    <row r="269" spans="2:7" x14ac:dyDescent="0.2">
      <c r="B269" s="35">
        <f>IF(EXACT(MAIN!$H269, ""), "", MAIN!$G269)</f>
        <v>32000000000266</v>
      </c>
      <c r="C269" s="39">
        <f>IF(EXACT(MAIN!$H269, ""), "", MAIN!$B269)</f>
        <v>25000000000266</v>
      </c>
      <c r="D269" s="38" t="str">
        <f>IF(EXACT(MAIN!$H269, ""), "", MAIN!$C269)</f>
        <v>M. Ridho Pramudia</v>
      </c>
      <c r="E269" s="39" t="str">
        <f>IF(EXACT(MAIN!$B269, ""), "", ""&amp;MAIN!$D269)</f>
        <v/>
      </c>
      <c r="G269" s="2">
        <f t="shared" si="4"/>
        <v>25000000000266</v>
      </c>
    </row>
    <row r="270" spans="2:7" x14ac:dyDescent="0.2">
      <c r="B270" s="35">
        <f>IF(EXACT(MAIN!$H270, ""), "", MAIN!$G270)</f>
        <v>32000000000267</v>
      </c>
      <c r="C270" s="39">
        <f>IF(EXACT(MAIN!$H270, ""), "", MAIN!$B270)</f>
        <v>25000000000267</v>
      </c>
      <c r="D270" s="38" t="str">
        <f>IF(EXACT(MAIN!$H270, ""), "", MAIN!$C270)</f>
        <v>M. Rusdi</v>
      </c>
      <c r="E270" s="39" t="str">
        <f>IF(EXACT(MAIN!$B270, ""), "", ""&amp;MAIN!$D270)</f>
        <v/>
      </c>
      <c r="G270" s="2">
        <f t="shared" si="4"/>
        <v>25000000000267</v>
      </c>
    </row>
    <row r="271" spans="2:7" x14ac:dyDescent="0.2">
      <c r="B271" s="35">
        <f>IF(EXACT(MAIN!$H271, ""), "", MAIN!$G271)</f>
        <v>32000000000268</v>
      </c>
      <c r="C271" s="39">
        <f>IF(EXACT(MAIN!$H271, ""), "", MAIN!$B271)</f>
        <v>25000000000268</v>
      </c>
      <c r="D271" s="38" t="str">
        <f>IF(EXACT(MAIN!$H271, ""), "", MAIN!$C271)</f>
        <v>M. Ervan Isyawal Akbar</v>
      </c>
      <c r="E271" s="39" t="str">
        <f>IF(EXACT(MAIN!$B271, ""), "", ""&amp;MAIN!$D271)</f>
        <v/>
      </c>
      <c r="G271" s="2">
        <f t="shared" si="4"/>
        <v>25000000000268</v>
      </c>
    </row>
    <row r="272" spans="2:7" x14ac:dyDescent="0.2">
      <c r="B272" s="35">
        <f>IF(EXACT(MAIN!$H272, ""), "", MAIN!$G272)</f>
        <v>32000000000269</v>
      </c>
      <c r="C272" s="39">
        <f>IF(EXACT(MAIN!$H272, ""), "", MAIN!$B272)</f>
        <v>25000000000269</v>
      </c>
      <c r="D272" s="38" t="str">
        <f>IF(EXACT(MAIN!$H272, ""), "", MAIN!$C272)</f>
        <v>Maharani Tanjungsari</v>
      </c>
      <c r="E272" s="39" t="str">
        <f>IF(EXACT(MAIN!$B272, ""), "", ""&amp;MAIN!$D272)</f>
        <v/>
      </c>
      <c r="G272" s="2">
        <f t="shared" si="4"/>
        <v>25000000000269</v>
      </c>
    </row>
    <row r="273" spans="2:7" x14ac:dyDescent="0.2">
      <c r="B273" s="35">
        <f>IF(EXACT(MAIN!$H273, ""), "", MAIN!$G273)</f>
        <v>32000000000270</v>
      </c>
      <c r="C273" s="39">
        <f>IF(EXACT(MAIN!$H273, ""), "", MAIN!$B273)</f>
        <v>25000000000270</v>
      </c>
      <c r="D273" s="38" t="str">
        <f>IF(EXACT(MAIN!$H273, ""), "", MAIN!$C273)</f>
        <v>Maharani Uthmaniah</v>
      </c>
      <c r="E273" s="39" t="str">
        <f>IF(EXACT(MAIN!$B273, ""), "", ""&amp;MAIN!$D273)</f>
        <v/>
      </c>
      <c r="G273" s="2">
        <f t="shared" si="4"/>
        <v>25000000000270</v>
      </c>
    </row>
    <row r="274" spans="2:7" x14ac:dyDescent="0.2">
      <c r="B274" s="35">
        <f>IF(EXACT(MAIN!$H274, ""), "", MAIN!$G274)</f>
        <v>32000000000271</v>
      </c>
      <c r="C274" s="39">
        <f>IF(EXACT(MAIN!$H274, ""), "", MAIN!$B274)</f>
        <v>25000000000271</v>
      </c>
      <c r="D274" s="38" t="str">
        <f>IF(EXACT(MAIN!$H274, ""), "", MAIN!$C274)</f>
        <v>Manotar Tamba</v>
      </c>
      <c r="E274" s="39" t="str">
        <f>IF(EXACT(MAIN!$B274, ""), "", ""&amp;MAIN!$D274)</f>
        <v/>
      </c>
      <c r="G274" s="2">
        <f t="shared" si="4"/>
        <v>25000000000271</v>
      </c>
    </row>
    <row r="275" spans="2:7" x14ac:dyDescent="0.2">
      <c r="B275" s="35">
        <f>IF(EXACT(MAIN!$H275, ""), "", MAIN!$G275)</f>
        <v>32000000000272</v>
      </c>
      <c r="C275" s="39">
        <f>IF(EXACT(MAIN!$H275, ""), "", MAIN!$B275)</f>
        <v>25000000000272</v>
      </c>
      <c r="D275" s="38" t="str">
        <f>IF(EXACT(MAIN!$H275, ""), "", MAIN!$C275)</f>
        <v>Maradona Manurung</v>
      </c>
      <c r="E275" s="39" t="str">
        <f>IF(EXACT(MAIN!$B275, ""), "", ""&amp;MAIN!$D275)</f>
        <v/>
      </c>
      <c r="G275" s="2">
        <f t="shared" si="4"/>
        <v>25000000000272</v>
      </c>
    </row>
    <row r="276" spans="2:7" x14ac:dyDescent="0.2">
      <c r="B276" s="35">
        <f>IF(EXACT(MAIN!$H276, ""), "", MAIN!$G276)</f>
        <v>32000000000273</v>
      </c>
      <c r="C276" s="39">
        <f>IF(EXACT(MAIN!$H276, ""), "", MAIN!$B276)</f>
        <v>25000000000273</v>
      </c>
      <c r="D276" s="38" t="str">
        <f>IF(EXACT(MAIN!$H276, ""), "", MAIN!$C276)</f>
        <v>Pantas Banjarnahor Marbun</v>
      </c>
      <c r="E276" s="39" t="str">
        <f>IF(EXACT(MAIN!$B276, ""), "", ""&amp;MAIN!$D276)</f>
        <v>160603011</v>
      </c>
      <c r="G276" s="2">
        <f t="shared" si="4"/>
        <v>25000000000273</v>
      </c>
    </row>
    <row r="277" spans="2:7" x14ac:dyDescent="0.2">
      <c r="B277" s="35">
        <f>IF(EXACT(MAIN!$H277, ""), "", MAIN!$G277)</f>
        <v>32000000000274</v>
      </c>
      <c r="C277" s="39">
        <f>IF(EXACT(MAIN!$H277, ""), "", MAIN!$B277)</f>
        <v>25000000000274</v>
      </c>
      <c r="D277" s="38" t="str">
        <f>IF(EXACT(MAIN!$H277, ""), "", MAIN!$C277)</f>
        <v>Marcella Avia Ramadhinaningrum</v>
      </c>
      <c r="E277" s="39" t="str">
        <f>IF(EXACT(MAIN!$B277, ""), "", ""&amp;MAIN!$D277)</f>
        <v/>
      </c>
      <c r="G277" s="2">
        <f t="shared" si="4"/>
        <v>25000000000274</v>
      </c>
    </row>
    <row r="278" spans="2:7" x14ac:dyDescent="0.2">
      <c r="B278" s="35">
        <f>IF(EXACT(MAIN!$H278, ""), "", MAIN!$G278)</f>
        <v>32000000000275</v>
      </c>
      <c r="C278" s="39">
        <f>IF(EXACT(MAIN!$H278, ""), "", MAIN!$B278)</f>
        <v>25000000000275</v>
      </c>
      <c r="D278" s="38" t="str">
        <f>IF(EXACT(MAIN!$H278, ""), "", MAIN!$C278)</f>
        <v>Marissa Watak</v>
      </c>
      <c r="E278" s="39" t="str">
        <f>IF(EXACT(MAIN!$B278, ""), "", ""&amp;MAIN!$D278)</f>
        <v/>
      </c>
      <c r="G278" s="2">
        <f t="shared" si="4"/>
        <v>25000000000275</v>
      </c>
    </row>
    <row r="279" spans="2:7" x14ac:dyDescent="0.2">
      <c r="B279" s="35">
        <f>IF(EXACT(MAIN!$H279, ""), "", MAIN!$G279)</f>
        <v>32000000000276</v>
      </c>
      <c r="C279" s="39">
        <f>IF(EXACT(MAIN!$H279, ""), "", MAIN!$B279)</f>
        <v>25000000000276</v>
      </c>
      <c r="D279" s="38" t="str">
        <f>IF(EXACT(MAIN!$H279, ""), "", MAIN!$C279)</f>
        <v>Marten Tabun</v>
      </c>
      <c r="E279" s="39" t="str">
        <f>IF(EXACT(MAIN!$B279, ""), "", ""&amp;MAIN!$D279)</f>
        <v>010513665</v>
      </c>
      <c r="G279" s="2">
        <f t="shared" si="4"/>
        <v>25000000000276</v>
      </c>
    </row>
    <row r="280" spans="2:7" x14ac:dyDescent="0.2">
      <c r="B280" s="35">
        <f>IF(EXACT(MAIN!$H280, ""), "", MAIN!$G280)</f>
        <v>32000000000277</v>
      </c>
      <c r="C280" s="39">
        <f>IF(EXACT(MAIN!$H280, ""), "", MAIN!$B280)</f>
        <v>25000000000277</v>
      </c>
      <c r="D280" s="38" t="str">
        <f>IF(EXACT(MAIN!$H280, ""), "", MAIN!$C280)</f>
        <v>Martimbul Rahman</v>
      </c>
      <c r="E280" s="39" t="str">
        <f>IF(EXACT(MAIN!$B280, ""), "", ""&amp;MAIN!$D280)</f>
        <v>110621951</v>
      </c>
      <c r="G280" s="2">
        <f t="shared" si="4"/>
        <v>25000000000277</v>
      </c>
    </row>
    <row r="281" spans="2:7" x14ac:dyDescent="0.2">
      <c r="B281" s="35">
        <f>IF(EXACT(MAIN!$H281, ""), "", MAIN!$G281)</f>
        <v>32000000000278</v>
      </c>
      <c r="C281" s="39">
        <f>IF(EXACT(MAIN!$H281, ""), "", MAIN!$B281)</f>
        <v>25000000000278</v>
      </c>
      <c r="D281" s="38" t="str">
        <f>IF(EXACT(MAIN!$H281, ""), "", MAIN!$C281)</f>
        <v>T. Marungkil U. S. Sagala</v>
      </c>
      <c r="E281" s="39" t="str">
        <f>IF(EXACT(MAIN!$B281, ""), "", ""&amp;MAIN!$D281)</f>
        <v>010210516</v>
      </c>
      <c r="G281" s="2">
        <f t="shared" si="4"/>
        <v>25000000000278</v>
      </c>
    </row>
    <row r="282" spans="2:7" x14ac:dyDescent="0.2">
      <c r="B282" s="35">
        <f>IF(EXACT(MAIN!$H282, ""), "", MAIN!$G282)</f>
        <v>32000000000279</v>
      </c>
      <c r="C282" s="39">
        <f>IF(EXACT(MAIN!$H282, ""), "", MAIN!$B282)</f>
        <v>25000000000279</v>
      </c>
      <c r="D282" s="38" t="str">
        <f>IF(EXACT(MAIN!$H282, ""), "", MAIN!$C282)</f>
        <v>Marzuki</v>
      </c>
      <c r="E282" s="39" t="str">
        <f>IF(EXACT(MAIN!$B282, ""), "", ""&amp;MAIN!$D282)</f>
        <v/>
      </c>
      <c r="G282" s="2">
        <f t="shared" si="4"/>
        <v>25000000000279</v>
      </c>
    </row>
    <row r="283" spans="2:7" x14ac:dyDescent="0.2">
      <c r="B283" s="35">
        <f>IF(EXACT(MAIN!$H283, ""), "", MAIN!$G283)</f>
        <v>32000000000280</v>
      </c>
      <c r="C283" s="39">
        <f>IF(EXACT(MAIN!$H283, ""), "", MAIN!$B283)</f>
        <v>25000000000280</v>
      </c>
      <c r="D283" s="38" t="str">
        <f>IF(EXACT(MAIN!$H283, ""), "", MAIN!$C283)</f>
        <v>Mashuri Mashuri</v>
      </c>
      <c r="E283" s="39" t="str">
        <f>IF(EXACT(MAIN!$B283, ""), "", ""&amp;MAIN!$D283)</f>
        <v/>
      </c>
      <c r="G283" s="2">
        <f t="shared" si="4"/>
        <v>25000000000280</v>
      </c>
    </row>
    <row r="284" spans="2:7" x14ac:dyDescent="0.2">
      <c r="B284" s="35">
        <f>IF(EXACT(MAIN!$H284, ""), "", MAIN!$G284)</f>
        <v>32000000000281</v>
      </c>
      <c r="C284" s="39">
        <f>IF(EXACT(MAIN!$H284, ""), "", MAIN!$B284)</f>
        <v>25000000000281</v>
      </c>
      <c r="D284" s="38" t="str">
        <f>IF(EXACT(MAIN!$H284, ""), "", MAIN!$C284)</f>
        <v>Mat Soleh</v>
      </c>
      <c r="E284" s="39" t="str">
        <f>IF(EXACT(MAIN!$B284, ""), "", ""&amp;MAIN!$D284)</f>
        <v/>
      </c>
      <c r="G284" s="2">
        <f t="shared" si="4"/>
        <v>25000000000281</v>
      </c>
    </row>
    <row r="285" spans="2:7" x14ac:dyDescent="0.2">
      <c r="B285" s="35">
        <f>IF(EXACT(MAIN!$H285, ""), "", MAIN!$G285)</f>
        <v>32000000000282</v>
      </c>
      <c r="C285" s="39">
        <f>IF(EXACT(MAIN!$H285, ""), "", MAIN!$B285)</f>
        <v>25000000000282</v>
      </c>
      <c r="D285" s="38" t="str">
        <f>IF(EXACT(MAIN!$H285, ""), "", MAIN!$C285)</f>
        <v>Mhd Syahputra</v>
      </c>
      <c r="E285" s="39" t="str">
        <f>IF(EXACT(MAIN!$B285, ""), "", ""&amp;MAIN!$D285)</f>
        <v/>
      </c>
      <c r="G285" s="2">
        <f t="shared" si="4"/>
        <v>25000000000282</v>
      </c>
    </row>
    <row r="286" spans="2:7" x14ac:dyDescent="0.2">
      <c r="B286" s="35">
        <f>IF(EXACT(MAIN!$H286, ""), "", MAIN!$G286)</f>
        <v>32000000000283</v>
      </c>
      <c r="C286" s="39">
        <f>IF(EXACT(MAIN!$H286, ""), "", MAIN!$B286)</f>
        <v>25000000000283</v>
      </c>
      <c r="D286" s="38" t="str">
        <f>IF(EXACT(MAIN!$H286, ""), "", MAIN!$C286)</f>
        <v>Mia Puspitasari</v>
      </c>
      <c r="E286" s="39" t="str">
        <f>IF(EXACT(MAIN!$B286, ""), "", ""&amp;MAIN!$D286)</f>
        <v/>
      </c>
      <c r="G286" s="2">
        <f t="shared" si="4"/>
        <v>25000000000283</v>
      </c>
    </row>
    <row r="287" spans="2:7" x14ac:dyDescent="0.2">
      <c r="B287" s="35">
        <f>IF(EXACT(MAIN!$H287, ""), "", MAIN!$G287)</f>
        <v>32000000000284</v>
      </c>
      <c r="C287" s="39">
        <f>IF(EXACT(MAIN!$H287, ""), "", MAIN!$B287)</f>
        <v>25000000000284</v>
      </c>
      <c r="D287" s="38" t="str">
        <f>IF(EXACT(MAIN!$H287, ""), "", MAIN!$C287)</f>
        <v>Midin Ena</v>
      </c>
      <c r="E287" s="39" t="str">
        <f>IF(EXACT(MAIN!$B287, ""), "", ""&amp;MAIN!$D287)</f>
        <v/>
      </c>
      <c r="G287" s="2">
        <f t="shared" si="4"/>
        <v>25000000000284</v>
      </c>
    </row>
    <row r="288" spans="2:7" x14ac:dyDescent="0.2">
      <c r="B288" s="35">
        <f>IF(EXACT(MAIN!$H288, ""), "", MAIN!$G288)</f>
        <v>32000000000285</v>
      </c>
      <c r="C288" s="39">
        <f>IF(EXACT(MAIN!$H288, ""), "", MAIN!$B288)</f>
        <v>25000000000285</v>
      </c>
      <c r="D288" s="38" t="str">
        <f>IF(EXACT(MAIN!$H288, ""), "", MAIN!$C288)</f>
        <v>Miftakhul Muzakky</v>
      </c>
      <c r="E288" s="39" t="str">
        <f>IF(EXACT(MAIN!$B288, ""), "", ""&amp;MAIN!$D288)</f>
        <v/>
      </c>
      <c r="G288" s="2">
        <f t="shared" si="4"/>
        <v>25000000000285</v>
      </c>
    </row>
    <row r="289" spans="2:7" x14ac:dyDescent="0.2">
      <c r="B289" s="35">
        <f>IF(EXACT(MAIN!$H289, ""), "", MAIN!$G289)</f>
        <v>32000000000286</v>
      </c>
      <c r="C289" s="39">
        <f>IF(EXACT(MAIN!$H289, ""), "", MAIN!$B289)</f>
        <v>25000000000286</v>
      </c>
      <c r="D289" s="38" t="str">
        <f>IF(EXACT(MAIN!$H289, ""), "", MAIN!$C289)</f>
        <v>Mista</v>
      </c>
      <c r="E289" s="39" t="str">
        <f>IF(EXACT(MAIN!$B289, ""), "", ""&amp;MAIN!$D289)</f>
        <v/>
      </c>
      <c r="G289" s="2">
        <f t="shared" si="4"/>
        <v>25000000000286</v>
      </c>
    </row>
    <row r="290" spans="2:7" x14ac:dyDescent="0.2">
      <c r="B290" s="35">
        <f>IF(EXACT(MAIN!$H290, ""), "", MAIN!$G290)</f>
        <v>32000000000287</v>
      </c>
      <c r="C290" s="39">
        <f>IF(EXACT(MAIN!$H290, ""), "", MAIN!$B290)</f>
        <v>25000000000287</v>
      </c>
      <c r="D290" s="38" t="str">
        <f>IF(EXACT(MAIN!$H290, ""), "", MAIN!$C290)</f>
        <v>Mochamad Samman</v>
      </c>
      <c r="E290" s="39" t="str">
        <f>IF(EXACT(MAIN!$B290, ""), "", ""&amp;MAIN!$D290)</f>
        <v/>
      </c>
      <c r="G290" s="2">
        <f t="shared" si="4"/>
        <v>25000000000287</v>
      </c>
    </row>
    <row r="291" spans="2:7" x14ac:dyDescent="0.2">
      <c r="B291" s="35">
        <f>IF(EXACT(MAIN!$H291, ""), "", MAIN!$G291)</f>
        <v>32000000000288</v>
      </c>
      <c r="C291" s="39">
        <f>IF(EXACT(MAIN!$H291, ""), "", MAIN!$B291)</f>
        <v>25000000000288</v>
      </c>
      <c r="D291" s="38" t="str">
        <f>IF(EXACT(MAIN!$H291, ""), "", MAIN!$C291)</f>
        <v>Moh. Afif</v>
      </c>
      <c r="E291" s="39" t="str">
        <f>IF(EXACT(MAIN!$B291, ""), "", ""&amp;MAIN!$D291)</f>
        <v/>
      </c>
      <c r="G291" s="2">
        <f t="shared" si="4"/>
        <v>25000000000288</v>
      </c>
    </row>
    <row r="292" spans="2:7" x14ac:dyDescent="0.2">
      <c r="B292" s="35">
        <f>IF(EXACT(MAIN!$H292, ""), "", MAIN!$G292)</f>
        <v>32000000000289</v>
      </c>
      <c r="C292" s="39">
        <f>IF(EXACT(MAIN!$H292, ""), "", MAIN!$B292)</f>
        <v>25000000000289</v>
      </c>
      <c r="D292" s="38" t="str">
        <f>IF(EXACT(MAIN!$H292, ""), "", MAIN!$C292)</f>
        <v>Mohammad Arman Tompo</v>
      </c>
      <c r="E292" s="39" t="str">
        <f>IF(EXACT(MAIN!$B292, ""), "", ""&amp;MAIN!$D292)</f>
        <v/>
      </c>
      <c r="G292" s="2">
        <f t="shared" si="4"/>
        <v>25000000000289</v>
      </c>
    </row>
    <row r="293" spans="2:7" x14ac:dyDescent="0.2">
      <c r="B293" s="35">
        <f>IF(EXACT(MAIN!$H293, ""), "", MAIN!$G293)</f>
        <v>32000000000290</v>
      </c>
      <c r="C293" s="39">
        <f>IF(EXACT(MAIN!$H293, ""), "", MAIN!$B293)</f>
        <v>25000000000290</v>
      </c>
      <c r="D293" s="38" t="str">
        <f>IF(EXACT(MAIN!$H293, ""), "", MAIN!$C293)</f>
        <v>Mohd. Elfan Pratama</v>
      </c>
      <c r="E293" s="39" t="str">
        <f>IF(EXACT(MAIN!$B293, ""), "", ""&amp;MAIN!$D293)</f>
        <v/>
      </c>
      <c r="G293" s="2">
        <f t="shared" si="4"/>
        <v>25000000000290</v>
      </c>
    </row>
    <row r="294" spans="2:7" x14ac:dyDescent="0.2">
      <c r="B294" s="35">
        <f>IF(EXACT(MAIN!$H294, ""), "", MAIN!$G294)</f>
        <v>32000000000291</v>
      </c>
      <c r="C294" s="39">
        <f>IF(EXACT(MAIN!$H294, ""), "", MAIN!$B294)</f>
        <v>25000000000291</v>
      </c>
      <c r="D294" s="38" t="str">
        <f>IF(EXACT(MAIN!$H294, ""), "", MAIN!$C294)</f>
        <v>Monang Simarmata</v>
      </c>
      <c r="E294" s="39" t="str">
        <f>IF(EXACT(MAIN!$B294, ""), "", ""&amp;MAIN!$D294)</f>
        <v/>
      </c>
      <c r="G294" s="2">
        <f t="shared" si="4"/>
        <v>25000000000291</v>
      </c>
    </row>
    <row r="295" spans="2:7" x14ac:dyDescent="0.2">
      <c r="B295" s="35">
        <f>IF(EXACT(MAIN!$H295, ""), "", MAIN!$G295)</f>
        <v>32000000000292</v>
      </c>
      <c r="C295" s="39">
        <f>IF(EXACT(MAIN!$H295, ""), "", MAIN!$B295)</f>
        <v>25000000000292</v>
      </c>
      <c r="D295" s="38" t="str">
        <f>IF(EXACT(MAIN!$H295, ""), "", MAIN!$C295)</f>
        <v>Moritz Thomsen Marbun</v>
      </c>
      <c r="E295" s="39" t="str">
        <f>IF(EXACT(MAIN!$B295, ""), "", ""&amp;MAIN!$D295)</f>
        <v/>
      </c>
      <c r="G295" s="2">
        <f t="shared" si="4"/>
        <v>25000000000292</v>
      </c>
    </row>
    <row r="296" spans="2:7" x14ac:dyDescent="0.2">
      <c r="B296" s="35">
        <f>IF(EXACT(MAIN!$H296, ""), "", MAIN!$G296)</f>
        <v>32000000000293</v>
      </c>
      <c r="C296" s="39">
        <f>IF(EXACT(MAIN!$H296, ""), "", MAIN!$B296)</f>
        <v>25000000000293</v>
      </c>
      <c r="D296" s="38" t="str">
        <f>IF(EXACT(MAIN!$H296, ""), "", MAIN!$C296)</f>
        <v>Muhamad Hamdan Rifai</v>
      </c>
      <c r="E296" s="39" t="str">
        <f>IF(EXACT(MAIN!$B296, ""), "", ""&amp;MAIN!$D296)</f>
        <v/>
      </c>
      <c r="G296" s="2">
        <f t="shared" si="4"/>
        <v>25000000000293</v>
      </c>
    </row>
    <row r="297" spans="2:7" x14ac:dyDescent="0.2">
      <c r="B297" s="35">
        <f>IF(EXACT(MAIN!$H297, ""), "", MAIN!$G297)</f>
        <v>32000000000294</v>
      </c>
      <c r="C297" s="39">
        <f>IF(EXACT(MAIN!$H297, ""), "", MAIN!$B297)</f>
        <v>25000000000294</v>
      </c>
      <c r="D297" s="38" t="str">
        <f>IF(EXACT(MAIN!$H297, ""), "", MAIN!$C297)</f>
        <v>Muhamad Ikhsan</v>
      </c>
      <c r="E297" s="39" t="str">
        <f>IF(EXACT(MAIN!$B297, ""), "", ""&amp;MAIN!$D297)</f>
        <v/>
      </c>
      <c r="G297" s="2">
        <f t="shared" si="4"/>
        <v>25000000000294</v>
      </c>
    </row>
    <row r="298" spans="2:7" x14ac:dyDescent="0.2">
      <c r="B298" s="35">
        <f>IF(EXACT(MAIN!$H298, ""), "", MAIN!$G298)</f>
        <v>32000000000295</v>
      </c>
      <c r="C298" s="39">
        <f>IF(EXACT(MAIN!$H298, ""), "", MAIN!$B298)</f>
        <v>25000000000295</v>
      </c>
      <c r="D298" s="38" t="str">
        <f>IF(EXACT(MAIN!$H298, ""), "", MAIN!$C298)</f>
        <v>Muhamad Nurhamsach</v>
      </c>
      <c r="E298" s="39" t="str">
        <f>IF(EXACT(MAIN!$B298, ""), "", ""&amp;MAIN!$D298)</f>
        <v/>
      </c>
      <c r="G298" s="2">
        <f t="shared" si="4"/>
        <v>25000000000295</v>
      </c>
    </row>
    <row r="299" spans="2:7" x14ac:dyDescent="0.2">
      <c r="B299" s="35">
        <f>IF(EXACT(MAIN!$H299, ""), "", MAIN!$G299)</f>
        <v>32000000000296</v>
      </c>
      <c r="C299" s="39">
        <f>IF(EXACT(MAIN!$H299, ""), "", MAIN!$B299)</f>
        <v>25000000000296</v>
      </c>
      <c r="D299" s="38" t="str">
        <f>IF(EXACT(MAIN!$H299, ""), "", MAIN!$C299)</f>
        <v>Muhammad Ardiansyah</v>
      </c>
      <c r="E299" s="39" t="str">
        <f>IF(EXACT(MAIN!$B299, ""), "", ""&amp;MAIN!$D299)</f>
        <v/>
      </c>
      <c r="G299" s="2">
        <f t="shared" si="4"/>
        <v>25000000000296</v>
      </c>
    </row>
    <row r="300" spans="2:7" x14ac:dyDescent="0.2">
      <c r="B300" s="35">
        <f>IF(EXACT(MAIN!$H300, ""), "", MAIN!$G300)</f>
        <v>32000000000297</v>
      </c>
      <c r="C300" s="39">
        <f>IF(EXACT(MAIN!$H300, ""), "", MAIN!$B300)</f>
        <v>25000000000297</v>
      </c>
      <c r="D300" s="38" t="str">
        <f>IF(EXACT(MAIN!$H300, ""), "", MAIN!$C300)</f>
        <v>Muhammad Khadafy</v>
      </c>
      <c r="E300" s="39" t="str">
        <f>IF(EXACT(MAIN!$B300, ""), "", ""&amp;MAIN!$D300)</f>
        <v/>
      </c>
      <c r="G300" s="2">
        <f t="shared" si="4"/>
        <v>25000000000297</v>
      </c>
    </row>
    <row r="301" spans="2:7" x14ac:dyDescent="0.2">
      <c r="B301" s="35">
        <f>IF(EXACT(MAIN!$H301, ""), "", MAIN!$G301)</f>
        <v>32000000000298</v>
      </c>
      <c r="C301" s="39">
        <f>IF(EXACT(MAIN!$H301, ""), "", MAIN!$B301)</f>
        <v>25000000000298</v>
      </c>
      <c r="D301" s="38" t="str">
        <f>IF(EXACT(MAIN!$H301, ""), "", MAIN!$C301)</f>
        <v>Muhammad Taufan</v>
      </c>
      <c r="E301" s="39" t="str">
        <f>IF(EXACT(MAIN!$B301, ""), "", ""&amp;MAIN!$D301)</f>
        <v/>
      </c>
      <c r="G301" s="2">
        <f t="shared" si="4"/>
        <v>25000000000298</v>
      </c>
    </row>
    <row r="302" spans="2:7" x14ac:dyDescent="0.2">
      <c r="B302" s="35">
        <f>IF(EXACT(MAIN!$H302, ""), "", MAIN!$G302)</f>
        <v>32000000000299</v>
      </c>
      <c r="C302" s="39">
        <f>IF(EXACT(MAIN!$H302, ""), "", MAIN!$B302)</f>
        <v>25000000000299</v>
      </c>
      <c r="D302" s="38" t="str">
        <f>IF(EXACT(MAIN!$H302, ""), "", MAIN!$C302)</f>
        <v>Muklis</v>
      </c>
      <c r="E302" s="39" t="str">
        <f>IF(EXACT(MAIN!$B302, ""), "", ""&amp;MAIN!$D302)</f>
        <v/>
      </c>
      <c r="G302" s="2">
        <f t="shared" si="4"/>
        <v>25000000000299</v>
      </c>
    </row>
    <row r="303" spans="2:7" x14ac:dyDescent="0.2">
      <c r="B303" s="35">
        <f>IF(EXACT(MAIN!$H303, ""), "", MAIN!$G303)</f>
        <v>32000000000300</v>
      </c>
      <c r="C303" s="39">
        <f>IF(EXACT(MAIN!$H303, ""), "", MAIN!$B303)</f>
        <v>25000000000300</v>
      </c>
      <c r="D303" s="38" t="str">
        <f>IF(EXACT(MAIN!$H303, ""), "", MAIN!$C303)</f>
        <v>Mulia Rohanson Harahap</v>
      </c>
      <c r="E303" s="39" t="str">
        <f>IF(EXACT(MAIN!$B303, ""), "", ""&amp;MAIN!$D303)</f>
        <v/>
      </c>
      <c r="G303" s="2">
        <f t="shared" si="4"/>
        <v>25000000000300</v>
      </c>
    </row>
    <row r="304" spans="2:7" x14ac:dyDescent="0.2">
      <c r="B304" s="35">
        <f>IF(EXACT(MAIN!$H304, ""), "", MAIN!$G304)</f>
        <v>32000000000301</v>
      </c>
      <c r="C304" s="39">
        <f>IF(EXACT(MAIN!$H304, ""), "", MAIN!$B304)</f>
        <v>25000000000301</v>
      </c>
      <c r="D304" s="38" t="str">
        <f>IF(EXACT(MAIN!$H304, ""), "", MAIN!$C304)</f>
        <v>Mullan Tresna</v>
      </c>
      <c r="E304" s="39" t="str">
        <f>IF(EXACT(MAIN!$B304, ""), "", ""&amp;MAIN!$D304)</f>
        <v>030105116</v>
      </c>
      <c r="G304" s="2">
        <f t="shared" si="4"/>
        <v>25000000000301</v>
      </c>
    </row>
    <row r="305" spans="2:7" x14ac:dyDescent="0.2">
      <c r="B305" s="35">
        <f>IF(EXACT(MAIN!$H305, ""), "", MAIN!$G305)</f>
        <v>32000000000302</v>
      </c>
      <c r="C305" s="39">
        <f>IF(EXACT(MAIN!$H305, ""), "", MAIN!$B305)</f>
        <v>25000000000302</v>
      </c>
      <c r="D305" s="38" t="str">
        <f>IF(EXACT(MAIN!$H305, ""), "", MAIN!$C305)</f>
        <v>Mulyadi</v>
      </c>
      <c r="E305" s="39" t="str">
        <f>IF(EXACT(MAIN!$B305, ""), "", ""&amp;MAIN!$D305)</f>
        <v/>
      </c>
      <c r="G305" s="2">
        <f t="shared" si="4"/>
        <v>25000000000302</v>
      </c>
    </row>
    <row r="306" spans="2:7" x14ac:dyDescent="0.2">
      <c r="B306" s="35">
        <f>IF(EXACT(MAIN!$H306, ""), "", MAIN!$G306)</f>
        <v>32000000000303</v>
      </c>
      <c r="C306" s="39">
        <f>IF(EXACT(MAIN!$H306, ""), "", MAIN!$B306)</f>
        <v>25000000000303</v>
      </c>
      <c r="D306" s="38" t="str">
        <f>IF(EXACT(MAIN!$H306, ""), "", MAIN!$C306)</f>
        <v>Mulyono</v>
      </c>
      <c r="E306" s="39" t="str">
        <f>IF(EXACT(MAIN!$B306, ""), "", ""&amp;MAIN!$D306)</f>
        <v/>
      </c>
      <c r="G306" s="2">
        <f t="shared" si="4"/>
        <v>25000000000303</v>
      </c>
    </row>
    <row r="307" spans="2:7" x14ac:dyDescent="0.2">
      <c r="B307" s="35">
        <f>IF(EXACT(MAIN!$H307, ""), "", MAIN!$G307)</f>
        <v>32000000000304</v>
      </c>
      <c r="C307" s="39">
        <f>IF(EXACT(MAIN!$H307, ""), "", MAIN!$B307)</f>
        <v>25000000000304</v>
      </c>
      <c r="D307" s="38" t="str">
        <f>IF(EXACT(MAIN!$H307, ""), "", MAIN!$C307)</f>
        <v>Murdiansyah</v>
      </c>
      <c r="E307" s="39" t="str">
        <f>IF(EXACT(MAIN!$B307, ""), "", ""&amp;MAIN!$D307)</f>
        <v/>
      </c>
      <c r="G307" s="2">
        <f t="shared" si="4"/>
        <v>25000000000304</v>
      </c>
    </row>
    <row r="308" spans="2:7" x14ac:dyDescent="0.2">
      <c r="B308" s="35">
        <f>IF(EXACT(MAIN!$H308, ""), "", MAIN!$G308)</f>
        <v>32000000000305</v>
      </c>
      <c r="C308" s="39">
        <f>IF(EXACT(MAIN!$H308, ""), "", MAIN!$B308)</f>
        <v>25000000000305</v>
      </c>
      <c r="D308" s="38" t="str">
        <f>IF(EXACT(MAIN!$H308, ""), "", MAIN!$C308)</f>
        <v>Mursalim</v>
      </c>
      <c r="E308" s="39" t="str">
        <f>IF(EXACT(MAIN!$B308, ""), "", ""&amp;MAIN!$D308)</f>
        <v/>
      </c>
      <c r="G308" s="2">
        <f t="shared" si="4"/>
        <v>25000000000305</v>
      </c>
    </row>
    <row r="309" spans="2:7" x14ac:dyDescent="0.2">
      <c r="B309" s="35">
        <f>IF(EXACT(MAIN!$H309, ""), "", MAIN!$G309)</f>
        <v>32000000000306</v>
      </c>
      <c r="C309" s="39">
        <f>IF(EXACT(MAIN!$H309, ""), "", MAIN!$B309)</f>
        <v>25000000000306</v>
      </c>
      <c r="D309" s="38" t="str">
        <f>IF(EXACT(MAIN!$H309, ""), "", MAIN!$C309)</f>
        <v>Nancy Meriana Sinaga</v>
      </c>
      <c r="E309" s="39" t="str">
        <f>IF(EXACT(MAIN!$B309, ""), "", ""&amp;MAIN!$D309)</f>
        <v/>
      </c>
      <c r="G309" s="2">
        <f t="shared" si="4"/>
        <v>25000000000306</v>
      </c>
    </row>
    <row r="310" spans="2:7" x14ac:dyDescent="0.2">
      <c r="B310" s="35">
        <f>IF(EXACT(MAIN!$H310, ""), "", MAIN!$G310)</f>
        <v>32000000000307</v>
      </c>
      <c r="C310" s="39">
        <f>IF(EXACT(MAIN!$H310, ""), "", MAIN!$B310)</f>
        <v>25000000000307</v>
      </c>
      <c r="D310" s="38" t="str">
        <f>IF(EXACT(MAIN!$H310, ""), "", MAIN!$C310)</f>
        <v>Nandang Effendi</v>
      </c>
      <c r="E310" s="39" t="str">
        <f>IF(EXACT(MAIN!$B310, ""), "", ""&amp;MAIN!$D310)</f>
        <v>061106279</v>
      </c>
      <c r="G310" s="2">
        <f t="shared" si="4"/>
        <v>25000000000307</v>
      </c>
    </row>
    <row r="311" spans="2:7" x14ac:dyDescent="0.2">
      <c r="B311" s="35">
        <f>IF(EXACT(MAIN!$H311, ""), "", MAIN!$G311)</f>
        <v>32000000000308</v>
      </c>
      <c r="C311" s="39">
        <f>IF(EXACT(MAIN!$H311, ""), "", MAIN!$B311)</f>
        <v>25000000000308</v>
      </c>
      <c r="D311" s="38" t="str">
        <f>IF(EXACT(MAIN!$H311, ""), "", MAIN!$C311)</f>
        <v>Narno</v>
      </c>
      <c r="E311" s="39" t="str">
        <f>IF(EXACT(MAIN!$B311, ""), "", ""&amp;MAIN!$D311)</f>
        <v/>
      </c>
      <c r="G311" s="2">
        <f t="shared" si="4"/>
        <v>25000000000308</v>
      </c>
    </row>
    <row r="312" spans="2:7" x14ac:dyDescent="0.2">
      <c r="B312" s="35">
        <f>IF(EXACT(MAIN!$H312, ""), "", MAIN!$G312)</f>
        <v>32000000000309</v>
      </c>
      <c r="C312" s="39">
        <f>IF(EXACT(MAIN!$H312, ""), "", MAIN!$B312)</f>
        <v>25000000000309</v>
      </c>
      <c r="D312" s="38" t="str">
        <f>IF(EXACT(MAIN!$H312, ""), "", MAIN!$C312)</f>
        <v>Nasrul Anwar P.</v>
      </c>
      <c r="E312" s="39" t="str">
        <f>IF(EXACT(MAIN!$B312, ""), "", ""&amp;MAIN!$D312)</f>
        <v/>
      </c>
      <c r="G312" s="2">
        <f t="shared" si="4"/>
        <v>25000000000309</v>
      </c>
    </row>
    <row r="313" spans="2:7" x14ac:dyDescent="0.2">
      <c r="B313" s="35">
        <f>IF(EXACT(MAIN!$H313, ""), "", MAIN!$G313)</f>
        <v>32000000000310</v>
      </c>
      <c r="C313" s="39">
        <f>IF(EXACT(MAIN!$H313, ""), "", MAIN!$B313)</f>
        <v>25000000000310</v>
      </c>
      <c r="D313" s="38" t="str">
        <f>IF(EXACT(MAIN!$H313, ""), "", MAIN!$C313)</f>
        <v>Nawal</v>
      </c>
      <c r="E313" s="39" t="str">
        <f>IF(EXACT(MAIN!$B313, ""), "", ""&amp;MAIN!$D313)</f>
        <v/>
      </c>
      <c r="G313" s="2">
        <f t="shared" si="4"/>
        <v>25000000000310</v>
      </c>
    </row>
    <row r="314" spans="2:7" x14ac:dyDescent="0.2">
      <c r="B314" s="35">
        <f>IF(EXACT(MAIN!$H314, ""), "", MAIN!$G314)</f>
        <v>32000000000311</v>
      </c>
      <c r="C314" s="39">
        <f>IF(EXACT(MAIN!$H314, ""), "", MAIN!$B314)</f>
        <v>25000000000311</v>
      </c>
      <c r="D314" s="38" t="str">
        <f>IF(EXACT(MAIN!$H314, ""), "", MAIN!$C314)</f>
        <v>Nawir Lahamutu</v>
      </c>
      <c r="E314" s="39" t="str">
        <f>IF(EXACT(MAIN!$B314, ""), "", ""&amp;MAIN!$D314)</f>
        <v/>
      </c>
      <c r="G314" s="2">
        <f t="shared" si="4"/>
        <v>25000000000311</v>
      </c>
    </row>
    <row r="315" spans="2:7" x14ac:dyDescent="0.2">
      <c r="B315" s="35">
        <f>IF(EXACT(MAIN!$H315, ""), "", MAIN!$G315)</f>
        <v>32000000000312</v>
      </c>
      <c r="C315" s="39">
        <f>IF(EXACT(MAIN!$H315, ""), "", MAIN!$B315)</f>
        <v>25000000000312</v>
      </c>
      <c r="D315" s="38" t="str">
        <f>IF(EXACT(MAIN!$H315, ""), "", MAIN!$C315)</f>
        <v>Nicky Kurnia</v>
      </c>
      <c r="E315" s="39" t="str">
        <f>IF(EXACT(MAIN!$B315, ""), "", ""&amp;MAIN!$D315)</f>
        <v/>
      </c>
      <c r="G315" s="2">
        <f t="shared" si="4"/>
        <v>25000000000312</v>
      </c>
    </row>
    <row r="316" spans="2:7" x14ac:dyDescent="0.2">
      <c r="B316" s="35">
        <f>IF(EXACT(MAIN!$H316, ""), "", MAIN!$G316)</f>
        <v>32000000000313</v>
      </c>
      <c r="C316" s="39">
        <f>IF(EXACT(MAIN!$H316, ""), "", MAIN!$B316)</f>
        <v>25000000000313</v>
      </c>
      <c r="D316" s="38" t="str">
        <f>IF(EXACT(MAIN!$H316, ""), "", MAIN!$C316)</f>
        <v>Noercholis Firmansyah</v>
      </c>
      <c r="E316" s="39" t="str">
        <f>IF(EXACT(MAIN!$B316, ""), "", ""&amp;MAIN!$D316)</f>
        <v/>
      </c>
      <c r="G316" s="2">
        <f t="shared" si="4"/>
        <v>25000000000313</v>
      </c>
    </row>
    <row r="317" spans="2:7" x14ac:dyDescent="0.2">
      <c r="B317" s="35">
        <f>IF(EXACT(MAIN!$H317, ""), "", MAIN!$G317)</f>
        <v>32000000000314</v>
      </c>
      <c r="C317" s="39">
        <f>IF(EXACT(MAIN!$H317, ""), "", MAIN!$B317)</f>
        <v>25000000000314</v>
      </c>
      <c r="D317" s="38" t="str">
        <f>IF(EXACT(MAIN!$H317, ""), "", MAIN!$C317)</f>
        <v>Nopitasari</v>
      </c>
      <c r="E317" s="39" t="str">
        <f>IF(EXACT(MAIN!$B317, ""), "", ""&amp;MAIN!$D317)</f>
        <v/>
      </c>
      <c r="G317" s="2">
        <f t="shared" si="4"/>
        <v>25000000000314</v>
      </c>
    </row>
    <row r="318" spans="2:7" x14ac:dyDescent="0.2">
      <c r="B318" s="35">
        <f>IF(EXACT(MAIN!$H318, ""), "", MAIN!$G318)</f>
        <v>32000000000315</v>
      </c>
      <c r="C318" s="39">
        <f>IF(EXACT(MAIN!$H318, ""), "", MAIN!$B318)</f>
        <v>25000000000315</v>
      </c>
      <c r="D318" s="38" t="str">
        <f>IF(EXACT(MAIN!$H318, ""), "", MAIN!$C318)</f>
        <v>Nora Meilissa</v>
      </c>
      <c r="E318" s="39" t="str">
        <f>IF(EXACT(MAIN!$B318, ""), "", ""&amp;MAIN!$D318)</f>
        <v/>
      </c>
      <c r="G318" s="2">
        <f t="shared" si="4"/>
        <v>25000000000315</v>
      </c>
    </row>
    <row r="319" spans="2:7" x14ac:dyDescent="0.2">
      <c r="B319" s="35">
        <f>IF(EXACT(MAIN!$H319, ""), "", MAIN!$G319)</f>
        <v>32000000000316</v>
      </c>
      <c r="C319" s="39">
        <f>IF(EXACT(MAIN!$H319, ""), "", MAIN!$B319)</f>
        <v>25000000000316</v>
      </c>
      <c r="D319" s="38" t="str">
        <f>IF(EXACT(MAIN!$H319, ""), "", MAIN!$C319)</f>
        <v>Novalia</v>
      </c>
      <c r="E319" s="39" t="str">
        <f>IF(EXACT(MAIN!$B319, ""), "", ""&amp;MAIN!$D319)</f>
        <v/>
      </c>
      <c r="G319" s="2">
        <f t="shared" si="4"/>
        <v>25000000000316</v>
      </c>
    </row>
    <row r="320" spans="2:7" x14ac:dyDescent="0.2">
      <c r="B320" s="35">
        <f>IF(EXACT(MAIN!$H320, ""), "", MAIN!$G320)</f>
        <v>32000000000317</v>
      </c>
      <c r="C320" s="39">
        <f>IF(EXACT(MAIN!$H320, ""), "", MAIN!$B320)</f>
        <v>25000000000317</v>
      </c>
      <c r="D320" s="38" t="str">
        <f>IF(EXACT(MAIN!$H320, ""), "", MAIN!$C320)</f>
        <v>Novan Nugraha</v>
      </c>
      <c r="E320" s="39" t="str">
        <f>IF(EXACT(MAIN!$B320, ""), "", ""&amp;MAIN!$D320)</f>
        <v/>
      </c>
      <c r="G320" s="2">
        <f t="shared" si="4"/>
        <v>25000000000317</v>
      </c>
    </row>
    <row r="321" spans="2:7" x14ac:dyDescent="0.2">
      <c r="B321" s="35">
        <f>IF(EXACT(MAIN!$H321, ""), "", MAIN!$G321)</f>
        <v>32000000000318</v>
      </c>
      <c r="C321" s="39">
        <f>IF(EXACT(MAIN!$H321, ""), "", MAIN!$B321)</f>
        <v>25000000000318</v>
      </c>
      <c r="D321" s="38" t="str">
        <f>IF(EXACT(MAIN!$H321, ""), "", MAIN!$C321)</f>
        <v>Nugraha</v>
      </c>
      <c r="E321" s="39" t="str">
        <f>IF(EXACT(MAIN!$B321, ""), "", ""&amp;MAIN!$D321)</f>
        <v/>
      </c>
      <c r="G321" s="2">
        <f t="shared" si="4"/>
        <v>25000000000318</v>
      </c>
    </row>
    <row r="322" spans="2:7" x14ac:dyDescent="0.2">
      <c r="B322" s="35">
        <f>IF(EXACT(MAIN!$H322, ""), "", MAIN!$G322)</f>
        <v>32000000000319</v>
      </c>
      <c r="C322" s="39">
        <f>IF(EXACT(MAIN!$H322, ""), "", MAIN!$B322)</f>
        <v>25000000000319</v>
      </c>
      <c r="D322" s="38" t="str">
        <f>IF(EXACT(MAIN!$H322, ""), "", MAIN!$C322)</f>
        <v>Nugroho Putranto</v>
      </c>
      <c r="E322" s="39" t="str">
        <f>IF(EXACT(MAIN!$B322, ""), "", ""&amp;MAIN!$D322)</f>
        <v/>
      </c>
      <c r="G322" s="2">
        <f t="shared" si="4"/>
        <v>25000000000319</v>
      </c>
    </row>
    <row r="323" spans="2:7" x14ac:dyDescent="0.2">
      <c r="B323" s="35">
        <f>IF(EXACT(MAIN!$H323, ""), "", MAIN!$G323)</f>
        <v>32000000000320</v>
      </c>
      <c r="C323" s="39">
        <f>IF(EXACT(MAIN!$H323, ""), "", MAIN!$B323)</f>
        <v>25000000000320</v>
      </c>
      <c r="D323" s="38" t="str">
        <f>IF(EXACT(MAIN!$H323, ""), "", MAIN!$C323)</f>
        <v>Nur Indra Sri Melati</v>
      </c>
      <c r="E323" s="39" t="str">
        <f>IF(EXACT(MAIN!$B323, ""), "", ""&amp;MAIN!$D323)</f>
        <v/>
      </c>
      <c r="G323" s="2">
        <f t="shared" si="4"/>
        <v>25000000000320</v>
      </c>
    </row>
    <row r="324" spans="2:7" x14ac:dyDescent="0.2">
      <c r="B324" s="35">
        <f>IF(EXACT(MAIN!$H324, ""), "", MAIN!$G324)</f>
        <v>32000000000321</v>
      </c>
      <c r="C324" s="39">
        <f>IF(EXACT(MAIN!$H324, ""), "", MAIN!$B324)</f>
        <v>25000000000321</v>
      </c>
      <c r="D324" s="38" t="str">
        <f>IF(EXACT(MAIN!$H324, ""), "", MAIN!$C324)</f>
        <v>Nur Kusumowati</v>
      </c>
      <c r="E324" s="39" t="str">
        <f>IF(EXACT(MAIN!$B324, ""), "", ""&amp;MAIN!$D324)</f>
        <v/>
      </c>
      <c r="G324" s="2">
        <f t="shared" si="4"/>
        <v>25000000000321</v>
      </c>
    </row>
    <row r="325" spans="2:7" x14ac:dyDescent="0.2">
      <c r="B325" s="35">
        <f>IF(EXACT(MAIN!$H325, ""), "", MAIN!$G325)</f>
        <v>32000000000322</v>
      </c>
      <c r="C325" s="39">
        <f>IF(EXACT(MAIN!$H325, ""), "", MAIN!$B325)</f>
        <v>25000000000322</v>
      </c>
      <c r="D325" s="38" t="str">
        <f>IF(EXACT(MAIN!$H325, ""), "", MAIN!$C325)</f>
        <v>Nurhidayat</v>
      </c>
      <c r="E325" s="39" t="str">
        <f>IF(EXACT(MAIN!$B325, ""), "", ""&amp;MAIN!$D325)</f>
        <v/>
      </c>
      <c r="G325" s="2">
        <f t="shared" ref="G325:G388" si="5">C325</f>
        <v>25000000000322</v>
      </c>
    </row>
    <row r="326" spans="2:7" x14ac:dyDescent="0.2">
      <c r="B326" s="35">
        <f>IF(EXACT(MAIN!$H326, ""), "", MAIN!$G326)</f>
        <v>32000000000323</v>
      </c>
      <c r="C326" s="39">
        <f>IF(EXACT(MAIN!$H326, ""), "", MAIN!$B326)</f>
        <v>25000000000323</v>
      </c>
      <c r="D326" s="38" t="str">
        <f>IF(EXACT(MAIN!$H326, ""), "", MAIN!$C326)</f>
        <v>Otong Bustori</v>
      </c>
      <c r="E326" s="39" t="str">
        <f>IF(EXACT(MAIN!$B326, ""), "", ""&amp;MAIN!$D326)</f>
        <v/>
      </c>
      <c r="G326" s="2">
        <f t="shared" si="5"/>
        <v>25000000000323</v>
      </c>
    </row>
    <row r="327" spans="2:7" x14ac:dyDescent="0.2">
      <c r="B327" s="35">
        <f>IF(EXACT(MAIN!$H327, ""), "", MAIN!$G327)</f>
        <v>32000000000324</v>
      </c>
      <c r="C327" s="39">
        <f>IF(EXACT(MAIN!$H327, ""), "", MAIN!$B327)</f>
        <v>25000000000324</v>
      </c>
      <c r="D327" s="38" t="str">
        <f>IF(EXACT(MAIN!$H327, ""), "", MAIN!$C327)</f>
        <v>Paino Suprayinto</v>
      </c>
      <c r="E327" s="39" t="str">
        <f>IF(EXACT(MAIN!$B327, ""), "", ""&amp;MAIN!$D327)</f>
        <v/>
      </c>
      <c r="G327" s="2">
        <f t="shared" si="5"/>
        <v>25000000000324</v>
      </c>
    </row>
    <row r="328" spans="2:7" x14ac:dyDescent="0.2">
      <c r="B328" s="35">
        <f>IF(EXACT(MAIN!$H328, ""), "", MAIN!$G328)</f>
        <v>32000000000325</v>
      </c>
      <c r="C328" s="39">
        <f>IF(EXACT(MAIN!$H328, ""), "", MAIN!$B328)</f>
        <v>25000000000325</v>
      </c>
      <c r="D328" s="38" t="str">
        <f>IF(EXACT(MAIN!$H328, ""), "", MAIN!$C328)</f>
        <v>Panca Yudi Baskoro</v>
      </c>
      <c r="E328" s="39" t="str">
        <f>IF(EXACT(MAIN!$B328, ""), "", ""&amp;MAIN!$D328)</f>
        <v>070518868</v>
      </c>
      <c r="G328" s="2">
        <f t="shared" si="5"/>
        <v>25000000000325</v>
      </c>
    </row>
    <row r="329" spans="2:7" x14ac:dyDescent="0.2">
      <c r="B329" s="35">
        <f>IF(EXACT(MAIN!$H329, ""), "", MAIN!$G329)</f>
        <v>32000000000326</v>
      </c>
      <c r="C329" s="39">
        <f>IF(EXACT(MAIN!$H329, ""), "", MAIN!$B329)</f>
        <v>25000000000326</v>
      </c>
      <c r="D329" s="38" t="str">
        <f>IF(EXACT(MAIN!$H329, ""), "", MAIN!$C329)</f>
        <v>Panji Bima Santri</v>
      </c>
      <c r="E329" s="39" t="str">
        <f>IF(EXACT(MAIN!$B329, ""), "", ""&amp;MAIN!$D329)</f>
        <v/>
      </c>
      <c r="G329" s="2">
        <f t="shared" si="5"/>
        <v>25000000000326</v>
      </c>
    </row>
    <row r="330" spans="2:7" x14ac:dyDescent="0.2">
      <c r="B330" s="35">
        <f>IF(EXACT(MAIN!$H330, ""), "", MAIN!$G330)</f>
        <v>32000000000327</v>
      </c>
      <c r="C330" s="39">
        <f>IF(EXACT(MAIN!$H330, ""), "", MAIN!$B330)</f>
        <v>25000000000327</v>
      </c>
      <c r="D330" s="38" t="str">
        <f>IF(EXACT(MAIN!$H330, ""), "", MAIN!$C330)</f>
        <v>Parulian Napitupulu</v>
      </c>
      <c r="E330" s="39" t="str">
        <f>IF(EXACT(MAIN!$B330, ""), "", ""&amp;MAIN!$D330)</f>
        <v/>
      </c>
      <c r="G330" s="2">
        <f t="shared" si="5"/>
        <v>25000000000327</v>
      </c>
    </row>
    <row r="331" spans="2:7" x14ac:dyDescent="0.2">
      <c r="B331" s="35">
        <f>IF(EXACT(MAIN!$H331, ""), "", MAIN!$G331)</f>
        <v>32000000000328</v>
      </c>
      <c r="C331" s="39">
        <f>IF(EXACT(MAIN!$H331, ""), "", MAIN!$B331)</f>
        <v>25000000000328</v>
      </c>
      <c r="D331" s="38" t="str">
        <f>IF(EXACT(MAIN!$H331, ""), "", MAIN!$C331)</f>
        <v>Paryanto</v>
      </c>
      <c r="E331" s="39" t="str">
        <f>IF(EXACT(MAIN!$B331, ""), "", ""&amp;MAIN!$D331)</f>
        <v/>
      </c>
      <c r="G331" s="2">
        <f t="shared" si="5"/>
        <v>25000000000328</v>
      </c>
    </row>
    <row r="332" spans="2:7" x14ac:dyDescent="0.2">
      <c r="B332" s="35">
        <f>IF(EXACT(MAIN!$H332, ""), "", MAIN!$G332)</f>
        <v>32000000000329</v>
      </c>
      <c r="C332" s="39">
        <f>IF(EXACT(MAIN!$H332, ""), "", MAIN!$B332)</f>
        <v>25000000000329</v>
      </c>
      <c r="D332" s="38" t="str">
        <f>IF(EXACT(MAIN!$H332, ""), "", MAIN!$C332)</f>
        <v>Pikri Hidayat</v>
      </c>
      <c r="E332" s="39" t="str">
        <f>IF(EXACT(MAIN!$B332, ""), "", ""&amp;MAIN!$D332)</f>
        <v/>
      </c>
      <c r="G332" s="2">
        <f t="shared" si="5"/>
        <v>25000000000329</v>
      </c>
    </row>
    <row r="333" spans="2:7" x14ac:dyDescent="0.2">
      <c r="B333" s="35">
        <f>IF(EXACT(MAIN!$H333, ""), "", MAIN!$G333)</f>
        <v>32000000000330</v>
      </c>
      <c r="C333" s="39">
        <f>IF(EXACT(MAIN!$H333, ""), "", MAIN!$B333)</f>
        <v>25000000000330</v>
      </c>
      <c r="D333" s="38" t="str">
        <f>IF(EXACT(MAIN!$H333, ""), "", MAIN!$C333)</f>
        <v>Prayanti Dewi Anggraini</v>
      </c>
      <c r="E333" s="39" t="str">
        <f>IF(EXACT(MAIN!$B333, ""), "", ""&amp;MAIN!$D333)</f>
        <v>260115754</v>
      </c>
      <c r="G333" s="2">
        <f t="shared" si="5"/>
        <v>25000000000330</v>
      </c>
    </row>
    <row r="334" spans="2:7" x14ac:dyDescent="0.2">
      <c r="B334" s="35">
        <f>IF(EXACT(MAIN!$H334, ""), "", MAIN!$G334)</f>
        <v>32000000000331</v>
      </c>
      <c r="C334" s="39">
        <f>IF(EXACT(MAIN!$H334, ""), "", MAIN!$B334)</f>
        <v>25000000000331</v>
      </c>
      <c r="D334" s="38" t="str">
        <f>IF(EXACT(MAIN!$H334, ""), "", MAIN!$C334)</f>
        <v>Prayati Zai</v>
      </c>
      <c r="E334" s="39" t="str">
        <f>IF(EXACT(MAIN!$B334, ""), "", ""&amp;MAIN!$D334)</f>
        <v/>
      </c>
      <c r="G334" s="2">
        <f t="shared" si="5"/>
        <v>25000000000331</v>
      </c>
    </row>
    <row r="335" spans="2:7" x14ac:dyDescent="0.2">
      <c r="B335" s="35">
        <f>IF(EXACT(MAIN!$H335, ""), "", MAIN!$G335)</f>
        <v>32000000000332</v>
      </c>
      <c r="C335" s="39">
        <f>IF(EXACT(MAIN!$H335, ""), "", MAIN!$B335)</f>
        <v>25000000000332</v>
      </c>
      <c r="D335" s="38" t="str">
        <f>IF(EXACT(MAIN!$H335, ""), "", MAIN!$C335)</f>
        <v>Pristu Andonoto</v>
      </c>
      <c r="E335" s="39" t="str">
        <f>IF(EXACT(MAIN!$B335, ""), "", ""&amp;MAIN!$D335)</f>
        <v/>
      </c>
      <c r="G335" s="2">
        <f t="shared" si="5"/>
        <v>25000000000332</v>
      </c>
    </row>
    <row r="336" spans="2:7" x14ac:dyDescent="0.2">
      <c r="B336" s="35">
        <f>IF(EXACT(MAIN!$H336, ""), "", MAIN!$G336)</f>
        <v>32000000000333</v>
      </c>
      <c r="C336" s="39">
        <f>IF(EXACT(MAIN!$H336, ""), "", MAIN!$B336)</f>
        <v>25000000000333</v>
      </c>
      <c r="D336" s="38" t="str">
        <f>IF(EXACT(MAIN!$H336, ""), "", MAIN!$C336)</f>
        <v>Putra Perdana Tirtomoyo</v>
      </c>
      <c r="E336" s="39" t="str">
        <f>IF(EXACT(MAIN!$B336, ""), "", ""&amp;MAIN!$D336)</f>
        <v/>
      </c>
      <c r="G336" s="2">
        <f t="shared" si="5"/>
        <v>25000000000333</v>
      </c>
    </row>
    <row r="337" spans="2:7" x14ac:dyDescent="0.2">
      <c r="B337" s="35">
        <f>IF(EXACT(MAIN!$H337, ""), "", MAIN!$G337)</f>
        <v>32000000000334</v>
      </c>
      <c r="C337" s="39">
        <f>IF(EXACT(MAIN!$H337, ""), "", MAIN!$B337)</f>
        <v>25000000000334</v>
      </c>
      <c r="D337" s="38" t="str">
        <f>IF(EXACT(MAIN!$H337, ""), "", MAIN!$C337)</f>
        <v>R. Lar Kumalaning Tresno</v>
      </c>
      <c r="E337" s="39" t="str">
        <f>IF(EXACT(MAIN!$B337, ""), "", ""&amp;MAIN!$D337)</f>
        <v/>
      </c>
      <c r="G337" s="2">
        <f t="shared" si="5"/>
        <v>25000000000334</v>
      </c>
    </row>
    <row r="338" spans="2:7" x14ac:dyDescent="0.2">
      <c r="B338" s="35">
        <f>IF(EXACT(MAIN!$H338, ""), "", MAIN!$G338)</f>
        <v>32000000000335</v>
      </c>
      <c r="C338" s="39">
        <f>IF(EXACT(MAIN!$H338, ""), "", MAIN!$B338)</f>
        <v>25000000000335</v>
      </c>
      <c r="D338" s="38" t="str">
        <f>IF(EXACT(MAIN!$H338, ""), "", MAIN!$C338)</f>
        <v>Rachmad</v>
      </c>
      <c r="E338" s="39" t="str">
        <f>IF(EXACT(MAIN!$B338, ""), "", ""&amp;MAIN!$D338)</f>
        <v/>
      </c>
      <c r="G338" s="2">
        <f t="shared" si="5"/>
        <v>25000000000335</v>
      </c>
    </row>
    <row r="339" spans="2:7" x14ac:dyDescent="0.2">
      <c r="B339" s="35">
        <f>IF(EXACT(MAIN!$H339, ""), "", MAIN!$G339)</f>
        <v>32000000000336</v>
      </c>
      <c r="C339" s="39">
        <f>IF(EXACT(MAIN!$H339, ""), "", MAIN!$B339)</f>
        <v>25000000000336</v>
      </c>
      <c r="D339" s="38" t="str">
        <f>IF(EXACT(MAIN!$H339, ""), "", MAIN!$C339)</f>
        <v>Radjiman</v>
      </c>
      <c r="E339" s="39" t="str">
        <f>IF(EXACT(MAIN!$B339, ""), "", ""&amp;MAIN!$D339)</f>
        <v/>
      </c>
      <c r="G339" s="2">
        <f t="shared" si="5"/>
        <v>25000000000336</v>
      </c>
    </row>
    <row r="340" spans="2:7" x14ac:dyDescent="0.2">
      <c r="B340" s="35">
        <f>IF(EXACT(MAIN!$H340, ""), "", MAIN!$G340)</f>
        <v>32000000000337</v>
      </c>
      <c r="C340" s="39">
        <f>IF(EXACT(MAIN!$H340, ""), "", MAIN!$B340)</f>
        <v>25000000000337</v>
      </c>
      <c r="D340" s="38" t="str">
        <f>IF(EXACT(MAIN!$H340, ""), "", MAIN!$C340)</f>
        <v>Rafi Firman Saputra</v>
      </c>
      <c r="E340" s="39" t="str">
        <f>IF(EXACT(MAIN!$B340, ""), "", ""&amp;MAIN!$D340)</f>
        <v/>
      </c>
      <c r="G340" s="2">
        <f t="shared" si="5"/>
        <v>25000000000337</v>
      </c>
    </row>
    <row r="341" spans="2:7" x14ac:dyDescent="0.2">
      <c r="B341" s="35">
        <f>IF(EXACT(MAIN!$H341, ""), "", MAIN!$G341)</f>
        <v>32000000000338</v>
      </c>
      <c r="C341" s="39">
        <f>IF(EXACT(MAIN!$H341, ""), "", MAIN!$B341)</f>
        <v>25000000000338</v>
      </c>
      <c r="D341" s="38" t="str">
        <f>IF(EXACT(MAIN!$H341, ""), "", MAIN!$C341)</f>
        <v>Rahmat Riyadi</v>
      </c>
      <c r="E341" s="39" t="str">
        <f>IF(EXACT(MAIN!$B341, ""), "", ""&amp;MAIN!$D341)</f>
        <v/>
      </c>
      <c r="G341" s="2">
        <f t="shared" si="5"/>
        <v>25000000000338</v>
      </c>
    </row>
    <row r="342" spans="2:7" x14ac:dyDescent="0.2">
      <c r="B342" s="35">
        <f>IF(EXACT(MAIN!$H342, ""), "", MAIN!$G342)</f>
        <v>32000000000339</v>
      </c>
      <c r="C342" s="39">
        <f>IF(EXACT(MAIN!$H342, ""), "", MAIN!$B342)</f>
        <v>25000000000339</v>
      </c>
      <c r="D342" s="38" t="str">
        <f>IF(EXACT(MAIN!$H342, ""), "", MAIN!$C342)</f>
        <v>Rahmat Sirfano</v>
      </c>
      <c r="E342" s="39" t="str">
        <f>IF(EXACT(MAIN!$B342, ""), "", ""&amp;MAIN!$D342)</f>
        <v/>
      </c>
      <c r="G342" s="2">
        <f t="shared" si="5"/>
        <v>25000000000339</v>
      </c>
    </row>
    <row r="343" spans="2:7" x14ac:dyDescent="0.2">
      <c r="B343" s="35">
        <f>IF(EXACT(MAIN!$H343, ""), "", MAIN!$G343)</f>
        <v>32000000000340</v>
      </c>
      <c r="C343" s="39">
        <f>IF(EXACT(MAIN!$H343, ""), "", MAIN!$B343)</f>
        <v>25000000000340</v>
      </c>
      <c r="D343" s="38" t="str">
        <f>IF(EXACT(MAIN!$H343, ""), "", MAIN!$C343)</f>
        <v>Rais Indra Noor</v>
      </c>
      <c r="E343" s="39" t="str">
        <f>IF(EXACT(MAIN!$B343, ""), "", ""&amp;MAIN!$D343)</f>
        <v/>
      </c>
      <c r="G343" s="2">
        <f t="shared" si="5"/>
        <v>25000000000340</v>
      </c>
    </row>
    <row r="344" spans="2:7" x14ac:dyDescent="0.2">
      <c r="B344" s="35">
        <f>IF(EXACT(MAIN!$H344, ""), "", MAIN!$G344)</f>
        <v>32000000000341</v>
      </c>
      <c r="C344" s="39">
        <f>IF(EXACT(MAIN!$H344, ""), "", MAIN!$B344)</f>
        <v>25000000000341</v>
      </c>
      <c r="D344" s="38" t="str">
        <f>IF(EXACT(MAIN!$H344, ""), "", MAIN!$C344)</f>
        <v>Rakman A. Hadi</v>
      </c>
      <c r="E344" s="39" t="str">
        <f>IF(EXACT(MAIN!$B344, ""), "", ""&amp;MAIN!$D344)</f>
        <v/>
      </c>
      <c r="G344" s="2">
        <f t="shared" si="5"/>
        <v>25000000000341</v>
      </c>
    </row>
    <row r="345" spans="2:7" x14ac:dyDescent="0.2">
      <c r="B345" s="35">
        <f>IF(EXACT(MAIN!$H345, ""), "", MAIN!$G345)</f>
        <v>32000000000342</v>
      </c>
      <c r="C345" s="39">
        <f>IF(EXACT(MAIN!$H345, ""), "", MAIN!$B345)</f>
        <v>25000000000342</v>
      </c>
      <c r="D345" s="38" t="str">
        <f>IF(EXACT(MAIN!$H345, ""), "", MAIN!$C345)</f>
        <v>Ramaizon</v>
      </c>
      <c r="E345" s="39" t="str">
        <f>IF(EXACT(MAIN!$B345, ""), "", ""&amp;MAIN!$D345)</f>
        <v/>
      </c>
      <c r="G345" s="2">
        <f t="shared" si="5"/>
        <v>25000000000342</v>
      </c>
    </row>
    <row r="346" spans="2:7" x14ac:dyDescent="0.2">
      <c r="B346" s="35">
        <f>IF(EXACT(MAIN!$H346, ""), "", MAIN!$G346)</f>
        <v>32000000000343</v>
      </c>
      <c r="C346" s="39">
        <f>IF(EXACT(MAIN!$H346, ""), "", MAIN!$B346)</f>
        <v>25000000000343</v>
      </c>
      <c r="D346" s="38" t="str">
        <f>IF(EXACT(MAIN!$H346, ""), "", MAIN!$C346)</f>
        <v>Rangga Darmawan</v>
      </c>
      <c r="E346" s="39" t="str">
        <f>IF(EXACT(MAIN!$B346, ""), "", ""&amp;MAIN!$D346)</f>
        <v/>
      </c>
      <c r="G346" s="2">
        <f t="shared" si="5"/>
        <v>25000000000343</v>
      </c>
    </row>
    <row r="347" spans="2:7" x14ac:dyDescent="0.2">
      <c r="B347" s="35">
        <f>IF(EXACT(MAIN!$H347, ""), "", MAIN!$G347)</f>
        <v>32000000000344</v>
      </c>
      <c r="C347" s="39">
        <f>IF(EXACT(MAIN!$H347, ""), "", MAIN!$B347)</f>
        <v>25000000000344</v>
      </c>
      <c r="D347" s="38" t="str">
        <f>IF(EXACT(MAIN!$H347, ""), "", MAIN!$C347)</f>
        <v>Raoli Nainggolan</v>
      </c>
      <c r="E347" s="39" t="str">
        <f>IF(EXACT(MAIN!$B347, ""), "", ""&amp;MAIN!$D347)</f>
        <v/>
      </c>
      <c r="G347" s="2">
        <f t="shared" si="5"/>
        <v>25000000000344</v>
      </c>
    </row>
    <row r="348" spans="2:7" x14ac:dyDescent="0.2">
      <c r="B348" s="35">
        <f>IF(EXACT(MAIN!$H348, ""), "", MAIN!$G348)</f>
        <v>32000000000345</v>
      </c>
      <c r="C348" s="39">
        <f>IF(EXACT(MAIN!$H348, ""), "", MAIN!$B348)</f>
        <v>25000000000345</v>
      </c>
      <c r="D348" s="38" t="str">
        <f>IF(EXACT(MAIN!$H348, ""), "", MAIN!$C348)</f>
        <v>Rayan Suryadikara</v>
      </c>
      <c r="E348" s="39" t="str">
        <f>IF(EXACT(MAIN!$B348, ""), "", ""&amp;MAIN!$D348)</f>
        <v/>
      </c>
      <c r="G348" s="2">
        <f t="shared" si="5"/>
        <v>25000000000345</v>
      </c>
    </row>
    <row r="349" spans="2:7" x14ac:dyDescent="0.2">
      <c r="B349" s="35">
        <f>IF(EXACT(MAIN!$H349, ""), "", MAIN!$G349)</f>
        <v>32000000000346</v>
      </c>
      <c r="C349" s="39">
        <f>IF(EXACT(MAIN!$H349, ""), "", MAIN!$B349)</f>
        <v>25000000000346</v>
      </c>
      <c r="D349" s="38" t="str">
        <f>IF(EXACT(MAIN!$H349, ""), "", MAIN!$C349)</f>
        <v>Redi Setiadi</v>
      </c>
      <c r="E349" s="39" t="str">
        <f>IF(EXACT(MAIN!$B349, ""), "", ""&amp;MAIN!$D349)</f>
        <v/>
      </c>
      <c r="G349" s="2">
        <f t="shared" si="5"/>
        <v>25000000000346</v>
      </c>
    </row>
    <row r="350" spans="2:7" x14ac:dyDescent="0.2">
      <c r="B350" s="35">
        <f>IF(EXACT(MAIN!$H350, ""), "", MAIN!$G350)</f>
        <v>32000000000347</v>
      </c>
      <c r="C350" s="39">
        <f>IF(EXACT(MAIN!$H350, ""), "", MAIN!$B350)</f>
        <v>25000000000347</v>
      </c>
      <c r="D350" s="38" t="str">
        <f>IF(EXACT(MAIN!$H350, ""), "", MAIN!$C350)</f>
        <v>Redi Subekti</v>
      </c>
      <c r="E350" s="39" t="str">
        <f>IF(EXACT(MAIN!$B350, ""), "", ""&amp;MAIN!$D350)</f>
        <v>160603000</v>
      </c>
      <c r="G350" s="2">
        <f t="shared" si="5"/>
        <v>25000000000347</v>
      </c>
    </row>
    <row r="351" spans="2:7" x14ac:dyDescent="0.2">
      <c r="B351" s="35">
        <f>IF(EXACT(MAIN!$H351, ""), "", MAIN!$G351)</f>
        <v>32000000000348</v>
      </c>
      <c r="C351" s="39">
        <f>IF(EXACT(MAIN!$H351, ""), "", MAIN!$B351)</f>
        <v>25000000000348</v>
      </c>
      <c r="D351" s="38" t="str">
        <f>IF(EXACT(MAIN!$H351, ""), "", MAIN!$C351)</f>
        <v>Rendy Prananta Purba</v>
      </c>
      <c r="E351" s="39" t="str">
        <f>IF(EXACT(MAIN!$B351, ""), "", ""&amp;MAIN!$D351)</f>
        <v/>
      </c>
      <c r="G351" s="2">
        <f t="shared" si="5"/>
        <v>25000000000348</v>
      </c>
    </row>
    <row r="352" spans="2:7" x14ac:dyDescent="0.2">
      <c r="B352" s="35">
        <f>IF(EXACT(MAIN!$H352, ""), "", MAIN!$G352)</f>
        <v>32000000000349</v>
      </c>
      <c r="C352" s="39">
        <f>IF(EXACT(MAIN!$H352, ""), "", MAIN!$B352)</f>
        <v>25000000000349</v>
      </c>
      <c r="D352" s="38" t="str">
        <f>IF(EXACT(MAIN!$H352, ""), "", MAIN!$C352)</f>
        <v>Reni Septiana</v>
      </c>
      <c r="E352" s="39" t="str">
        <f>IF(EXACT(MAIN!$B352, ""), "", ""&amp;MAIN!$D352)</f>
        <v/>
      </c>
      <c r="G352" s="2">
        <f t="shared" si="5"/>
        <v>25000000000349</v>
      </c>
    </row>
    <row r="353" spans="2:7" x14ac:dyDescent="0.2">
      <c r="B353" s="35">
        <f>IF(EXACT(MAIN!$H353, ""), "", MAIN!$G353)</f>
        <v>32000000000350</v>
      </c>
      <c r="C353" s="39">
        <f>IF(EXACT(MAIN!$H353, ""), "", MAIN!$B353)</f>
        <v>25000000000350</v>
      </c>
      <c r="D353" s="38" t="str">
        <f>IF(EXACT(MAIN!$H353, ""), "", MAIN!$C353)</f>
        <v>Rere Ronggolawe</v>
      </c>
      <c r="E353" s="39" t="str">
        <f>IF(EXACT(MAIN!$B353, ""), "", ""&amp;MAIN!$D353)</f>
        <v/>
      </c>
      <c r="G353" s="2">
        <f t="shared" si="5"/>
        <v>25000000000350</v>
      </c>
    </row>
    <row r="354" spans="2:7" x14ac:dyDescent="0.2">
      <c r="B354" s="35">
        <f>IF(EXACT(MAIN!$H354, ""), "", MAIN!$G354)</f>
        <v>32000000000351</v>
      </c>
      <c r="C354" s="39">
        <f>IF(EXACT(MAIN!$H354, ""), "", MAIN!$B354)</f>
        <v>25000000000351</v>
      </c>
      <c r="D354" s="38" t="str">
        <f>IF(EXACT(MAIN!$H354, ""), "", MAIN!$C354)</f>
        <v>Retnasha Gameswari</v>
      </c>
      <c r="E354" s="39" t="str">
        <f>IF(EXACT(MAIN!$B354, ""), "", ""&amp;MAIN!$D354)</f>
        <v/>
      </c>
      <c r="G354" s="2">
        <f t="shared" si="5"/>
        <v>25000000000351</v>
      </c>
    </row>
    <row r="355" spans="2:7" x14ac:dyDescent="0.2">
      <c r="B355" s="35">
        <f>IF(EXACT(MAIN!$H355, ""), "", MAIN!$G355)</f>
        <v>32000000000352</v>
      </c>
      <c r="C355" s="39">
        <f>IF(EXACT(MAIN!$H355, ""), "", MAIN!$B355)</f>
        <v>25000000000352</v>
      </c>
      <c r="D355" s="38" t="str">
        <f>IF(EXACT(MAIN!$H355, ""), "", MAIN!$C355)</f>
        <v>Rhino Priawan</v>
      </c>
      <c r="E355" s="39" t="str">
        <f>IF(EXACT(MAIN!$B355, ""), "", ""&amp;MAIN!$D355)</f>
        <v>221110557</v>
      </c>
      <c r="G355" s="2">
        <f t="shared" si="5"/>
        <v>25000000000352</v>
      </c>
    </row>
    <row r="356" spans="2:7" x14ac:dyDescent="0.2">
      <c r="B356" s="35">
        <f>IF(EXACT(MAIN!$H356, ""), "", MAIN!$G356)</f>
        <v>32000000000353</v>
      </c>
      <c r="C356" s="39">
        <f>IF(EXACT(MAIN!$H356, ""), "", MAIN!$B356)</f>
        <v>25000000000353</v>
      </c>
      <c r="D356" s="38" t="str">
        <f>IF(EXACT(MAIN!$H356, ""), "", MAIN!$C356)</f>
        <v>Rian Yushak</v>
      </c>
      <c r="E356" s="39" t="str">
        <f>IF(EXACT(MAIN!$B356, ""), "", ""&amp;MAIN!$D356)</f>
        <v/>
      </c>
      <c r="G356" s="2">
        <f t="shared" si="5"/>
        <v>25000000000353</v>
      </c>
    </row>
    <row r="357" spans="2:7" x14ac:dyDescent="0.2">
      <c r="B357" s="35">
        <f>IF(EXACT(MAIN!$H357, ""), "", MAIN!$G357)</f>
        <v>32000000000354</v>
      </c>
      <c r="C357" s="39">
        <f>IF(EXACT(MAIN!$H357, ""), "", MAIN!$B357)</f>
        <v>25000000000354</v>
      </c>
      <c r="D357" s="38" t="str">
        <f>IF(EXACT(MAIN!$H357, ""), "", MAIN!$C357)</f>
        <v>Riandi</v>
      </c>
      <c r="E357" s="39" t="str">
        <f>IF(EXACT(MAIN!$B357, ""), "", ""&amp;MAIN!$D357)</f>
        <v/>
      </c>
      <c r="G357" s="2">
        <f t="shared" si="5"/>
        <v>25000000000354</v>
      </c>
    </row>
    <row r="358" spans="2:7" x14ac:dyDescent="0.2">
      <c r="B358" s="35">
        <f>IF(EXACT(MAIN!$H358, ""), "", MAIN!$G358)</f>
        <v>32000000000355</v>
      </c>
      <c r="C358" s="39">
        <f>IF(EXACT(MAIN!$H358, ""), "", MAIN!$B358)</f>
        <v>25000000000355</v>
      </c>
      <c r="D358" s="38" t="str">
        <f>IF(EXACT(MAIN!$H358, ""), "", MAIN!$C358)</f>
        <v>Ricky Samuel</v>
      </c>
      <c r="E358" s="39" t="str">
        <f>IF(EXACT(MAIN!$B358, ""), "", ""&amp;MAIN!$D358)</f>
        <v/>
      </c>
      <c r="G358" s="2">
        <f t="shared" si="5"/>
        <v>25000000000355</v>
      </c>
    </row>
    <row r="359" spans="2:7" x14ac:dyDescent="0.2">
      <c r="B359" s="35">
        <f>IF(EXACT(MAIN!$H359, ""), "", MAIN!$G359)</f>
        <v>32000000000356</v>
      </c>
      <c r="C359" s="39">
        <f>IF(EXACT(MAIN!$H359, ""), "", MAIN!$B359)</f>
        <v>25000000000356</v>
      </c>
      <c r="D359" s="38" t="str">
        <f>IF(EXACT(MAIN!$H359, ""), "", MAIN!$C359)</f>
        <v>Ridwan Nurhadi</v>
      </c>
      <c r="E359" s="39" t="str">
        <f>IF(EXACT(MAIN!$B359, ""), "", ""&amp;MAIN!$D359)</f>
        <v/>
      </c>
      <c r="G359" s="2">
        <f t="shared" si="5"/>
        <v>25000000000356</v>
      </c>
    </row>
    <row r="360" spans="2:7" x14ac:dyDescent="0.2">
      <c r="B360" s="35">
        <f>IF(EXACT(MAIN!$H360, ""), "", MAIN!$G360)</f>
        <v>32000000000357</v>
      </c>
      <c r="C360" s="39">
        <f>IF(EXACT(MAIN!$H360, ""), "", MAIN!$B360)</f>
        <v>25000000000357</v>
      </c>
      <c r="D360" s="38" t="str">
        <f>IF(EXACT(MAIN!$H360, ""), "", MAIN!$C360)</f>
        <v>Rifki</v>
      </c>
      <c r="E360" s="39" t="str">
        <f>IF(EXACT(MAIN!$B360, ""), "", ""&amp;MAIN!$D360)</f>
        <v/>
      </c>
      <c r="G360" s="2">
        <f t="shared" si="5"/>
        <v>25000000000357</v>
      </c>
    </row>
    <row r="361" spans="2:7" x14ac:dyDescent="0.2">
      <c r="B361" s="35">
        <f>IF(EXACT(MAIN!$H361, ""), "", MAIN!$G361)</f>
        <v>32000000000358</v>
      </c>
      <c r="C361" s="39">
        <f>IF(EXACT(MAIN!$H361, ""), "", MAIN!$B361)</f>
        <v>25000000000358</v>
      </c>
      <c r="D361" s="38" t="str">
        <f>IF(EXACT(MAIN!$H361, ""), "", MAIN!$C361)</f>
        <v>Rika Ginting</v>
      </c>
      <c r="E361" s="39" t="str">
        <f>IF(EXACT(MAIN!$B361, ""), "", ""&amp;MAIN!$D361)</f>
        <v/>
      </c>
      <c r="G361" s="2">
        <f t="shared" si="5"/>
        <v>25000000000358</v>
      </c>
    </row>
    <row r="362" spans="2:7" x14ac:dyDescent="0.2">
      <c r="B362" s="35">
        <f>IF(EXACT(MAIN!$H362, ""), "", MAIN!$G362)</f>
        <v>32000000000359</v>
      </c>
      <c r="C362" s="39">
        <f>IF(EXACT(MAIN!$H362, ""), "", MAIN!$B362)</f>
        <v>25000000000359</v>
      </c>
      <c r="D362" s="38" t="str">
        <f>IF(EXACT(MAIN!$H362, ""), "", MAIN!$C362)</f>
        <v>Riki Chairul Anwar</v>
      </c>
      <c r="E362" s="39" t="str">
        <f>IF(EXACT(MAIN!$B362, ""), "", ""&amp;MAIN!$D362)</f>
        <v/>
      </c>
      <c r="G362" s="2">
        <f t="shared" si="5"/>
        <v>25000000000359</v>
      </c>
    </row>
    <row r="363" spans="2:7" x14ac:dyDescent="0.2">
      <c r="B363" s="35">
        <f>IF(EXACT(MAIN!$H363, ""), "", MAIN!$G363)</f>
        <v>32000000000360</v>
      </c>
      <c r="C363" s="39">
        <f>IF(EXACT(MAIN!$H363, ""), "", MAIN!$B363)</f>
        <v>25000000000360</v>
      </c>
      <c r="D363" s="38" t="str">
        <f>IF(EXACT(MAIN!$H363, ""), "", MAIN!$C363)</f>
        <v>Riki Evindra</v>
      </c>
      <c r="E363" s="39" t="str">
        <f>IF(EXACT(MAIN!$B363, ""), "", ""&amp;MAIN!$D363)</f>
        <v/>
      </c>
      <c r="G363" s="2">
        <f t="shared" si="5"/>
        <v>25000000000360</v>
      </c>
    </row>
    <row r="364" spans="2:7" x14ac:dyDescent="0.2">
      <c r="B364" s="35">
        <f>IF(EXACT(MAIN!$H364, ""), "", MAIN!$G364)</f>
        <v>32000000000361</v>
      </c>
      <c r="C364" s="39">
        <f>IF(EXACT(MAIN!$H364, ""), "", MAIN!$B364)</f>
        <v>25000000000361</v>
      </c>
      <c r="D364" s="38" t="str">
        <f>IF(EXACT(MAIN!$H364, ""), "", MAIN!$C364)</f>
        <v>Rinaldi Asrin</v>
      </c>
      <c r="E364" s="39" t="str">
        <f>IF(EXACT(MAIN!$B364, ""), "", ""&amp;MAIN!$D364)</f>
        <v/>
      </c>
      <c r="G364" s="2">
        <f t="shared" si="5"/>
        <v>25000000000361</v>
      </c>
    </row>
    <row r="365" spans="2:7" x14ac:dyDescent="0.2">
      <c r="B365" s="35">
        <f>IF(EXACT(MAIN!$H365, ""), "", MAIN!$G365)</f>
        <v>32000000000362</v>
      </c>
      <c r="C365" s="39">
        <f>IF(EXACT(MAIN!$H365, ""), "", MAIN!$B365)</f>
        <v>25000000000362</v>
      </c>
      <c r="D365" s="38" t="str">
        <f>IF(EXACT(MAIN!$H365, ""), "", MAIN!$C365)</f>
        <v>Rio Hakim</v>
      </c>
      <c r="E365" s="39" t="str">
        <f>IF(EXACT(MAIN!$B365, ""), "", ""&amp;MAIN!$D365)</f>
        <v/>
      </c>
      <c r="G365" s="2">
        <f t="shared" si="5"/>
        <v>25000000000362</v>
      </c>
    </row>
    <row r="366" spans="2:7" x14ac:dyDescent="0.2">
      <c r="B366" s="35">
        <f>IF(EXACT(MAIN!$H366, ""), "", MAIN!$G366)</f>
        <v>32000000000363</v>
      </c>
      <c r="C366" s="39">
        <f>IF(EXACT(MAIN!$H366, ""), "", MAIN!$B366)</f>
        <v>25000000000363</v>
      </c>
      <c r="D366" s="38" t="str">
        <f>IF(EXACT(MAIN!$H366, ""), "", MAIN!$C366)</f>
        <v>Rio Martha</v>
      </c>
      <c r="E366" s="39" t="str">
        <f>IF(EXACT(MAIN!$B366, ""), "", ""&amp;MAIN!$D366)</f>
        <v/>
      </c>
      <c r="G366" s="2">
        <f t="shared" si="5"/>
        <v>25000000000363</v>
      </c>
    </row>
    <row r="367" spans="2:7" x14ac:dyDescent="0.2">
      <c r="B367" s="35">
        <f>IF(EXACT(MAIN!$H367, ""), "", MAIN!$G367)</f>
        <v>32000000000364</v>
      </c>
      <c r="C367" s="39">
        <f>IF(EXACT(MAIN!$H367, ""), "", MAIN!$B367)</f>
        <v>25000000000364</v>
      </c>
      <c r="D367" s="38" t="str">
        <f>IF(EXACT(MAIN!$H367, ""), "", MAIN!$C367)</f>
        <v>Risdyanto Risdyanto</v>
      </c>
      <c r="E367" s="39" t="str">
        <f>IF(EXACT(MAIN!$B367, ""), "", ""&amp;MAIN!$D367)</f>
        <v/>
      </c>
      <c r="G367" s="2">
        <f t="shared" si="5"/>
        <v>25000000000364</v>
      </c>
    </row>
    <row r="368" spans="2:7" x14ac:dyDescent="0.2">
      <c r="B368" s="35">
        <f>IF(EXACT(MAIN!$H368, ""), "", MAIN!$G368)</f>
        <v>32000000000365</v>
      </c>
      <c r="C368" s="39">
        <f>IF(EXACT(MAIN!$H368, ""), "", MAIN!$B368)</f>
        <v>25000000000365</v>
      </c>
      <c r="D368" s="38" t="str">
        <f>IF(EXACT(MAIN!$H368, ""), "", MAIN!$C368)</f>
        <v>Rizak Tri Septian</v>
      </c>
      <c r="E368" s="39" t="str">
        <f>IF(EXACT(MAIN!$B368, ""), "", ""&amp;MAIN!$D368)</f>
        <v/>
      </c>
      <c r="G368" s="2">
        <f t="shared" si="5"/>
        <v>25000000000365</v>
      </c>
    </row>
    <row r="369" spans="2:7" x14ac:dyDescent="0.2">
      <c r="B369" s="35">
        <f>IF(EXACT(MAIN!$H369, ""), "", MAIN!$G369)</f>
        <v>32000000000366</v>
      </c>
      <c r="C369" s="39">
        <f>IF(EXACT(MAIN!$H369, ""), "", MAIN!$B369)</f>
        <v>25000000000366</v>
      </c>
      <c r="D369" s="38" t="str">
        <f>IF(EXACT(MAIN!$H369, ""), "", MAIN!$C369)</f>
        <v>Rizki Akbar</v>
      </c>
      <c r="E369" s="39" t="str">
        <f>IF(EXACT(MAIN!$B369, ""), "", ""&amp;MAIN!$D369)</f>
        <v/>
      </c>
      <c r="G369" s="2">
        <f t="shared" si="5"/>
        <v>25000000000366</v>
      </c>
    </row>
    <row r="370" spans="2:7" x14ac:dyDescent="0.2">
      <c r="B370" s="35">
        <f>IF(EXACT(MAIN!$H370, ""), "", MAIN!$G370)</f>
        <v>32000000000367</v>
      </c>
      <c r="C370" s="39">
        <f>IF(EXACT(MAIN!$H370, ""), "", MAIN!$B370)</f>
        <v>25000000000367</v>
      </c>
      <c r="D370" s="38" t="str">
        <f>IF(EXACT(MAIN!$H370, ""), "", MAIN!$C370)</f>
        <v>Rizky Fauzy</v>
      </c>
      <c r="E370" s="39" t="str">
        <f>IF(EXACT(MAIN!$B370, ""), "", ""&amp;MAIN!$D370)</f>
        <v/>
      </c>
      <c r="G370" s="2">
        <f t="shared" si="5"/>
        <v>25000000000367</v>
      </c>
    </row>
    <row r="371" spans="2:7" x14ac:dyDescent="0.2">
      <c r="B371" s="35">
        <f>IF(EXACT(MAIN!$H371, ""), "", MAIN!$G371)</f>
        <v>32000000000368</v>
      </c>
      <c r="C371" s="39">
        <f>IF(EXACT(MAIN!$H371, ""), "", MAIN!$B371)</f>
        <v>25000000000368</v>
      </c>
      <c r="D371" s="38" t="str">
        <f>IF(EXACT(MAIN!$H371, ""), "", MAIN!$C371)</f>
        <v>Rizky Reza Pradipta</v>
      </c>
      <c r="E371" s="39" t="str">
        <f>IF(EXACT(MAIN!$B371, ""), "", ""&amp;MAIN!$D371)</f>
        <v/>
      </c>
      <c r="G371" s="2">
        <f t="shared" si="5"/>
        <v>25000000000368</v>
      </c>
    </row>
    <row r="372" spans="2:7" x14ac:dyDescent="0.2">
      <c r="B372" s="35">
        <f>IF(EXACT(MAIN!$H372, ""), "", MAIN!$G372)</f>
        <v>32000000000369</v>
      </c>
      <c r="C372" s="39">
        <f>IF(EXACT(MAIN!$H372, ""), "", MAIN!$B372)</f>
        <v>25000000000369</v>
      </c>
      <c r="D372" s="38" t="str">
        <f>IF(EXACT(MAIN!$H372, ""), "", MAIN!$C372)</f>
        <v>Rohendi Rohendi</v>
      </c>
      <c r="E372" s="39" t="str">
        <f>IF(EXACT(MAIN!$B372, ""), "", ""&amp;MAIN!$D372)</f>
        <v/>
      </c>
      <c r="G372" s="2">
        <f t="shared" si="5"/>
        <v>25000000000369</v>
      </c>
    </row>
    <row r="373" spans="2:7" x14ac:dyDescent="0.2">
      <c r="B373" s="35">
        <f>IF(EXACT(MAIN!$H373, ""), "", MAIN!$G373)</f>
        <v>32000000000370</v>
      </c>
      <c r="C373" s="39">
        <f>IF(EXACT(MAIN!$H373, ""), "", MAIN!$B373)</f>
        <v>25000000000370</v>
      </c>
      <c r="D373" s="38" t="str">
        <f>IF(EXACT(MAIN!$H373, ""), "", MAIN!$C373)</f>
        <v>Rohmani</v>
      </c>
      <c r="E373" s="39" t="str">
        <f>IF(EXACT(MAIN!$B373, ""), "", ""&amp;MAIN!$D373)</f>
        <v/>
      </c>
      <c r="G373" s="2">
        <f t="shared" si="5"/>
        <v>25000000000370</v>
      </c>
    </row>
    <row r="374" spans="2:7" x14ac:dyDescent="0.2">
      <c r="B374" s="35">
        <f>IF(EXACT(MAIN!$H374, ""), "", MAIN!$G374)</f>
        <v>32000000000371</v>
      </c>
      <c r="C374" s="39">
        <f>IF(EXACT(MAIN!$H374, ""), "", MAIN!$B374)</f>
        <v>25000000000371</v>
      </c>
      <c r="D374" s="38" t="str">
        <f>IF(EXACT(MAIN!$H374, ""), "", MAIN!$C374)</f>
        <v>Rommel Hutapea</v>
      </c>
      <c r="E374" s="39" t="str">
        <f>IF(EXACT(MAIN!$B374, ""), "", ""&amp;MAIN!$D374)</f>
        <v/>
      </c>
      <c r="G374" s="2">
        <f t="shared" si="5"/>
        <v>25000000000371</v>
      </c>
    </row>
    <row r="375" spans="2:7" x14ac:dyDescent="0.2">
      <c r="B375" s="35">
        <f>IF(EXACT(MAIN!$H375, ""), "", MAIN!$G375)</f>
        <v>32000000000372</v>
      </c>
      <c r="C375" s="39">
        <f>IF(EXACT(MAIN!$H375, ""), "", MAIN!$B375)</f>
        <v>25000000000372</v>
      </c>
      <c r="D375" s="38" t="str">
        <f>IF(EXACT(MAIN!$H375, ""), "", MAIN!$C375)</f>
        <v>Roy Aditya</v>
      </c>
      <c r="E375" s="39" t="str">
        <f>IF(EXACT(MAIN!$B375, ""), "", ""&amp;MAIN!$D375)</f>
        <v>160921954</v>
      </c>
      <c r="G375" s="2">
        <f t="shared" si="5"/>
        <v>25000000000372</v>
      </c>
    </row>
    <row r="376" spans="2:7" x14ac:dyDescent="0.2">
      <c r="B376" s="35">
        <f>IF(EXACT(MAIN!$H376, ""), "", MAIN!$G376)</f>
        <v>32000000000373</v>
      </c>
      <c r="C376" s="39">
        <f>IF(EXACT(MAIN!$H376, ""), "", MAIN!$B376)</f>
        <v>25000000000373</v>
      </c>
      <c r="D376" s="38" t="str">
        <f>IF(EXACT(MAIN!$H376, ""), "", MAIN!$C376)</f>
        <v>Rubah</v>
      </c>
      <c r="E376" s="39" t="str">
        <f>IF(EXACT(MAIN!$B376, ""), "", ""&amp;MAIN!$D376)</f>
        <v/>
      </c>
      <c r="G376" s="2">
        <f t="shared" si="5"/>
        <v>25000000000373</v>
      </c>
    </row>
    <row r="377" spans="2:7" x14ac:dyDescent="0.2">
      <c r="B377" s="35">
        <f>IF(EXACT(MAIN!$H377, ""), "", MAIN!$G377)</f>
        <v>32000000000374</v>
      </c>
      <c r="C377" s="39">
        <f>IF(EXACT(MAIN!$H377, ""), "", MAIN!$B377)</f>
        <v>25000000000374</v>
      </c>
      <c r="D377" s="38" t="str">
        <f>IF(EXACT(MAIN!$H377, ""), "", MAIN!$C377)</f>
        <v>Rudi Junaedi</v>
      </c>
      <c r="E377" s="39" t="str">
        <f>IF(EXACT(MAIN!$B377, ""), "", ""&amp;MAIN!$D377)</f>
        <v/>
      </c>
      <c r="G377" s="2">
        <f t="shared" si="5"/>
        <v>25000000000374</v>
      </c>
    </row>
    <row r="378" spans="2:7" x14ac:dyDescent="0.2">
      <c r="B378" s="35">
        <f>IF(EXACT(MAIN!$H378, ""), "", MAIN!$G378)</f>
        <v>32000000000375</v>
      </c>
      <c r="C378" s="39">
        <f>IF(EXACT(MAIN!$H378, ""), "", MAIN!$B378)</f>
        <v>25000000000375</v>
      </c>
      <c r="D378" s="38" t="str">
        <f>IF(EXACT(MAIN!$H378, ""), "", MAIN!$C378)</f>
        <v>Ruswandi</v>
      </c>
      <c r="E378" s="39" t="str">
        <f>IF(EXACT(MAIN!$B378, ""), "", ""&amp;MAIN!$D378)</f>
        <v/>
      </c>
      <c r="G378" s="2">
        <f t="shared" si="5"/>
        <v>25000000000375</v>
      </c>
    </row>
    <row r="379" spans="2:7" x14ac:dyDescent="0.2">
      <c r="B379" s="35">
        <f>IF(EXACT(MAIN!$H379, ""), "", MAIN!$G379)</f>
        <v>32000000000376</v>
      </c>
      <c r="C379" s="39">
        <f>IF(EXACT(MAIN!$H379, ""), "", MAIN!$B379)</f>
        <v>25000000000376</v>
      </c>
      <c r="D379" s="38" t="str">
        <f>IF(EXACT(MAIN!$H379, ""), "", MAIN!$C379)</f>
        <v>Ryan Bagus Sasminta</v>
      </c>
      <c r="E379" s="39" t="str">
        <f>IF(EXACT(MAIN!$B379, ""), "", ""&amp;MAIN!$D379)</f>
        <v/>
      </c>
      <c r="G379" s="2">
        <f t="shared" si="5"/>
        <v>25000000000376</v>
      </c>
    </row>
    <row r="380" spans="2:7" x14ac:dyDescent="0.2">
      <c r="B380" s="35">
        <f>IF(EXACT(MAIN!$H380, ""), "", MAIN!$G380)</f>
        <v>32000000000377</v>
      </c>
      <c r="C380" s="39">
        <f>IF(EXACT(MAIN!$H380, ""), "", MAIN!$B380)</f>
        <v>25000000000377</v>
      </c>
      <c r="D380" s="38" t="str">
        <f>IF(EXACT(MAIN!$H380, ""), "", MAIN!$C380)</f>
        <v>Saarah Andriani</v>
      </c>
      <c r="E380" s="39" t="str">
        <f>IF(EXACT(MAIN!$B380, ""), "", ""&amp;MAIN!$D380)</f>
        <v/>
      </c>
      <c r="G380" s="2">
        <f t="shared" si="5"/>
        <v>25000000000377</v>
      </c>
    </row>
    <row r="381" spans="2:7" x14ac:dyDescent="0.2">
      <c r="B381" s="35">
        <f>IF(EXACT(MAIN!$H381, ""), "", MAIN!$G381)</f>
        <v>32000000000378</v>
      </c>
      <c r="C381" s="39">
        <f>IF(EXACT(MAIN!$H381, ""), "", MAIN!$B381)</f>
        <v>25000000000378</v>
      </c>
      <c r="D381" s="38" t="str">
        <f>IF(EXACT(MAIN!$H381, ""), "", MAIN!$C381)</f>
        <v>Safira Nurbaiti</v>
      </c>
      <c r="E381" s="39" t="str">
        <f>IF(EXACT(MAIN!$B381, ""), "", ""&amp;MAIN!$D381)</f>
        <v>030221945</v>
      </c>
      <c r="G381" s="2">
        <f t="shared" si="5"/>
        <v>25000000000378</v>
      </c>
    </row>
    <row r="382" spans="2:7" x14ac:dyDescent="0.2">
      <c r="B382" s="35">
        <f>IF(EXACT(MAIN!$H382, ""), "", MAIN!$G382)</f>
        <v>32000000000379</v>
      </c>
      <c r="C382" s="39">
        <f>IF(EXACT(MAIN!$H382, ""), "", MAIN!$B382)</f>
        <v>25000000000379</v>
      </c>
      <c r="D382" s="38" t="str">
        <f>IF(EXACT(MAIN!$H382, ""), "", MAIN!$C382)</f>
        <v>Saifulloh</v>
      </c>
      <c r="E382" s="39" t="str">
        <f>IF(EXACT(MAIN!$B382, ""), "", ""&amp;MAIN!$D382)</f>
        <v/>
      </c>
      <c r="G382" s="2">
        <f t="shared" si="5"/>
        <v>25000000000379</v>
      </c>
    </row>
    <row r="383" spans="2:7" x14ac:dyDescent="0.2">
      <c r="B383" s="35">
        <f>IF(EXACT(MAIN!$H383, ""), "", MAIN!$G383)</f>
        <v>32000000000380</v>
      </c>
      <c r="C383" s="39">
        <f>IF(EXACT(MAIN!$H383, ""), "", MAIN!$B383)</f>
        <v>25000000000380</v>
      </c>
      <c r="D383" s="38" t="str">
        <f>IF(EXACT(MAIN!$H383, ""), "", MAIN!$C383)</f>
        <v>Saifuloh</v>
      </c>
      <c r="E383" s="39" t="str">
        <f>IF(EXACT(MAIN!$B383, ""), "", ""&amp;MAIN!$D383)</f>
        <v/>
      </c>
      <c r="G383" s="2">
        <f t="shared" si="5"/>
        <v>25000000000380</v>
      </c>
    </row>
    <row r="384" spans="2:7" x14ac:dyDescent="0.2">
      <c r="B384" s="35">
        <f>IF(EXACT(MAIN!$H384, ""), "", MAIN!$G384)</f>
        <v>32000000000381</v>
      </c>
      <c r="C384" s="39">
        <f>IF(EXACT(MAIN!$H384, ""), "", MAIN!$B384)</f>
        <v>25000000000381</v>
      </c>
      <c r="D384" s="38" t="str">
        <f>IF(EXACT(MAIN!$H384, ""), "", MAIN!$C384)</f>
        <v>Sakinah Tantriani Lubis</v>
      </c>
      <c r="E384" s="39" t="str">
        <f>IF(EXACT(MAIN!$B384, ""), "", ""&amp;MAIN!$D384)</f>
        <v>161220941</v>
      </c>
      <c r="G384" s="2">
        <f t="shared" si="5"/>
        <v>25000000000381</v>
      </c>
    </row>
    <row r="385" spans="2:7" x14ac:dyDescent="0.2">
      <c r="B385" s="35">
        <f>IF(EXACT(MAIN!$H385, ""), "", MAIN!$G385)</f>
        <v>32000000000382</v>
      </c>
      <c r="C385" s="39">
        <f>IF(EXACT(MAIN!$H385, ""), "", MAIN!$B385)</f>
        <v>25000000000382</v>
      </c>
      <c r="D385" s="38" t="str">
        <f>IF(EXACT(MAIN!$H385, ""), "", MAIN!$C385)</f>
        <v>Abdul Samad</v>
      </c>
      <c r="E385" s="39" t="str">
        <f>IF(EXACT(MAIN!$B385, ""), "", ""&amp;MAIN!$D385)</f>
        <v>210904088</v>
      </c>
      <c r="G385" s="2">
        <f t="shared" si="5"/>
        <v>25000000000382</v>
      </c>
    </row>
    <row r="386" spans="2:7" x14ac:dyDescent="0.2">
      <c r="B386" s="35">
        <f>IF(EXACT(MAIN!$H386, ""), "", MAIN!$G386)</f>
        <v>32000000000383</v>
      </c>
      <c r="C386" s="39">
        <f>IF(EXACT(MAIN!$H386, ""), "", MAIN!$B386)</f>
        <v>25000000000383</v>
      </c>
      <c r="D386" s="38" t="str">
        <f>IF(EXACT(MAIN!$H386, ""), "", MAIN!$C386)</f>
        <v>Samsul Hadi</v>
      </c>
      <c r="E386" s="39" t="str">
        <f>IF(EXACT(MAIN!$B386, ""), "", ""&amp;MAIN!$D386)</f>
        <v/>
      </c>
      <c r="G386" s="2">
        <f t="shared" si="5"/>
        <v>25000000000383</v>
      </c>
    </row>
    <row r="387" spans="2:7" x14ac:dyDescent="0.2">
      <c r="B387" s="35">
        <f>IF(EXACT(MAIN!$H387, ""), "", MAIN!$G387)</f>
        <v>32000000000384</v>
      </c>
      <c r="C387" s="39">
        <f>IF(EXACT(MAIN!$H387, ""), "", MAIN!$B387)</f>
        <v>25000000000384</v>
      </c>
      <c r="D387" s="38" t="str">
        <f>IF(EXACT(MAIN!$H387, ""), "", MAIN!$C387)</f>
        <v>Sandika</v>
      </c>
      <c r="E387" s="39" t="str">
        <f>IF(EXACT(MAIN!$B387, ""), "", ""&amp;MAIN!$D387)</f>
        <v/>
      </c>
      <c r="G387" s="2">
        <f t="shared" si="5"/>
        <v>25000000000384</v>
      </c>
    </row>
    <row r="388" spans="2:7" x14ac:dyDescent="0.2">
      <c r="B388" s="35">
        <f>IF(EXACT(MAIN!$H388, ""), "", MAIN!$G388)</f>
        <v>32000000000385</v>
      </c>
      <c r="C388" s="39">
        <f>IF(EXACT(MAIN!$H388, ""), "", MAIN!$B388)</f>
        <v>25000000000385</v>
      </c>
      <c r="D388" s="38" t="str">
        <f>IF(EXACT(MAIN!$H388, ""), "", MAIN!$C388)</f>
        <v>Sang Toga Sitompul</v>
      </c>
      <c r="E388" s="39" t="str">
        <f>IF(EXACT(MAIN!$B388, ""), "", ""&amp;MAIN!$D388)</f>
        <v/>
      </c>
      <c r="G388" s="2">
        <f t="shared" si="5"/>
        <v>25000000000385</v>
      </c>
    </row>
    <row r="389" spans="2:7" x14ac:dyDescent="0.2">
      <c r="B389" s="35">
        <f>IF(EXACT(MAIN!$H389, ""), "", MAIN!$G389)</f>
        <v>32000000000386</v>
      </c>
      <c r="C389" s="39">
        <f>IF(EXACT(MAIN!$H389, ""), "", MAIN!$B389)</f>
        <v>25000000000386</v>
      </c>
      <c r="D389" s="38" t="str">
        <f>IF(EXACT(MAIN!$H389, ""), "", MAIN!$C389)</f>
        <v>Santi Dewi R. W.</v>
      </c>
      <c r="E389" s="39" t="str">
        <f>IF(EXACT(MAIN!$B389, ""), "", ""&amp;MAIN!$D389)</f>
        <v/>
      </c>
      <c r="G389" s="2">
        <f t="shared" ref="G389:G452" si="6">C389</f>
        <v>25000000000386</v>
      </c>
    </row>
    <row r="390" spans="2:7" x14ac:dyDescent="0.2">
      <c r="B390" s="35">
        <f>IF(EXACT(MAIN!$H390, ""), "", MAIN!$G390)</f>
        <v>32000000000387</v>
      </c>
      <c r="C390" s="39">
        <f>IF(EXACT(MAIN!$H390, ""), "", MAIN!$B390)</f>
        <v>25000000000387</v>
      </c>
      <c r="D390" s="38" t="str">
        <f>IF(EXACT(MAIN!$H390, ""), "", MAIN!$C390)</f>
        <v>Sarah Sibarani</v>
      </c>
      <c r="E390" s="39" t="str">
        <f>IF(EXACT(MAIN!$B390, ""), "", ""&amp;MAIN!$D390)</f>
        <v/>
      </c>
      <c r="G390" s="2">
        <f t="shared" si="6"/>
        <v>25000000000387</v>
      </c>
    </row>
    <row r="391" spans="2:7" x14ac:dyDescent="0.2">
      <c r="B391" s="35">
        <f>IF(EXACT(MAIN!$H391, ""), "", MAIN!$G391)</f>
        <v>32000000000388</v>
      </c>
      <c r="C391" s="39">
        <f>IF(EXACT(MAIN!$H391, ""), "", MAIN!$B391)</f>
        <v>25000000000388</v>
      </c>
      <c r="D391" s="38" t="str">
        <f>IF(EXACT(MAIN!$H391, ""), "", MAIN!$C391)</f>
        <v>Sarif Hidayatul Umah</v>
      </c>
      <c r="E391" s="39" t="str">
        <f>IF(EXACT(MAIN!$B391, ""), "", ""&amp;MAIN!$D391)</f>
        <v/>
      </c>
      <c r="G391" s="2">
        <f t="shared" si="6"/>
        <v>25000000000388</v>
      </c>
    </row>
    <row r="392" spans="2:7" x14ac:dyDescent="0.2">
      <c r="B392" s="35">
        <f>IF(EXACT(MAIN!$H392, ""), "", MAIN!$G392)</f>
        <v>32000000000389</v>
      </c>
      <c r="C392" s="39">
        <f>IF(EXACT(MAIN!$H392, ""), "", MAIN!$B392)</f>
        <v>25000000000389</v>
      </c>
      <c r="D392" s="38" t="str">
        <f>IF(EXACT(MAIN!$H392, ""), "", MAIN!$C392)</f>
        <v>Satria Budi Raharja</v>
      </c>
      <c r="E392" s="39" t="str">
        <f>IF(EXACT(MAIN!$B392, ""), "", ""&amp;MAIN!$D392)</f>
        <v/>
      </c>
      <c r="G392" s="2">
        <f t="shared" si="6"/>
        <v>25000000000389</v>
      </c>
    </row>
    <row r="393" spans="2:7" x14ac:dyDescent="0.2">
      <c r="B393" s="35">
        <f>IF(EXACT(MAIN!$H393, ""), "", MAIN!$G393)</f>
        <v>32000000000390</v>
      </c>
      <c r="C393" s="39">
        <f>IF(EXACT(MAIN!$H393, ""), "", MAIN!$B393)</f>
        <v>25000000000390</v>
      </c>
      <c r="D393" s="38" t="str">
        <f>IF(EXACT(MAIN!$H393, ""), "", MAIN!$C393)</f>
        <v>Saut M. P. L. Tobing</v>
      </c>
      <c r="E393" s="39" t="str">
        <f>IF(EXACT(MAIN!$B393, ""), "", ""&amp;MAIN!$D393)</f>
        <v/>
      </c>
      <c r="G393" s="2">
        <f t="shared" si="6"/>
        <v>25000000000390</v>
      </c>
    </row>
    <row r="394" spans="2:7" x14ac:dyDescent="0.2">
      <c r="B394" s="35">
        <f>IF(EXACT(MAIN!$H394, ""), "", MAIN!$G394)</f>
        <v>32000000000391</v>
      </c>
      <c r="C394" s="39">
        <f>IF(EXACT(MAIN!$H394, ""), "", MAIN!$B394)</f>
        <v>25000000000391</v>
      </c>
      <c r="D394" s="38" t="str">
        <f>IF(EXACT(MAIN!$H394, ""), "", MAIN!$C394)</f>
        <v>Seftiyan Hadi Maulana</v>
      </c>
      <c r="E394" s="39" t="str">
        <f>IF(EXACT(MAIN!$B394, ""), "", ""&amp;MAIN!$D394)</f>
        <v>141118892</v>
      </c>
      <c r="G394" s="2">
        <f t="shared" si="6"/>
        <v>25000000000391</v>
      </c>
    </row>
    <row r="395" spans="2:7" x14ac:dyDescent="0.2">
      <c r="B395" s="35">
        <f>IF(EXACT(MAIN!$H395, ""), "", MAIN!$G395)</f>
        <v>32000000000392</v>
      </c>
      <c r="C395" s="39">
        <f>IF(EXACT(MAIN!$H395, ""), "", MAIN!$B395)</f>
        <v>25000000000392</v>
      </c>
      <c r="D395" s="38" t="str">
        <f>IF(EXACT(MAIN!$H395, ""), "", MAIN!$C395)</f>
        <v>Sena Andi Satria</v>
      </c>
      <c r="E395" s="39" t="str">
        <f>IF(EXACT(MAIN!$B395, ""), "", ""&amp;MAIN!$D395)</f>
        <v/>
      </c>
      <c r="G395" s="2">
        <f t="shared" si="6"/>
        <v>25000000000392</v>
      </c>
    </row>
    <row r="396" spans="2:7" x14ac:dyDescent="0.2">
      <c r="B396" s="35">
        <f>IF(EXACT(MAIN!$H396, ""), "", MAIN!$G396)</f>
        <v>32000000000393</v>
      </c>
      <c r="C396" s="39">
        <f>IF(EXACT(MAIN!$H396, ""), "", MAIN!$B396)</f>
        <v>25000000000393</v>
      </c>
      <c r="D396" s="38" t="str">
        <f>IF(EXACT(MAIN!$H396, ""), "", MAIN!$C396)</f>
        <v>Setiadi</v>
      </c>
      <c r="E396" s="39" t="str">
        <f>IF(EXACT(MAIN!$B396, ""), "", ""&amp;MAIN!$D396)</f>
        <v>130906272</v>
      </c>
      <c r="G396" s="2">
        <f t="shared" si="6"/>
        <v>25000000000393</v>
      </c>
    </row>
    <row r="397" spans="2:7" x14ac:dyDescent="0.2">
      <c r="B397" s="35">
        <f>IF(EXACT(MAIN!$H397, ""), "", MAIN!$G397)</f>
        <v>32000000000394</v>
      </c>
      <c r="C397" s="39">
        <f>IF(EXACT(MAIN!$H397, ""), "", MAIN!$B397)</f>
        <v>25000000000394</v>
      </c>
      <c r="D397" s="38" t="str">
        <f>IF(EXACT(MAIN!$H397, ""), "", MAIN!$C397)</f>
        <v>Sherly Tamira</v>
      </c>
      <c r="E397" s="39" t="str">
        <f>IF(EXACT(MAIN!$B397, ""), "", ""&amp;MAIN!$D397)</f>
        <v/>
      </c>
      <c r="G397" s="2">
        <f t="shared" si="6"/>
        <v>25000000000394</v>
      </c>
    </row>
    <row r="398" spans="2:7" x14ac:dyDescent="0.2">
      <c r="B398" s="35">
        <f>IF(EXACT(MAIN!$H398, ""), "", MAIN!$G398)</f>
        <v>32000000000395</v>
      </c>
      <c r="C398" s="39">
        <f>IF(EXACT(MAIN!$H398, ""), "", MAIN!$B398)</f>
        <v>25000000000395</v>
      </c>
      <c r="D398" s="38" t="str">
        <f>IF(EXACT(MAIN!$H398, ""), "", MAIN!$C398)</f>
        <v>Shihab</v>
      </c>
      <c r="E398" s="39" t="str">
        <f>IF(EXACT(MAIN!$B398, ""), "", ""&amp;MAIN!$D398)</f>
        <v/>
      </c>
      <c r="G398" s="2">
        <f t="shared" si="6"/>
        <v>25000000000395</v>
      </c>
    </row>
    <row r="399" spans="2:7" x14ac:dyDescent="0.2">
      <c r="B399" s="35">
        <f>IF(EXACT(MAIN!$H399, ""), "", MAIN!$G399)</f>
        <v>32000000000396</v>
      </c>
      <c r="C399" s="39">
        <f>IF(EXACT(MAIN!$H399, ""), "", MAIN!$B399)</f>
        <v>25000000000396</v>
      </c>
      <c r="D399" s="38" t="str">
        <f>IF(EXACT(MAIN!$H399, ""), "", MAIN!$C399)</f>
        <v>Shobarin Jabar</v>
      </c>
      <c r="E399" s="39" t="str">
        <f>IF(EXACT(MAIN!$B399, ""), "", ""&amp;MAIN!$D399)</f>
        <v/>
      </c>
      <c r="G399" s="2">
        <f t="shared" si="6"/>
        <v>25000000000396</v>
      </c>
    </row>
    <row r="400" spans="2:7" x14ac:dyDescent="0.2">
      <c r="B400" s="35">
        <f>IF(EXACT(MAIN!$H400, ""), "", MAIN!$G400)</f>
        <v>32000000000397</v>
      </c>
      <c r="C400" s="39">
        <f>IF(EXACT(MAIN!$H400, ""), "", MAIN!$B400)</f>
        <v>25000000000397</v>
      </c>
      <c r="D400" s="38" t="str">
        <f>IF(EXACT(MAIN!$H400, ""), "", MAIN!$C400)</f>
        <v>Sholehah</v>
      </c>
      <c r="E400" s="39" t="str">
        <f>IF(EXACT(MAIN!$B400, ""), "", ""&amp;MAIN!$D400)</f>
        <v>240518874</v>
      </c>
      <c r="G400" s="2">
        <f t="shared" si="6"/>
        <v>25000000000397</v>
      </c>
    </row>
    <row r="401" spans="2:7" x14ac:dyDescent="0.2">
      <c r="B401" s="35">
        <f>IF(EXACT(MAIN!$H401, ""), "", MAIN!$G401)</f>
        <v>32000000000398</v>
      </c>
      <c r="C401" s="39">
        <f>IF(EXACT(MAIN!$H401, ""), "", MAIN!$B401)</f>
        <v>25000000000398</v>
      </c>
      <c r="D401" s="38" t="str">
        <f>IF(EXACT(MAIN!$H401, ""), "", MAIN!$C401)</f>
        <v>Sigit Rudiantono</v>
      </c>
      <c r="E401" s="39" t="str">
        <f>IF(EXACT(MAIN!$B401, ""), "", ""&amp;MAIN!$D401)</f>
        <v/>
      </c>
      <c r="G401" s="2">
        <f t="shared" si="6"/>
        <v>25000000000398</v>
      </c>
    </row>
    <row r="402" spans="2:7" x14ac:dyDescent="0.2">
      <c r="B402" s="35">
        <f>IF(EXACT(MAIN!$H402, ""), "", MAIN!$G402)</f>
        <v>32000000000399</v>
      </c>
      <c r="C402" s="39">
        <f>IF(EXACT(MAIN!$H402, ""), "", MAIN!$B402)</f>
        <v>25000000000399</v>
      </c>
      <c r="D402" s="38" t="str">
        <f>IF(EXACT(MAIN!$H402, ""), "", MAIN!$C402)</f>
        <v>Silvia Putri</v>
      </c>
      <c r="E402" s="39" t="str">
        <f>IF(EXACT(MAIN!$B402, ""), "", ""&amp;MAIN!$D402)</f>
        <v/>
      </c>
      <c r="G402" s="2">
        <f t="shared" si="6"/>
        <v>25000000000399</v>
      </c>
    </row>
    <row r="403" spans="2:7" x14ac:dyDescent="0.2">
      <c r="B403" s="35">
        <f>IF(EXACT(MAIN!$H403, ""), "", MAIN!$G403)</f>
        <v>32000000000400</v>
      </c>
      <c r="C403" s="39">
        <f>IF(EXACT(MAIN!$H403, ""), "", MAIN!$B403)</f>
        <v>25000000000400</v>
      </c>
      <c r="D403" s="38" t="str">
        <f>IF(EXACT(MAIN!$H403, ""), "", MAIN!$C403)</f>
        <v>Simron Ronaldi Nasution</v>
      </c>
      <c r="E403" s="39" t="str">
        <f>IF(EXACT(MAIN!$B403, ""), "", ""&amp;MAIN!$D403)</f>
        <v/>
      </c>
      <c r="G403" s="2">
        <f t="shared" si="6"/>
        <v>25000000000400</v>
      </c>
    </row>
    <row r="404" spans="2:7" x14ac:dyDescent="0.2">
      <c r="B404" s="35">
        <f>IF(EXACT(MAIN!$H404, ""), "", MAIN!$G404)</f>
        <v>32000000000401</v>
      </c>
      <c r="C404" s="39">
        <f>IF(EXACT(MAIN!$H404, ""), "", MAIN!$B404)</f>
        <v>25000000000401</v>
      </c>
      <c r="D404" s="38" t="str">
        <f>IF(EXACT(MAIN!$H404, ""), "", MAIN!$C404)</f>
        <v>Sinta Vera Trikawati</v>
      </c>
      <c r="E404" s="39" t="str">
        <f>IF(EXACT(MAIN!$B404, ""), "", ""&amp;MAIN!$D404)</f>
        <v/>
      </c>
      <c r="G404" s="2">
        <f t="shared" si="6"/>
        <v>25000000000401</v>
      </c>
    </row>
    <row r="405" spans="2:7" x14ac:dyDescent="0.2">
      <c r="B405" s="35">
        <f>IF(EXACT(MAIN!$H405, ""), "", MAIN!$G405)</f>
        <v>32000000000402</v>
      </c>
      <c r="C405" s="39">
        <f>IF(EXACT(MAIN!$H405, ""), "", MAIN!$B405)</f>
        <v>25000000000402</v>
      </c>
      <c r="D405" s="38" t="str">
        <f>IF(EXACT(MAIN!$H405, ""), "", MAIN!$C405)</f>
        <v>Sir Muhammad Zafrulloh Khan</v>
      </c>
      <c r="E405" s="39" t="str">
        <f>IF(EXACT(MAIN!$B405, ""), "", ""&amp;MAIN!$D405)</f>
        <v/>
      </c>
      <c r="G405" s="2">
        <f t="shared" si="6"/>
        <v>25000000000402</v>
      </c>
    </row>
    <row r="406" spans="2:7" x14ac:dyDescent="0.2">
      <c r="B406" s="35">
        <f>IF(EXACT(MAIN!$H406, ""), "", MAIN!$G406)</f>
        <v>32000000000403</v>
      </c>
      <c r="C406" s="39">
        <f>IF(EXACT(MAIN!$H406, ""), "", MAIN!$B406)</f>
        <v>25000000000403</v>
      </c>
      <c r="D406" s="38" t="str">
        <f>IF(EXACT(MAIN!$H406, ""), "", MAIN!$C406)</f>
        <v>Siska Marlina</v>
      </c>
      <c r="E406" s="39" t="str">
        <f>IF(EXACT(MAIN!$B406, ""), "", ""&amp;MAIN!$D406)</f>
        <v/>
      </c>
      <c r="G406" s="2">
        <f t="shared" si="6"/>
        <v>25000000000403</v>
      </c>
    </row>
    <row r="407" spans="2:7" x14ac:dyDescent="0.2">
      <c r="B407" s="35">
        <f>IF(EXACT(MAIN!$H407, ""), "", MAIN!$G407)</f>
        <v>32000000000404</v>
      </c>
      <c r="C407" s="39">
        <f>IF(EXACT(MAIN!$H407, ""), "", MAIN!$B407)</f>
        <v>25000000000404</v>
      </c>
      <c r="D407" s="38" t="str">
        <f>IF(EXACT(MAIN!$H407, ""), "", MAIN!$C407)</f>
        <v>Siswanto</v>
      </c>
      <c r="E407" s="39" t="str">
        <f>IF(EXACT(MAIN!$B407, ""), "", ""&amp;MAIN!$D407)</f>
        <v/>
      </c>
      <c r="G407" s="2">
        <f t="shared" si="6"/>
        <v>25000000000404</v>
      </c>
    </row>
    <row r="408" spans="2:7" x14ac:dyDescent="0.2">
      <c r="B408" s="35">
        <f>IF(EXACT(MAIN!$H408, ""), "", MAIN!$G408)</f>
        <v>32000000000405</v>
      </c>
      <c r="C408" s="39">
        <f>IF(EXACT(MAIN!$H408, ""), "", MAIN!$B408)</f>
        <v>25000000000405</v>
      </c>
      <c r="D408" s="38" t="str">
        <f>IF(EXACT(MAIN!$H408, ""), "", MAIN!$C408)</f>
        <v>Siti Mulyani</v>
      </c>
      <c r="E408" s="39" t="str">
        <f>IF(EXACT(MAIN!$B408, ""), "", ""&amp;MAIN!$D408)</f>
        <v/>
      </c>
      <c r="G408" s="2">
        <f t="shared" si="6"/>
        <v>25000000000405</v>
      </c>
    </row>
    <row r="409" spans="2:7" x14ac:dyDescent="0.2">
      <c r="B409" s="35">
        <f>IF(EXACT(MAIN!$H409, ""), "", MAIN!$G409)</f>
        <v>32000000000406</v>
      </c>
      <c r="C409" s="39">
        <f>IF(EXACT(MAIN!$H409, ""), "", MAIN!$B409)</f>
        <v>25000000000406</v>
      </c>
      <c r="D409" s="38" t="str">
        <f>IF(EXACT(MAIN!$H409, ""), "", MAIN!$C409)</f>
        <v>Sjanti Devi</v>
      </c>
      <c r="E409" s="39" t="str">
        <f>IF(EXACT(MAIN!$B409, ""), "", ""&amp;MAIN!$D409)</f>
        <v/>
      </c>
      <c r="G409" s="2">
        <f t="shared" si="6"/>
        <v>25000000000406</v>
      </c>
    </row>
    <row r="410" spans="2:7" x14ac:dyDescent="0.2">
      <c r="B410" s="35">
        <f>IF(EXACT(MAIN!$H410, ""), "", MAIN!$G410)</f>
        <v>32000000000407</v>
      </c>
      <c r="C410" s="39">
        <f>IF(EXACT(MAIN!$H410, ""), "", MAIN!$B410)</f>
        <v>25000000000407</v>
      </c>
      <c r="D410" s="38" t="str">
        <f>IF(EXACT(MAIN!$H410, ""), "", MAIN!$C410)</f>
        <v>Slamet Budi Setiawan</v>
      </c>
      <c r="E410" s="39" t="str">
        <f>IF(EXACT(MAIN!$B410, ""), "", ""&amp;MAIN!$D410)</f>
        <v/>
      </c>
      <c r="G410" s="2">
        <f t="shared" si="6"/>
        <v>25000000000407</v>
      </c>
    </row>
    <row r="411" spans="2:7" x14ac:dyDescent="0.2">
      <c r="B411" s="35">
        <f>IF(EXACT(MAIN!$H411, ""), "", MAIN!$G411)</f>
        <v>32000000000408</v>
      </c>
      <c r="C411" s="39">
        <f>IF(EXACT(MAIN!$H411, ""), "", MAIN!$B411)</f>
        <v>25000000000408</v>
      </c>
      <c r="D411" s="38" t="str">
        <f>IF(EXACT(MAIN!$H411, ""), "", MAIN!$C411)</f>
        <v>Sofyan Maulana</v>
      </c>
      <c r="E411" s="39" t="str">
        <f>IF(EXACT(MAIN!$B411, ""), "", ""&amp;MAIN!$D411)</f>
        <v/>
      </c>
      <c r="G411" s="2">
        <f t="shared" si="6"/>
        <v>25000000000408</v>
      </c>
    </row>
    <row r="412" spans="2:7" x14ac:dyDescent="0.2">
      <c r="B412" s="35">
        <f>IF(EXACT(MAIN!$H412, ""), "", MAIN!$G412)</f>
        <v>32000000000409</v>
      </c>
      <c r="C412" s="39">
        <f>IF(EXACT(MAIN!$H412, ""), "", MAIN!$B412)</f>
        <v>25000000000409</v>
      </c>
      <c r="D412" s="38" t="str">
        <f>IF(EXACT(MAIN!$H412, ""), "", MAIN!$C412)</f>
        <v>Subagio</v>
      </c>
      <c r="E412" s="39" t="str">
        <f>IF(EXACT(MAIN!$B412, ""), "", ""&amp;MAIN!$D412)</f>
        <v/>
      </c>
      <c r="G412" s="2">
        <f t="shared" si="6"/>
        <v>25000000000409</v>
      </c>
    </row>
    <row r="413" spans="2:7" x14ac:dyDescent="0.2">
      <c r="B413" s="35">
        <f>IF(EXACT(MAIN!$H413, ""), "", MAIN!$G413)</f>
        <v>32000000000410</v>
      </c>
      <c r="C413" s="39">
        <f>IF(EXACT(MAIN!$H413, ""), "", MAIN!$B413)</f>
        <v>25000000000410</v>
      </c>
      <c r="D413" s="38" t="str">
        <f>IF(EXACT(MAIN!$H413, ""), "", MAIN!$C413)</f>
        <v>Suci Mardiana</v>
      </c>
      <c r="E413" s="39" t="str">
        <f>IF(EXACT(MAIN!$B413, ""), "", ""&amp;MAIN!$D413)</f>
        <v/>
      </c>
      <c r="G413" s="2">
        <f t="shared" si="6"/>
        <v>25000000000410</v>
      </c>
    </row>
    <row r="414" spans="2:7" x14ac:dyDescent="0.2">
      <c r="B414" s="35">
        <f>IF(EXACT(MAIN!$H414, ""), "", MAIN!$G414)</f>
        <v>32000000000411</v>
      </c>
      <c r="C414" s="39">
        <f>IF(EXACT(MAIN!$H414, ""), "", MAIN!$B414)</f>
        <v>25000000000411</v>
      </c>
      <c r="D414" s="38" t="str">
        <f>IF(EXACT(MAIN!$H414, ""), "", MAIN!$C414)</f>
        <v>Suci Rachma Sari</v>
      </c>
      <c r="E414" s="39" t="str">
        <f>IF(EXACT(MAIN!$B414, ""), "", ""&amp;MAIN!$D414)</f>
        <v/>
      </c>
      <c r="G414" s="2">
        <f t="shared" si="6"/>
        <v>25000000000411</v>
      </c>
    </row>
    <row r="415" spans="2:7" x14ac:dyDescent="0.2">
      <c r="B415" s="35">
        <f>IF(EXACT(MAIN!$H415, ""), "", MAIN!$G415)</f>
        <v>32000000000412</v>
      </c>
      <c r="C415" s="39">
        <f>IF(EXACT(MAIN!$H415, ""), "", MAIN!$B415)</f>
        <v>25000000000412</v>
      </c>
      <c r="D415" s="38" t="str">
        <f>IF(EXACT(MAIN!$H415, ""), "", MAIN!$C415)</f>
        <v>Sudarlan</v>
      </c>
      <c r="E415" s="39" t="str">
        <f>IF(EXACT(MAIN!$B415, ""), "", ""&amp;MAIN!$D415)</f>
        <v>010507354</v>
      </c>
      <c r="G415" s="2">
        <f t="shared" si="6"/>
        <v>25000000000412</v>
      </c>
    </row>
    <row r="416" spans="2:7" x14ac:dyDescent="0.2">
      <c r="B416" s="35">
        <f>IF(EXACT(MAIN!$H416, ""), "", MAIN!$G416)</f>
        <v>32000000000413</v>
      </c>
      <c r="C416" s="39">
        <f>IF(EXACT(MAIN!$H416, ""), "", MAIN!$B416)</f>
        <v>25000000000413</v>
      </c>
      <c r="D416" s="38" t="str">
        <f>IF(EXACT(MAIN!$H416, ""), "", MAIN!$C416)</f>
        <v>Sufie Amalia</v>
      </c>
      <c r="E416" s="39" t="str">
        <f>IF(EXACT(MAIN!$B416, ""), "", ""&amp;MAIN!$D416)</f>
        <v>140421948</v>
      </c>
      <c r="G416" s="2">
        <f t="shared" si="6"/>
        <v>25000000000413</v>
      </c>
    </row>
    <row r="417" spans="2:7" x14ac:dyDescent="0.2">
      <c r="B417" s="35">
        <f>IF(EXACT(MAIN!$H417, ""), "", MAIN!$G417)</f>
        <v>32000000000414</v>
      </c>
      <c r="C417" s="39">
        <f>IF(EXACT(MAIN!$H417, ""), "", MAIN!$B417)</f>
        <v>25000000000414</v>
      </c>
      <c r="D417" s="38" t="str">
        <f>IF(EXACT(MAIN!$H417, ""), "", MAIN!$C417)</f>
        <v>Sugeng Ismanto</v>
      </c>
      <c r="E417" s="39" t="str">
        <f>IF(EXACT(MAIN!$B417, ""), "", ""&amp;MAIN!$D417)</f>
        <v/>
      </c>
      <c r="G417" s="2">
        <f t="shared" si="6"/>
        <v>25000000000414</v>
      </c>
    </row>
    <row r="418" spans="2:7" x14ac:dyDescent="0.2">
      <c r="B418" s="35">
        <f>IF(EXACT(MAIN!$H418, ""), "", MAIN!$G418)</f>
        <v>32000000000415</v>
      </c>
      <c r="C418" s="39">
        <f>IF(EXACT(MAIN!$H418, ""), "", MAIN!$B418)</f>
        <v>25000000000415</v>
      </c>
      <c r="D418" s="38" t="str">
        <f>IF(EXACT(MAIN!$H418, ""), "", MAIN!$C418)</f>
        <v>Sugiarto</v>
      </c>
      <c r="E418" s="39" t="str">
        <f>IF(EXACT(MAIN!$B418, ""), "", ""&amp;MAIN!$D418)</f>
        <v>080822967</v>
      </c>
      <c r="G418" s="2">
        <f t="shared" si="6"/>
        <v>25000000000415</v>
      </c>
    </row>
    <row r="419" spans="2:7" x14ac:dyDescent="0.2">
      <c r="B419" s="35">
        <f>IF(EXACT(MAIN!$H419, ""), "", MAIN!$G419)</f>
        <v>32000000000416</v>
      </c>
      <c r="C419" s="39">
        <f>IF(EXACT(MAIN!$H419, ""), "", MAIN!$B419)</f>
        <v>25000000000416</v>
      </c>
      <c r="D419" s="38" t="str">
        <f>IF(EXACT(MAIN!$H419, ""), "", MAIN!$C419)</f>
        <v>Sulih</v>
      </c>
      <c r="E419" s="39" t="str">
        <f>IF(EXACT(MAIN!$B419, ""), "", ""&amp;MAIN!$D419)</f>
        <v/>
      </c>
      <c r="G419" s="2">
        <f t="shared" si="6"/>
        <v>25000000000416</v>
      </c>
    </row>
    <row r="420" spans="2:7" x14ac:dyDescent="0.2">
      <c r="B420" s="35">
        <f>IF(EXACT(MAIN!$H420, ""), "", MAIN!$G420)</f>
        <v>32000000000417</v>
      </c>
      <c r="C420" s="39">
        <f>IF(EXACT(MAIN!$H420, ""), "", MAIN!$B420)</f>
        <v>25000000000417</v>
      </c>
      <c r="D420" s="38" t="str">
        <f>IF(EXACT(MAIN!$H420, ""), "", MAIN!$C420)</f>
        <v>Sumadi</v>
      </c>
      <c r="E420" s="39" t="str">
        <f>IF(EXACT(MAIN!$B420, ""), "", ""&amp;MAIN!$D420)</f>
        <v/>
      </c>
      <c r="G420" s="2">
        <f t="shared" si="6"/>
        <v>25000000000417</v>
      </c>
    </row>
    <row r="421" spans="2:7" x14ac:dyDescent="0.2">
      <c r="B421" s="35">
        <f>IF(EXACT(MAIN!$H421, ""), "", MAIN!$G421)</f>
        <v>32000000000418</v>
      </c>
      <c r="C421" s="39">
        <f>IF(EXACT(MAIN!$H421, ""), "", MAIN!$B421)</f>
        <v>25000000000418</v>
      </c>
      <c r="D421" s="38" t="str">
        <f>IF(EXACT(MAIN!$H421, ""), "", MAIN!$C421)</f>
        <v>Sumirat</v>
      </c>
      <c r="E421" s="39" t="str">
        <f>IF(EXACT(MAIN!$B421, ""), "", ""&amp;MAIN!$D421)</f>
        <v/>
      </c>
      <c r="G421" s="2">
        <f t="shared" si="6"/>
        <v>25000000000418</v>
      </c>
    </row>
    <row r="422" spans="2:7" x14ac:dyDescent="0.2">
      <c r="B422" s="35">
        <f>IF(EXACT(MAIN!$H422, ""), "", MAIN!$G422)</f>
        <v>32000000000419</v>
      </c>
      <c r="C422" s="39">
        <f>IF(EXACT(MAIN!$H422, ""), "", MAIN!$B422)</f>
        <v>25000000000419</v>
      </c>
      <c r="D422" s="38" t="str">
        <f>IF(EXACT(MAIN!$H422, ""), "", MAIN!$C422)</f>
        <v>Sunaryati</v>
      </c>
      <c r="E422" s="39" t="str">
        <f>IF(EXACT(MAIN!$B422, ""), "", ""&amp;MAIN!$D422)</f>
        <v/>
      </c>
      <c r="G422" s="2">
        <f t="shared" si="6"/>
        <v>25000000000419</v>
      </c>
    </row>
    <row r="423" spans="2:7" x14ac:dyDescent="0.2">
      <c r="B423" s="35">
        <f>IF(EXACT(MAIN!$H423, ""), "", MAIN!$G423)</f>
        <v>32000000000420</v>
      </c>
      <c r="C423" s="39">
        <f>IF(EXACT(MAIN!$H423, ""), "", MAIN!$B423)</f>
        <v>25000000000420</v>
      </c>
      <c r="D423" s="38" t="str">
        <f>IF(EXACT(MAIN!$H423, ""), "", MAIN!$C423)</f>
        <v>Supriyadi</v>
      </c>
      <c r="E423" s="39" t="str">
        <f>IF(EXACT(MAIN!$B423, ""), "", ""&amp;MAIN!$D423)</f>
        <v/>
      </c>
      <c r="G423" s="2">
        <f t="shared" si="6"/>
        <v>25000000000420</v>
      </c>
    </row>
    <row r="424" spans="2:7" x14ac:dyDescent="0.2">
      <c r="B424" s="35">
        <f>IF(EXACT(MAIN!$H424, ""), "", MAIN!$G424)</f>
        <v>32000000000421</v>
      </c>
      <c r="C424" s="39">
        <f>IF(EXACT(MAIN!$H424, ""), "", MAIN!$B424)</f>
        <v>25000000000421</v>
      </c>
      <c r="D424" s="38" t="str">
        <f>IF(EXACT(MAIN!$H424, ""), "", MAIN!$C424)</f>
        <v>Suriono Suriono</v>
      </c>
      <c r="E424" s="39" t="str">
        <f>IF(EXACT(MAIN!$B424, ""), "", ""&amp;MAIN!$D424)</f>
        <v/>
      </c>
      <c r="G424" s="2">
        <f t="shared" si="6"/>
        <v>25000000000421</v>
      </c>
    </row>
    <row r="425" spans="2:7" x14ac:dyDescent="0.2">
      <c r="B425" s="35">
        <f>IF(EXACT(MAIN!$H425, ""), "", MAIN!$G425)</f>
        <v>32000000000422</v>
      </c>
      <c r="C425" s="39">
        <f>IF(EXACT(MAIN!$H425, ""), "", MAIN!$B425)</f>
        <v>25000000000422</v>
      </c>
      <c r="D425" s="38" t="str">
        <f>IF(EXACT(MAIN!$H425, ""), "", MAIN!$C425)</f>
        <v>Surono</v>
      </c>
      <c r="E425" s="39" t="str">
        <f>IF(EXACT(MAIN!$B425, ""), "", ""&amp;MAIN!$D425)</f>
        <v/>
      </c>
      <c r="G425" s="2">
        <f t="shared" si="6"/>
        <v>25000000000422</v>
      </c>
    </row>
    <row r="426" spans="2:7" x14ac:dyDescent="0.2">
      <c r="B426" s="35">
        <f>IF(EXACT(MAIN!$H426, ""), "", MAIN!$G426)</f>
        <v>32000000000423</v>
      </c>
      <c r="C426" s="39">
        <f>IF(EXACT(MAIN!$H426, ""), "", MAIN!$B426)</f>
        <v>25000000000423</v>
      </c>
      <c r="D426" s="38" t="str">
        <f>IF(EXACT(MAIN!$H426, ""), "", MAIN!$C426)</f>
        <v>Surtoyo Syukri</v>
      </c>
      <c r="E426" s="39" t="str">
        <f>IF(EXACT(MAIN!$B426, ""), "", ""&amp;MAIN!$D426)</f>
        <v/>
      </c>
      <c r="G426" s="2">
        <f t="shared" si="6"/>
        <v>25000000000423</v>
      </c>
    </row>
    <row r="427" spans="2:7" x14ac:dyDescent="0.2">
      <c r="B427" s="35">
        <f>IF(EXACT(MAIN!$H427, ""), "", MAIN!$G427)</f>
        <v>32000000000424</v>
      </c>
      <c r="C427" s="39">
        <f>IF(EXACT(MAIN!$H427, ""), "", MAIN!$B427)</f>
        <v>25000000000424</v>
      </c>
      <c r="D427" s="38" t="str">
        <f>IF(EXACT(MAIN!$H427, ""), "", MAIN!$C427)</f>
        <v>Suryadi</v>
      </c>
      <c r="E427" s="39" t="str">
        <f>IF(EXACT(MAIN!$B427, ""), "", ""&amp;MAIN!$D427)</f>
        <v/>
      </c>
      <c r="G427" s="2">
        <f t="shared" si="6"/>
        <v>25000000000424</v>
      </c>
    </row>
    <row r="428" spans="2:7" x14ac:dyDescent="0.2">
      <c r="B428" s="35">
        <f>IF(EXACT(MAIN!$H428, ""), "", MAIN!$G428)</f>
        <v>32000000000425</v>
      </c>
      <c r="C428" s="39">
        <f>IF(EXACT(MAIN!$H428, ""), "", MAIN!$B428)</f>
        <v>25000000000425</v>
      </c>
      <c r="D428" s="38" t="str">
        <f>IF(EXACT(MAIN!$H428, ""), "", MAIN!$C428)</f>
        <v>Susilawati</v>
      </c>
      <c r="E428" s="39" t="str">
        <f>IF(EXACT(MAIN!$B428, ""), "", ""&amp;MAIN!$D428)</f>
        <v/>
      </c>
      <c r="G428" s="2">
        <f t="shared" si="6"/>
        <v>25000000000425</v>
      </c>
    </row>
    <row r="429" spans="2:7" x14ac:dyDescent="0.2">
      <c r="B429" s="35">
        <f>IF(EXACT(MAIN!$H429, ""), "", MAIN!$G429)</f>
        <v>32000000000426</v>
      </c>
      <c r="C429" s="39">
        <f>IF(EXACT(MAIN!$H429, ""), "", MAIN!$B429)</f>
        <v>25000000000426</v>
      </c>
      <c r="D429" s="38" t="str">
        <f>IF(EXACT(MAIN!$H429, ""), "", MAIN!$C429)</f>
        <v>Sutarno</v>
      </c>
      <c r="E429" s="39" t="str">
        <f>IF(EXACT(MAIN!$B429, ""), "", ""&amp;MAIN!$D429)</f>
        <v/>
      </c>
      <c r="G429" s="2">
        <f t="shared" si="6"/>
        <v>25000000000426</v>
      </c>
    </row>
    <row r="430" spans="2:7" x14ac:dyDescent="0.2">
      <c r="B430" s="35">
        <f>IF(EXACT(MAIN!$H430, ""), "", MAIN!$G430)</f>
        <v>32000000000427</v>
      </c>
      <c r="C430" s="39">
        <f>IF(EXACT(MAIN!$H430, ""), "", MAIN!$B430)</f>
        <v>25000000000427</v>
      </c>
      <c r="D430" s="38" t="str">
        <f>IF(EXACT(MAIN!$H430, ""), "", MAIN!$C430)</f>
        <v>Sutra Riandi</v>
      </c>
      <c r="E430" s="39" t="str">
        <f>IF(EXACT(MAIN!$B430, ""), "", ""&amp;MAIN!$D430)</f>
        <v/>
      </c>
      <c r="G430" s="2">
        <f t="shared" si="6"/>
        <v>25000000000427</v>
      </c>
    </row>
    <row r="431" spans="2:7" x14ac:dyDescent="0.2">
      <c r="B431" s="35">
        <f>IF(EXACT(MAIN!$H431, ""), "", MAIN!$G431)</f>
        <v>32000000000428</v>
      </c>
      <c r="C431" s="39">
        <f>IF(EXACT(MAIN!$H431, ""), "", MAIN!$B431)</f>
        <v>25000000000428</v>
      </c>
      <c r="D431" s="38" t="str">
        <f>IF(EXACT(MAIN!$H431, ""), "", MAIN!$C431)</f>
        <v>Suyanto</v>
      </c>
      <c r="E431" s="39" t="str">
        <f>IF(EXACT(MAIN!$B431, ""), "", ""&amp;MAIN!$D431)</f>
        <v>261219925</v>
      </c>
      <c r="G431" s="2">
        <f t="shared" si="6"/>
        <v>25000000000428</v>
      </c>
    </row>
    <row r="432" spans="2:7" x14ac:dyDescent="0.2">
      <c r="B432" s="35">
        <f>IF(EXACT(MAIN!$H432, ""), "", MAIN!$G432)</f>
        <v>32000000000429</v>
      </c>
      <c r="C432" s="39">
        <f>IF(EXACT(MAIN!$H432, ""), "", MAIN!$B432)</f>
        <v>25000000000429</v>
      </c>
      <c r="D432" s="38" t="str">
        <f>IF(EXACT(MAIN!$H432, ""), "", MAIN!$C432)</f>
        <v>Swar Jono</v>
      </c>
      <c r="E432" s="39" t="str">
        <f>IF(EXACT(MAIN!$B432, ""), "", ""&amp;MAIN!$D432)</f>
        <v/>
      </c>
      <c r="G432" s="2">
        <f t="shared" si="6"/>
        <v>25000000000429</v>
      </c>
    </row>
    <row r="433" spans="2:7" x14ac:dyDescent="0.2">
      <c r="B433" s="35">
        <f>IF(EXACT(MAIN!$H433, ""), "", MAIN!$G433)</f>
        <v>32000000000430</v>
      </c>
      <c r="C433" s="39">
        <f>IF(EXACT(MAIN!$H433, ""), "", MAIN!$B433)</f>
        <v>25000000000430</v>
      </c>
      <c r="D433" s="38" t="str">
        <f>IF(EXACT(MAIN!$H433, ""), "", MAIN!$C433)</f>
        <v>Syafruddin</v>
      </c>
      <c r="E433" s="39" t="str">
        <f>IF(EXACT(MAIN!$B433, ""), "", ""&amp;MAIN!$D433)</f>
        <v/>
      </c>
      <c r="G433" s="2">
        <f t="shared" si="6"/>
        <v>25000000000430</v>
      </c>
    </row>
    <row r="434" spans="2:7" x14ac:dyDescent="0.2">
      <c r="B434" s="35">
        <f>IF(EXACT(MAIN!$H434, ""), "", MAIN!$G434)</f>
        <v>32000000000431</v>
      </c>
      <c r="C434" s="39">
        <f>IF(EXACT(MAIN!$H434, ""), "", MAIN!$B434)</f>
        <v>25000000000431</v>
      </c>
      <c r="D434" s="38" t="str">
        <f>IF(EXACT(MAIN!$H434, ""), "", MAIN!$C434)</f>
        <v>Syafrudin Machmud</v>
      </c>
      <c r="E434" s="39" t="str">
        <f>IF(EXACT(MAIN!$B434, ""), "", ""&amp;MAIN!$D434)</f>
        <v/>
      </c>
      <c r="G434" s="2">
        <f t="shared" si="6"/>
        <v>25000000000431</v>
      </c>
    </row>
    <row r="435" spans="2:7" x14ac:dyDescent="0.2">
      <c r="B435" s="35">
        <f>IF(EXACT(MAIN!$H435, ""), "", MAIN!$G435)</f>
        <v>32000000000432</v>
      </c>
      <c r="C435" s="39">
        <f>IF(EXACT(MAIN!$H435, ""), "", MAIN!$B435)</f>
        <v>25000000000432</v>
      </c>
      <c r="D435" s="38" t="str">
        <f>IF(EXACT(MAIN!$H435, ""), "", MAIN!$C435)</f>
        <v>Syahrizal</v>
      </c>
      <c r="E435" s="39" t="str">
        <f>IF(EXACT(MAIN!$B435, ""), "", ""&amp;MAIN!$D435)</f>
        <v/>
      </c>
      <c r="G435" s="2">
        <f t="shared" si="6"/>
        <v>25000000000432</v>
      </c>
    </row>
    <row r="436" spans="2:7" x14ac:dyDescent="0.2">
      <c r="B436" s="35">
        <f>IF(EXACT(MAIN!$H436, ""), "", MAIN!$G436)</f>
        <v>32000000000433</v>
      </c>
      <c r="C436" s="39">
        <f>IF(EXACT(MAIN!$H436, ""), "", MAIN!$B436)</f>
        <v>25000000000433</v>
      </c>
      <c r="D436" s="38" t="str">
        <f>IF(EXACT(MAIN!$H436, ""), "", MAIN!$C436)</f>
        <v>Syaiful Idjam</v>
      </c>
      <c r="E436" s="39" t="str">
        <f>IF(EXACT(MAIN!$B436, ""), "", ""&amp;MAIN!$D436)</f>
        <v/>
      </c>
      <c r="G436" s="2">
        <f t="shared" si="6"/>
        <v>25000000000433</v>
      </c>
    </row>
    <row r="437" spans="2:7" x14ac:dyDescent="0.2">
      <c r="B437" s="35">
        <f>IF(EXACT(MAIN!$H437, ""), "", MAIN!$G437)</f>
        <v>32000000000434</v>
      </c>
      <c r="C437" s="39">
        <f>IF(EXACT(MAIN!$H437, ""), "", MAIN!$B437)</f>
        <v>25000000000434</v>
      </c>
      <c r="D437" s="38" t="str">
        <f>IF(EXACT(MAIN!$H437, ""), "", MAIN!$C437)</f>
        <v>Tajuddin Assubki Ismail</v>
      </c>
      <c r="E437" s="39" t="str">
        <f>IF(EXACT(MAIN!$B437, ""), "", ""&amp;MAIN!$D437)</f>
        <v>070703034</v>
      </c>
      <c r="G437" s="2">
        <f t="shared" si="6"/>
        <v>25000000000434</v>
      </c>
    </row>
    <row r="438" spans="2:7" x14ac:dyDescent="0.2">
      <c r="B438" s="35">
        <f>IF(EXACT(MAIN!$H438, ""), "", MAIN!$G438)</f>
        <v>32000000000435</v>
      </c>
      <c r="C438" s="39">
        <f>IF(EXACT(MAIN!$H438, ""), "", MAIN!$B438)</f>
        <v>25000000000435</v>
      </c>
      <c r="D438" s="38" t="str">
        <f>IF(EXACT(MAIN!$H438, ""), "", MAIN!$C438)</f>
        <v>Taslim</v>
      </c>
      <c r="E438" s="39" t="str">
        <f>IF(EXACT(MAIN!$B438, ""), "", ""&amp;MAIN!$D438)</f>
        <v/>
      </c>
      <c r="G438" s="2">
        <f t="shared" si="6"/>
        <v>25000000000435</v>
      </c>
    </row>
    <row r="439" spans="2:7" x14ac:dyDescent="0.2">
      <c r="B439" s="35">
        <f>IF(EXACT(MAIN!$H439, ""), "", MAIN!$G439)</f>
        <v>32000000000436</v>
      </c>
      <c r="C439" s="39">
        <f>IF(EXACT(MAIN!$H439, ""), "", MAIN!$B439)</f>
        <v>25000000000436</v>
      </c>
      <c r="D439" s="38" t="str">
        <f>IF(EXACT(MAIN!$H439, ""), "", MAIN!$C439)</f>
        <v>Taufik Mulia Pane</v>
      </c>
      <c r="E439" s="39" t="str">
        <f>IF(EXACT(MAIN!$B439, ""), "", ""&amp;MAIN!$D439)</f>
        <v/>
      </c>
      <c r="G439" s="2">
        <f t="shared" si="6"/>
        <v>25000000000436</v>
      </c>
    </row>
    <row r="440" spans="2:7" x14ac:dyDescent="0.2">
      <c r="B440" s="35">
        <f>IF(EXACT(MAIN!$H440, ""), "", MAIN!$G440)</f>
        <v>32000000000437</v>
      </c>
      <c r="C440" s="39">
        <f>IF(EXACT(MAIN!$H440, ""), "", MAIN!$B440)</f>
        <v>25000000000437</v>
      </c>
      <c r="D440" s="38" t="str">
        <f>IF(EXACT(MAIN!$H440, ""), "", MAIN!$C440)</f>
        <v>Tedy Harseno</v>
      </c>
      <c r="E440" s="39" t="str">
        <f>IF(EXACT(MAIN!$B440, ""), "", ""&amp;MAIN!$D440)</f>
        <v/>
      </c>
      <c r="G440" s="2">
        <f t="shared" si="6"/>
        <v>25000000000437</v>
      </c>
    </row>
    <row r="441" spans="2:7" x14ac:dyDescent="0.2">
      <c r="B441" s="35">
        <f>IF(EXACT(MAIN!$H441, ""), "", MAIN!$G441)</f>
        <v>32000000000438</v>
      </c>
      <c r="C441" s="39">
        <f>IF(EXACT(MAIN!$H441, ""), "", MAIN!$B441)</f>
        <v>25000000000438</v>
      </c>
      <c r="D441" s="38" t="str">
        <f>IF(EXACT(MAIN!$H441, ""), "", MAIN!$C441)</f>
        <v>Teguh Joko Pamuji</v>
      </c>
      <c r="E441" s="39" t="str">
        <f>IF(EXACT(MAIN!$B441, ""), "", ""&amp;MAIN!$D441)</f>
        <v/>
      </c>
      <c r="G441" s="2">
        <f t="shared" si="6"/>
        <v>25000000000438</v>
      </c>
    </row>
    <row r="442" spans="2:7" x14ac:dyDescent="0.2">
      <c r="B442" s="35">
        <f>IF(EXACT(MAIN!$H442, ""), "", MAIN!$G442)</f>
        <v>32000000000439</v>
      </c>
      <c r="C442" s="39">
        <f>IF(EXACT(MAIN!$H442, ""), "", MAIN!$B442)</f>
        <v>25000000000439</v>
      </c>
      <c r="D442" s="38" t="str">
        <f>IF(EXACT(MAIN!$H442, ""), "", MAIN!$C442)</f>
        <v>Teguh Pratama Januzir Sukin</v>
      </c>
      <c r="E442" s="39" t="str">
        <f>IF(EXACT(MAIN!$B442, ""), "", ""&amp;MAIN!$D442)</f>
        <v>030717839</v>
      </c>
      <c r="G442" s="2">
        <f t="shared" si="6"/>
        <v>25000000000439</v>
      </c>
    </row>
    <row r="443" spans="2:7" x14ac:dyDescent="0.2">
      <c r="B443" s="35">
        <f>IF(EXACT(MAIN!$H443, ""), "", MAIN!$G443)</f>
        <v>32000000000440</v>
      </c>
      <c r="C443" s="39">
        <f>IF(EXACT(MAIN!$H443, ""), "", MAIN!$B443)</f>
        <v>25000000000440</v>
      </c>
      <c r="D443" s="38" t="str">
        <f>IF(EXACT(MAIN!$H443, ""), "", MAIN!$C443)</f>
        <v>Teguh Susanto</v>
      </c>
      <c r="E443" s="39" t="str">
        <f>IF(EXACT(MAIN!$B443, ""), "", ""&amp;MAIN!$D443)</f>
        <v/>
      </c>
      <c r="G443" s="2">
        <f t="shared" si="6"/>
        <v>25000000000440</v>
      </c>
    </row>
    <row r="444" spans="2:7" x14ac:dyDescent="0.2">
      <c r="B444" s="35">
        <f>IF(EXACT(MAIN!$H444, ""), "", MAIN!$G444)</f>
        <v>32000000000441</v>
      </c>
      <c r="C444" s="39">
        <f>IF(EXACT(MAIN!$H444, ""), "", MAIN!$B444)</f>
        <v>25000000000441</v>
      </c>
      <c r="D444" s="38" t="str">
        <f>IF(EXACT(MAIN!$H444, ""), "", MAIN!$C444)</f>
        <v>Tenri Sumange</v>
      </c>
      <c r="E444" s="39" t="str">
        <f>IF(EXACT(MAIN!$B444, ""), "", ""&amp;MAIN!$D444)</f>
        <v/>
      </c>
      <c r="G444" s="2">
        <f t="shared" si="6"/>
        <v>25000000000441</v>
      </c>
    </row>
    <row r="445" spans="2:7" x14ac:dyDescent="0.2">
      <c r="B445" s="35">
        <f>IF(EXACT(MAIN!$H445, ""), "", MAIN!$G445)</f>
        <v>32000000000442</v>
      </c>
      <c r="C445" s="39">
        <f>IF(EXACT(MAIN!$H445, ""), "", MAIN!$B445)</f>
        <v>25000000000442</v>
      </c>
      <c r="D445" s="38" t="str">
        <f>IF(EXACT(MAIN!$H445, ""), "", MAIN!$C445)</f>
        <v>Teuku Zulkifli</v>
      </c>
      <c r="E445" s="39" t="str">
        <f>IF(EXACT(MAIN!$B445, ""), "", ""&amp;MAIN!$D445)</f>
        <v/>
      </c>
      <c r="G445" s="2">
        <f t="shared" si="6"/>
        <v>25000000000442</v>
      </c>
    </row>
    <row r="446" spans="2:7" x14ac:dyDescent="0.2">
      <c r="B446" s="35">
        <f>IF(EXACT(MAIN!$H446, ""), "", MAIN!$G446)</f>
        <v>32000000000443</v>
      </c>
      <c r="C446" s="39">
        <f>IF(EXACT(MAIN!$H446, ""), "", MAIN!$B446)</f>
        <v>25000000000443</v>
      </c>
      <c r="D446" s="38" t="str">
        <f>IF(EXACT(MAIN!$H446, ""), "", MAIN!$C446)</f>
        <v>Tiara Kemalasari</v>
      </c>
      <c r="E446" s="39" t="str">
        <f>IF(EXACT(MAIN!$B446, ""), "", ""&amp;MAIN!$D446)</f>
        <v/>
      </c>
      <c r="G446" s="2">
        <f t="shared" si="6"/>
        <v>25000000000443</v>
      </c>
    </row>
    <row r="447" spans="2:7" x14ac:dyDescent="0.2">
      <c r="B447" s="35">
        <f>IF(EXACT(MAIN!$H447, ""), "", MAIN!$G447)</f>
        <v>32000000000444</v>
      </c>
      <c r="C447" s="39">
        <f>IF(EXACT(MAIN!$H447, ""), "", MAIN!$B447)</f>
        <v>25000000000444</v>
      </c>
      <c r="D447" s="38" t="str">
        <f>IF(EXACT(MAIN!$H447, ""), "", MAIN!$C447)</f>
        <v>Tjhang Linawati</v>
      </c>
      <c r="E447" s="39" t="str">
        <f>IF(EXACT(MAIN!$B447, ""), "", ""&amp;MAIN!$D447)</f>
        <v/>
      </c>
      <c r="G447" s="2">
        <f t="shared" si="6"/>
        <v>25000000000444</v>
      </c>
    </row>
    <row r="448" spans="2:7" x14ac:dyDescent="0.2">
      <c r="B448" s="35">
        <f>IF(EXACT(MAIN!$H448, ""), "", MAIN!$G448)</f>
        <v>32000000000445</v>
      </c>
      <c r="C448" s="39">
        <f>IF(EXACT(MAIN!$H448, ""), "", MAIN!$B448)</f>
        <v>25000000000445</v>
      </c>
      <c r="D448" s="38" t="str">
        <f>IF(EXACT(MAIN!$H448, ""), "", MAIN!$C448)</f>
        <v>Totok Kristianto</v>
      </c>
      <c r="E448" s="39" t="str">
        <f>IF(EXACT(MAIN!$B448, ""), "", ""&amp;MAIN!$D448)</f>
        <v/>
      </c>
      <c r="G448" s="2">
        <f t="shared" si="6"/>
        <v>25000000000445</v>
      </c>
    </row>
    <row r="449" spans="2:7" x14ac:dyDescent="0.2">
      <c r="B449" s="35">
        <f>IF(EXACT(MAIN!$H449, ""), "", MAIN!$G449)</f>
        <v>32000000000446</v>
      </c>
      <c r="C449" s="39">
        <f>IF(EXACT(MAIN!$H449, ""), "", MAIN!$B449)</f>
        <v>25000000000446</v>
      </c>
      <c r="D449" s="38" t="str">
        <f>IF(EXACT(MAIN!$H449, ""), "", MAIN!$C449)</f>
        <v>Tri Aji</v>
      </c>
      <c r="E449" s="39" t="str">
        <f>IF(EXACT(MAIN!$B449, ""), "", ""&amp;MAIN!$D449)</f>
        <v/>
      </c>
      <c r="G449" s="2">
        <f t="shared" si="6"/>
        <v>25000000000446</v>
      </c>
    </row>
    <row r="450" spans="2:7" x14ac:dyDescent="0.2">
      <c r="B450" s="35">
        <f>IF(EXACT(MAIN!$H450, ""), "", MAIN!$G450)</f>
        <v>32000000000447</v>
      </c>
      <c r="C450" s="39">
        <f>IF(EXACT(MAIN!$H450, ""), "", MAIN!$B450)</f>
        <v>25000000000447</v>
      </c>
      <c r="D450" s="38" t="str">
        <f>IF(EXACT(MAIN!$H450, ""), "", MAIN!$C450)</f>
        <v>Tri M. Saputra</v>
      </c>
      <c r="E450" s="39" t="str">
        <f>IF(EXACT(MAIN!$B450, ""), "", ""&amp;MAIN!$D450)</f>
        <v/>
      </c>
      <c r="G450" s="2">
        <f t="shared" si="6"/>
        <v>25000000000447</v>
      </c>
    </row>
    <row r="451" spans="2:7" x14ac:dyDescent="0.2">
      <c r="B451" s="35">
        <f>IF(EXACT(MAIN!$H451, ""), "", MAIN!$G451)</f>
        <v>32000000000448</v>
      </c>
      <c r="C451" s="39">
        <f>IF(EXACT(MAIN!$H451, ""), "", MAIN!$B451)</f>
        <v>25000000000448</v>
      </c>
      <c r="D451" s="38" t="str">
        <f>IF(EXACT(MAIN!$H451, ""), "", MAIN!$C451)</f>
        <v>Triani Irma</v>
      </c>
      <c r="E451" s="39" t="str">
        <f>IF(EXACT(MAIN!$B451, ""), "", ""&amp;MAIN!$D451)</f>
        <v/>
      </c>
      <c r="G451" s="2">
        <f t="shared" si="6"/>
        <v>25000000000448</v>
      </c>
    </row>
    <row r="452" spans="2:7" x14ac:dyDescent="0.2">
      <c r="B452" s="35">
        <f>IF(EXACT(MAIN!$H452, ""), "", MAIN!$G452)</f>
        <v>32000000000449</v>
      </c>
      <c r="C452" s="39">
        <f>IF(EXACT(MAIN!$H452, ""), "", MAIN!$B452)</f>
        <v>25000000000449</v>
      </c>
      <c r="D452" s="38" t="str">
        <f>IF(EXACT(MAIN!$H452, ""), "", MAIN!$C452)</f>
        <v>Trisyanto</v>
      </c>
      <c r="E452" s="39" t="str">
        <f>IF(EXACT(MAIN!$B452, ""), "", ""&amp;MAIN!$D452)</f>
        <v/>
      </c>
      <c r="G452" s="2">
        <f t="shared" si="6"/>
        <v>25000000000449</v>
      </c>
    </row>
    <row r="453" spans="2:7" x14ac:dyDescent="0.2">
      <c r="B453" s="35">
        <f>IF(EXACT(MAIN!$H453, ""), "", MAIN!$G453)</f>
        <v>32000000000450</v>
      </c>
      <c r="C453" s="39">
        <f>IF(EXACT(MAIN!$H453, ""), "", MAIN!$B453)</f>
        <v>25000000000450</v>
      </c>
      <c r="D453" s="38" t="str">
        <f>IF(EXACT(MAIN!$H453, ""), "", MAIN!$C453)</f>
        <v>Triwiarti Dibya</v>
      </c>
      <c r="E453" s="39" t="str">
        <f>IF(EXACT(MAIN!$B453, ""), "", ""&amp;MAIN!$D453)</f>
        <v/>
      </c>
      <c r="G453" s="2">
        <f t="shared" ref="G453:G516" si="7">C453</f>
        <v>25000000000450</v>
      </c>
    </row>
    <row r="454" spans="2:7" x14ac:dyDescent="0.2">
      <c r="B454" s="35">
        <f>IF(EXACT(MAIN!$H454, ""), "", MAIN!$G454)</f>
        <v>32000000000451</v>
      </c>
      <c r="C454" s="39">
        <f>IF(EXACT(MAIN!$H454, ""), "", MAIN!$B454)</f>
        <v>25000000000451</v>
      </c>
      <c r="D454" s="38" t="str">
        <f>IF(EXACT(MAIN!$H454, ""), "", MAIN!$C454)</f>
        <v>Triyono</v>
      </c>
      <c r="E454" s="39" t="str">
        <f>IF(EXACT(MAIN!$B454, ""), "", ""&amp;MAIN!$D454)</f>
        <v/>
      </c>
      <c r="G454" s="2">
        <f t="shared" si="7"/>
        <v>25000000000451</v>
      </c>
    </row>
    <row r="455" spans="2:7" x14ac:dyDescent="0.2">
      <c r="B455" s="35">
        <f>IF(EXACT(MAIN!$H455, ""), "", MAIN!$G455)</f>
        <v>32000000000452</v>
      </c>
      <c r="C455" s="39">
        <f>IF(EXACT(MAIN!$H455, ""), "", MAIN!$B455)</f>
        <v>25000000000452</v>
      </c>
      <c r="D455" s="38" t="str">
        <f>IF(EXACT(MAIN!$H455, ""), "", MAIN!$C455)</f>
        <v>Turita Pramuning Marantina</v>
      </c>
      <c r="E455" s="39" t="str">
        <f>IF(EXACT(MAIN!$B455, ""), "", ""&amp;MAIN!$D455)</f>
        <v>090818879</v>
      </c>
      <c r="G455" s="2">
        <f t="shared" si="7"/>
        <v>25000000000452</v>
      </c>
    </row>
    <row r="456" spans="2:7" x14ac:dyDescent="0.2">
      <c r="B456" s="35">
        <f>IF(EXACT(MAIN!$H456, ""), "", MAIN!$G456)</f>
        <v>32000000000453</v>
      </c>
      <c r="C456" s="39">
        <f>IF(EXACT(MAIN!$H456, ""), "", MAIN!$B456)</f>
        <v>25000000000453</v>
      </c>
      <c r="D456" s="38" t="str">
        <f>IF(EXACT(MAIN!$H456, ""), "", MAIN!$C456)</f>
        <v>Tutus Ary</v>
      </c>
      <c r="E456" s="39" t="str">
        <f>IF(EXACT(MAIN!$B456, ""), "", ""&amp;MAIN!$D456)</f>
        <v/>
      </c>
      <c r="G456" s="2">
        <f t="shared" si="7"/>
        <v>25000000000453</v>
      </c>
    </row>
    <row r="457" spans="2:7" x14ac:dyDescent="0.2">
      <c r="B457" s="35">
        <f>IF(EXACT(MAIN!$H457, ""), "", MAIN!$G457)</f>
        <v>32000000000454</v>
      </c>
      <c r="C457" s="39">
        <f>IF(EXACT(MAIN!$H457, ""), "", MAIN!$B457)</f>
        <v>25000000000454</v>
      </c>
      <c r="D457" s="38" t="str">
        <f>IF(EXACT(MAIN!$H457, ""), "", MAIN!$C457)</f>
        <v>Ubaidillah</v>
      </c>
      <c r="E457" s="39" t="str">
        <f>IF(EXACT(MAIN!$B457, ""), "", ""&amp;MAIN!$D457)</f>
        <v/>
      </c>
      <c r="G457" s="2">
        <f t="shared" si="7"/>
        <v>25000000000454</v>
      </c>
    </row>
    <row r="458" spans="2:7" x14ac:dyDescent="0.2">
      <c r="B458" s="35">
        <f>IF(EXACT(MAIN!$H458, ""), "", MAIN!$G458)</f>
        <v>32000000000455</v>
      </c>
      <c r="C458" s="39">
        <f>IF(EXACT(MAIN!$H458, ""), "", MAIN!$B458)</f>
        <v>25000000000455</v>
      </c>
      <c r="D458" s="38" t="str">
        <f>IF(EXACT(MAIN!$H458, ""), "", MAIN!$C458)</f>
        <v>Ujang Barma</v>
      </c>
      <c r="E458" s="39" t="str">
        <f>IF(EXACT(MAIN!$B458, ""), "", ""&amp;MAIN!$D458)</f>
        <v/>
      </c>
      <c r="G458" s="2">
        <f t="shared" si="7"/>
        <v>25000000000455</v>
      </c>
    </row>
    <row r="459" spans="2:7" x14ac:dyDescent="0.2">
      <c r="B459" s="35">
        <f>IF(EXACT(MAIN!$H459, ""), "", MAIN!$G459)</f>
        <v>32000000000456</v>
      </c>
      <c r="C459" s="39">
        <f>IF(EXACT(MAIN!$H459, ""), "", MAIN!$B459)</f>
        <v>25000000000456</v>
      </c>
      <c r="D459" s="38" t="str">
        <f>IF(EXACT(MAIN!$H459, ""), "", MAIN!$C459)</f>
        <v>Ujang Suryana</v>
      </c>
      <c r="E459" s="39" t="str">
        <f>IF(EXACT(MAIN!$B459, ""), "", ""&amp;MAIN!$D459)</f>
        <v/>
      </c>
      <c r="G459" s="2">
        <f t="shared" si="7"/>
        <v>25000000000456</v>
      </c>
    </row>
    <row r="460" spans="2:7" x14ac:dyDescent="0.2">
      <c r="B460" s="35">
        <f>IF(EXACT(MAIN!$H460, ""), "", MAIN!$G460)</f>
        <v>32000000000457</v>
      </c>
      <c r="C460" s="39">
        <f>IF(EXACT(MAIN!$H460, ""), "", MAIN!$B460)</f>
        <v>25000000000457</v>
      </c>
      <c r="D460" s="38" t="str">
        <f>IF(EXACT(MAIN!$H460, ""), "", MAIN!$C460)</f>
        <v>Ulman Juanda</v>
      </c>
      <c r="E460" s="39" t="str">
        <f>IF(EXACT(MAIN!$B460, ""), "", ""&amp;MAIN!$D460)</f>
        <v/>
      </c>
      <c r="G460" s="2">
        <f t="shared" si="7"/>
        <v>25000000000457</v>
      </c>
    </row>
    <row r="461" spans="2:7" x14ac:dyDescent="0.2">
      <c r="B461" s="35">
        <f>IF(EXACT(MAIN!$H461, ""), "", MAIN!$G461)</f>
        <v>32000000000458</v>
      </c>
      <c r="C461" s="39">
        <f>IF(EXACT(MAIN!$H461, ""), "", MAIN!$B461)</f>
        <v>25000000000458</v>
      </c>
      <c r="D461" s="38" t="str">
        <f>IF(EXACT(MAIN!$H461, ""), "", MAIN!$C461)</f>
        <v>Urbanus Boimau</v>
      </c>
      <c r="E461" s="39" t="str">
        <f>IF(EXACT(MAIN!$B461, ""), "", ""&amp;MAIN!$D461)</f>
        <v>010906267</v>
      </c>
      <c r="G461" s="2">
        <f t="shared" si="7"/>
        <v>25000000000458</v>
      </c>
    </row>
    <row r="462" spans="2:7" x14ac:dyDescent="0.2">
      <c r="B462" s="35">
        <f>IF(EXACT(MAIN!$H462, ""), "", MAIN!$G462)</f>
        <v>32000000000459</v>
      </c>
      <c r="C462" s="39">
        <f>IF(EXACT(MAIN!$H462, ""), "", MAIN!$B462)</f>
        <v>25000000000459</v>
      </c>
      <c r="D462" s="38" t="str">
        <f>IF(EXACT(MAIN!$H462, ""), "", MAIN!$C462)</f>
        <v>Uswatun Hasamah</v>
      </c>
      <c r="E462" s="39" t="str">
        <f>IF(EXACT(MAIN!$B462, ""), "", ""&amp;MAIN!$D462)</f>
        <v/>
      </c>
      <c r="G462" s="2">
        <f t="shared" si="7"/>
        <v>25000000000459</v>
      </c>
    </row>
    <row r="463" spans="2:7" x14ac:dyDescent="0.2">
      <c r="B463" s="35">
        <f>IF(EXACT(MAIN!$H463, ""), "", MAIN!$G463)</f>
        <v>32000000000460</v>
      </c>
      <c r="C463" s="39">
        <f>IF(EXACT(MAIN!$H463, ""), "", MAIN!$B463)</f>
        <v>25000000000460</v>
      </c>
      <c r="D463" s="38" t="str">
        <f>IF(EXACT(MAIN!$H463, ""), "", MAIN!$C463)</f>
        <v>Uswatun Khasanah</v>
      </c>
      <c r="E463" s="39" t="str">
        <f>IF(EXACT(MAIN!$B463, ""), "", ""&amp;MAIN!$D463)</f>
        <v/>
      </c>
      <c r="G463" s="2">
        <f t="shared" si="7"/>
        <v>25000000000460</v>
      </c>
    </row>
    <row r="464" spans="2:7" x14ac:dyDescent="0.2">
      <c r="B464" s="35">
        <f>IF(EXACT(MAIN!$H464, ""), "", MAIN!$G464)</f>
        <v>32000000000461</v>
      </c>
      <c r="C464" s="39">
        <f>IF(EXACT(MAIN!$H464, ""), "", MAIN!$B464)</f>
        <v>25000000000461</v>
      </c>
      <c r="D464" s="38" t="str">
        <f>IF(EXACT(MAIN!$H464, ""), "", MAIN!$C464)</f>
        <v>Utami Dewi</v>
      </c>
      <c r="E464" s="39" t="str">
        <f>IF(EXACT(MAIN!$B464, ""), "", ""&amp;MAIN!$D464)</f>
        <v/>
      </c>
      <c r="G464" s="2">
        <f t="shared" si="7"/>
        <v>25000000000461</v>
      </c>
    </row>
    <row r="465" spans="2:7" x14ac:dyDescent="0.2">
      <c r="B465" s="35">
        <f>IF(EXACT(MAIN!$H465, ""), "", MAIN!$G465)</f>
        <v>32000000000462</v>
      </c>
      <c r="C465" s="39">
        <f>IF(EXACT(MAIN!$H465, ""), "", MAIN!$B465)</f>
        <v>25000000000462</v>
      </c>
      <c r="D465" s="38" t="str">
        <f>IF(EXACT(MAIN!$H465, ""), "", MAIN!$C465)</f>
        <v>Utanto</v>
      </c>
      <c r="E465" s="39" t="str">
        <f>IF(EXACT(MAIN!$B465, ""), "", ""&amp;MAIN!$D465)</f>
        <v/>
      </c>
      <c r="G465" s="2">
        <f t="shared" si="7"/>
        <v>25000000000462</v>
      </c>
    </row>
    <row r="466" spans="2:7" x14ac:dyDescent="0.2">
      <c r="B466" s="35">
        <f>IF(EXACT(MAIN!$H466, ""), "", MAIN!$G466)</f>
        <v>32000000000463</v>
      </c>
      <c r="C466" s="39">
        <f>IF(EXACT(MAIN!$H466, ""), "", MAIN!$B466)</f>
        <v>25000000000463</v>
      </c>
      <c r="D466" s="38" t="str">
        <f>IF(EXACT(MAIN!$H466, ""), "", MAIN!$C466)</f>
        <v>Veradita Yulanda</v>
      </c>
      <c r="E466" s="39" t="str">
        <f>IF(EXACT(MAIN!$B466, ""), "", ""&amp;MAIN!$D466)</f>
        <v/>
      </c>
      <c r="G466" s="2">
        <f t="shared" si="7"/>
        <v>25000000000463</v>
      </c>
    </row>
    <row r="467" spans="2:7" x14ac:dyDescent="0.2">
      <c r="B467" s="35">
        <f>IF(EXACT(MAIN!$H467, ""), "", MAIN!$G467)</f>
        <v>32000000000464</v>
      </c>
      <c r="C467" s="39">
        <f>IF(EXACT(MAIN!$H467, ""), "", MAIN!$B467)</f>
        <v>25000000000464</v>
      </c>
      <c r="D467" s="38" t="str">
        <f>IF(EXACT(MAIN!$H467, ""), "", MAIN!$C467)</f>
        <v>Vidhy Kartika Putri</v>
      </c>
      <c r="E467" s="39" t="str">
        <f>IF(EXACT(MAIN!$B467, ""), "", ""&amp;MAIN!$D467)</f>
        <v/>
      </c>
      <c r="G467" s="2">
        <f t="shared" si="7"/>
        <v>25000000000464</v>
      </c>
    </row>
    <row r="468" spans="2:7" x14ac:dyDescent="0.2">
      <c r="B468" s="35">
        <f>IF(EXACT(MAIN!$H468, ""), "", MAIN!$G468)</f>
        <v>32000000000465</v>
      </c>
      <c r="C468" s="39">
        <f>IF(EXACT(MAIN!$H468, ""), "", MAIN!$B468)</f>
        <v>25000000000465</v>
      </c>
      <c r="D468" s="38" t="str">
        <f>IF(EXACT(MAIN!$H468, ""), "", MAIN!$C468)</f>
        <v>Vonny Agram</v>
      </c>
      <c r="E468" s="39" t="str">
        <f>IF(EXACT(MAIN!$B468, ""), "", ""&amp;MAIN!$D468)</f>
        <v/>
      </c>
      <c r="G468" s="2">
        <f t="shared" si="7"/>
        <v>25000000000465</v>
      </c>
    </row>
    <row r="469" spans="2:7" x14ac:dyDescent="0.2">
      <c r="B469" s="35">
        <f>IF(EXACT(MAIN!$H469, ""), "", MAIN!$G469)</f>
        <v>32000000000466</v>
      </c>
      <c r="C469" s="39">
        <f>IF(EXACT(MAIN!$H469, ""), "", MAIN!$B469)</f>
        <v>25000000000466</v>
      </c>
      <c r="D469" s="38" t="str">
        <f>IF(EXACT(MAIN!$H469, ""), "", MAIN!$C469)</f>
        <v>Wahyu</v>
      </c>
      <c r="E469" s="39" t="str">
        <f>IF(EXACT(MAIN!$B469, ""), "", ""&amp;MAIN!$D469)</f>
        <v/>
      </c>
      <c r="G469" s="2">
        <f t="shared" si="7"/>
        <v>25000000000466</v>
      </c>
    </row>
    <row r="470" spans="2:7" x14ac:dyDescent="0.2">
      <c r="B470" s="35">
        <f>IF(EXACT(MAIN!$H470, ""), "", MAIN!$G470)</f>
        <v>32000000000467</v>
      </c>
      <c r="C470" s="39">
        <f>IF(EXACT(MAIN!$H470, ""), "", MAIN!$B470)</f>
        <v>25000000000467</v>
      </c>
      <c r="D470" s="38" t="str">
        <f>IF(EXACT(MAIN!$H470, ""), "", MAIN!$C470)</f>
        <v>Wahyu Ramadhani</v>
      </c>
      <c r="E470" s="39" t="str">
        <f>IF(EXACT(MAIN!$B470, ""), "", ""&amp;MAIN!$D470)</f>
        <v>040219900</v>
      </c>
      <c r="G470" s="2">
        <f t="shared" si="7"/>
        <v>25000000000467</v>
      </c>
    </row>
    <row r="471" spans="2:7" x14ac:dyDescent="0.2">
      <c r="B471" s="35">
        <f>IF(EXACT(MAIN!$H471, ""), "", MAIN!$G471)</f>
        <v>32000000000468</v>
      </c>
      <c r="C471" s="39">
        <f>IF(EXACT(MAIN!$H471, ""), "", MAIN!$B471)</f>
        <v>25000000000468</v>
      </c>
      <c r="D471" s="38" t="str">
        <f>IF(EXACT(MAIN!$H471, ""), "", MAIN!$C471)</f>
        <v>Wahyu Widodo</v>
      </c>
      <c r="E471" s="39" t="str">
        <f>IF(EXACT(MAIN!$B471, ""), "", ""&amp;MAIN!$D471)</f>
        <v/>
      </c>
      <c r="G471" s="2">
        <f t="shared" si="7"/>
        <v>25000000000468</v>
      </c>
    </row>
    <row r="472" spans="2:7" x14ac:dyDescent="0.2">
      <c r="B472" s="35">
        <f>IF(EXACT(MAIN!$H472, ""), "", MAIN!$G472)</f>
        <v>32000000000469</v>
      </c>
      <c r="C472" s="39">
        <f>IF(EXACT(MAIN!$H472, ""), "", MAIN!$B472)</f>
        <v>25000000000469</v>
      </c>
      <c r="D472" s="38" t="str">
        <f>IF(EXACT(MAIN!$H472, ""), "", MAIN!$C472)</f>
        <v>Warsito Edy Saputra</v>
      </c>
      <c r="E472" s="39" t="str">
        <f>IF(EXACT(MAIN!$B472, ""), "", ""&amp;MAIN!$D472)</f>
        <v/>
      </c>
      <c r="G472" s="2">
        <f t="shared" si="7"/>
        <v>25000000000469</v>
      </c>
    </row>
    <row r="473" spans="2:7" x14ac:dyDescent="0.2">
      <c r="B473" s="35">
        <f>IF(EXACT(MAIN!$H473, ""), "", MAIN!$G473)</f>
        <v>32000000000470</v>
      </c>
      <c r="C473" s="39">
        <f>IF(EXACT(MAIN!$H473, ""), "", MAIN!$B473)</f>
        <v>25000000000470</v>
      </c>
      <c r="D473" s="38" t="str">
        <f>IF(EXACT(MAIN!$H473, ""), "", MAIN!$C473)</f>
        <v>Weldi Wimar</v>
      </c>
      <c r="E473" s="39" t="str">
        <f>IF(EXACT(MAIN!$B473, ""), "", ""&amp;MAIN!$D473)</f>
        <v/>
      </c>
      <c r="G473" s="2">
        <f t="shared" si="7"/>
        <v>25000000000470</v>
      </c>
    </row>
    <row r="474" spans="2:7" x14ac:dyDescent="0.2">
      <c r="B474" s="35">
        <f>IF(EXACT(MAIN!$H474, ""), "", MAIN!$G474)</f>
        <v>32000000000471</v>
      </c>
      <c r="C474" s="39">
        <f>IF(EXACT(MAIN!$H474, ""), "", MAIN!$B474)</f>
        <v>25000000000471</v>
      </c>
      <c r="D474" s="38" t="str">
        <f>IF(EXACT(MAIN!$H474, ""), "", MAIN!$C474)</f>
        <v>Wendy Septiyan</v>
      </c>
      <c r="E474" s="39" t="str">
        <f>IF(EXACT(MAIN!$B474, ""), "", ""&amp;MAIN!$D474)</f>
        <v/>
      </c>
      <c r="G474" s="2">
        <f t="shared" si="7"/>
        <v>25000000000471</v>
      </c>
    </row>
    <row r="475" spans="2:7" x14ac:dyDescent="0.2">
      <c r="B475" s="35">
        <f>IF(EXACT(MAIN!$H475, ""), "", MAIN!$G475)</f>
        <v>32000000000472</v>
      </c>
      <c r="C475" s="39">
        <f>IF(EXACT(MAIN!$H475, ""), "", MAIN!$B475)</f>
        <v>25000000000472</v>
      </c>
      <c r="D475" s="38" t="str">
        <f>IF(EXACT(MAIN!$H475, ""), "", MAIN!$C475)</f>
        <v>Willy Indarto</v>
      </c>
      <c r="E475" s="39" t="str">
        <f>IF(EXACT(MAIN!$B475, ""), "", ""&amp;MAIN!$D475)</f>
        <v/>
      </c>
      <c r="G475" s="2">
        <f t="shared" si="7"/>
        <v>25000000000472</v>
      </c>
    </row>
    <row r="476" spans="2:7" x14ac:dyDescent="0.2">
      <c r="B476" s="35">
        <f>IF(EXACT(MAIN!$H476, ""), "", MAIN!$G476)</f>
        <v>32000000000473</v>
      </c>
      <c r="C476" s="39">
        <f>IF(EXACT(MAIN!$H476, ""), "", MAIN!$B476)</f>
        <v>25000000000473</v>
      </c>
      <c r="D476" s="38" t="str">
        <f>IF(EXACT(MAIN!$H476, ""), "", MAIN!$C476)</f>
        <v>Winda Suherman</v>
      </c>
      <c r="E476" s="39" t="str">
        <f>IF(EXACT(MAIN!$B476, ""), "", ""&amp;MAIN!$D476)</f>
        <v/>
      </c>
      <c r="G476" s="2">
        <f t="shared" si="7"/>
        <v>25000000000473</v>
      </c>
    </row>
    <row r="477" spans="2:7" x14ac:dyDescent="0.2">
      <c r="B477" s="35">
        <f>IF(EXACT(MAIN!$H477, ""), "", MAIN!$G477)</f>
        <v>32000000000474</v>
      </c>
      <c r="C477" s="39">
        <f>IF(EXACT(MAIN!$H477, ""), "", MAIN!$B477)</f>
        <v>25000000000474</v>
      </c>
      <c r="D477" s="38" t="str">
        <f>IF(EXACT(MAIN!$H477, ""), "", MAIN!$C477)</f>
        <v>Wisnu Ardian</v>
      </c>
      <c r="E477" s="39" t="str">
        <f>IF(EXACT(MAIN!$B477, ""), "", ""&amp;MAIN!$D477)</f>
        <v>280618877</v>
      </c>
      <c r="G477" s="2">
        <f t="shared" si="7"/>
        <v>25000000000474</v>
      </c>
    </row>
    <row r="478" spans="2:7" x14ac:dyDescent="0.2">
      <c r="B478" s="35">
        <f>IF(EXACT(MAIN!$H478, ""), "", MAIN!$G478)</f>
        <v>32000000000475</v>
      </c>
      <c r="C478" s="39">
        <f>IF(EXACT(MAIN!$H478, ""), "", MAIN!$B478)</f>
        <v>25000000000475</v>
      </c>
      <c r="D478" s="38" t="str">
        <f>IF(EXACT(MAIN!$H478, ""), "", MAIN!$C478)</f>
        <v>Wisudanto C. Suntoyo</v>
      </c>
      <c r="E478" s="39" t="str">
        <f>IF(EXACT(MAIN!$B478, ""), "", ""&amp;MAIN!$D478)</f>
        <v/>
      </c>
      <c r="G478" s="2">
        <f t="shared" si="7"/>
        <v>25000000000475</v>
      </c>
    </row>
    <row r="479" spans="2:7" x14ac:dyDescent="0.2">
      <c r="B479" s="35">
        <f>IF(EXACT(MAIN!$H479, ""), "", MAIN!$G479)</f>
        <v>32000000000476</v>
      </c>
      <c r="C479" s="39">
        <f>IF(EXACT(MAIN!$H479, ""), "", MAIN!$B479)</f>
        <v>25000000000476</v>
      </c>
      <c r="D479" s="38" t="str">
        <f>IF(EXACT(MAIN!$H479, ""), "", MAIN!$C479)</f>
        <v>Yahya Adyasa Febriansyah</v>
      </c>
      <c r="E479" s="39" t="str">
        <f>IF(EXACT(MAIN!$B479, ""), "", ""&amp;MAIN!$D479)</f>
        <v/>
      </c>
      <c r="G479" s="2">
        <f t="shared" si="7"/>
        <v>25000000000476</v>
      </c>
    </row>
    <row r="480" spans="2:7" x14ac:dyDescent="0.2">
      <c r="B480" s="35">
        <f>IF(EXACT(MAIN!$H480, ""), "", MAIN!$G480)</f>
        <v>32000000000477</v>
      </c>
      <c r="C480" s="39">
        <f>IF(EXACT(MAIN!$H480, ""), "", MAIN!$B480)</f>
        <v>25000000000477</v>
      </c>
      <c r="D480" s="38" t="str">
        <f>IF(EXACT(MAIN!$H480, ""), "", MAIN!$C480)</f>
        <v>Yakup Sunaryo</v>
      </c>
      <c r="E480" s="39" t="str">
        <f>IF(EXACT(MAIN!$B480, ""), "", ""&amp;MAIN!$D480)</f>
        <v/>
      </c>
      <c r="G480" s="2">
        <f t="shared" si="7"/>
        <v>25000000000477</v>
      </c>
    </row>
    <row r="481" spans="2:7" x14ac:dyDescent="0.2">
      <c r="B481" s="35">
        <f>IF(EXACT(MAIN!$H481, ""), "", MAIN!$G481)</f>
        <v>32000000000478</v>
      </c>
      <c r="C481" s="39">
        <f>IF(EXACT(MAIN!$H481, ""), "", MAIN!$B481)</f>
        <v>25000000000478</v>
      </c>
      <c r="D481" s="38" t="str">
        <f>IF(EXACT(MAIN!$H481, ""), "", MAIN!$C481)</f>
        <v>Yanuar Tri Ananda</v>
      </c>
      <c r="E481" s="39" t="str">
        <f>IF(EXACT(MAIN!$B481, ""), "", ""&amp;MAIN!$D481)</f>
        <v/>
      </c>
      <c r="G481" s="2">
        <f t="shared" si="7"/>
        <v>25000000000478</v>
      </c>
    </row>
    <row r="482" spans="2:7" x14ac:dyDescent="0.2">
      <c r="B482" s="35">
        <f>IF(EXACT(MAIN!$H482, ""), "", MAIN!$G482)</f>
        <v>32000000000479</v>
      </c>
      <c r="C482" s="39">
        <f>IF(EXACT(MAIN!$H482, ""), "", MAIN!$B482)</f>
        <v>25000000000479</v>
      </c>
      <c r="D482" s="38" t="str">
        <f>IF(EXACT(MAIN!$H482, ""), "", MAIN!$C482)</f>
        <v>Yasir Liem</v>
      </c>
      <c r="E482" s="39" t="str">
        <f>IF(EXACT(MAIN!$B482, ""), "", ""&amp;MAIN!$D482)</f>
        <v/>
      </c>
      <c r="G482" s="2">
        <f t="shared" si="7"/>
        <v>25000000000479</v>
      </c>
    </row>
    <row r="483" spans="2:7" x14ac:dyDescent="0.2">
      <c r="B483" s="35">
        <f>IF(EXACT(MAIN!$H483, ""), "", MAIN!$G483)</f>
        <v>32000000000480</v>
      </c>
      <c r="C483" s="39">
        <f>IF(EXACT(MAIN!$H483, ""), "", MAIN!$B483)</f>
        <v>25000000000480</v>
      </c>
      <c r="D483" s="38" t="str">
        <f>IF(EXACT(MAIN!$H483, ""), "", MAIN!$C483)</f>
        <v>Yefri Hendrayani</v>
      </c>
      <c r="E483" s="39" t="str">
        <f>IF(EXACT(MAIN!$B483, ""), "", ""&amp;MAIN!$D483)</f>
        <v/>
      </c>
      <c r="G483" s="2">
        <f t="shared" si="7"/>
        <v>25000000000480</v>
      </c>
    </row>
    <row r="484" spans="2:7" x14ac:dyDescent="0.2">
      <c r="B484" s="35">
        <f>IF(EXACT(MAIN!$H484, ""), "", MAIN!$G484)</f>
        <v>32000000000481</v>
      </c>
      <c r="C484" s="39">
        <f>IF(EXACT(MAIN!$H484, ""), "", MAIN!$B484)</f>
        <v>25000000000481</v>
      </c>
      <c r="D484" s="38" t="str">
        <f>IF(EXACT(MAIN!$H484, ""), "", MAIN!$C484)</f>
        <v>Yessi Setiarini</v>
      </c>
      <c r="E484" s="39" t="str">
        <f>IF(EXACT(MAIN!$B484, ""), "", ""&amp;MAIN!$D484)</f>
        <v/>
      </c>
      <c r="G484" s="2">
        <f t="shared" si="7"/>
        <v>25000000000481</v>
      </c>
    </row>
    <row r="485" spans="2:7" x14ac:dyDescent="0.2">
      <c r="B485" s="35">
        <f>IF(EXACT(MAIN!$H485, ""), "", MAIN!$G485)</f>
        <v>32000000000482</v>
      </c>
      <c r="C485" s="39">
        <f>IF(EXACT(MAIN!$H485, ""), "", MAIN!$B485)</f>
        <v>25000000000482</v>
      </c>
      <c r="D485" s="38" t="str">
        <f>IF(EXACT(MAIN!$H485, ""), "", MAIN!$C485)</f>
        <v>Yorid Fae</v>
      </c>
      <c r="E485" s="39" t="str">
        <f>IF(EXACT(MAIN!$B485, ""), "", ""&amp;MAIN!$D485)</f>
        <v/>
      </c>
      <c r="G485" s="2">
        <f t="shared" si="7"/>
        <v>25000000000482</v>
      </c>
    </row>
    <row r="486" spans="2:7" x14ac:dyDescent="0.2">
      <c r="B486" s="35">
        <f>IF(EXACT(MAIN!$H486, ""), "", MAIN!$G486)</f>
        <v>32000000000483</v>
      </c>
      <c r="C486" s="39">
        <f>IF(EXACT(MAIN!$H486, ""), "", MAIN!$B486)</f>
        <v>25000000000483</v>
      </c>
      <c r="D486" s="38" t="str">
        <f>IF(EXACT(MAIN!$H486, ""), "", MAIN!$C486)</f>
        <v>Yosef Hang Wan</v>
      </c>
      <c r="E486" s="39" t="str">
        <f>IF(EXACT(MAIN!$B486, ""), "", ""&amp;MAIN!$D486)</f>
        <v/>
      </c>
      <c r="G486" s="2">
        <f t="shared" si="7"/>
        <v>25000000000483</v>
      </c>
    </row>
    <row r="487" spans="2:7" x14ac:dyDescent="0.2">
      <c r="B487" s="35">
        <f>IF(EXACT(MAIN!$H487, ""), "", MAIN!$G487)</f>
        <v>32000000000484</v>
      </c>
      <c r="C487" s="39">
        <f>IF(EXACT(MAIN!$H487, ""), "", MAIN!$B487)</f>
        <v>25000000000484</v>
      </c>
      <c r="D487" s="38" t="str">
        <f>IF(EXACT(MAIN!$H487, ""), "", MAIN!$C487)</f>
        <v>Yossie Deliana</v>
      </c>
      <c r="E487" s="39" t="str">
        <f>IF(EXACT(MAIN!$B487, ""), "", ""&amp;MAIN!$D487)</f>
        <v/>
      </c>
      <c r="G487" s="2">
        <f t="shared" si="7"/>
        <v>25000000000484</v>
      </c>
    </row>
    <row r="488" spans="2:7" x14ac:dyDescent="0.2">
      <c r="B488" s="35">
        <f>IF(EXACT(MAIN!$H488, ""), "", MAIN!$G488)</f>
        <v>32000000000485</v>
      </c>
      <c r="C488" s="39">
        <f>IF(EXACT(MAIN!$H488, ""), "", MAIN!$B488)</f>
        <v>25000000000485</v>
      </c>
      <c r="D488" s="38" t="str">
        <f>IF(EXACT(MAIN!$H488, ""), "", MAIN!$C488)</f>
        <v>Yudi Rahmadi</v>
      </c>
      <c r="E488" s="39" t="str">
        <f>IF(EXACT(MAIN!$B488, ""), "", ""&amp;MAIN!$D488)</f>
        <v/>
      </c>
      <c r="G488" s="2">
        <f t="shared" si="7"/>
        <v>25000000000485</v>
      </c>
    </row>
    <row r="489" spans="2:7" x14ac:dyDescent="0.2">
      <c r="B489" s="35">
        <f>IF(EXACT(MAIN!$H489, ""), "", MAIN!$G489)</f>
        <v>32000000000486</v>
      </c>
      <c r="C489" s="39">
        <f>IF(EXACT(MAIN!$H489, ""), "", MAIN!$B489)</f>
        <v>25000000000486</v>
      </c>
      <c r="D489" s="38" t="str">
        <f>IF(EXACT(MAIN!$H489, ""), "", MAIN!$C489)</f>
        <v>Yudo Jati Rahmat Satrio</v>
      </c>
      <c r="E489" s="39" t="str">
        <f>IF(EXACT(MAIN!$B489, ""), "", ""&amp;MAIN!$D489)</f>
        <v/>
      </c>
      <c r="G489" s="2">
        <f t="shared" si="7"/>
        <v>25000000000486</v>
      </c>
    </row>
    <row r="490" spans="2:7" x14ac:dyDescent="0.2">
      <c r="B490" s="35">
        <f>IF(EXACT(MAIN!$H490, ""), "", MAIN!$G490)</f>
        <v>32000000000487</v>
      </c>
      <c r="C490" s="39">
        <f>IF(EXACT(MAIN!$H490, ""), "", MAIN!$B490)</f>
        <v>25000000000487</v>
      </c>
      <c r="D490" s="38" t="str">
        <f>IF(EXACT(MAIN!$H490, ""), "", MAIN!$C490)</f>
        <v>Yuliandaru Suryoatmodjo</v>
      </c>
      <c r="E490" s="39" t="str">
        <f>IF(EXACT(MAIN!$B490, ""), "", ""&amp;MAIN!$D490)</f>
        <v>160714734</v>
      </c>
      <c r="G490" s="2">
        <f t="shared" si="7"/>
        <v>25000000000487</v>
      </c>
    </row>
    <row r="491" spans="2:7" x14ac:dyDescent="0.2">
      <c r="B491" s="35">
        <f>IF(EXACT(MAIN!$H491, ""), "", MAIN!$G491)</f>
        <v>32000000000488</v>
      </c>
      <c r="C491" s="39">
        <f>IF(EXACT(MAIN!$H491, ""), "", MAIN!$B491)</f>
        <v>25000000000488</v>
      </c>
      <c r="D491" s="38" t="str">
        <f>IF(EXACT(MAIN!$H491, ""), "", MAIN!$C491)</f>
        <v>Yulianta</v>
      </c>
      <c r="E491" s="39" t="str">
        <f>IF(EXACT(MAIN!$B491, ""), "", ""&amp;MAIN!$D491)</f>
        <v/>
      </c>
      <c r="G491" s="2">
        <f t="shared" si="7"/>
        <v>25000000000488</v>
      </c>
    </row>
    <row r="492" spans="2:7" x14ac:dyDescent="0.2">
      <c r="B492" s="35">
        <f>IF(EXACT(MAIN!$H492, ""), "", MAIN!$G492)</f>
        <v>32000000000489</v>
      </c>
      <c r="C492" s="39">
        <f>IF(EXACT(MAIN!$H492, ""), "", MAIN!$B492)</f>
        <v>25000000000489</v>
      </c>
      <c r="D492" s="38" t="str">
        <f>IF(EXACT(MAIN!$H492, ""), "", MAIN!$C492)</f>
        <v>Yulianti</v>
      </c>
      <c r="E492" s="39" t="str">
        <f>IF(EXACT(MAIN!$B492, ""), "", ""&amp;MAIN!$D492)</f>
        <v/>
      </c>
      <c r="G492" s="2">
        <f t="shared" si="7"/>
        <v>25000000000489</v>
      </c>
    </row>
    <row r="493" spans="2:7" x14ac:dyDescent="0.2">
      <c r="B493" s="35">
        <f>IF(EXACT(MAIN!$H493, ""), "", MAIN!$G493)</f>
        <v>32000000000490</v>
      </c>
      <c r="C493" s="39">
        <f>IF(EXACT(MAIN!$H493, ""), "", MAIN!$B493)</f>
        <v>25000000000490</v>
      </c>
      <c r="D493" s="38" t="str">
        <f>IF(EXACT(MAIN!$H493, ""), "", MAIN!$C493)</f>
        <v>Yulius</v>
      </c>
      <c r="E493" s="39" t="str">
        <f>IF(EXACT(MAIN!$B493, ""), "", ""&amp;MAIN!$D493)</f>
        <v/>
      </c>
      <c r="G493" s="2">
        <f t="shared" si="7"/>
        <v>25000000000490</v>
      </c>
    </row>
    <row r="494" spans="2:7" x14ac:dyDescent="0.2">
      <c r="B494" s="35">
        <f>IF(EXACT(MAIN!$H494, ""), "", MAIN!$G494)</f>
        <v>32000000000491</v>
      </c>
      <c r="C494" s="39">
        <f>IF(EXACT(MAIN!$H494, ""), "", MAIN!$B494)</f>
        <v>25000000000491</v>
      </c>
      <c r="D494" s="38" t="str">
        <f>IF(EXACT(MAIN!$H494, ""), "", MAIN!$C494)</f>
        <v>Yunni Sazili</v>
      </c>
      <c r="E494" s="39" t="str">
        <f>IF(EXACT(MAIN!$B494, ""), "", ""&amp;MAIN!$D494)</f>
        <v/>
      </c>
      <c r="G494" s="2">
        <f t="shared" si="7"/>
        <v>25000000000491</v>
      </c>
    </row>
    <row r="495" spans="2:7" x14ac:dyDescent="0.2">
      <c r="B495" s="35">
        <f>IF(EXACT(MAIN!$H495, ""), "", MAIN!$G495)</f>
        <v>32000000000492</v>
      </c>
      <c r="C495" s="39">
        <f>IF(EXACT(MAIN!$H495, ""), "", MAIN!$B495)</f>
        <v>25000000000492</v>
      </c>
      <c r="D495" s="38" t="str">
        <f>IF(EXACT(MAIN!$H495, ""), "", MAIN!$C495)</f>
        <v>Yusman</v>
      </c>
      <c r="E495" s="39" t="str">
        <f>IF(EXACT(MAIN!$B495, ""), "", ""&amp;MAIN!$D495)</f>
        <v/>
      </c>
      <c r="G495" s="2">
        <f t="shared" si="7"/>
        <v>25000000000492</v>
      </c>
    </row>
    <row r="496" spans="2:7" x14ac:dyDescent="0.2">
      <c r="B496" s="35">
        <f>IF(EXACT(MAIN!$H496, ""), "", MAIN!$G496)</f>
        <v>32000000000493</v>
      </c>
      <c r="C496" s="39">
        <f>IF(EXACT(MAIN!$H496, ""), "", MAIN!$B496)</f>
        <v>25000000000493</v>
      </c>
      <c r="D496" s="38" t="str">
        <f>IF(EXACT(MAIN!$H496, ""), "", MAIN!$C496)</f>
        <v>Yusri Azhar</v>
      </c>
      <c r="E496" s="39" t="str">
        <f>IF(EXACT(MAIN!$B496, ""), "", ""&amp;MAIN!$D496)</f>
        <v/>
      </c>
      <c r="G496" s="2">
        <f t="shared" si="7"/>
        <v>25000000000493</v>
      </c>
    </row>
    <row r="497" spans="2:7" x14ac:dyDescent="0.2">
      <c r="B497" s="35">
        <f>IF(EXACT(MAIN!$H497, ""), "", MAIN!$G497)</f>
        <v>32000000000494</v>
      </c>
      <c r="C497" s="39">
        <f>IF(EXACT(MAIN!$H497, ""), "", MAIN!$B497)</f>
        <v>25000000000494</v>
      </c>
      <c r="D497" s="38" t="str">
        <f>IF(EXACT(MAIN!$H497, ""), "", MAIN!$C497)</f>
        <v>Zafrizal</v>
      </c>
      <c r="E497" s="39" t="str">
        <f>IF(EXACT(MAIN!$B497, ""), "", ""&amp;MAIN!$D497)</f>
        <v/>
      </c>
      <c r="G497" s="2">
        <f t="shared" si="7"/>
        <v>25000000000494</v>
      </c>
    </row>
    <row r="498" spans="2:7" x14ac:dyDescent="0.2">
      <c r="B498" s="35">
        <f>IF(EXACT(MAIN!$H498, ""), "", MAIN!$G498)</f>
        <v>32000000000495</v>
      </c>
      <c r="C498" s="39">
        <f>IF(EXACT(MAIN!$H498, ""), "", MAIN!$B498)</f>
        <v>25000000000495</v>
      </c>
      <c r="D498" s="38" t="str">
        <f>IF(EXACT(MAIN!$H498, ""), "", MAIN!$C498)</f>
        <v>Zafrizal Rifla (Ucok)</v>
      </c>
      <c r="E498" s="39" t="str">
        <f>IF(EXACT(MAIN!$B498, ""), "", ""&amp;MAIN!$D498)</f>
        <v/>
      </c>
      <c r="G498" s="2">
        <f t="shared" si="7"/>
        <v>25000000000495</v>
      </c>
    </row>
    <row r="499" spans="2:7" x14ac:dyDescent="0.2">
      <c r="B499" s="35">
        <f>IF(EXACT(MAIN!$H499, ""), "", MAIN!$G499)</f>
        <v>32000000000496</v>
      </c>
      <c r="C499" s="39">
        <f>IF(EXACT(MAIN!$H499, ""), "", MAIN!$B499)</f>
        <v>25000000000496</v>
      </c>
      <c r="D499" s="38" t="str">
        <f>IF(EXACT(MAIN!$H499, ""), "", MAIN!$C499)</f>
        <v>Zainuddin</v>
      </c>
      <c r="E499" s="39" t="str">
        <f>IF(EXACT(MAIN!$B499, ""), "", ""&amp;MAIN!$D499)</f>
        <v/>
      </c>
      <c r="G499" s="2">
        <f t="shared" si="7"/>
        <v>25000000000496</v>
      </c>
    </row>
    <row r="500" spans="2:7" x14ac:dyDescent="0.2">
      <c r="B500" s="35">
        <f>IF(EXACT(MAIN!$H500, ""), "", MAIN!$G500)</f>
        <v>32000000000497</v>
      </c>
      <c r="C500" s="39">
        <f>IF(EXACT(MAIN!$H500, ""), "", MAIN!$B500)</f>
        <v>25000000000497</v>
      </c>
      <c r="D500" s="38" t="str">
        <f>IF(EXACT(MAIN!$H500, ""), "", MAIN!$C500)</f>
        <v>Zainudin Anwar</v>
      </c>
      <c r="E500" s="39" t="str">
        <f>IF(EXACT(MAIN!$B500, ""), "", ""&amp;MAIN!$D500)</f>
        <v>090819915</v>
      </c>
      <c r="G500" s="2">
        <f t="shared" si="7"/>
        <v>25000000000497</v>
      </c>
    </row>
    <row r="501" spans="2:7" x14ac:dyDescent="0.2">
      <c r="B501" s="35">
        <f>IF(EXACT(MAIN!$H501, ""), "", MAIN!$G501)</f>
        <v>32000000000498</v>
      </c>
      <c r="C501" s="39">
        <f>IF(EXACT(MAIN!$H501, ""), "", MAIN!$B501)</f>
        <v>25000000000498</v>
      </c>
      <c r="D501" s="38" t="str">
        <f>IF(EXACT(MAIN!$H501, ""), "", MAIN!$C501)</f>
        <v>Zaire Dite Biscaya</v>
      </c>
      <c r="E501" s="39" t="str">
        <f>IF(EXACT(MAIN!$B501, ""), "", ""&amp;MAIN!$D501)</f>
        <v/>
      </c>
      <c r="G501" s="2">
        <f t="shared" si="7"/>
        <v>25000000000498</v>
      </c>
    </row>
    <row r="502" spans="2:7" x14ac:dyDescent="0.2">
      <c r="B502" s="35">
        <f>IF(EXACT(MAIN!$H502, ""), "", MAIN!$G502)</f>
        <v>32000000000499</v>
      </c>
      <c r="C502" s="39">
        <f>IF(EXACT(MAIN!$H502, ""), "", MAIN!$B502)</f>
        <v>25000000000499</v>
      </c>
      <c r="D502" s="38" t="str">
        <f>IF(EXACT(MAIN!$H502, ""), "", MAIN!$C502)</f>
        <v>Zalfi Yandri</v>
      </c>
      <c r="E502" s="39" t="str">
        <f>IF(EXACT(MAIN!$B502, ""), "", ""&amp;MAIN!$D502)</f>
        <v/>
      </c>
      <c r="G502" s="2">
        <f t="shared" si="7"/>
        <v>25000000000499</v>
      </c>
    </row>
    <row r="503" spans="2:7" x14ac:dyDescent="0.2">
      <c r="B503" s="35">
        <f>IF(EXACT(MAIN!$H503, ""), "", MAIN!$G503)</f>
        <v>32000000000500</v>
      </c>
      <c r="C503" s="39">
        <f>IF(EXACT(MAIN!$H503, ""), "", MAIN!$B503)</f>
        <v>25000000000500</v>
      </c>
      <c r="D503" s="38" t="str">
        <f>IF(EXACT(MAIN!$H503, ""), "", MAIN!$C503)</f>
        <v>Zam Roji</v>
      </c>
      <c r="E503" s="39" t="str">
        <f>IF(EXACT(MAIN!$B503, ""), "", ""&amp;MAIN!$D503)</f>
        <v/>
      </c>
      <c r="G503" s="2">
        <f t="shared" si="7"/>
        <v>25000000000500</v>
      </c>
    </row>
    <row r="504" spans="2:7" x14ac:dyDescent="0.2">
      <c r="B504" s="35">
        <f>IF(EXACT(MAIN!$H504, ""), "", MAIN!$G504)</f>
        <v>32000000000501</v>
      </c>
      <c r="C504" s="39">
        <f>IF(EXACT(MAIN!$H504, ""), "", MAIN!$B504)</f>
        <v>25000000000501</v>
      </c>
      <c r="D504" s="38" t="str">
        <f>IF(EXACT(MAIN!$H504, ""), "", MAIN!$C504)</f>
        <v>Zulfikar K. Siregar</v>
      </c>
      <c r="E504" s="39" t="str">
        <f>IF(EXACT(MAIN!$B504, ""), "", ""&amp;MAIN!$D504)</f>
        <v>3107251008</v>
      </c>
      <c r="G504" s="2">
        <f t="shared" si="7"/>
        <v>25000000000501</v>
      </c>
    </row>
    <row r="505" spans="2:7" x14ac:dyDescent="0.2">
      <c r="B505" s="35">
        <f>IF(EXACT(MAIN!$H505, ""), "", MAIN!$G505)</f>
        <v>32000000000502</v>
      </c>
      <c r="C505" s="39">
        <f>IF(EXACT(MAIN!$H505, ""), "", MAIN!$B505)</f>
        <v>25000000000502</v>
      </c>
      <c r="D505" s="38" t="str">
        <f>IF(EXACT(MAIN!$H505, ""), "", MAIN!$C505)</f>
        <v>Adythia Adikara</v>
      </c>
      <c r="E505" s="39" t="str">
        <f>IF(EXACT(MAIN!$B505, ""), "", ""&amp;MAIN!$D505)</f>
        <v/>
      </c>
      <c r="G505" s="2">
        <f t="shared" si="7"/>
        <v>25000000000502</v>
      </c>
    </row>
    <row r="506" spans="2:7" x14ac:dyDescent="0.2">
      <c r="B506" s="35">
        <f>IF(EXACT(MAIN!$H506, ""), "", MAIN!$G506)</f>
        <v>32000000000503</v>
      </c>
      <c r="C506" s="39">
        <f>IF(EXACT(MAIN!$H506, ""), "", MAIN!$B506)</f>
        <v>25000000000503</v>
      </c>
      <c r="D506" s="38" t="str">
        <f>IF(EXACT(MAIN!$H506, ""), "", MAIN!$C506)</f>
        <v>Agus Sopyan Hadi</v>
      </c>
      <c r="E506" s="39" t="str">
        <f>IF(EXACT(MAIN!$B506, ""), "", ""&amp;MAIN!$D506)</f>
        <v/>
      </c>
      <c r="G506" s="2">
        <f t="shared" si="7"/>
        <v>25000000000503</v>
      </c>
    </row>
    <row r="507" spans="2:7" x14ac:dyDescent="0.2">
      <c r="B507" s="35">
        <f>IF(EXACT(MAIN!$H507, ""), "", MAIN!$G507)</f>
        <v>32000000000504</v>
      </c>
      <c r="C507" s="39">
        <f>IF(EXACT(MAIN!$H507, ""), "", MAIN!$B507)</f>
        <v>25000000000504</v>
      </c>
      <c r="D507" s="38" t="str">
        <f>IF(EXACT(MAIN!$H507, ""), "", MAIN!$C507)</f>
        <v>Azis Purwandana</v>
      </c>
      <c r="E507" s="39" t="str">
        <f>IF(EXACT(MAIN!$B507, ""), "", ""&amp;MAIN!$D507)</f>
        <v/>
      </c>
      <c r="G507" s="2">
        <f t="shared" si="7"/>
        <v>25000000000504</v>
      </c>
    </row>
    <row r="508" spans="2:7" x14ac:dyDescent="0.2">
      <c r="B508" s="35">
        <f>IF(EXACT(MAIN!$H508, ""), "", MAIN!$G508)</f>
        <v>32000000000505</v>
      </c>
      <c r="C508" s="39">
        <f>IF(EXACT(MAIN!$H508, ""), "", MAIN!$B508)</f>
        <v>25000000000505</v>
      </c>
      <c r="D508" s="38" t="str">
        <f>IF(EXACT(MAIN!$H508, ""), "", MAIN!$C508)</f>
        <v>Heryanto</v>
      </c>
      <c r="E508" s="39" t="str">
        <f>IF(EXACT(MAIN!$B508, ""), "", ""&amp;MAIN!$D508)</f>
        <v/>
      </c>
      <c r="G508" s="2">
        <f t="shared" si="7"/>
        <v>25000000000505</v>
      </c>
    </row>
    <row r="509" spans="2:7" x14ac:dyDescent="0.2">
      <c r="B509" s="35">
        <f>IF(EXACT(MAIN!$H509, ""), "", MAIN!$G509)</f>
        <v>32000000000506</v>
      </c>
      <c r="C509" s="39">
        <f>IF(EXACT(MAIN!$H509, ""), "", MAIN!$B509)</f>
        <v>25000000000506</v>
      </c>
      <c r="D509" s="38" t="str">
        <f>IF(EXACT(MAIN!$H509, ""), "", MAIN!$C509)</f>
        <v>Imran</v>
      </c>
      <c r="E509" s="39" t="str">
        <f>IF(EXACT(MAIN!$B509, ""), "", ""&amp;MAIN!$D509)</f>
        <v/>
      </c>
      <c r="G509" s="2">
        <f t="shared" si="7"/>
        <v>25000000000506</v>
      </c>
    </row>
    <row r="510" spans="2:7" x14ac:dyDescent="0.2">
      <c r="B510" s="35">
        <f>IF(EXACT(MAIN!$H510, ""), "", MAIN!$G510)</f>
        <v>32000000000507</v>
      </c>
      <c r="C510" s="39">
        <f>IF(EXACT(MAIN!$H510, ""), "", MAIN!$B510)</f>
        <v>25000000000507</v>
      </c>
      <c r="D510" s="38" t="str">
        <f>IF(EXACT(MAIN!$H510, ""), "", MAIN!$C510)</f>
        <v>Khamim Taryono</v>
      </c>
      <c r="E510" s="39" t="str">
        <f>IF(EXACT(MAIN!$B510, ""), "", ""&amp;MAIN!$D510)</f>
        <v>280621950</v>
      </c>
      <c r="G510" s="2">
        <f t="shared" si="7"/>
        <v>25000000000507</v>
      </c>
    </row>
    <row r="511" spans="2:7" x14ac:dyDescent="0.2">
      <c r="B511" s="35">
        <f>IF(EXACT(MAIN!$H511, ""), "", MAIN!$G511)</f>
        <v>32000000000508</v>
      </c>
      <c r="C511" s="39">
        <f>IF(EXACT(MAIN!$H511, ""), "", MAIN!$B511)</f>
        <v>25000000000508</v>
      </c>
      <c r="D511" s="38" t="str">
        <f>IF(EXACT(MAIN!$H511, ""), "", MAIN!$C511)</f>
        <v>Rafi Artman Siddiq</v>
      </c>
      <c r="E511" s="39" t="str">
        <f>IF(EXACT(MAIN!$B511, ""), "", ""&amp;MAIN!$D511)</f>
        <v>130921953</v>
      </c>
      <c r="G511" s="2">
        <f t="shared" si="7"/>
        <v>25000000000508</v>
      </c>
    </row>
    <row r="512" spans="2:7" x14ac:dyDescent="0.2">
      <c r="B512" s="35">
        <f>IF(EXACT(MAIN!$H512, ""), "", MAIN!$G512)</f>
        <v>32000000000509</v>
      </c>
      <c r="C512" s="39">
        <f>IF(EXACT(MAIN!$H512, ""), "", MAIN!$B512)</f>
        <v>25000000000509</v>
      </c>
      <c r="D512" s="38" t="str">
        <f>IF(EXACT(MAIN!$H512, ""), "", MAIN!$C512)</f>
        <v>Riza Emir Subekti</v>
      </c>
      <c r="E512" s="39" t="str">
        <f>IF(EXACT(MAIN!$B512, ""), "", ""&amp;MAIN!$D512)</f>
        <v>260716795</v>
      </c>
      <c r="G512" s="2">
        <f t="shared" si="7"/>
        <v>25000000000509</v>
      </c>
    </row>
    <row r="513" spans="2:7" x14ac:dyDescent="0.2">
      <c r="B513" s="35">
        <f>IF(EXACT(MAIN!$H513, ""), "", MAIN!$G513)</f>
        <v>32000000000510</v>
      </c>
      <c r="C513" s="39">
        <f>IF(EXACT(MAIN!$H513, ""), "", MAIN!$B513)</f>
        <v>25000000000510</v>
      </c>
      <c r="D513" s="38" t="str">
        <f>IF(EXACT(MAIN!$H513, ""), "", MAIN!$C513)</f>
        <v>Slamet Riadi</v>
      </c>
      <c r="E513" s="39" t="str">
        <f>IF(EXACT(MAIN!$B513, ""), "", ""&amp;MAIN!$D513)</f>
        <v/>
      </c>
      <c r="G513" s="2">
        <f t="shared" si="7"/>
        <v>25000000000510</v>
      </c>
    </row>
    <row r="514" spans="2:7" x14ac:dyDescent="0.2">
      <c r="B514" s="35">
        <f>IF(EXACT(MAIN!$H514, ""), "", MAIN!$G514)</f>
        <v>32000000000511</v>
      </c>
      <c r="C514" s="39">
        <f>IF(EXACT(MAIN!$H514, ""), "", MAIN!$B514)</f>
        <v>25000000000511</v>
      </c>
      <c r="D514" s="38" t="str">
        <f>IF(EXACT(MAIN!$H514, ""), "", MAIN!$C514)</f>
        <v>Wisnu Andra Isdianto</v>
      </c>
      <c r="E514" s="39" t="str">
        <f>IF(EXACT(MAIN!$B514, ""), "", ""&amp;MAIN!$D514)</f>
        <v>150721949</v>
      </c>
      <c r="G514" s="2">
        <f t="shared" si="7"/>
        <v>25000000000511</v>
      </c>
    </row>
    <row r="515" spans="2:7" x14ac:dyDescent="0.2">
      <c r="B515" s="35">
        <f>IF(EXACT(MAIN!$H515, ""), "", MAIN!$G515)</f>
        <v>32000000000512</v>
      </c>
      <c r="C515" s="39">
        <f>IF(EXACT(MAIN!$H515, ""), "", MAIN!$B515)</f>
        <v>25000000000512</v>
      </c>
      <c r="D515" s="38" t="str">
        <f>IF(EXACT(MAIN!$H515, ""), "", MAIN!$C515)</f>
        <v>Agus Budi Setiawan</v>
      </c>
      <c r="E515" s="39" t="str">
        <f>IF(EXACT(MAIN!$B515, ""), "", ""&amp;MAIN!$D515)</f>
        <v>171121955</v>
      </c>
      <c r="G515" s="2">
        <f t="shared" si="7"/>
        <v>25000000000512</v>
      </c>
    </row>
    <row r="516" spans="2:7" x14ac:dyDescent="0.2">
      <c r="B516" s="35">
        <f>IF(EXACT(MAIN!$H516, ""), "", MAIN!$G516)</f>
        <v>32000000000513</v>
      </c>
      <c r="C516" s="39">
        <f>IF(EXACT(MAIN!$H516, ""), "", MAIN!$B516)</f>
        <v>25000000000513</v>
      </c>
      <c r="D516" s="38" t="str">
        <f>IF(EXACT(MAIN!$H516, ""), "", MAIN!$C516)</f>
        <v>Ahmad Choerul</v>
      </c>
      <c r="E516" s="39" t="str">
        <f>IF(EXACT(MAIN!$B516, ""), "", ""&amp;MAIN!$D516)</f>
        <v>191022969</v>
      </c>
      <c r="G516" s="2">
        <f t="shared" si="7"/>
        <v>25000000000513</v>
      </c>
    </row>
    <row r="517" spans="2:7" x14ac:dyDescent="0.2">
      <c r="B517" s="35">
        <f>IF(EXACT(MAIN!$H517, ""), "", MAIN!$G517)</f>
        <v>32000000000514</v>
      </c>
      <c r="C517" s="39">
        <f>IF(EXACT(MAIN!$H517, ""), "", MAIN!$B517)</f>
        <v>25000000000514</v>
      </c>
      <c r="D517" s="38" t="str">
        <f>IF(EXACT(MAIN!$H517, ""), "", MAIN!$C517)</f>
        <v>Achmad Yunadi</v>
      </c>
      <c r="E517" s="39" t="str">
        <f>IF(EXACT(MAIN!$B517, ""), "", ""&amp;MAIN!$D517)</f>
        <v>110422962</v>
      </c>
      <c r="G517" s="2">
        <f t="shared" ref="G517:G580" si="8">C517</f>
        <v>25000000000514</v>
      </c>
    </row>
    <row r="518" spans="2:7" x14ac:dyDescent="0.2">
      <c r="B518" s="35">
        <f>IF(EXACT(MAIN!$H518, ""), "", MAIN!$G518)</f>
        <v>32000000000515</v>
      </c>
      <c r="C518" s="39">
        <f>IF(EXACT(MAIN!$H518, ""), "", MAIN!$B518)</f>
        <v>25000000000515</v>
      </c>
      <c r="D518" s="38" t="str">
        <f>IF(EXACT(MAIN!$H518, ""), "", MAIN!$C518)</f>
        <v>Asep mulyana</v>
      </c>
      <c r="E518" s="39" t="str">
        <f>IF(EXACT(MAIN!$B518, ""), "", ""&amp;MAIN!$D518)</f>
        <v/>
      </c>
      <c r="G518" s="2">
        <f t="shared" si="8"/>
        <v>25000000000515</v>
      </c>
    </row>
    <row r="519" spans="2:7" x14ac:dyDescent="0.2">
      <c r="B519" s="35">
        <f>IF(EXACT(MAIN!$H519, ""), "", MAIN!$G519)</f>
        <v>32000000000516</v>
      </c>
      <c r="C519" s="39">
        <f>IF(EXACT(MAIN!$H519, ""), "", MAIN!$B519)</f>
        <v>25000000000516</v>
      </c>
      <c r="D519" s="38" t="str">
        <f>IF(EXACT(MAIN!$H519, ""), "", MAIN!$C519)</f>
        <v>Bagus Isdiantara</v>
      </c>
      <c r="E519" s="39" t="str">
        <f>IF(EXACT(MAIN!$B519, ""), "", ""&amp;MAIN!$D519)</f>
        <v/>
      </c>
      <c r="G519" s="2">
        <f t="shared" si="8"/>
        <v>25000000000516</v>
      </c>
    </row>
    <row r="520" spans="2:7" x14ac:dyDescent="0.2">
      <c r="B520" s="35">
        <f>IF(EXACT(MAIN!$H520, ""), "", MAIN!$G520)</f>
        <v>32000000000517</v>
      </c>
      <c r="C520" s="39">
        <f>IF(EXACT(MAIN!$H520, ""), "", MAIN!$B520)</f>
        <v>25000000000517</v>
      </c>
      <c r="D520" s="38" t="str">
        <f>IF(EXACT(MAIN!$H520, ""), "", MAIN!$C520)</f>
        <v>Cahyana</v>
      </c>
      <c r="E520" s="39" t="str">
        <f>IF(EXACT(MAIN!$B520, ""), "", ""&amp;MAIN!$D520)</f>
        <v>090821952</v>
      </c>
      <c r="G520" s="2">
        <f t="shared" si="8"/>
        <v>25000000000517</v>
      </c>
    </row>
    <row r="521" spans="2:7" x14ac:dyDescent="0.2">
      <c r="B521" s="35">
        <f>IF(EXACT(MAIN!$H521, ""), "", MAIN!$G521)</f>
        <v>32000000000518</v>
      </c>
      <c r="C521" s="39">
        <f>IF(EXACT(MAIN!$H521, ""), "", MAIN!$B521)</f>
        <v>25000000000518</v>
      </c>
      <c r="D521" s="38" t="str">
        <f>IF(EXACT(MAIN!$H521, ""), "", MAIN!$C521)</f>
        <v>Dede Hartanto</v>
      </c>
      <c r="E521" s="39" t="str">
        <f>IF(EXACT(MAIN!$B521, ""), "", ""&amp;MAIN!$D521)</f>
        <v/>
      </c>
      <c r="G521" s="2">
        <f t="shared" si="8"/>
        <v>25000000000518</v>
      </c>
    </row>
    <row r="522" spans="2:7" x14ac:dyDescent="0.2">
      <c r="B522" s="35">
        <f>IF(EXACT(MAIN!$H522, ""), "", MAIN!$G522)</f>
        <v>32000000000519</v>
      </c>
      <c r="C522" s="39">
        <f>IF(EXACT(MAIN!$H522, ""), "", MAIN!$B522)</f>
        <v>25000000000519</v>
      </c>
      <c r="D522" s="38" t="str">
        <f>IF(EXACT(MAIN!$H522, ""), "", MAIN!$C522)</f>
        <v>Denny Achmad Ferlando</v>
      </c>
      <c r="E522" s="39" t="str">
        <f>IF(EXACT(MAIN!$B522, ""), "", ""&amp;MAIN!$D522)</f>
        <v>170522963</v>
      </c>
      <c r="G522" s="2">
        <f t="shared" si="8"/>
        <v>25000000000519</v>
      </c>
    </row>
    <row r="523" spans="2:7" x14ac:dyDescent="0.2">
      <c r="B523" s="35">
        <f>IF(EXACT(MAIN!$H523, ""), "", MAIN!$G523)</f>
        <v>32000000000520</v>
      </c>
      <c r="C523" s="39">
        <f>IF(EXACT(MAIN!$H523, ""), "", MAIN!$B523)</f>
        <v>25000000000520</v>
      </c>
      <c r="D523" s="38" t="str">
        <f>IF(EXACT(MAIN!$H523, ""), "", MAIN!$C523)</f>
        <v>Dian Setiawan</v>
      </c>
      <c r="E523" s="39" t="str">
        <f>IF(EXACT(MAIN!$B523, ""), "", ""&amp;MAIN!$D523)</f>
        <v/>
      </c>
      <c r="G523" s="2">
        <f t="shared" si="8"/>
        <v>25000000000520</v>
      </c>
    </row>
    <row r="524" spans="2:7" x14ac:dyDescent="0.2">
      <c r="B524" s="35">
        <f>IF(EXACT(MAIN!$H524, ""), "", MAIN!$G524)</f>
        <v>32000000000521</v>
      </c>
      <c r="C524" s="39">
        <f>IF(EXACT(MAIN!$H524, ""), "", MAIN!$B524)</f>
        <v>25000000000521</v>
      </c>
      <c r="D524" s="38" t="str">
        <f>IF(EXACT(MAIN!$H524, ""), "", MAIN!$C524)</f>
        <v>Fabrian Danang Destiyara</v>
      </c>
      <c r="E524" s="39" t="str">
        <f>IF(EXACT(MAIN!$B524, ""), "", ""&amp;MAIN!$D524)</f>
        <v>110523979</v>
      </c>
      <c r="G524" s="2">
        <f t="shared" si="8"/>
        <v>25000000000521</v>
      </c>
    </row>
    <row r="525" spans="2:7" x14ac:dyDescent="0.2">
      <c r="B525" s="35">
        <f>IF(EXACT(MAIN!$H525, ""), "", MAIN!$G525)</f>
        <v>32000000000522</v>
      </c>
      <c r="C525" s="39">
        <f>IF(EXACT(MAIN!$H525, ""), "", MAIN!$B525)</f>
        <v>25000000000522</v>
      </c>
      <c r="D525" s="38" t="str">
        <f>IF(EXACT(MAIN!$H525, ""), "", MAIN!$C525)</f>
        <v>Ferdian Kriswantoro</v>
      </c>
      <c r="E525" s="39" t="str">
        <f>IF(EXACT(MAIN!$B525, ""), "", ""&amp;MAIN!$D525)</f>
        <v>191022968</v>
      </c>
      <c r="G525" s="2">
        <f t="shared" si="8"/>
        <v>25000000000522</v>
      </c>
    </row>
    <row r="526" spans="2:7" x14ac:dyDescent="0.2">
      <c r="B526" s="35">
        <f>IF(EXACT(MAIN!$H526, ""), "", MAIN!$G526)</f>
        <v>32000000000523</v>
      </c>
      <c r="C526" s="39">
        <f>IF(EXACT(MAIN!$H526, ""), "", MAIN!$B526)</f>
        <v>25000000000523</v>
      </c>
      <c r="D526" s="38" t="str">
        <f>IF(EXACT(MAIN!$H526, ""), "", MAIN!$C526)</f>
        <v>Fuzi Mafrozi</v>
      </c>
      <c r="E526" s="39" t="str">
        <f>IF(EXACT(MAIN!$B526, ""), "", ""&amp;MAIN!$D526)</f>
        <v>040722964</v>
      </c>
      <c r="G526" s="2">
        <f t="shared" si="8"/>
        <v>25000000000523</v>
      </c>
    </row>
    <row r="527" spans="2:7" x14ac:dyDescent="0.2">
      <c r="B527" s="35">
        <f>IF(EXACT(MAIN!$H527, ""), "", MAIN!$G527)</f>
        <v>32000000000524</v>
      </c>
      <c r="C527" s="39">
        <f>IF(EXACT(MAIN!$H527, ""), "", MAIN!$B527)</f>
        <v>25000000000524</v>
      </c>
      <c r="D527" s="38" t="str">
        <f>IF(EXACT(MAIN!$H527, ""), "", MAIN!$C527)</f>
        <v>Gilang Setiawan</v>
      </c>
      <c r="E527" s="39" t="str">
        <f>IF(EXACT(MAIN!$B527, ""), "", ""&amp;MAIN!$D527)</f>
        <v/>
      </c>
      <c r="G527" s="2">
        <f t="shared" si="8"/>
        <v>25000000000524</v>
      </c>
    </row>
    <row r="528" spans="2:7" x14ac:dyDescent="0.2">
      <c r="B528" s="35">
        <f>IF(EXACT(MAIN!$H528, ""), "", MAIN!$G528)</f>
        <v>32000000000525</v>
      </c>
      <c r="C528" s="39">
        <f>IF(EXACT(MAIN!$H528, ""), "", MAIN!$B528)</f>
        <v>25000000000525</v>
      </c>
      <c r="D528" s="38" t="str">
        <f>IF(EXACT(MAIN!$H528, ""), "", MAIN!$C528)</f>
        <v>Idris Affandi</v>
      </c>
      <c r="E528" s="39" t="str">
        <f>IF(EXACT(MAIN!$B528, ""), "", ""&amp;MAIN!$D528)</f>
        <v/>
      </c>
      <c r="G528" s="2">
        <f t="shared" si="8"/>
        <v>25000000000525</v>
      </c>
    </row>
    <row r="529" spans="2:7" x14ac:dyDescent="0.2">
      <c r="B529" s="35">
        <f>IF(EXACT(MAIN!$H529, ""), "", MAIN!$G529)</f>
        <v>32000000000526</v>
      </c>
      <c r="C529" s="39">
        <f>IF(EXACT(MAIN!$H529, ""), "", MAIN!$B529)</f>
        <v>25000000000526</v>
      </c>
      <c r="D529" s="38" t="str">
        <f>IF(EXACT(MAIN!$H529, ""), "", MAIN!$C529)</f>
        <v>Indra Wijaya</v>
      </c>
      <c r="E529" s="39" t="str">
        <f>IF(EXACT(MAIN!$B529, ""), "", ""&amp;MAIN!$D529)</f>
        <v/>
      </c>
      <c r="G529" s="2">
        <f t="shared" si="8"/>
        <v>25000000000526</v>
      </c>
    </row>
    <row r="530" spans="2:7" x14ac:dyDescent="0.2">
      <c r="B530" s="35">
        <f>IF(EXACT(MAIN!$H530, ""), "", MAIN!$G530)</f>
        <v>32000000000527</v>
      </c>
      <c r="C530" s="39">
        <f>IF(EXACT(MAIN!$H530, ""), "", MAIN!$B530)</f>
        <v>25000000000527</v>
      </c>
      <c r="D530" s="38" t="str">
        <f>IF(EXACT(MAIN!$H530, ""), "", MAIN!$C530)</f>
        <v>Irma Maulidawati</v>
      </c>
      <c r="E530" s="39" t="str">
        <f>IF(EXACT(MAIN!$B530, ""), "", ""&amp;MAIN!$D530)</f>
        <v>040822965</v>
      </c>
      <c r="G530" s="2">
        <f t="shared" si="8"/>
        <v>25000000000527</v>
      </c>
    </row>
    <row r="531" spans="2:7" x14ac:dyDescent="0.2">
      <c r="B531" s="35">
        <f>IF(EXACT(MAIN!$H531, ""), "", MAIN!$G531)</f>
        <v>32000000000528</v>
      </c>
      <c r="C531" s="39">
        <f>IF(EXACT(MAIN!$H531, ""), "", MAIN!$B531)</f>
        <v>25000000000528</v>
      </c>
      <c r="D531" s="38" t="str">
        <f>IF(EXACT(MAIN!$H531, ""), "", MAIN!$C531)</f>
        <v>Istikaro Fauziah</v>
      </c>
      <c r="E531" s="39" t="str">
        <f>IF(EXACT(MAIN!$B531, ""), "", ""&amp;MAIN!$D531)</f>
        <v>170322960</v>
      </c>
      <c r="G531" s="2">
        <f t="shared" si="8"/>
        <v>25000000000528</v>
      </c>
    </row>
    <row r="532" spans="2:7" x14ac:dyDescent="0.2">
      <c r="B532" s="35">
        <f>IF(EXACT(MAIN!$H532, ""), "", MAIN!$G532)</f>
        <v>32000000000529</v>
      </c>
      <c r="C532" s="39">
        <f>IF(EXACT(MAIN!$H532, ""), "", MAIN!$B532)</f>
        <v>25000000000529</v>
      </c>
      <c r="D532" s="38" t="str">
        <f>IF(EXACT(MAIN!$H532, ""), "", MAIN!$C532)</f>
        <v>Muhammad Lukbani</v>
      </c>
      <c r="E532" s="39" t="str">
        <f>IF(EXACT(MAIN!$B532, ""), "", ""&amp;MAIN!$D532)</f>
        <v/>
      </c>
      <c r="G532" s="2">
        <f t="shared" si="8"/>
        <v>25000000000529</v>
      </c>
    </row>
    <row r="533" spans="2:7" x14ac:dyDescent="0.2">
      <c r="B533" s="35">
        <f>IF(EXACT(MAIN!$H533, ""), "", MAIN!$G533)</f>
        <v>32000000000530</v>
      </c>
      <c r="C533" s="39">
        <f>IF(EXACT(MAIN!$H533, ""), "", MAIN!$B533)</f>
        <v>25000000000530</v>
      </c>
      <c r="D533" s="38" t="str">
        <f>IF(EXACT(MAIN!$H533, ""), "", MAIN!$C533)</f>
        <v>Muhammad Sholikhun</v>
      </c>
      <c r="E533" s="39" t="str">
        <f>IF(EXACT(MAIN!$B533, ""), "", ""&amp;MAIN!$D533)</f>
        <v/>
      </c>
      <c r="G533" s="2">
        <f t="shared" si="8"/>
        <v>25000000000530</v>
      </c>
    </row>
    <row r="534" spans="2:7" x14ac:dyDescent="0.2">
      <c r="B534" s="35">
        <f>IF(EXACT(MAIN!$H534, ""), "", MAIN!$G534)</f>
        <v>32000000000531</v>
      </c>
      <c r="C534" s="39">
        <f>IF(EXACT(MAIN!$H534, ""), "", MAIN!$B534)</f>
        <v>25000000000531</v>
      </c>
      <c r="D534" s="38" t="str">
        <f>IF(EXACT(MAIN!$H534, ""), "", MAIN!$C534)</f>
        <v>Muhammad Syarifudin</v>
      </c>
      <c r="E534" s="39" t="str">
        <f>IF(EXACT(MAIN!$B534, ""), "", ""&amp;MAIN!$D534)</f>
        <v/>
      </c>
      <c r="G534" s="2">
        <f t="shared" si="8"/>
        <v>25000000000531</v>
      </c>
    </row>
    <row r="535" spans="2:7" x14ac:dyDescent="0.2">
      <c r="B535" s="35">
        <f>IF(EXACT(MAIN!$H535, ""), "", MAIN!$G535)</f>
        <v>32000000000532</v>
      </c>
      <c r="C535" s="39">
        <f>IF(EXACT(MAIN!$H535, ""), "", MAIN!$B535)</f>
        <v>25000000000532</v>
      </c>
      <c r="D535" s="38" t="str">
        <f>IF(EXACT(MAIN!$H535, ""), "", MAIN!$C535)</f>
        <v>Nadia Rizkiah</v>
      </c>
      <c r="E535" s="39" t="str">
        <f>IF(EXACT(MAIN!$B535, ""), "", ""&amp;MAIN!$D535)</f>
        <v>170222959</v>
      </c>
      <c r="G535" s="2">
        <f t="shared" si="8"/>
        <v>25000000000532</v>
      </c>
    </row>
    <row r="536" spans="2:7" x14ac:dyDescent="0.2">
      <c r="B536" s="35">
        <f>IF(EXACT(MAIN!$H536, ""), "", MAIN!$G536)</f>
        <v>32000000000533</v>
      </c>
      <c r="C536" s="39">
        <f>IF(EXACT(MAIN!$H536, ""), "", MAIN!$B536)</f>
        <v>25000000000533</v>
      </c>
      <c r="D536" s="38" t="str">
        <f>IF(EXACT(MAIN!$H536, ""), "", MAIN!$C536)</f>
        <v>Nikko Septian</v>
      </c>
      <c r="E536" s="39" t="str">
        <f>IF(EXACT(MAIN!$B536, ""), "", ""&amp;MAIN!$D536)</f>
        <v/>
      </c>
      <c r="G536" s="2">
        <f t="shared" si="8"/>
        <v>25000000000533</v>
      </c>
    </row>
    <row r="537" spans="2:7" x14ac:dyDescent="0.2">
      <c r="B537" s="35">
        <f>IF(EXACT(MAIN!$H537, ""), "", MAIN!$G537)</f>
        <v>32000000000534</v>
      </c>
      <c r="C537" s="39">
        <f>IF(EXACT(MAIN!$H537, ""), "", MAIN!$B537)</f>
        <v>25000000000534</v>
      </c>
      <c r="D537" s="38" t="str">
        <f>IF(EXACT(MAIN!$H537, ""), "", MAIN!$C537)</f>
        <v>Novizan</v>
      </c>
      <c r="E537" s="39" t="str">
        <f>IF(EXACT(MAIN!$B537, ""), "", ""&amp;MAIN!$D537)</f>
        <v>291121956</v>
      </c>
      <c r="G537" s="2">
        <f t="shared" si="8"/>
        <v>25000000000534</v>
      </c>
    </row>
    <row r="538" spans="2:7" x14ac:dyDescent="0.2">
      <c r="B538" s="35">
        <f>IF(EXACT(MAIN!$H538, ""), "", MAIN!$G538)</f>
        <v>32000000000535</v>
      </c>
      <c r="C538" s="39">
        <f>IF(EXACT(MAIN!$H538, ""), "", MAIN!$B538)</f>
        <v>25000000000535</v>
      </c>
      <c r="D538" s="38" t="str">
        <f>IF(EXACT(MAIN!$H538, ""), "", MAIN!$C538)</f>
        <v>Oqi Suhaqi Yunus</v>
      </c>
      <c r="E538" s="39" t="str">
        <f>IF(EXACT(MAIN!$B538, ""), "", ""&amp;MAIN!$D538)</f>
        <v/>
      </c>
      <c r="G538" s="2">
        <f t="shared" si="8"/>
        <v>25000000000535</v>
      </c>
    </row>
    <row r="539" spans="2:7" x14ac:dyDescent="0.2">
      <c r="B539" s="35">
        <f>IF(EXACT(MAIN!$H539, ""), "", MAIN!$G539)</f>
        <v>32000000000536</v>
      </c>
      <c r="C539" s="39">
        <f>IF(EXACT(MAIN!$H539, ""), "", MAIN!$B539)</f>
        <v>25000000000536</v>
      </c>
      <c r="D539" s="38" t="str">
        <f>IF(EXACT(MAIN!$H539, ""), "", MAIN!$C539)</f>
        <v>Restu Dwi Anjayani</v>
      </c>
      <c r="E539" s="39" t="str">
        <f>IF(EXACT(MAIN!$B539, ""), "", ""&amp;MAIN!$D539)</f>
        <v>051023981</v>
      </c>
      <c r="G539" s="2">
        <f t="shared" si="8"/>
        <v>25000000000536</v>
      </c>
    </row>
    <row r="540" spans="2:7" x14ac:dyDescent="0.2">
      <c r="B540" s="35">
        <f>IF(EXACT(MAIN!$H540, ""), "", MAIN!$G540)</f>
        <v>32000000000537</v>
      </c>
      <c r="C540" s="39">
        <f>IF(EXACT(MAIN!$H540, ""), "", MAIN!$B540)</f>
        <v>25000000000537</v>
      </c>
      <c r="D540" s="38" t="str">
        <f>IF(EXACT(MAIN!$H540, ""), "", MAIN!$C540)</f>
        <v>Rizal Amri</v>
      </c>
      <c r="E540" s="39" t="str">
        <f>IF(EXACT(MAIN!$B540, ""), "", ""&amp;MAIN!$D540)</f>
        <v>211222971</v>
      </c>
      <c r="G540" s="2">
        <f t="shared" si="8"/>
        <v>25000000000537</v>
      </c>
    </row>
    <row r="541" spans="2:7" x14ac:dyDescent="0.2">
      <c r="B541" s="35">
        <f>IF(EXACT(MAIN!$H541, ""), "", MAIN!$G541)</f>
        <v>32000000000538</v>
      </c>
      <c r="C541" s="39">
        <f>IF(EXACT(MAIN!$H541, ""), "", MAIN!$B541)</f>
        <v>25000000000538</v>
      </c>
      <c r="D541" s="38" t="str">
        <f>IF(EXACT(MAIN!$H541, ""), "", MAIN!$C541)</f>
        <v>Ronny Anindika Arnold</v>
      </c>
      <c r="E541" s="39" t="str">
        <f>IF(EXACT(MAIN!$B541, ""), "", ""&amp;MAIN!$D541)</f>
        <v/>
      </c>
      <c r="G541" s="2">
        <f t="shared" si="8"/>
        <v>25000000000538</v>
      </c>
    </row>
    <row r="542" spans="2:7" x14ac:dyDescent="0.2">
      <c r="B542" s="35">
        <f>IF(EXACT(MAIN!$H542, ""), "", MAIN!$G542)</f>
        <v>32000000000539</v>
      </c>
      <c r="C542" s="39">
        <f>IF(EXACT(MAIN!$H542, ""), "", MAIN!$B542)</f>
        <v>25000000000539</v>
      </c>
      <c r="D542" s="38" t="str">
        <f>IF(EXACT(MAIN!$H542, ""), "", MAIN!$C542)</f>
        <v>Samta Harahap</v>
      </c>
      <c r="E542" s="39" t="str">
        <f>IF(EXACT(MAIN!$B542, ""), "", ""&amp;MAIN!$D542)</f>
        <v/>
      </c>
      <c r="G542" s="2">
        <f t="shared" si="8"/>
        <v>25000000000539</v>
      </c>
    </row>
    <row r="543" spans="2:7" x14ac:dyDescent="0.2">
      <c r="B543" s="35">
        <f>IF(EXACT(MAIN!$H543, ""), "", MAIN!$G543)</f>
        <v>32000000000540</v>
      </c>
      <c r="C543" s="39">
        <f>IF(EXACT(MAIN!$H543, ""), "", MAIN!$B543)</f>
        <v>25000000000540</v>
      </c>
      <c r="D543" s="38" t="str">
        <f>IF(EXACT(MAIN!$H543, ""), "", MAIN!$C543)</f>
        <v>Vingky Hendriek Yomerlin</v>
      </c>
      <c r="E543" s="39" t="str">
        <f>IF(EXACT(MAIN!$B543, ""), "", ""&amp;MAIN!$D543)</f>
        <v>131221957</v>
      </c>
      <c r="G543" s="2">
        <f t="shared" si="8"/>
        <v>25000000000540</v>
      </c>
    </row>
    <row r="544" spans="2:7" x14ac:dyDescent="0.2">
      <c r="B544" s="35">
        <f>IF(EXACT(MAIN!$H544, ""), "", MAIN!$G544)</f>
        <v>32000000000541</v>
      </c>
      <c r="C544" s="39">
        <f>IF(EXACT(MAIN!$H544, ""), "", MAIN!$B544)</f>
        <v>25000000000541</v>
      </c>
      <c r="D544" s="38" t="str">
        <f>IF(EXACT(MAIN!$H544, ""), "", MAIN!$C544)</f>
        <v>Wahyu Teluk Naga</v>
      </c>
      <c r="E544" s="39" t="str">
        <f>IF(EXACT(MAIN!$B544, ""), "", ""&amp;MAIN!$D544)</f>
        <v/>
      </c>
      <c r="G544" s="2">
        <f t="shared" si="8"/>
        <v>25000000000541</v>
      </c>
    </row>
    <row r="545" spans="2:8" x14ac:dyDescent="0.2">
      <c r="B545" s="35">
        <f>IF(EXACT(MAIN!$H545, ""), "", MAIN!$G545)</f>
        <v>32000000000542</v>
      </c>
      <c r="C545" s="39">
        <f>IF(EXACT(MAIN!$H545, ""), "", MAIN!$B545)</f>
        <v>25000000000542</v>
      </c>
      <c r="D545" s="38" t="str">
        <f>IF(EXACT(MAIN!$H545, ""), "", MAIN!$C545)</f>
        <v>Wardah Laily Khoiriyah</v>
      </c>
      <c r="E545" s="39" t="str">
        <f>IF(EXACT(MAIN!$B545, ""), "", ""&amp;MAIN!$D545)</f>
        <v>240122958</v>
      </c>
      <c r="G545" s="2">
        <f t="shared" si="8"/>
        <v>25000000000542</v>
      </c>
    </row>
    <row r="546" spans="2:8" x14ac:dyDescent="0.2">
      <c r="B546" s="35">
        <f>IF(EXACT(MAIN!$H546, ""), "", MAIN!$G546)</f>
        <v>32000000000543</v>
      </c>
      <c r="C546" s="39">
        <f>IF(EXACT(MAIN!$H546, ""), "", MAIN!$B546)</f>
        <v>25000000000543</v>
      </c>
      <c r="D546" s="38" t="str">
        <f>IF(EXACT(MAIN!$H546, ""), "", MAIN!$C546)</f>
        <v>Wawan Kusworo</v>
      </c>
      <c r="E546" s="39" t="str">
        <f>IF(EXACT(MAIN!$B546, ""), "", ""&amp;MAIN!$D546)</f>
        <v/>
      </c>
      <c r="G546" s="2">
        <f t="shared" si="8"/>
        <v>25000000000543</v>
      </c>
    </row>
    <row r="547" spans="2:8" x14ac:dyDescent="0.2">
      <c r="B547" s="35">
        <f>IF(EXACT(MAIN!$H547, ""), "", MAIN!$G547)</f>
        <v>32000000000544</v>
      </c>
      <c r="C547" s="39">
        <f>IF(EXACT(MAIN!$H547, ""), "", MAIN!$B547)</f>
        <v>25000000000544</v>
      </c>
      <c r="D547" s="38" t="str">
        <f>IF(EXACT(MAIN!$H547, ""), "", MAIN!$C547)</f>
        <v>Wulanraniasih</v>
      </c>
      <c r="E547" s="39" t="str">
        <f>IF(EXACT(MAIN!$B547, ""), "", ""&amp;MAIN!$D547)</f>
        <v>180822966</v>
      </c>
      <c r="G547" s="2">
        <f t="shared" si="8"/>
        <v>25000000000544</v>
      </c>
    </row>
    <row r="548" spans="2:8" x14ac:dyDescent="0.2">
      <c r="B548" s="35">
        <f>IF(EXACT(MAIN!$H548, ""), "", MAIN!$G548)</f>
        <v>32000000000545</v>
      </c>
      <c r="C548" s="39">
        <f>IF(EXACT(MAIN!$H548, ""), "", MAIN!$B548)</f>
        <v>25000000000545</v>
      </c>
      <c r="D548" s="38" t="str">
        <f>IF(EXACT(MAIN!$H548, ""), "", MAIN!$C548)</f>
        <v>Yogi Perbangkara</v>
      </c>
      <c r="E548" s="39" t="str">
        <f>IF(EXACT(MAIN!$B548, ""), "", ""&amp;MAIN!$D548)</f>
        <v>260123977</v>
      </c>
      <c r="G548" s="2">
        <f t="shared" si="8"/>
        <v>25000000000545</v>
      </c>
      <c r="H548" s="7"/>
    </row>
    <row r="549" spans="2:8" x14ac:dyDescent="0.2">
      <c r="B549" s="35">
        <f>IF(EXACT(MAIN!$H549, ""), "", MAIN!$G549)</f>
        <v>32000000000546</v>
      </c>
      <c r="C549" s="39">
        <f>IF(EXACT(MAIN!$H549, ""), "", MAIN!$B549)</f>
        <v>25000000000546</v>
      </c>
      <c r="D549" s="38" t="str">
        <f>IF(EXACT(MAIN!$H549, ""), "", MAIN!$C549)</f>
        <v>Yusuf Fathurahman</v>
      </c>
      <c r="E549" s="39" t="str">
        <f>IF(EXACT(MAIN!$B549, ""), "", ""&amp;MAIN!$D549)</f>
        <v/>
      </c>
      <c r="G549" s="2">
        <f t="shared" si="8"/>
        <v>25000000000546</v>
      </c>
    </row>
    <row r="550" spans="2:8" x14ac:dyDescent="0.2">
      <c r="B550" s="35">
        <f>IF(EXACT(MAIN!$H550, ""), "", MAIN!$G550)</f>
        <v>32000000000547</v>
      </c>
      <c r="C550" s="39">
        <f>IF(EXACT(MAIN!$H550, ""), "", MAIN!$B550)</f>
        <v>25000000000547</v>
      </c>
      <c r="D550" s="38" t="str">
        <f>IF(EXACT(MAIN!$H550, ""), "", MAIN!$C550)</f>
        <v>Zeinurani</v>
      </c>
      <c r="E550" s="39" t="str">
        <f>IF(EXACT(MAIN!$B550, ""), "", ""&amp;MAIN!$D550)</f>
        <v>271222973</v>
      </c>
      <c r="G550" s="2">
        <f t="shared" si="8"/>
        <v>25000000000547</v>
      </c>
    </row>
    <row r="551" spans="2:8" x14ac:dyDescent="0.2">
      <c r="B551" s="35">
        <f>IF(EXACT(MAIN!$H551, ""), "", MAIN!$G551)</f>
        <v>32000000000548</v>
      </c>
      <c r="C551" s="39">
        <f>IF(EXACT(MAIN!$H551, ""), "", MAIN!$B551)</f>
        <v>25000000000548</v>
      </c>
      <c r="D551" s="38" t="str">
        <f>IF(EXACT(MAIN!$H551, ""), "", MAIN!$C551)</f>
        <v>Sulaeman</v>
      </c>
      <c r="E551" s="39" t="str">
        <f>IF(EXACT(MAIN!$B551, ""), "", ""&amp;MAIN!$D551)</f>
        <v>020123976</v>
      </c>
      <c r="G551" s="2">
        <f t="shared" si="8"/>
        <v>25000000000548</v>
      </c>
    </row>
    <row r="552" spans="2:8" x14ac:dyDescent="0.2">
      <c r="B552" s="35">
        <f>IF(EXACT(MAIN!$H552, ""), "", MAIN!$G552)</f>
        <v>32000000000549</v>
      </c>
      <c r="C552" s="39">
        <f>IF(EXACT(MAIN!$H552, ""), "", MAIN!$B552)</f>
        <v>25000000000549</v>
      </c>
      <c r="D552" s="38" t="str">
        <f>IF(EXACT(MAIN!$H552, ""), "", MAIN!$C552)</f>
        <v>Agus Nuryadi</v>
      </c>
      <c r="E552" s="39" t="str">
        <f>IF(EXACT(MAIN!$B552, ""), "", ""&amp;MAIN!$D552)</f>
        <v>311022972</v>
      </c>
      <c r="G552" s="2">
        <f t="shared" si="8"/>
        <v>25000000000549</v>
      </c>
    </row>
    <row r="553" spans="2:8" x14ac:dyDescent="0.2">
      <c r="B553" s="35">
        <f>IF(EXACT(MAIN!$H553, ""), "", MAIN!$G553)</f>
        <v>32000000000550</v>
      </c>
      <c r="C553" s="39">
        <f>IF(EXACT(MAIN!$H553, ""), "", MAIN!$B553)</f>
        <v>25000000000550</v>
      </c>
      <c r="D553" s="38" t="str">
        <f>IF(EXACT(MAIN!$H553, ""), "", MAIN!$C553)</f>
        <v>Dian Tri Rahmawati</v>
      </c>
      <c r="E553" s="39" t="str">
        <f>IF(EXACT(MAIN!$B553, ""), "", ""&amp;MAIN!$D553)</f>
        <v>031022970</v>
      </c>
      <c r="G553" s="2">
        <f t="shared" si="8"/>
        <v>25000000000550</v>
      </c>
    </row>
    <row r="554" spans="2:8" x14ac:dyDescent="0.2">
      <c r="B554" s="35">
        <f>IF(EXACT(MAIN!$H554, ""), "", MAIN!$G554)</f>
        <v>32000000000551</v>
      </c>
      <c r="C554" s="39">
        <f>IF(EXACT(MAIN!$H554, ""), "", MAIN!$B554)</f>
        <v>25000000000551</v>
      </c>
      <c r="D554" s="38" t="str">
        <f>IF(EXACT(MAIN!$H554, ""), "", MAIN!$C554)</f>
        <v>Langgeng Eko Dwiantoro</v>
      </c>
      <c r="E554" s="39" t="str">
        <f>IF(EXACT(MAIN!$B554, ""), "", ""&amp;MAIN!$D554)</f>
        <v>050422961</v>
      </c>
      <c r="G554" s="2">
        <f t="shared" si="8"/>
        <v>25000000000551</v>
      </c>
    </row>
    <row r="555" spans="2:8" x14ac:dyDescent="0.2">
      <c r="B555" s="35">
        <f>IF(EXACT(MAIN!$H555, ""), "", MAIN!$G555)</f>
        <v>32000000000552</v>
      </c>
      <c r="C555" s="39">
        <f>IF(EXACT(MAIN!$H555, ""), "", MAIN!$B555)</f>
        <v>25000000000552</v>
      </c>
      <c r="D555" s="38" t="str">
        <f>IF(EXACT(MAIN!$H555, ""), "", MAIN!$C555)</f>
        <v>Aldi Rizaldi</v>
      </c>
      <c r="E555" s="39" t="str">
        <f>IF(EXACT(MAIN!$B555, ""), "", ""&amp;MAIN!$D555)</f>
        <v>110121943</v>
      </c>
      <c r="G555" s="2">
        <f t="shared" si="8"/>
        <v>25000000000552</v>
      </c>
    </row>
    <row r="556" spans="2:8" x14ac:dyDescent="0.2">
      <c r="B556" s="35">
        <f>IF(EXACT(MAIN!$H556, ""), "", MAIN!$G556)</f>
        <v>32000000000553</v>
      </c>
      <c r="C556" s="39">
        <f>IF(EXACT(MAIN!$H556, ""), "", MAIN!$B556)</f>
        <v>25000000000553</v>
      </c>
      <c r="D556" s="38" t="str">
        <f>IF(EXACT(MAIN!$H556, ""), "", MAIN!$C556)</f>
        <v>Masimin</v>
      </c>
      <c r="E556" s="39" t="str">
        <f>IF(EXACT(MAIN!$B556, ""), "", ""&amp;MAIN!$D556)</f>
        <v>010803042</v>
      </c>
      <c r="G556" s="2">
        <f t="shared" si="8"/>
        <v>25000000000553</v>
      </c>
    </row>
    <row r="557" spans="2:8" x14ac:dyDescent="0.2">
      <c r="B557" s="35">
        <f>IF(EXACT(MAIN!$H557, ""), "", MAIN!$G557)</f>
        <v>32000000000554</v>
      </c>
      <c r="C557" s="39">
        <f>IF(EXACT(MAIN!$H557, ""), "", MAIN!$B557)</f>
        <v>25000000000554</v>
      </c>
      <c r="D557" s="38" t="str">
        <f>IF(EXACT(MAIN!$H557, ""), "", MAIN!$C557)</f>
        <v>Santoso Dwi Cahyo</v>
      </c>
      <c r="E557" s="39" t="str">
        <f>IF(EXACT(MAIN!$B557, ""), "", ""&amp;MAIN!$D557)</f>
        <v/>
      </c>
      <c r="G557" s="2">
        <f t="shared" si="8"/>
        <v>25000000000554</v>
      </c>
    </row>
    <row r="558" spans="2:8" x14ac:dyDescent="0.2">
      <c r="B558" s="35">
        <f>IF(EXACT(MAIN!$H558, ""), "", MAIN!$G558)</f>
        <v>32000000000555</v>
      </c>
      <c r="C558" s="39">
        <f>IF(EXACT(MAIN!$H558, ""), "", MAIN!$B558)</f>
        <v>25000000000555</v>
      </c>
      <c r="D558" s="38" t="str">
        <f>IF(EXACT(MAIN!$H558, ""), "", MAIN!$C558)</f>
        <v>Wartono</v>
      </c>
      <c r="E558" s="39" t="str">
        <f>IF(EXACT(MAIN!$B558, ""), "", ""&amp;MAIN!$D558)</f>
        <v/>
      </c>
      <c r="G558" s="2">
        <f t="shared" si="8"/>
        <v>25000000000555</v>
      </c>
    </row>
    <row r="559" spans="2:8" x14ac:dyDescent="0.2">
      <c r="B559" s="35">
        <f>IF(EXACT(MAIN!$H559, ""), "", MAIN!$G559)</f>
        <v>32000000000556</v>
      </c>
      <c r="C559" s="39">
        <f>IF(EXACT(MAIN!$H559, ""), "", MAIN!$B559)</f>
        <v>25000000000556</v>
      </c>
      <c r="D559" s="38" t="str">
        <f>IF(EXACT(MAIN!$H559, ""), "", MAIN!$C559)</f>
        <v>Yusarman</v>
      </c>
      <c r="E559" s="39" t="str">
        <f>IF(EXACT(MAIN!$B559, ""), "", ""&amp;MAIN!$D559)</f>
        <v/>
      </c>
      <c r="G559" s="2">
        <f t="shared" si="8"/>
        <v>25000000000556</v>
      </c>
    </row>
    <row r="560" spans="2:8" x14ac:dyDescent="0.2">
      <c r="B560" s="35">
        <f>IF(EXACT(MAIN!$H560, ""), "", MAIN!$G560)</f>
        <v>32000000000557</v>
      </c>
      <c r="C560" s="39">
        <f>IF(EXACT(MAIN!$H560, ""), "", MAIN!$B560)</f>
        <v>25000000000557</v>
      </c>
      <c r="D560" s="38" t="str">
        <f>IF(EXACT(MAIN!$H560, ""), "", MAIN!$C560)</f>
        <v>Abdul Rachman</v>
      </c>
      <c r="E560" s="39" t="str">
        <f>IF(EXACT(MAIN!$B560, ""), "", ""&amp;MAIN!$D560)</f>
        <v/>
      </c>
      <c r="G560" s="2">
        <f t="shared" si="8"/>
        <v>25000000000557</v>
      </c>
    </row>
    <row r="561" spans="2:7" x14ac:dyDescent="0.2">
      <c r="B561" s="35">
        <f>IF(EXACT(MAIN!$H561, ""), "", MAIN!$G561)</f>
        <v>32000000000558</v>
      </c>
      <c r="C561" s="39">
        <f>IF(EXACT(MAIN!$H561, ""), "", MAIN!$B561)</f>
        <v>25000000000558</v>
      </c>
      <c r="D561" s="38" t="str">
        <f>IF(EXACT(MAIN!$H561, ""), "", MAIN!$C561)</f>
        <v>Aden Bagus</v>
      </c>
      <c r="E561" s="39" t="str">
        <f>IF(EXACT(MAIN!$B561, ""), "", ""&amp;MAIN!$D561)</f>
        <v/>
      </c>
      <c r="G561" s="2">
        <f t="shared" si="8"/>
        <v>25000000000558</v>
      </c>
    </row>
    <row r="562" spans="2:7" x14ac:dyDescent="0.2">
      <c r="B562" s="35">
        <f>IF(EXACT(MAIN!$H562, ""), "", MAIN!$G562)</f>
        <v>32000000000559</v>
      </c>
      <c r="C562" s="39">
        <f>IF(EXACT(MAIN!$H562, ""), "", MAIN!$B562)</f>
        <v>25000000000559</v>
      </c>
      <c r="D562" s="38" t="str">
        <f>IF(EXACT(MAIN!$H562, ""), "", MAIN!$C562)</f>
        <v>Adhe Kurniawan</v>
      </c>
      <c r="E562" s="39" t="str">
        <f>IF(EXACT(MAIN!$B562, ""), "", ""&amp;MAIN!$D562)</f>
        <v>010224985</v>
      </c>
      <c r="G562" s="2">
        <f t="shared" si="8"/>
        <v>25000000000559</v>
      </c>
    </row>
    <row r="563" spans="2:7" x14ac:dyDescent="0.2">
      <c r="B563" s="35">
        <f>IF(EXACT(MAIN!$H563, ""), "", MAIN!$G563)</f>
        <v>32000000000560</v>
      </c>
      <c r="C563" s="39">
        <f>IF(EXACT(MAIN!$H563, ""), "", MAIN!$B563)</f>
        <v>25000000000560</v>
      </c>
      <c r="D563" s="38" t="str">
        <f>IF(EXACT(MAIN!$H563, ""), "", MAIN!$C563)</f>
        <v>Ahmad Fauzi</v>
      </c>
      <c r="E563" s="39" t="str">
        <f>IF(EXACT(MAIN!$B563, ""), "", ""&amp;MAIN!$D563)</f>
        <v/>
      </c>
      <c r="G563" s="2">
        <f t="shared" si="8"/>
        <v>25000000000560</v>
      </c>
    </row>
    <row r="564" spans="2:7" x14ac:dyDescent="0.2">
      <c r="B564" s="35">
        <f>IF(EXACT(MAIN!$H564, ""), "", MAIN!$G564)</f>
        <v>32000000000561</v>
      </c>
      <c r="C564" s="39">
        <f>IF(EXACT(MAIN!$H564, ""), "", MAIN!$B564)</f>
        <v>25000000000561</v>
      </c>
      <c r="D564" s="38" t="str">
        <f>IF(EXACT(MAIN!$H564, ""), "", MAIN!$C564)</f>
        <v>Ahmad Gunawan</v>
      </c>
      <c r="E564" s="39" t="str">
        <f>IF(EXACT(MAIN!$B564, ""), "", ""&amp;MAIN!$D564)</f>
        <v/>
      </c>
      <c r="G564" s="2">
        <f t="shared" si="8"/>
        <v>25000000000561</v>
      </c>
    </row>
    <row r="565" spans="2:7" x14ac:dyDescent="0.2">
      <c r="B565" s="35">
        <f>IF(EXACT(MAIN!$H565, ""), "", MAIN!$G565)</f>
        <v>32000000000562</v>
      </c>
      <c r="C565" s="39">
        <f>IF(EXACT(MAIN!$H565, ""), "", MAIN!$B565)</f>
        <v>25000000000562</v>
      </c>
      <c r="D565" s="38" t="str">
        <f>IF(EXACT(MAIN!$H565, ""), "", MAIN!$C565)</f>
        <v>Andri Andriyan</v>
      </c>
      <c r="E565" s="39" t="str">
        <f>IF(EXACT(MAIN!$B565, ""), "", ""&amp;MAIN!$D565)</f>
        <v/>
      </c>
      <c r="G565" s="2">
        <f t="shared" si="8"/>
        <v>25000000000562</v>
      </c>
    </row>
    <row r="566" spans="2:7" x14ac:dyDescent="0.2">
      <c r="B566" s="35">
        <f>IF(EXACT(MAIN!$H566, ""), "", MAIN!$G566)</f>
        <v>32000000000563</v>
      </c>
      <c r="C566" s="39">
        <f>IF(EXACT(MAIN!$H566, ""), "", MAIN!$B566)</f>
        <v>25000000000563</v>
      </c>
      <c r="D566" s="38" t="str">
        <f>IF(EXACT(MAIN!$H566, ""), "", MAIN!$C566)</f>
        <v>Budi Sulistianto</v>
      </c>
      <c r="E566" s="39" t="str">
        <f>IF(EXACT(MAIN!$B566, ""), "", ""&amp;MAIN!$D566)</f>
        <v/>
      </c>
      <c r="G566" s="2">
        <f t="shared" si="8"/>
        <v>25000000000563</v>
      </c>
    </row>
    <row r="567" spans="2:7" x14ac:dyDescent="0.2">
      <c r="B567" s="35">
        <f>IF(EXACT(MAIN!$H567, ""), "", MAIN!$G567)</f>
        <v>32000000000564</v>
      </c>
      <c r="C567" s="39">
        <f>IF(EXACT(MAIN!$H567, ""), "", MAIN!$B567)</f>
        <v>25000000000564</v>
      </c>
      <c r="D567" s="38" t="str">
        <f>IF(EXACT(MAIN!$H567, ""), "", MAIN!$C567)</f>
        <v>Eka Budi</v>
      </c>
      <c r="E567" s="39" t="str">
        <f>IF(EXACT(MAIN!$B567, ""), "", ""&amp;MAIN!$D567)</f>
        <v/>
      </c>
      <c r="G567" s="2">
        <f t="shared" si="8"/>
        <v>25000000000564</v>
      </c>
    </row>
    <row r="568" spans="2:7" x14ac:dyDescent="0.2">
      <c r="B568" s="35">
        <f>IF(EXACT(MAIN!$H568, ""), "", MAIN!$G568)</f>
        <v>32000000000565</v>
      </c>
      <c r="C568" s="39">
        <f>IF(EXACT(MAIN!$H568, ""), "", MAIN!$B568)</f>
        <v>25000000000565</v>
      </c>
      <c r="D568" s="38" t="str">
        <f>IF(EXACT(MAIN!$H568, ""), "", MAIN!$C568)</f>
        <v>Haerul Gunawan</v>
      </c>
      <c r="E568" s="39" t="str">
        <f>IF(EXACT(MAIN!$B568, ""), "", ""&amp;MAIN!$D568)</f>
        <v/>
      </c>
      <c r="G568" s="2">
        <f t="shared" si="8"/>
        <v>25000000000565</v>
      </c>
    </row>
    <row r="569" spans="2:7" x14ac:dyDescent="0.2">
      <c r="B569" s="35">
        <f>IF(EXACT(MAIN!$H569, ""), "", MAIN!$G569)</f>
        <v>32000000000566</v>
      </c>
      <c r="C569" s="39">
        <f>IF(EXACT(MAIN!$H569, ""), "", MAIN!$B569)</f>
        <v>25000000000566</v>
      </c>
      <c r="D569" s="38" t="str">
        <f>IF(EXACT(MAIN!$H569, ""), "", MAIN!$C569)</f>
        <v>Irvan Agus</v>
      </c>
      <c r="E569" s="39" t="str">
        <f>IF(EXACT(MAIN!$B569, ""), "", ""&amp;MAIN!$D569)</f>
        <v/>
      </c>
      <c r="G569" s="2">
        <f t="shared" si="8"/>
        <v>25000000000566</v>
      </c>
    </row>
    <row r="570" spans="2:7" x14ac:dyDescent="0.2">
      <c r="B570" s="35">
        <f>IF(EXACT(MAIN!$H570, ""), "", MAIN!$G570)</f>
        <v>32000000000567</v>
      </c>
      <c r="C570" s="39">
        <f>IF(EXACT(MAIN!$H570, ""), "", MAIN!$B570)</f>
        <v>25000000000567</v>
      </c>
      <c r="D570" s="38" t="str">
        <f>IF(EXACT(MAIN!$H570, ""), "", MAIN!$C570)</f>
        <v>Joshika Pradirga</v>
      </c>
      <c r="E570" s="39" t="str">
        <f>IF(EXACT(MAIN!$B570, ""), "", ""&amp;MAIN!$D570)</f>
        <v/>
      </c>
      <c r="G570" s="2">
        <f t="shared" si="8"/>
        <v>25000000000567</v>
      </c>
    </row>
    <row r="571" spans="2:7" x14ac:dyDescent="0.2">
      <c r="B571" s="35">
        <f>IF(EXACT(MAIN!$H571, ""), "", MAIN!$G571)</f>
        <v>32000000000568</v>
      </c>
      <c r="C571" s="39">
        <f>IF(EXACT(MAIN!$H571, ""), "", MAIN!$B571)</f>
        <v>25000000000568</v>
      </c>
      <c r="D571" s="38" t="str">
        <f>IF(EXACT(MAIN!$H571, ""), "", MAIN!$C571)</f>
        <v>Khaidir</v>
      </c>
      <c r="E571" s="39" t="str">
        <f>IF(EXACT(MAIN!$B571, ""), "", ""&amp;MAIN!$D571)</f>
        <v/>
      </c>
      <c r="G571" s="2">
        <f t="shared" si="8"/>
        <v>25000000000568</v>
      </c>
    </row>
    <row r="572" spans="2:7" x14ac:dyDescent="0.2">
      <c r="B572" s="35">
        <f>IF(EXACT(MAIN!$H572, ""), "", MAIN!$G572)</f>
        <v>32000000000569</v>
      </c>
      <c r="C572" s="39">
        <f>IF(EXACT(MAIN!$H572, ""), "", MAIN!$B572)</f>
        <v>25000000000569</v>
      </c>
      <c r="D572" s="38" t="str">
        <f>IF(EXACT(MAIN!$H572, ""), "", MAIN!$C572)</f>
        <v>Latip Muhlanto</v>
      </c>
      <c r="E572" s="39" t="str">
        <f>IF(EXACT(MAIN!$B572, ""), "", ""&amp;MAIN!$D572)</f>
        <v/>
      </c>
      <c r="G572" s="2">
        <f t="shared" si="8"/>
        <v>25000000000569</v>
      </c>
    </row>
    <row r="573" spans="2:7" x14ac:dyDescent="0.2">
      <c r="B573" s="35">
        <f>IF(EXACT(MAIN!$H573, ""), "", MAIN!$G573)</f>
        <v>32000000000570</v>
      </c>
      <c r="C573" s="39">
        <f>IF(EXACT(MAIN!$H573, ""), "", MAIN!$B573)</f>
        <v>25000000000570</v>
      </c>
      <c r="D573" s="38" t="str">
        <f>IF(EXACT(MAIN!$H573, ""), "", MAIN!$C573)</f>
        <v>Leonardo Putra</v>
      </c>
      <c r="E573" s="39" t="str">
        <f>IF(EXACT(MAIN!$B573, ""), "", ""&amp;MAIN!$D573)</f>
        <v/>
      </c>
      <c r="G573" s="2">
        <f t="shared" si="8"/>
        <v>25000000000570</v>
      </c>
    </row>
    <row r="574" spans="2:7" x14ac:dyDescent="0.2">
      <c r="B574" s="35">
        <f>IF(EXACT(MAIN!$H574, ""), "", MAIN!$G574)</f>
        <v>32000000000571</v>
      </c>
      <c r="C574" s="39">
        <f>IF(EXACT(MAIN!$H574, ""), "", MAIN!$B574)</f>
        <v>25000000000571</v>
      </c>
      <c r="D574" s="38" t="str">
        <f>IF(EXACT(MAIN!$H574, ""), "", MAIN!$C574)</f>
        <v>Muhammad Ramadani</v>
      </c>
      <c r="E574" s="39" t="str">
        <f>IF(EXACT(MAIN!$B574, ""), "", ""&amp;MAIN!$D574)</f>
        <v/>
      </c>
      <c r="G574" s="2">
        <f t="shared" si="8"/>
        <v>25000000000571</v>
      </c>
    </row>
    <row r="575" spans="2:7" x14ac:dyDescent="0.2">
      <c r="B575" s="35">
        <f>IF(EXACT(MAIN!$H575, ""), "", MAIN!$G575)</f>
        <v>32000000000572</v>
      </c>
      <c r="C575" s="39">
        <f>IF(EXACT(MAIN!$H575, ""), "", MAIN!$B575)</f>
        <v>25000000000572</v>
      </c>
      <c r="D575" s="38" t="str">
        <f>IF(EXACT(MAIN!$H575, ""), "", MAIN!$C575)</f>
        <v>Musdalipa</v>
      </c>
      <c r="E575" s="39" t="str">
        <f>IF(EXACT(MAIN!$B575, ""), "", ""&amp;MAIN!$D575)</f>
        <v/>
      </c>
      <c r="G575" s="2">
        <f t="shared" si="8"/>
        <v>25000000000572</v>
      </c>
    </row>
    <row r="576" spans="2:7" x14ac:dyDescent="0.2">
      <c r="B576" s="35">
        <f>IF(EXACT(MAIN!$H576, ""), "", MAIN!$G576)</f>
        <v>32000000000573</v>
      </c>
      <c r="C576" s="39">
        <f>IF(EXACT(MAIN!$H576, ""), "", MAIN!$B576)</f>
        <v>25000000000573</v>
      </c>
      <c r="D576" s="38" t="str">
        <f>IF(EXACT(MAIN!$H576, ""), "", MAIN!$C576)</f>
        <v>Nico Melky</v>
      </c>
      <c r="E576" s="39" t="str">
        <f>IF(EXACT(MAIN!$B576, ""), "", ""&amp;MAIN!$D576)</f>
        <v/>
      </c>
      <c r="G576" s="2">
        <f t="shared" si="8"/>
        <v>25000000000573</v>
      </c>
    </row>
    <row r="577" spans="2:7" x14ac:dyDescent="0.2">
      <c r="B577" s="35">
        <f>IF(EXACT(MAIN!$H577, ""), "", MAIN!$G577)</f>
        <v>32000000000574</v>
      </c>
      <c r="C577" s="39">
        <f>IF(EXACT(MAIN!$H577, ""), "", MAIN!$B577)</f>
        <v>25000000000574</v>
      </c>
      <c r="D577" s="38" t="str">
        <f>IF(EXACT(MAIN!$H577, ""), "", MAIN!$C577)</f>
        <v>Rahmata Novanisa</v>
      </c>
      <c r="E577" s="39" t="str">
        <f>IF(EXACT(MAIN!$B577, ""), "", ""&amp;MAIN!$D577)</f>
        <v>230924993</v>
      </c>
      <c r="G577" s="2">
        <f t="shared" si="8"/>
        <v>25000000000574</v>
      </c>
    </row>
    <row r="578" spans="2:7" x14ac:dyDescent="0.2">
      <c r="B578" s="35">
        <f>IF(EXACT(MAIN!$H578, ""), "", MAIN!$G578)</f>
        <v>32000000000575</v>
      </c>
      <c r="C578" s="39">
        <f>IF(EXACT(MAIN!$H578, ""), "", MAIN!$B578)</f>
        <v>25000000000575</v>
      </c>
      <c r="D578" s="38" t="str">
        <f>IF(EXACT(MAIN!$H578, ""), "", MAIN!$C578)</f>
        <v>Satrio Dhiaputra</v>
      </c>
      <c r="E578" s="39" t="str">
        <f>IF(EXACT(MAIN!$B578, ""), "", ""&amp;MAIN!$D578)</f>
        <v/>
      </c>
      <c r="G578" s="2">
        <f t="shared" si="8"/>
        <v>25000000000575</v>
      </c>
    </row>
    <row r="579" spans="2:7" x14ac:dyDescent="0.2">
      <c r="B579" s="35">
        <f>IF(EXACT(MAIN!$H579, ""), "", MAIN!$G579)</f>
        <v>32000000000576</v>
      </c>
      <c r="C579" s="39">
        <f>IF(EXACT(MAIN!$H579, ""), "", MAIN!$B579)</f>
        <v>25000000000576</v>
      </c>
      <c r="D579" s="38" t="str">
        <f>IF(EXACT(MAIN!$H579, ""), "", MAIN!$C579)</f>
        <v>Sudirman</v>
      </c>
      <c r="E579" s="39" t="str">
        <f>IF(EXACT(MAIN!$B579, ""), "", ""&amp;MAIN!$D579)</f>
        <v/>
      </c>
      <c r="G579" s="2">
        <f t="shared" si="8"/>
        <v>25000000000576</v>
      </c>
    </row>
    <row r="580" spans="2:7" x14ac:dyDescent="0.2">
      <c r="B580" s="35">
        <f>IF(EXACT(MAIN!$H580, ""), "", MAIN!$G580)</f>
        <v>32000000000577</v>
      </c>
      <c r="C580" s="39">
        <f>IF(EXACT(MAIN!$H580, ""), "", MAIN!$B580)</f>
        <v>25000000000577</v>
      </c>
      <c r="D580" s="38" t="str">
        <f>IF(EXACT(MAIN!$H580, ""), "", MAIN!$C580)</f>
        <v>Suparji</v>
      </c>
      <c r="E580" s="39" t="str">
        <f>IF(EXACT(MAIN!$B580, ""), "", ""&amp;MAIN!$D580)</f>
        <v/>
      </c>
      <c r="G580" s="2">
        <f t="shared" si="8"/>
        <v>25000000000577</v>
      </c>
    </row>
    <row r="581" spans="2:7" x14ac:dyDescent="0.2">
      <c r="B581" s="35">
        <f>IF(EXACT(MAIN!$H581, ""), "", MAIN!$G581)</f>
        <v>32000000000578</v>
      </c>
      <c r="C581" s="39">
        <f>IF(EXACT(MAIN!$H581, ""), "", MAIN!$B581)</f>
        <v>25000000000578</v>
      </c>
      <c r="D581" s="38" t="str">
        <f>IF(EXACT(MAIN!$H581, ""), "", MAIN!$C581)</f>
        <v>Taufik Iskandar</v>
      </c>
      <c r="E581" s="39" t="str">
        <f>IF(EXACT(MAIN!$B581, ""), "", ""&amp;MAIN!$D581)</f>
        <v/>
      </c>
      <c r="G581" s="2">
        <f t="shared" ref="G581:G617" si="9">C581</f>
        <v>25000000000578</v>
      </c>
    </row>
    <row r="582" spans="2:7" x14ac:dyDescent="0.2">
      <c r="B582" s="35">
        <f>IF(EXACT(MAIN!$H582, ""), "", MAIN!$G582)</f>
        <v>32000000000579</v>
      </c>
      <c r="C582" s="39">
        <f>IF(EXACT(MAIN!$H582, ""), "", MAIN!$B582)</f>
        <v>25000000000579</v>
      </c>
      <c r="D582" s="38" t="str">
        <f>IF(EXACT(MAIN!$H582, ""), "", MAIN!$C582)</f>
        <v>Tegar Hersaputra</v>
      </c>
      <c r="E582" s="39" t="str">
        <f>IF(EXACT(MAIN!$B582, ""), "", ""&amp;MAIN!$D582)</f>
        <v>280324989</v>
      </c>
      <c r="G582" s="2">
        <f t="shared" si="9"/>
        <v>25000000000579</v>
      </c>
    </row>
    <row r="583" spans="2:7" x14ac:dyDescent="0.2">
      <c r="B583" s="35">
        <f>IF(EXACT(MAIN!$H583, ""), "", MAIN!$G583)</f>
        <v>32000000000580</v>
      </c>
      <c r="C583" s="39">
        <f>IF(EXACT(MAIN!$H583, ""), "", MAIN!$B583)</f>
        <v>25000000000580</v>
      </c>
      <c r="D583" s="38" t="str">
        <f>IF(EXACT(MAIN!$H583, ""), "", MAIN!$C583)</f>
        <v>Togar Sihombing</v>
      </c>
      <c r="E583" s="39" t="str">
        <f>IF(EXACT(MAIN!$B583, ""), "", ""&amp;MAIN!$D583)</f>
        <v/>
      </c>
      <c r="G583" s="2">
        <f t="shared" si="9"/>
        <v>25000000000580</v>
      </c>
    </row>
    <row r="584" spans="2:7" x14ac:dyDescent="0.2">
      <c r="B584" s="35">
        <f>IF(EXACT(MAIN!$H584, ""), "", MAIN!$G584)</f>
        <v>32000000000581</v>
      </c>
      <c r="C584" s="39">
        <f>IF(EXACT(MAIN!$H584, ""), "", MAIN!$B584)</f>
        <v>25000000000581</v>
      </c>
      <c r="D584" s="38" t="str">
        <f>IF(EXACT(MAIN!$H584, ""), "", MAIN!$C584)</f>
        <v>Wisnu Trenggono Wirayuda</v>
      </c>
      <c r="E584" s="39" t="str">
        <f>IF(EXACT(MAIN!$B584, ""), "", ""&amp;MAIN!$D584)</f>
        <v>150724991</v>
      </c>
      <c r="G584" s="2">
        <f t="shared" si="9"/>
        <v>25000000000581</v>
      </c>
    </row>
    <row r="585" spans="2:7" x14ac:dyDescent="0.2">
      <c r="B585" s="35">
        <f>IF(EXACT(MAIN!$H585, ""), "", MAIN!$G585)</f>
        <v>32000000000582</v>
      </c>
      <c r="C585" s="39">
        <f>IF(EXACT(MAIN!$H585, ""), "", MAIN!$B585)</f>
        <v>25000000000582</v>
      </c>
      <c r="D585" s="38" t="str">
        <f>IF(EXACT(MAIN!$H585, ""), "", MAIN!$C585)</f>
        <v>Yogo</v>
      </c>
      <c r="E585" s="39" t="str">
        <f>IF(EXACT(MAIN!$B585, ""), "", ""&amp;MAIN!$D585)</f>
        <v/>
      </c>
      <c r="G585" s="2">
        <f t="shared" si="9"/>
        <v>25000000000582</v>
      </c>
    </row>
    <row r="586" spans="2:7" x14ac:dyDescent="0.2">
      <c r="B586" s="35">
        <f>IF(EXACT(MAIN!$H586, ""), "", MAIN!$G586)</f>
        <v>32000000000583</v>
      </c>
      <c r="C586" s="39">
        <f>IF(EXACT(MAIN!$H586, ""), "", MAIN!$B586)</f>
        <v>25000000000583</v>
      </c>
      <c r="D586" s="38" t="str">
        <f>IF(EXACT(MAIN!$H586, ""), "", MAIN!$C586)</f>
        <v>Yustiana Firda</v>
      </c>
      <c r="E586" s="39" t="str">
        <f>IF(EXACT(MAIN!$B586, ""), "", ""&amp;MAIN!$D586)</f>
        <v/>
      </c>
      <c r="G586" s="2">
        <f t="shared" si="9"/>
        <v>25000000000583</v>
      </c>
    </row>
    <row r="587" spans="2:7" x14ac:dyDescent="0.2">
      <c r="B587" s="35">
        <f>IF(EXACT(MAIN!$H587, ""), "", MAIN!$G587)</f>
        <v>32000000000584</v>
      </c>
      <c r="C587" s="39">
        <f>IF(EXACT(MAIN!$H587, ""), "", MAIN!$B587)</f>
        <v>25000000000584</v>
      </c>
      <c r="D587" s="38" t="str">
        <f>IF(EXACT(MAIN!$H587, ""), "", MAIN!$C587)</f>
        <v>Zainal Abidin</v>
      </c>
      <c r="E587" s="39" t="str">
        <f>IF(EXACT(MAIN!$B587, ""), "", ""&amp;MAIN!$D587)</f>
        <v/>
      </c>
      <c r="G587" s="2">
        <f t="shared" si="9"/>
        <v>25000000000584</v>
      </c>
    </row>
    <row r="588" spans="2:7" x14ac:dyDescent="0.2">
      <c r="B588" s="35">
        <f>IF(EXACT(MAIN!$H588, ""), "", MAIN!$G588)</f>
        <v>32000000000585</v>
      </c>
      <c r="C588" s="39">
        <f>IF(EXACT(MAIN!$H588, ""), "", MAIN!$B588)</f>
        <v>25000000000585</v>
      </c>
      <c r="D588" s="38" t="str">
        <f>IF(EXACT(MAIN!$H588, ""), "", MAIN!$C588)</f>
        <v>Budi Sandika</v>
      </c>
      <c r="E588" s="39" t="str">
        <f>IF(EXACT(MAIN!$B588, ""), "", ""&amp;MAIN!$D588)</f>
        <v/>
      </c>
      <c r="G588" s="2">
        <f t="shared" si="9"/>
        <v>25000000000585</v>
      </c>
    </row>
    <row r="589" spans="2:7" x14ac:dyDescent="0.2">
      <c r="B589" s="35">
        <f>IF(EXACT(MAIN!$H589, ""), "", MAIN!$G589)</f>
        <v>32000000000586</v>
      </c>
      <c r="C589" s="39">
        <f>IF(EXACT(MAIN!$H589, ""), "", MAIN!$B589)</f>
        <v>25000000000586</v>
      </c>
      <c r="D589" s="38" t="str">
        <f>IF(EXACT(MAIN!$H589, ""), "", MAIN!$C589)</f>
        <v>Fachri Azhar</v>
      </c>
      <c r="E589" s="39" t="str">
        <f>IF(EXACT(MAIN!$B589, ""), "", ""&amp;MAIN!$D589)</f>
        <v/>
      </c>
      <c r="G589" s="2">
        <f t="shared" si="9"/>
        <v>25000000000586</v>
      </c>
    </row>
    <row r="590" spans="2:7" x14ac:dyDescent="0.2">
      <c r="B590" s="35">
        <f>IF(EXACT(MAIN!$H590, ""), "", MAIN!$G590)</f>
        <v>32000000000587</v>
      </c>
      <c r="C590" s="39">
        <f>IF(EXACT(MAIN!$H590, ""), "", MAIN!$B590)</f>
        <v>25000000000587</v>
      </c>
      <c r="D590" s="38" t="str">
        <f>IF(EXACT(MAIN!$H590, ""), "", MAIN!$C590)</f>
        <v>Firmansyah Awaludin</v>
      </c>
      <c r="E590" s="39" t="str">
        <f>IF(EXACT(MAIN!$B590, ""), "", ""&amp;MAIN!$D590)</f>
        <v/>
      </c>
      <c r="G590" s="2">
        <f t="shared" si="9"/>
        <v>25000000000587</v>
      </c>
    </row>
    <row r="591" spans="2:7" x14ac:dyDescent="0.2">
      <c r="B591" s="35">
        <f>IF(EXACT(MAIN!$H591, ""), "", MAIN!$G591)</f>
        <v>32000000000588</v>
      </c>
      <c r="C591" s="39">
        <f>IF(EXACT(MAIN!$H591, ""), "", MAIN!$B591)</f>
        <v>25000000000588</v>
      </c>
      <c r="D591" s="38" t="str">
        <f>IF(EXACT(MAIN!$H591, ""), "", MAIN!$C591)</f>
        <v>Iman Faisal Abdurahman</v>
      </c>
      <c r="E591" s="39" t="str">
        <f>IF(EXACT(MAIN!$B591, ""), "", ""&amp;MAIN!$D591)</f>
        <v>030225999</v>
      </c>
      <c r="G591" s="2">
        <f t="shared" si="9"/>
        <v>25000000000588</v>
      </c>
    </row>
    <row r="592" spans="2:7" x14ac:dyDescent="0.2">
      <c r="B592" s="35">
        <f>IF(EXACT(MAIN!$H592, ""), "", MAIN!$G592)</f>
        <v>32000000000589</v>
      </c>
      <c r="C592" s="39">
        <f>IF(EXACT(MAIN!$H592, ""), "", MAIN!$B592)</f>
        <v>25000000000589</v>
      </c>
      <c r="D592" s="38" t="str">
        <f>IF(EXACT(MAIN!$H592, ""), "", MAIN!$C592)</f>
        <v>Muhammad Irfan Alfikri Rayana</v>
      </c>
      <c r="E592" s="39" t="str">
        <f>IF(EXACT(MAIN!$B592, ""), "", ""&amp;MAIN!$D592)</f>
        <v/>
      </c>
      <c r="G592" s="2">
        <f t="shared" si="9"/>
        <v>25000000000589</v>
      </c>
    </row>
    <row r="593" spans="2:7" x14ac:dyDescent="0.2">
      <c r="B593" s="35">
        <f>IF(EXACT(MAIN!$H593, ""), "", MAIN!$G593)</f>
        <v>32000000000590</v>
      </c>
      <c r="C593" s="39">
        <f>IF(EXACT(MAIN!$H593, ""), "", MAIN!$B593)</f>
        <v>25000000000590</v>
      </c>
      <c r="D593" s="38" t="str">
        <f>IF(EXACT(MAIN!$H593, ""), "", MAIN!$C593)</f>
        <v>Syafri Johansah</v>
      </c>
      <c r="E593" s="39" t="str">
        <f>IF(EXACT(MAIN!$B593, ""), "", ""&amp;MAIN!$D593)</f>
        <v/>
      </c>
      <c r="G593" s="2">
        <f t="shared" si="9"/>
        <v>25000000000590</v>
      </c>
    </row>
    <row r="594" spans="2:7" x14ac:dyDescent="0.2">
      <c r="B594" s="35">
        <f>IF(EXACT(MAIN!$H594, ""), "", MAIN!$G594)</f>
        <v>32000000000591</v>
      </c>
      <c r="C594" s="39">
        <f>IF(EXACT(MAIN!$H594, ""), "", MAIN!$B594)</f>
        <v>25000000000591</v>
      </c>
      <c r="D594" s="38" t="str">
        <f>IF(EXACT(MAIN!$H594, ""), "", MAIN!$C594)</f>
        <v>Agus Sobar</v>
      </c>
      <c r="E594" s="39" t="str">
        <f>IF(EXACT(MAIN!$B594, ""), "", ""&amp;MAIN!$D594)</f>
        <v/>
      </c>
      <c r="G594" s="2">
        <f t="shared" si="9"/>
        <v>25000000000591</v>
      </c>
    </row>
    <row r="595" spans="2:7" x14ac:dyDescent="0.2">
      <c r="B595" s="35">
        <f>IF(EXACT(MAIN!$H595, ""), "", MAIN!$G595)</f>
        <v>32000000000592</v>
      </c>
      <c r="C595" s="39">
        <f>IF(EXACT(MAIN!$H595, ""), "", MAIN!$B595)</f>
        <v>25000000000592</v>
      </c>
      <c r="D595" s="38" t="str">
        <f>IF(EXACT(MAIN!$H595, ""), "", MAIN!$C595)</f>
        <v>Ahmad Sandi Asyuri</v>
      </c>
      <c r="E595" s="39" t="str">
        <f>IF(EXACT(MAIN!$B595, ""), "", ""&amp;MAIN!$D595)</f>
        <v>181124994</v>
      </c>
      <c r="G595" s="2">
        <f t="shared" si="9"/>
        <v>25000000000592</v>
      </c>
    </row>
    <row r="596" spans="2:7" x14ac:dyDescent="0.2">
      <c r="B596" s="35">
        <f>IF(EXACT(MAIN!$H596, ""), "", MAIN!$G596)</f>
        <v>32000000000593</v>
      </c>
      <c r="C596" s="39">
        <f>IF(EXACT(MAIN!$H596, ""), "", MAIN!$B596)</f>
        <v>25000000000593</v>
      </c>
      <c r="D596" s="38" t="str">
        <f>IF(EXACT(MAIN!$H596, ""), "", MAIN!$C596)</f>
        <v>Andi Mapasoro</v>
      </c>
      <c r="E596" s="39" t="str">
        <f>IF(EXACT(MAIN!$B596, ""), "", ""&amp;MAIN!$D596)</f>
        <v>0403251002</v>
      </c>
      <c r="G596" s="2">
        <f t="shared" si="9"/>
        <v>25000000000593</v>
      </c>
    </row>
    <row r="597" spans="2:7" x14ac:dyDescent="0.2">
      <c r="B597" s="35">
        <f>IF(EXACT(MAIN!$H597, ""), "", MAIN!$G597)</f>
        <v>32000000000594</v>
      </c>
      <c r="C597" s="39">
        <f>IF(EXACT(MAIN!$H597, ""), "", MAIN!$B597)</f>
        <v>25000000000594</v>
      </c>
      <c r="D597" s="38" t="str">
        <f>IF(EXACT(MAIN!$H597, ""), "", MAIN!$C597)</f>
        <v>Arie Gustaman</v>
      </c>
      <c r="E597" s="39" t="str">
        <f>IF(EXACT(MAIN!$B597, ""), "", ""&amp;MAIN!$D597)</f>
        <v/>
      </c>
      <c r="G597" s="2">
        <f t="shared" si="9"/>
        <v>25000000000594</v>
      </c>
    </row>
    <row r="598" spans="2:7" x14ac:dyDescent="0.2">
      <c r="B598" s="35">
        <f>IF(EXACT(MAIN!$H598, ""), "", MAIN!$G598)</f>
        <v>32000000000595</v>
      </c>
      <c r="C598" s="39">
        <f>IF(EXACT(MAIN!$H598, ""), "", MAIN!$B598)</f>
        <v>25000000000595</v>
      </c>
      <c r="D598" s="38" t="str">
        <f>IF(EXACT(MAIN!$H598, ""), "", MAIN!$C598)</f>
        <v>Arief Yulianto</v>
      </c>
      <c r="E598" s="39" t="str">
        <f>IF(EXACT(MAIN!$B598, ""), "", ""&amp;MAIN!$D598)</f>
        <v>120124984</v>
      </c>
      <c r="G598" s="2">
        <f t="shared" si="9"/>
        <v>25000000000595</v>
      </c>
    </row>
    <row r="599" spans="2:7" x14ac:dyDescent="0.2">
      <c r="B599" s="35">
        <f>IF(EXACT(MAIN!$H599, ""), "", MAIN!$G599)</f>
        <v>32000000000596</v>
      </c>
      <c r="C599" s="39">
        <f>IF(EXACT(MAIN!$H599, ""), "", MAIN!$B599)</f>
        <v>25000000000596</v>
      </c>
      <c r="D599" s="38" t="str">
        <f>IF(EXACT(MAIN!$H599, ""), "", MAIN!$C599)</f>
        <v>Burhan</v>
      </c>
      <c r="E599" s="39" t="str">
        <f>IF(EXACT(MAIN!$B599, ""), "", ""&amp;MAIN!$D599)</f>
        <v>010413650</v>
      </c>
      <c r="G599" s="2">
        <f t="shared" si="9"/>
        <v>25000000000596</v>
      </c>
    </row>
    <row r="600" spans="2:7" x14ac:dyDescent="0.2">
      <c r="B600" s="35">
        <f>IF(EXACT(MAIN!$H600, ""), "", MAIN!$G600)</f>
        <v>32000000000597</v>
      </c>
      <c r="C600" s="39">
        <f>IF(EXACT(MAIN!$H600, ""), "", MAIN!$B600)</f>
        <v>25000000000597</v>
      </c>
      <c r="D600" s="38" t="str">
        <f>IF(EXACT(MAIN!$H600, ""), "", MAIN!$C600)</f>
        <v>Deby Syahputa</v>
      </c>
      <c r="E600" s="39" t="str">
        <f>IF(EXACT(MAIN!$B600, ""), "", ""&amp;MAIN!$D600)</f>
        <v/>
      </c>
      <c r="G600" s="2">
        <f t="shared" si="9"/>
        <v>25000000000597</v>
      </c>
    </row>
    <row r="601" spans="2:7" x14ac:dyDescent="0.2">
      <c r="B601" s="35">
        <f>IF(EXACT(MAIN!$H601, ""), "", MAIN!$G601)</f>
        <v>32000000000598</v>
      </c>
      <c r="C601" s="39">
        <f>IF(EXACT(MAIN!$H601, ""), "", MAIN!$B601)</f>
        <v>25000000000598</v>
      </c>
      <c r="D601" s="38" t="str">
        <f>IF(EXACT(MAIN!$H601, ""), "", MAIN!$C601)</f>
        <v>Ibrahim Arya Yuda</v>
      </c>
      <c r="E601" s="39" t="str">
        <f>IF(EXACT(MAIN!$B601, ""), "", ""&amp;MAIN!$D601)</f>
        <v/>
      </c>
      <c r="G601" s="2">
        <f t="shared" si="9"/>
        <v>25000000000598</v>
      </c>
    </row>
    <row r="602" spans="2:7" x14ac:dyDescent="0.2">
      <c r="B602" s="35">
        <f>IF(EXACT(MAIN!$H602, ""), "", MAIN!$G602)</f>
        <v>32000000000599</v>
      </c>
      <c r="C602" s="39">
        <f>IF(EXACT(MAIN!$H602, ""), "", MAIN!$B602)</f>
        <v>25000000000599</v>
      </c>
      <c r="D602" s="38" t="str">
        <f>IF(EXACT(MAIN!$H602, ""), "", MAIN!$C602)</f>
        <v>Jamil</v>
      </c>
      <c r="E602" s="39" t="str">
        <f>IF(EXACT(MAIN!$B602, ""), "", ""&amp;MAIN!$D602)</f>
        <v/>
      </c>
      <c r="G602" s="2">
        <f t="shared" si="9"/>
        <v>25000000000599</v>
      </c>
    </row>
    <row r="603" spans="2:7" x14ac:dyDescent="0.2">
      <c r="B603" s="35">
        <f>IF(EXACT(MAIN!$H603, ""), "", MAIN!$G603)</f>
        <v>32000000000600</v>
      </c>
      <c r="C603" s="39">
        <f>IF(EXACT(MAIN!$H603, ""), "", MAIN!$B603)</f>
        <v>25000000000600</v>
      </c>
      <c r="D603" s="38" t="str">
        <f>IF(EXACT(MAIN!$H603, ""), "", MAIN!$C603)</f>
        <v>Kiki Prasetyo</v>
      </c>
      <c r="E603" s="39" t="str">
        <f>IF(EXACT(MAIN!$B603, ""), "", ""&amp;MAIN!$D603)</f>
        <v/>
      </c>
      <c r="G603" s="2">
        <f t="shared" si="9"/>
        <v>25000000000600</v>
      </c>
    </row>
    <row r="604" spans="2:7" x14ac:dyDescent="0.2">
      <c r="B604" s="35">
        <f>IF(EXACT(MAIN!$H604, ""), "", MAIN!$G604)</f>
        <v>32000000000601</v>
      </c>
      <c r="C604" s="39">
        <f>IF(EXACT(MAIN!$H604, ""), "", MAIN!$B604)</f>
        <v>25000000000601</v>
      </c>
      <c r="D604" s="38" t="str">
        <f>IF(EXACT(MAIN!$H604, ""), "", MAIN!$C604)</f>
        <v>Mochamad Ulul Azmi Wira Utama</v>
      </c>
      <c r="E604" s="39" t="str">
        <f>IF(EXACT(MAIN!$B604, ""), "", ""&amp;MAIN!$D604)</f>
        <v>1206251007</v>
      </c>
      <c r="G604" s="2">
        <f t="shared" si="9"/>
        <v>25000000000601</v>
      </c>
    </row>
    <row r="605" spans="2:7" x14ac:dyDescent="0.2">
      <c r="B605" s="35">
        <f>IF(EXACT(MAIN!$H605, ""), "", MAIN!$G605)</f>
        <v>32000000000602</v>
      </c>
      <c r="C605" s="39">
        <f>IF(EXACT(MAIN!$H605, ""), "", MAIN!$B605)</f>
        <v>25000000000602</v>
      </c>
      <c r="D605" s="38" t="str">
        <f>IF(EXACT(MAIN!$H605, ""), "", MAIN!$C605)</f>
        <v>Muhammad Bilal Sharony</v>
      </c>
      <c r="E605" s="39" t="str">
        <f>IF(EXACT(MAIN!$B605, ""), "", ""&amp;MAIN!$D605)</f>
        <v/>
      </c>
      <c r="G605" s="2">
        <f t="shared" si="9"/>
        <v>25000000000602</v>
      </c>
    </row>
    <row r="606" spans="2:7" x14ac:dyDescent="0.2">
      <c r="B606" s="35">
        <f>IF(EXACT(MAIN!$H606, ""), "", MAIN!$G606)</f>
        <v>32000000000603</v>
      </c>
      <c r="C606" s="39">
        <f>IF(EXACT(MAIN!$H606, ""), "", MAIN!$B606)</f>
        <v>25000000000603</v>
      </c>
      <c r="D606" s="38" t="str">
        <f>IF(EXACT(MAIN!$H606, ""), "", MAIN!$C606)</f>
        <v>Muhammad Hairul</v>
      </c>
      <c r="E606" s="39" t="str">
        <f>IF(EXACT(MAIN!$B606, ""), "", ""&amp;MAIN!$D606)</f>
        <v/>
      </c>
      <c r="G606" s="2">
        <f t="shared" si="9"/>
        <v>25000000000603</v>
      </c>
    </row>
    <row r="607" spans="2:7" x14ac:dyDescent="0.2">
      <c r="B607" s="35">
        <f>IF(EXACT(MAIN!$H607, ""), "", MAIN!$G607)</f>
        <v>32000000000604</v>
      </c>
      <c r="C607" s="39">
        <f>IF(EXACT(MAIN!$H607, ""), "", MAIN!$B607)</f>
        <v>25000000000604</v>
      </c>
      <c r="D607" s="38" t="str">
        <f>IF(EXACT(MAIN!$H607, ""), "", MAIN!$C607)</f>
        <v>Muhammad Rizal</v>
      </c>
      <c r="E607" s="39" t="str">
        <f>IF(EXACT(MAIN!$B607, ""), "", ""&amp;MAIN!$D607)</f>
        <v>230125998</v>
      </c>
      <c r="G607" s="2">
        <f t="shared" si="9"/>
        <v>25000000000604</v>
      </c>
    </row>
    <row r="608" spans="2:7" x14ac:dyDescent="0.2">
      <c r="B608" s="35">
        <f>IF(EXACT(MAIN!$H608, ""), "", MAIN!$G608)</f>
        <v>32000000000605</v>
      </c>
      <c r="C608" s="39">
        <f>IF(EXACT(MAIN!$H608, ""), "", MAIN!$B608)</f>
        <v>25000000000605</v>
      </c>
      <c r="D608" s="38" t="str">
        <f>IF(EXACT(MAIN!$H608, ""), "", MAIN!$C608)</f>
        <v>Rahmad Dwifar</v>
      </c>
      <c r="E608" s="39" t="str">
        <f>IF(EXACT(MAIN!$B608, ""), "", ""&amp;MAIN!$D608)</f>
        <v>2011251012</v>
      </c>
      <c r="G608" s="2">
        <f t="shared" si="9"/>
        <v>25000000000605</v>
      </c>
    </row>
    <row r="609" spans="2:7" x14ac:dyDescent="0.2">
      <c r="B609" s="35">
        <f>IF(EXACT(MAIN!$H609, ""), "", MAIN!$G609)</f>
        <v>32000000000606</v>
      </c>
      <c r="C609" s="39">
        <f>IF(EXACT(MAIN!$H609, ""), "", MAIN!$B609)</f>
        <v>25000000000606</v>
      </c>
      <c r="D609" s="38" t="str">
        <f>IF(EXACT(MAIN!$H609, ""), "", MAIN!$C609)</f>
        <v>Reza Sanjaya</v>
      </c>
      <c r="E609" s="39" t="str">
        <f>IF(EXACT(MAIN!$B609, ""), "", ""&amp;MAIN!$D609)</f>
        <v/>
      </c>
      <c r="G609" s="2">
        <f t="shared" si="9"/>
        <v>25000000000606</v>
      </c>
    </row>
    <row r="610" spans="2:7" x14ac:dyDescent="0.2">
      <c r="B610" s="35">
        <f>IF(EXACT(MAIN!$H610, ""), "", MAIN!$G610)</f>
        <v>32000000000607</v>
      </c>
      <c r="C610" s="39">
        <f>IF(EXACT(MAIN!$H610, ""), "", MAIN!$B610)</f>
        <v>25000000000607</v>
      </c>
      <c r="D610" s="38" t="str">
        <f>IF(EXACT(MAIN!$H610, ""), "", MAIN!$C610)</f>
        <v>Ridwan Nur Muttaqin</v>
      </c>
      <c r="E610" s="39" t="str">
        <f>IF(EXACT(MAIN!$B610, ""), "", ""&amp;MAIN!$D610)</f>
        <v>0603251003</v>
      </c>
      <c r="G610" s="2">
        <f t="shared" si="9"/>
        <v>25000000000607</v>
      </c>
    </row>
    <row r="611" spans="2:7" x14ac:dyDescent="0.2">
      <c r="B611" s="35">
        <f>IF(EXACT(MAIN!$H611, ""), "", MAIN!$G611)</f>
        <v>32000000000608</v>
      </c>
      <c r="C611" s="39">
        <f>IF(EXACT(MAIN!$H611, ""), "", MAIN!$B611)</f>
        <v>25000000000608</v>
      </c>
      <c r="D611" s="38" t="str">
        <f>IF(EXACT(MAIN!$H611, ""), "", MAIN!$C611)</f>
        <v xml:space="preserve">Risaldi </v>
      </c>
      <c r="E611" s="39" t="str">
        <f>IF(EXACT(MAIN!$B611, ""), "", ""&amp;MAIN!$D611)</f>
        <v/>
      </c>
      <c r="G611" s="2">
        <f t="shared" si="9"/>
        <v>25000000000608</v>
      </c>
    </row>
    <row r="612" spans="2:7" x14ac:dyDescent="0.2">
      <c r="B612" s="35">
        <f>IF(EXACT(MAIN!$H612, ""), "", MAIN!$G612)</f>
        <v>32000000000609</v>
      </c>
      <c r="C612" s="39">
        <f>IF(EXACT(MAIN!$H612, ""), "", MAIN!$B612)</f>
        <v>25000000000609</v>
      </c>
      <c r="D612" s="38" t="str">
        <f>IF(EXACT(MAIN!$H612, ""), "", MAIN!$C612)</f>
        <v>Risty Alawiyah</v>
      </c>
      <c r="E612" s="39" t="str">
        <f>IF(EXACT(MAIN!$B612, ""), "", ""&amp;MAIN!$D612)</f>
        <v>2703251004</v>
      </c>
      <c r="G612" s="2">
        <f t="shared" si="9"/>
        <v>25000000000609</v>
      </c>
    </row>
    <row r="613" spans="2:7" x14ac:dyDescent="0.2">
      <c r="B613" s="35">
        <f>IF(EXACT(MAIN!$H613, ""), "", MAIN!$G613)</f>
        <v>32000000000610</v>
      </c>
      <c r="C613" s="39">
        <f>IF(EXACT(MAIN!$H613, ""), "", MAIN!$B613)</f>
        <v>25000000000610</v>
      </c>
      <c r="D613" s="38" t="str">
        <f>IF(EXACT(MAIN!$H613, ""), "", MAIN!$C613)</f>
        <v>Rustono</v>
      </c>
      <c r="E613" s="39" t="str">
        <f>IF(EXACT(MAIN!$B613, ""), "", ""&amp;MAIN!$D613)</f>
        <v>010413649</v>
      </c>
      <c r="G613" s="2">
        <f t="shared" si="9"/>
        <v>25000000000610</v>
      </c>
    </row>
    <row r="614" spans="2:7" x14ac:dyDescent="0.2">
      <c r="B614" s="35">
        <f>IF(EXACT(MAIN!$H614, ""), "", MAIN!$G614)</f>
        <v>32000000000611</v>
      </c>
      <c r="C614" s="39">
        <f>IF(EXACT(MAIN!$H614, ""), "", MAIN!$B614)</f>
        <v>25000000000611</v>
      </c>
      <c r="D614" s="38" t="str">
        <f>IF(EXACT(MAIN!$H614, ""), "", MAIN!$C614)</f>
        <v>Solihin</v>
      </c>
      <c r="E614" s="39" t="str">
        <f>IF(EXACT(MAIN!$B614, ""), "", ""&amp;MAIN!$D614)</f>
        <v>020916798</v>
      </c>
      <c r="G614" s="2">
        <f t="shared" si="9"/>
        <v>25000000000611</v>
      </c>
    </row>
    <row r="615" spans="2:7" x14ac:dyDescent="0.2">
      <c r="B615" s="35">
        <f>IF(EXACT(MAIN!$H615, ""), "", MAIN!$G615)</f>
        <v>32000000000612</v>
      </c>
      <c r="C615" s="39">
        <f>IF(EXACT(MAIN!$H615, ""), "", MAIN!$B615)</f>
        <v>25000000000612</v>
      </c>
      <c r="D615" s="38" t="str">
        <f>IF(EXACT(MAIN!$H615, ""), "", MAIN!$C615)</f>
        <v>Supriatna</v>
      </c>
      <c r="E615" s="39" t="str">
        <f>IF(EXACT(MAIN!$B615, ""), "", ""&amp;MAIN!$D615)</f>
        <v>010413653</v>
      </c>
      <c r="G615" s="2">
        <f t="shared" si="9"/>
        <v>25000000000612</v>
      </c>
    </row>
    <row r="616" spans="2:7" x14ac:dyDescent="0.2">
      <c r="B616" s="35">
        <f>IF(EXACT(MAIN!$H616, ""), "", MAIN!$G616)</f>
        <v>32000000000613</v>
      </c>
      <c r="C616" s="39">
        <f>IF(EXACT(MAIN!$H616, ""), "", MAIN!$B616)</f>
        <v>25000000000613</v>
      </c>
      <c r="D616" s="38" t="str">
        <f>IF(EXACT(MAIN!$H616, ""), "", MAIN!$C616)</f>
        <v>Taufik Aminudin</v>
      </c>
      <c r="E616" s="39" t="str">
        <f>IF(EXACT(MAIN!$B616, ""), "", ""&amp;MAIN!$D616)</f>
        <v/>
      </c>
      <c r="G616" s="2">
        <f t="shared" si="9"/>
        <v>25000000000613</v>
      </c>
    </row>
    <row r="617" spans="2:7" x14ac:dyDescent="0.2">
      <c r="B617" s="35">
        <f>IF(EXACT(MAIN!$H617, ""), "", MAIN!$G617)</f>
        <v>32000000000614</v>
      </c>
      <c r="C617" s="39">
        <f>IF(EXACT(MAIN!$H617, ""), "", MAIN!$B617)</f>
        <v>25000000000614</v>
      </c>
      <c r="D617" s="38" t="str">
        <f>IF(EXACT(MAIN!$H617, ""), "", MAIN!$C617)</f>
        <v>Timotius Tabun</v>
      </c>
      <c r="E617" s="39" t="str">
        <f>IF(EXACT(MAIN!$B617, ""), "", ""&amp;MAIN!$D617)</f>
        <v>300913696</v>
      </c>
      <c r="G617" s="2">
        <f t="shared" si="9"/>
        <v>25000000000614</v>
      </c>
    </row>
    <row r="618" spans="2:7" x14ac:dyDescent="0.2">
      <c r="B618" s="35">
        <f>IF(EXACT(MAIN!$H618, ""), "", MAIN!$G618)</f>
        <v>32000000000615</v>
      </c>
      <c r="C618" s="39">
        <f>IF(EXACT(MAIN!$H618, ""), "", MAIN!$B618)</f>
        <v>25000000000615</v>
      </c>
      <c r="D618" s="38" t="str">
        <f>IF(EXACT(MAIN!$H618, ""), "", MAIN!$C618)</f>
        <v>Adi</v>
      </c>
      <c r="E618" s="39" t="str">
        <f>IF(EXACT(MAIN!$B618, ""), "", ""&amp;MAIN!$D618)</f>
        <v>0209251009</v>
      </c>
    </row>
    <row r="619" spans="2:7" x14ac:dyDescent="0.2">
      <c r="B619" s="35">
        <f>IF(EXACT(MAIN!$H619, ""), "", MAIN!$G619)</f>
        <v>32000000000616</v>
      </c>
      <c r="C619" s="39">
        <f>IF(EXACT(MAIN!$H619, ""), "", MAIN!$B619)</f>
        <v>25000000000616</v>
      </c>
      <c r="D619" s="38" t="str">
        <f>IF(EXACT(MAIN!$H619, ""), "", MAIN!$C619)</f>
        <v>Andrean Fahrizi</v>
      </c>
      <c r="E619" s="39" t="str">
        <f>IF(EXACT(MAIN!$B619, ""), "", ""&amp;MAIN!$D619)</f>
        <v/>
      </c>
    </row>
    <row r="620" spans="2:7" x14ac:dyDescent="0.2">
      <c r="B620" s="35">
        <f>IF(EXACT(MAIN!$H620, ""), "", MAIN!$G620)</f>
        <v>32000000000617</v>
      </c>
      <c r="C620" s="39">
        <f>IF(EXACT(MAIN!$H620, ""), "", MAIN!$B620)</f>
        <v>25000000000617</v>
      </c>
      <c r="D620" s="38" t="str">
        <f>IF(EXACT(MAIN!$H620, ""), "", MAIN!$C620)</f>
        <v>Amar Abdilah</v>
      </c>
      <c r="E620" s="39" t="str">
        <f>IF(EXACT(MAIN!$B620, ""), "", ""&amp;MAIN!$D620)</f>
        <v/>
      </c>
    </row>
    <row r="621" spans="2:7" x14ac:dyDescent="0.2">
      <c r="B621" s="35">
        <f>IF(EXACT(MAIN!$H621, ""), "", MAIN!$G621)</f>
        <v>32000000000618</v>
      </c>
      <c r="C621" s="39">
        <f>IF(EXACT(MAIN!$H621, ""), "", MAIN!$B621)</f>
        <v>25000000000618</v>
      </c>
      <c r="D621" s="38" t="str">
        <f>IF(EXACT(MAIN!$H621, ""), "", MAIN!$C621)</f>
        <v>Heru Indra Permana</v>
      </c>
      <c r="E621" s="39" t="str">
        <f>IF(EXACT(MAIN!$B621, ""), "", ""&amp;MAIN!$D621)</f>
        <v/>
      </c>
    </row>
    <row r="622" spans="2:7" x14ac:dyDescent="0.2">
      <c r="B622" s="35">
        <f>IF(EXACT(MAIN!$H622, ""), "", MAIN!$G622)</f>
        <v>32000000000619</v>
      </c>
      <c r="C622" s="39">
        <f>IF(EXACT(MAIN!$H622, ""), "", MAIN!$B622)</f>
        <v>25000000000619</v>
      </c>
      <c r="D622" s="38" t="str">
        <f>IF(EXACT(MAIN!$H622, ""), "", MAIN!$C622)</f>
        <v>Budi Santosa (KSO)</v>
      </c>
      <c r="E622" s="39" t="str">
        <f>IF(EXACT(MAIN!$B622, ""), "", ""&amp;MAIN!$D622)</f>
        <v/>
      </c>
    </row>
    <row r="623" spans="2:7" x14ac:dyDescent="0.2">
      <c r="B623" s="35">
        <f>IF(EXACT(MAIN!$H623, ""), "", MAIN!$G623)</f>
        <v>32000000000620</v>
      </c>
      <c r="C623" s="39">
        <f>IF(EXACT(MAIN!$H623, ""), "", MAIN!$B623)</f>
        <v>25000000000620</v>
      </c>
      <c r="D623" s="38" t="str">
        <f>IF(EXACT(MAIN!$H623, ""), "", MAIN!$C623)</f>
        <v>Haryono</v>
      </c>
      <c r="E623" s="39" t="str">
        <f>IF(EXACT(MAIN!$B623, ""), "", ""&amp;MAIN!$D623)</f>
        <v/>
      </c>
    </row>
    <row r="624" spans="2:7" x14ac:dyDescent="0.2">
      <c r="B624" s="35">
        <f>IF(EXACT(MAIN!$H624, ""), "", MAIN!$G624)</f>
        <v>32000000000621</v>
      </c>
      <c r="C624" s="39">
        <f>IF(EXACT(MAIN!$H624, ""), "", MAIN!$B624)</f>
        <v>25000000000621</v>
      </c>
      <c r="D624" s="38" t="str">
        <f>IF(EXACT(MAIN!$H624, ""), "", MAIN!$C624)</f>
        <v>Indah Sri Rejeki</v>
      </c>
      <c r="E624" s="39" t="str">
        <f>IF(EXACT(MAIN!$B624, ""), "", ""&amp;MAIN!$D624)</f>
        <v/>
      </c>
    </row>
    <row r="625" spans="2:5" x14ac:dyDescent="0.2">
      <c r="B625" s="35" t="str">
        <f>IF(EXACT(MAIN!$H626, ""), "", MAIN!$G626)</f>
        <v/>
      </c>
      <c r="C625" s="39" t="str">
        <f>IF(EXACT(MAIN!$H626, ""), "", MAIN!$B626)</f>
        <v/>
      </c>
      <c r="D625" s="38" t="str">
        <f>IF(EXACT(MAIN!$H626, ""), "", MAIN!$C626)</f>
        <v/>
      </c>
      <c r="E625" s="39" t="str">
        <f>IF(EXACT(MAIN!$B626, ""), "", ""&amp;MAIN!$D626)</f>
        <v/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1"/>
  </sheetPr>
  <dimension ref="B2:I18"/>
  <sheetViews>
    <sheetView workbookViewId="0">
      <selection activeCell="G19" sqref="G19"/>
    </sheetView>
  </sheetViews>
  <sheetFormatPr defaultRowHeight="12.75" x14ac:dyDescent="0.2"/>
  <cols>
    <col min="1" max="1" width="9.140625" style="1"/>
    <col min="2" max="2" width="14" style="2" bestFit="1" customWidth="1"/>
    <col min="3" max="3" width="24" style="1" bestFit="1" customWidth="1"/>
    <col min="4" max="4" width="1.85546875" style="1" bestFit="1" customWidth="1"/>
    <col min="5" max="5" width="14" style="1" bestFit="1" customWidth="1"/>
    <col min="6" max="6" width="13.140625" style="1" bestFit="1" customWidth="1"/>
    <col min="7" max="8" width="9.140625" style="1"/>
    <col min="9" max="9" width="14" style="1" bestFit="1" customWidth="1"/>
    <col min="10" max="16384" width="9.140625" style="1"/>
  </cols>
  <sheetData>
    <row r="2" spans="2:9" x14ac:dyDescent="0.2">
      <c r="B2" s="65">
        <v>160000000000001</v>
      </c>
      <c r="C2" s="1" t="s">
        <v>320</v>
      </c>
      <c r="D2" s="1">
        <v>9</v>
      </c>
      <c r="E2" s="65"/>
    </row>
    <row r="3" spans="2:9" x14ac:dyDescent="0.2">
      <c r="B3" s="65">
        <v>160000000000002</v>
      </c>
      <c r="C3" s="1" t="s">
        <v>328</v>
      </c>
      <c r="D3" s="1">
        <v>8</v>
      </c>
      <c r="E3" s="65"/>
    </row>
    <row r="4" spans="2:9" x14ac:dyDescent="0.2">
      <c r="B4" s="65">
        <v>160000000000003</v>
      </c>
      <c r="C4" s="66" t="s">
        <v>276</v>
      </c>
      <c r="D4" s="1">
        <v>7</v>
      </c>
      <c r="E4" s="65"/>
      <c r="F4" s="66"/>
      <c r="I4" s="65"/>
    </row>
    <row r="5" spans="2:9" x14ac:dyDescent="0.2">
      <c r="B5" s="65">
        <v>160000000000004</v>
      </c>
      <c r="C5" s="66" t="s">
        <v>277</v>
      </c>
      <c r="D5" s="1">
        <v>6</v>
      </c>
      <c r="E5" s="65"/>
      <c r="F5" s="66"/>
      <c r="I5" s="65"/>
    </row>
    <row r="6" spans="2:9" x14ac:dyDescent="0.2">
      <c r="B6" s="65">
        <v>160000000000005</v>
      </c>
      <c r="C6" s="1" t="s">
        <v>329</v>
      </c>
      <c r="D6" s="1">
        <v>5</v>
      </c>
      <c r="E6" s="65"/>
      <c r="F6" s="66"/>
      <c r="I6" s="65"/>
    </row>
    <row r="7" spans="2:9" x14ac:dyDescent="0.2">
      <c r="B7" s="65">
        <v>160000000000006</v>
      </c>
      <c r="C7" s="66" t="s">
        <v>278</v>
      </c>
      <c r="D7" s="1">
        <v>4</v>
      </c>
      <c r="E7" s="65"/>
      <c r="F7" s="66"/>
      <c r="I7" s="65"/>
    </row>
    <row r="8" spans="2:9" x14ac:dyDescent="0.2">
      <c r="B8" s="65">
        <v>160000000000007</v>
      </c>
      <c r="C8" s="66" t="s">
        <v>321</v>
      </c>
      <c r="D8" s="1">
        <v>3</v>
      </c>
      <c r="E8" s="65"/>
      <c r="F8" s="66"/>
    </row>
    <row r="9" spans="2:9" x14ac:dyDescent="0.2">
      <c r="B9" s="65">
        <v>160000000000008</v>
      </c>
      <c r="C9" s="66" t="s">
        <v>279</v>
      </c>
      <c r="D9" s="1">
        <v>2</v>
      </c>
      <c r="E9" s="65"/>
      <c r="F9" s="66"/>
      <c r="I9" s="65"/>
    </row>
    <row r="10" spans="2:9" x14ac:dyDescent="0.2">
      <c r="B10" s="65">
        <v>160000000000009</v>
      </c>
      <c r="C10" s="66" t="s">
        <v>280</v>
      </c>
      <c r="D10" s="1">
        <v>1</v>
      </c>
      <c r="E10" s="65"/>
      <c r="F10" s="66"/>
      <c r="I10" s="65"/>
    </row>
    <row r="11" spans="2:9" x14ac:dyDescent="0.2">
      <c r="B11" s="65"/>
      <c r="C11" s="66"/>
    </row>
    <row r="12" spans="2:9" x14ac:dyDescent="0.2">
      <c r="B12" s="65"/>
      <c r="C12" s="66"/>
    </row>
    <row r="13" spans="2:9" x14ac:dyDescent="0.2">
      <c r="B13" s="65"/>
      <c r="C13" s="66"/>
    </row>
    <row r="14" spans="2:9" x14ac:dyDescent="0.2">
      <c r="B14" s="65"/>
      <c r="C14" s="66"/>
    </row>
    <row r="15" spans="2:9" x14ac:dyDescent="0.2">
      <c r="B15" s="65"/>
      <c r="C15" s="66"/>
    </row>
    <row r="16" spans="2:9" x14ac:dyDescent="0.2">
      <c r="B16" s="65"/>
      <c r="C16" s="66"/>
    </row>
    <row r="17" spans="2:3" x14ac:dyDescent="0.2">
      <c r="B17" s="65"/>
      <c r="C17" s="66"/>
    </row>
    <row r="18" spans="2:3" x14ac:dyDescent="0.2">
      <c r="B18" s="65"/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</sheetPr>
  <dimension ref="A3:G35"/>
  <sheetViews>
    <sheetView topLeftCell="A19" workbookViewId="0">
      <selection activeCell="C26" sqref="C26"/>
    </sheetView>
  </sheetViews>
  <sheetFormatPr defaultRowHeight="12.75" x14ac:dyDescent="0.2"/>
  <cols>
    <col min="1" max="1" width="9.140625" style="7"/>
    <col min="2" max="3" width="14" style="2" bestFit="1" customWidth="1"/>
    <col min="4" max="4" width="29.7109375" style="1" bestFit="1" customWidth="1"/>
    <col min="5" max="16384" width="9.140625" style="1"/>
  </cols>
  <sheetData>
    <row r="3" spans="1:4" x14ac:dyDescent="0.2">
      <c r="A3" s="7" t="s">
        <v>284</v>
      </c>
      <c r="B3" s="65">
        <v>11000000000004</v>
      </c>
      <c r="C3" s="65">
        <v>111000000000001</v>
      </c>
      <c r="D3" s="66" t="s">
        <v>261</v>
      </c>
    </row>
    <row r="4" spans="1:4" x14ac:dyDescent="0.2">
      <c r="B4" s="65">
        <v>11000000000004</v>
      </c>
      <c r="C4" s="65">
        <v>111000000000002</v>
      </c>
      <c r="D4" s="66" t="s">
        <v>262</v>
      </c>
    </row>
    <row r="5" spans="1:4" x14ac:dyDescent="0.2">
      <c r="B5" s="65">
        <v>11000000000004</v>
      </c>
      <c r="C5" s="65">
        <v>111000000000003</v>
      </c>
      <c r="D5" s="66" t="s">
        <v>263</v>
      </c>
    </row>
    <row r="6" spans="1:4" x14ac:dyDescent="0.2">
      <c r="B6" s="65">
        <v>11000000000004</v>
      </c>
      <c r="C6" s="65">
        <v>111000000000004</v>
      </c>
      <c r="D6" s="66" t="s">
        <v>264</v>
      </c>
    </row>
    <row r="7" spans="1:4" x14ac:dyDescent="0.2">
      <c r="B7" s="65">
        <v>11000000000004</v>
      </c>
      <c r="C7" s="65">
        <v>111000000000005</v>
      </c>
      <c r="D7" s="66" t="s">
        <v>265</v>
      </c>
    </row>
    <row r="8" spans="1:4" x14ac:dyDescent="0.2">
      <c r="B8" s="65">
        <v>11000000000004</v>
      </c>
      <c r="C8" s="65">
        <v>111000000000006</v>
      </c>
      <c r="D8" s="66" t="s">
        <v>266</v>
      </c>
    </row>
    <row r="9" spans="1:4" x14ac:dyDescent="0.2">
      <c r="B9" s="65">
        <v>11000000000004</v>
      </c>
      <c r="C9" s="65">
        <v>111000000000007</v>
      </c>
      <c r="D9" s="66" t="s">
        <v>267</v>
      </c>
    </row>
    <row r="10" spans="1:4" x14ac:dyDescent="0.2">
      <c r="B10" s="65">
        <v>11000000000004</v>
      </c>
      <c r="C10" s="65">
        <v>111000000000008</v>
      </c>
      <c r="D10" s="66" t="s">
        <v>268</v>
      </c>
    </row>
    <row r="11" spans="1:4" x14ac:dyDescent="0.2">
      <c r="B11" s="65">
        <v>11000000000004</v>
      </c>
      <c r="C11" s="65">
        <v>111000000000009</v>
      </c>
      <c r="D11" s="66" t="s">
        <v>269</v>
      </c>
    </row>
    <row r="12" spans="1:4" x14ac:dyDescent="0.2">
      <c r="B12" s="65">
        <v>11000000000004</v>
      </c>
      <c r="C12" s="65">
        <v>111000000000010</v>
      </c>
      <c r="D12" s="66" t="s">
        <v>270</v>
      </c>
    </row>
    <row r="13" spans="1:4" x14ac:dyDescent="0.2">
      <c r="B13" s="65">
        <v>11000000000004</v>
      </c>
      <c r="C13" s="65">
        <v>111000000000011</v>
      </c>
      <c r="D13" s="66" t="s">
        <v>271</v>
      </c>
    </row>
    <row r="14" spans="1:4" x14ac:dyDescent="0.2">
      <c r="B14" s="65">
        <v>11000000000004</v>
      </c>
      <c r="C14" s="65">
        <v>111000000000012</v>
      </c>
      <c r="D14" s="66" t="s">
        <v>272</v>
      </c>
    </row>
    <row r="15" spans="1:4" x14ac:dyDescent="0.2">
      <c r="B15" s="65">
        <v>11000000000004</v>
      </c>
      <c r="C15" s="65">
        <v>111000000000013</v>
      </c>
      <c r="D15" s="66" t="s">
        <v>273</v>
      </c>
    </row>
    <row r="16" spans="1:4" x14ac:dyDescent="0.2">
      <c r="B16" s="65">
        <v>11000000000004</v>
      </c>
      <c r="C16" s="65">
        <v>111000000000014</v>
      </c>
      <c r="D16" s="66" t="s">
        <v>274</v>
      </c>
    </row>
    <row r="17" spans="1:7" x14ac:dyDescent="0.2">
      <c r="B17" s="65">
        <v>11000000000004</v>
      </c>
      <c r="C17" s="65">
        <v>111000000000015</v>
      </c>
      <c r="D17" s="1" t="s">
        <v>281</v>
      </c>
    </row>
    <row r="18" spans="1:7" x14ac:dyDescent="0.2">
      <c r="B18" s="65">
        <v>11000000000004</v>
      </c>
      <c r="C18" s="65">
        <v>111000000000016</v>
      </c>
      <c r="D18" s="1" t="s">
        <v>299</v>
      </c>
    </row>
    <row r="19" spans="1:7" x14ac:dyDescent="0.2">
      <c r="B19" s="65">
        <v>11000000000004</v>
      </c>
      <c r="C19" s="65">
        <v>111000000000017</v>
      </c>
      <c r="D19" s="1" t="s">
        <v>182</v>
      </c>
    </row>
    <row r="20" spans="1:7" x14ac:dyDescent="0.2">
      <c r="A20" s="7" t="s">
        <v>283</v>
      </c>
      <c r="B20" s="65">
        <v>11000000000007</v>
      </c>
      <c r="C20" s="65">
        <v>111000000000018</v>
      </c>
      <c r="D20" s="66" t="s">
        <v>261</v>
      </c>
    </row>
    <row r="21" spans="1:7" x14ac:dyDescent="0.2">
      <c r="B21" s="65">
        <v>11000000000007</v>
      </c>
      <c r="C21" s="65">
        <v>111000000000019</v>
      </c>
      <c r="D21" s="66" t="s">
        <v>295</v>
      </c>
    </row>
    <row r="22" spans="1:7" x14ac:dyDescent="0.2">
      <c r="B22" s="65">
        <v>11000000000007</v>
      </c>
      <c r="C22" s="65">
        <v>111000000000020</v>
      </c>
      <c r="D22" s="66" t="s">
        <v>262</v>
      </c>
    </row>
    <row r="23" spans="1:7" x14ac:dyDescent="0.2">
      <c r="B23" s="65">
        <v>11000000000007</v>
      </c>
      <c r="C23" s="65">
        <v>111000000000021</v>
      </c>
      <c r="D23" s="66" t="s">
        <v>265</v>
      </c>
    </row>
    <row r="24" spans="1:7" x14ac:dyDescent="0.2">
      <c r="B24" s="65">
        <v>11000000000007</v>
      </c>
      <c r="C24" s="65">
        <v>111000000000022</v>
      </c>
      <c r="D24" s="1" t="s">
        <v>286</v>
      </c>
    </row>
    <row r="25" spans="1:7" x14ac:dyDescent="0.2">
      <c r="B25" s="65">
        <v>11000000000007</v>
      </c>
      <c r="C25" s="65">
        <v>111000000000023</v>
      </c>
      <c r="D25" s="1" t="s">
        <v>285</v>
      </c>
    </row>
    <row r="26" spans="1:7" x14ac:dyDescent="0.2">
      <c r="B26" s="65">
        <v>11000000000007</v>
      </c>
      <c r="C26" s="65">
        <v>111000000000024</v>
      </c>
      <c r="D26" s="1" t="s">
        <v>287</v>
      </c>
    </row>
    <row r="27" spans="1:7" x14ac:dyDescent="0.2">
      <c r="B27" s="65"/>
      <c r="C27" s="65"/>
    </row>
    <row r="28" spans="1:7" x14ac:dyDescent="0.2">
      <c r="B28" s="65"/>
      <c r="C28" s="65"/>
      <c r="G28" s="1" t="s">
        <v>202</v>
      </c>
    </row>
    <row r="29" spans="1:7" x14ac:dyDescent="0.2">
      <c r="B29" s="65"/>
      <c r="C29" s="65"/>
      <c r="G29" s="1" t="s">
        <v>197</v>
      </c>
    </row>
    <row r="30" spans="1:7" x14ac:dyDescent="0.2">
      <c r="B30" s="65"/>
      <c r="C30" s="65"/>
      <c r="G30" s="1" t="s">
        <v>195</v>
      </c>
    </row>
    <row r="31" spans="1:7" x14ac:dyDescent="0.2">
      <c r="B31" s="65"/>
      <c r="C31" s="65"/>
      <c r="G31" s="1" t="s">
        <v>205</v>
      </c>
    </row>
    <row r="32" spans="1:7" x14ac:dyDescent="0.2">
      <c r="B32" s="65"/>
      <c r="C32" s="65"/>
      <c r="G32" s="1" t="s">
        <v>204</v>
      </c>
    </row>
    <row r="33" spans="2:7" x14ac:dyDescent="0.2">
      <c r="B33" s="65"/>
      <c r="C33" s="65"/>
      <c r="G33" s="1" t="s">
        <v>288</v>
      </c>
    </row>
    <row r="34" spans="2:7" x14ac:dyDescent="0.2">
      <c r="G34" s="1" t="s">
        <v>196</v>
      </c>
    </row>
    <row r="35" spans="2:7" x14ac:dyDescent="0.2">
      <c r="G35" s="1" t="s">
        <v>289</v>
      </c>
    </row>
  </sheetData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625"/>
  <sheetViews>
    <sheetView workbookViewId="0">
      <pane xSplit="3" ySplit="3" topLeftCell="I612" activePane="bottomRight" state="frozen"/>
      <selection pane="topRight" activeCell="D1" sqref="D1"/>
      <selection pane="bottomLeft" activeCell="A4" sqref="A4"/>
      <selection pane="bottomRight" activeCell="I621" sqref="I621"/>
    </sheetView>
  </sheetViews>
  <sheetFormatPr defaultRowHeight="12.75" x14ac:dyDescent="0.2"/>
  <cols>
    <col min="1" max="1" width="2.85546875" style="1" customWidth="1"/>
    <col min="2" max="2" width="13.140625" style="2" bestFit="1" customWidth="1"/>
    <col min="3" max="3" width="24.140625" style="1" bestFit="1" customWidth="1"/>
    <col min="4" max="4" width="14" style="3" customWidth="1"/>
    <col min="5" max="5" width="23.5703125" style="2" customWidth="1"/>
    <col min="6" max="6" width="14" style="3" bestFit="1" customWidth="1"/>
    <col min="7" max="7" width="25.140625" style="2" bestFit="1" customWidth="1"/>
    <col min="8" max="8" width="14" style="3" bestFit="1" customWidth="1"/>
    <col min="9" max="9" width="15.140625" style="2" customWidth="1"/>
    <col min="10" max="10" width="30.5703125" style="2" bestFit="1" customWidth="1"/>
    <col min="11" max="11" width="18.28515625" style="60" bestFit="1" customWidth="1"/>
    <col min="12" max="12" width="18.28515625" style="1" bestFit="1" customWidth="1"/>
    <col min="13" max="13" width="20.7109375" style="2" customWidth="1"/>
    <col min="14" max="14" width="2.85546875" style="1" customWidth="1"/>
    <col min="15" max="15" width="14" style="3" bestFit="1" customWidth="1"/>
    <col min="16" max="16384" width="9.140625" style="1"/>
  </cols>
  <sheetData>
    <row r="1" spans="2:16" ht="15" customHeight="1" thickBot="1" x14ac:dyDescent="0.25"/>
    <row r="2" spans="2:16" ht="38.25" x14ac:dyDescent="0.2">
      <c r="B2" s="15" t="s">
        <v>53</v>
      </c>
      <c r="C2" s="16" t="str">
        <f>DataLookUp!D2</f>
        <v>Person Name</v>
      </c>
      <c r="D2" s="16" t="s">
        <v>54</v>
      </c>
      <c r="E2" s="16" t="s">
        <v>65</v>
      </c>
      <c r="F2" s="16" t="s">
        <v>55</v>
      </c>
      <c r="G2" s="16" t="s">
        <v>275</v>
      </c>
      <c r="H2" s="16" t="s">
        <v>56</v>
      </c>
      <c r="I2" s="16" t="s">
        <v>290</v>
      </c>
      <c r="J2" s="16" t="s">
        <v>291</v>
      </c>
      <c r="K2" s="61" t="s">
        <v>61</v>
      </c>
      <c r="L2" s="16" t="s">
        <v>62</v>
      </c>
      <c r="M2" s="17" t="s">
        <v>66</v>
      </c>
      <c r="O2" s="25" t="s">
        <v>58</v>
      </c>
      <c r="P2" s="26" t="s">
        <v>59</v>
      </c>
    </row>
    <row r="3" spans="2:16" s="9" customFormat="1" ht="13.5" thickBot="1" x14ac:dyDescent="0.25">
      <c r="B3" s="18"/>
      <c r="C3" s="19"/>
      <c r="D3" s="88"/>
      <c r="E3" s="19"/>
      <c r="F3" s="88"/>
      <c r="G3" s="19"/>
      <c r="H3" s="88"/>
      <c r="I3" s="19"/>
      <c r="J3" s="19"/>
      <c r="K3" s="62"/>
      <c r="L3" s="19"/>
      <c r="M3" s="20"/>
      <c r="O3" s="27">
        <v>164000000000000</v>
      </c>
      <c r="P3" s="28"/>
    </row>
    <row r="4" spans="2:16" x14ac:dyDescent="0.2">
      <c r="B4" s="50">
        <f>IF(EXACT(DataLookUp!$B4, ""), "", DataLookUp!$B4)</f>
        <v>32000000000001</v>
      </c>
      <c r="C4" s="38" t="str">
        <f>IF(EXACT(DataLookUp!$B4, ""), "", DataLookUp!$D4)</f>
        <v>Abdollah Syani Siregar</v>
      </c>
      <c r="D4" s="91">
        <v>163000000000003</v>
      </c>
      <c r="E4" s="37" t="str">
        <f>IF(EXACT($D4, ""), "", VLOOKUP($D4, [2]DataLookUp!$B$4:$D$15, 2, FALSE ))</f>
        <v>Karyawan Tidak Tetap (Kontrak)</v>
      </c>
      <c r="F4" s="91"/>
      <c r="G4" s="37" t="str">
        <f>IF(EXACT($F4, ""), "", VLOOKUP($F4, 'MAIN - OrgDepartment'!$C$3:$D$104, 2, FALSE))</f>
        <v/>
      </c>
      <c r="H4" s="91"/>
      <c r="I4" s="37" t="str">
        <f>IF(EXACT($H4, ""), "", VLOOKUP($H4, 'MAIN - OrgJobsPos'!$B$2:$C$101, 2, FALSE))</f>
        <v/>
      </c>
      <c r="J4" s="67"/>
      <c r="K4" s="63"/>
      <c r="L4" s="10" t="s">
        <v>7</v>
      </c>
      <c r="M4" s="11"/>
      <c r="O4" s="29">
        <f xml:space="preserve"> O3 + IF(EXACT(P4, ""), 0, 1)</f>
        <v>164000000000001</v>
      </c>
      <c r="P4" s="30" t="str">
        <f>CONCATENATE("PERFORM ""SchData-OLTP-HumanResource"".""Func_TblWorkerCareerInternal_SET""(varSystemLoginSession, null::bigint, null::varchar",
CONCATENATE(IF(EXACT($K4, ""), ", null", CONCATENATE(", '", $K4, "'")), "::timestamptz"),
CONCATENATE(IF(EXACT($L4, ""), ", null", CONCATENATE(", '", $L4, "'")), "::timestamptz"),
", null::varchar, varInstitutionBranchID, varBaseCurrencyID",
CONCATENATE(IF(EXACT($B4, ""), ", null", CONCATENATE(", ", $B4, "")), "::bigint"),
CONCATENATE(IF(EXACT($D4, ""), ", null", CONCATENATE(", ", $D4, "")), "::bigint"),
CONCATENATE(IF(EXACT($F4, ""), ", null", CONCATENATE(", ", $F4, "")), "::bigint"),
CONCATENATE(IF(EXACT($H4, ""), ", null", CONCATENATE(", ", $H4, "")), "::bigint"),
CONCATENATE(IF(EXACT($J4, ""), ", null", CONCATENATE(", '", $J4, "'")), "::varchar"),
CONCATENATE(IF(EXACT($K4, ""), ", null", CONCATENATE(", '", $K4, "'")), "::timestamptz"),
CONCATENATE(IF(EXACT($L4, ""), ", null", CONCATENATE(", '", $L4, "'")), "::timestamptz"),
CONCATENATE(IF(EXACT($M4, ""), ", null", CONCATENATE(", ", $M4,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32000000000001::bigint, 163000000000003::bigint, null::bigint, null::bigint, null::varchar, null::timestamptz, '1900-12-31 23:59:59+07'::timestamptz, null::bigint);</v>
      </c>
    </row>
    <row r="5" spans="2:16" x14ac:dyDescent="0.2">
      <c r="B5" s="37">
        <f>IF(EXACT(DataLookUp!$B5, ""), "", DataLookUp!$B5)</f>
        <v>32000000000002</v>
      </c>
      <c r="C5" s="38" t="str">
        <f>MAIN!C5</f>
        <v>Abdul Karim</v>
      </c>
      <c r="D5" s="91">
        <v>163000000000003</v>
      </c>
      <c r="E5" s="37" t="str">
        <f>IF(EXACT($D5, ""), "", VLOOKUP($D5, [2]DataLookUp!$B$4:$D$15, 2, FALSE ))</f>
        <v>Karyawan Tidak Tetap (Kontrak)</v>
      </c>
      <c r="F5" s="91"/>
      <c r="G5" s="37" t="str">
        <f>IF(EXACT($F5, ""), "", VLOOKUP($F5, 'MAIN - OrgDepartment'!$C$3:$D$104, 2, FALSE))</f>
        <v/>
      </c>
      <c r="H5" s="91"/>
      <c r="I5" s="37" t="str">
        <f>IF(EXACT($H5, ""), "", VLOOKUP($H5, 'MAIN - OrgJobsPos'!$B$2:$C$101, 2, FALSE))</f>
        <v/>
      </c>
      <c r="J5" s="67"/>
      <c r="K5" s="63"/>
      <c r="L5" s="10" t="s">
        <v>7</v>
      </c>
      <c r="M5" s="11"/>
      <c r="O5" s="29">
        <f t="shared" ref="O5:O68" si="0" xml:space="preserve"> O4 + IF(EXACT(P5, ""), 0, 1)</f>
        <v>164000000000002</v>
      </c>
      <c r="P5" s="30" t="str">
        <f t="shared" ref="P5:P68" si="1">CONCATENATE("PERFORM ""SchData-OLTP-HumanResource"".""Func_TblWorkerCareerInternal_SET""(varSystemLoginSession, null::bigint, null::varchar",
CONCATENATE(IF(EXACT($K5, ""), ", null", CONCATENATE(", '", $K5, "'")), "::timestamptz"),
CONCATENATE(IF(EXACT($L5, ""), ", null", CONCATENATE(", '", $L5, "'")), "::timestamptz"),
", null::varchar, varInstitutionBranchID, varBaseCurrencyID",
CONCATENATE(IF(EXACT($B5, ""), ", null", CONCATENATE(", ", $B5, "")), "::bigint"),
CONCATENATE(IF(EXACT($D5, ""), ", null", CONCATENATE(", ", $D5, "")), "::bigint"),
CONCATENATE(IF(EXACT($F5, ""), ", null", CONCATENATE(", ", $F5, "")), "::bigint"),
CONCATENATE(IF(EXACT($H5, ""), ", null", CONCATENATE(", ", $H5, "")), "::bigint"),
CONCATENATE(IF(EXACT($J5, ""), ", null", CONCATENATE(", '", $J5, "'")), "::varchar"),
CONCATENATE(IF(EXACT($K5, ""), ", null", CONCATENATE(", '", $K5, "'")), "::timestamptz"),
CONCATENATE(IF(EXACT($L5, ""), ", null", CONCATENATE(", '", $L5, "'")), "::timestamptz"),
CONCATENATE(IF(EXACT($M5, ""), ", null", CONCATENATE(", ", $M5,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32000000000002::bigint, 163000000000003::bigint, null::bigint, null::bigint, null::varchar, null::timestamptz, '1900-12-31 23:59:59+07'::timestamptz, null::bigint);</v>
      </c>
    </row>
    <row r="6" spans="2:16" x14ac:dyDescent="0.2">
      <c r="B6" s="37">
        <f>IF(EXACT(DataLookUp!$B6, ""), "", DataLookUp!$B6)</f>
        <v>32000000000003</v>
      </c>
      <c r="C6" s="38" t="str">
        <f>MAIN!C6</f>
        <v>Abdul Rahman Sitompul</v>
      </c>
      <c r="D6" s="91">
        <v>163000000000003</v>
      </c>
      <c r="E6" s="37" t="str">
        <f>IF(EXACT($D6, ""), "", VLOOKUP($D6, [2]DataLookUp!$B$4:$D$15, 2, FALSE ))</f>
        <v>Karyawan Tidak Tetap (Kontrak)</v>
      </c>
      <c r="F6" s="91"/>
      <c r="G6" s="37" t="str">
        <f>IF(EXACT($F6, ""), "", VLOOKUP($F6, 'MAIN - OrgDepartment'!$C$3:$D$104, 2, FALSE))</f>
        <v/>
      </c>
      <c r="H6" s="91"/>
      <c r="I6" s="37" t="str">
        <f>IF(EXACT($H6, ""), "", VLOOKUP($H6, 'MAIN - OrgJobsPos'!$B$2:$C$101, 2, FALSE))</f>
        <v/>
      </c>
      <c r="J6" s="67"/>
      <c r="K6" s="63"/>
      <c r="L6" s="10" t="s">
        <v>7</v>
      </c>
      <c r="M6" s="11"/>
      <c r="O6" s="29">
        <f t="shared" si="0"/>
        <v>164000000000003</v>
      </c>
      <c r="P6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32000000000003::bigint, 163000000000003::bigint, null::bigint, null::bigint, null::varchar, null::timestamptz, '1900-12-31 23:59:59+07'::timestamptz, null::bigint);</v>
      </c>
    </row>
    <row r="7" spans="2:16" x14ac:dyDescent="0.2">
      <c r="B7" s="37">
        <f>IF(EXACT(DataLookUp!$B7, ""), "", DataLookUp!$B7)</f>
        <v>32000000000004</v>
      </c>
      <c r="C7" s="38" t="str">
        <f>MAIN!C7</f>
        <v>Abdul Risan</v>
      </c>
      <c r="D7" s="91">
        <v>163000000000003</v>
      </c>
      <c r="E7" s="37" t="str">
        <f>IF(EXACT($D7, ""), "", VLOOKUP($D7, [2]DataLookUp!$B$4:$D$15, 2, FALSE ))</f>
        <v>Karyawan Tidak Tetap (Kontrak)</v>
      </c>
      <c r="F7" s="91"/>
      <c r="G7" s="37" t="str">
        <f>IF(EXACT($F7, ""), "", VLOOKUP($F7, 'MAIN - OrgDepartment'!$C$3:$D$104, 2, FALSE))</f>
        <v/>
      </c>
      <c r="H7" s="91"/>
      <c r="I7" s="37" t="str">
        <f>IF(EXACT($H7, ""), "", VLOOKUP($H7, 'MAIN - OrgJobsPos'!$B$2:$C$101, 2, FALSE))</f>
        <v/>
      </c>
      <c r="J7" s="67"/>
      <c r="K7" s="63"/>
      <c r="L7" s="10" t="s">
        <v>7</v>
      </c>
      <c r="M7" s="11"/>
      <c r="O7" s="29">
        <f t="shared" si="0"/>
        <v>164000000000004</v>
      </c>
      <c r="P7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32000000000004::bigint, 163000000000003::bigint, null::bigint, null::bigint, null::varchar, null::timestamptz, '1900-12-31 23:59:59+07'::timestamptz, null::bigint);</v>
      </c>
    </row>
    <row r="8" spans="2:16" x14ac:dyDescent="0.2">
      <c r="B8" s="37">
        <f>IF(EXACT(DataLookUp!$B8, ""), "", DataLookUp!$B8)</f>
        <v>32000000000005</v>
      </c>
      <c r="C8" s="38" t="str">
        <f>MAIN!C8</f>
        <v>Abdullah Nabil</v>
      </c>
      <c r="D8" s="91">
        <v>163000000000003</v>
      </c>
      <c r="E8" s="37" t="str">
        <f>IF(EXACT($D8, ""), "", VLOOKUP($D8, [2]DataLookUp!$B$4:$D$15, 2, FALSE ))</f>
        <v>Karyawan Tidak Tetap (Kontrak)</v>
      </c>
      <c r="F8" s="91"/>
      <c r="G8" s="37" t="str">
        <f>IF(EXACT($F8, ""), "", VLOOKUP($F8, 'MAIN - OrgDepartment'!$C$3:$D$104, 2, FALSE))</f>
        <v/>
      </c>
      <c r="H8" s="91"/>
      <c r="I8" s="37" t="str">
        <f>IF(EXACT($H8, ""), "", VLOOKUP($H8, 'MAIN - OrgJobsPos'!$B$2:$C$101, 2, FALSE))</f>
        <v/>
      </c>
      <c r="J8" s="67"/>
      <c r="K8" s="63"/>
      <c r="L8" s="10" t="s">
        <v>7</v>
      </c>
      <c r="M8" s="11"/>
      <c r="O8" s="29">
        <f t="shared" si="0"/>
        <v>164000000000005</v>
      </c>
      <c r="P8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32000000000005::bigint, 163000000000003::bigint, null::bigint, null::bigint, null::varchar, null::timestamptz, '1900-12-31 23:59:59+07'::timestamptz, null::bigint);</v>
      </c>
    </row>
    <row r="9" spans="2:16" x14ac:dyDescent="0.2">
      <c r="B9" s="37">
        <f>IF(EXACT(DataLookUp!$B9, ""), "", DataLookUp!$B9)</f>
        <v>32000000000006</v>
      </c>
      <c r="C9" s="38" t="str">
        <f>MAIN!C9</f>
        <v>Adhitya Danar</v>
      </c>
      <c r="D9" s="91">
        <v>163000000000003</v>
      </c>
      <c r="E9" s="37" t="str">
        <f>IF(EXACT($D9, ""), "", VLOOKUP($D9, [2]DataLookUp!$B$4:$D$15, 2, FALSE ))</f>
        <v>Karyawan Tidak Tetap (Kontrak)</v>
      </c>
      <c r="F9" s="91"/>
      <c r="G9" s="37" t="str">
        <f>IF(EXACT($F9, ""), "", VLOOKUP($F9, 'MAIN - OrgDepartment'!$C$3:$D$104, 2, FALSE))</f>
        <v/>
      </c>
      <c r="H9" s="91"/>
      <c r="I9" s="37" t="str">
        <f>IF(EXACT($H9, ""), "", VLOOKUP($H9, 'MAIN - OrgJobsPos'!$B$2:$C$101, 2, FALSE))</f>
        <v/>
      </c>
      <c r="J9" s="67"/>
      <c r="K9" s="63"/>
      <c r="L9" s="10" t="s">
        <v>7</v>
      </c>
      <c r="M9" s="11"/>
      <c r="O9" s="29">
        <f t="shared" si="0"/>
        <v>164000000000006</v>
      </c>
      <c r="P9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32000000000006::bigint, 163000000000003::bigint, null::bigint, null::bigint, null::varchar, null::timestamptz, '1900-12-31 23:59:59+07'::timestamptz, null::bigint);</v>
      </c>
    </row>
    <row r="10" spans="2:16" x14ac:dyDescent="0.2">
      <c r="B10" s="37">
        <f>IF(EXACT(DataLookUp!$B10, ""), "", DataLookUp!$B10)</f>
        <v>32000000000007</v>
      </c>
      <c r="C10" s="38" t="str">
        <f>MAIN!C10</f>
        <v>Adi Ruswandi</v>
      </c>
      <c r="D10" s="91">
        <v>163000000000003</v>
      </c>
      <c r="E10" s="37" t="str">
        <f>IF(EXACT($D10, ""), "", VLOOKUP($D10, [2]DataLookUp!$B$4:$D$15, 2, FALSE ))</f>
        <v>Karyawan Tidak Tetap (Kontrak)</v>
      </c>
      <c r="F10" s="91"/>
      <c r="G10" s="37" t="str">
        <f>IF(EXACT($F10, ""), "", VLOOKUP($F10, 'MAIN - OrgDepartment'!$C$3:$D$104, 2, FALSE))</f>
        <v/>
      </c>
      <c r="H10" s="91"/>
      <c r="I10" s="37" t="str">
        <f>IF(EXACT($H10, ""), "", VLOOKUP($H10, 'MAIN - OrgJobsPos'!$B$2:$C$101, 2, FALSE))</f>
        <v/>
      </c>
      <c r="J10" s="67"/>
      <c r="K10" s="63"/>
      <c r="L10" s="10" t="s">
        <v>7</v>
      </c>
      <c r="M10" s="11"/>
      <c r="O10" s="29">
        <f t="shared" si="0"/>
        <v>164000000000007</v>
      </c>
      <c r="P10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32000000000007::bigint, 163000000000003::bigint, null::bigint, null::bigint, null::varchar, null::timestamptz, '1900-12-31 23:59:59+07'::timestamptz, null::bigint);</v>
      </c>
    </row>
    <row r="11" spans="2:16" x14ac:dyDescent="0.2">
      <c r="B11" s="37">
        <f>IF(EXACT(DataLookUp!$B11, ""), "", DataLookUp!$B11)</f>
        <v>32000000000008</v>
      </c>
      <c r="C11" s="38" t="str">
        <f>MAIN!C11</f>
        <v>Adietya Dharmawan</v>
      </c>
      <c r="D11" s="91">
        <v>163000000000003</v>
      </c>
      <c r="E11" s="37" t="str">
        <f>IF(EXACT($D11, ""), "", VLOOKUP($D11, [2]DataLookUp!$B$4:$D$15, 2, FALSE ))</f>
        <v>Karyawan Tidak Tetap (Kontrak)</v>
      </c>
      <c r="F11" s="91"/>
      <c r="G11" s="37" t="str">
        <f>IF(EXACT($F11, ""), "", VLOOKUP($F11, 'MAIN - OrgDepartment'!$C$3:$D$104, 2, FALSE))</f>
        <v/>
      </c>
      <c r="H11" s="91"/>
      <c r="I11" s="37" t="str">
        <f>IF(EXACT($H11, ""), "", VLOOKUP($H11, 'MAIN - OrgJobsPos'!$B$2:$C$101, 2, FALSE))</f>
        <v/>
      </c>
      <c r="J11" s="67"/>
      <c r="K11" s="63"/>
      <c r="L11" s="10" t="s">
        <v>7</v>
      </c>
      <c r="M11" s="11"/>
      <c r="O11" s="29">
        <f t="shared" si="0"/>
        <v>164000000000008</v>
      </c>
      <c r="P11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32000000000008::bigint, 163000000000003::bigint, null::bigint, null::bigint, null::varchar, null::timestamptz, '1900-12-31 23:59:59+07'::timestamptz, null::bigint);</v>
      </c>
    </row>
    <row r="12" spans="2:16" x14ac:dyDescent="0.2">
      <c r="B12" s="37">
        <f>IF(EXACT(DataLookUp!$B12, ""), "", DataLookUp!$B12)</f>
        <v>32000000000009</v>
      </c>
      <c r="C12" s="38" t="str">
        <f>MAIN!C12</f>
        <v>Aditya Yudha Prawira</v>
      </c>
      <c r="D12" s="91">
        <v>163000000000003</v>
      </c>
      <c r="E12" s="37" t="str">
        <f>IF(EXACT($D12, ""), "", VLOOKUP($D12, [2]DataLookUp!$B$4:$D$15, 2, FALSE ))</f>
        <v>Karyawan Tidak Tetap (Kontrak)</v>
      </c>
      <c r="F12" s="91"/>
      <c r="G12" s="37" t="str">
        <f>IF(EXACT($F12, ""), "", VLOOKUP($F12, 'MAIN - OrgDepartment'!$C$3:$D$104, 2, FALSE))</f>
        <v/>
      </c>
      <c r="H12" s="91"/>
      <c r="I12" s="37" t="str">
        <f>IF(EXACT($H12, ""), "", VLOOKUP($H12, 'MAIN - OrgJobsPos'!$B$2:$C$101, 2, FALSE))</f>
        <v/>
      </c>
      <c r="J12" s="67"/>
      <c r="K12" s="63"/>
      <c r="L12" s="10" t="s">
        <v>7</v>
      </c>
      <c r="M12" s="11"/>
      <c r="O12" s="29">
        <f t="shared" si="0"/>
        <v>164000000000009</v>
      </c>
      <c r="P12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32000000000009::bigint, 163000000000003::bigint, null::bigint, null::bigint, null::varchar, null::timestamptz, '1900-12-31 23:59:59+07'::timestamptz, null::bigint);</v>
      </c>
    </row>
    <row r="13" spans="2:16" x14ac:dyDescent="0.2">
      <c r="B13" s="37">
        <f>IF(EXACT(DataLookUp!$B13, ""), "", DataLookUp!$B13)</f>
        <v>32000000000010</v>
      </c>
      <c r="C13" s="38" t="str">
        <f>MAIN!C13</f>
        <v>Adli Margie</v>
      </c>
      <c r="D13" s="91">
        <v>163000000000002</v>
      </c>
      <c r="E13" s="37" t="str">
        <f>IF(EXACT($D13, ""), "", VLOOKUP($D13, [2]DataLookUp!$B$4:$D$15, 2, FALSE ))</f>
        <v>Karyawan Tetap (Purna Waktu)</v>
      </c>
      <c r="F13" s="91"/>
      <c r="G13" s="37" t="str">
        <f>IF(EXACT($F13, ""), "", VLOOKUP($F13, 'MAIN - OrgDepartment'!$C$3:$D$104, 2, FALSE))</f>
        <v/>
      </c>
      <c r="H13" s="91"/>
      <c r="I13" s="37" t="str">
        <f>IF(EXACT($H13, ""), "", VLOOKUP($H13, 'MAIN - OrgJobsPos'!$B$2:$C$101, 2, FALSE))</f>
        <v/>
      </c>
      <c r="J13" s="67"/>
      <c r="K13" s="63"/>
      <c r="L13" s="10" t="s">
        <v>7</v>
      </c>
      <c r="M13" s="11"/>
      <c r="O13" s="29">
        <f t="shared" si="0"/>
        <v>164000000000010</v>
      </c>
      <c r="P13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32000000000010::bigint, 163000000000002::bigint, null::bigint, null::bigint, null::varchar, null::timestamptz, '1900-12-31 23:59:59+07'::timestamptz, null::bigint);</v>
      </c>
    </row>
    <row r="14" spans="2:16" x14ac:dyDescent="0.2">
      <c r="B14" s="37">
        <f>IF(EXACT(DataLookUp!$B14, ""), "", DataLookUp!$B14)</f>
        <v>32000000000011</v>
      </c>
      <c r="C14" s="38" t="str">
        <f>MAIN!C14</f>
        <v>Afrida Eka Putri</v>
      </c>
      <c r="D14" s="91">
        <v>163000000000003</v>
      </c>
      <c r="E14" s="37" t="str">
        <f>IF(EXACT($D14, ""), "", VLOOKUP($D14, [2]DataLookUp!$B$4:$D$15, 2, FALSE ))</f>
        <v>Karyawan Tidak Tetap (Kontrak)</v>
      </c>
      <c r="F14" s="91"/>
      <c r="G14" s="37" t="str">
        <f>IF(EXACT($F14, ""), "", VLOOKUP($F14, 'MAIN - OrgDepartment'!$C$3:$D$104, 2, FALSE))</f>
        <v/>
      </c>
      <c r="H14" s="91"/>
      <c r="I14" s="37" t="str">
        <f>IF(EXACT($H14, ""), "", VLOOKUP($H14, 'MAIN - OrgJobsPos'!$B$2:$C$101, 2, FALSE))</f>
        <v/>
      </c>
      <c r="J14" s="67"/>
      <c r="K14" s="63"/>
      <c r="L14" s="10" t="s">
        <v>7</v>
      </c>
      <c r="M14" s="11"/>
      <c r="O14" s="29">
        <f t="shared" si="0"/>
        <v>164000000000011</v>
      </c>
      <c r="P14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32000000000011::bigint, 163000000000003::bigint, null::bigint, null::bigint, null::varchar, null::timestamptz, '1900-12-31 23:59:59+07'::timestamptz, null::bigint);</v>
      </c>
    </row>
    <row r="15" spans="2:16" x14ac:dyDescent="0.2">
      <c r="B15" s="37">
        <f>IF(EXACT(DataLookUp!$B15, ""), "", DataLookUp!$B15)</f>
        <v>32000000000012</v>
      </c>
      <c r="C15" s="38" t="str">
        <f>MAIN!C15</f>
        <v>Agnes Sutedja</v>
      </c>
      <c r="D15" s="91">
        <v>163000000000002</v>
      </c>
      <c r="E15" s="37" t="str">
        <f>IF(EXACT($D15, ""), "", VLOOKUP($D15, [2]DataLookUp!$B$4:$D$15, 2, FALSE ))</f>
        <v>Karyawan Tetap (Purna Waktu)</v>
      </c>
      <c r="F15" s="91">
        <v>111000000000007</v>
      </c>
      <c r="G15" s="37" t="str">
        <f>IF(EXACT($F15, ""), "", VLOOKUP($F15, 'MAIN - OrgDepartment'!$C$3:$D$104, 2, FALSE))</f>
        <v>Health Safety Environment</v>
      </c>
      <c r="H15" s="91">
        <v>160000000000006</v>
      </c>
      <c r="I15" s="37" t="str">
        <f>IF(EXACT($H15, ""), "", VLOOKUP($H15, 'MAIN - OrgJobsPos'!$B$2:$C$101, 2, FALSE))</f>
        <v>Manager</v>
      </c>
      <c r="J15" s="67" t="s">
        <v>304</v>
      </c>
      <c r="K15" s="63" t="s">
        <v>213</v>
      </c>
      <c r="L15" s="10" t="s">
        <v>3</v>
      </c>
      <c r="M15" s="11"/>
      <c r="O15" s="29">
        <f t="shared" si="0"/>
        <v>164000000000012</v>
      </c>
      <c r="P15" s="30" t="str">
        <f t="shared" si="1"/>
        <v>PERFORM "SchData-OLTP-HumanResource"."Func_TblWorkerCareerInternal_SET"(varSystemLoginSession, null::bigint, null::varchar, '2003-07-01 00:00:00+07'::timestamptz, '9999-12-31 23:59:59+07'::timestamptz, null::varchar, varInstitutionBranchID, varBaseCurrencyID, 32000000000012::bigint, 163000000000002::bigint, 111000000000007::bigint, 160000000000006::bigint, 'QHSE Manager'::varchar, '2003-07-01 00:00:00+07'::timestamptz, '9999-12-31 23:59:59+07'::timestamptz, null::bigint);</v>
      </c>
    </row>
    <row r="16" spans="2:16" x14ac:dyDescent="0.2">
      <c r="B16" s="37">
        <f>IF(EXACT(DataLookUp!$B16, ""), "", DataLookUp!$B16)</f>
        <v>32000000000013</v>
      </c>
      <c r="C16" s="38" t="str">
        <f>MAIN!C16</f>
        <v>Agung Hendarto</v>
      </c>
      <c r="D16" s="91">
        <v>163000000000003</v>
      </c>
      <c r="E16" s="37" t="str">
        <f>IF(EXACT($D16, ""), "", VLOOKUP($D16, [2]DataLookUp!$B$4:$D$15, 2, FALSE ))</f>
        <v>Karyawan Tidak Tetap (Kontrak)</v>
      </c>
      <c r="F16" s="91"/>
      <c r="G16" s="37" t="str">
        <f>IF(EXACT($F16, ""), "", VLOOKUP($F16, 'MAIN - OrgDepartment'!$C$3:$D$104, 2, FALSE))</f>
        <v/>
      </c>
      <c r="H16" s="91"/>
      <c r="I16" s="37" t="str">
        <f>IF(EXACT($H16, ""), "", VLOOKUP($H16, 'MAIN - OrgJobsPos'!$B$2:$C$101, 2, FALSE))</f>
        <v/>
      </c>
      <c r="J16" s="67"/>
      <c r="K16" s="63"/>
      <c r="L16" s="10" t="s">
        <v>7</v>
      </c>
      <c r="M16" s="11"/>
      <c r="O16" s="29">
        <f t="shared" si="0"/>
        <v>164000000000013</v>
      </c>
      <c r="P16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32000000000013::bigint, 163000000000003::bigint, null::bigint, null::bigint, null::varchar, null::timestamptz, '1900-12-31 23:59:59+07'::timestamptz, null::bigint);</v>
      </c>
    </row>
    <row r="17" spans="2:16" x14ac:dyDescent="0.2">
      <c r="B17" s="37">
        <f>IF(EXACT(DataLookUp!$B17, ""), "", DataLookUp!$B17)</f>
        <v>32000000000014</v>
      </c>
      <c r="C17" s="38" t="str">
        <f>MAIN!C17</f>
        <v>Agus Priyatno Mahmudo</v>
      </c>
      <c r="D17" s="91">
        <v>163000000000003</v>
      </c>
      <c r="E17" s="37" t="str">
        <f>IF(EXACT($D17, ""), "", VLOOKUP($D17, [2]DataLookUp!$B$4:$D$15, 2, FALSE ))</f>
        <v>Karyawan Tidak Tetap (Kontrak)</v>
      </c>
      <c r="F17" s="91"/>
      <c r="G17" s="37" t="str">
        <f>IF(EXACT($F17, ""), "", VLOOKUP($F17, 'MAIN - OrgDepartment'!$C$3:$D$104, 2, FALSE))</f>
        <v/>
      </c>
      <c r="H17" s="91"/>
      <c r="I17" s="37" t="str">
        <f>IF(EXACT($H17, ""), "", VLOOKUP($H17, 'MAIN - OrgJobsPos'!$B$2:$C$101, 2, FALSE))</f>
        <v/>
      </c>
      <c r="J17" s="67"/>
      <c r="K17" s="63"/>
      <c r="L17" s="10" t="s">
        <v>7</v>
      </c>
      <c r="M17" s="11"/>
      <c r="O17" s="29">
        <f t="shared" si="0"/>
        <v>164000000000014</v>
      </c>
      <c r="P17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32000000000014::bigint, 163000000000003::bigint, null::bigint, null::bigint, null::varchar, null::timestamptz, '1900-12-31 23:59:59+07'::timestamptz, null::bigint);</v>
      </c>
    </row>
    <row r="18" spans="2:16" x14ac:dyDescent="0.2">
      <c r="B18" s="37">
        <f>IF(EXACT(DataLookUp!$B18, ""), "", DataLookUp!$B18)</f>
        <v>32000000000015</v>
      </c>
      <c r="C18" s="38" t="str">
        <f>MAIN!C18</f>
        <v>Agus Salim</v>
      </c>
      <c r="D18" s="91">
        <v>163000000000002</v>
      </c>
      <c r="E18" s="37" t="str">
        <f>IF(EXACT($D18, ""), "", VLOOKUP($D18, [2]DataLookUp!$B$4:$D$15, 2, FALSE ))</f>
        <v>Karyawan Tetap (Purna Waktu)</v>
      </c>
      <c r="F18" s="91"/>
      <c r="G18" s="37" t="str">
        <f>IF(EXACT($F18, ""), "", VLOOKUP($F18, 'MAIN - OrgDepartment'!$C$3:$D$104, 2, FALSE))</f>
        <v/>
      </c>
      <c r="H18" s="91"/>
      <c r="I18" s="37" t="str">
        <f>IF(EXACT($H18, ""), "", VLOOKUP($H18, 'MAIN - OrgJobsPos'!$B$2:$C$101, 2, FALSE))</f>
        <v/>
      </c>
      <c r="J18" s="67"/>
      <c r="K18" s="63"/>
      <c r="L18" s="10" t="s">
        <v>3</v>
      </c>
      <c r="M18" s="11"/>
      <c r="O18" s="29">
        <f t="shared" si="0"/>
        <v>164000000000015</v>
      </c>
      <c r="P18" s="30" t="str">
        <f t="shared" si="1"/>
        <v>PERFORM "SchData-OLTP-HumanResource"."Func_TblWorkerCareerInternal_SET"(varSystemLoginSession, null::bigint, null::varchar, null::timestamptz, '9999-12-31 23:59:59+07'::timestamptz, null::varchar, varInstitutionBranchID, varBaseCurrencyID, 32000000000015::bigint, 163000000000002::bigint, null::bigint, null::bigint, null::varchar, null::timestamptz, '9999-12-31 23:59:59+07'::timestamptz, null::bigint);</v>
      </c>
    </row>
    <row r="19" spans="2:16" x14ac:dyDescent="0.2">
      <c r="B19" s="37">
        <f>IF(EXACT(DataLookUp!$B19, ""), "", DataLookUp!$B19)</f>
        <v>32000000000016</v>
      </c>
      <c r="C19" s="38" t="str">
        <f>MAIN!C19</f>
        <v>Agus Tanto</v>
      </c>
      <c r="D19" s="91">
        <v>163000000000003</v>
      </c>
      <c r="E19" s="37" t="str">
        <f>IF(EXACT($D19, ""), "", VLOOKUP($D19, [2]DataLookUp!$B$4:$D$15, 2, FALSE ))</f>
        <v>Karyawan Tidak Tetap (Kontrak)</v>
      </c>
      <c r="F19" s="91"/>
      <c r="G19" s="37" t="str">
        <f>IF(EXACT($F19, ""), "", VLOOKUP($F19, 'MAIN - OrgDepartment'!$C$3:$D$104, 2, FALSE))</f>
        <v/>
      </c>
      <c r="H19" s="91"/>
      <c r="I19" s="37" t="str">
        <f>IF(EXACT($H19, ""), "", VLOOKUP($H19, 'MAIN - OrgJobsPos'!$B$2:$C$101, 2, FALSE))</f>
        <v/>
      </c>
      <c r="J19" s="67"/>
      <c r="K19" s="63"/>
      <c r="L19" s="10" t="s">
        <v>7</v>
      </c>
      <c r="M19" s="11"/>
      <c r="O19" s="29">
        <f t="shared" si="0"/>
        <v>164000000000016</v>
      </c>
      <c r="P19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32000000000016::bigint, 163000000000003::bigint, null::bigint, null::bigint, null::varchar, null::timestamptz, '1900-12-31 23:59:59+07'::timestamptz, null::bigint);</v>
      </c>
    </row>
    <row r="20" spans="2:16" x14ac:dyDescent="0.2">
      <c r="B20" s="37">
        <f>IF(EXACT(DataLookUp!$B20, ""), "", DataLookUp!$B20)</f>
        <v>32000000000017</v>
      </c>
      <c r="C20" s="38" t="str">
        <f>MAIN!C20</f>
        <v>Ahmad Faiz Haems Muda</v>
      </c>
      <c r="D20" s="91">
        <v>163000000000002</v>
      </c>
      <c r="E20" s="37" t="str">
        <f>IF(EXACT($D20, ""), "", VLOOKUP($D20, [2]DataLookUp!$B$4:$D$15, 2, FALSE ))</f>
        <v>Karyawan Tetap (Purna Waktu)</v>
      </c>
      <c r="F20" s="91">
        <v>111000000000006</v>
      </c>
      <c r="G20" s="37" t="str">
        <f>IF(EXACT($F20, ""), "", VLOOKUP($F20, 'MAIN - OrgDepartment'!$C$3:$D$104, 2, FALSE))</f>
        <v>Human Resource Development</v>
      </c>
      <c r="H20" s="91">
        <v>160000000000006</v>
      </c>
      <c r="I20" s="37" t="str">
        <f>IF(EXACT($H20, ""), "", VLOOKUP($H20, 'MAIN - OrgJobsPos'!$B$2:$C$101, 2, FALSE))</f>
        <v>Manager</v>
      </c>
      <c r="J20" s="67" t="s">
        <v>302</v>
      </c>
      <c r="K20" s="63"/>
      <c r="L20" s="10" t="s">
        <v>3</v>
      </c>
      <c r="M20" s="11"/>
      <c r="O20" s="29">
        <f t="shared" si="0"/>
        <v>164000000000017</v>
      </c>
      <c r="P20" s="30" t="str">
        <f t="shared" si="1"/>
        <v>PERFORM "SchData-OLTP-HumanResource"."Func_TblWorkerCareerInternal_SET"(varSystemLoginSession, null::bigint, null::varchar, null::timestamptz, '9999-12-31 23:59:59+07'::timestamptz, null::varchar, varInstitutionBranchID, varBaseCurrencyID, 32000000000017::bigint, 163000000000002::bigint, 111000000000006::bigint, 160000000000006::bigint, 'HRD Manager'::varchar, null::timestamptz, '9999-12-31 23:59:59+07'::timestamptz, null::bigint);</v>
      </c>
    </row>
    <row r="21" spans="2:16" x14ac:dyDescent="0.2">
      <c r="B21" s="37">
        <f>IF(EXACT(DataLookUp!$B21, ""), "", DataLookUp!$B21)</f>
        <v>32000000000018</v>
      </c>
      <c r="C21" s="38" t="str">
        <f>MAIN!C21</f>
        <v>Ahmad Faza</v>
      </c>
      <c r="D21" s="91">
        <v>163000000000003</v>
      </c>
      <c r="E21" s="37" t="str">
        <f>IF(EXACT($D21, ""), "", VLOOKUP($D21, [2]DataLookUp!$B$4:$D$15, 2, FALSE ))</f>
        <v>Karyawan Tidak Tetap (Kontrak)</v>
      </c>
      <c r="F21" s="91"/>
      <c r="G21" s="37" t="str">
        <f>IF(EXACT($F21, ""), "", VLOOKUP($F21, 'MAIN - OrgDepartment'!$C$3:$D$104, 2, FALSE))</f>
        <v/>
      </c>
      <c r="H21" s="91"/>
      <c r="I21" s="37" t="str">
        <f>IF(EXACT($H21, ""), "", VLOOKUP($H21, 'MAIN - OrgJobsPos'!$B$2:$C$101, 2, FALSE))</f>
        <v/>
      </c>
      <c r="J21" s="67"/>
      <c r="K21" s="63"/>
      <c r="L21" s="10" t="s">
        <v>7</v>
      </c>
      <c r="M21" s="11"/>
      <c r="O21" s="29">
        <f t="shared" si="0"/>
        <v>164000000000018</v>
      </c>
      <c r="P21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32000000000018::bigint, 163000000000003::bigint, null::bigint, null::bigint, null::varchar, null::timestamptz, '1900-12-31 23:59:59+07'::timestamptz, null::bigint);</v>
      </c>
    </row>
    <row r="22" spans="2:16" x14ac:dyDescent="0.2">
      <c r="B22" s="37">
        <f>IF(EXACT(DataLookUp!$B22, ""), "", DataLookUp!$B22)</f>
        <v>32000000000019</v>
      </c>
      <c r="C22" s="38" t="str">
        <f>MAIN!C22</f>
        <v>Ahmad Syaifulloh</v>
      </c>
      <c r="D22" s="91">
        <v>163000000000003</v>
      </c>
      <c r="E22" s="37" t="str">
        <f>IF(EXACT($D22, ""), "", VLOOKUP($D22, [2]DataLookUp!$B$4:$D$15, 2, FALSE ))</f>
        <v>Karyawan Tidak Tetap (Kontrak)</v>
      </c>
      <c r="F22" s="91"/>
      <c r="G22" s="37" t="str">
        <f>IF(EXACT($F22, ""), "", VLOOKUP($F22, 'MAIN - OrgDepartment'!$C$3:$D$104, 2, FALSE))</f>
        <v/>
      </c>
      <c r="H22" s="91"/>
      <c r="I22" s="37" t="str">
        <f>IF(EXACT($H22, ""), "", VLOOKUP($H22, 'MAIN - OrgJobsPos'!$B$2:$C$101, 2, FALSE))</f>
        <v/>
      </c>
      <c r="J22" s="67"/>
      <c r="K22" s="63"/>
      <c r="L22" s="10" t="s">
        <v>7</v>
      </c>
      <c r="M22" s="11"/>
      <c r="O22" s="29">
        <f t="shared" si="0"/>
        <v>164000000000019</v>
      </c>
      <c r="P22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32000000000019::bigint, 163000000000003::bigint, null::bigint, null::bigint, null::varchar, null::timestamptz, '1900-12-31 23:59:59+07'::timestamptz, null::bigint);</v>
      </c>
    </row>
    <row r="23" spans="2:16" x14ac:dyDescent="0.2">
      <c r="B23" s="37">
        <f>IF(EXACT(DataLookUp!$B23, ""), "", DataLookUp!$B23)</f>
        <v>32000000000020</v>
      </c>
      <c r="C23" s="38" t="str">
        <f>MAIN!C23</f>
        <v>Ahmad Zulkarnaen</v>
      </c>
      <c r="D23" s="91">
        <v>163000000000003</v>
      </c>
      <c r="E23" s="37" t="str">
        <f>IF(EXACT($D23, ""), "", VLOOKUP($D23, [2]DataLookUp!$B$4:$D$15, 2, FALSE ))</f>
        <v>Karyawan Tidak Tetap (Kontrak)</v>
      </c>
      <c r="F23" s="91"/>
      <c r="G23" s="37" t="str">
        <f>IF(EXACT($F23, ""), "", VLOOKUP($F23, 'MAIN - OrgDepartment'!$C$3:$D$104, 2, FALSE))</f>
        <v/>
      </c>
      <c r="H23" s="91"/>
      <c r="I23" s="37" t="str">
        <f>IF(EXACT($H23, ""), "", VLOOKUP($H23, 'MAIN - OrgJobsPos'!$B$2:$C$101, 2, FALSE))</f>
        <v/>
      </c>
      <c r="J23" s="67"/>
      <c r="K23" s="63"/>
      <c r="L23" s="10" t="s">
        <v>7</v>
      </c>
      <c r="M23" s="11"/>
      <c r="O23" s="29">
        <f t="shared" si="0"/>
        <v>164000000000020</v>
      </c>
      <c r="P23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32000000000020::bigint, 163000000000003::bigint, null::bigint, null::bigint, null::varchar, null::timestamptz, '1900-12-31 23:59:59+07'::timestamptz, null::bigint);</v>
      </c>
    </row>
    <row r="24" spans="2:16" x14ac:dyDescent="0.2">
      <c r="B24" s="37">
        <f>IF(EXACT(DataLookUp!$B24, ""), "", DataLookUp!$B24)</f>
        <v>32000000000021</v>
      </c>
      <c r="C24" s="38" t="str">
        <f>MAIN!C24</f>
        <v>Ajan</v>
      </c>
      <c r="D24" s="91">
        <v>163000000000003</v>
      </c>
      <c r="E24" s="37" t="str">
        <f>IF(EXACT($D24, ""), "", VLOOKUP($D24, [2]DataLookUp!$B$4:$D$15, 2, FALSE ))</f>
        <v>Karyawan Tidak Tetap (Kontrak)</v>
      </c>
      <c r="F24" s="91"/>
      <c r="G24" s="37" t="str">
        <f>IF(EXACT($F24, ""), "", VLOOKUP($F24, 'MAIN - OrgDepartment'!$C$3:$D$104, 2, FALSE))</f>
        <v/>
      </c>
      <c r="H24" s="91"/>
      <c r="I24" s="37" t="str">
        <f>IF(EXACT($H24, ""), "", VLOOKUP($H24, 'MAIN - OrgJobsPos'!$B$2:$C$101, 2, FALSE))</f>
        <v/>
      </c>
      <c r="J24" s="67"/>
      <c r="K24" s="63"/>
      <c r="L24" s="10" t="s">
        <v>7</v>
      </c>
      <c r="M24" s="11"/>
      <c r="O24" s="29">
        <f t="shared" si="0"/>
        <v>164000000000021</v>
      </c>
      <c r="P24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32000000000021::bigint, 163000000000003::bigint, null::bigint, null::bigint, null::varchar, null::timestamptz, '1900-12-31 23:59:59+07'::timestamptz, null::bigint);</v>
      </c>
    </row>
    <row r="25" spans="2:16" x14ac:dyDescent="0.2">
      <c r="B25" s="37">
        <f>IF(EXACT(DataLookUp!$B25, ""), "", DataLookUp!$B25)</f>
        <v>32000000000022</v>
      </c>
      <c r="C25" s="38" t="str">
        <f>MAIN!C25</f>
        <v>Al Amin</v>
      </c>
      <c r="D25" s="91">
        <v>163000000000003</v>
      </c>
      <c r="E25" s="37" t="str">
        <f>IF(EXACT($D25, ""), "", VLOOKUP($D25, [2]DataLookUp!$B$4:$D$15, 2, FALSE ))</f>
        <v>Karyawan Tidak Tetap (Kontrak)</v>
      </c>
      <c r="F25" s="91"/>
      <c r="G25" s="37" t="str">
        <f>IF(EXACT($F25, ""), "", VLOOKUP($F25, 'MAIN - OrgDepartment'!$C$3:$D$104, 2, FALSE))</f>
        <v/>
      </c>
      <c r="H25" s="91"/>
      <c r="I25" s="37" t="str">
        <f>IF(EXACT($H25, ""), "", VLOOKUP($H25, 'MAIN - OrgJobsPos'!$B$2:$C$101, 2, FALSE))</f>
        <v/>
      </c>
      <c r="J25" s="67"/>
      <c r="K25" s="63"/>
      <c r="L25" s="10" t="s">
        <v>7</v>
      </c>
      <c r="M25" s="11"/>
      <c r="O25" s="29">
        <f t="shared" si="0"/>
        <v>164000000000022</v>
      </c>
      <c r="P25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32000000000022::bigint, 163000000000003::bigint, null::bigint, null::bigint, null::varchar, null::timestamptz, '1900-12-31 23:59:59+07'::timestamptz, null::bigint);</v>
      </c>
    </row>
    <row r="26" spans="2:16" x14ac:dyDescent="0.2">
      <c r="B26" s="37">
        <f>IF(EXACT(DataLookUp!$B26, ""), "", DataLookUp!$B26)</f>
        <v>32000000000023</v>
      </c>
      <c r="C26" s="38" t="str">
        <f>MAIN!C26</f>
        <v>Aldi Mulyadi</v>
      </c>
      <c r="D26" s="91">
        <v>163000000000003</v>
      </c>
      <c r="E26" s="37" t="str">
        <f>IF(EXACT($D26, ""), "", VLOOKUP($D26, [2]DataLookUp!$B$4:$D$15, 2, FALSE ))</f>
        <v>Karyawan Tidak Tetap (Kontrak)</v>
      </c>
      <c r="F26" s="91">
        <v>111000000000003</v>
      </c>
      <c r="G26" s="37" t="str">
        <f>IF(EXACT($F26, ""), "", VLOOKUP($F26, 'MAIN - OrgDepartment'!$C$3:$D$104, 2, FALSE))</f>
        <v>Information Technology</v>
      </c>
      <c r="H26" s="91">
        <v>160000000000003</v>
      </c>
      <c r="I26" s="37" t="str">
        <f>IF(EXACT($H26, ""), "", VLOOKUP($H26, 'MAIN - OrgJobsPos'!$B$2:$C$101, 2, FALSE))</f>
        <v>Staff</v>
      </c>
      <c r="J26" s="67"/>
      <c r="K26" s="63"/>
      <c r="L26" s="10" t="s">
        <v>68</v>
      </c>
      <c r="M26" s="11"/>
      <c r="O26" s="29">
        <f t="shared" si="0"/>
        <v>164000000000023</v>
      </c>
      <c r="P26" s="30" t="str">
        <f t="shared" si="1"/>
        <v>PERFORM "SchData-OLTP-HumanResource"."Func_TblWorkerCareerInternal_SET"(varSystemLoginSession, null::bigint, null::varchar, null::timestamptz, '2024-06-14 23:59:59+07'::timestamptz, null::varchar, varInstitutionBranchID, varBaseCurrencyID, 32000000000023::bigint, 163000000000003::bigint, 111000000000003::bigint, 160000000000003::bigint, null::varchar, null::timestamptz, '2024-06-14 23:59:59+07'::timestamptz, null::bigint);</v>
      </c>
    </row>
    <row r="27" spans="2:16" x14ac:dyDescent="0.2">
      <c r="B27" s="37">
        <f>IF(EXACT(DataLookUp!$B27, ""), "", DataLookUp!$B27)</f>
        <v>32000000000024</v>
      </c>
      <c r="C27" s="38" t="str">
        <f>MAIN!C27</f>
        <v>Alexandri</v>
      </c>
      <c r="D27" s="91">
        <v>163000000000003</v>
      </c>
      <c r="E27" s="37" t="str">
        <f>IF(EXACT($D27, ""), "", VLOOKUP($D27, [2]DataLookUp!$B$4:$D$15, 2, FALSE ))</f>
        <v>Karyawan Tidak Tetap (Kontrak)</v>
      </c>
      <c r="F27" s="91"/>
      <c r="G27" s="37" t="str">
        <f>IF(EXACT($F27, ""), "", VLOOKUP($F27, 'MAIN - OrgDepartment'!$C$3:$D$104, 2, FALSE))</f>
        <v/>
      </c>
      <c r="H27" s="91"/>
      <c r="I27" s="37" t="str">
        <f>IF(EXACT($H27, ""), "", VLOOKUP($H27, 'MAIN - OrgJobsPos'!$B$2:$C$101, 2, FALSE))</f>
        <v/>
      </c>
      <c r="J27" s="67"/>
      <c r="K27" s="63"/>
      <c r="L27" s="10" t="s">
        <v>7</v>
      </c>
      <c r="M27" s="11"/>
      <c r="O27" s="29">
        <f t="shared" si="0"/>
        <v>164000000000024</v>
      </c>
      <c r="P27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32000000000024::bigint, 163000000000003::bigint, null::bigint, null::bigint, null::varchar, null::timestamptz, '1900-12-31 23:59:59+07'::timestamptz, null::bigint);</v>
      </c>
    </row>
    <row r="28" spans="2:16" x14ac:dyDescent="0.2">
      <c r="B28" s="37">
        <f>IF(EXACT(DataLookUp!$B28, ""), "", DataLookUp!$B28)</f>
        <v>32000000000025</v>
      </c>
      <c r="C28" s="38" t="str">
        <f>MAIN!C28</f>
        <v>Alfaedi</v>
      </c>
      <c r="D28" s="91">
        <v>163000000000003</v>
      </c>
      <c r="E28" s="37" t="str">
        <f>IF(EXACT($D28, ""), "", VLOOKUP($D28, [2]DataLookUp!$B$4:$D$15, 2, FALSE ))</f>
        <v>Karyawan Tidak Tetap (Kontrak)</v>
      </c>
      <c r="F28" s="91"/>
      <c r="G28" s="37" t="str">
        <f>IF(EXACT($F28, ""), "", VLOOKUP($F28, 'MAIN - OrgDepartment'!$C$3:$D$104, 2, FALSE))</f>
        <v/>
      </c>
      <c r="H28" s="91"/>
      <c r="I28" s="37" t="str">
        <f>IF(EXACT($H28, ""), "", VLOOKUP($H28, 'MAIN - OrgJobsPos'!$B$2:$C$101, 2, FALSE))</f>
        <v/>
      </c>
      <c r="J28" s="67"/>
      <c r="K28" s="63"/>
      <c r="L28" s="10" t="s">
        <v>7</v>
      </c>
      <c r="M28" s="11"/>
      <c r="O28" s="29">
        <f t="shared" si="0"/>
        <v>164000000000025</v>
      </c>
      <c r="P28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32000000000025::bigint, 163000000000003::bigint, null::bigint, null::bigint, null::varchar, null::timestamptz, '1900-12-31 23:59:59+07'::timestamptz, null::bigint);</v>
      </c>
    </row>
    <row r="29" spans="2:16" x14ac:dyDescent="0.2">
      <c r="B29" s="37">
        <f>IF(EXACT(DataLookUp!$B29, ""), "", DataLookUp!$B29)</f>
        <v>32000000000026</v>
      </c>
      <c r="C29" s="38" t="str">
        <f>MAIN!C29</f>
        <v>Ali Wahono</v>
      </c>
      <c r="D29" s="91">
        <v>163000000000003</v>
      </c>
      <c r="E29" s="37" t="str">
        <f>IF(EXACT($D29, ""), "", VLOOKUP($D29, [2]DataLookUp!$B$4:$D$15, 2, FALSE ))</f>
        <v>Karyawan Tidak Tetap (Kontrak)</v>
      </c>
      <c r="F29" s="91"/>
      <c r="G29" s="37" t="str">
        <f>IF(EXACT($F29, ""), "", VLOOKUP($F29, 'MAIN - OrgDepartment'!$C$3:$D$104, 2, FALSE))</f>
        <v/>
      </c>
      <c r="H29" s="91"/>
      <c r="I29" s="37" t="str">
        <f>IF(EXACT($H29, ""), "", VLOOKUP($H29, 'MAIN - OrgJobsPos'!$B$2:$C$101, 2, FALSE))</f>
        <v/>
      </c>
      <c r="J29" s="67"/>
      <c r="K29" s="63"/>
      <c r="L29" s="10" t="s">
        <v>7</v>
      </c>
      <c r="M29" s="11"/>
      <c r="O29" s="29">
        <f t="shared" si="0"/>
        <v>164000000000026</v>
      </c>
      <c r="P29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32000000000026::bigint, 163000000000003::bigint, null::bigint, null::bigint, null::varchar, null::timestamptz, '1900-12-31 23:59:59+07'::timestamptz, null::bigint);</v>
      </c>
    </row>
    <row r="30" spans="2:16" x14ac:dyDescent="0.2">
      <c r="B30" s="37">
        <f>IF(EXACT(DataLookUp!$B30, ""), "", DataLookUp!$B30)</f>
        <v>32000000000027</v>
      </c>
      <c r="C30" s="38" t="str">
        <f>MAIN!C30</f>
        <v>Alphaliyanri Lasria</v>
      </c>
      <c r="D30" s="91">
        <v>163000000000003</v>
      </c>
      <c r="E30" s="37" t="str">
        <f>IF(EXACT($D30, ""), "", VLOOKUP($D30, [2]DataLookUp!$B$4:$D$15, 2, FALSE ))</f>
        <v>Karyawan Tidak Tetap (Kontrak)</v>
      </c>
      <c r="F30" s="91"/>
      <c r="G30" s="37" t="str">
        <f>IF(EXACT($F30, ""), "", VLOOKUP($F30, 'MAIN - OrgDepartment'!$C$3:$D$104, 2, FALSE))</f>
        <v/>
      </c>
      <c r="H30" s="91"/>
      <c r="I30" s="37" t="str">
        <f>IF(EXACT($H30, ""), "", VLOOKUP($H30, 'MAIN - OrgJobsPos'!$B$2:$C$101, 2, FALSE))</f>
        <v/>
      </c>
      <c r="J30" s="67"/>
      <c r="K30" s="63"/>
      <c r="L30" s="10" t="s">
        <v>7</v>
      </c>
      <c r="M30" s="11"/>
      <c r="O30" s="29">
        <f t="shared" si="0"/>
        <v>164000000000027</v>
      </c>
      <c r="P30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32000000000027::bigint, 163000000000003::bigint, null::bigint, null::bigint, null::varchar, null::timestamptz, '1900-12-31 23:59:59+07'::timestamptz, null::bigint);</v>
      </c>
    </row>
    <row r="31" spans="2:16" x14ac:dyDescent="0.2">
      <c r="B31" s="37">
        <f>IF(EXACT(DataLookUp!$B31, ""), "", DataLookUp!$B31)</f>
        <v>32000000000028</v>
      </c>
      <c r="C31" s="38" t="str">
        <f>MAIN!C31</f>
        <v>Ambon Rumalean</v>
      </c>
      <c r="D31" s="91">
        <v>163000000000003</v>
      </c>
      <c r="E31" s="37" t="str">
        <f>IF(EXACT($D31, ""), "", VLOOKUP($D31, [2]DataLookUp!$B$4:$D$15, 2, FALSE ))</f>
        <v>Karyawan Tidak Tetap (Kontrak)</v>
      </c>
      <c r="F31" s="91"/>
      <c r="G31" s="37" t="str">
        <f>IF(EXACT($F31, ""), "", VLOOKUP($F31, 'MAIN - OrgDepartment'!$C$3:$D$104, 2, FALSE))</f>
        <v/>
      </c>
      <c r="H31" s="91"/>
      <c r="I31" s="37" t="str">
        <f>IF(EXACT($H31, ""), "", VLOOKUP($H31, 'MAIN - OrgJobsPos'!$B$2:$C$101, 2, FALSE))</f>
        <v/>
      </c>
      <c r="J31" s="67"/>
      <c r="K31" s="63"/>
      <c r="L31" s="10" t="s">
        <v>7</v>
      </c>
      <c r="M31" s="11"/>
      <c r="O31" s="29">
        <f t="shared" si="0"/>
        <v>164000000000028</v>
      </c>
      <c r="P31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32000000000028::bigint, 163000000000003::bigint, null::bigint, null::bigint, null::varchar, null::timestamptz, '1900-12-31 23:59:59+07'::timestamptz, null::bigint);</v>
      </c>
    </row>
    <row r="32" spans="2:16" x14ac:dyDescent="0.2">
      <c r="B32" s="37">
        <f>IF(EXACT(DataLookUp!$B32, ""), "", DataLookUp!$B32)</f>
        <v>32000000000029</v>
      </c>
      <c r="C32" s="38" t="str">
        <f>MAIN!C32</f>
        <v>Amir Sofyan Hadi</v>
      </c>
      <c r="D32" s="91">
        <v>163000000000003</v>
      </c>
      <c r="E32" s="37" t="str">
        <f>IF(EXACT($D32, ""), "", VLOOKUP($D32, [2]DataLookUp!$B$4:$D$15, 2, FALSE ))</f>
        <v>Karyawan Tidak Tetap (Kontrak)</v>
      </c>
      <c r="F32" s="91"/>
      <c r="G32" s="37" t="str">
        <f>IF(EXACT($F32, ""), "", VLOOKUP($F32, 'MAIN - OrgDepartment'!$C$3:$D$104, 2, FALSE))</f>
        <v/>
      </c>
      <c r="H32" s="91"/>
      <c r="I32" s="37" t="str">
        <f>IF(EXACT($H32, ""), "", VLOOKUP($H32, 'MAIN - OrgJobsPos'!$B$2:$C$101, 2, FALSE))</f>
        <v/>
      </c>
      <c r="J32" s="67"/>
      <c r="K32" s="63"/>
      <c r="L32" s="10" t="s">
        <v>7</v>
      </c>
      <c r="M32" s="11"/>
      <c r="O32" s="29">
        <f t="shared" si="0"/>
        <v>164000000000029</v>
      </c>
      <c r="P32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32000000000029::bigint, 163000000000003::bigint, null::bigint, null::bigint, null::varchar, null::timestamptz, '1900-12-31 23:59:59+07'::timestamptz, null::bigint);</v>
      </c>
    </row>
    <row r="33" spans="2:16" x14ac:dyDescent="0.2">
      <c r="B33" s="37">
        <f>IF(EXACT(DataLookUp!$B33, ""), "", DataLookUp!$B33)</f>
        <v>32000000000030</v>
      </c>
      <c r="C33" s="38" t="str">
        <f>MAIN!C33</f>
        <v>Anak Agung Netti Ariani</v>
      </c>
      <c r="D33" s="91">
        <v>163000000000003</v>
      </c>
      <c r="E33" s="37" t="str">
        <f>IF(EXACT($D33, ""), "", VLOOKUP($D33, [2]DataLookUp!$B$4:$D$15, 2, FALSE ))</f>
        <v>Karyawan Tidak Tetap (Kontrak)</v>
      </c>
      <c r="F33" s="91"/>
      <c r="G33" s="37" t="str">
        <f>IF(EXACT($F33, ""), "", VLOOKUP($F33, 'MAIN - OrgDepartment'!$C$3:$D$104, 2, FALSE))</f>
        <v/>
      </c>
      <c r="H33" s="91"/>
      <c r="I33" s="37" t="str">
        <f>IF(EXACT($H33, ""), "", VLOOKUP($H33, 'MAIN - OrgJobsPos'!$B$2:$C$101, 2, FALSE))</f>
        <v/>
      </c>
      <c r="J33" s="67"/>
      <c r="K33" s="63"/>
      <c r="L33" s="10" t="s">
        <v>7</v>
      </c>
      <c r="M33" s="11"/>
      <c r="O33" s="29">
        <f t="shared" si="0"/>
        <v>164000000000030</v>
      </c>
      <c r="P33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32000000000030::bigint, 163000000000003::bigint, null::bigint, null::bigint, null::varchar, null::timestamptz, '1900-12-31 23:59:59+07'::timestamptz, null::bigint);</v>
      </c>
    </row>
    <row r="34" spans="2:16" x14ac:dyDescent="0.2">
      <c r="B34" s="37">
        <f>IF(EXACT(DataLookUp!$B34, ""), "", DataLookUp!$B34)</f>
        <v>32000000000031</v>
      </c>
      <c r="C34" s="38" t="str">
        <f>MAIN!C34</f>
        <v>Andri Gunawan</v>
      </c>
      <c r="D34" s="91">
        <v>163000000000003</v>
      </c>
      <c r="E34" s="37" t="str">
        <f>IF(EXACT($D34, ""), "", VLOOKUP($D34, [2]DataLookUp!$B$4:$D$15, 2, FALSE ))</f>
        <v>Karyawan Tidak Tetap (Kontrak)</v>
      </c>
      <c r="F34" s="91"/>
      <c r="G34" s="37" t="str">
        <f>IF(EXACT($F34, ""), "", VLOOKUP($F34, 'MAIN - OrgDepartment'!$C$3:$D$104, 2, FALSE))</f>
        <v/>
      </c>
      <c r="H34" s="91"/>
      <c r="I34" s="37" t="str">
        <f>IF(EXACT($H34, ""), "", VLOOKUP($H34, 'MAIN - OrgJobsPos'!$B$2:$C$101, 2, FALSE))</f>
        <v/>
      </c>
      <c r="J34" s="67"/>
      <c r="K34" s="63"/>
      <c r="L34" s="10" t="s">
        <v>7</v>
      </c>
      <c r="M34" s="11"/>
      <c r="O34" s="29">
        <f t="shared" si="0"/>
        <v>164000000000031</v>
      </c>
      <c r="P34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32000000000031::bigint, 163000000000003::bigint, null::bigint, null::bigint, null::varchar, null::timestamptz, '1900-12-31 23:59:59+07'::timestamptz, null::bigint);</v>
      </c>
    </row>
    <row r="35" spans="2:16" x14ac:dyDescent="0.2">
      <c r="B35" s="37">
        <f>IF(EXACT(DataLookUp!$B35, ""), "", DataLookUp!$B35)</f>
        <v>32000000000032</v>
      </c>
      <c r="C35" s="38" t="str">
        <f>MAIN!C35</f>
        <v>Andri Herdiansyah</v>
      </c>
      <c r="D35" s="91">
        <v>163000000000003</v>
      </c>
      <c r="E35" s="37" t="str">
        <f>IF(EXACT($D35, ""), "", VLOOKUP($D35, [2]DataLookUp!$B$4:$D$15, 2, FALSE ))</f>
        <v>Karyawan Tidak Tetap (Kontrak)</v>
      </c>
      <c r="F35" s="91"/>
      <c r="G35" s="37" t="str">
        <f>IF(EXACT($F35, ""), "", VLOOKUP($F35, 'MAIN - OrgDepartment'!$C$3:$D$104, 2, FALSE))</f>
        <v/>
      </c>
      <c r="H35" s="91"/>
      <c r="I35" s="37" t="str">
        <f>IF(EXACT($H35, ""), "", VLOOKUP($H35, 'MAIN - OrgJobsPos'!$B$2:$C$101, 2, FALSE))</f>
        <v/>
      </c>
      <c r="J35" s="67"/>
      <c r="K35" s="63"/>
      <c r="L35" s="10" t="s">
        <v>7</v>
      </c>
      <c r="M35" s="11"/>
      <c r="O35" s="29">
        <f t="shared" si="0"/>
        <v>164000000000032</v>
      </c>
      <c r="P35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32000000000032::bigint, 163000000000003::bigint, null::bigint, null::bigint, null::varchar, null::timestamptz, '1900-12-31 23:59:59+07'::timestamptz, null::bigint);</v>
      </c>
    </row>
    <row r="36" spans="2:16" x14ac:dyDescent="0.2">
      <c r="B36" s="37">
        <f>IF(EXACT(DataLookUp!$B36, ""), "", DataLookUp!$B36)</f>
        <v>32000000000033</v>
      </c>
      <c r="C36" s="38" t="str">
        <f>MAIN!C36</f>
        <v>Andrie</v>
      </c>
      <c r="D36" s="91">
        <v>163000000000003</v>
      </c>
      <c r="E36" s="37" t="str">
        <f>IF(EXACT($D36, ""), "", VLOOKUP($D36, [2]DataLookUp!$B$4:$D$15, 2, FALSE ))</f>
        <v>Karyawan Tidak Tetap (Kontrak)</v>
      </c>
      <c r="F36" s="91"/>
      <c r="G36" s="37" t="str">
        <f>IF(EXACT($F36, ""), "", VLOOKUP($F36, 'MAIN - OrgDepartment'!$C$3:$D$104, 2, FALSE))</f>
        <v/>
      </c>
      <c r="H36" s="91"/>
      <c r="I36" s="37" t="str">
        <f>IF(EXACT($H36, ""), "", VLOOKUP($H36, 'MAIN - OrgJobsPos'!$B$2:$C$101, 2, FALSE))</f>
        <v/>
      </c>
      <c r="J36" s="67"/>
      <c r="K36" s="63"/>
      <c r="L36" s="10" t="s">
        <v>7</v>
      </c>
      <c r="M36" s="11"/>
      <c r="O36" s="29">
        <f t="shared" si="0"/>
        <v>164000000000033</v>
      </c>
      <c r="P36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32000000000033::bigint, 163000000000003::bigint, null::bigint, null::bigint, null::varchar, null::timestamptz, '1900-12-31 23:59:59+07'::timestamptz, null::bigint);</v>
      </c>
    </row>
    <row r="37" spans="2:16" x14ac:dyDescent="0.2">
      <c r="B37" s="37">
        <f>IF(EXACT(DataLookUp!$B37, ""), "", DataLookUp!$B37)</f>
        <v>32000000000034</v>
      </c>
      <c r="C37" s="38" t="str">
        <f>MAIN!C37</f>
        <v>Anggina Tri Yudandi</v>
      </c>
      <c r="D37" s="91">
        <v>163000000000003</v>
      </c>
      <c r="E37" s="37" t="str">
        <f>IF(EXACT($D37, ""), "", VLOOKUP($D37, [2]DataLookUp!$B$4:$D$15, 2, FALSE ))</f>
        <v>Karyawan Tidak Tetap (Kontrak)</v>
      </c>
      <c r="F37" s="91"/>
      <c r="G37" s="37" t="str">
        <f>IF(EXACT($F37, ""), "", VLOOKUP($F37, 'MAIN - OrgDepartment'!$C$3:$D$104, 2, FALSE))</f>
        <v/>
      </c>
      <c r="H37" s="91"/>
      <c r="I37" s="37" t="str">
        <f>IF(EXACT($H37, ""), "", VLOOKUP($H37, 'MAIN - OrgJobsPos'!$B$2:$C$101, 2, FALSE))</f>
        <v/>
      </c>
      <c r="J37" s="67"/>
      <c r="K37" s="63"/>
      <c r="L37" s="10" t="s">
        <v>7</v>
      </c>
      <c r="M37" s="11"/>
      <c r="O37" s="29">
        <f t="shared" si="0"/>
        <v>164000000000034</v>
      </c>
      <c r="P37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32000000000034::bigint, 163000000000003::bigint, null::bigint, null::bigint, null::varchar, null::timestamptz, '1900-12-31 23:59:59+07'::timestamptz, null::bigint);</v>
      </c>
    </row>
    <row r="38" spans="2:16" x14ac:dyDescent="0.2">
      <c r="B38" s="37">
        <f>IF(EXACT(DataLookUp!$B38, ""), "", DataLookUp!$B38)</f>
        <v>32000000000035</v>
      </c>
      <c r="C38" s="38" t="str">
        <f>MAIN!C38</f>
        <v>Anggit Ismiyanto</v>
      </c>
      <c r="D38" s="91">
        <v>163000000000003</v>
      </c>
      <c r="E38" s="37" t="str">
        <f>IF(EXACT($D38, ""), "", VLOOKUP($D38, [2]DataLookUp!$B$4:$D$15, 2, FALSE ))</f>
        <v>Karyawan Tidak Tetap (Kontrak)</v>
      </c>
      <c r="F38" s="91"/>
      <c r="G38" s="37" t="str">
        <f>IF(EXACT($F38, ""), "", VLOOKUP($F38, 'MAIN - OrgDepartment'!$C$3:$D$104, 2, FALSE))</f>
        <v/>
      </c>
      <c r="H38" s="91"/>
      <c r="I38" s="37" t="str">
        <f>IF(EXACT($H38, ""), "", VLOOKUP($H38, 'MAIN - OrgJobsPos'!$B$2:$C$101, 2, FALSE))</f>
        <v/>
      </c>
      <c r="J38" s="67"/>
      <c r="K38" s="63"/>
      <c r="L38" s="10" t="s">
        <v>7</v>
      </c>
      <c r="M38" s="11"/>
      <c r="O38" s="29">
        <f t="shared" si="0"/>
        <v>164000000000035</v>
      </c>
      <c r="P38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32000000000035::bigint, 163000000000003::bigint, null::bigint, null::bigint, null::varchar, null::timestamptz, '1900-12-31 23:59:59+07'::timestamptz, null::bigint);</v>
      </c>
    </row>
    <row r="39" spans="2:16" x14ac:dyDescent="0.2">
      <c r="B39" s="37">
        <f>IF(EXACT(DataLookUp!$B39, ""), "", DataLookUp!$B39)</f>
        <v>32000000000036</v>
      </c>
      <c r="C39" s="38" t="str">
        <f>MAIN!C39</f>
        <v>Anika Setyowati</v>
      </c>
      <c r="D39" s="91">
        <v>163000000000003</v>
      </c>
      <c r="E39" s="37" t="str">
        <f>IF(EXACT($D39, ""), "", VLOOKUP($D39, [2]DataLookUp!$B$4:$D$15, 2, FALSE ))</f>
        <v>Karyawan Tidak Tetap (Kontrak)</v>
      </c>
      <c r="F39" s="91"/>
      <c r="G39" s="37" t="str">
        <f>IF(EXACT($F39, ""), "", VLOOKUP($F39, 'MAIN - OrgDepartment'!$C$3:$D$104, 2, FALSE))</f>
        <v/>
      </c>
      <c r="H39" s="91"/>
      <c r="I39" s="37" t="str">
        <f>IF(EXACT($H39, ""), "", VLOOKUP($H39, 'MAIN - OrgJobsPos'!$B$2:$C$101, 2, FALSE))</f>
        <v/>
      </c>
      <c r="J39" s="67"/>
      <c r="K39" s="63"/>
      <c r="L39" s="10" t="s">
        <v>7</v>
      </c>
      <c r="M39" s="11"/>
      <c r="O39" s="29">
        <f t="shared" si="0"/>
        <v>164000000000036</v>
      </c>
      <c r="P39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32000000000036::bigint, 163000000000003::bigint, null::bigint, null::bigint, null::varchar, null::timestamptz, '1900-12-31 23:59:59+07'::timestamptz, null::bigint);</v>
      </c>
    </row>
    <row r="40" spans="2:16" x14ac:dyDescent="0.2">
      <c r="B40" s="37">
        <f>IF(EXACT(DataLookUp!$B40, ""), "", DataLookUp!$B40)</f>
        <v>32000000000037</v>
      </c>
      <c r="C40" s="38" t="str">
        <f>MAIN!C40</f>
        <v>Anisah</v>
      </c>
      <c r="D40" s="91">
        <v>163000000000003</v>
      </c>
      <c r="E40" s="37" t="str">
        <f>IF(EXACT($D40, ""), "", VLOOKUP($D40, [2]DataLookUp!$B$4:$D$15, 2, FALSE ))</f>
        <v>Karyawan Tidak Tetap (Kontrak)</v>
      </c>
      <c r="F40" s="91"/>
      <c r="G40" s="37" t="str">
        <f>IF(EXACT($F40, ""), "", VLOOKUP($F40, 'MAIN - OrgDepartment'!$C$3:$D$104, 2, FALSE))</f>
        <v/>
      </c>
      <c r="H40" s="91"/>
      <c r="I40" s="37" t="str">
        <f>IF(EXACT($H40, ""), "", VLOOKUP($H40, 'MAIN - OrgJobsPos'!$B$2:$C$101, 2, FALSE))</f>
        <v/>
      </c>
      <c r="J40" s="67"/>
      <c r="K40" s="63"/>
      <c r="L40" s="10" t="s">
        <v>7</v>
      </c>
      <c r="M40" s="11"/>
      <c r="O40" s="29">
        <f t="shared" si="0"/>
        <v>164000000000037</v>
      </c>
      <c r="P40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32000000000037::bigint, 163000000000003::bigint, null::bigint, null::bigint, null::varchar, null::timestamptz, '1900-12-31 23:59:59+07'::timestamptz, null::bigint);</v>
      </c>
    </row>
    <row r="41" spans="2:16" x14ac:dyDescent="0.2">
      <c r="B41" s="37">
        <f>IF(EXACT(DataLookUp!$B41, ""), "", DataLookUp!$B41)</f>
        <v>32000000000038</v>
      </c>
      <c r="C41" s="38" t="str">
        <f>MAIN!C41</f>
        <v>Anna Savitrie</v>
      </c>
      <c r="D41" s="91">
        <v>163000000000003</v>
      </c>
      <c r="E41" s="37" t="str">
        <f>IF(EXACT($D41, ""), "", VLOOKUP($D41, [2]DataLookUp!$B$4:$D$15, 2, FALSE ))</f>
        <v>Karyawan Tidak Tetap (Kontrak)</v>
      </c>
      <c r="F41" s="91"/>
      <c r="G41" s="37" t="str">
        <f>IF(EXACT($F41, ""), "", VLOOKUP($F41, 'MAIN - OrgDepartment'!$C$3:$D$104, 2, FALSE))</f>
        <v/>
      </c>
      <c r="H41" s="91"/>
      <c r="I41" s="37" t="str">
        <f>IF(EXACT($H41, ""), "", VLOOKUP($H41, 'MAIN - OrgJobsPos'!$B$2:$C$101, 2, FALSE))</f>
        <v/>
      </c>
      <c r="J41" s="67"/>
      <c r="K41" s="63"/>
      <c r="L41" s="10" t="s">
        <v>7</v>
      </c>
      <c r="M41" s="11"/>
      <c r="O41" s="29">
        <f t="shared" si="0"/>
        <v>164000000000038</v>
      </c>
      <c r="P41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32000000000038::bigint, 163000000000003::bigint, null::bigint, null::bigint, null::varchar, null::timestamptz, '1900-12-31 23:59:59+07'::timestamptz, null::bigint);</v>
      </c>
    </row>
    <row r="42" spans="2:16" x14ac:dyDescent="0.2">
      <c r="B42" s="37">
        <f>IF(EXACT(DataLookUp!$B42, ""), "", DataLookUp!$B42)</f>
        <v>32000000000039</v>
      </c>
      <c r="C42" s="38" t="str">
        <f>MAIN!C42</f>
        <v>Annisa Dewi Arumsari</v>
      </c>
      <c r="D42" s="91">
        <v>163000000000003</v>
      </c>
      <c r="E42" s="37" t="str">
        <f>IF(EXACT($D42, ""), "", VLOOKUP($D42, [2]DataLookUp!$B$4:$D$15, 2, FALSE ))</f>
        <v>Karyawan Tidak Tetap (Kontrak)</v>
      </c>
      <c r="F42" s="91"/>
      <c r="G42" s="37" t="str">
        <f>IF(EXACT($F42, ""), "", VLOOKUP($F42, 'MAIN - OrgDepartment'!$C$3:$D$104, 2, FALSE))</f>
        <v/>
      </c>
      <c r="H42" s="91"/>
      <c r="I42" s="37" t="str">
        <f>IF(EXACT($H42, ""), "", VLOOKUP($H42, 'MAIN - OrgJobsPos'!$B$2:$C$101, 2, FALSE))</f>
        <v/>
      </c>
      <c r="J42" s="67"/>
      <c r="K42" s="63"/>
      <c r="L42" s="10" t="s">
        <v>3</v>
      </c>
      <c r="M42" s="11"/>
      <c r="O42" s="29">
        <f t="shared" si="0"/>
        <v>164000000000039</v>
      </c>
      <c r="P42" s="30" t="str">
        <f t="shared" si="1"/>
        <v>PERFORM "SchData-OLTP-HumanResource"."Func_TblWorkerCareerInternal_SET"(varSystemLoginSession, null::bigint, null::varchar, null::timestamptz, '9999-12-31 23:59:59+07'::timestamptz, null::varchar, varInstitutionBranchID, varBaseCurrencyID, 32000000000039::bigint, 163000000000003::bigint, null::bigint, null::bigint, null::varchar, null::timestamptz, '9999-12-31 23:59:59+07'::timestamptz, null::bigint);</v>
      </c>
    </row>
    <row r="43" spans="2:16" x14ac:dyDescent="0.2">
      <c r="B43" s="37">
        <f>IF(EXACT(DataLookUp!$B43, ""), "", DataLookUp!$B43)</f>
        <v>32000000000040</v>
      </c>
      <c r="C43" s="38" t="str">
        <f>MAIN!C43</f>
        <v>Annyes Sri Maristi</v>
      </c>
      <c r="D43" s="91">
        <v>163000000000003</v>
      </c>
      <c r="E43" s="37" t="str">
        <f>IF(EXACT($D43, ""), "", VLOOKUP($D43, [2]DataLookUp!$B$4:$D$15, 2, FALSE ))</f>
        <v>Karyawan Tidak Tetap (Kontrak)</v>
      </c>
      <c r="F43" s="91"/>
      <c r="G43" s="37" t="str">
        <f>IF(EXACT($F43, ""), "", VLOOKUP($F43, 'MAIN - OrgDepartment'!$C$3:$D$104, 2, FALSE))</f>
        <v/>
      </c>
      <c r="H43" s="91"/>
      <c r="I43" s="37" t="str">
        <f>IF(EXACT($H43, ""), "", VLOOKUP($H43, 'MAIN - OrgJobsPos'!$B$2:$C$101, 2, FALSE))</f>
        <v/>
      </c>
      <c r="J43" s="67"/>
      <c r="K43" s="63"/>
      <c r="L43" s="10" t="s">
        <v>7</v>
      </c>
      <c r="M43" s="11"/>
      <c r="O43" s="29">
        <f t="shared" si="0"/>
        <v>164000000000040</v>
      </c>
      <c r="P43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32000000000040::bigint, 163000000000003::bigint, null::bigint, null::bigint, null::varchar, null::timestamptz, '1900-12-31 23:59:59+07'::timestamptz, null::bigint);</v>
      </c>
    </row>
    <row r="44" spans="2:16" x14ac:dyDescent="0.2">
      <c r="B44" s="37">
        <f>IF(EXACT(DataLookUp!$B44, ""), "", DataLookUp!$B44)</f>
        <v>32000000000041</v>
      </c>
      <c r="C44" s="38" t="str">
        <f>MAIN!C44</f>
        <v>Antok</v>
      </c>
      <c r="D44" s="91">
        <v>163000000000003</v>
      </c>
      <c r="E44" s="37" t="str">
        <f>IF(EXACT($D44, ""), "", VLOOKUP($D44, [2]DataLookUp!$B$4:$D$15, 2, FALSE ))</f>
        <v>Karyawan Tidak Tetap (Kontrak)</v>
      </c>
      <c r="F44" s="91"/>
      <c r="G44" s="37" t="str">
        <f>IF(EXACT($F44, ""), "", VLOOKUP($F44, 'MAIN - OrgDepartment'!$C$3:$D$104, 2, FALSE))</f>
        <v/>
      </c>
      <c r="H44" s="91"/>
      <c r="I44" s="37" t="str">
        <f>IF(EXACT($H44, ""), "", VLOOKUP($H44, 'MAIN - OrgJobsPos'!$B$2:$C$101, 2, FALSE))</f>
        <v/>
      </c>
      <c r="J44" s="67"/>
      <c r="K44" s="63"/>
      <c r="L44" s="10" t="s">
        <v>7</v>
      </c>
      <c r="M44" s="11"/>
      <c r="O44" s="29">
        <f t="shared" si="0"/>
        <v>164000000000041</v>
      </c>
      <c r="P44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32000000000041::bigint, 163000000000003::bigint, null::bigint, null::bigint, null::varchar, null::timestamptz, '1900-12-31 23:59:59+07'::timestamptz, null::bigint);</v>
      </c>
    </row>
    <row r="45" spans="2:16" x14ac:dyDescent="0.2">
      <c r="B45" s="37">
        <f>IF(EXACT(DataLookUp!$B45, ""), "", DataLookUp!$B45)</f>
        <v>32000000000042</v>
      </c>
      <c r="C45" s="38" t="str">
        <f>MAIN!C45</f>
        <v>Anton Iryanto</v>
      </c>
      <c r="D45" s="91">
        <v>163000000000003</v>
      </c>
      <c r="E45" s="37" t="str">
        <f>IF(EXACT($D45, ""), "", VLOOKUP($D45, [2]DataLookUp!$B$4:$D$15, 2, FALSE ))</f>
        <v>Karyawan Tidak Tetap (Kontrak)</v>
      </c>
      <c r="F45" s="91"/>
      <c r="G45" s="37" t="str">
        <f>IF(EXACT($F45, ""), "", VLOOKUP($F45, 'MAIN - OrgDepartment'!$C$3:$D$104, 2, FALSE))</f>
        <v/>
      </c>
      <c r="H45" s="91"/>
      <c r="I45" s="37" t="str">
        <f>IF(EXACT($H45, ""), "", VLOOKUP($H45, 'MAIN - OrgJobsPos'!$B$2:$C$101, 2, FALSE))</f>
        <v/>
      </c>
      <c r="J45" s="67"/>
      <c r="K45" s="63"/>
      <c r="L45" s="10" t="s">
        <v>7</v>
      </c>
      <c r="M45" s="11"/>
      <c r="O45" s="29">
        <f t="shared" si="0"/>
        <v>164000000000042</v>
      </c>
      <c r="P45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32000000000042::bigint, 163000000000003::bigint, null::bigint, null::bigint, null::varchar, null::timestamptz, '1900-12-31 23:59:59+07'::timestamptz, null::bigint);</v>
      </c>
    </row>
    <row r="46" spans="2:16" x14ac:dyDescent="0.2">
      <c r="B46" s="37">
        <f>IF(EXACT(DataLookUp!$B46, ""), "", DataLookUp!$B46)</f>
        <v>32000000000043</v>
      </c>
      <c r="C46" s="38" t="str">
        <f>MAIN!C46</f>
        <v>Antony Pakpahan</v>
      </c>
      <c r="D46" s="91">
        <v>163000000000003</v>
      </c>
      <c r="E46" s="37" t="str">
        <f>IF(EXACT($D46, ""), "", VLOOKUP($D46, [2]DataLookUp!$B$4:$D$15, 2, FALSE ))</f>
        <v>Karyawan Tidak Tetap (Kontrak)</v>
      </c>
      <c r="F46" s="91"/>
      <c r="G46" s="37" t="str">
        <f>IF(EXACT($F46, ""), "", VLOOKUP($F46, 'MAIN - OrgDepartment'!$C$3:$D$104, 2, FALSE))</f>
        <v/>
      </c>
      <c r="H46" s="91"/>
      <c r="I46" s="37" t="str">
        <f>IF(EXACT($H46, ""), "", VLOOKUP($H46, 'MAIN - OrgJobsPos'!$B$2:$C$101, 2, FALSE))</f>
        <v/>
      </c>
      <c r="J46" s="67"/>
      <c r="K46" s="63"/>
      <c r="L46" s="10" t="s">
        <v>7</v>
      </c>
      <c r="M46" s="11"/>
      <c r="O46" s="29">
        <f t="shared" si="0"/>
        <v>164000000000043</v>
      </c>
      <c r="P46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32000000000043::bigint, 163000000000003::bigint, null::bigint, null::bigint, null::varchar, null::timestamptz, '1900-12-31 23:59:59+07'::timestamptz, null::bigint);</v>
      </c>
    </row>
    <row r="47" spans="2:16" x14ac:dyDescent="0.2">
      <c r="B47" s="37">
        <f>IF(EXACT(DataLookUp!$B47, ""), "", DataLookUp!$B47)</f>
        <v>32000000000044</v>
      </c>
      <c r="C47" s="38" t="str">
        <f>MAIN!C47</f>
        <v>Anugerah Januariansyah</v>
      </c>
      <c r="D47" s="91">
        <v>163000000000003</v>
      </c>
      <c r="E47" s="37" t="str">
        <f>IF(EXACT($D47, ""), "", VLOOKUP($D47, [2]DataLookUp!$B$4:$D$15, 2, FALSE ))</f>
        <v>Karyawan Tidak Tetap (Kontrak)</v>
      </c>
      <c r="F47" s="91"/>
      <c r="G47" s="37" t="str">
        <f>IF(EXACT($F47, ""), "", VLOOKUP($F47, 'MAIN - OrgDepartment'!$C$3:$D$104, 2, FALSE))</f>
        <v/>
      </c>
      <c r="H47" s="91"/>
      <c r="I47" s="37" t="str">
        <f>IF(EXACT($H47, ""), "", VLOOKUP($H47, 'MAIN - OrgJobsPos'!$B$2:$C$101, 2, FALSE))</f>
        <v/>
      </c>
      <c r="J47" s="67"/>
      <c r="K47" s="63"/>
      <c r="L47" s="10" t="s">
        <v>3</v>
      </c>
      <c r="M47" s="11"/>
      <c r="O47" s="29">
        <f t="shared" si="0"/>
        <v>164000000000044</v>
      </c>
      <c r="P47" s="30" t="str">
        <f t="shared" si="1"/>
        <v>PERFORM "SchData-OLTP-HumanResource"."Func_TblWorkerCareerInternal_SET"(varSystemLoginSession, null::bigint, null::varchar, null::timestamptz, '9999-12-31 23:59:59+07'::timestamptz, null::varchar, varInstitutionBranchID, varBaseCurrencyID, 32000000000044::bigint, 163000000000003::bigint, null::bigint, null::bigint, null::varchar, null::timestamptz, '9999-12-31 23:59:59+07'::timestamptz, null::bigint);</v>
      </c>
    </row>
    <row r="48" spans="2:16" x14ac:dyDescent="0.2">
      <c r="B48" s="37">
        <f>IF(EXACT(DataLookUp!$B48, ""), "", DataLookUp!$B48)</f>
        <v>32000000000045</v>
      </c>
      <c r="C48" s="38" t="str">
        <f>MAIN!C48</f>
        <v>Anwar Purnomo</v>
      </c>
      <c r="D48" s="91">
        <v>163000000000003</v>
      </c>
      <c r="E48" s="37" t="str">
        <f>IF(EXACT($D48, ""), "", VLOOKUP($D48, [2]DataLookUp!$B$4:$D$15, 2, FALSE ))</f>
        <v>Karyawan Tidak Tetap (Kontrak)</v>
      </c>
      <c r="F48" s="91"/>
      <c r="G48" s="37" t="str">
        <f>IF(EXACT($F48, ""), "", VLOOKUP($F48, 'MAIN - OrgDepartment'!$C$3:$D$104, 2, FALSE))</f>
        <v/>
      </c>
      <c r="H48" s="91"/>
      <c r="I48" s="37" t="str">
        <f>IF(EXACT($H48, ""), "", VLOOKUP($H48, 'MAIN - OrgJobsPos'!$B$2:$C$101, 2, FALSE))</f>
        <v/>
      </c>
      <c r="J48" s="67"/>
      <c r="K48" s="63"/>
      <c r="L48" s="10" t="s">
        <v>7</v>
      </c>
      <c r="M48" s="11"/>
      <c r="O48" s="29">
        <f t="shared" si="0"/>
        <v>164000000000045</v>
      </c>
      <c r="P48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32000000000045::bigint, 163000000000003::bigint, null::bigint, null::bigint, null::varchar, null::timestamptz, '1900-12-31 23:59:59+07'::timestamptz, null::bigint);</v>
      </c>
    </row>
    <row r="49" spans="2:16" x14ac:dyDescent="0.2">
      <c r="B49" s="37">
        <f>IF(EXACT(DataLookUp!$B49, ""), "", DataLookUp!$B49)</f>
        <v>32000000000046</v>
      </c>
      <c r="C49" s="38" t="str">
        <f>MAIN!C49</f>
        <v>Ardhi Swasono</v>
      </c>
      <c r="D49" s="91">
        <v>163000000000003</v>
      </c>
      <c r="E49" s="37" t="str">
        <f>IF(EXACT($D49, ""), "", VLOOKUP($D49, [2]DataLookUp!$B$4:$D$15, 2, FALSE ))</f>
        <v>Karyawan Tidak Tetap (Kontrak)</v>
      </c>
      <c r="F49" s="91"/>
      <c r="G49" s="37" t="str">
        <f>IF(EXACT($F49, ""), "", VLOOKUP($F49, 'MAIN - OrgDepartment'!$C$3:$D$104, 2, FALSE))</f>
        <v/>
      </c>
      <c r="H49" s="91"/>
      <c r="I49" s="37" t="str">
        <f>IF(EXACT($H49, ""), "", VLOOKUP($H49, 'MAIN - OrgJobsPos'!$B$2:$C$101, 2, FALSE))</f>
        <v/>
      </c>
      <c r="J49" s="67"/>
      <c r="K49" s="63"/>
      <c r="L49" s="10" t="s">
        <v>7</v>
      </c>
      <c r="M49" s="11"/>
      <c r="O49" s="29">
        <f t="shared" si="0"/>
        <v>164000000000046</v>
      </c>
      <c r="P49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32000000000046::bigint, 163000000000003::bigint, null::bigint, null::bigint, null::varchar, null::timestamptz, '1900-12-31 23:59:59+07'::timestamptz, null::bigint);</v>
      </c>
    </row>
    <row r="50" spans="2:16" x14ac:dyDescent="0.2">
      <c r="B50" s="37">
        <f>IF(EXACT(DataLookUp!$B50, ""), "", DataLookUp!$B50)</f>
        <v>32000000000047</v>
      </c>
      <c r="C50" s="38" t="str">
        <f>MAIN!C50</f>
        <v>Ardi</v>
      </c>
      <c r="D50" s="91">
        <v>163000000000003</v>
      </c>
      <c r="E50" s="37" t="str">
        <f>IF(EXACT($D50, ""), "", VLOOKUP($D50, [2]DataLookUp!$B$4:$D$15, 2, FALSE ))</f>
        <v>Karyawan Tidak Tetap (Kontrak)</v>
      </c>
      <c r="F50" s="91"/>
      <c r="G50" s="37" t="str">
        <f>IF(EXACT($F50, ""), "", VLOOKUP($F50, 'MAIN - OrgDepartment'!$C$3:$D$104, 2, FALSE))</f>
        <v/>
      </c>
      <c r="H50" s="91"/>
      <c r="I50" s="37" t="str">
        <f>IF(EXACT($H50, ""), "", VLOOKUP($H50, 'MAIN - OrgJobsPos'!$B$2:$C$101, 2, FALSE))</f>
        <v/>
      </c>
      <c r="J50" s="67"/>
      <c r="K50" s="63"/>
      <c r="L50" s="10" t="s">
        <v>7</v>
      </c>
      <c r="M50" s="11"/>
      <c r="O50" s="29">
        <f t="shared" si="0"/>
        <v>164000000000047</v>
      </c>
      <c r="P50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32000000000047::bigint, 163000000000003::bigint, null::bigint, null::bigint, null::varchar, null::timestamptz, '1900-12-31 23:59:59+07'::timestamptz, null::bigint);</v>
      </c>
    </row>
    <row r="51" spans="2:16" x14ac:dyDescent="0.2">
      <c r="B51" s="37">
        <f>IF(EXACT(DataLookUp!$B51, ""), "", DataLookUp!$B51)</f>
        <v>32000000000048</v>
      </c>
      <c r="C51" s="38" t="str">
        <f>MAIN!C51</f>
        <v>Ardiansyah</v>
      </c>
      <c r="D51" s="91">
        <v>163000000000003</v>
      </c>
      <c r="E51" s="37" t="str">
        <f>IF(EXACT($D51, ""), "", VLOOKUP($D51, [2]DataLookUp!$B$4:$D$15, 2, FALSE ))</f>
        <v>Karyawan Tidak Tetap (Kontrak)</v>
      </c>
      <c r="F51" s="91"/>
      <c r="G51" s="37" t="str">
        <f>IF(EXACT($F51, ""), "", VLOOKUP($F51, 'MAIN - OrgDepartment'!$C$3:$D$104, 2, FALSE))</f>
        <v/>
      </c>
      <c r="H51" s="91"/>
      <c r="I51" s="37" t="str">
        <f>IF(EXACT($H51, ""), "", VLOOKUP($H51, 'MAIN - OrgJobsPos'!$B$2:$C$101, 2, FALSE))</f>
        <v/>
      </c>
      <c r="J51" s="67"/>
      <c r="K51" s="63"/>
      <c r="L51" s="10" t="s">
        <v>7</v>
      </c>
      <c r="M51" s="11"/>
      <c r="O51" s="29">
        <f t="shared" si="0"/>
        <v>164000000000048</v>
      </c>
      <c r="P51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32000000000048::bigint, 163000000000003::bigint, null::bigint, null::bigint, null::varchar, null::timestamptz, '1900-12-31 23:59:59+07'::timestamptz, null::bigint);</v>
      </c>
    </row>
    <row r="52" spans="2:16" x14ac:dyDescent="0.2">
      <c r="B52" s="37">
        <f>IF(EXACT(DataLookUp!$B52, ""), "", DataLookUp!$B52)</f>
        <v>32000000000049</v>
      </c>
      <c r="C52" s="38" t="str">
        <f>MAIN!C52</f>
        <v>Ardisam</v>
      </c>
      <c r="D52" s="91">
        <v>163000000000003</v>
      </c>
      <c r="E52" s="37" t="str">
        <f>IF(EXACT($D52, ""), "", VLOOKUP($D52, [2]DataLookUp!$B$4:$D$15, 2, FALSE ))</f>
        <v>Karyawan Tidak Tetap (Kontrak)</v>
      </c>
      <c r="F52" s="91"/>
      <c r="G52" s="37" t="str">
        <f>IF(EXACT($F52, ""), "", VLOOKUP($F52, 'MAIN - OrgDepartment'!$C$3:$D$104, 2, FALSE))</f>
        <v/>
      </c>
      <c r="H52" s="91"/>
      <c r="I52" s="37" t="str">
        <f>IF(EXACT($H52, ""), "", VLOOKUP($H52, 'MAIN - OrgJobsPos'!$B$2:$C$101, 2, FALSE))</f>
        <v/>
      </c>
      <c r="J52" s="67"/>
      <c r="K52" s="63"/>
      <c r="L52" s="10" t="s">
        <v>7</v>
      </c>
      <c r="M52" s="11"/>
      <c r="O52" s="29">
        <f t="shared" si="0"/>
        <v>164000000000049</v>
      </c>
      <c r="P52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32000000000049::bigint, 163000000000003::bigint, null::bigint, null::bigint, null::varchar, null::timestamptz, '1900-12-31 23:59:59+07'::timestamptz, null::bigint);</v>
      </c>
    </row>
    <row r="53" spans="2:16" x14ac:dyDescent="0.2">
      <c r="B53" s="37">
        <f>IF(EXACT(DataLookUp!$B53, ""), "", DataLookUp!$B53)</f>
        <v>32000000000050</v>
      </c>
      <c r="C53" s="38" t="str">
        <f>MAIN!C53</f>
        <v>Ardita</v>
      </c>
      <c r="D53" s="91">
        <v>163000000000003</v>
      </c>
      <c r="E53" s="37" t="str">
        <f>IF(EXACT($D53, ""), "", VLOOKUP($D53, [2]DataLookUp!$B$4:$D$15, 2, FALSE ))</f>
        <v>Karyawan Tidak Tetap (Kontrak)</v>
      </c>
      <c r="F53" s="91"/>
      <c r="G53" s="37" t="str">
        <f>IF(EXACT($F53, ""), "", VLOOKUP($F53, 'MAIN - OrgDepartment'!$C$3:$D$104, 2, FALSE))</f>
        <v/>
      </c>
      <c r="H53" s="91"/>
      <c r="I53" s="37" t="str">
        <f>IF(EXACT($H53, ""), "", VLOOKUP($H53, 'MAIN - OrgJobsPos'!$B$2:$C$101, 2, FALSE))</f>
        <v/>
      </c>
      <c r="J53" s="67"/>
      <c r="K53" s="63"/>
      <c r="L53" s="10" t="s">
        <v>7</v>
      </c>
      <c r="M53" s="11"/>
      <c r="O53" s="29">
        <f t="shared" si="0"/>
        <v>164000000000050</v>
      </c>
      <c r="P53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32000000000050::bigint, 163000000000003::bigint, null::bigint, null::bigint, null::varchar, null::timestamptz, '1900-12-31 23:59:59+07'::timestamptz, null::bigint);</v>
      </c>
    </row>
    <row r="54" spans="2:16" x14ac:dyDescent="0.2">
      <c r="B54" s="37">
        <f>IF(EXACT(DataLookUp!$B54, ""), "", DataLookUp!$B54)</f>
        <v>32000000000051</v>
      </c>
      <c r="C54" s="38" t="str">
        <f>MAIN!C54</f>
        <v>Ares S. Mauboi</v>
      </c>
      <c r="D54" s="91">
        <v>163000000000003</v>
      </c>
      <c r="E54" s="37" t="str">
        <f>IF(EXACT($D54, ""), "", VLOOKUP($D54, [2]DataLookUp!$B$4:$D$15, 2, FALSE ))</f>
        <v>Karyawan Tidak Tetap (Kontrak)</v>
      </c>
      <c r="F54" s="91">
        <v>111000000000023</v>
      </c>
      <c r="G54" s="37" t="str">
        <f>IF(EXACT($F54, ""), "", VLOOKUP($F54, 'MAIN - OrgDepartment'!$C$3:$D$104, 2, FALSE))</f>
        <v>Operation &amp; Maintenance</v>
      </c>
      <c r="H54" s="91">
        <v>160000000000002</v>
      </c>
      <c r="I54" s="37" t="str">
        <f>IF(EXACT($H54, ""), "", VLOOKUP($H54, 'MAIN - OrgJobsPos'!$B$2:$C$101, 2, FALSE))</f>
        <v>Senior Clerical</v>
      </c>
      <c r="J54" s="67" t="s">
        <v>195</v>
      </c>
      <c r="K54" s="63"/>
      <c r="L54" s="10" t="s">
        <v>3</v>
      </c>
      <c r="M54" s="11"/>
      <c r="O54" s="29">
        <f t="shared" si="0"/>
        <v>164000000000051</v>
      </c>
      <c r="P54" s="30" t="str">
        <f t="shared" si="1"/>
        <v>PERFORM "SchData-OLTP-HumanResource"."Func_TblWorkerCareerInternal_SET"(varSystemLoginSession, null::bigint, null::varchar, null::timestamptz, '9999-12-31 23:59:59+07'::timestamptz, null::varchar, varInstitutionBranchID, varBaseCurrencyID, 32000000000051::bigint, 163000000000003::bigint, 111000000000023::bigint, 160000000000002::bigint, 'Driver'::varchar, null::timestamptz, '9999-12-31 23:59:59+07'::timestamptz, null::bigint);</v>
      </c>
    </row>
    <row r="55" spans="2:16" x14ac:dyDescent="0.2">
      <c r="B55" s="37">
        <f>IF(EXACT(DataLookUp!$B55, ""), "", DataLookUp!$B55)</f>
        <v>32000000000052</v>
      </c>
      <c r="C55" s="38" t="str">
        <f>MAIN!C55</f>
        <v>Arfah Hanum</v>
      </c>
      <c r="D55" s="91">
        <v>163000000000003</v>
      </c>
      <c r="E55" s="37" t="str">
        <f>IF(EXACT($D55, ""), "", VLOOKUP($D55, [2]DataLookUp!$B$4:$D$15, 2, FALSE ))</f>
        <v>Karyawan Tidak Tetap (Kontrak)</v>
      </c>
      <c r="F55" s="91"/>
      <c r="G55" s="37" t="str">
        <f>IF(EXACT($F55, ""), "", VLOOKUP($F55, 'MAIN - OrgDepartment'!$C$3:$D$104, 2, FALSE))</f>
        <v/>
      </c>
      <c r="H55" s="91"/>
      <c r="I55" s="37" t="str">
        <f>IF(EXACT($H55, ""), "", VLOOKUP($H55, 'MAIN - OrgJobsPos'!$B$2:$C$101, 2, FALSE))</f>
        <v/>
      </c>
      <c r="J55" s="67"/>
      <c r="K55" s="63"/>
      <c r="L55" s="10" t="s">
        <v>7</v>
      </c>
      <c r="M55" s="11"/>
      <c r="O55" s="29">
        <f t="shared" si="0"/>
        <v>164000000000052</v>
      </c>
      <c r="P55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32000000000052::bigint, 163000000000003::bigint, null::bigint, null::bigint, null::varchar, null::timestamptz, '1900-12-31 23:59:59+07'::timestamptz, null::bigint);</v>
      </c>
    </row>
    <row r="56" spans="2:16" x14ac:dyDescent="0.2">
      <c r="B56" s="37">
        <f>IF(EXACT(DataLookUp!$B56, ""), "", DataLookUp!$B56)</f>
        <v>32000000000053</v>
      </c>
      <c r="C56" s="38" t="str">
        <f>MAIN!C56</f>
        <v>Arfianti Haryani</v>
      </c>
      <c r="D56" s="91">
        <v>163000000000003</v>
      </c>
      <c r="E56" s="37" t="str">
        <f>IF(EXACT($D56, ""), "", VLOOKUP($D56, [2]DataLookUp!$B$4:$D$15, 2, FALSE ))</f>
        <v>Karyawan Tidak Tetap (Kontrak)</v>
      </c>
      <c r="F56" s="91"/>
      <c r="G56" s="37" t="str">
        <f>IF(EXACT($F56, ""), "", VLOOKUP($F56, 'MAIN - OrgDepartment'!$C$3:$D$104, 2, FALSE))</f>
        <v/>
      </c>
      <c r="H56" s="91"/>
      <c r="I56" s="37" t="str">
        <f>IF(EXACT($H56, ""), "", VLOOKUP($H56, 'MAIN - OrgJobsPos'!$B$2:$C$101, 2, FALSE))</f>
        <v/>
      </c>
      <c r="J56" s="67"/>
      <c r="K56" s="63"/>
      <c r="L56" s="10" t="s">
        <v>7</v>
      </c>
      <c r="M56" s="11"/>
      <c r="O56" s="29">
        <f t="shared" si="0"/>
        <v>164000000000053</v>
      </c>
      <c r="P56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32000000000053::bigint, 163000000000003::bigint, null::bigint, null::bigint, null::varchar, null::timestamptz, '1900-12-31 23:59:59+07'::timestamptz, null::bigint);</v>
      </c>
    </row>
    <row r="57" spans="2:16" x14ac:dyDescent="0.2">
      <c r="B57" s="37">
        <f>IF(EXACT(DataLookUp!$B57, ""), "", DataLookUp!$B57)</f>
        <v>32000000000054</v>
      </c>
      <c r="C57" s="38" t="str">
        <f>MAIN!C57</f>
        <v>Ari Priwarsono</v>
      </c>
      <c r="D57" s="91">
        <v>163000000000003</v>
      </c>
      <c r="E57" s="37" t="str">
        <f>IF(EXACT($D57, ""), "", VLOOKUP($D57, [2]DataLookUp!$B$4:$D$15, 2, FALSE ))</f>
        <v>Karyawan Tidak Tetap (Kontrak)</v>
      </c>
      <c r="F57" s="91"/>
      <c r="G57" s="37" t="str">
        <f>IF(EXACT($F57, ""), "", VLOOKUP($F57, 'MAIN - OrgDepartment'!$C$3:$D$104, 2, FALSE))</f>
        <v/>
      </c>
      <c r="H57" s="91"/>
      <c r="I57" s="37" t="str">
        <f>IF(EXACT($H57, ""), "", VLOOKUP($H57, 'MAIN - OrgJobsPos'!$B$2:$C$101, 2, FALSE))</f>
        <v/>
      </c>
      <c r="J57" s="67"/>
      <c r="K57" s="63"/>
      <c r="L57" s="10" t="s">
        <v>7</v>
      </c>
      <c r="M57" s="11"/>
      <c r="O57" s="29">
        <f t="shared" si="0"/>
        <v>164000000000054</v>
      </c>
      <c r="P57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32000000000054::bigint, 163000000000003::bigint, null::bigint, null::bigint, null::varchar, null::timestamptz, '1900-12-31 23:59:59+07'::timestamptz, null::bigint);</v>
      </c>
    </row>
    <row r="58" spans="2:16" x14ac:dyDescent="0.2">
      <c r="B58" s="37">
        <f>IF(EXACT(DataLookUp!$B58, ""), "", DataLookUp!$B58)</f>
        <v>32000000000055</v>
      </c>
      <c r="C58" s="38" t="str">
        <f>MAIN!C58</f>
        <v>Ari Yuniasmono</v>
      </c>
      <c r="D58" s="91">
        <v>163000000000003</v>
      </c>
      <c r="E58" s="37" t="str">
        <f>IF(EXACT($D58, ""), "", VLOOKUP($D58, [2]DataLookUp!$B$4:$D$15, 2, FALSE ))</f>
        <v>Karyawan Tidak Tetap (Kontrak)</v>
      </c>
      <c r="F58" s="91"/>
      <c r="G58" s="37" t="str">
        <f>IF(EXACT($F58, ""), "", VLOOKUP($F58, 'MAIN - OrgDepartment'!$C$3:$D$104, 2, FALSE))</f>
        <v/>
      </c>
      <c r="H58" s="91"/>
      <c r="I58" s="37" t="str">
        <f>IF(EXACT($H58, ""), "", VLOOKUP($H58, 'MAIN - OrgJobsPos'!$B$2:$C$101, 2, FALSE))</f>
        <v/>
      </c>
      <c r="J58" s="67"/>
      <c r="K58" s="63"/>
      <c r="L58" s="10" t="s">
        <v>7</v>
      </c>
      <c r="M58" s="11"/>
      <c r="O58" s="29">
        <f t="shared" si="0"/>
        <v>164000000000055</v>
      </c>
      <c r="P58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32000000000055::bigint, 163000000000003::bigint, null::bigint, null::bigint, null::varchar, null::timestamptz, '1900-12-31 23:59:59+07'::timestamptz, null::bigint);</v>
      </c>
    </row>
    <row r="59" spans="2:16" x14ac:dyDescent="0.2">
      <c r="B59" s="37">
        <f>IF(EXACT(DataLookUp!$B59, ""), "", DataLookUp!$B59)</f>
        <v>32000000000056</v>
      </c>
      <c r="C59" s="38" t="str">
        <f>MAIN!C59</f>
        <v>Arif Gunawan</v>
      </c>
      <c r="D59" s="91">
        <v>163000000000003</v>
      </c>
      <c r="E59" s="37" t="str">
        <f>IF(EXACT($D59, ""), "", VLOOKUP($D59, [2]DataLookUp!$B$4:$D$15, 2, FALSE ))</f>
        <v>Karyawan Tidak Tetap (Kontrak)</v>
      </c>
      <c r="F59" s="91"/>
      <c r="G59" s="37" t="str">
        <f>IF(EXACT($F59, ""), "", VLOOKUP($F59, 'MAIN - OrgDepartment'!$C$3:$D$104, 2, FALSE))</f>
        <v/>
      </c>
      <c r="H59" s="91"/>
      <c r="I59" s="37" t="str">
        <f>IF(EXACT($H59, ""), "", VLOOKUP($H59, 'MAIN - OrgJobsPos'!$B$2:$C$101, 2, FALSE))</f>
        <v/>
      </c>
      <c r="J59" s="67"/>
      <c r="K59" s="63"/>
      <c r="L59" s="10" t="s">
        <v>7</v>
      </c>
      <c r="M59" s="11"/>
      <c r="O59" s="29">
        <f t="shared" si="0"/>
        <v>164000000000056</v>
      </c>
      <c r="P59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32000000000056::bigint, 163000000000003::bigint, null::bigint, null::bigint, null::varchar, null::timestamptz, '1900-12-31 23:59:59+07'::timestamptz, null::bigint);</v>
      </c>
    </row>
    <row r="60" spans="2:16" x14ac:dyDescent="0.2">
      <c r="B60" s="37">
        <f>IF(EXACT(DataLookUp!$B60, ""), "", DataLookUp!$B60)</f>
        <v>32000000000057</v>
      </c>
      <c r="C60" s="38" t="str">
        <f>MAIN!C60</f>
        <v>Arif Prasetyo</v>
      </c>
      <c r="D60" s="91">
        <v>163000000000003</v>
      </c>
      <c r="E60" s="37" t="str">
        <f>IF(EXACT($D60, ""), "", VLOOKUP($D60, [2]DataLookUp!$B$4:$D$15, 2, FALSE ))</f>
        <v>Karyawan Tidak Tetap (Kontrak)</v>
      </c>
      <c r="F60" s="91"/>
      <c r="G60" s="37" t="str">
        <f>IF(EXACT($F60, ""), "", VLOOKUP($F60, 'MAIN - OrgDepartment'!$C$3:$D$104, 2, FALSE))</f>
        <v/>
      </c>
      <c r="H60" s="91"/>
      <c r="I60" s="37" t="str">
        <f>IF(EXACT($H60, ""), "", VLOOKUP($H60, 'MAIN - OrgJobsPos'!$B$2:$C$101, 2, FALSE))</f>
        <v/>
      </c>
      <c r="J60" s="67"/>
      <c r="K60" s="63"/>
      <c r="L60" s="10" t="s">
        <v>7</v>
      </c>
      <c r="M60" s="11"/>
      <c r="O60" s="29">
        <f t="shared" si="0"/>
        <v>164000000000057</v>
      </c>
      <c r="P60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32000000000057::bigint, 163000000000003::bigint, null::bigint, null::bigint, null::varchar, null::timestamptz, '1900-12-31 23:59:59+07'::timestamptz, null::bigint);</v>
      </c>
    </row>
    <row r="61" spans="2:16" x14ac:dyDescent="0.2">
      <c r="B61" s="37">
        <f>IF(EXACT(DataLookUp!$B61, ""), "", DataLookUp!$B61)</f>
        <v>32000000000058</v>
      </c>
      <c r="C61" s="38" t="str">
        <f>MAIN!C61</f>
        <v>Arini</v>
      </c>
      <c r="D61" s="91">
        <v>163000000000003</v>
      </c>
      <c r="E61" s="37" t="str">
        <f>IF(EXACT($D61, ""), "", VLOOKUP($D61, [2]DataLookUp!$B$4:$D$15, 2, FALSE ))</f>
        <v>Karyawan Tidak Tetap (Kontrak)</v>
      </c>
      <c r="F61" s="91"/>
      <c r="G61" s="37" t="str">
        <f>IF(EXACT($F61, ""), "", VLOOKUP($F61, 'MAIN - OrgDepartment'!$C$3:$D$104, 2, FALSE))</f>
        <v/>
      </c>
      <c r="H61" s="91"/>
      <c r="I61" s="37" t="str">
        <f>IF(EXACT($H61, ""), "", VLOOKUP($H61, 'MAIN - OrgJobsPos'!$B$2:$C$101, 2, FALSE))</f>
        <v/>
      </c>
      <c r="J61" s="67"/>
      <c r="K61" s="63"/>
      <c r="L61" s="10" t="s">
        <v>7</v>
      </c>
      <c r="M61" s="11"/>
      <c r="O61" s="29">
        <f t="shared" si="0"/>
        <v>164000000000058</v>
      </c>
      <c r="P61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32000000000058::bigint, 163000000000003::bigint, null::bigint, null::bigint, null::varchar, null::timestamptz, '1900-12-31 23:59:59+07'::timestamptz, null::bigint);</v>
      </c>
    </row>
    <row r="62" spans="2:16" x14ac:dyDescent="0.2">
      <c r="B62" s="37">
        <f>IF(EXACT(DataLookUp!$B62, ""), "", DataLookUp!$B62)</f>
        <v>32000000000059</v>
      </c>
      <c r="C62" s="38" t="str">
        <f>MAIN!C62</f>
        <v>Ario Setyo Gunawan</v>
      </c>
      <c r="D62" s="91">
        <v>163000000000003</v>
      </c>
      <c r="E62" s="37" t="str">
        <f>IF(EXACT($D62, ""), "", VLOOKUP($D62, [2]DataLookUp!$B$4:$D$15, 2, FALSE ))</f>
        <v>Karyawan Tidak Tetap (Kontrak)</v>
      </c>
      <c r="F62" s="91"/>
      <c r="G62" s="37" t="str">
        <f>IF(EXACT($F62, ""), "", VLOOKUP($F62, 'MAIN - OrgDepartment'!$C$3:$D$104, 2, FALSE))</f>
        <v/>
      </c>
      <c r="H62" s="91"/>
      <c r="I62" s="37" t="str">
        <f>IF(EXACT($H62, ""), "", VLOOKUP($H62, 'MAIN - OrgJobsPos'!$B$2:$C$101, 2, FALSE))</f>
        <v/>
      </c>
      <c r="J62" s="67"/>
      <c r="K62" s="63"/>
      <c r="L62" s="10" t="s">
        <v>7</v>
      </c>
      <c r="M62" s="11"/>
      <c r="O62" s="29">
        <f t="shared" si="0"/>
        <v>164000000000059</v>
      </c>
      <c r="P62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32000000000059::bigint, 163000000000003::bigint, null::bigint, null::bigint, null::varchar, null::timestamptz, '1900-12-31 23:59:59+07'::timestamptz, null::bigint);</v>
      </c>
    </row>
    <row r="63" spans="2:16" x14ac:dyDescent="0.2">
      <c r="B63" s="37">
        <f>IF(EXACT(DataLookUp!$B63, ""), "", DataLookUp!$B63)</f>
        <v>32000000000060</v>
      </c>
      <c r="C63" s="38" t="str">
        <f>MAIN!C63</f>
        <v>Ario Yulianto Wibowo</v>
      </c>
      <c r="D63" s="91">
        <v>163000000000003</v>
      </c>
      <c r="E63" s="37" t="str">
        <f>IF(EXACT($D63, ""), "", VLOOKUP($D63, [2]DataLookUp!$B$4:$D$15, 2, FALSE ))</f>
        <v>Karyawan Tidak Tetap (Kontrak)</v>
      </c>
      <c r="F63" s="91"/>
      <c r="G63" s="37" t="str">
        <f>IF(EXACT($F63, ""), "", VLOOKUP($F63, 'MAIN - OrgDepartment'!$C$3:$D$104, 2, FALSE))</f>
        <v/>
      </c>
      <c r="H63" s="91"/>
      <c r="I63" s="37" t="str">
        <f>IF(EXACT($H63, ""), "", VLOOKUP($H63, 'MAIN - OrgJobsPos'!$B$2:$C$101, 2, FALSE))</f>
        <v/>
      </c>
      <c r="J63" s="67"/>
      <c r="K63" s="63"/>
      <c r="L63" s="10" t="s">
        <v>7</v>
      </c>
      <c r="M63" s="11"/>
      <c r="O63" s="29">
        <f t="shared" si="0"/>
        <v>164000000000060</v>
      </c>
      <c r="P63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32000000000060::bigint, 163000000000003::bigint, null::bigint, null::bigint, null::varchar, null::timestamptz, '1900-12-31 23:59:59+07'::timestamptz, null::bigint);</v>
      </c>
    </row>
    <row r="64" spans="2:16" x14ac:dyDescent="0.2">
      <c r="B64" s="37">
        <f>IF(EXACT(DataLookUp!$B64, ""), "", DataLookUp!$B64)</f>
        <v>32000000000061</v>
      </c>
      <c r="C64" s="38" t="str">
        <f>MAIN!C64</f>
        <v>Aris Widodo Pamungkas</v>
      </c>
      <c r="D64" s="91">
        <v>163000000000003</v>
      </c>
      <c r="E64" s="37" t="str">
        <f>IF(EXACT($D64, ""), "", VLOOKUP($D64, [2]DataLookUp!$B$4:$D$15, 2, FALSE ))</f>
        <v>Karyawan Tidak Tetap (Kontrak)</v>
      </c>
      <c r="F64" s="91"/>
      <c r="G64" s="37" t="str">
        <f>IF(EXACT($F64, ""), "", VLOOKUP($F64, 'MAIN - OrgDepartment'!$C$3:$D$104, 2, FALSE))</f>
        <v/>
      </c>
      <c r="H64" s="91"/>
      <c r="I64" s="37" t="str">
        <f>IF(EXACT($H64, ""), "", VLOOKUP($H64, 'MAIN - OrgJobsPos'!$B$2:$C$101, 2, FALSE))</f>
        <v/>
      </c>
      <c r="J64" s="67"/>
      <c r="K64" s="63"/>
      <c r="L64" s="10" t="s">
        <v>7</v>
      </c>
      <c r="M64" s="11"/>
      <c r="O64" s="29">
        <f t="shared" si="0"/>
        <v>164000000000061</v>
      </c>
      <c r="P64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32000000000061::bigint, 163000000000003::bigint, null::bigint, null::bigint, null::varchar, null::timestamptz, '1900-12-31 23:59:59+07'::timestamptz, null::bigint);</v>
      </c>
    </row>
    <row r="65" spans="2:16" x14ac:dyDescent="0.2">
      <c r="B65" s="37">
        <f>IF(EXACT(DataLookUp!$B65, ""), "", DataLookUp!$B65)</f>
        <v>32000000000062</v>
      </c>
      <c r="C65" s="38" t="str">
        <f>MAIN!C65</f>
        <v>Arjiyanto</v>
      </c>
      <c r="D65" s="91">
        <v>163000000000003</v>
      </c>
      <c r="E65" s="37" t="str">
        <f>IF(EXACT($D65, ""), "", VLOOKUP($D65, [2]DataLookUp!$B$4:$D$15, 2, FALSE ))</f>
        <v>Karyawan Tidak Tetap (Kontrak)</v>
      </c>
      <c r="F65" s="91"/>
      <c r="G65" s="37" t="str">
        <f>IF(EXACT($F65, ""), "", VLOOKUP($F65, 'MAIN - OrgDepartment'!$C$3:$D$104, 2, FALSE))</f>
        <v/>
      </c>
      <c r="H65" s="91"/>
      <c r="I65" s="37" t="str">
        <f>IF(EXACT($H65, ""), "", VLOOKUP($H65, 'MAIN - OrgJobsPos'!$B$2:$C$101, 2, FALSE))</f>
        <v/>
      </c>
      <c r="J65" s="67"/>
      <c r="K65" s="63"/>
      <c r="L65" s="10" t="s">
        <v>7</v>
      </c>
      <c r="M65" s="11"/>
      <c r="O65" s="29">
        <f t="shared" si="0"/>
        <v>164000000000062</v>
      </c>
      <c r="P65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32000000000062::bigint, 163000000000003::bigint, null::bigint, null::bigint, null::varchar, null::timestamptz, '1900-12-31 23:59:59+07'::timestamptz, null::bigint);</v>
      </c>
    </row>
    <row r="66" spans="2:16" x14ac:dyDescent="0.2">
      <c r="B66" s="37">
        <f>IF(EXACT(DataLookUp!$B66, ""), "", DataLookUp!$B66)</f>
        <v>32000000000063</v>
      </c>
      <c r="C66" s="38" t="str">
        <f>MAIN!C66</f>
        <v>Arman</v>
      </c>
      <c r="D66" s="91">
        <v>163000000000003</v>
      </c>
      <c r="E66" s="37" t="str">
        <f>IF(EXACT($D66, ""), "", VLOOKUP($D66, [2]DataLookUp!$B$4:$D$15, 2, FALSE ))</f>
        <v>Karyawan Tidak Tetap (Kontrak)</v>
      </c>
      <c r="F66" s="91"/>
      <c r="G66" s="37" t="str">
        <f>IF(EXACT($F66, ""), "", VLOOKUP($F66, 'MAIN - OrgDepartment'!$C$3:$D$104, 2, FALSE))</f>
        <v/>
      </c>
      <c r="H66" s="91"/>
      <c r="I66" s="37" t="str">
        <f>IF(EXACT($H66, ""), "", VLOOKUP($H66, 'MAIN - OrgJobsPos'!$B$2:$C$101, 2, FALSE))</f>
        <v/>
      </c>
      <c r="J66" s="67"/>
      <c r="K66" s="63"/>
      <c r="L66" s="10" t="s">
        <v>7</v>
      </c>
      <c r="M66" s="11"/>
      <c r="O66" s="29">
        <f t="shared" si="0"/>
        <v>164000000000063</v>
      </c>
      <c r="P66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32000000000063::bigint, 163000000000003::bigint, null::bigint, null::bigint, null::varchar, null::timestamptz, '1900-12-31 23:59:59+07'::timestamptz, null::bigint);</v>
      </c>
    </row>
    <row r="67" spans="2:16" x14ac:dyDescent="0.2">
      <c r="B67" s="37">
        <f>IF(EXACT(DataLookUp!$B67, ""), "", DataLookUp!$B67)</f>
        <v>32000000000064</v>
      </c>
      <c r="C67" s="38" t="str">
        <f>MAIN!C67</f>
        <v>Aryoko Sudiro</v>
      </c>
      <c r="D67" s="91">
        <v>163000000000003</v>
      </c>
      <c r="E67" s="37" t="str">
        <f>IF(EXACT($D67, ""), "", VLOOKUP($D67, [2]DataLookUp!$B$4:$D$15, 2, FALSE ))</f>
        <v>Karyawan Tidak Tetap (Kontrak)</v>
      </c>
      <c r="F67" s="91"/>
      <c r="G67" s="37" t="str">
        <f>IF(EXACT($F67, ""), "", VLOOKUP($F67, 'MAIN - OrgDepartment'!$C$3:$D$104, 2, FALSE))</f>
        <v/>
      </c>
      <c r="H67" s="91"/>
      <c r="I67" s="37" t="str">
        <f>IF(EXACT($H67, ""), "", VLOOKUP($H67, 'MAIN - OrgJobsPos'!$B$2:$C$101, 2, FALSE))</f>
        <v/>
      </c>
      <c r="J67" s="67"/>
      <c r="K67" s="63"/>
      <c r="L67" s="10" t="s">
        <v>7</v>
      </c>
      <c r="M67" s="11"/>
      <c r="O67" s="29">
        <f t="shared" si="0"/>
        <v>164000000000064</v>
      </c>
      <c r="P67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32000000000064::bigint, 163000000000003::bigint, null::bigint, null::bigint, null::varchar, null::timestamptz, '1900-12-31 23:59:59+07'::timestamptz, null::bigint);</v>
      </c>
    </row>
    <row r="68" spans="2:16" x14ac:dyDescent="0.2">
      <c r="B68" s="37">
        <f>IF(EXACT(DataLookUp!$B68, ""), "", DataLookUp!$B68)</f>
        <v>32000000000065</v>
      </c>
      <c r="C68" s="38" t="str">
        <f>MAIN!C68</f>
        <v>Astamyugo</v>
      </c>
      <c r="D68" s="91">
        <v>163000000000003</v>
      </c>
      <c r="E68" s="37" t="str">
        <f>IF(EXACT($D68, ""), "", VLOOKUP($D68, [2]DataLookUp!$B$4:$D$15, 2, FALSE ))</f>
        <v>Karyawan Tidak Tetap (Kontrak)</v>
      </c>
      <c r="F68" s="91"/>
      <c r="G68" s="37" t="str">
        <f>IF(EXACT($F68, ""), "", VLOOKUP($F68, 'MAIN - OrgDepartment'!$C$3:$D$104, 2, FALSE))</f>
        <v/>
      </c>
      <c r="H68" s="91"/>
      <c r="I68" s="37" t="str">
        <f>IF(EXACT($H68, ""), "", VLOOKUP($H68, 'MAIN - OrgJobsPos'!$B$2:$C$101, 2, FALSE))</f>
        <v/>
      </c>
      <c r="J68" s="67"/>
      <c r="K68" s="63"/>
      <c r="L68" s="10" t="s">
        <v>7</v>
      </c>
      <c r="M68" s="11"/>
      <c r="O68" s="29">
        <f t="shared" si="0"/>
        <v>164000000000065</v>
      </c>
      <c r="P68" s="30" t="str">
        <f t="shared" si="1"/>
        <v>PERFORM "SchData-OLTP-HumanResource"."Func_TblWorkerCareerInternal_SET"(varSystemLoginSession, null::bigint, null::varchar, null::timestamptz, '1900-12-31 23:59:59+07'::timestamptz, null::varchar, varInstitutionBranchID, varBaseCurrencyID, 32000000000065::bigint, 163000000000003::bigint, null::bigint, null::bigint, null::varchar, null::timestamptz, '1900-12-31 23:59:59+07'::timestamptz, null::bigint);</v>
      </c>
    </row>
    <row r="69" spans="2:16" x14ac:dyDescent="0.2">
      <c r="B69" s="37">
        <f>IF(EXACT(DataLookUp!$B69, ""), "", DataLookUp!$B69)</f>
        <v>32000000000066</v>
      </c>
      <c r="C69" s="38" t="str">
        <f>MAIN!C69</f>
        <v>Atmo Sastro Dinoto</v>
      </c>
      <c r="D69" s="91">
        <v>163000000000003</v>
      </c>
      <c r="E69" s="37" t="str">
        <f>IF(EXACT($D69, ""), "", VLOOKUP($D69, [2]DataLookUp!$B$4:$D$15, 2, FALSE ))</f>
        <v>Karyawan Tidak Tetap (Kontrak)</v>
      </c>
      <c r="F69" s="91"/>
      <c r="G69" s="37" t="str">
        <f>IF(EXACT($F69, ""), "", VLOOKUP($F69, 'MAIN - OrgDepartment'!$C$3:$D$104, 2, FALSE))</f>
        <v/>
      </c>
      <c r="H69" s="91"/>
      <c r="I69" s="37" t="str">
        <f>IF(EXACT($H69, ""), "", VLOOKUP($H69, 'MAIN - OrgJobsPos'!$B$2:$C$101, 2, FALSE))</f>
        <v/>
      </c>
      <c r="J69" s="67"/>
      <c r="K69" s="63"/>
      <c r="L69" s="10" t="s">
        <v>7</v>
      </c>
      <c r="M69" s="11"/>
      <c r="O69" s="29">
        <f t="shared" ref="O69:O132" si="2" xml:space="preserve"> O68 + IF(EXACT(P69, ""), 0, 1)</f>
        <v>164000000000066</v>
      </c>
      <c r="P69" s="30" t="str">
        <f t="shared" ref="P69:P132" si="3">CONCATENATE("PERFORM ""SchData-OLTP-HumanResource"".""Func_TblWorkerCareerInternal_SET""(varSystemLoginSession, null::bigint, null::varchar",
CONCATENATE(IF(EXACT($K69, ""), ", null", CONCATENATE(", '", $K69, "'")), "::timestamptz"),
CONCATENATE(IF(EXACT($L69, ""), ", null", CONCATENATE(", '", $L69, "'")), "::timestamptz"),
", null::varchar, varInstitutionBranchID, varBaseCurrencyID",
CONCATENATE(IF(EXACT($B69, ""), ", null", CONCATENATE(", ", $B69, "")), "::bigint"),
CONCATENATE(IF(EXACT($D69, ""), ", null", CONCATENATE(", ", $D69, "")), "::bigint"),
CONCATENATE(IF(EXACT($F69, ""), ", null", CONCATENATE(", ", $F69, "")), "::bigint"),
CONCATENATE(IF(EXACT($H69, ""), ", null", CONCATENATE(", ", $H69, "")), "::bigint"),
CONCATENATE(IF(EXACT($J69, ""), ", null", CONCATENATE(", '", $J69, "'")), "::varchar"),
CONCATENATE(IF(EXACT($K69, ""), ", null", CONCATENATE(", '", $K69, "'")), "::timestamptz"),
CONCATENATE(IF(EXACT($L69, ""), ", null", CONCATENATE(", '", $L69, "'")), "::timestamptz"),
CONCATENATE(IF(EXACT($M69, ""), ", null", CONCATENATE(", ", $M69,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32000000000066::bigint, 163000000000003::bigint, null::bigint, null::bigint, null::varchar, null::timestamptz, '1900-12-31 23:59:59+07'::timestamptz, null::bigint);</v>
      </c>
    </row>
    <row r="70" spans="2:16" x14ac:dyDescent="0.2">
      <c r="B70" s="37">
        <f>IF(EXACT(DataLookUp!$B70, ""), "", DataLookUp!$B70)</f>
        <v>32000000000067</v>
      </c>
      <c r="C70" s="38" t="str">
        <f>MAIN!C70</f>
        <v>Awaludin</v>
      </c>
      <c r="D70" s="91">
        <v>163000000000003</v>
      </c>
      <c r="E70" s="37" t="str">
        <f>IF(EXACT($D70, ""), "", VLOOKUP($D70, [2]DataLookUp!$B$4:$D$15, 2, FALSE ))</f>
        <v>Karyawan Tidak Tetap (Kontrak)</v>
      </c>
      <c r="F70" s="91"/>
      <c r="G70" s="37" t="str">
        <f>IF(EXACT($F70, ""), "", VLOOKUP($F70, 'MAIN - OrgDepartment'!$C$3:$D$104, 2, FALSE))</f>
        <v/>
      </c>
      <c r="H70" s="91"/>
      <c r="I70" s="37" t="str">
        <f>IF(EXACT($H70, ""), "", VLOOKUP($H70, 'MAIN - OrgJobsPos'!$B$2:$C$101, 2, FALSE))</f>
        <v/>
      </c>
      <c r="J70" s="67"/>
      <c r="K70" s="63"/>
      <c r="L70" s="10" t="s">
        <v>7</v>
      </c>
      <c r="M70" s="11"/>
      <c r="O70" s="29">
        <f t="shared" si="2"/>
        <v>164000000000067</v>
      </c>
      <c r="P70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32000000000067::bigint, 163000000000003::bigint, null::bigint, null::bigint, null::varchar, null::timestamptz, '1900-12-31 23:59:59+07'::timestamptz, null::bigint);</v>
      </c>
    </row>
    <row r="71" spans="2:16" x14ac:dyDescent="0.2">
      <c r="B71" s="37">
        <f>IF(EXACT(DataLookUp!$B71, ""), "", DataLookUp!$B71)</f>
        <v>32000000000068</v>
      </c>
      <c r="C71" s="38" t="str">
        <f>MAIN!C71</f>
        <v>Bachtiar</v>
      </c>
      <c r="D71" s="91">
        <v>163000000000003</v>
      </c>
      <c r="E71" s="37" t="str">
        <f>IF(EXACT($D71, ""), "", VLOOKUP($D71, [2]DataLookUp!$B$4:$D$15, 2, FALSE ))</f>
        <v>Karyawan Tidak Tetap (Kontrak)</v>
      </c>
      <c r="F71" s="91"/>
      <c r="G71" s="37" t="str">
        <f>IF(EXACT($F71, ""), "", VLOOKUP($F71, 'MAIN - OrgDepartment'!$C$3:$D$104, 2, FALSE))</f>
        <v/>
      </c>
      <c r="H71" s="91"/>
      <c r="I71" s="37" t="str">
        <f>IF(EXACT($H71, ""), "", VLOOKUP($H71, 'MAIN - OrgJobsPos'!$B$2:$C$101, 2, FALSE))</f>
        <v/>
      </c>
      <c r="J71" s="67"/>
      <c r="K71" s="63"/>
      <c r="L71" s="10" t="s">
        <v>7</v>
      </c>
      <c r="M71" s="11"/>
      <c r="O71" s="29">
        <f t="shared" si="2"/>
        <v>164000000000068</v>
      </c>
      <c r="P7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32000000000068::bigint, 163000000000003::bigint, null::bigint, null::bigint, null::varchar, null::timestamptz, '1900-12-31 23:59:59+07'::timestamptz, null::bigint);</v>
      </c>
    </row>
    <row r="72" spans="2:16" x14ac:dyDescent="0.2">
      <c r="B72" s="37">
        <f>IF(EXACT(DataLookUp!$B72, ""), "", DataLookUp!$B72)</f>
        <v>32000000000069</v>
      </c>
      <c r="C72" s="38" t="str">
        <f>MAIN!C72</f>
        <v>Bambang Irawan</v>
      </c>
      <c r="D72" s="91">
        <v>163000000000003</v>
      </c>
      <c r="E72" s="37" t="str">
        <f>IF(EXACT($D72, ""), "", VLOOKUP($D72, [2]DataLookUp!$B$4:$D$15, 2, FALSE ))</f>
        <v>Karyawan Tidak Tetap (Kontrak)</v>
      </c>
      <c r="F72" s="91"/>
      <c r="G72" s="37" t="str">
        <f>IF(EXACT($F72, ""), "", VLOOKUP($F72, 'MAIN - OrgDepartment'!$C$3:$D$104, 2, FALSE))</f>
        <v/>
      </c>
      <c r="H72" s="91"/>
      <c r="I72" s="37" t="str">
        <f>IF(EXACT($H72, ""), "", VLOOKUP($H72, 'MAIN - OrgJobsPos'!$B$2:$C$101, 2, FALSE))</f>
        <v/>
      </c>
      <c r="J72" s="67"/>
      <c r="K72" s="63"/>
      <c r="L72" s="10" t="s">
        <v>7</v>
      </c>
      <c r="M72" s="11"/>
      <c r="O72" s="29">
        <f t="shared" si="2"/>
        <v>164000000000069</v>
      </c>
      <c r="P7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32000000000069::bigint, 163000000000003::bigint, null::bigint, null::bigint, null::varchar, null::timestamptz, '1900-12-31 23:59:59+07'::timestamptz, null::bigint);</v>
      </c>
    </row>
    <row r="73" spans="2:16" x14ac:dyDescent="0.2">
      <c r="B73" s="37">
        <f>IF(EXACT(DataLookUp!$B73, ""), "", DataLookUp!$B73)</f>
        <v>32000000000070</v>
      </c>
      <c r="C73" s="38" t="str">
        <f>MAIN!C73</f>
        <v>Bambang Prihatin</v>
      </c>
      <c r="D73" s="91">
        <v>163000000000003</v>
      </c>
      <c r="E73" s="37" t="str">
        <f>IF(EXACT($D73, ""), "", VLOOKUP($D73, [2]DataLookUp!$B$4:$D$15, 2, FALSE ))</f>
        <v>Karyawan Tidak Tetap (Kontrak)</v>
      </c>
      <c r="F73" s="91"/>
      <c r="G73" s="37" t="str">
        <f>IF(EXACT($F73, ""), "", VLOOKUP($F73, 'MAIN - OrgDepartment'!$C$3:$D$104, 2, FALSE))</f>
        <v/>
      </c>
      <c r="H73" s="91"/>
      <c r="I73" s="37" t="str">
        <f>IF(EXACT($H73, ""), "", VLOOKUP($H73, 'MAIN - OrgJobsPos'!$B$2:$C$101, 2, FALSE))</f>
        <v/>
      </c>
      <c r="J73" s="67"/>
      <c r="K73" s="63"/>
      <c r="L73" s="10" t="s">
        <v>7</v>
      </c>
      <c r="M73" s="11"/>
      <c r="O73" s="29">
        <f t="shared" si="2"/>
        <v>164000000000070</v>
      </c>
      <c r="P73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32000000000070::bigint, 163000000000003::bigint, null::bigint, null::bigint, null::varchar, null::timestamptz, '1900-12-31 23:59:59+07'::timestamptz, null::bigint);</v>
      </c>
    </row>
    <row r="74" spans="2:16" x14ac:dyDescent="0.2">
      <c r="B74" s="37">
        <f>IF(EXACT(DataLookUp!$B74, ""), "", DataLookUp!$B74)</f>
        <v>32000000000071</v>
      </c>
      <c r="C74" s="38" t="str">
        <f>MAIN!C74</f>
        <v>Bani Mustazeni</v>
      </c>
      <c r="D74" s="91">
        <v>163000000000003</v>
      </c>
      <c r="E74" s="37" t="str">
        <f>IF(EXACT($D74, ""), "", VLOOKUP($D74, [2]DataLookUp!$B$4:$D$15, 2, FALSE ))</f>
        <v>Karyawan Tidak Tetap (Kontrak)</v>
      </c>
      <c r="F74" s="91"/>
      <c r="G74" s="37" t="str">
        <f>IF(EXACT($F74, ""), "", VLOOKUP($F74, 'MAIN - OrgDepartment'!$C$3:$D$104, 2, FALSE))</f>
        <v/>
      </c>
      <c r="H74" s="91"/>
      <c r="I74" s="37" t="str">
        <f>IF(EXACT($H74, ""), "", VLOOKUP($H74, 'MAIN - OrgJobsPos'!$B$2:$C$101, 2, FALSE))</f>
        <v/>
      </c>
      <c r="J74" s="67"/>
      <c r="K74" s="63"/>
      <c r="L74" s="10" t="s">
        <v>7</v>
      </c>
      <c r="M74" s="11"/>
      <c r="O74" s="29">
        <f t="shared" si="2"/>
        <v>164000000000071</v>
      </c>
      <c r="P74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32000000000071::bigint, 163000000000003::bigint, null::bigint, null::bigint, null::varchar, null::timestamptz, '1900-12-31 23:59:59+07'::timestamptz, null::bigint);</v>
      </c>
    </row>
    <row r="75" spans="2:16" x14ac:dyDescent="0.2">
      <c r="B75" s="37">
        <f>IF(EXACT(DataLookUp!$B75, ""), "", DataLookUp!$B75)</f>
        <v>32000000000072</v>
      </c>
      <c r="C75" s="38" t="str">
        <f>MAIN!C75</f>
        <v>Bardai</v>
      </c>
      <c r="D75" s="91">
        <v>163000000000003</v>
      </c>
      <c r="E75" s="37" t="str">
        <f>IF(EXACT($D75, ""), "", VLOOKUP($D75, [2]DataLookUp!$B$4:$D$15, 2, FALSE ))</f>
        <v>Karyawan Tidak Tetap (Kontrak)</v>
      </c>
      <c r="F75" s="91"/>
      <c r="G75" s="37" t="str">
        <f>IF(EXACT($F75, ""), "", VLOOKUP($F75, 'MAIN - OrgDepartment'!$C$3:$D$104, 2, FALSE))</f>
        <v/>
      </c>
      <c r="H75" s="91"/>
      <c r="I75" s="37" t="str">
        <f>IF(EXACT($H75, ""), "", VLOOKUP($H75, 'MAIN - OrgJobsPos'!$B$2:$C$101, 2, FALSE))</f>
        <v/>
      </c>
      <c r="J75" s="67"/>
      <c r="K75" s="63"/>
      <c r="L75" s="10" t="s">
        <v>7</v>
      </c>
      <c r="M75" s="11"/>
      <c r="O75" s="29">
        <f t="shared" si="2"/>
        <v>164000000000072</v>
      </c>
      <c r="P75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32000000000072::bigint, 163000000000003::bigint, null::bigint, null::bigint, null::varchar, null::timestamptz, '1900-12-31 23:59:59+07'::timestamptz, null::bigint);</v>
      </c>
    </row>
    <row r="76" spans="2:16" x14ac:dyDescent="0.2">
      <c r="B76" s="37">
        <f>IF(EXACT(DataLookUp!$B76, ""), "", DataLookUp!$B76)</f>
        <v>32000000000073</v>
      </c>
      <c r="C76" s="38" t="str">
        <f>MAIN!C76</f>
        <v>Barika</v>
      </c>
      <c r="D76" s="91">
        <v>163000000000003</v>
      </c>
      <c r="E76" s="37" t="str">
        <f>IF(EXACT($D76, ""), "", VLOOKUP($D76, [2]DataLookUp!$B$4:$D$15, 2, FALSE ))</f>
        <v>Karyawan Tidak Tetap (Kontrak)</v>
      </c>
      <c r="F76" s="91"/>
      <c r="G76" s="37" t="str">
        <f>IF(EXACT($F76, ""), "", VLOOKUP($F76, 'MAIN - OrgDepartment'!$C$3:$D$104, 2, FALSE))</f>
        <v/>
      </c>
      <c r="H76" s="91"/>
      <c r="I76" s="37" t="str">
        <f>IF(EXACT($H76, ""), "", VLOOKUP($H76, 'MAIN - OrgJobsPos'!$B$2:$C$101, 2, FALSE))</f>
        <v/>
      </c>
      <c r="J76" s="67"/>
      <c r="K76" s="63"/>
      <c r="L76" s="10" t="s">
        <v>7</v>
      </c>
      <c r="M76" s="11"/>
      <c r="O76" s="29">
        <f t="shared" si="2"/>
        <v>164000000000073</v>
      </c>
      <c r="P76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32000000000073::bigint, 163000000000003::bigint, null::bigint, null::bigint, null::varchar, null::timestamptz, '1900-12-31 23:59:59+07'::timestamptz, null::bigint);</v>
      </c>
    </row>
    <row r="77" spans="2:16" x14ac:dyDescent="0.2">
      <c r="B77" s="37">
        <f>IF(EXACT(DataLookUp!$B77, ""), "", DataLookUp!$B77)</f>
        <v>32000000000074</v>
      </c>
      <c r="C77" s="38" t="str">
        <f>MAIN!C77</f>
        <v>Bela Retmalantika</v>
      </c>
      <c r="D77" s="91">
        <v>163000000000003</v>
      </c>
      <c r="E77" s="37" t="str">
        <f>IF(EXACT($D77, ""), "", VLOOKUP($D77, [2]DataLookUp!$B$4:$D$15, 2, FALSE ))</f>
        <v>Karyawan Tidak Tetap (Kontrak)</v>
      </c>
      <c r="F77" s="91"/>
      <c r="G77" s="37" t="str">
        <f>IF(EXACT($F77, ""), "", VLOOKUP($F77, 'MAIN - OrgDepartment'!$C$3:$D$104, 2, FALSE))</f>
        <v/>
      </c>
      <c r="H77" s="91"/>
      <c r="I77" s="37" t="str">
        <f>IF(EXACT($H77, ""), "", VLOOKUP($H77, 'MAIN - OrgJobsPos'!$B$2:$C$101, 2, FALSE))</f>
        <v/>
      </c>
      <c r="J77" s="67"/>
      <c r="K77" s="63"/>
      <c r="L77" s="10" t="s">
        <v>7</v>
      </c>
      <c r="M77" s="11"/>
      <c r="O77" s="29">
        <f t="shared" si="2"/>
        <v>164000000000074</v>
      </c>
      <c r="P77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32000000000074::bigint, 163000000000003::bigint, null::bigint, null::bigint, null::varchar, null::timestamptz, '1900-12-31 23:59:59+07'::timestamptz, null::bigint);</v>
      </c>
    </row>
    <row r="78" spans="2:16" x14ac:dyDescent="0.2">
      <c r="B78" s="37">
        <f>IF(EXACT(DataLookUp!$B78, ""), "", DataLookUp!$B78)</f>
        <v>32000000000075</v>
      </c>
      <c r="C78" s="38" t="str">
        <f>MAIN!C78</f>
        <v>Belina Lindarwani</v>
      </c>
      <c r="D78" s="91">
        <v>163000000000003</v>
      </c>
      <c r="E78" s="37" t="str">
        <f>IF(EXACT($D78, ""), "", VLOOKUP($D78, [2]DataLookUp!$B$4:$D$15, 2, FALSE ))</f>
        <v>Karyawan Tidak Tetap (Kontrak)</v>
      </c>
      <c r="F78" s="91">
        <v>111000000000005</v>
      </c>
      <c r="G78" s="37" t="str">
        <f>IF(EXACT($F78, ""), "", VLOOKUP($F78, 'MAIN - OrgDepartment'!$C$3:$D$104, 2, FALSE))</f>
        <v>Finance &amp; Accounting</v>
      </c>
      <c r="H78" s="91">
        <v>160000000000003</v>
      </c>
      <c r="I78" s="37" t="str">
        <f>IF(EXACT($H78, ""), "", VLOOKUP($H78, 'MAIN - OrgJobsPos'!$B$2:$C$101, 2, FALSE))</f>
        <v>Staff</v>
      </c>
      <c r="J78" s="67" t="s">
        <v>206</v>
      </c>
      <c r="K78" s="63" t="s">
        <v>256</v>
      </c>
      <c r="L78" s="10" t="s">
        <v>3</v>
      </c>
      <c r="M78" s="11"/>
      <c r="O78" s="29">
        <f t="shared" si="2"/>
        <v>164000000000075</v>
      </c>
      <c r="P78" s="30" t="str">
        <f t="shared" si="3"/>
        <v>PERFORM "SchData-OLTP-HumanResource"."Func_TblWorkerCareerInternal_SET"(varSystemLoginSession, null::bigint, null::varchar, '2020-09-10 00:00:00+07'::timestamptz, '9999-12-31 23:59:59+07'::timestamptz, null::varchar, varInstitutionBranchID, varBaseCurrencyID, 32000000000075::bigint, 163000000000003::bigint, 111000000000005::bigint, 160000000000003::bigint, 'Accounting Staff'::varchar, '2020-09-10 00:00:00+07'::timestamptz, '9999-12-31 23:59:59+07'::timestamptz, null::bigint);</v>
      </c>
    </row>
    <row r="79" spans="2:16" x14ac:dyDescent="0.2">
      <c r="B79" s="37">
        <f>IF(EXACT(DataLookUp!$B79, ""), "", DataLookUp!$B79)</f>
        <v>32000000000076</v>
      </c>
      <c r="C79" s="38" t="str">
        <f>MAIN!C79</f>
        <v>Benita Sofia</v>
      </c>
      <c r="D79" s="91">
        <v>163000000000003</v>
      </c>
      <c r="E79" s="37" t="str">
        <f>IF(EXACT($D79, ""), "", VLOOKUP($D79, [2]DataLookUp!$B$4:$D$15, 2, FALSE ))</f>
        <v>Karyawan Tidak Tetap (Kontrak)</v>
      </c>
      <c r="F79" s="91"/>
      <c r="G79" s="37" t="str">
        <f>IF(EXACT($F79, ""), "", VLOOKUP($F79, 'MAIN - OrgDepartment'!$C$3:$D$104, 2, FALSE))</f>
        <v/>
      </c>
      <c r="H79" s="91"/>
      <c r="I79" s="37" t="str">
        <f>IF(EXACT($H79, ""), "", VLOOKUP($H79, 'MAIN - OrgJobsPos'!$B$2:$C$101, 2, FALSE))</f>
        <v/>
      </c>
      <c r="J79" s="67"/>
      <c r="K79" s="63"/>
      <c r="L79" s="10" t="s">
        <v>7</v>
      </c>
      <c r="M79" s="11"/>
      <c r="O79" s="29">
        <f t="shared" si="2"/>
        <v>164000000000076</v>
      </c>
      <c r="P79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32000000000076::bigint, 163000000000003::bigint, null::bigint, null::bigint, null::varchar, null::timestamptz, '1900-12-31 23:59:59+07'::timestamptz, null::bigint);</v>
      </c>
    </row>
    <row r="80" spans="2:16" x14ac:dyDescent="0.2">
      <c r="B80" s="37">
        <f>IF(EXACT(DataLookUp!$B80, ""), "", DataLookUp!$B80)</f>
        <v>32000000000077</v>
      </c>
      <c r="C80" s="38" t="str">
        <f>MAIN!C80</f>
        <v>Bherly Novrandy</v>
      </c>
      <c r="D80" s="91">
        <v>163000000000003</v>
      </c>
      <c r="E80" s="37" t="str">
        <f>IF(EXACT($D80, ""), "", VLOOKUP($D80, [2]DataLookUp!$B$4:$D$15, 2, FALSE ))</f>
        <v>Karyawan Tidak Tetap (Kontrak)</v>
      </c>
      <c r="F80" s="91">
        <v>111000000000003</v>
      </c>
      <c r="G80" s="37" t="str">
        <f>IF(EXACT($F80, ""), "", VLOOKUP($F80, 'MAIN - OrgDepartment'!$C$3:$D$104, 2, FALSE))</f>
        <v>Information Technology</v>
      </c>
      <c r="H80" s="91">
        <v>160000000000003</v>
      </c>
      <c r="I80" s="37" t="str">
        <f>IF(EXACT($H80, ""), "", VLOOKUP($H80, 'MAIN - OrgJobsPos'!$B$2:$C$101, 2, FALSE))</f>
        <v>Staff</v>
      </c>
      <c r="J80" s="67"/>
      <c r="K80" s="63" t="s">
        <v>5</v>
      </c>
      <c r="L80" s="12" t="s">
        <v>4</v>
      </c>
      <c r="M80" s="11"/>
      <c r="O80" s="29">
        <f t="shared" si="2"/>
        <v>164000000000077</v>
      </c>
      <c r="P80" s="30" t="str">
        <f t="shared" si="3"/>
        <v>PERFORM "SchData-OLTP-HumanResource"."Func_TblWorkerCareerInternal_SET"(varSystemLoginSession, null::bigint, null::varchar, '2010-03-01 00:00:00+07'::timestamptz, '2014-09-30 23:59:59+07'::timestamptz, null::varchar, varInstitutionBranchID, varBaseCurrencyID, 32000000000077::bigint, 163000000000003::bigint, 111000000000003::bigint, 160000000000003::bigint, null::varchar, '2010-03-01 00:00:00+07'::timestamptz, '2014-09-30 23:59:59+07'::timestamptz, null::bigint);</v>
      </c>
    </row>
    <row r="81" spans="2:16" x14ac:dyDescent="0.2">
      <c r="B81" s="37">
        <f>IF(EXACT(DataLookUp!$B81, ""), "", DataLookUp!$B81)</f>
        <v>32000000000078</v>
      </c>
      <c r="C81" s="38" t="str">
        <f>MAIN!C81</f>
        <v>Binsar</v>
      </c>
      <c r="D81" s="91">
        <v>163000000000003</v>
      </c>
      <c r="E81" s="37" t="str">
        <f>IF(EXACT($D81, ""), "", VLOOKUP($D81, [2]DataLookUp!$B$4:$D$15, 2, FALSE ))</f>
        <v>Karyawan Tidak Tetap (Kontrak)</v>
      </c>
      <c r="F81" s="91"/>
      <c r="G81" s="37" t="str">
        <f>IF(EXACT($F81, ""), "", VLOOKUP($F81, 'MAIN - OrgDepartment'!$C$3:$D$104, 2, FALSE))</f>
        <v/>
      </c>
      <c r="H81" s="91"/>
      <c r="I81" s="37" t="str">
        <f>IF(EXACT($H81, ""), "", VLOOKUP($H81, 'MAIN - OrgJobsPos'!$B$2:$C$101, 2, FALSE))</f>
        <v/>
      </c>
      <c r="J81" s="67"/>
      <c r="K81" s="63"/>
      <c r="L81" s="10" t="s">
        <v>7</v>
      </c>
      <c r="M81" s="11"/>
      <c r="O81" s="29">
        <f t="shared" si="2"/>
        <v>164000000000078</v>
      </c>
      <c r="P8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32000000000078::bigint, 163000000000003::bigint, null::bigint, null::bigint, null::varchar, null::timestamptz, '1900-12-31 23:59:59+07'::timestamptz, null::bigint);</v>
      </c>
    </row>
    <row r="82" spans="2:16" x14ac:dyDescent="0.2">
      <c r="B82" s="37">
        <f>IF(EXACT(DataLookUp!$B82, ""), "", DataLookUp!$B82)</f>
        <v>32000000000079</v>
      </c>
      <c r="C82" s="38" t="str">
        <f>MAIN!C82</f>
        <v>Bondhan Sosiarta</v>
      </c>
      <c r="D82" s="91">
        <v>163000000000003</v>
      </c>
      <c r="E82" s="37" t="str">
        <f>IF(EXACT($D82, ""), "", VLOOKUP($D82, [2]DataLookUp!$B$4:$D$15, 2, FALSE ))</f>
        <v>Karyawan Tidak Tetap (Kontrak)</v>
      </c>
      <c r="F82" s="91"/>
      <c r="G82" s="37" t="str">
        <f>IF(EXACT($F82, ""), "", VLOOKUP($F82, 'MAIN - OrgDepartment'!$C$3:$D$104, 2, FALSE))</f>
        <v/>
      </c>
      <c r="H82" s="91"/>
      <c r="I82" s="37" t="str">
        <f>IF(EXACT($H82, ""), "", VLOOKUP($H82, 'MAIN - OrgJobsPos'!$B$2:$C$101, 2, FALSE))</f>
        <v/>
      </c>
      <c r="J82" s="67"/>
      <c r="K82" s="63"/>
      <c r="L82" s="10" t="s">
        <v>7</v>
      </c>
      <c r="M82" s="11"/>
      <c r="O82" s="29">
        <f t="shared" si="2"/>
        <v>164000000000079</v>
      </c>
      <c r="P8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32000000000079::bigint, 163000000000003::bigint, null::bigint, null::bigint, null::varchar, null::timestamptz, '1900-12-31 23:59:59+07'::timestamptz, null::bigint);</v>
      </c>
    </row>
    <row r="83" spans="2:16" x14ac:dyDescent="0.2">
      <c r="B83" s="37">
        <f>IF(EXACT(DataLookUp!$B83, ""), "", DataLookUp!$B83)</f>
        <v>32000000000080</v>
      </c>
      <c r="C83" s="38" t="str">
        <f>MAIN!C83</f>
        <v>Budi Pranata Sinaga</v>
      </c>
      <c r="D83" s="91">
        <v>163000000000002</v>
      </c>
      <c r="E83" s="37" t="str">
        <f>IF(EXACT($D83, ""), "", VLOOKUP($D83, [2]DataLookUp!$B$4:$D$15, 2, FALSE ))</f>
        <v>Karyawan Tetap (Purna Waktu)</v>
      </c>
      <c r="F83" s="91"/>
      <c r="G83" s="37" t="str">
        <f>IF(EXACT($F83, ""), "", VLOOKUP($F83, 'MAIN - OrgDepartment'!$C$3:$D$104, 2, FALSE))</f>
        <v/>
      </c>
      <c r="H83" s="91"/>
      <c r="I83" s="37" t="str">
        <f>IF(EXACT($H83, ""), "", VLOOKUP($H83, 'MAIN - OrgJobsPos'!$B$2:$C$101, 2, FALSE))</f>
        <v/>
      </c>
      <c r="J83" s="67"/>
      <c r="K83" s="63"/>
      <c r="L83" s="10" t="s">
        <v>7</v>
      </c>
      <c r="M83" s="11"/>
      <c r="O83" s="29">
        <f t="shared" si="2"/>
        <v>164000000000080</v>
      </c>
      <c r="P83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32000000000080::bigint, 163000000000002::bigint, null::bigint, null::bigint, null::varchar, null::timestamptz, '1900-12-31 23:59:59+07'::timestamptz, null::bigint);</v>
      </c>
    </row>
    <row r="84" spans="2:16" x14ac:dyDescent="0.2">
      <c r="B84" s="37">
        <f>IF(EXACT(DataLookUp!$B84, ""), "", DataLookUp!$B84)</f>
        <v>32000000000081</v>
      </c>
      <c r="C84" s="38" t="str">
        <f>MAIN!C84</f>
        <v>Budi Satrio</v>
      </c>
      <c r="D84" s="91">
        <v>163000000000003</v>
      </c>
      <c r="E84" s="37" t="str">
        <f>IF(EXACT($D84, ""), "", VLOOKUP($D84, [2]DataLookUp!$B$4:$D$15, 2, FALSE ))</f>
        <v>Karyawan Tidak Tetap (Kontrak)</v>
      </c>
      <c r="F84" s="91"/>
      <c r="G84" s="37" t="str">
        <f>IF(EXACT($F84, ""), "", VLOOKUP($F84, 'MAIN - OrgDepartment'!$C$3:$D$104, 2, FALSE))</f>
        <v/>
      </c>
      <c r="H84" s="91"/>
      <c r="I84" s="37" t="str">
        <f>IF(EXACT($H84, ""), "", VLOOKUP($H84, 'MAIN - OrgJobsPos'!$B$2:$C$101, 2, FALSE))</f>
        <v/>
      </c>
      <c r="J84" s="67"/>
      <c r="K84" s="63"/>
      <c r="L84" s="10" t="s">
        <v>7</v>
      </c>
      <c r="M84" s="11"/>
      <c r="O84" s="29">
        <f t="shared" si="2"/>
        <v>164000000000081</v>
      </c>
      <c r="P84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32000000000081::bigint, 163000000000003::bigint, null::bigint, null::bigint, null::varchar, null::timestamptz, '1900-12-31 23:59:59+07'::timestamptz, null::bigint);</v>
      </c>
    </row>
    <row r="85" spans="2:16" x14ac:dyDescent="0.2">
      <c r="B85" s="37">
        <f>IF(EXACT(DataLookUp!$B85, ""), "", DataLookUp!$B85)</f>
        <v>32000000000082</v>
      </c>
      <c r="C85" s="38" t="str">
        <f>MAIN!C85</f>
        <v>Budianto</v>
      </c>
      <c r="D85" s="91">
        <v>163000000000003</v>
      </c>
      <c r="E85" s="37" t="str">
        <f>IF(EXACT($D85, ""), "", VLOOKUP($D85, [2]DataLookUp!$B$4:$D$15, 2, FALSE ))</f>
        <v>Karyawan Tidak Tetap (Kontrak)</v>
      </c>
      <c r="F85" s="91">
        <v>111000000000005</v>
      </c>
      <c r="G85" s="37" t="str">
        <f>IF(EXACT($F85, ""), "", VLOOKUP($F85, 'MAIN - OrgDepartment'!$C$3:$D$104, 2, FALSE))</f>
        <v>Finance &amp; Accounting</v>
      </c>
      <c r="H85" s="91">
        <v>160000000000005</v>
      </c>
      <c r="I85" s="37" t="str">
        <f>IF(EXACT($H85, ""), "", VLOOKUP($H85, 'MAIN - OrgJobsPos'!$B$2:$C$101, 2, FALSE))</f>
        <v>Senior Supervisor</v>
      </c>
      <c r="J85" s="67" t="s">
        <v>306</v>
      </c>
      <c r="K85" s="63" t="s">
        <v>215</v>
      </c>
      <c r="L85" s="10" t="s">
        <v>3</v>
      </c>
      <c r="M85" s="11"/>
      <c r="O85" s="29">
        <f t="shared" si="2"/>
        <v>164000000000082</v>
      </c>
      <c r="P85" s="30" t="str">
        <f t="shared" si="3"/>
        <v>PERFORM "SchData-OLTP-HumanResource"."Func_TblWorkerCareerInternal_SET"(varSystemLoginSession, null::bigint, null::varchar, '2015-05-06 00:00:00+07'::timestamptz, '9999-12-31 23:59:59+07'::timestamptz, null::varchar, varInstitutionBranchID, varBaseCurrencyID, 32000000000082::bigint, 163000000000003::bigint, 111000000000005::bigint, 160000000000005::bigint, 'Plt Finance Manager'::varchar, '2015-05-06 00:00:00+07'::timestamptz, '9999-12-31 23:59:59+07'::timestamptz, null::bigint);</v>
      </c>
    </row>
    <row r="86" spans="2:16" x14ac:dyDescent="0.2">
      <c r="B86" s="37">
        <f>IF(EXACT(DataLookUp!$B86, ""), "", DataLookUp!$B86)</f>
        <v>32000000000083</v>
      </c>
      <c r="C86" s="38" t="str">
        <f>MAIN!C86</f>
        <v>Budiman</v>
      </c>
      <c r="D86" s="91">
        <v>163000000000003</v>
      </c>
      <c r="E86" s="37" t="str">
        <f>IF(EXACT($D86, ""), "", VLOOKUP($D86, [2]DataLookUp!$B$4:$D$15, 2, FALSE ))</f>
        <v>Karyawan Tidak Tetap (Kontrak)</v>
      </c>
      <c r="F86" s="91"/>
      <c r="G86" s="37" t="str">
        <f>IF(EXACT($F86, ""), "", VLOOKUP($F86, 'MAIN - OrgDepartment'!$C$3:$D$104, 2, FALSE))</f>
        <v/>
      </c>
      <c r="H86" s="91"/>
      <c r="I86" s="37" t="str">
        <f>IF(EXACT($H86, ""), "", VLOOKUP($H86, 'MAIN - OrgJobsPos'!$B$2:$C$101, 2, FALSE))</f>
        <v/>
      </c>
      <c r="J86" s="67"/>
      <c r="K86" s="63"/>
      <c r="L86" s="10" t="s">
        <v>7</v>
      </c>
      <c r="M86" s="11"/>
      <c r="O86" s="29">
        <f t="shared" si="2"/>
        <v>164000000000083</v>
      </c>
      <c r="P86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32000000000083::bigint, 163000000000003::bigint, null::bigint, null::bigint, null::varchar, null::timestamptz, '1900-12-31 23:59:59+07'::timestamptz, null::bigint);</v>
      </c>
    </row>
    <row r="87" spans="2:16" x14ac:dyDescent="0.2">
      <c r="B87" s="37">
        <f>IF(EXACT(DataLookUp!$B87, ""), "", DataLookUp!$B87)</f>
        <v>32000000000084</v>
      </c>
      <c r="C87" s="38" t="str">
        <f>MAIN!C87</f>
        <v>Cahyaning Annisa</v>
      </c>
      <c r="D87" s="91">
        <v>163000000000003</v>
      </c>
      <c r="E87" s="37" t="str">
        <f>IF(EXACT($D87, ""), "", VLOOKUP($D87, [2]DataLookUp!$B$4:$D$15, 2, FALSE ))</f>
        <v>Karyawan Tidak Tetap (Kontrak)</v>
      </c>
      <c r="F87" s="91"/>
      <c r="G87" s="37" t="str">
        <f>IF(EXACT($F87, ""), "", VLOOKUP($F87, 'MAIN - OrgDepartment'!$C$3:$D$104, 2, FALSE))</f>
        <v/>
      </c>
      <c r="H87" s="91"/>
      <c r="I87" s="37" t="str">
        <f>IF(EXACT($H87, ""), "", VLOOKUP($H87, 'MAIN - OrgJobsPos'!$B$2:$C$101, 2, FALSE))</f>
        <v/>
      </c>
      <c r="J87" s="67"/>
      <c r="K87" s="63"/>
      <c r="L87" s="10" t="s">
        <v>7</v>
      </c>
      <c r="M87" s="11"/>
      <c r="O87" s="29">
        <f t="shared" si="2"/>
        <v>164000000000084</v>
      </c>
      <c r="P87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32000000000084::bigint, 163000000000003::bigint, null::bigint, null::bigint, null::varchar, null::timestamptz, '1900-12-31 23:59:59+07'::timestamptz, null::bigint);</v>
      </c>
    </row>
    <row r="88" spans="2:16" x14ac:dyDescent="0.2">
      <c r="B88" s="37">
        <f>IF(EXACT(DataLookUp!$B88, ""), "", DataLookUp!$B88)</f>
        <v>32000000000085</v>
      </c>
      <c r="C88" s="38" t="str">
        <f>MAIN!C88</f>
        <v>Cahyaningrum Widiastuti</v>
      </c>
      <c r="D88" s="91">
        <v>163000000000003</v>
      </c>
      <c r="E88" s="37" t="str">
        <f>IF(EXACT($D88, ""), "", VLOOKUP($D88, [2]DataLookUp!$B$4:$D$15, 2, FALSE ))</f>
        <v>Karyawan Tidak Tetap (Kontrak)</v>
      </c>
      <c r="F88" s="91"/>
      <c r="G88" s="37" t="str">
        <f>IF(EXACT($F88, ""), "", VLOOKUP($F88, 'MAIN - OrgDepartment'!$C$3:$D$104, 2, FALSE))</f>
        <v/>
      </c>
      <c r="H88" s="91"/>
      <c r="I88" s="37" t="str">
        <f>IF(EXACT($H88, ""), "", VLOOKUP($H88, 'MAIN - OrgJobsPos'!$B$2:$C$101, 2, FALSE))</f>
        <v/>
      </c>
      <c r="J88" s="67"/>
      <c r="K88" s="63"/>
      <c r="L88" s="10" t="s">
        <v>7</v>
      </c>
      <c r="M88" s="11"/>
      <c r="O88" s="29">
        <f t="shared" si="2"/>
        <v>164000000000085</v>
      </c>
      <c r="P88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32000000000085::bigint, 163000000000003::bigint, null::bigint, null::bigint, null::varchar, null::timestamptz, '1900-12-31 23:59:59+07'::timestamptz, null::bigint);</v>
      </c>
    </row>
    <row r="89" spans="2:16" x14ac:dyDescent="0.2">
      <c r="B89" s="37">
        <f>IF(EXACT(DataLookUp!$B89, ""), "", DataLookUp!$B89)</f>
        <v>32000000000086</v>
      </c>
      <c r="C89" s="38" t="str">
        <f>MAIN!C89</f>
        <v>Cecep Maulana</v>
      </c>
      <c r="D89" s="91">
        <v>163000000000003</v>
      </c>
      <c r="E89" s="37" t="str">
        <f>IF(EXACT($D89, ""), "", VLOOKUP($D89, [2]DataLookUp!$B$4:$D$15, 2, FALSE ))</f>
        <v>Karyawan Tidak Tetap (Kontrak)</v>
      </c>
      <c r="F89" s="91"/>
      <c r="G89" s="37" t="str">
        <f>IF(EXACT($F89, ""), "", VLOOKUP($F89, 'MAIN - OrgDepartment'!$C$3:$D$104, 2, FALSE))</f>
        <v/>
      </c>
      <c r="H89" s="91"/>
      <c r="I89" s="37" t="str">
        <f>IF(EXACT($H89, ""), "", VLOOKUP($H89, 'MAIN - OrgJobsPos'!$B$2:$C$101, 2, FALSE))</f>
        <v/>
      </c>
      <c r="J89" s="67"/>
      <c r="K89" s="63"/>
      <c r="L89" s="10" t="s">
        <v>7</v>
      </c>
      <c r="M89" s="11"/>
      <c r="O89" s="29">
        <f t="shared" si="2"/>
        <v>164000000000086</v>
      </c>
      <c r="P89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32000000000086::bigint, 163000000000003::bigint, null::bigint, null::bigint, null::varchar, null::timestamptz, '1900-12-31 23:59:59+07'::timestamptz, null::bigint);</v>
      </c>
    </row>
    <row r="90" spans="2:16" x14ac:dyDescent="0.2">
      <c r="B90" s="37">
        <f>IF(EXACT(DataLookUp!$B90, ""), "", DataLookUp!$B90)</f>
        <v>32000000000087</v>
      </c>
      <c r="C90" s="38" t="str">
        <f>MAIN!C90</f>
        <v>Chairul Musaddat</v>
      </c>
      <c r="D90" s="91">
        <v>163000000000003</v>
      </c>
      <c r="E90" s="37" t="str">
        <f>IF(EXACT($D90, ""), "", VLOOKUP($D90, [2]DataLookUp!$B$4:$D$15, 2, FALSE ))</f>
        <v>Karyawan Tidak Tetap (Kontrak)</v>
      </c>
      <c r="F90" s="91"/>
      <c r="G90" s="37" t="str">
        <f>IF(EXACT($F90, ""), "", VLOOKUP($F90, 'MAIN - OrgDepartment'!$C$3:$D$104, 2, FALSE))</f>
        <v/>
      </c>
      <c r="H90" s="91"/>
      <c r="I90" s="37" t="str">
        <f>IF(EXACT($H90, ""), "", VLOOKUP($H90, 'MAIN - OrgJobsPos'!$B$2:$C$101, 2, FALSE))</f>
        <v/>
      </c>
      <c r="J90" s="67"/>
      <c r="K90" s="63"/>
      <c r="L90" s="10" t="s">
        <v>7</v>
      </c>
      <c r="M90" s="11"/>
      <c r="O90" s="29">
        <f t="shared" si="2"/>
        <v>164000000000087</v>
      </c>
      <c r="P90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32000000000087::bigint, 163000000000003::bigint, null::bigint, null::bigint, null::varchar, null::timestamptz, '1900-12-31 23:59:59+07'::timestamptz, null::bigint);</v>
      </c>
    </row>
    <row r="91" spans="2:16" x14ac:dyDescent="0.2">
      <c r="B91" s="37">
        <f>IF(EXACT(DataLookUp!$B91, ""), "", DataLookUp!$B91)</f>
        <v>32000000000088</v>
      </c>
      <c r="C91" s="38" t="str">
        <f>MAIN!C91</f>
        <v>Christianto</v>
      </c>
      <c r="D91" s="91">
        <v>163000000000003</v>
      </c>
      <c r="E91" s="37" t="str">
        <f>IF(EXACT($D91, ""), "", VLOOKUP($D91, [2]DataLookUp!$B$4:$D$15, 2, FALSE ))</f>
        <v>Karyawan Tidak Tetap (Kontrak)</v>
      </c>
      <c r="F91" s="91"/>
      <c r="G91" s="37" t="str">
        <f>IF(EXACT($F91, ""), "", VLOOKUP($F91, 'MAIN - OrgDepartment'!$C$3:$D$104, 2, FALSE))</f>
        <v/>
      </c>
      <c r="H91" s="91"/>
      <c r="I91" s="37" t="str">
        <f>IF(EXACT($H91, ""), "", VLOOKUP($H91, 'MAIN - OrgJobsPos'!$B$2:$C$101, 2, FALSE))</f>
        <v/>
      </c>
      <c r="J91" s="67"/>
      <c r="K91" s="63"/>
      <c r="L91" s="10" t="s">
        <v>7</v>
      </c>
      <c r="M91" s="11"/>
      <c r="O91" s="29">
        <f t="shared" si="2"/>
        <v>164000000000088</v>
      </c>
      <c r="P9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32000000000088::bigint, 163000000000003::bigint, null::bigint, null::bigint, null::varchar, null::timestamptz, '1900-12-31 23:59:59+07'::timestamptz, null::bigint);</v>
      </c>
    </row>
    <row r="92" spans="2:16" x14ac:dyDescent="0.2">
      <c r="B92" s="37">
        <f>IF(EXACT(DataLookUp!$B92, ""), "", DataLookUp!$B92)</f>
        <v>32000000000089</v>
      </c>
      <c r="C92" s="38" t="str">
        <f>MAIN!C92</f>
        <v>Dadan Hermawan</v>
      </c>
      <c r="D92" s="91">
        <v>163000000000003</v>
      </c>
      <c r="E92" s="37" t="str">
        <f>IF(EXACT($D92, ""), "", VLOOKUP($D92, [2]DataLookUp!$B$4:$D$15, 2, FALSE ))</f>
        <v>Karyawan Tidak Tetap (Kontrak)</v>
      </c>
      <c r="F92" s="91"/>
      <c r="G92" s="37" t="str">
        <f>IF(EXACT($F92, ""), "", VLOOKUP($F92, 'MAIN - OrgDepartment'!$C$3:$D$104, 2, FALSE))</f>
        <v/>
      </c>
      <c r="H92" s="91"/>
      <c r="I92" s="37" t="str">
        <f>IF(EXACT($H92, ""), "", VLOOKUP($H92, 'MAIN - OrgJobsPos'!$B$2:$C$101, 2, FALSE))</f>
        <v/>
      </c>
      <c r="J92" s="67"/>
      <c r="K92" s="63"/>
      <c r="L92" s="10" t="s">
        <v>7</v>
      </c>
      <c r="M92" s="11"/>
      <c r="O92" s="29">
        <f t="shared" si="2"/>
        <v>164000000000089</v>
      </c>
      <c r="P9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32000000000089::bigint, 163000000000003::bigint, null::bigint, null::bigint, null::varchar, null::timestamptz, '1900-12-31 23:59:59+07'::timestamptz, null::bigint);</v>
      </c>
    </row>
    <row r="93" spans="2:16" x14ac:dyDescent="0.2">
      <c r="B93" s="37">
        <f>IF(EXACT(DataLookUp!$B93, ""), "", DataLookUp!$B93)</f>
        <v>32000000000090</v>
      </c>
      <c r="C93" s="38" t="str">
        <f>MAIN!C93</f>
        <v>Dadan Suhendar</v>
      </c>
      <c r="D93" s="91">
        <v>163000000000002</v>
      </c>
      <c r="E93" s="37" t="str">
        <f>IF(EXACT($D93, ""), "", VLOOKUP($D93, [2]DataLookUp!$B$4:$D$15, 2, FALSE ))</f>
        <v>Karyawan Tetap (Purna Waktu)</v>
      </c>
      <c r="F93" s="91"/>
      <c r="G93" s="37" t="str">
        <f>IF(EXACT($F93, ""), "", VLOOKUP($F93, 'MAIN - OrgDepartment'!$C$3:$D$104, 2, FALSE))</f>
        <v/>
      </c>
      <c r="H93" s="91"/>
      <c r="I93" s="37" t="str">
        <f>IF(EXACT($H93, ""), "", VLOOKUP($H93, 'MAIN - OrgJobsPos'!$B$2:$C$101, 2, FALSE))</f>
        <v/>
      </c>
      <c r="J93" s="67"/>
      <c r="K93" s="63"/>
      <c r="L93" s="10" t="s">
        <v>7</v>
      </c>
      <c r="M93" s="11"/>
      <c r="O93" s="29">
        <f t="shared" si="2"/>
        <v>164000000000090</v>
      </c>
      <c r="P93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32000000000090::bigint, 163000000000002::bigint, null::bigint, null::bigint, null::varchar, null::timestamptz, '1900-12-31 23:59:59+07'::timestamptz, null::bigint);</v>
      </c>
    </row>
    <row r="94" spans="2:16" x14ac:dyDescent="0.2">
      <c r="B94" s="37">
        <f>IF(EXACT(DataLookUp!$B94, ""), "", DataLookUp!$B94)</f>
        <v>32000000000091</v>
      </c>
      <c r="C94" s="38" t="str">
        <f>MAIN!C94</f>
        <v>Dadi Anda Zuchradi</v>
      </c>
      <c r="D94" s="91">
        <v>163000000000003</v>
      </c>
      <c r="E94" s="37" t="str">
        <f>IF(EXACT($D94, ""), "", VLOOKUP($D94, [2]DataLookUp!$B$4:$D$15, 2, FALSE ))</f>
        <v>Karyawan Tidak Tetap (Kontrak)</v>
      </c>
      <c r="F94" s="91"/>
      <c r="G94" s="37" t="str">
        <f>IF(EXACT($F94, ""), "", VLOOKUP($F94, 'MAIN - OrgDepartment'!$C$3:$D$104, 2, FALSE))</f>
        <v/>
      </c>
      <c r="H94" s="91"/>
      <c r="I94" s="37" t="str">
        <f>IF(EXACT($H94, ""), "", VLOOKUP($H94, 'MAIN - OrgJobsPos'!$B$2:$C$101, 2, FALSE))</f>
        <v/>
      </c>
      <c r="J94" s="67"/>
      <c r="K94" s="63"/>
      <c r="L94" s="10" t="s">
        <v>7</v>
      </c>
      <c r="M94" s="11"/>
      <c r="O94" s="29">
        <f t="shared" si="2"/>
        <v>164000000000091</v>
      </c>
      <c r="P94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32000000000091::bigint, 163000000000003::bigint, null::bigint, null::bigint, null::varchar, null::timestamptz, '1900-12-31 23:59:59+07'::timestamptz, null::bigint);</v>
      </c>
    </row>
    <row r="95" spans="2:16" x14ac:dyDescent="0.2">
      <c r="B95" s="37">
        <f>IF(EXACT(DataLookUp!$B95, ""), "", DataLookUp!$B95)</f>
        <v>32000000000092</v>
      </c>
      <c r="C95" s="38" t="str">
        <f>MAIN!C95</f>
        <v>Darsito</v>
      </c>
      <c r="D95" s="91">
        <v>163000000000002</v>
      </c>
      <c r="E95" s="37" t="str">
        <f>IF(EXACT($D95, ""), "", VLOOKUP($D95, [2]DataLookUp!$B$4:$D$15, 2, FALSE ))</f>
        <v>Karyawan Tetap (Purna Waktu)</v>
      </c>
      <c r="F95" s="91">
        <v>111000000000011</v>
      </c>
      <c r="G95" s="37" t="str">
        <f>IF(EXACT($F95, ""), "", VLOOKUP($F95, 'MAIN - OrgDepartment'!$C$3:$D$104, 2, FALSE))</f>
        <v>Project</v>
      </c>
      <c r="H95" s="91">
        <v>160000000000005</v>
      </c>
      <c r="I95" s="37" t="str">
        <f>IF(EXACT($H95, ""), "", VLOOKUP($H95, 'MAIN - OrgJobsPos'!$B$2:$C$101, 2, FALSE))</f>
        <v>Senior Supervisor</v>
      </c>
      <c r="J95" s="67" t="s">
        <v>308</v>
      </c>
      <c r="K95" s="63" t="s">
        <v>216</v>
      </c>
      <c r="L95" s="10" t="s">
        <v>3</v>
      </c>
      <c r="M95" s="11"/>
      <c r="O95" s="29">
        <f t="shared" si="2"/>
        <v>164000000000092</v>
      </c>
      <c r="P95" s="30" t="str">
        <f t="shared" si="3"/>
        <v>PERFORM "SchData-OLTP-HumanResource"."Func_TblWorkerCareerInternal_SET"(varSystemLoginSession, null::bigint, null::varchar, '2012-12-03 00:00:00+07'::timestamptz, '9999-12-31 23:59:59+07'::timestamptz, null::varchar, varInstitutionBranchID, varBaseCurrencyID, 32000000000092::bigint, 163000000000002::bigint, 111000000000011::bigint, 160000000000005::bigint, 'Site Manager'::varchar, '2012-12-03 00:00:00+07'::timestamptz, '9999-12-31 23:59:59+07'::timestamptz, null::bigint);</v>
      </c>
    </row>
    <row r="96" spans="2:16" x14ac:dyDescent="0.2">
      <c r="B96" s="37">
        <f>IF(EXACT(DataLookUp!$B96, ""), "", DataLookUp!$B96)</f>
        <v>32000000000093</v>
      </c>
      <c r="C96" s="38" t="str">
        <f>MAIN!C96</f>
        <v>Davit Lumban Gaol</v>
      </c>
      <c r="D96" s="91">
        <v>163000000000003</v>
      </c>
      <c r="E96" s="37" t="str">
        <f>IF(EXACT($D96, ""), "", VLOOKUP($D96, [2]DataLookUp!$B$4:$D$15, 2, FALSE ))</f>
        <v>Karyawan Tidak Tetap (Kontrak)</v>
      </c>
      <c r="F96" s="91">
        <v>111000000000024</v>
      </c>
      <c r="G96" s="37" t="str">
        <f>IF(EXACT($F96, ""), "", VLOOKUP($F96, 'MAIN - OrgDepartment'!$C$3:$D$104, 2, FALSE))</f>
        <v>Warehouse &amp; TAM</v>
      </c>
      <c r="H96" s="91">
        <v>160000000000004</v>
      </c>
      <c r="I96" s="37" t="str">
        <f>IF(EXACT($H96, ""), "", VLOOKUP($H96, 'MAIN - OrgJobsPos'!$B$2:$C$101, 2, FALSE))</f>
        <v>Supervisor</v>
      </c>
      <c r="J96" s="67" t="s">
        <v>327</v>
      </c>
      <c r="K96" s="63"/>
      <c r="L96" s="10" t="s">
        <v>3</v>
      </c>
      <c r="M96" s="11"/>
      <c r="O96" s="29">
        <f t="shared" si="2"/>
        <v>164000000000093</v>
      </c>
      <c r="P96" s="30" t="str">
        <f t="shared" si="3"/>
        <v>PERFORM "SchData-OLTP-HumanResource"."Func_TblWorkerCareerInternal_SET"(varSystemLoginSession, null::bigint, null::varchar, null::timestamptz, '9999-12-31 23:59:59+07'::timestamptz, null::varchar, varInstitutionBranchID, varBaseCurrencyID, 32000000000093::bigint, 163000000000003::bigint, 111000000000024::bigint, 160000000000004::bigint, 'Operator Stringing &amp; Pilot Drone'::varchar, null::timestamptz, '9999-12-31 23:59:59+07'::timestamptz, null::bigint);</v>
      </c>
    </row>
    <row r="97" spans="2:16" x14ac:dyDescent="0.2">
      <c r="B97" s="37">
        <f>IF(EXACT(DataLookUp!$B97, ""), "", DataLookUp!$B97)</f>
        <v>32000000000094</v>
      </c>
      <c r="C97" s="38" t="str">
        <f>MAIN!C97</f>
        <v>Deddy Rochman</v>
      </c>
      <c r="D97" s="91">
        <v>163000000000003</v>
      </c>
      <c r="E97" s="37" t="str">
        <f>IF(EXACT($D97, ""), "", VLOOKUP($D97, [2]DataLookUp!$B$4:$D$15, 2, FALSE ))</f>
        <v>Karyawan Tidak Tetap (Kontrak)</v>
      </c>
      <c r="F97" s="91"/>
      <c r="G97" s="37" t="str">
        <f>IF(EXACT($F97, ""), "", VLOOKUP($F97, 'MAIN - OrgDepartment'!$C$3:$D$104, 2, FALSE))</f>
        <v/>
      </c>
      <c r="H97" s="91"/>
      <c r="I97" s="37" t="str">
        <f>IF(EXACT($H97, ""), "", VLOOKUP($H97, 'MAIN - OrgJobsPos'!$B$2:$C$101, 2, FALSE))</f>
        <v/>
      </c>
      <c r="J97" s="67"/>
      <c r="K97" s="63"/>
      <c r="L97" s="10" t="s">
        <v>3</v>
      </c>
      <c r="M97" s="11"/>
      <c r="O97" s="29">
        <f t="shared" si="2"/>
        <v>164000000000094</v>
      </c>
      <c r="P97" s="30" t="str">
        <f t="shared" si="3"/>
        <v>PERFORM "SchData-OLTP-HumanResource"."Func_TblWorkerCareerInternal_SET"(varSystemLoginSession, null::bigint, null::varchar, null::timestamptz, '9999-12-31 23:59:59+07'::timestamptz, null::varchar, varInstitutionBranchID, varBaseCurrencyID, 32000000000094::bigint, 163000000000003::bigint, null::bigint, null::bigint, null::varchar, null::timestamptz, '9999-12-31 23:59:59+07'::timestamptz, null::bigint);</v>
      </c>
    </row>
    <row r="98" spans="2:16" x14ac:dyDescent="0.2">
      <c r="B98" s="37">
        <f>IF(EXACT(DataLookUp!$B98, ""), "", DataLookUp!$B98)</f>
        <v>32000000000095</v>
      </c>
      <c r="C98" s="38" t="str">
        <f>MAIN!C98</f>
        <v>Dedi Kusnadi</v>
      </c>
      <c r="D98" s="91">
        <v>163000000000003</v>
      </c>
      <c r="E98" s="37" t="str">
        <f>IF(EXACT($D98, ""), "", VLOOKUP($D98, [2]DataLookUp!$B$4:$D$15, 2, FALSE ))</f>
        <v>Karyawan Tidak Tetap (Kontrak)</v>
      </c>
      <c r="F98" s="91"/>
      <c r="G98" s="37" t="str">
        <f>IF(EXACT($F98, ""), "", VLOOKUP($F98, 'MAIN - OrgDepartment'!$C$3:$D$104, 2, FALSE))</f>
        <v/>
      </c>
      <c r="H98" s="91"/>
      <c r="I98" s="37" t="str">
        <f>IF(EXACT($H98, ""), "", VLOOKUP($H98, 'MAIN - OrgJobsPos'!$B$2:$C$101, 2, FALSE))</f>
        <v/>
      </c>
      <c r="J98" s="67"/>
      <c r="K98" s="63"/>
      <c r="L98" s="10" t="s">
        <v>7</v>
      </c>
      <c r="M98" s="11"/>
      <c r="O98" s="29">
        <f t="shared" si="2"/>
        <v>164000000000095</v>
      </c>
      <c r="P98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32000000000095::bigint, 163000000000003::bigint, null::bigint, null::bigint, null::varchar, null::timestamptz, '1900-12-31 23:59:59+07'::timestamptz, null::bigint);</v>
      </c>
    </row>
    <row r="99" spans="2:16" x14ac:dyDescent="0.2">
      <c r="B99" s="37">
        <f>IF(EXACT(DataLookUp!$B99, ""), "", DataLookUp!$B99)</f>
        <v>32000000000096</v>
      </c>
      <c r="C99" s="38" t="str">
        <f>MAIN!C99</f>
        <v>Dedi Marciano Rizanur</v>
      </c>
      <c r="D99" s="91">
        <v>163000000000003</v>
      </c>
      <c r="E99" s="37" t="str">
        <f>IF(EXACT($D99, ""), "", VLOOKUP($D99, [2]DataLookUp!$B$4:$D$15, 2, FALSE ))</f>
        <v>Karyawan Tidak Tetap (Kontrak)</v>
      </c>
      <c r="F99" s="91"/>
      <c r="G99" s="37" t="str">
        <f>IF(EXACT($F99, ""), "", VLOOKUP($F99, 'MAIN - OrgDepartment'!$C$3:$D$104, 2, FALSE))</f>
        <v/>
      </c>
      <c r="H99" s="91"/>
      <c r="I99" s="37" t="str">
        <f>IF(EXACT($H99, ""), "", VLOOKUP($H99, 'MAIN - OrgJobsPos'!$B$2:$C$101, 2, FALSE))</f>
        <v/>
      </c>
      <c r="J99" s="67"/>
      <c r="K99" s="63"/>
      <c r="L99" s="10" t="s">
        <v>7</v>
      </c>
      <c r="M99" s="11"/>
      <c r="O99" s="29">
        <f t="shared" si="2"/>
        <v>164000000000096</v>
      </c>
      <c r="P99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32000000000096::bigint, 163000000000003::bigint, null::bigint, null::bigint, null::varchar, null::timestamptz, '1900-12-31 23:59:59+07'::timestamptz, null::bigint);</v>
      </c>
    </row>
    <row r="100" spans="2:16" x14ac:dyDescent="0.2">
      <c r="B100" s="37">
        <f>IF(EXACT(DataLookUp!$B100, ""), "", DataLookUp!$B100)</f>
        <v>32000000000097</v>
      </c>
      <c r="C100" s="38" t="str">
        <f>MAIN!C100</f>
        <v>Dedi Rianto</v>
      </c>
      <c r="D100" s="91">
        <v>163000000000003</v>
      </c>
      <c r="E100" s="37" t="str">
        <f>IF(EXACT($D100, ""), "", VLOOKUP($D100, [2]DataLookUp!$B$4:$D$15, 2, FALSE ))</f>
        <v>Karyawan Tidak Tetap (Kontrak)</v>
      </c>
      <c r="F100" s="91"/>
      <c r="G100" s="37" t="str">
        <f>IF(EXACT($F100, ""), "", VLOOKUP($F100, 'MAIN - OrgDepartment'!$C$3:$D$104, 2, FALSE))</f>
        <v/>
      </c>
      <c r="H100" s="91"/>
      <c r="I100" s="37" t="str">
        <f>IF(EXACT($H100, ""), "", VLOOKUP($H100, 'MAIN - OrgJobsPos'!$B$2:$C$101, 2, FALSE))</f>
        <v/>
      </c>
      <c r="J100" s="67"/>
      <c r="K100" s="63"/>
      <c r="L100" s="10" t="s">
        <v>7</v>
      </c>
      <c r="M100" s="11"/>
      <c r="O100" s="29">
        <f t="shared" si="2"/>
        <v>164000000000097</v>
      </c>
      <c r="P100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32000000000097::bigint, 163000000000003::bigint, null::bigint, null::bigint, null::varchar, null::timestamptz, '1900-12-31 23:59:59+07'::timestamptz, null::bigint);</v>
      </c>
    </row>
    <row r="101" spans="2:16" x14ac:dyDescent="0.2">
      <c r="B101" s="37">
        <f>IF(EXACT(DataLookUp!$B101, ""), "", DataLookUp!$B101)</f>
        <v>32000000000098</v>
      </c>
      <c r="C101" s="38" t="str">
        <f>MAIN!C101</f>
        <v>Dedi Syahputra</v>
      </c>
      <c r="D101" s="91">
        <v>163000000000003</v>
      </c>
      <c r="E101" s="37" t="str">
        <f>IF(EXACT($D101, ""), "", VLOOKUP($D101, [2]DataLookUp!$B$4:$D$15, 2, FALSE ))</f>
        <v>Karyawan Tidak Tetap (Kontrak)</v>
      </c>
      <c r="F101" s="91"/>
      <c r="G101" s="37" t="str">
        <f>IF(EXACT($F101, ""), "", VLOOKUP($F101, 'MAIN - OrgDepartment'!$C$3:$D$104, 2, FALSE))</f>
        <v/>
      </c>
      <c r="H101" s="91"/>
      <c r="I101" s="37" t="str">
        <f>IF(EXACT($H101, ""), "", VLOOKUP($H101, 'MAIN - OrgJobsPos'!$B$2:$C$101, 2, FALSE))</f>
        <v/>
      </c>
      <c r="J101" s="67"/>
      <c r="K101" s="63"/>
      <c r="L101" s="10" t="s">
        <v>7</v>
      </c>
      <c r="M101" s="11"/>
      <c r="O101" s="29">
        <f t="shared" si="2"/>
        <v>164000000000098</v>
      </c>
      <c r="P10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32000000000098::bigint, 163000000000003::bigint, null::bigint, null::bigint, null::varchar, null::timestamptz, '1900-12-31 23:59:59+07'::timestamptz, null::bigint);</v>
      </c>
    </row>
    <row r="102" spans="2:16" x14ac:dyDescent="0.2">
      <c r="B102" s="37">
        <f>IF(EXACT(DataLookUp!$B102, ""), "", DataLookUp!$B102)</f>
        <v>32000000000099</v>
      </c>
      <c r="C102" s="38" t="str">
        <f>MAIN!C102</f>
        <v>Deni Setiawan</v>
      </c>
      <c r="D102" s="91">
        <v>163000000000003</v>
      </c>
      <c r="E102" s="37" t="str">
        <f>IF(EXACT($D102, ""), "", VLOOKUP($D102, [2]DataLookUp!$B$4:$D$15, 2, FALSE ))</f>
        <v>Karyawan Tidak Tetap (Kontrak)</v>
      </c>
      <c r="F102" s="91"/>
      <c r="G102" s="37" t="str">
        <f>IF(EXACT($F102, ""), "", VLOOKUP($F102, 'MAIN - OrgDepartment'!$C$3:$D$104, 2, FALSE))</f>
        <v/>
      </c>
      <c r="H102" s="91"/>
      <c r="I102" s="37" t="str">
        <f>IF(EXACT($H102, ""), "", VLOOKUP($H102, 'MAIN - OrgJobsPos'!$B$2:$C$101, 2, FALSE))</f>
        <v/>
      </c>
      <c r="J102" s="67"/>
      <c r="K102" s="63"/>
      <c r="L102" s="10" t="s">
        <v>7</v>
      </c>
      <c r="M102" s="11"/>
      <c r="O102" s="29">
        <f t="shared" si="2"/>
        <v>164000000000099</v>
      </c>
      <c r="P10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32000000000099::bigint, 163000000000003::bigint, null::bigint, null::bigint, null::varchar, null::timestamptz, '1900-12-31 23:59:59+07'::timestamptz, null::bigint);</v>
      </c>
    </row>
    <row r="103" spans="2:16" x14ac:dyDescent="0.2">
      <c r="B103" s="37">
        <f>IF(EXACT(DataLookUp!$B103, ""), "", DataLookUp!$B103)</f>
        <v>32000000000100</v>
      </c>
      <c r="C103" s="38" t="str">
        <f>MAIN!C103</f>
        <v>Deny Adi Purnama</v>
      </c>
      <c r="D103" s="91">
        <v>163000000000003</v>
      </c>
      <c r="E103" s="37" t="str">
        <f>IF(EXACT($D103, ""), "", VLOOKUP($D103, [2]DataLookUp!$B$4:$D$15, 2, FALSE ))</f>
        <v>Karyawan Tidak Tetap (Kontrak)</v>
      </c>
      <c r="F103" s="91">
        <v>111000000000005</v>
      </c>
      <c r="G103" s="37" t="str">
        <f>IF(EXACT($F103, ""), "", VLOOKUP($F103, 'MAIN - OrgDepartment'!$C$3:$D$104, 2, FALSE))</f>
        <v>Finance &amp; Accounting</v>
      </c>
      <c r="H103" s="91">
        <v>160000000000003</v>
      </c>
      <c r="I103" s="37" t="str">
        <f>IF(EXACT($H103, ""), "", VLOOKUP($H103, 'MAIN - OrgJobsPos'!$B$2:$C$101, 2, FALSE))</f>
        <v>Staff</v>
      </c>
      <c r="J103" s="67"/>
      <c r="K103" s="63" t="s">
        <v>8</v>
      </c>
      <c r="L103" s="10" t="s">
        <v>3</v>
      </c>
      <c r="M103" s="11"/>
      <c r="O103" s="29">
        <f t="shared" si="2"/>
        <v>164000000000100</v>
      </c>
      <c r="P103" s="30" t="str">
        <f t="shared" si="3"/>
        <v>PERFORM "SchData-OLTP-HumanResource"."Func_TblWorkerCareerInternal_SET"(varSystemLoginSession, null::bigint, null::varchar, '2023-01-05 00:00:00+07'::timestamptz, '9999-12-31 23:59:59+07'::timestamptz, null::varchar, varInstitutionBranchID, varBaseCurrencyID, 32000000000100::bigint, 163000000000003::bigint, 111000000000005::bigint, 160000000000003::bigint, null::varchar, '2023-01-05 00:00:00+07'::timestamptz, '9999-12-31 23:59:59+07'::timestamptz, null::bigint);</v>
      </c>
    </row>
    <row r="104" spans="2:16" x14ac:dyDescent="0.2">
      <c r="B104" s="37">
        <f>IF(EXACT(DataLookUp!$B104, ""), "", DataLookUp!$B104)</f>
        <v>32000000000101</v>
      </c>
      <c r="C104" s="38" t="str">
        <f>MAIN!C104</f>
        <v>Desi Herawati</v>
      </c>
      <c r="D104" s="91">
        <v>163000000000003</v>
      </c>
      <c r="E104" s="37" t="str">
        <f>IF(EXACT($D104, ""), "", VLOOKUP($D104, [2]DataLookUp!$B$4:$D$15, 2, FALSE ))</f>
        <v>Karyawan Tidak Tetap (Kontrak)</v>
      </c>
      <c r="F104" s="91"/>
      <c r="G104" s="37" t="str">
        <f>IF(EXACT($F104, ""), "", VLOOKUP($F104, 'MAIN - OrgDepartment'!$C$3:$D$104, 2, FALSE))</f>
        <v/>
      </c>
      <c r="H104" s="91"/>
      <c r="I104" s="37" t="str">
        <f>IF(EXACT($H104, ""), "", VLOOKUP($H104, 'MAIN - OrgJobsPos'!$B$2:$C$101, 2, FALSE))</f>
        <v/>
      </c>
      <c r="J104" s="67"/>
      <c r="K104" s="63"/>
      <c r="L104" s="10" t="s">
        <v>7</v>
      </c>
      <c r="M104" s="11"/>
      <c r="O104" s="29">
        <f t="shared" si="2"/>
        <v>164000000000101</v>
      </c>
      <c r="P104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32000000000101::bigint, 163000000000003::bigint, null::bigint, null::bigint, null::varchar, null::timestamptz, '1900-12-31 23:59:59+07'::timestamptz, null::bigint);</v>
      </c>
    </row>
    <row r="105" spans="2:16" x14ac:dyDescent="0.2">
      <c r="B105" s="37">
        <f>IF(EXACT(DataLookUp!$B105, ""), "", DataLookUp!$B105)</f>
        <v>32000000000102</v>
      </c>
      <c r="C105" s="38" t="str">
        <f>MAIN!C105</f>
        <v>Desi Setiowati</v>
      </c>
      <c r="D105" s="91">
        <v>163000000000003</v>
      </c>
      <c r="E105" s="37" t="str">
        <f>IF(EXACT($D105, ""), "", VLOOKUP($D105, [2]DataLookUp!$B$4:$D$15, 2, FALSE ))</f>
        <v>Karyawan Tidak Tetap (Kontrak)</v>
      </c>
      <c r="F105" s="91"/>
      <c r="G105" s="37" t="str">
        <f>IF(EXACT($F105, ""), "", VLOOKUP($F105, 'MAIN - OrgDepartment'!$C$3:$D$104, 2, FALSE))</f>
        <v/>
      </c>
      <c r="H105" s="91"/>
      <c r="I105" s="37" t="str">
        <f>IF(EXACT($H105, ""), "", VLOOKUP($H105, 'MAIN - OrgJobsPos'!$B$2:$C$101, 2, FALSE))</f>
        <v/>
      </c>
      <c r="J105" s="67"/>
      <c r="K105" s="63"/>
      <c r="L105" s="10" t="s">
        <v>7</v>
      </c>
      <c r="M105" s="11"/>
      <c r="O105" s="29">
        <f t="shared" si="2"/>
        <v>164000000000102</v>
      </c>
      <c r="P105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32000000000102::bigint, 163000000000003::bigint, null::bigint, null::bigint, null::varchar, null::timestamptz, '1900-12-31 23:59:59+07'::timestamptz, null::bigint);</v>
      </c>
    </row>
    <row r="106" spans="2:16" x14ac:dyDescent="0.2">
      <c r="B106" s="37">
        <f>IF(EXACT(DataLookUp!$B106, ""), "", DataLookUp!$B106)</f>
        <v>32000000000103</v>
      </c>
      <c r="C106" s="38" t="str">
        <f>MAIN!C106</f>
        <v>Dian Firdaus</v>
      </c>
      <c r="D106" s="91">
        <v>163000000000003</v>
      </c>
      <c r="E106" s="37" t="str">
        <f>IF(EXACT($D106, ""), "", VLOOKUP($D106, [2]DataLookUp!$B$4:$D$15, 2, FALSE ))</f>
        <v>Karyawan Tidak Tetap (Kontrak)</v>
      </c>
      <c r="F106" s="91"/>
      <c r="G106" s="37" t="str">
        <f>IF(EXACT($F106, ""), "", VLOOKUP($F106, 'MAIN - OrgDepartment'!$C$3:$D$104, 2, FALSE))</f>
        <v/>
      </c>
      <c r="H106" s="91"/>
      <c r="I106" s="37" t="str">
        <f>IF(EXACT($H106, ""), "", VLOOKUP($H106, 'MAIN - OrgJobsPos'!$B$2:$C$101, 2, FALSE))</f>
        <v/>
      </c>
      <c r="J106" s="67"/>
      <c r="K106" s="63"/>
      <c r="L106" s="10" t="s">
        <v>7</v>
      </c>
      <c r="M106" s="11"/>
      <c r="O106" s="29">
        <f t="shared" si="2"/>
        <v>164000000000103</v>
      </c>
      <c r="P106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32000000000103::bigint, 163000000000003::bigint, null::bigint, null::bigint, null::varchar, null::timestamptz, '1900-12-31 23:59:59+07'::timestamptz, null::bigint);</v>
      </c>
    </row>
    <row r="107" spans="2:16" x14ac:dyDescent="0.2">
      <c r="B107" s="37">
        <f>IF(EXACT(DataLookUp!$B107, ""), "", DataLookUp!$B107)</f>
        <v>32000000000104</v>
      </c>
      <c r="C107" s="38" t="str">
        <f>MAIN!C107</f>
        <v>Dian Hariyana</v>
      </c>
      <c r="D107" s="91">
        <v>163000000000003</v>
      </c>
      <c r="E107" s="37" t="str">
        <f>IF(EXACT($D107, ""), "", VLOOKUP($D107, [2]DataLookUp!$B$4:$D$15, 2, FALSE ))</f>
        <v>Karyawan Tidak Tetap (Kontrak)</v>
      </c>
      <c r="F107" s="91"/>
      <c r="G107" s="37" t="str">
        <f>IF(EXACT($F107, ""), "", VLOOKUP($F107, 'MAIN - OrgDepartment'!$C$3:$D$104, 2, FALSE))</f>
        <v/>
      </c>
      <c r="H107" s="91"/>
      <c r="I107" s="37" t="str">
        <f>IF(EXACT($H107, ""), "", VLOOKUP($H107, 'MAIN - OrgJobsPos'!$B$2:$C$101, 2, FALSE))</f>
        <v/>
      </c>
      <c r="J107" s="67"/>
      <c r="K107" s="63"/>
      <c r="L107" s="10" t="s">
        <v>7</v>
      </c>
      <c r="M107" s="11"/>
      <c r="O107" s="29">
        <f t="shared" si="2"/>
        <v>164000000000104</v>
      </c>
      <c r="P107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32000000000104::bigint, 163000000000003::bigint, null::bigint, null::bigint, null::varchar, null::timestamptz, '1900-12-31 23:59:59+07'::timestamptz, null::bigint);</v>
      </c>
    </row>
    <row r="108" spans="2:16" x14ac:dyDescent="0.2">
      <c r="B108" s="37">
        <f>IF(EXACT(DataLookUp!$B108, ""), "", DataLookUp!$B108)</f>
        <v>32000000000105</v>
      </c>
      <c r="C108" s="38" t="str">
        <f>MAIN!C108</f>
        <v>Dinnar Budiarti</v>
      </c>
      <c r="D108" s="91">
        <v>163000000000003</v>
      </c>
      <c r="E108" s="37" t="str">
        <f>IF(EXACT($D108, ""), "", VLOOKUP($D108, [2]DataLookUp!$B$4:$D$15, 2, FALSE ))</f>
        <v>Karyawan Tidak Tetap (Kontrak)</v>
      </c>
      <c r="F108" s="91"/>
      <c r="G108" s="37" t="str">
        <f>IF(EXACT($F108, ""), "", VLOOKUP($F108, 'MAIN - OrgDepartment'!$C$3:$D$104, 2, FALSE))</f>
        <v/>
      </c>
      <c r="H108" s="91"/>
      <c r="I108" s="37" t="str">
        <f>IF(EXACT($H108, ""), "", VLOOKUP($H108, 'MAIN - OrgJobsPos'!$B$2:$C$101, 2, FALSE))</f>
        <v/>
      </c>
      <c r="J108" s="67"/>
      <c r="K108" s="63"/>
      <c r="L108" s="10" t="s">
        <v>7</v>
      </c>
      <c r="M108" s="11"/>
      <c r="O108" s="29">
        <f t="shared" si="2"/>
        <v>164000000000105</v>
      </c>
      <c r="P108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32000000000105::bigint, 163000000000003::bigint, null::bigint, null::bigint, null::varchar, null::timestamptz, '1900-12-31 23:59:59+07'::timestamptz, null::bigint);</v>
      </c>
    </row>
    <row r="109" spans="2:16" x14ac:dyDescent="0.2">
      <c r="B109" s="37">
        <f>IF(EXACT(DataLookUp!$B109, ""), "", DataLookUp!$B109)</f>
        <v>32000000000106</v>
      </c>
      <c r="C109" s="38" t="str">
        <f>MAIN!C109</f>
        <v>Dionesius Sostenist Duka</v>
      </c>
      <c r="D109" s="91">
        <v>163000000000003</v>
      </c>
      <c r="E109" s="37" t="str">
        <f>IF(EXACT($D109, ""), "", VLOOKUP($D109, [2]DataLookUp!$B$4:$D$15, 2, FALSE ))</f>
        <v>Karyawan Tidak Tetap (Kontrak)</v>
      </c>
      <c r="F109" s="92">
        <v>111000000000011</v>
      </c>
      <c r="G109" s="37" t="str">
        <f>IF(EXACT($F109, ""), "", VLOOKUP($F109, 'MAIN - OrgDepartment'!$C$3:$D$104, 2, FALSE))</f>
        <v>Project</v>
      </c>
      <c r="H109" s="91">
        <v>160000000000003</v>
      </c>
      <c r="I109" s="37" t="str">
        <f>IF(EXACT($H109, ""), "", VLOOKUP($H109, 'MAIN - OrgJobsPos'!$B$2:$C$101, 2, FALSE))</f>
        <v>Staff</v>
      </c>
      <c r="J109" s="67" t="s">
        <v>309</v>
      </c>
      <c r="K109" s="63" t="s">
        <v>217</v>
      </c>
      <c r="L109" s="10" t="s">
        <v>3</v>
      </c>
      <c r="M109" s="11"/>
      <c r="O109" s="29">
        <f t="shared" si="2"/>
        <v>164000000000106</v>
      </c>
      <c r="P109" s="30" t="str">
        <f t="shared" si="3"/>
        <v>PERFORM "SchData-OLTP-HumanResource"."Func_TblWorkerCareerInternal_SET"(varSystemLoginSession, null::bigint, null::varchar, '2005-06-01 00:00:00+07'::timestamptz, '9999-12-31 23:59:59+07'::timestamptz, null::varchar, varInstitutionBranchID, varBaseCurrencyID, 32000000000106::bigint, 163000000000003::bigint, 111000000000011::bigint, 160000000000003::bigint, 'Jointer/ RF Installer'::varchar, '2005-06-01 00:00:00+07'::timestamptz, '9999-12-31 23:59:59+07'::timestamptz, null::bigint);</v>
      </c>
    </row>
    <row r="110" spans="2:16" x14ac:dyDescent="0.2">
      <c r="B110" s="37">
        <f>IF(EXACT(DataLookUp!$B110, ""), "", DataLookUp!$B110)</f>
        <v>32000000000107</v>
      </c>
      <c r="C110" s="38" t="str">
        <f>MAIN!C110</f>
        <v>Diyah Martina</v>
      </c>
      <c r="D110" s="91">
        <v>163000000000003</v>
      </c>
      <c r="E110" s="37" t="str">
        <f>IF(EXACT($D110, ""), "", VLOOKUP($D110, [2]DataLookUp!$B$4:$D$15, 2, FALSE ))</f>
        <v>Karyawan Tidak Tetap (Kontrak)</v>
      </c>
      <c r="F110" s="91"/>
      <c r="G110" s="37" t="str">
        <f>IF(EXACT($F110, ""), "", VLOOKUP($F110, 'MAIN - OrgDepartment'!$C$3:$D$104, 2, FALSE))</f>
        <v/>
      </c>
      <c r="H110" s="91"/>
      <c r="I110" s="37" t="str">
        <f>IF(EXACT($H110, ""), "", VLOOKUP($H110, 'MAIN - OrgJobsPos'!$B$2:$C$101, 2, FALSE))</f>
        <v/>
      </c>
      <c r="J110" s="67"/>
      <c r="K110" s="63"/>
      <c r="L110" s="10" t="s">
        <v>7</v>
      </c>
      <c r="M110" s="11"/>
      <c r="O110" s="29">
        <f t="shared" si="2"/>
        <v>164000000000107</v>
      </c>
      <c r="P110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32000000000107::bigint, 163000000000003::bigint, null::bigint, null::bigint, null::varchar, null::timestamptz, '1900-12-31 23:59:59+07'::timestamptz, null::bigint);</v>
      </c>
    </row>
    <row r="111" spans="2:16" x14ac:dyDescent="0.2">
      <c r="B111" s="37">
        <f>IF(EXACT(DataLookUp!$B111, ""), "", DataLookUp!$B111)</f>
        <v>32000000000108</v>
      </c>
      <c r="C111" s="38" t="str">
        <f>MAIN!C111</f>
        <v>Djuang Tampubolon</v>
      </c>
      <c r="D111" s="91">
        <v>163000000000003</v>
      </c>
      <c r="E111" s="37" t="str">
        <f>IF(EXACT($D111, ""), "", VLOOKUP($D111, [2]DataLookUp!$B$4:$D$15, 2, FALSE ))</f>
        <v>Karyawan Tidak Tetap (Kontrak)</v>
      </c>
      <c r="F111" s="91"/>
      <c r="G111" s="37" t="str">
        <f>IF(EXACT($F111, ""), "", VLOOKUP($F111, 'MAIN - OrgDepartment'!$C$3:$D$104, 2, FALSE))</f>
        <v/>
      </c>
      <c r="H111" s="91"/>
      <c r="I111" s="37" t="str">
        <f>IF(EXACT($H111, ""), "", VLOOKUP($H111, 'MAIN - OrgJobsPos'!$B$2:$C$101, 2, FALSE))</f>
        <v/>
      </c>
      <c r="J111" s="67"/>
      <c r="K111" s="63"/>
      <c r="L111" s="10" t="s">
        <v>7</v>
      </c>
      <c r="M111" s="11"/>
      <c r="O111" s="29">
        <f t="shared" si="2"/>
        <v>164000000000108</v>
      </c>
      <c r="P11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32000000000108::bigint, 163000000000003::bigint, null::bigint, null::bigint, null::varchar, null::timestamptz, '1900-12-31 23:59:59+07'::timestamptz, null::bigint);</v>
      </c>
    </row>
    <row r="112" spans="2:16" x14ac:dyDescent="0.2">
      <c r="B112" s="37">
        <f>IF(EXACT(DataLookUp!$B112, ""), "", DataLookUp!$B112)</f>
        <v>32000000000109</v>
      </c>
      <c r="C112" s="38" t="str">
        <f>MAIN!C112</f>
        <v>Dodit Widiarto</v>
      </c>
      <c r="D112" s="91">
        <v>163000000000003</v>
      </c>
      <c r="E112" s="37" t="str">
        <f>IF(EXACT($D112, ""), "", VLOOKUP($D112, [2]DataLookUp!$B$4:$D$15, 2, FALSE ))</f>
        <v>Karyawan Tidak Tetap (Kontrak)</v>
      </c>
      <c r="F112" s="91"/>
      <c r="G112" s="37" t="str">
        <f>IF(EXACT($F112, ""), "", VLOOKUP($F112, 'MAIN - OrgDepartment'!$C$3:$D$104, 2, FALSE))</f>
        <v/>
      </c>
      <c r="H112" s="91"/>
      <c r="I112" s="37" t="str">
        <f>IF(EXACT($H112, ""), "", VLOOKUP($H112, 'MAIN - OrgJobsPos'!$B$2:$C$101, 2, FALSE))</f>
        <v/>
      </c>
      <c r="J112" s="67"/>
      <c r="K112" s="63"/>
      <c r="L112" s="10" t="s">
        <v>7</v>
      </c>
      <c r="M112" s="11"/>
      <c r="O112" s="29">
        <f t="shared" si="2"/>
        <v>164000000000109</v>
      </c>
      <c r="P11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32000000000109::bigint, 163000000000003::bigint, null::bigint, null::bigint, null::varchar, null::timestamptz, '1900-12-31 23:59:59+07'::timestamptz, null::bigint);</v>
      </c>
    </row>
    <row r="113" spans="2:16" x14ac:dyDescent="0.2">
      <c r="B113" s="37">
        <f>IF(EXACT(DataLookUp!$B113, ""), "", DataLookUp!$B113)</f>
        <v>32000000000110</v>
      </c>
      <c r="C113" s="38" t="str">
        <f>MAIN!C113</f>
        <v>Dony Darmawan</v>
      </c>
      <c r="D113" s="91">
        <v>163000000000003</v>
      </c>
      <c r="E113" s="37" t="str">
        <f>IF(EXACT($D113, ""), "", VLOOKUP($D113, [2]DataLookUp!$B$4:$D$15, 2, FALSE ))</f>
        <v>Karyawan Tidak Tetap (Kontrak)</v>
      </c>
      <c r="F113" s="91"/>
      <c r="G113" s="37" t="str">
        <f>IF(EXACT($F113, ""), "", VLOOKUP($F113, 'MAIN - OrgDepartment'!$C$3:$D$104, 2, FALSE))</f>
        <v/>
      </c>
      <c r="H113" s="91"/>
      <c r="I113" s="37" t="str">
        <f>IF(EXACT($H113, ""), "", VLOOKUP($H113, 'MAIN - OrgJobsPos'!$B$2:$C$101, 2, FALSE))</f>
        <v/>
      </c>
      <c r="J113" s="67"/>
      <c r="K113" s="63"/>
      <c r="L113" s="10" t="s">
        <v>7</v>
      </c>
      <c r="M113" s="11"/>
      <c r="O113" s="29">
        <f t="shared" si="2"/>
        <v>164000000000110</v>
      </c>
      <c r="P113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32000000000110::bigint, 163000000000003::bigint, null::bigint, null::bigint, null::varchar, null::timestamptz, '1900-12-31 23:59:59+07'::timestamptz, null::bigint);</v>
      </c>
    </row>
    <row r="114" spans="2:16" x14ac:dyDescent="0.2">
      <c r="B114" s="37">
        <f>IF(EXACT(DataLookUp!$B114, ""), "", DataLookUp!$B114)</f>
        <v>32000000000111</v>
      </c>
      <c r="C114" s="38" t="str">
        <f>MAIN!C114</f>
        <v>Dony Setiawan</v>
      </c>
      <c r="D114" s="91">
        <v>163000000000003</v>
      </c>
      <c r="E114" s="37" t="str">
        <f>IF(EXACT($D114, ""), "", VLOOKUP($D114, [2]DataLookUp!$B$4:$D$15, 2, FALSE ))</f>
        <v>Karyawan Tidak Tetap (Kontrak)</v>
      </c>
      <c r="F114" s="91"/>
      <c r="G114" s="37" t="str">
        <f>IF(EXACT($F114, ""), "", VLOOKUP($F114, 'MAIN - OrgDepartment'!$C$3:$D$104, 2, FALSE))</f>
        <v/>
      </c>
      <c r="H114" s="91"/>
      <c r="I114" s="37" t="str">
        <f>IF(EXACT($H114, ""), "", VLOOKUP($H114, 'MAIN - OrgJobsPos'!$B$2:$C$101, 2, FALSE))</f>
        <v/>
      </c>
      <c r="J114" s="67"/>
      <c r="K114" s="63"/>
      <c r="L114" s="10" t="s">
        <v>7</v>
      </c>
      <c r="M114" s="11"/>
      <c r="O114" s="29">
        <f t="shared" si="2"/>
        <v>164000000000111</v>
      </c>
      <c r="P114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32000000000111::bigint, 163000000000003::bigint, null::bigint, null::bigint, null::varchar, null::timestamptz, '1900-12-31 23:59:59+07'::timestamptz, null::bigint);</v>
      </c>
    </row>
    <row r="115" spans="2:16" x14ac:dyDescent="0.2">
      <c r="B115" s="37">
        <f>IF(EXACT(DataLookUp!$B115, ""), "", DataLookUp!$B115)</f>
        <v>32000000000112</v>
      </c>
      <c r="C115" s="38" t="str">
        <f>MAIN!C115</f>
        <v>Dudi Rustandi</v>
      </c>
      <c r="D115" s="91">
        <v>163000000000003</v>
      </c>
      <c r="E115" s="37" t="str">
        <f>IF(EXACT($D115, ""), "", VLOOKUP($D115, [2]DataLookUp!$B$4:$D$15, 2, FALSE ))</f>
        <v>Karyawan Tidak Tetap (Kontrak)</v>
      </c>
      <c r="F115" s="91"/>
      <c r="G115" s="37" t="str">
        <f>IF(EXACT($F115, ""), "", VLOOKUP($F115, 'MAIN - OrgDepartment'!$C$3:$D$104, 2, FALSE))</f>
        <v/>
      </c>
      <c r="H115" s="91"/>
      <c r="I115" s="37" t="str">
        <f>IF(EXACT($H115, ""), "", VLOOKUP($H115, 'MAIN - OrgJobsPos'!$B$2:$C$101, 2, FALSE))</f>
        <v/>
      </c>
      <c r="J115" s="67"/>
      <c r="K115" s="63"/>
      <c r="L115" s="10" t="s">
        <v>7</v>
      </c>
      <c r="M115" s="11"/>
      <c r="O115" s="29">
        <f t="shared" si="2"/>
        <v>164000000000112</v>
      </c>
      <c r="P115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32000000000112::bigint, 163000000000003::bigint, null::bigint, null::bigint, null::varchar, null::timestamptz, '1900-12-31 23:59:59+07'::timestamptz, null::bigint);</v>
      </c>
    </row>
    <row r="116" spans="2:16" x14ac:dyDescent="0.2">
      <c r="B116" s="37">
        <f>IF(EXACT(DataLookUp!$B116, ""), "", DataLookUp!$B116)</f>
        <v>32000000000113</v>
      </c>
      <c r="C116" s="38" t="str">
        <f>MAIN!C116</f>
        <v>Dudung</v>
      </c>
      <c r="D116" s="91">
        <v>163000000000003</v>
      </c>
      <c r="E116" s="37" t="str">
        <f>IF(EXACT($D116, ""), "", VLOOKUP($D116, [2]DataLookUp!$B$4:$D$15, 2, FALSE ))</f>
        <v>Karyawan Tidak Tetap (Kontrak)</v>
      </c>
      <c r="F116" s="91"/>
      <c r="G116" s="37" t="str">
        <f>IF(EXACT($F116, ""), "", VLOOKUP($F116, 'MAIN - OrgDepartment'!$C$3:$D$104, 2, FALSE))</f>
        <v/>
      </c>
      <c r="H116" s="91"/>
      <c r="I116" s="37" t="str">
        <f>IF(EXACT($H116, ""), "", VLOOKUP($H116, 'MAIN - OrgJobsPos'!$B$2:$C$101, 2, FALSE))</f>
        <v/>
      </c>
      <c r="J116" s="67"/>
      <c r="K116" s="63"/>
      <c r="L116" s="10" t="s">
        <v>7</v>
      </c>
      <c r="M116" s="11"/>
      <c r="O116" s="29">
        <f t="shared" si="2"/>
        <v>164000000000113</v>
      </c>
      <c r="P116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32000000000113::bigint, 163000000000003::bigint, null::bigint, null::bigint, null::varchar, null::timestamptz, '1900-12-31 23:59:59+07'::timestamptz, null::bigint);</v>
      </c>
    </row>
    <row r="117" spans="2:16" x14ac:dyDescent="0.2">
      <c r="B117" s="37">
        <f>IF(EXACT(DataLookUp!$B117, ""), "", DataLookUp!$B117)</f>
        <v>32000000000114</v>
      </c>
      <c r="C117" s="38" t="str">
        <f>MAIN!C117</f>
        <v>Dwi Joko Setio Tjaroko</v>
      </c>
      <c r="D117" s="91">
        <v>163000000000003</v>
      </c>
      <c r="E117" s="37" t="str">
        <f>IF(EXACT($D117, ""), "", VLOOKUP($D117, [2]DataLookUp!$B$4:$D$15, 2, FALSE ))</f>
        <v>Karyawan Tidak Tetap (Kontrak)</v>
      </c>
      <c r="F117" s="91"/>
      <c r="G117" s="37" t="str">
        <f>IF(EXACT($F117, ""), "", VLOOKUP($F117, 'MAIN - OrgDepartment'!$C$3:$D$104, 2, FALSE))</f>
        <v/>
      </c>
      <c r="H117" s="91">
        <v>160000000000006</v>
      </c>
      <c r="I117" s="37" t="str">
        <f>IF(EXACT($H117, ""), "", VLOOKUP($H117, 'MAIN - OrgJobsPos'!$B$2:$C$101, 2, FALSE))</f>
        <v>Manager</v>
      </c>
      <c r="J117" s="67"/>
      <c r="K117" s="63"/>
      <c r="L117" s="10" t="s">
        <v>3</v>
      </c>
      <c r="M117" s="11"/>
      <c r="O117" s="29">
        <f t="shared" si="2"/>
        <v>164000000000114</v>
      </c>
      <c r="P117" s="30" t="str">
        <f t="shared" si="3"/>
        <v>PERFORM "SchData-OLTP-HumanResource"."Func_TblWorkerCareerInternal_SET"(varSystemLoginSession, null::bigint, null::varchar, null::timestamptz, '9999-12-31 23:59:59+07'::timestamptz, null::varchar, varInstitutionBranchID, varBaseCurrencyID, 32000000000114::bigint, 163000000000003::bigint, null::bigint, 160000000000006::bigint, null::varchar, null::timestamptz, '9999-12-31 23:59:59+07'::timestamptz, null::bigint);</v>
      </c>
    </row>
    <row r="118" spans="2:16" x14ac:dyDescent="0.2">
      <c r="B118" s="37">
        <f>IF(EXACT(DataLookUp!$B118, ""), "", DataLookUp!$B118)</f>
        <v>32000000000115</v>
      </c>
      <c r="C118" s="38" t="str">
        <f>MAIN!C118</f>
        <v>Dwinanto Prabowo</v>
      </c>
      <c r="D118" s="91">
        <v>163000000000003</v>
      </c>
      <c r="E118" s="37" t="str">
        <f>IF(EXACT($D118, ""), "", VLOOKUP($D118, [2]DataLookUp!$B$4:$D$15, 2, FALSE ))</f>
        <v>Karyawan Tidak Tetap (Kontrak)</v>
      </c>
      <c r="F118" s="91"/>
      <c r="G118" s="37" t="str">
        <f>IF(EXACT($F118, ""), "", VLOOKUP($F118, 'MAIN - OrgDepartment'!$C$3:$D$104, 2, FALSE))</f>
        <v/>
      </c>
      <c r="H118" s="91"/>
      <c r="I118" s="37" t="str">
        <f>IF(EXACT($H118, ""), "", VLOOKUP($H118, 'MAIN - OrgJobsPos'!$B$2:$C$101, 2, FALSE))</f>
        <v/>
      </c>
      <c r="J118" s="67"/>
      <c r="K118" s="63"/>
      <c r="L118" s="10" t="s">
        <v>7</v>
      </c>
      <c r="M118" s="11"/>
      <c r="O118" s="29">
        <f t="shared" si="2"/>
        <v>164000000000115</v>
      </c>
      <c r="P118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32000000000115::bigint, 163000000000003::bigint, null::bigint, null::bigint, null::varchar, null::timestamptz, '1900-12-31 23:59:59+07'::timestamptz, null::bigint);</v>
      </c>
    </row>
    <row r="119" spans="2:16" x14ac:dyDescent="0.2">
      <c r="B119" s="37">
        <f>IF(EXACT(DataLookUp!$B119, ""), "", DataLookUp!$B119)</f>
        <v>32000000000116</v>
      </c>
      <c r="C119" s="38" t="str">
        <f>MAIN!C119</f>
        <v>Edi Waluyo</v>
      </c>
      <c r="D119" s="91">
        <v>163000000000003</v>
      </c>
      <c r="E119" s="37" t="str">
        <f>IF(EXACT($D119, ""), "", VLOOKUP($D119, [2]DataLookUp!$B$4:$D$15, 2, FALSE ))</f>
        <v>Karyawan Tidak Tetap (Kontrak)</v>
      </c>
      <c r="F119" s="91">
        <v>111000000000011</v>
      </c>
      <c r="G119" s="37" t="str">
        <f>IF(EXACT($F119, ""), "", VLOOKUP($F119, 'MAIN - OrgDepartment'!$C$3:$D$104, 2, FALSE))</f>
        <v>Project</v>
      </c>
      <c r="H119" s="91">
        <v>160000000000003</v>
      </c>
      <c r="I119" s="37" t="str">
        <f>IF(EXACT($H119, ""), "", VLOOKUP($H119, 'MAIN - OrgJobsPos'!$B$2:$C$101, 2, FALSE))</f>
        <v>Staff</v>
      </c>
      <c r="J119" s="67" t="s">
        <v>163</v>
      </c>
      <c r="K119" s="63" t="s">
        <v>218</v>
      </c>
      <c r="L119" s="10" t="s">
        <v>3</v>
      </c>
      <c r="M119" s="11"/>
      <c r="O119" s="29">
        <f t="shared" si="2"/>
        <v>164000000000116</v>
      </c>
      <c r="P119" s="30" t="str">
        <f t="shared" si="3"/>
        <v>PERFORM "SchData-OLTP-HumanResource"."Func_TblWorkerCareerInternal_SET"(varSystemLoginSession, null::bigint, null::varchar, '2003-08-04 00:00:00+07'::timestamptz, '9999-12-31 23:59:59+07'::timestamptz, null::varchar, varInstitutionBranchID, varBaseCurrencyID, 32000000000116::bigint, 163000000000003::bigint, 111000000000011::bigint, 160000000000003::bigint, 'Site Supervisor'::varchar, '2003-08-04 00:00:00+07'::timestamptz, '9999-12-31 23:59:59+07'::timestamptz, null::bigint);</v>
      </c>
    </row>
    <row r="120" spans="2:16" x14ac:dyDescent="0.2">
      <c r="B120" s="37">
        <f>IF(EXACT(DataLookUp!$B120, ""), "", DataLookUp!$B120)</f>
        <v>32000000000117</v>
      </c>
      <c r="C120" s="38" t="str">
        <f>MAIN!C120</f>
        <v>Edi Siswanto</v>
      </c>
      <c r="D120" s="91">
        <v>163000000000003</v>
      </c>
      <c r="E120" s="37" t="str">
        <f>IF(EXACT($D120, ""), "", VLOOKUP($D120, [2]DataLookUp!$B$4:$D$15, 2, FALSE ))</f>
        <v>Karyawan Tidak Tetap (Kontrak)</v>
      </c>
      <c r="F120" s="91"/>
      <c r="G120" s="37" t="str">
        <f>IF(EXACT($F120, ""), "", VLOOKUP($F120, 'MAIN - OrgDepartment'!$C$3:$D$104, 2, FALSE))</f>
        <v/>
      </c>
      <c r="H120" s="91"/>
      <c r="I120" s="37" t="str">
        <f>IF(EXACT($H120, ""), "", VLOOKUP($H120, 'MAIN - OrgJobsPos'!$B$2:$C$101, 2, FALSE))</f>
        <v/>
      </c>
      <c r="J120" s="67"/>
      <c r="K120" s="63"/>
      <c r="L120" s="10" t="s">
        <v>7</v>
      </c>
      <c r="M120" s="11"/>
      <c r="O120" s="29">
        <f t="shared" si="2"/>
        <v>164000000000117</v>
      </c>
      <c r="P120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32000000000117::bigint, 163000000000003::bigint, null::bigint, null::bigint, null::varchar, null::timestamptz, '1900-12-31 23:59:59+07'::timestamptz, null::bigint);</v>
      </c>
    </row>
    <row r="121" spans="2:16" x14ac:dyDescent="0.2">
      <c r="B121" s="37">
        <f>IF(EXACT(DataLookUp!$B121, ""), "", DataLookUp!$B121)</f>
        <v>32000000000118</v>
      </c>
      <c r="C121" s="38" t="str">
        <f>MAIN!C121</f>
        <v>Edi Turnip</v>
      </c>
      <c r="D121" s="91">
        <v>163000000000003</v>
      </c>
      <c r="E121" s="37" t="str">
        <f>IF(EXACT($D121, ""), "", VLOOKUP($D121, [2]DataLookUp!$B$4:$D$15, 2, FALSE ))</f>
        <v>Karyawan Tidak Tetap (Kontrak)</v>
      </c>
      <c r="F121" s="91"/>
      <c r="G121" s="37" t="str">
        <f>IF(EXACT($F121, ""), "", VLOOKUP($F121, 'MAIN - OrgDepartment'!$C$3:$D$104, 2, FALSE))</f>
        <v/>
      </c>
      <c r="H121" s="91"/>
      <c r="I121" s="37" t="str">
        <f>IF(EXACT($H121, ""), "", VLOOKUP($H121, 'MAIN - OrgJobsPos'!$B$2:$C$101, 2, FALSE))</f>
        <v/>
      </c>
      <c r="J121" s="67"/>
      <c r="K121" s="63"/>
      <c r="L121" s="10" t="s">
        <v>7</v>
      </c>
      <c r="M121" s="11"/>
      <c r="O121" s="29">
        <f t="shared" si="2"/>
        <v>164000000000118</v>
      </c>
      <c r="P12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32000000000118::bigint, 163000000000003::bigint, null::bigint, null::bigint, null::varchar, null::timestamptz, '1900-12-31 23:59:59+07'::timestamptz, null::bigint);</v>
      </c>
    </row>
    <row r="122" spans="2:16" x14ac:dyDescent="0.2">
      <c r="B122" s="37">
        <f>IF(EXACT(DataLookUp!$B122, ""), "", DataLookUp!$B122)</f>
        <v>32000000000119</v>
      </c>
      <c r="C122" s="38" t="str">
        <f>MAIN!C122</f>
        <v>Edy Putra Waskita</v>
      </c>
      <c r="D122" s="91">
        <v>163000000000003</v>
      </c>
      <c r="E122" s="37" t="str">
        <f>IF(EXACT($D122, ""), "", VLOOKUP($D122, [2]DataLookUp!$B$4:$D$15, 2, FALSE ))</f>
        <v>Karyawan Tidak Tetap (Kontrak)</v>
      </c>
      <c r="F122" s="91"/>
      <c r="G122" s="37" t="str">
        <f>IF(EXACT($F122, ""), "", VLOOKUP($F122, 'MAIN - OrgDepartment'!$C$3:$D$104, 2, FALSE))</f>
        <v/>
      </c>
      <c r="H122" s="91"/>
      <c r="I122" s="37" t="str">
        <f>IF(EXACT($H122, ""), "", VLOOKUP($H122, 'MAIN - OrgJobsPos'!$B$2:$C$101, 2, FALSE))</f>
        <v/>
      </c>
      <c r="J122" s="67"/>
      <c r="K122" s="63"/>
      <c r="L122" s="10" t="s">
        <v>7</v>
      </c>
      <c r="M122" s="11"/>
      <c r="O122" s="29">
        <f t="shared" si="2"/>
        <v>164000000000119</v>
      </c>
      <c r="P12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32000000000119::bigint, 163000000000003::bigint, null::bigint, null::bigint, null::varchar, null::timestamptz, '1900-12-31 23:59:59+07'::timestamptz, null::bigint);</v>
      </c>
    </row>
    <row r="123" spans="2:16" x14ac:dyDescent="0.2">
      <c r="B123" s="37">
        <f>IF(EXACT(DataLookUp!$B123, ""), "", DataLookUp!$B123)</f>
        <v>32000000000120</v>
      </c>
      <c r="C123" s="38" t="str">
        <f>MAIN!C123</f>
        <v>Edy Syahputra Situmeang</v>
      </c>
      <c r="D123" s="91">
        <v>163000000000002</v>
      </c>
      <c r="E123" s="37" t="str">
        <f>IF(EXACT($D123, ""), "", VLOOKUP($D123, [2]DataLookUp!$B$4:$D$15, 2, FALSE ))</f>
        <v>Karyawan Tetap (Purna Waktu)</v>
      </c>
      <c r="F123" s="91">
        <v>111000000000024</v>
      </c>
      <c r="G123" s="37" t="str">
        <f>IF(EXACT($F123, ""), "", VLOOKUP($F123, 'MAIN - OrgDepartment'!$C$3:$D$104, 2, FALSE))</f>
        <v>Warehouse &amp; TAM</v>
      </c>
      <c r="H123" s="91">
        <v>160000000000004</v>
      </c>
      <c r="I123" s="37" t="str">
        <f>IF(EXACT($H123, ""), "", VLOOKUP($H123, 'MAIN - OrgJobsPos'!$B$2:$C$101, 2, FALSE))</f>
        <v>Supervisor</v>
      </c>
      <c r="J123" s="67" t="s">
        <v>208</v>
      </c>
      <c r="K123" s="63" t="s">
        <v>257</v>
      </c>
      <c r="L123" s="10" t="s">
        <v>3</v>
      </c>
      <c r="M123" s="11"/>
      <c r="O123" s="29">
        <f t="shared" si="2"/>
        <v>164000000000120</v>
      </c>
      <c r="P123" s="30" t="str">
        <f t="shared" si="3"/>
        <v>PERFORM "SchData-OLTP-HumanResource"."Func_TblWorkerCareerInternal_SET"(varSystemLoginSession, null::bigint, null::varchar, '2025-01-07 00:00:00+07'::timestamptz, '9999-12-31 23:59:59+07'::timestamptz, null::varchar, varInstitutionBranchID, varBaseCurrencyID, 32000000000120::bigint, 163000000000002::bigint, 111000000000024::bigint, 160000000000004::bigint, 'Spv Warehouse &amp; Operator Stringing'::varchar, '2025-01-07 00:00:00+07'::timestamptz, '9999-12-31 23:59:59+07'::timestamptz, null::bigint);</v>
      </c>
    </row>
    <row r="124" spans="2:16" x14ac:dyDescent="0.2">
      <c r="B124" s="37">
        <f>IF(EXACT(DataLookUp!$B124, ""), "", DataLookUp!$B124)</f>
        <v>32000000000121</v>
      </c>
      <c r="C124" s="38" t="str">
        <f>MAIN!C124</f>
        <v>Effendi fendi</v>
      </c>
      <c r="D124" s="91">
        <v>163000000000003</v>
      </c>
      <c r="E124" s="37" t="str">
        <f>IF(EXACT($D124, ""), "", VLOOKUP($D124, [2]DataLookUp!$B$4:$D$15, 2, FALSE ))</f>
        <v>Karyawan Tidak Tetap (Kontrak)</v>
      </c>
      <c r="F124" s="91"/>
      <c r="G124" s="37" t="str">
        <f>IF(EXACT($F124, ""), "", VLOOKUP($F124, 'MAIN - OrgDepartment'!$C$3:$D$104, 2, FALSE))</f>
        <v/>
      </c>
      <c r="H124" s="91"/>
      <c r="I124" s="37" t="str">
        <f>IF(EXACT($H124, ""), "", VLOOKUP($H124, 'MAIN - OrgJobsPos'!$B$2:$C$101, 2, FALSE))</f>
        <v/>
      </c>
      <c r="J124" s="67"/>
      <c r="K124" s="63"/>
      <c r="L124" s="10" t="s">
        <v>7</v>
      </c>
      <c r="M124" s="11"/>
      <c r="O124" s="29">
        <f t="shared" si="2"/>
        <v>164000000000121</v>
      </c>
      <c r="P124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32000000000121::bigint, 163000000000003::bigint, null::bigint, null::bigint, null::varchar, null::timestamptz, '1900-12-31 23:59:59+07'::timestamptz, null::bigint);</v>
      </c>
    </row>
    <row r="125" spans="2:16" x14ac:dyDescent="0.2">
      <c r="B125" s="37">
        <f>IF(EXACT(DataLookUp!$B125, ""), "", DataLookUp!$B125)</f>
        <v>32000000000122</v>
      </c>
      <c r="C125" s="38" t="str">
        <f>MAIN!C125</f>
        <v>Efrina Dwililia</v>
      </c>
      <c r="D125" s="91">
        <v>163000000000003</v>
      </c>
      <c r="E125" s="37" t="str">
        <f>IF(EXACT($D125, ""), "", VLOOKUP($D125, [2]DataLookUp!$B$4:$D$15, 2, FALSE ))</f>
        <v>Karyawan Tidak Tetap (Kontrak)</v>
      </c>
      <c r="F125" s="91"/>
      <c r="G125" s="37" t="str">
        <f>IF(EXACT($F125, ""), "", VLOOKUP($F125, 'MAIN - OrgDepartment'!$C$3:$D$104, 2, FALSE))</f>
        <v/>
      </c>
      <c r="H125" s="91"/>
      <c r="I125" s="37" t="str">
        <f>IF(EXACT($H125, ""), "", VLOOKUP($H125, 'MAIN - OrgJobsPos'!$B$2:$C$101, 2, FALSE))</f>
        <v/>
      </c>
      <c r="J125" s="67"/>
      <c r="K125" s="63"/>
      <c r="L125" s="10" t="s">
        <v>7</v>
      </c>
      <c r="M125" s="11"/>
      <c r="O125" s="29">
        <f t="shared" si="2"/>
        <v>164000000000122</v>
      </c>
      <c r="P125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32000000000122::bigint, 163000000000003::bigint, null::bigint, null::bigint, null::varchar, null::timestamptz, '1900-12-31 23:59:59+07'::timestamptz, null::bigint);</v>
      </c>
    </row>
    <row r="126" spans="2:16" x14ac:dyDescent="0.2">
      <c r="B126" s="37">
        <f>IF(EXACT(DataLookUp!$B126, ""), "", DataLookUp!$B126)</f>
        <v>32000000000123</v>
      </c>
      <c r="C126" s="38" t="str">
        <f>MAIN!C126</f>
        <v>Eka Bagus Dwi Putra</v>
      </c>
      <c r="D126" s="91">
        <v>163000000000003</v>
      </c>
      <c r="E126" s="37" t="str">
        <f>IF(EXACT($D126, ""), "", VLOOKUP($D126, [2]DataLookUp!$B$4:$D$15, 2, FALSE ))</f>
        <v>Karyawan Tidak Tetap (Kontrak)</v>
      </c>
      <c r="F126" s="91">
        <v>111000000000011</v>
      </c>
      <c r="G126" s="37" t="str">
        <f>IF(EXACT($F126, ""), "", VLOOKUP($F126, 'MAIN - OrgDepartment'!$C$3:$D$104, 2, FALSE))</f>
        <v>Project</v>
      </c>
      <c r="H126" s="91">
        <v>160000000000004</v>
      </c>
      <c r="I126" s="37" t="str">
        <f>IF(EXACT($H126, ""), "", VLOOKUP($H126, 'MAIN - OrgJobsPos'!$B$2:$C$101, 2, FALSE))</f>
        <v>Supervisor</v>
      </c>
      <c r="J126" s="67" t="s">
        <v>165</v>
      </c>
      <c r="K126" s="63" t="s">
        <v>219</v>
      </c>
      <c r="L126" s="10" t="s">
        <v>3</v>
      </c>
      <c r="M126" s="11"/>
      <c r="O126" s="29">
        <f t="shared" si="2"/>
        <v>164000000000123</v>
      </c>
      <c r="P126" s="30" t="str">
        <f t="shared" si="3"/>
        <v>PERFORM "SchData-OLTP-HumanResource"."Func_TblWorkerCareerInternal_SET"(varSystemLoginSession, null::bigint, null::varchar, '2020-04-20 00:00:00+07'::timestamptz, '9999-12-31 23:59:59+07'::timestamptz, null::varchar, varInstitutionBranchID, varBaseCurrencyID, 32000000000123::bigint, 163000000000003::bigint, 111000000000011::bigint, 160000000000004::bigint, 'Project Controller'::varchar, '2020-04-20 00:00:00+07'::timestamptz, '9999-12-31 23:59:59+07'::timestamptz, null::bigint);</v>
      </c>
    </row>
    <row r="127" spans="2:16" x14ac:dyDescent="0.2">
      <c r="B127" s="37">
        <f>IF(EXACT(DataLookUp!$B127, ""), "", DataLookUp!$B127)</f>
        <v>32000000000124</v>
      </c>
      <c r="C127" s="38" t="str">
        <f>MAIN!C127</f>
        <v>Eka Hamidah</v>
      </c>
      <c r="D127" s="91">
        <v>163000000000003</v>
      </c>
      <c r="E127" s="37" t="str">
        <f>IF(EXACT($D127, ""), "", VLOOKUP($D127, [2]DataLookUp!$B$4:$D$15, 2, FALSE ))</f>
        <v>Karyawan Tidak Tetap (Kontrak)</v>
      </c>
      <c r="F127" s="91"/>
      <c r="G127" s="37" t="str">
        <f>IF(EXACT($F127, ""), "", VLOOKUP($F127, 'MAIN - OrgDepartment'!$C$3:$D$104, 2, FALSE))</f>
        <v/>
      </c>
      <c r="H127" s="91"/>
      <c r="I127" s="37" t="str">
        <f>IF(EXACT($H127, ""), "", VLOOKUP($H127, 'MAIN - OrgJobsPos'!$B$2:$C$101, 2, FALSE))</f>
        <v/>
      </c>
      <c r="J127" s="67"/>
      <c r="K127" s="63"/>
      <c r="L127" s="10" t="s">
        <v>7</v>
      </c>
      <c r="M127" s="11"/>
      <c r="O127" s="29">
        <f t="shared" si="2"/>
        <v>164000000000124</v>
      </c>
      <c r="P127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32000000000124::bigint, 163000000000003::bigint, null::bigint, null::bigint, null::varchar, null::timestamptz, '1900-12-31 23:59:59+07'::timestamptz, null::bigint);</v>
      </c>
    </row>
    <row r="128" spans="2:16" x14ac:dyDescent="0.2">
      <c r="B128" s="37">
        <f>IF(EXACT(DataLookUp!$B128, ""), "", DataLookUp!$B128)</f>
        <v>32000000000125</v>
      </c>
      <c r="C128" s="38" t="str">
        <f>MAIN!C128</f>
        <v>Eka Purwanti</v>
      </c>
      <c r="D128" s="91">
        <v>163000000000003</v>
      </c>
      <c r="E128" s="37" t="str">
        <f>IF(EXACT($D128, ""), "", VLOOKUP($D128, [2]DataLookUp!$B$4:$D$15, 2, FALSE ))</f>
        <v>Karyawan Tidak Tetap (Kontrak)</v>
      </c>
      <c r="F128" s="91">
        <v>111000000000011</v>
      </c>
      <c r="G128" s="37" t="str">
        <f>IF(EXACT($F128, ""), "", VLOOKUP($F128, 'MAIN - OrgDepartment'!$C$3:$D$104, 2, FALSE))</f>
        <v>Project</v>
      </c>
      <c r="H128" s="91">
        <v>160000000000004</v>
      </c>
      <c r="I128" s="37" t="str">
        <f>IF(EXACT($H128, ""), "", VLOOKUP($H128, 'MAIN - OrgJobsPos'!$B$2:$C$101, 2, FALSE))</f>
        <v>Supervisor</v>
      </c>
      <c r="J128" s="67" t="s">
        <v>310</v>
      </c>
      <c r="K128" s="63" t="s">
        <v>221</v>
      </c>
      <c r="L128" s="10" t="s">
        <v>3</v>
      </c>
      <c r="M128" s="11"/>
      <c r="O128" s="29">
        <f t="shared" si="2"/>
        <v>164000000000125</v>
      </c>
      <c r="P128" s="30" t="str">
        <f t="shared" si="3"/>
        <v>PERFORM "SchData-OLTP-HumanResource"."Func_TblWorkerCareerInternal_SET"(varSystemLoginSession, null::bigint, null::varchar, '2021-01-06 00:00:00+07'::timestamptz, '9999-12-31 23:59:59+07'::timestamptz, null::varchar, varInstitutionBranchID, varBaseCurrencyID, 32000000000125::bigint, 163000000000003::bigint, 111000000000011::bigint, 160000000000004::bigint, 'Project Administration'::varchar, '2021-01-06 00:00:00+07'::timestamptz, '9999-12-31 23:59:59+07'::timestamptz, null::bigint);</v>
      </c>
    </row>
    <row r="129" spans="2:16" x14ac:dyDescent="0.2">
      <c r="B129" s="37">
        <f>IF(EXACT(DataLookUp!$B129, ""), "", DataLookUp!$B129)</f>
        <v>32000000000126</v>
      </c>
      <c r="C129" s="38" t="str">
        <f>MAIN!C129</f>
        <v>Eka Kurniawan Hidayatullah</v>
      </c>
      <c r="D129" s="91">
        <v>163000000000003</v>
      </c>
      <c r="E129" s="37" t="str">
        <f>IF(EXACT($D129, ""), "", VLOOKUP($D129, [2]DataLookUp!$B$4:$D$15, 2, FALSE ))</f>
        <v>Karyawan Tidak Tetap (Kontrak)</v>
      </c>
      <c r="F129" s="91">
        <v>111000000000012</v>
      </c>
      <c r="G129" s="37" t="str">
        <f>IF(EXACT($F129, ""), "", VLOOKUP($F129, 'MAIN - OrgDepartment'!$C$3:$D$104, 2, FALSE))</f>
        <v>Procurement</v>
      </c>
      <c r="H129" s="91">
        <v>160000000000005</v>
      </c>
      <c r="I129" s="37" t="str">
        <f>IF(EXACT($H129, ""), "", VLOOKUP($H129, 'MAIN - OrgJobsPos'!$B$2:$C$101, 2, FALSE))</f>
        <v>Senior Supervisor</v>
      </c>
      <c r="J129" s="67" t="s">
        <v>166</v>
      </c>
      <c r="K129" s="63" t="s">
        <v>220</v>
      </c>
      <c r="L129" s="10" t="s">
        <v>3</v>
      </c>
      <c r="M129" s="11"/>
      <c r="O129" s="29">
        <f t="shared" si="2"/>
        <v>164000000000126</v>
      </c>
      <c r="P129" s="30" t="str">
        <f t="shared" si="3"/>
        <v>PERFORM "SchData-OLTP-HumanResource"."Func_TblWorkerCareerInternal_SET"(varSystemLoginSession, null::bigint, null::varchar, '2024-03-12 00:00:00+07'::timestamptz, '9999-12-31 23:59:59+07'::timestamptz, null::varchar, varInstitutionBranchID, varBaseCurrencyID, 32000000000126::bigint, 163000000000003::bigint, 111000000000012::bigint, 160000000000005::bigint, 'Procurement Coordinator'::varchar, '2024-03-12 00:00:00+07'::timestamptz, '9999-12-31 23:59:59+07'::timestamptz, null::bigint);</v>
      </c>
    </row>
    <row r="130" spans="2:16" x14ac:dyDescent="0.2">
      <c r="B130" s="37">
        <f>IF(EXACT(DataLookUp!$B130, ""), "", DataLookUp!$B130)</f>
        <v>32000000000127</v>
      </c>
      <c r="C130" s="38" t="str">
        <f>MAIN!C130</f>
        <v>Eko Laksono</v>
      </c>
      <c r="D130" s="91">
        <v>163000000000003</v>
      </c>
      <c r="E130" s="37" t="str">
        <f>IF(EXACT($D130, ""), "", VLOOKUP($D130, [2]DataLookUp!$B$4:$D$15, 2, FALSE ))</f>
        <v>Karyawan Tidak Tetap (Kontrak)</v>
      </c>
      <c r="F130" s="91"/>
      <c r="G130" s="37" t="str">
        <f>IF(EXACT($F130, ""), "", VLOOKUP($F130, 'MAIN - OrgDepartment'!$C$3:$D$104, 2, FALSE))</f>
        <v/>
      </c>
      <c r="H130" s="91"/>
      <c r="I130" s="37" t="str">
        <f>IF(EXACT($H130, ""), "", VLOOKUP($H130, 'MAIN - OrgJobsPos'!$B$2:$C$101, 2, FALSE))</f>
        <v/>
      </c>
      <c r="J130" s="67"/>
      <c r="K130" s="63"/>
      <c r="L130" s="10" t="s">
        <v>7</v>
      </c>
      <c r="M130" s="11"/>
      <c r="O130" s="29">
        <f t="shared" si="2"/>
        <v>164000000000127</v>
      </c>
      <c r="P130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32000000000127::bigint, 163000000000003::bigint, null::bigint, null::bigint, null::varchar, null::timestamptz, '1900-12-31 23:59:59+07'::timestamptz, null::bigint);</v>
      </c>
    </row>
    <row r="131" spans="2:16" x14ac:dyDescent="0.2">
      <c r="B131" s="37">
        <f>IF(EXACT(DataLookUp!$B131, ""), "", DataLookUp!$B131)</f>
        <v>32000000000128</v>
      </c>
      <c r="C131" s="38" t="str">
        <f>MAIN!C131</f>
        <v>Eko Syambudi</v>
      </c>
      <c r="D131" s="91">
        <v>163000000000003</v>
      </c>
      <c r="E131" s="37" t="str">
        <f>IF(EXACT($D131, ""), "", VLOOKUP($D131, [2]DataLookUp!$B$4:$D$15, 2, FALSE ))</f>
        <v>Karyawan Tidak Tetap (Kontrak)</v>
      </c>
      <c r="F131" s="91"/>
      <c r="G131" s="37" t="str">
        <f>IF(EXACT($F131, ""), "", VLOOKUP($F131, 'MAIN - OrgDepartment'!$C$3:$D$104, 2, FALSE))</f>
        <v/>
      </c>
      <c r="H131" s="91"/>
      <c r="I131" s="37" t="str">
        <f>IF(EXACT($H131, ""), "", VLOOKUP($H131, 'MAIN - OrgJobsPos'!$B$2:$C$101, 2, FALSE))</f>
        <v/>
      </c>
      <c r="J131" s="67"/>
      <c r="K131" s="63"/>
      <c r="L131" s="10" t="s">
        <v>7</v>
      </c>
      <c r="M131" s="11"/>
      <c r="O131" s="29">
        <f t="shared" si="2"/>
        <v>164000000000128</v>
      </c>
      <c r="P131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32000000000128::bigint, 163000000000003::bigint, null::bigint, null::bigint, null::varchar, null::timestamptz, '1900-12-31 23:59:59+07'::timestamptz, null::bigint);</v>
      </c>
    </row>
    <row r="132" spans="2:16" x14ac:dyDescent="0.2">
      <c r="B132" s="37">
        <f>IF(EXACT(DataLookUp!$B132, ""), "", DataLookUp!$B132)</f>
        <v>32000000000129</v>
      </c>
      <c r="C132" s="38" t="str">
        <f>MAIN!C132</f>
        <v>Elieser Ferdy P.</v>
      </c>
      <c r="D132" s="91">
        <v>163000000000003</v>
      </c>
      <c r="E132" s="37" t="str">
        <f>IF(EXACT($D132, ""), "", VLOOKUP($D132, [2]DataLookUp!$B$4:$D$15, 2, FALSE ))</f>
        <v>Karyawan Tidak Tetap (Kontrak)</v>
      </c>
      <c r="F132" s="91"/>
      <c r="G132" s="37" t="str">
        <f>IF(EXACT($F132, ""), "", VLOOKUP($F132, 'MAIN - OrgDepartment'!$C$3:$D$104, 2, FALSE))</f>
        <v/>
      </c>
      <c r="H132" s="91"/>
      <c r="I132" s="37" t="str">
        <f>IF(EXACT($H132, ""), "", VLOOKUP($H132, 'MAIN - OrgJobsPos'!$B$2:$C$101, 2, FALSE))</f>
        <v/>
      </c>
      <c r="J132" s="67"/>
      <c r="K132" s="63"/>
      <c r="L132" s="10" t="s">
        <v>7</v>
      </c>
      <c r="M132" s="11"/>
      <c r="O132" s="29">
        <f t="shared" si="2"/>
        <v>164000000000129</v>
      </c>
      <c r="P132" s="30" t="str">
        <f t="shared" si="3"/>
        <v>PERFORM "SchData-OLTP-HumanResource"."Func_TblWorkerCareerInternal_SET"(varSystemLoginSession, null::bigint, null::varchar, null::timestamptz, '1900-12-31 23:59:59+07'::timestamptz, null::varchar, varInstitutionBranchID, varBaseCurrencyID, 32000000000129::bigint, 163000000000003::bigint, null::bigint, null::bigint, null::varchar, null::timestamptz, '1900-12-31 23:59:59+07'::timestamptz, null::bigint);</v>
      </c>
    </row>
    <row r="133" spans="2:16" x14ac:dyDescent="0.2">
      <c r="B133" s="37">
        <f>IF(EXACT(DataLookUp!$B133, ""), "", DataLookUp!$B133)</f>
        <v>32000000000130</v>
      </c>
      <c r="C133" s="38" t="str">
        <f>MAIN!C133</f>
        <v>Elisa</v>
      </c>
      <c r="D133" s="91">
        <v>163000000000003</v>
      </c>
      <c r="E133" s="37" t="str">
        <f>IF(EXACT($D133, ""), "", VLOOKUP($D133, [2]DataLookUp!$B$4:$D$15, 2, FALSE ))</f>
        <v>Karyawan Tidak Tetap (Kontrak)</v>
      </c>
      <c r="F133" s="91"/>
      <c r="G133" s="37" t="str">
        <f>IF(EXACT($F133, ""), "", VLOOKUP($F133, 'MAIN - OrgDepartment'!$C$3:$D$104, 2, FALSE))</f>
        <v/>
      </c>
      <c r="H133" s="91"/>
      <c r="I133" s="37" t="str">
        <f>IF(EXACT($H133, ""), "", VLOOKUP($H133, 'MAIN - OrgJobsPos'!$B$2:$C$101, 2, FALSE))</f>
        <v/>
      </c>
      <c r="J133" s="67"/>
      <c r="K133" s="63"/>
      <c r="L133" s="10" t="s">
        <v>7</v>
      </c>
      <c r="M133" s="11"/>
      <c r="O133" s="29">
        <f t="shared" ref="O133:O196" si="4" xml:space="preserve"> O132 + IF(EXACT(P133, ""), 0, 1)</f>
        <v>164000000000130</v>
      </c>
      <c r="P133" s="30" t="str">
        <f t="shared" ref="P133:P196" si="5">CONCATENATE("PERFORM ""SchData-OLTP-HumanResource"".""Func_TblWorkerCareerInternal_SET""(varSystemLoginSession, null::bigint, null::varchar",
CONCATENATE(IF(EXACT($K133, ""), ", null", CONCATENATE(", '", $K133, "'")), "::timestamptz"),
CONCATENATE(IF(EXACT($L133, ""), ", null", CONCATENATE(", '", $L133, "'")), "::timestamptz"),
", null::varchar, varInstitutionBranchID, varBaseCurrencyID",
CONCATENATE(IF(EXACT($B133, ""), ", null", CONCATENATE(", ", $B133, "")), "::bigint"),
CONCATENATE(IF(EXACT($D133, ""), ", null", CONCATENATE(", ", $D133, "")), "::bigint"),
CONCATENATE(IF(EXACT($F133, ""), ", null", CONCATENATE(", ", $F133, "")), "::bigint"),
CONCATENATE(IF(EXACT($H133, ""), ", null", CONCATENATE(", ", $H133, "")), "::bigint"),
CONCATENATE(IF(EXACT($J133, ""), ", null", CONCATENATE(", '", $J133, "'")), "::varchar"),
CONCATENATE(IF(EXACT($K133, ""), ", null", CONCATENATE(", '", $K133, "'")), "::timestamptz"),
CONCATENATE(IF(EXACT($L133, ""), ", null", CONCATENATE(", '", $L133, "'")), "::timestamptz"),
CONCATENATE(IF(EXACT($M133, ""), ", null", CONCATENATE(", ", $M133,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32000000000130::bigint, 163000000000003::bigint, null::bigint, null::bigint, null::varchar, null::timestamptz, '1900-12-31 23:59:59+07'::timestamptz, null::bigint);</v>
      </c>
    </row>
    <row r="134" spans="2:16" x14ac:dyDescent="0.2">
      <c r="B134" s="37">
        <f>IF(EXACT(DataLookUp!$B134, ""), "", DataLookUp!$B134)</f>
        <v>32000000000131</v>
      </c>
      <c r="C134" s="38" t="str">
        <f>MAIN!C134</f>
        <v>Elsa Jayanti</v>
      </c>
      <c r="D134" s="91">
        <v>163000000000003</v>
      </c>
      <c r="E134" s="37" t="str">
        <f>IF(EXACT($D134, ""), "", VLOOKUP($D134, [2]DataLookUp!$B$4:$D$15, 2, FALSE ))</f>
        <v>Karyawan Tidak Tetap (Kontrak)</v>
      </c>
      <c r="F134" s="91"/>
      <c r="G134" s="37" t="str">
        <f>IF(EXACT($F134, ""), "", VLOOKUP($F134, 'MAIN - OrgDepartment'!$C$3:$D$104, 2, FALSE))</f>
        <v/>
      </c>
      <c r="H134" s="91"/>
      <c r="I134" s="37" t="str">
        <f>IF(EXACT($H134, ""), "", VLOOKUP($H134, 'MAIN - OrgJobsPos'!$B$2:$C$101, 2, FALSE))</f>
        <v/>
      </c>
      <c r="J134" s="67"/>
      <c r="K134" s="63"/>
      <c r="L134" s="10" t="s">
        <v>7</v>
      </c>
      <c r="M134" s="11"/>
      <c r="O134" s="29">
        <f t="shared" si="4"/>
        <v>164000000000131</v>
      </c>
      <c r="P13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32000000000131::bigint, 163000000000003::bigint, null::bigint, null::bigint, null::varchar, null::timestamptz, '1900-12-31 23:59:59+07'::timestamptz, null::bigint);</v>
      </c>
    </row>
    <row r="135" spans="2:16" x14ac:dyDescent="0.2">
      <c r="B135" s="37">
        <f>IF(EXACT(DataLookUp!$B135, ""), "", DataLookUp!$B135)</f>
        <v>32000000000132</v>
      </c>
      <c r="C135" s="38" t="str">
        <f>MAIN!C135</f>
        <v>Elsa Mardian</v>
      </c>
      <c r="D135" s="91">
        <v>163000000000003</v>
      </c>
      <c r="E135" s="37" t="str">
        <f>IF(EXACT($D135, ""), "", VLOOKUP($D135, [2]DataLookUp!$B$4:$D$15, 2, FALSE ))</f>
        <v>Karyawan Tidak Tetap (Kontrak)</v>
      </c>
      <c r="F135" s="91"/>
      <c r="G135" s="37" t="str">
        <f>IF(EXACT($F135, ""), "", VLOOKUP($F135, 'MAIN - OrgDepartment'!$C$3:$D$104, 2, FALSE))</f>
        <v/>
      </c>
      <c r="H135" s="91"/>
      <c r="I135" s="37" t="str">
        <f>IF(EXACT($H135, ""), "", VLOOKUP($H135, 'MAIN - OrgJobsPos'!$B$2:$C$101, 2, FALSE))</f>
        <v/>
      </c>
      <c r="J135" s="67"/>
      <c r="K135" s="63"/>
      <c r="L135" s="10" t="s">
        <v>7</v>
      </c>
      <c r="M135" s="11"/>
      <c r="O135" s="29">
        <f t="shared" si="4"/>
        <v>164000000000132</v>
      </c>
      <c r="P13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32000000000132::bigint, 163000000000003::bigint, null::bigint, null::bigint, null::varchar, null::timestamptz, '1900-12-31 23:59:59+07'::timestamptz, null::bigint);</v>
      </c>
    </row>
    <row r="136" spans="2:16" x14ac:dyDescent="0.2">
      <c r="B136" s="37">
        <f>IF(EXACT(DataLookUp!$B136, ""), "", DataLookUp!$B136)</f>
        <v>32000000000133</v>
      </c>
      <c r="C136" s="38" t="str">
        <f>MAIN!C136</f>
        <v>Emir Paranita Nasution</v>
      </c>
      <c r="D136" s="91">
        <v>163000000000003</v>
      </c>
      <c r="E136" s="37" t="str">
        <f>IF(EXACT($D136, ""), "", VLOOKUP($D136, [2]DataLookUp!$B$4:$D$15, 2, FALSE ))</f>
        <v>Karyawan Tidak Tetap (Kontrak)</v>
      </c>
      <c r="F136" s="91"/>
      <c r="G136" s="37" t="str">
        <f>IF(EXACT($F136, ""), "", VLOOKUP($F136, 'MAIN - OrgDepartment'!$C$3:$D$104, 2, FALSE))</f>
        <v/>
      </c>
      <c r="H136" s="91"/>
      <c r="I136" s="37" t="str">
        <f>IF(EXACT($H136, ""), "", VLOOKUP($H136, 'MAIN - OrgJobsPos'!$B$2:$C$101, 2, FALSE))</f>
        <v/>
      </c>
      <c r="J136" s="67"/>
      <c r="K136" s="63"/>
      <c r="L136" s="10" t="s">
        <v>7</v>
      </c>
      <c r="M136" s="11"/>
      <c r="O136" s="29">
        <f t="shared" si="4"/>
        <v>164000000000133</v>
      </c>
      <c r="P13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32000000000133::bigint, 163000000000003::bigint, null::bigint, null::bigint, null::varchar, null::timestamptz, '1900-12-31 23:59:59+07'::timestamptz, null::bigint);</v>
      </c>
    </row>
    <row r="137" spans="2:16" x14ac:dyDescent="0.2">
      <c r="B137" s="37">
        <f>IF(EXACT(DataLookUp!$B137, ""), "", DataLookUp!$B137)</f>
        <v>32000000000134</v>
      </c>
      <c r="C137" s="38" t="str">
        <f>MAIN!C137</f>
        <v>Enceng Hemawan</v>
      </c>
      <c r="D137" s="91">
        <v>163000000000003</v>
      </c>
      <c r="E137" s="37" t="str">
        <f>IF(EXACT($D137, ""), "", VLOOKUP($D137, [2]DataLookUp!$B$4:$D$15, 2, FALSE ))</f>
        <v>Karyawan Tidak Tetap (Kontrak)</v>
      </c>
      <c r="F137" s="91"/>
      <c r="G137" s="37" t="str">
        <f>IF(EXACT($F137, ""), "", VLOOKUP($F137, 'MAIN - OrgDepartment'!$C$3:$D$104, 2, FALSE))</f>
        <v/>
      </c>
      <c r="H137" s="91"/>
      <c r="I137" s="37" t="str">
        <f>IF(EXACT($H137, ""), "", VLOOKUP($H137, 'MAIN - OrgJobsPos'!$B$2:$C$101, 2, FALSE))</f>
        <v/>
      </c>
      <c r="J137" s="67"/>
      <c r="K137" s="63"/>
      <c r="L137" s="10" t="s">
        <v>7</v>
      </c>
      <c r="M137" s="11"/>
      <c r="O137" s="29">
        <f t="shared" si="4"/>
        <v>164000000000134</v>
      </c>
      <c r="P137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32000000000134::bigint, 163000000000003::bigint, null::bigint, null::bigint, null::varchar, null::timestamptz, '1900-12-31 23:59:59+07'::timestamptz, null::bigint);</v>
      </c>
    </row>
    <row r="138" spans="2:16" x14ac:dyDescent="0.2">
      <c r="B138" s="37">
        <f>IF(EXACT(DataLookUp!$B138, ""), "", DataLookUp!$B138)</f>
        <v>32000000000135</v>
      </c>
      <c r="C138" s="38" t="str">
        <f>MAIN!C138</f>
        <v>Endang</v>
      </c>
      <c r="D138" s="91">
        <v>163000000000003</v>
      </c>
      <c r="E138" s="37" t="str">
        <f>IF(EXACT($D138, ""), "", VLOOKUP($D138, [2]DataLookUp!$B$4:$D$15, 2, FALSE ))</f>
        <v>Karyawan Tidak Tetap (Kontrak)</v>
      </c>
      <c r="F138" s="91"/>
      <c r="G138" s="37" t="str">
        <f>IF(EXACT($F138, ""), "", VLOOKUP($F138, 'MAIN - OrgDepartment'!$C$3:$D$104, 2, FALSE))</f>
        <v/>
      </c>
      <c r="H138" s="91"/>
      <c r="I138" s="37" t="str">
        <f>IF(EXACT($H138, ""), "", VLOOKUP($H138, 'MAIN - OrgJobsPos'!$B$2:$C$101, 2, FALSE))</f>
        <v/>
      </c>
      <c r="J138" s="67"/>
      <c r="K138" s="63"/>
      <c r="L138" s="10" t="s">
        <v>7</v>
      </c>
      <c r="M138" s="11"/>
      <c r="O138" s="29">
        <f t="shared" si="4"/>
        <v>164000000000135</v>
      </c>
      <c r="P138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32000000000135::bigint, 163000000000003::bigint, null::bigint, null::bigint, null::varchar, null::timestamptz, '1900-12-31 23:59:59+07'::timestamptz, null::bigint);</v>
      </c>
    </row>
    <row r="139" spans="2:16" x14ac:dyDescent="0.2">
      <c r="B139" s="37">
        <f>IF(EXACT(DataLookUp!$B139, ""), "", DataLookUp!$B139)</f>
        <v>32000000000136</v>
      </c>
      <c r="C139" s="38" t="str">
        <f>MAIN!C139</f>
        <v>Endang Lestari</v>
      </c>
      <c r="D139" s="91">
        <v>163000000000002</v>
      </c>
      <c r="E139" s="37" t="str">
        <f>IF(EXACT($D139, ""), "", VLOOKUP($D139, [2]DataLookUp!$B$4:$D$15, 2, FALSE ))</f>
        <v>Karyawan Tetap (Purna Waktu)</v>
      </c>
      <c r="F139" s="91"/>
      <c r="G139" s="37" t="str">
        <f>IF(EXACT($F139, ""), "", VLOOKUP($F139, 'MAIN - OrgDepartment'!$C$3:$D$104, 2, FALSE))</f>
        <v/>
      </c>
      <c r="H139" s="91"/>
      <c r="I139" s="37" t="str">
        <f>IF(EXACT($H139, ""), "", VLOOKUP($H139, 'MAIN - OrgJobsPos'!$B$2:$C$101, 2, FALSE))</f>
        <v/>
      </c>
      <c r="J139" s="67"/>
      <c r="K139" s="63"/>
      <c r="L139" s="10" t="s">
        <v>7</v>
      </c>
      <c r="M139" s="11"/>
      <c r="O139" s="29">
        <f t="shared" si="4"/>
        <v>164000000000136</v>
      </c>
      <c r="P139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32000000000136::bigint, 163000000000002::bigint, null::bigint, null::bigint, null::varchar, null::timestamptz, '1900-12-31 23:59:59+07'::timestamptz, null::bigint);</v>
      </c>
    </row>
    <row r="140" spans="2:16" x14ac:dyDescent="0.2">
      <c r="B140" s="37">
        <f>IF(EXACT(DataLookUp!$B140, ""), "", DataLookUp!$B140)</f>
        <v>32000000000137</v>
      </c>
      <c r="C140" s="38" t="str">
        <f>MAIN!C140</f>
        <v>Endang Sobari</v>
      </c>
      <c r="D140" s="91">
        <v>163000000000003</v>
      </c>
      <c r="E140" s="37" t="str">
        <f>IF(EXACT($D140, ""), "", VLOOKUP($D140, [2]DataLookUp!$B$4:$D$15, 2, FALSE ))</f>
        <v>Karyawan Tidak Tetap (Kontrak)</v>
      </c>
      <c r="F140" s="91"/>
      <c r="G140" s="37" t="str">
        <f>IF(EXACT($F140, ""), "", VLOOKUP($F140, 'MAIN - OrgDepartment'!$C$3:$D$104, 2, FALSE))</f>
        <v/>
      </c>
      <c r="H140" s="91"/>
      <c r="I140" s="37" t="str">
        <f>IF(EXACT($H140, ""), "", VLOOKUP($H140, 'MAIN - OrgJobsPos'!$B$2:$C$101, 2, FALSE))</f>
        <v/>
      </c>
      <c r="J140" s="67"/>
      <c r="K140" s="63"/>
      <c r="L140" s="10" t="s">
        <v>7</v>
      </c>
      <c r="M140" s="11"/>
      <c r="O140" s="29">
        <f t="shared" si="4"/>
        <v>164000000000137</v>
      </c>
      <c r="P140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32000000000137::bigint, 163000000000003::bigint, null::bigint, null::bigint, null::varchar, null::timestamptz, '1900-12-31 23:59:59+07'::timestamptz, null::bigint);</v>
      </c>
    </row>
    <row r="141" spans="2:16" x14ac:dyDescent="0.2">
      <c r="B141" s="37">
        <f>IF(EXACT(DataLookUp!$B141, ""), "", DataLookUp!$B141)</f>
        <v>32000000000138</v>
      </c>
      <c r="C141" s="38" t="str">
        <f>MAIN!C141</f>
        <v>Endang Sutrisna</v>
      </c>
      <c r="D141" s="91">
        <v>163000000000003</v>
      </c>
      <c r="E141" s="37" t="str">
        <f>IF(EXACT($D141, ""), "", VLOOKUP($D141, [2]DataLookUp!$B$4:$D$15, 2, FALSE ))</f>
        <v>Karyawan Tidak Tetap (Kontrak)</v>
      </c>
      <c r="F141" s="91">
        <v>111000000000011</v>
      </c>
      <c r="G141" s="37" t="str">
        <f>IF(EXACT($F141, ""), "", VLOOKUP($F141, 'MAIN - OrgDepartment'!$C$3:$D$104, 2, FALSE))</f>
        <v>Project</v>
      </c>
      <c r="H141" s="91">
        <v>160000000000003</v>
      </c>
      <c r="I141" s="37" t="str">
        <f>IF(EXACT($H141, ""), "", VLOOKUP($H141, 'MAIN - OrgJobsPos'!$B$2:$C$101, 2, FALSE))</f>
        <v>Staff</v>
      </c>
      <c r="J141" s="67" t="s">
        <v>311</v>
      </c>
      <c r="K141" s="63" t="s">
        <v>222</v>
      </c>
      <c r="L141" s="10" t="s">
        <v>3</v>
      </c>
      <c r="M141" s="11"/>
      <c r="O141" s="29">
        <f t="shared" si="4"/>
        <v>164000000000138</v>
      </c>
      <c r="P141" s="30" t="str">
        <f t="shared" si="5"/>
        <v>PERFORM "SchData-OLTP-HumanResource"."Func_TblWorkerCareerInternal_SET"(varSystemLoginSession, null::bigint, null::varchar, '2006-08-01 00:00:00+07'::timestamptz, '9999-12-31 23:59:59+07'::timestamptz, null::varchar, varInstitutionBranchID, varBaseCurrencyID, 32000000000138::bigint, 163000000000003::bigint, 111000000000011::bigint, 160000000000003::bigint, 'Jointer'::varchar, '2006-08-01 00:00:00+07'::timestamptz, '9999-12-31 23:59:59+07'::timestamptz, null::bigint);</v>
      </c>
    </row>
    <row r="142" spans="2:16" x14ac:dyDescent="0.2">
      <c r="B142" s="37">
        <f>IF(EXACT(DataLookUp!$B142, ""), "", DataLookUp!$B142)</f>
        <v>32000000000139</v>
      </c>
      <c r="C142" s="38" t="str">
        <f>MAIN!C142</f>
        <v>Erfananda Rasyid</v>
      </c>
      <c r="D142" s="91">
        <v>163000000000003</v>
      </c>
      <c r="E142" s="37" t="str">
        <f>IF(EXACT($D142, ""), "", VLOOKUP($D142, [2]DataLookUp!$B$4:$D$15, 2, FALSE ))</f>
        <v>Karyawan Tidak Tetap (Kontrak)</v>
      </c>
      <c r="F142" s="91"/>
      <c r="G142" s="37" t="str">
        <f>IF(EXACT($F142, ""), "", VLOOKUP($F142, 'MAIN - OrgDepartment'!$C$3:$D$104, 2, FALSE))</f>
        <v/>
      </c>
      <c r="H142" s="91"/>
      <c r="I142" s="37" t="str">
        <f>IF(EXACT($H142, ""), "", VLOOKUP($H142, 'MAIN - OrgJobsPos'!$B$2:$C$101, 2, FALSE))</f>
        <v/>
      </c>
      <c r="J142" s="67"/>
      <c r="K142" s="63"/>
      <c r="L142" s="10" t="s">
        <v>7</v>
      </c>
      <c r="M142" s="11"/>
      <c r="O142" s="29">
        <f t="shared" si="4"/>
        <v>164000000000139</v>
      </c>
      <c r="P142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32000000000139::bigint, 163000000000003::bigint, null::bigint, null::bigint, null::varchar, null::timestamptz, '1900-12-31 23:59:59+07'::timestamptz, null::bigint);</v>
      </c>
    </row>
    <row r="143" spans="2:16" x14ac:dyDescent="0.2">
      <c r="B143" s="37">
        <f>IF(EXACT(DataLookUp!$B143, ""), "", DataLookUp!$B143)</f>
        <v>32000000000140</v>
      </c>
      <c r="C143" s="38" t="str">
        <f>MAIN!C143</f>
        <v>Ernawati</v>
      </c>
      <c r="D143" s="91">
        <v>163000000000003</v>
      </c>
      <c r="E143" s="37" t="str">
        <f>IF(EXACT($D143, ""), "", VLOOKUP($D143, [2]DataLookUp!$B$4:$D$15, 2, FALSE ))</f>
        <v>Karyawan Tidak Tetap (Kontrak)</v>
      </c>
      <c r="F143" s="91"/>
      <c r="G143" s="37" t="str">
        <f>IF(EXACT($F143, ""), "", VLOOKUP($F143, 'MAIN - OrgDepartment'!$C$3:$D$104, 2, FALSE))</f>
        <v/>
      </c>
      <c r="H143" s="91"/>
      <c r="I143" s="37" t="str">
        <f>IF(EXACT($H143, ""), "", VLOOKUP($H143, 'MAIN - OrgJobsPos'!$B$2:$C$101, 2, FALSE))</f>
        <v/>
      </c>
      <c r="J143" s="67"/>
      <c r="K143" s="63"/>
      <c r="L143" s="10" t="s">
        <v>7</v>
      </c>
      <c r="M143" s="11"/>
      <c r="O143" s="29">
        <f t="shared" si="4"/>
        <v>164000000000140</v>
      </c>
      <c r="P143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32000000000140::bigint, 163000000000003::bigint, null::bigint, null::bigint, null::varchar, null::timestamptz, '1900-12-31 23:59:59+07'::timestamptz, null::bigint);</v>
      </c>
    </row>
    <row r="144" spans="2:16" x14ac:dyDescent="0.2">
      <c r="B144" s="37">
        <f>IF(EXACT(DataLookUp!$B144, ""), "", DataLookUp!$B144)</f>
        <v>32000000000141</v>
      </c>
      <c r="C144" s="38" t="str">
        <f>MAIN!C144</f>
        <v>Erwin Firmansyah</v>
      </c>
      <c r="D144" s="91">
        <v>163000000000003</v>
      </c>
      <c r="E144" s="37" t="str">
        <f>IF(EXACT($D144, ""), "", VLOOKUP($D144, [2]DataLookUp!$B$4:$D$15, 2, FALSE ))</f>
        <v>Karyawan Tidak Tetap (Kontrak)</v>
      </c>
      <c r="F144" s="91"/>
      <c r="G144" s="37" t="str">
        <f>IF(EXACT($F144, ""), "", VLOOKUP($F144, 'MAIN - OrgDepartment'!$C$3:$D$104, 2, FALSE))</f>
        <v/>
      </c>
      <c r="H144" s="91"/>
      <c r="I144" s="37" t="str">
        <f>IF(EXACT($H144, ""), "", VLOOKUP($H144, 'MAIN - OrgJobsPos'!$B$2:$C$101, 2, FALSE))</f>
        <v/>
      </c>
      <c r="J144" s="67"/>
      <c r="K144" s="63"/>
      <c r="L144" s="10" t="s">
        <v>7</v>
      </c>
      <c r="M144" s="11"/>
      <c r="O144" s="29">
        <f t="shared" si="4"/>
        <v>164000000000141</v>
      </c>
      <c r="P14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32000000000141::bigint, 163000000000003::bigint, null::bigint, null::bigint, null::varchar, null::timestamptz, '1900-12-31 23:59:59+07'::timestamptz, null::bigint);</v>
      </c>
    </row>
    <row r="145" spans="2:16" x14ac:dyDescent="0.2">
      <c r="B145" s="37">
        <f>IF(EXACT(DataLookUp!$B145, ""), "", DataLookUp!$B145)</f>
        <v>32000000000142</v>
      </c>
      <c r="C145" s="38" t="str">
        <f>MAIN!C145</f>
        <v>Erwin Said</v>
      </c>
      <c r="D145" s="91">
        <v>163000000000003</v>
      </c>
      <c r="E145" s="37" t="str">
        <f>IF(EXACT($D145, ""), "", VLOOKUP($D145, [2]DataLookUp!$B$4:$D$15, 2, FALSE ))</f>
        <v>Karyawan Tidak Tetap (Kontrak)</v>
      </c>
      <c r="F145" s="91"/>
      <c r="G145" s="37" t="str">
        <f>IF(EXACT($F145, ""), "", VLOOKUP($F145, 'MAIN - OrgDepartment'!$C$3:$D$104, 2, FALSE))</f>
        <v/>
      </c>
      <c r="H145" s="91"/>
      <c r="I145" s="37" t="str">
        <f>IF(EXACT($H145, ""), "", VLOOKUP($H145, 'MAIN - OrgJobsPos'!$B$2:$C$101, 2, FALSE))</f>
        <v/>
      </c>
      <c r="J145" s="67"/>
      <c r="K145" s="63"/>
      <c r="L145" s="10" t="s">
        <v>7</v>
      </c>
      <c r="M145" s="11"/>
      <c r="O145" s="29">
        <f t="shared" si="4"/>
        <v>164000000000142</v>
      </c>
      <c r="P14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32000000000142::bigint, 163000000000003::bigint, null::bigint, null::bigint, null::varchar, null::timestamptz, '1900-12-31 23:59:59+07'::timestamptz, null::bigint);</v>
      </c>
    </row>
    <row r="146" spans="2:16" x14ac:dyDescent="0.2">
      <c r="B146" s="37">
        <f>IF(EXACT(DataLookUp!$B146, ""), "", DataLookUp!$B146)</f>
        <v>32000000000143</v>
      </c>
      <c r="C146" s="38" t="str">
        <f>MAIN!C146</f>
        <v>Esa Annahar</v>
      </c>
      <c r="D146" s="91">
        <v>163000000000003</v>
      </c>
      <c r="E146" s="37" t="str">
        <f>IF(EXACT($D146, ""), "", VLOOKUP($D146, [2]DataLookUp!$B$4:$D$15, 2, FALSE ))</f>
        <v>Karyawan Tidak Tetap (Kontrak)</v>
      </c>
      <c r="F146" s="91"/>
      <c r="G146" s="37" t="str">
        <f>IF(EXACT($F146, ""), "", VLOOKUP($F146, 'MAIN - OrgDepartment'!$C$3:$D$104, 2, FALSE))</f>
        <v/>
      </c>
      <c r="H146" s="91"/>
      <c r="I146" s="37" t="str">
        <f>IF(EXACT($H146, ""), "", VLOOKUP($H146, 'MAIN - OrgJobsPos'!$B$2:$C$101, 2, FALSE))</f>
        <v/>
      </c>
      <c r="J146" s="67"/>
      <c r="K146" s="63"/>
      <c r="L146" s="10" t="s">
        <v>7</v>
      </c>
      <c r="M146" s="11"/>
      <c r="O146" s="29">
        <f t="shared" si="4"/>
        <v>164000000000143</v>
      </c>
      <c r="P14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32000000000143::bigint, 163000000000003::bigint, null::bigint, null::bigint, null::varchar, null::timestamptz, '1900-12-31 23:59:59+07'::timestamptz, null::bigint);</v>
      </c>
    </row>
    <row r="147" spans="2:16" x14ac:dyDescent="0.2">
      <c r="B147" s="37">
        <f>IF(EXACT(DataLookUp!$B147, ""), "", DataLookUp!$B147)</f>
        <v>32000000000144</v>
      </c>
      <c r="C147" s="38" t="str">
        <f>MAIN!C147</f>
        <v>Faiz Horifal</v>
      </c>
      <c r="D147" s="91">
        <v>163000000000003</v>
      </c>
      <c r="E147" s="37" t="str">
        <f>IF(EXACT($D147, ""), "", VLOOKUP($D147, [2]DataLookUp!$B$4:$D$15, 2, FALSE ))</f>
        <v>Karyawan Tidak Tetap (Kontrak)</v>
      </c>
      <c r="F147" s="91"/>
      <c r="G147" s="37" t="str">
        <f>IF(EXACT($F147, ""), "", VLOOKUP($F147, 'MAIN - OrgDepartment'!$C$3:$D$104, 2, FALSE))</f>
        <v/>
      </c>
      <c r="H147" s="91"/>
      <c r="I147" s="37" t="str">
        <f>IF(EXACT($H147, ""), "", VLOOKUP($H147, 'MAIN - OrgJobsPos'!$B$2:$C$101, 2, FALSE))</f>
        <v/>
      </c>
      <c r="J147" s="67"/>
      <c r="K147" s="63"/>
      <c r="L147" s="10" t="s">
        <v>7</v>
      </c>
      <c r="M147" s="11"/>
      <c r="O147" s="29">
        <f t="shared" si="4"/>
        <v>164000000000144</v>
      </c>
      <c r="P147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32000000000144::bigint, 163000000000003::bigint, null::bigint, null::bigint, null::varchar, null::timestamptz, '1900-12-31 23:59:59+07'::timestamptz, null::bigint);</v>
      </c>
    </row>
    <row r="148" spans="2:16" x14ac:dyDescent="0.2">
      <c r="B148" s="37">
        <f>IF(EXACT(DataLookUp!$B148, ""), "", DataLookUp!$B148)</f>
        <v>32000000000145</v>
      </c>
      <c r="C148" s="38" t="str">
        <f>MAIN!C148</f>
        <v>Fani Dwi Astutik</v>
      </c>
      <c r="D148" s="91">
        <v>163000000000003</v>
      </c>
      <c r="E148" s="37" t="str">
        <f>IF(EXACT($D148, ""), "", VLOOKUP($D148, [2]DataLookUp!$B$4:$D$15, 2, FALSE ))</f>
        <v>Karyawan Tidak Tetap (Kontrak)</v>
      </c>
      <c r="F148" s="91"/>
      <c r="G148" s="37" t="str">
        <f>IF(EXACT($F148, ""), "", VLOOKUP($F148, 'MAIN - OrgDepartment'!$C$3:$D$104, 2, FALSE))</f>
        <v/>
      </c>
      <c r="H148" s="91"/>
      <c r="I148" s="37" t="str">
        <f>IF(EXACT($H148, ""), "", VLOOKUP($H148, 'MAIN - OrgJobsPos'!$B$2:$C$101, 2, FALSE))</f>
        <v/>
      </c>
      <c r="J148" s="67"/>
      <c r="K148" s="63"/>
      <c r="L148" s="10" t="s">
        <v>7</v>
      </c>
      <c r="M148" s="11"/>
      <c r="O148" s="29">
        <f t="shared" si="4"/>
        <v>164000000000145</v>
      </c>
      <c r="P148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32000000000145::bigint, 163000000000003::bigint, null::bigint, null::bigint, null::varchar, null::timestamptz, '1900-12-31 23:59:59+07'::timestamptz, null::bigint);</v>
      </c>
    </row>
    <row r="149" spans="2:16" x14ac:dyDescent="0.2">
      <c r="B149" s="37">
        <f>IF(EXACT(DataLookUp!$B149, ""), "", DataLookUp!$B149)</f>
        <v>32000000000146</v>
      </c>
      <c r="C149" s="38" t="str">
        <f>MAIN!C149</f>
        <v>Fardi Nauli R</v>
      </c>
      <c r="D149" s="91">
        <v>163000000000003</v>
      </c>
      <c r="E149" s="37" t="str">
        <f>IF(EXACT($D149, ""), "", VLOOKUP($D149, [2]DataLookUp!$B$4:$D$15, 2, FALSE ))</f>
        <v>Karyawan Tidak Tetap (Kontrak)</v>
      </c>
      <c r="F149" s="91"/>
      <c r="G149" s="37" t="str">
        <f>IF(EXACT($F149, ""), "", VLOOKUP($F149, 'MAIN - OrgDepartment'!$C$3:$D$104, 2, FALSE))</f>
        <v/>
      </c>
      <c r="H149" s="91"/>
      <c r="I149" s="37" t="str">
        <f>IF(EXACT($H149, ""), "", VLOOKUP($H149, 'MAIN - OrgJobsPos'!$B$2:$C$101, 2, FALSE))</f>
        <v/>
      </c>
      <c r="J149" s="67"/>
      <c r="K149" s="63"/>
      <c r="L149" s="10" t="s">
        <v>7</v>
      </c>
      <c r="M149" s="11"/>
      <c r="O149" s="29">
        <f t="shared" si="4"/>
        <v>164000000000146</v>
      </c>
      <c r="P149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32000000000146::bigint, 163000000000003::bigint, null::bigint, null::bigint, null::varchar, null::timestamptz, '1900-12-31 23:59:59+07'::timestamptz, null::bigint);</v>
      </c>
    </row>
    <row r="150" spans="2:16" x14ac:dyDescent="0.2">
      <c r="B150" s="37">
        <f>IF(EXACT(DataLookUp!$B150, ""), "", DataLookUp!$B150)</f>
        <v>32000000000147</v>
      </c>
      <c r="C150" s="38" t="str">
        <f>MAIN!C150</f>
        <v>Farekh Huzair</v>
      </c>
      <c r="D150" s="91">
        <v>163000000000003</v>
      </c>
      <c r="E150" s="37" t="str">
        <f>IF(EXACT($D150, ""), "", VLOOKUP($D150, [2]DataLookUp!$B$4:$D$15, 2, FALSE ))</f>
        <v>Karyawan Tidak Tetap (Kontrak)</v>
      </c>
      <c r="F150" s="91"/>
      <c r="G150" s="37" t="str">
        <f>IF(EXACT($F150, ""), "", VLOOKUP($F150, 'MAIN - OrgDepartment'!$C$3:$D$104, 2, FALSE))</f>
        <v/>
      </c>
      <c r="H150" s="91"/>
      <c r="I150" s="37" t="str">
        <f>IF(EXACT($H150, ""), "", VLOOKUP($H150, 'MAIN - OrgJobsPos'!$B$2:$C$101, 2, FALSE))</f>
        <v/>
      </c>
      <c r="J150" s="67"/>
      <c r="K150" s="63"/>
      <c r="L150" s="10" t="s">
        <v>7</v>
      </c>
      <c r="M150" s="11"/>
      <c r="O150" s="29">
        <f t="shared" si="4"/>
        <v>164000000000147</v>
      </c>
      <c r="P150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32000000000147::bigint, 163000000000003::bigint, null::bigint, null::bigint, null::varchar, null::timestamptz, '1900-12-31 23:59:59+07'::timestamptz, null::bigint);</v>
      </c>
    </row>
    <row r="151" spans="2:16" x14ac:dyDescent="0.2">
      <c r="B151" s="37">
        <f>IF(EXACT(DataLookUp!$B151, ""), "", DataLookUp!$B151)</f>
        <v>32000000000148</v>
      </c>
      <c r="C151" s="38" t="str">
        <f>MAIN!C151</f>
        <v>Farhana</v>
      </c>
      <c r="D151" s="91">
        <v>163000000000003</v>
      </c>
      <c r="E151" s="37" t="str">
        <f>IF(EXACT($D151, ""), "", VLOOKUP($D151, [2]DataLookUp!$B$4:$D$15, 2, FALSE ))</f>
        <v>Karyawan Tidak Tetap (Kontrak)</v>
      </c>
      <c r="F151" s="91"/>
      <c r="G151" s="37" t="str">
        <f>IF(EXACT($F151, ""), "", VLOOKUP($F151, 'MAIN - OrgDepartment'!$C$3:$D$104, 2, FALSE))</f>
        <v/>
      </c>
      <c r="H151" s="91"/>
      <c r="I151" s="37" t="str">
        <f>IF(EXACT($H151, ""), "", VLOOKUP($H151, 'MAIN - OrgJobsPos'!$B$2:$C$101, 2, FALSE))</f>
        <v/>
      </c>
      <c r="J151" s="67"/>
      <c r="K151" s="63"/>
      <c r="L151" s="10" t="s">
        <v>7</v>
      </c>
      <c r="M151" s="11"/>
      <c r="O151" s="29">
        <f t="shared" si="4"/>
        <v>164000000000148</v>
      </c>
      <c r="P151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32000000000148::bigint, 163000000000003::bigint, null::bigint, null::bigint, null::varchar, null::timestamptz, '1900-12-31 23:59:59+07'::timestamptz, null::bigint);</v>
      </c>
    </row>
    <row r="152" spans="2:16" x14ac:dyDescent="0.2">
      <c r="B152" s="37">
        <f>IF(EXACT(DataLookUp!$B152, ""), "", DataLookUp!$B152)</f>
        <v>32000000000149</v>
      </c>
      <c r="C152" s="38" t="str">
        <f>MAIN!C152</f>
        <v>Febriyanto Ahdiat</v>
      </c>
      <c r="D152" s="91">
        <v>163000000000003</v>
      </c>
      <c r="E152" s="37" t="str">
        <f>IF(EXACT($D152, ""), "", VLOOKUP($D152, [2]DataLookUp!$B$4:$D$15, 2, FALSE ))</f>
        <v>Karyawan Tidak Tetap (Kontrak)</v>
      </c>
      <c r="F152" s="91"/>
      <c r="G152" s="37" t="str">
        <f>IF(EXACT($F152, ""), "", VLOOKUP($F152, 'MAIN - OrgDepartment'!$C$3:$D$104, 2, FALSE))</f>
        <v/>
      </c>
      <c r="H152" s="91"/>
      <c r="I152" s="37" t="str">
        <f>IF(EXACT($H152, ""), "", VLOOKUP($H152, 'MAIN - OrgJobsPos'!$B$2:$C$101, 2, FALSE))</f>
        <v/>
      </c>
      <c r="J152" s="67"/>
      <c r="K152" s="63"/>
      <c r="L152" s="10" t="s">
        <v>7</v>
      </c>
      <c r="M152" s="11"/>
      <c r="O152" s="29">
        <f t="shared" si="4"/>
        <v>164000000000149</v>
      </c>
      <c r="P152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32000000000149::bigint, 163000000000003::bigint, null::bigint, null::bigint, null::varchar, null::timestamptz, '1900-12-31 23:59:59+07'::timestamptz, null::bigint);</v>
      </c>
    </row>
    <row r="153" spans="2:16" x14ac:dyDescent="0.2">
      <c r="B153" s="37">
        <f>IF(EXACT(DataLookUp!$B153, ""), "", DataLookUp!$B153)</f>
        <v>32000000000150</v>
      </c>
      <c r="C153" s="38" t="str">
        <f>MAIN!C153</f>
        <v>Febryan Mahsyar</v>
      </c>
      <c r="D153" s="91">
        <v>163000000000003</v>
      </c>
      <c r="E153" s="37" t="str">
        <f>IF(EXACT($D153, ""), "", VLOOKUP($D153, [2]DataLookUp!$B$4:$D$15, 2, FALSE ))</f>
        <v>Karyawan Tidak Tetap (Kontrak)</v>
      </c>
      <c r="F153" s="91"/>
      <c r="G153" s="37" t="str">
        <f>IF(EXACT($F153, ""), "", VLOOKUP($F153, 'MAIN - OrgDepartment'!$C$3:$D$104, 2, FALSE))</f>
        <v/>
      </c>
      <c r="H153" s="91"/>
      <c r="I153" s="37" t="str">
        <f>IF(EXACT($H153, ""), "", VLOOKUP($H153, 'MAIN - OrgJobsPos'!$B$2:$C$101, 2, FALSE))</f>
        <v/>
      </c>
      <c r="J153" s="67"/>
      <c r="K153" s="63"/>
      <c r="L153" s="10" t="s">
        <v>7</v>
      </c>
      <c r="M153" s="11"/>
      <c r="O153" s="29">
        <f t="shared" si="4"/>
        <v>164000000000150</v>
      </c>
      <c r="P153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32000000000150::bigint, 163000000000003::bigint, null::bigint, null::bigint, null::varchar, null::timestamptz, '1900-12-31 23:59:59+07'::timestamptz, null::bigint);</v>
      </c>
    </row>
    <row r="154" spans="2:16" x14ac:dyDescent="0.2">
      <c r="B154" s="37">
        <f>IF(EXACT(DataLookUp!$B154, ""), "", DataLookUp!$B154)</f>
        <v>32000000000151</v>
      </c>
      <c r="C154" s="38" t="str">
        <f>MAIN!C154</f>
        <v>Felpy</v>
      </c>
      <c r="D154" s="91">
        <v>163000000000003</v>
      </c>
      <c r="E154" s="37" t="str">
        <f>IF(EXACT($D154, ""), "", VLOOKUP($D154, [2]DataLookUp!$B$4:$D$15, 2, FALSE ))</f>
        <v>Karyawan Tidak Tetap (Kontrak)</v>
      </c>
      <c r="F154" s="91"/>
      <c r="G154" s="37" t="str">
        <f>IF(EXACT($F154, ""), "", VLOOKUP($F154, 'MAIN - OrgDepartment'!$C$3:$D$104, 2, FALSE))</f>
        <v/>
      </c>
      <c r="H154" s="91"/>
      <c r="I154" s="37" t="str">
        <f>IF(EXACT($H154, ""), "", VLOOKUP($H154, 'MAIN - OrgJobsPos'!$B$2:$C$101, 2, FALSE))</f>
        <v/>
      </c>
      <c r="J154" s="67"/>
      <c r="K154" s="63"/>
      <c r="L154" s="10" t="s">
        <v>7</v>
      </c>
      <c r="M154" s="11"/>
      <c r="O154" s="29">
        <f t="shared" si="4"/>
        <v>164000000000151</v>
      </c>
      <c r="P15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32000000000151::bigint, 163000000000003::bigint, null::bigint, null::bigint, null::varchar, null::timestamptz, '1900-12-31 23:59:59+07'::timestamptz, null::bigint);</v>
      </c>
    </row>
    <row r="155" spans="2:16" x14ac:dyDescent="0.2">
      <c r="B155" s="37">
        <f>IF(EXACT(DataLookUp!$B155, ""), "", DataLookUp!$B155)</f>
        <v>32000000000152</v>
      </c>
      <c r="C155" s="38" t="str">
        <f>MAIN!C155</f>
        <v>Feri Priyanto</v>
      </c>
      <c r="D155" s="91">
        <v>163000000000003</v>
      </c>
      <c r="E155" s="37" t="str">
        <f>IF(EXACT($D155, ""), "", VLOOKUP($D155, [2]DataLookUp!$B$4:$D$15, 2, FALSE ))</f>
        <v>Karyawan Tidak Tetap (Kontrak)</v>
      </c>
      <c r="F155" s="91"/>
      <c r="G155" s="37" t="str">
        <f>IF(EXACT($F155, ""), "", VLOOKUP($F155, 'MAIN - OrgDepartment'!$C$3:$D$104, 2, FALSE))</f>
        <v/>
      </c>
      <c r="H155" s="91"/>
      <c r="I155" s="37" t="str">
        <f>IF(EXACT($H155, ""), "", VLOOKUP($H155, 'MAIN - OrgJobsPos'!$B$2:$C$101, 2, FALSE))</f>
        <v/>
      </c>
      <c r="J155" s="67"/>
      <c r="K155" s="63"/>
      <c r="L155" s="10" t="s">
        <v>7</v>
      </c>
      <c r="M155" s="11"/>
      <c r="O155" s="29">
        <f t="shared" si="4"/>
        <v>164000000000152</v>
      </c>
      <c r="P15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32000000000152::bigint, 163000000000003::bigint, null::bigint, null::bigint, null::varchar, null::timestamptz, '1900-12-31 23:59:59+07'::timestamptz, null::bigint);</v>
      </c>
    </row>
    <row r="156" spans="2:16" x14ac:dyDescent="0.2">
      <c r="B156" s="37">
        <f>IF(EXACT(DataLookUp!$B156, ""), "", DataLookUp!$B156)</f>
        <v>32000000000153</v>
      </c>
      <c r="C156" s="38" t="str">
        <f>MAIN!C156</f>
        <v>Ferry P Simanjuntak</v>
      </c>
      <c r="D156" s="91">
        <v>163000000000003</v>
      </c>
      <c r="E156" s="37" t="str">
        <f>IF(EXACT($D156, ""), "", VLOOKUP($D156, [2]DataLookUp!$B$4:$D$15, 2, FALSE ))</f>
        <v>Karyawan Tidak Tetap (Kontrak)</v>
      </c>
      <c r="F156" s="91"/>
      <c r="G156" s="37" t="str">
        <f>IF(EXACT($F156, ""), "", VLOOKUP($F156, 'MAIN - OrgDepartment'!$C$3:$D$104, 2, FALSE))</f>
        <v/>
      </c>
      <c r="H156" s="91"/>
      <c r="I156" s="37" t="str">
        <f>IF(EXACT($H156, ""), "", VLOOKUP($H156, 'MAIN - OrgJobsPos'!$B$2:$C$101, 2, FALSE))</f>
        <v/>
      </c>
      <c r="J156" s="67"/>
      <c r="K156" s="63"/>
      <c r="L156" s="10" t="s">
        <v>7</v>
      </c>
      <c r="M156" s="11"/>
      <c r="O156" s="29">
        <f t="shared" si="4"/>
        <v>164000000000153</v>
      </c>
      <c r="P15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32000000000153::bigint, 163000000000003::bigint, null::bigint, null::bigint, null::varchar, null::timestamptz, '1900-12-31 23:59:59+07'::timestamptz, null::bigint);</v>
      </c>
    </row>
    <row r="157" spans="2:16" x14ac:dyDescent="0.2">
      <c r="B157" s="37">
        <f>IF(EXACT(DataLookUp!$B157, ""), "", DataLookUp!$B157)</f>
        <v>32000000000154</v>
      </c>
      <c r="C157" s="38" t="str">
        <f>MAIN!C157</f>
        <v>Fikri</v>
      </c>
      <c r="D157" s="91">
        <v>163000000000002</v>
      </c>
      <c r="E157" s="37" t="str">
        <f>IF(EXACT($D157, ""), "", VLOOKUP($D157, [2]DataLookUp!$B$4:$D$15, 2, FALSE ))</f>
        <v>Karyawan Tetap (Purna Waktu)</v>
      </c>
      <c r="F157" s="91"/>
      <c r="G157" s="37" t="str">
        <f>IF(EXACT($F157, ""), "", VLOOKUP($F157, 'MAIN - OrgDepartment'!$C$3:$D$104, 2, FALSE))</f>
        <v/>
      </c>
      <c r="H157" s="91"/>
      <c r="I157" s="37" t="str">
        <f>IF(EXACT($H157, ""), "", VLOOKUP($H157, 'MAIN - OrgJobsPos'!$B$2:$C$101, 2, FALSE))</f>
        <v/>
      </c>
      <c r="J157" s="67"/>
      <c r="K157" s="63"/>
      <c r="L157" s="10" t="s">
        <v>7</v>
      </c>
      <c r="M157" s="11"/>
      <c r="O157" s="29">
        <f t="shared" si="4"/>
        <v>164000000000154</v>
      </c>
      <c r="P157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32000000000154::bigint, 163000000000002::bigint, null::bigint, null::bigint, null::varchar, null::timestamptz, '1900-12-31 23:59:59+07'::timestamptz, null::bigint);</v>
      </c>
    </row>
    <row r="158" spans="2:16" x14ac:dyDescent="0.2">
      <c r="B158" s="37">
        <f>IF(EXACT(DataLookUp!$B158, ""), "", DataLookUp!$B158)</f>
        <v>32000000000155</v>
      </c>
      <c r="C158" s="38" t="str">
        <f>MAIN!C158</f>
        <v>M. Fikri Caesarandi Hasibuan</v>
      </c>
      <c r="D158" s="91">
        <v>163000000000002</v>
      </c>
      <c r="E158" s="37" t="str">
        <f>IF(EXACT($D158, ""), "", VLOOKUP($D158, [2]DataLookUp!$B$4:$D$15, 2, FALSE ))</f>
        <v>Karyawan Tetap (Purna Waktu)</v>
      </c>
      <c r="F158" s="91">
        <v>111000000000011</v>
      </c>
      <c r="G158" s="37" t="str">
        <f>IF(EXACT($F158, ""), "", VLOOKUP($F158, 'MAIN - OrgDepartment'!$C$3:$D$104, 2, FALSE))</f>
        <v>Project</v>
      </c>
      <c r="H158" s="91">
        <v>160000000000003</v>
      </c>
      <c r="I158" s="37" t="str">
        <f>IF(EXACT($H158, ""), "", VLOOKUP($H158, 'MAIN - OrgJobsPos'!$B$2:$C$101, 2, FALSE))</f>
        <v>Staff</v>
      </c>
      <c r="J158" s="67" t="s">
        <v>314</v>
      </c>
      <c r="K158" s="63" t="s">
        <v>230</v>
      </c>
      <c r="L158" s="10" t="s">
        <v>3</v>
      </c>
      <c r="M158" s="11"/>
      <c r="O158" s="29">
        <f t="shared" si="4"/>
        <v>164000000000155</v>
      </c>
      <c r="P158" s="30" t="str">
        <f t="shared" si="5"/>
        <v>PERFORM "SchData-OLTP-HumanResource"."Func_TblWorkerCareerInternal_SET"(varSystemLoginSession, null::bigint, null::varchar, '2016-09-16 00:00:00+07'::timestamptz, '9999-12-31 23:59:59+07'::timestamptz, null::varchar, varInstitutionBranchID, varBaseCurrencyID, 32000000000155::bigint, 163000000000002::bigint, 111000000000011::bigint, 160000000000003::bigint, 'Admin &amp; Finance Site Project'::varchar, '2016-09-16 00:00:00+07'::timestamptz, '9999-12-31 23:59:59+07'::timestamptz, null::bigint);</v>
      </c>
    </row>
    <row r="159" spans="2:16" x14ac:dyDescent="0.2">
      <c r="B159" s="37">
        <f>IF(EXACT(DataLookUp!$B159, ""), "", DataLookUp!$B159)</f>
        <v>32000000000156</v>
      </c>
      <c r="C159" s="38" t="str">
        <f>MAIN!C159</f>
        <v>Firman Akbar</v>
      </c>
      <c r="D159" s="91">
        <v>163000000000003</v>
      </c>
      <c r="E159" s="37" t="str">
        <f>IF(EXACT($D159, ""), "", VLOOKUP($D159, [2]DataLookUp!$B$4:$D$15, 2, FALSE ))</f>
        <v>Karyawan Tidak Tetap (Kontrak)</v>
      </c>
      <c r="F159" s="91"/>
      <c r="G159" s="37" t="str">
        <f>IF(EXACT($F159, ""), "", VLOOKUP($F159, 'MAIN - OrgDepartment'!$C$3:$D$104, 2, FALSE))</f>
        <v/>
      </c>
      <c r="H159" s="91"/>
      <c r="I159" s="37" t="str">
        <f>IF(EXACT($H159, ""), "", VLOOKUP($H159, 'MAIN - OrgJobsPos'!$B$2:$C$101, 2, FALSE))</f>
        <v/>
      </c>
      <c r="J159" s="67"/>
      <c r="K159" s="63"/>
      <c r="L159" s="10" t="s">
        <v>7</v>
      </c>
      <c r="M159" s="11"/>
      <c r="O159" s="29">
        <f t="shared" si="4"/>
        <v>164000000000156</v>
      </c>
      <c r="P159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32000000000156::bigint, 163000000000003::bigint, null::bigint, null::bigint, null::varchar, null::timestamptz, '1900-12-31 23:59:59+07'::timestamptz, null::bigint);</v>
      </c>
    </row>
    <row r="160" spans="2:16" x14ac:dyDescent="0.2">
      <c r="B160" s="37">
        <f>IF(EXACT(DataLookUp!$B160, ""), "", DataLookUp!$B160)</f>
        <v>32000000000157</v>
      </c>
      <c r="C160" s="38" t="str">
        <f>MAIN!C160</f>
        <v>Fitriastuti Kurnia</v>
      </c>
      <c r="D160" s="91">
        <v>163000000000003</v>
      </c>
      <c r="E160" s="37" t="str">
        <f>IF(EXACT($D160, ""), "", VLOOKUP($D160, [2]DataLookUp!$B$4:$D$15, 2, FALSE ))</f>
        <v>Karyawan Tidak Tetap (Kontrak)</v>
      </c>
      <c r="F160" s="91">
        <v>111000000000011</v>
      </c>
      <c r="G160" s="37" t="str">
        <f>IF(EXACT($F160, ""), "", VLOOKUP($F160, 'MAIN - OrgDepartment'!$C$3:$D$104, 2, FALSE))</f>
        <v>Project</v>
      </c>
      <c r="H160" s="91">
        <v>160000000000003</v>
      </c>
      <c r="I160" s="37" t="str">
        <f>IF(EXACT($H160, ""), "", VLOOKUP($H160, 'MAIN - OrgJobsPos'!$B$2:$C$101, 2, FALSE))</f>
        <v>Staff</v>
      </c>
      <c r="J160" s="67"/>
      <c r="K160" s="63"/>
      <c r="L160" s="10" t="s">
        <v>3</v>
      </c>
      <c r="M160" s="11"/>
      <c r="O160" s="29">
        <f t="shared" si="4"/>
        <v>164000000000157</v>
      </c>
      <c r="P160" s="30" t="str">
        <f t="shared" si="5"/>
        <v>PERFORM "SchData-OLTP-HumanResource"."Func_TblWorkerCareerInternal_SET"(varSystemLoginSession, null::bigint, null::varchar, null::timestamptz, '9999-12-31 23:59:59+07'::timestamptz, null::varchar, varInstitutionBranchID, varBaseCurrencyID, 32000000000157::bigint, 163000000000003::bigint, 111000000000011::bigint, 160000000000003::bigint, null::varchar, null::timestamptz, '9999-12-31 23:59:59+07'::timestamptz, null::bigint);</v>
      </c>
    </row>
    <row r="161" spans="2:16" x14ac:dyDescent="0.2">
      <c r="B161" s="37">
        <f>IF(EXACT(DataLookUp!$B161, ""), "", DataLookUp!$B161)</f>
        <v>32000000000158</v>
      </c>
      <c r="C161" s="38" t="str">
        <f>MAIN!C161</f>
        <v>Francis Imanuel</v>
      </c>
      <c r="D161" s="91">
        <v>163000000000003</v>
      </c>
      <c r="E161" s="37" t="str">
        <f>IF(EXACT($D161, ""), "", VLOOKUP($D161, [2]DataLookUp!$B$4:$D$15, 2, FALSE ))</f>
        <v>Karyawan Tidak Tetap (Kontrak)</v>
      </c>
      <c r="F161" s="91"/>
      <c r="G161" s="37" t="str">
        <f>IF(EXACT($F161, ""), "", VLOOKUP($F161, 'MAIN - OrgDepartment'!$C$3:$D$104, 2, FALSE))</f>
        <v/>
      </c>
      <c r="H161" s="91"/>
      <c r="I161" s="37" t="str">
        <f>IF(EXACT($H161, ""), "", VLOOKUP($H161, 'MAIN - OrgJobsPos'!$B$2:$C$101, 2, FALSE))</f>
        <v/>
      </c>
      <c r="J161" s="67"/>
      <c r="K161" s="63"/>
      <c r="L161" s="10" t="s">
        <v>7</v>
      </c>
      <c r="M161" s="11"/>
      <c r="O161" s="29">
        <f t="shared" si="4"/>
        <v>164000000000158</v>
      </c>
      <c r="P161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32000000000158::bigint, 163000000000003::bigint, null::bigint, null::bigint, null::varchar, null::timestamptz, '1900-12-31 23:59:59+07'::timestamptz, null::bigint);</v>
      </c>
    </row>
    <row r="162" spans="2:16" x14ac:dyDescent="0.2">
      <c r="B162" s="37">
        <f>IF(EXACT(DataLookUp!$B162, ""), "", DataLookUp!$B162)</f>
        <v>32000000000159</v>
      </c>
      <c r="C162" s="38" t="str">
        <f>MAIN!C162</f>
        <v>Frando Judi Siahaan</v>
      </c>
      <c r="D162" s="91">
        <v>163000000000003</v>
      </c>
      <c r="E162" s="37" t="str">
        <f>IF(EXACT($D162, ""), "", VLOOKUP($D162, [2]DataLookUp!$B$4:$D$15, 2, FALSE ))</f>
        <v>Karyawan Tidak Tetap (Kontrak)</v>
      </c>
      <c r="F162" s="91"/>
      <c r="G162" s="37" t="str">
        <f>IF(EXACT($F162, ""), "", VLOOKUP($F162, 'MAIN - OrgDepartment'!$C$3:$D$104, 2, FALSE))</f>
        <v/>
      </c>
      <c r="H162" s="91"/>
      <c r="I162" s="37" t="str">
        <f>IF(EXACT($H162, ""), "", VLOOKUP($H162, 'MAIN - OrgJobsPos'!$B$2:$C$101, 2, FALSE))</f>
        <v/>
      </c>
      <c r="J162" s="67"/>
      <c r="K162" s="63"/>
      <c r="L162" s="10" t="s">
        <v>3</v>
      </c>
      <c r="M162" s="11"/>
      <c r="O162" s="29">
        <f t="shared" si="4"/>
        <v>164000000000159</v>
      </c>
      <c r="P162" s="30" t="str">
        <f t="shared" si="5"/>
        <v>PERFORM "SchData-OLTP-HumanResource"."Func_TblWorkerCareerInternal_SET"(varSystemLoginSession, null::bigint, null::varchar, null::timestamptz, '9999-12-31 23:59:59+07'::timestamptz, null::varchar, varInstitutionBranchID, varBaseCurrencyID, 32000000000159::bigint, 163000000000003::bigint, null::bigint, null::bigint, null::varchar, null::timestamptz, '9999-12-31 23:59:59+07'::timestamptz, null::bigint);</v>
      </c>
    </row>
    <row r="163" spans="2:16" x14ac:dyDescent="0.2">
      <c r="B163" s="37">
        <f>IF(EXACT(DataLookUp!$B163, ""), "", DataLookUp!$B163)</f>
        <v>32000000000160</v>
      </c>
      <c r="C163" s="38" t="str">
        <f>MAIN!C163</f>
        <v>Frederika Intan</v>
      </c>
      <c r="D163" s="91">
        <v>163000000000003</v>
      </c>
      <c r="E163" s="37" t="str">
        <f>IF(EXACT($D163, ""), "", VLOOKUP($D163, [2]DataLookUp!$B$4:$D$15, 2, FALSE ))</f>
        <v>Karyawan Tidak Tetap (Kontrak)</v>
      </c>
      <c r="F163" s="91"/>
      <c r="G163" s="37" t="str">
        <f>IF(EXACT($F163, ""), "", VLOOKUP($F163, 'MAIN - OrgDepartment'!$C$3:$D$104, 2, FALSE))</f>
        <v/>
      </c>
      <c r="H163" s="91"/>
      <c r="I163" s="37" t="str">
        <f>IF(EXACT($H163, ""), "", VLOOKUP($H163, 'MAIN - OrgJobsPos'!$B$2:$C$101, 2, FALSE))</f>
        <v/>
      </c>
      <c r="J163" s="67"/>
      <c r="K163" s="63"/>
      <c r="L163" s="10" t="s">
        <v>7</v>
      </c>
      <c r="M163" s="11"/>
      <c r="O163" s="29">
        <f t="shared" si="4"/>
        <v>164000000000160</v>
      </c>
      <c r="P163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32000000000160::bigint, 163000000000003::bigint, null::bigint, null::bigint, null::varchar, null::timestamptz, '1900-12-31 23:59:59+07'::timestamptz, null::bigint);</v>
      </c>
    </row>
    <row r="164" spans="2:16" x14ac:dyDescent="0.2">
      <c r="B164" s="37">
        <f>IF(EXACT(DataLookUp!$B164, ""), "", DataLookUp!$B164)</f>
        <v>32000000000161</v>
      </c>
      <c r="C164" s="38" t="str">
        <f>MAIN!C164</f>
        <v>Fuad Febrian</v>
      </c>
      <c r="D164" s="91">
        <v>163000000000003</v>
      </c>
      <c r="E164" s="37" t="str">
        <f>IF(EXACT($D164, ""), "", VLOOKUP($D164, [2]DataLookUp!$B$4:$D$15, 2, FALSE ))</f>
        <v>Karyawan Tidak Tetap (Kontrak)</v>
      </c>
      <c r="F164" s="91"/>
      <c r="G164" s="37" t="str">
        <f>IF(EXACT($F164, ""), "", VLOOKUP($F164, 'MAIN - OrgDepartment'!$C$3:$D$104, 2, FALSE))</f>
        <v/>
      </c>
      <c r="H164" s="91"/>
      <c r="I164" s="37" t="str">
        <f>IF(EXACT($H164, ""), "", VLOOKUP($H164, 'MAIN - OrgJobsPos'!$B$2:$C$101, 2, FALSE))</f>
        <v/>
      </c>
      <c r="J164" s="67"/>
      <c r="K164" s="63"/>
      <c r="L164" s="10" t="s">
        <v>7</v>
      </c>
      <c r="M164" s="11"/>
      <c r="O164" s="29">
        <f t="shared" si="4"/>
        <v>164000000000161</v>
      </c>
      <c r="P16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32000000000161::bigint, 163000000000003::bigint, null::bigint, null::bigint, null::varchar, null::timestamptz, '1900-12-31 23:59:59+07'::timestamptz, null::bigint);</v>
      </c>
    </row>
    <row r="165" spans="2:16" x14ac:dyDescent="0.2">
      <c r="B165" s="37">
        <f>IF(EXACT(DataLookUp!$B165, ""), "", DataLookUp!$B165)</f>
        <v>32000000000162</v>
      </c>
      <c r="C165" s="38" t="str">
        <f>MAIN!C165</f>
        <v>Wiyadianto</v>
      </c>
      <c r="D165" s="91">
        <v>163000000000003</v>
      </c>
      <c r="E165" s="37" t="str">
        <f>IF(EXACT($D165, ""), "", VLOOKUP($D165, [2]DataLookUp!$B$4:$D$15, 2, FALSE ))</f>
        <v>Karyawan Tidak Tetap (Kontrak)</v>
      </c>
      <c r="F165" s="91"/>
      <c r="G165" s="37" t="str">
        <f>IF(EXACT($F165, ""), "", VLOOKUP($F165, 'MAIN - OrgDepartment'!$C$3:$D$104, 2, FALSE))</f>
        <v/>
      </c>
      <c r="H165" s="91"/>
      <c r="I165" s="37" t="str">
        <f>IF(EXACT($H165, ""), "", VLOOKUP($H165, 'MAIN - OrgJobsPos'!$B$2:$C$101, 2, FALSE))</f>
        <v/>
      </c>
      <c r="J165" s="67"/>
      <c r="K165" s="63"/>
      <c r="L165" s="10" t="s">
        <v>7</v>
      </c>
      <c r="M165" s="11"/>
      <c r="O165" s="29">
        <f t="shared" si="4"/>
        <v>164000000000162</v>
      </c>
      <c r="P16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32000000000162::bigint, 163000000000003::bigint, null::bigint, null::bigint, null::varchar, null::timestamptz, '1900-12-31 23:59:59+07'::timestamptz, null::bigint);</v>
      </c>
    </row>
    <row r="166" spans="2:16" x14ac:dyDescent="0.2">
      <c r="B166" s="37">
        <f>IF(EXACT(DataLookUp!$B166, ""), "", DataLookUp!$B166)</f>
        <v>32000000000163</v>
      </c>
      <c r="C166" s="38" t="str">
        <f>MAIN!C166</f>
        <v>Galuh Swastika</v>
      </c>
      <c r="D166" s="91">
        <v>163000000000003</v>
      </c>
      <c r="E166" s="37" t="str">
        <f>IF(EXACT($D166, ""), "", VLOOKUP($D166, [2]DataLookUp!$B$4:$D$15, 2, FALSE ))</f>
        <v>Karyawan Tidak Tetap (Kontrak)</v>
      </c>
      <c r="F166" s="91"/>
      <c r="G166" s="37" t="str">
        <f>IF(EXACT($F166, ""), "", VLOOKUP($F166, 'MAIN - OrgDepartment'!$C$3:$D$104, 2, FALSE))</f>
        <v/>
      </c>
      <c r="H166" s="91"/>
      <c r="I166" s="37" t="str">
        <f>IF(EXACT($H166, ""), "", VLOOKUP($H166, 'MAIN - OrgJobsPos'!$B$2:$C$101, 2, FALSE))</f>
        <v/>
      </c>
      <c r="J166" s="67"/>
      <c r="K166" s="63"/>
      <c r="L166" s="10" t="s">
        <v>7</v>
      </c>
      <c r="M166" s="11"/>
      <c r="O166" s="29">
        <f t="shared" si="4"/>
        <v>164000000000163</v>
      </c>
      <c r="P16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32000000000163::bigint, 163000000000003::bigint, null::bigint, null::bigint, null::varchar, null::timestamptz, '1900-12-31 23:59:59+07'::timestamptz, null::bigint);</v>
      </c>
    </row>
    <row r="167" spans="2:16" x14ac:dyDescent="0.2">
      <c r="B167" s="37">
        <f>IF(EXACT(DataLookUp!$B167, ""), "", DataLookUp!$B167)</f>
        <v>32000000000164</v>
      </c>
      <c r="C167" s="38" t="str">
        <f>MAIN!C167</f>
        <v>Ganda Yuharis R.</v>
      </c>
      <c r="D167" s="91">
        <v>163000000000003</v>
      </c>
      <c r="E167" s="37" t="str">
        <f>IF(EXACT($D167, ""), "", VLOOKUP($D167, [2]DataLookUp!$B$4:$D$15, 2, FALSE ))</f>
        <v>Karyawan Tidak Tetap (Kontrak)</v>
      </c>
      <c r="F167" s="91"/>
      <c r="G167" s="37" t="str">
        <f>IF(EXACT($F167, ""), "", VLOOKUP($F167, 'MAIN - OrgDepartment'!$C$3:$D$104, 2, FALSE))</f>
        <v/>
      </c>
      <c r="H167" s="91"/>
      <c r="I167" s="37" t="str">
        <f>IF(EXACT($H167, ""), "", VLOOKUP($H167, 'MAIN - OrgJobsPos'!$B$2:$C$101, 2, FALSE))</f>
        <v/>
      </c>
      <c r="J167" s="67"/>
      <c r="K167" s="63"/>
      <c r="L167" s="10" t="s">
        <v>7</v>
      </c>
      <c r="M167" s="11"/>
      <c r="O167" s="29">
        <f t="shared" si="4"/>
        <v>164000000000164</v>
      </c>
      <c r="P167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32000000000164::bigint, 163000000000003::bigint, null::bigint, null::bigint, null::varchar, null::timestamptz, '1900-12-31 23:59:59+07'::timestamptz, null::bigint);</v>
      </c>
    </row>
    <row r="168" spans="2:16" x14ac:dyDescent="0.2">
      <c r="B168" s="37">
        <f>IF(EXACT(DataLookUp!$B168, ""), "", DataLookUp!$B168)</f>
        <v>32000000000165</v>
      </c>
      <c r="C168" s="38" t="str">
        <f>MAIN!C168</f>
        <v>Gatot Harsono</v>
      </c>
      <c r="D168" s="91">
        <v>163000000000003</v>
      </c>
      <c r="E168" s="37" t="str">
        <f>IF(EXACT($D168, ""), "", VLOOKUP($D168, [2]DataLookUp!$B$4:$D$15, 2, FALSE ))</f>
        <v>Karyawan Tidak Tetap (Kontrak)</v>
      </c>
      <c r="F168" s="91"/>
      <c r="G168" s="37" t="str">
        <f>IF(EXACT($F168, ""), "", VLOOKUP($F168, 'MAIN - OrgDepartment'!$C$3:$D$104, 2, FALSE))</f>
        <v/>
      </c>
      <c r="H168" s="91"/>
      <c r="I168" s="37" t="str">
        <f>IF(EXACT($H168, ""), "", VLOOKUP($H168, 'MAIN - OrgJobsPos'!$B$2:$C$101, 2, FALSE))</f>
        <v/>
      </c>
      <c r="J168" s="67"/>
      <c r="K168" s="63"/>
      <c r="L168" s="10" t="s">
        <v>7</v>
      </c>
      <c r="M168" s="11"/>
      <c r="O168" s="29">
        <f t="shared" si="4"/>
        <v>164000000000165</v>
      </c>
      <c r="P168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32000000000165::bigint, 163000000000003::bigint, null::bigint, null::bigint, null::varchar, null::timestamptz, '1900-12-31 23:59:59+07'::timestamptz, null::bigint);</v>
      </c>
    </row>
    <row r="169" spans="2:16" x14ac:dyDescent="0.2">
      <c r="B169" s="37">
        <f>IF(EXACT(DataLookUp!$B169, ""), "", DataLookUp!$B169)</f>
        <v>32000000000166</v>
      </c>
      <c r="C169" s="38" t="str">
        <f>MAIN!C169</f>
        <v>Gina Septa</v>
      </c>
      <c r="D169" s="91">
        <v>163000000000003</v>
      </c>
      <c r="E169" s="37" t="str">
        <f>IF(EXACT($D169, ""), "", VLOOKUP($D169, [2]DataLookUp!$B$4:$D$15, 2, FALSE ))</f>
        <v>Karyawan Tidak Tetap (Kontrak)</v>
      </c>
      <c r="F169" s="91"/>
      <c r="G169" s="37" t="str">
        <f>IF(EXACT($F169, ""), "", VLOOKUP($F169, 'MAIN - OrgDepartment'!$C$3:$D$104, 2, FALSE))</f>
        <v/>
      </c>
      <c r="H169" s="91"/>
      <c r="I169" s="37" t="str">
        <f>IF(EXACT($H169, ""), "", VLOOKUP($H169, 'MAIN - OrgJobsPos'!$B$2:$C$101, 2, FALSE))</f>
        <v/>
      </c>
      <c r="J169" s="67"/>
      <c r="K169" s="63"/>
      <c r="L169" s="10" t="s">
        <v>7</v>
      </c>
      <c r="M169" s="11"/>
      <c r="O169" s="29">
        <f t="shared" si="4"/>
        <v>164000000000166</v>
      </c>
      <c r="P169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32000000000166::bigint, 163000000000003::bigint, null::bigint, null::bigint, null::varchar, null::timestamptz, '1900-12-31 23:59:59+07'::timestamptz, null::bigint);</v>
      </c>
    </row>
    <row r="170" spans="2:16" x14ac:dyDescent="0.2">
      <c r="B170" s="37">
        <f>IF(EXACT(DataLookUp!$B170, ""), "", DataLookUp!$B170)</f>
        <v>32000000000167</v>
      </c>
      <c r="C170" s="38" t="str">
        <f>MAIN!C170</f>
        <v>Grace Kurniawan</v>
      </c>
      <c r="D170" s="91">
        <v>163000000000002</v>
      </c>
      <c r="E170" s="37" t="str">
        <f>IF(EXACT($D170, ""), "", VLOOKUP($D170, [2]DataLookUp!$B$4:$D$15, 2, FALSE ))</f>
        <v>Karyawan Tetap (Purna Waktu)</v>
      </c>
      <c r="F170" s="91">
        <v>111000000000004</v>
      </c>
      <c r="G170" s="37" t="str">
        <f>IF(EXACT($F170, ""), "", VLOOKUP($F170, 'MAIN - OrgDepartment'!$C$3:$D$104, 2, FALSE))</f>
        <v>Sales &amp; Marketing</v>
      </c>
      <c r="H170" s="91">
        <v>160000000000008</v>
      </c>
      <c r="I170" s="37" t="str">
        <f>IF(EXACT($H170, ""), "", VLOOKUP($H170, 'MAIN - OrgJobsPos'!$B$2:$C$101, 2, FALSE))</f>
        <v>General Manager</v>
      </c>
      <c r="J170" s="67" t="s">
        <v>192</v>
      </c>
      <c r="K170" s="63"/>
      <c r="L170" s="10" t="s">
        <v>3</v>
      </c>
      <c r="M170" s="11"/>
      <c r="O170" s="29">
        <f t="shared" si="4"/>
        <v>164000000000167</v>
      </c>
      <c r="P170" s="30" t="str">
        <f t="shared" si="5"/>
        <v>PERFORM "SchData-OLTP-HumanResource"."Func_TblWorkerCareerInternal_SET"(varSystemLoginSession, null::bigint, null::varchar, null::timestamptz, '9999-12-31 23:59:59+07'::timestamptz, null::varchar, varInstitutionBranchID, varBaseCurrencyID, 32000000000167::bigint, 163000000000002::bigint, 111000000000004::bigint, 160000000000008::bigint, 'GM Sales'::varchar, null::timestamptz, '9999-12-31 23:59:59+07'::timestamptz, null::bigint);</v>
      </c>
    </row>
    <row r="171" spans="2:16" x14ac:dyDescent="0.2">
      <c r="B171" s="37">
        <f>IF(EXACT(DataLookUp!$B171, ""), "", DataLookUp!$B171)</f>
        <v>32000000000168</v>
      </c>
      <c r="C171" s="38" t="str">
        <f>MAIN!C171</f>
        <v>Gunawan</v>
      </c>
      <c r="D171" s="91">
        <v>163000000000002</v>
      </c>
      <c r="E171" s="37" t="str">
        <f>IF(EXACT($D171, ""), "", VLOOKUP($D171, [2]DataLookUp!$B$4:$D$15, 2, FALSE ))</f>
        <v>Karyawan Tetap (Purna Waktu)</v>
      </c>
      <c r="F171" s="91">
        <v>111000000000007</v>
      </c>
      <c r="G171" s="37" t="str">
        <f>IF(EXACT($F171, ""), "", VLOOKUP($F171, 'MAIN - OrgDepartment'!$C$3:$D$104, 2, FALSE))</f>
        <v>Health Safety Environment</v>
      </c>
      <c r="H171" s="91">
        <v>160000000000004</v>
      </c>
      <c r="I171" s="37" t="str">
        <f>IF(EXACT($H171, ""), "", VLOOKUP($H171, 'MAIN - OrgJobsPos'!$B$2:$C$101, 2, FALSE))</f>
        <v>Supervisor</v>
      </c>
      <c r="J171" s="67" t="s">
        <v>312</v>
      </c>
      <c r="K171" s="63" t="s">
        <v>223</v>
      </c>
      <c r="L171" s="10" t="s">
        <v>3</v>
      </c>
      <c r="M171" s="11"/>
      <c r="O171" s="29">
        <f t="shared" si="4"/>
        <v>164000000000168</v>
      </c>
      <c r="P171" s="30" t="str">
        <f t="shared" si="5"/>
        <v>PERFORM "SchData-OLTP-HumanResource"."Func_TblWorkerCareerInternal_SET"(varSystemLoginSession, null::bigint, null::varchar, '2006-08-07 00:00:00+07'::timestamptz, '9999-12-31 23:59:59+07'::timestamptz, null::varchar, varInstitutionBranchID, varBaseCurrencyID, 32000000000168::bigint, 163000000000002::bigint, 111000000000007::bigint, 160000000000004::bigint, 'QA &amp; HSE Staff'::varchar, '2006-08-07 00:00:00+07'::timestamptz, '9999-12-31 23:59:59+07'::timestamptz, null::bigint);</v>
      </c>
    </row>
    <row r="172" spans="2:16" x14ac:dyDescent="0.2">
      <c r="B172" s="37">
        <f>IF(EXACT(DataLookUp!$B172, ""), "", DataLookUp!$B172)</f>
        <v>32000000000169</v>
      </c>
      <c r="C172" s="38" t="str">
        <f>MAIN!C172</f>
        <v>Gustia Rakhmanita</v>
      </c>
      <c r="D172" s="91">
        <v>163000000000003</v>
      </c>
      <c r="E172" s="37" t="str">
        <f>IF(EXACT($D172, ""), "", VLOOKUP($D172, [2]DataLookUp!$B$4:$D$15, 2, FALSE ))</f>
        <v>Karyawan Tidak Tetap (Kontrak)</v>
      </c>
      <c r="F172" s="91"/>
      <c r="G172" s="37" t="str">
        <f>IF(EXACT($F172, ""), "", VLOOKUP($F172, 'MAIN - OrgDepartment'!$C$3:$D$104, 2, FALSE))</f>
        <v/>
      </c>
      <c r="H172" s="91"/>
      <c r="I172" s="37" t="str">
        <f>IF(EXACT($H172, ""), "", VLOOKUP($H172, 'MAIN - OrgJobsPos'!$B$2:$C$101, 2, FALSE))</f>
        <v/>
      </c>
      <c r="J172" s="67"/>
      <c r="K172" s="63"/>
      <c r="L172" s="10" t="s">
        <v>7</v>
      </c>
      <c r="M172" s="11"/>
      <c r="O172" s="29">
        <f t="shared" si="4"/>
        <v>164000000000169</v>
      </c>
      <c r="P172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32000000000169::bigint, 163000000000003::bigint, null::bigint, null::bigint, null::varchar, null::timestamptz, '1900-12-31 23:59:59+07'::timestamptz, null::bigint);</v>
      </c>
    </row>
    <row r="173" spans="2:16" x14ac:dyDescent="0.2">
      <c r="B173" s="37">
        <f>IF(EXACT(DataLookUp!$B173, ""), "", DataLookUp!$B173)</f>
        <v>32000000000170</v>
      </c>
      <c r="C173" s="38" t="str">
        <f>MAIN!C173</f>
        <v>Habib Abdullah</v>
      </c>
      <c r="D173" s="91">
        <v>163000000000003</v>
      </c>
      <c r="E173" s="37" t="str">
        <f>IF(EXACT($D173, ""), "", VLOOKUP($D173, [2]DataLookUp!$B$4:$D$15, 2, FALSE ))</f>
        <v>Karyawan Tidak Tetap (Kontrak)</v>
      </c>
      <c r="F173" s="91"/>
      <c r="G173" s="37" t="str">
        <f>IF(EXACT($F173, ""), "", VLOOKUP($F173, 'MAIN - OrgDepartment'!$C$3:$D$104, 2, FALSE))</f>
        <v/>
      </c>
      <c r="H173" s="91"/>
      <c r="I173" s="37" t="str">
        <f>IF(EXACT($H173, ""), "", VLOOKUP($H173, 'MAIN - OrgJobsPos'!$B$2:$C$101, 2, FALSE))</f>
        <v/>
      </c>
      <c r="J173" s="67"/>
      <c r="K173" s="63"/>
      <c r="L173" s="10" t="s">
        <v>7</v>
      </c>
      <c r="M173" s="11"/>
      <c r="O173" s="29">
        <f t="shared" si="4"/>
        <v>164000000000170</v>
      </c>
      <c r="P173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32000000000170::bigint, 163000000000003::bigint, null::bigint, null::bigint, null::varchar, null::timestamptz, '1900-12-31 23:59:59+07'::timestamptz, null::bigint);</v>
      </c>
    </row>
    <row r="174" spans="2:16" x14ac:dyDescent="0.2">
      <c r="B174" s="37">
        <f>IF(EXACT(DataLookUp!$B174, ""), "", DataLookUp!$B174)</f>
        <v>32000000000171</v>
      </c>
      <c r="C174" s="38" t="str">
        <f>MAIN!C174</f>
        <v>Hadi Kasmuri</v>
      </c>
      <c r="D174" s="91">
        <v>163000000000003</v>
      </c>
      <c r="E174" s="37" t="str">
        <f>IF(EXACT($D174, ""), "", VLOOKUP($D174, [2]DataLookUp!$B$4:$D$15, 2, FALSE ))</f>
        <v>Karyawan Tidak Tetap (Kontrak)</v>
      </c>
      <c r="F174" s="91"/>
      <c r="G174" s="37" t="str">
        <f>IF(EXACT($F174, ""), "", VLOOKUP($F174, 'MAIN - OrgDepartment'!$C$3:$D$104, 2, FALSE))</f>
        <v/>
      </c>
      <c r="H174" s="91"/>
      <c r="I174" s="37" t="str">
        <f>IF(EXACT($H174, ""), "", VLOOKUP($H174, 'MAIN - OrgJobsPos'!$B$2:$C$101, 2, FALSE))</f>
        <v/>
      </c>
      <c r="J174" s="67"/>
      <c r="K174" s="63"/>
      <c r="L174" s="10" t="s">
        <v>7</v>
      </c>
      <c r="M174" s="11"/>
      <c r="O174" s="29">
        <f t="shared" si="4"/>
        <v>164000000000171</v>
      </c>
      <c r="P17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32000000000171::bigint, 163000000000003::bigint, null::bigint, null::bigint, null::varchar, null::timestamptz, '1900-12-31 23:59:59+07'::timestamptz, null::bigint);</v>
      </c>
    </row>
    <row r="175" spans="2:16" x14ac:dyDescent="0.2">
      <c r="B175" s="37">
        <f>IF(EXACT(DataLookUp!$B175, ""), "", DataLookUp!$B175)</f>
        <v>32000000000172</v>
      </c>
      <c r="C175" s="38" t="str">
        <f>MAIN!C175</f>
        <v>Haikal</v>
      </c>
      <c r="D175" s="91">
        <v>163000000000003</v>
      </c>
      <c r="E175" s="37" t="str">
        <f>IF(EXACT($D175, ""), "", VLOOKUP($D175, [2]DataLookUp!$B$4:$D$15, 2, FALSE ))</f>
        <v>Karyawan Tidak Tetap (Kontrak)</v>
      </c>
      <c r="F175" s="91"/>
      <c r="G175" s="37" t="str">
        <f>IF(EXACT($F175, ""), "", VLOOKUP($F175, 'MAIN - OrgDepartment'!$C$3:$D$104, 2, FALSE))</f>
        <v/>
      </c>
      <c r="H175" s="91"/>
      <c r="I175" s="37" t="str">
        <f>IF(EXACT($H175, ""), "", VLOOKUP($H175, 'MAIN - OrgJobsPos'!$B$2:$C$101, 2, FALSE))</f>
        <v/>
      </c>
      <c r="J175" s="67"/>
      <c r="K175" s="63"/>
      <c r="L175" s="10" t="s">
        <v>7</v>
      </c>
      <c r="M175" s="11"/>
      <c r="O175" s="29">
        <f t="shared" si="4"/>
        <v>164000000000172</v>
      </c>
      <c r="P17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32000000000172::bigint, 163000000000003::bigint, null::bigint, null::bigint, null::varchar, null::timestamptz, '1900-12-31 23:59:59+07'::timestamptz, null::bigint);</v>
      </c>
    </row>
    <row r="176" spans="2:16" x14ac:dyDescent="0.2">
      <c r="B176" s="37">
        <f>IF(EXACT(DataLookUp!$B176, ""), "", DataLookUp!$B176)</f>
        <v>32000000000173</v>
      </c>
      <c r="C176" s="38" t="str">
        <f>MAIN!C176</f>
        <v>Hanantowiryo Tamtama</v>
      </c>
      <c r="D176" s="91">
        <v>163000000000003</v>
      </c>
      <c r="E176" s="37" t="str">
        <f>IF(EXACT($D176, ""), "", VLOOKUP($D176, [2]DataLookUp!$B$4:$D$15, 2, FALSE ))</f>
        <v>Karyawan Tidak Tetap (Kontrak)</v>
      </c>
      <c r="F176" s="91"/>
      <c r="G176" s="37" t="str">
        <f>IF(EXACT($F176, ""), "", VLOOKUP($F176, 'MAIN - OrgDepartment'!$C$3:$D$104, 2, FALSE))</f>
        <v/>
      </c>
      <c r="H176" s="91"/>
      <c r="I176" s="37" t="str">
        <f>IF(EXACT($H176, ""), "", VLOOKUP($H176, 'MAIN - OrgJobsPos'!$B$2:$C$101, 2, FALSE))</f>
        <v/>
      </c>
      <c r="J176" s="67"/>
      <c r="K176" s="63"/>
      <c r="L176" s="10" t="s">
        <v>7</v>
      </c>
      <c r="M176" s="11"/>
      <c r="O176" s="29">
        <f t="shared" si="4"/>
        <v>164000000000173</v>
      </c>
      <c r="P17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32000000000173::bigint, 163000000000003::bigint, null::bigint, null::bigint, null::varchar, null::timestamptz, '1900-12-31 23:59:59+07'::timestamptz, null::bigint);</v>
      </c>
    </row>
    <row r="177" spans="2:16" x14ac:dyDescent="0.2">
      <c r="B177" s="37">
        <f>IF(EXACT(DataLookUp!$B177, ""), "", DataLookUp!$B177)</f>
        <v>32000000000174</v>
      </c>
      <c r="C177" s="38" t="str">
        <f>MAIN!C177</f>
        <v>Handoko</v>
      </c>
      <c r="D177" s="91">
        <v>163000000000003</v>
      </c>
      <c r="E177" s="37" t="str">
        <f>IF(EXACT($D177, ""), "", VLOOKUP($D177, [2]DataLookUp!$B$4:$D$15, 2, FALSE ))</f>
        <v>Karyawan Tidak Tetap (Kontrak)</v>
      </c>
      <c r="F177" s="91"/>
      <c r="G177" s="37" t="str">
        <f>IF(EXACT($F177, ""), "", VLOOKUP($F177, 'MAIN - OrgDepartment'!$C$3:$D$104, 2, FALSE))</f>
        <v/>
      </c>
      <c r="H177" s="91"/>
      <c r="I177" s="37" t="str">
        <f>IF(EXACT($H177, ""), "", VLOOKUP($H177, 'MAIN - OrgJobsPos'!$B$2:$C$101, 2, FALSE))</f>
        <v/>
      </c>
      <c r="J177" s="67"/>
      <c r="K177" s="63"/>
      <c r="L177" s="10" t="s">
        <v>7</v>
      </c>
      <c r="M177" s="11"/>
      <c r="O177" s="29">
        <f t="shared" si="4"/>
        <v>164000000000174</v>
      </c>
      <c r="P177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32000000000174::bigint, 163000000000003::bigint, null::bigint, null::bigint, null::varchar, null::timestamptz, '1900-12-31 23:59:59+07'::timestamptz, null::bigint);</v>
      </c>
    </row>
    <row r="178" spans="2:16" x14ac:dyDescent="0.2">
      <c r="B178" s="37">
        <f>IF(EXACT(DataLookUp!$B178, ""), "", DataLookUp!$B178)</f>
        <v>32000000000175</v>
      </c>
      <c r="C178" s="38" t="str">
        <f>MAIN!C178</f>
        <v>Hanif Ashari</v>
      </c>
      <c r="D178" s="91">
        <v>163000000000003</v>
      </c>
      <c r="E178" s="37" t="str">
        <f>IF(EXACT($D178, ""), "", VLOOKUP($D178, [2]DataLookUp!$B$4:$D$15, 2, FALSE ))</f>
        <v>Karyawan Tidak Tetap (Kontrak)</v>
      </c>
      <c r="F178" s="91"/>
      <c r="G178" s="37" t="str">
        <f>IF(EXACT($F178, ""), "", VLOOKUP($F178, 'MAIN - OrgDepartment'!$C$3:$D$104, 2, FALSE))</f>
        <v/>
      </c>
      <c r="H178" s="91"/>
      <c r="I178" s="37" t="str">
        <f>IF(EXACT($H178, ""), "", VLOOKUP($H178, 'MAIN - OrgJobsPos'!$B$2:$C$101, 2, FALSE))</f>
        <v/>
      </c>
      <c r="J178" s="67"/>
      <c r="K178" s="63"/>
      <c r="L178" s="10" t="s">
        <v>7</v>
      </c>
      <c r="M178" s="11"/>
      <c r="O178" s="29">
        <f t="shared" si="4"/>
        <v>164000000000175</v>
      </c>
      <c r="P178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32000000000175::bigint, 163000000000003::bigint, null::bigint, null::bigint, null::varchar, null::timestamptz, '1900-12-31 23:59:59+07'::timestamptz, null::bigint);</v>
      </c>
    </row>
    <row r="179" spans="2:16" x14ac:dyDescent="0.2">
      <c r="B179" s="37">
        <f>IF(EXACT(DataLookUp!$B179, ""), "", DataLookUp!$B179)</f>
        <v>32000000000176</v>
      </c>
      <c r="C179" s="38" t="str">
        <f>MAIN!C179</f>
        <v>Hanif Eko Saputro</v>
      </c>
      <c r="D179" s="91">
        <v>163000000000003</v>
      </c>
      <c r="E179" s="37" t="str">
        <f>IF(EXACT($D179, ""), "", VLOOKUP($D179, [2]DataLookUp!$B$4:$D$15, 2, FALSE ))</f>
        <v>Karyawan Tidak Tetap (Kontrak)</v>
      </c>
      <c r="F179" s="91"/>
      <c r="G179" s="37" t="str">
        <f>IF(EXACT($F179, ""), "", VLOOKUP($F179, 'MAIN - OrgDepartment'!$C$3:$D$104, 2, FALSE))</f>
        <v/>
      </c>
      <c r="H179" s="91"/>
      <c r="I179" s="37" t="str">
        <f>IF(EXACT($H179, ""), "", VLOOKUP($H179, 'MAIN - OrgJobsPos'!$B$2:$C$101, 2, FALSE))</f>
        <v/>
      </c>
      <c r="J179" s="67"/>
      <c r="K179" s="63"/>
      <c r="L179" s="10" t="s">
        <v>7</v>
      </c>
      <c r="M179" s="11"/>
      <c r="O179" s="29">
        <f t="shared" si="4"/>
        <v>164000000000176</v>
      </c>
      <c r="P179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32000000000176::bigint, 163000000000003::bigint, null::bigint, null::bigint, null::varchar, null::timestamptz, '1900-12-31 23:59:59+07'::timestamptz, null::bigint);</v>
      </c>
    </row>
    <row r="180" spans="2:16" x14ac:dyDescent="0.2">
      <c r="B180" s="37">
        <f>IF(EXACT(DataLookUp!$B180, ""), "", DataLookUp!$B180)</f>
        <v>32000000000177</v>
      </c>
      <c r="C180" s="38" t="str">
        <f>MAIN!C180</f>
        <v>Hardianto</v>
      </c>
      <c r="D180" s="91">
        <v>163000000000003</v>
      </c>
      <c r="E180" s="37" t="str">
        <f>IF(EXACT($D180, ""), "", VLOOKUP($D180, [2]DataLookUp!$B$4:$D$15, 2, FALSE ))</f>
        <v>Karyawan Tidak Tetap (Kontrak)</v>
      </c>
      <c r="F180" s="91"/>
      <c r="G180" s="37" t="str">
        <f>IF(EXACT($F180, ""), "", VLOOKUP($F180, 'MAIN - OrgDepartment'!$C$3:$D$104, 2, FALSE))</f>
        <v/>
      </c>
      <c r="H180" s="91"/>
      <c r="I180" s="37" t="str">
        <f>IF(EXACT($H180, ""), "", VLOOKUP($H180, 'MAIN - OrgJobsPos'!$B$2:$C$101, 2, FALSE))</f>
        <v/>
      </c>
      <c r="J180" s="67"/>
      <c r="K180" s="63"/>
      <c r="L180" s="10" t="s">
        <v>7</v>
      </c>
      <c r="M180" s="11"/>
      <c r="O180" s="29">
        <f t="shared" si="4"/>
        <v>164000000000177</v>
      </c>
      <c r="P180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32000000000177::bigint, 163000000000003::bigint, null::bigint, null::bigint, null::varchar, null::timestamptz, '1900-12-31 23:59:59+07'::timestamptz, null::bigint);</v>
      </c>
    </row>
    <row r="181" spans="2:16" x14ac:dyDescent="0.2">
      <c r="B181" s="37">
        <f>IF(EXACT(DataLookUp!$B181, ""), "", DataLookUp!$B181)</f>
        <v>32000000000178</v>
      </c>
      <c r="C181" s="38" t="str">
        <f>MAIN!C181</f>
        <v>Harlen Amudi Purba</v>
      </c>
      <c r="D181" s="91">
        <v>163000000000003</v>
      </c>
      <c r="E181" s="37" t="str">
        <f>IF(EXACT($D181, ""), "", VLOOKUP($D181, [2]DataLookUp!$B$4:$D$15, 2, FALSE ))</f>
        <v>Karyawan Tidak Tetap (Kontrak)</v>
      </c>
      <c r="F181" s="91"/>
      <c r="G181" s="37" t="str">
        <f>IF(EXACT($F181, ""), "", VLOOKUP($F181, 'MAIN - OrgDepartment'!$C$3:$D$104, 2, FALSE))</f>
        <v/>
      </c>
      <c r="H181" s="91"/>
      <c r="I181" s="37" t="str">
        <f>IF(EXACT($H181, ""), "", VLOOKUP($H181, 'MAIN - OrgJobsPos'!$B$2:$C$101, 2, FALSE))</f>
        <v/>
      </c>
      <c r="J181" s="67"/>
      <c r="K181" s="63"/>
      <c r="L181" s="10" t="s">
        <v>7</v>
      </c>
      <c r="M181" s="11"/>
      <c r="O181" s="29">
        <f t="shared" si="4"/>
        <v>164000000000178</v>
      </c>
      <c r="P181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32000000000178::bigint, 163000000000003::bigint, null::bigint, null::bigint, null::varchar, null::timestamptz, '1900-12-31 23:59:59+07'::timestamptz, null::bigint);</v>
      </c>
    </row>
    <row r="182" spans="2:16" x14ac:dyDescent="0.2">
      <c r="B182" s="37">
        <f>IF(EXACT(DataLookUp!$B182, ""), "", DataLookUp!$B182)</f>
        <v>32000000000179</v>
      </c>
      <c r="C182" s="38" t="str">
        <f>MAIN!C182</f>
        <v>Harry Isnaeni</v>
      </c>
      <c r="D182" s="91">
        <v>163000000000003</v>
      </c>
      <c r="E182" s="37" t="str">
        <f>IF(EXACT($D182, ""), "", VLOOKUP($D182, [2]DataLookUp!$B$4:$D$15, 2, FALSE ))</f>
        <v>Karyawan Tidak Tetap (Kontrak)</v>
      </c>
      <c r="F182" s="91"/>
      <c r="G182" s="37" t="str">
        <f>IF(EXACT($F182, ""), "", VLOOKUP($F182, 'MAIN - OrgDepartment'!$C$3:$D$104, 2, FALSE))</f>
        <v/>
      </c>
      <c r="H182" s="91"/>
      <c r="I182" s="37" t="str">
        <f>IF(EXACT($H182, ""), "", VLOOKUP($H182, 'MAIN - OrgJobsPos'!$B$2:$C$101, 2, FALSE))</f>
        <v/>
      </c>
      <c r="J182" s="67"/>
      <c r="K182" s="63"/>
      <c r="L182" s="10" t="s">
        <v>7</v>
      </c>
      <c r="M182" s="11"/>
      <c r="O182" s="29">
        <f t="shared" si="4"/>
        <v>164000000000179</v>
      </c>
      <c r="P182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32000000000179::bigint, 163000000000003::bigint, null::bigint, null::bigint, null::varchar, null::timestamptz, '1900-12-31 23:59:59+07'::timestamptz, null::bigint);</v>
      </c>
    </row>
    <row r="183" spans="2:16" x14ac:dyDescent="0.2">
      <c r="B183" s="37">
        <f>IF(EXACT(DataLookUp!$B183, ""), "", DataLookUp!$B183)</f>
        <v>32000000000180</v>
      </c>
      <c r="C183" s="38" t="str">
        <f>MAIN!C183</f>
        <v>Hasan Gani</v>
      </c>
      <c r="D183" s="91">
        <v>163000000000003</v>
      </c>
      <c r="E183" s="37" t="str">
        <f>IF(EXACT($D183, ""), "", VLOOKUP($D183, [2]DataLookUp!$B$4:$D$15, 2, FALSE ))</f>
        <v>Karyawan Tidak Tetap (Kontrak)</v>
      </c>
      <c r="F183" s="91"/>
      <c r="G183" s="37" t="str">
        <f>IF(EXACT($F183, ""), "", VLOOKUP($F183, 'MAIN - OrgDepartment'!$C$3:$D$104, 2, FALSE))</f>
        <v/>
      </c>
      <c r="H183" s="91"/>
      <c r="I183" s="37" t="str">
        <f>IF(EXACT($H183, ""), "", VLOOKUP($H183, 'MAIN - OrgJobsPos'!$B$2:$C$101, 2, FALSE))</f>
        <v/>
      </c>
      <c r="J183" s="67"/>
      <c r="K183" s="63"/>
      <c r="L183" s="10" t="s">
        <v>7</v>
      </c>
      <c r="M183" s="11"/>
      <c r="O183" s="29">
        <f t="shared" si="4"/>
        <v>164000000000180</v>
      </c>
      <c r="P183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32000000000180::bigint, 163000000000003::bigint, null::bigint, null::bigint, null::varchar, null::timestamptz, '1900-12-31 23:59:59+07'::timestamptz, null::bigint);</v>
      </c>
    </row>
    <row r="184" spans="2:16" x14ac:dyDescent="0.2">
      <c r="B184" s="37">
        <f>IF(EXACT(DataLookUp!$B184, ""), "", DataLookUp!$B184)</f>
        <v>32000000000181</v>
      </c>
      <c r="C184" s="38" t="str">
        <f>MAIN!C184</f>
        <v>Hasrul</v>
      </c>
      <c r="D184" s="91">
        <v>163000000000003</v>
      </c>
      <c r="E184" s="37" t="str">
        <f>IF(EXACT($D184, ""), "", VLOOKUP($D184, [2]DataLookUp!$B$4:$D$15, 2, FALSE ))</f>
        <v>Karyawan Tidak Tetap (Kontrak)</v>
      </c>
      <c r="F184" s="91"/>
      <c r="G184" s="37" t="str">
        <f>IF(EXACT($F184, ""), "", VLOOKUP($F184, 'MAIN - OrgDepartment'!$C$3:$D$104, 2, FALSE))</f>
        <v/>
      </c>
      <c r="H184" s="91"/>
      <c r="I184" s="37" t="str">
        <f>IF(EXACT($H184, ""), "", VLOOKUP($H184, 'MAIN - OrgJobsPos'!$B$2:$C$101, 2, FALSE))</f>
        <v/>
      </c>
      <c r="J184" s="67"/>
      <c r="K184" s="63"/>
      <c r="L184" s="10" t="s">
        <v>7</v>
      </c>
      <c r="M184" s="11"/>
      <c r="O184" s="29">
        <f t="shared" si="4"/>
        <v>164000000000181</v>
      </c>
      <c r="P18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32000000000181::bigint, 163000000000003::bigint, null::bigint, null::bigint, null::varchar, null::timestamptz, '1900-12-31 23:59:59+07'::timestamptz, null::bigint);</v>
      </c>
    </row>
    <row r="185" spans="2:16" x14ac:dyDescent="0.2">
      <c r="B185" s="37">
        <f>IF(EXACT(DataLookUp!$B185, ""), "", DataLookUp!$B185)</f>
        <v>32000000000182</v>
      </c>
      <c r="C185" s="38" t="str">
        <f>MAIN!C185</f>
        <v>Hendar Pambudi</v>
      </c>
      <c r="D185" s="91">
        <v>163000000000003</v>
      </c>
      <c r="E185" s="37" t="str">
        <f>IF(EXACT($D185, ""), "", VLOOKUP($D185, [2]DataLookUp!$B$4:$D$15, 2, FALSE ))</f>
        <v>Karyawan Tidak Tetap (Kontrak)</v>
      </c>
      <c r="F185" s="91"/>
      <c r="G185" s="37" t="str">
        <f>IF(EXACT($F185, ""), "", VLOOKUP($F185, 'MAIN - OrgDepartment'!$C$3:$D$104, 2, FALSE))</f>
        <v/>
      </c>
      <c r="H185" s="91"/>
      <c r="I185" s="37" t="str">
        <f>IF(EXACT($H185, ""), "", VLOOKUP($H185, 'MAIN - OrgJobsPos'!$B$2:$C$101, 2, FALSE))</f>
        <v/>
      </c>
      <c r="J185" s="67"/>
      <c r="K185" s="63"/>
      <c r="L185" s="10" t="s">
        <v>7</v>
      </c>
      <c r="M185" s="11"/>
      <c r="O185" s="29">
        <f t="shared" si="4"/>
        <v>164000000000182</v>
      </c>
      <c r="P18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32000000000182::bigint, 163000000000003::bigint, null::bigint, null::bigint, null::varchar, null::timestamptz, '1900-12-31 23:59:59+07'::timestamptz, null::bigint);</v>
      </c>
    </row>
    <row r="186" spans="2:16" x14ac:dyDescent="0.2">
      <c r="B186" s="37">
        <f>IF(EXACT(DataLookUp!$B186, ""), "", DataLookUp!$B186)</f>
        <v>32000000000183</v>
      </c>
      <c r="C186" s="38" t="str">
        <f>MAIN!C186</f>
        <v>Hendri Kustian</v>
      </c>
      <c r="D186" s="91">
        <v>163000000000003</v>
      </c>
      <c r="E186" s="37" t="str">
        <f>IF(EXACT($D186, ""), "", VLOOKUP($D186, [2]DataLookUp!$B$4:$D$15, 2, FALSE ))</f>
        <v>Karyawan Tidak Tetap (Kontrak)</v>
      </c>
      <c r="F186" s="91"/>
      <c r="G186" s="37" t="str">
        <f>IF(EXACT($F186, ""), "", VLOOKUP($F186, 'MAIN - OrgDepartment'!$C$3:$D$104, 2, FALSE))</f>
        <v/>
      </c>
      <c r="H186" s="91"/>
      <c r="I186" s="37" t="str">
        <f>IF(EXACT($H186, ""), "", VLOOKUP($H186, 'MAIN - OrgJobsPos'!$B$2:$C$101, 2, FALSE))</f>
        <v/>
      </c>
      <c r="J186" s="67"/>
      <c r="K186" s="63"/>
      <c r="L186" s="10" t="s">
        <v>7</v>
      </c>
      <c r="M186" s="11"/>
      <c r="O186" s="29">
        <f t="shared" si="4"/>
        <v>164000000000183</v>
      </c>
      <c r="P18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32000000000183::bigint, 163000000000003::bigint, null::bigint, null::bigint, null::varchar, null::timestamptz, '1900-12-31 23:59:59+07'::timestamptz, null::bigint);</v>
      </c>
    </row>
    <row r="187" spans="2:16" x14ac:dyDescent="0.2">
      <c r="B187" s="37">
        <f>IF(EXACT(DataLookUp!$B187, ""), "", DataLookUp!$B187)</f>
        <v>32000000000184</v>
      </c>
      <c r="C187" s="38" t="str">
        <f>MAIN!C187</f>
        <v>Hendrik</v>
      </c>
      <c r="D187" s="91">
        <v>163000000000003</v>
      </c>
      <c r="E187" s="37" t="str">
        <f>IF(EXACT($D187, ""), "", VLOOKUP($D187, [2]DataLookUp!$B$4:$D$15, 2, FALSE ))</f>
        <v>Karyawan Tidak Tetap (Kontrak)</v>
      </c>
      <c r="F187" s="91"/>
      <c r="G187" s="37" t="str">
        <f>IF(EXACT($F187, ""), "", VLOOKUP($F187, 'MAIN - OrgDepartment'!$C$3:$D$104, 2, FALSE))</f>
        <v/>
      </c>
      <c r="H187" s="91"/>
      <c r="I187" s="37" t="str">
        <f>IF(EXACT($H187, ""), "", VLOOKUP($H187, 'MAIN - OrgJobsPos'!$B$2:$C$101, 2, FALSE))</f>
        <v/>
      </c>
      <c r="J187" s="67"/>
      <c r="K187" s="63"/>
      <c r="L187" s="10" t="s">
        <v>7</v>
      </c>
      <c r="M187" s="11"/>
      <c r="O187" s="29">
        <f t="shared" si="4"/>
        <v>164000000000184</v>
      </c>
      <c r="P187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32000000000184::bigint, 163000000000003::bigint, null::bigint, null::bigint, null::varchar, null::timestamptz, '1900-12-31 23:59:59+07'::timestamptz, null::bigint);</v>
      </c>
    </row>
    <row r="188" spans="2:16" x14ac:dyDescent="0.2">
      <c r="B188" s="37">
        <f>IF(EXACT(DataLookUp!$B188, ""), "", DataLookUp!$B188)</f>
        <v>32000000000185</v>
      </c>
      <c r="C188" s="38" t="str">
        <f>MAIN!C188</f>
        <v>Herdi Yulia Rohmana</v>
      </c>
      <c r="D188" s="91">
        <v>163000000000003</v>
      </c>
      <c r="E188" s="37" t="str">
        <f>IF(EXACT($D188, ""), "", VLOOKUP($D188, [2]DataLookUp!$B$4:$D$15, 2, FALSE ))</f>
        <v>Karyawan Tidak Tetap (Kontrak)</v>
      </c>
      <c r="F188" s="91"/>
      <c r="G188" s="37" t="str">
        <f>IF(EXACT($F188, ""), "", VLOOKUP($F188, 'MAIN - OrgDepartment'!$C$3:$D$104, 2, FALSE))</f>
        <v/>
      </c>
      <c r="H188" s="91"/>
      <c r="I188" s="37" t="str">
        <f>IF(EXACT($H188, ""), "", VLOOKUP($H188, 'MAIN - OrgJobsPos'!$B$2:$C$101, 2, FALSE))</f>
        <v/>
      </c>
      <c r="J188" s="67"/>
      <c r="K188" s="63"/>
      <c r="L188" s="10" t="s">
        <v>7</v>
      </c>
      <c r="M188" s="11"/>
      <c r="O188" s="29">
        <f t="shared" si="4"/>
        <v>164000000000185</v>
      </c>
      <c r="P188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32000000000185::bigint, 163000000000003::bigint, null::bigint, null::bigint, null::varchar, null::timestamptz, '1900-12-31 23:59:59+07'::timestamptz, null::bigint);</v>
      </c>
    </row>
    <row r="189" spans="2:16" x14ac:dyDescent="0.2">
      <c r="B189" s="37">
        <f>IF(EXACT(DataLookUp!$B189, ""), "", DataLookUp!$B189)</f>
        <v>32000000000186</v>
      </c>
      <c r="C189" s="38" t="str">
        <f>MAIN!C189</f>
        <v>Heri Susanto</v>
      </c>
      <c r="D189" s="91">
        <v>163000000000003</v>
      </c>
      <c r="E189" s="37" t="str">
        <f>IF(EXACT($D189, ""), "", VLOOKUP($D189, [2]DataLookUp!$B$4:$D$15, 2, FALSE ))</f>
        <v>Karyawan Tidak Tetap (Kontrak)</v>
      </c>
      <c r="F189" s="91"/>
      <c r="G189" s="37" t="str">
        <f>IF(EXACT($F189, ""), "", VLOOKUP($F189, 'MAIN - OrgDepartment'!$C$3:$D$104, 2, FALSE))</f>
        <v/>
      </c>
      <c r="H189" s="91"/>
      <c r="I189" s="37" t="str">
        <f>IF(EXACT($H189, ""), "", VLOOKUP($H189, 'MAIN - OrgJobsPos'!$B$2:$C$101, 2, FALSE))</f>
        <v/>
      </c>
      <c r="J189" s="67"/>
      <c r="K189" s="63"/>
      <c r="L189" s="10" t="s">
        <v>7</v>
      </c>
      <c r="M189" s="11"/>
      <c r="O189" s="29">
        <f t="shared" si="4"/>
        <v>164000000000186</v>
      </c>
      <c r="P189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32000000000186::bigint, 163000000000003::bigint, null::bigint, null::bigint, null::varchar, null::timestamptz, '1900-12-31 23:59:59+07'::timestamptz, null::bigint);</v>
      </c>
    </row>
    <row r="190" spans="2:16" x14ac:dyDescent="0.2">
      <c r="B190" s="37">
        <f>IF(EXACT(DataLookUp!$B190, ""), "", DataLookUp!$B190)</f>
        <v>32000000000187</v>
      </c>
      <c r="C190" s="38" t="str">
        <f>MAIN!C190</f>
        <v>Herlin Juli Asri</v>
      </c>
      <c r="D190" s="91">
        <v>163000000000003</v>
      </c>
      <c r="E190" s="37" t="str">
        <f>IF(EXACT($D190, ""), "", VLOOKUP($D190, [2]DataLookUp!$B$4:$D$15, 2, FALSE ))</f>
        <v>Karyawan Tidak Tetap (Kontrak)</v>
      </c>
      <c r="F190" s="91"/>
      <c r="G190" s="37" t="str">
        <f>IF(EXACT($F190, ""), "", VLOOKUP($F190, 'MAIN - OrgDepartment'!$C$3:$D$104, 2, FALSE))</f>
        <v/>
      </c>
      <c r="H190" s="91"/>
      <c r="I190" s="37" t="str">
        <f>IF(EXACT($H190, ""), "", VLOOKUP($H190, 'MAIN - OrgJobsPos'!$B$2:$C$101, 2, FALSE))</f>
        <v/>
      </c>
      <c r="J190" s="67"/>
      <c r="K190" s="63"/>
      <c r="L190" s="10" t="s">
        <v>7</v>
      </c>
      <c r="M190" s="11"/>
      <c r="O190" s="29">
        <f t="shared" si="4"/>
        <v>164000000000187</v>
      </c>
      <c r="P190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32000000000187::bigint, 163000000000003::bigint, null::bigint, null::bigint, null::varchar, null::timestamptz, '1900-12-31 23:59:59+07'::timestamptz, null::bigint);</v>
      </c>
    </row>
    <row r="191" spans="2:16" x14ac:dyDescent="0.2">
      <c r="B191" s="37">
        <f>IF(EXACT(DataLookUp!$B191, ""), "", DataLookUp!$B191)</f>
        <v>32000000000188</v>
      </c>
      <c r="C191" s="38" t="str">
        <f>MAIN!C191</f>
        <v>Herman Budoyo</v>
      </c>
      <c r="D191" s="91">
        <v>163000000000003</v>
      </c>
      <c r="E191" s="37" t="str">
        <f>IF(EXACT($D191, ""), "", VLOOKUP($D191, [2]DataLookUp!$B$4:$D$15, 2, FALSE ))</f>
        <v>Karyawan Tidak Tetap (Kontrak)</v>
      </c>
      <c r="F191" s="91"/>
      <c r="G191" s="37" t="str">
        <f>IF(EXACT($F191, ""), "", VLOOKUP($F191, 'MAIN - OrgDepartment'!$C$3:$D$104, 2, FALSE))</f>
        <v/>
      </c>
      <c r="H191" s="91"/>
      <c r="I191" s="37" t="str">
        <f>IF(EXACT($H191, ""), "", VLOOKUP($H191, 'MAIN - OrgJobsPos'!$B$2:$C$101, 2, FALSE))</f>
        <v/>
      </c>
      <c r="J191" s="67"/>
      <c r="K191" s="63"/>
      <c r="L191" s="10" t="s">
        <v>7</v>
      </c>
      <c r="M191" s="11"/>
      <c r="O191" s="29">
        <f t="shared" si="4"/>
        <v>164000000000188</v>
      </c>
      <c r="P191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32000000000188::bigint, 163000000000003::bigint, null::bigint, null::bigint, null::varchar, null::timestamptz, '1900-12-31 23:59:59+07'::timestamptz, null::bigint);</v>
      </c>
    </row>
    <row r="192" spans="2:16" x14ac:dyDescent="0.2">
      <c r="B192" s="37">
        <f>IF(EXACT(DataLookUp!$B192, ""), "", DataLookUp!$B192)</f>
        <v>32000000000189</v>
      </c>
      <c r="C192" s="38" t="str">
        <f>MAIN!C192</f>
        <v>Herni Yuliati</v>
      </c>
      <c r="D192" s="91">
        <v>163000000000003</v>
      </c>
      <c r="E192" s="37" t="str">
        <f>IF(EXACT($D192, ""), "", VLOOKUP($D192, [2]DataLookUp!$B$4:$D$15, 2, FALSE ))</f>
        <v>Karyawan Tidak Tetap (Kontrak)</v>
      </c>
      <c r="F192" s="91"/>
      <c r="G192" s="37" t="str">
        <f>IF(EXACT($F192, ""), "", VLOOKUP($F192, 'MAIN - OrgDepartment'!$C$3:$D$104, 2, FALSE))</f>
        <v/>
      </c>
      <c r="H192" s="91"/>
      <c r="I192" s="37" t="str">
        <f>IF(EXACT($H192, ""), "", VLOOKUP($H192, 'MAIN - OrgJobsPos'!$B$2:$C$101, 2, FALSE))</f>
        <v/>
      </c>
      <c r="J192" s="67"/>
      <c r="K192" s="63"/>
      <c r="L192" s="10" t="s">
        <v>7</v>
      </c>
      <c r="M192" s="11"/>
      <c r="O192" s="29">
        <f t="shared" si="4"/>
        <v>164000000000189</v>
      </c>
      <c r="P192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32000000000189::bigint, 163000000000003::bigint, null::bigint, null::bigint, null::varchar, null::timestamptz, '1900-12-31 23:59:59+07'::timestamptz, null::bigint);</v>
      </c>
    </row>
    <row r="193" spans="2:16" x14ac:dyDescent="0.2">
      <c r="B193" s="37">
        <f>IF(EXACT(DataLookUp!$B193, ""), "", DataLookUp!$B193)</f>
        <v>32000000000190</v>
      </c>
      <c r="C193" s="38" t="str">
        <f>MAIN!C193</f>
        <v>Hernita Dwi</v>
      </c>
      <c r="D193" s="91">
        <v>163000000000003</v>
      </c>
      <c r="E193" s="37" t="str">
        <f>IF(EXACT($D193, ""), "", VLOOKUP($D193, [2]DataLookUp!$B$4:$D$15, 2, FALSE ))</f>
        <v>Karyawan Tidak Tetap (Kontrak)</v>
      </c>
      <c r="F193" s="91"/>
      <c r="G193" s="37" t="str">
        <f>IF(EXACT($F193, ""), "", VLOOKUP($F193, 'MAIN - OrgDepartment'!$C$3:$D$104, 2, FALSE))</f>
        <v/>
      </c>
      <c r="H193" s="91"/>
      <c r="I193" s="37" t="str">
        <f>IF(EXACT($H193, ""), "", VLOOKUP($H193, 'MAIN - OrgJobsPos'!$B$2:$C$101, 2, FALSE))</f>
        <v/>
      </c>
      <c r="J193" s="67"/>
      <c r="K193" s="63"/>
      <c r="L193" s="10" t="s">
        <v>7</v>
      </c>
      <c r="M193" s="11"/>
      <c r="O193" s="29">
        <f t="shared" si="4"/>
        <v>164000000000190</v>
      </c>
      <c r="P193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32000000000190::bigint, 163000000000003::bigint, null::bigint, null::bigint, null::varchar, null::timestamptz, '1900-12-31 23:59:59+07'::timestamptz, null::bigint);</v>
      </c>
    </row>
    <row r="194" spans="2:16" x14ac:dyDescent="0.2">
      <c r="B194" s="37">
        <f>IF(EXACT(DataLookUp!$B194, ""), "", DataLookUp!$B194)</f>
        <v>32000000000191</v>
      </c>
      <c r="C194" s="38" t="str">
        <f>MAIN!C194</f>
        <v>Herri Setyawan</v>
      </c>
      <c r="D194" s="91">
        <v>163000000000003</v>
      </c>
      <c r="E194" s="37" t="str">
        <f>IF(EXACT($D194, ""), "", VLOOKUP($D194, [2]DataLookUp!$B$4:$D$15, 2, FALSE ))</f>
        <v>Karyawan Tidak Tetap (Kontrak)</v>
      </c>
      <c r="F194" s="91"/>
      <c r="G194" s="37" t="str">
        <f>IF(EXACT($F194, ""), "", VLOOKUP($F194, 'MAIN - OrgDepartment'!$C$3:$D$104, 2, FALSE))</f>
        <v/>
      </c>
      <c r="H194" s="91"/>
      <c r="I194" s="37" t="str">
        <f>IF(EXACT($H194, ""), "", VLOOKUP($H194, 'MAIN - OrgJobsPos'!$B$2:$C$101, 2, FALSE))</f>
        <v/>
      </c>
      <c r="J194" s="67"/>
      <c r="K194" s="63"/>
      <c r="L194" s="10" t="s">
        <v>7</v>
      </c>
      <c r="M194" s="11"/>
      <c r="O194" s="29">
        <f t="shared" si="4"/>
        <v>164000000000191</v>
      </c>
      <c r="P194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32000000000191::bigint, 163000000000003::bigint, null::bigint, null::bigint, null::varchar, null::timestamptz, '1900-12-31 23:59:59+07'::timestamptz, null::bigint);</v>
      </c>
    </row>
    <row r="195" spans="2:16" x14ac:dyDescent="0.2">
      <c r="B195" s="37">
        <f>IF(EXACT(DataLookUp!$B195, ""), "", DataLookUp!$B195)</f>
        <v>32000000000192</v>
      </c>
      <c r="C195" s="38" t="str">
        <f>MAIN!C195</f>
        <v>Heru Sugiri</v>
      </c>
      <c r="D195" s="91">
        <v>163000000000003</v>
      </c>
      <c r="E195" s="37" t="str">
        <f>IF(EXACT($D195, ""), "", VLOOKUP($D195, [2]DataLookUp!$B$4:$D$15, 2, FALSE ))</f>
        <v>Karyawan Tidak Tetap (Kontrak)</v>
      </c>
      <c r="F195" s="91"/>
      <c r="G195" s="37" t="str">
        <f>IF(EXACT($F195, ""), "", VLOOKUP($F195, 'MAIN - OrgDepartment'!$C$3:$D$104, 2, FALSE))</f>
        <v/>
      </c>
      <c r="H195" s="91"/>
      <c r="I195" s="37" t="str">
        <f>IF(EXACT($H195, ""), "", VLOOKUP($H195, 'MAIN - OrgJobsPos'!$B$2:$C$101, 2, FALSE))</f>
        <v/>
      </c>
      <c r="J195" s="67"/>
      <c r="K195" s="63"/>
      <c r="L195" s="10" t="s">
        <v>7</v>
      </c>
      <c r="M195" s="11"/>
      <c r="O195" s="29">
        <f t="shared" si="4"/>
        <v>164000000000192</v>
      </c>
      <c r="P195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32000000000192::bigint, 163000000000003::bigint, null::bigint, null::bigint, null::varchar, null::timestamptz, '1900-12-31 23:59:59+07'::timestamptz, null::bigint);</v>
      </c>
    </row>
    <row r="196" spans="2:16" x14ac:dyDescent="0.2">
      <c r="B196" s="37">
        <f>IF(EXACT(DataLookUp!$B196, ""), "", DataLookUp!$B196)</f>
        <v>32000000000193</v>
      </c>
      <c r="C196" s="38" t="str">
        <f>MAIN!C196</f>
        <v>Hervian Bagus Saputra</v>
      </c>
      <c r="D196" s="91">
        <v>163000000000003</v>
      </c>
      <c r="E196" s="37" t="str">
        <f>IF(EXACT($D196, ""), "", VLOOKUP($D196, [2]DataLookUp!$B$4:$D$15, 2, FALSE ))</f>
        <v>Karyawan Tidak Tetap (Kontrak)</v>
      </c>
      <c r="F196" s="91"/>
      <c r="G196" s="37" t="str">
        <f>IF(EXACT($F196, ""), "", VLOOKUP($F196, 'MAIN - OrgDepartment'!$C$3:$D$104, 2, FALSE))</f>
        <v/>
      </c>
      <c r="H196" s="91"/>
      <c r="I196" s="37" t="str">
        <f>IF(EXACT($H196, ""), "", VLOOKUP($H196, 'MAIN - OrgJobsPos'!$B$2:$C$101, 2, FALSE))</f>
        <v/>
      </c>
      <c r="J196" s="67"/>
      <c r="K196" s="63"/>
      <c r="L196" s="10" t="s">
        <v>7</v>
      </c>
      <c r="M196" s="11"/>
      <c r="O196" s="29">
        <f t="shared" si="4"/>
        <v>164000000000193</v>
      </c>
      <c r="P196" s="30" t="str">
        <f t="shared" si="5"/>
        <v>PERFORM "SchData-OLTP-HumanResource"."Func_TblWorkerCareerInternal_SET"(varSystemLoginSession, null::bigint, null::varchar, null::timestamptz, '1900-12-31 23:59:59+07'::timestamptz, null::varchar, varInstitutionBranchID, varBaseCurrencyID, 32000000000193::bigint, 163000000000003::bigint, null::bigint, null::bigint, null::varchar, null::timestamptz, '1900-12-31 23:59:59+07'::timestamptz, null::bigint);</v>
      </c>
    </row>
    <row r="197" spans="2:16" x14ac:dyDescent="0.2">
      <c r="B197" s="37">
        <f>IF(EXACT(DataLookUp!$B197, ""), "", DataLookUp!$B197)</f>
        <v>32000000000194</v>
      </c>
      <c r="C197" s="38" t="str">
        <f>MAIN!C197</f>
        <v>H.R. Marlina S. T. R.</v>
      </c>
      <c r="D197" s="91">
        <v>163000000000002</v>
      </c>
      <c r="E197" s="37" t="str">
        <f>IF(EXACT($D197, ""), "", VLOOKUP($D197, [2]DataLookUp!$B$4:$D$15, 2, FALSE ))</f>
        <v>Karyawan Tetap (Purna Waktu)</v>
      </c>
      <c r="F197" s="91"/>
      <c r="G197" s="37" t="str">
        <f>IF(EXACT($F197, ""), "", VLOOKUP($F197, 'MAIN - OrgDepartment'!$C$3:$D$104, 2, FALSE))</f>
        <v/>
      </c>
      <c r="H197" s="91"/>
      <c r="I197" s="37" t="str">
        <f>IF(EXACT($H197, ""), "", VLOOKUP($H197, 'MAIN - OrgJobsPos'!$B$2:$C$101, 2, FALSE))</f>
        <v/>
      </c>
      <c r="J197" s="67"/>
      <c r="K197" s="63"/>
      <c r="L197" s="10" t="s">
        <v>7</v>
      </c>
      <c r="M197" s="11"/>
      <c r="O197" s="29">
        <f t="shared" ref="O197:O260" si="6" xml:space="preserve"> O196 + IF(EXACT(P197, ""), 0, 1)</f>
        <v>164000000000194</v>
      </c>
      <c r="P197" s="30" t="str">
        <f t="shared" ref="P197:P260" si="7">CONCATENATE("PERFORM ""SchData-OLTP-HumanResource"".""Func_TblWorkerCareerInternal_SET""(varSystemLoginSession, null::bigint, null::varchar",
CONCATENATE(IF(EXACT($K197, ""), ", null", CONCATENATE(", '", $K197, "'")), "::timestamptz"),
CONCATENATE(IF(EXACT($L197, ""), ", null", CONCATENATE(", '", $L197, "'")), "::timestamptz"),
", null::varchar, varInstitutionBranchID, varBaseCurrencyID",
CONCATENATE(IF(EXACT($B197, ""), ", null", CONCATENATE(", ", $B197, "")), "::bigint"),
CONCATENATE(IF(EXACT($D197, ""), ", null", CONCATENATE(", ", $D197, "")), "::bigint"),
CONCATENATE(IF(EXACT($F197, ""), ", null", CONCATENATE(", ", $F197, "")), "::bigint"),
CONCATENATE(IF(EXACT($H197, ""), ", null", CONCATENATE(", ", $H197, "")), "::bigint"),
CONCATENATE(IF(EXACT($J197, ""), ", null", CONCATENATE(", '", $J197, "'")), "::varchar"),
CONCATENATE(IF(EXACT($K197, ""), ", null", CONCATENATE(", '", $K197, "'")), "::timestamptz"),
CONCATENATE(IF(EXACT($L197, ""), ", null", CONCATENATE(", '", $L197, "'")), "::timestamptz"),
CONCATENATE(IF(EXACT($M197, ""), ", null", CONCATENATE(", ", $M197,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32000000000194::bigint, 163000000000002::bigint, null::bigint, null::bigint, null::varchar, null::timestamptz, '1900-12-31 23:59:59+07'::timestamptz, null::bigint);</v>
      </c>
    </row>
    <row r="198" spans="2:16" x14ac:dyDescent="0.2">
      <c r="B198" s="37">
        <f>IF(EXACT(DataLookUp!$B198, ""), "", DataLookUp!$B198)</f>
        <v>32000000000195</v>
      </c>
      <c r="C198" s="38" t="str">
        <f>MAIN!C198</f>
        <v>Ibrahim Soukani</v>
      </c>
      <c r="D198" s="91">
        <v>163000000000003</v>
      </c>
      <c r="E198" s="37" t="str">
        <f>IF(EXACT($D198, ""), "", VLOOKUP($D198, [2]DataLookUp!$B$4:$D$15, 2, FALSE ))</f>
        <v>Karyawan Tidak Tetap (Kontrak)</v>
      </c>
      <c r="F198" s="91"/>
      <c r="G198" s="37" t="str">
        <f>IF(EXACT($F198, ""), "", VLOOKUP($F198, 'MAIN - OrgDepartment'!$C$3:$D$104, 2, FALSE))</f>
        <v/>
      </c>
      <c r="H198" s="91"/>
      <c r="I198" s="37" t="str">
        <f>IF(EXACT($H198, ""), "", VLOOKUP($H198, 'MAIN - OrgJobsPos'!$B$2:$C$101, 2, FALSE))</f>
        <v/>
      </c>
      <c r="J198" s="67"/>
      <c r="K198" s="63"/>
      <c r="L198" s="10" t="s">
        <v>7</v>
      </c>
      <c r="M198" s="11"/>
      <c r="O198" s="29">
        <f t="shared" si="6"/>
        <v>164000000000195</v>
      </c>
      <c r="P19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32000000000195::bigint, 163000000000003::bigint, null::bigint, null::bigint, null::varchar, null::timestamptz, '1900-12-31 23:59:59+07'::timestamptz, null::bigint);</v>
      </c>
    </row>
    <row r="199" spans="2:16" x14ac:dyDescent="0.2">
      <c r="B199" s="37">
        <f>IF(EXACT(DataLookUp!$B199, ""), "", DataLookUp!$B199)</f>
        <v>32000000000196</v>
      </c>
      <c r="C199" s="38" t="str">
        <f>MAIN!C199</f>
        <v>Icha Mailinda Syamsoedin</v>
      </c>
      <c r="D199" s="91">
        <v>163000000000002</v>
      </c>
      <c r="E199" s="37" t="str">
        <f>IF(EXACT($D199, ""), "", VLOOKUP($D199, [2]DataLookUp!$B$4:$D$15, 2, FALSE ))</f>
        <v>Karyawan Tetap (Purna Waktu)</v>
      </c>
      <c r="F199" s="91">
        <v>111000000000003</v>
      </c>
      <c r="G199" s="37" t="str">
        <f>IF(EXACT($F199, ""), "", VLOOKUP($F199, 'MAIN - OrgDepartment'!$C$3:$D$104, 2, FALSE))</f>
        <v>Information Technology</v>
      </c>
      <c r="H199" s="91">
        <v>160000000000005</v>
      </c>
      <c r="I199" s="37" t="str">
        <f>IF(EXACT($H199, ""), "", VLOOKUP($H199, 'MAIN - OrgJobsPos'!$B$2:$C$101, 2, FALSE))</f>
        <v>Senior Supervisor</v>
      </c>
      <c r="J199" s="67" t="s">
        <v>169</v>
      </c>
      <c r="K199" s="63" t="s">
        <v>224</v>
      </c>
      <c r="L199" s="10" t="s">
        <v>3</v>
      </c>
      <c r="M199" s="11"/>
      <c r="O199" s="29">
        <f t="shared" si="6"/>
        <v>164000000000196</v>
      </c>
      <c r="P199" s="30" t="str">
        <f t="shared" si="7"/>
        <v>PERFORM "SchData-OLTP-HumanResource"."Func_TblWorkerCareerInternal_SET"(varSystemLoginSession, null::bigint, null::varchar, '2015-10-19 00:00:00+07'::timestamptz, '9999-12-31 23:59:59+07'::timestamptz, null::varchar, varInstitutionBranchID, varBaseCurrencyID, 32000000000196::bigint, 163000000000002::bigint, 111000000000003::bigint, 160000000000005::bigint, 'IT Software Engineer'::varchar, '2015-10-19 00:00:00+07'::timestamptz, '9999-12-31 23:59:59+07'::timestamptz, null::bigint);</v>
      </c>
    </row>
    <row r="200" spans="2:16" x14ac:dyDescent="0.2">
      <c r="B200" s="37">
        <f>IF(EXACT(DataLookUp!$B200, ""), "", DataLookUp!$B200)</f>
        <v>32000000000197</v>
      </c>
      <c r="C200" s="38" t="str">
        <f>MAIN!C200</f>
        <v>Ichsanudin</v>
      </c>
      <c r="D200" s="91">
        <v>163000000000003</v>
      </c>
      <c r="E200" s="37" t="str">
        <f>IF(EXACT($D200, ""), "", VLOOKUP($D200, [2]DataLookUp!$B$4:$D$15, 2, FALSE ))</f>
        <v>Karyawan Tidak Tetap (Kontrak)</v>
      </c>
      <c r="F200" s="91"/>
      <c r="G200" s="37" t="str">
        <f>IF(EXACT($F200, ""), "", VLOOKUP($F200, 'MAIN - OrgDepartment'!$C$3:$D$104, 2, FALSE))</f>
        <v/>
      </c>
      <c r="H200" s="91"/>
      <c r="I200" s="37" t="str">
        <f>IF(EXACT($H200, ""), "", VLOOKUP($H200, 'MAIN - OrgJobsPos'!$B$2:$C$101, 2, FALSE))</f>
        <v/>
      </c>
      <c r="J200" s="67"/>
      <c r="K200" s="63"/>
      <c r="L200" s="10" t="s">
        <v>7</v>
      </c>
      <c r="M200" s="11"/>
      <c r="O200" s="29">
        <f t="shared" si="6"/>
        <v>164000000000197</v>
      </c>
      <c r="P200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32000000000197::bigint, 163000000000003::bigint, null::bigint, null::bigint, null::varchar, null::timestamptz, '1900-12-31 23:59:59+07'::timestamptz, null::bigint);</v>
      </c>
    </row>
    <row r="201" spans="2:16" x14ac:dyDescent="0.2">
      <c r="B201" s="37">
        <f>IF(EXACT(DataLookUp!$B201, ""), "", DataLookUp!$B201)</f>
        <v>32000000000198</v>
      </c>
      <c r="C201" s="38" t="str">
        <f>MAIN!C201</f>
        <v>Ida Tri Wulaningsih</v>
      </c>
      <c r="D201" s="91">
        <v>163000000000003</v>
      </c>
      <c r="E201" s="37" t="str">
        <f>IF(EXACT($D201, ""), "", VLOOKUP($D201, [2]DataLookUp!$B$4:$D$15, 2, FALSE ))</f>
        <v>Karyawan Tidak Tetap (Kontrak)</v>
      </c>
      <c r="F201" s="91"/>
      <c r="G201" s="37" t="str">
        <f>IF(EXACT($F201, ""), "", VLOOKUP($F201, 'MAIN - OrgDepartment'!$C$3:$D$104, 2, FALSE))</f>
        <v/>
      </c>
      <c r="H201" s="91"/>
      <c r="I201" s="37" t="str">
        <f>IF(EXACT($H201, ""), "", VLOOKUP($H201, 'MAIN - OrgJobsPos'!$B$2:$C$101, 2, FALSE))</f>
        <v/>
      </c>
      <c r="J201" s="67"/>
      <c r="K201" s="63"/>
      <c r="L201" s="10" t="s">
        <v>7</v>
      </c>
      <c r="M201" s="11"/>
      <c r="O201" s="29">
        <f t="shared" si="6"/>
        <v>164000000000198</v>
      </c>
      <c r="P201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32000000000198::bigint, 163000000000003::bigint, null::bigint, null::bigint, null::varchar, null::timestamptz, '1900-12-31 23:59:59+07'::timestamptz, null::bigint);</v>
      </c>
    </row>
    <row r="202" spans="2:16" x14ac:dyDescent="0.2">
      <c r="B202" s="37">
        <f>IF(EXACT(DataLookUp!$B202, ""), "", DataLookUp!$B202)</f>
        <v>32000000000199</v>
      </c>
      <c r="C202" s="38" t="str">
        <f>MAIN!C202</f>
        <v>Idham</v>
      </c>
      <c r="D202" s="91">
        <v>163000000000003</v>
      </c>
      <c r="E202" s="37" t="str">
        <f>IF(EXACT($D202, ""), "", VLOOKUP($D202, [2]DataLookUp!$B$4:$D$15, 2, FALSE ))</f>
        <v>Karyawan Tidak Tetap (Kontrak)</v>
      </c>
      <c r="F202" s="91"/>
      <c r="G202" s="37" t="str">
        <f>IF(EXACT($F202, ""), "", VLOOKUP($F202, 'MAIN - OrgDepartment'!$C$3:$D$104, 2, FALSE))</f>
        <v/>
      </c>
      <c r="H202" s="91"/>
      <c r="I202" s="37" t="str">
        <f>IF(EXACT($H202, ""), "", VLOOKUP($H202, 'MAIN - OrgJobsPos'!$B$2:$C$101, 2, FALSE))</f>
        <v/>
      </c>
      <c r="J202" s="67"/>
      <c r="K202" s="63"/>
      <c r="L202" s="10" t="s">
        <v>7</v>
      </c>
      <c r="M202" s="11"/>
      <c r="O202" s="29">
        <f t="shared" si="6"/>
        <v>164000000000199</v>
      </c>
      <c r="P202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32000000000199::bigint, 163000000000003::bigint, null::bigint, null::bigint, null::varchar, null::timestamptz, '1900-12-31 23:59:59+07'::timestamptz, null::bigint);</v>
      </c>
    </row>
    <row r="203" spans="2:16" x14ac:dyDescent="0.2">
      <c r="B203" s="37">
        <f>IF(EXACT(DataLookUp!$B203, ""), "", DataLookUp!$B203)</f>
        <v>32000000000200</v>
      </c>
      <c r="C203" s="38" t="str">
        <f>MAIN!C203</f>
        <v>Idham Nasution</v>
      </c>
      <c r="D203" s="91">
        <v>163000000000003</v>
      </c>
      <c r="E203" s="37" t="str">
        <f>IF(EXACT($D203, ""), "", VLOOKUP($D203, [2]DataLookUp!$B$4:$D$15, 2, FALSE ))</f>
        <v>Karyawan Tidak Tetap (Kontrak)</v>
      </c>
      <c r="F203" s="91"/>
      <c r="G203" s="37" t="str">
        <f>IF(EXACT($F203, ""), "", VLOOKUP($F203, 'MAIN - OrgDepartment'!$C$3:$D$104, 2, FALSE))</f>
        <v/>
      </c>
      <c r="H203" s="91"/>
      <c r="I203" s="37" t="str">
        <f>IF(EXACT($H203, ""), "", VLOOKUP($H203, 'MAIN - OrgJobsPos'!$B$2:$C$101, 2, FALSE))</f>
        <v/>
      </c>
      <c r="J203" s="67"/>
      <c r="K203" s="63"/>
      <c r="L203" s="10" t="s">
        <v>7</v>
      </c>
      <c r="M203" s="11"/>
      <c r="O203" s="29">
        <f t="shared" si="6"/>
        <v>164000000000200</v>
      </c>
      <c r="P203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32000000000200::bigint, 163000000000003::bigint, null::bigint, null::bigint, null::varchar, null::timestamptz, '1900-12-31 23:59:59+07'::timestamptz, null::bigint);</v>
      </c>
    </row>
    <row r="204" spans="2:16" x14ac:dyDescent="0.2">
      <c r="B204" s="37">
        <f>IF(EXACT(DataLookUp!$B204, ""), "", DataLookUp!$B204)</f>
        <v>32000000000201</v>
      </c>
      <c r="C204" s="38" t="str">
        <f>MAIN!C204</f>
        <v>Idian</v>
      </c>
      <c r="D204" s="91">
        <v>163000000000003</v>
      </c>
      <c r="E204" s="37" t="str">
        <f>IF(EXACT($D204, ""), "", VLOOKUP($D204, [2]DataLookUp!$B$4:$D$15, 2, FALSE ))</f>
        <v>Karyawan Tidak Tetap (Kontrak)</v>
      </c>
      <c r="F204" s="91"/>
      <c r="G204" s="37" t="str">
        <f>IF(EXACT($F204, ""), "", VLOOKUP($F204, 'MAIN - OrgDepartment'!$C$3:$D$104, 2, FALSE))</f>
        <v/>
      </c>
      <c r="H204" s="91"/>
      <c r="I204" s="37" t="str">
        <f>IF(EXACT($H204, ""), "", VLOOKUP($H204, 'MAIN - OrgJobsPos'!$B$2:$C$101, 2, FALSE))</f>
        <v/>
      </c>
      <c r="J204" s="67"/>
      <c r="K204" s="63"/>
      <c r="L204" s="10" t="s">
        <v>7</v>
      </c>
      <c r="M204" s="11"/>
      <c r="O204" s="29">
        <f t="shared" si="6"/>
        <v>164000000000201</v>
      </c>
      <c r="P204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32000000000201::bigint, 163000000000003::bigint, null::bigint, null::bigint, null::varchar, null::timestamptz, '1900-12-31 23:59:59+07'::timestamptz, null::bigint);</v>
      </c>
    </row>
    <row r="205" spans="2:16" x14ac:dyDescent="0.2">
      <c r="B205" s="37">
        <f>IF(EXACT(DataLookUp!$B205, ""), "", DataLookUp!$B205)</f>
        <v>32000000000202</v>
      </c>
      <c r="C205" s="38" t="str">
        <f>MAIN!C205</f>
        <v>Ikun M. Soedrajat</v>
      </c>
      <c r="D205" s="91">
        <v>163000000000003</v>
      </c>
      <c r="E205" s="37" t="str">
        <f>IF(EXACT($D205, ""), "", VLOOKUP($D205, [2]DataLookUp!$B$4:$D$15, 2, FALSE ))</f>
        <v>Karyawan Tidak Tetap (Kontrak)</v>
      </c>
      <c r="F205" s="91"/>
      <c r="G205" s="37" t="str">
        <f>IF(EXACT($F205, ""), "", VLOOKUP($F205, 'MAIN - OrgDepartment'!$C$3:$D$104, 2, FALSE))</f>
        <v/>
      </c>
      <c r="H205" s="91"/>
      <c r="I205" s="37" t="str">
        <f>IF(EXACT($H205, ""), "", VLOOKUP($H205, 'MAIN - OrgJobsPos'!$B$2:$C$101, 2, FALSE))</f>
        <v/>
      </c>
      <c r="J205" s="67"/>
      <c r="K205" s="63"/>
      <c r="L205" s="10" t="s">
        <v>7</v>
      </c>
      <c r="M205" s="11"/>
      <c r="O205" s="29">
        <f t="shared" si="6"/>
        <v>164000000000202</v>
      </c>
      <c r="P205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32000000000202::bigint, 163000000000003::bigint, null::bigint, null::bigint, null::varchar, null::timestamptz, '1900-12-31 23:59:59+07'::timestamptz, null::bigint);</v>
      </c>
    </row>
    <row r="206" spans="2:16" x14ac:dyDescent="0.2">
      <c r="B206" s="37">
        <f>IF(EXACT(DataLookUp!$B206, ""), "", DataLookUp!$B206)</f>
        <v>32000000000203</v>
      </c>
      <c r="C206" s="38" t="str">
        <f>MAIN!C206</f>
        <v>Ilham Arisyandy</v>
      </c>
      <c r="D206" s="91">
        <v>163000000000003</v>
      </c>
      <c r="E206" s="37" t="str">
        <f>IF(EXACT($D206, ""), "", VLOOKUP($D206, [2]DataLookUp!$B$4:$D$15, 2, FALSE ))</f>
        <v>Karyawan Tidak Tetap (Kontrak)</v>
      </c>
      <c r="F206" s="91"/>
      <c r="G206" s="37" t="str">
        <f>IF(EXACT($F206, ""), "", VLOOKUP($F206, 'MAIN - OrgDepartment'!$C$3:$D$104, 2, FALSE))</f>
        <v/>
      </c>
      <c r="H206" s="91"/>
      <c r="I206" s="37" t="str">
        <f>IF(EXACT($H206, ""), "", VLOOKUP($H206, 'MAIN - OrgJobsPos'!$B$2:$C$101, 2, FALSE))</f>
        <v/>
      </c>
      <c r="J206" s="67"/>
      <c r="K206" s="63"/>
      <c r="L206" s="10" t="s">
        <v>7</v>
      </c>
      <c r="M206" s="11"/>
      <c r="O206" s="29">
        <f t="shared" si="6"/>
        <v>164000000000203</v>
      </c>
      <c r="P206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32000000000203::bigint, 163000000000003::bigint, null::bigint, null::bigint, null::varchar, null::timestamptz, '1900-12-31 23:59:59+07'::timestamptz, null::bigint);</v>
      </c>
    </row>
    <row r="207" spans="2:16" x14ac:dyDescent="0.2">
      <c r="B207" s="37">
        <f>IF(EXACT(DataLookUp!$B207, ""), "", DataLookUp!$B207)</f>
        <v>32000000000204</v>
      </c>
      <c r="C207" s="38" t="str">
        <f>MAIN!C207</f>
        <v>Ilham Akbar</v>
      </c>
      <c r="D207" s="91">
        <v>163000000000003</v>
      </c>
      <c r="E207" s="37" t="str">
        <f>IF(EXACT($D207, ""), "", VLOOKUP($D207, [2]DataLookUp!$B$4:$D$15, 2, FALSE ))</f>
        <v>Karyawan Tidak Tetap (Kontrak)</v>
      </c>
      <c r="F207" s="91"/>
      <c r="G207" s="37" t="str">
        <f>IF(EXACT($F207, ""), "", VLOOKUP($F207, 'MAIN - OrgDepartment'!$C$3:$D$104, 2, FALSE))</f>
        <v/>
      </c>
      <c r="H207" s="91"/>
      <c r="I207" s="37" t="str">
        <f>IF(EXACT($H207, ""), "", VLOOKUP($H207, 'MAIN - OrgJobsPos'!$B$2:$C$101, 2, FALSE))</f>
        <v/>
      </c>
      <c r="J207" s="67"/>
      <c r="K207" s="63"/>
      <c r="L207" s="10" t="s">
        <v>7</v>
      </c>
      <c r="M207" s="11"/>
      <c r="O207" s="29">
        <f t="shared" si="6"/>
        <v>164000000000204</v>
      </c>
      <c r="P207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32000000000204::bigint, 163000000000003::bigint, null::bigint, null::bigint, null::varchar, null::timestamptz, '1900-12-31 23:59:59+07'::timestamptz, null::bigint);</v>
      </c>
    </row>
    <row r="208" spans="2:16" x14ac:dyDescent="0.2">
      <c r="B208" s="37">
        <f>IF(EXACT(DataLookUp!$B208, ""), "", DataLookUp!$B208)</f>
        <v>32000000000205</v>
      </c>
      <c r="C208" s="38" t="str">
        <f>MAIN!C208</f>
        <v>Imam Basuki</v>
      </c>
      <c r="D208" s="91">
        <v>163000000000003</v>
      </c>
      <c r="E208" s="37" t="str">
        <f>IF(EXACT($D208, ""), "", VLOOKUP($D208, [2]DataLookUp!$B$4:$D$15, 2, FALSE ))</f>
        <v>Karyawan Tidak Tetap (Kontrak)</v>
      </c>
      <c r="F208" s="91"/>
      <c r="G208" s="37" t="str">
        <f>IF(EXACT($F208, ""), "", VLOOKUP($F208, 'MAIN - OrgDepartment'!$C$3:$D$104, 2, FALSE))</f>
        <v/>
      </c>
      <c r="H208" s="91"/>
      <c r="I208" s="37" t="str">
        <f>IF(EXACT($H208, ""), "", VLOOKUP($H208, 'MAIN - OrgJobsPos'!$B$2:$C$101, 2, FALSE))</f>
        <v/>
      </c>
      <c r="J208" s="67"/>
      <c r="K208" s="63"/>
      <c r="L208" s="10" t="s">
        <v>7</v>
      </c>
      <c r="M208" s="11"/>
      <c r="O208" s="29">
        <f t="shared" si="6"/>
        <v>164000000000205</v>
      </c>
      <c r="P20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32000000000205::bigint, 163000000000003::bigint, null::bigint, null::bigint, null::varchar, null::timestamptz, '1900-12-31 23:59:59+07'::timestamptz, null::bigint);</v>
      </c>
    </row>
    <row r="209" spans="2:16" x14ac:dyDescent="0.2">
      <c r="B209" s="37">
        <f>IF(EXACT(DataLookUp!$B209, ""), "", DataLookUp!$B209)</f>
        <v>32000000000206</v>
      </c>
      <c r="C209" s="38" t="str">
        <f>MAIN!C209</f>
        <v>Imam Mustofa</v>
      </c>
      <c r="D209" s="91">
        <v>163000000000003</v>
      </c>
      <c r="E209" s="37" t="str">
        <f>IF(EXACT($D209, ""), "", VLOOKUP($D209, [2]DataLookUp!$B$4:$D$15, 2, FALSE ))</f>
        <v>Karyawan Tidak Tetap (Kontrak)</v>
      </c>
      <c r="F209" s="91"/>
      <c r="G209" s="37" t="str">
        <f>IF(EXACT($F209, ""), "", VLOOKUP($F209, 'MAIN - OrgDepartment'!$C$3:$D$104, 2, FALSE))</f>
        <v/>
      </c>
      <c r="H209" s="91"/>
      <c r="I209" s="37" t="str">
        <f>IF(EXACT($H209, ""), "", VLOOKUP($H209, 'MAIN - OrgJobsPos'!$B$2:$C$101, 2, FALSE))</f>
        <v/>
      </c>
      <c r="J209" s="67"/>
      <c r="K209" s="63"/>
      <c r="L209" s="10" t="s">
        <v>7</v>
      </c>
      <c r="M209" s="11"/>
      <c r="O209" s="29">
        <f t="shared" si="6"/>
        <v>164000000000206</v>
      </c>
      <c r="P209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32000000000206::bigint, 163000000000003::bigint, null::bigint, null::bigint, null::varchar, null::timestamptz, '1900-12-31 23:59:59+07'::timestamptz, null::bigint);</v>
      </c>
    </row>
    <row r="210" spans="2:16" x14ac:dyDescent="0.2">
      <c r="B210" s="37">
        <f>IF(EXACT(DataLookUp!$B210, ""), "", DataLookUp!$B210)</f>
        <v>32000000000207</v>
      </c>
      <c r="C210" s="38" t="str">
        <f>MAIN!C210</f>
        <v>Imam Safiiy</v>
      </c>
      <c r="D210" s="91">
        <v>163000000000003</v>
      </c>
      <c r="E210" s="37" t="str">
        <f>IF(EXACT($D210, ""), "", VLOOKUP($D210, [2]DataLookUp!$B$4:$D$15, 2, FALSE ))</f>
        <v>Karyawan Tidak Tetap (Kontrak)</v>
      </c>
      <c r="F210" s="91"/>
      <c r="G210" s="37" t="str">
        <f>IF(EXACT($F210, ""), "", VLOOKUP($F210, 'MAIN - OrgDepartment'!$C$3:$D$104, 2, FALSE))</f>
        <v/>
      </c>
      <c r="H210" s="91"/>
      <c r="I210" s="37" t="str">
        <f>IF(EXACT($H210, ""), "", VLOOKUP($H210, 'MAIN - OrgJobsPos'!$B$2:$C$101, 2, FALSE))</f>
        <v/>
      </c>
      <c r="J210" s="67"/>
      <c r="K210" s="63"/>
      <c r="L210" s="10" t="s">
        <v>7</v>
      </c>
      <c r="M210" s="11"/>
      <c r="O210" s="29">
        <f t="shared" si="6"/>
        <v>164000000000207</v>
      </c>
      <c r="P210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32000000000207::bigint, 163000000000003::bigint, null::bigint, null::bigint, null::varchar, null::timestamptz, '1900-12-31 23:59:59+07'::timestamptz, null::bigint);</v>
      </c>
    </row>
    <row r="211" spans="2:16" x14ac:dyDescent="0.2">
      <c r="B211" s="37">
        <f>IF(EXACT(DataLookUp!$B211, ""), "", DataLookUp!$B211)</f>
        <v>32000000000208</v>
      </c>
      <c r="C211" s="38" t="str">
        <f>MAIN!C211</f>
        <v>Iman Hakiki</v>
      </c>
      <c r="D211" s="91">
        <v>163000000000003</v>
      </c>
      <c r="E211" s="37" t="str">
        <f>IF(EXACT($D211, ""), "", VLOOKUP($D211, [2]DataLookUp!$B$4:$D$15, 2, FALSE ))</f>
        <v>Karyawan Tidak Tetap (Kontrak)</v>
      </c>
      <c r="F211" s="91"/>
      <c r="G211" s="37" t="str">
        <f>IF(EXACT($F211, ""), "", VLOOKUP($F211, 'MAIN - OrgDepartment'!$C$3:$D$104, 2, FALSE))</f>
        <v/>
      </c>
      <c r="H211" s="91"/>
      <c r="I211" s="37" t="str">
        <f>IF(EXACT($H211, ""), "", VLOOKUP($H211, 'MAIN - OrgJobsPos'!$B$2:$C$101, 2, FALSE))</f>
        <v/>
      </c>
      <c r="J211" s="67"/>
      <c r="K211" s="63"/>
      <c r="L211" s="10" t="s">
        <v>7</v>
      </c>
      <c r="M211" s="11"/>
      <c r="O211" s="29">
        <f t="shared" si="6"/>
        <v>164000000000208</v>
      </c>
      <c r="P211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32000000000208::bigint, 163000000000003::bigint, null::bigint, null::bigint, null::varchar, null::timestamptz, '1900-12-31 23:59:59+07'::timestamptz, null::bigint);</v>
      </c>
    </row>
    <row r="212" spans="2:16" x14ac:dyDescent="0.2">
      <c r="B212" s="37">
        <f>IF(EXACT(DataLookUp!$B212, ""), "", DataLookUp!$B212)</f>
        <v>32000000000209</v>
      </c>
      <c r="C212" s="38" t="str">
        <f>MAIN!C212</f>
        <v>Imelda Claudia</v>
      </c>
      <c r="D212" s="91">
        <v>163000000000003</v>
      </c>
      <c r="E212" s="37" t="str">
        <f>IF(EXACT($D212, ""), "", VLOOKUP($D212, [2]DataLookUp!$B$4:$D$15, 2, FALSE ))</f>
        <v>Karyawan Tidak Tetap (Kontrak)</v>
      </c>
      <c r="F212" s="91"/>
      <c r="G212" s="37" t="str">
        <f>IF(EXACT($F212, ""), "", VLOOKUP($F212, 'MAIN - OrgDepartment'!$C$3:$D$104, 2, FALSE))</f>
        <v/>
      </c>
      <c r="H212" s="91"/>
      <c r="I212" s="37" t="str">
        <f>IF(EXACT($H212, ""), "", VLOOKUP($H212, 'MAIN - OrgJobsPos'!$B$2:$C$101, 2, FALSE))</f>
        <v/>
      </c>
      <c r="J212" s="67"/>
      <c r="K212" s="63"/>
      <c r="L212" s="10" t="s">
        <v>7</v>
      </c>
      <c r="M212" s="11"/>
      <c r="O212" s="29">
        <f t="shared" si="6"/>
        <v>164000000000209</v>
      </c>
      <c r="P212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32000000000209::bigint, 163000000000003::bigint, null::bigint, null::bigint, null::varchar, null::timestamptz, '1900-12-31 23:59:59+07'::timestamptz, null::bigint);</v>
      </c>
    </row>
    <row r="213" spans="2:16" x14ac:dyDescent="0.2">
      <c r="B213" s="37">
        <f>IF(EXACT(DataLookUp!$B213, ""), "", DataLookUp!$B213)</f>
        <v>32000000000210</v>
      </c>
      <c r="C213" s="38" t="str">
        <f>MAIN!C213</f>
        <v>Indawan Haryadi</v>
      </c>
      <c r="D213" s="91">
        <v>163000000000003</v>
      </c>
      <c r="E213" s="37" t="str">
        <f>IF(EXACT($D213, ""), "", VLOOKUP($D213, [2]DataLookUp!$B$4:$D$15, 2, FALSE ))</f>
        <v>Karyawan Tidak Tetap (Kontrak)</v>
      </c>
      <c r="F213" s="91"/>
      <c r="G213" s="37" t="str">
        <f>IF(EXACT($F213, ""), "", VLOOKUP($F213, 'MAIN - OrgDepartment'!$C$3:$D$104, 2, FALSE))</f>
        <v/>
      </c>
      <c r="H213" s="91"/>
      <c r="I213" s="37" t="str">
        <f>IF(EXACT($H213, ""), "", VLOOKUP($H213, 'MAIN - OrgJobsPos'!$B$2:$C$101, 2, FALSE))</f>
        <v/>
      </c>
      <c r="J213" s="67"/>
      <c r="K213" s="63"/>
      <c r="L213" s="10" t="s">
        <v>7</v>
      </c>
      <c r="M213" s="11"/>
      <c r="O213" s="29">
        <f t="shared" si="6"/>
        <v>164000000000210</v>
      </c>
      <c r="P213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32000000000210::bigint, 163000000000003::bigint, null::bigint, null::bigint, null::varchar, null::timestamptz, '1900-12-31 23:59:59+07'::timestamptz, null::bigint);</v>
      </c>
    </row>
    <row r="214" spans="2:16" x14ac:dyDescent="0.2">
      <c r="B214" s="37">
        <f>IF(EXACT(DataLookUp!$B214, ""), "", DataLookUp!$B214)</f>
        <v>32000000000211</v>
      </c>
      <c r="C214" s="38" t="str">
        <f>MAIN!C214</f>
        <v>Indra Jaya</v>
      </c>
      <c r="D214" s="91">
        <v>163000000000003</v>
      </c>
      <c r="E214" s="37" t="str">
        <f>IF(EXACT($D214, ""), "", VLOOKUP($D214, [2]DataLookUp!$B$4:$D$15, 2, FALSE ))</f>
        <v>Karyawan Tidak Tetap (Kontrak)</v>
      </c>
      <c r="F214" s="91"/>
      <c r="G214" s="37" t="str">
        <f>IF(EXACT($F214, ""), "", VLOOKUP($F214, 'MAIN - OrgDepartment'!$C$3:$D$104, 2, FALSE))</f>
        <v/>
      </c>
      <c r="H214" s="91"/>
      <c r="I214" s="37" t="str">
        <f>IF(EXACT($H214, ""), "", VLOOKUP($H214, 'MAIN - OrgJobsPos'!$B$2:$C$101, 2, FALSE))</f>
        <v/>
      </c>
      <c r="J214" s="67"/>
      <c r="K214" s="63"/>
      <c r="L214" s="10" t="s">
        <v>7</v>
      </c>
      <c r="M214" s="11"/>
      <c r="O214" s="29">
        <f t="shared" si="6"/>
        <v>164000000000211</v>
      </c>
      <c r="P214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32000000000211::bigint, 163000000000003::bigint, null::bigint, null::bigint, null::varchar, null::timestamptz, '1900-12-31 23:59:59+07'::timestamptz, null::bigint);</v>
      </c>
    </row>
    <row r="215" spans="2:16" x14ac:dyDescent="0.2">
      <c r="B215" s="37">
        <f>IF(EXACT(DataLookUp!$B215, ""), "", DataLookUp!$B215)</f>
        <v>32000000000212</v>
      </c>
      <c r="C215" s="38" t="str">
        <f>MAIN!C215</f>
        <v>Indra Muchtar</v>
      </c>
      <c r="D215" s="91">
        <v>163000000000003</v>
      </c>
      <c r="E215" s="37" t="str">
        <f>IF(EXACT($D215, ""), "", VLOOKUP($D215, [2]DataLookUp!$B$4:$D$15, 2, FALSE ))</f>
        <v>Karyawan Tidak Tetap (Kontrak)</v>
      </c>
      <c r="F215" s="91"/>
      <c r="G215" s="37" t="str">
        <f>IF(EXACT($F215, ""), "", VLOOKUP($F215, 'MAIN - OrgDepartment'!$C$3:$D$104, 2, FALSE))</f>
        <v/>
      </c>
      <c r="H215" s="91"/>
      <c r="I215" s="37" t="str">
        <f>IF(EXACT($H215, ""), "", VLOOKUP($H215, 'MAIN - OrgJobsPos'!$B$2:$C$101, 2, FALSE))</f>
        <v/>
      </c>
      <c r="J215" s="67"/>
      <c r="K215" s="63"/>
      <c r="L215" s="10" t="s">
        <v>7</v>
      </c>
      <c r="M215" s="11"/>
      <c r="O215" s="29">
        <f t="shared" si="6"/>
        <v>164000000000212</v>
      </c>
      <c r="P215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32000000000212::bigint, 163000000000003::bigint, null::bigint, null::bigint, null::varchar, null::timestamptz, '1900-12-31 23:59:59+07'::timestamptz, null::bigint);</v>
      </c>
    </row>
    <row r="216" spans="2:16" x14ac:dyDescent="0.2">
      <c r="B216" s="37">
        <f>IF(EXACT(DataLookUp!$B216, ""), "", DataLookUp!$B216)</f>
        <v>32000000000213</v>
      </c>
      <c r="C216" s="38" t="str">
        <f>MAIN!C216</f>
        <v>Irvan</v>
      </c>
      <c r="D216" s="91">
        <v>163000000000003</v>
      </c>
      <c r="E216" s="37" t="str">
        <f>IF(EXACT($D216, ""), "", VLOOKUP($D216, [2]DataLookUp!$B$4:$D$15, 2, FALSE ))</f>
        <v>Karyawan Tidak Tetap (Kontrak)</v>
      </c>
      <c r="F216" s="91"/>
      <c r="G216" s="37" t="str">
        <f>IF(EXACT($F216, ""), "", VLOOKUP($F216, 'MAIN - OrgDepartment'!$C$3:$D$104, 2, FALSE))</f>
        <v/>
      </c>
      <c r="H216" s="91"/>
      <c r="I216" s="37" t="str">
        <f>IF(EXACT($H216, ""), "", VLOOKUP($H216, 'MAIN - OrgJobsPos'!$B$2:$C$101, 2, FALSE))</f>
        <v/>
      </c>
      <c r="J216" s="67"/>
      <c r="K216" s="63"/>
      <c r="L216" s="10" t="s">
        <v>7</v>
      </c>
      <c r="M216" s="11"/>
      <c r="O216" s="29">
        <f t="shared" si="6"/>
        <v>164000000000213</v>
      </c>
      <c r="P216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32000000000213::bigint, 163000000000003::bigint, null::bigint, null::bigint, null::varchar, null::timestamptz, '1900-12-31 23:59:59+07'::timestamptz, null::bigint);</v>
      </c>
    </row>
    <row r="217" spans="2:16" x14ac:dyDescent="0.2">
      <c r="B217" s="37">
        <f>IF(EXACT(DataLookUp!$B217, ""), "", DataLookUp!$B217)</f>
        <v>32000000000214</v>
      </c>
      <c r="C217" s="38" t="str">
        <f>MAIN!C217</f>
        <v>Irvan Agus Dharma Eka Putra</v>
      </c>
      <c r="D217" s="91">
        <v>163000000000003</v>
      </c>
      <c r="E217" s="37" t="str">
        <f>IF(EXACT($D217, ""), "", VLOOKUP($D217, [2]DataLookUp!$B$4:$D$15, 2, FALSE ))</f>
        <v>Karyawan Tidak Tetap (Kontrak)</v>
      </c>
      <c r="F217" s="91"/>
      <c r="G217" s="37" t="str">
        <f>IF(EXACT($F217, ""), "", VLOOKUP($F217, 'MAIN - OrgDepartment'!$C$3:$D$104, 2, FALSE))</f>
        <v/>
      </c>
      <c r="H217" s="91"/>
      <c r="I217" s="37" t="str">
        <f>IF(EXACT($H217, ""), "", VLOOKUP($H217, 'MAIN - OrgJobsPos'!$B$2:$C$101, 2, FALSE))</f>
        <v/>
      </c>
      <c r="J217" s="67"/>
      <c r="K217" s="63"/>
      <c r="L217" s="10" t="s">
        <v>7</v>
      </c>
      <c r="M217" s="11"/>
      <c r="O217" s="29">
        <f t="shared" si="6"/>
        <v>164000000000214</v>
      </c>
      <c r="P217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32000000000214::bigint, 163000000000003::bigint, null::bigint, null::bigint, null::varchar, null::timestamptz, '1900-12-31 23:59:59+07'::timestamptz, null::bigint);</v>
      </c>
    </row>
    <row r="218" spans="2:16" x14ac:dyDescent="0.2">
      <c r="B218" s="37">
        <f>IF(EXACT(DataLookUp!$B218, ""), "", DataLookUp!$B218)</f>
        <v>32000000000215</v>
      </c>
      <c r="C218" s="38" t="str">
        <f>MAIN!C218</f>
        <v>Irwan</v>
      </c>
      <c r="D218" s="91">
        <v>163000000000002</v>
      </c>
      <c r="E218" s="37" t="str">
        <f>IF(EXACT($D218, ""), "", VLOOKUP($D218, [2]DataLookUp!$B$4:$D$15, 2, FALSE ))</f>
        <v>Karyawan Tetap (Purna Waktu)</v>
      </c>
      <c r="F218" s="91"/>
      <c r="G218" s="37" t="str">
        <f>IF(EXACT($F218, ""), "", VLOOKUP($F218, 'MAIN - OrgDepartment'!$C$3:$D$104, 2, FALSE))</f>
        <v/>
      </c>
      <c r="H218" s="91"/>
      <c r="I218" s="37" t="str">
        <f>IF(EXACT($H218, ""), "", VLOOKUP($H218, 'MAIN - OrgJobsPos'!$B$2:$C$101, 2, FALSE))</f>
        <v/>
      </c>
      <c r="J218" s="67"/>
      <c r="K218" s="63"/>
      <c r="L218" s="10" t="s">
        <v>7</v>
      </c>
      <c r="M218" s="11"/>
      <c r="O218" s="29">
        <f t="shared" si="6"/>
        <v>164000000000215</v>
      </c>
      <c r="P21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32000000000215::bigint, 163000000000002::bigint, null::bigint, null::bigint, null::varchar, null::timestamptz, '1900-12-31 23:59:59+07'::timestamptz, null::bigint);</v>
      </c>
    </row>
    <row r="219" spans="2:16" x14ac:dyDescent="0.2">
      <c r="B219" s="37">
        <f>IF(EXACT(DataLookUp!$B219, ""), "", DataLookUp!$B219)</f>
        <v>32000000000216</v>
      </c>
      <c r="C219" s="38" t="str">
        <f>MAIN!C219</f>
        <v>Isa Anshori</v>
      </c>
      <c r="D219" s="91">
        <v>163000000000003</v>
      </c>
      <c r="E219" s="37" t="str">
        <f>IF(EXACT($D219, ""), "", VLOOKUP($D219, [2]DataLookUp!$B$4:$D$15, 2, FALSE ))</f>
        <v>Karyawan Tidak Tetap (Kontrak)</v>
      </c>
      <c r="F219" s="91"/>
      <c r="G219" s="37" t="str">
        <f>IF(EXACT($F219, ""), "", VLOOKUP($F219, 'MAIN - OrgDepartment'!$C$3:$D$104, 2, FALSE))</f>
        <v/>
      </c>
      <c r="H219" s="91"/>
      <c r="I219" s="37" t="str">
        <f>IF(EXACT($H219, ""), "", VLOOKUP($H219, 'MAIN - OrgJobsPos'!$B$2:$C$101, 2, FALSE))</f>
        <v/>
      </c>
      <c r="J219" s="67"/>
      <c r="K219" s="63"/>
      <c r="L219" s="10" t="s">
        <v>7</v>
      </c>
      <c r="M219" s="11"/>
      <c r="O219" s="29">
        <f t="shared" si="6"/>
        <v>164000000000216</v>
      </c>
      <c r="P219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32000000000216::bigint, 163000000000003::bigint, null::bigint, null::bigint, null::varchar, null::timestamptz, '1900-12-31 23:59:59+07'::timestamptz, null::bigint);</v>
      </c>
    </row>
    <row r="220" spans="2:16" x14ac:dyDescent="0.2">
      <c r="B220" s="37">
        <f>IF(EXACT(DataLookUp!$B220, ""), "", DataLookUp!$B220)</f>
        <v>32000000000217</v>
      </c>
      <c r="C220" s="38" t="str">
        <f>MAIN!C220</f>
        <v>Isa Taufiq</v>
      </c>
      <c r="D220" s="91">
        <v>163000000000003</v>
      </c>
      <c r="E220" s="37" t="str">
        <f>IF(EXACT($D220, ""), "", VLOOKUP($D220, [2]DataLookUp!$B$4:$D$15, 2, FALSE ))</f>
        <v>Karyawan Tidak Tetap (Kontrak)</v>
      </c>
      <c r="F220" s="91"/>
      <c r="G220" s="37" t="str">
        <f>IF(EXACT($F220, ""), "", VLOOKUP($F220, 'MAIN - OrgDepartment'!$C$3:$D$104, 2, FALSE))</f>
        <v/>
      </c>
      <c r="H220" s="91"/>
      <c r="I220" s="37" t="str">
        <f>IF(EXACT($H220, ""), "", VLOOKUP($H220, 'MAIN - OrgJobsPos'!$B$2:$C$101, 2, FALSE))</f>
        <v/>
      </c>
      <c r="J220" s="67"/>
      <c r="K220" s="63"/>
      <c r="L220" s="10" t="s">
        <v>3</v>
      </c>
      <c r="M220" s="11"/>
      <c r="O220" s="29">
        <f t="shared" si="6"/>
        <v>164000000000217</v>
      </c>
      <c r="P220" s="30" t="str">
        <f t="shared" si="7"/>
        <v>PERFORM "SchData-OLTP-HumanResource"."Func_TblWorkerCareerInternal_SET"(varSystemLoginSession, null::bigint, null::varchar, null::timestamptz, '9999-12-31 23:59:59+07'::timestamptz, null::varchar, varInstitutionBranchID, varBaseCurrencyID, 32000000000217::bigint, 163000000000003::bigint, null::bigint, null::bigint, null::varchar, null::timestamptz, '9999-12-31 23:59:59+07'::timestamptz, null::bigint);</v>
      </c>
    </row>
    <row r="221" spans="2:16" x14ac:dyDescent="0.2">
      <c r="B221" s="37">
        <f>IF(EXACT(DataLookUp!$B221, ""), "", DataLookUp!$B221)</f>
        <v>32000000000218</v>
      </c>
      <c r="C221" s="38" t="str">
        <f>MAIN!C221</f>
        <v>Iskandarsyah</v>
      </c>
      <c r="D221" s="91">
        <v>163000000000003</v>
      </c>
      <c r="E221" s="37" t="str">
        <f>IF(EXACT($D221, ""), "", VLOOKUP($D221, [2]DataLookUp!$B$4:$D$15, 2, FALSE ))</f>
        <v>Karyawan Tidak Tetap (Kontrak)</v>
      </c>
      <c r="F221" s="91"/>
      <c r="G221" s="37" t="str">
        <f>IF(EXACT($F221, ""), "", VLOOKUP($F221, 'MAIN - OrgDepartment'!$C$3:$D$104, 2, FALSE))</f>
        <v/>
      </c>
      <c r="H221" s="91"/>
      <c r="I221" s="37" t="str">
        <f>IF(EXACT($H221, ""), "", VLOOKUP($H221, 'MAIN - OrgJobsPos'!$B$2:$C$101, 2, FALSE))</f>
        <v/>
      </c>
      <c r="J221" s="67"/>
      <c r="K221" s="63"/>
      <c r="L221" s="10" t="s">
        <v>7</v>
      </c>
      <c r="M221" s="11"/>
      <c r="O221" s="29">
        <f t="shared" si="6"/>
        <v>164000000000218</v>
      </c>
      <c r="P221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32000000000218::bigint, 163000000000003::bigint, null::bigint, null::bigint, null::varchar, null::timestamptz, '1900-12-31 23:59:59+07'::timestamptz, null::bigint);</v>
      </c>
    </row>
    <row r="222" spans="2:16" x14ac:dyDescent="0.2">
      <c r="B222" s="37">
        <f>IF(EXACT(DataLookUp!$B222, ""), "", DataLookUp!$B222)</f>
        <v>32000000000219</v>
      </c>
      <c r="C222" s="38" t="str">
        <f>MAIN!C222</f>
        <v>Istanto Istanto</v>
      </c>
      <c r="D222" s="91">
        <v>163000000000003</v>
      </c>
      <c r="E222" s="37" t="str">
        <f>IF(EXACT($D222, ""), "", VLOOKUP($D222, [2]DataLookUp!$B$4:$D$15, 2, FALSE ))</f>
        <v>Karyawan Tidak Tetap (Kontrak)</v>
      </c>
      <c r="F222" s="91"/>
      <c r="G222" s="37" t="str">
        <f>IF(EXACT($F222, ""), "", VLOOKUP($F222, 'MAIN - OrgDepartment'!$C$3:$D$104, 2, FALSE))</f>
        <v/>
      </c>
      <c r="H222" s="91"/>
      <c r="I222" s="37" t="str">
        <f>IF(EXACT($H222, ""), "", VLOOKUP($H222, 'MAIN - OrgJobsPos'!$B$2:$C$101, 2, FALSE))</f>
        <v/>
      </c>
      <c r="J222" s="67"/>
      <c r="K222" s="63"/>
      <c r="L222" s="10" t="s">
        <v>7</v>
      </c>
      <c r="M222" s="11"/>
      <c r="O222" s="29">
        <f t="shared" si="6"/>
        <v>164000000000219</v>
      </c>
      <c r="P222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32000000000219::bigint, 163000000000003::bigint, null::bigint, null::bigint, null::varchar, null::timestamptz, '1900-12-31 23:59:59+07'::timestamptz, null::bigint);</v>
      </c>
    </row>
    <row r="223" spans="2:16" x14ac:dyDescent="0.2">
      <c r="B223" s="37">
        <f>IF(EXACT(DataLookUp!$B223, ""), "", DataLookUp!$B223)</f>
        <v>32000000000220</v>
      </c>
      <c r="C223" s="38" t="str">
        <f>MAIN!C223</f>
        <v>Iswahyuni</v>
      </c>
      <c r="D223" s="91">
        <v>163000000000003</v>
      </c>
      <c r="E223" s="37" t="str">
        <f>IF(EXACT($D223, ""), "", VLOOKUP($D223, [2]DataLookUp!$B$4:$D$15, 2, FALSE ))</f>
        <v>Karyawan Tidak Tetap (Kontrak)</v>
      </c>
      <c r="F223" s="91"/>
      <c r="G223" s="37" t="str">
        <f>IF(EXACT($F223, ""), "", VLOOKUP($F223, 'MAIN - OrgDepartment'!$C$3:$D$104, 2, FALSE))</f>
        <v/>
      </c>
      <c r="H223" s="91"/>
      <c r="I223" s="37" t="str">
        <f>IF(EXACT($H223, ""), "", VLOOKUP($H223, 'MAIN - OrgJobsPos'!$B$2:$C$101, 2, FALSE))</f>
        <v/>
      </c>
      <c r="J223" s="67"/>
      <c r="K223" s="63"/>
      <c r="L223" s="10" t="s">
        <v>7</v>
      </c>
      <c r="M223" s="11"/>
      <c r="O223" s="29">
        <f t="shared" si="6"/>
        <v>164000000000220</v>
      </c>
      <c r="P223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32000000000220::bigint, 163000000000003::bigint, null::bigint, null::bigint, null::varchar, null::timestamptz, '1900-12-31 23:59:59+07'::timestamptz, null::bigint);</v>
      </c>
    </row>
    <row r="224" spans="2:16" x14ac:dyDescent="0.2">
      <c r="B224" s="37">
        <f>IF(EXACT(DataLookUp!$B224, ""), "", DataLookUp!$B224)</f>
        <v>32000000000221</v>
      </c>
      <c r="C224" s="38" t="str">
        <f>MAIN!C224</f>
        <v>Iva Nurvahayati</v>
      </c>
      <c r="D224" s="91">
        <v>163000000000003</v>
      </c>
      <c r="E224" s="37" t="str">
        <f>IF(EXACT($D224, ""), "", VLOOKUP($D224, [2]DataLookUp!$B$4:$D$15, 2, FALSE ))</f>
        <v>Karyawan Tidak Tetap (Kontrak)</v>
      </c>
      <c r="F224" s="91"/>
      <c r="G224" s="37" t="str">
        <f>IF(EXACT($F224, ""), "", VLOOKUP($F224, 'MAIN - OrgDepartment'!$C$3:$D$104, 2, FALSE))</f>
        <v/>
      </c>
      <c r="H224" s="91"/>
      <c r="I224" s="37" t="str">
        <f>IF(EXACT($H224, ""), "", VLOOKUP($H224, 'MAIN - OrgJobsPos'!$B$2:$C$101, 2, FALSE))</f>
        <v/>
      </c>
      <c r="J224" s="67"/>
      <c r="K224" s="63"/>
      <c r="L224" s="10" t="s">
        <v>7</v>
      </c>
      <c r="M224" s="11"/>
      <c r="O224" s="29">
        <f t="shared" si="6"/>
        <v>164000000000221</v>
      </c>
      <c r="P224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32000000000221::bigint, 163000000000003::bigint, null::bigint, null::bigint, null::varchar, null::timestamptz, '1900-12-31 23:59:59+07'::timestamptz, null::bigint);</v>
      </c>
    </row>
    <row r="225" spans="2:16" x14ac:dyDescent="0.2">
      <c r="B225" s="37">
        <f>IF(EXACT(DataLookUp!$B225, ""), "", DataLookUp!$B225)</f>
        <v>32000000000222</v>
      </c>
      <c r="C225" s="38" t="str">
        <f>MAIN!C225</f>
        <v>Iwan Setiawan</v>
      </c>
      <c r="D225" s="91">
        <v>163000000000003</v>
      </c>
      <c r="E225" s="37" t="str">
        <f>IF(EXACT($D225, ""), "", VLOOKUP($D225, [2]DataLookUp!$B$4:$D$15, 2, FALSE ))</f>
        <v>Karyawan Tidak Tetap (Kontrak)</v>
      </c>
      <c r="F225" s="91"/>
      <c r="G225" s="37" t="str">
        <f>IF(EXACT($F225, ""), "", VLOOKUP($F225, 'MAIN - OrgDepartment'!$C$3:$D$104, 2, FALSE))</f>
        <v/>
      </c>
      <c r="H225" s="91"/>
      <c r="I225" s="37" t="str">
        <f>IF(EXACT($H225, ""), "", VLOOKUP($H225, 'MAIN - OrgJobsPos'!$B$2:$C$101, 2, FALSE))</f>
        <v/>
      </c>
      <c r="J225" s="67"/>
      <c r="K225" s="63"/>
      <c r="L225" s="10" t="s">
        <v>7</v>
      </c>
      <c r="M225" s="11"/>
      <c r="O225" s="29">
        <f t="shared" si="6"/>
        <v>164000000000222</v>
      </c>
      <c r="P225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32000000000222::bigint, 163000000000003::bigint, null::bigint, null::bigint, null::varchar, null::timestamptz, '1900-12-31 23:59:59+07'::timestamptz, null::bigint);</v>
      </c>
    </row>
    <row r="226" spans="2:16" x14ac:dyDescent="0.2">
      <c r="B226" s="37">
        <f>IF(EXACT(DataLookUp!$B226, ""), "", DataLookUp!$B226)</f>
        <v>32000000000223</v>
      </c>
      <c r="C226" s="38" t="str">
        <f>MAIN!C226</f>
        <v>Iwan Sumantri</v>
      </c>
      <c r="D226" s="91">
        <v>163000000000003</v>
      </c>
      <c r="E226" s="37" t="str">
        <f>IF(EXACT($D226, ""), "", VLOOKUP($D226, [2]DataLookUp!$B$4:$D$15, 2, FALSE ))</f>
        <v>Karyawan Tidak Tetap (Kontrak)</v>
      </c>
      <c r="F226" s="91"/>
      <c r="G226" s="37" t="str">
        <f>IF(EXACT($F226, ""), "", VLOOKUP($F226, 'MAIN - OrgDepartment'!$C$3:$D$104, 2, FALSE))</f>
        <v/>
      </c>
      <c r="H226" s="91"/>
      <c r="I226" s="37" t="str">
        <f>IF(EXACT($H226, ""), "", VLOOKUP($H226, 'MAIN - OrgJobsPos'!$B$2:$C$101, 2, FALSE))</f>
        <v/>
      </c>
      <c r="J226" s="67"/>
      <c r="K226" s="63"/>
      <c r="L226" s="10" t="s">
        <v>7</v>
      </c>
      <c r="M226" s="11"/>
      <c r="O226" s="29">
        <f t="shared" si="6"/>
        <v>164000000000223</v>
      </c>
      <c r="P226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32000000000223::bigint, 163000000000003::bigint, null::bigint, null::bigint, null::varchar, null::timestamptz, '1900-12-31 23:59:59+07'::timestamptz, null::bigint);</v>
      </c>
    </row>
    <row r="227" spans="2:16" x14ac:dyDescent="0.2">
      <c r="B227" s="37">
        <f>IF(EXACT(DataLookUp!$B227, ""), "", DataLookUp!$B227)</f>
        <v>32000000000224</v>
      </c>
      <c r="C227" s="38" t="str">
        <f>MAIN!C227</f>
        <v>Iwan Wibawa</v>
      </c>
      <c r="D227" s="91">
        <v>163000000000003</v>
      </c>
      <c r="E227" s="37" t="str">
        <f>IF(EXACT($D227, ""), "", VLOOKUP($D227, [2]DataLookUp!$B$4:$D$15, 2, FALSE ))</f>
        <v>Karyawan Tidak Tetap (Kontrak)</v>
      </c>
      <c r="F227" s="91"/>
      <c r="G227" s="37" t="str">
        <f>IF(EXACT($F227, ""), "", VLOOKUP($F227, 'MAIN - OrgDepartment'!$C$3:$D$104, 2, FALSE))</f>
        <v/>
      </c>
      <c r="H227" s="91"/>
      <c r="I227" s="37" t="str">
        <f>IF(EXACT($H227, ""), "", VLOOKUP($H227, 'MAIN - OrgJobsPos'!$B$2:$C$101, 2, FALSE))</f>
        <v/>
      </c>
      <c r="J227" s="67"/>
      <c r="K227" s="63"/>
      <c r="L227" s="10" t="s">
        <v>7</v>
      </c>
      <c r="M227" s="11"/>
      <c r="O227" s="29">
        <f t="shared" si="6"/>
        <v>164000000000224</v>
      </c>
      <c r="P227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32000000000224::bigint, 163000000000003::bigint, null::bigint, null::bigint, null::varchar, null::timestamptz, '1900-12-31 23:59:59+07'::timestamptz, null::bigint);</v>
      </c>
    </row>
    <row r="228" spans="2:16" x14ac:dyDescent="0.2">
      <c r="B228" s="37">
        <f>IF(EXACT(DataLookUp!$B228, ""), "", DataLookUp!$B228)</f>
        <v>32000000000225</v>
      </c>
      <c r="C228" s="38" t="str">
        <f>MAIN!C228</f>
        <v>Iyus Darwin</v>
      </c>
      <c r="D228" s="91">
        <v>163000000000003</v>
      </c>
      <c r="E228" s="37" t="str">
        <f>IF(EXACT($D228, ""), "", VLOOKUP($D228, [2]DataLookUp!$B$4:$D$15, 2, FALSE ))</f>
        <v>Karyawan Tidak Tetap (Kontrak)</v>
      </c>
      <c r="F228" s="91"/>
      <c r="G228" s="37" t="str">
        <f>IF(EXACT($F228, ""), "", VLOOKUP($F228, 'MAIN - OrgDepartment'!$C$3:$D$104, 2, FALSE))</f>
        <v/>
      </c>
      <c r="H228" s="91"/>
      <c r="I228" s="37" t="str">
        <f>IF(EXACT($H228, ""), "", VLOOKUP($H228, 'MAIN - OrgJobsPos'!$B$2:$C$101, 2, FALSE))</f>
        <v/>
      </c>
      <c r="J228" s="67"/>
      <c r="K228" s="63"/>
      <c r="L228" s="10" t="s">
        <v>7</v>
      </c>
      <c r="M228" s="11"/>
      <c r="O228" s="29">
        <f t="shared" si="6"/>
        <v>164000000000225</v>
      </c>
      <c r="P22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32000000000225::bigint, 163000000000003::bigint, null::bigint, null::bigint, null::varchar, null::timestamptz, '1900-12-31 23:59:59+07'::timestamptz, null::bigint);</v>
      </c>
    </row>
    <row r="229" spans="2:16" x14ac:dyDescent="0.2">
      <c r="B229" s="37">
        <f>IF(EXACT(DataLookUp!$B229, ""), "", DataLookUp!$B229)</f>
        <v>32000000000226</v>
      </c>
      <c r="C229" s="38" t="str">
        <f>MAIN!C229</f>
        <v>Jaenudin</v>
      </c>
      <c r="D229" s="91">
        <v>163000000000003</v>
      </c>
      <c r="E229" s="37" t="str">
        <f>IF(EXACT($D229, ""), "", VLOOKUP($D229, [2]DataLookUp!$B$4:$D$15, 2, FALSE ))</f>
        <v>Karyawan Tidak Tetap (Kontrak)</v>
      </c>
      <c r="F229" s="91"/>
      <c r="G229" s="37" t="str">
        <f>IF(EXACT($F229, ""), "", VLOOKUP($F229, 'MAIN - OrgDepartment'!$C$3:$D$104, 2, FALSE))</f>
        <v/>
      </c>
      <c r="H229" s="91"/>
      <c r="I229" s="37" t="str">
        <f>IF(EXACT($H229, ""), "", VLOOKUP($H229, 'MAIN - OrgJobsPos'!$B$2:$C$101, 2, FALSE))</f>
        <v/>
      </c>
      <c r="J229" s="67"/>
      <c r="K229" s="63"/>
      <c r="L229" s="10" t="s">
        <v>7</v>
      </c>
      <c r="M229" s="11"/>
      <c r="O229" s="29">
        <f t="shared" si="6"/>
        <v>164000000000226</v>
      </c>
      <c r="P229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32000000000226::bigint, 163000000000003::bigint, null::bigint, null::bigint, null::varchar, null::timestamptz, '1900-12-31 23:59:59+07'::timestamptz, null::bigint);</v>
      </c>
    </row>
    <row r="230" spans="2:16" x14ac:dyDescent="0.2">
      <c r="B230" s="37">
        <f>IF(EXACT(DataLookUp!$B230, ""), "", DataLookUp!$B230)</f>
        <v>32000000000227</v>
      </c>
      <c r="C230" s="38" t="str">
        <f>MAIN!C230</f>
        <v>Jaruli Samosir</v>
      </c>
      <c r="D230" s="91">
        <v>163000000000003</v>
      </c>
      <c r="E230" s="37" t="str">
        <f>IF(EXACT($D230, ""), "", VLOOKUP($D230, [2]DataLookUp!$B$4:$D$15, 2, FALSE ))</f>
        <v>Karyawan Tidak Tetap (Kontrak)</v>
      </c>
      <c r="F230" s="91"/>
      <c r="G230" s="37" t="str">
        <f>IF(EXACT($F230, ""), "", VLOOKUP($F230, 'MAIN - OrgDepartment'!$C$3:$D$104, 2, FALSE))</f>
        <v/>
      </c>
      <c r="H230" s="91"/>
      <c r="I230" s="37" t="str">
        <f>IF(EXACT($H230, ""), "", VLOOKUP($H230, 'MAIN - OrgJobsPos'!$B$2:$C$101, 2, FALSE))</f>
        <v/>
      </c>
      <c r="J230" s="67"/>
      <c r="K230" s="63"/>
      <c r="L230" s="10" t="s">
        <v>7</v>
      </c>
      <c r="M230" s="11"/>
      <c r="O230" s="29">
        <f t="shared" si="6"/>
        <v>164000000000227</v>
      </c>
      <c r="P230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32000000000227::bigint, 163000000000003::bigint, null::bigint, null::bigint, null::varchar, null::timestamptz, '1900-12-31 23:59:59+07'::timestamptz, null::bigint);</v>
      </c>
    </row>
    <row r="231" spans="2:16" x14ac:dyDescent="0.2">
      <c r="B231" s="37">
        <f>IF(EXACT(DataLookUp!$B231, ""), "", DataLookUp!$B231)</f>
        <v>32000000000228</v>
      </c>
      <c r="C231" s="38" t="str">
        <f>MAIN!C231</f>
        <v>Jaya Ganef</v>
      </c>
      <c r="D231" s="91">
        <v>163000000000003</v>
      </c>
      <c r="E231" s="37" t="str">
        <f>IF(EXACT($D231, ""), "", VLOOKUP($D231, [2]DataLookUp!$B$4:$D$15, 2, FALSE ))</f>
        <v>Karyawan Tidak Tetap (Kontrak)</v>
      </c>
      <c r="F231" s="91"/>
      <c r="G231" s="37" t="str">
        <f>IF(EXACT($F231, ""), "", VLOOKUP($F231, 'MAIN - OrgDepartment'!$C$3:$D$104, 2, FALSE))</f>
        <v/>
      </c>
      <c r="H231" s="91"/>
      <c r="I231" s="37" t="str">
        <f>IF(EXACT($H231, ""), "", VLOOKUP($H231, 'MAIN - OrgJobsPos'!$B$2:$C$101, 2, FALSE))</f>
        <v/>
      </c>
      <c r="J231" s="67"/>
      <c r="K231" s="63"/>
      <c r="L231" s="10" t="s">
        <v>7</v>
      </c>
      <c r="M231" s="11"/>
      <c r="O231" s="29">
        <f t="shared" si="6"/>
        <v>164000000000228</v>
      </c>
      <c r="P231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32000000000228::bigint, 163000000000003::bigint, null::bigint, null::bigint, null::varchar, null::timestamptz, '1900-12-31 23:59:59+07'::timestamptz, null::bigint);</v>
      </c>
    </row>
    <row r="232" spans="2:16" x14ac:dyDescent="0.2">
      <c r="B232" s="37">
        <f>IF(EXACT(DataLookUp!$B232, ""), "", DataLookUp!$B232)</f>
        <v>32000000000229</v>
      </c>
      <c r="C232" s="38" t="str">
        <f>MAIN!C232</f>
        <v>Jaya Sitepu</v>
      </c>
      <c r="D232" s="91">
        <v>163000000000003</v>
      </c>
      <c r="E232" s="37" t="str">
        <f>IF(EXACT($D232, ""), "", VLOOKUP($D232, [2]DataLookUp!$B$4:$D$15, 2, FALSE ))</f>
        <v>Karyawan Tidak Tetap (Kontrak)</v>
      </c>
      <c r="F232" s="91"/>
      <c r="G232" s="37" t="str">
        <f>IF(EXACT($F232, ""), "", VLOOKUP($F232, 'MAIN - OrgDepartment'!$C$3:$D$104, 2, FALSE))</f>
        <v/>
      </c>
      <c r="H232" s="91"/>
      <c r="I232" s="37" t="str">
        <f>IF(EXACT($H232, ""), "", VLOOKUP($H232, 'MAIN - OrgJobsPos'!$B$2:$C$101, 2, FALSE))</f>
        <v/>
      </c>
      <c r="J232" s="67"/>
      <c r="K232" s="63"/>
      <c r="L232" s="10" t="s">
        <v>7</v>
      </c>
      <c r="M232" s="11"/>
      <c r="O232" s="29">
        <f t="shared" si="6"/>
        <v>164000000000229</v>
      </c>
      <c r="P232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32000000000229::bigint, 163000000000003::bigint, null::bigint, null::bigint, null::varchar, null::timestamptz, '1900-12-31 23:59:59+07'::timestamptz, null::bigint);</v>
      </c>
    </row>
    <row r="233" spans="2:16" x14ac:dyDescent="0.2">
      <c r="B233" s="37">
        <f>IF(EXACT(DataLookUp!$B233, ""), "", DataLookUp!$B233)</f>
        <v>32000000000230</v>
      </c>
      <c r="C233" s="38" t="str">
        <f>MAIN!C233</f>
        <v>Jeefrianda H. P. Sigalingging</v>
      </c>
      <c r="D233" s="91">
        <v>163000000000002</v>
      </c>
      <c r="E233" s="37" t="str">
        <f>IF(EXACT($D233, ""), "", VLOOKUP($D233, [2]DataLookUp!$B$4:$D$15, 2, FALSE ))</f>
        <v>Karyawan Tetap (Purna Waktu)</v>
      </c>
      <c r="F233" s="91"/>
      <c r="G233" s="37" t="str">
        <f>IF(EXACT($F233, ""), "", VLOOKUP($F233, 'MAIN - OrgDepartment'!$C$3:$D$104, 2, FALSE))</f>
        <v/>
      </c>
      <c r="H233" s="91"/>
      <c r="I233" s="37" t="str">
        <f>IF(EXACT($H233, ""), "", VLOOKUP($H233, 'MAIN - OrgJobsPos'!$B$2:$C$101, 2, FALSE))</f>
        <v/>
      </c>
      <c r="J233" s="67"/>
      <c r="K233" s="63"/>
      <c r="L233" s="10" t="s">
        <v>7</v>
      </c>
      <c r="M233" s="11"/>
      <c r="O233" s="29">
        <f t="shared" si="6"/>
        <v>164000000000230</v>
      </c>
      <c r="P233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32000000000230::bigint, 163000000000002::bigint, null::bigint, null::bigint, null::varchar, null::timestamptz, '1900-12-31 23:59:59+07'::timestamptz, null::bigint);</v>
      </c>
    </row>
    <row r="234" spans="2:16" x14ac:dyDescent="0.2">
      <c r="B234" s="37">
        <f>IF(EXACT(DataLookUp!$B234, ""), "", DataLookUp!$B234)</f>
        <v>32000000000231</v>
      </c>
      <c r="C234" s="38" t="str">
        <f>MAIN!C234</f>
        <v>Jerry Djajasaputra</v>
      </c>
      <c r="D234" s="91">
        <v>163000000000003</v>
      </c>
      <c r="E234" s="37" t="str">
        <f>IF(EXACT($D234, ""), "", VLOOKUP($D234, [2]DataLookUp!$B$4:$D$15, 2, FALSE ))</f>
        <v>Karyawan Tidak Tetap (Kontrak)</v>
      </c>
      <c r="F234" s="91"/>
      <c r="G234" s="37" t="str">
        <f>IF(EXACT($F234, ""), "", VLOOKUP($F234, 'MAIN - OrgDepartment'!$C$3:$D$104, 2, FALSE))</f>
        <v/>
      </c>
      <c r="H234" s="91"/>
      <c r="I234" s="37" t="str">
        <f>IF(EXACT($H234, ""), "", VLOOKUP($H234, 'MAIN - OrgJobsPos'!$B$2:$C$101, 2, FALSE))</f>
        <v/>
      </c>
      <c r="J234" s="67"/>
      <c r="K234" s="63"/>
      <c r="L234" s="10" t="s">
        <v>7</v>
      </c>
      <c r="M234" s="11"/>
      <c r="O234" s="29">
        <f t="shared" si="6"/>
        <v>164000000000231</v>
      </c>
      <c r="P234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32000000000231::bigint, 163000000000003::bigint, null::bigint, null::bigint, null::varchar, null::timestamptz, '1900-12-31 23:59:59+07'::timestamptz, null::bigint);</v>
      </c>
    </row>
    <row r="235" spans="2:16" x14ac:dyDescent="0.2">
      <c r="B235" s="37">
        <f>IF(EXACT(DataLookUp!$B235, ""), "", DataLookUp!$B235)</f>
        <v>32000000000232</v>
      </c>
      <c r="C235" s="38" t="str">
        <f>MAIN!C235</f>
        <v>Jimmywal</v>
      </c>
      <c r="D235" s="91">
        <v>163000000000002</v>
      </c>
      <c r="E235" s="37" t="str">
        <f>IF(EXACT($D235, ""), "", VLOOKUP($D235, [2]DataLookUp!$B$4:$D$15, 2, FALSE ))</f>
        <v>Karyawan Tetap (Purna Waktu)</v>
      </c>
      <c r="F235" s="91">
        <v>111000000000011</v>
      </c>
      <c r="G235" s="37" t="str">
        <f>IF(EXACT($F235, ""), "", VLOOKUP($F235, 'MAIN - OrgDepartment'!$C$3:$D$104, 2, FALSE))</f>
        <v>Project</v>
      </c>
      <c r="H235" s="91">
        <v>160000000000006</v>
      </c>
      <c r="I235" s="37" t="str">
        <f>IF(EXACT($H235, ""), "", VLOOKUP($H235, 'MAIN - OrgJobsPos'!$B$2:$C$101, 2, FALSE))</f>
        <v>Manager</v>
      </c>
      <c r="J235" s="67" t="s">
        <v>158</v>
      </c>
      <c r="K235" s="63" t="s">
        <v>227</v>
      </c>
      <c r="L235" s="10" t="s">
        <v>3</v>
      </c>
      <c r="M235" s="11"/>
      <c r="O235" s="29">
        <f t="shared" si="6"/>
        <v>164000000000232</v>
      </c>
      <c r="P235" s="30" t="str">
        <f t="shared" si="7"/>
        <v>PERFORM "SchData-OLTP-HumanResource"."Func_TblWorkerCareerInternal_SET"(varSystemLoginSession, null::bigint, null::varchar, '2015-05-04 00:00:00+07'::timestamptz, '9999-12-31 23:59:59+07'::timestamptz, null::varchar, varInstitutionBranchID, varBaseCurrencyID, 32000000000232::bigint, 163000000000002::bigint, 111000000000011::bigint, 160000000000006::bigint, 'Project Manager'::varchar, '2015-05-04 00:00:00+07'::timestamptz, '9999-12-31 23:59:59+07'::timestamptz, null::bigint);</v>
      </c>
    </row>
    <row r="236" spans="2:16" x14ac:dyDescent="0.2">
      <c r="B236" s="37">
        <f>IF(EXACT(DataLookUp!$B236, ""), "", DataLookUp!$B236)</f>
        <v>32000000000233</v>
      </c>
      <c r="C236" s="38" t="str">
        <f>MAIN!C236</f>
        <v>Jodie Satria</v>
      </c>
      <c r="D236" s="91">
        <v>163000000000003</v>
      </c>
      <c r="E236" s="37" t="str">
        <f>IF(EXACT($D236, ""), "", VLOOKUP($D236, [2]DataLookUp!$B$4:$D$15, 2, FALSE ))</f>
        <v>Karyawan Tidak Tetap (Kontrak)</v>
      </c>
      <c r="F236" s="91"/>
      <c r="G236" s="37" t="str">
        <f>IF(EXACT($F236, ""), "", VLOOKUP($F236, 'MAIN - OrgDepartment'!$C$3:$D$104, 2, FALSE))</f>
        <v/>
      </c>
      <c r="H236" s="91"/>
      <c r="I236" s="37" t="str">
        <f>IF(EXACT($H236, ""), "", VLOOKUP($H236, 'MAIN - OrgJobsPos'!$B$2:$C$101, 2, FALSE))</f>
        <v/>
      </c>
      <c r="J236" s="67"/>
      <c r="K236" s="63"/>
      <c r="L236" s="10" t="s">
        <v>7</v>
      </c>
      <c r="M236" s="11"/>
      <c r="O236" s="29">
        <f t="shared" si="6"/>
        <v>164000000000233</v>
      </c>
      <c r="P236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32000000000233::bigint, 163000000000003::bigint, null::bigint, null::bigint, null::varchar, null::timestamptz, '1900-12-31 23:59:59+07'::timestamptz, null::bigint);</v>
      </c>
    </row>
    <row r="237" spans="2:16" x14ac:dyDescent="0.2">
      <c r="B237" s="37">
        <f>IF(EXACT(DataLookUp!$B237, ""), "", DataLookUp!$B237)</f>
        <v>32000000000234</v>
      </c>
      <c r="C237" s="38" t="str">
        <f>MAIN!C237</f>
        <v>Johannes Silalahi</v>
      </c>
      <c r="D237" s="91">
        <v>163000000000003</v>
      </c>
      <c r="E237" s="37" t="str">
        <f>IF(EXACT($D237, ""), "", VLOOKUP($D237, [2]DataLookUp!$B$4:$D$15, 2, FALSE ))</f>
        <v>Karyawan Tidak Tetap (Kontrak)</v>
      </c>
      <c r="F237" s="91"/>
      <c r="G237" s="37" t="str">
        <f>IF(EXACT($F237, ""), "", VLOOKUP($F237, 'MAIN - OrgDepartment'!$C$3:$D$104, 2, FALSE))</f>
        <v/>
      </c>
      <c r="H237" s="91"/>
      <c r="I237" s="37" t="str">
        <f>IF(EXACT($H237, ""), "", VLOOKUP($H237, 'MAIN - OrgJobsPos'!$B$2:$C$101, 2, FALSE))</f>
        <v/>
      </c>
      <c r="J237" s="67"/>
      <c r="K237" s="63"/>
      <c r="L237" s="10" t="s">
        <v>7</v>
      </c>
      <c r="M237" s="11"/>
      <c r="O237" s="29">
        <f t="shared" si="6"/>
        <v>164000000000234</v>
      </c>
      <c r="P237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32000000000234::bigint, 163000000000003::bigint, null::bigint, null::bigint, null::varchar, null::timestamptz, '1900-12-31 23:59:59+07'::timestamptz, null::bigint);</v>
      </c>
    </row>
    <row r="238" spans="2:16" x14ac:dyDescent="0.2">
      <c r="B238" s="37">
        <f>IF(EXACT(DataLookUp!$B238, ""), "", DataLookUp!$B238)</f>
        <v>32000000000235</v>
      </c>
      <c r="C238" s="38" t="str">
        <f>MAIN!C238</f>
        <v>Joko Wiyono</v>
      </c>
      <c r="D238" s="91">
        <v>163000000000003</v>
      </c>
      <c r="E238" s="37" t="str">
        <f>IF(EXACT($D238, ""), "", VLOOKUP($D238, [2]DataLookUp!$B$4:$D$15, 2, FALSE ))</f>
        <v>Karyawan Tidak Tetap (Kontrak)</v>
      </c>
      <c r="F238" s="91"/>
      <c r="G238" s="37" t="str">
        <f>IF(EXACT($F238, ""), "", VLOOKUP($F238, 'MAIN - OrgDepartment'!$C$3:$D$104, 2, FALSE))</f>
        <v/>
      </c>
      <c r="H238" s="91"/>
      <c r="I238" s="37" t="str">
        <f>IF(EXACT($H238, ""), "", VLOOKUP($H238, 'MAIN - OrgJobsPos'!$B$2:$C$101, 2, FALSE))</f>
        <v/>
      </c>
      <c r="J238" s="67"/>
      <c r="K238" s="63"/>
      <c r="L238" s="10" t="s">
        <v>7</v>
      </c>
      <c r="M238" s="11"/>
      <c r="O238" s="29">
        <f t="shared" si="6"/>
        <v>164000000000235</v>
      </c>
      <c r="P23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32000000000235::bigint, 163000000000003::bigint, null::bigint, null::bigint, null::varchar, null::timestamptz, '1900-12-31 23:59:59+07'::timestamptz, null::bigint);</v>
      </c>
    </row>
    <row r="239" spans="2:16" x14ac:dyDescent="0.2">
      <c r="B239" s="37">
        <f>IF(EXACT(DataLookUp!$B239, ""), "", DataLookUp!$B239)</f>
        <v>32000000000236</v>
      </c>
      <c r="C239" s="38" t="str">
        <f>MAIN!C239</f>
        <v>Jondril Hantoni</v>
      </c>
      <c r="D239" s="91">
        <v>163000000000003</v>
      </c>
      <c r="E239" s="37" t="str">
        <f>IF(EXACT($D239, ""), "", VLOOKUP($D239, [2]DataLookUp!$B$4:$D$15, 2, FALSE ))</f>
        <v>Karyawan Tidak Tetap (Kontrak)</v>
      </c>
      <c r="F239" s="91"/>
      <c r="G239" s="37" t="str">
        <f>IF(EXACT($F239, ""), "", VLOOKUP($F239, 'MAIN - OrgDepartment'!$C$3:$D$104, 2, FALSE))</f>
        <v/>
      </c>
      <c r="H239" s="91"/>
      <c r="I239" s="37" t="str">
        <f>IF(EXACT($H239, ""), "", VLOOKUP($H239, 'MAIN - OrgJobsPos'!$B$2:$C$101, 2, FALSE))</f>
        <v/>
      </c>
      <c r="J239" s="67"/>
      <c r="K239" s="63"/>
      <c r="L239" s="10" t="s">
        <v>7</v>
      </c>
      <c r="M239" s="11"/>
      <c r="O239" s="29">
        <f t="shared" si="6"/>
        <v>164000000000236</v>
      </c>
      <c r="P239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32000000000236::bigint, 163000000000003::bigint, null::bigint, null::bigint, null::varchar, null::timestamptz, '1900-12-31 23:59:59+07'::timestamptz, null::bigint);</v>
      </c>
    </row>
    <row r="240" spans="2:16" x14ac:dyDescent="0.2">
      <c r="B240" s="37">
        <f>IF(EXACT(DataLookUp!$B240, ""), "", DataLookUp!$B240)</f>
        <v>32000000000237</v>
      </c>
      <c r="C240" s="38" t="str">
        <f>MAIN!C240</f>
        <v>Jonhar Aziz</v>
      </c>
      <c r="D240" s="91">
        <v>163000000000003</v>
      </c>
      <c r="E240" s="37" t="str">
        <f>IF(EXACT($D240, ""), "", VLOOKUP($D240, [2]DataLookUp!$B$4:$D$15, 2, FALSE ))</f>
        <v>Karyawan Tidak Tetap (Kontrak)</v>
      </c>
      <c r="F240" s="91"/>
      <c r="G240" s="37" t="str">
        <f>IF(EXACT($F240, ""), "", VLOOKUP($F240, 'MAIN - OrgDepartment'!$C$3:$D$104, 2, FALSE))</f>
        <v/>
      </c>
      <c r="H240" s="91"/>
      <c r="I240" s="37" t="str">
        <f>IF(EXACT($H240, ""), "", VLOOKUP($H240, 'MAIN - OrgJobsPos'!$B$2:$C$101, 2, FALSE))</f>
        <v/>
      </c>
      <c r="J240" s="67"/>
      <c r="K240" s="63"/>
      <c r="L240" s="10" t="s">
        <v>7</v>
      </c>
      <c r="M240" s="11"/>
      <c r="O240" s="29">
        <f t="shared" si="6"/>
        <v>164000000000237</v>
      </c>
      <c r="P240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32000000000237::bigint, 163000000000003::bigint, null::bigint, null::bigint, null::varchar, null::timestamptz, '1900-12-31 23:59:59+07'::timestamptz, null::bigint);</v>
      </c>
    </row>
    <row r="241" spans="2:16" x14ac:dyDescent="0.2">
      <c r="B241" s="37">
        <f>IF(EXACT(DataLookUp!$B241, ""), "", DataLookUp!$B241)</f>
        <v>32000000000238</v>
      </c>
      <c r="C241" s="38" t="str">
        <f>MAIN!C241</f>
        <v>Juan Talitha</v>
      </c>
      <c r="D241" s="91">
        <v>163000000000003</v>
      </c>
      <c r="E241" s="37" t="str">
        <f>IF(EXACT($D241, ""), "", VLOOKUP($D241, [2]DataLookUp!$B$4:$D$15, 2, FALSE ))</f>
        <v>Karyawan Tidak Tetap (Kontrak)</v>
      </c>
      <c r="F241" s="91"/>
      <c r="G241" s="37" t="str">
        <f>IF(EXACT($F241, ""), "", VLOOKUP($F241, 'MAIN - OrgDepartment'!$C$3:$D$104, 2, FALSE))</f>
        <v/>
      </c>
      <c r="H241" s="91"/>
      <c r="I241" s="37" t="str">
        <f>IF(EXACT($H241, ""), "", VLOOKUP($H241, 'MAIN - OrgJobsPos'!$B$2:$C$101, 2, FALSE))</f>
        <v/>
      </c>
      <c r="J241" s="67"/>
      <c r="K241" s="63"/>
      <c r="L241" s="10" t="s">
        <v>7</v>
      </c>
      <c r="M241" s="11"/>
      <c r="O241" s="29">
        <f t="shared" si="6"/>
        <v>164000000000238</v>
      </c>
      <c r="P241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32000000000238::bigint, 163000000000003::bigint, null::bigint, null::bigint, null::varchar, null::timestamptz, '1900-12-31 23:59:59+07'::timestamptz, null::bigint);</v>
      </c>
    </row>
    <row r="242" spans="2:16" x14ac:dyDescent="0.2">
      <c r="B242" s="37">
        <f>IF(EXACT(DataLookUp!$B242, ""), "", DataLookUp!$B242)</f>
        <v>32000000000239</v>
      </c>
      <c r="C242" s="38" t="str">
        <f>MAIN!C242</f>
        <v>Juharja Juharja</v>
      </c>
      <c r="D242" s="91">
        <v>163000000000003</v>
      </c>
      <c r="E242" s="37" t="str">
        <f>IF(EXACT($D242, ""), "", VLOOKUP($D242, [2]DataLookUp!$B$4:$D$15, 2, FALSE ))</f>
        <v>Karyawan Tidak Tetap (Kontrak)</v>
      </c>
      <c r="F242" s="91"/>
      <c r="G242" s="37" t="str">
        <f>IF(EXACT($F242, ""), "", VLOOKUP($F242, 'MAIN - OrgDepartment'!$C$3:$D$104, 2, FALSE))</f>
        <v/>
      </c>
      <c r="H242" s="91"/>
      <c r="I242" s="37" t="str">
        <f>IF(EXACT($H242, ""), "", VLOOKUP($H242, 'MAIN - OrgJobsPos'!$B$2:$C$101, 2, FALSE))</f>
        <v/>
      </c>
      <c r="J242" s="67"/>
      <c r="K242" s="63"/>
      <c r="L242" s="10" t="s">
        <v>7</v>
      </c>
      <c r="M242" s="11"/>
      <c r="O242" s="29">
        <f t="shared" si="6"/>
        <v>164000000000239</v>
      </c>
      <c r="P242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32000000000239::bigint, 163000000000003::bigint, null::bigint, null::bigint, null::varchar, null::timestamptz, '1900-12-31 23:59:59+07'::timestamptz, null::bigint);</v>
      </c>
    </row>
    <row r="243" spans="2:16" x14ac:dyDescent="0.2">
      <c r="B243" s="37">
        <f>IF(EXACT(DataLookUp!$B243, ""), "", DataLookUp!$B243)</f>
        <v>32000000000240</v>
      </c>
      <c r="C243" s="38" t="str">
        <f>MAIN!C243</f>
        <v>Juminar</v>
      </c>
      <c r="D243" s="91">
        <v>163000000000003</v>
      </c>
      <c r="E243" s="37" t="str">
        <f>IF(EXACT($D243, ""), "", VLOOKUP($D243, [2]DataLookUp!$B$4:$D$15, 2, FALSE ))</f>
        <v>Karyawan Tidak Tetap (Kontrak)</v>
      </c>
      <c r="F243" s="91"/>
      <c r="G243" s="37" t="str">
        <f>IF(EXACT($F243, ""), "", VLOOKUP($F243, 'MAIN - OrgDepartment'!$C$3:$D$104, 2, FALSE))</f>
        <v/>
      </c>
      <c r="H243" s="91"/>
      <c r="I243" s="37" t="str">
        <f>IF(EXACT($H243, ""), "", VLOOKUP($H243, 'MAIN - OrgJobsPos'!$B$2:$C$101, 2, FALSE))</f>
        <v/>
      </c>
      <c r="J243" s="67"/>
      <c r="K243" s="63"/>
      <c r="L243" s="10" t="s">
        <v>7</v>
      </c>
      <c r="M243" s="11"/>
      <c r="O243" s="29">
        <f t="shared" si="6"/>
        <v>164000000000240</v>
      </c>
      <c r="P243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32000000000240::bigint, 163000000000003::bigint, null::bigint, null::bigint, null::varchar, null::timestamptz, '1900-12-31 23:59:59+07'::timestamptz, null::bigint);</v>
      </c>
    </row>
    <row r="244" spans="2:16" x14ac:dyDescent="0.2">
      <c r="B244" s="37">
        <f>IF(EXACT(DataLookUp!$B244, ""), "", DataLookUp!$B244)</f>
        <v>32000000000241</v>
      </c>
      <c r="C244" s="38" t="str">
        <f>MAIN!C244</f>
        <v>Jumino</v>
      </c>
      <c r="D244" s="91">
        <v>163000000000003</v>
      </c>
      <c r="E244" s="37" t="str">
        <f>IF(EXACT($D244, ""), "", VLOOKUP($D244, [2]DataLookUp!$B$4:$D$15, 2, FALSE ))</f>
        <v>Karyawan Tidak Tetap (Kontrak)</v>
      </c>
      <c r="F244" s="91"/>
      <c r="G244" s="37" t="str">
        <f>IF(EXACT($F244, ""), "", VLOOKUP($F244, 'MAIN - OrgDepartment'!$C$3:$D$104, 2, FALSE))</f>
        <v/>
      </c>
      <c r="H244" s="91"/>
      <c r="I244" s="37" t="str">
        <f>IF(EXACT($H244, ""), "", VLOOKUP($H244, 'MAIN - OrgJobsPos'!$B$2:$C$101, 2, FALSE))</f>
        <v/>
      </c>
      <c r="J244" s="67"/>
      <c r="K244" s="63"/>
      <c r="L244" s="10" t="s">
        <v>7</v>
      </c>
      <c r="M244" s="11"/>
      <c r="O244" s="29">
        <f t="shared" si="6"/>
        <v>164000000000241</v>
      </c>
      <c r="P244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32000000000241::bigint, 163000000000003::bigint, null::bigint, null::bigint, null::varchar, null::timestamptz, '1900-12-31 23:59:59+07'::timestamptz, null::bigint);</v>
      </c>
    </row>
    <row r="245" spans="2:16" x14ac:dyDescent="0.2">
      <c r="B245" s="37">
        <f>IF(EXACT(DataLookUp!$B245, ""), "", DataLookUp!$B245)</f>
        <v>32000000000242</v>
      </c>
      <c r="C245" s="38" t="str">
        <f>MAIN!C245</f>
        <v>Junaedi</v>
      </c>
      <c r="D245" s="91">
        <v>163000000000003</v>
      </c>
      <c r="E245" s="37" t="str">
        <f>IF(EXACT($D245, ""), "", VLOOKUP($D245, [2]DataLookUp!$B$4:$D$15, 2, FALSE ))</f>
        <v>Karyawan Tidak Tetap (Kontrak)</v>
      </c>
      <c r="F245" s="91"/>
      <c r="G245" s="37" t="str">
        <f>IF(EXACT($F245, ""), "", VLOOKUP($F245, 'MAIN - OrgDepartment'!$C$3:$D$104, 2, FALSE))</f>
        <v/>
      </c>
      <c r="H245" s="91"/>
      <c r="I245" s="37" t="str">
        <f>IF(EXACT($H245, ""), "", VLOOKUP($H245, 'MAIN - OrgJobsPos'!$B$2:$C$101, 2, FALSE))</f>
        <v/>
      </c>
      <c r="J245" s="67"/>
      <c r="K245" s="63"/>
      <c r="L245" s="10" t="s">
        <v>7</v>
      </c>
      <c r="M245" s="11"/>
      <c r="O245" s="29">
        <f t="shared" si="6"/>
        <v>164000000000242</v>
      </c>
      <c r="P245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32000000000242::bigint, 163000000000003::bigint, null::bigint, null::bigint, null::varchar, null::timestamptz, '1900-12-31 23:59:59+07'::timestamptz, null::bigint);</v>
      </c>
    </row>
    <row r="246" spans="2:16" x14ac:dyDescent="0.2">
      <c r="B246" s="37">
        <f>IF(EXACT(DataLookUp!$B246, ""), "", DataLookUp!$B246)</f>
        <v>32000000000243</v>
      </c>
      <c r="C246" s="38" t="str">
        <f>MAIN!C246</f>
        <v>Junaidi</v>
      </c>
      <c r="D246" s="91">
        <v>163000000000003</v>
      </c>
      <c r="E246" s="37" t="str">
        <f>IF(EXACT($D246, ""), "", VLOOKUP($D246, [2]DataLookUp!$B$4:$D$15, 2, FALSE ))</f>
        <v>Karyawan Tidak Tetap (Kontrak)</v>
      </c>
      <c r="F246" s="91"/>
      <c r="G246" s="37" t="str">
        <f>IF(EXACT($F246, ""), "", VLOOKUP($F246, 'MAIN - OrgDepartment'!$C$3:$D$104, 2, FALSE))</f>
        <v/>
      </c>
      <c r="H246" s="91"/>
      <c r="I246" s="37" t="str">
        <f>IF(EXACT($H246, ""), "", VLOOKUP($H246, 'MAIN - OrgJobsPos'!$B$2:$C$101, 2, FALSE))</f>
        <v/>
      </c>
      <c r="J246" s="67"/>
      <c r="K246" s="63"/>
      <c r="L246" s="10" t="s">
        <v>7</v>
      </c>
      <c r="M246" s="11"/>
      <c r="O246" s="29">
        <f t="shared" si="6"/>
        <v>164000000000243</v>
      </c>
      <c r="P246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32000000000243::bigint, 163000000000003::bigint, null::bigint, null::bigint, null::varchar, null::timestamptz, '1900-12-31 23:59:59+07'::timestamptz, null::bigint);</v>
      </c>
    </row>
    <row r="247" spans="2:16" x14ac:dyDescent="0.2">
      <c r="B247" s="37">
        <f>IF(EXACT(DataLookUp!$B247, ""), "", DataLookUp!$B247)</f>
        <v>32000000000244</v>
      </c>
      <c r="C247" s="38" t="str">
        <f>MAIN!C247</f>
        <v>Jusuf Bobby Putra</v>
      </c>
      <c r="D247" s="91">
        <v>163000000000003</v>
      </c>
      <c r="E247" s="37" t="str">
        <f>IF(EXACT($D247, ""), "", VLOOKUP($D247, [2]DataLookUp!$B$4:$D$15, 2, FALSE ))</f>
        <v>Karyawan Tidak Tetap (Kontrak)</v>
      </c>
      <c r="F247" s="91"/>
      <c r="G247" s="37" t="str">
        <f>IF(EXACT($F247, ""), "", VLOOKUP($F247, 'MAIN - OrgDepartment'!$C$3:$D$104, 2, FALSE))</f>
        <v/>
      </c>
      <c r="H247" s="91"/>
      <c r="I247" s="37" t="str">
        <f>IF(EXACT($H247, ""), "", VLOOKUP($H247, 'MAIN - OrgJobsPos'!$B$2:$C$101, 2, FALSE))</f>
        <v/>
      </c>
      <c r="J247" s="67"/>
      <c r="K247" s="63"/>
      <c r="L247" s="10" t="s">
        <v>7</v>
      </c>
      <c r="M247" s="11"/>
      <c r="O247" s="29">
        <f t="shared" si="6"/>
        <v>164000000000244</v>
      </c>
      <c r="P247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32000000000244::bigint, 163000000000003::bigint, null::bigint, null::bigint, null::varchar, null::timestamptz, '1900-12-31 23:59:59+07'::timestamptz, null::bigint);</v>
      </c>
    </row>
    <row r="248" spans="2:16" x14ac:dyDescent="0.2">
      <c r="B248" s="37">
        <f>IF(EXACT(DataLookUp!$B248, ""), "", DataLookUp!$B248)</f>
        <v>32000000000245</v>
      </c>
      <c r="C248" s="38" t="str">
        <f>MAIN!C248</f>
        <v>Jusuf Gandi</v>
      </c>
      <c r="D248" s="91">
        <v>163000000000003</v>
      </c>
      <c r="E248" s="37" t="str">
        <f>IF(EXACT($D248, ""), "", VLOOKUP($D248, [2]DataLookUp!$B$4:$D$15, 2, FALSE ))</f>
        <v>Karyawan Tidak Tetap (Kontrak)</v>
      </c>
      <c r="F248" s="91"/>
      <c r="G248" s="37" t="str">
        <f>IF(EXACT($F248, ""), "", VLOOKUP($F248, 'MAIN - OrgDepartment'!$C$3:$D$104, 2, FALSE))</f>
        <v/>
      </c>
      <c r="H248" s="91"/>
      <c r="I248" s="37" t="str">
        <f>IF(EXACT($H248, ""), "", VLOOKUP($H248, 'MAIN - OrgJobsPos'!$B$2:$C$101, 2, FALSE))</f>
        <v/>
      </c>
      <c r="J248" s="67"/>
      <c r="K248" s="63"/>
      <c r="L248" s="10" t="s">
        <v>7</v>
      </c>
      <c r="M248" s="11"/>
      <c r="O248" s="29">
        <f t="shared" si="6"/>
        <v>164000000000245</v>
      </c>
      <c r="P24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32000000000245::bigint, 163000000000003::bigint, null::bigint, null::bigint, null::varchar, null::timestamptz, '1900-12-31 23:59:59+07'::timestamptz, null::bigint);</v>
      </c>
    </row>
    <row r="249" spans="2:16" x14ac:dyDescent="0.2">
      <c r="B249" s="37">
        <f>IF(EXACT(DataLookUp!$B249, ""), "", DataLookUp!$B249)</f>
        <v>32000000000246</v>
      </c>
      <c r="C249" s="38" t="str">
        <f>MAIN!C249</f>
        <v>Kahar Triyono</v>
      </c>
      <c r="D249" s="91">
        <v>163000000000003</v>
      </c>
      <c r="E249" s="37" t="str">
        <f>IF(EXACT($D249, ""), "", VLOOKUP($D249, [2]DataLookUp!$B$4:$D$15, 2, FALSE ))</f>
        <v>Karyawan Tidak Tetap (Kontrak)</v>
      </c>
      <c r="F249" s="91"/>
      <c r="G249" s="37" t="str">
        <f>IF(EXACT($F249, ""), "", VLOOKUP($F249, 'MAIN - OrgDepartment'!$C$3:$D$104, 2, FALSE))</f>
        <v/>
      </c>
      <c r="H249" s="91"/>
      <c r="I249" s="37" t="str">
        <f>IF(EXACT($H249, ""), "", VLOOKUP($H249, 'MAIN - OrgJobsPos'!$B$2:$C$101, 2, FALSE))</f>
        <v/>
      </c>
      <c r="J249" s="67"/>
      <c r="K249" s="63"/>
      <c r="L249" s="10" t="s">
        <v>7</v>
      </c>
      <c r="M249" s="11"/>
      <c r="O249" s="29">
        <f t="shared" si="6"/>
        <v>164000000000246</v>
      </c>
      <c r="P249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32000000000246::bigint, 163000000000003::bigint, null::bigint, null::bigint, null::varchar, null::timestamptz, '1900-12-31 23:59:59+07'::timestamptz, null::bigint);</v>
      </c>
    </row>
    <row r="250" spans="2:16" x14ac:dyDescent="0.2">
      <c r="B250" s="37">
        <f>IF(EXACT(DataLookUp!$B250, ""), "", DataLookUp!$B250)</f>
        <v>32000000000247</v>
      </c>
      <c r="C250" s="38" t="str">
        <f>MAIN!C250</f>
        <v>Keila</v>
      </c>
      <c r="D250" s="91">
        <v>163000000000003</v>
      </c>
      <c r="E250" s="37" t="str">
        <f>IF(EXACT($D250, ""), "", VLOOKUP($D250, [2]DataLookUp!$B$4:$D$15, 2, FALSE ))</f>
        <v>Karyawan Tidak Tetap (Kontrak)</v>
      </c>
      <c r="F250" s="91"/>
      <c r="G250" s="37" t="str">
        <f>IF(EXACT($F250, ""), "", VLOOKUP($F250, 'MAIN - OrgDepartment'!$C$3:$D$104, 2, FALSE))</f>
        <v/>
      </c>
      <c r="H250" s="91"/>
      <c r="I250" s="37" t="str">
        <f>IF(EXACT($H250, ""), "", VLOOKUP($H250, 'MAIN - OrgJobsPos'!$B$2:$C$101, 2, FALSE))</f>
        <v/>
      </c>
      <c r="J250" s="67"/>
      <c r="K250" s="63"/>
      <c r="L250" s="10" t="s">
        <v>7</v>
      </c>
      <c r="M250" s="11"/>
      <c r="O250" s="29">
        <f t="shared" si="6"/>
        <v>164000000000247</v>
      </c>
      <c r="P250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32000000000247::bigint, 163000000000003::bigint, null::bigint, null::bigint, null::varchar, null::timestamptz, '1900-12-31 23:59:59+07'::timestamptz, null::bigint);</v>
      </c>
    </row>
    <row r="251" spans="2:16" x14ac:dyDescent="0.2">
      <c r="B251" s="37">
        <f>IF(EXACT(DataLookUp!$B251, ""), "", DataLookUp!$B251)</f>
        <v>32000000000248</v>
      </c>
      <c r="C251" s="38" t="str">
        <f>MAIN!C251</f>
        <v>Kendra Daniswara</v>
      </c>
      <c r="D251" s="91">
        <v>163000000000003</v>
      </c>
      <c r="E251" s="37" t="str">
        <f>IF(EXACT($D251, ""), "", VLOOKUP($D251, [2]DataLookUp!$B$4:$D$15, 2, FALSE ))</f>
        <v>Karyawan Tidak Tetap (Kontrak)</v>
      </c>
      <c r="F251" s="91"/>
      <c r="G251" s="37" t="str">
        <f>IF(EXACT($F251, ""), "", VLOOKUP($F251, 'MAIN - OrgDepartment'!$C$3:$D$104, 2, FALSE))</f>
        <v/>
      </c>
      <c r="H251" s="91"/>
      <c r="I251" s="37" t="str">
        <f>IF(EXACT($H251, ""), "", VLOOKUP($H251, 'MAIN - OrgJobsPos'!$B$2:$C$101, 2, FALSE))</f>
        <v/>
      </c>
      <c r="J251" s="67"/>
      <c r="K251" s="63"/>
      <c r="L251" s="10" t="s">
        <v>7</v>
      </c>
      <c r="M251" s="11"/>
      <c r="O251" s="29">
        <f t="shared" si="6"/>
        <v>164000000000248</v>
      </c>
      <c r="P251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32000000000248::bigint, 163000000000003::bigint, null::bigint, null::bigint, null::varchar, null::timestamptz, '1900-12-31 23:59:59+07'::timestamptz, null::bigint);</v>
      </c>
    </row>
    <row r="252" spans="2:16" x14ac:dyDescent="0.2">
      <c r="B252" s="37">
        <f>IF(EXACT(DataLookUp!$B252, ""), "", DataLookUp!$B252)</f>
        <v>32000000000249</v>
      </c>
      <c r="C252" s="38" t="str">
        <f>MAIN!C252</f>
        <v>Kevin Henokh Tambunan</v>
      </c>
      <c r="D252" s="91">
        <v>163000000000003</v>
      </c>
      <c r="E252" s="37" t="str">
        <f>IF(EXACT($D252, ""), "", VLOOKUP($D252, [2]DataLookUp!$B$4:$D$15, 2, FALSE ))</f>
        <v>Karyawan Tidak Tetap (Kontrak)</v>
      </c>
      <c r="F252" s="91"/>
      <c r="G252" s="37" t="str">
        <f>IF(EXACT($F252, ""), "", VLOOKUP($F252, 'MAIN - OrgDepartment'!$C$3:$D$104, 2, FALSE))</f>
        <v/>
      </c>
      <c r="H252" s="91"/>
      <c r="I252" s="37" t="str">
        <f>IF(EXACT($H252, ""), "", VLOOKUP($H252, 'MAIN - OrgJobsPos'!$B$2:$C$101, 2, FALSE))</f>
        <v/>
      </c>
      <c r="J252" s="67"/>
      <c r="K252" s="63"/>
      <c r="L252" s="10" t="s">
        <v>7</v>
      </c>
      <c r="M252" s="11"/>
      <c r="O252" s="29">
        <f t="shared" si="6"/>
        <v>164000000000249</v>
      </c>
      <c r="P252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32000000000249::bigint, 163000000000003::bigint, null::bigint, null::bigint, null::varchar, null::timestamptz, '1900-12-31 23:59:59+07'::timestamptz, null::bigint);</v>
      </c>
    </row>
    <row r="253" spans="2:16" x14ac:dyDescent="0.2">
      <c r="B253" s="37">
        <f>IF(EXACT(DataLookUp!$B253, ""), "", DataLookUp!$B253)</f>
        <v>32000000000250</v>
      </c>
      <c r="C253" s="38" t="str">
        <f>MAIN!C253</f>
        <v>Khafid Fahrurrozi</v>
      </c>
      <c r="D253" s="91">
        <v>163000000000002</v>
      </c>
      <c r="E253" s="37" t="str">
        <f>IF(EXACT($D253, ""), "", VLOOKUP($D253, [2]DataLookUp!$B$4:$D$15, 2, FALSE ))</f>
        <v>Karyawan Tetap (Purna Waktu)</v>
      </c>
      <c r="F253" s="91"/>
      <c r="G253" s="37" t="str">
        <f>IF(EXACT($F253, ""), "", VLOOKUP($F253, 'MAIN - OrgDepartment'!$C$3:$D$104, 2, FALSE))</f>
        <v/>
      </c>
      <c r="H253" s="91"/>
      <c r="I253" s="37" t="str">
        <f>IF(EXACT($H253, ""), "", VLOOKUP($H253, 'MAIN - OrgJobsPos'!$B$2:$C$101, 2, FALSE))</f>
        <v/>
      </c>
      <c r="J253" s="67"/>
      <c r="K253" s="63"/>
      <c r="L253" s="10" t="s">
        <v>7</v>
      </c>
      <c r="M253" s="11"/>
      <c r="O253" s="29">
        <f t="shared" si="6"/>
        <v>164000000000250</v>
      </c>
      <c r="P253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32000000000250::bigint, 163000000000002::bigint, null::bigint, null::bigint, null::varchar, null::timestamptz, '1900-12-31 23:59:59+07'::timestamptz, null::bigint);</v>
      </c>
    </row>
    <row r="254" spans="2:16" x14ac:dyDescent="0.2">
      <c r="B254" s="37">
        <f>IF(EXACT(DataLookUp!$B254, ""), "", DataLookUp!$B254)</f>
        <v>32000000000251</v>
      </c>
      <c r="C254" s="38" t="str">
        <f>MAIN!C254</f>
        <v>Kholik</v>
      </c>
      <c r="D254" s="91">
        <v>163000000000002</v>
      </c>
      <c r="E254" s="37" t="str">
        <f>IF(EXACT($D254, ""), "", VLOOKUP($D254, [2]DataLookUp!$B$4:$D$15, 2, FALSE ))</f>
        <v>Karyawan Tetap (Purna Waktu)</v>
      </c>
      <c r="F254" s="91"/>
      <c r="G254" s="37" t="str">
        <f>IF(EXACT($F254, ""), "", VLOOKUP($F254, 'MAIN - OrgDepartment'!$C$3:$D$104, 2, FALSE))</f>
        <v/>
      </c>
      <c r="H254" s="91"/>
      <c r="I254" s="37" t="str">
        <f>IF(EXACT($H254, ""), "", VLOOKUP($H254, 'MAIN - OrgJobsPos'!$B$2:$C$101, 2, FALSE))</f>
        <v/>
      </c>
      <c r="J254" s="67"/>
      <c r="K254" s="63"/>
      <c r="L254" s="10" t="s">
        <v>7</v>
      </c>
      <c r="M254" s="11"/>
      <c r="O254" s="29">
        <f t="shared" si="6"/>
        <v>164000000000251</v>
      </c>
      <c r="P254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32000000000251::bigint, 163000000000002::bigint, null::bigint, null::bigint, null::varchar, null::timestamptz, '1900-12-31 23:59:59+07'::timestamptz, null::bigint);</v>
      </c>
    </row>
    <row r="255" spans="2:16" x14ac:dyDescent="0.2">
      <c r="B255" s="37">
        <f>IF(EXACT(DataLookUp!$B255, ""), "", DataLookUp!$B255)</f>
        <v>32000000000252</v>
      </c>
      <c r="C255" s="38" t="str">
        <f>MAIN!C255</f>
        <v>Kiki Mustikawati</v>
      </c>
      <c r="D255" s="91">
        <v>163000000000003</v>
      </c>
      <c r="E255" s="37" t="str">
        <f>IF(EXACT($D255, ""), "", VLOOKUP($D255, [2]DataLookUp!$B$4:$D$15, 2, FALSE ))</f>
        <v>Karyawan Tidak Tetap (Kontrak)</v>
      </c>
      <c r="F255" s="91">
        <v>111000000000005</v>
      </c>
      <c r="G255" s="37" t="str">
        <f>IF(EXACT($F255, ""), "", VLOOKUP($F255, 'MAIN - OrgDepartment'!$C$3:$D$104, 2, FALSE))</f>
        <v>Finance &amp; Accounting</v>
      </c>
      <c r="H255" s="91">
        <v>160000000000008</v>
      </c>
      <c r="I255" s="37" t="str">
        <f>IF(EXACT($H255, ""), "", VLOOKUP($H255, 'MAIN - OrgJobsPos'!$B$2:$C$101, 2, FALSE))</f>
        <v>General Manager</v>
      </c>
      <c r="J255" s="67"/>
      <c r="K255" s="63"/>
      <c r="L255" s="10" t="s">
        <v>3</v>
      </c>
      <c r="M255" s="11"/>
      <c r="O255" s="29">
        <f t="shared" si="6"/>
        <v>164000000000252</v>
      </c>
      <c r="P255" s="30" t="str">
        <f t="shared" si="7"/>
        <v>PERFORM "SchData-OLTP-HumanResource"."Func_TblWorkerCareerInternal_SET"(varSystemLoginSession, null::bigint, null::varchar, null::timestamptz, '9999-12-31 23:59:59+07'::timestamptz, null::varchar, varInstitutionBranchID, varBaseCurrencyID, 32000000000252::bigint, 163000000000003::bigint, 111000000000005::bigint, 160000000000008::bigint, null::varchar, null::timestamptz, '9999-12-31 23:59:59+07'::timestamptz, null::bigint);</v>
      </c>
    </row>
    <row r="256" spans="2:16" x14ac:dyDescent="0.2">
      <c r="B256" s="37">
        <f>IF(EXACT(DataLookUp!$B256, ""), "", DataLookUp!$B256)</f>
        <v>32000000000253</v>
      </c>
      <c r="C256" s="38" t="str">
        <f>MAIN!C256</f>
        <v>Kornelius Sakan</v>
      </c>
      <c r="D256" s="91">
        <v>163000000000003</v>
      </c>
      <c r="E256" s="37" t="str">
        <f>IF(EXACT($D256, ""), "", VLOOKUP($D256, [2]DataLookUp!$B$4:$D$15, 2, FALSE ))</f>
        <v>Karyawan Tidak Tetap (Kontrak)</v>
      </c>
      <c r="F256" s="91">
        <v>111000000000006</v>
      </c>
      <c r="G256" s="37" t="str">
        <f>IF(EXACT($F256, ""), "", VLOOKUP($F256, 'MAIN - OrgDepartment'!$C$3:$D$104, 2, FALSE))</f>
        <v>Human Resource Development</v>
      </c>
      <c r="H256" s="91">
        <v>160000000000003</v>
      </c>
      <c r="I256" s="37" t="str">
        <f>IF(EXACT($H256, ""), "", VLOOKUP($H256, 'MAIN - OrgJobsPos'!$B$2:$C$101, 2, FALSE))</f>
        <v>Staff</v>
      </c>
      <c r="J256" s="67" t="s">
        <v>172</v>
      </c>
      <c r="K256" s="63" t="s">
        <v>228</v>
      </c>
      <c r="L256" s="10" t="s">
        <v>3</v>
      </c>
      <c r="M256" s="11"/>
      <c r="O256" s="29">
        <f t="shared" si="6"/>
        <v>164000000000253</v>
      </c>
      <c r="P256" s="30" t="str">
        <f t="shared" si="7"/>
        <v>PERFORM "SchData-OLTP-HumanResource"."Func_TblWorkerCareerInternal_SET"(varSystemLoginSession, null::bigint, null::varchar, '2003-08-19 00:00:00+07'::timestamptz, '9999-12-31 23:59:59+07'::timestamptz, null::varchar, varInstitutionBranchID, varBaseCurrencyID, 32000000000253::bigint, 163000000000003::bigint, 111000000000006::bigint, 160000000000003::bigint, 'GA Staff'::varchar, '2003-08-19 00:00:00+07'::timestamptz, '9999-12-31 23:59:59+07'::timestamptz, null::bigint);</v>
      </c>
    </row>
    <row r="257" spans="2:16" x14ac:dyDescent="0.2">
      <c r="B257" s="37">
        <f>IF(EXACT(DataLookUp!$B257, ""), "", DataLookUp!$B257)</f>
        <v>32000000000254</v>
      </c>
      <c r="C257" s="38" t="str">
        <f>MAIN!C257</f>
        <v>Kosasih</v>
      </c>
      <c r="D257" s="91">
        <v>163000000000003</v>
      </c>
      <c r="E257" s="37" t="str">
        <f>IF(EXACT($D257, ""), "", VLOOKUP($D257, [2]DataLookUp!$B$4:$D$15, 2, FALSE ))</f>
        <v>Karyawan Tidak Tetap (Kontrak)</v>
      </c>
      <c r="F257" s="91"/>
      <c r="G257" s="37" t="str">
        <f>IF(EXACT($F257, ""), "", VLOOKUP($F257, 'MAIN - OrgDepartment'!$C$3:$D$104, 2, FALSE))</f>
        <v/>
      </c>
      <c r="H257" s="91"/>
      <c r="I257" s="37" t="str">
        <f>IF(EXACT($H257, ""), "", VLOOKUP($H257, 'MAIN - OrgJobsPos'!$B$2:$C$101, 2, FALSE))</f>
        <v/>
      </c>
      <c r="J257" s="67"/>
      <c r="K257" s="63"/>
      <c r="L257" s="10" t="s">
        <v>7</v>
      </c>
      <c r="M257" s="11"/>
      <c r="O257" s="29">
        <f t="shared" si="6"/>
        <v>164000000000254</v>
      </c>
      <c r="P257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32000000000254::bigint, 163000000000003::bigint, null::bigint, null::bigint, null::varchar, null::timestamptz, '1900-12-31 23:59:59+07'::timestamptz, null::bigint);</v>
      </c>
    </row>
    <row r="258" spans="2:16" x14ac:dyDescent="0.2">
      <c r="B258" s="37">
        <f>IF(EXACT(DataLookUp!$B258, ""), "", DataLookUp!$B258)</f>
        <v>32000000000255</v>
      </c>
      <c r="C258" s="38" t="str">
        <f>MAIN!C258</f>
        <v>Krisnawan</v>
      </c>
      <c r="D258" s="91">
        <v>163000000000003</v>
      </c>
      <c r="E258" s="37" t="str">
        <f>IF(EXACT($D258, ""), "", VLOOKUP($D258, [2]DataLookUp!$B$4:$D$15, 2, FALSE ))</f>
        <v>Karyawan Tidak Tetap (Kontrak)</v>
      </c>
      <c r="F258" s="91"/>
      <c r="G258" s="37" t="str">
        <f>IF(EXACT($F258, ""), "", VLOOKUP($F258, 'MAIN - OrgDepartment'!$C$3:$D$104, 2, FALSE))</f>
        <v/>
      </c>
      <c r="H258" s="91"/>
      <c r="I258" s="37" t="str">
        <f>IF(EXACT($H258, ""), "", VLOOKUP($H258, 'MAIN - OrgJobsPos'!$B$2:$C$101, 2, FALSE))</f>
        <v/>
      </c>
      <c r="J258" s="67"/>
      <c r="K258" s="63"/>
      <c r="L258" s="10" t="s">
        <v>7</v>
      </c>
      <c r="M258" s="11"/>
      <c r="O258" s="29">
        <f t="shared" si="6"/>
        <v>164000000000255</v>
      </c>
      <c r="P258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32000000000255::bigint, 163000000000003::bigint, null::bigint, null::bigint, null::varchar, null::timestamptz, '1900-12-31 23:59:59+07'::timestamptz, null::bigint);</v>
      </c>
    </row>
    <row r="259" spans="2:16" x14ac:dyDescent="0.2">
      <c r="B259" s="37">
        <f>IF(EXACT(DataLookUp!$B259, ""), "", DataLookUp!$B259)</f>
        <v>32000000000256</v>
      </c>
      <c r="C259" s="38" t="str">
        <f>MAIN!C259</f>
        <v>Kurniadi</v>
      </c>
      <c r="D259" s="91">
        <v>163000000000003</v>
      </c>
      <c r="E259" s="37" t="str">
        <f>IF(EXACT($D259, ""), "", VLOOKUP($D259, [2]DataLookUp!$B$4:$D$15, 2, FALSE ))</f>
        <v>Karyawan Tidak Tetap (Kontrak)</v>
      </c>
      <c r="F259" s="91"/>
      <c r="G259" s="37" t="str">
        <f>IF(EXACT($F259, ""), "", VLOOKUP($F259, 'MAIN - OrgDepartment'!$C$3:$D$104, 2, FALSE))</f>
        <v/>
      </c>
      <c r="H259" s="91"/>
      <c r="I259" s="37" t="str">
        <f>IF(EXACT($H259, ""), "", VLOOKUP($H259, 'MAIN - OrgJobsPos'!$B$2:$C$101, 2, FALSE))</f>
        <v/>
      </c>
      <c r="J259" s="67"/>
      <c r="K259" s="63"/>
      <c r="L259" s="10" t="s">
        <v>7</v>
      </c>
      <c r="M259" s="11"/>
      <c r="O259" s="29">
        <f t="shared" si="6"/>
        <v>164000000000256</v>
      </c>
      <c r="P259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32000000000256::bigint, 163000000000003::bigint, null::bigint, null::bigint, null::varchar, null::timestamptz, '1900-12-31 23:59:59+07'::timestamptz, null::bigint);</v>
      </c>
    </row>
    <row r="260" spans="2:16" x14ac:dyDescent="0.2">
      <c r="B260" s="37">
        <f>IF(EXACT(DataLookUp!$B260, ""), "", DataLookUp!$B260)</f>
        <v>32000000000257</v>
      </c>
      <c r="C260" s="38" t="str">
        <f>MAIN!C260</f>
        <v>Kurniawan</v>
      </c>
      <c r="D260" s="91">
        <v>163000000000003</v>
      </c>
      <c r="E260" s="37" t="str">
        <f>IF(EXACT($D260, ""), "", VLOOKUP($D260, [2]DataLookUp!$B$4:$D$15, 2, FALSE ))</f>
        <v>Karyawan Tidak Tetap (Kontrak)</v>
      </c>
      <c r="F260" s="91"/>
      <c r="G260" s="37" t="str">
        <f>IF(EXACT($F260, ""), "", VLOOKUP($F260, 'MAIN - OrgDepartment'!$C$3:$D$104, 2, FALSE))</f>
        <v/>
      </c>
      <c r="H260" s="91"/>
      <c r="I260" s="37" t="str">
        <f>IF(EXACT($H260, ""), "", VLOOKUP($H260, 'MAIN - OrgJobsPos'!$B$2:$C$101, 2, FALSE))</f>
        <v/>
      </c>
      <c r="J260" s="67"/>
      <c r="K260" s="63"/>
      <c r="L260" s="10" t="s">
        <v>7</v>
      </c>
      <c r="M260" s="11"/>
      <c r="O260" s="29">
        <f t="shared" si="6"/>
        <v>164000000000257</v>
      </c>
      <c r="P260" s="30" t="str">
        <f t="shared" si="7"/>
        <v>PERFORM "SchData-OLTP-HumanResource"."Func_TblWorkerCareerInternal_SET"(varSystemLoginSession, null::bigint, null::varchar, null::timestamptz, '1900-12-31 23:59:59+07'::timestamptz, null::varchar, varInstitutionBranchID, varBaseCurrencyID, 32000000000257::bigint, 163000000000003::bigint, null::bigint, null::bigint, null::varchar, null::timestamptz, '1900-12-31 23:59:59+07'::timestamptz, null::bigint);</v>
      </c>
    </row>
    <row r="261" spans="2:16" x14ac:dyDescent="0.2">
      <c r="B261" s="37">
        <f>IF(EXACT(DataLookUp!$B261, ""), "", DataLookUp!$B261)</f>
        <v>32000000000258</v>
      </c>
      <c r="C261" s="38" t="str">
        <f>MAIN!C261</f>
        <v>Laode</v>
      </c>
      <c r="D261" s="91">
        <v>163000000000003</v>
      </c>
      <c r="E261" s="37" t="str">
        <f>IF(EXACT($D261, ""), "", VLOOKUP($D261, [2]DataLookUp!$B$4:$D$15, 2, FALSE ))</f>
        <v>Karyawan Tidak Tetap (Kontrak)</v>
      </c>
      <c r="F261" s="91"/>
      <c r="G261" s="37" t="str">
        <f>IF(EXACT($F261, ""), "", VLOOKUP($F261, 'MAIN - OrgDepartment'!$C$3:$D$104, 2, FALSE))</f>
        <v/>
      </c>
      <c r="H261" s="91"/>
      <c r="I261" s="37" t="str">
        <f>IF(EXACT($H261, ""), "", VLOOKUP($H261, 'MAIN - OrgJobsPos'!$B$2:$C$101, 2, FALSE))</f>
        <v/>
      </c>
      <c r="J261" s="67"/>
      <c r="K261" s="63"/>
      <c r="L261" s="10" t="s">
        <v>7</v>
      </c>
      <c r="M261" s="11"/>
      <c r="O261" s="29">
        <f t="shared" ref="O261:O324" si="8" xml:space="preserve"> O260 + IF(EXACT(P261, ""), 0, 1)</f>
        <v>164000000000258</v>
      </c>
      <c r="P261" s="30" t="str">
        <f t="shared" ref="P261:P324" si="9">CONCATENATE("PERFORM ""SchData-OLTP-HumanResource"".""Func_TblWorkerCareerInternal_SET""(varSystemLoginSession, null::bigint, null::varchar",
CONCATENATE(IF(EXACT($K261, ""), ", null", CONCATENATE(", '", $K261, "'")), "::timestamptz"),
CONCATENATE(IF(EXACT($L261, ""), ", null", CONCATENATE(", '", $L261, "'")), "::timestamptz"),
", null::varchar, varInstitutionBranchID, varBaseCurrencyID",
CONCATENATE(IF(EXACT($B261, ""), ", null", CONCATENATE(", ", $B261, "")), "::bigint"),
CONCATENATE(IF(EXACT($D261, ""), ", null", CONCATENATE(", ", $D261, "")), "::bigint"),
CONCATENATE(IF(EXACT($F261, ""), ", null", CONCATENATE(", ", $F261, "")), "::bigint"),
CONCATENATE(IF(EXACT($H261, ""), ", null", CONCATENATE(", ", $H261, "")), "::bigint"),
CONCATENATE(IF(EXACT($J261, ""), ", null", CONCATENATE(", '", $J261, "'")), "::varchar"),
CONCATENATE(IF(EXACT($K261, ""), ", null", CONCATENATE(", '", $K261, "'")), "::timestamptz"),
CONCATENATE(IF(EXACT($L261, ""), ", null", CONCATENATE(", '", $L261, "'")), "::timestamptz"),
CONCATENATE(IF(EXACT($M261, ""), ", null", CONCATENATE(", ", $M261,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32000000000258::bigint, 163000000000003::bigint, null::bigint, null::bigint, null::varchar, null::timestamptz, '1900-12-31 23:59:59+07'::timestamptz, null::bigint);</v>
      </c>
    </row>
    <row r="262" spans="2:16" x14ac:dyDescent="0.2">
      <c r="B262" s="37">
        <f>IF(EXACT(DataLookUp!$B262, ""), "", DataLookUp!$B262)</f>
        <v>32000000000259</v>
      </c>
      <c r="C262" s="38" t="str">
        <f>MAIN!C262</f>
        <v>Leo Nababan</v>
      </c>
      <c r="D262" s="91">
        <v>163000000000003</v>
      </c>
      <c r="E262" s="37" t="str">
        <f>IF(EXACT($D262, ""), "", VLOOKUP($D262, [2]DataLookUp!$B$4:$D$15, 2, FALSE ))</f>
        <v>Karyawan Tidak Tetap (Kontrak)</v>
      </c>
      <c r="F262" s="91"/>
      <c r="G262" s="37" t="str">
        <f>IF(EXACT($F262, ""), "", VLOOKUP($F262, 'MAIN - OrgDepartment'!$C$3:$D$104, 2, FALSE))</f>
        <v/>
      </c>
      <c r="H262" s="91"/>
      <c r="I262" s="37" t="str">
        <f>IF(EXACT($H262, ""), "", VLOOKUP($H262, 'MAIN - OrgJobsPos'!$B$2:$C$101, 2, FALSE))</f>
        <v/>
      </c>
      <c r="J262" s="67"/>
      <c r="K262" s="63"/>
      <c r="L262" s="10" t="s">
        <v>7</v>
      </c>
      <c r="M262" s="11"/>
      <c r="O262" s="29">
        <f t="shared" si="8"/>
        <v>164000000000259</v>
      </c>
      <c r="P26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32000000000259::bigint, 163000000000003::bigint, null::bigint, null::bigint, null::varchar, null::timestamptz, '1900-12-31 23:59:59+07'::timestamptz, null::bigint);</v>
      </c>
    </row>
    <row r="263" spans="2:16" x14ac:dyDescent="0.2">
      <c r="B263" s="37">
        <f>IF(EXACT(DataLookUp!$B263, ""), "", DataLookUp!$B263)</f>
        <v>32000000000260</v>
      </c>
      <c r="C263" s="38" t="str">
        <f>MAIN!C263</f>
        <v>Liani Atmaningrum</v>
      </c>
      <c r="D263" s="91">
        <v>163000000000003</v>
      </c>
      <c r="E263" s="37" t="str">
        <f>IF(EXACT($D263, ""), "", VLOOKUP($D263, [2]DataLookUp!$B$4:$D$15, 2, FALSE ))</f>
        <v>Karyawan Tidak Tetap (Kontrak)</v>
      </c>
      <c r="F263" s="91"/>
      <c r="G263" s="37" t="str">
        <f>IF(EXACT($F263, ""), "", VLOOKUP($F263, 'MAIN - OrgDepartment'!$C$3:$D$104, 2, FALSE))</f>
        <v/>
      </c>
      <c r="H263" s="91"/>
      <c r="I263" s="37" t="str">
        <f>IF(EXACT($H263, ""), "", VLOOKUP($H263, 'MAIN - OrgJobsPos'!$B$2:$C$101, 2, FALSE))</f>
        <v/>
      </c>
      <c r="J263" s="67"/>
      <c r="K263" s="63"/>
      <c r="L263" s="10" t="s">
        <v>7</v>
      </c>
      <c r="M263" s="11"/>
      <c r="O263" s="29">
        <f t="shared" si="8"/>
        <v>164000000000260</v>
      </c>
      <c r="P26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32000000000260::bigint, 163000000000003::bigint, null::bigint, null::bigint, null::varchar, null::timestamptz, '1900-12-31 23:59:59+07'::timestamptz, null::bigint);</v>
      </c>
    </row>
    <row r="264" spans="2:16" x14ac:dyDescent="0.2">
      <c r="B264" s="37">
        <f>IF(EXACT(DataLookUp!$B264, ""), "", DataLookUp!$B264)</f>
        <v>32000000000261</v>
      </c>
      <c r="C264" s="38" t="str">
        <f>MAIN!C264</f>
        <v>Liaseptriani Liaseptriani</v>
      </c>
      <c r="D264" s="91">
        <v>163000000000003</v>
      </c>
      <c r="E264" s="37" t="str">
        <f>IF(EXACT($D264, ""), "", VLOOKUP($D264, [2]DataLookUp!$B$4:$D$15, 2, FALSE ))</f>
        <v>Karyawan Tidak Tetap (Kontrak)</v>
      </c>
      <c r="F264" s="91"/>
      <c r="G264" s="37" t="str">
        <f>IF(EXACT($F264, ""), "", VLOOKUP($F264, 'MAIN - OrgDepartment'!$C$3:$D$104, 2, FALSE))</f>
        <v/>
      </c>
      <c r="H264" s="91"/>
      <c r="I264" s="37" t="str">
        <f>IF(EXACT($H264, ""), "", VLOOKUP($H264, 'MAIN - OrgJobsPos'!$B$2:$C$101, 2, FALSE))</f>
        <v/>
      </c>
      <c r="J264" s="67"/>
      <c r="K264" s="63"/>
      <c r="L264" s="10" t="s">
        <v>7</v>
      </c>
      <c r="M264" s="11"/>
      <c r="O264" s="29">
        <f t="shared" si="8"/>
        <v>164000000000261</v>
      </c>
      <c r="P264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32000000000261::bigint, 163000000000003::bigint, null::bigint, null::bigint, null::varchar, null::timestamptz, '1900-12-31 23:59:59+07'::timestamptz, null::bigint);</v>
      </c>
    </row>
    <row r="265" spans="2:16" x14ac:dyDescent="0.2">
      <c r="B265" s="37">
        <f>IF(EXACT(DataLookUp!$B265, ""), "", DataLookUp!$B265)</f>
        <v>32000000000262</v>
      </c>
      <c r="C265" s="38" t="str">
        <f>MAIN!C265</f>
        <v>Lisma Natalia</v>
      </c>
      <c r="D265" s="91">
        <v>163000000000003</v>
      </c>
      <c r="E265" s="37" t="str">
        <f>IF(EXACT($D265, ""), "", VLOOKUP($D265, [2]DataLookUp!$B$4:$D$15, 2, FALSE ))</f>
        <v>Karyawan Tidak Tetap (Kontrak)</v>
      </c>
      <c r="F265" s="91">
        <v>111000000000001</v>
      </c>
      <c r="G265" s="37" t="str">
        <f>IF(EXACT($F265, ""), "", VLOOKUP($F265, 'MAIN - OrgDepartment'!$C$3:$D$104, 2, FALSE))</f>
        <v>Non Department</v>
      </c>
      <c r="H265" s="91">
        <v>160000000000005</v>
      </c>
      <c r="I265" s="37" t="str">
        <f>IF(EXACT($H265, ""), "", VLOOKUP($H265, 'MAIN - OrgJobsPos'!$B$2:$C$101, 2, FALSE))</f>
        <v>Senior Supervisor</v>
      </c>
      <c r="J265" s="67" t="s">
        <v>173</v>
      </c>
      <c r="K265" s="63" t="s">
        <v>229</v>
      </c>
      <c r="L265" s="10" t="s">
        <v>3</v>
      </c>
      <c r="M265" s="11"/>
      <c r="O265" s="29">
        <f t="shared" si="8"/>
        <v>164000000000262</v>
      </c>
      <c r="P265" s="30" t="str">
        <f t="shared" si="9"/>
        <v>PERFORM "SchData-OLTP-HumanResource"."Func_TblWorkerCareerInternal_SET"(varSystemLoginSession, null::bigint, null::varchar, '2018-09-17 00:00:00+07'::timestamptz, '9999-12-31 23:59:59+07'::timestamptz, null::varchar, varInstitutionBranchID, varBaseCurrencyID, 32000000000262::bigint, 163000000000003::bigint, 111000000000001::bigint, 160000000000005::bigint, 'Excecutive Secretary'::varchar, '2018-09-17 00:00:00+07'::timestamptz, '9999-12-31 23:59:59+07'::timestamptz, null::bigint);</v>
      </c>
    </row>
    <row r="266" spans="2:16" x14ac:dyDescent="0.2">
      <c r="B266" s="37">
        <f>IF(EXACT(DataLookUp!$B266, ""), "", DataLookUp!$B266)</f>
        <v>32000000000263</v>
      </c>
      <c r="C266" s="38" t="str">
        <f>MAIN!C266</f>
        <v>Listyo Hartanto</v>
      </c>
      <c r="D266" s="91">
        <v>163000000000003</v>
      </c>
      <c r="E266" s="37" t="str">
        <f>IF(EXACT($D266, ""), "", VLOOKUP($D266, [2]DataLookUp!$B$4:$D$15, 2, FALSE ))</f>
        <v>Karyawan Tidak Tetap (Kontrak)</v>
      </c>
      <c r="F266" s="91"/>
      <c r="G266" s="37" t="str">
        <f>IF(EXACT($F266, ""), "", VLOOKUP($F266, 'MAIN - OrgDepartment'!$C$3:$D$104, 2, FALSE))</f>
        <v/>
      </c>
      <c r="H266" s="91"/>
      <c r="I266" s="37" t="str">
        <f>IF(EXACT($H266, ""), "", VLOOKUP($H266, 'MAIN - OrgJobsPos'!$B$2:$C$101, 2, FALSE))</f>
        <v/>
      </c>
      <c r="J266" s="67"/>
      <c r="K266" s="63"/>
      <c r="L266" s="10" t="s">
        <v>7</v>
      </c>
      <c r="M266" s="11"/>
      <c r="O266" s="29">
        <f t="shared" si="8"/>
        <v>164000000000263</v>
      </c>
      <c r="P266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32000000000263::bigint, 163000000000003::bigint, null::bigint, null::bigint, null::varchar, null::timestamptz, '1900-12-31 23:59:59+07'::timestamptz, null::bigint);</v>
      </c>
    </row>
    <row r="267" spans="2:16" x14ac:dyDescent="0.2">
      <c r="B267" s="37">
        <f>IF(EXACT(DataLookUp!$B267, ""), "", DataLookUp!$B267)</f>
        <v>32000000000264</v>
      </c>
      <c r="C267" s="38" t="str">
        <f>MAIN!C267</f>
        <v>M. Ari Ardizah Nasution</v>
      </c>
      <c r="D267" s="91">
        <v>163000000000003</v>
      </c>
      <c r="E267" s="37" t="str">
        <f>IF(EXACT($D267, ""), "", VLOOKUP($D267, [2]DataLookUp!$B$4:$D$15, 2, FALSE ))</f>
        <v>Karyawan Tidak Tetap (Kontrak)</v>
      </c>
      <c r="F267" s="91"/>
      <c r="G267" s="37" t="str">
        <f>IF(EXACT($F267, ""), "", VLOOKUP($F267, 'MAIN - OrgDepartment'!$C$3:$D$104, 2, FALSE))</f>
        <v/>
      </c>
      <c r="H267" s="91"/>
      <c r="I267" s="37" t="str">
        <f>IF(EXACT($H267, ""), "", VLOOKUP($H267, 'MAIN - OrgJobsPos'!$B$2:$C$101, 2, FALSE))</f>
        <v/>
      </c>
      <c r="J267" s="67"/>
      <c r="K267" s="63"/>
      <c r="L267" s="10" t="s">
        <v>7</v>
      </c>
      <c r="M267" s="11"/>
      <c r="O267" s="29">
        <f t="shared" si="8"/>
        <v>164000000000264</v>
      </c>
      <c r="P267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32000000000264::bigint, 163000000000003::bigint, null::bigint, null::bigint, null::varchar, null::timestamptz, '1900-12-31 23:59:59+07'::timestamptz, null::bigint);</v>
      </c>
    </row>
    <row r="268" spans="2:16" x14ac:dyDescent="0.2">
      <c r="B268" s="37">
        <f>IF(EXACT(DataLookUp!$B268, ""), "", DataLookUp!$B268)</f>
        <v>32000000000265</v>
      </c>
      <c r="C268" s="38" t="str">
        <f>MAIN!C268</f>
        <v>M. Denny  Micrazudin</v>
      </c>
      <c r="D268" s="91">
        <v>163000000000003</v>
      </c>
      <c r="E268" s="37" t="str">
        <f>IF(EXACT($D268, ""), "", VLOOKUP($D268, [2]DataLookUp!$B$4:$D$15, 2, FALSE ))</f>
        <v>Karyawan Tidak Tetap (Kontrak)</v>
      </c>
      <c r="F268" s="91"/>
      <c r="G268" s="37" t="str">
        <f>IF(EXACT($F268, ""), "", VLOOKUP($F268, 'MAIN - OrgDepartment'!$C$3:$D$104, 2, FALSE))</f>
        <v/>
      </c>
      <c r="H268" s="91"/>
      <c r="I268" s="37" t="str">
        <f>IF(EXACT($H268, ""), "", VLOOKUP($H268, 'MAIN - OrgJobsPos'!$B$2:$C$101, 2, FALSE))</f>
        <v/>
      </c>
      <c r="J268" s="67"/>
      <c r="K268" s="63"/>
      <c r="L268" s="10" t="s">
        <v>7</v>
      </c>
      <c r="M268" s="11"/>
      <c r="O268" s="29">
        <f t="shared" si="8"/>
        <v>164000000000265</v>
      </c>
      <c r="P268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32000000000265::bigint, 163000000000003::bigint, null::bigint, null::bigint, null::varchar, null::timestamptz, '1900-12-31 23:59:59+07'::timestamptz, null::bigint);</v>
      </c>
    </row>
    <row r="269" spans="2:16" x14ac:dyDescent="0.2">
      <c r="B269" s="37">
        <f>IF(EXACT(DataLookUp!$B269, ""), "", DataLookUp!$B269)</f>
        <v>32000000000266</v>
      </c>
      <c r="C269" s="38" t="str">
        <f>MAIN!C269</f>
        <v>M. Ridho Pramudia</v>
      </c>
      <c r="D269" s="91">
        <v>163000000000003</v>
      </c>
      <c r="E269" s="37" t="str">
        <f>IF(EXACT($D269, ""), "", VLOOKUP($D269, [2]DataLookUp!$B$4:$D$15, 2, FALSE ))</f>
        <v>Karyawan Tidak Tetap (Kontrak)</v>
      </c>
      <c r="F269" s="91"/>
      <c r="G269" s="37" t="str">
        <f>IF(EXACT($F269, ""), "", VLOOKUP($F269, 'MAIN - OrgDepartment'!$C$3:$D$104, 2, FALSE))</f>
        <v/>
      </c>
      <c r="H269" s="91"/>
      <c r="I269" s="37" t="str">
        <f>IF(EXACT($H269, ""), "", VLOOKUP($H269, 'MAIN - OrgJobsPos'!$B$2:$C$101, 2, FALSE))</f>
        <v/>
      </c>
      <c r="J269" s="67"/>
      <c r="K269" s="63"/>
      <c r="L269" s="10" t="s">
        <v>7</v>
      </c>
      <c r="M269" s="11"/>
      <c r="O269" s="29">
        <f t="shared" si="8"/>
        <v>164000000000266</v>
      </c>
      <c r="P269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32000000000266::bigint, 163000000000003::bigint, null::bigint, null::bigint, null::varchar, null::timestamptz, '1900-12-31 23:59:59+07'::timestamptz, null::bigint);</v>
      </c>
    </row>
    <row r="270" spans="2:16" x14ac:dyDescent="0.2">
      <c r="B270" s="37">
        <f>IF(EXACT(DataLookUp!$B270, ""), "", DataLookUp!$B270)</f>
        <v>32000000000267</v>
      </c>
      <c r="C270" s="38" t="str">
        <f>MAIN!C270</f>
        <v>M. Rusdi</v>
      </c>
      <c r="D270" s="91">
        <v>163000000000003</v>
      </c>
      <c r="E270" s="37" t="str">
        <f>IF(EXACT($D270, ""), "", VLOOKUP($D270, [2]DataLookUp!$B$4:$D$15, 2, FALSE ))</f>
        <v>Karyawan Tidak Tetap (Kontrak)</v>
      </c>
      <c r="F270" s="91"/>
      <c r="G270" s="37" t="str">
        <f>IF(EXACT($F270, ""), "", VLOOKUP($F270, 'MAIN - OrgDepartment'!$C$3:$D$104, 2, FALSE))</f>
        <v/>
      </c>
      <c r="H270" s="91"/>
      <c r="I270" s="37" t="str">
        <f>IF(EXACT($H270, ""), "", VLOOKUP($H270, 'MAIN - OrgJobsPos'!$B$2:$C$101, 2, FALSE))</f>
        <v/>
      </c>
      <c r="J270" s="67"/>
      <c r="K270" s="63"/>
      <c r="L270" s="10" t="s">
        <v>7</v>
      </c>
      <c r="M270" s="11"/>
      <c r="O270" s="29">
        <f t="shared" si="8"/>
        <v>164000000000267</v>
      </c>
      <c r="P270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32000000000267::bigint, 163000000000003::bigint, null::bigint, null::bigint, null::varchar, null::timestamptz, '1900-12-31 23:59:59+07'::timestamptz, null::bigint);</v>
      </c>
    </row>
    <row r="271" spans="2:16" x14ac:dyDescent="0.2">
      <c r="B271" s="37">
        <f>IF(EXACT(DataLookUp!$B271, ""), "", DataLookUp!$B271)</f>
        <v>32000000000268</v>
      </c>
      <c r="C271" s="38" t="str">
        <f>MAIN!C271</f>
        <v>M. Ervan Isyawal Akbar</v>
      </c>
      <c r="D271" s="91">
        <v>163000000000003</v>
      </c>
      <c r="E271" s="37" t="str">
        <f>IF(EXACT($D271, ""), "", VLOOKUP($D271, [2]DataLookUp!$B$4:$D$15, 2, FALSE ))</f>
        <v>Karyawan Tidak Tetap (Kontrak)</v>
      </c>
      <c r="F271" s="91"/>
      <c r="G271" s="37" t="str">
        <f>IF(EXACT($F271, ""), "", VLOOKUP($F271, 'MAIN - OrgDepartment'!$C$3:$D$104, 2, FALSE))</f>
        <v/>
      </c>
      <c r="H271" s="91"/>
      <c r="I271" s="37" t="str">
        <f>IF(EXACT($H271, ""), "", VLOOKUP($H271, 'MAIN - OrgJobsPos'!$B$2:$C$101, 2, FALSE))</f>
        <v/>
      </c>
      <c r="J271" s="67"/>
      <c r="K271" s="63"/>
      <c r="L271" s="10" t="s">
        <v>7</v>
      </c>
      <c r="M271" s="11"/>
      <c r="O271" s="29">
        <f t="shared" si="8"/>
        <v>164000000000268</v>
      </c>
      <c r="P271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32000000000268::bigint, 163000000000003::bigint, null::bigint, null::bigint, null::varchar, null::timestamptz, '1900-12-31 23:59:59+07'::timestamptz, null::bigint);</v>
      </c>
    </row>
    <row r="272" spans="2:16" x14ac:dyDescent="0.2">
      <c r="B272" s="37">
        <f>IF(EXACT(DataLookUp!$B272, ""), "", DataLookUp!$B272)</f>
        <v>32000000000269</v>
      </c>
      <c r="C272" s="38" t="str">
        <f>MAIN!C272</f>
        <v>Maharani Tanjungsari</v>
      </c>
      <c r="D272" s="91">
        <v>163000000000003</v>
      </c>
      <c r="E272" s="37" t="str">
        <f>IF(EXACT($D272, ""), "", VLOOKUP($D272, [2]DataLookUp!$B$4:$D$15, 2, FALSE ))</f>
        <v>Karyawan Tidak Tetap (Kontrak)</v>
      </c>
      <c r="F272" s="91"/>
      <c r="G272" s="37" t="str">
        <f>IF(EXACT($F272, ""), "", VLOOKUP($F272, 'MAIN - OrgDepartment'!$C$3:$D$104, 2, FALSE))</f>
        <v/>
      </c>
      <c r="H272" s="91"/>
      <c r="I272" s="37" t="str">
        <f>IF(EXACT($H272, ""), "", VLOOKUP($H272, 'MAIN - OrgJobsPos'!$B$2:$C$101, 2, FALSE))</f>
        <v/>
      </c>
      <c r="J272" s="67"/>
      <c r="K272" s="63"/>
      <c r="L272" s="10" t="s">
        <v>7</v>
      </c>
      <c r="M272" s="11"/>
      <c r="O272" s="29">
        <f t="shared" si="8"/>
        <v>164000000000269</v>
      </c>
      <c r="P27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32000000000269::bigint, 163000000000003::bigint, null::bigint, null::bigint, null::varchar, null::timestamptz, '1900-12-31 23:59:59+07'::timestamptz, null::bigint);</v>
      </c>
    </row>
    <row r="273" spans="2:16" x14ac:dyDescent="0.2">
      <c r="B273" s="37">
        <f>IF(EXACT(DataLookUp!$B273, ""), "", DataLookUp!$B273)</f>
        <v>32000000000270</v>
      </c>
      <c r="C273" s="38" t="str">
        <f>MAIN!C273</f>
        <v>Maharani Uthmaniah</v>
      </c>
      <c r="D273" s="91">
        <v>163000000000003</v>
      </c>
      <c r="E273" s="37" t="str">
        <f>IF(EXACT($D273, ""), "", VLOOKUP($D273, [2]DataLookUp!$B$4:$D$15, 2, FALSE ))</f>
        <v>Karyawan Tidak Tetap (Kontrak)</v>
      </c>
      <c r="F273" s="91"/>
      <c r="G273" s="37" t="str">
        <f>IF(EXACT($F273, ""), "", VLOOKUP($F273, 'MAIN - OrgDepartment'!$C$3:$D$104, 2, FALSE))</f>
        <v/>
      </c>
      <c r="H273" s="91"/>
      <c r="I273" s="37" t="str">
        <f>IF(EXACT($H273, ""), "", VLOOKUP($H273, 'MAIN - OrgJobsPos'!$B$2:$C$101, 2, FALSE))</f>
        <v/>
      </c>
      <c r="J273" s="67"/>
      <c r="K273" s="63"/>
      <c r="L273" s="10" t="s">
        <v>7</v>
      </c>
      <c r="M273" s="11"/>
      <c r="O273" s="29">
        <f t="shared" si="8"/>
        <v>164000000000270</v>
      </c>
      <c r="P27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32000000000270::bigint, 163000000000003::bigint, null::bigint, null::bigint, null::varchar, null::timestamptz, '1900-12-31 23:59:59+07'::timestamptz, null::bigint);</v>
      </c>
    </row>
    <row r="274" spans="2:16" x14ac:dyDescent="0.2">
      <c r="B274" s="37">
        <f>IF(EXACT(DataLookUp!$B274, ""), "", DataLookUp!$B274)</f>
        <v>32000000000271</v>
      </c>
      <c r="C274" s="38" t="str">
        <f>MAIN!C274</f>
        <v>Manotar Tamba</v>
      </c>
      <c r="D274" s="91">
        <v>163000000000002</v>
      </c>
      <c r="E274" s="37" t="str">
        <f>IF(EXACT($D274, ""), "", VLOOKUP($D274, [2]DataLookUp!$B$4:$D$15, 2, FALSE ))</f>
        <v>Karyawan Tetap (Purna Waktu)</v>
      </c>
      <c r="F274" s="91"/>
      <c r="G274" s="37" t="str">
        <f>IF(EXACT($F274, ""), "", VLOOKUP($F274, 'MAIN - OrgDepartment'!$C$3:$D$104, 2, FALSE))</f>
        <v/>
      </c>
      <c r="H274" s="91"/>
      <c r="I274" s="37" t="str">
        <f>IF(EXACT($H274, ""), "", VLOOKUP($H274, 'MAIN - OrgJobsPos'!$B$2:$C$101, 2, FALSE))</f>
        <v/>
      </c>
      <c r="J274" s="67"/>
      <c r="K274" s="63"/>
      <c r="L274" s="10" t="s">
        <v>7</v>
      </c>
      <c r="M274" s="11"/>
      <c r="O274" s="29">
        <f t="shared" si="8"/>
        <v>164000000000271</v>
      </c>
      <c r="P274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32000000000271::bigint, 163000000000002::bigint, null::bigint, null::bigint, null::varchar, null::timestamptz, '1900-12-31 23:59:59+07'::timestamptz, null::bigint);</v>
      </c>
    </row>
    <row r="275" spans="2:16" x14ac:dyDescent="0.2">
      <c r="B275" s="37">
        <f>IF(EXACT(DataLookUp!$B275, ""), "", DataLookUp!$B275)</f>
        <v>32000000000272</v>
      </c>
      <c r="C275" s="38" t="str">
        <f>MAIN!C275</f>
        <v>Maradona Manurung</v>
      </c>
      <c r="D275" s="91">
        <v>163000000000003</v>
      </c>
      <c r="E275" s="37" t="str">
        <f>IF(EXACT($D275, ""), "", VLOOKUP($D275, [2]DataLookUp!$B$4:$D$15, 2, FALSE ))</f>
        <v>Karyawan Tidak Tetap (Kontrak)</v>
      </c>
      <c r="F275" s="91"/>
      <c r="G275" s="37" t="str">
        <f>IF(EXACT($F275, ""), "", VLOOKUP($F275, 'MAIN - OrgDepartment'!$C$3:$D$104, 2, FALSE))</f>
        <v/>
      </c>
      <c r="H275" s="91"/>
      <c r="I275" s="37" t="str">
        <f>IF(EXACT($H275, ""), "", VLOOKUP($H275, 'MAIN - OrgJobsPos'!$B$2:$C$101, 2, FALSE))</f>
        <v/>
      </c>
      <c r="J275" s="67"/>
      <c r="K275" s="63"/>
      <c r="L275" s="10" t="s">
        <v>7</v>
      </c>
      <c r="M275" s="11"/>
      <c r="O275" s="29">
        <f t="shared" si="8"/>
        <v>164000000000272</v>
      </c>
      <c r="P275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32000000000272::bigint, 163000000000003::bigint, null::bigint, null::bigint, null::varchar, null::timestamptz, '1900-12-31 23:59:59+07'::timestamptz, null::bigint);</v>
      </c>
    </row>
    <row r="276" spans="2:16" x14ac:dyDescent="0.2">
      <c r="B276" s="37">
        <f>IF(EXACT(DataLookUp!$B276, ""), "", DataLookUp!$B276)</f>
        <v>32000000000273</v>
      </c>
      <c r="C276" s="38" t="str">
        <f>MAIN!C276</f>
        <v>Pantas Banjarnahor Marbun</v>
      </c>
      <c r="D276" s="91">
        <v>163000000000002</v>
      </c>
      <c r="E276" s="37" t="str">
        <f>IF(EXACT($D276, ""), "", VLOOKUP($D276, [2]DataLookUp!$B$4:$D$15, 2, FALSE ))</f>
        <v>Karyawan Tetap (Purna Waktu)</v>
      </c>
      <c r="F276" s="91">
        <v>111000000000011</v>
      </c>
      <c r="G276" s="37" t="str">
        <f>IF(EXACT($F276, ""), "", VLOOKUP($F276, 'MAIN - OrgDepartment'!$C$3:$D$104, 2, FALSE))</f>
        <v>Project</v>
      </c>
      <c r="H276" s="91"/>
      <c r="I276" s="37" t="str">
        <f>IF(EXACT($H276, ""), "", VLOOKUP($H276, 'MAIN - OrgJobsPos'!$B$2:$C$101, 2, FALSE))</f>
        <v/>
      </c>
      <c r="J276" s="67"/>
      <c r="K276" s="63"/>
      <c r="L276" s="10" t="s">
        <v>3</v>
      </c>
      <c r="M276" s="11"/>
      <c r="O276" s="29">
        <f t="shared" si="8"/>
        <v>164000000000273</v>
      </c>
      <c r="P276" s="30" t="str">
        <f t="shared" si="9"/>
        <v>PERFORM "SchData-OLTP-HumanResource"."Func_TblWorkerCareerInternal_SET"(varSystemLoginSession, null::bigint, null::varchar, null::timestamptz, '9999-12-31 23:59:59+07'::timestamptz, null::varchar, varInstitutionBranchID, varBaseCurrencyID, 32000000000273::bigint, 163000000000002::bigint, 111000000000011::bigint, null::bigint, null::varchar, null::timestamptz, '9999-12-31 23:59:59+07'::timestamptz, null::bigint);</v>
      </c>
    </row>
    <row r="277" spans="2:16" x14ac:dyDescent="0.2">
      <c r="B277" s="37">
        <f>IF(EXACT(DataLookUp!$B277, ""), "", DataLookUp!$B277)</f>
        <v>32000000000274</v>
      </c>
      <c r="C277" s="38" t="str">
        <f>MAIN!C277</f>
        <v>Marcella Avia Ramadhinaningrum</v>
      </c>
      <c r="D277" s="91">
        <v>163000000000002</v>
      </c>
      <c r="E277" s="37" t="str">
        <f>IF(EXACT($D277, ""), "", VLOOKUP($D277, [2]DataLookUp!$B$4:$D$15, 2, FALSE ))</f>
        <v>Karyawan Tetap (Purna Waktu)</v>
      </c>
      <c r="F277" s="91"/>
      <c r="G277" s="37" t="str">
        <f>IF(EXACT($F277, ""), "", VLOOKUP($F277, 'MAIN - OrgDepartment'!$C$3:$D$104, 2, FALSE))</f>
        <v/>
      </c>
      <c r="H277" s="91"/>
      <c r="I277" s="37" t="str">
        <f>IF(EXACT($H277, ""), "", VLOOKUP($H277, 'MAIN - OrgJobsPos'!$B$2:$C$101, 2, FALSE))</f>
        <v/>
      </c>
      <c r="J277" s="67"/>
      <c r="K277" s="63"/>
      <c r="L277" s="10" t="s">
        <v>7</v>
      </c>
      <c r="M277" s="11"/>
      <c r="O277" s="29">
        <f t="shared" si="8"/>
        <v>164000000000274</v>
      </c>
      <c r="P277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32000000000274::bigint, 163000000000002::bigint, null::bigint, null::bigint, null::varchar, null::timestamptz, '1900-12-31 23:59:59+07'::timestamptz, null::bigint);</v>
      </c>
    </row>
    <row r="278" spans="2:16" x14ac:dyDescent="0.2">
      <c r="B278" s="37">
        <f>IF(EXACT(DataLookUp!$B278, ""), "", DataLookUp!$B278)</f>
        <v>32000000000275</v>
      </c>
      <c r="C278" s="38" t="str">
        <f>MAIN!C278</f>
        <v>Marissa Watak</v>
      </c>
      <c r="D278" s="91">
        <v>163000000000003</v>
      </c>
      <c r="E278" s="37" t="str">
        <f>IF(EXACT($D278, ""), "", VLOOKUP($D278, [2]DataLookUp!$B$4:$D$15, 2, FALSE ))</f>
        <v>Karyawan Tidak Tetap (Kontrak)</v>
      </c>
      <c r="F278" s="91"/>
      <c r="G278" s="37" t="str">
        <f>IF(EXACT($F278, ""), "", VLOOKUP($F278, 'MAIN - OrgDepartment'!$C$3:$D$104, 2, FALSE))</f>
        <v/>
      </c>
      <c r="H278" s="91"/>
      <c r="I278" s="37" t="str">
        <f>IF(EXACT($H278, ""), "", VLOOKUP($H278, 'MAIN - OrgJobsPos'!$B$2:$C$101, 2, FALSE))</f>
        <v/>
      </c>
      <c r="J278" s="67"/>
      <c r="K278" s="63"/>
      <c r="L278" s="10" t="s">
        <v>7</v>
      </c>
      <c r="M278" s="11"/>
      <c r="O278" s="29">
        <f t="shared" si="8"/>
        <v>164000000000275</v>
      </c>
      <c r="P278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32000000000275::bigint, 163000000000003::bigint, null::bigint, null::bigint, null::varchar, null::timestamptz, '1900-12-31 23:59:59+07'::timestamptz, null::bigint);</v>
      </c>
    </row>
    <row r="279" spans="2:16" x14ac:dyDescent="0.2">
      <c r="B279" s="37">
        <f>IF(EXACT(DataLookUp!$B279, ""), "", DataLookUp!$B279)</f>
        <v>32000000000276</v>
      </c>
      <c r="C279" s="38" t="str">
        <f>MAIN!C279</f>
        <v>Marten Tabun</v>
      </c>
      <c r="D279" s="91">
        <v>163000000000002</v>
      </c>
      <c r="E279" s="37" t="str">
        <f>IF(EXACT($D279, ""), "", VLOOKUP($D279, [2]DataLookUp!$B$4:$D$15, 2, FALSE ))</f>
        <v>Karyawan Tetap (Purna Waktu)</v>
      </c>
      <c r="F279" s="91">
        <v>111000000000024</v>
      </c>
      <c r="G279" s="37" t="str">
        <f>IF(EXACT($F279, ""), "", VLOOKUP($F279, 'MAIN - OrgDepartment'!$C$3:$D$104, 2, FALSE))</f>
        <v>Warehouse &amp; TAM</v>
      </c>
      <c r="H279" s="91">
        <v>160000000000002</v>
      </c>
      <c r="I279" s="37" t="str">
        <f>IF(EXACT($H279, ""), "", VLOOKUP($H279, 'MAIN - OrgJobsPos'!$B$2:$C$101, 2, FALSE))</f>
        <v>Senior Clerical</v>
      </c>
      <c r="J279" s="67" t="s">
        <v>315</v>
      </c>
      <c r="K279" s="63" t="s">
        <v>231</v>
      </c>
      <c r="L279" s="10" t="s">
        <v>3</v>
      </c>
      <c r="M279" s="11"/>
      <c r="O279" s="29">
        <f t="shared" si="8"/>
        <v>164000000000276</v>
      </c>
      <c r="P279" s="30" t="str">
        <f t="shared" si="9"/>
        <v>PERFORM "SchData-OLTP-HumanResource"."Func_TblWorkerCareerInternal_SET"(varSystemLoginSession, null::bigint, null::varchar, '2013-05-01 00:00:00+07'::timestamptz, '9999-12-31 23:59:59+07'::timestamptz, null::varchar, varInstitutionBranchID, varBaseCurrencyID, 32000000000276::bigint, 163000000000002::bigint, 111000000000024::bigint, 160000000000002::bigint, 'Material Handler'::varchar, '2013-05-01 00:00:00+07'::timestamptz, '9999-12-31 23:59:59+07'::timestamptz, null::bigint);</v>
      </c>
    </row>
    <row r="280" spans="2:16" x14ac:dyDescent="0.2">
      <c r="B280" s="37">
        <f>IF(EXACT(DataLookUp!$B280, ""), "", DataLookUp!$B280)</f>
        <v>32000000000277</v>
      </c>
      <c r="C280" s="38" t="str">
        <f>MAIN!C280</f>
        <v>Martimbul Rahman</v>
      </c>
      <c r="D280" s="91">
        <v>163000000000003</v>
      </c>
      <c r="E280" s="37" t="str">
        <f>IF(EXACT($D280, ""), "", VLOOKUP($D280, [2]DataLookUp!$B$4:$D$15, 2, FALSE ))</f>
        <v>Karyawan Tidak Tetap (Kontrak)</v>
      </c>
      <c r="F280" s="91"/>
      <c r="G280" s="37" t="str">
        <f>IF(EXACT($F280, ""), "", VLOOKUP($F280, 'MAIN - OrgDepartment'!$C$3:$D$104, 2, FALSE))</f>
        <v/>
      </c>
      <c r="H280" s="91"/>
      <c r="I280" s="37" t="str">
        <f>IF(EXACT($H280, ""), "", VLOOKUP($H280, 'MAIN - OrgJobsPos'!$B$2:$C$101, 2, FALSE))</f>
        <v/>
      </c>
      <c r="J280" s="67"/>
      <c r="K280" s="63"/>
      <c r="L280" s="10" t="s">
        <v>7</v>
      </c>
      <c r="M280" s="11"/>
      <c r="O280" s="29">
        <f t="shared" si="8"/>
        <v>164000000000277</v>
      </c>
      <c r="P280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32000000000277::bigint, 163000000000003::bigint, null::bigint, null::bigint, null::varchar, null::timestamptz, '1900-12-31 23:59:59+07'::timestamptz, null::bigint);</v>
      </c>
    </row>
    <row r="281" spans="2:16" x14ac:dyDescent="0.2">
      <c r="B281" s="37">
        <f>IF(EXACT(DataLookUp!$B281, ""), "", DataLookUp!$B281)</f>
        <v>32000000000278</v>
      </c>
      <c r="C281" s="38" t="str">
        <f>MAIN!C281</f>
        <v>T. Marungkil U. S. Sagala</v>
      </c>
      <c r="D281" s="91">
        <v>163000000000003</v>
      </c>
      <c r="E281" s="37" t="str">
        <f>IF(EXACT($D281, ""), "", VLOOKUP($D281, [2]DataLookUp!$B$4:$D$15, 2, FALSE ))</f>
        <v>Karyawan Tidak Tetap (Kontrak)</v>
      </c>
      <c r="F281" s="91">
        <v>111000000000011</v>
      </c>
      <c r="G281" s="37" t="str">
        <f>IF(EXACT($F281, ""), "", VLOOKUP($F281, 'MAIN - OrgDepartment'!$C$3:$D$104, 2, FALSE))</f>
        <v>Project</v>
      </c>
      <c r="H281" s="91">
        <v>160000000000006</v>
      </c>
      <c r="I281" s="37" t="str">
        <f>IF(EXACT($H281, ""), "", VLOOKUP($H281, 'MAIN - OrgJobsPos'!$B$2:$C$101, 2, FALSE))</f>
        <v>Manager</v>
      </c>
      <c r="J281" s="67" t="s">
        <v>158</v>
      </c>
      <c r="K281" s="63" t="s">
        <v>246</v>
      </c>
      <c r="L281" s="10" t="s">
        <v>3</v>
      </c>
      <c r="M281" s="11"/>
      <c r="O281" s="29">
        <f t="shared" si="8"/>
        <v>164000000000278</v>
      </c>
      <c r="P281" s="30" t="str">
        <f t="shared" si="9"/>
        <v>PERFORM "SchData-OLTP-HumanResource"."Func_TblWorkerCareerInternal_SET"(varSystemLoginSession, null::bigint, null::varchar, '2010-02-01 00:00:00+07'::timestamptz, '9999-12-31 23:59:59+07'::timestamptz, null::varchar, varInstitutionBranchID, varBaseCurrencyID, 32000000000278::bigint, 163000000000003::bigint, 111000000000011::bigint, 160000000000006::bigint, 'Project Manager'::varchar, '2010-02-01 00:00:00+07'::timestamptz, '9999-12-31 23:59:59+07'::timestamptz, null::bigint);</v>
      </c>
    </row>
    <row r="282" spans="2:16" x14ac:dyDescent="0.2">
      <c r="B282" s="37">
        <f>IF(EXACT(DataLookUp!$B282, ""), "", DataLookUp!$B282)</f>
        <v>32000000000279</v>
      </c>
      <c r="C282" s="38" t="str">
        <f>MAIN!C282</f>
        <v>Marzuki</v>
      </c>
      <c r="D282" s="91">
        <v>163000000000003</v>
      </c>
      <c r="E282" s="37" t="str">
        <f>IF(EXACT($D282, ""), "", VLOOKUP($D282, [2]DataLookUp!$B$4:$D$15, 2, FALSE ))</f>
        <v>Karyawan Tidak Tetap (Kontrak)</v>
      </c>
      <c r="F282" s="91"/>
      <c r="G282" s="37" t="str">
        <f>IF(EXACT($F282, ""), "", VLOOKUP($F282, 'MAIN - OrgDepartment'!$C$3:$D$104, 2, FALSE))</f>
        <v/>
      </c>
      <c r="H282" s="91"/>
      <c r="I282" s="37" t="str">
        <f>IF(EXACT($H282, ""), "", VLOOKUP($H282, 'MAIN - OrgJobsPos'!$B$2:$C$101, 2, FALSE))</f>
        <v/>
      </c>
      <c r="J282" s="67"/>
      <c r="K282" s="63"/>
      <c r="L282" s="10" t="s">
        <v>7</v>
      </c>
      <c r="M282" s="11"/>
      <c r="O282" s="29">
        <f t="shared" si="8"/>
        <v>164000000000279</v>
      </c>
      <c r="P28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32000000000279::bigint, 163000000000003::bigint, null::bigint, null::bigint, null::varchar, null::timestamptz, '1900-12-31 23:59:59+07'::timestamptz, null::bigint);</v>
      </c>
    </row>
    <row r="283" spans="2:16" x14ac:dyDescent="0.2">
      <c r="B283" s="37">
        <f>IF(EXACT(DataLookUp!$B283, ""), "", DataLookUp!$B283)</f>
        <v>32000000000280</v>
      </c>
      <c r="C283" s="38" t="str">
        <f>MAIN!C283</f>
        <v>Mashuri Mashuri</v>
      </c>
      <c r="D283" s="91">
        <v>163000000000003</v>
      </c>
      <c r="E283" s="37" t="str">
        <f>IF(EXACT($D283, ""), "", VLOOKUP($D283, [2]DataLookUp!$B$4:$D$15, 2, FALSE ))</f>
        <v>Karyawan Tidak Tetap (Kontrak)</v>
      </c>
      <c r="F283" s="91"/>
      <c r="G283" s="37" t="str">
        <f>IF(EXACT($F283, ""), "", VLOOKUP($F283, 'MAIN - OrgDepartment'!$C$3:$D$104, 2, FALSE))</f>
        <v/>
      </c>
      <c r="H283" s="91"/>
      <c r="I283" s="37" t="str">
        <f>IF(EXACT($H283, ""), "", VLOOKUP($H283, 'MAIN - OrgJobsPos'!$B$2:$C$101, 2, FALSE))</f>
        <v/>
      </c>
      <c r="J283" s="67"/>
      <c r="K283" s="63"/>
      <c r="L283" s="10" t="s">
        <v>7</v>
      </c>
      <c r="M283" s="11"/>
      <c r="O283" s="29">
        <f t="shared" si="8"/>
        <v>164000000000280</v>
      </c>
      <c r="P28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32000000000280::bigint, 163000000000003::bigint, null::bigint, null::bigint, null::varchar, null::timestamptz, '1900-12-31 23:59:59+07'::timestamptz, null::bigint);</v>
      </c>
    </row>
    <row r="284" spans="2:16" x14ac:dyDescent="0.2">
      <c r="B284" s="37">
        <f>IF(EXACT(DataLookUp!$B284, ""), "", DataLookUp!$B284)</f>
        <v>32000000000281</v>
      </c>
      <c r="C284" s="38" t="str">
        <f>MAIN!C284</f>
        <v>Mat Soleh</v>
      </c>
      <c r="D284" s="91">
        <v>163000000000003</v>
      </c>
      <c r="E284" s="37" t="str">
        <f>IF(EXACT($D284, ""), "", VLOOKUP($D284, [2]DataLookUp!$B$4:$D$15, 2, FALSE ))</f>
        <v>Karyawan Tidak Tetap (Kontrak)</v>
      </c>
      <c r="F284" s="91"/>
      <c r="G284" s="37" t="str">
        <f>IF(EXACT($F284, ""), "", VLOOKUP($F284, 'MAIN - OrgDepartment'!$C$3:$D$104, 2, FALSE))</f>
        <v/>
      </c>
      <c r="H284" s="91"/>
      <c r="I284" s="37" t="str">
        <f>IF(EXACT($H284, ""), "", VLOOKUP($H284, 'MAIN - OrgJobsPos'!$B$2:$C$101, 2, FALSE))</f>
        <v/>
      </c>
      <c r="J284" s="67"/>
      <c r="K284" s="63"/>
      <c r="L284" s="10" t="s">
        <v>7</v>
      </c>
      <c r="M284" s="11"/>
      <c r="O284" s="29">
        <f t="shared" si="8"/>
        <v>164000000000281</v>
      </c>
      <c r="P284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32000000000281::bigint, 163000000000003::bigint, null::bigint, null::bigint, null::varchar, null::timestamptz, '1900-12-31 23:59:59+07'::timestamptz, null::bigint);</v>
      </c>
    </row>
    <row r="285" spans="2:16" x14ac:dyDescent="0.2">
      <c r="B285" s="37">
        <f>IF(EXACT(DataLookUp!$B285, ""), "", DataLookUp!$B285)</f>
        <v>32000000000282</v>
      </c>
      <c r="C285" s="38" t="str">
        <f>MAIN!C285</f>
        <v>Mhd Syahputra</v>
      </c>
      <c r="D285" s="91">
        <v>163000000000003</v>
      </c>
      <c r="E285" s="37" t="str">
        <f>IF(EXACT($D285, ""), "", VLOOKUP($D285, [2]DataLookUp!$B$4:$D$15, 2, FALSE ))</f>
        <v>Karyawan Tidak Tetap (Kontrak)</v>
      </c>
      <c r="F285" s="91"/>
      <c r="G285" s="37" t="str">
        <f>IF(EXACT($F285, ""), "", VLOOKUP($F285, 'MAIN - OrgDepartment'!$C$3:$D$104, 2, FALSE))</f>
        <v/>
      </c>
      <c r="H285" s="91"/>
      <c r="I285" s="37" t="str">
        <f>IF(EXACT($H285, ""), "", VLOOKUP($H285, 'MAIN - OrgJobsPos'!$B$2:$C$101, 2, FALSE))</f>
        <v/>
      </c>
      <c r="J285" s="67"/>
      <c r="K285" s="63"/>
      <c r="L285" s="10" t="s">
        <v>7</v>
      </c>
      <c r="M285" s="11"/>
      <c r="O285" s="29">
        <f t="shared" si="8"/>
        <v>164000000000282</v>
      </c>
      <c r="P285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32000000000282::bigint, 163000000000003::bigint, null::bigint, null::bigint, null::varchar, null::timestamptz, '1900-12-31 23:59:59+07'::timestamptz, null::bigint);</v>
      </c>
    </row>
    <row r="286" spans="2:16" x14ac:dyDescent="0.2">
      <c r="B286" s="37">
        <f>IF(EXACT(DataLookUp!$B286, ""), "", DataLookUp!$B286)</f>
        <v>32000000000283</v>
      </c>
      <c r="C286" s="38" t="str">
        <f>MAIN!C286</f>
        <v>Mia Puspitasari</v>
      </c>
      <c r="D286" s="91">
        <v>163000000000003</v>
      </c>
      <c r="E286" s="37" t="str">
        <f>IF(EXACT($D286, ""), "", VLOOKUP($D286, [2]DataLookUp!$B$4:$D$15, 2, FALSE ))</f>
        <v>Karyawan Tidak Tetap (Kontrak)</v>
      </c>
      <c r="F286" s="91"/>
      <c r="G286" s="37" t="str">
        <f>IF(EXACT($F286, ""), "", VLOOKUP($F286, 'MAIN - OrgDepartment'!$C$3:$D$104, 2, FALSE))</f>
        <v/>
      </c>
      <c r="H286" s="91"/>
      <c r="I286" s="37" t="str">
        <f>IF(EXACT($H286, ""), "", VLOOKUP($H286, 'MAIN - OrgJobsPos'!$B$2:$C$101, 2, FALSE))</f>
        <v/>
      </c>
      <c r="J286" s="67"/>
      <c r="K286" s="63"/>
      <c r="L286" s="10" t="s">
        <v>7</v>
      </c>
      <c r="M286" s="11"/>
      <c r="O286" s="29">
        <f t="shared" si="8"/>
        <v>164000000000283</v>
      </c>
      <c r="P286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32000000000283::bigint, 163000000000003::bigint, null::bigint, null::bigint, null::varchar, null::timestamptz, '1900-12-31 23:59:59+07'::timestamptz, null::bigint);</v>
      </c>
    </row>
    <row r="287" spans="2:16" x14ac:dyDescent="0.2">
      <c r="B287" s="37">
        <f>IF(EXACT(DataLookUp!$B287, ""), "", DataLookUp!$B287)</f>
        <v>32000000000284</v>
      </c>
      <c r="C287" s="38" t="str">
        <f>MAIN!C287</f>
        <v>Midin Ena</v>
      </c>
      <c r="D287" s="91">
        <v>163000000000003</v>
      </c>
      <c r="E287" s="37" t="str">
        <f>IF(EXACT($D287, ""), "", VLOOKUP($D287, [2]DataLookUp!$B$4:$D$15, 2, FALSE ))</f>
        <v>Karyawan Tidak Tetap (Kontrak)</v>
      </c>
      <c r="F287" s="91"/>
      <c r="G287" s="37" t="str">
        <f>IF(EXACT($F287, ""), "", VLOOKUP($F287, 'MAIN - OrgDepartment'!$C$3:$D$104, 2, FALSE))</f>
        <v/>
      </c>
      <c r="H287" s="91"/>
      <c r="I287" s="37" t="str">
        <f>IF(EXACT($H287, ""), "", VLOOKUP($H287, 'MAIN - OrgJobsPos'!$B$2:$C$101, 2, FALSE))</f>
        <v/>
      </c>
      <c r="J287" s="67"/>
      <c r="K287" s="63"/>
      <c r="L287" s="10" t="s">
        <v>7</v>
      </c>
      <c r="M287" s="11"/>
      <c r="O287" s="29">
        <f t="shared" si="8"/>
        <v>164000000000284</v>
      </c>
      <c r="P287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32000000000284::bigint, 163000000000003::bigint, null::bigint, null::bigint, null::varchar, null::timestamptz, '1900-12-31 23:59:59+07'::timestamptz, null::bigint);</v>
      </c>
    </row>
    <row r="288" spans="2:16" x14ac:dyDescent="0.2">
      <c r="B288" s="37">
        <f>IF(EXACT(DataLookUp!$B288, ""), "", DataLookUp!$B288)</f>
        <v>32000000000285</v>
      </c>
      <c r="C288" s="38" t="str">
        <f>MAIN!C288</f>
        <v>Miftakhul Muzakky</v>
      </c>
      <c r="D288" s="91">
        <v>163000000000003</v>
      </c>
      <c r="E288" s="37" t="str">
        <f>IF(EXACT($D288, ""), "", VLOOKUP($D288, [2]DataLookUp!$B$4:$D$15, 2, FALSE ))</f>
        <v>Karyawan Tidak Tetap (Kontrak)</v>
      </c>
      <c r="F288" s="91"/>
      <c r="G288" s="37" t="str">
        <f>IF(EXACT($F288, ""), "", VLOOKUP($F288, 'MAIN - OrgDepartment'!$C$3:$D$104, 2, FALSE))</f>
        <v/>
      </c>
      <c r="H288" s="91"/>
      <c r="I288" s="37" t="str">
        <f>IF(EXACT($H288, ""), "", VLOOKUP($H288, 'MAIN - OrgJobsPos'!$B$2:$C$101, 2, FALSE))</f>
        <v/>
      </c>
      <c r="J288" s="67"/>
      <c r="K288" s="63"/>
      <c r="L288" s="10" t="s">
        <v>7</v>
      </c>
      <c r="M288" s="11"/>
      <c r="O288" s="29">
        <f t="shared" si="8"/>
        <v>164000000000285</v>
      </c>
      <c r="P288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32000000000285::bigint, 163000000000003::bigint, null::bigint, null::bigint, null::varchar, null::timestamptz, '1900-12-31 23:59:59+07'::timestamptz, null::bigint);</v>
      </c>
    </row>
    <row r="289" spans="2:16" x14ac:dyDescent="0.2">
      <c r="B289" s="37">
        <f>IF(EXACT(DataLookUp!$B289, ""), "", DataLookUp!$B289)</f>
        <v>32000000000286</v>
      </c>
      <c r="C289" s="38" t="str">
        <f>MAIN!C289</f>
        <v>Mista</v>
      </c>
      <c r="D289" s="91">
        <v>163000000000003</v>
      </c>
      <c r="E289" s="37" t="str">
        <f>IF(EXACT($D289, ""), "", VLOOKUP($D289, [2]DataLookUp!$B$4:$D$15, 2, FALSE ))</f>
        <v>Karyawan Tidak Tetap (Kontrak)</v>
      </c>
      <c r="F289" s="91"/>
      <c r="G289" s="37" t="str">
        <f>IF(EXACT($F289, ""), "", VLOOKUP($F289, 'MAIN - OrgDepartment'!$C$3:$D$104, 2, FALSE))</f>
        <v/>
      </c>
      <c r="H289" s="91"/>
      <c r="I289" s="37" t="str">
        <f>IF(EXACT($H289, ""), "", VLOOKUP($H289, 'MAIN - OrgJobsPos'!$B$2:$C$101, 2, FALSE))</f>
        <v/>
      </c>
      <c r="J289" s="67"/>
      <c r="K289" s="63"/>
      <c r="L289" s="10" t="s">
        <v>7</v>
      </c>
      <c r="M289" s="11"/>
      <c r="O289" s="29">
        <f t="shared" si="8"/>
        <v>164000000000286</v>
      </c>
      <c r="P289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32000000000286::bigint, 163000000000003::bigint, null::bigint, null::bigint, null::varchar, null::timestamptz, '1900-12-31 23:59:59+07'::timestamptz, null::bigint);</v>
      </c>
    </row>
    <row r="290" spans="2:16" x14ac:dyDescent="0.2">
      <c r="B290" s="37">
        <f>IF(EXACT(DataLookUp!$B290, ""), "", DataLookUp!$B290)</f>
        <v>32000000000287</v>
      </c>
      <c r="C290" s="38" t="str">
        <f>MAIN!C290</f>
        <v>Mochamad Samman</v>
      </c>
      <c r="D290" s="91">
        <v>163000000000003</v>
      </c>
      <c r="E290" s="37" t="str">
        <f>IF(EXACT($D290, ""), "", VLOOKUP($D290, [2]DataLookUp!$B$4:$D$15, 2, FALSE ))</f>
        <v>Karyawan Tidak Tetap (Kontrak)</v>
      </c>
      <c r="F290" s="91"/>
      <c r="G290" s="37" t="str">
        <f>IF(EXACT($F290, ""), "", VLOOKUP($F290, 'MAIN - OrgDepartment'!$C$3:$D$104, 2, FALSE))</f>
        <v/>
      </c>
      <c r="H290" s="91"/>
      <c r="I290" s="37" t="str">
        <f>IF(EXACT($H290, ""), "", VLOOKUP($H290, 'MAIN - OrgJobsPos'!$B$2:$C$101, 2, FALSE))</f>
        <v/>
      </c>
      <c r="J290" s="67"/>
      <c r="K290" s="63"/>
      <c r="L290" s="10" t="s">
        <v>7</v>
      </c>
      <c r="M290" s="11"/>
      <c r="O290" s="29">
        <f t="shared" si="8"/>
        <v>164000000000287</v>
      </c>
      <c r="P290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32000000000287::bigint, 163000000000003::bigint, null::bigint, null::bigint, null::varchar, null::timestamptz, '1900-12-31 23:59:59+07'::timestamptz, null::bigint);</v>
      </c>
    </row>
    <row r="291" spans="2:16" x14ac:dyDescent="0.2">
      <c r="B291" s="37">
        <f>IF(EXACT(DataLookUp!$B291, ""), "", DataLookUp!$B291)</f>
        <v>32000000000288</v>
      </c>
      <c r="C291" s="38" t="str">
        <f>MAIN!C291</f>
        <v>Moh. Afif</v>
      </c>
      <c r="D291" s="91">
        <v>163000000000003</v>
      </c>
      <c r="E291" s="37" t="str">
        <f>IF(EXACT($D291, ""), "", VLOOKUP($D291, [2]DataLookUp!$B$4:$D$15, 2, FALSE ))</f>
        <v>Karyawan Tidak Tetap (Kontrak)</v>
      </c>
      <c r="F291" s="91"/>
      <c r="G291" s="37" t="str">
        <f>IF(EXACT($F291, ""), "", VLOOKUP($F291, 'MAIN - OrgDepartment'!$C$3:$D$104, 2, FALSE))</f>
        <v/>
      </c>
      <c r="H291" s="91"/>
      <c r="I291" s="37" t="str">
        <f>IF(EXACT($H291, ""), "", VLOOKUP($H291, 'MAIN - OrgJobsPos'!$B$2:$C$101, 2, FALSE))</f>
        <v/>
      </c>
      <c r="J291" s="67"/>
      <c r="K291" s="63"/>
      <c r="L291" s="10" t="s">
        <v>7</v>
      </c>
      <c r="M291" s="11"/>
      <c r="O291" s="29">
        <f t="shared" si="8"/>
        <v>164000000000288</v>
      </c>
      <c r="P291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32000000000288::bigint, 163000000000003::bigint, null::bigint, null::bigint, null::varchar, null::timestamptz, '1900-12-31 23:59:59+07'::timestamptz, null::bigint);</v>
      </c>
    </row>
    <row r="292" spans="2:16" x14ac:dyDescent="0.2">
      <c r="B292" s="37">
        <f>IF(EXACT(DataLookUp!$B292, ""), "", DataLookUp!$B292)</f>
        <v>32000000000289</v>
      </c>
      <c r="C292" s="38" t="str">
        <f>MAIN!C292</f>
        <v>Mohammad Arman Tompo</v>
      </c>
      <c r="D292" s="91">
        <v>163000000000003</v>
      </c>
      <c r="E292" s="37" t="str">
        <f>IF(EXACT($D292, ""), "", VLOOKUP($D292, [2]DataLookUp!$B$4:$D$15, 2, FALSE ))</f>
        <v>Karyawan Tidak Tetap (Kontrak)</v>
      </c>
      <c r="F292" s="91"/>
      <c r="G292" s="37" t="str">
        <f>IF(EXACT($F292, ""), "", VLOOKUP($F292, 'MAIN - OrgDepartment'!$C$3:$D$104, 2, FALSE))</f>
        <v/>
      </c>
      <c r="H292" s="91"/>
      <c r="I292" s="37" t="str">
        <f>IF(EXACT($H292, ""), "", VLOOKUP($H292, 'MAIN - OrgJobsPos'!$B$2:$C$101, 2, FALSE))</f>
        <v/>
      </c>
      <c r="J292" s="67"/>
      <c r="K292" s="63"/>
      <c r="L292" s="10" t="s">
        <v>7</v>
      </c>
      <c r="M292" s="11"/>
      <c r="O292" s="29">
        <f t="shared" si="8"/>
        <v>164000000000289</v>
      </c>
      <c r="P29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32000000000289::bigint, 163000000000003::bigint, null::bigint, null::bigint, null::varchar, null::timestamptz, '1900-12-31 23:59:59+07'::timestamptz, null::bigint);</v>
      </c>
    </row>
    <row r="293" spans="2:16" x14ac:dyDescent="0.2">
      <c r="B293" s="37">
        <f>IF(EXACT(DataLookUp!$B293, ""), "", DataLookUp!$B293)</f>
        <v>32000000000290</v>
      </c>
      <c r="C293" s="38" t="str">
        <f>MAIN!C293</f>
        <v>Mohd. Elfan Pratama</v>
      </c>
      <c r="D293" s="91">
        <v>163000000000003</v>
      </c>
      <c r="E293" s="37" t="str">
        <f>IF(EXACT($D293, ""), "", VLOOKUP($D293, [2]DataLookUp!$B$4:$D$15, 2, FALSE ))</f>
        <v>Karyawan Tidak Tetap (Kontrak)</v>
      </c>
      <c r="F293" s="91"/>
      <c r="G293" s="37" t="str">
        <f>IF(EXACT($F293, ""), "", VLOOKUP($F293, 'MAIN - OrgDepartment'!$C$3:$D$104, 2, FALSE))</f>
        <v/>
      </c>
      <c r="H293" s="91"/>
      <c r="I293" s="37" t="str">
        <f>IF(EXACT($H293, ""), "", VLOOKUP($H293, 'MAIN - OrgJobsPos'!$B$2:$C$101, 2, FALSE))</f>
        <v/>
      </c>
      <c r="J293" s="67"/>
      <c r="K293" s="63"/>
      <c r="L293" s="10" t="s">
        <v>7</v>
      </c>
      <c r="M293" s="11"/>
      <c r="O293" s="29">
        <f t="shared" si="8"/>
        <v>164000000000290</v>
      </c>
      <c r="P29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32000000000290::bigint, 163000000000003::bigint, null::bigint, null::bigint, null::varchar, null::timestamptz, '1900-12-31 23:59:59+07'::timestamptz, null::bigint);</v>
      </c>
    </row>
    <row r="294" spans="2:16" x14ac:dyDescent="0.2">
      <c r="B294" s="37">
        <f>IF(EXACT(DataLookUp!$B294, ""), "", DataLookUp!$B294)</f>
        <v>32000000000291</v>
      </c>
      <c r="C294" s="38" t="str">
        <f>MAIN!C294</f>
        <v>Monang Simarmata</v>
      </c>
      <c r="D294" s="91">
        <v>163000000000003</v>
      </c>
      <c r="E294" s="37" t="str">
        <f>IF(EXACT($D294, ""), "", VLOOKUP($D294, [2]DataLookUp!$B$4:$D$15, 2, FALSE ))</f>
        <v>Karyawan Tidak Tetap (Kontrak)</v>
      </c>
      <c r="F294" s="91"/>
      <c r="G294" s="37" t="str">
        <f>IF(EXACT($F294, ""), "", VLOOKUP($F294, 'MAIN - OrgDepartment'!$C$3:$D$104, 2, FALSE))</f>
        <v/>
      </c>
      <c r="H294" s="91"/>
      <c r="I294" s="37" t="str">
        <f>IF(EXACT($H294, ""), "", VLOOKUP($H294, 'MAIN - OrgJobsPos'!$B$2:$C$101, 2, FALSE))</f>
        <v/>
      </c>
      <c r="J294" s="67"/>
      <c r="K294" s="63"/>
      <c r="L294" s="10" t="s">
        <v>7</v>
      </c>
      <c r="M294" s="11"/>
      <c r="O294" s="29">
        <f t="shared" si="8"/>
        <v>164000000000291</v>
      </c>
      <c r="P294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32000000000291::bigint, 163000000000003::bigint, null::bigint, null::bigint, null::varchar, null::timestamptz, '1900-12-31 23:59:59+07'::timestamptz, null::bigint);</v>
      </c>
    </row>
    <row r="295" spans="2:16" x14ac:dyDescent="0.2">
      <c r="B295" s="37">
        <f>IF(EXACT(DataLookUp!$B295, ""), "", DataLookUp!$B295)</f>
        <v>32000000000292</v>
      </c>
      <c r="C295" s="38" t="str">
        <f>MAIN!C295</f>
        <v>Moritz Thomsen Marbun</v>
      </c>
      <c r="D295" s="91">
        <v>163000000000003</v>
      </c>
      <c r="E295" s="37" t="str">
        <f>IF(EXACT($D295, ""), "", VLOOKUP($D295, [2]DataLookUp!$B$4:$D$15, 2, FALSE ))</f>
        <v>Karyawan Tidak Tetap (Kontrak)</v>
      </c>
      <c r="F295" s="91"/>
      <c r="G295" s="37" t="str">
        <f>IF(EXACT($F295, ""), "", VLOOKUP($F295, 'MAIN - OrgDepartment'!$C$3:$D$104, 2, FALSE))</f>
        <v/>
      </c>
      <c r="H295" s="91"/>
      <c r="I295" s="37" t="str">
        <f>IF(EXACT($H295, ""), "", VLOOKUP($H295, 'MAIN - OrgJobsPos'!$B$2:$C$101, 2, FALSE))</f>
        <v/>
      </c>
      <c r="J295" s="67"/>
      <c r="K295" s="63"/>
      <c r="L295" s="10" t="s">
        <v>7</v>
      </c>
      <c r="M295" s="11"/>
      <c r="O295" s="29">
        <f t="shared" si="8"/>
        <v>164000000000292</v>
      </c>
      <c r="P295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32000000000292::bigint, 163000000000003::bigint, null::bigint, null::bigint, null::varchar, null::timestamptz, '1900-12-31 23:59:59+07'::timestamptz, null::bigint);</v>
      </c>
    </row>
    <row r="296" spans="2:16" x14ac:dyDescent="0.2">
      <c r="B296" s="37">
        <f>IF(EXACT(DataLookUp!$B296, ""), "", DataLookUp!$B296)</f>
        <v>32000000000293</v>
      </c>
      <c r="C296" s="38" t="str">
        <f>MAIN!C296</f>
        <v>Muhamad Hamdan Rifai</v>
      </c>
      <c r="D296" s="91">
        <v>163000000000003</v>
      </c>
      <c r="E296" s="37" t="str">
        <f>IF(EXACT($D296, ""), "", VLOOKUP($D296, [2]DataLookUp!$B$4:$D$15, 2, FALSE ))</f>
        <v>Karyawan Tidak Tetap (Kontrak)</v>
      </c>
      <c r="F296" s="91"/>
      <c r="G296" s="37" t="str">
        <f>IF(EXACT($F296, ""), "", VLOOKUP($F296, 'MAIN - OrgDepartment'!$C$3:$D$104, 2, FALSE))</f>
        <v/>
      </c>
      <c r="H296" s="91"/>
      <c r="I296" s="37" t="str">
        <f>IF(EXACT($H296, ""), "", VLOOKUP($H296, 'MAIN - OrgJobsPos'!$B$2:$C$101, 2, FALSE))</f>
        <v/>
      </c>
      <c r="J296" s="67"/>
      <c r="K296" s="63"/>
      <c r="L296" s="10" t="s">
        <v>7</v>
      </c>
      <c r="M296" s="11"/>
      <c r="O296" s="29">
        <f t="shared" si="8"/>
        <v>164000000000293</v>
      </c>
      <c r="P296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32000000000293::bigint, 163000000000003::bigint, null::bigint, null::bigint, null::varchar, null::timestamptz, '1900-12-31 23:59:59+07'::timestamptz, null::bigint);</v>
      </c>
    </row>
    <row r="297" spans="2:16" x14ac:dyDescent="0.2">
      <c r="B297" s="37">
        <f>IF(EXACT(DataLookUp!$B297, ""), "", DataLookUp!$B297)</f>
        <v>32000000000294</v>
      </c>
      <c r="C297" s="38" t="str">
        <f>MAIN!C297</f>
        <v>Muhamad Ikhsan</v>
      </c>
      <c r="D297" s="91">
        <v>163000000000003</v>
      </c>
      <c r="E297" s="37" t="str">
        <f>IF(EXACT($D297, ""), "", VLOOKUP($D297, [2]DataLookUp!$B$4:$D$15, 2, FALSE ))</f>
        <v>Karyawan Tidak Tetap (Kontrak)</v>
      </c>
      <c r="F297" s="91"/>
      <c r="G297" s="37" t="str">
        <f>IF(EXACT($F297, ""), "", VLOOKUP($F297, 'MAIN - OrgDepartment'!$C$3:$D$104, 2, FALSE))</f>
        <v/>
      </c>
      <c r="H297" s="91"/>
      <c r="I297" s="37" t="str">
        <f>IF(EXACT($H297, ""), "", VLOOKUP($H297, 'MAIN - OrgJobsPos'!$B$2:$C$101, 2, FALSE))</f>
        <v/>
      </c>
      <c r="J297" s="67"/>
      <c r="K297" s="63"/>
      <c r="L297" s="10" t="s">
        <v>7</v>
      </c>
      <c r="M297" s="11"/>
      <c r="O297" s="29">
        <f t="shared" si="8"/>
        <v>164000000000294</v>
      </c>
      <c r="P297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32000000000294::bigint, 163000000000003::bigint, null::bigint, null::bigint, null::varchar, null::timestamptz, '1900-12-31 23:59:59+07'::timestamptz, null::bigint);</v>
      </c>
    </row>
    <row r="298" spans="2:16" x14ac:dyDescent="0.2">
      <c r="B298" s="37">
        <f>IF(EXACT(DataLookUp!$B298, ""), "", DataLookUp!$B298)</f>
        <v>32000000000295</v>
      </c>
      <c r="C298" s="38" t="str">
        <f>MAIN!C298</f>
        <v>Muhamad Nurhamsach</v>
      </c>
      <c r="D298" s="91">
        <v>163000000000003</v>
      </c>
      <c r="E298" s="37" t="str">
        <f>IF(EXACT($D298, ""), "", VLOOKUP($D298, [2]DataLookUp!$B$4:$D$15, 2, FALSE ))</f>
        <v>Karyawan Tidak Tetap (Kontrak)</v>
      </c>
      <c r="F298" s="91"/>
      <c r="G298" s="37" t="str">
        <f>IF(EXACT($F298, ""), "", VLOOKUP($F298, 'MAIN - OrgDepartment'!$C$3:$D$104, 2, FALSE))</f>
        <v/>
      </c>
      <c r="H298" s="91"/>
      <c r="I298" s="37" t="str">
        <f>IF(EXACT($H298, ""), "", VLOOKUP($H298, 'MAIN - OrgJobsPos'!$B$2:$C$101, 2, FALSE))</f>
        <v/>
      </c>
      <c r="J298" s="67"/>
      <c r="K298" s="63"/>
      <c r="L298" s="10" t="s">
        <v>7</v>
      </c>
      <c r="M298" s="11"/>
      <c r="O298" s="29">
        <f t="shared" si="8"/>
        <v>164000000000295</v>
      </c>
      <c r="P298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32000000000295::bigint, 163000000000003::bigint, null::bigint, null::bigint, null::varchar, null::timestamptz, '1900-12-31 23:59:59+07'::timestamptz, null::bigint);</v>
      </c>
    </row>
    <row r="299" spans="2:16" x14ac:dyDescent="0.2">
      <c r="B299" s="37">
        <f>IF(EXACT(DataLookUp!$B299, ""), "", DataLookUp!$B299)</f>
        <v>32000000000296</v>
      </c>
      <c r="C299" s="38" t="str">
        <f>MAIN!C299</f>
        <v>Muhammad Ardiansyah</v>
      </c>
      <c r="D299" s="91">
        <v>163000000000003</v>
      </c>
      <c r="E299" s="37" t="str">
        <f>IF(EXACT($D299, ""), "", VLOOKUP($D299, [2]DataLookUp!$B$4:$D$15, 2, FALSE ))</f>
        <v>Karyawan Tidak Tetap (Kontrak)</v>
      </c>
      <c r="F299" s="91"/>
      <c r="G299" s="37" t="str">
        <f>IF(EXACT($F299, ""), "", VLOOKUP($F299, 'MAIN - OrgDepartment'!$C$3:$D$104, 2, FALSE))</f>
        <v/>
      </c>
      <c r="H299" s="91"/>
      <c r="I299" s="37" t="str">
        <f>IF(EXACT($H299, ""), "", VLOOKUP($H299, 'MAIN - OrgJobsPos'!$B$2:$C$101, 2, FALSE))</f>
        <v/>
      </c>
      <c r="J299" s="67"/>
      <c r="K299" s="63"/>
      <c r="L299" s="10" t="s">
        <v>7</v>
      </c>
      <c r="M299" s="11"/>
      <c r="O299" s="29">
        <f t="shared" si="8"/>
        <v>164000000000296</v>
      </c>
      <c r="P299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32000000000296::bigint, 163000000000003::bigint, null::bigint, null::bigint, null::varchar, null::timestamptz, '1900-12-31 23:59:59+07'::timestamptz, null::bigint);</v>
      </c>
    </row>
    <row r="300" spans="2:16" x14ac:dyDescent="0.2">
      <c r="B300" s="37">
        <f>IF(EXACT(DataLookUp!$B300, ""), "", DataLookUp!$B300)</f>
        <v>32000000000297</v>
      </c>
      <c r="C300" s="38" t="str">
        <f>MAIN!C300</f>
        <v>Muhammad Khadafy</v>
      </c>
      <c r="D300" s="91">
        <v>163000000000003</v>
      </c>
      <c r="E300" s="37" t="str">
        <f>IF(EXACT($D300, ""), "", VLOOKUP($D300, [2]DataLookUp!$B$4:$D$15, 2, FALSE ))</f>
        <v>Karyawan Tidak Tetap (Kontrak)</v>
      </c>
      <c r="F300" s="91"/>
      <c r="G300" s="37" t="str">
        <f>IF(EXACT($F300, ""), "", VLOOKUP($F300, 'MAIN - OrgDepartment'!$C$3:$D$104, 2, FALSE))</f>
        <v/>
      </c>
      <c r="H300" s="91"/>
      <c r="I300" s="37" t="str">
        <f>IF(EXACT($H300, ""), "", VLOOKUP($H300, 'MAIN - OrgJobsPos'!$B$2:$C$101, 2, FALSE))</f>
        <v/>
      </c>
      <c r="J300" s="67"/>
      <c r="K300" s="63"/>
      <c r="L300" s="10" t="s">
        <v>7</v>
      </c>
      <c r="M300" s="11"/>
      <c r="O300" s="29">
        <f t="shared" si="8"/>
        <v>164000000000297</v>
      </c>
      <c r="P300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32000000000297::bigint, 163000000000003::bigint, null::bigint, null::bigint, null::varchar, null::timestamptz, '1900-12-31 23:59:59+07'::timestamptz, null::bigint);</v>
      </c>
    </row>
    <row r="301" spans="2:16" x14ac:dyDescent="0.2">
      <c r="B301" s="37">
        <f>IF(EXACT(DataLookUp!$B301, ""), "", DataLookUp!$B301)</f>
        <v>32000000000298</v>
      </c>
      <c r="C301" s="38" t="str">
        <f>MAIN!C301</f>
        <v>Muhammad Taufan</v>
      </c>
      <c r="D301" s="91">
        <v>163000000000003</v>
      </c>
      <c r="E301" s="37" t="str">
        <f>IF(EXACT($D301, ""), "", VLOOKUP($D301, [2]DataLookUp!$B$4:$D$15, 2, FALSE ))</f>
        <v>Karyawan Tidak Tetap (Kontrak)</v>
      </c>
      <c r="F301" s="91"/>
      <c r="G301" s="37" t="str">
        <f>IF(EXACT($F301, ""), "", VLOOKUP($F301, 'MAIN - OrgDepartment'!$C$3:$D$104, 2, FALSE))</f>
        <v/>
      </c>
      <c r="H301" s="91"/>
      <c r="I301" s="37" t="str">
        <f>IF(EXACT($H301, ""), "", VLOOKUP($H301, 'MAIN - OrgJobsPos'!$B$2:$C$101, 2, FALSE))</f>
        <v/>
      </c>
      <c r="J301" s="67"/>
      <c r="K301" s="63"/>
      <c r="L301" s="10" t="s">
        <v>7</v>
      </c>
      <c r="M301" s="11"/>
      <c r="O301" s="29">
        <f t="shared" si="8"/>
        <v>164000000000298</v>
      </c>
      <c r="P301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32000000000298::bigint, 163000000000003::bigint, null::bigint, null::bigint, null::varchar, null::timestamptz, '1900-12-31 23:59:59+07'::timestamptz, null::bigint);</v>
      </c>
    </row>
    <row r="302" spans="2:16" x14ac:dyDescent="0.2">
      <c r="B302" s="37">
        <f>IF(EXACT(DataLookUp!$B302, ""), "", DataLookUp!$B302)</f>
        <v>32000000000299</v>
      </c>
      <c r="C302" s="38" t="str">
        <f>MAIN!C302</f>
        <v>Muklis</v>
      </c>
      <c r="D302" s="91">
        <v>163000000000002</v>
      </c>
      <c r="E302" s="37" t="str">
        <f>IF(EXACT($D302, ""), "", VLOOKUP($D302, [2]DataLookUp!$B$4:$D$15, 2, FALSE ))</f>
        <v>Karyawan Tetap (Purna Waktu)</v>
      </c>
      <c r="F302" s="91"/>
      <c r="G302" s="37" t="str">
        <f>IF(EXACT($F302, ""), "", VLOOKUP($F302, 'MAIN - OrgDepartment'!$C$3:$D$104, 2, FALSE))</f>
        <v/>
      </c>
      <c r="H302" s="91"/>
      <c r="I302" s="37" t="str">
        <f>IF(EXACT($H302, ""), "", VLOOKUP($H302, 'MAIN - OrgJobsPos'!$B$2:$C$101, 2, FALSE))</f>
        <v/>
      </c>
      <c r="J302" s="67"/>
      <c r="K302" s="63"/>
      <c r="L302" s="10" t="s">
        <v>7</v>
      </c>
      <c r="M302" s="11"/>
      <c r="O302" s="29">
        <f t="shared" si="8"/>
        <v>164000000000299</v>
      </c>
      <c r="P30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32000000000299::bigint, 163000000000002::bigint, null::bigint, null::bigint, null::varchar, null::timestamptz, '1900-12-31 23:59:59+07'::timestamptz, null::bigint);</v>
      </c>
    </row>
    <row r="303" spans="2:16" x14ac:dyDescent="0.2">
      <c r="B303" s="37">
        <f>IF(EXACT(DataLookUp!$B303, ""), "", DataLookUp!$B303)</f>
        <v>32000000000300</v>
      </c>
      <c r="C303" s="38" t="str">
        <f>MAIN!C303</f>
        <v>Mulia Rohanson Harahap</v>
      </c>
      <c r="D303" s="91">
        <v>163000000000003</v>
      </c>
      <c r="E303" s="37" t="str">
        <f>IF(EXACT($D303, ""), "", VLOOKUP($D303, [2]DataLookUp!$B$4:$D$15, 2, FALSE ))</f>
        <v>Karyawan Tidak Tetap (Kontrak)</v>
      </c>
      <c r="F303" s="91"/>
      <c r="G303" s="37" t="str">
        <f>IF(EXACT($F303, ""), "", VLOOKUP($F303, 'MAIN - OrgDepartment'!$C$3:$D$104, 2, FALSE))</f>
        <v/>
      </c>
      <c r="H303" s="91"/>
      <c r="I303" s="37" t="str">
        <f>IF(EXACT($H303, ""), "", VLOOKUP($H303, 'MAIN - OrgJobsPos'!$B$2:$C$101, 2, FALSE))</f>
        <v/>
      </c>
      <c r="J303" s="67"/>
      <c r="K303" s="63"/>
      <c r="L303" s="10" t="s">
        <v>7</v>
      </c>
      <c r="M303" s="11"/>
      <c r="O303" s="29">
        <f t="shared" si="8"/>
        <v>164000000000300</v>
      </c>
      <c r="P30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32000000000300::bigint, 163000000000003::bigint, null::bigint, null::bigint, null::varchar, null::timestamptz, '1900-12-31 23:59:59+07'::timestamptz, null::bigint);</v>
      </c>
    </row>
    <row r="304" spans="2:16" x14ac:dyDescent="0.2">
      <c r="B304" s="37">
        <f>IF(EXACT(DataLookUp!$B304, ""), "", DataLookUp!$B304)</f>
        <v>32000000000301</v>
      </c>
      <c r="C304" s="38" t="str">
        <f>MAIN!C304</f>
        <v>Mullan Tresna</v>
      </c>
      <c r="D304" s="91">
        <v>163000000000003</v>
      </c>
      <c r="E304" s="37" t="str">
        <f>IF(EXACT($D304, ""), "", VLOOKUP($D304, [2]DataLookUp!$B$4:$D$15, 2, FALSE ))</f>
        <v>Karyawan Tidak Tetap (Kontrak)</v>
      </c>
      <c r="F304" s="91">
        <v>111000000000005</v>
      </c>
      <c r="G304" s="37" t="str">
        <f>IF(EXACT($F304, ""), "", VLOOKUP($F304, 'MAIN - OrgDepartment'!$C$3:$D$104, 2, FALSE))</f>
        <v>Finance &amp; Accounting</v>
      </c>
      <c r="H304" s="91">
        <v>160000000000006</v>
      </c>
      <c r="I304" s="37" t="str">
        <f>IF(EXACT($H304, ""), "", VLOOKUP($H304, 'MAIN - OrgJobsPos'!$B$2:$C$101, 2, FALSE))</f>
        <v>Manager</v>
      </c>
      <c r="J304" s="67" t="s">
        <v>317</v>
      </c>
      <c r="K304" s="63" t="s">
        <v>234</v>
      </c>
      <c r="L304" s="10" t="s">
        <v>3</v>
      </c>
      <c r="M304" s="11"/>
      <c r="O304" s="29">
        <f t="shared" si="8"/>
        <v>164000000000301</v>
      </c>
      <c r="P304" s="30" t="str">
        <f t="shared" si="9"/>
        <v>PERFORM "SchData-OLTP-HumanResource"."Func_TblWorkerCareerInternal_SET"(varSystemLoginSession, null::bigint, null::varchar, '2005-01-03 00:00:00+07'::timestamptz, '9999-12-31 23:59:59+07'::timestamptz, null::varchar, varInstitutionBranchID, varBaseCurrencyID, 32000000000301::bigint, 163000000000003::bigint, 111000000000005::bigint, 160000000000006::bigint, 'Accounting &amp; Tax Manager'::varchar, '2005-01-03 00:00:00+07'::timestamptz, '9999-12-31 23:59:59+07'::timestamptz, null::bigint);</v>
      </c>
    </row>
    <row r="305" spans="2:16" x14ac:dyDescent="0.2">
      <c r="B305" s="37">
        <f>IF(EXACT(DataLookUp!$B305, ""), "", DataLookUp!$B305)</f>
        <v>32000000000302</v>
      </c>
      <c r="C305" s="38" t="str">
        <f>MAIN!C305</f>
        <v>Mulyadi</v>
      </c>
      <c r="D305" s="91">
        <v>163000000000003</v>
      </c>
      <c r="E305" s="37" t="str">
        <f>IF(EXACT($D305, ""), "", VLOOKUP($D305, [2]DataLookUp!$B$4:$D$15, 2, FALSE ))</f>
        <v>Karyawan Tidak Tetap (Kontrak)</v>
      </c>
      <c r="F305" s="91"/>
      <c r="G305" s="37" t="str">
        <f>IF(EXACT($F305, ""), "", VLOOKUP($F305, 'MAIN - OrgDepartment'!$C$3:$D$104, 2, FALSE))</f>
        <v/>
      </c>
      <c r="H305" s="91"/>
      <c r="I305" s="37" t="str">
        <f>IF(EXACT($H305, ""), "", VLOOKUP($H305, 'MAIN - OrgJobsPos'!$B$2:$C$101, 2, FALSE))</f>
        <v/>
      </c>
      <c r="J305" s="67"/>
      <c r="K305" s="63"/>
      <c r="L305" s="10" t="s">
        <v>7</v>
      </c>
      <c r="M305" s="11"/>
      <c r="O305" s="29">
        <f t="shared" si="8"/>
        <v>164000000000302</v>
      </c>
      <c r="P305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32000000000302::bigint, 163000000000003::bigint, null::bigint, null::bigint, null::varchar, null::timestamptz, '1900-12-31 23:59:59+07'::timestamptz, null::bigint);</v>
      </c>
    </row>
    <row r="306" spans="2:16" x14ac:dyDescent="0.2">
      <c r="B306" s="37">
        <f>IF(EXACT(DataLookUp!$B306, ""), "", DataLookUp!$B306)</f>
        <v>32000000000303</v>
      </c>
      <c r="C306" s="38" t="str">
        <f>MAIN!C306</f>
        <v>Mulyono</v>
      </c>
      <c r="D306" s="91">
        <v>163000000000003</v>
      </c>
      <c r="E306" s="37" t="str">
        <f>IF(EXACT($D306, ""), "", VLOOKUP($D306, [2]DataLookUp!$B$4:$D$15, 2, FALSE ))</f>
        <v>Karyawan Tidak Tetap (Kontrak)</v>
      </c>
      <c r="F306" s="91"/>
      <c r="G306" s="37" t="str">
        <f>IF(EXACT($F306, ""), "", VLOOKUP($F306, 'MAIN - OrgDepartment'!$C$3:$D$104, 2, FALSE))</f>
        <v/>
      </c>
      <c r="H306" s="91"/>
      <c r="I306" s="37" t="str">
        <f>IF(EXACT($H306, ""), "", VLOOKUP($H306, 'MAIN - OrgJobsPos'!$B$2:$C$101, 2, FALSE))</f>
        <v/>
      </c>
      <c r="J306" s="67"/>
      <c r="K306" s="63"/>
      <c r="L306" s="10" t="s">
        <v>7</v>
      </c>
      <c r="M306" s="11"/>
      <c r="O306" s="29">
        <f t="shared" si="8"/>
        <v>164000000000303</v>
      </c>
      <c r="P306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32000000000303::bigint, 163000000000003::bigint, null::bigint, null::bigint, null::varchar, null::timestamptz, '1900-12-31 23:59:59+07'::timestamptz, null::bigint);</v>
      </c>
    </row>
    <row r="307" spans="2:16" x14ac:dyDescent="0.2">
      <c r="B307" s="37">
        <f>IF(EXACT(DataLookUp!$B307, ""), "", DataLookUp!$B307)</f>
        <v>32000000000304</v>
      </c>
      <c r="C307" s="38" t="str">
        <f>MAIN!C307</f>
        <v>Murdiansyah</v>
      </c>
      <c r="D307" s="91">
        <v>163000000000003</v>
      </c>
      <c r="E307" s="37" t="str">
        <f>IF(EXACT($D307, ""), "", VLOOKUP($D307, [2]DataLookUp!$B$4:$D$15, 2, FALSE ))</f>
        <v>Karyawan Tidak Tetap (Kontrak)</v>
      </c>
      <c r="F307" s="91"/>
      <c r="G307" s="37" t="str">
        <f>IF(EXACT($F307, ""), "", VLOOKUP($F307, 'MAIN - OrgDepartment'!$C$3:$D$104, 2, FALSE))</f>
        <v/>
      </c>
      <c r="H307" s="91"/>
      <c r="I307" s="37" t="str">
        <f>IF(EXACT($H307, ""), "", VLOOKUP($H307, 'MAIN - OrgJobsPos'!$B$2:$C$101, 2, FALSE))</f>
        <v/>
      </c>
      <c r="J307" s="67"/>
      <c r="K307" s="63"/>
      <c r="L307" s="10" t="s">
        <v>7</v>
      </c>
      <c r="M307" s="11"/>
      <c r="O307" s="29">
        <f t="shared" si="8"/>
        <v>164000000000304</v>
      </c>
      <c r="P307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32000000000304::bigint, 163000000000003::bigint, null::bigint, null::bigint, null::varchar, null::timestamptz, '1900-12-31 23:59:59+07'::timestamptz, null::bigint);</v>
      </c>
    </row>
    <row r="308" spans="2:16" x14ac:dyDescent="0.2">
      <c r="B308" s="37">
        <f>IF(EXACT(DataLookUp!$B308, ""), "", DataLookUp!$B308)</f>
        <v>32000000000305</v>
      </c>
      <c r="C308" s="38" t="str">
        <f>MAIN!C308</f>
        <v>Mursalim</v>
      </c>
      <c r="D308" s="91">
        <v>163000000000003</v>
      </c>
      <c r="E308" s="37" t="str">
        <f>IF(EXACT($D308, ""), "", VLOOKUP($D308, [2]DataLookUp!$B$4:$D$15, 2, FALSE ))</f>
        <v>Karyawan Tidak Tetap (Kontrak)</v>
      </c>
      <c r="F308" s="91"/>
      <c r="G308" s="37" t="str">
        <f>IF(EXACT($F308, ""), "", VLOOKUP($F308, 'MAIN - OrgDepartment'!$C$3:$D$104, 2, FALSE))</f>
        <v/>
      </c>
      <c r="H308" s="91"/>
      <c r="I308" s="37" t="str">
        <f>IF(EXACT($H308, ""), "", VLOOKUP($H308, 'MAIN - OrgJobsPos'!$B$2:$C$101, 2, FALSE))</f>
        <v/>
      </c>
      <c r="J308" s="67"/>
      <c r="K308" s="63"/>
      <c r="L308" s="10" t="s">
        <v>7</v>
      </c>
      <c r="M308" s="11"/>
      <c r="O308" s="29">
        <f t="shared" si="8"/>
        <v>164000000000305</v>
      </c>
      <c r="P308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32000000000305::bigint, 163000000000003::bigint, null::bigint, null::bigint, null::varchar, null::timestamptz, '1900-12-31 23:59:59+07'::timestamptz, null::bigint);</v>
      </c>
    </row>
    <row r="309" spans="2:16" x14ac:dyDescent="0.2">
      <c r="B309" s="37">
        <f>IF(EXACT(DataLookUp!$B309, ""), "", DataLookUp!$B309)</f>
        <v>32000000000306</v>
      </c>
      <c r="C309" s="38" t="str">
        <f>MAIN!C309</f>
        <v>Nancy Meriana Sinaga</v>
      </c>
      <c r="D309" s="91">
        <v>163000000000003</v>
      </c>
      <c r="E309" s="37" t="str">
        <f>IF(EXACT($D309, ""), "", VLOOKUP($D309, [2]DataLookUp!$B$4:$D$15, 2, FALSE ))</f>
        <v>Karyawan Tidak Tetap (Kontrak)</v>
      </c>
      <c r="F309" s="91"/>
      <c r="G309" s="37" t="str">
        <f>IF(EXACT($F309, ""), "", VLOOKUP($F309, 'MAIN - OrgDepartment'!$C$3:$D$104, 2, FALSE))</f>
        <v/>
      </c>
      <c r="H309" s="91"/>
      <c r="I309" s="37" t="str">
        <f>IF(EXACT($H309, ""), "", VLOOKUP($H309, 'MAIN - OrgJobsPos'!$B$2:$C$101, 2, FALSE))</f>
        <v/>
      </c>
      <c r="J309" s="67"/>
      <c r="K309" s="63"/>
      <c r="L309" s="10" t="s">
        <v>7</v>
      </c>
      <c r="M309" s="11"/>
      <c r="O309" s="29">
        <f t="shared" si="8"/>
        <v>164000000000306</v>
      </c>
      <c r="P309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32000000000306::bigint, 163000000000003::bigint, null::bigint, null::bigint, null::varchar, null::timestamptz, '1900-12-31 23:59:59+07'::timestamptz, null::bigint);</v>
      </c>
    </row>
    <row r="310" spans="2:16" x14ac:dyDescent="0.2">
      <c r="B310" s="37">
        <f>IF(EXACT(DataLookUp!$B310, ""), "", DataLookUp!$B310)</f>
        <v>32000000000307</v>
      </c>
      <c r="C310" s="38" t="str">
        <f>MAIN!C310</f>
        <v>Nandang Effendi</v>
      </c>
      <c r="D310" s="91">
        <v>163000000000003</v>
      </c>
      <c r="E310" s="37" t="str">
        <f>IF(EXACT($D310, ""), "", VLOOKUP($D310, [2]DataLookUp!$B$4:$D$15, 2, FALSE ))</f>
        <v>Karyawan Tidak Tetap (Kontrak)</v>
      </c>
      <c r="F310" s="91">
        <v>111000000000011</v>
      </c>
      <c r="G310" s="37" t="str">
        <f>IF(EXACT($F310, ""), "", VLOOKUP($F310, 'MAIN - OrgDepartment'!$C$3:$D$104, 2, FALSE))</f>
        <v>Project</v>
      </c>
      <c r="H310" s="91">
        <v>160000000000003</v>
      </c>
      <c r="I310" s="37" t="str">
        <f>IF(EXACT($H310, ""), "", VLOOKUP($H310, 'MAIN - OrgJobsPos'!$B$2:$C$101, 2, FALSE))</f>
        <v>Staff</v>
      </c>
      <c r="J310" s="67" t="s">
        <v>178</v>
      </c>
      <c r="K310" s="63" t="s">
        <v>235</v>
      </c>
      <c r="L310" s="10" t="s">
        <v>3</v>
      </c>
      <c r="M310" s="11"/>
      <c r="O310" s="29">
        <f t="shared" si="8"/>
        <v>164000000000307</v>
      </c>
      <c r="P310" s="30" t="str">
        <f t="shared" si="9"/>
        <v>PERFORM "SchData-OLTP-HumanResource"."Func_TblWorkerCareerInternal_SET"(varSystemLoginSession, null::bigint, null::varchar, '2006-11-06 00:00:00+07'::timestamptz, '9999-12-31 23:59:59+07'::timestamptz, null::varchar, varInstitutionBranchID, varBaseCurrencyID, 32000000000307::bigint, 163000000000003::bigint, 111000000000011::bigint, 160000000000003::bigint, 'CME Supervisor'::varchar, '2006-11-06 00:00:00+07'::timestamptz, '9999-12-31 23:59:59+07'::timestamptz, null::bigint);</v>
      </c>
    </row>
    <row r="311" spans="2:16" x14ac:dyDescent="0.2">
      <c r="B311" s="37">
        <f>IF(EXACT(DataLookUp!$B311, ""), "", DataLookUp!$B311)</f>
        <v>32000000000308</v>
      </c>
      <c r="C311" s="38" t="str">
        <f>MAIN!C311</f>
        <v>Narno</v>
      </c>
      <c r="D311" s="91">
        <v>163000000000003</v>
      </c>
      <c r="E311" s="37" t="str">
        <f>IF(EXACT($D311, ""), "", VLOOKUP($D311, [2]DataLookUp!$B$4:$D$15, 2, FALSE ))</f>
        <v>Karyawan Tidak Tetap (Kontrak)</v>
      </c>
      <c r="F311" s="91"/>
      <c r="G311" s="37" t="str">
        <f>IF(EXACT($F311, ""), "", VLOOKUP($F311, 'MAIN - OrgDepartment'!$C$3:$D$104, 2, FALSE))</f>
        <v/>
      </c>
      <c r="H311" s="91"/>
      <c r="I311" s="37" t="str">
        <f>IF(EXACT($H311, ""), "", VLOOKUP($H311, 'MAIN - OrgJobsPos'!$B$2:$C$101, 2, FALSE))</f>
        <v/>
      </c>
      <c r="J311" s="67"/>
      <c r="K311" s="63"/>
      <c r="L311" s="10" t="s">
        <v>7</v>
      </c>
      <c r="M311" s="11"/>
      <c r="O311" s="29">
        <f t="shared" si="8"/>
        <v>164000000000308</v>
      </c>
      <c r="P311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32000000000308::bigint, 163000000000003::bigint, null::bigint, null::bigint, null::varchar, null::timestamptz, '1900-12-31 23:59:59+07'::timestamptz, null::bigint);</v>
      </c>
    </row>
    <row r="312" spans="2:16" x14ac:dyDescent="0.2">
      <c r="B312" s="37">
        <f>IF(EXACT(DataLookUp!$B312, ""), "", DataLookUp!$B312)</f>
        <v>32000000000309</v>
      </c>
      <c r="C312" s="38" t="str">
        <f>MAIN!C312</f>
        <v>Nasrul Anwar P.</v>
      </c>
      <c r="D312" s="91">
        <v>163000000000003</v>
      </c>
      <c r="E312" s="37" t="str">
        <f>IF(EXACT($D312, ""), "", VLOOKUP($D312, [2]DataLookUp!$B$4:$D$15, 2, FALSE ))</f>
        <v>Karyawan Tidak Tetap (Kontrak)</v>
      </c>
      <c r="F312" s="91"/>
      <c r="G312" s="37" t="str">
        <f>IF(EXACT($F312, ""), "", VLOOKUP($F312, 'MAIN - OrgDepartment'!$C$3:$D$104, 2, FALSE))</f>
        <v/>
      </c>
      <c r="H312" s="91"/>
      <c r="I312" s="37" t="str">
        <f>IF(EXACT($H312, ""), "", VLOOKUP($H312, 'MAIN - OrgJobsPos'!$B$2:$C$101, 2, FALSE))</f>
        <v/>
      </c>
      <c r="J312" s="67"/>
      <c r="K312" s="63"/>
      <c r="L312" s="10" t="s">
        <v>7</v>
      </c>
      <c r="M312" s="11"/>
      <c r="O312" s="29">
        <f t="shared" si="8"/>
        <v>164000000000309</v>
      </c>
      <c r="P31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32000000000309::bigint, 163000000000003::bigint, null::bigint, null::bigint, null::varchar, null::timestamptz, '1900-12-31 23:59:59+07'::timestamptz, null::bigint);</v>
      </c>
    </row>
    <row r="313" spans="2:16" x14ac:dyDescent="0.2">
      <c r="B313" s="37">
        <f>IF(EXACT(DataLookUp!$B313, ""), "", DataLookUp!$B313)</f>
        <v>32000000000310</v>
      </c>
      <c r="C313" s="38" t="str">
        <f>MAIN!C313</f>
        <v>Nawal</v>
      </c>
      <c r="D313" s="91">
        <v>163000000000003</v>
      </c>
      <c r="E313" s="37" t="str">
        <f>IF(EXACT($D313, ""), "", VLOOKUP($D313, [2]DataLookUp!$B$4:$D$15, 2, FALSE ))</f>
        <v>Karyawan Tidak Tetap (Kontrak)</v>
      </c>
      <c r="F313" s="91"/>
      <c r="G313" s="37" t="str">
        <f>IF(EXACT($F313, ""), "", VLOOKUP($F313, 'MAIN - OrgDepartment'!$C$3:$D$104, 2, FALSE))</f>
        <v/>
      </c>
      <c r="H313" s="91"/>
      <c r="I313" s="37" t="str">
        <f>IF(EXACT($H313, ""), "", VLOOKUP($H313, 'MAIN - OrgJobsPos'!$B$2:$C$101, 2, FALSE))</f>
        <v/>
      </c>
      <c r="J313" s="67"/>
      <c r="K313" s="63"/>
      <c r="L313" s="10" t="s">
        <v>7</v>
      </c>
      <c r="M313" s="11"/>
      <c r="O313" s="29">
        <f t="shared" si="8"/>
        <v>164000000000310</v>
      </c>
      <c r="P31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32000000000310::bigint, 163000000000003::bigint, null::bigint, null::bigint, null::varchar, null::timestamptz, '1900-12-31 23:59:59+07'::timestamptz, null::bigint);</v>
      </c>
    </row>
    <row r="314" spans="2:16" x14ac:dyDescent="0.2">
      <c r="B314" s="37">
        <f>IF(EXACT(DataLookUp!$B314, ""), "", DataLookUp!$B314)</f>
        <v>32000000000311</v>
      </c>
      <c r="C314" s="38" t="str">
        <f>MAIN!C314</f>
        <v>Nawir Lahamutu</v>
      </c>
      <c r="D314" s="91">
        <v>163000000000003</v>
      </c>
      <c r="E314" s="37" t="str">
        <f>IF(EXACT($D314, ""), "", VLOOKUP($D314, [2]DataLookUp!$B$4:$D$15, 2, FALSE ))</f>
        <v>Karyawan Tidak Tetap (Kontrak)</v>
      </c>
      <c r="F314" s="91"/>
      <c r="G314" s="37" t="str">
        <f>IF(EXACT($F314, ""), "", VLOOKUP($F314, 'MAIN - OrgDepartment'!$C$3:$D$104, 2, FALSE))</f>
        <v/>
      </c>
      <c r="H314" s="91"/>
      <c r="I314" s="37" t="str">
        <f>IF(EXACT($H314, ""), "", VLOOKUP($H314, 'MAIN - OrgJobsPos'!$B$2:$C$101, 2, FALSE))</f>
        <v/>
      </c>
      <c r="J314" s="67"/>
      <c r="K314" s="63"/>
      <c r="L314" s="10" t="s">
        <v>7</v>
      </c>
      <c r="M314" s="11"/>
      <c r="O314" s="29">
        <f t="shared" si="8"/>
        <v>164000000000311</v>
      </c>
      <c r="P314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32000000000311::bigint, 163000000000003::bigint, null::bigint, null::bigint, null::varchar, null::timestamptz, '1900-12-31 23:59:59+07'::timestamptz, null::bigint);</v>
      </c>
    </row>
    <row r="315" spans="2:16" x14ac:dyDescent="0.2">
      <c r="B315" s="37">
        <f>IF(EXACT(DataLookUp!$B315, ""), "", DataLookUp!$B315)</f>
        <v>32000000000312</v>
      </c>
      <c r="C315" s="38" t="str">
        <f>MAIN!C315</f>
        <v>Nicky Kurnia</v>
      </c>
      <c r="D315" s="91">
        <v>163000000000003</v>
      </c>
      <c r="E315" s="37" t="str">
        <f>IF(EXACT($D315, ""), "", VLOOKUP($D315, [2]DataLookUp!$B$4:$D$15, 2, FALSE ))</f>
        <v>Karyawan Tidak Tetap (Kontrak)</v>
      </c>
      <c r="F315" s="91"/>
      <c r="G315" s="37" t="str">
        <f>IF(EXACT($F315, ""), "", VLOOKUP($F315, 'MAIN - OrgDepartment'!$C$3:$D$104, 2, FALSE))</f>
        <v/>
      </c>
      <c r="H315" s="91"/>
      <c r="I315" s="37" t="str">
        <f>IF(EXACT($H315, ""), "", VLOOKUP($H315, 'MAIN - OrgJobsPos'!$B$2:$C$101, 2, FALSE))</f>
        <v/>
      </c>
      <c r="J315" s="67"/>
      <c r="K315" s="63"/>
      <c r="L315" s="10" t="s">
        <v>7</v>
      </c>
      <c r="M315" s="11"/>
      <c r="O315" s="29">
        <f t="shared" si="8"/>
        <v>164000000000312</v>
      </c>
      <c r="P315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32000000000312::bigint, 163000000000003::bigint, null::bigint, null::bigint, null::varchar, null::timestamptz, '1900-12-31 23:59:59+07'::timestamptz, null::bigint);</v>
      </c>
    </row>
    <row r="316" spans="2:16" x14ac:dyDescent="0.2">
      <c r="B316" s="37">
        <f>IF(EXACT(DataLookUp!$B316, ""), "", DataLookUp!$B316)</f>
        <v>32000000000313</v>
      </c>
      <c r="C316" s="38" t="str">
        <f>MAIN!C316</f>
        <v>Noercholis Firmansyah</v>
      </c>
      <c r="D316" s="91">
        <v>163000000000003</v>
      </c>
      <c r="E316" s="37" t="str">
        <f>IF(EXACT($D316, ""), "", VLOOKUP($D316, [2]DataLookUp!$B$4:$D$15, 2, FALSE ))</f>
        <v>Karyawan Tidak Tetap (Kontrak)</v>
      </c>
      <c r="F316" s="91"/>
      <c r="G316" s="37" t="str">
        <f>IF(EXACT($F316, ""), "", VLOOKUP($F316, 'MAIN - OrgDepartment'!$C$3:$D$104, 2, FALSE))</f>
        <v/>
      </c>
      <c r="H316" s="91"/>
      <c r="I316" s="37" t="str">
        <f>IF(EXACT($H316, ""), "", VLOOKUP($H316, 'MAIN - OrgJobsPos'!$B$2:$C$101, 2, FALSE))</f>
        <v/>
      </c>
      <c r="J316" s="67"/>
      <c r="K316" s="63"/>
      <c r="L316" s="10" t="s">
        <v>7</v>
      </c>
      <c r="M316" s="11"/>
      <c r="O316" s="29">
        <f t="shared" si="8"/>
        <v>164000000000313</v>
      </c>
      <c r="P316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32000000000313::bigint, 163000000000003::bigint, null::bigint, null::bigint, null::varchar, null::timestamptz, '1900-12-31 23:59:59+07'::timestamptz, null::bigint);</v>
      </c>
    </row>
    <row r="317" spans="2:16" x14ac:dyDescent="0.2">
      <c r="B317" s="37">
        <f>IF(EXACT(DataLookUp!$B317, ""), "", DataLookUp!$B317)</f>
        <v>32000000000314</v>
      </c>
      <c r="C317" s="38" t="str">
        <f>MAIN!C317</f>
        <v>Nopitasari</v>
      </c>
      <c r="D317" s="91">
        <v>163000000000003</v>
      </c>
      <c r="E317" s="37" t="str">
        <f>IF(EXACT($D317, ""), "", VLOOKUP($D317, [2]DataLookUp!$B$4:$D$15, 2, FALSE ))</f>
        <v>Karyawan Tidak Tetap (Kontrak)</v>
      </c>
      <c r="F317" s="91"/>
      <c r="G317" s="37" t="str">
        <f>IF(EXACT($F317, ""), "", VLOOKUP($F317, 'MAIN - OrgDepartment'!$C$3:$D$104, 2, FALSE))</f>
        <v/>
      </c>
      <c r="H317" s="91"/>
      <c r="I317" s="37" t="str">
        <f>IF(EXACT($H317, ""), "", VLOOKUP($H317, 'MAIN - OrgJobsPos'!$B$2:$C$101, 2, FALSE))</f>
        <v/>
      </c>
      <c r="J317" s="67"/>
      <c r="K317" s="63"/>
      <c r="L317" s="10" t="s">
        <v>7</v>
      </c>
      <c r="M317" s="11"/>
      <c r="O317" s="29">
        <f t="shared" si="8"/>
        <v>164000000000314</v>
      </c>
      <c r="P317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32000000000314::bigint, 163000000000003::bigint, null::bigint, null::bigint, null::varchar, null::timestamptz, '1900-12-31 23:59:59+07'::timestamptz, null::bigint);</v>
      </c>
    </row>
    <row r="318" spans="2:16" x14ac:dyDescent="0.2">
      <c r="B318" s="37">
        <f>IF(EXACT(DataLookUp!$B318, ""), "", DataLookUp!$B318)</f>
        <v>32000000000315</v>
      </c>
      <c r="C318" s="38" t="str">
        <f>MAIN!C318</f>
        <v>Nora Meilissa</v>
      </c>
      <c r="D318" s="91">
        <v>163000000000003</v>
      </c>
      <c r="E318" s="37" t="str">
        <f>IF(EXACT($D318, ""), "", VLOOKUP($D318, [2]DataLookUp!$B$4:$D$15, 2, FALSE ))</f>
        <v>Karyawan Tidak Tetap (Kontrak)</v>
      </c>
      <c r="F318" s="91"/>
      <c r="G318" s="37" t="str">
        <f>IF(EXACT($F318, ""), "", VLOOKUP($F318, 'MAIN - OrgDepartment'!$C$3:$D$104, 2, FALSE))</f>
        <v/>
      </c>
      <c r="H318" s="91"/>
      <c r="I318" s="37" t="str">
        <f>IF(EXACT($H318, ""), "", VLOOKUP($H318, 'MAIN - OrgJobsPos'!$B$2:$C$101, 2, FALSE))</f>
        <v/>
      </c>
      <c r="J318" s="67"/>
      <c r="K318" s="63"/>
      <c r="L318" s="10" t="s">
        <v>7</v>
      </c>
      <c r="M318" s="11"/>
      <c r="O318" s="29">
        <f t="shared" si="8"/>
        <v>164000000000315</v>
      </c>
      <c r="P318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32000000000315::bigint, 163000000000003::bigint, null::bigint, null::bigint, null::varchar, null::timestamptz, '1900-12-31 23:59:59+07'::timestamptz, null::bigint);</v>
      </c>
    </row>
    <row r="319" spans="2:16" x14ac:dyDescent="0.2">
      <c r="B319" s="37">
        <f>IF(EXACT(DataLookUp!$B319, ""), "", DataLookUp!$B319)</f>
        <v>32000000000316</v>
      </c>
      <c r="C319" s="38" t="str">
        <f>MAIN!C319</f>
        <v>Novalia</v>
      </c>
      <c r="D319" s="91">
        <v>163000000000003</v>
      </c>
      <c r="E319" s="37" t="str">
        <f>IF(EXACT($D319, ""), "", VLOOKUP($D319, [2]DataLookUp!$B$4:$D$15, 2, FALSE ))</f>
        <v>Karyawan Tidak Tetap (Kontrak)</v>
      </c>
      <c r="F319" s="91"/>
      <c r="G319" s="37" t="str">
        <f>IF(EXACT($F319, ""), "", VLOOKUP($F319, 'MAIN - OrgDepartment'!$C$3:$D$104, 2, FALSE))</f>
        <v/>
      </c>
      <c r="H319" s="91"/>
      <c r="I319" s="37" t="str">
        <f>IF(EXACT($H319, ""), "", VLOOKUP($H319, 'MAIN - OrgJobsPos'!$B$2:$C$101, 2, FALSE))</f>
        <v/>
      </c>
      <c r="J319" s="67"/>
      <c r="K319" s="63"/>
      <c r="L319" s="10" t="s">
        <v>7</v>
      </c>
      <c r="M319" s="11"/>
      <c r="O319" s="29">
        <f t="shared" si="8"/>
        <v>164000000000316</v>
      </c>
      <c r="P319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32000000000316::bigint, 163000000000003::bigint, null::bigint, null::bigint, null::varchar, null::timestamptz, '1900-12-31 23:59:59+07'::timestamptz, null::bigint);</v>
      </c>
    </row>
    <row r="320" spans="2:16" x14ac:dyDescent="0.2">
      <c r="B320" s="37">
        <f>IF(EXACT(DataLookUp!$B320, ""), "", DataLookUp!$B320)</f>
        <v>32000000000317</v>
      </c>
      <c r="C320" s="38" t="str">
        <f>MAIN!C320</f>
        <v>Novan Nugraha</v>
      </c>
      <c r="D320" s="91">
        <v>163000000000003</v>
      </c>
      <c r="E320" s="37" t="str">
        <f>IF(EXACT($D320, ""), "", VLOOKUP($D320, [2]DataLookUp!$B$4:$D$15, 2, FALSE ))</f>
        <v>Karyawan Tidak Tetap (Kontrak)</v>
      </c>
      <c r="F320" s="91"/>
      <c r="G320" s="37" t="str">
        <f>IF(EXACT($F320, ""), "", VLOOKUP($F320, 'MAIN - OrgDepartment'!$C$3:$D$104, 2, FALSE))</f>
        <v/>
      </c>
      <c r="H320" s="91"/>
      <c r="I320" s="37" t="str">
        <f>IF(EXACT($H320, ""), "", VLOOKUP($H320, 'MAIN - OrgJobsPos'!$B$2:$C$101, 2, FALSE))</f>
        <v/>
      </c>
      <c r="J320" s="67"/>
      <c r="K320" s="63"/>
      <c r="L320" s="10" t="s">
        <v>7</v>
      </c>
      <c r="M320" s="11"/>
      <c r="O320" s="29">
        <f t="shared" si="8"/>
        <v>164000000000317</v>
      </c>
      <c r="P320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32000000000317::bigint, 163000000000003::bigint, null::bigint, null::bigint, null::varchar, null::timestamptz, '1900-12-31 23:59:59+07'::timestamptz, null::bigint);</v>
      </c>
    </row>
    <row r="321" spans="2:16" x14ac:dyDescent="0.2">
      <c r="B321" s="37">
        <f>IF(EXACT(DataLookUp!$B321, ""), "", DataLookUp!$B321)</f>
        <v>32000000000318</v>
      </c>
      <c r="C321" s="38" t="str">
        <f>MAIN!C321</f>
        <v>Nugraha</v>
      </c>
      <c r="D321" s="91">
        <v>163000000000003</v>
      </c>
      <c r="E321" s="37" t="str">
        <f>IF(EXACT($D321, ""), "", VLOOKUP($D321, [2]DataLookUp!$B$4:$D$15, 2, FALSE ))</f>
        <v>Karyawan Tidak Tetap (Kontrak)</v>
      </c>
      <c r="F321" s="91"/>
      <c r="G321" s="37" t="str">
        <f>IF(EXACT($F321, ""), "", VLOOKUP($F321, 'MAIN - OrgDepartment'!$C$3:$D$104, 2, FALSE))</f>
        <v/>
      </c>
      <c r="H321" s="91"/>
      <c r="I321" s="37" t="str">
        <f>IF(EXACT($H321, ""), "", VLOOKUP($H321, 'MAIN - OrgJobsPos'!$B$2:$C$101, 2, FALSE))</f>
        <v/>
      </c>
      <c r="J321" s="67"/>
      <c r="K321" s="63"/>
      <c r="L321" s="10" t="s">
        <v>7</v>
      </c>
      <c r="M321" s="11"/>
      <c r="O321" s="29">
        <f t="shared" si="8"/>
        <v>164000000000318</v>
      </c>
      <c r="P321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32000000000318::bigint, 163000000000003::bigint, null::bigint, null::bigint, null::varchar, null::timestamptz, '1900-12-31 23:59:59+07'::timestamptz, null::bigint);</v>
      </c>
    </row>
    <row r="322" spans="2:16" x14ac:dyDescent="0.2">
      <c r="B322" s="37">
        <f>IF(EXACT(DataLookUp!$B322, ""), "", DataLookUp!$B322)</f>
        <v>32000000000319</v>
      </c>
      <c r="C322" s="38" t="str">
        <f>MAIN!C322</f>
        <v>Nugroho Putranto</v>
      </c>
      <c r="D322" s="91">
        <v>163000000000003</v>
      </c>
      <c r="E322" s="37" t="str">
        <f>IF(EXACT($D322, ""), "", VLOOKUP($D322, [2]DataLookUp!$B$4:$D$15, 2, FALSE ))</f>
        <v>Karyawan Tidak Tetap (Kontrak)</v>
      </c>
      <c r="F322" s="91"/>
      <c r="G322" s="37" t="str">
        <f>IF(EXACT($F322, ""), "", VLOOKUP($F322, 'MAIN - OrgDepartment'!$C$3:$D$104, 2, FALSE))</f>
        <v/>
      </c>
      <c r="H322" s="91"/>
      <c r="I322" s="37" t="str">
        <f>IF(EXACT($H322, ""), "", VLOOKUP($H322, 'MAIN - OrgJobsPos'!$B$2:$C$101, 2, FALSE))</f>
        <v/>
      </c>
      <c r="J322" s="67"/>
      <c r="K322" s="63"/>
      <c r="L322" s="10" t="s">
        <v>7</v>
      </c>
      <c r="M322" s="11"/>
      <c r="O322" s="29">
        <f t="shared" si="8"/>
        <v>164000000000319</v>
      </c>
      <c r="P322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32000000000319::bigint, 163000000000003::bigint, null::bigint, null::bigint, null::varchar, null::timestamptz, '1900-12-31 23:59:59+07'::timestamptz, null::bigint);</v>
      </c>
    </row>
    <row r="323" spans="2:16" x14ac:dyDescent="0.2">
      <c r="B323" s="37">
        <f>IF(EXACT(DataLookUp!$B323, ""), "", DataLookUp!$B323)</f>
        <v>32000000000320</v>
      </c>
      <c r="C323" s="38" t="str">
        <f>MAIN!C323</f>
        <v>Nur Indra Sri Melati</v>
      </c>
      <c r="D323" s="91">
        <v>163000000000003</v>
      </c>
      <c r="E323" s="37" t="str">
        <f>IF(EXACT($D323, ""), "", VLOOKUP($D323, [2]DataLookUp!$B$4:$D$15, 2, FALSE ))</f>
        <v>Karyawan Tidak Tetap (Kontrak)</v>
      </c>
      <c r="F323" s="91"/>
      <c r="G323" s="37" t="str">
        <f>IF(EXACT($F323, ""), "", VLOOKUP($F323, 'MAIN - OrgDepartment'!$C$3:$D$104, 2, FALSE))</f>
        <v/>
      </c>
      <c r="H323" s="91"/>
      <c r="I323" s="37" t="str">
        <f>IF(EXACT($H323, ""), "", VLOOKUP($H323, 'MAIN - OrgJobsPos'!$B$2:$C$101, 2, FALSE))</f>
        <v/>
      </c>
      <c r="J323" s="67"/>
      <c r="K323" s="63"/>
      <c r="L323" s="10" t="s">
        <v>7</v>
      </c>
      <c r="M323" s="11"/>
      <c r="O323" s="29">
        <f t="shared" si="8"/>
        <v>164000000000320</v>
      </c>
      <c r="P323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32000000000320::bigint, 163000000000003::bigint, null::bigint, null::bigint, null::varchar, null::timestamptz, '1900-12-31 23:59:59+07'::timestamptz, null::bigint);</v>
      </c>
    </row>
    <row r="324" spans="2:16" x14ac:dyDescent="0.2">
      <c r="B324" s="37">
        <f>IF(EXACT(DataLookUp!$B324, ""), "", DataLookUp!$B324)</f>
        <v>32000000000321</v>
      </c>
      <c r="C324" s="38" t="str">
        <f>MAIN!C324</f>
        <v>Nur Kusumowati</v>
      </c>
      <c r="D324" s="91">
        <v>163000000000003</v>
      </c>
      <c r="E324" s="37" t="str">
        <f>IF(EXACT($D324, ""), "", VLOOKUP($D324, [2]DataLookUp!$B$4:$D$15, 2, FALSE ))</f>
        <v>Karyawan Tidak Tetap (Kontrak)</v>
      </c>
      <c r="F324" s="91"/>
      <c r="G324" s="37" t="str">
        <f>IF(EXACT($F324, ""), "", VLOOKUP($F324, 'MAIN - OrgDepartment'!$C$3:$D$104, 2, FALSE))</f>
        <v/>
      </c>
      <c r="H324" s="91"/>
      <c r="I324" s="37" t="str">
        <f>IF(EXACT($H324, ""), "", VLOOKUP($H324, 'MAIN - OrgJobsPos'!$B$2:$C$101, 2, FALSE))</f>
        <v/>
      </c>
      <c r="J324" s="67"/>
      <c r="K324" s="63"/>
      <c r="L324" s="10" t="s">
        <v>7</v>
      </c>
      <c r="M324" s="11"/>
      <c r="O324" s="29">
        <f t="shared" si="8"/>
        <v>164000000000321</v>
      </c>
      <c r="P324" s="30" t="str">
        <f t="shared" si="9"/>
        <v>PERFORM "SchData-OLTP-HumanResource"."Func_TblWorkerCareerInternal_SET"(varSystemLoginSession, null::bigint, null::varchar, null::timestamptz, '1900-12-31 23:59:59+07'::timestamptz, null::varchar, varInstitutionBranchID, varBaseCurrencyID, 32000000000321::bigint, 163000000000003::bigint, null::bigint, null::bigint, null::varchar, null::timestamptz, '1900-12-31 23:59:59+07'::timestamptz, null::bigint);</v>
      </c>
    </row>
    <row r="325" spans="2:16" x14ac:dyDescent="0.2">
      <c r="B325" s="37">
        <f>IF(EXACT(DataLookUp!$B325, ""), "", DataLookUp!$B325)</f>
        <v>32000000000322</v>
      </c>
      <c r="C325" s="38" t="str">
        <f>MAIN!C325</f>
        <v>Nurhidayat</v>
      </c>
      <c r="D325" s="91">
        <v>163000000000003</v>
      </c>
      <c r="E325" s="37" t="str">
        <f>IF(EXACT($D325, ""), "", VLOOKUP($D325, [2]DataLookUp!$B$4:$D$15, 2, FALSE ))</f>
        <v>Karyawan Tidak Tetap (Kontrak)</v>
      </c>
      <c r="F325" s="91"/>
      <c r="G325" s="37" t="str">
        <f>IF(EXACT($F325, ""), "", VLOOKUP($F325, 'MAIN - OrgDepartment'!$C$3:$D$104, 2, FALSE))</f>
        <v/>
      </c>
      <c r="H325" s="91"/>
      <c r="I325" s="37" t="str">
        <f>IF(EXACT($H325, ""), "", VLOOKUP($H325, 'MAIN - OrgJobsPos'!$B$2:$C$101, 2, FALSE))</f>
        <v/>
      </c>
      <c r="J325" s="67"/>
      <c r="K325" s="63"/>
      <c r="L325" s="10" t="s">
        <v>7</v>
      </c>
      <c r="M325" s="11"/>
      <c r="O325" s="29">
        <f t="shared" ref="O325:O388" si="10" xml:space="preserve"> O324 + IF(EXACT(P325, ""), 0, 1)</f>
        <v>164000000000322</v>
      </c>
      <c r="P325" s="30" t="str">
        <f t="shared" ref="P325:P388" si="11">CONCATENATE("PERFORM ""SchData-OLTP-HumanResource"".""Func_TblWorkerCareerInternal_SET""(varSystemLoginSession, null::bigint, null::varchar",
CONCATENATE(IF(EXACT($K325, ""), ", null", CONCATENATE(", '", $K325, "'")), "::timestamptz"),
CONCATENATE(IF(EXACT($L325, ""), ", null", CONCATENATE(", '", $L325, "'")), "::timestamptz"),
", null::varchar, varInstitutionBranchID, varBaseCurrencyID",
CONCATENATE(IF(EXACT($B325, ""), ", null", CONCATENATE(", ", $B325, "")), "::bigint"),
CONCATENATE(IF(EXACT($D325, ""), ", null", CONCATENATE(", ", $D325, "")), "::bigint"),
CONCATENATE(IF(EXACT($F325, ""), ", null", CONCATENATE(", ", $F325, "")), "::bigint"),
CONCATENATE(IF(EXACT($H325, ""), ", null", CONCATENATE(", ", $H325, "")), "::bigint"),
CONCATENATE(IF(EXACT($J325, ""), ", null", CONCATENATE(", '", $J325, "'")), "::varchar"),
CONCATENATE(IF(EXACT($K325, ""), ", null", CONCATENATE(", '", $K325, "'")), "::timestamptz"),
CONCATENATE(IF(EXACT($L325, ""), ", null", CONCATENATE(", '", $L325, "'")), "::timestamptz"),
CONCATENATE(IF(EXACT($M325, ""), ", null", CONCATENATE(", ", $M325,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32000000000322::bigint, 163000000000003::bigint, null::bigint, null::bigint, null::varchar, null::timestamptz, '1900-12-31 23:59:59+07'::timestamptz, null::bigint);</v>
      </c>
    </row>
    <row r="326" spans="2:16" x14ac:dyDescent="0.2">
      <c r="B326" s="37">
        <f>IF(EXACT(DataLookUp!$B326, ""), "", DataLookUp!$B326)</f>
        <v>32000000000323</v>
      </c>
      <c r="C326" s="38" t="str">
        <f>MAIN!C326</f>
        <v>Otong Bustori</v>
      </c>
      <c r="D326" s="91">
        <v>163000000000003</v>
      </c>
      <c r="E326" s="37" t="str">
        <f>IF(EXACT($D326, ""), "", VLOOKUP($D326, [2]DataLookUp!$B$4:$D$15, 2, FALSE ))</f>
        <v>Karyawan Tidak Tetap (Kontrak)</v>
      </c>
      <c r="F326" s="91"/>
      <c r="G326" s="37" t="str">
        <f>IF(EXACT($F326, ""), "", VLOOKUP($F326, 'MAIN - OrgDepartment'!$C$3:$D$104, 2, FALSE))</f>
        <v/>
      </c>
      <c r="H326" s="91"/>
      <c r="I326" s="37" t="str">
        <f>IF(EXACT($H326, ""), "", VLOOKUP($H326, 'MAIN - OrgJobsPos'!$B$2:$C$101, 2, FALSE))</f>
        <v/>
      </c>
      <c r="J326" s="67"/>
      <c r="K326" s="63"/>
      <c r="L326" s="10" t="s">
        <v>7</v>
      </c>
      <c r="M326" s="11"/>
      <c r="O326" s="29">
        <f t="shared" si="10"/>
        <v>164000000000323</v>
      </c>
      <c r="P32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32000000000323::bigint, 163000000000003::bigint, null::bigint, null::bigint, null::varchar, null::timestamptz, '1900-12-31 23:59:59+07'::timestamptz, null::bigint);</v>
      </c>
    </row>
    <row r="327" spans="2:16" x14ac:dyDescent="0.2">
      <c r="B327" s="37">
        <f>IF(EXACT(DataLookUp!$B327, ""), "", DataLookUp!$B327)</f>
        <v>32000000000324</v>
      </c>
      <c r="C327" s="38" t="str">
        <f>MAIN!C327</f>
        <v>Paino Suprayinto</v>
      </c>
      <c r="D327" s="91">
        <v>163000000000003</v>
      </c>
      <c r="E327" s="37" t="str">
        <f>IF(EXACT($D327, ""), "", VLOOKUP($D327, [2]DataLookUp!$B$4:$D$15, 2, FALSE ))</f>
        <v>Karyawan Tidak Tetap (Kontrak)</v>
      </c>
      <c r="F327" s="91"/>
      <c r="G327" s="37" t="str">
        <f>IF(EXACT($F327, ""), "", VLOOKUP($F327, 'MAIN - OrgDepartment'!$C$3:$D$104, 2, FALSE))</f>
        <v/>
      </c>
      <c r="H327" s="91"/>
      <c r="I327" s="37" t="str">
        <f>IF(EXACT($H327, ""), "", VLOOKUP($H327, 'MAIN - OrgJobsPos'!$B$2:$C$101, 2, FALSE))</f>
        <v/>
      </c>
      <c r="J327" s="67"/>
      <c r="K327" s="63"/>
      <c r="L327" s="10" t="s">
        <v>7</v>
      </c>
      <c r="M327" s="11"/>
      <c r="O327" s="29">
        <f t="shared" si="10"/>
        <v>164000000000324</v>
      </c>
      <c r="P32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32000000000324::bigint, 163000000000003::bigint, null::bigint, null::bigint, null::varchar, null::timestamptz, '1900-12-31 23:59:59+07'::timestamptz, null::bigint);</v>
      </c>
    </row>
    <row r="328" spans="2:16" x14ac:dyDescent="0.2">
      <c r="B328" s="37">
        <f>IF(EXACT(DataLookUp!$B328, ""), "", DataLookUp!$B328)</f>
        <v>32000000000325</v>
      </c>
      <c r="C328" s="38" t="str">
        <f>MAIN!C328</f>
        <v>Panca Yudi Baskoro</v>
      </c>
      <c r="D328" s="91">
        <v>163000000000003</v>
      </c>
      <c r="E328" s="37" t="str">
        <f>IF(EXACT($D328, ""), "", VLOOKUP($D328, [2]DataLookUp!$B$4:$D$15, 2, FALSE ))</f>
        <v>Karyawan Tidak Tetap (Kontrak)</v>
      </c>
      <c r="F328" s="91"/>
      <c r="G328" s="37" t="str">
        <f>IF(EXACT($F328, ""), "", VLOOKUP($F328, 'MAIN - OrgDepartment'!$C$3:$D$104, 2, FALSE))</f>
        <v/>
      </c>
      <c r="H328" s="91"/>
      <c r="I328" s="37" t="str">
        <f>IF(EXACT($H328, ""), "", VLOOKUP($H328, 'MAIN - OrgJobsPos'!$B$2:$C$101, 2, FALSE))</f>
        <v/>
      </c>
      <c r="J328" s="67"/>
      <c r="K328" s="63"/>
      <c r="L328" s="10" t="s">
        <v>7</v>
      </c>
      <c r="M328" s="11"/>
      <c r="O328" s="29">
        <f t="shared" si="10"/>
        <v>164000000000325</v>
      </c>
      <c r="P32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32000000000325::bigint, 163000000000003::bigint, null::bigint, null::bigint, null::varchar, null::timestamptz, '1900-12-31 23:59:59+07'::timestamptz, null::bigint);</v>
      </c>
    </row>
    <row r="329" spans="2:16" x14ac:dyDescent="0.2">
      <c r="B329" s="37">
        <f>IF(EXACT(DataLookUp!$B329, ""), "", DataLookUp!$B329)</f>
        <v>32000000000326</v>
      </c>
      <c r="C329" s="38" t="str">
        <f>MAIN!C329</f>
        <v>Panji Bima Santri</v>
      </c>
      <c r="D329" s="91">
        <v>163000000000003</v>
      </c>
      <c r="E329" s="37" t="str">
        <f>IF(EXACT($D329, ""), "", VLOOKUP($D329, [2]DataLookUp!$B$4:$D$15, 2, FALSE ))</f>
        <v>Karyawan Tidak Tetap (Kontrak)</v>
      </c>
      <c r="F329" s="91"/>
      <c r="G329" s="37" t="str">
        <f>IF(EXACT($F329, ""), "", VLOOKUP($F329, 'MAIN - OrgDepartment'!$C$3:$D$104, 2, FALSE))</f>
        <v/>
      </c>
      <c r="H329" s="91"/>
      <c r="I329" s="37" t="str">
        <f>IF(EXACT($H329, ""), "", VLOOKUP($H329, 'MAIN - OrgJobsPos'!$B$2:$C$101, 2, FALSE))</f>
        <v/>
      </c>
      <c r="J329" s="67"/>
      <c r="K329" s="63"/>
      <c r="L329" s="10" t="s">
        <v>7</v>
      </c>
      <c r="M329" s="11"/>
      <c r="O329" s="29">
        <f t="shared" si="10"/>
        <v>164000000000326</v>
      </c>
      <c r="P329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32000000000326::bigint, 163000000000003::bigint, null::bigint, null::bigint, null::varchar, null::timestamptz, '1900-12-31 23:59:59+07'::timestamptz, null::bigint);</v>
      </c>
    </row>
    <row r="330" spans="2:16" x14ac:dyDescent="0.2">
      <c r="B330" s="37">
        <f>IF(EXACT(DataLookUp!$B330, ""), "", DataLookUp!$B330)</f>
        <v>32000000000327</v>
      </c>
      <c r="C330" s="38" t="str">
        <f>MAIN!C330</f>
        <v>Parulian Napitupulu</v>
      </c>
      <c r="D330" s="91">
        <v>163000000000003</v>
      </c>
      <c r="E330" s="37" t="str">
        <f>IF(EXACT($D330, ""), "", VLOOKUP($D330, [2]DataLookUp!$B$4:$D$15, 2, FALSE ))</f>
        <v>Karyawan Tidak Tetap (Kontrak)</v>
      </c>
      <c r="F330" s="91"/>
      <c r="G330" s="37" t="str">
        <f>IF(EXACT($F330, ""), "", VLOOKUP($F330, 'MAIN - OrgDepartment'!$C$3:$D$104, 2, FALSE))</f>
        <v/>
      </c>
      <c r="H330" s="91"/>
      <c r="I330" s="37" t="str">
        <f>IF(EXACT($H330, ""), "", VLOOKUP($H330, 'MAIN - OrgJobsPos'!$B$2:$C$101, 2, FALSE))</f>
        <v/>
      </c>
      <c r="J330" s="67"/>
      <c r="K330" s="63"/>
      <c r="L330" s="10" t="s">
        <v>7</v>
      </c>
      <c r="M330" s="11"/>
      <c r="O330" s="29">
        <f t="shared" si="10"/>
        <v>164000000000327</v>
      </c>
      <c r="P330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32000000000327::bigint, 163000000000003::bigint, null::bigint, null::bigint, null::varchar, null::timestamptz, '1900-12-31 23:59:59+07'::timestamptz, null::bigint);</v>
      </c>
    </row>
    <row r="331" spans="2:16" x14ac:dyDescent="0.2">
      <c r="B331" s="37">
        <f>IF(EXACT(DataLookUp!$B331, ""), "", DataLookUp!$B331)</f>
        <v>32000000000328</v>
      </c>
      <c r="C331" s="38" t="str">
        <f>MAIN!C331</f>
        <v>Paryanto</v>
      </c>
      <c r="D331" s="91">
        <v>163000000000003</v>
      </c>
      <c r="E331" s="37" t="str">
        <f>IF(EXACT($D331, ""), "", VLOOKUP($D331, [2]DataLookUp!$B$4:$D$15, 2, FALSE ))</f>
        <v>Karyawan Tidak Tetap (Kontrak)</v>
      </c>
      <c r="F331" s="91"/>
      <c r="G331" s="37" t="str">
        <f>IF(EXACT($F331, ""), "", VLOOKUP($F331, 'MAIN - OrgDepartment'!$C$3:$D$104, 2, FALSE))</f>
        <v/>
      </c>
      <c r="H331" s="91"/>
      <c r="I331" s="37" t="str">
        <f>IF(EXACT($H331, ""), "", VLOOKUP($H331, 'MAIN - OrgJobsPos'!$B$2:$C$101, 2, FALSE))</f>
        <v/>
      </c>
      <c r="J331" s="67"/>
      <c r="K331" s="63"/>
      <c r="L331" s="10" t="s">
        <v>7</v>
      </c>
      <c r="M331" s="11"/>
      <c r="O331" s="29">
        <f t="shared" si="10"/>
        <v>164000000000328</v>
      </c>
      <c r="P331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32000000000328::bigint, 163000000000003::bigint, null::bigint, null::bigint, null::varchar, null::timestamptz, '1900-12-31 23:59:59+07'::timestamptz, null::bigint);</v>
      </c>
    </row>
    <row r="332" spans="2:16" x14ac:dyDescent="0.2">
      <c r="B332" s="37">
        <f>IF(EXACT(DataLookUp!$B332, ""), "", DataLookUp!$B332)</f>
        <v>32000000000329</v>
      </c>
      <c r="C332" s="38" t="str">
        <f>MAIN!C332</f>
        <v>Pikri Hidayat</v>
      </c>
      <c r="D332" s="91">
        <v>163000000000003</v>
      </c>
      <c r="E332" s="37" t="str">
        <f>IF(EXACT($D332, ""), "", VLOOKUP($D332, [2]DataLookUp!$B$4:$D$15, 2, FALSE ))</f>
        <v>Karyawan Tidak Tetap (Kontrak)</v>
      </c>
      <c r="F332" s="91"/>
      <c r="G332" s="37" t="str">
        <f>IF(EXACT($F332, ""), "", VLOOKUP($F332, 'MAIN - OrgDepartment'!$C$3:$D$104, 2, FALSE))</f>
        <v/>
      </c>
      <c r="H332" s="91"/>
      <c r="I332" s="37" t="str">
        <f>IF(EXACT($H332, ""), "", VLOOKUP($H332, 'MAIN - OrgJobsPos'!$B$2:$C$101, 2, FALSE))</f>
        <v/>
      </c>
      <c r="J332" s="67"/>
      <c r="K332" s="63"/>
      <c r="L332" s="10" t="s">
        <v>7</v>
      </c>
      <c r="M332" s="11"/>
      <c r="O332" s="29">
        <f t="shared" si="10"/>
        <v>164000000000329</v>
      </c>
      <c r="P332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32000000000329::bigint, 163000000000003::bigint, null::bigint, null::bigint, null::varchar, null::timestamptz, '1900-12-31 23:59:59+07'::timestamptz, null::bigint);</v>
      </c>
    </row>
    <row r="333" spans="2:16" x14ac:dyDescent="0.2">
      <c r="B333" s="37">
        <f>IF(EXACT(DataLookUp!$B333, ""), "", DataLookUp!$B333)</f>
        <v>32000000000330</v>
      </c>
      <c r="C333" s="38" t="str">
        <f>MAIN!C333</f>
        <v>Prayanti Dewi Anggraini</v>
      </c>
      <c r="D333" s="91">
        <v>163000000000003</v>
      </c>
      <c r="E333" s="37" t="str">
        <f>IF(EXACT($D333, ""), "", VLOOKUP($D333, [2]DataLookUp!$B$4:$D$15, 2, FALSE ))</f>
        <v>Karyawan Tidak Tetap (Kontrak)</v>
      </c>
      <c r="F333" s="91"/>
      <c r="G333" s="37" t="str">
        <f>IF(EXACT($F333, ""), "", VLOOKUP($F333, 'MAIN - OrgDepartment'!$C$3:$D$104, 2, FALSE))</f>
        <v/>
      </c>
      <c r="H333" s="91"/>
      <c r="I333" s="37" t="str">
        <f>IF(EXACT($H333, ""), "", VLOOKUP($H333, 'MAIN - OrgJobsPos'!$B$2:$C$101, 2, FALSE))</f>
        <v/>
      </c>
      <c r="J333" s="67"/>
      <c r="K333" s="63"/>
      <c r="L333" s="10" t="s">
        <v>7</v>
      </c>
      <c r="M333" s="11"/>
      <c r="O333" s="29">
        <f t="shared" si="10"/>
        <v>164000000000330</v>
      </c>
      <c r="P333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32000000000330::bigint, 163000000000003::bigint, null::bigint, null::bigint, null::varchar, null::timestamptz, '1900-12-31 23:59:59+07'::timestamptz, null::bigint);</v>
      </c>
    </row>
    <row r="334" spans="2:16" x14ac:dyDescent="0.2">
      <c r="B334" s="37">
        <f>IF(EXACT(DataLookUp!$B334, ""), "", DataLookUp!$B334)</f>
        <v>32000000000331</v>
      </c>
      <c r="C334" s="38" t="str">
        <f>MAIN!C334</f>
        <v>Prayati Zai</v>
      </c>
      <c r="D334" s="91">
        <v>163000000000003</v>
      </c>
      <c r="E334" s="37" t="str">
        <f>IF(EXACT($D334, ""), "", VLOOKUP($D334, [2]DataLookUp!$B$4:$D$15, 2, FALSE ))</f>
        <v>Karyawan Tidak Tetap (Kontrak)</v>
      </c>
      <c r="F334" s="91"/>
      <c r="G334" s="37" t="str">
        <f>IF(EXACT($F334, ""), "", VLOOKUP($F334, 'MAIN - OrgDepartment'!$C$3:$D$104, 2, FALSE))</f>
        <v/>
      </c>
      <c r="H334" s="91"/>
      <c r="I334" s="37" t="str">
        <f>IF(EXACT($H334, ""), "", VLOOKUP($H334, 'MAIN - OrgJobsPos'!$B$2:$C$101, 2, FALSE))</f>
        <v/>
      </c>
      <c r="J334" s="67"/>
      <c r="K334" s="63"/>
      <c r="L334" s="10" t="s">
        <v>7</v>
      </c>
      <c r="M334" s="11"/>
      <c r="O334" s="29">
        <f t="shared" si="10"/>
        <v>164000000000331</v>
      </c>
      <c r="P334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32000000000331::bigint, 163000000000003::bigint, null::bigint, null::bigint, null::varchar, null::timestamptz, '1900-12-31 23:59:59+07'::timestamptz, null::bigint);</v>
      </c>
    </row>
    <row r="335" spans="2:16" x14ac:dyDescent="0.2">
      <c r="B335" s="37">
        <f>IF(EXACT(DataLookUp!$B335, ""), "", DataLookUp!$B335)</f>
        <v>32000000000332</v>
      </c>
      <c r="C335" s="38" t="str">
        <f>MAIN!C335</f>
        <v>Pristu Andonoto</v>
      </c>
      <c r="D335" s="91">
        <v>163000000000003</v>
      </c>
      <c r="E335" s="37" t="str">
        <f>IF(EXACT($D335, ""), "", VLOOKUP($D335, [2]DataLookUp!$B$4:$D$15, 2, FALSE ))</f>
        <v>Karyawan Tidak Tetap (Kontrak)</v>
      </c>
      <c r="F335" s="91"/>
      <c r="G335" s="37" t="str">
        <f>IF(EXACT($F335, ""), "", VLOOKUP($F335, 'MAIN - OrgDepartment'!$C$3:$D$104, 2, FALSE))</f>
        <v/>
      </c>
      <c r="H335" s="91"/>
      <c r="I335" s="37" t="str">
        <f>IF(EXACT($H335, ""), "", VLOOKUP($H335, 'MAIN - OrgJobsPos'!$B$2:$C$101, 2, FALSE))</f>
        <v/>
      </c>
      <c r="J335" s="67"/>
      <c r="K335" s="63"/>
      <c r="L335" s="10" t="s">
        <v>7</v>
      </c>
      <c r="M335" s="11"/>
      <c r="O335" s="29">
        <f t="shared" si="10"/>
        <v>164000000000332</v>
      </c>
      <c r="P335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32000000000332::bigint, 163000000000003::bigint, null::bigint, null::bigint, null::varchar, null::timestamptz, '1900-12-31 23:59:59+07'::timestamptz, null::bigint);</v>
      </c>
    </row>
    <row r="336" spans="2:16" x14ac:dyDescent="0.2">
      <c r="B336" s="37">
        <f>IF(EXACT(DataLookUp!$B336, ""), "", DataLookUp!$B336)</f>
        <v>32000000000333</v>
      </c>
      <c r="C336" s="38" t="str">
        <f>MAIN!C336</f>
        <v>Putra Perdana Tirtomoyo</v>
      </c>
      <c r="D336" s="91">
        <v>163000000000003</v>
      </c>
      <c r="E336" s="37" t="str">
        <f>IF(EXACT($D336, ""), "", VLOOKUP($D336, [2]DataLookUp!$B$4:$D$15, 2, FALSE ))</f>
        <v>Karyawan Tidak Tetap (Kontrak)</v>
      </c>
      <c r="F336" s="91"/>
      <c r="G336" s="37" t="str">
        <f>IF(EXACT($F336, ""), "", VLOOKUP($F336, 'MAIN - OrgDepartment'!$C$3:$D$104, 2, FALSE))</f>
        <v/>
      </c>
      <c r="H336" s="91"/>
      <c r="I336" s="37" t="str">
        <f>IF(EXACT($H336, ""), "", VLOOKUP($H336, 'MAIN - OrgJobsPos'!$B$2:$C$101, 2, FALSE))</f>
        <v/>
      </c>
      <c r="J336" s="67"/>
      <c r="K336" s="63"/>
      <c r="L336" s="10" t="s">
        <v>7</v>
      </c>
      <c r="M336" s="11"/>
      <c r="O336" s="29">
        <f t="shared" si="10"/>
        <v>164000000000333</v>
      </c>
      <c r="P33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32000000000333::bigint, 163000000000003::bigint, null::bigint, null::bigint, null::varchar, null::timestamptz, '1900-12-31 23:59:59+07'::timestamptz, null::bigint);</v>
      </c>
    </row>
    <row r="337" spans="2:16" x14ac:dyDescent="0.2">
      <c r="B337" s="37">
        <f>IF(EXACT(DataLookUp!$B337, ""), "", DataLookUp!$B337)</f>
        <v>32000000000334</v>
      </c>
      <c r="C337" s="38" t="str">
        <f>MAIN!C337</f>
        <v>R. Lar Kumalaning Tresno</v>
      </c>
      <c r="D337" s="91">
        <v>163000000000003</v>
      </c>
      <c r="E337" s="37" t="str">
        <f>IF(EXACT($D337, ""), "", VLOOKUP($D337, [2]DataLookUp!$B$4:$D$15, 2, FALSE ))</f>
        <v>Karyawan Tidak Tetap (Kontrak)</v>
      </c>
      <c r="F337" s="91"/>
      <c r="G337" s="37" t="str">
        <f>IF(EXACT($F337, ""), "", VLOOKUP($F337, 'MAIN - OrgDepartment'!$C$3:$D$104, 2, FALSE))</f>
        <v/>
      </c>
      <c r="H337" s="91"/>
      <c r="I337" s="37" t="str">
        <f>IF(EXACT($H337, ""), "", VLOOKUP($H337, 'MAIN - OrgJobsPos'!$B$2:$C$101, 2, FALSE))</f>
        <v/>
      </c>
      <c r="J337" s="67"/>
      <c r="K337" s="63"/>
      <c r="L337" s="10" t="s">
        <v>7</v>
      </c>
      <c r="M337" s="11"/>
      <c r="O337" s="29">
        <f t="shared" si="10"/>
        <v>164000000000334</v>
      </c>
      <c r="P33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32000000000334::bigint, 163000000000003::bigint, null::bigint, null::bigint, null::varchar, null::timestamptz, '1900-12-31 23:59:59+07'::timestamptz, null::bigint);</v>
      </c>
    </row>
    <row r="338" spans="2:16" x14ac:dyDescent="0.2">
      <c r="B338" s="37">
        <f>IF(EXACT(DataLookUp!$B338, ""), "", DataLookUp!$B338)</f>
        <v>32000000000335</v>
      </c>
      <c r="C338" s="38" t="str">
        <f>MAIN!C338</f>
        <v>Rachmad</v>
      </c>
      <c r="D338" s="91">
        <v>163000000000003</v>
      </c>
      <c r="E338" s="37" t="str">
        <f>IF(EXACT($D338, ""), "", VLOOKUP($D338, [2]DataLookUp!$B$4:$D$15, 2, FALSE ))</f>
        <v>Karyawan Tidak Tetap (Kontrak)</v>
      </c>
      <c r="F338" s="91"/>
      <c r="G338" s="37" t="str">
        <f>IF(EXACT($F338, ""), "", VLOOKUP($F338, 'MAIN - OrgDepartment'!$C$3:$D$104, 2, FALSE))</f>
        <v/>
      </c>
      <c r="H338" s="91"/>
      <c r="I338" s="37" t="str">
        <f>IF(EXACT($H338, ""), "", VLOOKUP($H338, 'MAIN - OrgJobsPos'!$B$2:$C$101, 2, FALSE))</f>
        <v/>
      </c>
      <c r="J338" s="67"/>
      <c r="K338" s="63"/>
      <c r="L338" s="10" t="s">
        <v>7</v>
      </c>
      <c r="M338" s="11"/>
      <c r="O338" s="29">
        <f t="shared" si="10"/>
        <v>164000000000335</v>
      </c>
      <c r="P33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32000000000335::bigint, 163000000000003::bigint, null::bigint, null::bigint, null::varchar, null::timestamptz, '1900-12-31 23:59:59+07'::timestamptz, null::bigint);</v>
      </c>
    </row>
    <row r="339" spans="2:16" x14ac:dyDescent="0.2">
      <c r="B339" s="37">
        <f>IF(EXACT(DataLookUp!$B339, ""), "", DataLookUp!$B339)</f>
        <v>32000000000336</v>
      </c>
      <c r="C339" s="38" t="str">
        <f>MAIN!C339</f>
        <v>Radjiman</v>
      </c>
      <c r="D339" s="91">
        <v>163000000000003</v>
      </c>
      <c r="E339" s="37" t="str">
        <f>IF(EXACT($D339, ""), "", VLOOKUP($D339, [2]DataLookUp!$B$4:$D$15, 2, FALSE ))</f>
        <v>Karyawan Tidak Tetap (Kontrak)</v>
      </c>
      <c r="F339" s="91"/>
      <c r="G339" s="37" t="str">
        <f>IF(EXACT($F339, ""), "", VLOOKUP($F339, 'MAIN - OrgDepartment'!$C$3:$D$104, 2, FALSE))</f>
        <v/>
      </c>
      <c r="H339" s="91"/>
      <c r="I339" s="37" t="str">
        <f>IF(EXACT($H339, ""), "", VLOOKUP($H339, 'MAIN - OrgJobsPos'!$B$2:$C$101, 2, FALSE))</f>
        <v/>
      </c>
      <c r="J339" s="67"/>
      <c r="K339" s="63"/>
      <c r="L339" s="10" t="s">
        <v>7</v>
      </c>
      <c r="M339" s="11"/>
      <c r="O339" s="29">
        <f t="shared" si="10"/>
        <v>164000000000336</v>
      </c>
      <c r="P339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32000000000336::bigint, 163000000000003::bigint, null::bigint, null::bigint, null::varchar, null::timestamptz, '1900-12-31 23:59:59+07'::timestamptz, null::bigint);</v>
      </c>
    </row>
    <row r="340" spans="2:16" x14ac:dyDescent="0.2">
      <c r="B340" s="37">
        <f>IF(EXACT(DataLookUp!$B340, ""), "", DataLookUp!$B340)</f>
        <v>32000000000337</v>
      </c>
      <c r="C340" s="38" t="str">
        <f>MAIN!C340</f>
        <v>Rafi Firman Saputra</v>
      </c>
      <c r="D340" s="91">
        <v>163000000000003</v>
      </c>
      <c r="E340" s="37" t="str">
        <f>IF(EXACT($D340, ""), "", VLOOKUP($D340, [2]DataLookUp!$B$4:$D$15, 2, FALSE ))</f>
        <v>Karyawan Tidak Tetap (Kontrak)</v>
      </c>
      <c r="F340" s="91"/>
      <c r="G340" s="37" t="str">
        <f>IF(EXACT($F340, ""), "", VLOOKUP($F340, 'MAIN - OrgDepartment'!$C$3:$D$104, 2, FALSE))</f>
        <v/>
      </c>
      <c r="H340" s="91"/>
      <c r="I340" s="37" t="str">
        <f>IF(EXACT($H340, ""), "", VLOOKUP($H340, 'MAIN - OrgJobsPos'!$B$2:$C$101, 2, FALSE))</f>
        <v/>
      </c>
      <c r="J340" s="67"/>
      <c r="K340" s="63"/>
      <c r="L340" s="10" t="s">
        <v>7</v>
      </c>
      <c r="M340" s="11"/>
      <c r="O340" s="29">
        <f t="shared" si="10"/>
        <v>164000000000337</v>
      </c>
      <c r="P340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32000000000337::bigint, 163000000000003::bigint, null::bigint, null::bigint, null::varchar, null::timestamptz, '1900-12-31 23:59:59+07'::timestamptz, null::bigint);</v>
      </c>
    </row>
    <row r="341" spans="2:16" x14ac:dyDescent="0.2">
      <c r="B341" s="37">
        <f>IF(EXACT(DataLookUp!$B341, ""), "", DataLookUp!$B341)</f>
        <v>32000000000338</v>
      </c>
      <c r="C341" s="38" t="str">
        <f>MAIN!C341</f>
        <v>Rahmat Riyadi</v>
      </c>
      <c r="D341" s="91">
        <v>163000000000003</v>
      </c>
      <c r="E341" s="37" t="str">
        <f>IF(EXACT($D341, ""), "", VLOOKUP($D341, [2]DataLookUp!$B$4:$D$15, 2, FALSE ))</f>
        <v>Karyawan Tidak Tetap (Kontrak)</v>
      </c>
      <c r="F341" s="91"/>
      <c r="G341" s="37" t="str">
        <f>IF(EXACT($F341, ""), "", VLOOKUP($F341, 'MAIN - OrgDepartment'!$C$3:$D$104, 2, FALSE))</f>
        <v/>
      </c>
      <c r="H341" s="91"/>
      <c r="I341" s="37" t="str">
        <f>IF(EXACT($H341, ""), "", VLOOKUP($H341, 'MAIN - OrgJobsPos'!$B$2:$C$101, 2, FALSE))</f>
        <v/>
      </c>
      <c r="J341" s="67"/>
      <c r="K341" s="63"/>
      <c r="L341" s="10" t="s">
        <v>7</v>
      </c>
      <c r="M341" s="11"/>
      <c r="O341" s="29">
        <f t="shared" si="10"/>
        <v>164000000000338</v>
      </c>
      <c r="P341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32000000000338::bigint, 163000000000003::bigint, null::bigint, null::bigint, null::varchar, null::timestamptz, '1900-12-31 23:59:59+07'::timestamptz, null::bigint);</v>
      </c>
    </row>
    <row r="342" spans="2:16" x14ac:dyDescent="0.2">
      <c r="B342" s="37">
        <f>IF(EXACT(DataLookUp!$B342, ""), "", DataLookUp!$B342)</f>
        <v>32000000000339</v>
      </c>
      <c r="C342" s="38" t="str">
        <f>MAIN!C342</f>
        <v>Rahmat Sirfano</v>
      </c>
      <c r="D342" s="91">
        <v>163000000000003</v>
      </c>
      <c r="E342" s="37" t="str">
        <f>IF(EXACT($D342, ""), "", VLOOKUP($D342, [2]DataLookUp!$B$4:$D$15, 2, FALSE ))</f>
        <v>Karyawan Tidak Tetap (Kontrak)</v>
      </c>
      <c r="F342" s="91"/>
      <c r="G342" s="37" t="str">
        <f>IF(EXACT($F342, ""), "", VLOOKUP($F342, 'MAIN - OrgDepartment'!$C$3:$D$104, 2, FALSE))</f>
        <v/>
      </c>
      <c r="H342" s="91"/>
      <c r="I342" s="37" t="str">
        <f>IF(EXACT($H342, ""), "", VLOOKUP($H342, 'MAIN - OrgJobsPos'!$B$2:$C$101, 2, FALSE))</f>
        <v/>
      </c>
      <c r="J342" s="67"/>
      <c r="K342" s="63"/>
      <c r="L342" s="10" t="s">
        <v>7</v>
      </c>
      <c r="M342" s="11"/>
      <c r="O342" s="29">
        <f t="shared" si="10"/>
        <v>164000000000339</v>
      </c>
      <c r="P342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32000000000339::bigint, 163000000000003::bigint, null::bigint, null::bigint, null::varchar, null::timestamptz, '1900-12-31 23:59:59+07'::timestamptz, null::bigint);</v>
      </c>
    </row>
    <row r="343" spans="2:16" x14ac:dyDescent="0.2">
      <c r="B343" s="37">
        <f>IF(EXACT(DataLookUp!$B343, ""), "", DataLookUp!$B343)</f>
        <v>32000000000340</v>
      </c>
      <c r="C343" s="38" t="str">
        <f>MAIN!C343</f>
        <v>Rais Indra Noor</v>
      </c>
      <c r="D343" s="91">
        <v>163000000000003</v>
      </c>
      <c r="E343" s="37" t="str">
        <f>IF(EXACT($D343, ""), "", VLOOKUP($D343, [2]DataLookUp!$B$4:$D$15, 2, FALSE ))</f>
        <v>Karyawan Tidak Tetap (Kontrak)</v>
      </c>
      <c r="F343" s="91"/>
      <c r="G343" s="37" t="str">
        <f>IF(EXACT($F343, ""), "", VLOOKUP($F343, 'MAIN - OrgDepartment'!$C$3:$D$104, 2, FALSE))</f>
        <v/>
      </c>
      <c r="H343" s="91"/>
      <c r="I343" s="37" t="str">
        <f>IF(EXACT($H343, ""), "", VLOOKUP($H343, 'MAIN - OrgJobsPos'!$B$2:$C$101, 2, FALSE))</f>
        <v/>
      </c>
      <c r="J343" s="67"/>
      <c r="K343" s="63"/>
      <c r="L343" s="10" t="s">
        <v>7</v>
      </c>
      <c r="M343" s="11"/>
      <c r="O343" s="29">
        <f t="shared" si="10"/>
        <v>164000000000340</v>
      </c>
      <c r="P343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32000000000340::bigint, 163000000000003::bigint, null::bigint, null::bigint, null::varchar, null::timestamptz, '1900-12-31 23:59:59+07'::timestamptz, null::bigint);</v>
      </c>
    </row>
    <row r="344" spans="2:16" x14ac:dyDescent="0.2">
      <c r="B344" s="37">
        <f>IF(EXACT(DataLookUp!$B344, ""), "", DataLookUp!$B344)</f>
        <v>32000000000341</v>
      </c>
      <c r="C344" s="38" t="str">
        <f>MAIN!C344</f>
        <v>Rakman A. Hadi</v>
      </c>
      <c r="D344" s="91">
        <v>163000000000003</v>
      </c>
      <c r="E344" s="37" t="str">
        <f>IF(EXACT($D344, ""), "", VLOOKUP($D344, [2]DataLookUp!$B$4:$D$15, 2, FALSE ))</f>
        <v>Karyawan Tidak Tetap (Kontrak)</v>
      </c>
      <c r="F344" s="91"/>
      <c r="G344" s="37" t="str">
        <f>IF(EXACT($F344, ""), "", VLOOKUP($F344, 'MAIN - OrgDepartment'!$C$3:$D$104, 2, FALSE))</f>
        <v/>
      </c>
      <c r="H344" s="91"/>
      <c r="I344" s="37" t="str">
        <f>IF(EXACT($H344, ""), "", VLOOKUP($H344, 'MAIN - OrgJobsPos'!$B$2:$C$101, 2, FALSE))</f>
        <v/>
      </c>
      <c r="J344" s="67"/>
      <c r="K344" s="63"/>
      <c r="L344" s="10" t="s">
        <v>7</v>
      </c>
      <c r="M344" s="11"/>
      <c r="O344" s="29">
        <f t="shared" si="10"/>
        <v>164000000000341</v>
      </c>
      <c r="P344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32000000000341::bigint, 163000000000003::bigint, null::bigint, null::bigint, null::varchar, null::timestamptz, '1900-12-31 23:59:59+07'::timestamptz, null::bigint);</v>
      </c>
    </row>
    <row r="345" spans="2:16" x14ac:dyDescent="0.2">
      <c r="B345" s="37">
        <f>IF(EXACT(DataLookUp!$B345, ""), "", DataLookUp!$B345)</f>
        <v>32000000000342</v>
      </c>
      <c r="C345" s="38" t="str">
        <f>MAIN!C345</f>
        <v>Ramaizon</v>
      </c>
      <c r="D345" s="91">
        <v>163000000000003</v>
      </c>
      <c r="E345" s="37" t="str">
        <f>IF(EXACT($D345, ""), "", VLOOKUP($D345, [2]DataLookUp!$B$4:$D$15, 2, FALSE ))</f>
        <v>Karyawan Tidak Tetap (Kontrak)</v>
      </c>
      <c r="F345" s="91"/>
      <c r="G345" s="37" t="str">
        <f>IF(EXACT($F345, ""), "", VLOOKUP($F345, 'MAIN - OrgDepartment'!$C$3:$D$104, 2, FALSE))</f>
        <v/>
      </c>
      <c r="H345" s="91"/>
      <c r="I345" s="37" t="str">
        <f>IF(EXACT($H345, ""), "", VLOOKUP($H345, 'MAIN - OrgJobsPos'!$B$2:$C$101, 2, FALSE))</f>
        <v/>
      </c>
      <c r="J345" s="67"/>
      <c r="K345" s="63"/>
      <c r="L345" s="10" t="s">
        <v>7</v>
      </c>
      <c r="M345" s="11"/>
      <c r="O345" s="29">
        <f t="shared" si="10"/>
        <v>164000000000342</v>
      </c>
      <c r="P345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32000000000342::bigint, 163000000000003::bigint, null::bigint, null::bigint, null::varchar, null::timestamptz, '1900-12-31 23:59:59+07'::timestamptz, null::bigint);</v>
      </c>
    </row>
    <row r="346" spans="2:16" x14ac:dyDescent="0.2">
      <c r="B346" s="37">
        <f>IF(EXACT(DataLookUp!$B346, ""), "", DataLookUp!$B346)</f>
        <v>32000000000343</v>
      </c>
      <c r="C346" s="38" t="str">
        <f>MAIN!C346</f>
        <v>Rangga Darmawan</v>
      </c>
      <c r="D346" s="91">
        <v>163000000000003</v>
      </c>
      <c r="E346" s="37" t="str">
        <f>IF(EXACT($D346, ""), "", VLOOKUP($D346, [2]DataLookUp!$B$4:$D$15, 2, FALSE ))</f>
        <v>Karyawan Tidak Tetap (Kontrak)</v>
      </c>
      <c r="F346" s="91"/>
      <c r="G346" s="37" t="str">
        <f>IF(EXACT($F346, ""), "", VLOOKUP($F346, 'MAIN - OrgDepartment'!$C$3:$D$104, 2, FALSE))</f>
        <v/>
      </c>
      <c r="H346" s="91"/>
      <c r="I346" s="37" t="str">
        <f>IF(EXACT($H346, ""), "", VLOOKUP($H346, 'MAIN - OrgJobsPos'!$B$2:$C$101, 2, FALSE))</f>
        <v/>
      </c>
      <c r="J346" s="67"/>
      <c r="K346" s="63"/>
      <c r="L346" s="10" t="s">
        <v>7</v>
      </c>
      <c r="M346" s="11"/>
      <c r="O346" s="29">
        <f t="shared" si="10"/>
        <v>164000000000343</v>
      </c>
      <c r="P34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32000000000343::bigint, 163000000000003::bigint, null::bigint, null::bigint, null::varchar, null::timestamptz, '1900-12-31 23:59:59+07'::timestamptz, null::bigint);</v>
      </c>
    </row>
    <row r="347" spans="2:16" x14ac:dyDescent="0.2">
      <c r="B347" s="37">
        <f>IF(EXACT(DataLookUp!$B347, ""), "", DataLookUp!$B347)</f>
        <v>32000000000344</v>
      </c>
      <c r="C347" s="38" t="str">
        <f>MAIN!C347</f>
        <v>Raoli Nainggolan</v>
      </c>
      <c r="D347" s="91">
        <v>163000000000003</v>
      </c>
      <c r="E347" s="37" t="str">
        <f>IF(EXACT($D347, ""), "", VLOOKUP($D347, [2]DataLookUp!$B$4:$D$15, 2, FALSE ))</f>
        <v>Karyawan Tidak Tetap (Kontrak)</v>
      </c>
      <c r="F347" s="91"/>
      <c r="G347" s="37" t="str">
        <f>IF(EXACT($F347, ""), "", VLOOKUP($F347, 'MAIN - OrgDepartment'!$C$3:$D$104, 2, FALSE))</f>
        <v/>
      </c>
      <c r="H347" s="91"/>
      <c r="I347" s="37" t="str">
        <f>IF(EXACT($H347, ""), "", VLOOKUP($H347, 'MAIN - OrgJobsPos'!$B$2:$C$101, 2, FALSE))</f>
        <v/>
      </c>
      <c r="J347" s="67"/>
      <c r="K347" s="63"/>
      <c r="L347" s="10" t="s">
        <v>7</v>
      </c>
      <c r="M347" s="11"/>
      <c r="O347" s="29">
        <f t="shared" si="10"/>
        <v>164000000000344</v>
      </c>
      <c r="P34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32000000000344::bigint, 163000000000003::bigint, null::bigint, null::bigint, null::varchar, null::timestamptz, '1900-12-31 23:59:59+07'::timestamptz, null::bigint);</v>
      </c>
    </row>
    <row r="348" spans="2:16" x14ac:dyDescent="0.2">
      <c r="B348" s="37">
        <f>IF(EXACT(DataLookUp!$B348, ""), "", DataLookUp!$B348)</f>
        <v>32000000000345</v>
      </c>
      <c r="C348" s="38" t="str">
        <f>MAIN!C348</f>
        <v>Rayan Suryadikara</v>
      </c>
      <c r="D348" s="91">
        <v>163000000000003</v>
      </c>
      <c r="E348" s="37" t="str">
        <f>IF(EXACT($D348, ""), "", VLOOKUP($D348, [2]DataLookUp!$B$4:$D$15, 2, FALSE ))</f>
        <v>Karyawan Tidak Tetap (Kontrak)</v>
      </c>
      <c r="F348" s="91"/>
      <c r="G348" s="37" t="str">
        <f>IF(EXACT($F348, ""), "", VLOOKUP($F348, 'MAIN - OrgDepartment'!$C$3:$D$104, 2, FALSE))</f>
        <v/>
      </c>
      <c r="H348" s="91"/>
      <c r="I348" s="37" t="str">
        <f>IF(EXACT($H348, ""), "", VLOOKUP($H348, 'MAIN - OrgJobsPos'!$B$2:$C$101, 2, FALSE))</f>
        <v/>
      </c>
      <c r="J348" s="67"/>
      <c r="K348" s="63"/>
      <c r="L348" s="10" t="s">
        <v>7</v>
      </c>
      <c r="M348" s="11"/>
      <c r="O348" s="29">
        <f t="shared" si="10"/>
        <v>164000000000345</v>
      </c>
      <c r="P34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32000000000345::bigint, 163000000000003::bigint, null::bigint, null::bigint, null::varchar, null::timestamptz, '1900-12-31 23:59:59+07'::timestamptz, null::bigint);</v>
      </c>
    </row>
    <row r="349" spans="2:16" x14ac:dyDescent="0.2">
      <c r="B349" s="37">
        <f>IF(EXACT(DataLookUp!$B349, ""), "", DataLookUp!$B349)</f>
        <v>32000000000346</v>
      </c>
      <c r="C349" s="38" t="str">
        <f>MAIN!C349</f>
        <v>Redi Setiadi</v>
      </c>
      <c r="D349" s="91">
        <v>163000000000003</v>
      </c>
      <c r="E349" s="37" t="str">
        <f>IF(EXACT($D349, ""), "", VLOOKUP($D349, [2]DataLookUp!$B$4:$D$15, 2, FALSE ))</f>
        <v>Karyawan Tidak Tetap (Kontrak)</v>
      </c>
      <c r="F349" s="91"/>
      <c r="G349" s="37" t="str">
        <f>IF(EXACT($F349, ""), "", VLOOKUP($F349, 'MAIN - OrgDepartment'!$C$3:$D$104, 2, FALSE))</f>
        <v/>
      </c>
      <c r="H349" s="91"/>
      <c r="I349" s="37" t="str">
        <f>IF(EXACT($H349, ""), "", VLOOKUP($H349, 'MAIN - OrgJobsPos'!$B$2:$C$101, 2, FALSE))</f>
        <v/>
      </c>
      <c r="J349" s="67"/>
      <c r="K349" s="63"/>
      <c r="L349" s="10" t="s">
        <v>7</v>
      </c>
      <c r="M349" s="11"/>
      <c r="O349" s="29">
        <f t="shared" si="10"/>
        <v>164000000000346</v>
      </c>
      <c r="P349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32000000000346::bigint, 163000000000003::bigint, null::bigint, null::bigint, null::varchar, null::timestamptz, '1900-12-31 23:59:59+07'::timestamptz, null::bigint);</v>
      </c>
    </row>
    <row r="350" spans="2:16" x14ac:dyDescent="0.2">
      <c r="B350" s="37">
        <f>IF(EXACT(DataLookUp!$B350, ""), "", DataLookUp!$B350)</f>
        <v>32000000000347</v>
      </c>
      <c r="C350" s="38" t="str">
        <f>MAIN!C350</f>
        <v>Redi Subekti</v>
      </c>
      <c r="D350" s="91">
        <v>163000000000001</v>
      </c>
      <c r="E350" s="37" t="str">
        <f>IF(EXACT($D350, ""), "", VLOOKUP($D350, [2]DataLookUp!$B$4:$D$15, 2, FALSE ))</f>
        <v>Non Karyawan</v>
      </c>
      <c r="F350" s="91"/>
      <c r="G350" s="37" t="str">
        <f>IF(EXACT($F350, ""), "", VLOOKUP($F350, 'MAIN - OrgDepartment'!$C$3:$D$104, 2, FALSE))</f>
        <v/>
      </c>
      <c r="H350" s="91">
        <v>160000000000009</v>
      </c>
      <c r="I350" s="37" t="str">
        <f>IF(EXACT($H350, ""), "", VLOOKUP($H350, 'MAIN - OrgJobsPos'!$B$2:$C$101, 2, FALSE))</f>
        <v>Director</v>
      </c>
      <c r="J350" s="67" t="s">
        <v>325</v>
      </c>
      <c r="K350" s="63"/>
      <c r="L350" s="10" t="s">
        <v>3</v>
      </c>
      <c r="M350" s="11"/>
      <c r="O350" s="29">
        <f t="shared" si="10"/>
        <v>164000000000347</v>
      </c>
      <c r="P350" s="30" t="str">
        <f t="shared" si="11"/>
        <v>PERFORM "SchData-OLTP-HumanResource"."Func_TblWorkerCareerInternal_SET"(varSystemLoginSession, null::bigint, null::varchar, null::timestamptz, '9999-12-31 23:59:59+07'::timestamptz, null::varchar, varInstitutionBranchID, varBaseCurrencyID, 32000000000347::bigint, 163000000000001::bigint, null::bigint, 160000000000009::bigint, 'President Director'::varchar, null::timestamptz, '9999-12-31 23:59:59+07'::timestamptz, null::bigint);</v>
      </c>
    </row>
    <row r="351" spans="2:16" x14ac:dyDescent="0.2">
      <c r="B351" s="37">
        <f>IF(EXACT(DataLookUp!$B351, ""), "", DataLookUp!$B351)</f>
        <v>32000000000348</v>
      </c>
      <c r="C351" s="38" t="str">
        <f>MAIN!C351</f>
        <v>Rendy Prananta Purba</v>
      </c>
      <c r="D351" s="91">
        <v>163000000000003</v>
      </c>
      <c r="E351" s="37" t="str">
        <f>IF(EXACT($D351, ""), "", VLOOKUP($D351, [2]DataLookUp!$B$4:$D$15, 2, FALSE ))</f>
        <v>Karyawan Tidak Tetap (Kontrak)</v>
      </c>
      <c r="F351" s="91"/>
      <c r="G351" s="37" t="str">
        <f>IF(EXACT($F351, ""), "", VLOOKUP($F351, 'MAIN - OrgDepartment'!$C$3:$D$104, 2, FALSE))</f>
        <v/>
      </c>
      <c r="H351" s="91"/>
      <c r="I351" s="37" t="str">
        <f>IF(EXACT($H351, ""), "", VLOOKUP($H351, 'MAIN - OrgJobsPos'!$B$2:$C$101, 2, FALSE))</f>
        <v/>
      </c>
      <c r="J351" s="67"/>
      <c r="K351" s="63"/>
      <c r="L351" s="10" t="s">
        <v>7</v>
      </c>
      <c r="M351" s="11"/>
      <c r="O351" s="29">
        <f t="shared" si="10"/>
        <v>164000000000348</v>
      </c>
      <c r="P351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32000000000348::bigint, 163000000000003::bigint, null::bigint, null::bigint, null::varchar, null::timestamptz, '1900-12-31 23:59:59+07'::timestamptz, null::bigint);</v>
      </c>
    </row>
    <row r="352" spans="2:16" x14ac:dyDescent="0.2">
      <c r="B352" s="37">
        <f>IF(EXACT(DataLookUp!$B352, ""), "", DataLookUp!$B352)</f>
        <v>32000000000349</v>
      </c>
      <c r="C352" s="38" t="str">
        <f>MAIN!C352</f>
        <v>Reni Septiana</v>
      </c>
      <c r="D352" s="91">
        <v>163000000000003</v>
      </c>
      <c r="E352" s="37" t="str">
        <f>IF(EXACT($D352, ""), "", VLOOKUP($D352, [2]DataLookUp!$B$4:$D$15, 2, FALSE ))</f>
        <v>Karyawan Tidak Tetap (Kontrak)</v>
      </c>
      <c r="F352" s="91"/>
      <c r="G352" s="37" t="str">
        <f>IF(EXACT($F352, ""), "", VLOOKUP($F352, 'MAIN - OrgDepartment'!$C$3:$D$104, 2, FALSE))</f>
        <v/>
      </c>
      <c r="H352" s="91"/>
      <c r="I352" s="37" t="str">
        <f>IF(EXACT($H352, ""), "", VLOOKUP($H352, 'MAIN - OrgJobsPos'!$B$2:$C$101, 2, FALSE))</f>
        <v/>
      </c>
      <c r="J352" s="67"/>
      <c r="K352" s="63"/>
      <c r="L352" s="10" t="s">
        <v>7</v>
      </c>
      <c r="M352" s="11"/>
      <c r="O352" s="29">
        <f t="shared" si="10"/>
        <v>164000000000349</v>
      </c>
      <c r="P352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32000000000349::bigint, 163000000000003::bigint, null::bigint, null::bigint, null::varchar, null::timestamptz, '1900-12-31 23:59:59+07'::timestamptz, null::bigint);</v>
      </c>
    </row>
    <row r="353" spans="2:16" x14ac:dyDescent="0.2">
      <c r="B353" s="37">
        <f>IF(EXACT(DataLookUp!$B353, ""), "", DataLookUp!$B353)</f>
        <v>32000000000350</v>
      </c>
      <c r="C353" s="38" t="str">
        <f>MAIN!C353</f>
        <v>Rere Ronggolawe</v>
      </c>
      <c r="D353" s="91">
        <v>163000000000003</v>
      </c>
      <c r="E353" s="37" t="str">
        <f>IF(EXACT($D353, ""), "", VLOOKUP($D353, [2]DataLookUp!$B$4:$D$15, 2, FALSE ))</f>
        <v>Karyawan Tidak Tetap (Kontrak)</v>
      </c>
      <c r="F353" s="91"/>
      <c r="G353" s="37" t="str">
        <f>IF(EXACT($F353, ""), "", VLOOKUP($F353, 'MAIN - OrgDepartment'!$C$3:$D$104, 2, FALSE))</f>
        <v/>
      </c>
      <c r="H353" s="91"/>
      <c r="I353" s="37" t="str">
        <f>IF(EXACT($H353, ""), "", VLOOKUP($H353, 'MAIN - OrgJobsPos'!$B$2:$C$101, 2, FALSE))</f>
        <v/>
      </c>
      <c r="J353" s="67"/>
      <c r="K353" s="63"/>
      <c r="L353" s="10" t="s">
        <v>7</v>
      </c>
      <c r="M353" s="11"/>
      <c r="O353" s="29">
        <f t="shared" si="10"/>
        <v>164000000000350</v>
      </c>
      <c r="P353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32000000000350::bigint, 163000000000003::bigint, null::bigint, null::bigint, null::varchar, null::timestamptz, '1900-12-31 23:59:59+07'::timestamptz, null::bigint);</v>
      </c>
    </row>
    <row r="354" spans="2:16" x14ac:dyDescent="0.2">
      <c r="B354" s="37">
        <f>IF(EXACT(DataLookUp!$B354, ""), "", DataLookUp!$B354)</f>
        <v>32000000000351</v>
      </c>
      <c r="C354" s="38" t="str">
        <f>MAIN!C354</f>
        <v>Retnasha Gameswari</v>
      </c>
      <c r="D354" s="91">
        <v>163000000000003</v>
      </c>
      <c r="E354" s="37" t="str">
        <f>IF(EXACT($D354, ""), "", VLOOKUP($D354, [2]DataLookUp!$B$4:$D$15, 2, FALSE ))</f>
        <v>Karyawan Tidak Tetap (Kontrak)</v>
      </c>
      <c r="F354" s="91"/>
      <c r="G354" s="37" t="str">
        <f>IF(EXACT($F354, ""), "", VLOOKUP($F354, 'MAIN - OrgDepartment'!$C$3:$D$104, 2, FALSE))</f>
        <v/>
      </c>
      <c r="H354" s="91"/>
      <c r="I354" s="37" t="str">
        <f>IF(EXACT($H354, ""), "", VLOOKUP($H354, 'MAIN - OrgJobsPos'!$B$2:$C$101, 2, FALSE))</f>
        <v/>
      </c>
      <c r="J354" s="67"/>
      <c r="K354" s="63"/>
      <c r="L354" s="10" t="s">
        <v>7</v>
      </c>
      <c r="M354" s="11"/>
      <c r="O354" s="29">
        <f t="shared" si="10"/>
        <v>164000000000351</v>
      </c>
      <c r="P354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32000000000351::bigint, 163000000000003::bigint, null::bigint, null::bigint, null::varchar, null::timestamptz, '1900-12-31 23:59:59+07'::timestamptz, null::bigint);</v>
      </c>
    </row>
    <row r="355" spans="2:16" x14ac:dyDescent="0.2">
      <c r="B355" s="37">
        <f>IF(EXACT(DataLookUp!$B355, ""), "", DataLookUp!$B355)</f>
        <v>32000000000352</v>
      </c>
      <c r="C355" s="38" t="str">
        <f>MAIN!C355</f>
        <v>Rhino Priawan</v>
      </c>
      <c r="D355" s="91">
        <v>163000000000003</v>
      </c>
      <c r="E355" s="37" t="str">
        <f>IF(EXACT($D355, ""), "", VLOOKUP($D355, [2]DataLookUp!$B$4:$D$15, 2, FALSE ))</f>
        <v>Karyawan Tidak Tetap (Kontrak)</v>
      </c>
      <c r="F355" s="91">
        <v>111000000000011</v>
      </c>
      <c r="G355" s="37" t="str">
        <f>IF(EXACT($F355, ""), "", VLOOKUP($F355, 'MAIN - OrgDepartment'!$C$3:$D$104, 2, FALSE))</f>
        <v>Project</v>
      </c>
      <c r="H355" s="91">
        <v>160000000000005</v>
      </c>
      <c r="I355" s="37" t="str">
        <f>IF(EXACT($H355, ""), "", VLOOKUP($H355, 'MAIN - OrgJobsPos'!$B$2:$C$101, 2, FALSE))</f>
        <v>Senior Supervisor</v>
      </c>
      <c r="J355" s="67" t="s">
        <v>308</v>
      </c>
      <c r="K355" s="63" t="s">
        <v>241</v>
      </c>
      <c r="L355" s="10" t="s">
        <v>3</v>
      </c>
      <c r="M355" s="11"/>
      <c r="O355" s="29">
        <f t="shared" si="10"/>
        <v>164000000000352</v>
      </c>
      <c r="P355" s="30" t="str">
        <f t="shared" si="11"/>
        <v>PERFORM "SchData-OLTP-HumanResource"."Func_TblWorkerCareerInternal_SET"(varSystemLoginSession, null::bigint, null::varchar, '2010-11-22 00:00:00+07'::timestamptz, '9999-12-31 23:59:59+07'::timestamptz, null::varchar, varInstitutionBranchID, varBaseCurrencyID, 32000000000352::bigint, 163000000000003::bigint, 111000000000011::bigint, 160000000000005::bigint, 'Site Manager'::varchar, '2010-11-22 00:00:00+07'::timestamptz, '9999-12-31 23:59:59+07'::timestamptz, null::bigint);</v>
      </c>
    </row>
    <row r="356" spans="2:16" x14ac:dyDescent="0.2">
      <c r="B356" s="37">
        <f>IF(EXACT(DataLookUp!$B356, ""), "", DataLookUp!$B356)</f>
        <v>32000000000353</v>
      </c>
      <c r="C356" s="38" t="str">
        <f>MAIN!C356</f>
        <v>Rian Yushak</v>
      </c>
      <c r="D356" s="91">
        <v>163000000000003</v>
      </c>
      <c r="E356" s="37" t="str">
        <f>IF(EXACT($D356, ""), "", VLOOKUP($D356, [2]DataLookUp!$B$4:$D$15, 2, FALSE ))</f>
        <v>Karyawan Tidak Tetap (Kontrak)</v>
      </c>
      <c r="F356" s="91"/>
      <c r="G356" s="37" t="str">
        <f>IF(EXACT($F356, ""), "", VLOOKUP($F356, 'MAIN - OrgDepartment'!$C$3:$D$104, 2, FALSE))</f>
        <v/>
      </c>
      <c r="H356" s="91"/>
      <c r="I356" s="37" t="str">
        <f>IF(EXACT($H356, ""), "", VLOOKUP($H356, 'MAIN - OrgJobsPos'!$B$2:$C$101, 2, FALSE))</f>
        <v/>
      </c>
      <c r="J356" s="67"/>
      <c r="K356" s="63"/>
      <c r="L356" s="10" t="s">
        <v>7</v>
      </c>
      <c r="M356" s="11"/>
      <c r="O356" s="29">
        <f t="shared" si="10"/>
        <v>164000000000353</v>
      </c>
      <c r="P35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32000000000353::bigint, 163000000000003::bigint, null::bigint, null::bigint, null::varchar, null::timestamptz, '1900-12-31 23:59:59+07'::timestamptz, null::bigint);</v>
      </c>
    </row>
    <row r="357" spans="2:16" x14ac:dyDescent="0.2">
      <c r="B357" s="37">
        <f>IF(EXACT(DataLookUp!$B357, ""), "", DataLookUp!$B357)</f>
        <v>32000000000354</v>
      </c>
      <c r="C357" s="38" t="str">
        <f>MAIN!C357</f>
        <v>Riandi</v>
      </c>
      <c r="D357" s="91">
        <v>163000000000003</v>
      </c>
      <c r="E357" s="37" t="str">
        <f>IF(EXACT($D357, ""), "", VLOOKUP($D357, [2]DataLookUp!$B$4:$D$15, 2, FALSE ))</f>
        <v>Karyawan Tidak Tetap (Kontrak)</v>
      </c>
      <c r="F357" s="91"/>
      <c r="G357" s="37" t="str">
        <f>IF(EXACT($F357, ""), "", VLOOKUP($F357, 'MAIN - OrgDepartment'!$C$3:$D$104, 2, FALSE))</f>
        <v/>
      </c>
      <c r="H357" s="91"/>
      <c r="I357" s="37" t="str">
        <f>IF(EXACT($H357, ""), "", VLOOKUP($H357, 'MAIN - OrgJobsPos'!$B$2:$C$101, 2, FALSE))</f>
        <v/>
      </c>
      <c r="J357" s="67"/>
      <c r="K357" s="63"/>
      <c r="L357" s="10" t="s">
        <v>7</v>
      </c>
      <c r="M357" s="11"/>
      <c r="O357" s="29">
        <f t="shared" si="10"/>
        <v>164000000000354</v>
      </c>
      <c r="P35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32000000000354::bigint, 163000000000003::bigint, null::bigint, null::bigint, null::varchar, null::timestamptz, '1900-12-31 23:59:59+07'::timestamptz, null::bigint);</v>
      </c>
    </row>
    <row r="358" spans="2:16" x14ac:dyDescent="0.2">
      <c r="B358" s="37">
        <f>IF(EXACT(DataLookUp!$B358, ""), "", DataLookUp!$B358)</f>
        <v>32000000000355</v>
      </c>
      <c r="C358" s="38" t="str">
        <f>MAIN!C358</f>
        <v>Ricky Samuel</v>
      </c>
      <c r="D358" s="91">
        <v>163000000000003</v>
      </c>
      <c r="E358" s="37" t="str">
        <f>IF(EXACT($D358, ""), "", VLOOKUP($D358, [2]DataLookUp!$B$4:$D$15, 2, FALSE ))</f>
        <v>Karyawan Tidak Tetap (Kontrak)</v>
      </c>
      <c r="F358" s="91"/>
      <c r="G358" s="37" t="str">
        <f>IF(EXACT($F358, ""), "", VLOOKUP($F358, 'MAIN - OrgDepartment'!$C$3:$D$104, 2, FALSE))</f>
        <v/>
      </c>
      <c r="H358" s="91"/>
      <c r="I358" s="37" t="str">
        <f>IF(EXACT($H358, ""), "", VLOOKUP($H358, 'MAIN - OrgJobsPos'!$B$2:$C$101, 2, FALSE))</f>
        <v/>
      </c>
      <c r="J358" s="67"/>
      <c r="K358" s="63"/>
      <c r="L358" s="10" t="s">
        <v>7</v>
      </c>
      <c r="M358" s="11"/>
      <c r="O358" s="29">
        <f t="shared" si="10"/>
        <v>164000000000355</v>
      </c>
      <c r="P35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32000000000355::bigint, 163000000000003::bigint, null::bigint, null::bigint, null::varchar, null::timestamptz, '1900-12-31 23:59:59+07'::timestamptz, null::bigint);</v>
      </c>
    </row>
    <row r="359" spans="2:16" x14ac:dyDescent="0.2">
      <c r="B359" s="37">
        <f>IF(EXACT(DataLookUp!$B359, ""), "", DataLookUp!$B359)</f>
        <v>32000000000356</v>
      </c>
      <c r="C359" s="38" t="str">
        <f>MAIN!C359</f>
        <v>Ridwan Nurhadi</v>
      </c>
      <c r="D359" s="91">
        <v>163000000000003</v>
      </c>
      <c r="E359" s="37" t="str">
        <f>IF(EXACT($D359, ""), "", VLOOKUP($D359, [2]DataLookUp!$B$4:$D$15, 2, FALSE ))</f>
        <v>Karyawan Tidak Tetap (Kontrak)</v>
      </c>
      <c r="F359" s="91"/>
      <c r="G359" s="37" t="str">
        <f>IF(EXACT($F359, ""), "", VLOOKUP($F359, 'MAIN - OrgDepartment'!$C$3:$D$104, 2, FALSE))</f>
        <v/>
      </c>
      <c r="H359" s="91"/>
      <c r="I359" s="37" t="str">
        <f>IF(EXACT($H359, ""), "", VLOOKUP($H359, 'MAIN - OrgJobsPos'!$B$2:$C$101, 2, FALSE))</f>
        <v/>
      </c>
      <c r="J359" s="67"/>
      <c r="K359" s="63"/>
      <c r="L359" s="10" t="s">
        <v>7</v>
      </c>
      <c r="M359" s="11"/>
      <c r="O359" s="29">
        <f t="shared" si="10"/>
        <v>164000000000356</v>
      </c>
      <c r="P359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32000000000356::bigint, 163000000000003::bigint, null::bigint, null::bigint, null::varchar, null::timestamptz, '1900-12-31 23:59:59+07'::timestamptz, null::bigint);</v>
      </c>
    </row>
    <row r="360" spans="2:16" x14ac:dyDescent="0.2">
      <c r="B360" s="37">
        <f>IF(EXACT(DataLookUp!$B360, ""), "", DataLookUp!$B360)</f>
        <v>32000000000357</v>
      </c>
      <c r="C360" s="38" t="str">
        <f>MAIN!C360</f>
        <v>Rifki</v>
      </c>
      <c r="D360" s="91">
        <v>163000000000003</v>
      </c>
      <c r="E360" s="37" t="str">
        <f>IF(EXACT($D360, ""), "", VLOOKUP($D360, [2]DataLookUp!$B$4:$D$15, 2, FALSE ))</f>
        <v>Karyawan Tidak Tetap (Kontrak)</v>
      </c>
      <c r="F360" s="91"/>
      <c r="G360" s="37" t="str">
        <f>IF(EXACT($F360, ""), "", VLOOKUP($F360, 'MAIN - OrgDepartment'!$C$3:$D$104, 2, FALSE))</f>
        <v/>
      </c>
      <c r="H360" s="91"/>
      <c r="I360" s="37" t="str">
        <f>IF(EXACT($H360, ""), "", VLOOKUP($H360, 'MAIN - OrgJobsPos'!$B$2:$C$101, 2, FALSE))</f>
        <v/>
      </c>
      <c r="J360" s="67"/>
      <c r="K360" s="63"/>
      <c r="L360" s="10" t="s">
        <v>7</v>
      </c>
      <c r="M360" s="11"/>
      <c r="O360" s="29">
        <f t="shared" si="10"/>
        <v>164000000000357</v>
      </c>
      <c r="P360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32000000000357::bigint, 163000000000003::bigint, null::bigint, null::bigint, null::varchar, null::timestamptz, '1900-12-31 23:59:59+07'::timestamptz, null::bigint);</v>
      </c>
    </row>
    <row r="361" spans="2:16" x14ac:dyDescent="0.2">
      <c r="B361" s="37">
        <f>IF(EXACT(DataLookUp!$B361, ""), "", DataLookUp!$B361)</f>
        <v>32000000000358</v>
      </c>
      <c r="C361" s="38" t="str">
        <f>MAIN!C361</f>
        <v>Rika Ginting</v>
      </c>
      <c r="D361" s="91">
        <v>163000000000003</v>
      </c>
      <c r="E361" s="37" t="str">
        <f>IF(EXACT($D361, ""), "", VLOOKUP($D361, [2]DataLookUp!$B$4:$D$15, 2, FALSE ))</f>
        <v>Karyawan Tidak Tetap (Kontrak)</v>
      </c>
      <c r="F361" s="91"/>
      <c r="G361" s="37" t="str">
        <f>IF(EXACT($F361, ""), "", VLOOKUP($F361, 'MAIN - OrgDepartment'!$C$3:$D$104, 2, FALSE))</f>
        <v/>
      </c>
      <c r="H361" s="91"/>
      <c r="I361" s="37" t="str">
        <f>IF(EXACT($H361, ""), "", VLOOKUP($H361, 'MAIN - OrgJobsPos'!$B$2:$C$101, 2, FALSE))</f>
        <v/>
      </c>
      <c r="J361" s="67"/>
      <c r="K361" s="63"/>
      <c r="L361" s="10" t="s">
        <v>7</v>
      </c>
      <c r="M361" s="11"/>
      <c r="O361" s="29">
        <f t="shared" si="10"/>
        <v>164000000000358</v>
      </c>
      <c r="P361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32000000000358::bigint, 163000000000003::bigint, null::bigint, null::bigint, null::varchar, null::timestamptz, '1900-12-31 23:59:59+07'::timestamptz, null::bigint);</v>
      </c>
    </row>
    <row r="362" spans="2:16" x14ac:dyDescent="0.2">
      <c r="B362" s="37">
        <f>IF(EXACT(DataLookUp!$B362, ""), "", DataLookUp!$B362)</f>
        <v>32000000000359</v>
      </c>
      <c r="C362" s="38" t="str">
        <f>MAIN!C362</f>
        <v>Riki Chairul Anwar</v>
      </c>
      <c r="D362" s="91">
        <v>163000000000003</v>
      </c>
      <c r="E362" s="37" t="str">
        <f>IF(EXACT($D362, ""), "", VLOOKUP($D362, [2]DataLookUp!$B$4:$D$15, 2, FALSE ))</f>
        <v>Karyawan Tidak Tetap (Kontrak)</v>
      </c>
      <c r="F362" s="91"/>
      <c r="G362" s="37" t="str">
        <f>IF(EXACT($F362, ""), "", VLOOKUP($F362, 'MAIN - OrgDepartment'!$C$3:$D$104, 2, FALSE))</f>
        <v/>
      </c>
      <c r="H362" s="91"/>
      <c r="I362" s="37" t="str">
        <f>IF(EXACT($H362, ""), "", VLOOKUP($H362, 'MAIN - OrgJobsPos'!$B$2:$C$101, 2, FALSE))</f>
        <v/>
      </c>
      <c r="J362" s="67"/>
      <c r="K362" s="63"/>
      <c r="L362" s="10" t="s">
        <v>7</v>
      </c>
      <c r="M362" s="11"/>
      <c r="O362" s="29">
        <f t="shared" si="10"/>
        <v>164000000000359</v>
      </c>
      <c r="P362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32000000000359::bigint, 163000000000003::bigint, null::bigint, null::bigint, null::varchar, null::timestamptz, '1900-12-31 23:59:59+07'::timestamptz, null::bigint);</v>
      </c>
    </row>
    <row r="363" spans="2:16" x14ac:dyDescent="0.2">
      <c r="B363" s="37">
        <f>IF(EXACT(DataLookUp!$B363, ""), "", DataLookUp!$B363)</f>
        <v>32000000000360</v>
      </c>
      <c r="C363" s="38" t="str">
        <f>MAIN!C363</f>
        <v>Riki Evindra</v>
      </c>
      <c r="D363" s="91">
        <v>163000000000003</v>
      </c>
      <c r="E363" s="37" t="str">
        <f>IF(EXACT($D363, ""), "", VLOOKUP($D363, [2]DataLookUp!$B$4:$D$15, 2, FALSE ))</f>
        <v>Karyawan Tidak Tetap (Kontrak)</v>
      </c>
      <c r="F363" s="91"/>
      <c r="G363" s="37" t="str">
        <f>IF(EXACT($F363, ""), "", VLOOKUP($F363, 'MAIN - OrgDepartment'!$C$3:$D$104, 2, FALSE))</f>
        <v/>
      </c>
      <c r="H363" s="91"/>
      <c r="I363" s="37" t="str">
        <f>IF(EXACT($H363, ""), "", VLOOKUP($H363, 'MAIN - OrgJobsPos'!$B$2:$C$101, 2, FALSE))</f>
        <v/>
      </c>
      <c r="J363" s="67"/>
      <c r="K363" s="63"/>
      <c r="L363" s="10" t="s">
        <v>7</v>
      </c>
      <c r="M363" s="11"/>
      <c r="O363" s="29">
        <f t="shared" si="10"/>
        <v>164000000000360</v>
      </c>
      <c r="P363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32000000000360::bigint, 163000000000003::bigint, null::bigint, null::bigint, null::varchar, null::timestamptz, '1900-12-31 23:59:59+07'::timestamptz, null::bigint);</v>
      </c>
    </row>
    <row r="364" spans="2:16" x14ac:dyDescent="0.2">
      <c r="B364" s="37">
        <f>IF(EXACT(DataLookUp!$B364, ""), "", DataLookUp!$B364)</f>
        <v>32000000000361</v>
      </c>
      <c r="C364" s="38" t="str">
        <f>MAIN!C364</f>
        <v>Rinaldi Asrin</v>
      </c>
      <c r="D364" s="91">
        <v>163000000000003</v>
      </c>
      <c r="E364" s="37" t="str">
        <f>IF(EXACT($D364, ""), "", VLOOKUP($D364, [2]DataLookUp!$B$4:$D$15, 2, FALSE ))</f>
        <v>Karyawan Tidak Tetap (Kontrak)</v>
      </c>
      <c r="F364" s="91"/>
      <c r="G364" s="37" t="str">
        <f>IF(EXACT($F364, ""), "", VLOOKUP($F364, 'MAIN - OrgDepartment'!$C$3:$D$104, 2, FALSE))</f>
        <v/>
      </c>
      <c r="H364" s="91"/>
      <c r="I364" s="37" t="str">
        <f>IF(EXACT($H364, ""), "", VLOOKUP($H364, 'MAIN - OrgJobsPos'!$B$2:$C$101, 2, FALSE))</f>
        <v/>
      </c>
      <c r="J364" s="67"/>
      <c r="K364" s="63"/>
      <c r="L364" s="10" t="s">
        <v>7</v>
      </c>
      <c r="M364" s="11"/>
      <c r="O364" s="29">
        <f t="shared" si="10"/>
        <v>164000000000361</v>
      </c>
      <c r="P364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32000000000361::bigint, 163000000000003::bigint, null::bigint, null::bigint, null::varchar, null::timestamptz, '1900-12-31 23:59:59+07'::timestamptz, null::bigint);</v>
      </c>
    </row>
    <row r="365" spans="2:16" x14ac:dyDescent="0.2">
      <c r="B365" s="37">
        <f>IF(EXACT(DataLookUp!$B365, ""), "", DataLookUp!$B365)</f>
        <v>32000000000362</v>
      </c>
      <c r="C365" s="38" t="str">
        <f>MAIN!C365</f>
        <v>Rio Hakim</v>
      </c>
      <c r="D365" s="91">
        <v>163000000000003</v>
      </c>
      <c r="E365" s="37" t="str">
        <f>IF(EXACT($D365, ""), "", VLOOKUP($D365, [2]DataLookUp!$B$4:$D$15, 2, FALSE ))</f>
        <v>Karyawan Tidak Tetap (Kontrak)</v>
      </c>
      <c r="F365" s="91"/>
      <c r="G365" s="37" t="str">
        <f>IF(EXACT($F365, ""), "", VLOOKUP($F365, 'MAIN - OrgDepartment'!$C$3:$D$104, 2, FALSE))</f>
        <v/>
      </c>
      <c r="H365" s="91"/>
      <c r="I365" s="37" t="str">
        <f>IF(EXACT($H365, ""), "", VLOOKUP($H365, 'MAIN - OrgJobsPos'!$B$2:$C$101, 2, FALSE))</f>
        <v/>
      </c>
      <c r="J365" s="67"/>
      <c r="K365" s="63"/>
      <c r="L365" s="10" t="s">
        <v>7</v>
      </c>
      <c r="M365" s="11"/>
      <c r="O365" s="29">
        <f t="shared" si="10"/>
        <v>164000000000362</v>
      </c>
      <c r="P365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32000000000362::bigint, 163000000000003::bigint, null::bigint, null::bigint, null::varchar, null::timestamptz, '1900-12-31 23:59:59+07'::timestamptz, null::bigint);</v>
      </c>
    </row>
    <row r="366" spans="2:16" x14ac:dyDescent="0.2">
      <c r="B366" s="37">
        <f>IF(EXACT(DataLookUp!$B366, ""), "", DataLookUp!$B366)</f>
        <v>32000000000363</v>
      </c>
      <c r="C366" s="38" t="str">
        <f>MAIN!C366</f>
        <v>Rio Martha</v>
      </c>
      <c r="D366" s="91">
        <v>163000000000003</v>
      </c>
      <c r="E366" s="37" t="str">
        <f>IF(EXACT($D366, ""), "", VLOOKUP($D366, [2]DataLookUp!$B$4:$D$15, 2, FALSE ))</f>
        <v>Karyawan Tidak Tetap (Kontrak)</v>
      </c>
      <c r="F366" s="91"/>
      <c r="G366" s="37" t="str">
        <f>IF(EXACT($F366, ""), "", VLOOKUP($F366, 'MAIN - OrgDepartment'!$C$3:$D$104, 2, FALSE))</f>
        <v/>
      </c>
      <c r="H366" s="91"/>
      <c r="I366" s="37" t="str">
        <f>IF(EXACT($H366, ""), "", VLOOKUP($H366, 'MAIN - OrgJobsPos'!$B$2:$C$101, 2, FALSE))</f>
        <v/>
      </c>
      <c r="J366" s="67"/>
      <c r="K366" s="63"/>
      <c r="L366" s="10" t="s">
        <v>7</v>
      </c>
      <c r="M366" s="11"/>
      <c r="O366" s="29">
        <f t="shared" si="10"/>
        <v>164000000000363</v>
      </c>
      <c r="P36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32000000000363::bigint, 163000000000003::bigint, null::bigint, null::bigint, null::varchar, null::timestamptz, '1900-12-31 23:59:59+07'::timestamptz, null::bigint);</v>
      </c>
    </row>
    <row r="367" spans="2:16" x14ac:dyDescent="0.2">
      <c r="B367" s="37">
        <f>IF(EXACT(DataLookUp!$B367, ""), "", DataLookUp!$B367)</f>
        <v>32000000000364</v>
      </c>
      <c r="C367" s="38" t="str">
        <f>MAIN!C367</f>
        <v>Risdyanto Risdyanto</v>
      </c>
      <c r="D367" s="91">
        <v>163000000000003</v>
      </c>
      <c r="E367" s="37" t="str">
        <f>IF(EXACT($D367, ""), "", VLOOKUP($D367, [2]DataLookUp!$B$4:$D$15, 2, FALSE ))</f>
        <v>Karyawan Tidak Tetap (Kontrak)</v>
      </c>
      <c r="F367" s="91"/>
      <c r="G367" s="37" t="str">
        <f>IF(EXACT($F367, ""), "", VLOOKUP($F367, 'MAIN - OrgDepartment'!$C$3:$D$104, 2, FALSE))</f>
        <v/>
      </c>
      <c r="H367" s="91"/>
      <c r="I367" s="37" t="str">
        <f>IF(EXACT($H367, ""), "", VLOOKUP($H367, 'MAIN - OrgJobsPos'!$B$2:$C$101, 2, FALSE))</f>
        <v/>
      </c>
      <c r="J367" s="67"/>
      <c r="K367" s="63"/>
      <c r="L367" s="10" t="s">
        <v>7</v>
      </c>
      <c r="M367" s="11"/>
      <c r="O367" s="29">
        <f t="shared" si="10"/>
        <v>164000000000364</v>
      </c>
      <c r="P36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32000000000364::bigint, 163000000000003::bigint, null::bigint, null::bigint, null::varchar, null::timestamptz, '1900-12-31 23:59:59+07'::timestamptz, null::bigint);</v>
      </c>
    </row>
    <row r="368" spans="2:16" x14ac:dyDescent="0.2">
      <c r="B368" s="37">
        <f>IF(EXACT(DataLookUp!$B368, ""), "", DataLookUp!$B368)</f>
        <v>32000000000365</v>
      </c>
      <c r="C368" s="38" t="str">
        <f>MAIN!C368</f>
        <v>Rizak Tri Septian</v>
      </c>
      <c r="D368" s="91">
        <v>163000000000003</v>
      </c>
      <c r="E368" s="37" t="str">
        <f>IF(EXACT($D368, ""), "", VLOOKUP($D368, [2]DataLookUp!$B$4:$D$15, 2, FALSE ))</f>
        <v>Karyawan Tidak Tetap (Kontrak)</v>
      </c>
      <c r="F368" s="91"/>
      <c r="G368" s="37" t="str">
        <f>IF(EXACT($F368, ""), "", VLOOKUP($F368, 'MAIN - OrgDepartment'!$C$3:$D$104, 2, FALSE))</f>
        <v/>
      </c>
      <c r="H368" s="91"/>
      <c r="I368" s="37" t="str">
        <f>IF(EXACT($H368, ""), "", VLOOKUP($H368, 'MAIN - OrgJobsPos'!$B$2:$C$101, 2, FALSE))</f>
        <v/>
      </c>
      <c r="J368" s="67"/>
      <c r="K368" s="63"/>
      <c r="L368" s="10" t="s">
        <v>7</v>
      </c>
      <c r="M368" s="11"/>
      <c r="O368" s="29">
        <f t="shared" si="10"/>
        <v>164000000000365</v>
      </c>
      <c r="P36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32000000000365::bigint, 163000000000003::bigint, null::bigint, null::bigint, null::varchar, null::timestamptz, '1900-12-31 23:59:59+07'::timestamptz, null::bigint);</v>
      </c>
    </row>
    <row r="369" spans="2:16" x14ac:dyDescent="0.2">
      <c r="B369" s="37">
        <f>IF(EXACT(DataLookUp!$B369, ""), "", DataLookUp!$B369)</f>
        <v>32000000000366</v>
      </c>
      <c r="C369" s="38" t="str">
        <f>MAIN!C369</f>
        <v>Rizki Akbar</v>
      </c>
      <c r="D369" s="91">
        <v>163000000000003</v>
      </c>
      <c r="E369" s="37" t="str">
        <f>IF(EXACT($D369, ""), "", VLOOKUP($D369, [2]DataLookUp!$B$4:$D$15, 2, FALSE ))</f>
        <v>Karyawan Tidak Tetap (Kontrak)</v>
      </c>
      <c r="F369" s="91"/>
      <c r="G369" s="37" t="str">
        <f>IF(EXACT($F369, ""), "", VLOOKUP($F369, 'MAIN - OrgDepartment'!$C$3:$D$104, 2, FALSE))</f>
        <v/>
      </c>
      <c r="H369" s="91"/>
      <c r="I369" s="37" t="str">
        <f>IF(EXACT($H369, ""), "", VLOOKUP($H369, 'MAIN - OrgJobsPos'!$B$2:$C$101, 2, FALSE))</f>
        <v/>
      </c>
      <c r="J369" s="67"/>
      <c r="K369" s="63"/>
      <c r="L369" s="10" t="s">
        <v>7</v>
      </c>
      <c r="M369" s="11"/>
      <c r="O369" s="29">
        <f t="shared" si="10"/>
        <v>164000000000366</v>
      </c>
      <c r="P369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32000000000366::bigint, 163000000000003::bigint, null::bigint, null::bigint, null::varchar, null::timestamptz, '1900-12-31 23:59:59+07'::timestamptz, null::bigint);</v>
      </c>
    </row>
    <row r="370" spans="2:16" x14ac:dyDescent="0.2">
      <c r="B370" s="37">
        <f>IF(EXACT(DataLookUp!$B370, ""), "", DataLookUp!$B370)</f>
        <v>32000000000367</v>
      </c>
      <c r="C370" s="38" t="str">
        <f>MAIN!C370</f>
        <v>Rizky Fauzy</v>
      </c>
      <c r="D370" s="91">
        <v>163000000000003</v>
      </c>
      <c r="E370" s="37" t="str">
        <f>IF(EXACT($D370, ""), "", VLOOKUP($D370, [2]DataLookUp!$B$4:$D$15, 2, FALSE ))</f>
        <v>Karyawan Tidak Tetap (Kontrak)</v>
      </c>
      <c r="F370" s="91"/>
      <c r="G370" s="37" t="str">
        <f>IF(EXACT($F370, ""), "", VLOOKUP($F370, 'MAIN - OrgDepartment'!$C$3:$D$104, 2, FALSE))</f>
        <v/>
      </c>
      <c r="H370" s="91"/>
      <c r="I370" s="37" t="str">
        <f>IF(EXACT($H370, ""), "", VLOOKUP($H370, 'MAIN - OrgJobsPos'!$B$2:$C$101, 2, FALSE))</f>
        <v/>
      </c>
      <c r="J370" s="67"/>
      <c r="K370" s="63"/>
      <c r="L370" s="10" t="s">
        <v>7</v>
      </c>
      <c r="M370" s="11"/>
      <c r="O370" s="29">
        <f t="shared" si="10"/>
        <v>164000000000367</v>
      </c>
      <c r="P370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32000000000367::bigint, 163000000000003::bigint, null::bigint, null::bigint, null::varchar, null::timestamptz, '1900-12-31 23:59:59+07'::timestamptz, null::bigint);</v>
      </c>
    </row>
    <row r="371" spans="2:16" x14ac:dyDescent="0.2">
      <c r="B371" s="37">
        <f>IF(EXACT(DataLookUp!$B371, ""), "", DataLookUp!$B371)</f>
        <v>32000000000368</v>
      </c>
      <c r="C371" s="38" t="str">
        <f>MAIN!C371</f>
        <v>Rizky Reza Pradipta</v>
      </c>
      <c r="D371" s="91">
        <v>163000000000003</v>
      </c>
      <c r="E371" s="37" t="str">
        <f>IF(EXACT($D371, ""), "", VLOOKUP($D371, [2]DataLookUp!$B$4:$D$15, 2, FALSE ))</f>
        <v>Karyawan Tidak Tetap (Kontrak)</v>
      </c>
      <c r="F371" s="91"/>
      <c r="G371" s="37" t="str">
        <f>IF(EXACT($F371, ""), "", VLOOKUP($F371, 'MAIN - OrgDepartment'!$C$3:$D$104, 2, FALSE))</f>
        <v/>
      </c>
      <c r="H371" s="91"/>
      <c r="I371" s="37" t="str">
        <f>IF(EXACT($H371, ""), "", VLOOKUP($H371, 'MAIN - OrgJobsPos'!$B$2:$C$101, 2, FALSE))</f>
        <v/>
      </c>
      <c r="J371" s="67"/>
      <c r="K371" s="63"/>
      <c r="L371" s="10" t="s">
        <v>7</v>
      </c>
      <c r="M371" s="11"/>
      <c r="O371" s="29">
        <f t="shared" si="10"/>
        <v>164000000000368</v>
      </c>
      <c r="P371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32000000000368::bigint, 163000000000003::bigint, null::bigint, null::bigint, null::varchar, null::timestamptz, '1900-12-31 23:59:59+07'::timestamptz, null::bigint);</v>
      </c>
    </row>
    <row r="372" spans="2:16" x14ac:dyDescent="0.2">
      <c r="B372" s="37">
        <f>IF(EXACT(DataLookUp!$B372, ""), "", DataLookUp!$B372)</f>
        <v>32000000000369</v>
      </c>
      <c r="C372" s="38" t="str">
        <f>MAIN!C372</f>
        <v>Rohendi Rohendi</v>
      </c>
      <c r="D372" s="91">
        <v>163000000000003</v>
      </c>
      <c r="E372" s="37" t="str">
        <f>IF(EXACT($D372, ""), "", VLOOKUP($D372, [2]DataLookUp!$B$4:$D$15, 2, FALSE ))</f>
        <v>Karyawan Tidak Tetap (Kontrak)</v>
      </c>
      <c r="F372" s="91"/>
      <c r="G372" s="37" t="str">
        <f>IF(EXACT($F372, ""), "", VLOOKUP($F372, 'MAIN - OrgDepartment'!$C$3:$D$104, 2, FALSE))</f>
        <v/>
      </c>
      <c r="H372" s="91"/>
      <c r="I372" s="37" t="str">
        <f>IF(EXACT($H372, ""), "", VLOOKUP($H372, 'MAIN - OrgJobsPos'!$B$2:$C$101, 2, FALSE))</f>
        <v/>
      </c>
      <c r="J372" s="67"/>
      <c r="K372" s="63"/>
      <c r="L372" s="10" t="s">
        <v>7</v>
      </c>
      <c r="M372" s="11"/>
      <c r="O372" s="29">
        <f t="shared" si="10"/>
        <v>164000000000369</v>
      </c>
      <c r="P372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32000000000369::bigint, 163000000000003::bigint, null::bigint, null::bigint, null::varchar, null::timestamptz, '1900-12-31 23:59:59+07'::timestamptz, null::bigint);</v>
      </c>
    </row>
    <row r="373" spans="2:16" x14ac:dyDescent="0.2">
      <c r="B373" s="37">
        <f>IF(EXACT(DataLookUp!$B373, ""), "", DataLookUp!$B373)</f>
        <v>32000000000370</v>
      </c>
      <c r="C373" s="38" t="str">
        <f>MAIN!C373</f>
        <v>Rohmani</v>
      </c>
      <c r="D373" s="91">
        <v>163000000000003</v>
      </c>
      <c r="E373" s="37" t="str">
        <f>IF(EXACT($D373, ""), "", VLOOKUP($D373, [2]DataLookUp!$B$4:$D$15, 2, FALSE ))</f>
        <v>Karyawan Tidak Tetap (Kontrak)</v>
      </c>
      <c r="F373" s="91"/>
      <c r="G373" s="37" t="str">
        <f>IF(EXACT($F373, ""), "", VLOOKUP($F373, 'MAIN - OrgDepartment'!$C$3:$D$104, 2, FALSE))</f>
        <v/>
      </c>
      <c r="H373" s="91"/>
      <c r="I373" s="37" t="str">
        <f>IF(EXACT($H373, ""), "", VLOOKUP($H373, 'MAIN - OrgJobsPos'!$B$2:$C$101, 2, FALSE))</f>
        <v/>
      </c>
      <c r="J373" s="67"/>
      <c r="K373" s="63"/>
      <c r="L373" s="10" t="s">
        <v>7</v>
      </c>
      <c r="M373" s="11"/>
      <c r="O373" s="29">
        <f t="shared" si="10"/>
        <v>164000000000370</v>
      </c>
      <c r="P373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32000000000370::bigint, 163000000000003::bigint, null::bigint, null::bigint, null::varchar, null::timestamptz, '1900-12-31 23:59:59+07'::timestamptz, null::bigint);</v>
      </c>
    </row>
    <row r="374" spans="2:16" x14ac:dyDescent="0.2">
      <c r="B374" s="37">
        <f>IF(EXACT(DataLookUp!$B374, ""), "", DataLookUp!$B374)</f>
        <v>32000000000371</v>
      </c>
      <c r="C374" s="38" t="str">
        <f>MAIN!C374</f>
        <v>Rommel Hutapea</v>
      </c>
      <c r="D374" s="91">
        <v>163000000000003</v>
      </c>
      <c r="E374" s="37" t="str">
        <f>IF(EXACT($D374, ""), "", VLOOKUP($D374, [2]DataLookUp!$B$4:$D$15, 2, FALSE ))</f>
        <v>Karyawan Tidak Tetap (Kontrak)</v>
      </c>
      <c r="F374" s="91"/>
      <c r="G374" s="37" t="str">
        <f>IF(EXACT($F374, ""), "", VLOOKUP($F374, 'MAIN - OrgDepartment'!$C$3:$D$104, 2, FALSE))</f>
        <v/>
      </c>
      <c r="H374" s="91"/>
      <c r="I374" s="37" t="str">
        <f>IF(EXACT($H374, ""), "", VLOOKUP($H374, 'MAIN - OrgJobsPos'!$B$2:$C$101, 2, FALSE))</f>
        <v/>
      </c>
      <c r="J374" s="67"/>
      <c r="K374" s="63"/>
      <c r="L374" s="10" t="s">
        <v>7</v>
      </c>
      <c r="M374" s="11"/>
      <c r="O374" s="29">
        <f t="shared" si="10"/>
        <v>164000000000371</v>
      </c>
      <c r="P374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32000000000371::bigint, 163000000000003::bigint, null::bigint, null::bigint, null::varchar, null::timestamptz, '1900-12-31 23:59:59+07'::timestamptz, null::bigint);</v>
      </c>
    </row>
    <row r="375" spans="2:16" x14ac:dyDescent="0.2">
      <c r="B375" s="37">
        <f>IF(EXACT(DataLookUp!$B375, ""), "", DataLookUp!$B375)</f>
        <v>32000000000372</v>
      </c>
      <c r="C375" s="38" t="str">
        <f>MAIN!C375</f>
        <v>Roy Aditya</v>
      </c>
      <c r="D375" s="91">
        <v>163000000000003</v>
      </c>
      <c r="E375" s="37" t="str">
        <f>IF(EXACT($D375, ""), "", VLOOKUP($D375, [2]DataLookUp!$B$4:$D$15, 2, FALSE ))</f>
        <v>Karyawan Tidak Tetap (Kontrak)</v>
      </c>
      <c r="F375" s="91">
        <v>111000000000023</v>
      </c>
      <c r="G375" s="37" t="str">
        <f>IF(EXACT($F375, ""), "", VLOOKUP($F375, 'MAIN - OrgDepartment'!$C$3:$D$104, 2, FALSE))</f>
        <v>Operation &amp; Maintenance</v>
      </c>
      <c r="H375" s="91">
        <v>160000000000005</v>
      </c>
      <c r="I375" s="37" t="str">
        <f>IF(EXACT($H375, ""), "", VLOOKUP($H375, 'MAIN - OrgJobsPos'!$B$2:$C$101, 2, FALSE))</f>
        <v>Senior Supervisor</v>
      </c>
      <c r="J375" s="67" t="s">
        <v>292</v>
      </c>
      <c r="K375" s="63" t="s">
        <v>258</v>
      </c>
      <c r="L375" s="10" t="s">
        <v>3</v>
      </c>
      <c r="M375" s="11"/>
      <c r="O375" s="29">
        <f t="shared" si="10"/>
        <v>164000000000372</v>
      </c>
      <c r="P375" s="30" t="str">
        <f t="shared" si="11"/>
        <v>PERFORM "SchData-OLTP-HumanResource"."Func_TblWorkerCareerInternal_SET"(varSystemLoginSession, null::bigint, null::varchar, '2021-09-16 00:00:00+07'::timestamptz, '9999-12-31 23:59:59+07'::timestamptz, null::varchar, varInstitutionBranchID, varBaseCurrencyID, 32000000000372::bigint, 163000000000003::bigint, 111000000000023::bigint, 160000000000005::bigint, 'Operational Building'::varchar, '2021-09-16 00:00:00+07'::timestamptz, '9999-12-31 23:59:59+07'::timestamptz, null::bigint);</v>
      </c>
    </row>
    <row r="376" spans="2:16" x14ac:dyDescent="0.2">
      <c r="B376" s="37">
        <f>IF(EXACT(DataLookUp!$B376, ""), "", DataLookUp!$B376)</f>
        <v>32000000000373</v>
      </c>
      <c r="C376" s="38" t="str">
        <f>MAIN!C376</f>
        <v>Rubah</v>
      </c>
      <c r="D376" s="91">
        <v>163000000000003</v>
      </c>
      <c r="E376" s="37" t="str">
        <f>IF(EXACT($D376, ""), "", VLOOKUP($D376, [2]DataLookUp!$B$4:$D$15, 2, FALSE ))</f>
        <v>Karyawan Tidak Tetap (Kontrak)</v>
      </c>
      <c r="F376" s="91"/>
      <c r="G376" s="37" t="str">
        <f>IF(EXACT($F376, ""), "", VLOOKUP($F376, 'MAIN - OrgDepartment'!$C$3:$D$104, 2, FALSE))</f>
        <v/>
      </c>
      <c r="H376" s="91"/>
      <c r="I376" s="37" t="str">
        <f>IF(EXACT($H376, ""), "", VLOOKUP($H376, 'MAIN - OrgJobsPos'!$B$2:$C$101, 2, FALSE))</f>
        <v/>
      </c>
      <c r="J376" s="67"/>
      <c r="K376" s="63"/>
      <c r="L376" s="10" t="s">
        <v>7</v>
      </c>
      <c r="M376" s="11"/>
      <c r="O376" s="29">
        <f t="shared" si="10"/>
        <v>164000000000373</v>
      </c>
      <c r="P37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32000000000373::bigint, 163000000000003::bigint, null::bigint, null::bigint, null::varchar, null::timestamptz, '1900-12-31 23:59:59+07'::timestamptz, null::bigint);</v>
      </c>
    </row>
    <row r="377" spans="2:16" x14ac:dyDescent="0.2">
      <c r="B377" s="37">
        <f>IF(EXACT(DataLookUp!$B377, ""), "", DataLookUp!$B377)</f>
        <v>32000000000374</v>
      </c>
      <c r="C377" s="38" t="str">
        <f>MAIN!C377</f>
        <v>Rudi Junaedi</v>
      </c>
      <c r="D377" s="91">
        <v>163000000000003</v>
      </c>
      <c r="E377" s="37" t="str">
        <f>IF(EXACT($D377, ""), "", VLOOKUP($D377, [2]DataLookUp!$B$4:$D$15, 2, FALSE ))</f>
        <v>Karyawan Tidak Tetap (Kontrak)</v>
      </c>
      <c r="F377" s="91"/>
      <c r="G377" s="37" t="str">
        <f>IF(EXACT($F377, ""), "", VLOOKUP($F377, 'MAIN - OrgDepartment'!$C$3:$D$104, 2, FALSE))</f>
        <v/>
      </c>
      <c r="H377" s="91"/>
      <c r="I377" s="37" t="str">
        <f>IF(EXACT($H377, ""), "", VLOOKUP($H377, 'MAIN - OrgJobsPos'!$B$2:$C$101, 2, FALSE))</f>
        <v/>
      </c>
      <c r="J377" s="67"/>
      <c r="K377" s="63"/>
      <c r="L377" s="10" t="s">
        <v>7</v>
      </c>
      <c r="M377" s="11"/>
      <c r="O377" s="29">
        <f t="shared" si="10"/>
        <v>164000000000374</v>
      </c>
      <c r="P37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32000000000374::bigint, 163000000000003::bigint, null::bigint, null::bigint, null::varchar, null::timestamptz, '1900-12-31 23:59:59+07'::timestamptz, null::bigint);</v>
      </c>
    </row>
    <row r="378" spans="2:16" x14ac:dyDescent="0.2">
      <c r="B378" s="37">
        <f>IF(EXACT(DataLookUp!$B378, ""), "", DataLookUp!$B378)</f>
        <v>32000000000375</v>
      </c>
      <c r="C378" s="38" t="str">
        <f>MAIN!C378</f>
        <v>Ruswandi</v>
      </c>
      <c r="D378" s="91">
        <v>163000000000003</v>
      </c>
      <c r="E378" s="37" t="str">
        <f>IF(EXACT($D378, ""), "", VLOOKUP($D378, [2]DataLookUp!$B$4:$D$15, 2, FALSE ))</f>
        <v>Karyawan Tidak Tetap (Kontrak)</v>
      </c>
      <c r="F378" s="91"/>
      <c r="G378" s="37" t="str">
        <f>IF(EXACT($F378, ""), "", VLOOKUP($F378, 'MAIN - OrgDepartment'!$C$3:$D$104, 2, FALSE))</f>
        <v/>
      </c>
      <c r="H378" s="91"/>
      <c r="I378" s="37" t="str">
        <f>IF(EXACT($H378, ""), "", VLOOKUP($H378, 'MAIN - OrgJobsPos'!$B$2:$C$101, 2, FALSE))</f>
        <v/>
      </c>
      <c r="J378" s="67"/>
      <c r="K378" s="63"/>
      <c r="L378" s="10" t="s">
        <v>7</v>
      </c>
      <c r="M378" s="11"/>
      <c r="O378" s="29">
        <f t="shared" si="10"/>
        <v>164000000000375</v>
      </c>
      <c r="P37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32000000000375::bigint, 163000000000003::bigint, null::bigint, null::bigint, null::varchar, null::timestamptz, '1900-12-31 23:59:59+07'::timestamptz, null::bigint);</v>
      </c>
    </row>
    <row r="379" spans="2:16" x14ac:dyDescent="0.2">
      <c r="B379" s="37">
        <f>IF(EXACT(DataLookUp!$B379, ""), "", DataLookUp!$B379)</f>
        <v>32000000000376</v>
      </c>
      <c r="C379" s="38" t="str">
        <f>MAIN!C379</f>
        <v>Ryan Bagus Sasminta</v>
      </c>
      <c r="D379" s="91">
        <v>163000000000003</v>
      </c>
      <c r="E379" s="37" t="str">
        <f>IF(EXACT($D379, ""), "", VLOOKUP($D379, [2]DataLookUp!$B$4:$D$15, 2, FALSE ))</f>
        <v>Karyawan Tidak Tetap (Kontrak)</v>
      </c>
      <c r="F379" s="91"/>
      <c r="G379" s="37" t="str">
        <f>IF(EXACT($F379, ""), "", VLOOKUP($F379, 'MAIN - OrgDepartment'!$C$3:$D$104, 2, FALSE))</f>
        <v/>
      </c>
      <c r="H379" s="91"/>
      <c r="I379" s="37" t="str">
        <f>IF(EXACT($H379, ""), "", VLOOKUP($H379, 'MAIN - OrgJobsPos'!$B$2:$C$101, 2, FALSE))</f>
        <v/>
      </c>
      <c r="J379" s="67"/>
      <c r="K379" s="63"/>
      <c r="L379" s="10" t="s">
        <v>7</v>
      </c>
      <c r="M379" s="11"/>
      <c r="O379" s="29">
        <f t="shared" si="10"/>
        <v>164000000000376</v>
      </c>
      <c r="P379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32000000000376::bigint, 163000000000003::bigint, null::bigint, null::bigint, null::varchar, null::timestamptz, '1900-12-31 23:59:59+07'::timestamptz, null::bigint);</v>
      </c>
    </row>
    <row r="380" spans="2:16" x14ac:dyDescent="0.2">
      <c r="B380" s="37">
        <f>IF(EXACT(DataLookUp!$B380, ""), "", DataLookUp!$B380)</f>
        <v>32000000000377</v>
      </c>
      <c r="C380" s="38" t="str">
        <f>MAIN!C380</f>
        <v>Saarah Andriani</v>
      </c>
      <c r="D380" s="91">
        <v>163000000000003</v>
      </c>
      <c r="E380" s="37" t="str">
        <f>IF(EXACT($D380, ""), "", VLOOKUP($D380, [2]DataLookUp!$B$4:$D$15, 2, FALSE ))</f>
        <v>Karyawan Tidak Tetap (Kontrak)</v>
      </c>
      <c r="F380" s="91"/>
      <c r="G380" s="37" t="str">
        <f>IF(EXACT($F380, ""), "", VLOOKUP($F380, 'MAIN - OrgDepartment'!$C$3:$D$104, 2, FALSE))</f>
        <v/>
      </c>
      <c r="H380" s="91"/>
      <c r="I380" s="37" t="str">
        <f>IF(EXACT($H380, ""), "", VLOOKUP($H380, 'MAIN - OrgJobsPos'!$B$2:$C$101, 2, FALSE))</f>
        <v/>
      </c>
      <c r="J380" s="67"/>
      <c r="K380" s="63"/>
      <c r="L380" s="10" t="s">
        <v>7</v>
      </c>
      <c r="M380" s="11"/>
      <c r="O380" s="29">
        <f t="shared" si="10"/>
        <v>164000000000377</v>
      </c>
      <c r="P380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32000000000377::bigint, 163000000000003::bigint, null::bigint, null::bigint, null::varchar, null::timestamptz, '1900-12-31 23:59:59+07'::timestamptz, null::bigint);</v>
      </c>
    </row>
    <row r="381" spans="2:16" x14ac:dyDescent="0.2">
      <c r="B381" s="37">
        <f>IF(EXACT(DataLookUp!$B381, ""), "", DataLookUp!$B381)</f>
        <v>32000000000378</v>
      </c>
      <c r="C381" s="38" t="str">
        <f>MAIN!C381</f>
        <v>Safira Nurbaiti</v>
      </c>
      <c r="D381" s="91">
        <v>163000000000003</v>
      </c>
      <c r="E381" s="37" t="str">
        <f>IF(EXACT($D381, ""), "", VLOOKUP($D381, [2]DataLookUp!$B$4:$D$15, 2, FALSE ))</f>
        <v>Karyawan Tidak Tetap (Kontrak)</v>
      </c>
      <c r="F381" s="91"/>
      <c r="G381" s="37" t="str">
        <f>IF(EXACT($F381, ""), "", VLOOKUP($F381, 'MAIN - OrgDepartment'!$C$3:$D$104, 2, FALSE))</f>
        <v/>
      </c>
      <c r="H381" s="91"/>
      <c r="I381" s="37" t="str">
        <f>IF(EXACT($H381, ""), "", VLOOKUP($H381, 'MAIN - OrgJobsPos'!$B$2:$C$101, 2, FALSE))</f>
        <v/>
      </c>
      <c r="J381" s="67"/>
      <c r="K381" s="63"/>
      <c r="L381" s="10" t="s">
        <v>7</v>
      </c>
      <c r="M381" s="11"/>
      <c r="O381" s="29">
        <f t="shared" si="10"/>
        <v>164000000000378</v>
      </c>
      <c r="P381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32000000000378::bigint, 163000000000003::bigint, null::bigint, null::bigint, null::varchar, null::timestamptz, '1900-12-31 23:59:59+07'::timestamptz, null::bigint);</v>
      </c>
    </row>
    <row r="382" spans="2:16" x14ac:dyDescent="0.2">
      <c r="B382" s="37">
        <f>IF(EXACT(DataLookUp!$B382, ""), "", DataLookUp!$B382)</f>
        <v>32000000000379</v>
      </c>
      <c r="C382" s="38" t="str">
        <f>MAIN!C382</f>
        <v>Saifulloh</v>
      </c>
      <c r="D382" s="91">
        <v>163000000000003</v>
      </c>
      <c r="E382" s="37" t="str">
        <f>IF(EXACT($D382, ""), "", VLOOKUP($D382, [2]DataLookUp!$B$4:$D$15, 2, FALSE ))</f>
        <v>Karyawan Tidak Tetap (Kontrak)</v>
      </c>
      <c r="F382" s="91"/>
      <c r="G382" s="37" t="str">
        <f>IF(EXACT($F382, ""), "", VLOOKUP($F382, 'MAIN - OrgDepartment'!$C$3:$D$104, 2, FALSE))</f>
        <v/>
      </c>
      <c r="H382" s="91"/>
      <c r="I382" s="37" t="str">
        <f>IF(EXACT($H382, ""), "", VLOOKUP($H382, 'MAIN - OrgJobsPos'!$B$2:$C$101, 2, FALSE))</f>
        <v/>
      </c>
      <c r="J382" s="67"/>
      <c r="K382" s="63"/>
      <c r="L382" s="10" t="s">
        <v>7</v>
      </c>
      <c r="M382" s="11"/>
      <c r="O382" s="29">
        <f t="shared" si="10"/>
        <v>164000000000379</v>
      </c>
      <c r="P382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32000000000379::bigint, 163000000000003::bigint, null::bigint, null::bigint, null::varchar, null::timestamptz, '1900-12-31 23:59:59+07'::timestamptz, null::bigint);</v>
      </c>
    </row>
    <row r="383" spans="2:16" x14ac:dyDescent="0.2">
      <c r="B383" s="37">
        <f>IF(EXACT(DataLookUp!$B383, ""), "", DataLookUp!$B383)</f>
        <v>32000000000380</v>
      </c>
      <c r="C383" s="38" t="str">
        <f>MAIN!C383</f>
        <v>Saifuloh</v>
      </c>
      <c r="D383" s="91">
        <v>163000000000003</v>
      </c>
      <c r="E383" s="37" t="str">
        <f>IF(EXACT($D383, ""), "", VLOOKUP($D383, [2]DataLookUp!$B$4:$D$15, 2, FALSE ))</f>
        <v>Karyawan Tidak Tetap (Kontrak)</v>
      </c>
      <c r="F383" s="91"/>
      <c r="G383" s="37" t="str">
        <f>IF(EXACT($F383, ""), "", VLOOKUP($F383, 'MAIN - OrgDepartment'!$C$3:$D$104, 2, FALSE))</f>
        <v/>
      </c>
      <c r="H383" s="91"/>
      <c r="I383" s="37" t="str">
        <f>IF(EXACT($H383, ""), "", VLOOKUP($H383, 'MAIN - OrgJobsPos'!$B$2:$C$101, 2, FALSE))</f>
        <v/>
      </c>
      <c r="J383" s="67"/>
      <c r="K383" s="63"/>
      <c r="L383" s="10" t="s">
        <v>7</v>
      </c>
      <c r="M383" s="11"/>
      <c r="O383" s="29">
        <f t="shared" si="10"/>
        <v>164000000000380</v>
      </c>
      <c r="P383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32000000000380::bigint, 163000000000003::bigint, null::bigint, null::bigint, null::varchar, null::timestamptz, '1900-12-31 23:59:59+07'::timestamptz, null::bigint);</v>
      </c>
    </row>
    <row r="384" spans="2:16" x14ac:dyDescent="0.2">
      <c r="B384" s="37">
        <f>IF(EXACT(DataLookUp!$B384, ""), "", DataLookUp!$B384)</f>
        <v>32000000000381</v>
      </c>
      <c r="C384" s="38" t="str">
        <f>MAIN!C384</f>
        <v>Sakinah Tantriani Lubis</v>
      </c>
      <c r="D384" s="91">
        <v>163000000000003</v>
      </c>
      <c r="E384" s="37" t="str">
        <f>IF(EXACT($D384, ""), "", VLOOKUP($D384, [2]DataLookUp!$B$4:$D$15, 2, FALSE ))</f>
        <v>Karyawan Tidak Tetap (Kontrak)</v>
      </c>
      <c r="F384" s="91">
        <v>111000000000005</v>
      </c>
      <c r="G384" s="37" t="str">
        <f>IF(EXACT($F384, ""), "", VLOOKUP($F384, 'MAIN - OrgDepartment'!$C$3:$D$104, 2, FALSE))</f>
        <v>Finance &amp; Accounting</v>
      </c>
      <c r="H384" s="91">
        <v>160000000000003</v>
      </c>
      <c r="I384" s="37" t="str">
        <f>IF(EXACT($H384, ""), "", VLOOKUP($H384, 'MAIN - OrgJobsPos'!$B$2:$C$101, 2, FALSE))</f>
        <v>Staff</v>
      </c>
      <c r="J384" s="67"/>
      <c r="K384" s="63"/>
      <c r="L384" s="10" t="s">
        <v>7</v>
      </c>
      <c r="M384" s="11"/>
      <c r="O384" s="29">
        <f t="shared" si="10"/>
        <v>164000000000381</v>
      </c>
      <c r="P384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32000000000381::bigint, 163000000000003::bigint, 111000000000005::bigint, 160000000000003::bigint, null::varchar, null::timestamptz, '1900-12-31 23:59:59+07'::timestamptz, null::bigint);</v>
      </c>
    </row>
    <row r="385" spans="2:16" x14ac:dyDescent="0.2">
      <c r="B385" s="37">
        <f>IF(EXACT(DataLookUp!$B385, ""), "", DataLookUp!$B385)</f>
        <v>32000000000382</v>
      </c>
      <c r="C385" s="38" t="str">
        <f>MAIN!C385</f>
        <v>Abdul Samad</v>
      </c>
      <c r="D385" s="91">
        <v>163000000000003</v>
      </c>
      <c r="E385" s="37" t="str">
        <f>IF(EXACT($D385, ""), "", VLOOKUP($D385, [2]DataLookUp!$B$4:$D$15, 2, FALSE ))</f>
        <v>Karyawan Tidak Tetap (Kontrak)</v>
      </c>
      <c r="F385" s="91"/>
      <c r="G385" s="37" t="str">
        <f>IF(EXACT($F385, ""), "", VLOOKUP($F385, 'MAIN - OrgDepartment'!$C$3:$D$104, 2, FALSE))</f>
        <v/>
      </c>
      <c r="H385" s="91"/>
      <c r="I385" s="37" t="str">
        <f>IF(EXACT($H385, ""), "", VLOOKUP($H385, 'MAIN - OrgJobsPos'!$B$2:$C$101, 2, FALSE))</f>
        <v/>
      </c>
      <c r="J385" s="67"/>
      <c r="K385" s="63"/>
      <c r="L385" s="10" t="s">
        <v>7</v>
      </c>
      <c r="M385" s="11"/>
      <c r="O385" s="29">
        <f t="shared" si="10"/>
        <v>164000000000382</v>
      </c>
      <c r="P385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32000000000382::bigint, 163000000000003::bigint, null::bigint, null::bigint, null::varchar, null::timestamptz, '1900-12-31 23:59:59+07'::timestamptz, null::bigint);</v>
      </c>
    </row>
    <row r="386" spans="2:16" x14ac:dyDescent="0.2">
      <c r="B386" s="37">
        <f>IF(EXACT(DataLookUp!$B386, ""), "", DataLookUp!$B386)</f>
        <v>32000000000383</v>
      </c>
      <c r="C386" s="38" t="str">
        <f>MAIN!C386</f>
        <v>Samsul Hadi</v>
      </c>
      <c r="D386" s="91">
        <v>163000000000003</v>
      </c>
      <c r="E386" s="37" t="str">
        <f>IF(EXACT($D386, ""), "", VLOOKUP($D386, [2]DataLookUp!$B$4:$D$15, 2, FALSE ))</f>
        <v>Karyawan Tidak Tetap (Kontrak)</v>
      </c>
      <c r="F386" s="91"/>
      <c r="G386" s="37" t="str">
        <f>IF(EXACT($F386, ""), "", VLOOKUP($F386, 'MAIN - OrgDepartment'!$C$3:$D$104, 2, FALSE))</f>
        <v/>
      </c>
      <c r="H386" s="91"/>
      <c r="I386" s="37" t="str">
        <f>IF(EXACT($H386, ""), "", VLOOKUP($H386, 'MAIN - OrgJobsPos'!$B$2:$C$101, 2, FALSE))</f>
        <v/>
      </c>
      <c r="J386" s="67"/>
      <c r="K386" s="63"/>
      <c r="L386" s="10" t="s">
        <v>7</v>
      </c>
      <c r="M386" s="11"/>
      <c r="O386" s="29">
        <f t="shared" si="10"/>
        <v>164000000000383</v>
      </c>
      <c r="P386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32000000000383::bigint, 163000000000003::bigint, null::bigint, null::bigint, null::varchar, null::timestamptz, '1900-12-31 23:59:59+07'::timestamptz, null::bigint);</v>
      </c>
    </row>
    <row r="387" spans="2:16" x14ac:dyDescent="0.2">
      <c r="B387" s="37">
        <f>IF(EXACT(DataLookUp!$B387, ""), "", DataLookUp!$B387)</f>
        <v>32000000000384</v>
      </c>
      <c r="C387" s="38" t="str">
        <f>MAIN!C387</f>
        <v>Sandika</v>
      </c>
      <c r="D387" s="91">
        <v>163000000000003</v>
      </c>
      <c r="E387" s="37" t="str">
        <f>IF(EXACT($D387, ""), "", VLOOKUP($D387, [2]DataLookUp!$B$4:$D$15, 2, FALSE ))</f>
        <v>Karyawan Tidak Tetap (Kontrak)</v>
      </c>
      <c r="F387" s="91"/>
      <c r="G387" s="37" t="str">
        <f>IF(EXACT($F387, ""), "", VLOOKUP($F387, 'MAIN - OrgDepartment'!$C$3:$D$104, 2, FALSE))</f>
        <v/>
      </c>
      <c r="H387" s="91"/>
      <c r="I387" s="37" t="str">
        <f>IF(EXACT($H387, ""), "", VLOOKUP($H387, 'MAIN - OrgJobsPos'!$B$2:$C$101, 2, FALSE))</f>
        <v/>
      </c>
      <c r="J387" s="67"/>
      <c r="K387" s="63"/>
      <c r="L387" s="10" t="s">
        <v>7</v>
      </c>
      <c r="M387" s="11"/>
      <c r="O387" s="29">
        <f t="shared" si="10"/>
        <v>164000000000384</v>
      </c>
      <c r="P387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32000000000384::bigint, 163000000000003::bigint, null::bigint, null::bigint, null::varchar, null::timestamptz, '1900-12-31 23:59:59+07'::timestamptz, null::bigint);</v>
      </c>
    </row>
    <row r="388" spans="2:16" x14ac:dyDescent="0.2">
      <c r="B388" s="37">
        <f>IF(EXACT(DataLookUp!$B388, ""), "", DataLookUp!$B388)</f>
        <v>32000000000385</v>
      </c>
      <c r="C388" s="38" t="str">
        <f>MAIN!C388</f>
        <v>Sang Toga Sitompul</v>
      </c>
      <c r="D388" s="91">
        <v>163000000000003</v>
      </c>
      <c r="E388" s="37" t="str">
        <f>IF(EXACT($D388, ""), "", VLOOKUP($D388, [2]DataLookUp!$B$4:$D$15, 2, FALSE ))</f>
        <v>Karyawan Tidak Tetap (Kontrak)</v>
      </c>
      <c r="F388" s="91"/>
      <c r="G388" s="37" t="str">
        <f>IF(EXACT($F388, ""), "", VLOOKUP($F388, 'MAIN - OrgDepartment'!$C$3:$D$104, 2, FALSE))</f>
        <v/>
      </c>
      <c r="H388" s="91"/>
      <c r="I388" s="37" t="str">
        <f>IF(EXACT($H388, ""), "", VLOOKUP($H388, 'MAIN - OrgJobsPos'!$B$2:$C$101, 2, FALSE))</f>
        <v/>
      </c>
      <c r="J388" s="67"/>
      <c r="K388" s="63"/>
      <c r="L388" s="10" t="s">
        <v>7</v>
      </c>
      <c r="M388" s="11"/>
      <c r="O388" s="29">
        <f t="shared" si="10"/>
        <v>164000000000385</v>
      </c>
      <c r="P388" s="30" t="str">
        <f t="shared" si="11"/>
        <v>PERFORM "SchData-OLTP-HumanResource"."Func_TblWorkerCareerInternal_SET"(varSystemLoginSession, null::bigint, null::varchar, null::timestamptz, '1900-12-31 23:59:59+07'::timestamptz, null::varchar, varInstitutionBranchID, varBaseCurrencyID, 32000000000385::bigint, 163000000000003::bigint, null::bigint, null::bigint, null::varchar, null::timestamptz, '1900-12-31 23:59:59+07'::timestamptz, null::bigint);</v>
      </c>
    </row>
    <row r="389" spans="2:16" x14ac:dyDescent="0.2">
      <c r="B389" s="37">
        <f>IF(EXACT(DataLookUp!$B389, ""), "", DataLookUp!$B389)</f>
        <v>32000000000386</v>
      </c>
      <c r="C389" s="38" t="str">
        <f>MAIN!C389</f>
        <v>Santi Dewi R. W.</v>
      </c>
      <c r="D389" s="91">
        <v>163000000000003</v>
      </c>
      <c r="E389" s="37" t="str">
        <f>IF(EXACT($D389, ""), "", VLOOKUP($D389, [2]DataLookUp!$B$4:$D$15, 2, FALSE ))</f>
        <v>Karyawan Tidak Tetap (Kontrak)</v>
      </c>
      <c r="F389" s="91"/>
      <c r="G389" s="37" t="str">
        <f>IF(EXACT($F389, ""), "", VLOOKUP($F389, 'MAIN - OrgDepartment'!$C$3:$D$104, 2, FALSE))</f>
        <v/>
      </c>
      <c r="H389" s="91"/>
      <c r="I389" s="37" t="str">
        <f>IF(EXACT($H389, ""), "", VLOOKUP($H389, 'MAIN - OrgJobsPos'!$B$2:$C$101, 2, FALSE))</f>
        <v/>
      </c>
      <c r="J389" s="67"/>
      <c r="K389" s="63"/>
      <c r="L389" s="10" t="s">
        <v>7</v>
      </c>
      <c r="M389" s="11"/>
      <c r="O389" s="29">
        <f t="shared" ref="O389:O452" si="12" xml:space="preserve"> O388 + IF(EXACT(P389, ""), 0, 1)</f>
        <v>164000000000386</v>
      </c>
      <c r="P389" s="30" t="str">
        <f t="shared" ref="P389:P452" si="13">CONCATENATE("PERFORM ""SchData-OLTP-HumanResource"".""Func_TblWorkerCareerInternal_SET""(varSystemLoginSession, null::bigint, null::varchar",
CONCATENATE(IF(EXACT($K389, ""), ", null", CONCATENATE(", '", $K389, "'")), "::timestamptz"),
CONCATENATE(IF(EXACT($L389, ""), ", null", CONCATENATE(", '", $L389, "'")), "::timestamptz"),
", null::varchar, varInstitutionBranchID, varBaseCurrencyID",
CONCATENATE(IF(EXACT($B389, ""), ", null", CONCATENATE(", ", $B389, "")), "::bigint"),
CONCATENATE(IF(EXACT($D389, ""), ", null", CONCATENATE(", ", $D389, "")), "::bigint"),
CONCATENATE(IF(EXACT($F389, ""), ", null", CONCATENATE(", ", $F389, "")), "::bigint"),
CONCATENATE(IF(EXACT($H389, ""), ", null", CONCATENATE(", ", $H389, "")), "::bigint"),
CONCATENATE(IF(EXACT($J389, ""), ", null", CONCATENATE(", '", $J389, "'")), "::varchar"),
CONCATENATE(IF(EXACT($K389, ""), ", null", CONCATENATE(", '", $K389, "'")), "::timestamptz"),
CONCATENATE(IF(EXACT($L389, ""), ", null", CONCATENATE(", '", $L389, "'")), "::timestamptz"),
CONCATENATE(IF(EXACT($M389, ""), ", null", CONCATENATE(", ", $M389,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32000000000386::bigint, 163000000000003::bigint, null::bigint, null::bigint, null::varchar, null::timestamptz, '1900-12-31 23:59:59+07'::timestamptz, null::bigint);</v>
      </c>
    </row>
    <row r="390" spans="2:16" x14ac:dyDescent="0.2">
      <c r="B390" s="37">
        <f>IF(EXACT(DataLookUp!$B390, ""), "", DataLookUp!$B390)</f>
        <v>32000000000387</v>
      </c>
      <c r="C390" s="38" t="str">
        <f>MAIN!C390</f>
        <v>Sarah Sibarani</v>
      </c>
      <c r="D390" s="91">
        <v>163000000000003</v>
      </c>
      <c r="E390" s="37" t="str">
        <f>IF(EXACT($D390, ""), "", VLOOKUP($D390, [2]DataLookUp!$B$4:$D$15, 2, FALSE ))</f>
        <v>Karyawan Tidak Tetap (Kontrak)</v>
      </c>
      <c r="F390" s="91"/>
      <c r="G390" s="37" t="str">
        <f>IF(EXACT($F390, ""), "", VLOOKUP($F390, 'MAIN - OrgDepartment'!$C$3:$D$104, 2, FALSE))</f>
        <v/>
      </c>
      <c r="H390" s="91"/>
      <c r="I390" s="37" t="str">
        <f>IF(EXACT($H390, ""), "", VLOOKUP($H390, 'MAIN - OrgJobsPos'!$B$2:$C$101, 2, FALSE))</f>
        <v/>
      </c>
      <c r="J390" s="67"/>
      <c r="K390" s="63"/>
      <c r="L390" s="10" t="s">
        <v>7</v>
      </c>
      <c r="M390" s="11"/>
      <c r="O390" s="29">
        <f t="shared" si="12"/>
        <v>164000000000387</v>
      </c>
      <c r="P390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32000000000387::bigint, 163000000000003::bigint, null::bigint, null::bigint, null::varchar, null::timestamptz, '1900-12-31 23:59:59+07'::timestamptz, null::bigint);</v>
      </c>
    </row>
    <row r="391" spans="2:16" x14ac:dyDescent="0.2">
      <c r="B391" s="37">
        <f>IF(EXACT(DataLookUp!$B391, ""), "", DataLookUp!$B391)</f>
        <v>32000000000388</v>
      </c>
      <c r="C391" s="38" t="str">
        <f>MAIN!C391</f>
        <v>Sarif Hidayatul Umah</v>
      </c>
      <c r="D391" s="91">
        <v>163000000000003</v>
      </c>
      <c r="E391" s="37" t="str">
        <f>IF(EXACT($D391, ""), "", VLOOKUP($D391, [2]DataLookUp!$B$4:$D$15, 2, FALSE ))</f>
        <v>Karyawan Tidak Tetap (Kontrak)</v>
      </c>
      <c r="F391" s="91"/>
      <c r="G391" s="37" t="str">
        <f>IF(EXACT($F391, ""), "", VLOOKUP($F391, 'MAIN - OrgDepartment'!$C$3:$D$104, 2, FALSE))</f>
        <v/>
      </c>
      <c r="H391" s="91"/>
      <c r="I391" s="37" t="str">
        <f>IF(EXACT($H391, ""), "", VLOOKUP($H391, 'MAIN - OrgJobsPos'!$B$2:$C$101, 2, FALSE))</f>
        <v/>
      </c>
      <c r="J391" s="67"/>
      <c r="K391" s="63"/>
      <c r="L391" s="10" t="s">
        <v>7</v>
      </c>
      <c r="M391" s="11"/>
      <c r="O391" s="29">
        <f t="shared" si="12"/>
        <v>164000000000388</v>
      </c>
      <c r="P391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32000000000388::bigint, 163000000000003::bigint, null::bigint, null::bigint, null::varchar, null::timestamptz, '1900-12-31 23:59:59+07'::timestamptz, null::bigint);</v>
      </c>
    </row>
    <row r="392" spans="2:16" x14ac:dyDescent="0.2">
      <c r="B392" s="37">
        <f>IF(EXACT(DataLookUp!$B392, ""), "", DataLookUp!$B392)</f>
        <v>32000000000389</v>
      </c>
      <c r="C392" s="38" t="str">
        <f>MAIN!C392</f>
        <v>Satria Budi Raharja</v>
      </c>
      <c r="D392" s="91">
        <v>163000000000003</v>
      </c>
      <c r="E392" s="37" t="str">
        <f>IF(EXACT($D392, ""), "", VLOOKUP($D392, [2]DataLookUp!$B$4:$D$15, 2, FALSE ))</f>
        <v>Karyawan Tidak Tetap (Kontrak)</v>
      </c>
      <c r="F392" s="91"/>
      <c r="G392" s="37" t="str">
        <f>IF(EXACT($F392, ""), "", VLOOKUP($F392, 'MAIN - OrgDepartment'!$C$3:$D$104, 2, FALSE))</f>
        <v/>
      </c>
      <c r="H392" s="91"/>
      <c r="I392" s="37" t="str">
        <f>IF(EXACT($H392, ""), "", VLOOKUP($H392, 'MAIN - OrgJobsPos'!$B$2:$C$101, 2, FALSE))</f>
        <v/>
      </c>
      <c r="J392" s="67"/>
      <c r="K392" s="63"/>
      <c r="L392" s="10" t="s">
        <v>7</v>
      </c>
      <c r="M392" s="11"/>
      <c r="O392" s="29">
        <f t="shared" si="12"/>
        <v>164000000000389</v>
      </c>
      <c r="P392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32000000000389::bigint, 163000000000003::bigint, null::bigint, null::bigint, null::varchar, null::timestamptz, '1900-12-31 23:59:59+07'::timestamptz, null::bigint);</v>
      </c>
    </row>
    <row r="393" spans="2:16" x14ac:dyDescent="0.2">
      <c r="B393" s="37">
        <f>IF(EXACT(DataLookUp!$B393, ""), "", DataLookUp!$B393)</f>
        <v>32000000000390</v>
      </c>
      <c r="C393" s="38" t="str">
        <f>MAIN!C393</f>
        <v>Saut M. P. L. Tobing</v>
      </c>
      <c r="D393" s="91">
        <v>163000000000003</v>
      </c>
      <c r="E393" s="37" t="str">
        <f>IF(EXACT($D393, ""), "", VLOOKUP($D393, [2]DataLookUp!$B$4:$D$15, 2, FALSE ))</f>
        <v>Karyawan Tidak Tetap (Kontrak)</v>
      </c>
      <c r="F393" s="91"/>
      <c r="G393" s="37" t="str">
        <f>IF(EXACT($F393, ""), "", VLOOKUP($F393, 'MAIN - OrgDepartment'!$C$3:$D$104, 2, FALSE))</f>
        <v/>
      </c>
      <c r="H393" s="91"/>
      <c r="I393" s="37" t="str">
        <f>IF(EXACT($H393, ""), "", VLOOKUP($H393, 'MAIN - OrgJobsPos'!$B$2:$C$101, 2, FALSE))</f>
        <v/>
      </c>
      <c r="J393" s="67"/>
      <c r="K393" s="63"/>
      <c r="L393" s="10" t="s">
        <v>7</v>
      </c>
      <c r="M393" s="11"/>
      <c r="O393" s="29">
        <f t="shared" si="12"/>
        <v>164000000000390</v>
      </c>
      <c r="P393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32000000000390::bigint, 163000000000003::bigint, null::bigint, null::bigint, null::varchar, null::timestamptz, '1900-12-31 23:59:59+07'::timestamptz, null::bigint);</v>
      </c>
    </row>
    <row r="394" spans="2:16" x14ac:dyDescent="0.2">
      <c r="B394" s="37">
        <f>IF(EXACT(DataLookUp!$B394, ""), "", DataLookUp!$B394)</f>
        <v>32000000000391</v>
      </c>
      <c r="C394" s="38" t="str">
        <f>MAIN!C394</f>
        <v>Seftiyan Hadi Maulana</v>
      </c>
      <c r="D394" s="91">
        <v>163000000000002</v>
      </c>
      <c r="E394" s="37" t="str">
        <f>IF(EXACT($D394, ""), "", VLOOKUP($D394, [2]DataLookUp!$B$4:$D$15, 2, FALSE ))</f>
        <v>Karyawan Tetap (Purna Waktu)</v>
      </c>
      <c r="F394" s="91">
        <v>111000000000017</v>
      </c>
      <c r="G394" s="37" t="str">
        <f>IF(EXACT($F394, ""), "", VLOOKUP($F394, 'MAIN - OrgDepartment'!$C$3:$D$104, 2, FALSE))</f>
        <v>Estimator</v>
      </c>
      <c r="H394" s="91">
        <v>160000000000005</v>
      </c>
      <c r="I394" s="37" t="str">
        <f>IF(EXACT($H394, ""), "", VLOOKUP($H394, 'MAIN - OrgJobsPos'!$B$2:$C$101, 2, FALSE))</f>
        <v>Senior Supervisor</v>
      </c>
      <c r="J394" s="67" t="s">
        <v>300</v>
      </c>
      <c r="K394" s="63" t="s">
        <v>242</v>
      </c>
      <c r="L394" s="10" t="s">
        <v>3</v>
      </c>
      <c r="M394" s="11"/>
      <c r="O394" s="29">
        <f t="shared" si="12"/>
        <v>164000000000391</v>
      </c>
      <c r="P394" s="30" t="str">
        <f t="shared" si="13"/>
        <v>PERFORM "SchData-OLTP-HumanResource"."Func_TblWorkerCareerInternal_SET"(varSystemLoginSession, null::bigint, null::varchar, '2018-11-14 00:00:00+07'::timestamptz, '9999-12-31 23:59:59+07'::timestamptz, null::varchar, varInstitutionBranchID, varBaseCurrencyID, 32000000000391::bigint, 163000000000002::bigint, 111000000000017::bigint, 160000000000005::bigint, 'Senior Estimator &amp; Bid Specialist'::varchar, '2018-11-14 00:00:00+07'::timestamptz, '9999-12-31 23:59:59+07'::timestamptz, null::bigint);</v>
      </c>
    </row>
    <row r="395" spans="2:16" x14ac:dyDescent="0.2">
      <c r="B395" s="37">
        <f>IF(EXACT(DataLookUp!$B395, ""), "", DataLookUp!$B395)</f>
        <v>32000000000392</v>
      </c>
      <c r="C395" s="38" t="str">
        <f>MAIN!C395</f>
        <v>Sena Andi Satria</v>
      </c>
      <c r="D395" s="91">
        <v>163000000000003</v>
      </c>
      <c r="E395" s="37" t="str">
        <f>IF(EXACT($D395, ""), "", VLOOKUP($D395, [2]DataLookUp!$B$4:$D$15, 2, FALSE ))</f>
        <v>Karyawan Tidak Tetap (Kontrak)</v>
      </c>
      <c r="F395" s="91"/>
      <c r="G395" s="37" t="str">
        <f>IF(EXACT($F395, ""), "", VLOOKUP($F395, 'MAIN - OrgDepartment'!$C$3:$D$104, 2, FALSE))</f>
        <v/>
      </c>
      <c r="H395" s="91"/>
      <c r="I395" s="37" t="str">
        <f>IF(EXACT($H395, ""), "", VLOOKUP($H395, 'MAIN - OrgJobsPos'!$B$2:$C$101, 2, FALSE))</f>
        <v/>
      </c>
      <c r="J395" s="67"/>
      <c r="K395" s="63"/>
      <c r="L395" s="10" t="s">
        <v>7</v>
      </c>
      <c r="M395" s="11"/>
      <c r="O395" s="29">
        <f t="shared" si="12"/>
        <v>164000000000392</v>
      </c>
      <c r="P395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32000000000392::bigint, 163000000000003::bigint, null::bigint, null::bigint, null::varchar, null::timestamptz, '1900-12-31 23:59:59+07'::timestamptz, null::bigint);</v>
      </c>
    </row>
    <row r="396" spans="2:16" x14ac:dyDescent="0.2">
      <c r="B396" s="37">
        <f>IF(EXACT(DataLookUp!$B396, ""), "", DataLookUp!$B396)</f>
        <v>32000000000393</v>
      </c>
      <c r="C396" s="38" t="str">
        <f>MAIN!C396</f>
        <v>Setiadi</v>
      </c>
      <c r="D396" s="91">
        <v>163000000000002</v>
      </c>
      <c r="E396" s="37" t="str">
        <f>IF(EXACT($D396, ""), "", VLOOKUP($D396, [2]DataLookUp!$B$4:$D$15, 2, FALSE ))</f>
        <v>Karyawan Tetap (Purna Waktu)</v>
      </c>
      <c r="F396" s="91">
        <v>111000000000024</v>
      </c>
      <c r="G396" s="37" t="str">
        <f>IF(EXACT($F396, ""), "", VLOOKUP($F396, 'MAIN - OrgDepartment'!$C$3:$D$104, 2, FALSE))</f>
        <v>Warehouse &amp; TAM</v>
      </c>
      <c r="H396" s="91">
        <v>160000000000005</v>
      </c>
      <c r="I396" s="37" t="str">
        <f>IF(EXACT($H396, ""), "", VLOOKUP($H396, 'MAIN - OrgJobsPos'!$B$2:$C$101, 2, FALSE))</f>
        <v>Senior Supervisor</v>
      </c>
      <c r="J396" s="67" t="s">
        <v>298</v>
      </c>
      <c r="K396" s="63" t="s">
        <v>243</v>
      </c>
      <c r="L396" s="10" t="s">
        <v>3</v>
      </c>
      <c r="M396" s="11"/>
      <c r="O396" s="29">
        <f t="shared" si="12"/>
        <v>164000000000393</v>
      </c>
      <c r="P396" s="30" t="str">
        <f t="shared" si="13"/>
        <v>PERFORM "SchData-OLTP-HumanResource"."Func_TblWorkerCareerInternal_SET"(varSystemLoginSession, null::bigint, null::varchar, '2006-09-13 00:00:00+07'::timestamptz, '9999-12-31 23:59:59+07'::timestamptz, null::varchar, varInstitutionBranchID, varBaseCurrencyID, 32000000000393::bigint, 163000000000002::bigint, 111000000000024::bigint, 160000000000005::bigint, 'TAM &amp; Warehouse Coordinator'::varchar, '2006-09-13 00:00:00+07'::timestamptz, '9999-12-31 23:59:59+07'::timestamptz, null::bigint);</v>
      </c>
    </row>
    <row r="397" spans="2:16" x14ac:dyDescent="0.2">
      <c r="B397" s="37">
        <f>IF(EXACT(DataLookUp!$B397, ""), "", DataLookUp!$B397)</f>
        <v>32000000000394</v>
      </c>
      <c r="C397" s="38" t="str">
        <f>MAIN!C397</f>
        <v>Sherly Tamira</v>
      </c>
      <c r="D397" s="91">
        <v>163000000000003</v>
      </c>
      <c r="E397" s="37" t="str">
        <f>IF(EXACT($D397, ""), "", VLOOKUP($D397, [2]DataLookUp!$B$4:$D$15, 2, FALSE ))</f>
        <v>Karyawan Tidak Tetap (Kontrak)</v>
      </c>
      <c r="F397" s="91"/>
      <c r="G397" s="37" t="str">
        <f>IF(EXACT($F397, ""), "", VLOOKUP($F397, 'MAIN - OrgDepartment'!$C$3:$D$104, 2, FALSE))</f>
        <v/>
      </c>
      <c r="H397" s="91"/>
      <c r="I397" s="37" t="str">
        <f>IF(EXACT($H397, ""), "", VLOOKUP($H397, 'MAIN - OrgJobsPos'!$B$2:$C$101, 2, FALSE))</f>
        <v/>
      </c>
      <c r="J397" s="67"/>
      <c r="K397" s="63"/>
      <c r="L397" s="10" t="s">
        <v>7</v>
      </c>
      <c r="M397" s="11"/>
      <c r="O397" s="29">
        <f t="shared" si="12"/>
        <v>164000000000394</v>
      </c>
      <c r="P397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32000000000394::bigint, 163000000000003::bigint, null::bigint, null::bigint, null::varchar, null::timestamptz, '1900-12-31 23:59:59+07'::timestamptz, null::bigint);</v>
      </c>
    </row>
    <row r="398" spans="2:16" x14ac:dyDescent="0.2">
      <c r="B398" s="37">
        <f>IF(EXACT(DataLookUp!$B398, ""), "", DataLookUp!$B398)</f>
        <v>32000000000395</v>
      </c>
      <c r="C398" s="38" t="str">
        <f>MAIN!C398</f>
        <v>Shihab</v>
      </c>
      <c r="D398" s="91">
        <v>163000000000003</v>
      </c>
      <c r="E398" s="37" t="str">
        <f>IF(EXACT($D398, ""), "", VLOOKUP($D398, [2]DataLookUp!$B$4:$D$15, 2, FALSE ))</f>
        <v>Karyawan Tidak Tetap (Kontrak)</v>
      </c>
      <c r="F398" s="91"/>
      <c r="G398" s="37" t="str">
        <f>IF(EXACT($F398, ""), "", VLOOKUP($F398, 'MAIN - OrgDepartment'!$C$3:$D$104, 2, FALSE))</f>
        <v/>
      </c>
      <c r="H398" s="91"/>
      <c r="I398" s="37" t="str">
        <f>IF(EXACT($H398, ""), "", VLOOKUP($H398, 'MAIN - OrgJobsPos'!$B$2:$C$101, 2, FALSE))</f>
        <v/>
      </c>
      <c r="J398" s="67"/>
      <c r="K398" s="63"/>
      <c r="L398" s="10" t="s">
        <v>7</v>
      </c>
      <c r="M398" s="11"/>
      <c r="O398" s="29">
        <f t="shared" si="12"/>
        <v>164000000000395</v>
      </c>
      <c r="P398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32000000000395::bigint, 163000000000003::bigint, null::bigint, null::bigint, null::varchar, null::timestamptz, '1900-12-31 23:59:59+07'::timestamptz, null::bigint);</v>
      </c>
    </row>
    <row r="399" spans="2:16" x14ac:dyDescent="0.2">
      <c r="B399" s="37">
        <f>IF(EXACT(DataLookUp!$B399, ""), "", DataLookUp!$B399)</f>
        <v>32000000000396</v>
      </c>
      <c r="C399" s="38" t="str">
        <f>MAIN!C399</f>
        <v>Shobarin Jabar</v>
      </c>
      <c r="D399" s="91">
        <v>163000000000003</v>
      </c>
      <c r="E399" s="37" t="str">
        <f>IF(EXACT($D399, ""), "", VLOOKUP($D399, [2]DataLookUp!$B$4:$D$15, 2, FALSE ))</f>
        <v>Karyawan Tidak Tetap (Kontrak)</v>
      </c>
      <c r="F399" s="91"/>
      <c r="G399" s="37" t="str">
        <f>IF(EXACT($F399, ""), "", VLOOKUP($F399, 'MAIN - OrgDepartment'!$C$3:$D$104, 2, FALSE))</f>
        <v/>
      </c>
      <c r="H399" s="91"/>
      <c r="I399" s="37" t="str">
        <f>IF(EXACT($H399, ""), "", VLOOKUP($H399, 'MAIN - OrgJobsPos'!$B$2:$C$101, 2, FALSE))</f>
        <v/>
      </c>
      <c r="J399" s="67"/>
      <c r="K399" s="63"/>
      <c r="L399" s="10" t="s">
        <v>7</v>
      </c>
      <c r="M399" s="11"/>
      <c r="O399" s="29">
        <f t="shared" si="12"/>
        <v>164000000000396</v>
      </c>
      <c r="P399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32000000000396::bigint, 163000000000003::bigint, null::bigint, null::bigint, null::varchar, null::timestamptz, '1900-12-31 23:59:59+07'::timestamptz, null::bigint);</v>
      </c>
    </row>
    <row r="400" spans="2:16" x14ac:dyDescent="0.2">
      <c r="B400" s="37">
        <f>IF(EXACT(DataLookUp!$B400, ""), "", DataLookUp!$B400)</f>
        <v>32000000000397</v>
      </c>
      <c r="C400" s="38" t="str">
        <f>MAIN!C400</f>
        <v>Sholehah</v>
      </c>
      <c r="D400" s="91">
        <v>163000000000002</v>
      </c>
      <c r="E400" s="37" t="str">
        <f>IF(EXACT($D400, ""), "", VLOOKUP($D400, [2]DataLookUp!$B$4:$D$15, 2, FALSE ))</f>
        <v>Karyawan Tetap (Purna Waktu)</v>
      </c>
      <c r="F400" s="91">
        <v>111000000000006</v>
      </c>
      <c r="G400" s="37" t="str">
        <f>IF(EXACT($F400, ""), "", VLOOKUP($F400, 'MAIN - OrgDepartment'!$C$3:$D$104, 2, FALSE))</f>
        <v>Human Resource Development</v>
      </c>
      <c r="H400" s="91">
        <v>160000000000003</v>
      </c>
      <c r="I400" s="37" t="str">
        <f>IF(EXACT($H400, ""), "", VLOOKUP($H400, 'MAIN - OrgJobsPos'!$B$2:$C$101, 2, FALSE))</f>
        <v>Staff</v>
      </c>
      <c r="J400" s="67" t="s">
        <v>324</v>
      </c>
      <c r="K400" s="63" t="s">
        <v>244</v>
      </c>
      <c r="L400" s="10" t="s">
        <v>3</v>
      </c>
      <c r="M400" s="11"/>
      <c r="O400" s="29">
        <f t="shared" si="12"/>
        <v>164000000000397</v>
      </c>
      <c r="P400" s="30" t="str">
        <f t="shared" si="13"/>
        <v>PERFORM "SchData-OLTP-HumanResource"."Func_TblWorkerCareerInternal_SET"(varSystemLoginSession, null::bigint, null::varchar, '2018-05-24 00:00:00+07'::timestamptz, '9999-12-31 23:59:59+07'::timestamptz, null::varchar, varInstitutionBranchID, varBaseCurrencyID, 32000000000397::bigint, 163000000000002::bigint, 111000000000006::bigint, 160000000000003::bigint, 'HR Development &amp; Industrial Relation'::varchar, '2018-05-24 00:00:00+07'::timestamptz, '9999-12-31 23:59:59+07'::timestamptz, null::bigint);</v>
      </c>
    </row>
    <row r="401" spans="2:16" x14ac:dyDescent="0.2">
      <c r="B401" s="37">
        <f>IF(EXACT(DataLookUp!$B401, ""), "", DataLookUp!$B401)</f>
        <v>32000000000398</v>
      </c>
      <c r="C401" s="38" t="str">
        <f>MAIN!C401</f>
        <v>Sigit Rudiantono</v>
      </c>
      <c r="D401" s="91">
        <v>163000000000003</v>
      </c>
      <c r="E401" s="37" t="str">
        <f>IF(EXACT($D401, ""), "", VLOOKUP($D401, [2]DataLookUp!$B$4:$D$15, 2, FALSE ))</f>
        <v>Karyawan Tidak Tetap (Kontrak)</v>
      </c>
      <c r="F401" s="91"/>
      <c r="G401" s="37" t="str">
        <f>IF(EXACT($F401, ""), "", VLOOKUP($F401, 'MAIN - OrgDepartment'!$C$3:$D$104, 2, FALSE))</f>
        <v/>
      </c>
      <c r="H401" s="91"/>
      <c r="I401" s="37" t="str">
        <f>IF(EXACT($H401, ""), "", VLOOKUP($H401, 'MAIN - OrgJobsPos'!$B$2:$C$101, 2, FALSE))</f>
        <v/>
      </c>
      <c r="J401" s="67"/>
      <c r="K401" s="63"/>
      <c r="L401" s="10" t="s">
        <v>7</v>
      </c>
      <c r="M401" s="11"/>
      <c r="O401" s="29">
        <f t="shared" si="12"/>
        <v>164000000000398</v>
      </c>
      <c r="P401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32000000000398::bigint, 163000000000003::bigint, null::bigint, null::bigint, null::varchar, null::timestamptz, '1900-12-31 23:59:59+07'::timestamptz, null::bigint);</v>
      </c>
    </row>
    <row r="402" spans="2:16" x14ac:dyDescent="0.2">
      <c r="B402" s="37">
        <f>IF(EXACT(DataLookUp!$B402, ""), "", DataLookUp!$B402)</f>
        <v>32000000000399</v>
      </c>
      <c r="C402" s="38" t="str">
        <f>MAIN!C402</f>
        <v>Silvia Putri</v>
      </c>
      <c r="D402" s="91">
        <v>163000000000003</v>
      </c>
      <c r="E402" s="37" t="str">
        <f>IF(EXACT($D402, ""), "", VLOOKUP($D402, [2]DataLookUp!$B$4:$D$15, 2, FALSE ))</f>
        <v>Karyawan Tidak Tetap (Kontrak)</v>
      </c>
      <c r="F402" s="91"/>
      <c r="G402" s="37" t="str">
        <f>IF(EXACT($F402, ""), "", VLOOKUP($F402, 'MAIN - OrgDepartment'!$C$3:$D$104, 2, FALSE))</f>
        <v/>
      </c>
      <c r="H402" s="91"/>
      <c r="I402" s="37" t="str">
        <f>IF(EXACT($H402, ""), "", VLOOKUP($H402, 'MAIN - OrgJobsPos'!$B$2:$C$101, 2, FALSE))</f>
        <v/>
      </c>
      <c r="J402" s="67"/>
      <c r="K402" s="63"/>
      <c r="L402" s="10" t="s">
        <v>7</v>
      </c>
      <c r="M402" s="11"/>
      <c r="O402" s="29">
        <f t="shared" si="12"/>
        <v>164000000000399</v>
      </c>
      <c r="P402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32000000000399::bigint, 163000000000003::bigint, null::bigint, null::bigint, null::varchar, null::timestamptz, '1900-12-31 23:59:59+07'::timestamptz, null::bigint);</v>
      </c>
    </row>
    <row r="403" spans="2:16" x14ac:dyDescent="0.2">
      <c r="B403" s="37">
        <f>IF(EXACT(DataLookUp!$B403, ""), "", DataLookUp!$B403)</f>
        <v>32000000000400</v>
      </c>
      <c r="C403" s="38" t="str">
        <f>MAIN!C403</f>
        <v>Simron Ronaldi Nasution</v>
      </c>
      <c r="D403" s="91">
        <v>163000000000003</v>
      </c>
      <c r="E403" s="37" t="str">
        <f>IF(EXACT($D403, ""), "", VLOOKUP($D403, [2]DataLookUp!$B$4:$D$15, 2, FALSE ))</f>
        <v>Karyawan Tidak Tetap (Kontrak)</v>
      </c>
      <c r="F403" s="91"/>
      <c r="G403" s="37" t="str">
        <f>IF(EXACT($F403, ""), "", VLOOKUP($F403, 'MAIN - OrgDepartment'!$C$3:$D$104, 2, FALSE))</f>
        <v/>
      </c>
      <c r="H403" s="91"/>
      <c r="I403" s="37" t="str">
        <f>IF(EXACT($H403, ""), "", VLOOKUP($H403, 'MAIN - OrgJobsPos'!$B$2:$C$101, 2, FALSE))</f>
        <v/>
      </c>
      <c r="J403" s="67"/>
      <c r="K403" s="63"/>
      <c r="L403" s="10" t="s">
        <v>7</v>
      </c>
      <c r="M403" s="11"/>
      <c r="O403" s="29">
        <f t="shared" si="12"/>
        <v>164000000000400</v>
      </c>
      <c r="P403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32000000000400::bigint, 163000000000003::bigint, null::bigint, null::bigint, null::varchar, null::timestamptz, '1900-12-31 23:59:59+07'::timestamptz, null::bigint);</v>
      </c>
    </row>
    <row r="404" spans="2:16" x14ac:dyDescent="0.2">
      <c r="B404" s="37">
        <f>IF(EXACT(DataLookUp!$B404, ""), "", DataLookUp!$B404)</f>
        <v>32000000000401</v>
      </c>
      <c r="C404" s="38" t="str">
        <f>MAIN!C404</f>
        <v>Sinta Vera Trikawati</v>
      </c>
      <c r="D404" s="91">
        <v>163000000000003</v>
      </c>
      <c r="E404" s="37" t="str">
        <f>IF(EXACT($D404, ""), "", VLOOKUP($D404, [2]DataLookUp!$B$4:$D$15, 2, FALSE ))</f>
        <v>Karyawan Tidak Tetap (Kontrak)</v>
      </c>
      <c r="F404" s="91"/>
      <c r="G404" s="37" t="str">
        <f>IF(EXACT($F404, ""), "", VLOOKUP($F404, 'MAIN - OrgDepartment'!$C$3:$D$104, 2, FALSE))</f>
        <v/>
      </c>
      <c r="H404" s="91"/>
      <c r="I404" s="37" t="str">
        <f>IF(EXACT($H404, ""), "", VLOOKUP($H404, 'MAIN - OrgJobsPos'!$B$2:$C$101, 2, FALSE))</f>
        <v/>
      </c>
      <c r="J404" s="67"/>
      <c r="K404" s="63"/>
      <c r="L404" s="10" t="s">
        <v>7</v>
      </c>
      <c r="M404" s="11"/>
      <c r="O404" s="29">
        <f t="shared" si="12"/>
        <v>164000000000401</v>
      </c>
      <c r="P404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32000000000401::bigint, 163000000000003::bigint, null::bigint, null::bigint, null::varchar, null::timestamptz, '1900-12-31 23:59:59+07'::timestamptz, null::bigint);</v>
      </c>
    </row>
    <row r="405" spans="2:16" x14ac:dyDescent="0.2">
      <c r="B405" s="37">
        <f>IF(EXACT(DataLookUp!$B405, ""), "", DataLookUp!$B405)</f>
        <v>32000000000402</v>
      </c>
      <c r="C405" s="38" t="str">
        <f>MAIN!C405</f>
        <v>Sir Muhammad Zafrulloh Khan</v>
      </c>
      <c r="D405" s="91">
        <v>163000000000003</v>
      </c>
      <c r="E405" s="37" t="str">
        <f>IF(EXACT($D405, ""), "", VLOOKUP($D405, [2]DataLookUp!$B$4:$D$15, 2, FALSE ))</f>
        <v>Karyawan Tidak Tetap (Kontrak)</v>
      </c>
      <c r="F405" s="91"/>
      <c r="G405" s="37" t="str">
        <f>IF(EXACT($F405, ""), "", VLOOKUP($F405, 'MAIN - OrgDepartment'!$C$3:$D$104, 2, FALSE))</f>
        <v/>
      </c>
      <c r="H405" s="91"/>
      <c r="I405" s="37" t="str">
        <f>IF(EXACT($H405, ""), "", VLOOKUP($H405, 'MAIN - OrgJobsPos'!$B$2:$C$101, 2, FALSE))</f>
        <v/>
      </c>
      <c r="J405" s="67"/>
      <c r="K405" s="63"/>
      <c r="L405" s="10" t="s">
        <v>7</v>
      </c>
      <c r="M405" s="11"/>
      <c r="O405" s="29">
        <f t="shared" si="12"/>
        <v>164000000000402</v>
      </c>
      <c r="P405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32000000000402::bigint, 163000000000003::bigint, null::bigint, null::bigint, null::varchar, null::timestamptz, '1900-12-31 23:59:59+07'::timestamptz, null::bigint);</v>
      </c>
    </row>
    <row r="406" spans="2:16" x14ac:dyDescent="0.2">
      <c r="B406" s="37">
        <f>IF(EXACT(DataLookUp!$B406, ""), "", DataLookUp!$B406)</f>
        <v>32000000000403</v>
      </c>
      <c r="C406" s="38" t="str">
        <f>MAIN!C406</f>
        <v>Siska Marlina</v>
      </c>
      <c r="D406" s="91">
        <v>163000000000003</v>
      </c>
      <c r="E406" s="37" t="str">
        <f>IF(EXACT($D406, ""), "", VLOOKUP($D406, [2]DataLookUp!$B$4:$D$15, 2, FALSE ))</f>
        <v>Karyawan Tidak Tetap (Kontrak)</v>
      </c>
      <c r="F406" s="91"/>
      <c r="G406" s="37" t="str">
        <f>IF(EXACT($F406, ""), "", VLOOKUP($F406, 'MAIN - OrgDepartment'!$C$3:$D$104, 2, FALSE))</f>
        <v/>
      </c>
      <c r="H406" s="91"/>
      <c r="I406" s="37" t="str">
        <f>IF(EXACT($H406, ""), "", VLOOKUP($H406, 'MAIN - OrgJobsPos'!$B$2:$C$101, 2, FALSE))</f>
        <v/>
      </c>
      <c r="J406" s="67"/>
      <c r="K406" s="63"/>
      <c r="L406" s="10" t="s">
        <v>7</v>
      </c>
      <c r="M406" s="11"/>
      <c r="O406" s="29">
        <f t="shared" si="12"/>
        <v>164000000000403</v>
      </c>
      <c r="P406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32000000000403::bigint, 163000000000003::bigint, null::bigint, null::bigint, null::varchar, null::timestamptz, '1900-12-31 23:59:59+07'::timestamptz, null::bigint);</v>
      </c>
    </row>
    <row r="407" spans="2:16" x14ac:dyDescent="0.2">
      <c r="B407" s="37">
        <f>IF(EXACT(DataLookUp!$B407, ""), "", DataLookUp!$B407)</f>
        <v>32000000000404</v>
      </c>
      <c r="C407" s="38" t="str">
        <f>MAIN!C407</f>
        <v>Siswanto</v>
      </c>
      <c r="D407" s="91">
        <v>163000000000003</v>
      </c>
      <c r="E407" s="37" t="str">
        <f>IF(EXACT($D407, ""), "", VLOOKUP($D407, [2]DataLookUp!$B$4:$D$15, 2, FALSE ))</f>
        <v>Karyawan Tidak Tetap (Kontrak)</v>
      </c>
      <c r="F407" s="91"/>
      <c r="G407" s="37" t="str">
        <f>IF(EXACT($F407, ""), "", VLOOKUP($F407, 'MAIN - OrgDepartment'!$C$3:$D$104, 2, FALSE))</f>
        <v/>
      </c>
      <c r="H407" s="91"/>
      <c r="I407" s="37" t="str">
        <f>IF(EXACT($H407, ""), "", VLOOKUP($H407, 'MAIN - OrgJobsPos'!$B$2:$C$101, 2, FALSE))</f>
        <v/>
      </c>
      <c r="J407" s="67"/>
      <c r="K407" s="63"/>
      <c r="L407" s="10" t="s">
        <v>7</v>
      </c>
      <c r="M407" s="11"/>
      <c r="O407" s="29">
        <f t="shared" si="12"/>
        <v>164000000000404</v>
      </c>
      <c r="P407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32000000000404::bigint, 163000000000003::bigint, null::bigint, null::bigint, null::varchar, null::timestamptz, '1900-12-31 23:59:59+07'::timestamptz, null::bigint);</v>
      </c>
    </row>
    <row r="408" spans="2:16" x14ac:dyDescent="0.2">
      <c r="B408" s="37">
        <f>IF(EXACT(DataLookUp!$B408, ""), "", DataLookUp!$B408)</f>
        <v>32000000000405</v>
      </c>
      <c r="C408" s="38" t="str">
        <f>MAIN!C408</f>
        <v>Siti Mulyani</v>
      </c>
      <c r="D408" s="91">
        <v>163000000000003</v>
      </c>
      <c r="E408" s="37" t="str">
        <f>IF(EXACT($D408, ""), "", VLOOKUP($D408, [2]DataLookUp!$B$4:$D$15, 2, FALSE ))</f>
        <v>Karyawan Tidak Tetap (Kontrak)</v>
      </c>
      <c r="F408" s="91"/>
      <c r="G408" s="37" t="str">
        <f>IF(EXACT($F408, ""), "", VLOOKUP($F408, 'MAIN - OrgDepartment'!$C$3:$D$104, 2, FALSE))</f>
        <v/>
      </c>
      <c r="H408" s="91"/>
      <c r="I408" s="37" t="str">
        <f>IF(EXACT($H408, ""), "", VLOOKUP($H408, 'MAIN - OrgJobsPos'!$B$2:$C$101, 2, FALSE))</f>
        <v/>
      </c>
      <c r="J408" s="67"/>
      <c r="K408" s="63"/>
      <c r="L408" s="10" t="s">
        <v>7</v>
      </c>
      <c r="M408" s="11"/>
      <c r="O408" s="29">
        <f t="shared" si="12"/>
        <v>164000000000405</v>
      </c>
      <c r="P408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32000000000405::bigint, 163000000000003::bigint, null::bigint, null::bigint, null::varchar, null::timestamptz, '1900-12-31 23:59:59+07'::timestamptz, null::bigint);</v>
      </c>
    </row>
    <row r="409" spans="2:16" x14ac:dyDescent="0.2">
      <c r="B409" s="37">
        <f>IF(EXACT(DataLookUp!$B409, ""), "", DataLookUp!$B409)</f>
        <v>32000000000406</v>
      </c>
      <c r="C409" s="38" t="str">
        <f>MAIN!C409</f>
        <v>Sjanti Devi</v>
      </c>
      <c r="D409" s="91">
        <v>163000000000003</v>
      </c>
      <c r="E409" s="37" t="str">
        <f>IF(EXACT($D409, ""), "", VLOOKUP($D409, [2]DataLookUp!$B$4:$D$15, 2, FALSE ))</f>
        <v>Karyawan Tidak Tetap (Kontrak)</v>
      </c>
      <c r="F409" s="91"/>
      <c r="G409" s="37" t="str">
        <f>IF(EXACT($F409, ""), "", VLOOKUP($F409, 'MAIN - OrgDepartment'!$C$3:$D$104, 2, FALSE))</f>
        <v/>
      </c>
      <c r="H409" s="91"/>
      <c r="I409" s="37" t="str">
        <f>IF(EXACT($H409, ""), "", VLOOKUP($H409, 'MAIN - OrgJobsPos'!$B$2:$C$101, 2, FALSE))</f>
        <v/>
      </c>
      <c r="J409" s="67"/>
      <c r="K409" s="63"/>
      <c r="L409" s="10" t="s">
        <v>7</v>
      </c>
      <c r="M409" s="11"/>
      <c r="O409" s="29">
        <f t="shared" si="12"/>
        <v>164000000000406</v>
      </c>
      <c r="P409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32000000000406::bigint, 163000000000003::bigint, null::bigint, null::bigint, null::varchar, null::timestamptz, '1900-12-31 23:59:59+07'::timestamptz, null::bigint);</v>
      </c>
    </row>
    <row r="410" spans="2:16" x14ac:dyDescent="0.2">
      <c r="B410" s="37">
        <f>IF(EXACT(DataLookUp!$B410, ""), "", DataLookUp!$B410)</f>
        <v>32000000000407</v>
      </c>
      <c r="C410" s="38" t="str">
        <f>MAIN!C410</f>
        <v>Slamet Budi Setiawan</v>
      </c>
      <c r="D410" s="91">
        <v>163000000000003</v>
      </c>
      <c r="E410" s="37" t="str">
        <f>IF(EXACT($D410, ""), "", VLOOKUP($D410, [2]DataLookUp!$B$4:$D$15, 2, FALSE ))</f>
        <v>Karyawan Tidak Tetap (Kontrak)</v>
      </c>
      <c r="F410" s="91"/>
      <c r="G410" s="37" t="str">
        <f>IF(EXACT($F410, ""), "", VLOOKUP($F410, 'MAIN - OrgDepartment'!$C$3:$D$104, 2, FALSE))</f>
        <v/>
      </c>
      <c r="H410" s="91"/>
      <c r="I410" s="37" t="str">
        <f>IF(EXACT($H410, ""), "", VLOOKUP($H410, 'MAIN - OrgJobsPos'!$B$2:$C$101, 2, FALSE))</f>
        <v/>
      </c>
      <c r="J410" s="67"/>
      <c r="K410" s="63"/>
      <c r="L410" s="10" t="s">
        <v>7</v>
      </c>
      <c r="M410" s="11"/>
      <c r="O410" s="29">
        <f t="shared" si="12"/>
        <v>164000000000407</v>
      </c>
      <c r="P410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32000000000407::bigint, 163000000000003::bigint, null::bigint, null::bigint, null::varchar, null::timestamptz, '1900-12-31 23:59:59+07'::timestamptz, null::bigint);</v>
      </c>
    </row>
    <row r="411" spans="2:16" x14ac:dyDescent="0.2">
      <c r="B411" s="37">
        <f>IF(EXACT(DataLookUp!$B411, ""), "", DataLookUp!$B411)</f>
        <v>32000000000408</v>
      </c>
      <c r="C411" s="38" t="str">
        <f>MAIN!C411</f>
        <v>Sofyan Maulana</v>
      </c>
      <c r="D411" s="91">
        <v>163000000000003</v>
      </c>
      <c r="E411" s="37" t="str">
        <f>IF(EXACT($D411, ""), "", VLOOKUP($D411, [2]DataLookUp!$B$4:$D$15, 2, FALSE ))</f>
        <v>Karyawan Tidak Tetap (Kontrak)</v>
      </c>
      <c r="F411" s="91"/>
      <c r="G411" s="37" t="str">
        <f>IF(EXACT($F411, ""), "", VLOOKUP($F411, 'MAIN - OrgDepartment'!$C$3:$D$104, 2, FALSE))</f>
        <v/>
      </c>
      <c r="H411" s="91"/>
      <c r="I411" s="37" t="str">
        <f>IF(EXACT($H411, ""), "", VLOOKUP($H411, 'MAIN - OrgJobsPos'!$B$2:$C$101, 2, FALSE))</f>
        <v/>
      </c>
      <c r="J411" s="67"/>
      <c r="K411" s="63"/>
      <c r="L411" s="10" t="s">
        <v>7</v>
      </c>
      <c r="M411" s="11"/>
      <c r="O411" s="29">
        <f t="shared" si="12"/>
        <v>164000000000408</v>
      </c>
      <c r="P411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32000000000408::bigint, 163000000000003::bigint, null::bigint, null::bigint, null::varchar, null::timestamptz, '1900-12-31 23:59:59+07'::timestamptz, null::bigint);</v>
      </c>
    </row>
    <row r="412" spans="2:16" x14ac:dyDescent="0.2">
      <c r="B412" s="37">
        <f>IF(EXACT(DataLookUp!$B412, ""), "", DataLookUp!$B412)</f>
        <v>32000000000409</v>
      </c>
      <c r="C412" s="38" t="str">
        <f>MAIN!C412</f>
        <v>Subagio</v>
      </c>
      <c r="D412" s="91">
        <v>163000000000003</v>
      </c>
      <c r="E412" s="37" t="str">
        <f>IF(EXACT($D412, ""), "", VLOOKUP($D412, [2]DataLookUp!$B$4:$D$15, 2, FALSE ))</f>
        <v>Karyawan Tidak Tetap (Kontrak)</v>
      </c>
      <c r="F412" s="91"/>
      <c r="G412" s="37" t="str">
        <f>IF(EXACT($F412, ""), "", VLOOKUP($F412, 'MAIN - OrgDepartment'!$C$3:$D$104, 2, FALSE))</f>
        <v/>
      </c>
      <c r="H412" s="91"/>
      <c r="I412" s="37" t="str">
        <f>IF(EXACT($H412, ""), "", VLOOKUP($H412, 'MAIN - OrgJobsPos'!$B$2:$C$101, 2, FALSE))</f>
        <v/>
      </c>
      <c r="J412" s="67"/>
      <c r="K412" s="63"/>
      <c r="L412" s="10" t="s">
        <v>7</v>
      </c>
      <c r="M412" s="11"/>
      <c r="O412" s="29">
        <f t="shared" si="12"/>
        <v>164000000000409</v>
      </c>
      <c r="P412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32000000000409::bigint, 163000000000003::bigint, null::bigint, null::bigint, null::varchar, null::timestamptz, '1900-12-31 23:59:59+07'::timestamptz, null::bigint);</v>
      </c>
    </row>
    <row r="413" spans="2:16" x14ac:dyDescent="0.2">
      <c r="B413" s="37">
        <f>IF(EXACT(DataLookUp!$B413, ""), "", DataLookUp!$B413)</f>
        <v>32000000000410</v>
      </c>
      <c r="C413" s="38" t="str">
        <f>MAIN!C413</f>
        <v>Suci Mardiana</v>
      </c>
      <c r="D413" s="91">
        <v>163000000000003</v>
      </c>
      <c r="E413" s="37" t="str">
        <f>IF(EXACT($D413, ""), "", VLOOKUP($D413, [2]DataLookUp!$B$4:$D$15, 2, FALSE ))</f>
        <v>Karyawan Tidak Tetap (Kontrak)</v>
      </c>
      <c r="F413" s="91"/>
      <c r="G413" s="37" t="str">
        <f>IF(EXACT($F413, ""), "", VLOOKUP($F413, 'MAIN - OrgDepartment'!$C$3:$D$104, 2, FALSE))</f>
        <v/>
      </c>
      <c r="H413" s="91"/>
      <c r="I413" s="37" t="str">
        <f>IF(EXACT($H413, ""), "", VLOOKUP($H413, 'MAIN - OrgJobsPos'!$B$2:$C$101, 2, FALSE))</f>
        <v/>
      </c>
      <c r="J413" s="67"/>
      <c r="K413" s="63"/>
      <c r="L413" s="10" t="s">
        <v>7</v>
      </c>
      <c r="M413" s="11"/>
      <c r="O413" s="29">
        <f t="shared" si="12"/>
        <v>164000000000410</v>
      </c>
      <c r="P413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32000000000410::bigint, 163000000000003::bigint, null::bigint, null::bigint, null::varchar, null::timestamptz, '1900-12-31 23:59:59+07'::timestamptz, null::bigint);</v>
      </c>
    </row>
    <row r="414" spans="2:16" x14ac:dyDescent="0.2">
      <c r="B414" s="37">
        <f>IF(EXACT(DataLookUp!$B414, ""), "", DataLookUp!$B414)</f>
        <v>32000000000411</v>
      </c>
      <c r="C414" s="38" t="str">
        <f>MAIN!C414</f>
        <v>Suci Rachma Sari</v>
      </c>
      <c r="D414" s="91">
        <v>163000000000003</v>
      </c>
      <c r="E414" s="37" t="str">
        <f>IF(EXACT($D414, ""), "", VLOOKUP($D414, [2]DataLookUp!$B$4:$D$15, 2, FALSE ))</f>
        <v>Karyawan Tidak Tetap (Kontrak)</v>
      </c>
      <c r="F414" s="91"/>
      <c r="G414" s="37" t="str">
        <f>IF(EXACT($F414, ""), "", VLOOKUP($F414, 'MAIN - OrgDepartment'!$C$3:$D$104, 2, FALSE))</f>
        <v/>
      </c>
      <c r="H414" s="91"/>
      <c r="I414" s="37" t="str">
        <f>IF(EXACT($H414, ""), "", VLOOKUP($H414, 'MAIN - OrgJobsPos'!$B$2:$C$101, 2, FALSE))</f>
        <v/>
      </c>
      <c r="J414" s="67"/>
      <c r="K414" s="63"/>
      <c r="L414" s="10" t="s">
        <v>7</v>
      </c>
      <c r="M414" s="11"/>
      <c r="O414" s="29">
        <f t="shared" si="12"/>
        <v>164000000000411</v>
      </c>
      <c r="P414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32000000000411::bigint, 163000000000003::bigint, null::bigint, null::bigint, null::varchar, null::timestamptz, '1900-12-31 23:59:59+07'::timestamptz, null::bigint);</v>
      </c>
    </row>
    <row r="415" spans="2:16" x14ac:dyDescent="0.2">
      <c r="B415" s="37">
        <f>IF(EXACT(DataLookUp!$B415, ""), "", DataLookUp!$B415)</f>
        <v>32000000000412</v>
      </c>
      <c r="C415" s="38" t="str">
        <f>MAIN!C415</f>
        <v>Sudarlan</v>
      </c>
      <c r="D415" s="91">
        <v>163000000000003</v>
      </c>
      <c r="E415" s="37" t="str">
        <f>IF(EXACT($D415, ""), "", VLOOKUP($D415, [2]DataLookUp!$B$4:$D$15, 2, FALSE ))</f>
        <v>Karyawan Tidak Tetap (Kontrak)</v>
      </c>
      <c r="F415" s="91">
        <v>111000000000011</v>
      </c>
      <c r="G415" s="37" t="str">
        <f>IF(EXACT($F415, ""), "", VLOOKUP($F415, 'MAIN - OrgDepartment'!$C$3:$D$104, 2, FALSE))</f>
        <v>Project</v>
      </c>
      <c r="H415" s="91">
        <v>160000000000003</v>
      </c>
      <c r="I415" s="37" t="str">
        <f>IF(EXACT($H415, ""), "", VLOOKUP($H415, 'MAIN - OrgJobsPos'!$B$2:$C$101, 2, FALSE))</f>
        <v>Staff</v>
      </c>
      <c r="J415" s="67" t="s">
        <v>163</v>
      </c>
      <c r="K415" s="63" t="s">
        <v>245</v>
      </c>
      <c r="L415" s="10" t="s">
        <v>3</v>
      </c>
      <c r="M415" s="11"/>
      <c r="O415" s="29">
        <f t="shared" si="12"/>
        <v>164000000000412</v>
      </c>
      <c r="P415" s="30" t="str">
        <f t="shared" si="13"/>
        <v>PERFORM "SchData-OLTP-HumanResource"."Func_TblWorkerCareerInternal_SET"(varSystemLoginSession, null::bigint, null::varchar, '2007-05-01 00:00:00+07'::timestamptz, '9999-12-31 23:59:59+07'::timestamptz, null::varchar, varInstitutionBranchID, varBaseCurrencyID, 32000000000412::bigint, 163000000000003::bigint, 111000000000011::bigint, 160000000000003::bigint, 'Site Supervisor'::varchar, '2007-05-01 00:00:00+07'::timestamptz, '9999-12-31 23:59:59+07'::timestamptz, null::bigint);</v>
      </c>
    </row>
    <row r="416" spans="2:16" x14ac:dyDescent="0.2">
      <c r="B416" s="37">
        <f>IF(EXACT(DataLookUp!$B416, ""), "", DataLookUp!$B416)</f>
        <v>32000000000413</v>
      </c>
      <c r="C416" s="38" t="str">
        <f>MAIN!C416</f>
        <v>Sufie Amalia</v>
      </c>
      <c r="D416" s="91">
        <v>163000000000003</v>
      </c>
      <c r="E416" s="37" t="str">
        <f>IF(EXACT($D416, ""), "", VLOOKUP($D416, [2]DataLookUp!$B$4:$D$15, 2, FALSE ))</f>
        <v>Karyawan Tidak Tetap (Kontrak)</v>
      </c>
      <c r="F416" s="91">
        <v>111000000000006</v>
      </c>
      <c r="G416" s="37" t="str">
        <f>IF(EXACT($F416, ""), "", VLOOKUP($F416, 'MAIN - OrgDepartment'!$C$3:$D$104, 2, FALSE))</f>
        <v>Human Resource Development</v>
      </c>
      <c r="H416" s="91">
        <v>160000000000003</v>
      </c>
      <c r="I416" s="37" t="str">
        <f>IF(EXACT($H416, ""), "", VLOOKUP($H416, 'MAIN - OrgJobsPos'!$B$2:$C$101, 2, FALSE))</f>
        <v>Staff</v>
      </c>
      <c r="J416" s="67"/>
      <c r="K416" s="63"/>
      <c r="L416" s="10" t="s">
        <v>3</v>
      </c>
      <c r="M416" s="11"/>
      <c r="O416" s="29">
        <f t="shared" si="12"/>
        <v>164000000000413</v>
      </c>
      <c r="P416" s="30" t="str">
        <f t="shared" si="13"/>
        <v>PERFORM "SchData-OLTP-HumanResource"."Func_TblWorkerCareerInternal_SET"(varSystemLoginSession, null::bigint, null::varchar, null::timestamptz, '9999-12-31 23:59:59+07'::timestamptz, null::varchar, varInstitutionBranchID, varBaseCurrencyID, 32000000000413::bigint, 163000000000003::bigint, 111000000000006::bigint, 160000000000003::bigint, null::varchar, null::timestamptz, '9999-12-31 23:59:59+07'::timestamptz, null::bigint);</v>
      </c>
    </row>
    <row r="417" spans="2:16" x14ac:dyDescent="0.2">
      <c r="B417" s="37">
        <f>IF(EXACT(DataLookUp!$B417, ""), "", DataLookUp!$B417)</f>
        <v>32000000000414</v>
      </c>
      <c r="C417" s="38" t="str">
        <f>MAIN!C417</f>
        <v>Sugeng Ismanto</v>
      </c>
      <c r="D417" s="91">
        <v>163000000000003</v>
      </c>
      <c r="E417" s="37" t="str">
        <f>IF(EXACT($D417, ""), "", VLOOKUP($D417, [2]DataLookUp!$B$4:$D$15, 2, FALSE ))</f>
        <v>Karyawan Tidak Tetap (Kontrak)</v>
      </c>
      <c r="F417" s="91"/>
      <c r="G417" s="37" t="str">
        <f>IF(EXACT($F417, ""), "", VLOOKUP($F417, 'MAIN - OrgDepartment'!$C$3:$D$104, 2, FALSE))</f>
        <v/>
      </c>
      <c r="H417" s="91"/>
      <c r="I417" s="37" t="str">
        <f>IF(EXACT($H417, ""), "", VLOOKUP($H417, 'MAIN - OrgJobsPos'!$B$2:$C$101, 2, FALSE))</f>
        <v/>
      </c>
      <c r="J417" s="67"/>
      <c r="K417" s="63"/>
      <c r="L417" s="10" t="s">
        <v>7</v>
      </c>
      <c r="M417" s="11"/>
      <c r="O417" s="29">
        <f t="shared" si="12"/>
        <v>164000000000414</v>
      </c>
      <c r="P417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32000000000414::bigint, 163000000000003::bigint, null::bigint, null::bigint, null::varchar, null::timestamptz, '1900-12-31 23:59:59+07'::timestamptz, null::bigint);</v>
      </c>
    </row>
    <row r="418" spans="2:16" x14ac:dyDescent="0.2">
      <c r="B418" s="37">
        <f>IF(EXACT(DataLookUp!$B418, ""), "", DataLookUp!$B418)</f>
        <v>32000000000415</v>
      </c>
      <c r="C418" s="38" t="str">
        <f>MAIN!C418</f>
        <v>Sugiarto</v>
      </c>
      <c r="D418" s="91">
        <v>163000000000003</v>
      </c>
      <c r="E418" s="37" t="str">
        <f>IF(EXACT($D418, ""), "", VLOOKUP($D418, [2]DataLookUp!$B$4:$D$15, 2, FALSE ))</f>
        <v>Karyawan Tidak Tetap (Kontrak)</v>
      </c>
      <c r="F418" s="91">
        <v>111000000000023</v>
      </c>
      <c r="G418" s="37" t="str">
        <f>IF(EXACT($F418, ""), "", VLOOKUP($F418, 'MAIN - OrgDepartment'!$C$3:$D$104, 2, FALSE))</f>
        <v>Operation &amp; Maintenance</v>
      </c>
      <c r="H418" s="91">
        <v>160000000000002</v>
      </c>
      <c r="I418" s="37" t="str">
        <f>IF(EXACT($H418, ""), "", VLOOKUP($H418, 'MAIN - OrgJobsPos'!$B$2:$C$101, 2, FALSE))</f>
        <v>Senior Clerical</v>
      </c>
      <c r="J418" s="67" t="s">
        <v>195</v>
      </c>
      <c r="K418" s="63"/>
      <c r="L418" s="10" t="s">
        <v>7</v>
      </c>
      <c r="M418" s="11"/>
      <c r="O418" s="29">
        <f t="shared" si="12"/>
        <v>164000000000415</v>
      </c>
      <c r="P418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32000000000415::bigint, 163000000000003::bigint, 111000000000023::bigint, 160000000000002::bigint, 'Driver'::varchar, null::timestamptz, '1900-12-31 23:59:59+07'::timestamptz, null::bigint);</v>
      </c>
    </row>
    <row r="419" spans="2:16" x14ac:dyDescent="0.2">
      <c r="B419" s="37">
        <f>IF(EXACT(DataLookUp!$B419, ""), "", DataLookUp!$B419)</f>
        <v>32000000000416</v>
      </c>
      <c r="C419" s="38" t="str">
        <f>MAIN!C419</f>
        <v>Sulih</v>
      </c>
      <c r="D419" s="91">
        <v>163000000000003</v>
      </c>
      <c r="E419" s="37" t="str">
        <f>IF(EXACT($D419, ""), "", VLOOKUP($D419, [2]DataLookUp!$B$4:$D$15, 2, FALSE ))</f>
        <v>Karyawan Tidak Tetap (Kontrak)</v>
      </c>
      <c r="F419" s="91"/>
      <c r="G419" s="37" t="str">
        <f>IF(EXACT($F419, ""), "", VLOOKUP($F419, 'MAIN - OrgDepartment'!$C$3:$D$104, 2, FALSE))</f>
        <v/>
      </c>
      <c r="H419" s="91"/>
      <c r="I419" s="37" t="str">
        <f>IF(EXACT($H419, ""), "", VLOOKUP($H419, 'MAIN - OrgJobsPos'!$B$2:$C$101, 2, FALSE))</f>
        <v/>
      </c>
      <c r="J419" s="67"/>
      <c r="K419" s="63"/>
      <c r="L419" s="10" t="s">
        <v>7</v>
      </c>
      <c r="M419" s="11"/>
      <c r="O419" s="29">
        <f t="shared" si="12"/>
        <v>164000000000416</v>
      </c>
      <c r="P419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32000000000416::bigint, 163000000000003::bigint, null::bigint, null::bigint, null::varchar, null::timestamptz, '1900-12-31 23:59:59+07'::timestamptz, null::bigint);</v>
      </c>
    </row>
    <row r="420" spans="2:16" x14ac:dyDescent="0.2">
      <c r="B420" s="37">
        <f>IF(EXACT(DataLookUp!$B420, ""), "", DataLookUp!$B420)</f>
        <v>32000000000417</v>
      </c>
      <c r="C420" s="38" t="str">
        <f>MAIN!C420</f>
        <v>Sumadi</v>
      </c>
      <c r="D420" s="91">
        <v>163000000000003</v>
      </c>
      <c r="E420" s="37" t="str">
        <f>IF(EXACT($D420, ""), "", VLOOKUP($D420, [2]DataLookUp!$B$4:$D$15, 2, FALSE ))</f>
        <v>Karyawan Tidak Tetap (Kontrak)</v>
      </c>
      <c r="F420" s="91"/>
      <c r="G420" s="37" t="str">
        <f>IF(EXACT($F420, ""), "", VLOOKUP($F420, 'MAIN - OrgDepartment'!$C$3:$D$104, 2, FALSE))</f>
        <v/>
      </c>
      <c r="H420" s="91"/>
      <c r="I420" s="37" t="str">
        <f>IF(EXACT($H420, ""), "", VLOOKUP($H420, 'MAIN - OrgJobsPos'!$B$2:$C$101, 2, FALSE))</f>
        <v/>
      </c>
      <c r="J420" s="67"/>
      <c r="K420" s="63"/>
      <c r="L420" s="10" t="s">
        <v>7</v>
      </c>
      <c r="M420" s="11"/>
      <c r="O420" s="29">
        <f t="shared" si="12"/>
        <v>164000000000417</v>
      </c>
      <c r="P420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32000000000417::bigint, 163000000000003::bigint, null::bigint, null::bigint, null::varchar, null::timestamptz, '1900-12-31 23:59:59+07'::timestamptz, null::bigint);</v>
      </c>
    </row>
    <row r="421" spans="2:16" x14ac:dyDescent="0.2">
      <c r="B421" s="37">
        <f>IF(EXACT(DataLookUp!$B421, ""), "", DataLookUp!$B421)</f>
        <v>32000000000418</v>
      </c>
      <c r="C421" s="38" t="str">
        <f>MAIN!C421</f>
        <v>Sumirat</v>
      </c>
      <c r="D421" s="91">
        <v>163000000000003</v>
      </c>
      <c r="E421" s="37" t="str">
        <f>IF(EXACT($D421, ""), "", VLOOKUP($D421, [2]DataLookUp!$B$4:$D$15, 2, FALSE ))</f>
        <v>Karyawan Tidak Tetap (Kontrak)</v>
      </c>
      <c r="F421" s="91"/>
      <c r="G421" s="37" t="str">
        <f>IF(EXACT($F421, ""), "", VLOOKUP($F421, 'MAIN - OrgDepartment'!$C$3:$D$104, 2, FALSE))</f>
        <v/>
      </c>
      <c r="H421" s="91"/>
      <c r="I421" s="37" t="str">
        <f>IF(EXACT($H421, ""), "", VLOOKUP($H421, 'MAIN - OrgJobsPos'!$B$2:$C$101, 2, FALSE))</f>
        <v/>
      </c>
      <c r="J421" s="67"/>
      <c r="K421" s="63"/>
      <c r="L421" s="10" t="s">
        <v>7</v>
      </c>
      <c r="M421" s="11"/>
      <c r="O421" s="29">
        <f t="shared" si="12"/>
        <v>164000000000418</v>
      </c>
      <c r="P421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32000000000418::bigint, 163000000000003::bigint, null::bigint, null::bigint, null::varchar, null::timestamptz, '1900-12-31 23:59:59+07'::timestamptz, null::bigint);</v>
      </c>
    </row>
    <row r="422" spans="2:16" x14ac:dyDescent="0.2">
      <c r="B422" s="37">
        <f>IF(EXACT(DataLookUp!$B422, ""), "", DataLookUp!$B422)</f>
        <v>32000000000419</v>
      </c>
      <c r="C422" s="38" t="str">
        <f>MAIN!C422</f>
        <v>Sunaryati</v>
      </c>
      <c r="D422" s="91">
        <v>163000000000003</v>
      </c>
      <c r="E422" s="37" t="str">
        <f>IF(EXACT($D422, ""), "", VLOOKUP($D422, [2]DataLookUp!$B$4:$D$15, 2, FALSE ))</f>
        <v>Karyawan Tidak Tetap (Kontrak)</v>
      </c>
      <c r="F422" s="91"/>
      <c r="G422" s="37" t="str">
        <f>IF(EXACT($F422, ""), "", VLOOKUP($F422, 'MAIN - OrgDepartment'!$C$3:$D$104, 2, FALSE))</f>
        <v/>
      </c>
      <c r="H422" s="91"/>
      <c r="I422" s="37" t="str">
        <f>IF(EXACT($H422, ""), "", VLOOKUP($H422, 'MAIN - OrgJobsPos'!$B$2:$C$101, 2, FALSE))</f>
        <v/>
      </c>
      <c r="J422" s="67"/>
      <c r="K422" s="63"/>
      <c r="L422" s="10" t="s">
        <v>7</v>
      </c>
      <c r="M422" s="11"/>
      <c r="O422" s="29">
        <f t="shared" si="12"/>
        <v>164000000000419</v>
      </c>
      <c r="P422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32000000000419::bigint, 163000000000003::bigint, null::bigint, null::bigint, null::varchar, null::timestamptz, '1900-12-31 23:59:59+07'::timestamptz, null::bigint);</v>
      </c>
    </row>
    <row r="423" spans="2:16" x14ac:dyDescent="0.2">
      <c r="B423" s="37">
        <f>IF(EXACT(DataLookUp!$B423, ""), "", DataLookUp!$B423)</f>
        <v>32000000000420</v>
      </c>
      <c r="C423" s="38" t="str">
        <f>MAIN!C423</f>
        <v>Supriyadi</v>
      </c>
      <c r="D423" s="91">
        <v>163000000000003</v>
      </c>
      <c r="E423" s="37" t="str">
        <f>IF(EXACT($D423, ""), "", VLOOKUP($D423, [2]DataLookUp!$B$4:$D$15, 2, FALSE ))</f>
        <v>Karyawan Tidak Tetap (Kontrak)</v>
      </c>
      <c r="F423" s="91"/>
      <c r="G423" s="37" t="str">
        <f>IF(EXACT($F423, ""), "", VLOOKUP($F423, 'MAIN - OrgDepartment'!$C$3:$D$104, 2, FALSE))</f>
        <v/>
      </c>
      <c r="H423" s="91"/>
      <c r="I423" s="37" t="str">
        <f>IF(EXACT($H423, ""), "", VLOOKUP($H423, 'MAIN - OrgJobsPos'!$B$2:$C$101, 2, FALSE))</f>
        <v/>
      </c>
      <c r="J423" s="67"/>
      <c r="K423" s="63"/>
      <c r="L423" s="10" t="s">
        <v>7</v>
      </c>
      <c r="M423" s="11"/>
      <c r="O423" s="29">
        <f t="shared" si="12"/>
        <v>164000000000420</v>
      </c>
      <c r="P423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32000000000420::bigint, 163000000000003::bigint, null::bigint, null::bigint, null::varchar, null::timestamptz, '1900-12-31 23:59:59+07'::timestamptz, null::bigint);</v>
      </c>
    </row>
    <row r="424" spans="2:16" x14ac:dyDescent="0.2">
      <c r="B424" s="37">
        <f>IF(EXACT(DataLookUp!$B424, ""), "", DataLookUp!$B424)</f>
        <v>32000000000421</v>
      </c>
      <c r="C424" s="38" t="str">
        <f>MAIN!C424</f>
        <v>Suriono Suriono</v>
      </c>
      <c r="D424" s="91">
        <v>163000000000003</v>
      </c>
      <c r="E424" s="37" t="str">
        <f>IF(EXACT($D424, ""), "", VLOOKUP($D424, [2]DataLookUp!$B$4:$D$15, 2, FALSE ))</f>
        <v>Karyawan Tidak Tetap (Kontrak)</v>
      </c>
      <c r="F424" s="91"/>
      <c r="G424" s="37" t="str">
        <f>IF(EXACT($F424, ""), "", VLOOKUP($F424, 'MAIN - OrgDepartment'!$C$3:$D$104, 2, FALSE))</f>
        <v/>
      </c>
      <c r="H424" s="91"/>
      <c r="I424" s="37" t="str">
        <f>IF(EXACT($H424, ""), "", VLOOKUP($H424, 'MAIN - OrgJobsPos'!$B$2:$C$101, 2, FALSE))</f>
        <v/>
      </c>
      <c r="J424" s="67"/>
      <c r="K424" s="63"/>
      <c r="L424" s="10" t="s">
        <v>7</v>
      </c>
      <c r="M424" s="11"/>
      <c r="O424" s="29">
        <f t="shared" si="12"/>
        <v>164000000000421</v>
      </c>
      <c r="P424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32000000000421::bigint, 163000000000003::bigint, null::bigint, null::bigint, null::varchar, null::timestamptz, '1900-12-31 23:59:59+07'::timestamptz, null::bigint);</v>
      </c>
    </row>
    <row r="425" spans="2:16" x14ac:dyDescent="0.2">
      <c r="B425" s="37">
        <f>IF(EXACT(DataLookUp!$B425, ""), "", DataLookUp!$B425)</f>
        <v>32000000000422</v>
      </c>
      <c r="C425" s="38" t="str">
        <f>MAIN!C425</f>
        <v>Surono</v>
      </c>
      <c r="D425" s="91">
        <v>163000000000003</v>
      </c>
      <c r="E425" s="37" t="str">
        <f>IF(EXACT($D425, ""), "", VLOOKUP($D425, [2]DataLookUp!$B$4:$D$15, 2, FALSE ))</f>
        <v>Karyawan Tidak Tetap (Kontrak)</v>
      </c>
      <c r="F425" s="91"/>
      <c r="G425" s="37" t="str">
        <f>IF(EXACT($F425, ""), "", VLOOKUP($F425, 'MAIN - OrgDepartment'!$C$3:$D$104, 2, FALSE))</f>
        <v/>
      </c>
      <c r="H425" s="91"/>
      <c r="I425" s="37" t="str">
        <f>IF(EXACT($H425, ""), "", VLOOKUP($H425, 'MAIN - OrgJobsPos'!$B$2:$C$101, 2, FALSE))</f>
        <v/>
      </c>
      <c r="J425" s="67"/>
      <c r="K425" s="63"/>
      <c r="L425" s="10" t="s">
        <v>7</v>
      </c>
      <c r="M425" s="11"/>
      <c r="O425" s="29">
        <f t="shared" si="12"/>
        <v>164000000000422</v>
      </c>
      <c r="P425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32000000000422::bigint, 163000000000003::bigint, null::bigint, null::bigint, null::varchar, null::timestamptz, '1900-12-31 23:59:59+07'::timestamptz, null::bigint);</v>
      </c>
    </row>
    <row r="426" spans="2:16" x14ac:dyDescent="0.2">
      <c r="B426" s="37">
        <f>IF(EXACT(DataLookUp!$B426, ""), "", DataLookUp!$B426)</f>
        <v>32000000000423</v>
      </c>
      <c r="C426" s="38" t="str">
        <f>MAIN!C426</f>
        <v>Surtoyo Syukri</v>
      </c>
      <c r="D426" s="91">
        <v>163000000000003</v>
      </c>
      <c r="E426" s="37" t="str">
        <f>IF(EXACT($D426, ""), "", VLOOKUP($D426, [2]DataLookUp!$B$4:$D$15, 2, FALSE ))</f>
        <v>Karyawan Tidak Tetap (Kontrak)</v>
      </c>
      <c r="F426" s="91"/>
      <c r="G426" s="37" t="str">
        <f>IF(EXACT($F426, ""), "", VLOOKUP($F426, 'MAIN - OrgDepartment'!$C$3:$D$104, 2, FALSE))</f>
        <v/>
      </c>
      <c r="H426" s="91"/>
      <c r="I426" s="37" t="str">
        <f>IF(EXACT($H426, ""), "", VLOOKUP($H426, 'MAIN - OrgJobsPos'!$B$2:$C$101, 2, FALSE))</f>
        <v/>
      </c>
      <c r="J426" s="67"/>
      <c r="K426" s="63"/>
      <c r="L426" s="10" t="s">
        <v>7</v>
      </c>
      <c r="M426" s="11"/>
      <c r="O426" s="29">
        <f t="shared" si="12"/>
        <v>164000000000423</v>
      </c>
      <c r="P426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32000000000423::bigint, 163000000000003::bigint, null::bigint, null::bigint, null::varchar, null::timestamptz, '1900-12-31 23:59:59+07'::timestamptz, null::bigint);</v>
      </c>
    </row>
    <row r="427" spans="2:16" x14ac:dyDescent="0.2">
      <c r="B427" s="37">
        <f>IF(EXACT(DataLookUp!$B427, ""), "", DataLookUp!$B427)</f>
        <v>32000000000424</v>
      </c>
      <c r="C427" s="38" t="str">
        <f>MAIN!C427</f>
        <v>Suryadi</v>
      </c>
      <c r="D427" s="91">
        <v>163000000000003</v>
      </c>
      <c r="E427" s="37" t="str">
        <f>IF(EXACT($D427, ""), "", VLOOKUP($D427, [2]DataLookUp!$B$4:$D$15, 2, FALSE ))</f>
        <v>Karyawan Tidak Tetap (Kontrak)</v>
      </c>
      <c r="F427" s="91"/>
      <c r="G427" s="37" t="str">
        <f>IF(EXACT($F427, ""), "", VLOOKUP($F427, 'MAIN - OrgDepartment'!$C$3:$D$104, 2, FALSE))</f>
        <v/>
      </c>
      <c r="H427" s="91"/>
      <c r="I427" s="37" t="str">
        <f>IF(EXACT($H427, ""), "", VLOOKUP($H427, 'MAIN - OrgJobsPos'!$B$2:$C$101, 2, FALSE))</f>
        <v/>
      </c>
      <c r="J427" s="67"/>
      <c r="K427" s="63"/>
      <c r="L427" s="10" t="s">
        <v>7</v>
      </c>
      <c r="M427" s="11"/>
      <c r="O427" s="29">
        <f t="shared" si="12"/>
        <v>164000000000424</v>
      </c>
      <c r="P427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32000000000424::bigint, 163000000000003::bigint, null::bigint, null::bigint, null::varchar, null::timestamptz, '1900-12-31 23:59:59+07'::timestamptz, null::bigint);</v>
      </c>
    </row>
    <row r="428" spans="2:16" x14ac:dyDescent="0.2">
      <c r="B428" s="37">
        <f>IF(EXACT(DataLookUp!$B428, ""), "", DataLookUp!$B428)</f>
        <v>32000000000425</v>
      </c>
      <c r="C428" s="38" t="str">
        <f>MAIN!C428</f>
        <v>Susilawati</v>
      </c>
      <c r="D428" s="91">
        <v>163000000000003</v>
      </c>
      <c r="E428" s="37" t="str">
        <f>IF(EXACT($D428, ""), "", VLOOKUP($D428, [2]DataLookUp!$B$4:$D$15, 2, FALSE ))</f>
        <v>Karyawan Tidak Tetap (Kontrak)</v>
      </c>
      <c r="F428" s="91"/>
      <c r="G428" s="37" t="str">
        <f>IF(EXACT($F428, ""), "", VLOOKUP($F428, 'MAIN - OrgDepartment'!$C$3:$D$104, 2, FALSE))</f>
        <v/>
      </c>
      <c r="H428" s="91"/>
      <c r="I428" s="37" t="str">
        <f>IF(EXACT($H428, ""), "", VLOOKUP($H428, 'MAIN - OrgJobsPos'!$B$2:$C$101, 2, FALSE))</f>
        <v/>
      </c>
      <c r="J428" s="67"/>
      <c r="K428" s="63"/>
      <c r="L428" s="10" t="s">
        <v>7</v>
      </c>
      <c r="M428" s="11"/>
      <c r="O428" s="29">
        <f t="shared" si="12"/>
        <v>164000000000425</v>
      </c>
      <c r="P428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32000000000425::bigint, 163000000000003::bigint, null::bigint, null::bigint, null::varchar, null::timestamptz, '1900-12-31 23:59:59+07'::timestamptz, null::bigint);</v>
      </c>
    </row>
    <row r="429" spans="2:16" x14ac:dyDescent="0.2">
      <c r="B429" s="37">
        <f>IF(EXACT(DataLookUp!$B429, ""), "", DataLookUp!$B429)</f>
        <v>32000000000426</v>
      </c>
      <c r="C429" s="38" t="str">
        <f>MAIN!C429</f>
        <v>Sutarno</v>
      </c>
      <c r="D429" s="91">
        <v>163000000000003</v>
      </c>
      <c r="E429" s="37" t="str">
        <f>IF(EXACT($D429, ""), "", VLOOKUP($D429, [2]DataLookUp!$B$4:$D$15, 2, FALSE ))</f>
        <v>Karyawan Tidak Tetap (Kontrak)</v>
      </c>
      <c r="F429" s="91"/>
      <c r="G429" s="37" t="str">
        <f>IF(EXACT($F429, ""), "", VLOOKUP($F429, 'MAIN - OrgDepartment'!$C$3:$D$104, 2, FALSE))</f>
        <v/>
      </c>
      <c r="H429" s="91"/>
      <c r="I429" s="37" t="str">
        <f>IF(EXACT($H429, ""), "", VLOOKUP($H429, 'MAIN - OrgJobsPos'!$B$2:$C$101, 2, FALSE))</f>
        <v/>
      </c>
      <c r="J429" s="67"/>
      <c r="K429" s="63"/>
      <c r="L429" s="10" t="s">
        <v>7</v>
      </c>
      <c r="M429" s="11"/>
      <c r="O429" s="29">
        <f t="shared" si="12"/>
        <v>164000000000426</v>
      </c>
      <c r="P429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32000000000426::bigint, 163000000000003::bigint, null::bigint, null::bigint, null::varchar, null::timestamptz, '1900-12-31 23:59:59+07'::timestamptz, null::bigint);</v>
      </c>
    </row>
    <row r="430" spans="2:16" x14ac:dyDescent="0.2">
      <c r="B430" s="37">
        <f>IF(EXACT(DataLookUp!$B430, ""), "", DataLookUp!$B430)</f>
        <v>32000000000427</v>
      </c>
      <c r="C430" s="38" t="str">
        <f>MAIN!C430</f>
        <v>Sutra Riandi</v>
      </c>
      <c r="D430" s="91">
        <v>163000000000003</v>
      </c>
      <c r="E430" s="37" t="str">
        <f>IF(EXACT($D430, ""), "", VLOOKUP($D430, [2]DataLookUp!$B$4:$D$15, 2, FALSE ))</f>
        <v>Karyawan Tidak Tetap (Kontrak)</v>
      </c>
      <c r="F430" s="91"/>
      <c r="G430" s="37" t="str">
        <f>IF(EXACT($F430, ""), "", VLOOKUP($F430, 'MAIN - OrgDepartment'!$C$3:$D$104, 2, FALSE))</f>
        <v/>
      </c>
      <c r="H430" s="91"/>
      <c r="I430" s="37" t="str">
        <f>IF(EXACT($H430, ""), "", VLOOKUP($H430, 'MAIN - OrgJobsPos'!$B$2:$C$101, 2, FALSE))</f>
        <v/>
      </c>
      <c r="J430" s="67"/>
      <c r="K430" s="63"/>
      <c r="L430" s="10" t="s">
        <v>7</v>
      </c>
      <c r="M430" s="11"/>
      <c r="O430" s="29">
        <f t="shared" si="12"/>
        <v>164000000000427</v>
      </c>
      <c r="P430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32000000000427::bigint, 163000000000003::bigint, null::bigint, null::bigint, null::varchar, null::timestamptz, '1900-12-31 23:59:59+07'::timestamptz, null::bigint);</v>
      </c>
    </row>
    <row r="431" spans="2:16" x14ac:dyDescent="0.2">
      <c r="B431" s="37">
        <f>IF(EXACT(DataLookUp!$B431, ""), "", DataLookUp!$B431)</f>
        <v>32000000000428</v>
      </c>
      <c r="C431" s="38" t="str">
        <f>MAIN!C431</f>
        <v>Suyanto</v>
      </c>
      <c r="D431" s="91">
        <v>163000000000003</v>
      </c>
      <c r="E431" s="37" t="str">
        <f>IF(EXACT($D431, ""), "", VLOOKUP($D431, [2]DataLookUp!$B$4:$D$15, 2, FALSE ))</f>
        <v>Karyawan Tidak Tetap (Kontrak)</v>
      </c>
      <c r="F431" s="91">
        <v>111000000000003</v>
      </c>
      <c r="G431" s="37" t="str">
        <f>IF(EXACT($F431, ""), "", VLOOKUP($F431, 'MAIN - OrgDepartment'!$C$3:$D$104, 2, FALSE))</f>
        <v>Information Technology</v>
      </c>
      <c r="H431" s="91">
        <v>160000000000003</v>
      </c>
      <c r="I431" s="37" t="str">
        <f>IF(EXACT($H431, ""), "", VLOOKUP($H431, 'MAIN - OrgJobsPos'!$B$2:$C$101, 2, FALSE))</f>
        <v>Staff</v>
      </c>
      <c r="J431" s="67"/>
      <c r="K431" s="63"/>
      <c r="L431" s="10" t="s">
        <v>282</v>
      </c>
      <c r="M431" s="11"/>
      <c r="O431" s="29">
        <f t="shared" si="12"/>
        <v>164000000000428</v>
      </c>
      <c r="P431" s="30" t="str">
        <f t="shared" si="13"/>
        <v>PERFORM "SchData-OLTP-HumanResource"."Func_TblWorkerCareerInternal_SET"(varSystemLoginSession, null::bigint, null::varchar, null::timestamptz, '2025-12-03 23:59:59+07'::timestamptz, null::varchar, varInstitutionBranchID, varBaseCurrencyID, 32000000000428::bigint, 163000000000003::bigint, 111000000000003::bigint, 160000000000003::bigint, null::varchar, null::timestamptz, '2025-12-03 23:59:59+07'::timestamptz, null::bigint);</v>
      </c>
    </row>
    <row r="432" spans="2:16" x14ac:dyDescent="0.2">
      <c r="B432" s="37">
        <f>IF(EXACT(DataLookUp!$B432, ""), "", DataLookUp!$B432)</f>
        <v>32000000000429</v>
      </c>
      <c r="C432" s="38" t="str">
        <f>MAIN!C432</f>
        <v>Swar Jono</v>
      </c>
      <c r="D432" s="91">
        <v>163000000000003</v>
      </c>
      <c r="E432" s="37" t="str">
        <f>IF(EXACT($D432, ""), "", VLOOKUP($D432, [2]DataLookUp!$B$4:$D$15, 2, FALSE ))</f>
        <v>Karyawan Tidak Tetap (Kontrak)</v>
      </c>
      <c r="F432" s="91"/>
      <c r="G432" s="37" t="str">
        <f>IF(EXACT($F432, ""), "", VLOOKUP($F432, 'MAIN - OrgDepartment'!$C$3:$D$104, 2, FALSE))</f>
        <v/>
      </c>
      <c r="H432" s="91"/>
      <c r="I432" s="37" t="str">
        <f>IF(EXACT($H432, ""), "", VLOOKUP($H432, 'MAIN - OrgJobsPos'!$B$2:$C$101, 2, FALSE))</f>
        <v/>
      </c>
      <c r="J432" s="67"/>
      <c r="K432" s="63"/>
      <c r="L432" s="10" t="s">
        <v>7</v>
      </c>
      <c r="M432" s="11"/>
      <c r="O432" s="29">
        <f t="shared" si="12"/>
        <v>164000000000429</v>
      </c>
      <c r="P432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32000000000429::bigint, 163000000000003::bigint, null::bigint, null::bigint, null::varchar, null::timestamptz, '1900-12-31 23:59:59+07'::timestamptz, null::bigint);</v>
      </c>
    </row>
    <row r="433" spans="2:16" x14ac:dyDescent="0.2">
      <c r="B433" s="37">
        <f>IF(EXACT(DataLookUp!$B433, ""), "", DataLookUp!$B433)</f>
        <v>32000000000430</v>
      </c>
      <c r="C433" s="38" t="str">
        <f>MAIN!C433</f>
        <v>Syafruddin</v>
      </c>
      <c r="D433" s="91">
        <v>163000000000003</v>
      </c>
      <c r="E433" s="37" t="str">
        <f>IF(EXACT($D433, ""), "", VLOOKUP($D433, [2]DataLookUp!$B$4:$D$15, 2, FALSE ))</f>
        <v>Karyawan Tidak Tetap (Kontrak)</v>
      </c>
      <c r="F433" s="91"/>
      <c r="G433" s="37" t="str">
        <f>IF(EXACT($F433, ""), "", VLOOKUP($F433, 'MAIN - OrgDepartment'!$C$3:$D$104, 2, FALSE))</f>
        <v/>
      </c>
      <c r="H433" s="91"/>
      <c r="I433" s="37" t="str">
        <f>IF(EXACT($H433, ""), "", VLOOKUP($H433, 'MAIN - OrgJobsPos'!$B$2:$C$101, 2, FALSE))</f>
        <v/>
      </c>
      <c r="J433" s="67"/>
      <c r="K433" s="63"/>
      <c r="L433" s="10" t="s">
        <v>7</v>
      </c>
      <c r="M433" s="11"/>
      <c r="O433" s="29">
        <f t="shared" si="12"/>
        <v>164000000000430</v>
      </c>
      <c r="P433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32000000000430::bigint, 163000000000003::bigint, null::bigint, null::bigint, null::varchar, null::timestamptz, '1900-12-31 23:59:59+07'::timestamptz, null::bigint);</v>
      </c>
    </row>
    <row r="434" spans="2:16" x14ac:dyDescent="0.2">
      <c r="B434" s="37">
        <f>IF(EXACT(DataLookUp!$B434, ""), "", DataLookUp!$B434)</f>
        <v>32000000000431</v>
      </c>
      <c r="C434" s="38" t="str">
        <f>MAIN!C434</f>
        <v>Syafrudin Machmud</v>
      </c>
      <c r="D434" s="91">
        <v>163000000000003</v>
      </c>
      <c r="E434" s="37" t="str">
        <f>IF(EXACT($D434, ""), "", VLOOKUP($D434, [2]DataLookUp!$B$4:$D$15, 2, FALSE ))</f>
        <v>Karyawan Tidak Tetap (Kontrak)</v>
      </c>
      <c r="F434" s="91"/>
      <c r="G434" s="37" t="str">
        <f>IF(EXACT($F434, ""), "", VLOOKUP($F434, 'MAIN - OrgDepartment'!$C$3:$D$104, 2, FALSE))</f>
        <v/>
      </c>
      <c r="H434" s="91"/>
      <c r="I434" s="37" t="str">
        <f>IF(EXACT($H434, ""), "", VLOOKUP($H434, 'MAIN - OrgJobsPos'!$B$2:$C$101, 2, FALSE))</f>
        <v/>
      </c>
      <c r="J434" s="67"/>
      <c r="K434" s="63"/>
      <c r="L434" s="10" t="s">
        <v>7</v>
      </c>
      <c r="M434" s="11"/>
      <c r="O434" s="29">
        <f t="shared" si="12"/>
        <v>164000000000431</v>
      </c>
      <c r="P434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32000000000431::bigint, 163000000000003::bigint, null::bigint, null::bigint, null::varchar, null::timestamptz, '1900-12-31 23:59:59+07'::timestamptz, null::bigint);</v>
      </c>
    </row>
    <row r="435" spans="2:16" x14ac:dyDescent="0.2">
      <c r="B435" s="37">
        <f>IF(EXACT(DataLookUp!$B435, ""), "", DataLookUp!$B435)</f>
        <v>32000000000432</v>
      </c>
      <c r="C435" s="38" t="str">
        <f>MAIN!C435</f>
        <v>Syahrizal</v>
      </c>
      <c r="D435" s="91">
        <v>163000000000003</v>
      </c>
      <c r="E435" s="37" t="str">
        <f>IF(EXACT($D435, ""), "", VLOOKUP($D435, [2]DataLookUp!$B$4:$D$15, 2, FALSE ))</f>
        <v>Karyawan Tidak Tetap (Kontrak)</v>
      </c>
      <c r="F435" s="91"/>
      <c r="G435" s="37" t="str">
        <f>IF(EXACT($F435, ""), "", VLOOKUP($F435, 'MAIN - OrgDepartment'!$C$3:$D$104, 2, FALSE))</f>
        <v/>
      </c>
      <c r="H435" s="91"/>
      <c r="I435" s="37" t="str">
        <f>IF(EXACT($H435, ""), "", VLOOKUP($H435, 'MAIN - OrgJobsPos'!$B$2:$C$101, 2, FALSE))</f>
        <v/>
      </c>
      <c r="J435" s="67"/>
      <c r="K435" s="63"/>
      <c r="L435" s="10" t="s">
        <v>7</v>
      </c>
      <c r="M435" s="11"/>
      <c r="O435" s="29">
        <f t="shared" si="12"/>
        <v>164000000000432</v>
      </c>
      <c r="P435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32000000000432::bigint, 163000000000003::bigint, null::bigint, null::bigint, null::varchar, null::timestamptz, '1900-12-31 23:59:59+07'::timestamptz, null::bigint);</v>
      </c>
    </row>
    <row r="436" spans="2:16" x14ac:dyDescent="0.2">
      <c r="B436" s="37">
        <f>IF(EXACT(DataLookUp!$B436, ""), "", DataLookUp!$B436)</f>
        <v>32000000000433</v>
      </c>
      <c r="C436" s="38" t="str">
        <f>MAIN!C436</f>
        <v>Syaiful Idjam</v>
      </c>
      <c r="D436" s="91">
        <v>163000000000003</v>
      </c>
      <c r="E436" s="37" t="str">
        <f>IF(EXACT($D436, ""), "", VLOOKUP($D436, [2]DataLookUp!$B$4:$D$15, 2, FALSE ))</f>
        <v>Karyawan Tidak Tetap (Kontrak)</v>
      </c>
      <c r="F436" s="91"/>
      <c r="G436" s="37" t="str">
        <f>IF(EXACT($F436, ""), "", VLOOKUP($F436, 'MAIN - OrgDepartment'!$C$3:$D$104, 2, FALSE))</f>
        <v/>
      </c>
      <c r="H436" s="91"/>
      <c r="I436" s="37" t="str">
        <f>IF(EXACT($H436, ""), "", VLOOKUP($H436, 'MAIN - OrgJobsPos'!$B$2:$C$101, 2, FALSE))</f>
        <v/>
      </c>
      <c r="J436" s="67"/>
      <c r="K436" s="63"/>
      <c r="L436" s="10" t="s">
        <v>7</v>
      </c>
      <c r="M436" s="11"/>
      <c r="O436" s="29">
        <f t="shared" si="12"/>
        <v>164000000000433</v>
      </c>
      <c r="P436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32000000000433::bigint, 163000000000003::bigint, null::bigint, null::bigint, null::varchar, null::timestamptz, '1900-12-31 23:59:59+07'::timestamptz, null::bigint);</v>
      </c>
    </row>
    <row r="437" spans="2:16" x14ac:dyDescent="0.2">
      <c r="B437" s="37">
        <f>IF(EXACT(DataLookUp!$B437, ""), "", DataLookUp!$B437)</f>
        <v>32000000000434</v>
      </c>
      <c r="C437" s="38" t="str">
        <f>MAIN!C437</f>
        <v>Tajuddin Assubki Ismail</v>
      </c>
      <c r="D437" s="91">
        <v>163000000000003</v>
      </c>
      <c r="E437" s="37" t="str">
        <f>IF(EXACT($D437, ""), "", VLOOKUP($D437, [2]DataLookUp!$B$4:$D$15, 2, FALSE ))</f>
        <v>Karyawan Tidak Tetap (Kontrak)</v>
      </c>
      <c r="F437" s="91"/>
      <c r="G437" s="37" t="str">
        <f>IF(EXACT($F437, ""), "", VLOOKUP($F437, 'MAIN - OrgDepartment'!$C$3:$D$104, 2, FALSE))</f>
        <v/>
      </c>
      <c r="H437" s="91"/>
      <c r="I437" s="37" t="str">
        <f>IF(EXACT($H437, ""), "", VLOOKUP($H437, 'MAIN - OrgJobsPos'!$B$2:$C$101, 2, FALSE))</f>
        <v/>
      </c>
      <c r="J437" s="67"/>
      <c r="K437" s="63" t="s">
        <v>210</v>
      </c>
      <c r="L437" s="10" t="s">
        <v>6</v>
      </c>
      <c r="M437" s="11"/>
      <c r="O437" s="29">
        <f t="shared" si="12"/>
        <v>164000000000434</v>
      </c>
      <c r="P437" s="30" t="str">
        <f t="shared" si="13"/>
        <v>PERFORM "SchData-OLTP-HumanResource"."Func_TblWorkerCareerInternal_SET"(varSystemLoginSession, null::bigint, null::varchar, '2003-07-07 00:00:00+07'::timestamptz, '2023-02-11 23:59:59+07'::timestamptz, null::varchar, varInstitutionBranchID, varBaseCurrencyID, 32000000000434::bigint, 163000000000003::bigint, null::bigint, null::bigint, null::varchar, '2003-07-07 00:00:00+07'::timestamptz, '2023-02-11 23:59:59+07'::timestamptz, null::bigint);</v>
      </c>
    </row>
    <row r="438" spans="2:16" x14ac:dyDescent="0.2">
      <c r="B438" s="37">
        <f>IF(EXACT(DataLookUp!$B438, ""), "", DataLookUp!$B438)</f>
        <v>32000000000435</v>
      </c>
      <c r="C438" s="38" t="str">
        <f>MAIN!C438</f>
        <v>Taslim</v>
      </c>
      <c r="D438" s="91">
        <v>163000000000003</v>
      </c>
      <c r="E438" s="37" t="str">
        <f>IF(EXACT($D438, ""), "", VLOOKUP($D438, [2]DataLookUp!$B$4:$D$15, 2, FALSE ))</f>
        <v>Karyawan Tidak Tetap (Kontrak)</v>
      </c>
      <c r="F438" s="91"/>
      <c r="G438" s="37" t="str">
        <f>IF(EXACT($F438, ""), "", VLOOKUP($F438, 'MAIN - OrgDepartment'!$C$3:$D$104, 2, FALSE))</f>
        <v/>
      </c>
      <c r="H438" s="91"/>
      <c r="I438" s="37" t="str">
        <f>IF(EXACT($H438, ""), "", VLOOKUP($H438, 'MAIN - OrgJobsPos'!$B$2:$C$101, 2, FALSE))</f>
        <v/>
      </c>
      <c r="J438" s="67"/>
      <c r="K438" s="63"/>
      <c r="L438" s="10" t="s">
        <v>7</v>
      </c>
      <c r="M438" s="11"/>
      <c r="O438" s="29">
        <f t="shared" si="12"/>
        <v>164000000000435</v>
      </c>
      <c r="P438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32000000000435::bigint, 163000000000003::bigint, null::bigint, null::bigint, null::varchar, null::timestamptz, '1900-12-31 23:59:59+07'::timestamptz, null::bigint);</v>
      </c>
    </row>
    <row r="439" spans="2:16" x14ac:dyDescent="0.2">
      <c r="B439" s="37">
        <f>IF(EXACT(DataLookUp!$B439, ""), "", DataLookUp!$B439)</f>
        <v>32000000000436</v>
      </c>
      <c r="C439" s="38" t="str">
        <f>MAIN!C439</f>
        <v>Taufik Mulia Pane</v>
      </c>
      <c r="D439" s="91">
        <v>163000000000003</v>
      </c>
      <c r="E439" s="37" t="str">
        <f>IF(EXACT($D439, ""), "", VLOOKUP($D439, [2]DataLookUp!$B$4:$D$15, 2, FALSE ))</f>
        <v>Karyawan Tidak Tetap (Kontrak)</v>
      </c>
      <c r="F439" s="91"/>
      <c r="G439" s="37" t="str">
        <f>IF(EXACT($F439, ""), "", VLOOKUP($F439, 'MAIN - OrgDepartment'!$C$3:$D$104, 2, FALSE))</f>
        <v/>
      </c>
      <c r="H439" s="91"/>
      <c r="I439" s="37" t="str">
        <f>IF(EXACT($H439, ""), "", VLOOKUP($H439, 'MAIN - OrgJobsPos'!$B$2:$C$101, 2, FALSE))</f>
        <v/>
      </c>
      <c r="J439" s="67"/>
      <c r="K439" s="63"/>
      <c r="L439" s="10" t="s">
        <v>7</v>
      </c>
      <c r="M439" s="11"/>
      <c r="O439" s="29">
        <f t="shared" si="12"/>
        <v>164000000000436</v>
      </c>
      <c r="P439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32000000000436::bigint, 163000000000003::bigint, null::bigint, null::bigint, null::varchar, null::timestamptz, '1900-12-31 23:59:59+07'::timestamptz, null::bigint);</v>
      </c>
    </row>
    <row r="440" spans="2:16" x14ac:dyDescent="0.2">
      <c r="B440" s="37">
        <f>IF(EXACT(DataLookUp!$B440, ""), "", DataLookUp!$B440)</f>
        <v>32000000000437</v>
      </c>
      <c r="C440" s="38" t="str">
        <f>MAIN!C440</f>
        <v>Tedy Harseno</v>
      </c>
      <c r="D440" s="91">
        <v>163000000000002</v>
      </c>
      <c r="E440" s="37" t="str">
        <f>IF(EXACT($D440, ""), "", VLOOKUP($D440, [2]DataLookUp!$B$4:$D$15, 2, FALSE ))</f>
        <v>Karyawan Tetap (Purna Waktu)</v>
      </c>
      <c r="F440" s="91"/>
      <c r="G440" s="37" t="str">
        <f>IF(EXACT($F440, ""), "", VLOOKUP($F440, 'MAIN - OrgDepartment'!$C$3:$D$104, 2, FALSE))</f>
        <v/>
      </c>
      <c r="H440" s="91"/>
      <c r="I440" s="37" t="str">
        <f>IF(EXACT($H440, ""), "", VLOOKUP($H440, 'MAIN - OrgJobsPos'!$B$2:$C$101, 2, FALSE))</f>
        <v/>
      </c>
      <c r="J440" s="67"/>
      <c r="K440" s="63"/>
      <c r="L440" s="10" t="s">
        <v>7</v>
      </c>
      <c r="M440" s="11"/>
      <c r="O440" s="29">
        <f t="shared" si="12"/>
        <v>164000000000437</v>
      </c>
      <c r="P440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32000000000437::bigint, 163000000000002::bigint, null::bigint, null::bigint, null::varchar, null::timestamptz, '1900-12-31 23:59:59+07'::timestamptz, null::bigint);</v>
      </c>
    </row>
    <row r="441" spans="2:16" x14ac:dyDescent="0.2">
      <c r="B441" s="37">
        <f>IF(EXACT(DataLookUp!$B441, ""), "", DataLookUp!$B441)</f>
        <v>32000000000438</v>
      </c>
      <c r="C441" s="38" t="str">
        <f>MAIN!C441</f>
        <v>Teguh Joko Pamuji</v>
      </c>
      <c r="D441" s="91">
        <v>163000000000003</v>
      </c>
      <c r="E441" s="37" t="str">
        <f>IF(EXACT($D441, ""), "", VLOOKUP($D441, [2]DataLookUp!$B$4:$D$15, 2, FALSE ))</f>
        <v>Karyawan Tidak Tetap (Kontrak)</v>
      </c>
      <c r="F441" s="91"/>
      <c r="G441" s="37" t="str">
        <f>IF(EXACT($F441, ""), "", VLOOKUP($F441, 'MAIN - OrgDepartment'!$C$3:$D$104, 2, FALSE))</f>
        <v/>
      </c>
      <c r="H441" s="91"/>
      <c r="I441" s="37" t="str">
        <f>IF(EXACT($H441, ""), "", VLOOKUP($H441, 'MAIN - OrgJobsPos'!$B$2:$C$101, 2, FALSE))</f>
        <v/>
      </c>
      <c r="J441" s="67"/>
      <c r="K441" s="63"/>
      <c r="L441" s="10" t="s">
        <v>7</v>
      </c>
      <c r="M441" s="11"/>
      <c r="O441" s="29">
        <f t="shared" si="12"/>
        <v>164000000000438</v>
      </c>
      <c r="P441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32000000000438::bigint, 163000000000003::bigint, null::bigint, null::bigint, null::varchar, null::timestamptz, '1900-12-31 23:59:59+07'::timestamptz, null::bigint);</v>
      </c>
    </row>
    <row r="442" spans="2:16" x14ac:dyDescent="0.2">
      <c r="B442" s="37">
        <f>IF(EXACT(DataLookUp!$B442, ""), "", DataLookUp!$B442)</f>
        <v>32000000000439</v>
      </c>
      <c r="C442" s="38" t="str">
        <f>MAIN!C442</f>
        <v>Teguh Pratama Januzir Sukin</v>
      </c>
      <c r="D442" s="91">
        <v>163000000000003</v>
      </c>
      <c r="E442" s="37" t="str">
        <f>IF(EXACT($D442, ""), "", VLOOKUP($D442, [2]DataLookUp!$B$4:$D$15, 2, FALSE ))</f>
        <v>Karyawan Tidak Tetap (Kontrak)</v>
      </c>
      <c r="F442" s="91">
        <v>111000000000003</v>
      </c>
      <c r="G442" s="37" t="str">
        <f>IF(EXACT($F442, ""), "", VLOOKUP($F442, 'MAIN - OrgDepartment'!$C$3:$D$104, 2, FALSE))</f>
        <v>Information Technology</v>
      </c>
      <c r="H442" s="91">
        <v>160000000000006</v>
      </c>
      <c r="I442" s="37" t="str">
        <f>IF(EXACT($H442, ""), "", VLOOKUP($H442, 'MAIN - OrgJobsPos'!$B$2:$C$101, 2, FALSE))</f>
        <v>Manager</v>
      </c>
      <c r="J442" s="67" t="s">
        <v>186</v>
      </c>
      <c r="K442" s="63" t="s">
        <v>248</v>
      </c>
      <c r="L442" s="10" t="s">
        <v>3</v>
      </c>
      <c r="M442" s="11"/>
      <c r="O442" s="29">
        <f t="shared" si="12"/>
        <v>164000000000439</v>
      </c>
      <c r="P442" s="30" t="str">
        <f t="shared" si="13"/>
        <v>PERFORM "SchData-OLTP-HumanResource"."Func_TblWorkerCareerInternal_SET"(varSystemLoginSession, null::bigint, null::varchar, '2017-07-03 00:00:00+07'::timestamptz, '9999-12-31 23:59:59+07'::timestamptz, null::varchar, varInstitutionBranchID, varBaseCurrencyID, 32000000000439::bigint, 163000000000003::bigint, 111000000000003::bigint, 160000000000006::bigint, 'IT System Manager'::varchar, '2017-07-03 00:00:00+07'::timestamptz, '9999-12-31 23:59:59+07'::timestamptz, null::bigint);</v>
      </c>
    </row>
    <row r="443" spans="2:16" x14ac:dyDescent="0.2">
      <c r="B443" s="37">
        <f>IF(EXACT(DataLookUp!$B443, ""), "", DataLookUp!$B443)</f>
        <v>32000000000440</v>
      </c>
      <c r="C443" s="38" t="str">
        <f>MAIN!C443</f>
        <v>Teguh Susanto</v>
      </c>
      <c r="D443" s="91">
        <v>163000000000003</v>
      </c>
      <c r="E443" s="37" t="str">
        <f>IF(EXACT($D443, ""), "", VLOOKUP($D443, [2]DataLookUp!$B$4:$D$15, 2, FALSE ))</f>
        <v>Karyawan Tidak Tetap (Kontrak)</v>
      </c>
      <c r="F443" s="91"/>
      <c r="G443" s="37" t="str">
        <f>IF(EXACT($F443, ""), "", VLOOKUP($F443, 'MAIN - OrgDepartment'!$C$3:$D$104, 2, FALSE))</f>
        <v/>
      </c>
      <c r="H443" s="91"/>
      <c r="I443" s="37" t="str">
        <f>IF(EXACT($H443, ""), "", VLOOKUP($H443, 'MAIN - OrgJobsPos'!$B$2:$C$101, 2, FALSE))</f>
        <v/>
      </c>
      <c r="J443" s="67"/>
      <c r="K443" s="63"/>
      <c r="L443" s="10" t="s">
        <v>7</v>
      </c>
      <c r="M443" s="11"/>
      <c r="O443" s="29">
        <f t="shared" si="12"/>
        <v>164000000000440</v>
      </c>
      <c r="P443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32000000000440::bigint, 163000000000003::bigint, null::bigint, null::bigint, null::varchar, null::timestamptz, '1900-12-31 23:59:59+07'::timestamptz, null::bigint);</v>
      </c>
    </row>
    <row r="444" spans="2:16" x14ac:dyDescent="0.2">
      <c r="B444" s="37">
        <f>IF(EXACT(DataLookUp!$B444, ""), "", DataLookUp!$B444)</f>
        <v>32000000000441</v>
      </c>
      <c r="C444" s="38" t="str">
        <f>MAIN!C444</f>
        <v>Tenri Sumange</v>
      </c>
      <c r="D444" s="91">
        <v>163000000000003</v>
      </c>
      <c r="E444" s="37" t="str">
        <f>IF(EXACT($D444, ""), "", VLOOKUP($D444, [2]DataLookUp!$B$4:$D$15, 2, FALSE ))</f>
        <v>Karyawan Tidak Tetap (Kontrak)</v>
      </c>
      <c r="F444" s="91"/>
      <c r="G444" s="37" t="str">
        <f>IF(EXACT($F444, ""), "", VLOOKUP($F444, 'MAIN - OrgDepartment'!$C$3:$D$104, 2, FALSE))</f>
        <v/>
      </c>
      <c r="H444" s="91"/>
      <c r="I444" s="37" t="str">
        <f>IF(EXACT($H444, ""), "", VLOOKUP($H444, 'MAIN - OrgJobsPos'!$B$2:$C$101, 2, FALSE))</f>
        <v/>
      </c>
      <c r="J444" s="67"/>
      <c r="K444" s="63"/>
      <c r="L444" s="10" t="s">
        <v>7</v>
      </c>
      <c r="M444" s="11"/>
      <c r="O444" s="29">
        <f t="shared" si="12"/>
        <v>164000000000441</v>
      </c>
      <c r="P444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32000000000441::bigint, 163000000000003::bigint, null::bigint, null::bigint, null::varchar, null::timestamptz, '1900-12-31 23:59:59+07'::timestamptz, null::bigint);</v>
      </c>
    </row>
    <row r="445" spans="2:16" x14ac:dyDescent="0.2">
      <c r="B445" s="37">
        <f>IF(EXACT(DataLookUp!$B445, ""), "", DataLookUp!$B445)</f>
        <v>32000000000442</v>
      </c>
      <c r="C445" s="38" t="str">
        <f>MAIN!C445</f>
        <v>Teuku Zulkifli</v>
      </c>
      <c r="D445" s="91">
        <v>163000000000003</v>
      </c>
      <c r="E445" s="37" t="str">
        <f>IF(EXACT($D445, ""), "", VLOOKUP($D445, [2]DataLookUp!$B$4:$D$15, 2, FALSE ))</f>
        <v>Karyawan Tidak Tetap (Kontrak)</v>
      </c>
      <c r="F445" s="91"/>
      <c r="G445" s="37" t="str">
        <f>IF(EXACT($F445, ""), "", VLOOKUP($F445, 'MAIN - OrgDepartment'!$C$3:$D$104, 2, FALSE))</f>
        <v/>
      </c>
      <c r="H445" s="91"/>
      <c r="I445" s="37" t="str">
        <f>IF(EXACT($H445, ""), "", VLOOKUP($H445, 'MAIN - OrgJobsPos'!$B$2:$C$101, 2, FALSE))</f>
        <v/>
      </c>
      <c r="J445" s="67"/>
      <c r="K445" s="63"/>
      <c r="L445" s="10" t="s">
        <v>7</v>
      </c>
      <c r="M445" s="11"/>
      <c r="O445" s="29">
        <f t="shared" si="12"/>
        <v>164000000000442</v>
      </c>
      <c r="P445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32000000000442::bigint, 163000000000003::bigint, null::bigint, null::bigint, null::varchar, null::timestamptz, '1900-12-31 23:59:59+07'::timestamptz, null::bigint);</v>
      </c>
    </row>
    <row r="446" spans="2:16" x14ac:dyDescent="0.2">
      <c r="B446" s="37">
        <f>IF(EXACT(DataLookUp!$B446, ""), "", DataLookUp!$B446)</f>
        <v>32000000000443</v>
      </c>
      <c r="C446" s="38" t="str">
        <f>MAIN!C446</f>
        <v>Tiara Kemalasari</v>
      </c>
      <c r="D446" s="91">
        <v>163000000000003</v>
      </c>
      <c r="E446" s="37" t="str">
        <f>IF(EXACT($D446, ""), "", VLOOKUP($D446, [2]DataLookUp!$B$4:$D$15, 2, FALSE ))</f>
        <v>Karyawan Tidak Tetap (Kontrak)</v>
      </c>
      <c r="F446" s="91"/>
      <c r="G446" s="37" t="str">
        <f>IF(EXACT($F446, ""), "", VLOOKUP($F446, 'MAIN - OrgDepartment'!$C$3:$D$104, 2, FALSE))</f>
        <v/>
      </c>
      <c r="H446" s="91"/>
      <c r="I446" s="37" t="str">
        <f>IF(EXACT($H446, ""), "", VLOOKUP($H446, 'MAIN - OrgJobsPos'!$B$2:$C$101, 2, FALSE))</f>
        <v/>
      </c>
      <c r="J446" s="67"/>
      <c r="K446" s="63"/>
      <c r="L446" s="10" t="s">
        <v>7</v>
      </c>
      <c r="M446" s="11"/>
      <c r="O446" s="29">
        <f t="shared" si="12"/>
        <v>164000000000443</v>
      </c>
      <c r="P446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32000000000443::bigint, 163000000000003::bigint, null::bigint, null::bigint, null::varchar, null::timestamptz, '1900-12-31 23:59:59+07'::timestamptz, null::bigint);</v>
      </c>
    </row>
    <row r="447" spans="2:16" x14ac:dyDescent="0.2">
      <c r="B447" s="37">
        <f>IF(EXACT(DataLookUp!$B447, ""), "", DataLookUp!$B447)</f>
        <v>32000000000444</v>
      </c>
      <c r="C447" s="38" t="str">
        <f>MAIN!C447</f>
        <v>Tjhang Linawati</v>
      </c>
      <c r="D447" s="91">
        <v>163000000000003</v>
      </c>
      <c r="E447" s="37" t="str">
        <f>IF(EXACT($D447, ""), "", VLOOKUP($D447, [2]DataLookUp!$B$4:$D$15, 2, FALSE ))</f>
        <v>Karyawan Tidak Tetap (Kontrak)</v>
      </c>
      <c r="F447" s="91"/>
      <c r="G447" s="37" t="str">
        <f>IF(EXACT($F447, ""), "", VLOOKUP($F447, 'MAIN - OrgDepartment'!$C$3:$D$104, 2, FALSE))</f>
        <v/>
      </c>
      <c r="H447" s="91"/>
      <c r="I447" s="37" t="str">
        <f>IF(EXACT($H447, ""), "", VLOOKUP($H447, 'MAIN - OrgJobsPos'!$B$2:$C$101, 2, FALSE))</f>
        <v/>
      </c>
      <c r="J447" s="67"/>
      <c r="K447" s="63"/>
      <c r="L447" s="10" t="s">
        <v>7</v>
      </c>
      <c r="M447" s="11"/>
      <c r="O447" s="29">
        <f t="shared" si="12"/>
        <v>164000000000444</v>
      </c>
      <c r="P447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32000000000444::bigint, 163000000000003::bigint, null::bigint, null::bigint, null::varchar, null::timestamptz, '1900-12-31 23:59:59+07'::timestamptz, null::bigint);</v>
      </c>
    </row>
    <row r="448" spans="2:16" x14ac:dyDescent="0.2">
      <c r="B448" s="37">
        <f>IF(EXACT(DataLookUp!$B448, ""), "", DataLookUp!$B448)</f>
        <v>32000000000445</v>
      </c>
      <c r="C448" s="38" t="str">
        <f>MAIN!C448</f>
        <v>Totok Kristianto</v>
      </c>
      <c r="D448" s="91">
        <v>163000000000003</v>
      </c>
      <c r="E448" s="37" t="str">
        <f>IF(EXACT($D448, ""), "", VLOOKUP($D448, [2]DataLookUp!$B$4:$D$15, 2, FALSE ))</f>
        <v>Karyawan Tidak Tetap (Kontrak)</v>
      </c>
      <c r="F448" s="91"/>
      <c r="G448" s="37" t="str">
        <f>IF(EXACT($F448, ""), "", VLOOKUP($F448, 'MAIN - OrgDepartment'!$C$3:$D$104, 2, FALSE))</f>
        <v/>
      </c>
      <c r="H448" s="91"/>
      <c r="I448" s="37" t="str">
        <f>IF(EXACT($H448, ""), "", VLOOKUP($H448, 'MAIN - OrgJobsPos'!$B$2:$C$101, 2, FALSE))</f>
        <v/>
      </c>
      <c r="J448" s="67"/>
      <c r="K448" s="63"/>
      <c r="L448" s="10" t="s">
        <v>7</v>
      </c>
      <c r="M448" s="11"/>
      <c r="O448" s="29">
        <f t="shared" si="12"/>
        <v>164000000000445</v>
      </c>
      <c r="P448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32000000000445::bigint, 163000000000003::bigint, null::bigint, null::bigint, null::varchar, null::timestamptz, '1900-12-31 23:59:59+07'::timestamptz, null::bigint);</v>
      </c>
    </row>
    <row r="449" spans="2:16" x14ac:dyDescent="0.2">
      <c r="B449" s="37">
        <f>IF(EXACT(DataLookUp!$B449, ""), "", DataLookUp!$B449)</f>
        <v>32000000000446</v>
      </c>
      <c r="C449" s="38" t="str">
        <f>MAIN!C449</f>
        <v>Tri Aji</v>
      </c>
      <c r="D449" s="91">
        <v>163000000000003</v>
      </c>
      <c r="E449" s="37" t="str">
        <f>IF(EXACT($D449, ""), "", VLOOKUP($D449, [2]DataLookUp!$B$4:$D$15, 2, FALSE ))</f>
        <v>Karyawan Tidak Tetap (Kontrak)</v>
      </c>
      <c r="F449" s="91"/>
      <c r="G449" s="37" t="str">
        <f>IF(EXACT($F449, ""), "", VLOOKUP($F449, 'MAIN - OrgDepartment'!$C$3:$D$104, 2, FALSE))</f>
        <v/>
      </c>
      <c r="H449" s="91"/>
      <c r="I449" s="37" t="str">
        <f>IF(EXACT($H449, ""), "", VLOOKUP($H449, 'MAIN - OrgJobsPos'!$B$2:$C$101, 2, FALSE))</f>
        <v/>
      </c>
      <c r="J449" s="67"/>
      <c r="K449" s="63"/>
      <c r="L449" s="10" t="s">
        <v>7</v>
      </c>
      <c r="M449" s="11"/>
      <c r="O449" s="29">
        <f t="shared" si="12"/>
        <v>164000000000446</v>
      </c>
      <c r="P449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32000000000446::bigint, 163000000000003::bigint, null::bigint, null::bigint, null::varchar, null::timestamptz, '1900-12-31 23:59:59+07'::timestamptz, null::bigint);</v>
      </c>
    </row>
    <row r="450" spans="2:16" x14ac:dyDescent="0.2">
      <c r="B450" s="37">
        <f>IF(EXACT(DataLookUp!$B450, ""), "", DataLookUp!$B450)</f>
        <v>32000000000447</v>
      </c>
      <c r="C450" s="38" t="str">
        <f>MAIN!C450</f>
        <v>Tri M. Saputra</v>
      </c>
      <c r="D450" s="91">
        <v>163000000000003</v>
      </c>
      <c r="E450" s="37" t="str">
        <f>IF(EXACT($D450, ""), "", VLOOKUP($D450, [2]DataLookUp!$B$4:$D$15, 2, FALSE ))</f>
        <v>Karyawan Tidak Tetap (Kontrak)</v>
      </c>
      <c r="F450" s="91"/>
      <c r="G450" s="37" t="str">
        <f>IF(EXACT($F450, ""), "", VLOOKUP($F450, 'MAIN - OrgDepartment'!$C$3:$D$104, 2, FALSE))</f>
        <v/>
      </c>
      <c r="H450" s="91"/>
      <c r="I450" s="37" t="str">
        <f>IF(EXACT($H450, ""), "", VLOOKUP($H450, 'MAIN - OrgJobsPos'!$B$2:$C$101, 2, FALSE))</f>
        <v/>
      </c>
      <c r="J450" s="67"/>
      <c r="K450" s="63"/>
      <c r="L450" s="10" t="s">
        <v>7</v>
      </c>
      <c r="M450" s="11"/>
      <c r="O450" s="29">
        <f t="shared" si="12"/>
        <v>164000000000447</v>
      </c>
      <c r="P450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32000000000447::bigint, 163000000000003::bigint, null::bigint, null::bigint, null::varchar, null::timestamptz, '1900-12-31 23:59:59+07'::timestamptz, null::bigint);</v>
      </c>
    </row>
    <row r="451" spans="2:16" x14ac:dyDescent="0.2">
      <c r="B451" s="37">
        <f>IF(EXACT(DataLookUp!$B451, ""), "", DataLookUp!$B451)</f>
        <v>32000000000448</v>
      </c>
      <c r="C451" s="38" t="str">
        <f>MAIN!C451</f>
        <v>Triani Irma</v>
      </c>
      <c r="D451" s="91">
        <v>163000000000003</v>
      </c>
      <c r="E451" s="37" t="str">
        <f>IF(EXACT($D451, ""), "", VLOOKUP($D451, [2]DataLookUp!$B$4:$D$15, 2, FALSE ))</f>
        <v>Karyawan Tidak Tetap (Kontrak)</v>
      </c>
      <c r="F451" s="91"/>
      <c r="G451" s="37" t="str">
        <f>IF(EXACT($F451, ""), "", VLOOKUP($F451, 'MAIN - OrgDepartment'!$C$3:$D$104, 2, FALSE))</f>
        <v/>
      </c>
      <c r="H451" s="91"/>
      <c r="I451" s="37" t="str">
        <f>IF(EXACT($H451, ""), "", VLOOKUP($H451, 'MAIN - OrgJobsPos'!$B$2:$C$101, 2, FALSE))</f>
        <v/>
      </c>
      <c r="J451" s="67"/>
      <c r="K451" s="63"/>
      <c r="L451" s="10" t="s">
        <v>7</v>
      </c>
      <c r="M451" s="11"/>
      <c r="O451" s="29">
        <f t="shared" si="12"/>
        <v>164000000000448</v>
      </c>
      <c r="P451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32000000000448::bigint, 163000000000003::bigint, null::bigint, null::bigint, null::varchar, null::timestamptz, '1900-12-31 23:59:59+07'::timestamptz, null::bigint);</v>
      </c>
    </row>
    <row r="452" spans="2:16" x14ac:dyDescent="0.2">
      <c r="B452" s="37">
        <f>IF(EXACT(DataLookUp!$B452, ""), "", DataLookUp!$B452)</f>
        <v>32000000000449</v>
      </c>
      <c r="C452" s="38" t="str">
        <f>MAIN!C452</f>
        <v>Trisyanto</v>
      </c>
      <c r="D452" s="91">
        <v>163000000000003</v>
      </c>
      <c r="E452" s="37" t="str">
        <f>IF(EXACT($D452, ""), "", VLOOKUP($D452, [2]DataLookUp!$B$4:$D$15, 2, FALSE ))</f>
        <v>Karyawan Tidak Tetap (Kontrak)</v>
      </c>
      <c r="F452" s="91"/>
      <c r="G452" s="37" t="str">
        <f>IF(EXACT($F452, ""), "", VLOOKUP($F452, 'MAIN - OrgDepartment'!$C$3:$D$104, 2, FALSE))</f>
        <v/>
      </c>
      <c r="H452" s="91"/>
      <c r="I452" s="37" t="str">
        <f>IF(EXACT($H452, ""), "", VLOOKUP($H452, 'MAIN - OrgJobsPos'!$B$2:$C$101, 2, FALSE))</f>
        <v/>
      </c>
      <c r="J452" s="67"/>
      <c r="K452" s="63"/>
      <c r="L452" s="10" t="s">
        <v>7</v>
      </c>
      <c r="M452" s="11"/>
      <c r="O452" s="29">
        <f t="shared" si="12"/>
        <v>164000000000449</v>
      </c>
      <c r="P452" s="30" t="str">
        <f t="shared" si="13"/>
        <v>PERFORM "SchData-OLTP-HumanResource"."Func_TblWorkerCareerInternal_SET"(varSystemLoginSession, null::bigint, null::varchar, null::timestamptz, '1900-12-31 23:59:59+07'::timestamptz, null::varchar, varInstitutionBranchID, varBaseCurrencyID, 32000000000449::bigint, 163000000000003::bigint, null::bigint, null::bigint, null::varchar, null::timestamptz, '1900-12-31 23:59:59+07'::timestamptz, null::bigint);</v>
      </c>
    </row>
    <row r="453" spans="2:16" x14ac:dyDescent="0.2">
      <c r="B453" s="37">
        <f>IF(EXACT(DataLookUp!$B453, ""), "", DataLookUp!$B453)</f>
        <v>32000000000450</v>
      </c>
      <c r="C453" s="38" t="str">
        <f>MAIN!C453</f>
        <v>Triwiarti Dibya</v>
      </c>
      <c r="D453" s="91">
        <v>163000000000002</v>
      </c>
      <c r="E453" s="37" t="str">
        <f>IF(EXACT($D453, ""), "", VLOOKUP($D453, [2]DataLookUp!$B$4:$D$15, 2, FALSE ))</f>
        <v>Karyawan Tetap (Purna Waktu)</v>
      </c>
      <c r="F453" s="91"/>
      <c r="G453" s="37" t="str">
        <f>IF(EXACT($F453, ""), "", VLOOKUP($F453, 'MAIN - OrgDepartment'!$C$3:$D$104, 2, FALSE))</f>
        <v/>
      </c>
      <c r="H453" s="91"/>
      <c r="I453" s="37" t="str">
        <f>IF(EXACT($H453, ""), "", VLOOKUP($H453, 'MAIN - OrgJobsPos'!$B$2:$C$101, 2, FALSE))</f>
        <v/>
      </c>
      <c r="J453" s="67"/>
      <c r="K453" s="63"/>
      <c r="L453" s="10" t="s">
        <v>7</v>
      </c>
      <c r="M453" s="11"/>
      <c r="O453" s="29">
        <f t="shared" ref="O453:O516" si="14" xml:space="preserve"> O452 + IF(EXACT(P453, ""), 0, 1)</f>
        <v>164000000000450</v>
      </c>
      <c r="P453" s="30" t="str">
        <f t="shared" ref="P453:P516" si="15">CONCATENATE("PERFORM ""SchData-OLTP-HumanResource"".""Func_TblWorkerCareerInternal_SET""(varSystemLoginSession, null::bigint, null::varchar",
CONCATENATE(IF(EXACT($K453, ""), ", null", CONCATENATE(", '", $K453, "'")), "::timestamptz"),
CONCATENATE(IF(EXACT($L453, ""), ", null", CONCATENATE(", '", $L453, "'")), "::timestamptz"),
", null::varchar, varInstitutionBranchID, varBaseCurrencyID",
CONCATENATE(IF(EXACT($B453, ""), ", null", CONCATENATE(", ", $B453, "")), "::bigint"),
CONCATENATE(IF(EXACT($D453, ""), ", null", CONCATENATE(", ", $D453, "")), "::bigint"),
CONCATENATE(IF(EXACT($F453, ""), ", null", CONCATENATE(", ", $F453, "")), "::bigint"),
CONCATENATE(IF(EXACT($H453, ""), ", null", CONCATENATE(", ", $H453, "")), "::bigint"),
CONCATENATE(IF(EXACT($J453, ""), ", null", CONCATENATE(", '", $J453, "'")), "::varchar"),
CONCATENATE(IF(EXACT($K453, ""), ", null", CONCATENATE(", '", $K453, "'")), "::timestamptz"),
CONCATENATE(IF(EXACT($L453, ""), ", null", CONCATENATE(", '", $L453, "'")), "::timestamptz"),
CONCATENATE(IF(EXACT($M453, ""), ", null", CONCATENATE(", ", $M453, "")), "::bigint"),
");")</f>
        <v>PERFORM "SchData-OLTP-HumanResource"."Func_TblWorkerCareerInternal_SET"(varSystemLoginSession, null::bigint, null::varchar, null::timestamptz, '1900-12-31 23:59:59+07'::timestamptz, null::varchar, varInstitutionBranchID, varBaseCurrencyID, 32000000000450::bigint, 163000000000002::bigint, null::bigint, null::bigint, null::varchar, null::timestamptz, '1900-12-31 23:59:59+07'::timestamptz, null::bigint);</v>
      </c>
    </row>
    <row r="454" spans="2:16" x14ac:dyDescent="0.2">
      <c r="B454" s="37">
        <f>IF(EXACT(DataLookUp!$B454, ""), "", DataLookUp!$B454)</f>
        <v>32000000000451</v>
      </c>
      <c r="C454" s="38" t="str">
        <f>MAIN!C454</f>
        <v>Triyono</v>
      </c>
      <c r="D454" s="91">
        <v>163000000000003</v>
      </c>
      <c r="E454" s="37" t="str">
        <f>IF(EXACT($D454, ""), "", VLOOKUP($D454, [2]DataLookUp!$B$4:$D$15, 2, FALSE ))</f>
        <v>Karyawan Tidak Tetap (Kontrak)</v>
      </c>
      <c r="F454" s="91"/>
      <c r="G454" s="37" t="str">
        <f>IF(EXACT($F454, ""), "", VLOOKUP($F454, 'MAIN - OrgDepartment'!$C$3:$D$104, 2, FALSE))</f>
        <v/>
      </c>
      <c r="H454" s="91"/>
      <c r="I454" s="37" t="str">
        <f>IF(EXACT($H454, ""), "", VLOOKUP($H454, 'MAIN - OrgJobsPos'!$B$2:$C$101, 2, FALSE))</f>
        <v/>
      </c>
      <c r="J454" s="67"/>
      <c r="K454" s="63"/>
      <c r="L454" s="10" t="s">
        <v>7</v>
      </c>
      <c r="M454" s="11"/>
      <c r="O454" s="29">
        <f t="shared" si="14"/>
        <v>164000000000451</v>
      </c>
      <c r="P454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32000000000451::bigint, 163000000000003::bigint, null::bigint, null::bigint, null::varchar, null::timestamptz, '1900-12-31 23:59:59+07'::timestamptz, null::bigint);</v>
      </c>
    </row>
    <row r="455" spans="2:16" x14ac:dyDescent="0.2">
      <c r="B455" s="37">
        <f>IF(EXACT(DataLookUp!$B455, ""), "", DataLookUp!$B455)</f>
        <v>32000000000452</v>
      </c>
      <c r="C455" s="38" t="str">
        <f>MAIN!C455</f>
        <v>Turita Pramuning Marantina</v>
      </c>
      <c r="D455" s="91">
        <v>163000000000003</v>
      </c>
      <c r="E455" s="37" t="str">
        <f>IF(EXACT($D455, ""), "", VLOOKUP($D455, [2]DataLookUp!$B$4:$D$15, 2, FALSE ))</f>
        <v>Karyawan Tidak Tetap (Kontrak)</v>
      </c>
      <c r="F455" s="91">
        <v>111000000000004</v>
      </c>
      <c r="G455" s="37" t="str">
        <f>IF(EXACT($F455, ""), "", VLOOKUP($F455, 'MAIN - OrgDepartment'!$C$3:$D$104, 2, FALSE))</f>
        <v>Sales &amp; Marketing</v>
      </c>
      <c r="H455" s="91">
        <v>160000000000007</v>
      </c>
      <c r="I455" s="37" t="str">
        <f>IF(EXACT($H455, ""), "", VLOOKUP($H455, 'MAIN - OrgJobsPos'!$B$2:$C$101, 2, FALSE))</f>
        <v>Senior Manager</v>
      </c>
      <c r="J455" s="67" t="s">
        <v>187</v>
      </c>
      <c r="K455" s="63" t="s">
        <v>249</v>
      </c>
      <c r="L455" s="10" t="s">
        <v>3</v>
      </c>
      <c r="M455" s="11"/>
      <c r="O455" s="29">
        <f t="shared" si="14"/>
        <v>164000000000452</v>
      </c>
      <c r="P455" s="30" t="str">
        <f t="shared" si="15"/>
        <v>PERFORM "SchData-OLTP-HumanResource"."Func_TblWorkerCareerInternal_SET"(varSystemLoginSession, null::bigint, null::varchar, '2018-08-09 00:00:00+07'::timestamptz, '9999-12-31 23:59:59+07'::timestamptz, null::varchar, varInstitutionBranchID, varBaseCurrencyID, 32000000000452::bigint, 163000000000003::bigint, 111000000000004::bigint, 160000000000007::bigint, 'Relation Manager'::varchar, '2018-08-09 00:00:00+07'::timestamptz, '9999-12-31 23:59:59+07'::timestamptz, null::bigint);</v>
      </c>
    </row>
    <row r="456" spans="2:16" x14ac:dyDescent="0.2">
      <c r="B456" s="37">
        <f>IF(EXACT(DataLookUp!$B456, ""), "", DataLookUp!$B456)</f>
        <v>32000000000453</v>
      </c>
      <c r="C456" s="38" t="str">
        <f>MAIN!C456</f>
        <v>Tutus Ary</v>
      </c>
      <c r="D456" s="91">
        <v>163000000000003</v>
      </c>
      <c r="E456" s="37" t="str">
        <f>IF(EXACT($D456, ""), "", VLOOKUP($D456, [2]DataLookUp!$B$4:$D$15, 2, FALSE ))</f>
        <v>Karyawan Tidak Tetap (Kontrak)</v>
      </c>
      <c r="F456" s="91"/>
      <c r="G456" s="37" t="str">
        <f>IF(EXACT($F456, ""), "", VLOOKUP($F456, 'MAIN - OrgDepartment'!$C$3:$D$104, 2, FALSE))</f>
        <v/>
      </c>
      <c r="H456" s="91"/>
      <c r="I456" s="37" t="str">
        <f>IF(EXACT($H456, ""), "", VLOOKUP($H456, 'MAIN - OrgJobsPos'!$B$2:$C$101, 2, FALSE))</f>
        <v/>
      </c>
      <c r="J456" s="67"/>
      <c r="K456" s="63"/>
      <c r="L456" s="10" t="s">
        <v>7</v>
      </c>
      <c r="M456" s="11"/>
      <c r="O456" s="29">
        <f t="shared" si="14"/>
        <v>164000000000453</v>
      </c>
      <c r="P456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32000000000453::bigint, 163000000000003::bigint, null::bigint, null::bigint, null::varchar, null::timestamptz, '1900-12-31 23:59:59+07'::timestamptz, null::bigint);</v>
      </c>
    </row>
    <row r="457" spans="2:16" x14ac:dyDescent="0.2">
      <c r="B457" s="37">
        <f>IF(EXACT(DataLookUp!$B457, ""), "", DataLookUp!$B457)</f>
        <v>32000000000454</v>
      </c>
      <c r="C457" s="38" t="str">
        <f>MAIN!C457</f>
        <v>Ubaidillah</v>
      </c>
      <c r="D457" s="91">
        <v>163000000000003</v>
      </c>
      <c r="E457" s="37" t="str">
        <f>IF(EXACT($D457, ""), "", VLOOKUP($D457, [2]DataLookUp!$B$4:$D$15, 2, FALSE ))</f>
        <v>Karyawan Tidak Tetap (Kontrak)</v>
      </c>
      <c r="F457" s="91"/>
      <c r="G457" s="37" t="str">
        <f>IF(EXACT($F457, ""), "", VLOOKUP($F457, 'MAIN - OrgDepartment'!$C$3:$D$104, 2, FALSE))</f>
        <v/>
      </c>
      <c r="H457" s="91"/>
      <c r="I457" s="37" t="str">
        <f>IF(EXACT($H457, ""), "", VLOOKUP($H457, 'MAIN - OrgJobsPos'!$B$2:$C$101, 2, FALSE))</f>
        <v/>
      </c>
      <c r="J457" s="67"/>
      <c r="K457" s="63"/>
      <c r="L457" s="10" t="s">
        <v>7</v>
      </c>
      <c r="M457" s="11"/>
      <c r="O457" s="29">
        <f t="shared" si="14"/>
        <v>164000000000454</v>
      </c>
      <c r="P457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32000000000454::bigint, 163000000000003::bigint, null::bigint, null::bigint, null::varchar, null::timestamptz, '1900-12-31 23:59:59+07'::timestamptz, null::bigint);</v>
      </c>
    </row>
    <row r="458" spans="2:16" x14ac:dyDescent="0.2">
      <c r="B458" s="37">
        <f>IF(EXACT(DataLookUp!$B458, ""), "", DataLookUp!$B458)</f>
        <v>32000000000455</v>
      </c>
      <c r="C458" s="38" t="str">
        <f>MAIN!C458</f>
        <v>Ujang Barma</v>
      </c>
      <c r="D458" s="91">
        <v>163000000000003</v>
      </c>
      <c r="E458" s="37" t="str">
        <f>IF(EXACT($D458, ""), "", VLOOKUP($D458, [2]DataLookUp!$B$4:$D$15, 2, FALSE ))</f>
        <v>Karyawan Tidak Tetap (Kontrak)</v>
      </c>
      <c r="F458" s="91"/>
      <c r="G458" s="37" t="str">
        <f>IF(EXACT($F458, ""), "", VLOOKUP($F458, 'MAIN - OrgDepartment'!$C$3:$D$104, 2, FALSE))</f>
        <v/>
      </c>
      <c r="H458" s="91"/>
      <c r="I458" s="37" t="str">
        <f>IF(EXACT($H458, ""), "", VLOOKUP($H458, 'MAIN - OrgJobsPos'!$B$2:$C$101, 2, FALSE))</f>
        <v/>
      </c>
      <c r="J458" s="67"/>
      <c r="K458" s="63"/>
      <c r="L458" s="10" t="s">
        <v>7</v>
      </c>
      <c r="M458" s="11"/>
      <c r="O458" s="29">
        <f t="shared" si="14"/>
        <v>164000000000455</v>
      </c>
      <c r="P458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32000000000455::bigint, 163000000000003::bigint, null::bigint, null::bigint, null::varchar, null::timestamptz, '1900-12-31 23:59:59+07'::timestamptz, null::bigint);</v>
      </c>
    </row>
    <row r="459" spans="2:16" x14ac:dyDescent="0.2">
      <c r="B459" s="37">
        <f>IF(EXACT(DataLookUp!$B459, ""), "", DataLookUp!$B459)</f>
        <v>32000000000456</v>
      </c>
      <c r="C459" s="38" t="str">
        <f>MAIN!C459</f>
        <v>Ujang Suryana</v>
      </c>
      <c r="D459" s="91">
        <v>163000000000003</v>
      </c>
      <c r="E459" s="37" t="str">
        <f>IF(EXACT($D459, ""), "", VLOOKUP($D459, [2]DataLookUp!$B$4:$D$15, 2, FALSE ))</f>
        <v>Karyawan Tidak Tetap (Kontrak)</v>
      </c>
      <c r="F459" s="91"/>
      <c r="G459" s="37" t="str">
        <f>IF(EXACT($F459, ""), "", VLOOKUP($F459, 'MAIN - OrgDepartment'!$C$3:$D$104, 2, FALSE))</f>
        <v/>
      </c>
      <c r="H459" s="91"/>
      <c r="I459" s="37" t="str">
        <f>IF(EXACT($H459, ""), "", VLOOKUP($H459, 'MAIN - OrgJobsPos'!$B$2:$C$101, 2, FALSE))</f>
        <v/>
      </c>
      <c r="J459" s="67"/>
      <c r="K459" s="63"/>
      <c r="L459" s="10" t="s">
        <v>7</v>
      </c>
      <c r="M459" s="11"/>
      <c r="O459" s="29">
        <f t="shared" si="14"/>
        <v>164000000000456</v>
      </c>
      <c r="P459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32000000000456::bigint, 163000000000003::bigint, null::bigint, null::bigint, null::varchar, null::timestamptz, '1900-12-31 23:59:59+07'::timestamptz, null::bigint);</v>
      </c>
    </row>
    <row r="460" spans="2:16" x14ac:dyDescent="0.2">
      <c r="B460" s="37">
        <f>IF(EXACT(DataLookUp!$B460, ""), "", DataLookUp!$B460)</f>
        <v>32000000000457</v>
      </c>
      <c r="C460" s="38" t="str">
        <f>MAIN!C460</f>
        <v>Ulman Juanda</v>
      </c>
      <c r="D460" s="91">
        <v>163000000000003</v>
      </c>
      <c r="E460" s="37" t="str">
        <f>IF(EXACT($D460, ""), "", VLOOKUP($D460, [2]DataLookUp!$B$4:$D$15, 2, FALSE ))</f>
        <v>Karyawan Tidak Tetap (Kontrak)</v>
      </c>
      <c r="F460" s="91"/>
      <c r="G460" s="37" t="str">
        <f>IF(EXACT($F460, ""), "", VLOOKUP($F460, 'MAIN - OrgDepartment'!$C$3:$D$104, 2, FALSE))</f>
        <v/>
      </c>
      <c r="H460" s="91"/>
      <c r="I460" s="37" t="str">
        <f>IF(EXACT($H460, ""), "", VLOOKUP($H460, 'MAIN - OrgJobsPos'!$B$2:$C$101, 2, FALSE))</f>
        <v/>
      </c>
      <c r="J460" s="67"/>
      <c r="K460" s="63"/>
      <c r="L460" s="10" t="s">
        <v>7</v>
      </c>
      <c r="M460" s="11"/>
      <c r="O460" s="29">
        <f t="shared" si="14"/>
        <v>164000000000457</v>
      </c>
      <c r="P460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32000000000457::bigint, 163000000000003::bigint, null::bigint, null::bigint, null::varchar, null::timestamptz, '1900-12-31 23:59:59+07'::timestamptz, null::bigint);</v>
      </c>
    </row>
    <row r="461" spans="2:16" x14ac:dyDescent="0.2">
      <c r="B461" s="37">
        <f>IF(EXACT(DataLookUp!$B461, ""), "", DataLookUp!$B461)</f>
        <v>32000000000458</v>
      </c>
      <c r="C461" s="38" t="str">
        <f>MAIN!C461</f>
        <v>Urbanus Boimau</v>
      </c>
      <c r="D461" s="91">
        <v>163000000000003</v>
      </c>
      <c r="E461" s="37" t="str">
        <f>IF(EXACT($D461, ""), "", VLOOKUP($D461, [2]DataLookUp!$B$4:$D$15, 2, FALSE ))</f>
        <v>Karyawan Tidak Tetap (Kontrak)</v>
      </c>
      <c r="F461" s="91">
        <v>111000000000023</v>
      </c>
      <c r="G461" s="37" t="str">
        <f>IF(EXACT($F461, ""), "", VLOOKUP($F461, 'MAIN - OrgDepartment'!$C$3:$D$104, 2, FALSE))</f>
        <v>Operation &amp; Maintenance</v>
      </c>
      <c r="H461" s="91">
        <v>160000000000002</v>
      </c>
      <c r="I461" s="37" t="str">
        <f>IF(EXACT($H461, ""), "", VLOOKUP($H461, 'MAIN - OrgJobsPos'!$B$2:$C$101, 2, FALSE))</f>
        <v>Senior Clerical</v>
      </c>
      <c r="J461" s="67" t="s">
        <v>195</v>
      </c>
      <c r="K461" s="63"/>
      <c r="L461" s="10" t="s">
        <v>7</v>
      </c>
      <c r="M461" s="11"/>
      <c r="O461" s="29">
        <f t="shared" si="14"/>
        <v>164000000000458</v>
      </c>
      <c r="P461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32000000000458::bigint, 163000000000003::bigint, 111000000000023::bigint, 160000000000002::bigint, 'Driver'::varchar, null::timestamptz, '1900-12-31 23:59:59+07'::timestamptz, null::bigint);</v>
      </c>
    </row>
    <row r="462" spans="2:16" x14ac:dyDescent="0.2">
      <c r="B462" s="37">
        <f>IF(EXACT(DataLookUp!$B462, ""), "", DataLookUp!$B462)</f>
        <v>32000000000459</v>
      </c>
      <c r="C462" s="38" t="str">
        <f>MAIN!C462</f>
        <v>Uswatun Hasamah</v>
      </c>
      <c r="D462" s="91">
        <v>163000000000003</v>
      </c>
      <c r="E462" s="37" t="str">
        <f>IF(EXACT($D462, ""), "", VLOOKUP($D462, [2]DataLookUp!$B$4:$D$15, 2, FALSE ))</f>
        <v>Karyawan Tidak Tetap (Kontrak)</v>
      </c>
      <c r="F462" s="91"/>
      <c r="G462" s="37" t="str">
        <f>IF(EXACT($F462, ""), "", VLOOKUP($F462, 'MAIN - OrgDepartment'!$C$3:$D$104, 2, FALSE))</f>
        <v/>
      </c>
      <c r="H462" s="91"/>
      <c r="I462" s="37" t="str">
        <f>IF(EXACT($H462, ""), "", VLOOKUP($H462, 'MAIN - OrgJobsPos'!$B$2:$C$101, 2, FALSE))</f>
        <v/>
      </c>
      <c r="J462" s="67"/>
      <c r="K462" s="63"/>
      <c r="L462" s="10" t="s">
        <v>7</v>
      </c>
      <c r="M462" s="11"/>
      <c r="O462" s="29">
        <f t="shared" si="14"/>
        <v>164000000000459</v>
      </c>
      <c r="P462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32000000000459::bigint, 163000000000003::bigint, null::bigint, null::bigint, null::varchar, null::timestamptz, '1900-12-31 23:59:59+07'::timestamptz, null::bigint);</v>
      </c>
    </row>
    <row r="463" spans="2:16" x14ac:dyDescent="0.2">
      <c r="B463" s="37">
        <f>IF(EXACT(DataLookUp!$B463, ""), "", DataLookUp!$B463)</f>
        <v>32000000000460</v>
      </c>
      <c r="C463" s="38" t="str">
        <f>MAIN!C463</f>
        <v>Uswatun Khasanah</v>
      </c>
      <c r="D463" s="91">
        <v>163000000000003</v>
      </c>
      <c r="E463" s="37" t="str">
        <f>IF(EXACT($D463, ""), "", VLOOKUP($D463, [2]DataLookUp!$B$4:$D$15, 2, FALSE ))</f>
        <v>Karyawan Tidak Tetap (Kontrak)</v>
      </c>
      <c r="F463" s="91"/>
      <c r="G463" s="37" t="str">
        <f>IF(EXACT($F463, ""), "", VLOOKUP($F463, 'MAIN - OrgDepartment'!$C$3:$D$104, 2, FALSE))</f>
        <v/>
      </c>
      <c r="H463" s="91"/>
      <c r="I463" s="37" t="str">
        <f>IF(EXACT($H463, ""), "", VLOOKUP($H463, 'MAIN - OrgJobsPos'!$B$2:$C$101, 2, FALSE))</f>
        <v/>
      </c>
      <c r="J463" s="67"/>
      <c r="K463" s="63"/>
      <c r="L463" s="10" t="s">
        <v>7</v>
      </c>
      <c r="M463" s="11"/>
      <c r="O463" s="29">
        <f t="shared" si="14"/>
        <v>164000000000460</v>
      </c>
      <c r="P463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32000000000460::bigint, 163000000000003::bigint, null::bigint, null::bigint, null::varchar, null::timestamptz, '1900-12-31 23:59:59+07'::timestamptz, null::bigint);</v>
      </c>
    </row>
    <row r="464" spans="2:16" x14ac:dyDescent="0.2">
      <c r="B464" s="37">
        <f>IF(EXACT(DataLookUp!$B464, ""), "", DataLookUp!$B464)</f>
        <v>32000000000461</v>
      </c>
      <c r="C464" s="38" t="str">
        <f>MAIN!C464</f>
        <v>Utami Dewi</v>
      </c>
      <c r="D464" s="91">
        <v>163000000000003</v>
      </c>
      <c r="E464" s="37" t="str">
        <f>IF(EXACT($D464, ""), "", VLOOKUP($D464, [2]DataLookUp!$B$4:$D$15, 2, FALSE ))</f>
        <v>Karyawan Tidak Tetap (Kontrak)</v>
      </c>
      <c r="F464" s="91"/>
      <c r="G464" s="37" t="str">
        <f>IF(EXACT($F464, ""), "", VLOOKUP($F464, 'MAIN - OrgDepartment'!$C$3:$D$104, 2, FALSE))</f>
        <v/>
      </c>
      <c r="H464" s="91"/>
      <c r="I464" s="37" t="str">
        <f>IF(EXACT($H464, ""), "", VLOOKUP($H464, 'MAIN - OrgJobsPos'!$B$2:$C$101, 2, FALSE))</f>
        <v/>
      </c>
      <c r="J464" s="67"/>
      <c r="K464" s="63"/>
      <c r="L464" s="10" t="s">
        <v>7</v>
      </c>
      <c r="M464" s="11"/>
      <c r="O464" s="29">
        <f t="shared" si="14"/>
        <v>164000000000461</v>
      </c>
      <c r="P464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32000000000461::bigint, 163000000000003::bigint, null::bigint, null::bigint, null::varchar, null::timestamptz, '1900-12-31 23:59:59+07'::timestamptz, null::bigint);</v>
      </c>
    </row>
    <row r="465" spans="2:16" x14ac:dyDescent="0.2">
      <c r="B465" s="37">
        <f>IF(EXACT(DataLookUp!$B465, ""), "", DataLookUp!$B465)</f>
        <v>32000000000462</v>
      </c>
      <c r="C465" s="38" t="str">
        <f>MAIN!C465</f>
        <v>Utanto</v>
      </c>
      <c r="D465" s="91">
        <v>163000000000003</v>
      </c>
      <c r="E465" s="37" t="str">
        <f>IF(EXACT($D465, ""), "", VLOOKUP($D465, [2]DataLookUp!$B$4:$D$15, 2, FALSE ))</f>
        <v>Karyawan Tidak Tetap (Kontrak)</v>
      </c>
      <c r="F465" s="91"/>
      <c r="G465" s="37" t="str">
        <f>IF(EXACT($F465, ""), "", VLOOKUP($F465, 'MAIN - OrgDepartment'!$C$3:$D$104, 2, FALSE))</f>
        <v/>
      </c>
      <c r="H465" s="91"/>
      <c r="I465" s="37" t="str">
        <f>IF(EXACT($H465, ""), "", VLOOKUP($H465, 'MAIN - OrgJobsPos'!$B$2:$C$101, 2, FALSE))</f>
        <v/>
      </c>
      <c r="J465" s="67"/>
      <c r="K465" s="63"/>
      <c r="L465" s="10" t="s">
        <v>7</v>
      </c>
      <c r="M465" s="11"/>
      <c r="O465" s="29">
        <f t="shared" si="14"/>
        <v>164000000000462</v>
      </c>
      <c r="P465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32000000000462::bigint, 163000000000003::bigint, null::bigint, null::bigint, null::varchar, null::timestamptz, '1900-12-31 23:59:59+07'::timestamptz, null::bigint);</v>
      </c>
    </row>
    <row r="466" spans="2:16" x14ac:dyDescent="0.2">
      <c r="B466" s="37">
        <f>IF(EXACT(DataLookUp!$B466, ""), "", DataLookUp!$B466)</f>
        <v>32000000000463</v>
      </c>
      <c r="C466" s="38" t="str">
        <f>MAIN!C466</f>
        <v>Veradita Yulanda</v>
      </c>
      <c r="D466" s="91">
        <v>163000000000003</v>
      </c>
      <c r="E466" s="37" t="str">
        <f>IF(EXACT($D466, ""), "", VLOOKUP($D466, [2]DataLookUp!$B$4:$D$15, 2, FALSE ))</f>
        <v>Karyawan Tidak Tetap (Kontrak)</v>
      </c>
      <c r="F466" s="91"/>
      <c r="G466" s="37" t="str">
        <f>IF(EXACT($F466, ""), "", VLOOKUP($F466, 'MAIN - OrgDepartment'!$C$3:$D$104, 2, FALSE))</f>
        <v/>
      </c>
      <c r="H466" s="91"/>
      <c r="I466" s="37" t="str">
        <f>IF(EXACT($H466, ""), "", VLOOKUP($H466, 'MAIN - OrgJobsPos'!$B$2:$C$101, 2, FALSE))</f>
        <v/>
      </c>
      <c r="J466" s="67"/>
      <c r="K466" s="63"/>
      <c r="L466" s="10" t="s">
        <v>7</v>
      </c>
      <c r="M466" s="11"/>
      <c r="O466" s="29">
        <f t="shared" si="14"/>
        <v>164000000000463</v>
      </c>
      <c r="P466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32000000000463::bigint, 163000000000003::bigint, null::bigint, null::bigint, null::varchar, null::timestamptz, '1900-12-31 23:59:59+07'::timestamptz, null::bigint);</v>
      </c>
    </row>
    <row r="467" spans="2:16" x14ac:dyDescent="0.2">
      <c r="B467" s="37">
        <f>IF(EXACT(DataLookUp!$B467, ""), "", DataLookUp!$B467)</f>
        <v>32000000000464</v>
      </c>
      <c r="C467" s="38" t="str">
        <f>MAIN!C467</f>
        <v>Vidhy Kartika Putri</v>
      </c>
      <c r="D467" s="91">
        <v>163000000000003</v>
      </c>
      <c r="E467" s="37" t="str">
        <f>IF(EXACT($D467, ""), "", VLOOKUP($D467, [2]DataLookUp!$B$4:$D$15, 2, FALSE ))</f>
        <v>Karyawan Tidak Tetap (Kontrak)</v>
      </c>
      <c r="F467" s="91"/>
      <c r="G467" s="37" t="str">
        <f>IF(EXACT($F467, ""), "", VLOOKUP($F467, 'MAIN - OrgDepartment'!$C$3:$D$104, 2, FALSE))</f>
        <v/>
      </c>
      <c r="H467" s="91"/>
      <c r="I467" s="37" t="str">
        <f>IF(EXACT($H467, ""), "", VLOOKUP($H467, 'MAIN - OrgJobsPos'!$B$2:$C$101, 2, FALSE))</f>
        <v/>
      </c>
      <c r="J467" s="67"/>
      <c r="K467" s="63"/>
      <c r="L467" s="10" t="s">
        <v>7</v>
      </c>
      <c r="M467" s="11"/>
      <c r="O467" s="29">
        <f t="shared" si="14"/>
        <v>164000000000464</v>
      </c>
      <c r="P467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32000000000464::bigint, 163000000000003::bigint, null::bigint, null::bigint, null::varchar, null::timestamptz, '1900-12-31 23:59:59+07'::timestamptz, null::bigint);</v>
      </c>
    </row>
    <row r="468" spans="2:16" x14ac:dyDescent="0.2">
      <c r="B468" s="37">
        <f>IF(EXACT(DataLookUp!$B468, ""), "", DataLookUp!$B468)</f>
        <v>32000000000465</v>
      </c>
      <c r="C468" s="38" t="str">
        <f>MAIN!C468</f>
        <v>Vonny Agram</v>
      </c>
      <c r="D468" s="91">
        <v>163000000000003</v>
      </c>
      <c r="E468" s="37" t="str">
        <f>IF(EXACT($D468, ""), "", VLOOKUP($D468, [2]DataLookUp!$B$4:$D$15, 2, FALSE ))</f>
        <v>Karyawan Tidak Tetap (Kontrak)</v>
      </c>
      <c r="F468" s="91"/>
      <c r="G468" s="37" t="str">
        <f>IF(EXACT($F468, ""), "", VLOOKUP($F468, 'MAIN - OrgDepartment'!$C$3:$D$104, 2, FALSE))</f>
        <v/>
      </c>
      <c r="H468" s="91"/>
      <c r="I468" s="37" t="str">
        <f>IF(EXACT($H468, ""), "", VLOOKUP($H468, 'MAIN - OrgJobsPos'!$B$2:$C$101, 2, FALSE))</f>
        <v/>
      </c>
      <c r="J468" s="67"/>
      <c r="K468" s="63"/>
      <c r="L468" s="10" t="s">
        <v>7</v>
      </c>
      <c r="M468" s="11"/>
      <c r="O468" s="29">
        <f t="shared" si="14"/>
        <v>164000000000465</v>
      </c>
      <c r="P468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32000000000465::bigint, 163000000000003::bigint, null::bigint, null::bigint, null::varchar, null::timestamptz, '1900-12-31 23:59:59+07'::timestamptz, null::bigint);</v>
      </c>
    </row>
    <row r="469" spans="2:16" x14ac:dyDescent="0.2">
      <c r="B469" s="37">
        <f>IF(EXACT(DataLookUp!$B469, ""), "", DataLookUp!$B469)</f>
        <v>32000000000466</v>
      </c>
      <c r="C469" s="38" t="str">
        <f>MAIN!C469</f>
        <v>Wahyu</v>
      </c>
      <c r="D469" s="91">
        <v>163000000000003</v>
      </c>
      <c r="E469" s="37" t="str">
        <f>IF(EXACT($D469, ""), "", VLOOKUP($D469, [2]DataLookUp!$B$4:$D$15, 2, FALSE ))</f>
        <v>Karyawan Tidak Tetap (Kontrak)</v>
      </c>
      <c r="F469" s="91"/>
      <c r="G469" s="37" t="str">
        <f>IF(EXACT($F469, ""), "", VLOOKUP($F469, 'MAIN - OrgDepartment'!$C$3:$D$104, 2, FALSE))</f>
        <v/>
      </c>
      <c r="H469" s="91"/>
      <c r="I469" s="37" t="str">
        <f>IF(EXACT($H469, ""), "", VLOOKUP($H469, 'MAIN - OrgJobsPos'!$B$2:$C$101, 2, FALSE))</f>
        <v/>
      </c>
      <c r="J469" s="67"/>
      <c r="K469" s="63"/>
      <c r="L469" s="10" t="s">
        <v>7</v>
      </c>
      <c r="M469" s="11"/>
      <c r="O469" s="29">
        <f t="shared" si="14"/>
        <v>164000000000466</v>
      </c>
      <c r="P469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32000000000466::bigint, 163000000000003::bigint, null::bigint, null::bigint, null::varchar, null::timestamptz, '1900-12-31 23:59:59+07'::timestamptz, null::bigint);</v>
      </c>
    </row>
    <row r="470" spans="2:16" x14ac:dyDescent="0.2">
      <c r="B470" s="37">
        <f>IF(EXACT(DataLookUp!$B470, ""), "", DataLookUp!$B470)</f>
        <v>32000000000467</v>
      </c>
      <c r="C470" s="38" t="str">
        <f>MAIN!C470</f>
        <v>Wahyu Ramadhani</v>
      </c>
      <c r="D470" s="91">
        <v>163000000000003</v>
      </c>
      <c r="E470" s="37" t="str">
        <f>IF(EXACT($D470, ""), "", VLOOKUP($D470, [2]DataLookUp!$B$4:$D$15, 2, FALSE ))</f>
        <v>Karyawan Tidak Tetap (Kontrak)</v>
      </c>
      <c r="F470" s="91"/>
      <c r="G470" s="37" t="str">
        <f>IF(EXACT($F470, ""), "", VLOOKUP($F470, 'MAIN - OrgDepartment'!$C$3:$D$104, 2, FALSE))</f>
        <v/>
      </c>
      <c r="H470" s="91"/>
      <c r="I470" s="37" t="str">
        <f>IF(EXACT($H470, ""), "", VLOOKUP($H470, 'MAIN - OrgJobsPos'!$B$2:$C$101, 2, FALSE))</f>
        <v/>
      </c>
      <c r="J470" s="67"/>
      <c r="K470" s="63"/>
      <c r="L470" s="10" t="s">
        <v>7</v>
      </c>
      <c r="M470" s="11"/>
      <c r="O470" s="29">
        <f t="shared" si="14"/>
        <v>164000000000467</v>
      </c>
      <c r="P470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32000000000467::bigint, 163000000000003::bigint, null::bigint, null::bigint, null::varchar, null::timestamptz, '1900-12-31 23:59:59+07'::timestamptz, null::bigint);</v>
      </c>
    </row>
    <row r="471" spans="2:16" x14ac:dyDescent="0.2">
      <c r="B471" s="37">
        <f>IF(EXACT(DataLookUp!$B471, ""), "", DataLookUp!$B471)</f>
        <v>32000000000468</v>
      </c>
      <c r="C471" s="38" t="str">
        <f>MAIN!C471</f>
        <v>Wahyu Widodo</v>
      </c>
      <c r="D471" s="91">
        <v>163000000000003</v>
      </c>
      <c r="E471" s="37" t="str">
        <f>IF(EXACT($D471, ""), "", VLOOKUP($D471, [2]DataLookUp!$B$4:$D$15, 2, FALSE ))</f>
        <v>Karyawan Tidak Tetap (Kontrak)</v>
      </c>
      <c r="F471" s="91"/>
      <c r="G471" s="37" t="str">
        <f>IF(EXACT($F471, ""), "", VLOOKUP($F471, 'MAIN - OrgDepartment'!$C$3:$D$104, 2, FALSE))</f>
        <v/>
      </c>
      <c r="H471" s="91"/>
      <c r="I471" s="37" t="str">
        <f>IF(EXACT($H471, ""), "", VLOOKUP($H471, 'MAIN - OrgJobsPos'!$B$2:$C$101, 2, FALSE))</f>
        <v/>
      </c>
      <c r="J471" s="67"/>
      <c r="K471" s="63"/>
      <c r="L471" s="10" t="s">
        <v>7</v>
      </c>
      <c r="M471" s="11"/>
      <c r="O471" s="29">
        <f t="shared" si="14"/>
        <v>164000000000468</v>
      </c>
      <c r="P471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32000000000468::bigint, 163000000000003::bigint, null::bigint, null::bigint, null::varchar, null::timestamptz, '1900-12-31 23:59:59+07'::timestamptz, null::bigint);</v>
      </c>
    </row>
    <row r="472" spans="2:16" x14ac:dyDescent="0.2">
      <c r="B472" s="37">
        <f>IF(EXACT(DataLookUp!$B472, ""), "", DataLookUp!$B472)</f>
        <v>32000000000469</v>
      </c>
      <c r="C472" s="38" t="str">
        <f>MAIN!C472</f>
        <v>Warsito Edy Saputra</v>
      </c>
      <c r="D472" s="91">
        <v>163000000000003</v>
      </c>
      <c r="E472" s="37" t="str">
        <f>IF(EXACT($D472, ""), "", VLOOKUP($D472, [2]DataLookUp!$B$4:$D$15, 2, FALSE ))</f>
        <v>Karyawan Tidak Tetap (Kontrak)</v>
      </c>
      <c r="F472" s="91"/>
      <c r="G472" s="37" t="str">
        <f>IF(EXACT($F472, ""), "", VLOOKUP($F472, 'MAIN - OrgDepartment'!$C$3:$D$104, 2, FALSE))</f>
        <v/>
      </c>
      <c r="H472" s="91"/>
      <c r="I472" s="37" t="str">
        <f>IF(EXACT($H472, ""), "", VLOOKUP($H472, 'MAIN - OrgJobsPos'!$B$2:$C$101, 2, FALSE))</f>
        <v/>
      </c>
      <c r="J472" s="67"/>
      <c r="K472" s="63"/>
      <c r="L472" s="10" t="s">
        <v>7</v>
      </c>
      <c r="M472" s="11"/>
      <c r="O472" s="29">
        <f t="shared" si="14"/>
        <v>164000000000469</v>
      </c>
      <c r="P472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32000000000469::bigint, 163000000000003::bigint, null::bigint, null::bigint, null::varchar, null::timestamptz, '1900-12-31 23:59:59+07'::timestamptz, null::bigint);</v>
      </c>
    </row>
    <row r="473" spans="2:16" x14ac:dyDescent="0.2">
      <c r="B473" s="37">
        <f>IF(EXACT(DataLookUp!$B473, ""), "", DataLookUp!$B473)</f>
        <v>32000000000470</v>
      </c>
      <c r="C473" s="38" t="str">
        <f>MAIN!C473</f>
        <v>Weldi Wimar</v>
      </c>
      <c r="D473" s="91">
        <v>163000000000003</v>
      </c>
      <c r="E473" s="37" t="str">
        <f>IF(EXACT($D473, ""), "", VLOOKUP($D473, [2]DataLookUp!$B$4:$D$15, 2, FALSE ))</f>
        <v>Karyawan Tidak Tetap (Kontrak)</v>
      </c>
      <c r="F473" s="91"/>
      <c r="G473" s="37" t="str">
        <f>IF(EXACT($F473, ""), "", VLOOKUP($F473, 'MAIN - OrgDepartment'!$C$3:$D$104, 2, FALSE))</f>
        <v/>
      </c>
      <c r="H473" s="91"/>
      <c r="I473" s="37" t="str">
        <f>IF(EXACT($H473, ""), "", VLOOKUP($H473, 'MAIN - OrgJobsPos'!$B$2:$C$101, 2, FALSE))</f>
        <v/>
      </c>
      <c r="J473" s="67"/>
      <c r="K473" s="63"/>
      <c r="L473" s="10" t="s">
        <v>7</v>
      </c>
      <c r="M473" s="11"/>
      <c r="O473" s="29">
        <f t="shared" si="14"/>
        <v>164000000000470</v>
      </c>
      <c r="P473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32000000000470::bigint, 163000000000003::bigint, null::bigint, null::bigint, null::varchar, null::timestamptz, '1900-12-31 23:59:59+07'::timestamptz, null::bigint);</v>
      </c>
    </row>
    <row r="474" spans="2:16" x14ac:dyDescent="0.2">
      <c r="B474" s="37">
        <f>IF(EXACT(DataLookUp!$B474, ""), "", DataLookUp!$B474)</f>
        <v>32000000000471</v>
      </c>
      <c r="C474" s="38" t="str">
        <f>MAIN!C474</f>
        <v>Wendy Septiyan</v>
      </c>
      <c r="D474" s="91">
        <v>163000000000003</v>
      </c>
      <c r="E474" s="37" t="str">
        <f>IF(EXACT($D474, ""), "", VLOOKUP($D474, [2]DataLookUp!$B$4:$D$15, 2, FALSE ))</f>
        <v>Karyawan Tidak Tetap (Kontrak)</v>
      </c>
      <c r="F474" s="91"/>
      <c r="G474" s="37" t="str">
        <f>IF(EXACT($F474, ""), "", VLOOKUP($F474, 'MAIN - OrgDepartment'!$C$3:$D$104, 2, FALSE))</f>
        <v/>
      </c>
      <c r="H474" s="91"/>
      <c r="I474" s="37" t="str">
        <f>IF(EXACT($H474, ""), "", VLOOKUP($H474, 'MAIN - OrgJobsPos'!$B$2:$C$101, 2, FALSE))</f>
        <v/>
      </c>
      <c r="J474" s="67"/>
      <c r="K474" s="63"/>
      <c r="L474" s="10" t="s">
        <v>7</v>
      </c>
      <c r="M474" s="11"/>
      <c r="O474" s="29">
        <f t="shared" si="14"/>
        <v>164000000000471</v>
      </c>
      <c r="P474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32000000000471::bigint, 163000000000003::bigint, null::bigint, null::bigint, null::varchar, null::timestamptz, '1900-12-31 23:59:59+07'::timestamptz, null::bigint);</v>
      </c>
    </row>
    <row r="475" spans="2:16" x14ac:dyDescent="0.2">
      <c r="B475" s="37">
        <f>IF(EXACT(DataLookUp!$B475, ""), "", DataLookUp!$B475)</f>
        <v>32000000000472</v>
      </c>
      <c r="C475" s="38" t="str">
        <f>MAIN!C475</f>
        <v>Willy Indarto</v>
      </c>
      <c r="D475" s="91">
        <v>163000000000003</v>
      </c>
      <c r="E475" s="37" t="str">
        <f>IF(EXACT($D475, ""), "", VLOOKUP($D475, [2]DataLookUp!$B$4:$D$15, 2, FALSE ))</f>
        <v>Karyawan Tidak Tetap (Kontrak)</v>
      </c>
      <c r="F475" s="91"/>
      <c r="G475" s="37" t="str">
        <f>IF(EXACT($F475, ""), "", VLOOKUP($F475, 'MAIN - OrgDepartment'!$C$3:$D$104, 2, FALSE))</f>
        <v/>
      </c>
      <c r="H475" s="91"/>
      <c r="I475" s="37" t="str">
        <f>IF(EXACT($H475, ""), "", VLOOKUP($H475, 'MAIN - OrgJobsPos'!$B$2:$C$101, 2, FALSE))</f>
        <v/>
      </c>
      <c r="J475" s="67"/>
      <c r="K475" s="63"/>
      <c r="L475" s="10" t="s">
        <v>7</v>
      </c>
      <c r="M475" s="11"/>
      <c r="O475" s="29">
        <f t="shared" si="14"/>
        <v>164000000000472</v>
      </c>
      <c r="P475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32000000000472::bigint, 163000000000003::bigint, null::bigint, null::bigint, null::varchar, null::timestamptz, '1900-12-31 23:59:59+07'::timestamptz, null::bigint);</v>
      </c>
    </row>
    <row r="476" spans="2:16" x14ac:dyDescent="0.2">
      <c r="B476" s="37">
        <f>IF(EXACT(DataLookUp!$B476, ""), "", DataLookUp!$B476)</f>
        <v>32000000000473</v>
      </c>
      <c r="C476" s="38" t="str">
        <f>MAIN!C476</f>
        <v>Winda Suherman</v>
      </c>
      <c r="D476" s="91">
        <v>163000000000003</v>
      </c>
      <c r="E476" s="37" t="str">
        <f>IF(EXACT($D476, ""), "", VLOOKUP($D476, [2]DataLookUp!$B$4:$D$15, 2, FALSE ))</f>
        <v>Karyawan Tidak Tetap (Kontrak)</v>
      </c>
      <c r="F476" s="91"/>
      <c r="G476" s="37" t="str">
        <f>IF(EXACT($F476, ""), "", VLOOKUP($F476, 'MAIN - OrgDepartment'!$C$3:$D$104, 2, FALSE))</f>
        <v/>
      </c>
      <c r="H476" s="91"/>
      <c r="I476" s="37" t="str">
        <f>IF(EXACT($H476, ""), "", VLOOKUP($H476, 'MAIN - OrgJobsPos'!$B$2:$C$101, 2, FALSE))</f>
        <v/>
      </c>
      <c r="J476" s="67"/>
      <c r="K476" s="63"/>
      <c r="L476" s="10" t="s">
        <v>7</v>
      </c>
      <c r="M476" s="11"/>
      <c r="O476" s="29">
        <f t="shared" si="14"/>
        <v>164000000000473</v>
      </c>
      <c r="P476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32000000000473::bigint, 163000000000003::bigint, null::bigint, null::bigint, null::varchar, null::timestamptz, '1900-12-31 23:59:59+07'::timestamptz, null::bigint);</v>
      </c>
    </row>
    <row r="477" spans="2:16" x14ac:dyDescent="0.2">
      <c r="B477" s="37">
        <f>IF(EXACT(DataLookUp!$B477, ""), "", DataLookUp!$B477)</f>
        <v>32000000000474</v>
      </c>
      <c r="C477" s="38" t="str">
        <f>MAIN!C477</f>
        <v>Wisnu Ardian</v>
      </c>
      <c r="D477" s="91">
        <v>163000000000003</v>
      </c>
      <c r="E477" s="37" t="str">
        <f>IF(EXACT($D477, ""), "", VLOOKUP($D477, [2]DataLookUp!$B$4:$D$15, 2, FALSE ))</f>
        <v>Karyawan Tidak Tetap (Kontrak)</v>
      </c>
      <c r="F477" s="91"/>
      <c r="G477" s="37" t="str">
        <f>IF(EXACT($F477, ""), "", VLOOKUP($F477, 'MAIN - OrgDepartment'!$C$3:$D$104, 2, FALSE))</f>
        <v/>
      </c>
      <c r="H477" s="91"/>
      <c r="I477" s="37" t="str">
        <f>IF(EXACT($H477, ""), "", VLOOKUP($H477, 'MAIN - OrgJobsPos'!$B$2:$C$101, 2, FALSE))</f>
        <v/>
      </c>
      <c r="J477" s="67"/>
      <c r="K477" s="63"/>
      <c r="L477" s="10" t="s">
        <v>7</v>
      </c>
      <c r="M477" s="11"/>
      <c r="O477" s="29">
        <f t="shared" si="14"/>
        <v>164000000000474</v>
      </c>
      <c r="P477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32000000000474::bigint, 163000000000003::bigint, null::bigint, null::bigint, null::varchar, null::timestamptz, '1900-12-31 23:59:59+07'::timestamptz, null::bigint);</v>
      </c>
    </row>
    <row r="478" spans="2:16" x14ac:dyDescent="0.2">
      <c r="B478" s="37">
        <f>IF(EXACT(DataLookUp!$B478, ""), "", DataLookUp!$B478)</f>
        <v>32000000000475</v>
      </c>
      <c r="C478" s="38" t="str">
        <f>MAIN!C478</f>
        <v>Wisudanto C. Suntoyo</v>
      </c>
      <c r="D478" s="91">
        <v>163000000000003</v>
      </c>
      <c r="E478" s="37" t="str">
        <f>IF(EXACT($D478, ""), "", VLOOKUP($D478, [2]DataLookUp!$B$4:$D$15, 2, FALSE ))</f>
        <v>Karyawan Tidak Tetap (Kontrak)</v>
      </c>
      <c r="F478" s="91"/>
      <c r="G478" s="37" t="str">
        <f>IF(EXACT($F478, ""), "", VLOOKUP($F478, 'MAIN - OrgDepartment'!$C$3:$D$104, 2, FALSE))</f>
        <v/>
      </c>
      <c r="H478" s="91"/>
      <c r="I478" s="37" t="str">
        <f>IF(EXACT($H478, ""), "", VLOOKUP($H478, 'MAIN - OrgJobsPos'!$B$2:$C$101, 2, FALSE))</f>
        <v/>
      </c>
      <c r="J478" s="67"/>
      <c r="K478" s="63"/>
      <c r="L478" s="10" t="s">
        <v>7</v>
      </c>
      <c r="M478" s="11"/>
      <c r="O478" s="29">
        <f t="shared" si="14"/>
        <v>164000000000475</v>
      </c>
      <c r="P478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32000000000475::bigint, 163000000000003::bigint, null::bigint, null::bigint, null::varchar, null::timestamptz, '1900-12-31 23:59:59+07'::timestamptz, null::bigint);</v>
      </c>
    </row>
    <row r="479" spans="2:16" x14ac:dyDescent="0.2">
      <c r="B479" s="37">
        <f>IF(EXACT(DataLookUp!$B479, ""), "", DataLookUp!$B479)</f>
        <v>32000000000476</v>
      </c>
      <c r="C479" s="38" t="str">
        <f>MAIN!C479</f>
        <v>Yahya Adyasa Febriansyah</v>
      </c>
      <c r="D479" s="91">
        <v>163000000000003</v>
      </c>
      <c r="E479" s="37" t="str">
        <f>IF(EXACT($D479, ""), "", VLOOKUP($D479, [2]DataLookUp!$B$4:$D$15, 2, FALSE ))</f>
        <v>Karyawan Tidak Tetap (Kontrak)</v>
      </c>
      <c r="F479" s="91"/>
      <c r="G479" s="37" t="str">
        <f>IF(EXACT($F479, ""), "", VLOOKUP($F479, 'MAIN - OrgDepartment'!$C$3:$D$104, 2, FALSE))</f>
        <v/>
      </c>
      <c r="H479" s="91"/>
      <c r="I479" s="37" t="str">
        <f>IF(EXACT($H479, ""), "", VLOOKUP($H479, 'MAIN - OrgJobsPos'!$B$2:$C$101, 2, FALSE))</f>
        <v/>
      </c>
      <c r="J479" s="67"/>
      <c r="K479" s="63"/>
      <c r="L479" s="10" t="s">
        <v>7</v>
      </c>
      <c r="M479" s="11"/>
      <c r="O479" s="29">
        <f t="shared" si="14"/>
        <v>164000000000476</v>
      </c>
      <c r="P479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32000000000476::bigint, 163000000000003::bigint, null::bigint, null::bigint, null::varchar, null::timestamptz, '1900-12-31 23:59:59+07'::timestamptz, null::bigint);</v>
      </c>
    </row>
    <row r="480" spans="2:16" x14ac:dyDescent="0.2">
      <c r="B480" s="37">
        <f>IF(EXACT(DataLookUp!$B480, ""), "", DataLookUp!$B480)</f>
        <v>32000000000477</v>
      </c>
      <c r="C480" s="38" t="str">
        <f>MAIN!C480</f>
        <v>Yakup Sunaryo</v>
      </c>
      <c r="D480" s="91">
        <v>163000000000003</v>
      </c>
      <c r="E480" s="37" t="str">
        <f>IF(EXACT($D480, ""), "", VLOOKUP($D480, [2]DataLookUp!$B$4:$D$15, 2, FALSE ))</f>
        <v>Karyawan Tidak Tetap (Kontrak)</v>
      </c>
      <c r="F480" s="91"/>
      <c r="G480" s="37" t="str">
        <f>IF(EXACT($F480, ""), "", VLOOKUP($F480, 'MAIN - OrgDepartment'!$C$3:$D$104, 2, FALSE))</f>
        <v/>
      </c>
      <c r="H480" s="91"/>
      <c r="I480" s="37" t="str">
        <f>IF(EXACT($H480, ""), "", VLOOKUP($H480, 'MAIN - OrgJobsPos'!$B$2:$C$101, 2, FALSE))</f>
        <v/>
      </c>
      <c r="J480" s="67"/>
      <c r="K480" s="63"/>
      <c r="L480" s="10" t="s">
        <v>7</v>
      </c>
      <c r="M480" s="11"/>
      <c r="O480" s="29">
        <f t="shared" si="14"/>
        <v>164000000000477</v>
      </c>
      <c r="P480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32000000000477::bigint, 163000000000003::bigint, null::bigint, null::bigint, null::varchar, null::timestamptz, '1900-12-31 23:59:59+07'::timestamptz, null::bigint);</v>
      </c>
    </row>
    <row r="481" spans="2:16" x14ac:dyDescent="0.2">
      <c r="B481" s="37">
        <f>IF(EXACT(DataLookUp!$B481, ""), "", DataLookUp!$B481)</f>
        <v>32000000000478</v>
      </c>
      <c r="C481" s="38" t="str">
        <f>MAIN!C481</f>
        <v>Yanuar Tri Ananda</v>
      </c>
      <c r="D481" s="91">
        <v>163000000000003</v>
      </c>
      <c r="E481" s="37" t="str">
        <f>IF(EXACT($D481, ""), "", VLOOKUP($D481, [2]DataLookUp!$B$4:$D$15, 2, FALSE ))</f>
        <v>Karyawan Tidak Tetap (Kontrak)</v>
      </c>
      <c r="F481" s="91"/>
      <c r="G481" s="37" t="str">
        <f>IF(EXACT($F481, ""), "", VLOOKUP($F481, 'MAIN - OrgDepartment'!$C$3:$D$104, 2, FALSE))</f>
        <v/>
      </c>
      <c r="H481" s="91"/>
      <c r="I481" s="37" t="str">
        <f>IF(EXACT($H481, ""), "", VLOOKUP($H481, 'MAIN - OrgJobsPos'!$B$2:$C$101, 2, FALSE))</f>
        <v/>
      </c>
      <c r="J481" s="67"/>
      <c r="K481" s="63"/>
      <c r="L481" s="10" t="s">
        <v>7</v>
      </c>
      <c r="M481" s="11"/>
      <c r="O481" s="29">
        <f t="shared" si="14"/>
        <v>164000000000478</v>
      </c>
      <c r="P481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32000000000478::bigint, 163000000000003::bigint, null::bigint, null::bigint, null::varchar, null::timestamptz, '1900-12-31 23:59:59+07'::timestamptz, null::bigint);</v>
      </c>
    </row>
    <row r="482" spans="2:16" x14ac:dyDescent="0.2">
      <c r="B482" s="37">
        <f>IF(EXACT(DataLookUp!$B482, ""), "", DataLookUp!$B482)</f>
        <v>32000000000479</v>
      </c>
      <c r="C482" s="38" t="str">
        <f>MAIN!C482</f>
        <v>Yasir Liem</v>
      </c>
      <c r="D482" s="91">
        <v>163000000000003</v>
      </c>
      <c r="E482" s="37" t="str">
        <f>IF(EXACT($D482, ""), "", VLOOKUP($D482, [2]DataLookUp!$B$4:$D$15, 2, FALSE ))</f>
        <v>Karyawan Tidak Tetap (Kontrak)</v>
      </c>
      <c r="F482" s="91"/>
      <c r="G482" s="37" t="str">
        <f>IF(EXACT($F482, ""), "", VLOOKUP($F482, 'MAIN - OrgDepartment'!$C$3:$D$104, 2, FALSE))</f>
        <v/>
      </c>
      <c r="H482" s="91"/>
      <c r="I482" s="37" t="str">
        <f>IF(EXACT($H482, ""), "", VLOOKUP($H482, 'MAIN - OrgJobsPos'!$B$2:$C$101, 2, FALSE))</f>
        <v/>
      </c>
      <c r="J482" s="67"/>
      <c r="K482" s="63"/>
      <c r="L482" s="10" t="s">
        <v>7</v>
      </c>
      <c r="M482" s="11"/>
      <c r="O482" s="29">
        <f t="shared" si="14"/>
        <v>164000000000479</v>
      </c>
      <c r="P482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32000000000479::bigint, 163000000000003::bigint, null::bigint, null::bigint, null::varchar, null::timestamptz, '1900-12-31 23:59:59+07'::timestamptz, null::bigint);</v>
      </c>
    </row>
    <row r="483" spans="2:16" x14ac:dyDescent="0.2">
      <c r="B483" s="37">
        <f>IF(EXACT(DataLookUp!$B483, ""), "", DataLookUp!$B483)</f>
        <v>32000000000480</v>
      </c>
      <c r="C483" s="38" t="str">
        <f>MAIN!C483</f>
        <v>Yefri Hendrayani</v>
      </c>
      <c r="D483" s="91">
        <v>163000000000003</v>
      </c>
      <c r="E483" s="37" t="str">
        <f>IF(EXACT($D483, ""), "", VLOOKUP($D483, [2]DataLookUp!$B$4:$D$15, 2, FALSE ))</f>
        <v>Karyawan Tidak Tetap (Kontrak)</v>
      </c>
      <c r="F483" s="91"/>
      <c r="G483" s="37" t="str">
        <f>IF(EXACT($F483, ""), "", VLOOKUP($F483, 'MAIN - OrgDepartment'!$C$3:$D$104, 2, FALSE))</f>
        <v/>
      </c>
      <c r="H483" s="91"/>
      <c r="I483" s="37" t="str">
        <f>IF(EXACT($H483, ""), "", VLOOKUP($H483, 'MAIN - OrgJobsPos'!$B$2:$C$101, 2, FALSE))</f>
        <v/>
      </c>
      <c r="J483" s="67"/>
      <c r="K483" s="63"/>
      <c r="L483" s="10" t="s">
        <v>7</v>
      </c>
      <c r="M483" s="11"/>
      <c r="O483" s="29">
        <f t="shared" si="14"/>
        <v>164000000000480</v>
      </c>
      <c r="P483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32000000000480::bigint, 163000000000003::bigint, null::bigint, null::bigint, null::varchar, null::timestamptz, '1900-12-31 23:59:59+07'::timestamptz, null::bigint);</v>
      </c>
    </row>
    <row r="484" spans="2:16" x14ac:dyDescent="0.2">
      <c r="B484" s="37">
        <f>IF(EXACT(DataLookUp!$B484, ""), "", DataLookUp!$B484)</f>
        <v>32000000000481</v>
      </c>
      <c r="C484" s="38" t="str">
        <f>MAIN!C484</f>
        <v>Yessi Setiarini</v>
      </c>
      <c r="D484" s="91">
        <v>163000000000003</v>
      </c>
      <c r="E484" s="37" t="str">
        <f>IF(EXACT($D484, ""), "", VLOOKUP($D484, [2]DataLookUp!$B$4:$D$15, 2, FALSE ))</f>
        <v>Karyawan Tidak Tetap (Kontrak)</v>
      </c>
      <c r="F484" s="91"/>
      <c r="G484" s="37" t="str">
        <f>IF(EXACT($F484, ""), "", VLOOKUP($F484, 'MAIN - OrgDepartment'!$C$3:$D$104, 2, FALSE))</f>
        <v/>
      </c>
      <c r="H484" s="91"/>
      <c r="I484" s="37" t="str">
        <f>IF(EXACT($H484, ""), "", VLOOKUP($H484, 'MAIN - OrgJobsPos'!$B$2:$C$101, 2, FALSE))</f>
        <v/>
      </c>
      <c r="J484" s="67"/>
      <c r="K484" s="63"/>
      <c r="L484" s="10" t="s">
        <v>7</v>
      </c>
      <c r="M484" s="11"/>
      <c r="O484" s="29">
        <f t="shared" si="14"/>
        <v>164000000000481</v>
      </c>
      <c r="P484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32000000000481::bigint, 163000000000003::bigint, null::bigint, null::bigint, null::varchar, null::timestamptz, '1900-12-31 23:59:59+07'::timestamptz, null::bigint);</v>
      </c>
    </row>
    <row r="485" spans="2:16" x14ac:dyDescent="0.2">
      <c r="B485" s="37">
        <f>IF(EXACT(DataLookUp!$B485, ""), "", DataLookUp!$B485)</f>
        <v>32000000000482</v>
      </c>
      <c r="C485" s="38" t="str">
        <f>MAIN!C485</f>
        <v>Yorid Fae</v>
      </c>
      <c r="D485" s="91">
        <v>163000000000003</v>
      </c>
      <c r="E485" s="37" t="str">
        <f>IF(EXACT($D485, ""), "", VLOOKUP($D485, [2]DataLookUp!$B$4:$D$15, 2, FALSE ))</f>
        <v>Karyawan Tidak Tetap (Kontrak)</v>
      </c>
      <c r="F485" s="91"/>
      <c r="G485" s="37" t="str">
        <f>IF(EXACT($F485, ""), "", VLOOKUP($F485, 'MAIN - OrgDepartment'!$C$3:$D$104, 2, FALSE))</f>
        <v/>
      </c>
      <c r="H485" s="91"/>
      <c r="I485" s="37" t="str">
        <f>IF(EXACT($H485, ""), "", VLOOKUP($H485, 'MAIN - OrgJobsPos'!$B$2:$C$101, 2, FALSE))</f>
        <v/>
      </c>
      <c r="J485" s="67"/>
      <c r="K485" s="63"/>
      <c r="L485" s="10" t="s">
        <v>7</v>
      </c>
      <c r="M485" s="11"/>
      <c r="O485" s="29">
        <f t="shared" si="14"/>
        <v>164000000000482</v>
      </c>
      <c r="P485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32000000000482::bigint, 163000000000003::bigint, null::bigint, null::bigint, null::varchar, null::timestamptz, '1900-12-31 23:59:59+07'::timestamptz, null::bigint);</v>
      </c>
    </row>
    <row r="486" spans="2:16" x14ac:dyDescent="0.2">
      <c r="B486" s="37">
        <f>IF(EXACT(DataLookUp!$B486, ""), "", DataLookUp!$B486)</f>
        <v>32000000000483</v>
      </c>
      <c r="C486" s="38" t="str">
        <f>MAIN!C486</f>
        <v>Yosef Hang Wan</v>
      </c>
      <c r="D486" s="91">
        <v>163000000000003</v>
      </c>
      <c r="E486" s="37" t="str">
        <f>IF(EXACT($D486, ""), "", VLOOKUP($D486, [2]DataLookUp!$B$4:$D$15, 2, FALSE ))</f>
        <v>Karyawan Tidak Tetap (Kontrak)</v>
      </c>
      <c r="F486" s="91"/>
      <c r="G486" s="37" t="str">
        <f>IF(EXACT($F486, ""), "", VLOOKUP($F486, 'MAIN - OrgDepartment'!$C$3:$D$104, 2, FALSE))</f>
        <v/>
      </c>
      <c r="H486" s="91"/>
      <c r="I486" s="37" t="str">
        <f>IF(EXACT($H486, ""), "", VLOOKUP($H486, 'MAIN - OrgJobsPos'!$B$2:$C$101, 2, FALSE))</f>
        <v/>
      </c>
      <c r="J486" s="67"/>
      <c r="K486" s="63"/>
      <c r="L486" s="10" t="s">
        <v>7</v>
      </c>
      <c r="M486" s="11"/>
      <c r="O486" s="29">
        <f t="shared" si="14"/>
        <v>164000000000483</v>
      </c>
      <c r="P486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32000000000483::bigint, 163000000000003::bigint, null::bigint, null::bigint, null::varchar, null::timestamptz, '1900-12-31 23:59:59+07'::timestamptz, null::bigint);</v>
      </c>
    </row>
    <row r="487" spans="2:16" x14ac:dyDescent="0.2">
      <c r="B487" s="37">
        <f>IF(EXACT(DataLookUp!$B487, ""), "", DataLookUp!$B487)</f>
        <v>32000000000484</v>
      </c>
      <c r="C487" s="38" t="str">
        <f>MAIN!C487</f>
        <v>Yossie Deliana</v>
      </c>
      <c r="D487" s="91">
        <v>163000000000003</v>
      </c>
      <c r="E487" s="37" t="str">
        <f>IF(EXACT($D487, ""), "", VLOOKUP($D487, [2]DataLookUp!$B$4:$D$15, 2, FALSE ))</f>
        <v>Karyawan Tidak Tetap (Kontrak)</v>
      </c>
      <c r="F487" s="91"/>
      <c r="G487" s="37" t="str">
        <f>IF(EXACT($F487, ""), "", VLOOKUP($F487, 'MAIN - OrgDepartment'!$C$3:$D$104, 2, FALSE))</f>
        <v/>
      </c>
      <c r="H487" s="91"/>
      <c r="I487" s="37" t="str">
        <f>IF(EXACT($H487, ""), "", VLOOKUP($H487, 'MAIN - OrgJobsPos'!$B$2:$C$101, 2, FALSE))</f>
        <v/>
      </c>
      <c r="J487" s="67"/>
      <c r="K487" s="63"/>
      <c r="L487" s="10" t="s">
        <v>7</v>
      </c>
      <c r="M487" s="11"/>
      <c r="O487" s="29">
        <f t="shared" si="14"/>
        <v>164000000000484</v>
      </c>
      <c r="P487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32000000000484::bigint, 163000000000003::bigint, null::bigint, null::bigint, null::varchar, null::timestamptz, '1900-12-31 23:59:59+07'::timestamptz, null::bigint);</v>
      </c>
    </row>
    <row r="488" spans="2:16" x14ac:dyDescent="0.2">
      <c r="B488" s="37">
        <f>IF(EXACT(DataLookUp!$B488, ""), "", DataLookUp!$B488)</f>
        <v>32000000000485</v>
      </c>
      <c r="C488" s="38" t="str">
        <f>MAIN!C488</f>
        <v>Yudi Rahmadi</v>
      </c>
      <c r="D488" s="91">
        <v>163000000000002</v>
      </c>
      <c r="E488" s="37" t="str">
        <f>IF(EXACT($D488, ""), "", VLOOKUP($D488, [2]DataLookUp!$B$4:$D$15, 2, FALSE ))</f>
        <v>Karyawan Tetap (Purna Waktu)</v>
      </c>
      <c r="F488" s="91"/>
      <c r="G488" s="37" t="str">
        <f>IF(EXACT($F488, ""), "", VLOOKUP($F488, 'MAIN - OrgDepartment'!$C$3:$D$104, 2, FALSE))</f>
        <v/>
      </c>
      <c r="H488" s="91"/>
      <c r="I488" s="37" t="str">
        <f>IF(EXACT($H488, ""), "", VLOOKUP($H488, 'MAIN - OrgJobsPos'!$B$2:$C$101, 2, FALSE))</f>
        <v/>
      </c>
      <c r="J488" s="67"/>
      <c r="K488" s="63"/>
      <c r="L488" s="10" t="s">
        <v>7</v>
      </c>
      <c r="M488" s="11"/>
      <c r="O488" s="29">
        <f t="shared" si="14"/>
        <v>164000000000485</v>
      </c>
      <c r="P488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32000000000485::bigint, 163000000000002::bigint, null::bigint, null::bigint, null::varchar, null::timestamptz, '1900-12-31 23:59:59+07'::timestamptz, null::bigint);</v>
      </c>
    </row>
    <row r="489" spans="2:16" x14ac:dyDescent="0.2">
      <c r="B489" s="37">
        <f>IF(EXACT(DataLookUp!$B489, ""), "", DataLookUp!$B489)</f>
        <v>32000000000486</v>
      </c>
      <c r="C489" s="38" t="str">
        <f>MAIN!C489</f>
        <v>Yudo Jati Rahmat Satrio</v>
      </c>
      <c r="D489" s="91">
        <v>163000000000003</v>
      </c>
      <c r="E489" s="37" t="str">
        <f>IF(EXACT($D489, ""), "", VLOOKUP($D489, [2]DataLookUp!$B$4:$D$15, 2, FALSE ))</f>
        <v>Karyawan Tidak Tetap (Kontrak)</v>
      </c>
      <c r="F489" s="91"/>
      <c r="G489" s="37" t="str">
        <f>IF(EXACT($F489, ""), "", VLOOKUP($F489, 'MAIN - OrgDepartment'!$C$3:$D$104, 2, FALSE))</f>
        <v/>
      </c>
      <c r="H489" s="91"/>
      <c r="I489" s="37" t="str">
        <f>IF(EXACT($H489, ""), "", VLOOKUP($H489, 'MAIN - OrgJobsPos'!$B$2:$C$101, 2, FALSE))</f>
        <v/>
      </c>
      <c r="J489" s="67"/>
      <c r="K489" s="63"/>
      <c r="L489" s="10" t="s">
        <v>7</v>
      </c>
      <c r="M489" s="11"/>
      <c r="O489" s="29">
        <f t="shared" si="14"/>
        <v>164000000000486</v>
      </c>
      <c r="P489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32000000000486::bigint, 163000000000003::bigint, null::bigint, null::bigint, null::varchar, null::timestamptz, '1900-12-31 23:59:59+07'::timestamptz, null::bigint);</v>
      </c>
    </row>
    <row r="490" spans="2:16" x14ac:dyDescent="0.2">
      <c r="B490" s="37">
        <f>IF(EXACT(DataLookUp!$B490, ""), "", DataLookUp!$B490)</f>
        <v>32000000000487</v>
      </c>
      <c r="C490" s="38" t="str">
        <f>MAIN!C490</f>
        <v>Yuliandaru Suryoatmodjo</v>
      </c>
      <c r="D490" s="91">
        <v>163000000000002</v>
      </c>
      <c r="E490" s="37" t="str">
        <f>IF(EXACT($D490, ""), "", VLOOKUP($D490, [2]DataLookUp!$B$4:$D$15, 2, FALSE ))</f>
        <v>Karyawan Tetap (Purna Waktu)</v>
      </c>
      <c r="F490" s="91">
        <v>111000000000004</v>
      </c>
      <c r="G490" s="37" t="str">
        <f>IF(EXACT($F490, ""), "", VLOOKUP($F490, 'MAIN - OrgDepartment'!$C$3:$D$104, 2, FALSE))</f>
        <v>Sales &amp; Marketing</v>
      </c>
      <c r="H490" s="92">
        <v>160000000000005</v>
      </c>
      <c r="I490" s="37" t="str">
        <f>IF(EXACT($H490, ""), "", VLOOKUP($H490, 'MAIN - OrgJobsPos'!$B$2:$C$101, 2, FALSE))</f>
        <v>Senior Supervisor</v>
      </c>
      <c r="J490" s="67" t="s">
        <v>323</v>
      </c>
      <c r="K490" s="63" t="s">
        <v>253</v>
      </c>
      <c r="L490" s="10" t="s">
        <v>3</v>
      </c>
      <c r="M490" s="11"/>
      <c r="O490" s="29">
        <f t="shared" si="14"/>
        <v>164000000000487</v>
      </c>
      <c r="P490" s="30" t="str">
        <f t="shared" si="15"/>
        <v>PERFORM "SchData-OLTP-HumanResource"."Func_TblWorkerCareerInternal_SET"(varSystemLoginSession, null::bigint, null::varchar, '2014-07-16 00:00:00+07'::timestamptz, '9999-12-31 23:59:59+07'::timestamptz, null::varchar, varInstitutionBranchID, varBaseCurrencyID, 32000000000487::bigint, 163000000000002::bigint, 111000000000004::bigint, 160000000000005::bigint, 'Senior Relation Specialist'::varchar, '2014-07-16 00:00:00+07'::timestamptz, '9999-12-31 23:59:59+07'::timestamptz, null::bigint);</v>
      </c>
    </row>
    <row r="491" spans="2:16" x14ac:dyDescent="0.2">
      <c r="B491" s="37">
        <f>IF(EXACT(DataLookUp!$B491, ""), "", DataLookUp!$B491)</f>
        <v>32000000000488</v>
      </c>
      <c r="C491" s="38" t="str">
        <f>MAIN!C491</f>
        <v>Yulianta</v>
      </c>
      <c r="D491" s="91">
        <v>163000000000003</v>
      </c>
      <c r="E491" s="37" t="str">
        <f>IF(EXACT($D491, ""), "", VLOOKUP($D491, [2]DataLookUp!$B$4:$D$15, 2, FALSE ))</f>
        <v>Karyawan Tidak Tetap (Kontrak)</v>
      </c>
      <c r="F491" s="91"/>
      <c r="G491" s="37" t="str">
        <f>IF(EXACT($F491, ""), "", VLOOKUP($F491, 'MAIN - OrgDepartment'!$C$3:$D$104, 2, FALSE))</f>
        <v/>
      </c>
      <c r="H491" s="91"/>
      <c r="I491" s="37" t="str">
        <f>IF(EXACT($H491, ""), "", VLOOKUP($H491, 'MAIN - OrgJobsPos'!$B$2:$C$101, 2, FALSE))</f>
        <v/>
      </c>
      <c r="J491" s="67"/>
      <c r="K491" s="63"/>
      <c r="L491" s="10" t="s">
        <v>7</v>
      </c>
      <c r="M491" s="11"/>
      <c r="O491" s="29">
        <f t="shared" si="14"/>
        <v>164000000000488</v>
      </c>
      <c r="P491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32000000000488::bigint, 163000000000003::bigint, null::bigint, null::bigint, null::varchar, null::timestamptz, '1900-12-31 23:59:59+07'::timestamptz, null::bigint);</v>
      </c>
    </row>
    <row r="492" spans="2:16" x14ac:dyDescent="0.2">
      <c r="B492" s="37">
        <f>IF(EXACT(DataLookUp!$B492, ""), "", DataLookUp!$B492)</f>
        <v>32000000000489</v>
      </c>
      <c r="C492" s="38" t="str">
        <f>MAIN!C492</f>
        <v>Yulianti</v>
      </c>
      <c r="D492" s="91">
        <v>163000000000003</v>
      </c>
      <c r="E492" s="37" t="str">
        <f>IF(EXACT($D492, ""), "", VLOOKUP($D492, [2]DataLookUp!$B$4:$D$15, 2, FALSE ))</f>
        <v>Karyawan Tidak Tetap (Kontrak)</v>
      </c>
      <c r="F492" s="91"/>
      <c r="G492" s="37" t="str">
        <f>IF(EXACT($F492, ""), "", VLOOKUP($F492, 'MAIN - OrgDepartment'!$C$3:$D$104, 2, FALSE))</f>
        <v/>
      </c>
      <c r="H492" s="91"/>
      <c r="I492" s="37" t="str">
        <f>IF(EXACT($H492, ""), "", VLOOKUP($H492, 'MAIN - OrgJobsPos'!$B$2:$C$101, 2, FALSE))</f>
        <v/>
      </c>
      <c r="J492" s="67"/>
      <c r="K492" s="63"/>
      <c r="L492" s="10" t="s">
        <v>7</v>
      </c>
      <c r="M492" s="11"/>
      <c r="O492" s="29">
        <f t="shared" si="14"/>
        <v>164000000000489</v>
      </c>
      <c r="P492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32000000000489::bigint, 163000000000003::bigint, null::bigint, null::bigint, null::varchar, null::timestamptz, '1900-12-31 23:59:59+07'::timestamptz, null::bigint);</v>
      </c>
    </row>
    <row r="493" spans="2:16" x14ac:dyDescent="0.2">
      <c r="B493" s="37">
        <f>IF(EXACT(DataLookUp!$B493, ""), "", DataLookUp!$B493)</f>
        <v>32000000000490</v>
      </c>
      <c r="C493" s="38" t="str">
        <f>MAIN!C493</f>
        <v>Yulius</v>
      </c>
      <c r="D493" s="91">
        <v>163000000000003</v>
      </c>
      <c r="E493" s="37" t="str">
        <f>IF(EXACT($D493, ""), "", VLOOKUP($D493, [2]DataLookUp!$B$4:$D$15, 2, FALSE ))</f>
        <v>Karyawan Tidak Tetap (Kontrak)</v>
      </c>
      <c r="F493" s="91"/>
      <c r="G493" s="37" t="str">
        <f>IF(EXACT($F493, ""), "", VLOOKUP($F493, 'MAIN - OrgDepartment'!$C$3:$D$104, 2, FALSE))</f>
        <v/>
      </c>
      <c r="H493" s="91"/>
      <c r="I493" s="37" t="str">
        <f>IF(EXACT($H493, ""), "", VLOOKUP($H493, 'MAIN - OrgJobsPos'!$B$2:$C$101, 2, FALSE))</f>
        <v/>
      </c>
      <c r="J493" s="67"/>
      <c r="K493" s="63"/>
      <c r="L493" s="10" t="s">
        <v>7</v>
      </c>
      <c r="M493" s="11"/>
      <c r="O493" s="29">
        <f t="shared" si="14"/>
        <v>164000000000490</v>
      </c>
      <c r="P493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32000000000490::bigint, 163000000000003::bigint, null::bigint, null::bigint, null::varchar, null::timestamptz, '1900-12-31 23:59:59+07'::timestamptz, null::bigint);</v>
      </c>
    </row>
    <row r="494" spans="2:16" x14ac:dyDescent="0.2">
      <c r="B494" s="37">
        <f>IF(EXACT(DataLookUp!$B494, ""), "", DataLookUp!$B494)</f>
        <v>32000000000491</v>
      </c>
      <c r="C494" s="38" t="str">
        <f>MAIN!C494</f>
        <v>Yunni Sazili</v>
      </c>
      <c r="D494" s="91">
        <v>163000000000003</v>
      </c>
      <c r="E494" s="37" t="str">
        <f>IF(EXACT($D494, ""), "", VLOOKUP($D494, [2]DataLookUp!$B$4:$D$15, 2, FALSE ))</f>
        <v>Karyawan Tidak Tetap (Kontrak)</v>
      </c>
      <c r="F494" s="91"/>
      <c r="G494" s="37" t="str">
        <f>IF(EXACT($F494, ""), "", VLOOKUP($F494, 'MAIN - OrgDepartment'!$C$3:$D$104, 2, FALSE))</f>
        <v/>
      </c>
      <c r="H494" s="91"/>
      <c r="I494" s="37" t="str">
        <f>IF(EXACT($H494, ""), "", VLOOKUP($H494, 'MAIN - OrgJobsPos'!$B$2:$C$101, 2, FALSE))</f>
        <v/>
      </c>
      <c r="J494" s="67"/>
      <c r="K494" s="63"/>
      <c r="L494" s="10" t="s">
        <v>7</v>
      </c>
      <c r="M494" s="11"/>
      <c r="O494" s="29">
        <f t="shared" si="14"/>
        <v>164000000000491</v>
      </c>
      <c r="P494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32000000000491::bigint, 163000000000003::bigint, null::bigint, null::bigint, null::varchar, null::timestamptz, '1900-12-31 23:59:59+07'::timestamptz, null::bigint);</v>
      </c>
    </row>
    <row r="495" spans="2:16" x14ac:dyDescent="0.2">
      <c r="B495" s="37">
        <f>IF(EXACT(DataLookUp!$B495, ""), "", DataLookUp!$B495)</f>
        <v>32000000000492</v>
      </c>
      <c r="C495" s="38" t="str">
        <f>MAIN!C495</f>
        <v>Yusman</v>
      </c>
      <c r="D495" s="91">
        <v>163000000000003</v>
      </c>
      <c r="E495" s="37" t="str">
        <f>IF(EXACT($D495, ""), "", VLOOKUP($D495, [2]DataLookUp!$B$4:$D$15, 2, FALSE ))</f>
        <v>Karyawan Tidak Tetap (Kontrak)</v>
      </c>
      <c r="F495" s="91"/>
      <c r="G495" s="37" t="str">
        <f>IF(EXACT($F495, ""), "", VLOOKUP($F495, 'MAIN - OrgDepartment'!$C$3:$D$104, 2, FALSE))</f>
        <v/>
      </c>
      <c r="H495" s="91"/>
      <c r="I495" s="37" t="str">
        <f>IF(EXACT($H495, ""), "", VLOOKUP($H495, 'MAIN - OrgJobsPos'!$B$2:$C$101, 2, FALSE))</f>
        <v/>
      </c>
      <c r="J495" s="67"/>
      <c r="K495" s="63"/>
      <c r="L495" s="10" t="s">
        <v>7</v>
      </c>
      <c r="M495" s="11"/>
      <c r="O495" s="29">
        <f t="shared" si="14"/>
        <v>164000000000492</v>
      </c>
      <c r="P495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32000000000492::bigint, 163000000000003::bigint, null::bigint, null::bigint, null::varchar, null::timestamptz, '1900-12-31 23:59:59+07'::timestamptz, null::bigint);</v>
      </c>
    </row>
    <row r="496" spans="2:16" x14ac:dyDescent="0.2">
      <c r="B496" s="37">
        <f>IF(EXACT(DataLookUp!$B496, ""), "", DataLookUp!$B496)</f>
        <v>32000000000493</v>
      </c>
      <c r="C496" s="38" t="str">
        <f>MAIN!C496</f>
        <v>Yusri Azhar</v>
      </c>
      <c r="D496" s="91">
        <v>163000000000003</v>
      </c>
      <c r="E496" s="37" t="str">
        <f>IF(EXACT($D496, ""), "", VLOOKUP($D496, [2]DataLookUp!$B$4:$D$15, 2, FALSE ))</f>
        <v>Karyawan Tidak Tetap (Kontrak)</v>
      </c>
      <c r="F496" s="91"/>
      <c r="G496" s="37" t="str">
        <f>IF(EXACT($F496, ""), "", VLOOKUP($F496, 'MAIN - OrgDepartment'!$C$3:$D$104, 2, FALSE))</f>
        <v/>
      </c>
      <c r="H496" s="91"/>
      <c r="I496" s="37" t="str">
        <f>IF(EXACT($H496, ""), "", VLOOKUP($H496, 'MAIN - OrgJobsPos'!$B$2:$C$101, 2, FALSE))</f>
        <v/>
      </c>
      <c r="J496" s="67"/>
      <c r="K496" s="63"/>
      <c r="L496" s="10" t="s">
        <v>7</v>
      </c>
      <c r="M496" s="11"/>
      <c r="O496" s="29">
        <f t="shared" si="14"/>
        <v>164000000000493</v>
      </c>
      <c r="P496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32000000000493::bigint, 163000000000003::bigint, null::bigint, null::bigint, null::varchar, null::timestamptz, '1900-12-31 23:59:59+07'::timestamptz, null::bigint);</v>
      </c>
    </row>
    <row r="497" spans="1:16" x14ac:dyDescent="0.2">
      <c r="B497" s="37">
        <f>IF(EXACT(DataLookUp!$B497, ""), "", DataLookUp!$B497)</f>
        <v>32000000000494</v>
      </c>
      <c r="C497" s="38" t="str">
        <f>MAIN!C497</f>
        <v>Zafrizal</v>
      </c>
      <c r="D497" s="91">
        <v>163000000000003</v>
      </c>
      <c r="E497" s="37" t="str">
        <f>IF(EXACT($D497, ""), "", VLOOKUP($D497, [2]DataLookUp!$B$4:$D$15, 2, FALSE ))</f>
        <v>Karyawan Tidak Tetap (Kontrak)</v>
      </c>
      <c r="F497" s="91"/>
      <c r="G497" s="37" t="str">
        <f>IF(EXACT($F497, ""), "", VLOOKUP($F497, 'MAIN - OrgDepartment'!$C$3:$D$104, 2, FALSE))</f>
        <v/>
      </c>
      <c r="H497" s="91"/>
      <c r="I497" s="37" t="str">
        <f>IF(EXACT($H497, ""), "", VLOOKUP($H497, 'MAIN - OrgJobsPos'!$B$2:$C$101, 2, FALSE))</f>
        <v/>
      </c>
      <c r="J497" s="67"/>
      <c r="K497" s="63"/>
      <c r="L497" s="10" t="s">
        <v>7</v>
      </c>
      <c r="M497" s="11"/>
      <c r="O497" s="29">
        <f t="shared" si="14"/>
        <v>164000000000494</v>
      </c>
      <c r="P497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32000000000494::bigint, 163000000000003::bigint, null::bigint, null::bigint, null::varchar, null::timestamptz, '1900-12-31 23:59:59+07'::timestamptz, null::bigint);</v>
      </c>
    </row>
    <row r="498" spans="1:16" x14ac:dyDescent="0.2">
      <c r="B498" s="37">
        <f>IF(EXACT(DataLookUp!$B498, ""), "", DataLookUp!$B498)</f>
        <v>32000000000495</v>
      </c>
      <c r="C498" s="38" t="str">
        <f>MAIN!C498</f>
        <v>Zafrizal Rifla (Ucok)</v>
      </c>
      <c r="D498" s="91">
        <v>163000000000003</v>
      </c>
      <c r="E498" s="37" t="str">
        <f>IF(EXACT($D498, ""), "", VLOOKUP($D498, [2]DataLookUp!$B$4:$D$15, 2, FALSE ))</f>
        <v>Karyawan Tidak Tetap (Kontrak)</v>
      </c>
      <c r="F498" s="91"/>
      <c r="G498" s="37" t="str">
        <f>IF(EXACT($F498, ""), "", VLOOKUP($F498, 'MAIN - OrgDepartment'!$C$3:$D$104, 2, FALSE))</f>
        <v/>
      </c>
      <c r="H498" s="91"/>
      <c r="I498" s="37" t="str">
        <f>IF(EXACT($H498, ""), "", VLOOKUP($H498, 'MAIN - OrgJobsPos'!$B$2:$C$101, 2, FALSE))</f>
        <v/>
      </c>
      <c r="J498" s="67"/>
      <c r="K498" s="63"/>
      <c r="L498" s="10" t="s">
        <v>7</v>
      </c>
      <c r="M498" s="11"/>
      <c r="O498" s="29">
        <f t="shared" si="14"/>
        <v>164000000000495</v>
      </c>
      <c r="P498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32000000000495::bigint, 163000000000003::bigint, null::bigint, null::bigint, null::varchar, null::timestamptz, '1900-12-31 23:59:59+07'::timestamptz, null::bigint);</v>
      </c>
    </row>
    <row r="499" spans="1:16" x14ac:dyDescent="0.2">
      <c r="B499" s="37">
        <f>IF(EXACT(DataLookUp!$B499, ""), "", DataLookUp!$B499)</f>
        <v>32000000000496</v>
      </c>
      <c r="C499" s="38" t="str">
        <f>MAIN!C499</f>
        <v>Zainuddin</v>
      </c>
      <c r="D499" s="91">
        <v>163000000000003</v>
      </c>
      <c r="E499" s="37" t="str">
        <f>IF(EXACT($D499, ""), "", VLOOKUP($D499, [2]DataLookUp!$B$4:$D$15, 2, FALSE ))</f>
        <v>Karyawan Tidak Tetap (Kontrak)</v>
      </c>
      <c r="F499" s="91"/>
      <c r="G499" s="37" t="str">
        <f>IF(EXACT($F499, ""), "", VLOOKUP($F499, 'MAIN - OrgDepartment'!$C$3:$D$104, 2, FALSE))</f>
        <v/>
      </c>
      <c r="H499" s="91"/>
      <c r="I499" s="37" t="str">
        <f>IF(EXACT($H499, ""), "", VLOOKUP($H499, 'MAIN - OrgJobsPos'!$B$2:$C$101, 2, FALSE))</f>
        <v/>
      </c>
      <c r="J499" s="67"/>
      <c r="K499" s="63"/>
      <c r="L499" s="10" t="s">
        <v>7</v>
      </c>
      <c r="M499" s="11"/>
      <c r="O499" s="29">
        <f t="shared" si="14"/>
        <v>164000000000496</v>
      </c>
      <c r="P499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32000000000496::bigint, 163000000000003::bigint, null::bigint, null::bigint, null::varchar, null::timestamptz, '1900-12-31 23:59:59+07'::timestamptz, null::bigint);</v>
      </c>
    </row>
    <row r="500" spans="1:16" x14ac:dyDescent="0.2">
      <c r="B500" s="37">
        <f>IF(EXACT(DataLookUp!$B500, ""), "", DataLookUp!$B500)</f>
        <v>32000000000497</v>
      </c>
      <c r="C500" s="38" t="str">
        <f>MAIN!C500</f>
        <v>Zainudin Anwar</v>
      </c>
      <c r="D500" s="91">
        <v>163000000000003</v>
      </c>
      <c r="E500" s="37" t="str">
        <f>IF(EXACT($D500, ""), "", VLOOKUP($D500, [2]DataLookUp!$B$4:$D$15, 2, FALSE ))</f>
        <v>Karyawan Tidak Tetap (Kontrak)</v>
      </c>
      <c r="F500" s="91">
        <v>111000000000003</v>
      </c>
      <c r="G500" s="37" t="str">
        <f>IF(EXACT($F500, ""), "", VLOOKUP($F500, 'MAIN - OrgDepartment'!$C$3:$D$104, 2, FALSE))</f>
        <v>Information Technology</v>
      </c>
      <c r="H500" s="91">
        <v>160000000000003</v>
      </c>
      <c r="I500" s="37" t="str">
        <f>IF(EXACT($H500, ""), "", VLOOKUP($H500, 'MAIN - OrgJobsPos'!$B$2:$C$101, 2, FALSE))</f>
        <v>Staff</v>
      </c>
      <c r="J500" s="67" t="s">
        <v>190</v>
      </c>
      <c r="K500" s="63" t="s">
        <v>254</v>
      </c>
      <c r="L500" s="10" t="s">
        <v>3</v>
      </c>
      <c r="M500" s="11"/>
      <c r="O500" s="29">
        <f t="shared" si="14"/>
        <v>164000000000497</v>
      </c>
      <c r="P500" s="30" t="str">
        <f t="shared" si="15"/>
        <v>PERFORM "SchData-OLTP-HumanResource"."Func_TblWorkerCareerInternal_SET"(varSystemLoginSession, null::bigint, null::varchar, '2019-08-09 00:00:00+07'::timestamptz, '9999-12-31 23:59:59+07'::timestamptz, null::varchar, varInstitutionBranchID, varBaseCurrencyID, 32000000000497::bigint, 163000000000003::bigint, 111000000000003::bigint, 160000000000003::bigint, 'IT System Engineer'::varchar, '2019-08-09 00:00:00+07'::timestamptz, '9999-12-31 23:59:59+07'::timestamptz, null::bigint);</v>
      </c>
    </row>
    <row r="501" spans="1:16" x14ac:dyDescent="0.2">
      <c r="B501" s="37">
        <f>IF(EXACT(DataLookUp!$B501, ""), "", DataLookUp!$B501)</f>
        <v>32000000000498</v>
      </c>
      <c r="C501" s="38" t="str">
        <f>MAIN!C501</f>
        <v>Zaire Dite Biscaya</v>
      </c>
      <c r="D501" s="91">
        <v>163000000000003</v>
      </c>
      <c r="E501" s="37" t="str">
        <f>IF(EXACT($D501, ""), "", VLOOKUP($D501, [2]DataLookUp!$B$4:$D$15, 2, FALSE ))</f>
        <v>Karyawan Tidak Tetap (Kontrak)</v>
      </c>
      <c r="F501" s="91"/>
      <c r="G501" s="37" t="str">
        <f>IF(EXACT($F501, ""), "", VLOOKUP($F501, 'MAIN - OrgDepartment'!$C$3:$D$104, 2, FALSE))</f>
        <v/>
      </c>
      <c r="H501" s="91"/>
      <c r="I501" s="37" t="str">
        <f>IF(EXACT($H501, ""), "", VLOOKUP($H501, 'MAIN - OrgJobsPos'!$B$2:$C$101, 2, FALSE))</f>
        <v/>
      </c>
      <c r="J501" s="67"/>
      <c r="K501" s="63"/>
      <c r="L501" s="10" t="s">
        <v>7</v>
      </c>
      <c r="M501" s="11"/>
      <c r="O501" s="29">
        <f t="shared" si="14"/>
        <v>164000000000498</v>
      </c>
      <c r="P501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32000000000498::bigint, 163000000000003::bigint, null::bigint, null::bigint, null::varchar, null::timestamptz, '1900-12-31 23:59:59+07'::timestamptz, null::bigint);</v>
      </c>
    </row>
    <row r="502" spans="1:16" x14ac:dyDescent="0.2">
      <c r="B502" s="37">
        <f>IF(EXACT(DataLookUp!$B502, ""), "", DataLookUp!$B502)</f>
        <v>32000000000499</v>
      </c>
      <c r="C502" s="38" t="str">
        <f>MAIN!C502</f>
        <v>Zalfi Yandri</v>
      </c>
      <c r="D502" s="91">
        <v>163000000000003</v>
      </c>
      <c r="E502" s="37" t="str">
        <f>IF(EXACT($D502, ""), "", VLOOKUP($D502, [2]DataLookUp!$B$4:$D$15, 2, FALSE ))</f>
        <v>Karyawan Tidak Tetap (Kontrak)</v>
      </c>
      <c r="F502" s="91"/>
      <c r="G502" s="37" t="str">
        <f>IF(EXACT($F502, ""), "", VLOOKUP($F502, 'MAIN - OrgDepartment'!$C$3:$D$104, 2, FALSE))</f>
        <v/>
      </c>
      <c r="H502" s="91"/>
      <c r="I502" s="37" t="str">
        <f>IF(EXACT($H502, ""), "", VLOOKUP($H502, 'MAIN - OrgJobsPos'!$B$2:$C$101, 2, FALSE))</f>
        <v/>
      </c>
      <c r="J502" s="67"/>
      <c r="K502" s="63"/>
      <c r="L502" s="10" t="s">
        <v>7</v>
      </c>
      <c r="M502" s="11"/>
      <c r="O502" s="29">
        <f t="shared" si="14"/>
        <v>164000000000499</v>
      </c>
      <c r="P502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32000000000499::bigint, 163000000000003::bigint, null::bigint, null::bigint, null::varchar, null::timestamptz, '1900-12-31 23:59:59+07'::timestamptz, null::bigint);</v>
      </c>
    </row>
    <row r="503" spans="1:16" x14ac:dyDescent="0.2">
      <c r="B503" s="37">
        <f>IF(EXACT(DataLookUp!$B503, ""), "", DataLookUp!$B503)</f>
        <v>32000000000500</v>
      </c>
      <c r="C503" s="38" t="str">
        <f>MAIN!C503</f>
        <v>Zam Roji</v>
      </c>
      <c r="D503" s="91">
        <v>163000000000003</v>
      </c>
      <c r="E503" s="37" t="str">
        <f>IF(EXACT($D503, ""), "", VLOOKUP($D503, [2]DataLookUp!$B$4:$D$15, 2, FALSE ))</f>
        <v>Karyawan Tidak Tetap (Kontrak)</v>
      </c>
      <c r="F503" s="91"/>
      <c r="G503" s="37" t="str">
        <f>IF(EXACT($F503, ""), "", VLOOKUP($F503, 'MAIN - OrgDepartment'!$C$3:$D$104, 2, FALSE))</f>
        <v/>
      </c>
      <c r="H503" s="91"/>
      <c r="I503" s="37" t="str">
        <f>IF(EXACT($H503, ""), "", VLOOKUP($H503, 'MAIN - OrgJobsPos'!$B$2:$C$101, 2, FALSE))</f>
        <v/>
      </c>
      <c r="J503" s="67"/>
      <c r="K503" s="63"/>
      <c r="L503" s="10" t="s">
        <v>7</v>
      </c>
      <c r="M503" s="11"/>
      <c r="O503" s="29">
        <f t="shared" si="14"/>
        <v>164000000000500</v>
      </c>
      <c r="P503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32000000000500::bigint, 163000000000003::bigint, null::bigint, null::bigint, null::varchar, null::timestamptz, '1900-12-31 23:59:59+07'::timestamptz, null::bigint);</v>
      </c>
    </row>
    <row r="504" spans="1:16" x14ac:dyDescent="0.2">
      <c r="B504" s="37">
        <f>IF(EXACT(DataLookUp!$B504, ""), "", DataLookUp!$B504)</f>
        <v>32000000000501</v>
      </c>
      <c r="C504" s="38" t="str">
        <f>MAIN!C504</f>
        <v>Zulfikar K. Siregar</v>
      </c>
      <c r="D504" s="91">
        <v>163000000000003</v>
      </c>
      <c r="E504" s="37" t="str">
        <f>IF(EXACT($D504, ""), "", VLOOKUP($D504, [2]DataLookUp!$B$4:$D$15, 2, FALSE ))</f>
        <v>Karyawan Tidak Tetap (Kontrak)</v>
      </c>
      <c r="F504" s="91">
        <v>111000000000011</v>
      </c>
      <c r="G504" s="37" t="str">
        <f>IF(EXACT($F504, ""), "", VLOOKUP($F504, 'MAIN - OrgDepartment'!$C$3:$D$104, 2, FALSE))</f>
        <v>Project</v>
      </c>
      <c r="H504" s="91">
        <v>160000000000006</v>
      </c>
      <c r="I504" s="37" t="str">
        <f>IF(EXACT($H504, ""), "", VLOOKUP($H504, 'MAIN - OrgJobsPos'!$B$2:$C$101, 2, FALSE))</f>
        <v>Manager</v>
      </c>
      <c r="J504" s="67" t="s">
        <v>158</v>
      </c>
      <c r="K504" s="63" t="s">
        <v>255</v>
      </c>
      <c r="L504" s="10" t="s">
        <v>3</v>
      </c>
      <c r="M504" s="11"/>
      <c r="O504" s="29">
        <f t="shared" si="14"/>
        <v>164000000000501</v>
      </c>
      <c r="P504" s="30" t="str">
        <f t="shared" si="15"/>
        <v>PERFORM "SchData-OLTP-HumanResource"."Func_TblWorkerCareerInternal_SET"(varSystemLoginSession, null::bigint, null::varchar, '2025-07-31 00:00:00+07'::timestamptz, '9999-12-31 23:59:59+07'::timestamptz, null::varchar, varInstitutionBranchID, varBaseCurrencyID, 32000000000501::bigint, 163000000000003::bigint, 111000000000011::bigint, 160000000000006::bigint, 'Project Manager'::varchar, '2025-07-31 00:00:00+07'::timestamptz, '9999-12-31 23:59:59+07'::timestamptz, null::bigint);</v>
      </c>
    </row>
    <row r="505" spans="1:16" x14ac:dyDescent="0.2">
      <c r="A505" s="4">
        <v>44491</v>
      </c>
      <c r="B505" s="37">
        <f>IF(EXACT(DataLookUp!$B505, ""), "", DataLookUp!$B505)</f>
        <v>32000000000502</v>
      </c>
      <c r="C505" s="38" t="str">
        <f>MAIN!C505</f>
        <v>Adythia Adikara</v>
      </c>
      <c r="D505" s="91">
        <v>163000000000003</v>
      </c>
      <c r="E505" s="37" t="str">
        <f>IF(EXACT($D505, ""), "", VLOOKUP($D505, [2]DataLookUp!$B$4:$D$15, 2, FALSE ))</f>
        <v>Karyawan Tidak Tetap (Kontrak)</v>
      </c>
      <c r="F505" s="91"/>
      <c r="G505" s="37" t="str">
        <f>IF(EXACT($F505, ""), "", VLOOKUP($F505, 'MAIN - OrgDepartment'!$C$3:$D$104, 2, FALSE))</f>
        <v/>
      </c>
      <c r="H505" s="91"/>
      <c r="I505" s="37" t="str">
        <f>IF(EXACT($H505, ""), "", VLOOKUP($H505, 'MAIN - OrgJobsPos'!$B$2:$C$101, 2, FALSE))</f>
        <v/>
      </c>
      <c r="J505" s="67"/>
      <c r="K505" s="63"/>
      <c r="L505" s="10" t="s">
        <v>7</v>
      </c>
      <c r="M505" s="11"/>
      <c r="O505" s="29">
        <f t="shared" si="14"/>
        <v>164000000000502</v>
      </c>
      <c r="P505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32000000000502::bigint, 163000000000003::bigint, null::bigint, null::bigint, null::varchar, null::timestamptz, '1900-12-31 23:59:59+07'::timestamptz, null::bigint);</v>
      </c>
    </row>
    <row r="506" spans="1:16" x14ac:dyDescent="0.2">
      <c r="B506" s="37">
        <f>IF(EXACT(DataLookUp!$B506, ""), "", DataLookUp!$B506)</f>
        <v>32000000000503</v>
      </c>
      <c r="C506" s="38" t="str">
        <f>MAIN!C506</f>
        <v>Agus Sopyan Hadi</v>
      </c>
      <c r="D506" s="91">
        <v>163000000000003</v>
      </c>
      <c r="E506" s="37" t="str">
        <f>IF(EXACT($D506, ""), "", VLOOKUP($D506, [2]DataLookUp!$B$4:$D$15, 2, FALSE ))</f>
        <v>Karyawan Tidak Tetap (Kontrak)</v>
      </c>
      <c r="F506" s="91"/>
      <c r="G506" s="37" t="str">
        <f>IF(EXACT($F506, ""), "", VLOOKUP($F506, 'MAIN - OrgDepartment'!$C$3:$D$104, 2, FALSE))</f>
        <v/>
      </c>
      <c r="H506" s="91"/>
      <c r="I506" s="37" t="str">
        <f>IF(EXACT($H506, ""), "", VLOOKUP($H506, 'MAIN - OrgJobsPos'!$B$2:$C$101, 2, FALSE))</f>
        <v/>
      </c>
      <c r="J506" s="67"/>
      <c r="K506" s="63"/>
      <c r="L506" s="10" t="s">
        <v>7</v>
      </c>
      <c r="M506" s="11"/>
      <c r="O506" s="29">
        <f t="shared" si="14"/>
        <v>164000000000503</v>
      </c>
      <c r="P506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32000000000503::bigint, 163000000000003::bigint, null::bigint, null::bigint, null::varchar, null::timestamptz, '1900-12-31 23:59:59+07'::timestamptz, null::bigint);</v>
      </c>
    </row>
    <row r="507" spans="1:16" x14ac:dyDescent="0.2">
      <c r="B507" s="37">
        <f>IF(EXACT(DataLookUp!$B507, ""), "", DataLookUp!$B507)</f>
        <v>32000000000504</v>
      </c>
      <c r="C507" s="38" t="str">
        <f>MAIN!C507</f>
        <v>Azis Purwandana</v>
      </c>
      <c r="D507" s="91">
        <v>163000000000003</v>
      </c>
      <c r="E507" s="37" t="str">
        <f>IF(EXACT($D507, ""), "", VLOOKUP($D507, [2]DataLookUp!$B$4:$D$15, 2, FALSE ))</f>
        <v>Karyawan Tidak Tetap (Kontrak)</v>
      </c>
      <c r="F507" s="91"/>
      <c r="G507" s="37" t="str">
        <f>IF(EXACT($F507, ""), "", VLOOKUP($F507, 'MAIN - OrgDepartment'!$C$3:$D$104, 2, FALSE))</f>
        <v/>
      </c>
      <c r="H507" s="91"/>
      <c r="I507" s="37" t="str">
        <f>IF(EXACT($H507, ""), "", VLOOKUP($H507, 'MAIN - OrgJobsPos'!$B$2:$C$101, 2, FALSE))</f>
        <v/>
      </c>
      <c r="J507" s="67"/>
      <c r="K507" s="63"/>
      <c r="L507" s="10" t="s">
        <v>7</v>
      </c>
      <c r="M507" s="11"/>
      <c r="O507" s="29">
        <f t="shared" si="14"/>
        <v>164000000000504</v>
      </c>
      <c r="P507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32000000000504::bigint, 163000000000003::bigint, null::bigint, null::bigint, null::varchar, null::timestamptz, '1900-12-31 23:59:59+07'::timestamptz, null::bigint);</v>
      </c>
    </row>
    <row r="508" spans="1:16" x14ac:dyDescent="0.2">
      <c r="B508" s="37">
        <f>IF(EXACT(DataLookUp!$B508, ""), "", DataLookUp!$B508)</f>
        <v>32000000000505</v>
      </c>
      <c r="C508" s="38" t="str">
        <f>MAIN!C508</f>
        <v>Heryanto</v>
      </c>
      <c r="D508" s="91">
        <v>163000000000003</v>
      </c>
      <c r="E508" s="37" t="str">
        <f>IF(EXACT($D508, ""), "", VLOOKUP($D508, [2]DataLookUp!$B$4:$D$15, 2, FALSE ))</f>
        <v>Karyawan Tidak Tetap (Kontrak)</v>
      </c>
      <c r="F508" s="91"/>
      <c r="G508" s="37" t="str">
        <f>IF(EXACT($F508, ""), "", VLOOKUP($F508, 'MAIN - OrgDepartment'!$C$3:$D$104, 2, FALSE))</f>
        <v/>
      </c>
      <c r="H508" s="91"/>
      <c r="I508" s="37" t="str">
        <f>IF(EXACT($H508, ""), "", VLOOKUP($H508, 'MAIN - OrgJobsPos'!$B$2:$C$101, 2, FALSE))</f>
        <v/>
      </c>
      <c r="J508" s="67"/>
      <c r="K508" s="63"/>
      <c r="L508" s="10" t="s">
        <v>7</v>
      </c>
      <c r="M508" s="11"/>
      <c r="O508" s="29">
        <f t="shared" si="14"/>
        <v>164000000000505</v>
      </c>
      <c r="P508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32000000000505::bigint, 163000000000003::bigint, null::bigint, null::bigint, null::varchar, null::timestamptz, '1900-12-31 23:59:59+07'::timestamptz, null::bigint);</v>
      </c>
    </row>
    <row r="509" spans="1:16" x14ac:dyDescent="0.2">
      <c r="B509" s="37">
        <f>IF(EXACT(DataLookUp!$B509, ""), "", DataLookUp!$B509)</f>
        <v>32000000000506</v>
      </c>
      <c r="C509" s="38" t="str">
        <f>MAIN!C509</f>
        <v>Imran</v>
      </c>
      <c r="D509" s="91">
        <v>163000000000003</v>
      </c>
      <c r="E509" s="37" t="str">
        <f>IF(EXACT($D509, ""), "", VLOOKUP($D509, [2]DataLookUp!$B$4:$D$15, 2, FALSE ))</f>
        <v>Karyawan Tidak Tetap (Kontrak)</v>
      </c>
      <c r="F509" s="91"/>
      <c r="G509" s="37" t="str">
        <f>IF(EXACT($F509, ""), "", VLOOKUP($F509, 'MAIN - OrgDepartment'!$C$3:$D$104, 2, FALSE))</f>
        <v/>
      </c>
      <c r="H509" s="91"/>
      <c r="I509" s="37" t="str">
        <f>IF(EXACT($H509, ""), "", VLOOKUP($H509, 'MAIN - OrgJobsPos'!$B$2:$C$101, 2, FALSE))</f>
        <v/>
      </c>
      <c r="J509" s="67"/>
      <c r="K509" s="63"/>
      <c r="L509" s="10" t="s">
        <v>7</v>
      </c>
      <c r="M509" s="11"/>
      <c r="O509" s="29">
        <f t="shared" si="14"/>
        <v>164000000000506</v>
      </c>
      <c r="P509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32000000000506::bigint, 163000000000003::bigint, null::bigint, null::bigint, null::varchar, null::timestamptz, '1900-12-31 23:59:59+07'::timestamptz, null::bigint);</v>
      </c>
    </row>
    <row r="510" spans="1:16" x14ac:dyDescent="0.2">
      <c r="B510" s="37">
        <f>IF(EXACT(DataLookUp!$B510, ""), "", DataLookUp!$B510)</f>
        <v>32000000000507</v>
      </c>
      <c r="C510" s="38" t="str">
        <f>MAIN!C510</f>
        <v>Khamim Taryono</v>
      </c>
      <c r="D510" s="91">
        <v>163000000000003</v>
      </c>
      <c r="E510" s="37" t="str">
        <f>IF(EXACT($D510, ""), "", VLOOKUP($D510, [2]DataLookUp!$B$4:$D$15, 2, FALSE ))</f>
        <v>Karyawan Tidak Tetap (Kontrak)</v>
      </c>
      <c r="F510" s="91"/>
      <c r="G510" s="37" t="str">
        <f>IF(EXACT($F510, ""), "", VLOOKUP($F510, 'MAIN - OrgDepartment'!$C$3:$D$104, 2, FALSE))</f>
        <v/>
      </c>
      <c r="H510" s="91"/>
      <c r="I510" s="37" t="str">
        <f>IF(EXACT($H510, ""), "", VLOOKUP($H510, 'MAIN - OrgJobsPos'!$B$2:$C$101, 2, FALSE))</f>
        <v/>
      </c>
      <c r="J510" s="67"/>
      <c r="K510" s="63"/>
      <c r="L510" s="10" t="s">
        <v>7</v>
      </c>
      <c r="M510" s="11"/>
      <c r="O510" s="29">
        <f t="shared" si="14"/>
        <v>164000000000507</v>
      </c>
      <c r="P510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32000000000507::bigint, 163000000000003::bigint, null::bigint, null::bigint, null::varchar, null::timestamptz, '1900-12-31 23:59:59+07'::timestamptz, null::bigint);</v>
      </c>
    </row>
    <row r="511" spans="1:16" x14ac:dyDescent="0.2">
      <c r="B511" s="37">
        <f>IF(EXACT(DataLookUp!$B511, ""), "", DataLookUp!$B511)</f>
        <v>32000000000508</v>
      </c>
      <c r="C511" s="38" t="str">
        <f>MAIN!C511</f>
        <v>Rafi Artman Siddiq</v>
      </c>
      <c r="D511" s="91">
        <v>163000000000003</v>
      </c>
      <c r="E511" s="37" t="str">
        <f>IF(EXACT($D511, ""), "", VLOOKUP($D511, [2]DataLookUp!$B$4:$D$15, 2, FALSE ))</f>
        <v>Karyawan Tidak Tetap (Kontrak)</v>
      </c>
      <c r="F511" s="91"/>
      <c r="G511" s="37" t="str">
        <f>IF(EXACT($F511, ""), "", VLOOKUP($F511, 'MAIN - OrgDepartment'!$C$3:$D$104, 2, FALSE))</f>
        <v/>
      </c>
      <c r="H511" s="91"/>
      <c r="I511" s="37" t="str">
        <f>IF(EXACT($H511, ""), "", VLOOKUP($H511, 'MAIN - OrgJobsPos'!$B$2:$C$101, 2, FALSE))</f>
        <v/>
      </c>
      <c r="J511" s="67"/>
      <c r="K511" s="63"/>
      <c r="L511" s="10" t="s">
        <v>7</v>
      </c>
      <c r="M511" s="11"/>
      <c r="O511" s="29">
        <f t="shared" si="14"/>
        <v>164000000000508</v>
      </c>
      <c r="P511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32000000000508::bigint, 163000000000003::bigint, null::bigint, null::bigint, null::varchar, null::timestamptz, '1900-12-31 23:59:59+07'::timestamptz, null::bigint);</v>
      </c>
    </row>
    <row r="512" spans="1:16" x14ac:dyDescent="0.2">
      <c r="B512" s="37">
        <f>IF(EXACT(DataLookUp!$B512, ""), "", DataLookUp!$B512)</f>
        <v>32000000000509</v>
      </c>
      <c r="C512" s="38" t="str">
        <f>MAIN!C512</f>
        <v>Riza Emir Subekti</v>
      </c>
      <c r="D512" s="91">
        <v>163000000000002</v>
      </c>
      <c r="E512" s="37" t="str">
        <f>IF(EXACT($D512, ""), "", VLOOKUP($D512, [2]DataLookUp!$B$4:$D$15, 2, FALSE ))</f>
        <v>Karyawan Tetap (Purna Waktu)</v>
      </c>
      <c r="F512" s="91">
        <v>111000000000015</v>
      </c>
      <c r="G512" s="37" t="str">
        <f>IF(EXACT($F512, ""), "", VLOOKUP($F512, 'MAIN - OrgDepartment'!$C$3:$D$104, 2, FALSE))</f>
        <v>Project Management Office</v>
      </c>
      <c r="H512" s="91">
        <v>160000000000008</v>
      </c>
      <c r="I512" s="37" t="str">
        <f>IF(EXACT($H512, ""), "", VLOOKUP($H512, 'MAIN - OrgJobsPos'!$B$2:$C$101, 2, FALSE))</f>
        <v>General Manager</v>
      </c>
      <c r="J512" s="67" t="s">
        <v>301</v>
      </c>
      <c r="K512" s="63"/>
      <c r="L512" s="10" t="s">
        <v>7</v>
      </c>
      <c r="M512" s="11"/>
      <c r="O512" s="29">
        <f t="shared" si="14"/>
        <v>164000000000509</v>
      </c>
      <c r="P512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32000000000509::bigint, 163000000000002::bigint, 111000000000015::bigint, 160000000000008::bigint, 'PMO General Manager'::varchar, null::timestamptz, '1900-12-31 23:59:59+07'::timestamptz, null::bigint);</v>
      </c>
    </row>
    <row r="513" spans="1:16" x14ac:dyDescent="0.2">
      <c r="B513" s="37">
        <f>IF(EXACT(DataLookUp!$B513, ""), "", DataLookUp!$B513)</f>
        <v>32000000000510</v>
      </c>
      <c r="C513" s="38" t="str">
        <f>MAIN!C513</f>
        <v>Slamet Riadi</v>
      </c>
      <c r="D513" s="91">
        <v>163000000000003</v>
      </c>
      <c r="E513" s="37" t="str">
        <f>IF(EXACT($D513, ""), "", VLOOKUP($D513, [2]DataLookUp!$B$4:$D$15, 2, FALSE ))</f>
        <v>Karyawan Tidak Tetap (Kontrak)</v>
      </c>
      <c r="F513" s="91"/>
      <c r="G513" s="37" t="str">
        <f>IF(EXACT($F513, ""), "", VLOOKUP($F513, 'MAIN - OrgDepartment'!$C$3:$D$104, 2, FALSE))</f>
        <v/>
      </c>
      <c r="H513" s="91"/>
      <c r="I513" s="37" t="str">
        <f>IF(EXACT($H513, ""), "", VLOOKUP($H513, 'MAIN - OrgJobsPos'!$B$2:$C$101, 2, FALSE))</f>
        <v/>
      </c>
      <c r="J513" s="67"/>
      <c r="K513" s="63"/>
      <c r="L513" s="10" t="s">
        <v>7</v>
      </c>
      <c r="M513" s="11"/>
      <c r="O513" s="29">
        <f t="shared" si="14"/>
        <v>164000000000510</v>
      </c>
      <c r="P513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32000000000510::bigint, 163000000000003::bigint, null::bigint, null::bigint, null::varchar, null::timestamptz, '1900-12-31 23:59:59+07'::timestamptz, null::bigint);</v>
      </c>
    </row>
    <row r="514" spans="1:16" x14ac:dyDescent="0.2">
      <c r="B514" s="37">
        <f>IF(EXACT(DataLookUp!$B514, ""), "", DataLookUp!$B514)</f>
        <v>32000000000511</v>
      </c>
      <c r="C514" s="38" t="str">
        <f>MAIN!C514</f>
        <v>Wisnu Andra Isdianto</v>
      </c>
      <c r="D514" s="91">
        <v>163000000000003</v>
      </c>
      <c r="E514" s="37" t="str">
        <f>IF(EXACT($D514, ""), "", VLOOKUP($D514, [2]DataLookUp!$B$4:$D$15, 2, FALSE ))</f>
        <v>Karyawan Tidak Tetap (Kontrak)</v>
      </c>
      <c r="F514" s="91"/>
      <c r="G514" s="37" t="str">
        <f>IF(EXACT($F514, ""), "", VLOOKUP($F514, 'MAIN - OrgDepartment'!$C$3:$D$104, 2, FALSE))</f>
        <v/>
      </c>
      <c r="H514" s="91"/>
      <c r="I514" s="37" t="str">
        <f>IF(EXACT($H514, ""), "", VLOOKUP($H514, 'MAIN - OrgJobsPos'!$B$2:$C$101, 2, FALSE))</f>
        <v/>
      </c>
      <c r="J514" s="67"/>
      <c r="K514" s="63"/>
      <c r="L514" s="10" t="s">
        <v>7</v>
      </c>
      <c r="M514" s="11"/>
      <c r="O514" s="29">
        <f t="shared" si="14"/>
        <v>164000000000511</v>
      </c>
      <c r="P514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32000000000511::bigint, 163000000000003::bigint, null::bigint, null::bigint, null::varchar, null::timestamptz, '1900-12-31 23:59:59+07'::timestamptz, null::bigint);</v>
      </c>
    </row>
    <row r="515" spans="1:16" x14ac:dyDescent="0.2">
      <c r="A515" s="4">
        <v>45069</v>
      </c>
      <c r="B515" s="37">
        <f>IF(EXACT(DataLookUp!$B515, ""), "", DataLookUp!$B515)</f>
        <v>32000000000512</v>
      </c>
      <c r="C515" s="38" t="str">
        <f>MAIN!C515</f>
        <v>Agus Budi Setiawan</v>
      </c>
      <c r="D515" s="91">
        <v>163000000000003</v>
      </c>
      <c r="E515" s="37" t="str">
        <f>IF(EXACT($D515, ""), "", VLOOKUP($D515, [2]DataLookUp!$B$4:$D$15, 2, FALSE ))</f>
        <v>Karyawan Tidak Tetap (Kontrak)</v>
      </c>
      <c r="F515" s="91"/>
      <c r="G515" s="37" t="str">
        <f>IF(EXACT($F515, ""), "", VLOOKUP($F515, 'MAIN - OrgDepartment'!$C$3:$D$104, 2, FALSE))</f>
        <v/>
      </c>
      <c r="H515" s="91"/>
      <c r="I515" s="37" t="str">
        <f>IF(EXACT($H515, ""), "", VLOOKUP($H515, 'MAIN - OrgJobsPos'!$B$2:$C$101, 2, FALSE))</f>
        <v/>
      </c>
      <c r="J515" s="67"/>
      <c r="K515" s="63"/>
      <c r="L515" s="10" t="s">
        <v>7</v>
      </c>
      <c r="M515" s="11"/>
      <c r="O515" s="29">
        <f t="shared" si="14"/>
        <v>164000000000512</v>
      </c>
      <c r="P515" s="30" t="str">
        <f t="shared" si="15"/>
        <v>PERFORM "SchData-OLTP-HumanResource"."Func_TblWorkerCareerInternal_SET"(varSystemLoginSession, null::bigint, null::varchar, null::timestamptz, '1900-12-31 23:59:59+07'::timestamptz, null::varchar, varInstitutionBranchID, varBaseCurrencyID, 32000000000512::bigint, 163000000000003::bigint, null::bigint, null::bigint, null::varchar, null::timestamptz, '1900-12-31 23:59:59+07'::timestamptz, null::bigint);</v>
      </c>
    </row>
    <row r="516" spans="1:16" x14ac:dyDescent="0.2">
      <c r="B516" s="37">
        <f>IF(EXACT(DataLookUp!$B516, ""), "", DataLookUp!$B516)</f>
        <v>32000000000513</v>
      </c>
      <c r="C516" s="38" t="str">
        <f>MAIN!C516</f>
        <v>Ahmad Choerul</v>
      </c>
      <c r="D516" s="91">
        <v>163000000000003</v>
      </c>
      <c r="E516" s="37" t="str">
        <f>IF(EXACT($D516, ""), "", VLOOKUP($D516, [2]DataLookUp!$B$4:$D$15, 2, FALSE ))</f>
        <v>Karyawan Tidak Tetap (Kontrak)</v>
      </c>
      <c r="F516" s="91">
        <v>111000000000004</v>
      </c>
      <c r="G516" s="37" t="str">
        <f>IF(EXACT($F516, ""), "", VLOOKUP($F516, 'MAIN - OrgDepartment'!$C$3:$D$104, 2, FALSE))</f>
        <v>Sales &amp; Marketing</v>
      </c>
      <c r="H516" s="91">
        <v>160000000000003</v>
      </c>
      <c r="I516" s="37" t="str">
        <f>IF(EXACT($H516, ""), "", VLOOKUP($H516, 'MAIN - OrgJobsPos'!$B$2:$C$101, 2, FALSE))</f>
        <v>Staff</v>
      </c>
      <c r="J516" s="67" t="s">
        <v>305</v>
      </c>
      <c r="K516" s="63"/>
      <c r="L516" s="10" t="s">
        <v>3</v>
      </c>
      <c r="M516" s="11"/>
      <c r="O516" s="29">
        <f t="shared" si="14"/>
        <v>164000000000513</v>
      </c>
      <c r="P516" s="30" t="str">
        <f t="shared" si="15"/>
        <v>PERFORM "SchData-OLTP-HumanResource"."Func_TblWorkerCareerInternal_SET"(varSystemLoginSession, null::bigint, null::varchar, null::timestamptz, '9999-12-31 23:59:59+07'::timestamptz, null::varchar, varInstitutionBranchID, varBaseCurrencyID, 32000000000513::bigint, 163000000000003::bigint, 111000000000004::bigint, 160000000000003::bigint, 'Relation/Account Officer'::varchar, null::timestamptz, '9999-12-31 23:59:59+07'::timestamptz, null::bigint);</v>
      </c>
    </row>
    <row r="517" spans="1:16" x14ac:dyDescent="0.2">
      <c r="B517" s="37">
        <f>IF(EXACT(DataLookUp!$B517, ""), "", DataLookUp!$B517)</f>
        <v>32000000000514</v>
      </c>
      <c r="C517" s="38" t="str">
        <f>MAIN!C517</f>
        <v>Achmad Yunadi</v>
      </c>
      <c r="D517" s="91">
        <v>163000000000003</v>
      </c>
      <c r="E517" s="37" t="str">
        <f>IF(EXACT($D517, ""), "", VLOOKUP($D517, [2]DataLookUp!$B$4:$D$15, 2, FALSE ))</f>
        <v>Karyawan Tidak Tetap (Kontrak)</v>
      </c>
      <c r="F517" s="91"/>
      <c r="G517" s="37" t="str">
        <f>IF(EXACT($F517, ""), "", VLOOKUP($F517, 'MAIN - OrgDepartment'!$C$3:$D$104, 2, FALSE))</f>
        <v/>
      </c>
      <c r="H517" s="91">
        <v>160000000000003</v>
      </c>
      <c r="I517" s="37" t="str">
        <f>IF(EXACT($H517, ""), "", VLOOKUP($H517, 'MAIN - OrgJobsPos'!$B$2:$C$101, 2, FALSE))</f>
        <v>Staff</v>
      </c>
      <c r="J517" s="67"/>
      <c r="K517" s="63"/>
      <c r="L517" s="10" t="s">
        <v>3</v>
      </c>
      <c r="M517" s="11"/>
      <c r="O517" s="29">
        <f t="shared" ref="O517:O581" si="16" xml:space="preserve"> O516 + IF(EXACT(P517, ""), 0, 1)</f>
        <v>164000000000514</v>
      </c>
      <c r="P517" s="30" t="str">
        <f t="shared" ref="P517:P580" si="17">CONCATENATE("PERFORM ""SchData-OLTP-HumanResource"".""Func_TblWorkerCareerInternal_SET""(varSystemLoginSession, null::bigint, null::varchar",
CONCATENATE(IF(EXACT($K517, ""), ", null", CONCATENATE(", '", $K517, "'")), "::timestamptz"),
CONCATENATE(IF(EXACT($L517, ""), ", null", CONCATENATE(", '", $L517, "'")), "::timestamptz"),
", null::varchar, varInstitutionBranchID, varBaseCurrencyID",
CONCATENATE(IF(EXACT($B517, ""), ", null", CONCATENATE(", ", $B517, "")), "::bigint"),
CONCATENATE(IF(EXACT($D517, ""), ", null", CONCATENATE(", ", $D517, "")), "::bigint"),
CONCATENATE(IF(EXACT($F517, ""), ", null", CONCATENATE(", ", $F517, "")), "::bigint"),
CONCATENATE(IF(EXACT($H517, ""), ", null", CONCATENATE(", ", $H517, "")), "::bigint"),
CONCATENATE(IF(EXACT($J517, ""), ", null", CONCATENATE(", '", $J517, "'")), "::varchar"),
CONCATENATE(IF(EXACT($K517, ""), ", null", CONCATENATE(", '", $K517, "'")), "::timestamptz"),
CONCATENATE(IF(EXACT($L517, ""), ", null", CONCATENATE(", '", $L517, "'")), "::timestamptz"),
CONCATENATE(IF(EXACT($M517, ""), ", null", CONCATENATE(", ", $M517, "")), "::bigint"),
");")</f>
        <v>PERFORM "SchData-OLTP-HumanResource"."Func_TblWorkerCareerInternal_SET"(varSystemLoginSession, null::bigint, null::varchar, null::timestamptz, '9999-12-31 23:59:59+07'::timestamptz, null::varchar, varInstitutionBranchID, varBaseCurrencyID, 32000000000514::bigint, 163000000000003::bigint, null::bigint, 160000000000003::bigint, null::varchar, null::timestamptz, '9999-12-31 23:59:59+07'::timestamptz, null::bigint);</v>
      </c>
    </row>
    <row r="518" spans="1:16" x14ac:dyDescent="0.2">
      <c r="B518" s="37">
        <f>IF(EXACT(DataLookUp!$B518, ""), "", DataLookUp!$B518)</f>
        <v>32000000000515</v>
      </c>
      <c r="C518" s="38" t="str">
        <f>MAIN!C518</f>
        <v>Asep mulyana</v>
      </c>
      <c r="D518" s="91">
        <v>163000000000003</v>
      </c>
      <c r="E518" s="37" t="str">
        <f>IF(EXACT($D518, ""), "", VLOOKUP($D518, [2]DataLookUp!$B$4:$D$15, 2, FALSE ))</f>
        <v>Karyawan Tidak Tetap (Kontrak)</v>
      </c>
      <c r="F518" s="91"/>
      <c r="G518" s="37" t="str">
        <f>IF(EXACT($F518, ""), "", VLOOKUP($F518, 'MAIN - OrgDepartment'!$C$3:$D$104, 2, FALSE))</f>
        <v/>
      </c>
      <c r="H518" s="91">
        <v>160000000000003</v>
      </c>
      <c r="I518" s="37" t="str">
        <f>IF(EXACT($H518, ""), "", VLOOKUP($H518, 'MAIN - OrgJobsPos'!$B$2:$C$101, 2, FALSE))</f>
        <v>Staff</v>
      </c>
      <c r="J518" s="67"/>
      <c r="K518" s="63"/>
      <c r="L518" s="10" t="s">
        <v>3</v>
      </c>
      <c r="M518" s="11"/>
      <c r="O518" s="29">
        <f t="shared" si="16"/>
        <v>164000000000515</v>
      </c>
      <c r="P518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32000000000515::bigint, 163000000000003::bigint, null::bigint, 160000000000003::bigint, null::varchar, null::timestamptz, '9999-12-31 23:59:59+07'::timestamptz, null::bigint);</v>
      </c>
    </row>
    <row r="519" spans="1:16" x14ac:dyDescent="0.2">
      <c r="B519" s="37">
        <f>IF(EXACT(DataLookUp!$B519, ""), "", DataLookUp!$B519)</f>
        <v>32000000000516</v>
      </c>
      <c r="C519" s="38" t="str">
        <f>MAIN!C519</f>
        <v>Bagus Isdiantara</v>
      </c>
      <c r="D519" s="91">
        <v>163000000000003</v>
      </c>
      <c r="E519" s="37" t="str">
        <f>IF(EXACT($D519, ""), "", VLOOKUP($D519, [2]DataLookUp!$B$4:$D$15, 2, FALSE ))</f>
        <v>Karyawan Tidak Tetap (Kontrak)</v>
      </c>
      <c r="F519" s="91"/>
      <c r="G519" s="37" t="str">
        <f>IF(EXACT($F519, ""), "", VLOOKUP($F519, 'MAIN - OrgDepartment'!$C$3:$D$104, 2, FALSE))</f>
        <v/>
      </c>
      <c r="H519" s="91">
        <v>160000000000003</v>
      </c>
      <c r="I519" s="37" t="str">
        <f>IF(EXACT($H519, ""), "", VLOOKUP($H519, 'MAIN - OrgJobsPos'!$B$2:$C$101, 2, FALSE))</f>
        <v>Staff</v>
      </c>
      <c r="J519" s="67"/>
      <c r="K519" s="63"/>
      <c r="L519" s="10" t="s">
        <v>3</v>
      </c>
      <c r="M519" s="11"/>
      <c r="O519" s="29">
        <f t="shared" si="16"/>
        <v>164000000000516</v>
      </c>
      <c r="P519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32000000000516::bigint, 163000000000003::bigint, null::bigint, 160000000000003::bigint, null::varchar, null::timestamptz, '9999-12-31 23:59:59+07'::timestamptz, null::bigint);</v>
      </c>
    </row>
    <row r="520" spans="1:16" x14ac:dyDescent="0.2">
      <c r="B520" s="37">
        <f>IF(EXACT(DataLookUp!$B520, ""), "", DataLookUp!$B520)</f>
        <v>32000000000517</v>
      </c>
      <c r="C520" s="38" t="str">
        <f>MAIN!C520</f>
        <v>Cahyana</v>
      </c>
      <c r="D520" s="91">
        <v>163000000000003</v>
      </c>
      <c r="E520" s="37" t="str">
        <f>IF(EXACT($D520, ""), "", VLOOKUP($D520, [2]DataLookUp!$B$4:$D$15, 2, FALSE ))</f>
        <v>Karyawan Tidak Tetap (Kontrak)</v>
      </c>
      <c r="F520" s="92">
        <v>111000000000022</v>
      </c>
      <c r="G520" s="37" t="str">
        <f>IF(EXACT($F520, ""), "", VLOOKUP($F520, 'MAIN - OrgDepartment'!$C$3:$D$104, 2, FALSE))</f>
        <v>Sales</v>
      </c>
      <c r="H520" s="91">
        <v>160000000000005</v>
      </c>
      <c r="I520" s="37" t="str">
        <f>IF(EXACT($H520, ""), "", VLOOKUP($H520, 'MAIN - OrgJobsPos'!$B$2:$C$101, 2, FALSE))</f>
        <v>Senior Supervisor</v>
      </c>
      <c r="J520" s="67" t="s">
        <v>297</v>
      </c>
      <c r="K520" s="63"/>
      <c r="L520" s="10" t="s">
        <v>3</v>
      </c>
      <c r="M520" s="11"/>
      <c r="O520" s="29">
        <f t="shared" si="16"/>
        <v>164000000000517</v>
      </c>
      <c r="P520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32000000000517::bigint, 163000000000003::bigint, 111000000000022::bigint, 160000000000005::bigint, 'Sales Coodinator'::varchar, null::timestamptz, '9999-12-31 23:59:59+07'::timestamptz, null::bigint);</v>
      </c>
    </row>
    <row r="521" spans="1:16" x14ac:dyDescent="0.2">
      <c r="B521" s="37">
        <f>IF(EXACT(DataLookUp!$B521, ""), "", DataLookUp!$B521)</f>
        <v>32000000000518</v>
      </c>
      <c r="C521" s="38" t="str">
        <f>MAIN!C521</f>
        <v>Dede Hartanto</v>
      </c>
      <c r="D521" s="91">
        <v>163000000000003</v>
      </c>
      <c r="E521" s="37" t="str">
        <f>IF(EXACT($D521, ""), "", VLOOKUP($D521, [2]DataLookUp!$B$4:$D$15, 2, FALSE ))</f>
        <v>Karyawan Tidak Tetap (Kontrak)</v>
      </c>
      <c r="F521" s="91"/>
      <c r="G521" s="37" t="str">
        <f>IF(EXACT($F521, ""), "", VLOOKUP($F521, 'MAIN - OrgDepartment'!$C$3:$D$104, 2, FALSE))</f>
        <v/>
      </c>
      <c r="H521" s="91">
        <v>160000000000003</v>
      </c>
      <c r="I521" s="37" t="str">
        <f>IF(EXACT($H521, ""), "", VLOOKUP($H521, 'MAIN - OrgJobsPos'!$B$2:$C$101, 2, FALSE))</f>
        <v>Staff</v>
      </c>
      <c r="J521" s="67"/>
      <c r="K521" s="63"/>
      <c r="L521" s="10" t="s">
        <v>3</v>
      </c>
      <c r="M521" s="11"/>
      <c r="O521" s="29">
        <f t="shared" si="16"/>
        <v>164000000000518</v>
      </c>
      <c r="P521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32000000000518::bigint, 163000000000003::bigint, null::bigint, 160000000000003::bigint, null::varchar, null::timestamptz, '9999-12-31 23:59:59+07'::timestamptz, null::bigint);</v>
      </c>
    </row>
    <row r="522" spans="1:16" x14ac:dyDescent="0.2">
      <c r="B522" s="37">
        <f>IF(EXACT(DataLookUp!$B522, ""), "", DataLookUp!$B522)</f>
        <v>32000000000519</v>
      </c>
      <c r="C522" s="38" t="str">
        <f>MAIN!C522</f>
        <v>Denny Achmad Ferlando</v>
      </c>
      <c r="D522" s="91">
        <v>163000000000003</v>
      </c>
      <c r="E522" s="37" t="str">
        <f>IF(EXACT($D522, ""), "", VLOOKUP($D522, [2]DataLookUp!$B$4:$D$15, 2, FALSE ))</f>
        <v>Karyawan Tidak Tetap (Kontrak)</v>
      </c>
      <c r="F522" s="91"/>
      <c r="G522" s="37" t="str">
        <f>IF(EXACT($F522, ""), "", VLOOKUP($F522, 'MAIN - OrgDepartment'!$C$3:$D$104, 2, FALSE))</f>
        <v/>
      </c>
      <c r="H522" s="91">
        <v>160000000000003</v>
      </c>
      <c r="I522" s="37" t="str">
        <f>IF(EXACT($H522, ""), "", VLOOKUP($H522, 'MAIN - OrgJobsPos'!$B$2:$C$101, 2, FALSE))</f>
        <v>Staff</v>
      </c>
      <c r="J522" s="67"/>
      <c r="K522" s="63"/>
      <c r="L522" s="10" t="s">
        <v>3</v>
      </c>
      <c r="M522" s="11"/>
      <c r="O522" s="29">
        <f t="shared" si="16"/>
        <v>164000000000519</v>
      </c>
      <c r="P522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32000000000519::bigint, 163000000000003::bigint, null::bigint, 160000000000003::bigint, null::varchar, null::timestamptz, '9999-12-31 23:59:59+07'::timestamptz, null::bigint);</v>
      </c>
    </row>
    <row r="523" spans="1:16" x14ac:dyDescent="0.2">
      <c r="B523" s="37">
        <f>IF(EXACT(DataLookUp!$B523, ""), "", DataLookUp!$B523)</f>
        <v>32000000000520</v>
      </c>
      <c r="C523" s="38" t="str">
        <f>MAIN!C523</f>
        <v>Dian Setiawan</v>
      </c>
      <c r="D523" s="91">
        <v>163000000000003</v>
      </c>
      <c r="E523" s="37" t="str">
        <f>IF(EXACT($D523, ""), "", VLOOKUP($D523, [2]DataLookUp!$B$4:$D$15, 2, FALSE ))</f>
        <v>Karyawan Tidak Tetap (Kontrak)</v>
      </c>
      <c r="F523" s="91"/>
      <c r="G523" s="37" t="str">
        <f>IF(EXACT($F523, ""), "", VLOOKUP($F523, 'MAIN - OrgDepartment'!$C$3:$D$104, 2, FALSE))</f>
        <v/>
      </c>
      <c r="H523" s="91">
        <v>160000000000003</v>
      </c>
      <c r="I523" s="37" t="str">
        <f>IF(EXACT($H523, ""), "", VLOOKUP($H523, 'MAIN - OrgJobsPos'!$B$2:$C$101, 2, FALSE))</f>
        <v>Staff</v>
      </c>
      <c r="J523" s="67"/>
      <c r="K523" s="63"/>
      <c r="L523" s="10" t="s">
        <v>3</v>
      </c>
      <c r="M523" s="11"/>
      <c r="O523" s="29">
        <f t="shared" si="16"/>
        <v>164000000000520</v>
      </c>
      <c r="P523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32000000000520::bigint, 163000000000003::bigint, null::bigint, 160000000000003::bigint, null::varchar, null::timestamptz, '9999-12-31 23:59:59+07'::timestamptz, null::bigint);</v>
      </c>
    </row>
    <row r="524" spans="1:16" x14ac:dyDescent="0.2">
      <c r="B524" s="37">
        <f>IF(EXACT(DataLookUp!$B524, ""), "", DataLookUp!$B524)</f>
        <v>32000000000521</v>
      </c>
      <c r="C524" s="38" t="str">
        <f>MAIN!C524</f>
        <v>Fabrian Danang Destiyara</v>
      </c>
      <c r="D524" s="91">
        <v>163000000000003</v>
      </c>
      <c r="E524" s="37" t="str">
        <f>IF(EXACT($D524, ""), "", VLOOKUP($D524, [2]DataLookUp!$B$4:$D$15, 2, FALSE ))</f>
        <v>Karyawan Tidak Tetap (Kontrak)</v>
      </c>
      <c r="F524" s="91">
        <v>111000000000005</v>
      </c>
      <c r="G524" s="37" t="str">
        <f>IF(EXACT($F524, ""), "", VLOOKUP($F524, 'MAIN - OrgDepartment'!$C$3:$D$104, 2, FALSE))</f>
        <v>Finance &amp; Accounting</v>
      </c>
      <c r="H524" s="91">
        <v>160000000000004</v>
      </c>
      <c r="I524" s="37" t="str">
        <f>IF(EXACT($H524, ""), "", VLOOKUP($H524, 'MAIN - OrgJobsPos'!$B$2:$C$101, 2, FALSE))</f>
        <v>Supervisor</v>
      </c>
      <c r="J524" s="67" t="s">
        <v>326</v>
      </c>
      <c r="K524" s="63"/>
      <c r="L524" s="10" t="s">
        <v>3</v>
      </c>
      <c r="M524" s="11"/>
      <c r="O524" s="29">
        <f t="shared" si="16"/>
        <v>164000000000521</v>
      </c>
      <c r="P524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32000000000521::bigint, 163000000000003::bigint, 111000000000005::bigint, 160000000000004::bigint, 'Administratif Staff'::varchar, null::timestamptz, '9999-12-31 23:59:59+07'::timestamptz, null::bigint);</v>
      </c>
    </row>
    <row r="525" spans="1:16" x14ac:dyDescent="0.2">
      <c r="B525" s="37">
        <f>IF(EXACT(DataLookUp!$B525, ""), "", DataLookUp!$B525)</f>
        <v>32000000000522</v>
      </c>
      <c r="C525" s="38" t="str">
        <f>MAIN!C525</f>
        <v>Ferdian Kriswantoro</v>
      </c>
      <c r="D525" s="91">
        <v>163000000000003</v>
      </c>
      <c r="E525" s="37" t="str">
        <f>IF(EXACT($D525, ""), "", VLOOKUP($D525, [2]DataLookUp!$B$4:$D$15, 2, FALSE ))</f>
        <v>Karyawan Tidak Tetap (Kontrak)</v>
      </c>
      <c r="F525" s="91">
        <v>111000000000012</v>
      </c>
      <c r="G525" s="37" t="str">
        <f>IF(EXACT($F525, ""), "", VLOOKUP($F525, 'MAIN - OrgDepartment'!$C$3:$D$104, 2, FALSE))</f>
        <v>Procurement</v>
      </c>
      <c r="H525" s="91">
        <v>160000000000003</v>
      </c>
      <c r="I525" s="37" t="str">
        <f>IF(EXACT($H525, ""), "", VLOOKUP($H525, 'MAIN - OrgJobsPos'!$B$2:$C$101, 2, FALSE))</f>
        <v>Staff</v>
      </c>
      <c r="J525" s="67"/>
      <c r="K525" s="63"/>
      <c r="L525" s="10" t="s">
        <v>3</v>
      </c>
      <c r="M525" s="11"/>
      <c r="O525" s="29">
        <f t="shared" si="16"/>
        <v>164000000000522</v>
      </c>
      <c r="P525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32000000000522::bigint, 163000000000003::bigint, 111000000000012::bigint, 160000000000003::bigint, null::varchar, null::timestamptz, '9999-12-31 23:59:59+07'::timestamptz, null::bigint);</v>
      </c>
    </row>
    <row r="526" spans="1:16" x14ac:dyDescent="0.2">
      <c r="B526" s="37">
        <f>IF(EXACT(DataLookUp!$B526, ""), "", DataLookUp!$B526)</f>
        <v>32000000000523</v>
      </c>
      <c r="C526" s="38" t="str">
        <f>MAIN!C526</f>
        <v>Fuzi Mafrozi</v>
      </c>
      <c r="D526" s="91">
        <v>163000000000003</v>
      </c>
      <c r="E526" s="37" t="str">
        <f>IF(EXACT($D526, ""), "", VLOOKUP($D526, [2]DataLookUp!$B$4:$D$15, 2, FALSE ))</f>
        <v>Karyawan Tidak Tetap (Kontrak)</v>
      </c>
      <c r="F526" s="91"/>
      <c r="G526" s="37" t="str">
        <f>IF(EXACT($F526, ""), "", VLOOKUP($F526, 'MAIN - OrgDepartment'!$C$3:$D$104, 2, FALSE))</f>
        <v/>
      </c>
      <c r="H526" s="91">
        <v>160000000000003</v>
      </c>
      <c r="I526" s="37" t="str">
        <f>IF(EXACT($H526, ""), "", VLOOKUP($H526, 'MAIN - OrgJobsPos'!$B$2:$C$101, 2, FALSE))</f>
        <v>Staff</v>
      </c>
      <c r="J526" s="67"/>
      <c r="K526" s="63"/>
      <c r="L526" s="10" t="s">
        <v>7</v>
      </c>
      <c r="M526" s="11"/>
      <c r="O526" s="29">
        <f t="shared" si="16"/>
        <v>164000000000523</v>
      </c>
      <c r="P526" s="30" t="str">
        <f t="shared" si="17"/>
        <v>PERFORM "SchData-OLTP-HumanResource"."Func_TblWorkerCareerInternal_SET"(varSystemLoginSession, null::bigint, null::varchar, null::timestamptz, '1900-12-31 23:59:59+07'::timestamptz, null::varchar, varInstitutionBranchID, varBaseCurrencyID, 32000000000523::bigint, 163000000000003::bigint, null::bigint, 160000000000003::bigint, null::varchar, null::timestamptz, '1900-12-31 23:59:59+07'::timestamptz, null::bigint);</v>
      </c>
    </row>
    <row r="527" spans="1:16" x14ac:dyDescent="0.2">
      <c r="B527" s="37">
        <f>IF(EXACT(DataLookUp!$B527, ""), "", DataLookUp!$B527)</f>
        <v>32000000000524</v>
      </c>
      <c r="C527" s="38" t="str">
        <f>MAIN!C527</f>
        <v>Gilang Setiawan</v>
      </c>
      <c r="D527" s="91">
        <v>163000000000003</v>
      </c>
      <c r="E527" s="37" t="str">
        <f>IF(EXACT($D527, ""), "", VLOOKUP($D527, [2]DataLookUp!$B$4:$D$15, 2, FALSE ))</f>
        <v>Karyawan Tidak Tetap (Kontrak)</v>
      </c>
      <c r="F527" s="91"/>
      <c r="G527" s="37" t="str">
        <f>IF(EXACT($F527, ""), "", VLOOKUP($F527, 'MAIN - OrgDepartment'!$C$3:$D$104, 2, FALSE))</f>
        <v/>
      </c>
      <c r="H527" s="91">
        <v>160000000000003</v>
      </c>
      <c r="I527" s="37" t="str">
        <f>IF(EXACT($H527, ""), "", VLOOKUP($H527, 'MAIN - OrgJobsPos'!$B$2:$C$101, 2, FALSE))</f>
        <v>Staff</v>
      </c>
      <c r="J527" s="67"/>
      <c r="K527" s="63"/>
      <c r="L527" s="10" t="s">
        <v>3</v>
      </c>
      <c r="M527" s="11"/>
      <c r="O527" s="29">
        <f t="shared" si="16"/>
        <v>164000000000524</v>
      </c>
      <c r="P527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32000000000524::bigint, 163000000000003::bigint, null::bigint, 160000000000003::bigint, null::varchar, null::timestamptz, '9999-12-31 23:59:59+07'::timestamptz, null::bigint);</v>
      </c>
    </row>
    <row r="528" spans="1:16" x14ac:dyDescent="0.2">
      <c r="B528" s="37">
        <f>IF(EXACT(DataLookUp!$B528, ""), "", DataLookUp!$B528)</f>
        <v>32000000000525</v>
      </c>
      <c r="C528" s="38" t="str">
        <f>MAIN!C528</f>
        <v>Idris Affandi</v>
      </c>
      <c r="D528" s="91">
        <v>163000000000003</v>
      </c>
      <c r="E528" s="37" t="str">
        <f>IF(EXACT($D528, ""), "", VLOOKUP($D528, [2]DataLookUp!$B$4:$D$15, 2, FALSE ))</f>
        <v>Karyawan Tidak Tetap (Kontrak)</v>
      </c>
      <c r="F528" s="91"/>
      <c r="G528" s="37" t="str">
        <f>IF(EXACT($F528, ""), "", VLOOKUP($F528, 'MAIN - OrgDepartment'!$C$3:$D$104, 2, FALSE))</f>
        <v/>
      </c>
      <c r="H528" s="91">
        <v>160000000000003</v>
      </c>
      <c r="I528" s="37" t="str">
        <f>IF(EXACT($H528, ""), "", VLOOKUP($H528, 'MAIN - OrgJobsPos'!$B$2:$C$101, 2, FALSE))</f>
        <v>Staff</v>
      </c>
      <c r="J528" s="67"/>
      <c r="K528" s="63"/>
      <c r="L528" s="10" t="s">
        <v>3</v>
      </c>
      <c r="M528" s="11"/>
      <c r="O528" s="29">
        <f t="shared" si="16"/>
        <v>164000000000525</v>
      </c>
      <c r="P528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32000000000525::bigint, 163000000000003::bigint, null::bigint, 160000000000003::bigint, null::varchar, null::timestamptz, '9999-12-31 23:59:59+07'::timestamptz, null::bigint);</v>
      </c>
    </row>
    <row r="529" spans="2:16" x14ac:dyDescent="0.2">
      <c r="B529" s="37">
        <f>IF(EXACT(DataLookUp!$B529, ""), "", DataLookUp!$B529)</f>
        <v>32000000000526</v>
      </c>
      <c r="C529" s="38" t="str">
        <f>MAIN!C529</f>
        <v>Indra Wijaya</v>
      </c>
      <c r="D529" s="91">
        <v>163000000000003</v>
      </c>
      <c r="E529" s="37" t="str">
        <f>IF(EXACT($D529, ""), "", VLOOKUP($D529, [2]DataLookUp!$B$4:$D$15, 2, FALSE ))</f>
        <v>Karyawan Tidak Tetap (Kontrak)</v>
      </c>
      <c r="F529" s="91"/>
      <c r="G529" s="37" t="str">
        <f>IF(EXACT($F529, ""), "", VLOOKUP($F529, 'MAIN - OrgDepartment'!$C$3:$D$104, 2, FALSE))</f>
        <v/>
      </c>
      <c r="H529" s="91">
        <v>160000000000003</v>
      </c>
      <c r="I529" s="37" t="str">
        <f>IF(EXACT($H529, ""), "", VLOOKUP($H529, 'MAIN - OrgJobsPos'!$B$2:$C$101, 2, FALSE))</f>
        <v>Staff</v>
      </c>
      <c r="J529" s="67"/>
      <c r="K529" s="63"/>
      <c r="L529" s="10" t="s">
        <v>3</v>
      </c>
      <c r="M529" s="11"/>
      <c r="O529" s="29">
        <f t="shared" si="16"/>
        <v>164000000000526</v>
      </c>
      <c r="P529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32000000000526::bigint, 163000000000003::bigint, null::bigint, 160000000000003::bigint, null::varchar, null::timestamptz, '9999-12-31 23:59:59+07'::timestamptz, null::bigint);</v>
      </c>
    </row>
    <row r="530" spans="2:16" x14ac:dyDescent="0.2">
      <c r="B530" s="37">
        <f>IF(EXACT(DataLookUp!$B530, ""), "", DataLookUp!$B530)</f>
        <v>32000000000527</v>
      </c>
      <c r="C530" s="38" t="str">
        <f>MAIN!C530</f>
        <v>Irma Maulidawati</v>
      </c>
      <c r="D530" s="91">
        <v>163000000000003</v>
      </c>
      <c r="E530" s="37" t="str">
        <f>IF(EXACT($D530, ""), "", VLOOKUP($D530, [2]DataLookUp!$B$4:$D$15, 2, FALSE ))</f>
        <v>Karyawan Tidak Tetap (Kontrak)</v>
      </c>
      <c r="F530" s="91">
        <v>111000000000005</v>
      </c>
      <c r="G530" s="37" t="str">
        <f>IF(EXACT($F530, ""), "", VLOOKUP($F530, 'MAIN - OrgDepartment'!$C$3:$D$104, 2, FALSE))</f>
        <v>Finance &amp; Accounting</v>
      </c>
      <c r="H530" s="91">
        <v>160000000000004</v>
      </c>
      <c r="I530" s="37" t="str">
        <f>IF(EXACT($H530, ""), "", VLOOKUP($H530, 'MAIN - OrgJobsPos'!$B$2:$C$101, 2, FALSE))</f>
        <v>Supervisor</v>
      </c>
      <c r="J530" s="67" t="s">
        <v>170</v>
      </c>
      <c r="K530" s="63" t="s">
        <v>225</v>
      </c>
      <c r="L530" s="10" t="s">
        <v>3</v>
      </c>
      <c r="M530" s="11"/>
      <c r="O530" s="29">
        <f t="shared" si="16"/>
        <v>164000000000527</v>
      </c>
      <c r="P530" s="30" t="str">
        <f t="shared" si="17"/>
        <v>PERFORM "SchData-OLTP-HumanResource"."Func_TblWorkerCareerInternal_SET"(varSystemLoginSession, null::bigint, null::varchar, '2022-08-04 00:00:00+07'::timestamptz, '9999-12-31 23:59:59+07'::timestamptz, null::varchar, varInstitutionBranchID, varBaseCurrencyID, 32000000000527::bigint, 163000000000003::bigint, 111000000000005::bigint, 160000000000004::bigint, 'Tax &amp; Accounting Staff'::varchar, '2022-08-04 00:00:00+07'::timestamptz, '9999-12-31 23:59:59+07'::timestamptz, null::bigint);</v>
      </c>
    </row>
    <row r="531" spans="2:16" x14ac:dyDescent="0.2">
      <c r="B531" s="37">
        <f>IF(EXACT(DataLookUp!$B531, ""), "", DataLookUp!$B531)</f>
        <v>32000000000528</v>
      </c>
      <c r="C531" s="38" t="str">
        <f>MAIN!C531</f>
        <v>Istikaro Fauziah</v>
      </c>
      <c r="D531" s="91">
        <v>163000000000003</v>
      </c>
      <c r="E531" s="37" t="str">
        <f>IF(EXACT($D531, ""), "", VLOOKUP($D531, [2]DataLookUp!$B$4:$D$15, 2, FALSE ))</f>
        <v>Karyawan Tidak Tetap (Kontrak)</v>
      </c>
      <c r="F531" s="91">
        <v>111000000000006</v>
      </c>
      <c r="G531" s="37" t="str">
        <f>IF(EXACT($F531, ""), "", VLOOKUP($F531, 'MAIN - OrgDepartment'!$C$3:$D$104, 2, FALSE))</f>
        <v>Human Resource Development</v>
      </c>
      <c r="H531" s="91">
        <v>160000000000003</v>
      </c>
      <c r="I531" s="37" t="str">
        <f>IF(EXACT($H531, ""), "", VLOOKUP($H531, 'MAIN - OrgJobsPos'!$B$2:$C$101, 2, FALSE))</f>
        <v>Staff</v>
      </c>
      <c r="J531" s="67" t="s">
        <v>313</v>
      </c>
      <c r="K531" s="63" t="s">
        <v>226</v>
      </c>
      <c r="L531" s="10" t="s">
        <v>3</v>
      </c>
      <c r="M531" s="11"/>
      <c r="O531" s="29">
        <f t="shared" si="16"/>
        <v>164000000000528</v>
      </c>
      <c r="P531" s="30" t="str">
        <f t="shared" si="17"/>
        <v>PERFORM "SchData-OLTP-HumanResource"."Func_TblWorkerCareerInternal_SET"(varSystemLoginSession, null::bigint, null::varchar, '2022-03-17 00:00:00+07'::timestamptz, '9999-12-31 23:59:59+07'::timestamptz, null::varchar, varInstitutionBranchID, varBaseCurrencyID, 32000000000528::bigint, 163000000000003::bigint, 111000000000006::bigint, 160000000000003::bigint, 'Receptionist &amp; HRGA Administrator'::varchar, '2022-03-17 00:00:00+07'::timestamptz, '9999-12-31 23:59:59+07'::timestamptz, null::bigint);</v>
      </c>
    </row>
    <row r="532" spans="2:16" x14ac:dyDescent="0.2">
      <c r="B532" s="37">
        <f>IF(EXACT(DataLookUp!$B532, ""), "", DataLookUp!$B532)</f>
        <v>32000000000529</v>
      </c>
      <c r="C532" s="38" t="str">
        <f>MAIN!C532</f>
        <v>Muhammad Lukbani</v>
      </c>
      <c r="D532" s="91">
        <v>163000000000003</v>
      </c>
      <c r="E532" s="37" t="str">
        <f>IF(EXACT($D532, ""), "", VLOOKUP($D532, [2]DataLookUp!$B$4:$D$15, 2, FALSE ))</f>
        <v>Karyawan Tidak Tetap (Kontrak)</v>
      </c>
      <c r="F532" s="91"/>
      <c r="G532" s="37" t="str">
        <f>IF(EXACT($F532, ""), "", VLOOKUP($F532, 'MAIN - OrgDepartment'!$C$3:$D$104, 2, FALSE))</f>
        <v/>
      </c>
      <c r="H532" s="91">
        <v>160000000000003</v>
      </c>
      <c r="I532" s="37" t="str">
        <f>IF(EXACT($H532, ""), "", VLOOKUP($H532, 'MAIN - OrgJobsPos'!$B$2:$C$101, 2, FALSE))</f>
        <v>Staff</v>
      </c>
      <c r="J532" s="67"/>
      <c r="K532" s="63"/>
      <c r="L532" s="10" t="s">
        <v>3</v>
      </c>
      <c r="M532" s="11"/>
      <c r="O532" s="29">
        <f t="shared" si="16"/>
        <v>164000000000529</v>
      </c>
      <c r="P532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32000000000529::bigint, 163000000000003::bigint, null::bigint, 160000000000003::bigint, null::varchar, null::timestamptz, '9999-12-31 23:59:59+07'::timestamptz, null::bigint);</v>
      </c>
    </row>
    <row r="533" spans="2:16" x14ac:dyDescent="0.2">
      <c r="B533" s="37">
        <f>IF(EXACT(DataLookUp!$B533, ""), "", DataLookUp!$B533)</f>
        <v>32000000000530</v>
      </c>
      <c r="C533" s="38" t="str">
        <f>MAIN!C533</f>
        <v>Muhammad Sholikhun</v>
      </c>
      <c r="D533" s="91">
        <v>163000000000003</v>
      </c>
      <c r="E533" s="37" t="str">
        <f>IF(EXACT($D533, ""), "", VLOOKUP($D533, [2]DataLookUp!$B$4:$D$15, 2, FALSE ))</f>
        <v>Karyawan Tidak Tetap (Kontrak)</v>
      </c>
      <c r="F533" s="91"/>
      <c r="G533" s="37" t="str">
        <f>IF(EXACT($F533, ""), "", VLOOKUP($F533, 'MAIN - OrgDepartment'!$C$3:$D$104, 2, FALSE))</f>
        <v/>
      </c>
      <c r="H533" s="91">
        <v>160000000000003</v>
      </c>
      <c r="I533" s="37" t="str">
        <f>IF(EXACT($H533, ""), "", VLOOKUP($H533, 'MAIN - OrgJobsPos'!$B$2:$C$101, 2, FALSE))</f>
        <v>Staff</v>
      </c>
      <c r="J533" s="67"/>
      <c r="K533" s="63"/>
      <c r="L533" s="10" t="s">
        <v>3</v>
      </c>
      <c r="M533" s="11"/>
      <c r="O533" s="29">
        <f t="shared" si="16"/>
        <v>164000000000530</v>
      </c>
      <c r="P533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32000000000530::bigint, 163000000000003::bigint, null::bigint, 160000000000003::bigint, null::varchar, null::timestamptz, '9999-12-31 23:59:59+07'::timestamptz, null::bigint);</v>
      </c>
    </row>
    <row r="534" spans="2:16" x14ac:dyDescent="0.2">
      <c r="B534" s="37">
        <f>IF(EXACT(DataLookUp!$B534, ""), "", DataLookUp!$B534)</f>
        <v>32000000000531</v>
      </c>
      <c r="C534" s="38" t="str">
        <f>MAIN!C534</f>
        <v>Muhammad Syarifudin</v>
      </c>
      <c r="D534" s="91">
        <v>163000000000003</v>
      </c>
      <c r="E534" s="37" t="str">
        <f>IF(EXACT($D534, ""), "", VLOOKUP($D534, [2]DataLookUp!$B$4:$D$15, 2, FALSE ))</f>
        <v>Karyawan Tidak Tetap (Kontrak)</v>
      </c>
      <c r="F534" s="91"/>
      <c r="G534" s="37" t="str">
        <f>IF(EXACT($F534, ""), "", VLOOKUP($F534, 'MAIN - OrgDepartment'!$C$3:$D$104, 2, FALSE))</f>
        <v/>
      </c>
      <c r="H534" s="91">
        <v>160000000000003</v>
      </c>
      <c r="I534" s="37" t="str">
        <f>IF(EXACT($H534, ""), "", VLOOKUP($H534, 'MAIN - OrgJobsPos'!$B$2:$C$101, 2, FALSE))</f>
        <v>Staff</v>
      </c>
      <c r="J534" s="67"/>
      <c r="K534" s="63"/>
      <c r="L534" s="10" t="s">
        <v>3</v>
      </c>
      <c r="M534" s="11"/>
      <c r="O534" s="29">
        <f t="shared" si="16"/>
        <v>164000000000531</v>
      </c>
      <c r="P534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32000000000531::bigint, 163000000000003::bigint, null::bigint, 160000000000003::bigint, null::varchar, null::timestamptz, '9999-12-31 23:59:59+07'::timestamptz, null::bigint);</v>
      </c>
    </row>
    <row r="535" spans="2:16" x14ac:dyDescent="0.2">
      <c r="B535" s="37">
        <f>IF(EXACT(DataLookUp!$B535, ""), "", DataLookUp!$B535)</f>
        <v>32000000000532</v>
      </c>
      <c r="C535" s="38" t="str">
        <f>MAIN!C535</f>
        <v>Nadia Rizkiah</v>
      </c>
      <c r="D535" s="91">
        <v>163000000000003</v>
      </c>
      <c r="E535" s="37" t="str">
        <f>IF(EXACT($D535, ""), "", VLOOKUP($D535, [2]DataLookUp!$B$4:$D$15, 2, FALSE ))</f>
        <v>Karyawan Tidak Tetap (Kontrak)</v>
      </c>
      <c r="F535" s="91"/>
      <c r="G535" s="37" t="str">
        <f>IF(EXACT($F535, ""), "", VLOOKUP($F535, 'MAIN - OrgDepartment'!$C$3:$D$104, 2, FALSE))</f>
        <v/>
      </c>
      <c r="H535" s="91">
        <v>160000000000003</v>
      </c>
      <c r="I535" s="37" t="str">
        <f>IF(EXACT($H535, ""), "", VLOOKUP($H535, 'MAIN - OrgJobsPos'!$B$2:$C$101, 2, FALSE))</f>
        <v>Staff</v>
      </c>
      <c r="J535" s="67"/>
      <c r="K535" s="63"/>
      <c r="L535" s="10" t="s">
        <v>3</v>
      </c>
      <c r="M535" s="11"/>
      <c r="O535" s="29">
        <f t="shared" si="16"/>
        <v>164000000000532</v>
      </c>
      <c r="P535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32000000000532::bigint, 163000000000003::bigint, null::bigint, 160000000000003::bigint, null::varchar, null::timestamptz, '9999-12-31 23:59:59+07'::timestamptz, null::bigint);</v>
      </c>
    </row>
    <row r="536" spans="2:16" x14ac:dyDescent="0.2">
      <c r="B536" s="37">
        <f>IF(EXACT(DataLookUp!$B536, ""), "", DataLookUp!$B536)</f>
        <v>32000000000533</v>
      </c>
      <c r="C536" s="38" t="str">
        <f>MAIN!C536</f>
        <v>Nikko Septian</v>
      </c>
      <c r="D536" s="91">
        <v>163000000000003</v>
      </c>
      <c r="E536" s="37" t="str">
        <f>IF(EXACT($D536, ""), "", VLOOKUP($D536, [2]DataLookUp!$B$4:$D$15, 2, FALSE ))</f>
        <v>Karyawan Tidak Tetap (Kontrak)</v>
      </c>
      <c r="F536" s="91"/>
      <c r="G536" s="37" t="str">
        <f>IF(EXACT($F536, ""), "", VLOOKUP($F536, 'MAIN - OrgDepartment'!$C$3:$D$104, 2, FALSE))</f>
        <v/>
      </c>
      <c r="H536" s="91">
        <v>160000000000003</v>
      </c>
      <c r="I536" s="37" t="str">
        <f>IF(EXACT($H536, ""), "", VLOOKUP($H536, 'MAIN - OrgJobsPos'!$B$2:$C$101, 2, FALSE))</f>
        <v>Staff</v>
      </c>
      <c r="J536" s="67"/>
      <c r="K536" s="63"/>
      <c r="L536" s="10" t="s">
        <v>3</v>
      </c>
      <c r="M536" s="11"/>
      <c r="O536" s="29">
        <f t="shared" si="16"/>
        <v>164000000000533</v>
      </c>
      <c r="P536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32000000000533::bigint, 163000000000003::bigint, null::bigint, 160000000000003::bigint, null::varchar, null::timestamptz, '9999-12-31 23:59:59+07'::timestamptz, null::bigint);</v>
      </c>
    </row>
    <row r="537" spans="2:16" x14ac:dyDescent="0.2">
      <c r="B537" s="37">
        <f>IF(EXACT(DataLookUp!$B537, ""), "", DataLookUp!$B537)</f>
        <v>32000000000534</v>
      </c>
      <c r="C537" s="38" t="str">
        <f>MAIN!C537</f>
        <v>Novizan</v>
      </c>
      <c r="D537" s="91">
        <v>163000000000003</v>
      </c>
      <c r="E537" s="37" t="str">
        <f>IF(EXACT($D537, ""), "", VLOOKUP($D537, [2]DataLookUp!$B$4:$D$15, 2, FALSE ))</f>
        <v>Karyawan Tidak Tetap (Kontrak)</v>
      </c>
      <c r="F537" s="91"/>
      <c r="G537" s="37" t="str">
        <f>IF(EXACT($F537, ""), "", VLOOKUP($F537, 'MAIN - OrgDepartment'!$C$3:$D$104, 2, FALSE))</f>
        <v/>
      </c>
      <c r="H537" s="91">
        <v>160000000000003</v>
      </c>
      <c r="I537" s="37" t="str">
        <f>IF(EXACT($H537, ""), "", VLOOKUP($H537, 'MAIN - OrgJobsPos'!$B$2:$C$101, 2, FALSE))</f>
        <v>Staff</v>
      </c>
      <c r="J537" s="67"/>
      <c r="K537" s="63"/>
      <c r="L537" s="10" t="s">
        <v>3</v>
      </c>
      <c r="M537" s="11"/>
      <c r="O537" s="29">
        <f t="shared" si="16"/>
        <v>164000000000534</v>
      </c>
      <c r="P537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32000000000534::bigint, 163000000000003::bigint, null::bigint, 160000000000003::bigint, null::varchar, null::timestamptz, '9999-12-31 23:59:59+07'::timestamptz, null::bigint);</v>
      </c>
    </row>
    <row r="538" spans="2:16" x14ac:dyDescent="0.2">
      <c r="B538" s="37">
        <f>IF(EXACT(DataLookUp!$B538, ""), "", DataLookUp!$B538)</f>
        <v>32000000000535</v>
      </c>
      <c r="C538" s="38" t="str">
        <f>MAIN!C538</f>
        <v>Oqi Suhaqi Yunus</v>
      </c>
      <c r="D538" s="91">
        <v>163000000000003</v>
      </c>
      <c r="E538" s="37" t="str">
        <f>IF(EXACT($D538, ""), "", VLOOKUP($D538, [2]DataLookUp!$B$4:$D$15, 2, FALSE ))</f>
        <v>Karyawan Tidak Tetap (Kontrak)</v>
      </c>
      <c r="F538" s="91"/>
      <c r="G538" s="37" t="str">
        <f>IF(EXACT($F538, ""), "", VLOOKUP($F538, 'MAIN - OrgDepartment'!$C$3:$D$104, 2, FALSE))</f>
        <v/>
      </c>
      <c r="H538" s="91">
        <v>160000000000003</v>
      </c>
      <c r="I538" s="37" t="str">
        <f>IF(EXACT($H538, ""), "", VLOOKUP($H538, 'MAIN - OrgJobsPos'!$B$2:$C$101, 2, FALSE))</f>
        <v>Staff</v>
      </c>
      <c r="J538" s="67"/>
      <c r="K538" s="63"/>
      <c r="L538" s="10" t="s">
        <v>3</v>
      </c>
      <c r="M538" s="11"/>
      <c r="O538" s="29">
        <f t="shared" si="16"/>
        <v>164000000000535</v>
      </c>
      <c r="P538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32000000000535::bigint, 163000000000003::bigint, null::bigint, 160000000000003::bigint, null::varchar, null::timestamptz, '9999-12-31 23:59:59+07'::timestamptz, null::bigint);</v>
      </c>
    </row>
    <row r="539" spans="2:16" x14ac:dyDescent="0.2">
      <c r="B539" s="37">
        <f>IF(EXACT(DataLookUp!$B539, ""), "", DataLookUp!$B539)</f>
        <v>32000000000536</v>
      </c>
      <c r="C539" s="38" t="str">
        <f>MAIN!C539</f>
        <v>Restu Dwi Anjayani</v>
      </c>
      <c r="D539" s="91">
        <v>163000000000003</v>
      </c>
      <c r="E539" s="37" t="str">
        <f>IF(EXACT($D539, ""), "", VLOOKUP($D539, [2]DataLookUp!$B$4:$D$15, 2, FALSE ))</f>
        <v>Karyawan Tidak Tetap (Kontrak)</v>
      </c>
      <c r="F539" s="91">
        <v>111000000000007</v>
      </c>
      <c r="G539" s="37" t="str">
        <f>IF(EXACT($F539, ""), "", VLOOKUP($F539, 'MAIN - OrgDepartment'!$C$3:$D$104, 2, FALSE))</f>
        <v>Health Safety Environment</v>
      </c>
      <c r="H539" s="91">
        <v>160000000000003</v>
      </c>
      <c r="I539" s="37" t="str">
        <f>IF(EXACT($H539, ""), "", VLOOKUP($H539, 'MAIN - OrgJobsPos'!$B$2:$C$101, 2, FALSE))</f>
        <v>Staff</v>
      </c>
      <c r="J539" s="67" t="s">
        <v>319</v>
      </c>
      <c r="K539" s="63" t="s">
        <v>238</v>
      </c>
      <c r="L539" s="10" t="s">
        <v>3</v>
      </c>
      <c r="M539" s="11"/>
      <c r="O539" s="29">
        <f t="shared" si="16"/>
        <v>164000000000536</v>
      </c>
      <c r="P539" s="30" t="str">
        <f t="shared" si="17"/>
        <v>PERFORM "SchData-OLTP-HumanResource"."Func_TblWorkerCareerInternal_SET"(varSystemLoginSession, null::bigint, null::varchar, '1995-07-15 00:00:00+07'::timestamptz, '9999-12-31 23:59:59+07'::timestamptz, null::varchar, varInstitutionBranchID, varBaseCurrencyID, 32000000000536::bigint, 163000000000003::bigint, 111000000000007::bigint, 160000000000003::bigint, 'HSE Administrator'::varchar, '1995-07-15 00:00:00+07'::timestamptz, '9999-12-31 23:59:59+07'::timestamptz, null::bigint);</v>
      </c>
    </row>
    <row r="540" spans="2:16" x14ac:dyDescent="0.2">
      <c r="B540" s="37">
        <f>IF(EXACT(DataLookUp!$B540, ""), "", DataLookUp!$B540)</f>
        <v>32000000000537</v>
      </c>
      <c r="C540" s="38" t="str">
        <f>MAIN!C540</f>
        <v>Rizal Amri</v>
      </c>
      <c r="D540" s="91">
        <v>163000000000003</v>
      </c>
      <c r="E540" s="37" t="str">
        <f>IF(EXACT($D540, ""), "", VLOOKUP($D540, [2]DataLookUp!$B$4:$D$15, 2, FALSE ))</f>
        <v>Karyawan Tidak Tetap (Kontrak)</v>
      </c>
      <c r="F540" s="91"/>
      <c r="G540" s="37" t="str">
        <f>IF(EXACT($F540, ""), "", VLOOKUP($F540, 'MAIN - OrgDepartment'!$C$3:$D$104, 2, FALSE))</f>
        <v/>
      </c>
      <c r="H540" s="91">
        <v>160000000000006</v>
      </c>
      <c r="I540" s="37" t="str">
        <f>IF(EXACT($H540, ""), "", VLOOKUP($H540, 'MAIN - OrgJobsPos'!$B$2:$C$101, 2, FALSE))</f>
        <v>Manager</v>
      </c>
      <c r="J540" s="67"/>
      <c r="K540" s="63"/>
      <c r="L540" s="10" t="s">
        <v>7</v>
      </c>
      <c r="M540" s="11"/>
      <c r="O540" s="29">
        <f t="shared" si="16"/>
        <v>164000000000537</v>
      </c>
      <c r="P540" s="30" t="str">
        <f t="shared" si="17"/>
        <v>PERFORM "SchData-OLTP-HumanResource"."Func_TblWorkerCareerInternal_SET"(varSystemLoginSession, null::bigint, null::varchar, null::timestamptz, '1900-12-31 23:59:59+07'::timestamptz, null::varchar, varInstitutionBranchID, varBaseCurrencyID, 32000000000537::bigint, 163000000000003::bigint, null::bigint, 160000000000006::bigint, null::varchar, null::timestamptz, '1900-12-31 23:59:59+07'::timestamptz, null::bigint);</v>
      </c>
    </row>
    <row r="541" spans="2:16" x14ac:dyDescent="0.2">
      <c r="B541" s="37">
        <f>IF(EXACT(DataLookUp!$B541, ""), "", DataLookUp!$B541)</f>
        <v>32000000000538</v>
      </c>
      <c r="C541" s="38" t="str">
        <f>MAIN!C541</f>
        <v>Ronny Anindika Arnold</v>
      </c>
      <c r="D541" s="91">
        <v>163000000000003</v>
      </c>
      <c r="E541" s="37" t="str">
        <f>IF(EXACT($D541, ""), "", VLOOKUP($D541, [2]DataLookUp!$B$4:$D$15, 2, FALSE ))</f>
        <v>Karyawan Tidak Tetap (Kontrak)</v>
      </c>
      <c r="F541" s="91"/>
      <c r="G541" s="37" t="str">
        <f>IF(EXACT($F541, ""), "", VLOOKUP($F541, 'MAIN - OrgDepartment'!$C$3:$D$104, 2, FALSE))</f>
        <v/>
      </c>
      <c r="H541" s="91">
        <v>160000000000003</v>
      </c>
      <c r="I541" s="37" t="str">
        <f>IF(EXACT($H541, ""), "", VLOOKUP($H541, 'MAIN - OrgJobsPos'!$B$2:$C$101, 2, FALSE))</f>
        <v>Staff</v>
      </c>
      <c r="J541" s="67"/>
      <c r="K541" s="63"/>
      <c r="L541" s="10" t="s">
        <v>3</v>
      </c>
      <c r="M541" s="11"/>
      <c r="O541" s="29">
        <f t="shared" si="16"/>
        <v>164000000000538</v>
      </c>
      <c r="P541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32000000000538::bigint, 163000000000003::bigint, null::bigint, 160000000000003::bigint, null::varchar, null::timestamptz, '9999-12-31 23:59:59+07'::timestamptz, null::bigint);</v>
      </c>
    </row>
    <row r="542" spans="2:16" x14ac:dyDescent="0.2">
      <c r="B542" s="37">
        <f>IF(EXACT(DataLookUp!$B542, ""), "", DataLookUp!$B542)</f>
        <v>32000000000539</v>
      </c>
      <c r="C542" s="38" t="str">
        <f>MAIN!C542</f>
        <v>Samta Harahap</v>
      </c>
      <c r="D542" s="91">
        <v>163000000000003</v>
      </c>
      <c r="E542" s="37" t="str">
        <f>IF(EXACT($D542, ""), "", VLOOKUP($D542, [2]DataLookUp!$B$4:$D$15, 2, FALSE ))</f>
        <v>Karyawan Tidak Tetap (Kontrak)</v>
      </c>
      <c r="F542" s="91"/>
      <c r="G542" s="37" t="str">
        <f>IF(EXACT($F542, ""), "", VLOOKUP($F542, 'MAIN - OrgDepartment'!$C$3:$D$104, 2, FALSE))</f>
        <v/>
      </c>
      <c r="H542" s="91">
        <v>160000000000003</v>
      </c>
      <c r="I542" s="37" t="str">
        <f>IF(EXACT($H542, ""), "", VLOOKUP($H542, 'MAIN - OrgJobsPos'!$B$2:$C$101, 2, FALSE))</f>
        <v>Staff</v>
      </c>
      <c r="J542" s="67"/>
      <c r="K542" s="63"/>
      <c r="L542" s="10" t="s">
        <v>7</v>
      </c>
      <c r="M542" s="11"/>
      <c r="O542" s="29">
        <f t="shared" si="16"/>
        <v>164000000000539</v>
      </c>
      <c r="P542" s="30" t="str">
        <f t="shared" si="17"/>
        <v>PERFORM "SchData-OLTP-HumanResource"."Func_TblWorkerCareerInternal_SET"(varSystemLoginSession, null::bigint, null::varchar, null::timestamptz, '1900-12-31 23:59:59+07'::timestamptz, null::varchar, varInstitutionBranchID, varBaseCurrencyID, 32000000000539::bigint, 163000000000003::bigint, null::bigint, 160000000000003::bigint, null::varchar, null::timestamptz, '1900-12-31 23:59:59+07'::timestamptz, null::bigint);</v>
      </c>
    </row>
    <row r="543" spans="2:16" x14ac:dyDescent="0.2">
      <c r="B543" s="37">
        <f>IF(EXACT(DataLookUp!$B543, ""), "", DataLookUp!$B543)</f>
        <v>32000000000540</v>
      </c>
      <c r="C543" s="38" t="str">
        <f>MAIN!C543</f>
        <v>Vingky Hendriek Yomerlin</v>
      </c>
      <c r="D543" s="91">
        <v>163000000000003</v>
      </c>
      <c r="E543" s="37" t="str">
        <f>IF(EXACT($D543, ""), "", VLOOKUP($D543, [2]DataLookUp!$B$4:$D$15, 2, FALSE ))</f>
        <v>Karyawan Tidak Tetap (Kontrak)</v>
      </c>
      <c r="F543" s="91"/>
      <c r="G543" s="37" t="str">
        <f>IF(EXACT($F543, ""), "", VLOOKUP($F543, 'MAIN - OrgDepartment'!$C$3:$D$104, 2, FALSE))</f>
        <v/>
      </c>
      <c r="H543" s="91">
        <v>160000000000003</v>
      </c>
      <c r="I543" s="37" t="str">
        <f>IF(EXACT($H543, ""), "", VLOOKUP($H543, 'MAIN - OrgJobsPos'!$B$2:$C$101, 2, FALSE))</f>
        <v>Staff</v>
      </c>
      <c r="J543" s="67"/>
      <c r="K543" s="63"/>
      <c r="L543" s="10" t="s">
        <v>7</v>
      </c>
      <c r="M543" s="11"/>
      <c r="O543" s="29">
        <f t="shared" si="16"/>
        <v>164000000000540</v>
      </c>
      <c r="P543" s="30" t="str">
        <f t="shared" si="17"/>
        <v>PERFORM "SchData-OLTP-HumanResource"."Func_TblWorkerCareerInternal_SET"(varSystemLoginSession, null::bigint, null::varchar, null::timestamptz, '1900-12-31 23:59:59+07'::timestamptz, null::varchar, varInstitutionBranchID, varBaseCurrencyID, 32000000000540::bigint, 163000000000003::bigint, null::bigint, 160000000000003::bigint, null::varchar, null::timestamptz, '1900-12-31 23:59:59+07'::timestamptz, null::bigint);</v>
      </c>
    </row>
    <row r="544" spans="2:16" x14ac:dyDescent="0.2">
      <c r="B544" s="37">
        <f>IF(EXACT(DataLookUp!$B544, ""), "", DataLookUp!$B544)</f>
        <v>32000000000541</v>
      </c>
      <c r="C544" s="38" t="str">
        <f>MAIN!C544</f>
        <v>Wahyu Teluk Naga</v>
      </c>
      <c r="D544" s="91">
        <v>163000000000003</v>
      </c>
      <c r="E544" s="37" t="str">
        <f>IF(EXACT($D544, ""), "", VLOOKUP($D544, [2]DataLookUp!$B$4:$D$15, 2, FALSE ))</f>
        <v>Karyawan Tidak Tetap (Kontrak)</v>
      </c>
      <c r="F544" s="91"/>
      <c r="G544" s="37" t="str">
        <f>IF(EXACT($F544, ""), "", VLOOKUP($F544, 'MAIN - OrgDepartment'!$C$3:$D$104, 2, FALSE))</f>
        <v/>
      </c>
      <c r="H544" s="91">
        <v>160000000000003</v>
      </c>
      <c r="I544" s="37" t="str">
        <f>IF(EXACT($H544, ""), "", VLOOKUP($H544, 'MAIN - OrgJobsPos'!$B$2:$C$101, 2, FALSE))</f>
        <v>Staff</v>
      </c>
      <c r="J544" s="67"/>
      <c r="K544" s="63"/>
      <c r="L544" s="10" t="s">
        <v>3</v>
      </c>
      <c r="M544" s="11"/>
      <c r="O544" s="29">
        <f t="shared" si="16"/>
        <v>164000000000541</v>
      </c>
      <c r="P544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32000000000541::bigint, 163000000000003::bigint, null::bigint, 160000000000003::bigint, null::varchar, null::timestamptz, '9999-12-31 23:59:59+07'::timestamptz, null::bigint);</v>
      </c>
    </row>
    <row r="545" spans="1:16" x14ac:dyDescent="0.2">
      <c r="B545" s="37">
        <f>IF(EXACT(DataLookUp!$B545, ""), "", DataLookUp!$B545)</f>
        <v>32000000000542</v>
      </c>
      <c r="C545" s="38" t="str">
        <f>MAIN!C545</f>
        <v>Wardah Laily Khoiriyah</v>
      </c>
      <c r="D545" s="91">
        <v>163000000000003</v>
      </c>
      <c r="E545" s="37" t="str">
        <f>IF(EXACT($D545, ""), "", VLOOKUP($D545, [2]DataLookUp!$B$4:$D$15, 2, FALSE ))</f>
        <v>Karyawan Tidak Tetap (Kontrak)</v>
      </c>
      <c r="F545" s="91">
        <v>111000000000011</v>
      </c>
      <c r="G545" s="37" t="str">
        <f>IF(EXACT($F545, ""), "", VLOOKUP($F545, 'MAIN - OrgDepartment'!$C$3:$D$104, 2, FALSE))</f>
        <v>Project</v>
      </c>
      <c r="H545" s="91">
        <v>160000000000003</v>
      </c>
      <c r="I545" s="37" t="str">
        <f>IF(EXACT($H545, ""), "", VLOOKUP($H545, 'MAIN - OrgJobsPos'!$B$2:$C$101, 2, FALSE))</f>
        <v>Staff</v>
      </c>
      <c r="J545" s="67" t="s">
        <v>167</v>
      </c>
      <c r="K545" s="63" t="s">
        <v>250</v>
      </c>
      <c r="L545" s="10" t="s">
        <v>3</v>
      </c>
      <c r="M545" s="11"/>
      <c r="O545" s="29">
        <f t="shared" si="16"/>
        <v>164000000000542</v>
      </c>
      <c r="P545" s="30" t="str">
        <f t="shared" si="17"/>
        <v>PERFORM "SchData-OLTP-HumanResource"."Func_TblWorkerCareerInternal_SET"(varSystemLoginSession, null::bigint, null::varchar, '2022-01-24 00:00:00+07'::timestamptz, '9999-12-31 23:59:59+07'::timestamptz, null::varchar, varInstitutionBranchID, varBaseCurrencyID, 32000000000542::bigint, 163000000000003::bigint, 111000000000011::bigint, 160000000000003::bigint, 'Project Administrator'::varchar, '2022-01-24 00:00:00+07'::timestamptz, '9999-12-31 23:59:59+07'::timestamptz, null::bigint);</v>
      </c>
    </row>
    <row r="546" spans="1:16" x14ac:dyDescent="0.2">
      <c r="B546" s="37">
        <f>IF(EXACT(DataLookUp!$B546, ""), "", DataLookUp!$B546)</f>
        <v>32000000000543</v>
      </c>
      <c r="C546" s="38" t="str">
        <f>MAIN!C546</f>
        <v>Wawan Kusworo</v>
      </c>
      <c r="D546" s="91">
        <v>163000000000003</v>
      </c>
      <c r="E546" s="37" t="str">
        <f>IF(EXACT($D546, ""), "", VLOOKUP($D546, [2]DataLookUp!$B$4:$D$15, 2, FALSE ))</f>
        <v>Karyawan Tidak Tetap (Kontrak)</v>
      </c>
      <c r="F546" s="91"/>
      <c r="G546" s="37" t="str">
        <f>IF(EXACT($F546, ""), "", VLOOKUP($F546, 'MAIN - OrgDepartment'!$C$3:$D$104, 2, FALSE))</f>
        <v/>
      </c>
      <c r="H546" s="91">
        <v>160000000000003</v>
      </c>
      <c r="I546" s="37" t="str">
        <f>IF(EXACT($H546, ""), "", VLOOKUP($H546, 'MAIN - OrgJobsPos'!$B$2:$C$101, 2, FALSE))</f>
        <v>Staff</v>
      </c>
      <c r="J546" s="67"/>
      <c r="K546" s="63"/>
      <c r="L546" s="10" t="s">
        <v>3</v>
      </c>
      <c r="M546" s="11"/>
      <c r="O546" s="29">
        <f t="shared" si="16"/>
        <v>164000000000543</v>
      </c>
      <c r="P546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32000000000543::bigint, 163000000000003::bigint, null::bigint, 160000000000003::bigint, null::varchar, null::timestamptz, '9999-12-31 23:59:59+07'::timestamptz, null::bigint);</v>
      </c>
    </row>
    <row r="547" spans="1:16" x14ac:dyDescent="0.2">
      <c r="B547" s="37">
        <f>IF(EXACT(DataLookUp!$B547, ""), "", DataLookUp!$B547)</f>
        <v>32000000000544</v>
      </c>
      <c r="C547" s="38" t="str">
        <f>MAIN!C547</f>
        <v>Wulanraniasih</v>
      </c>
      <c r="D547" s="91">
        <v>163000000000003</v>
      </c>
      <c r="E547" s="37" t="str">
        <f>IF(EXACT($D547, ""), "", VLOOKUP($D547, [2]DataLookUp!$B$4:$D$15, 2, FALSE ))</f>
        <v>Karyawan Tidak Tetap (Kontrak)</v>
      </c>
      <c r="F547" s="91">
        <v>111000000000005</v>
      </c>
      <c r="G547" s="37" t="str">
        <f>IF(EXACT($F547, ""), "", VLOOKUP($F547, 'MAIN - OrgDepartment'!$C$3:$D$104, 2, FALSE))</f>
        <v>Finance &amp; Accounting</v>
      </c>
      <c r="H547" s="91">
        <v>160000000000003</v>
      </c>
      <c r="I547" s="37" t="str">
        <f>IF(EXACT($H547, ""), "", VLOOKUP($H547, 'MAIN - OrgJobsPos'!$B$2:$C$101, 2, FALSE))</f>
        <v>Staff</v>
      </c>
      <c r="J547" s="67"/>
      <c r="K547" s="63"/>
      <c r="L547" s="10" t="s">
        <v>3</v>
      </c>
      <c r="M547" s="11"/>
      <c r="O547" s="29">
        <f t="shared" si="16"/>
        <v>164000000000544</v>
      </c>
      <c r="P547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32000000000544::bigint, 163000000000003::bigint, 111000000000005::bigint, 160000000000003::bigint, null::varchar, null::timestamptz, '9999-12-31 23:59:59+07'::timestamptz, null::bigint);</v>
      </c>
    </row>
    <row r="548" spans="1:16" x14ac:dyDescent="0.2">
      <c r="B548" s="37">
        <f>IF(EXACT(DataLookUp!$B548, ""), "", DataLookUp!$B548)</f>
        <v>32000000000545</v>
      </c>
      <c r="C548" s="38" t="str">
        <f>MAIN!C548</f>
        <v>Yogi Perbangkara</v>
      </c>
      <c r="D548" s="91">
        <v>163000000000003</v>
      </c>
      <c r="E548" s="37" t="str">
        <f>IF(EXACT($D548, ""), "", VLOOKUP($D548, [2]DataLookUp!$B$4:$D$15, 2, FALSE ))</f>
        <v>Karyawan Tidak Tetap (Kontrak)</v>
      </c>
      <c r="F548" s="91">
        <v>111000000000004</v>
      </c>
      <c r="G548" s="37" t="str">
        <f>IF(EXACT($F548, ""), "", VLOOKUP($F548, 'MAIN - OrgDepartment'!$C$3:$D$104, 2, FALSE))</f>
        <v>Sales &amp; Marketing</v>
      </c>
      <c r="H548" s="91">
        <v>160000000000004</v>
      </c>
      <c r="I548" s="37" t="str">
        <f>IF(EXACT($H548, ""), "", VLOOKUP($H548, 'MAIN - OrgJobsPos'!$B$2:$C$101, 2, FALSE))</f>
        <v>Supervisor</v>
      </c>
      <c r="J548" s="67" t="s">
        <v>322</v>
      </c>
      <c r="K548" s="63" t="s">
        <v>252</v>
      </c>
      <c r="L548" s="10" t="s">
        <v>3</v>
      </c>
      <c r="M548" s="11"/>
      <c r="O548" s="29">
        <f t="shared" si="16"/>
        <v>164000000000545</v>
      </c>
      <c r="P548" s="30" t="str">
        <f t="shared" si="17"/>
        <v>PERFORM "SchData-OLTP-HumanResource"."Func_TblWorkerCareerInternal_SET"(varSystemLoginSession, null::bigint, null::varchar, '2023-01-26 00:00:00+07'::timestamptz, '9999-12-31 23:59:59+07'::timestamptz, null::varchar, varInstitutionBranchID, varBaseCurrencyID, 32000000000545::bigint, 163000000000003::bigint, 111000000000004::bigint, 160000000000004::bigint, 'Bid and Sales Administrator'::varchar, '2023-01-26 00:00:00+07'::timestamptz, '9999-12-31 23:59:59+07'::timestamptz, null::bigint);</v>
      </c>
    </row>
    <row r="549" spans="1:16" x14ac:dyDescent="0.2">
      <c r="B549" s="37">
        <f>IF(EXACT(DataLookUp!$B549, ""), "", DataLookUp!$B549)</f>
        <v>32000000000546</v>
      </c>
      <c r="C549" s="38" t="str">
        <f>MAIN!C549</f>
        <v>Yusuf Fathurahman</v>
      </c>
      <c r="D549" s="91">
        <v>163000000000003</v>
      </c>
      <c r="E549" s="37" t="str">
        <f>IF(EXACT($D549, ""), "", VLOOKUP($D549, [2]DataLookUp!$B$4:$D$15, 2, FALSE ))</f>
        <v>Karyawan Tidak Tetap (Kontrak)</v>
      </c>
      <c r="F549" s="91"/>
      <c r="G549" s="37" t="str">
        <f>IF(EXACT($F549, ""), "", VLOOKUP($F549, 'MAIN - OrgDepartment'!$C$3:$D$104, 2, FALSE))</f>
        <v/>
      </c>
      <c r="H549" s="91">
        <v>160000000000003</v>
      </c>
      <c r="I549" s="37" t="str">
        <f>IF(EXACT($H549, ""), "", VLOOKUP($H549, 'MAIN - OrgJobsPos'!$B$2:$C$101, 2, FALSE))</f>
        <v>Staff</v>
      </c>
      <c r="J549" s="67"/>
      <c r="K549" s="63"/>
      <c r="L549" s="10" t="s">
        <v>3</v>
      </c>
      <c r="M549" s="11"/>
      <c r="O549" s="29">
        <f t="shared" si="16"/>
        <v>164000000000546</v>
      </c>
      <c r="P549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32000000000546::bigint, 163000000000003::bigint, null::bigint, 160000000000003::bigint, null::varchar, null::timestamptz, '9999-12-31 23:59:59+07'::timestamptz, null::bigint);</v>
      </c>
    </row>
    <row r="550" spans="1:16" x14ac:dyDescent="0.2">
      <c r="B550" s="37">
        <f>IF(EXACT(DataLookUp!$B550, ""), "", DataLookUp!$B550)</f>
        <v>32000000000547</v>
      </c>
      <c r="C550" s="38" t="str">
        <f>MAIN!C550</f>
        <v>Zeinurani</v>
      </c>
      <c r="D550" s="91">
        <v>163000000000003</v>
      </c>
      <c r="E550" s="37" t="str">
        <f>IF(EXACT($D550, ""), "", VLOOKUP($D550, [2]DataLookUp!$B$4:$D$15, 2, FALSE ))</f>
        <v>Karyawan Tidak Tetap (Kontrak)</v>
      </c>
      <c r="F550" s="91">
        <v>111000000000005</v>
      </c>
      <c r="G550" s="37" t="str">
        <f>IF(EXACT($F550, ""), "", VLOOKUP($F550, 'MAIN - OrgDepartment'!$C$3:$D$104, 2, FALSE))</f>
        <v>Finance &amp; Accounting</v>
      </c>
      <c r="H550" s="91">
        <v>160000000000003</v>
      </c>
      <c r="I550" s="37" t="str">
        <f>IF(EXACT($H550, ""), "", VLOOKUP($H550, 'MAIN - OrgJobsPos'!$B$2:$C$101, 2, FALSE))</f>
        <v>Staff</v>
      </c>
      <c r="J550" s="67"/>
      <c r="K550" s="63"/>
      <c r="L550" s="10" t="s">
        <v>3</v>
      </c>
      <c r="M550" s="11"/>
      <c r="O550" s="29">
        <f t="shared" si="16"/>
        <v>164000000000547</v>
      </c>
      <c r="P550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32000000000547::bigint, 163000000000003::bigint, 111000000000005::bigint, 160000000000003::bigint, null::varchar, null::timestamptz, '9999-12-31 23:59:59+07'::timestamptz, null::bigint);</v>
      </c>
    </row>
    <row r="551" spans="1:16" x14ac:dyDescent="0.2">
      <c r="B551" s="37">
        <f>IF(EXACT(DataLookUp!$B551, ""), "", DataLookUp!$B551)</f>
        <v>32000000000548</v>
      </c>
      <c r="C551" s="38" t="str">
        <f>MAIN!C551</f>
        <v>Sulaeman</v>
      </c>
      <c r="D551" s="91">
        <v>163000000000003</v>
      </c>
      <c r="E551" s="37" t="str">
        <f>IF(EXACT($D551, ""), "", VLOOKUP($D551, [2]DataLookUp!$B$4:$D$15, 2, FALSE ))</f>
        <v>Karyawan Tidak Tetap (Kontrak)</v>
      </c>
      <c r="F551" s="91">
        <v>111000000000023</v>
      </c>
      <c r="G551" s="37" t="str">
        <f>IF(EXACT($F551, ""), "", VLOOKUP($F551, 'MAIN - OrgDepartment'!$C$3:$D$104, 2, FALSE))</f>
        <v>Operation &amp; Maintenance</v>
      </c>
      <c r="H551" s="91">
        <v>160000000000001</v>
      </c>
      <c r="I551" s="37" t="str">
        <f>IF(EXACT($H551, ""), "", VLOOKUP($H551, 'MAIN - OrgJobsPos'!$B$2:$C$101, 2, FALSE))</f>
        <v>Clerical</v>
      </c>
      <c r="J551" s="67" t="s">
        <v>204</v>
      </c>
      <c r="K551" s="63"/>
      <c r="L551" s="10" t="s">
        <v>3</v>
      </c>
      <c r="M551" s="11"/>
      <c r="O551" s="29">
        <f t="shared" si="16"/>
        <v>164000000000548</v>
      </c>
      <c r="P551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32000000000548::bigint, 163000000000003::bigint, 111000000000023::bigint, 160000000000001::bigint, 'Office Boy'::varchar, null::timestamptz, '9999-12-31 23:59:59+07'::timestamptz, null::bigint);</v>
      </c>
    </row>
    <row r="552" spans="1:16" x14ac:dyDescent="0.2">
      <c r="B552" s="37">
        <f>IF(EXACT(DataLookUp!$B552, ""), "", DataLookUp!$B552)</f>
        <v>32000000000549</v>
      </c>
      <c r="C552" s="38" t="str">
        <f>MAIN!C552</f>
        <v>Agus Nuryadi</v>
      </c>
      <c r="D552" s="91">
        <v>163000000000003</v>
      </c>
      <c r="E552" s="37" t="str">
        <f>IF(EXACT($D552, ""), "", VLOOKUP($D552, [2]DataLookUp!$B$4:$D$15, 2, FALSE ))</f>
        <v>Karyawan Tidak Tetap (Kontrak)</v>
      </c>
      <c r="F552" s="91"/>
      <c r="G552" s="37" t="str">
        <f>IF(EXACT($F552, ""), "", VLOOKUP($F552, 'MAIN - OrgDepartment'!$C$3:$D$104, 2, FALSE))</f>
        <v/>
      </c>
      <c r="H552" s="91">
        <v>160000000000003</v>
      </c>
      <c r="I552" s="37" t="str">
        <f>IF(EXACT($H552, ""), "", VLOOKUP($H552, 'MAIN - OrgJobsPos'!$B$2:$C$101, 2, FALSE))</f>
        <v>Staff</v>
      </c>
      <c r="J552" s="67"/>
      <c r="K552" s="63"/>
      <c r="L552" s="10" t="s">
        <v>3</v>
      </c>
      <c r="M552" s="11"/>
      <c r="O552" s="29">
        <f t="shared" si="16"/>
        <v>164000000000549</v>
      </c>
      <c r="P552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32000000000549::bigint, 163000000000003::bigint, null::bigint, 160000000000003::bigint, null::varchar, null::timestamptz, '9999-12-31 23:59:59+07'::timestamptz, null::bigint);</v>
      </c>
    </row>
    <row r="553" spans="1:16" x14ac:dyDescent="0.2">
      <c r="B553" s="37">
        <f>IF(EXACT(DataLookUp!$B553, ""), "", DataLookUp!$B553)</f>
        <v>32000000000550</v>
      </c>
      <c r="C553" s="38" t="str">
        <f>MAIN!C553</f>
        <v>Dian Tri Rahmawati</v>
      </c>
      <c r="D553" s="91">
        <v>163000000000003</v>
      </c>
      <c r="E553" s="37" t="str">
        <f>IF(EXACT($D553, ""), "", VLOOKUP($D553, [2]DataLookUp!$B$4:$D$15, 2, FALSE ))</f>
        <v>Karyawan Tidak Tetap (Kontrak)</v>
      </c>
      <c r="F553" s="91">
        <v>111000000000005</v>
      </c>
      <c r="G553" s="37" t="str">
        <f>IF(EXACT($F553, ""), "", VLOOKUP($F553, 'MAIN - OrgDepartment'!$C$3:$D$104, 2, FALSE))</f>
        <v>Finance &amp; Accounting</v>
      </c>
      <c r="H553" s="91">
        <v>160000000000003</v>
      </c>
      <c r="I553" s="37" t="str">
        <f>IF(EXACT($H553, ""), "", VLOOKUP($H553, 'MAIN - OrgJobsPos'!$B$2:$C$101, 2, FALSE))</f>
        <v>Staff</v>
      </c>
      <c r="J553" s="67" t="s">
        <v>199</v>
      </c>
      <c r="K553" s="63"/>
      <c r="L553" s="10" t="s">
        <v>3</v>
      </c>
      <c r="M553" s="11"/>
      <c r="O553" s="29">
        <f t="shared" si="16"/>
        <v>164000000000550</v>
      </c>
      <c r="P553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32000000000550::bigint, 163000000000003::bigint, 111000000000005::bigint, 160000000000003::bigint, 'Finance &amp; Accounting Staff'::varchar, null::timestamptz, '9999-12-31 23:59:59+07'::timestamptz, null::bigint);</v>
      </c>
    </row>
    <row r="554" spans="1:16" x14ac:dyDescent="0.2">
      <c r="B554" s="37">
        <f>IF(EXACT(DataLookUp!$B554, ""), "", DataLookUp!$B554)</f>
        <v>32000000000551</v>
      </c>
      <c r="C554" s="38" t="str">
        <f>MAIN!C554</f>
        <v>Langgeng Eko Dwiantoro</v>
      </c>
      <c r="D554" s="91">
        <v>163000000000003</v>
      </c>
      <c r="E554" s="37" t="str">
        <f>IF(EXACT($D554, ""), "", VLOOKUP($D554, [2]DataLookUp!$B$4:$D$15, 2, FALSE ))</f>
        <v>Karyawan Tidak Tetap (Kontrak)</v>
      </c>
      <c r="F554" s="91">
        <v>111000000000023</v>
      </c>
      <c r="G554" s="37" t="str">
        <f>IF(EXACT($F554, ""), "", VLOOKUP($F554, 'MAIN - OrgDepartment'!$C$3:$D$104, 2, FALSE))</f>
        <v>Operation &amp; Maintenance</v>
      </c>
      <c r="H554" s="91">
        <v>160000000000003</v>
      </c>
      <c r="I554" s="37" t="str">
        <f>IF(EXACT($H554, ""), "", VLOOKUP($H554, 'MAIN - OrgJobsPos'!$B$2:$C$101, 2, FALSE))</f>
        <v>Staff</v>
      </c>
      <c r="J554" s="67" t="s">
        <v>293</v>
      </c>
      <c r="K554" s="63"/>
      <c r="L554" s="10" t="s">
        <v>3</v>
      </c>
      <c r="M554" s="11"/>
      <c r="O554" s="29">
        <f t="shared" si="16"/>
        <v>164000000000551</v>
      </c>
      <c r="P554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32000000000551::bigint, 163000000000003::bigint, 111000000000023::bigint, 160000000000003::bigint, 'Maintenance Building and Technician'::varchar, null::timestamptz, '9999-12-31 23:59:59+07'::timestamptz, null::bigint);</v>
      </c>
    </row>
    <row r="555" spans="1:16" x14ac:dyDescent="0.2">
      <c r="B555" s="37">
        <f>IF(EXACT(DataLookUp!$B555, ""), "", DataLookUp!$B555)</f>
        <v>32000000000552</v>
      </c>
      <c r="C555" s="38" t="str">
        <f>MAIN!C555</f>
        <v>Aldi Rizaldi</v>
      </c>
      <c r="D555" s="91">
        <v>163000000000007</v>
      </c>
      <c r="E555" s="37" t="str">
        <f>IF(EXACT($D555, ""), "", VLOOKUP($D555, [2]DataLookUp!$B$4:$D$15, 2, FALSE ))</f>
        <v>Karyawan Musiman</v>
      </c>
      <c r="F555" s="91"/>
      <c r="G555" s="37" t="str">
        <f>IF(EXACT($F555, ""), "", VLOOKUP($F555, 'MAIN - OrgDepartment'!$C$3:$D$104, 2, FALSE))</f>
        <v/>
      </c>
      <c r="H555" s="91">
        <v>160000000000003</v>
      </c>
      <c r="I555" s="37" t="str">
        <f>IF(EXACT($H555, ""), "", VLOOKUP($H555, 'MAIN - OrgJobsPos'!$B$2:$C$101, 2, FALSE))</f>
        <v>Staff</v>
      </c>
      <c r="J555" s="67"/>
      <c r="K555" s="63"/>
      <c r="L555" s="10" t="s">
        <v>3</v>
      </c>
      <c r="M555" s="11"/>
      <c r="O555" s="29">
        <f t="shared" si="16"/>
        <v>164000000000552</v>
      </c>
      <c r="P555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32000000000552::bigint, 163000000000007::bigint, null::bigint, 160000000000003::bigint, null::varchar, null::timestamptz, '9999-12-31 23:59:59+07'::timestamptz, null::bigint);</v>
      </c>
    </row>
    <row r="556" spans="1:16" x14ac:dyDescent="0.2">
      <c r="B556" s="37">
        <f>IF(EXACT(DataLookUp!$B556, ""), "", DataLookUp!$B556)</f>
        <v>32000000000553</v>
      </c>
      <c r="C556" s="38" t="str">
        <f>MAIN!C556</f>
        <v>Masimin</v>
      </c>
      <c r="D556" s="91">
        <v>163000000000003</v>
      </c>
      <c r="E556" s="37" t="str">
        <f>IF(EXACT($D556, ""), "", VLOOKUP($D556, [2]DataLookUp!$B$4:$D$15, 2, FALSE ))</f>
        <v>Karyawan Tidak Tetap (Kontrak)</v>
      </c>
      <c r="F556" s="91"/>
      <c r="G556" s="37" t="str">
        <f>IF(EXACT($F556, ""), "", VLOOKUP($F556, 'MAIN - OrgDepartment'!$C$3:$D$104, 2, FALSE))</f>
        <v/>
      </c>
      <c r="H556" s="91">
        <v>160000000000003</v>
      </c>
      <c r="I556" s="37" t="str">
        <f>IF(EXACT($H556, ""), "", VLOOKUP($H556, 'MAIN - OrgJobsPos'!$B$2:$C$101, 2, FALSE))</f>
        <v>Staff</v>
      </c>
      <c r="J556" s="67"/>
      <c r="K556" s="63"/>
      <c r="L556" s="10" t="s">
        <v>3</v>
      </c>
      <c r="M556" s="11"/>
      <c r="O556" s="29">
        <f t="shared" si="16"/>
        <v>164000000000553</v>
      </c>
      <c r="P556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32000000000553::bigint, 163000000000003::bigint, null::bigint, 160000000000003::bigint, null::varchar, null::timestamptz, '9999-12-31 23:59:59+07'::timestamptz, null::bigint);</v>
      </c>
    </row>
    <row r="557" spans="1:16" x14ac:dyDescent="0.2">
      <c r="B557" s="37">
        <f>IF(EXACT(DataLookUp!$B557, ""), "", DataLookUp!$B557)</f>
        <v>32000000000554</v>
      </c>
      <c r="C557" s="38" t="str">
        <f>MAIN!C557</f>
        <v>Santoso Dwi Cahyo</v>
      </c>
      <c r="D557" s="91">
        <v>163000000000003</v>
      </c>
      <c r="E557" s="37" t="str">
        <f>IF(EXACT($D557, ""), "", VLOOKUP($D557, [2]DataLookUp!$B$4:$D$15, 2, FALSE ))</f>
        <v>Karyawan Tidak Tetap (Kontrak)</v>
      </c>
      <c r="F557" s="91"/>
      <c r="G557" s="37" t="str">
        <f>IF(EXACT($F557, ""), "", VLOOKUP($F557, 'MAIN - OrgDepartment'!$C$3:$D$104, 2, FALSE))</f>
        <v/>
      </c>
      <c r="H557" s="91">
        <v>160000000000003</v>
      </c>
      <c r="I557" s="37" t="str">
        <f>IF(EXACT($H557, ""), "", VLOOKUP($H557, 'MAIN - OrgJobsPos'!$B$2:$C$101, 2, FALSE))</f>
        <v>Staff</v>
      </c>
      <c r="J557" s="67"/>
      <c r="K557" s="63"/>
      <c r="L557" s="10" t="s">
        <v>3</v>
      </c>
      <c r="M557" s="11"/>
      <c r="O557" s="29">
        <f t="shared" si="16"/>
        <v>164000000000554</v>
      </c>
      <c r="P557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32000000000554::bigint, 163000000000003::bigint, null::bigint, 160000000000003::bigint, null::varchar, null::timestamptz, '9999-12-31 23:59:59+07'::timestamptz, null::bigint);</v>
      </c>
    </row>
    <row r="558" spans="1:16" x14ac:dyDescent="0.2">
      <c r="B558" s="37">
        <f>IF(EXACT(DataLookUp!$B558, ""), "", DataLookUp!$B558)</f>
        <v>32000000000555</v>
      </c>
      <c r="C558" s="38" t="str">
        <f>MAIN!C558</f>
        <v>Wartono</v>
      </c>
      <c r="D558" s="91">
        <v>163000000000003</v>
      </c>
      <c r="E558" s="37" t="str">
        <f>IF(EXACT($D558, ""), "", VLOOKUP($D558, [2]DataLookUp!$B$4:$D$15, 2, FALSE ))</f>
        <v>Karyawan Tidak Tetap (Kontrak)</v>
      </c>
      <c r="F558" s="91"/>
      <c r="G558" s="37" t="str">
        <f>IF(EXACT($F558, ""), "", VLOOKUP($F558, 'MAIN - OrgDepartment'!$C$3:$D$104, 2, FALSE))</f>
        <v/>
      </c>
      <c r="H558" s="91">
        <v>160000000000003</v>
      </c>
      <c r="I558" s="37" t="str">
        <f>IF(EXACT($H558, ""), "", VLOOKUP($H558, 'MAIN - OrgJobsPos'!$B$2:$C$101, 2, FALSE))</f>
        <v>Staff</v>
      </c>
      <c r="J558" s="67"/>
      <c r="K558" s="63"/>
      <c r="L558" s="10" t="s">
        <v>3</v>
      </c>
      <c r="M558" s="11"/>
      <c r="O558" s="29">
        <f t="shared" si="16"/>
        <v>164000000000555</v>
      </c>
      <c r="P558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32000000000555::bigint, 163000000000003::bigint, null::bigint, 160000000000003::bigint, null::varchar, null::timestamptz, '9999-12-31 23:59:59+07'::timestamptz, null::bigint);</v>
      </c>
    </row>
    <row r="559" spans="1:16" x14ac:dyDescent="0.2">
      <c r="B559" s="37">
        <f>IF(EXACT(DataLookUp!$B559, ""), "", DataLookUp!$B559)</f>
        <v>32000000000556</v>
      </c>
      <c r="C559" s="38" t="str">
        <f>MAIN!C559</f>
        <v>Yusarman</v>
      </c>
      <c r="D559" s="91">
        <v>163000000000003</v>
      </c>
      <c r="E559" s="37" t="str">
        <f>IF(EXACT($D559, ""), "", VLOOKUP($D559, [2]DataLookUp!$B$4:$D$15, 2, FALSE ))</f>
        <v>Karyawan Tidak Tetap (Kontrak)</v>
      </c>
      <c r="F559" s="91"/>
      <c r="G559" s="37" t="str">
        <f>IF(EXACT($F559, ""), "", VLOOKUP($F559, 'MAIN - OrgDepartment'!$C$3:$D$104, 2, FALSE))</f>
        <v/>
      </c>
      <c r="H559" s="91">
        <v>160000000000003</v>
      </c>
      <c r="I559" s="37" t="str">
        <f>IF(EXACT($H559, ""), "", VLOOKUP($H559, 'MAIN - OrgJobsPos'!$B$2:$C$101, 2, FALSE))</f>
        <v>Staff</v>
      </c>
      <c r="J559" s="67"/>
      <c r="K559" s="63"/>
      <c r="L559" s="10" t="s">
        <v>3</v>
      </c>
      <c r="M559" s="11"/>
      <c r="O559" s="29">
        <f t="shared" si="16"/>
        <v>164000000000556</v>
      </c>
      <c r="P559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32000000000556::bigint, 163000000000003::bigint, null::bigint, 160000000000003::bigint, null::varchar, null::timestamptz, '9999-12-31 23:59:59+07'::timestamptz, null::bigint);</v>
      </c>
    </row>
    <row r="560" spans="1:16" x14ac:dyDescent="0.2">
      <c r="A560" s="4">
        <v>45597</v>
      </c>
      <c r="B560" s="37">
        <f>IF(EXACT(DataLookUp!$B560, ""), "", DataLookUp!$B560)</f>
        <v>32000000000557</v>
      </c>
      <c r="C560" s="38" t="str">
        <f>MAIN!C560</f>
        <v>Abdul Rachman</v>
      </c>
      <c r="D560" s="91">
        <v>163000000000003</v>
      </c>
      <c r="E560" s="37" t="str">
        <f>IF(EXACT($D560, ""), "", VLOOKUP($D560, [2]DataLookUp!$B$4:$D$15, 2, FALSE ))</f>
        <v>Karyawan Tidak Tetap (Kontrak)</v>
      </c>
      <c r="F560" s="91"/>
      <c r="G560" s="37" t="str">
        <f>IF(EXACT($F560, ""), "", VLOOKUP($F560, 'MAIN - OrgDepartment'!$C$3:$D$104, 2, FALSE))</f>
        <v/>
      </c>
      <c r="H560" s="91">
        <v>160000000000003</v>
      </c>
      <c r="I560" s="37" t="str">
        <f>IF(EXACT($H560, ""), "", VLOOKUP($H560, 'MAIN - OrgJobsPos'!$B$2:$C$101, 2, FALSE))</f>
        <v>Staff</v>
      </c>
      <c r="J560" s="67"/>
      <c r="K560" s="63"/>
      <c r="L560" s="10" t="s">
        <v>3</v>
      </c>
      <c r="M560" s="11"/>
      <c r="O560" s="29">
        <f t="shared" si="16"/>
        <v>164000000000557</v>
      </c>
      <c r="P560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32000000000557::bigint, 163000000000003::bigint, null::bigint, 160000000000003::bigint, null::varchar, null::timestamptz, '9999-12-31 23:59:59+07'::timestamptz, null::bigint);</v>
      </c>
    </row>
    <row r="561" spans="2:16" x14ac:dyDescent="0.2">
      <c r="B561" s="37">
        <f>IF(EXACT(DataLookUp!$B561, ""), "", DataLookUp!$B561)</f>
        <v>32000000000558</v>
      </c>
      <c r="C561" s="38" t="str">
        <f>MAIN!C561</f>
        <v>Aden Bagus</v>
      </c>
      <c r="D561" s="91">
        <v>163000000000003</v>
      </c>
      <c r="E561" s="37" t="str">
        <f>IF(EXACT($D561, ""), "", VLOOKUP($D561, [2]DataLookUp!$B$4:$D$15, 2, FALSE ))</f>
        <v>Karyawan Tidak Tetap (Kontrak)</v>
      </c>
      <c r="F561" s="91"/>
      <c r="G561" s="37" t="str">
        <f>IF(EXACT($F561, ""), "", VLOOKUP($F561, 'MAIN - OrgDepartment'!$C$3:$D$104, 2, FALSE))</f>
        <v/>
      </c>
      <c r="H561" s="91">
        <v>160000000000003</v>
      </c>
      <c r="I561" s="37" t="str">
        <f>IF(EXACT($H561, ""), "", VLOOKUP($H561, 'MAIN - OrgJobsPos'!$B$2:$C$101, 2, FALSE))</f>
        <v>Staff</v>
      </c>
      <c r="J561" s="67"/>
      <c r="K561" s="63"/>
      <c r="L561" s="10" t="s">
        <v>3</v>
      </c>
      <c r="M561" s="11"/>
      <c r="O561" s="29">
        <f t="shared" si="16"/>
        <v>164000000000558</v>
      </c>
      <c r="P561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32000000000558::bigint, 163000000000003::bigint, null::bigint, 160000000000003::bigint, null::varchar, null::timestamptz, '9999-12-31 23:59:59+07'::timestamptz, null::bigint);</v>
      </c>
    </row>
    <row r="562" spans="2:16" x14ac:dyDescent="0.2">
      <c r="B562" s="37">
        <f>IF(EXACT(DataLookUp!$B562, ""), "", DataLookUp!$B562)</f>
        <v>32000000000559</v>
      </c>
      <c r="C562" s="38" t="str">
        <f>MAIN!C562</f>
        <v>Adhe Kurniawan</v>
      </c>
      <c r="D562" s="91">
        <v>163000000000003</v>
      </c>
      <c r="E562" s="37" t="str">
        <f>IF(EXACT($D562, ""), "", VLOOKUP($D562, [2]DataLookUp!$B$4:$D$15, 2, FALSE ))</f>
        <v>Karyawan Tidak Tetap (Kontrak)</v>
      </c>
      <c r="F562" s="91">
        <v>111000000000005</v>
      </c>
      <c r="G562" s="37" t="str">
        <f>IF(EXACT($F562, ""), "", VLOOKUP($F562, 'MAIN - OrgDepartment'!$C$3:$D$104, 2, FALSE))</f>
        <v>Finance &amp; Accounting</v>
      </c>
      <c r="H562" s="91">
        <v>160000000000008</v>
      </c>
      <c r="I562" s="37" t="str">
        <f>IF(EXACT($H562, ""), "", VLOOKUP($H562, 'MAIN - OrgJobsPos'!$B$2:$C$101, 2, FALSE))</f>
        <v>General Manager</v>
      </c>
      <c r="J562" s="67" t="s">
        <v>303</v>
      </c>
      <c r="K562" s="63"/>
      <c r="L562" s="10" t="s">
        <v>3</v>
      </c>
      <c r="M562" s="11"/>
      <c r="O562" s="29">
        <f t="shared" si="16"/>
        <v>164000000000559</v>
      </c>
      <c r="P562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32000000000559::bigint, 163000000000003::bigint, 111000000000005::bigint, 160000000000008::bigint, 'GM Finance &amp; Accounting'::varchar, null::timestamptz, '9999-12-31 23:59:59+07'::timestamptz, null::bigint);</v>
      </c>
    </row>
    <row r="563" spans="2:16" x14ac:dyDescent="0.2">
      <c r="B563" s="37">
        <f>IF(EXACT(DataLookUp!$B563, ""), "", DataLookUp!$B563)</f>
        <v>32000000000560</v>
      </c>
      <c r="C563" s="38" t="str">
        <f>MAIN!C563</f>
        <v>Ahmad Fauzi</v>
      </c>
      <c r="D563" s="91">
        <v>163000000000003</v>
      </c>
      <c r="E563" s="37" t="str">
        <f>IF(EXACT($D563, ""), "", VLOOKUP($D563, [2]DataLookUp!$B$4:$D$15, 2, FALSE ))</f>
        <v>Karyawan Tidak Tetap (Kontrak)</v>
      </c>
      <c r="F563" s="91"/>
      <c r="G563" s="37" t="str">
        <f>IF(EXACT($F563, ""), "", VLOOKUP($F563, 'MAIN - OrgDepartment'!$C$3:$D$104, 2, FALSE))</f>
        <v/>
      </c>
      <c r="H563" s="91">
        <v>160000000000003</v>
      </c>
      <c r="I563" s="37" t="str">
        <f>IF(EXACT($H563, ""), "", VLOOKUP($H563, 'MAIN - OrgJobsPos'!$B$2:$C$101, 2, FALSE))</f>
        <v>Staff</v>
      </c>
      <c r="J563" s="67"/>
      <c r="K563" s="63"/>
      <c r="L563" s="10" t="s">
        <v>3</v>
      </c>
      <c r="M563" s="11"/>
      <c r="O563" s="29">
        <f t="shared" si="16"/>
        <v>164000000000560</v>
      </c>
      <c r="P563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32000000000560::bigint, 163000000000003::bigint, null::bigint, 160000000000003::bigint, null::varchar, null::timestamptz, '9999-12-31 23:59:59+07'::timestamptz, null::bigint);</v>
      </c>
    </row>
    <row r="564" spans="2:16" x14ac:dyDescent="0.2">
      <c r="B564" s="37">
        <f>IF(EXACT(DataLookUp!$B564, ""), "", DataLookUp!$B564)</f>
        <v>32000000000561</v>
      </c>
      <c r="C564" s="38" t="str">
        <f>MAIN!C564</f>
        <v>Ahmad Gunawan</v>
      </c>
      <c r="D564" s="91">
        <v>163000000000003</v>
      </c>
      <c r="E564" s="37" t="str">
        <f>IF(EXACT($D564, ""), "", VLOOKUP($D564, [2]DataLookUp!$B$4:$D$15, 2, FALSE ))</f>
        <v>Karyawan Tidak Tetap (Kontrak)</v>
      </c>
      <c r="F564" s="91"/>
      <c r="G564" s="37" t="str">
        <f>IF(EXACT($F564, ""), "", VLOOKUP($F564, 'MAIN - OrgDepartment'!$C$3:$D$104, 2, FALSE))</f>
        <v/>
      </c>
      <c r="H564" s="91">
        <v>160000000000003</v>
      </c>
      <c r="I564" s="37" t="str">
        <f>IF(EXACT($H564, ""), "", VLOOKUP($H564, 'MAIN - OrgJobsPos'!$B$2:$C$101, 2, FALSE))</f>
        <v>Staff</v>
      </c>
      <c r="J564" s="67"/>
      <c r="K564" s="63"/>
      <c r="L564" s="10" t="s">
        <v>3</v>
      </c>
      <c r="M564" s="11"/>
      <c r="O564" s="29">
        <f t="shared" si="16"/>
        <v>164000000000561</v>
      </c>
      <c r="P564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32000000000561::bigint, 163000000000003::bigint, null::bigint, 160000000000003::bigint, null::varchar, null::timestamptz, '9999-12-31 23:59:59+07'::timestamptz, null::bigint);</v>
      </c>
    </row>
    <row r="565" spans="2:16" x14ac:dyDescent="0.2">
      <c r="B565" s="37">
        <f>IF(EXACT(DataLookUp!$B565, ""), "", DataLookUp!$B565)</f>
        <v>32000000000562</v>
      </c>
      <c r="C565" s="38" t="str">
        <f>MAIN!C565</f>
        <v>Andri Andriyan</v>
      </c>
      <c r="D565" s="91">
        <v>163000000000003</v>
      </c>
      <c r="E565" s="37" t="str">
        <f>IF(EXACT($D565, ""), "", VLOOKUP($D565, [2]DataLookUp!$B$4:$D$15, 2, FALSE ))</f>
        <v>Karyawan Tidak Tetap (Kontrak)</v>
      </c>
      <c r="F565" s="91"/>
      <c r="G565" s="37" t="str">
        <f>IF(EXACT($F565, ""), "", VLOOKUP($F565, 'MAIN - OrgDepartment'!$C$3:$D$104, 2, FALSE))</f>
        <v/>
      </c>
      <c r="H565" s="91">
        <v>160000000000003</v>
      </c>
      <c r="I565" s="37" t="str">
        <f>IF(EXACT($H565, ""), "", VLOOKUP($H565, 'MAIN - OrgJobsPos'!$B$2:$C$101, 2, FALSE))</f>
        <v>Staff</v>
      </c>
      <c r="J565" s="67"/>
      <c r="K565" s="63"/>
      <c r="L565" s="10" t="s">
        <v>3</v>
      </c>
      <c r="M565" s="11"/>
      <c r="O565" s="29">
        <f t="shared" si="16"/>
        <v>164000000000562</v>
      </c>
      <c r="P565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32000000000562::bigint, 163000000000003::bigint, null::bigint, 160000000000003::bigint, null::varchar, null::timestamptz, '9999-12-31 23:59:59+07'::timestamptz, null::bigint);</v>
      </c>
    </row>
    <row r="566" spans="2:16" x14ac:dyDescent="0.2">
      <c r="B566" s="37">
        <f>IF(EXACT(DataLookUp!$B566, ""), "", DataLookUp!$B566)</f>
        <v>32000000000563</v>
      </c>
      <c r="C566" s="38" t="str">
        <f>MAIN!C566</f>
        <v>Budi Sulistianto</v>
      </c>
      <c r="D566" s="91">
        <v>163000000000003</v>
      </c>
      <c r="E566" s="37" t="str">
        <f>IF(EXACT($D566, ""), "", VLOOKUP($D566, [2]DataLookUp!$B$4:$D$15, 2, FALSE ))</f>
        <v>Karyawan Tidak Tetap (Kontrak)</v>
      </c>
      <c r="F566" s="91"/>
      <c r="G566" s="37" t="str">
        <f>IF(EXACT($F566, ""), "", VLOOKUP($F566, 'MAIN - OrgDepartment'!$C$3:$D$104, 2, FALSE))</f>
        <v/>
      </c>
      <c r="H566" s="91">
        <v>160000000000003</v>
      </c>
      <c r="I566" s="37" t="str">
        <f>IF(EXACT($H566, ""), "", VLOOKUP($H566, 'MAIN - OrgJobsPos'!$B$2:$C$101, 2, FALSE))</f>
        <v>Staff</v>
      </c>
      <c r="J566" s="67"/>
      <c r="K566" s="63"/>
      <c r="L566" s="10" t="s">
        <v>3</v>
      </c>
      <c r="M566" s="11"/>
      <c r="O566" s="29">
        <f t="shared" si="16"/>
        <v>164000000000563</v>
      </c>
      <c r="P566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32000000000563::bigint, 163000000000003::bigint, null::bigint, 160000000000003::bigint, null::varchar, null::timestamptz, '9999-12-31 23:59:59+07'::timestamptz, null::bigint);</v>
      </c>
    </row>
    <row r="567" spans="2:16" x14ac:dyDescent="0.2">
      <c r="B567" s="37">
        <f>IF(EXACT(DataLookUp!$B567, ""), "", DataLookUp!$B567)</f>
        <v>32000000000564</v>
      </c>
      <c r="C567" s="38" t="str">
        <f>MAIN!C567</f>
        <v>Eka Budi</v>
      </c>
      <c r="D567" s="91">
        <v>163000000000003</v>
      </c>
      <c r="E567" s="37" t="str">
        <f>IF(EXACT($D567, ""), "", VLOOKUP($D567, [2]DataLookUp!$B$4:$D$15, 2, FALSE ))</f>
        <v>Karyawan Tidak Tetap (Kontrak)</v>
      </c>
      <c r="F567" s="91"/>
      <c r="G567" s="37" t="str">
        <f>IF(EXACT($F567, ""), "", VLOOKUP($F567, 'MAIN - OrgDepartment'!$C$3:$D$104, 2, FALSE))</f>
        <v/>
      </c>
      <c r="H567" s="91">
        <v>160000000000003</v>
      </c>
      <c r="I567" s="37" t="str">
        <f>IF(EXACT($H567, ""), "", VLOOKUP($H567, 'MAIN - OrgJobsPos'!$B$2:$C$101, 2, FALSE))</f>
        <v>Staff</v>
      </c>
      <c r="J567" s="67"/>
      <c r="K567" s="63"/>
      <c r="L567" s="10" t="s">
        <v>3</v>
      </c>
      <c r="M567" s="11"/>
      <c r="O567" s="29">
        <f t="shared" si="16"/>
        <v>164000000000564</v>
      </c>
      <c r="P567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32000000000564::bigint, 163000000000003::bigint, null::bigint, 160000000000003::bigint, null::varchar, null::timestamptz, '9999-12-31 23:59:59+07'::timestamptz, null::bigint);</v>
      </c>
    </row>
    <row r="568" spans="2:16" x14ac:dyDescent="0.2">
      <c r="B568" s="37">
        <f>IF(EXACT(DataLookUp!$B568, ""), "", DataLookUp!$B568)</f>
        <v>32000000000565</v>
      </c>
      <c r="C568" s="38" t="str">
        <f>MAIN!C568</f>
        <v>Haerul Gunawan</v>
      </c>
      <c r="D568" s="91">
        <v>163000000000003</v>
      </c>
      <c r="E568" s="37" t="str">
        <f>IF(EXACT($D568, ""), "", VLOOKUP($D568, [2]DataLookUp!$B$4:$D$15, 2, FALSE ))</f>
        <v>Karyawan Tidak Tetap (Kontrak)</v>
      </c>
      <c r="F568" s="91"/>
      <c r="G568" s="37" t="str">
        <f>IF(EXACT($F568, ""), "", VLOOKUP($F568, 'MAIN - OrgDepartment'!$C$3:$D$104, 2, FALSE))</f>
        <v/>
      </c>
      <c r="H568" s="91">
        <v>160000000000003</v>
      </c>
      <c r="I568" s="37" t="str">
        <f>IF(EXACT($H568, ""), "", VLOOKUP($H568, 'MAIN - OrgJobsPos'!$B$2:$C$101, 2, FALSE))</f>
        <v>Staff</v>
      </c>
      <c r="J568" s="67"/>
      <c r="K568" s="63"/>
      <c r="L568" s="10" t="s">
        <v>3</v>
      </c>
      <c r="M568" s="11"/>
      <c r="O568" s="29">
        <f t="shared" si="16"/>
        <v>164000000000565</v>
      </c>
      <c r="P568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32000000000565::bigint, 163000000000003::bigint, null::bigint, 160000000000003::bigint, null::varchar, null::timestamptz, '9999-12-31 23:59:59+07'::timestamptz, null::bigint);</v>
      </c>
    </row>
    <row r="569" spans="2:16" x14ac:dyDescent="0.2">
      <c r="B569" s="37">
        <f>IF(EXACT(DataLookUp!$B569, ""), "", DataLookUp!$B569)</f>
        <v>32000000000566</v>
      </c>
      <c r="C569" s="38" t="str">
        <f>MAIN!C569</f>
        <v>Irvan Agus</v>
      </c>
      <c r="D569" s="91">
        <v>163000000000003</v>
      </c>
      <c r="E569" s="37" t="str">
        <f>IF(EXACT($D569, ""), "", VLOOKUP($D569, [2]DataLookUp!$B$4:$D$15, 2, FALSE ))</f>
        <v>Karyawan Tidak Tetap (Kontrak)</v>
      </c>
      <c r="F569" s="91"/>
      <c r="G569" s="37" t="str">
        <f>IF(EXACT($F569, ""), "", VLOOKUP($F569, 'MAIN - OrgDepartment'!$C$3:$D$104, 2, FALSE))</f>
        <v/>
      </c>
      <c r="H569" s="91">
        <v>160000000000003</v>
      </c>
      <c r="I569" s="37" t="str">
        <f>IF(EXACT($H569, ""), "", VLOOKUP($H569, 'MAIN - OrgJobsPos'!$B$2:$C$101, 2, FALSE))</f>
        <v>Staff</v>
      </c>
      <c r="J569" s="67"/>
      <c r="K569" s="63"/>
      <c r="L569" s="10" t="s">
        <v>3</v>
      </c>
      <c r="M569" s="11"/>
      <c r="O569" s="29">
        <f t="shared" si="16"/>
        <v>164000000000566</v>
      </c>
      <c r="P569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32000000000566::bigint, 163000000000003::bigint, null::bigint, 160000000000003::bigint, null::varchar, null::timestamptz, '9999-12-31 23:59:59+07'::timestamptz, null::bigint);</v>
      </c>
    </row>
    <row r="570" spans="2:16" x14ac:dyDescent="0.2">
      <c r="B570" s="37">
        <f>IF(EXACT(DataLookUp!$B570, ""), "", DataLookUp!$B570)</f>
        <v>32000000000567</v>
      </c>
      <c r="C570" s="38" t="str">
        <f>MAIN!C570</f>
        <v>Joshika Pradirga</v>
      </c>
      <c r="D570" s="91">
        <v>163000000000003</v>
      </c>
      <c r="E570" s="37" t="str">
        <f>IF(EXACT($D570, ""), "", VLOOKUP($D570, [2]DataLookUp!$B$4:$D$15, 2, FALSE ))</f>
        <v>Karyawan Tidak Tetap (Kontrak)</v>
      </c>
      <c r="F570" s="91"/>
      <c r="G570" s="37" t="str">
        <f>IF(EXACT($F570, ""), "", VLOOKUP($F570, 'MAIN - OrgDepartment'!$C$3:$D$104, 2, FALSE))</f>
        <v/>
      </c>
      <c r="H570" s="91">
        <v>160000000000003</v>
      </c>
      <c r="I570" s="37" t="str">
        <f>IF(EXACT($H570, ""), "", VLOOKUP($H570, 'MAIN - OrgJobsPos'!$B$2:$C$101, 2, FALSE))</f>
        <v>Staff</v>
      </c>
      <c r="J570" s="67"/>
      <c r="K570" s="63"/>
      <c r="L570" s="10" t="s">
        <v>3</v>
      </c>
      <c r="M570" s="11"/>
      <c r="O570" s="29">
        <f t="shared" si="16"/>
        <v>164000000000567</v>
      </c>
      <c r="P570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32000000000567::bigint, 163000000000003::bigint, null::bigint, 160000000000003::bigint, null::varchar, null::timestamptz, '9999-12-31 23:59:59+07'::timestamptz, null::bigint);</v>
      </c>
    </row>
    <row r="571" spans="2:16" x14ac:dyDescent="0.2">
      <c r="B571" s="37">
        <f>IF(EXACT(DataLookUp!$B571, ""), "", DataLookUp!$B571)</f>
        <v>32000000000568</v>
      </c>
      <c r="C571" s="38" t="str">
        <f>MAIN!C571</f>
        <v>Khaidir</v>
      </c>
      <c r="D571" s="91">
        <v>163000000000003</v>
      </c>
      <c r="E571" s="37" t="str">
        <f>IF(EXACT($D571, ""), "", VLOOKUP($D571, [2]DataLookUp!$B$4:$D$15, 2, FALSE ))</f>
        <v>Karyawan Tidak Tetap (Kontrak)</v>
      </c>
      <c r="F571" s="91"/>
      <c r="G571" s="37" t="str">
        <f>IF(EXACT($F571, ""), "", VLOOKUP($F571, 'MAIN - OrgDepartment'!$C$3:$D$104, 2, FALSE))</f>
        <v/>
      </c>
      <c r="H571" s="91">
        <v>160000000000003</v>
      </c>
      <c r="I571" s="37" t="str">
        <f>IF(EXACT($H571, ""), "", VLOOKUP($H571, 'MAIN - OrgJobsPos'!$B$2:$C$101, 2, FALSE))</f>
        <v>Staff</v>
      </c>
      <c r="J571" s="67"/>
      <c r="K571" s="63"/>
      <c r="L571" s="10" t="s">
        <v>3</v>
      </c>
      <c r="M571" s="11"/>
      <c r="O571" s="29">
        <f t="shared" si="16"/>
        <v>164000000000568</v>
      </c>
      <c r="P571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32000000000568::bigint, 163000000000003::bigint, null::bigint, 160000000000003::bigint, null::varchar, null::timestamptz, '9999-12-31 23:59:59+07'::timestamptz, null::bigint);</v>
      </c>
    </row>
    <row r="572" spans="2:16" x14ac:dyDescent="0.2">
      <c r="B572" s="37">
        <f>IF(EXACT(DataLookUp!$B572, ""), "", DataLookUp!$B572)</f>
        <v>32000000000569</v>
      </c>
      <c r="C572" s="38" t="str">
        <f>MAIN!C572</f>
        <v>Latip Muhlanto</v>
      </c>
      <c r="D572" s="91">
        <v>163000000000003</v>
      </c>
      <c r="E572" s="37" t="str">
        <f>IF(EXACT($D572, ""), "", VLOOKUP($D572, [2]DataLookUp!$B$4:$D$15, 2, FALSE ))</f>
        <v>Karyawan Tidak Tetap (Kontrak)</v>
      </c>
      <c r="F572" s="91"/>
      <c r="G572" s="37" t="str">
        <f>IF(EXACT($F572, ""), "", VLOOKUP($F572, 'MAIN - OrgDepartment'!$C$3:$D$104, 2, FALSE))</f>
        <v/>
      </c>
      <c r="H572" s="91">
        <v>160000000000003</v>
      </c>
      <c r="I572" s="37" t="str">
        <f>IF(EXACT($H572, ""), "", VLOOKUP($H572, 'MAIN - OrgJobsPos'!$B$2:$C$101, 2, FALSE))</f>
        <v>Staff</v>
      </c>
      <c r="J572" s="67"/>
      <c r="K572" s="63"/>
      <c r="L572" s="10" t="s">
        <v>3</v>
      </c>
      <c r="M572" s="11"/>
      <c r="O572" s="29">
        <f t="shared" si="16"/>
        <v>164000000000569</v>
      </c>
      <c r="P572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32000000000569::bigint, 163000000000003::bigint, null::bigint, 160000000000003::bigint, null::varchar, null::timestamptz, '9999-12-31 23:59:59+07'::timestamptz, null::bigint);</v>
      </c>
    </row>
    <row r="573" spans="2:16" x14ac:dyDescent="0.2">
      <c r="B573" s="37">
        <f>IF(EXACT(DataLookUp!$B573, ""), "", DataLookUp!$B573)</f>
        <v>32000000000570</v>
      </c>
      <c r="C573" s="38" t="str">
        <f>MAIN!C573</f>
        <v>Leonardo Putra</v>
      </c>
      <c r="D573" s="91">
        <v>163000000000003</v>
      </c>
      <c r="E573" s="37" t="str">
        <f>IF(EXACT($D573, ""), "", VLOOKUP($D573, [2]DataLookUp!$B$4:$D$15, 2, FALSE ))</f>
        <v>Karyawan Tidak Tetap (Kontrak)</v>
      </c>
      <c r="F573" s="91"/>
      <c r="G573" s="37" t="str">
        <f>IF(EXACT($F573, ""), "", VLOOKUP($F573, 'MAIN - OrgDepartment'!$C$3:$D$104, 2, FALSE))</f>
        <v/>
      </c>
      <c r="H573" s="91">
        <v>160000000000003</v>
      </c>
      <c r="I573" s="37" t="str">
        <f>IF(EXACT($H573, ""), "", VLOOKUP($H573, 'MAIN - OrgJobsPos'!$B$2:$C$101, 2, FALSE))</f>
        <v>Staff</v>
      </c>
      <c r="J573" s="67"/>
      <c r="K573" s="63"/>
      <c r="L573" s="10" t="s">
        <v>3</v>
      </c>
      <c r="M573" s="11"/>
      <c r="O573" s="29">
        <f t="shared" si="16"/>
        <v>164000000000570</v>
      </c>
      <c r="P573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32000000000570::bigint, 163000000000003::bigint, null::bigint, 160000000000003::bigint, null::varchar, null::timestamptz, '9999-12-31 23:59:59+07'::timestamptz, null::bigint);</v>
      </c>
    </row>
    <row r="574" spans="2:16" x14ac:dyDescent="0.2">
      <c r="B574" s="37">
        <f>IF(EXACT(DataLookUp!$B574, ""), "", DataLookUp!$B574)</f>
        <v>32000000000571</v>
      </c>
      <c r="C574" s="38" t="str">
        <f>MAIN!C574</f>
        <v>Muhammad Ramadani</v>
      </c>
      <c r="D574" s="91">
        <v>163000000000003</v>
      </c>
      <c r="E574" s="37" t="str">
        <f>IF(EXACT($D574, ""), "", VLOOKUP($D574, [2]DataLookUp!$B$4:$D$15, 2, FALSE ))</f>
        <v>Karyawan Tidak Tetap (Kontrak)</v>
      </c>
      <c r="F574" s="91"/>
      <c r="G574" s="37" t="str">
        <f>IF(EXACT($F574, ""), "", VLOOKUP($F574, 'MAIN - OrgDepartment'!$C$3:$D$104, 2, FALSE))</f>
        <v/>
      </c>
      <c r="H574" s="91">
        <v>160000000000003</v>
      </c>
      <c r="I574" s="37" t="str">
        <f>IF(EXACT($H574, ""), "", VLOOKUP($H574, 'MAIN - OrgJobsPos'!$B$2:$C$101, 2, FALSE))</f>
        <v>Staff</v>
      </c>
      <c r="J574" s="67"/>
      <c r="K574" s="63"/>
      <c r="L574" s="10" t="s">
        <v>3</v>
      </c>
      <c r="M574" s="11"/>
      <c r="O574" s="29">
        <f t="shared" si="16"/>
        <v>164000000000571</v>
      </c>
      <c r="P574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32000000000571::bigint, 163000000000003::bigint, null::bigint, 160000000000003::bigint, null::varchar, null::timestamptz, '9999-12-31 23:59:59+07'::timestamptz, null::bigint);</v>
      </c>
    </row>
    <row r="575" spans="2:16" x14ac:dyDescent="0.2">
      <c r="B575" s="37">
        <f>IF(EXACT(DataLookUp!$B575, ""), "", DataLookUp!$B575)</f>
        <v>32000000000572</v>
      </c>
      <c r="C575" s="38" t="str">
        <f>MAIN!C575</f>
        <v>Musdalipa</v>
      </c>
      <c r="D575" s="91">
        <v>163000000000003</v>
      </c>
      <c r="E575" s="37" t="str">
        <f>IF(EXACT($D575, ""), "", VLOOKUP($D575, [2]DataLookUp!$B$4:$D$15, 2, FALSE ))</f>
        <v>Karyawan Tidak Tetap (Kontrak)</v>
      </c>
      <c r="F575" s="91"/>
      <c r="G575" s="37" t="str">
        <f>IF(EXACT($F575, ""), "", VLOOKUP($F575, 'MAIN - OrgDepartment'!$C$3:$D$104, 2, FALSE))</f>
        <v/>
      </c>
      <c r="H575" s="91">
        <v>160000000000003</v>
      </c>
      <c r="I575" s="37" t="str">
        <f>IF(EXACT($H575, ""), "", VLOOKUP($H575, 'MAIN - OrgJobsPos'!$B$2:$C$101, 2, FALSE))</f>
        <v>Staff</v>
      </c>
      <c r="J575" s="67"/>
      <c r="K575" s="63"/>
      <c r="L575" s="10" t="s">
        <v>3</v>
      </c>
      <c r="M575" s="11"/>
      <c r="O575" s="29">
        <f t="shared" si="16"/>
        <v>164000000000572</v>
      </c>
      <c r="P575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32000000000572::bigint, 163000000000003::bigint, null::bigint, 160000000000003::bigint, null::varchar, null::timestamptz, '9999-12-31 23:59:59+07'::timestamptz, null::bigint);</v>
      </c>
    </row>
    <row r="576" spans="2:16" x14ac:dyDescent="0.2">
      <c r="B576" s="37">
        <f>IF(EXACT(DataLookUp!$B576, ""), "", DataLookUp!$B576)</f>
        <v>32000000000573</v>
      </c>
      <c r="C576" s="38" t="str">
        <f>MAIN!C576</f>
        <v>Nico Melky</v>
      </c>
      <c r="D576" s="91">
        <v>163000000000003</v>
      </c>
      <c r="E576" s="37" t="str">
        <f>IF(EXACT($D576, ""), "", VLOOKUP($D576, [2]DataLookUp!$B$4:$D$15, 2, FALSE ))</f>
        <v>Karyawan Tidak Tetap (Kontrak)</v>
      </c>
      <c r="F576" s="91"/>
      <c r="G576" s="37" t="str">
        <f>IF(EXACT($F576, ""), "", VLOOKUP($F576, 'MAIN - OrgDepartment'!$C$3:$D$104, 2, FALSE))</f>
        <v/>
      </c>
      <c r="H576" s="91">
        <v>160000000000003</v>
      </c>
      <c r="I576" s="37" t="str">
        <f>IF(EXACT($H576, ""), "", VLOOKUP($H576, 'MAIN - OrgJobsPos'!$B$2:$C$101, 2, FALSE))</f>
        <v>Staff</v>
      </c>
      <c r="J576" s="67"/>
      <c r="K576" s="63"/>
      <c r="L576" s="10" t="s">
        <v>3</v>
      </c>
      <c r="M576" s="11"/>
      <c r="O576" s="29">
        <f t="shared" si="16"/>
        <v>164000000000573</v>
      </c>
      <c r="P576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32000000000573::bigint, 163000000000003::bigint, null::bigint, 160000000000003::bigint, null::varchar, null::timestamptz, '9999-12-31 23:59:59+07'::timestamptz, null::bigint);</v>
      </c>
    </row>
    <row r="577" spans="2:16" x14ac:dyDescent="0.2">
      <c r="B577" s="37">
        <f>IF(EXACT(DataLookUp!$B577, ""), "", DataLookUp!$B577)</f>
        <v>32000000000574</v>
      </c>
      <c r="C577" s="38" t="str">
        <f>MAIN!C577</f>
        <v>Rahmata Novanisa</v>
      </c>
      <c r="D577" s="91">
        <v>163000000000003</v>
      </c>
      <c r="E577" s="37" t="str">
        <f>IF(EXACT($D577, ""), "", VLOOKUP($D577, [2]DataLookUp!$B$4:$D$15, 2, FALSE ))</f>
        <v>Karyawan Tidak Tetap (Kontrak)</v>
      </c>
      <c r="F577" s="91">
        <v>111000000000005</v>
      </c>
      <c r="G577" s="37" t="str">
        <f>IF(EXACT($F577, ""), "", VLOOKUP($F577, 'MAIN - OrgDepartment'!$C$3:$D$104, 2, FALSE))</f>
        <v>Finance &amp; Accounting</v>
      </c>
      <c r="H577" s="91">
        <v>160000000000003</v>
      </c>
      <c r="I577" s="37" t="str">
        <f>IF(EXACT($H577, ""), "", VLOOKUP($H577, 'MAIN - OrgJobsPos'!$B$2:$C$101, 2, FALSE))</f>
        <v>Staff</v>
      </c>
      <c r="J577" s="67" t="s">
        <v>318</v>
      </c>
      <c r="K577" s="63" t="s">
        <v>236</v>
      </c>
      <c r="L577" s="10" t="s">
        <v>3</v>
      </c>
      <c r="M577" s="11"/>
      <c r="O577" s="29">
        <f t="shared" si="16"/>
        <v>164000000000574</v>
      </c>
      <c r="P577" s="30" t="str">
        <f t="shared" si="17"/>
        <v>PERFORM "SchData-OLTP-HumanResource"."Func_TblWorkerCareerInternal_SET"(varSystemLoginSession, null::bigint, null::varchar, '2024-09-23 00:00:00+07'::timestamptz, '9999-12-31 23:59:59+07'::timestamptz, null::varchar, varInstitutionBranchID, varBaseCurrencyID, 32000000000574::bigint, 163000000000003::bigint, 111000000000005::bigint, 160000000000003::bigint, 'Finance Staff'::varchar, '2024-09-23 00:00:00+07'::timestamptz, '9999-12-31 23:59:59+07'::timestamptz, null::bigint);</v>
      </c>
    </row>
    <row r="578" spans="2:16" x14ac:dyDescent="0.2">
      <c r="B578" s="37">
        <f>IF(EXACT(DataLookUp!$B578, ""), "", DataLookUp!$B578)</f>
        <v>32000000000575</v>
      </c>
      <c r="C578" s="38" t="str">
        <f>MAIN!C578</f>
        <v>Satrio Dhiaputra</v>
      </c>
      <c r="D578" s="91">
        <v>163000000000003</v>
      </c>
      <c r="E578" s="37" t="str">
        <f>IF(EXACT($D578, ""), "", VLOOKUP($D578, [2]DataLookUp!$B$4:$D$15, 2, FALSE ))</f>
        <v>Karyawan Tidak Tetap (Kontrak)</v>
      </c>
      <c r="F578" s="91"/>
      <c r="G578" s="37" t="str">
        <f>IF(EXACT($F578, ""), "", VLOOKUP($F578, 'MAIN - OrgDepartment'!$C$3:$D$104, 2, FALSE))</f>
        <v/>
      </c>
      <c r="H578" s="91">
        <v>160000000000003</v>
      </c>
      <c r="I578" s="37" t="str">
        <f>IF(EXACT($H578, ""), "", VLOOKUP($H578, 'MAIN - OrgJobsPos'!$B$2:$C$101, 2, FALSE))</f>
        <v>Staff</v>
      </c>
      <c r="J578" s="67"/>
      <c r="K578" s="63"/>
      <c r="L578" s="10" t="s">
        <v>3</v>
      </c>
      <c r="M578" s="11"/>
      <c r="O578" s="29">
        <f t="shared" si="16"/>
        <v>164000000000575</v>
      </c>
      <c r="P578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32000000000575::bigint, 163000000000003::bigint, null::bigint, 160000000000003::bigint, null::varchar, null::timestamptz, '9999-12-31 23:59:59+07'::timestamptz, null::bigint);</v>
      </c>
    </row>
    <row r="579" spans="2:16" x14ac:dyDescent="0.2">
      <c r="B579" s="37">
        <f>IF(EXACT(DataLookUp!$B579, ""), "", DataLookUp!$B579)</f>
        <v>32000000000576</v>
      </c>
      <c r="C579" s="38" t="str">
        <f>MAIN!C579</f>
        <v>Sudirman</v>
      </c>
      <c r="D579" s="91">
        <v>163000000000003</v>
      </c>
      <c r="E579" s="37" t="str">
        <f>IF(EXACT($D579, ""), "", VLOOKUP($D579, [2]DataLookUp!$B$4:$D$15, 2, FALSE ))</f>
        <v>Karyawan Tidak Tetap (Kontrak)</v>
      </c>
      <c r="F579" s="91"/>
      <c r="G579" s="37" t="str">
        <f>IF(EXACT($F579, ""), "", VLOOKUP($F579, 'MAIN - OrgDepartment'!$C$3:$D$104, 2, FALSE))</f>
        <v/>
      </c>
      <c r="H579" s="91">
        <v>160000000000003</v>
      </c>
      <c r="I579" s="37" t="str">
        <f>IF(EXACT($H579, ""), "", VLOOKUP($H579, 'MAIN - OrgJobsPos'!$B$2:$C$101, 2, FALSE))</f>
        <v>Staff</v>
      </c>
      <c r="J579" s="67"/>
      <c r="K579" s="63"/>
      <c r="L579" s="10" t="s">
        <v>3</v>
      </c>
      <c r="M579" s="11"/>
      <c r="O579" s="29">
        <f t="shared" si="16"/>
        <v>164000000000576</v>
      </c>
      <c r="P579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32000000000576::bigint, 163000000000003::bigint, null::bigint, 160000000000003::bigint, null::varchar, null::timestamptz, '9999-12-31 23:59:59+07'::timestamptz, null::bigint);</v>
      </c>
    </row>
    <row r="580" spans="2:16" x14ac:dyDescent="0.2">
      <c r="B580" s="37">
        <f>IF(EXACT(DataLookUp!$B580, ""), "", DataLookUp!$B580)</f>
        <v>32000000000577</v>
      </c>
      <c r="C580" s="38" t="str">
        <f>MAIN!C580</f>
        <v>Suparji</v>
      </c>
      <c r="D580" s="91">
        <v>163000000000003</v>
      </c>
      <c r="E580" s="37" t="str">
        <f>IF(EXACT($D580, ""), "", VLOOKUP($D580, [2]DataLookUp!$B$4:$D$15, 2, FALSE ))</f>
        <v>Karyawan Tidak Tetap (Kontrak)</v>
      </c>
      <c r="F580" s="91"/>
      <c r="G580" s="37" t="str">
        <f>IF(EXACT($F580, ""), "", VLOOKUP($F580, 'MAIN - OrgDepartment'!$C$3:$D$104, 2, FALSE))</f>
        <v/>
      </c>
      <c r="H580" s="91">
        <v>160000000000003</v>
      </c>
      <c r="I580" s="37" t="str">
        <f>IF(EXACT($H580, ""), "", VLOOKUP($H580, 'MAIN - OrgJobsPos'!$B$2:$C$101, 2, FALSE))</f>
        <v>Staff</v>
      </c>
      <c r="J580" s="67"/>
      <c r="K580" s="63"/>
      <c r="L580" s="10" t="s">
        <v>3</v>
      </c>
      <c r="M580" s="11"/>
      <c r="O580" s="29">
        <f t="shared" si="16"/>
        <v>164000000000577</v>
      </c>
      <c r="P580" s="30" t="str">
        <f t="shared" si="17"/>
        <v>PERFORM "SchData-OLTP-HumanResource"."Func_TblWorkerCareerInternal_SET"(varSystemLoginSession, null::bigint, null::varchar, null::timestamptz, '9999-12-31 23:59:59+07'::timestamptz, null::varchar, varInstitutionBranchID, varBaseCurrencyID, 32000000000577::bigint, 163000000000003::bigint, null::bigint, 160000000000003::bigint, null::varchar, null::timestamptz, '9999-12-31 23:59:59+07'::timestamptz, null::bigint);</v>
      </c>
    </row>
    <row r="581" spans="2:16" x14ac:dyDescent="0.2">
      <c r="B581" s="37">
        <f>IF(EXACT(DataLookUp!$B581, ""), "", DataLookUp!$B581)</f>
        <v>32000000000578</v>
      </c>
      <c r="C581" s="38" t="str">
        <f>MAIN!C581</f>
        <v>Taufik Iskandar</v>
      </c>
      <c r="D581" s="91">
        <v>163000000000003</v>
      </c>
      <c r="E581" s="37" t="str">
        <f>IF(EXACT($D581, ""), "", VLOOKUP($D581, [2]DataLookUp!$B$4:$D$15, 2, FALSE ))</f>
        <v>Karyawan Tidak Tetap (Kontrak)</v>
      </c>
      <c r="F581" s="91"/>
      <c r="G581" s="37" t="str">
        <f>IF(EXACT($F581, ""), "", VLOOKUP($F581, 'MAIN - OrgDepartment'!$C$3:$D$104, 2, FALSE))</f>
        <v/>
      </c>
      <c r="H581" s="91">
        <v>160000000000003</v>
      </c>
      <c r="I581" s="37" t="str">
        <f>IF(EXACT($H581, ""), "", VLOOKUP($H581, 'MAIN - OrgJobsPos'!$B$2:$C$101, 2, FALSE))</f>
        <v>Staff</v>
      </c>
      <c r="J581" s="67"/>
      <c r="K581" s="63"/>
      <c r="L581" s="10" t="s">
        <v>3</v>
      </c>
      <c r="M581" s="11"/>
      <c r="O581" s="29">
        <f t="shared" si="16"/>
        <v>164000000000578</v>
      </c>
      <c r="P581" s="30" t="str">
        <f t="shared" ref="P581:P624" si="18">CONCATENATE("PERFORM ""SchData-OLTP-HumanResource"".""Func_TblWorkerCareerInternal_SET""(varSystemLoginSession, null::bigint, null::varchar",
CONCATENATE(IF(EXACT($K581, ""), ", null", CONCATENATE(", '", $K581, "'")), "::timestamptz"),
CONCATENATE(IF(EXACT($L581, ""), ", null", CONCATENATE(", '", $L581, "'")), "::timestamptz"),
", null::varchar, varInstitutionBranchID, varBaseCurrencyID",
CONCATENATE(IF(EXACT($B581, ""), ", null", CONCATENATE(", ", $B581, "")), "::bigint"),
CONCATENATE(IF(EXACT($D581, ""), ", null", CONCATENATE(", ", $D581, "")), "::bigint"),
CONCATENATE(IF(EXACT($F581, ""), ", null", CONCATENATE(", ", $F581, "")), "::bigint"),
CONCATENATE(IF(EXACT($H581, ""), ", null", CONCATENATE(", ", $H581, "")), "::bigint"),
CONCATENATE(IF(EXACT($J581, ""), ", null", CONCATENATE(", '", $J581, "'")), "::varchar"),
CONCATENATE(IF(EXACT($K581, ""), ", null", CONCATENATE(", '", $K581, "'")), "::timestamptz"),
CONCATENATE(IF(EXACT($L581, ""), ", null", CONCATENATE(", '", $L581, "'")), "::timestamptz"),
CONCATENATE(IF(EXACT($M581, ""), ", null", CONCATENATE(", ", $M581, "")), "::bigint"),
");")</f>
        <v>PERFORM "SchData-OLTP-HumanResource"."Func_TblWorkerCareerInternal_SET"(varSystemLoginSession, null::bigint, null::varchar, null::timestamptz, '9999-12-31 23:59:59+07'::timestamptz, null::varchar, varInstitutionBranchID, varBaseCurrencyID, 32000000000578::bigint, 163000000000003::bigint, null::bigint, 160000000000003::bigint, null::varchar, null::timestamptz, '9999-12-31 23:59:59+07'::timestamptz, null::bigint);</v>
      </c>
    </row>
    <row r="582" spans="2:16" x14ac:dyDescent="0.2">
      <c r="B582" s="37">
        <f>IF(EXACT(DataLookUp!$B582, ""), "", DataLookUp!$B582)</f>
        <v>32000000000579</v>
      </c>
      <c r="C582" s="38" t="str">
        <f>MAIN!C582</f>
        <v>Tegar Hersaputra</v>
      </c>
      <c r="D582" s="91">
        <v>163000000000003</v>
      </c>
      <c r="E582" s="37" t="str">
        <f>IF(EXACT($D582, ""), "", VLOOKUP($D582, [2]DataLookUp!$B$4:$D$15, 2, FALSE ))</f>
        <v>Karyawan Tidak Tetap (Kontrak)</v>
      </c>
      <c r="F582" s="92">
        <v>111000000000013</v>
      </c>
      <c r="G582" s="37" t="str">
        <f>IF(EXACT($F582, ""), "", VLOOKUP($F582, 'MAIN - OrgDepartment'!$C$3:$D$104, 2, FALSE))</f>
        <v>Civil And Mechanical Engineering</v>
      </c>
      <c r="H582" s="91">
        <v>160000000000006</v>
      </c>
      <c r="I582" s="37" t="str">
        <f>IF(EXACT($H582, ""), "", VLOOKUP($H582, 'MAIN - OrgJobsPos'!$B$2:$C$101, 2, FALSE))</f>
        <v>Manager</v>
      </c>
      <c r="J582" s="67" t="s">
        <v>185</v>
      </c>
      <c r="K582" s="63" t="s">
        <v>247</v>
      </c>
      <c r="L582" s="10" t="s">
        <v>3</v>
      </c>
      <c r="M582" s="11"/>
      <c r="O582" s="29">
        <f t="shared" ref="O582:O618" si="19" xml:space="preserve"> O581 + IF(EXACT(P582, ""), 0, 1)</f>
        <v>164000000000579</v>
      </c>
      <c r="P582" s="30" t="str">
        <f t="shared" si="18"/>
        <v>PERFORM "SchData-OLTP-HumanResource"."Func_TblWorkerCareerInternal_SET"(varSystemLoginSession, null::bigint, null::varchar, '2024-03-28 00:00:00+07'::timestamptz, '9999-12-31 23:59:59+07'::timestamptz, null::varchar, varInstitutionBranchID, varBaseCurrencyID, 32000000000579::bigint, 163000000000003::bigint, 111000000000013::bigint, 160000000000006::bigint, 'CME Manager'::varchar, '2024-03-28 00:00:00+07'::timestamptz, '9999-12-31 23:59:59+07'::timestamptz, null::bigint);</v>
      </c>
    </row>
    <row r="583" spans="2:16" x14ac:dyDescent="0.2">
      <c r="B583" s="37">
        <f>IF(EXACT(DataLookUp!$B583, ""), "", DataLookUp!$B583)</f>
        <v>32000000000580</v>
      </c>
      <c r="C583" s="38" t="str">
        <f>MAIN!C583</f>
        <v>Togar Sihombing</v>
      </c>
      <c r="D583" s="91">
        <v>163000000000003</v>
      </c>
      <c r="E583" s="37" t="str">
        <f>IF(EXACT($D583, ""), "", VLOOKUP($D583, [2]DataLookUp!$B$4:$D$15, 2, FALSE ))</f>
        <v>Karyawan Tidak Tetap (Kontrak)</v>
      </c>
      <c r="F583" s="91"/>
      <c r="G583" s="37" t="str">
        <f>IF(EXACT($F583, ""), "", VLOOKUP($F583, 'MAIN - OrgDepartment'!$C$3:$D$104, 2, FALSE))</f>
        <v/>
      </c>
      <c r="H583" s="91">
        <v>160000000000003</v>
      </c>
      <c r="I583" s="37" t="str">
        <f>IF(EXACT($H583, ""), "", VLOOKUP($H583, 'MAIN - OrgJobsPos'!$B$2:$C$101, 2, FALSE))</f>
        <v>Staff</v>
      </c>
      <c r="J583" s="67"/>
      <c r="K583" s="63"/>
      <c r="L583" s="10" t="s">
        <v>3</v>
      </c>
      <c r="M583" s="11"/>
      <c r="O583" s="29">
        <f t="shared" si="19"/>
        <v>164000000000580</v>
      </c>
      <c r="P583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32000000000580::bigint, 163000000000003::bigint, null::bigint, 160000000000003::bigint, null::varchar, null::timestamptz, '9999-12-31 23:59:59+07'::timestamptz, null::bigint);</v>
      </c>
    </row>
    <row r="584" spans="2:16" x14ac:dyDescent="0.2">
      <c r="B584" s="37">
        <f>IF(EXACT(DataLookUp!$B584, ""), "", DataLookUp!$B584)</f>
        <v>32000000000581</v>
      </c>
      <c r="C584" s="38" t="str">
        <f>MAIN!C584</f>
        <v>Wisnu Trenggono Wirayuda</v>
      </c>
      <c r="D584" s="91">
        <v>163000000000003</v>
      </c>
      <c r="E584" s="37" t="str">
        <f>IF(EXACT($D584, ""), "", VLOOKUP($D584, [2]DataLookUp!$B$4:$D$15, 2, FALSE ))</f>
        <v>Karyawan Tidak Tetap (Kontrak)</v>
      </c>
      <c r="F584" s="91">
        <v>111000000000003</v>
      </c>
      <c r="G584" s="37" t="str">
        <f>IF(EXACT($F584, ""), "", VLOOKUP($F584, 'MAIN - OrgDepartment'!$C$3:$D$104, 2, FALSE))</f>
        <v>Information Technology</v>
      </c>
      <c r="H584" s="91">
        <v>160000000000003</v>
      </c>
      <c r="I584" s="37" t="str">
        <f>IF(EXACT($H584, ""), "", VLOOKUP($H584, 'MAIN - OrgJobsPos'!$B$2:$C$101, 2, FALSE))</f>
        <v>Staff</v>
      </c>
      <c r="J584" s="67" t="s">
        <v>169</v>
      </c>
      <c r="K584" s="63" t="s">
        <v>251</v>
      </c>
      <c r="L584" s="10" t="s">
        <v>3</v>
      </c>
      <c r="M584" s="11"/>
      <c r="O584" s="29">
        <f t="shared" si="19"/>
        <v>164000000000581</v>
      </c>
      <c r="P584" s="30" t="str">
        <f t="shared" si="18"/>
        <v>PERFORM "SchData-OLTP-HumanResource"."Func_TblWorkerCareerInternal_SET"(varSystemLoginSession, null::bigint, null::varchar, '2024-05-15 00:00:00+07'::timestamptz, '9999-12-31 23:59:59+07'::timestamptz, null::varchar, varInstitutionBranchID, varBaseCurrencyID, 32000000000581::bigint, 163000000000003::bigint, 111000000000003::bigint, 160000000000003::bigint, 'IT Software Engineer'::varchar, '2024-05-15 00:00:00+07'::timestamptz, '9999-12-31 23:59:59+07'::timestamptz, null::bigint);</v>
      </c>
    </row>
    <row r="585" spans="2:16" x14ac:dyDescent="0.2">
      <c r="B585" s="37">
        <f>IF(EXACT(DataLookUp!$B585, ""), "", DataLookUp!$B585)</f>
        <v>32000000000582</v>
      </c>
      <c r="C585" s="38" t="str">
        <f>MAIN!C585</f>
        <v>Yogo</v>
      </c>
      <c r="D585" s="91">
        <v>163000000000003</v>
      </c>
      <c r="E585" s="37" t="str">
        <f>IF(EXACT($D585, ""), "", VLOOKUP($D585, [2]DataLookUp!$B$4:$D$15, 2, FALSE ))</f>
        <v>Karyawan Tidak Tetap (Kontrak)</v>
      </c>
      <c r="F585" s="91"/>
      <c r="G585" s="37" t="str">
        <f>IF(EXACT($F585, ""), "", VLOOKUP($F585, 'MAIN - OrgDepartment'!$C$3:$D$104, 2, FALSE))</f>
        <v/>
      </c>
      <c r="H585" s="91">
        <v>160000000000003</v>
      </c>
      <c r="I585" s="37" t="str">
        <f>IF(EXACT($H585, ""), "", VLOOKUP($H585, 'MAIN - OrgJobsPos'!$B$2:$C$101, 2, FALSE))</f>
        <v>Staff</v>
      </c>
      <c r="J585" s="67"/>
      <c r="K585" s="63"/>
      <c r="L585" s="10" t="s">
        <v>3</v>
      </c>
      <c r="M585" s="11"/>
      <c r="O585" s="29">
        <f t="shared" si="19"/>
        <v>164000000000582</v>
      </c>
      <c r="P585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32000000000582::bigint, 163000000000003::bigint, null::bigint, 160000000000003::bigint, null::varchar, null::timestamptz, '9999-12-31 23:59:59+07'::timestamptz, null::bigint);</v>
      </c>
    </row>
    <row r="586" spans="2:16" x14ac:dyDescent="0.2">
      <c r="B586" s="37">
        <f>IF(EXACT(DataLookUp!$B586, ""), "", DataLookUp!$B586)</f>
        <v>32000000000583</v>
      </c>
      <c r="C586" s="38" t="str">
        <f>MAIN!C586</f>
        <v>Yustiana Firda</v>
      </c>
      <c r="D586" s="91">
        <v>163000000000003</v>
      </c>
      <c r="E586" s="37" t="str">
        <f>IF(EXACT($D586, ""), "", VLOOKUP($D586, [2]DataLookUp!$B$4:$D$15, 2, FALSE ))</f>
        <v>Karyawan Tidak Tetap (Kontrak)</v>
      </c>
      <c r="F586" s="91"/>
      <c r="G586" s="37" t="str">
        <f>IF(EXACT($F586, ""), "", VLOOKUP($F586, 'MAIN - OrgDepartment'!$C$3:$D$104, 2, FALSE))</f>
        <v/>
      </c>
      <c r="H586" s="91">
        <v>160000000000003</v>
      </c>
      <c r="I586" s="37" t="str">
        <f>IF(EXACT($H586, ""), "", VLOOKUP($H586, 'MAIN - OrgJobsPos'!$B$2:$C$101, 2, FALSE))</f>
        <v>Staff</v>
      </c>
      <c r="J586" s="67"/>
      <c r="K586" s="63"/>
      <c r="L586" s="10" t="s">
        <v>3</v>
      </c>
      <c r="M586" s="11"/>
      <c r="O586" s="29">
        <f t="shared" si="19"/>
        <v>164000000000583</v>
      </c>
      <c r="P586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32000000000583::bigint, 163000000000003::bigint, null::bigint, 160000000000003::bigint, null::varchar, null::timestamptz, '9999-12-31 23:59:59+07'::timestamptz, null::bigint);</v>
      </c>
    </row>
    <row r="587" spans="2:16" x14ac:dyDescent="0.2">
      <c r="B587" s="37">
        <f>IF(EXACT(DataLookUp!$B587, ""), "", DataLookUp!$B587)</f>
        <v>32000000000584</v>
      </c>
      <c r="C587" s="38" t="str">
        <f>MAIN!C587</f>
        <v>Zainal Abidin</v>
      </c>
      <c r="D587" s="91">
        <v>163000000000003</v>
      </c>
      <c r="E587" s="37" t="str">
        <f>IF(EXACT($D587, ""), "", VLOOKUP($D587, [2]DataLookUp!$B$4:$D$15, 2, FALSE ))</f>
        <v>Karyawan Tidak Tetap (Kontrak)</v>
      </c>
      <c r="F587" s="91"/>
      <c r="G587" s="37" t="str">
        <f>IF(EXACT($F587, ""), "", VLOOKUP($F587, 'MAIN - OrgDepartment'!$C$3:$D$104, 2, FALSE))</f>
        <v/>
      </c>
      <c r="H587" s="91">
        <v>160000000000003</v>
      </c>
      <c r="I587" s="37" t="str">
        <f>IF(EXACT($H587, ""), "", VLOOKUP($H587, 'MAIN - OrgJobsPos'!$B$2:$C$101, 2, FALSE))</f>
        <v>Staff</v>
      </c>
      <c r="J587" s="67"/>
      <c r="K587" s="63"/>
      <c r="L587" s="10" t="s">
        <v>3</v>
      </c>
      <c r="M587" s="11"/>
      <c r="O587" s="29">
        <f t="shared" si="19"/>
        <v>164000000000584</v>
      </c>
      <c r="P587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32000000000584::bigint, 163000000000003::bigint, null::bigint, 160000000000003::bigint, null::varchar, null::timestamptz, '9999-12-31 23:59:59+07'::timestamptz, null::bigint);</v>
      </c>
    </row>
    <row r="588" spans="2:16" x14ac:dyDescent="0.2">
      <c r="B588" s="37">
        <f>IF(EXACT(DataLookUp!$B588, ""), "", DataLookUp!$B588)</f>
        <v>32000000000585</v>
      </c>
      <c r="C588" s="38" t="str">
        <f>MAIN!C588</f>
        <v>Budi Sandika</v>
      </c>
      <c r="D588" s="91">
        <v>163000000000003</v>
      </c>
      <c r="E588" s="37" t="str">
        <f>IF(EXACT($D588, ""), "", VLOOKUP($D588, [2]DataLookUp!$B$4:$D$15, 2, FALSE ))</f>
        <v>Karyawan Tidak Tetap (Kontrak)</v>
      </c>
      <c r="F588" s="91"/>
      <c r="G588" s="37" t="str">
        <f>IF(EXACT($F588, ""), "", VLOOKUP($F588, 'MAIN - OrgDepartment'!$C$3:$D$104, 2, FALSE))</f>
        <v/>
      </c>
      <c r="H588" s="91">
        <v>160000000000003</v>
      </c>
      <c r="I588" s="37" t="str">
        <f>IF(EXACT($H588, ""), "", VLOOKUP($H588, 'MAIN - OrgJobsPos'!$B$2:$C$101, 2, FALSE))</f>
        <v>Staff</v>
      </c>
      <c r="J588" s="67"/>
      <c r="K588" s="63"/>
      <c r="L588" s="10" t="s">
        <v>3</v>
      </c>
      <c r="M588" s="11"/>
      <c r="O588" s="29">
        <f t="shared" si="19"/>
        <v>164000000000585</v>
      </c>
      <c r="P588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32000000000585::bigint, 163000000000003::bigint, null::bigint, 160000000000003::bigint, null::varchar, null::timestamptz, '9999-12-31 23:59:59+07'::timestamptz, null::bigint);</v>
      </c>
    </row>
    <row r="589" spans="2:16" x14ac:dyDescent="0.2">
      <c r="B589" s="37">
        <f>IF(EXACT(DataLookUp!$B589, ""), "", DataLookUp!$B589)</f>
        <v>32000000000586</v>
      </c>
      <c r="C589" s="38" t="str">
        <f>MAIN!C589</f>
        <v>Fachri Azhar</v>
      </c>
      <c r="D589" s="91">
        <v>163000000000003</v>
      </c>
      <c r="E589" s="37" t="str">
        <f>IF(EXACT($D589, ""), "", VLOOKUP($D589, [2]DataLookUp!$B$4:$D$15, 2, FALSE ))</f>
        <v>Karyawan Tidak Tetap (Kontrak)</v>
      </c>
      <c r="F589" s="91"/>
      <c r="G589" s="37" t="str">
        <f>IF(EXACT($F589, ""), "", VLOOKUP($F589, 'MAIN - OrgDepartment'!$C$3:$D$104, 2, FALSE))</f>
        <v/>
      </c>
      <c r="H589" s="91">
        <v>160000000000003</v>
      </c>
      <c r="I589" s="37" t="str">
        <f>IF(EXACT($H589, ""), "", VLOOKUP($H589, 'MAIN - OrgJobsPos'!$B$2:$C$101, 2, FALSE))</f>
        <v>Staff</v>
      </c>
      <c r="J589" s="67"/>
      <c r="K589" s="63"/>
      <c r="L589" s="10" t="s">
        <v>3</v>
      </c>
      <c r="M589" s="11"/>
      <c r="O589" s="29">
        <f t="shared" si="19"/>
        <v>164000000000586</v>
      </c>
      <c r="P589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32000000000586::bigint, 163000000000003::bigint, null::bigint, 160000000000003::bigint, null::varchar, null::timestamptz, '9999-12-31 23:59:59+07'::timestamptz, null::bigint);</v>
      </c>
    </row>
    <row r="590" spans="2:16" x14ac:dyDescent="0.2">
      <c r="B590" s="37">
        <f>IF(EXACT(DataLookUp!$B590, ""), "", DataLookUp!$B590)</f>
        <v>32000000000587</v>
      </c>
      <c r="C590" s="38" t="str">
        <f>MAIN!C590</f>
        <v>Firmansyah Awaludin</v>
      </c>
      <c r="D590" s="91">
        <v>163000000000003</v>
      </c>
      <c r="E590" s="37" t="str">
        <f>IF(EXACT($D590, ""), "", VLOOKUP($D590, [2]DataLookUp!$B$4:$D$15, 2, FALSE ))</f>
        <v>Karyawan Tidak Tetap (Kontrak)</v>
      </c>
      <c r="F590" s="91"/>
      <c r="G590" s="37" t="str">
        <f>IF(EXACT($F590, ""), "", VLOOKUP($F590, 'MAIN - OrgDepartment'!$C$3:$D$104, 2, FALSE))</f>
        <v/>
      </c>
      <c r="H590" s="91">
        <v>160000000000003</v>
      </c>
      <c r="I590" s="37" t="str">
        <f>IF(EXACT($H590, ""), "", VLOOKUP($H590, 'MAIN - OrgJobsPos'!$B$2:$C$101, 2, FALSE))</f>
        <v>Staff</v>
      </c>
      <c r="J590" s="67"/>
      <c r="K590" s="63"/>
      <c r="L590" s="10" t="s">
        <v>3</v>
      </c>
      <c r="M590" s="11"/>
      <c r="O590" s="29">
        <f t="shared" si="19"/>
        <v>164000000000587</v>
      </c>
      <c r="P590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32000000000587::bigint, 163000000000003::bigint, null::bigint, 160000000000003::bigint, null::varchar, null::timestamptz, '9999-12-31 23:59:59+07'::timestamptz, null::bigint);</v>
      </c>
    </row>
    <row r="591" spans="2:16" x14ac:dyDescent="0.2">
      <c r="B591" s="37">
        <f>IF(EXACT(DataLookUp!$B591, ""), "", DataLookUp!$B591)</f>
        <v>32000000000588</v>
      </c>
      <c r="C591" s="38" t="str">
        <f>MAIN!C591</f>
        <v>Iman Faisal Abdurahman</v>
      </c>
      <c r="D591" s="91">
        <v>163000000000003</v>
      </c>
      <c r="E591" s="37" t="str">
        <f>IF(EXACT($D591, ""), "", VLOOKUP($D591, [2]DataLookUp!$B$4:$D$15, 2, FALSE ))</f>
        <v>Karyawan Tidak Tetap (Kontrak)</v>
      </c>
      <c r="F591" s="91">
        <v>111000000000020</v>
      </c>
      <c r="G591" s="37" t="str">
        <f>IF(EXACT($F591, ""), "", VLOOKUP($F591, 'MAIN - OrgDepartment'!$C$3:$D$104, 2, FALSE))</f>
        <v>Business Development</v>
      </c>
      <c r="H591" s="91">
        <v>160000000000008</v>
      </c>
      <c r="I591" s="37" t="str">
        <f>IF(EXACT($H591, ""), "", VLOOKUP($H591, 'MAIN - OrgJobsPos'!$B$2:$C$101, 2, FALSE))</f>
        <v>General Manager</v>
      </c>
      <c r="J591" s="67" t="s">
        <v>294</v>
      </c>
      <c r="K591" s="63"/>
      <c r="L591" s="10" t="s">
        <v>3</v>
      </c>
      <c r="M591" s="11"/>
      <c r="O591" s="29">
        <f t="shared" si="19"/>
        <v>164000000000588</v>
      </c>
      <c r="P591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32000000000588::bigint, 163000000000003::bigint, 111000000000020::bigint, 160000000000008::bigint, 'GM Operation &amp; Business Development'::varchar, null::timestamptz, '9999-12-31 23:59:59+07'::timestamptz, null::bigint);</v>
      </c>
    </row>
    <row r="592" spans="2:16" x14ac:dyDescent="0.2">
      <c r="B592" s="37">
        <f>IF(EXACT(DataLookUp!$B592, ""), "", DataLookUp!$B592)</f>
        <v>32000000000589</v>
      </c>
      <c r="C592" s="38" t="str">
        <f>MAIN!C592</f>
        <v>Muhammad Irfan Alfikri Rayana</v>
      </c>
      <c r="D592" s="91">
        <v>163000000000003</v>
      </c>
      <c r="E592" s="37" t="str">
        <f>IF(EXACT($D592, ""), "", VLOOKUP($D592, [2]DataLookUp!$B$4:$D$15, 2, FALSE ))</f>
        <v>Karyawan Tidak Tetap (Kontrak)</v>
      </c>
      <c r="F592" s="91"/>
      <c r="G592" s="37" t="str">
        <f>IF(EXACT($F592, ""), "", VLOOKUP($F592, 'MAIN - OrgDepartment'!$C$3:$D$104, 2, FALSE))</f>
        <v/>
      </c>
      <c r="H592" s="91">
        <v>160000000000003</v>
      </c>
      <c r="I592" s="37" t="str">
        <f>IF(EXACT($H592, ""), "", VLOOKUP($H592, 'MAIN - OrgJobsPos'!$B$2:$C$101, 2, FALSE))</f>
        <v>Staff</v>
      </c>
      <c r="J592" s="67"/>
      <c r="K592" s="63"/>
      <c r="L592" s="10" t="s">
        <v>3</v>
      </c>
      <c r="M592" s="11"/>
      <c r="O592" s="29">
        <f t="shared" si="19"/>
        <v>164000000000589</v>
      </c>
      <c r="P592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32000000000589::bigint, 163000000000003::bigint, null::bigint, 160000000000003::bigint, null::varchar, null::timestamptz, '9999-12-31 23:59:59+07'::timestamptz, null::bigint);</v>
      </c>
    </row>
    <row r="593" spans="2:16" x14ac:dyDescent="0.2">
      <c r="B593" s="37">
        <f>IF(EXACT(DataLookUp!$B593, ""), "", DataLookUp!$B593)</f>
        <v>32000000000590</v>
      </c>
      <c r="C593" s="38" t="str">
        <f>MAIN!C593</f>
        <v>Syafri Johansah</v>
      </c>
      <c r="D593" s="91">
        <v>163000000000003</v>
      </c>
      <c r="E593" s="37" t="str">
        <f>IF(EXACT($D593, ""), "", VLOOKUP($D593, [2]DataLookUp!$B$4:$D$15, 2, FALSE ))</f>
        <v>Karyawan Tidak Tetap (Kontrak)</v>
      </c>
      <c r="F593" s="91"/>
      <c r="G593" s="37" t="str">
        <f>IF(EXACT($F593, ""), "", VLOOKUP($F593, 'MAIN - OrgDepartment'!$C$3:$D$104, 2, FALSE))</f>
        <v/>
      </c>
      <c r="H593" s="91">
        <v>160000000000003</v>
      </c>
      <c r="I593" s="37" t="str">
        <f>IF(EXACT($H593, ""), "", VLOOKUP($H593, 'MAIN - OrgJobsPos'!$B$2:$C$101, 2, FALSE))</f>
        <v>Staff</v>
      </c>
      <c r="J593" s="67"/>
      <c r="K593" s="63"/>
      <c r="L593" s="10" t="s">
        <v>3</v>
      </c>
      <c r="M593" s="11"/>
      <c r="O593" s="29">
        <f t="shared" si="19"/>
        <v>164000000000590</v>
      </c>
      <c r="P593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32000000000590::bigint, 163000000000003::bigint, null::bigint, 160000000000003::bigint, null::varchar, null::timestamptz, '9999-12-31 23:59:59+07'::timestamptz, null::bigint);</v>
      </c>
    </row>
    <row r="594" spans="2:16" x14ac:dyDescent="0.2">
      <c r="B594" s="37">
        <f>IF(EXACT(DataLookUp!$B594, ""), "", DataLookUp!$B594)</f>
        <v>32000000000591</v>
      </c>
      <c r="C594" s="38" t="str">
        <f>MAIN!C594</f>
        <v>Agus Sobar</v>
      </c>
      <c r="D594" s="91">
        <v>163000000000003</v>
      </c>
      <c r="E594" s="37" t="str">
        <f>IF(EXACT($D594, ""), "", VLOOKUP($D594, [2]DataLookUp!$B$4:$D$15, 2, FALSE ))</f>
        <v>Karyawan Tidak Tetap (Kontrak)</v>
      </c>
      <c r="F594" s="91"/>
      <c r="G594" s="37" t="str">
        <f>IF(EXACT($F594, ""), "", VLOOKUP($F594, 'MAIN - OrgDepartment'!$C$3:$D$104, 2, FALSE))</f>
        <v/>
      </c>
      <c r="H594" s="91">
        <v>160000000000003</v>
      </c>
      <c r="I594" s="37" t="str">
        <f>IF(EXACT($H594, ""), "", VLOOKUP($H594, 'MAIN - OrgJobsPos'!$B$2:$C$101, 2, FALSE))</f>
        <v>Staff</v>
      </c>
      <c r="J594" s="67"/>
      <c r="K594" s="63"/>
      <c r="L594" s="10" t="s">
        <v>3</v>
      </c>
      <c r="M594" s="11"/>
      <c r="O594" s="29">
        <f t="shared" si="19"/>
        <v>164000000000591</v>
      </c>
      <c r="P594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32000000000591::bigint, 163000000000003::bigint, null::bigint, 160000000000003::bigint, null::varchar, null::timestamptz, '9999-12-31 23:59:59+07'::timestamptz, null::bigint);</v>
      </c>
    </row>
    <row r="595" spans="2:16" x14ac:dyDescent="0.2">
      <c r="B595" s="37">
        <f>IF(EXACT(DataLookUp!$B595, ""), "", DataLookUp!$B595)</f>
        <v>32000000000592</v>
      </c>
      <c r="C595" s="38" t="str">
        <f>MAIN!C595</f>
        <v>Ahmad Sandi Asyuri</v>
      </c>
      <c r="D595" s="91">
        <v>163000000000003</v>
      </c>
      <c r="E595" s="37" t="str">
        <f>IF(EXACT($D595, ""), "", VLOOKUP($D595, [2]DataLookUp!$B$4:$D$15, 2, FALSE ))</f>
        <v>Karyawan Tidak Tetap (Kontrak)</v>
      </c>
      <c r="F595" s="91">
        <v>111000000000013</v>
      </c>
      <c r="G595" s="37" t="str">
        <f>IF(EXACT($F595, ""), "", VLOOKUP($F595, 'MAIN - OrgDepartment'!$C$3:$D$104, 2, FALSE))</f>
        <v>Civil And Mechanical Engineering</v>
      </c>
      <c r="H595" s="91">
        <v>160000000000003</v>
      </c>
      <c r="I595" s="37" t="str">
        <f>IF(EXACT($H595, ""), "", VLOOKUP($H595, 'MAIN - OrgJobsPos'!$B$2:$C$101, 2, FALSE))</f>
        <v>Staff</v>
      </c>
      <c r="J595" s="67" t="s">
        <v>307</v>
      </c>
      <c r="K595" s="63" t="s">
        <v>211</v>
      </c>
      <c r="L595" s="10" t="s">
        <v>3</v>
      </c>
      <c r="M595" s="11"/>
      <c r="O595" s="29">
        <f t="shared" si="19"/>
        <v>164000000000592</v>
      </c>
      <c r="P595" s="30" t="str">
        <f t="shared" si="18"/>
        <v>PERFORM "SchData-OLTP-HumanResource"."Func_TblWorkerCareerInternal_SET"(varSystemLoginSession, null::bigint, null::varchar, '2024-11-18 00:00:00+07'::timestamptz, '9999-12-31 23:59:59+07'::timestamptz, null::varchar, varInstitutionBranchID, varBaseCurrencyID, 32000000000592::bigint, 163000000000003::bigint, 111000000000013::bigint, 160000000000003::bigint, 'CME Design Engineering'::varchar, '2024-11-18 00:00:00+07'::timestamptz, '9999-12-31 23:59:59+07'::timestamptz, null::bigint);</v>
      </c>
    </row>
    <row r="596" spans="2:16" x14ac:dyDescent="0.2">
      <c r="B596" s="37">
        <f>IF(EXACT(DataLookUp!$B596, ""), "", DataLookUp!$B596)</f>
        <v>32000000000593</v>
      </c>
      <c r="C596" s="38" t="str">
        <f>MAIN!C596</f>
        <v>Andi Mapasoro</v>
      </c>
      <c r="D596" s="91">
        <v>163000000000003</v>
      </c>
      <c r="E596" s="37" t="str">
        <f>IF(EXACT($D596, ""), "", VLOOKUP($D596, [2]DataLookUp!$B$4:$D$15, 2, FALSE ))</f>
        <v>Karyawan Tidak Tetap (Kontrak)</v>
      </c>
      <c r="F596" s="91">
        <v>111000000000011</v>
      </c>
      <c r="G596" s="37" t="str">
        <f>IF(EXACT($F596, ""), "", VLOOKUP($F596, 'MAIN - OrgDepartment'!$C$3:$D$104, 2, FALSE))</f>
        <v>Project</v>
      </c>
      <c r="H596" s="91">
        <v>160000000000006</v>
      </c>
      <c r="I596" s="37" t="str">
        <f>IF(EXACT($H596, ""), "", VLOOKUP($H596, 'MAIN - OrgJobsPos'!$B$2:$C$101, 2, FALSE))</f>
        <v>Manager</v>
      </c>
      <c r="J596" s="67" t="s">
        <v>158</v>
      </c>
      <c r="K596" s="63" t="s">
        <v>212</v>
      </c>
      <c r="L596" s="10" t="s">
        <v>3</v>
      </c>
      <c r="M596" s="11"/>
      <c r="O596" s="29">
        <f t="shared" si="19"/>
        <v>164000000000593</v>
      </c>
      <c r="P596" s="30" t="str">
        <f t="shared" si="18"/>
        <v>PERFORM "SchData-OLTP-HumanResource"."Func_TblWorkerCareerInternal_SET"(varSystemLoginSession, null::bigint, null::varchar, '2025-03-01 00:00:00+07'::timestamptz, '9999-12-31 23:59:59+07'::timestamptz, null::varchar, varInstitutionBranchID, varBaseCurrencyID, 32000000000593::bigint, 163000000000003::bigint, 111000000000011::bigint, 160000000000006::bigint, 'Project Manager'::varchar, '2025-03-01 00:00:00+07'::timestamptz, '9999-12-31 23:59:59+07'::timestamptz, null::bigint);</v>
      </c>
    </row>
    <row r="597" spans="2:16" x14ac:dyDescent="0.2">
      <c r="B597" s="37">
        <f>IF(EXACT(DataLookUp!$B597, ""), "", DataLookUp!$B597)</f>
        <v>32000000000594</v>
      </c>
      <c r="C597" s="38" t="str">
        <f>MAIN!C597</f>
        <v>Arie Gustaman</v>
      </c>
      <c r="D597" s="91">
        <v>163000000000003</v>
      </c>
      <c r="E597" s="37" t="str">
        <f>IF(EXACT($D597, ""), "", VLOOKUP($D597, [2]DataLookUp!$B$4:$D$15, 2, FALSE ))</f>
        <v>Karyawan Tidak Tetap (Kontrak)</v>
      </c>
      <c r="F597" s="91"/>
      <c r="G597" s="37" t="str">
        <f>IF(EXACT($F597, ""), "", VLOOKUP($F597, 'MAIN - OrgDepartment'!$C$3:$D$104, 2, FALSE))</f>
        <v/>
      </c>
      <c r="H597" s="91">
        <v>160000000000003</v>
      </c>
      <c r="I597" s="37" t="str">
        <f>IF(EXACT($H597, ""), "", VLOOKUP($H597, 'MAIN - OrgJobsPos'!$B$2:$C$101, 2, FALSE))</f>
        <v>Staff</v>
      </c>
      <c r="J597" s="67"/>
      <c r="K597" s="63"/>
      <c r="L597" s="10" t="s">
        <v>3</v>
      </c>
      <c r="M597" s="11"/>
      <c r="O597" s="29">
        <f t="shared" si="19"/>
        <v>164000000000594</v>
      </c>
      <c r="P597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32000000000594::bigint, 163000000000003::bigint, null::bigint, 160000000000003::bigint, null::varchar, null::timestamptz, '9999-12-31 23:59:59+07'::timestamptz, null::bigint);</v>
      </c>
    </row>
    <row r="598" spans="2:16" x14ac:dyDescent="0.2">
      <c r="B598" s="37">
        <f>IF(EXACT(DataLookUp!$B598, ""), "", DataLookUp!$B598)</f>
        <v>32000000000595</v>
      </c>
      <c r="C598" s="38" t="str">
        <f>MAIN!C598</f>
        <v>Arief Yulianto</v>
      </c>
      <c r="D598" s="91">
        <v>163000000000003</v>
      </c>
      <c r="E598" s="37" t="str">
        <f>IF(EXACT($D598, ""), "", VLOOKUP($D598, [2]DataLookUp!$B$4:$D$15, 2, FALSE ))</f>
        <v>Karyawan Tidak Tetap (Kontrak)</v>
      </c>
      <c r="F598" s="91">
        <v>111000000000024</v>
      </c>
      <c r="G598" s="37" t="str">
        <f>IF(EXACT($F598, ""), "", VLOOKUP($F598, 'MAIN - OrgDepartment'!$C$3:$D$104, 2, FALSE))</f>
        <v>Warehouse &amp; TAM</v>
      </c>
      <c r="H598" s="91">
        <v>160000000000002</v>
      </c>
      <c r="I598" s="37" t="str">
        <f>IF(EXACT($H598, ""), "", VLOOKUP($H598, 'MAIN - OrgJobsPos'!$B$2:$C$101, 2, FALSE))</f>
        <v>Senior Clerical</v>
      </c>
      <c r="J598" s="67" t="s">
        <v>296</v>
      </c>
      <c r="K598" s="63"/>
      <c r="L598" s="10" t="s">
        <v>3</v>
      </c>
      <c r="M598" s="11"/>
      <c r="O598" s="29">
        <f t="shared" si="19"/>
        <v>164000000000595</v>
      </c>
      <c r="P598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32000000000595::bigint, 163000000000003::bigint, 111000000000024::bigint, 160000000000002::bigint, 'Mechanic and Maintenance Warehouse'::varchar, null::timestamptz, '9999-12-31 23:59:59+07'::timestamptz, null::bigint);</v>
      </c>
    </row>
    <row r="599" spans="2:16" x14ac:dyDescent="0.2">
      <c r="B599" s="37">
        <f>IF(EXACT(DataLookUp!$B599, ""), "", DataLookUp!$B599)</f>
        <v>32000000000596</v>
      </c>
      <c r="C599" s="38" t="str">
        <f>MAIN!C599</f>
        <v>Burhan</v>
      </c>
      <c r="D599" s="91">
        <v>163000000000003</v>
      </c>
      <c r="E599" s="37" t="str">
        <f>IF(EXACT($D599, ""), "", VLOOKUP($D599, [2]DataLookUp!$B$4:$D$15, 2, FALSE ))</f>
        <v>Karyawan Tidak Tetap (Kontrak)</v>
      </c>
      <c r="F599" s="91">
        <v>111000000000023</v>
      </c>
      <c r="G599" s="37" t="str">
        <f>IF(EXACT($F599, ""), "", VLOOKUP($F599, 'MAIN - OrgDepartment'!$C$3:$D$104, 2, FALSE))</f>
        <v>Operation &amp; Maintenance</v>
      </c>
      <c r="H599" s="91">
        <v>160000000000002</v>
      </c>
      <c r="I599" s="37" t="str">
        <f>IF(EXACT($H599, ""), "", VLOOKUP($H599, 'MAIN - OrgJobsPos'!$B$2:$C$101, 2, FALSE))</f>
        <v>Senior Clerical</v>
      </c>
      <c r="J599" s="67" t="s">
        <v>197</v>
      </c>
      <c r="K599" s="63"/>
      <c r="L599" s="10" t="s">
        <v>3</v>
      </c>
      <c r="M599" s="11"/>
      <c r="O599" s="29">
        <f t="shared" si="19"/>
        <v>164000000000596</v>
      </c>
      <c r="P599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32000000000596::bigint, 163000000000003::bigint, 111000000000023::bigint, 160000000000002::bigint, 'Security'::varchar, null::timestamptz, '9999-12-31 23:59:59+07'::timestamptz, null::bigint);</v>
      </c>
    </row>
    <row r="600" spans="2:16" x14ac:dyDescent="0.2">
      <c r="B600" s="37">
        <f>IF(EXACT(DataLookUp!$B600, ""), "", DataLookUp!$B600)</f>
        <v>32000000000597</v>
      </c>
      <c r="C600" s="38" t="str">
        <f>MAIN!C600</f>
        <v>Deby Syahputa</v>
      </c>
      <c r="D600" s="91">
        <v>163000000000003</v>
      </c>
      <c r="E600" s="37" t="str">
        <f>IF(EXACT($D600, ""), "", VLOOKUP($D600, [2]DataLookUp!$B$4:$D$15, 2, FALSE ))</f>
        <v>Karyawan Tidak Tetap (Kontrak)</v>
      </c>
      <c r="F600" s="91"/>
      <c r="G600" s="37" t="str">
        <f>IF(EXACT($F600, ""), "", VLOOKUP($F600, 'MAIN - OrgDepartment'!$C$3:$D$104, 2, FALSE))</f>
        <v/>
      </c>
      <c r="H600" s="91">
        <v>160000000000003</v>
      </c>
      <c r="I600" s="37" t="str">
        <f>IF(EXACT($H600, ""), "", VLOOKUP($H600, 'MAIN - OrgJobsPos'!$B$2:$C$101, 2, FALSE))</f>
        <v>Staff</v>
      </c>
      <c r="J600" s="67"/>
      <c r="K600" s="63"/>
      <c r="L600" s="10" t="s">
        <v>3</v>
      </c>
      <c r="M600" s="11"/>
      <c r="O600" s="29">
        <f t="shared" si="19"/>
        <v>164000000000597</v>
      </c>
      <c r="P600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32000000000597::bigint, 163000000000003::bigint, null::bigint, 160000000000003::bigint, null::varchar, null::timestamptz, '9999-12-31 23:59:59+07'::timestamptz, null::bigint);</v>
      </c>
    </row>
    <row r="601" spans="2:16" x14ac:dyDescent="0.2">
      <c r="B601" s="37">
        <f>IF(EXACT(DataLookUp!$B601, ""), "", DataLookUp!$B601)</f>
        <v>32000000000598</v>
      </c>
      <c r="C601" s="38" t="str">
        <f>MAIN!C601</f>
        <v>Ibrahim Arya Yuda</v>
      </c>
      <c r="D601" s="91">
        <v>163000000000003</v>
      </c>
      <c r="E601" s="37" t="str">
        <f>IF(EXACT($D601, ""), "", VLOOKUP($D601, [2]DataLookUp!$B$4:$D$15, 2, FALSE ))</f>
        <v>Karyawan Tidak Tetap (Kontrak)</v>
      </c>
      <c r="F601" s="91"/>
      <c r="G601" s="37" t="str">
        <f>IF(EXACT($F601, ""), "", VLOOKUP($F601, 'MAIN - OrgDepartment'!$C$3:$D$104, 2, FALSE))</f>
        <v/>
      </c>
      <c r="H601" s="91">
        <v>160000000000003</v>
      </c>
      <c r="I601" s="37" t="str">
        <f>IF(EXACT($H601, ""), "", VLOOKUP($H601, 'MAIN - OrgJobsPos'!$B$2:$C$101, 2, FALSE))</f>
        <v>Staff</v>
      </c>
      <c r="J601" s="67"/>
      <c r="K601" s="63"/>
      <c r="L601" s="10" t="s">
        <v>3</v>
      </c>
      <c r="M601" s="11"/>
      <c r="O601" s="29">
        <f t="shared" si="19"/>
        <v>164000000000598</v>
      </c>
      <c r="P601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32000000000598::bigint, 163000000000003::bigint, null::bigint, 160000000000003::bigint, null::varchar, null::timestamptz, '9999-12-31 23:59:59+07'::timestamptz, null::bigint);</v>
      </c>
    </row>
    <row r="602" spans="2:16" x14ac:dyDescent="0.2">
      <c r="B602" s="37">
        <f>IF(EXACT(DataLookUp!$B602, ""), "", DataLookUp!$B602)</f>
        <v>32000000000599</v>
      </c>
      <c r="C602" s="38" t="str">
        <f>MAIN!C602</f>
        <v>Jamil</v>
      </c>
      <c r="D602" s="91">
        <v>163000000000003</v>
      </c>
      <c r="E602" s="37" t="str">
        <f>IF(EXACT($D602, ""), "", VLOOKUP($D602, [2]DataLookUp!$B$4:$D$15, 2, FALSE ))</f>
        <v>Karyawan Tidak Tetap (Kontrak)</v>
      </c>
      <c r="F602" s="91"/>
      <c r="G602" s="37" t="str">
        <f>IF(EXACT($F602, ""), "", VLOOKUP($F602, 'MAIN - OrgDepartment'!$C$3:$D$104, 2, FALSE))</f>
        <v/>
      </c>
      <c r="H602" s="91">
        <v>160000000000003</v>
      </c>
      <c r="I602" s="37" t="str">
        <f>IF(EXACT($H602, ""), "", VLOOKUP($H602, 'MAIN - OrgJobsPos'!$B$2:$C$101, 2, FALSE))</f>
        <v>Staff</v>
      </c>
      <c r="J602" s="67"/>
      <c r="K602" s="63"/>
      <c r="L602" s="10" t="s">
        <v>3</v>
      </c>
      <c r="M602" s="11"/>
      <c r="O602" s="29">
        <f t="shared" si="19"/>
        <v>164000000000599</v>
      </c>
      <c r="P602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32000000000599::bigint, 163000000000003::bigint, null::bigint, 160000000000003::bigint, null::varchar, null::timestamptz, '9999-12-31 23:59:59+07'::timestamptz, null::bigint);</v>
      </c>
    </row>
    <row r="603" spans="2:16" x14ac:dyDescent="0.2">
      <c r="B603" s="37">
        <f>IF(EXACT(DataLookUp!$B603, ""), "", DataLookUp!$B603)</f>
        <v>32000000000600</v>
      </c>
      <c r="C603" s="38" t="str">
        <f>MAIN!C603</f>
        <v>Kiki Prasetyo</v>
      </c>
      <c r="D603" s="91">
        <v>163000000000003</v>
      </c>
      <c r="E603" s="37" t="str">
        <f>IF(EXACT($D603, ""), "", VLOOKUP($D603, [2]DataLookUp!$B$4:$D$15, 2, FALSE ))</f>
        <v>Karyawan Tidak Tetap (Kontrak)</v>
      </c>
      <c r="F603" s="91"/>
      <c r="G603" s="37" t="str">
        <f>IF(EXACT($F603, ""), "", VLOOKUP($F603, 'MAIN - OrgDepartment'!$C$3:$D$104, 2, FALSE))</f>
        <v/>
      </c>
      <c r="H603" s="91">
        <v>160000000000003</v>
      </c>
      <c r="I603" s="37" t="str">
        <f>IF(EXACT($H603, ""), "", VLOOKUP($H603, 'MAIN - OrgJobsPos'!$B$2:$C$101, 2, FALSE))</f>
        <v>Staff</v>
      </c>
      <c r="J603" s="67"/>
      <c r="K603" s="63"/>
      <c r="L603" s="10" t="s">
        <v>3</v>
      </c>
      <c r="M603" s="11"/>
      <c r="O603" s="29">
        <f t="shared" si="19"/>
        <v>164000000000600</v>
      </c>
      <c r="P603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32000000000600::bigint, 163000000000003::bigint, null::bigint, 160000000000003::bigint, null::varchar, null::timestamptz, '9999-12-31 23:59:59+07'::timestamptz, null::bigint);</v>
      </c>
    </row>
    <row r="604" spans="2:16" x14ac:dyDescent="0.2">
      <c r="B604" s="37">
        <f>IF(EXACT(DataLookUp!$B604, ""), "", DataLookUp!$B604)</f>
        <v>32000000000601</v>
      </c>
      <c r="C604" s="38" t="str">
        <f>MAIN!C604</f>
        <v>Mochamad Ulul Azmi Wira Utama</v>
      </c>
      <c r="D604" s="91">
        <v>163000000000003</v>
      </c>
      <c r="E604" s="37" t="str">
        <f>IF(EXACT($D604, ""), "", VLOOKUP($D604, [2]DataLookUp!$B$4:$D$15, 2, FALSE ))</f>
        <v>Karyawan Tidak Tetap (Kontrak)</v>
      </c>
      <c r="F604" s="91">
        <v>111000000000006</v>
      </c>
      <c r="G604" s="37" t="str">
        <f>IF(EXACT($F604, ""), "", VLOOKUP($F604, 'MAIN - OrgDepartment'!$C$3:$D$104, 2, FALSE))</f>
        <v>Human Resource Development</v>
      </c>
      <c r="H604" s="91">
        <v>160000000000004</v>
      </c>
      <c r="I604" s="37" t="str">
        <f>IF(EXACT($H604, ""), "", VLOOKUP($H604, 'MAIN - OrgJobsPos'!$B$2:$C$101, 2, FALSE))</f>
        <v>Supervisor</v>
      </c>
      <c r="J604" s="67" t="s">
        <v>316</v>
      </c>
      <c r="K604" s="63" t="s">
        <v>232</v>
      </c>
      <c r="L604" s="10" t="s">
        <v>3</v>
      </c>
      <c r="M604" s="11"/>
      <c r="O604" s="29">
        <f t="shared" si="19"/>
        <v>164000000000601</v>
      </c>
      <c r="P604" s="30" t="str">
        <f t="shared" si="18"/>
        <v>PERFORM "SchData-OLTP-HumanResource"."Func_TblWorkerCareerInternal_SET"(varSystemLoginSession, null::bigint, null::varchar, '2025-06-12 00:00:00+07'::timestamptz, '9999-12-31 23:59:59+07'::timestamptz, null::varchar, varInstitutionBranchID, varBaseCurrencyID, 32000000000601::bigint, 163000000000003::bigint, 111000000000006::bigint, 160000000000004::bigint, 'HR Recruitment &amp; Personnel Administration'::varchar, '2025-06-12 00:00:00+07'::timestamptz, '9999-12-31 23:59:59+07'::timestamptz, null::bigint);</v>
      </c>
    </row>
    <row r="605" spans="2:16" x14ac:dyDescent="0.2">
      <c r="B605" s="37">
        <f>IF(EXACT(DataLookUp!$B605, ""), "", DataLookUp!$B605)</f>
        <v>32000000000602</v>
      </c>
      <c r="C605" s="38" t="str">
        <f>MAIN!C605</f>
        <v>Muhammad Bilal Sharony</v>
      </c>
      <c r="D605" s="91">
        <v>163000000000003</v>
      </c>
      <c r="E605" s="37" t="str">
        <f>IF(EXACT($D605, ""), "", VLOOKUP($D605, [2]DataLookUp!$B$4:$D$15, 2, FALSE ))</f>
        <v>Karyawan Tidak Tetap (Kontrak)</v>
      </c>
      <c r="F605" s="91">
        <v>111000000000013</v>
      </c>
      <c r="G605" s="37" t="s">
        <v>264</v>
      </c>
      <c r="H605" s="91">
        <v>160000000000003</v>
      </c>
      <c r="I605" s="37" t="str">
        <f>IF(EXACT($H605, ""), "", VLOOKUP($H605, 'MAIN - OrgJobsPos'!$B$2:$C$101, 2, FALSE))</f>
        <v>Staff</v>
      </c>
      <c r="J605" s="67"/>
      <c r="K605" s="63"/>
      <c r="L605" s="10" t="s">
        <v>3</v>
      </c>
      <c r="M605" s="11"/>
      <c r="O605" s="29">
        <f t="shared" si="19"/>
        <v>164000000000602</v>
      </c>
      <c r="P605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32000000000602::bigint, 163000000000003::bigint, 111000000000013::bigint, 160000000000003::bigint, null::varchar, null::timestamptz, '9999-12-31 23:59:59+07'::timestamptz, null::bigint);</v>
      </c>
    </row>
    <row r="606" spans="2:16" x14ac:dyDescent="0.2">
      <c r="B606" s="37">
        <f>IF(EXACT(DataLookUp!$B606, ""), "", DataLookUp!$B606)</f>
        <v>32000000000603</v>
      </c>
      <c r="C606" s="38" t="str">
        <f>MAIN!C606</f>
        <v>Muhammad Hairul</v>
      </c>
      <c r="D606" s="91">
        <v>163000000000003</v>
      </c>
      <c r="E606" s="37" t="str">
        <f>IF(EXACT($D606, ""), "", VLOOKUP($D606, [2]DataLookUp!$B$4:$D$15, 2, FALSE ))</f>
        <v>Karyawan Tidak Tetap (Kontrak)</v>
      </c>
      <c r="F606" s="91"/>
      <c r="G606" s="37" t="str">
        <f>IF(EXACT($F606, ""), "", VLOOKUP($F606, 'MAIN - OrgDepartment'!$C$3:$D$104, 2, FALSE))</f>
        <v/>
      </c>
      <c r="H606" s="91">
        <v>160000000000003</v>
      </c>
      <c r="I606" s="37" t="str">
        <f>IF(EXACT($H606, ""), "", VLOOKUP($H606, 'MAIN - OrgJobsPos'!$B$2:$C$101, 2, FALSE))</f>
        <v>Staff</v>
      </c>
      <c r="J606" s="67"/>
      <c r="K606" s="63"/>
      <c r="L606" s="10" t="s">
        <v>3</v>
      </c>
      <c r="M606" s="11"/>
      <c r="O606" s="29">
        <f t="shared" si="19"/>
        <v>164000000000603</v>
      </c>
      <c r="P606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32000000000603::bigint, 163000000000003::bigint, null::bigint, 160000000000003::bigint, null::varchar, null::timestamptz, '9999-12-31 23:59:59+07'::timestamptz, null::bigint);</v>
      </c>
    </row>
    <row r="607" spans="2:16" x14ac:dyDescent="0.2">
      <c r="B607" s="37">
        <f>IF(EXACT(DataLookUp!$B607, ""), "", DataLookUp!$B607)</f>
        <v>32000000000604</v>
      </c>
      <c r="C607" s="38" t="str">
        <f>MAIN!C607</f>
        <v>Muhammad Rizal</v>
      </c>
      <c r="D607" s="91">
        <v>163000000000003</v>
      </c>
      <c r="E607" s="37" t="str">
        <f>IF(EXACT($D607, ""), "", VLOOKUP($D607, [2]DataLookUp!$B$4:$D$15, 2, FALSE ))</f>
        <v>Karyawan Tidak Tetap (Kontrak)</v>
      </c>
      <c r="F607" s="91">
        <v>111000000000003</v>
      </c>
      <c r="G607" s="37" t="str">
        <f>IF(EXACT($F607, ""), "", VLOOKUP($F607, 'MAIN - OrgDepartment'!$C$3:$D$104, 2, FALSE))</f>
        <v>Information Technology</v>
      </c>
      <c r="H607" s="91">
        <v>160000000000004</v>
      </c>
      <c r="I607" s="37" t="str">
        <f>IF(EXACT($H607, ""), "", VLOOKUP($H607, 'MAIN - OrgJobsPos'!$B$2:$C$101, 2, FALSE))</f>
        <v>Supervisor</v>
      </c>
      <c r="J607" s="67" t="s">
        <v>169</v>
      </c>
      <c r="K607" s="63" t="s">
        <v>233</v>
      </c>
      <c r="L607" s="10" t="s">
        <v>3</v>
      </c>
      <c r="M607" s="11"/>
      <c r="O607" s="29">
        <f t="shared" si="19"/>
        <v>164000000000604</v>
      </c>
      <c r="P607" s="30" t="str">
        <f t="shared" si="18"/>
        <v>PERFORM "SchData-OLTP-HumanResource"."Func_TblWorkerCareerInternal_SET"(varSystemLoginSession, null::bigint, null::varchar, '2025-01-23 00:00:00+07'::timestamptz, '9999-12-31 23:59:59+07'::timestamptz, null::varchar, varInstitutionBranchID, varBaseCurrencyID, 32000000000604::bigint, 163000000000003::bigint, 111000000000003::bigint, 160000000000004::bigint, 'IT Software Engineer'::varchar, '2025-01-23 00:00:00+07'::timestamptz, '9999-12-31 23:59:59+07'::timestamptz, null::bigint);</v>
      </c>
    </row>
    <row r="608" spans="2:16" x14ac:dyDescent="0.2">
      <c r="B608" s="37">
        <f>IF(EXACT(DataLookUp!$B608, ""), "", DataLookUp!$B608)</f>
        <v>32000000000605</v>
      </c>
      <c r="C608" s="38" t="str">
        <f>MAIN!C608</f>
        <v>Rahmad Dwifar</v>
      </c>
      <c r="D608" s="91">
        <v>163000000000003</v>
      </c>
      <c r="E608" s="37" t="str">
        <f>IF(EXACT($D608, ""), "", VLOOKUP($D608, [2]DataLookUp!$B$4:$D$15, 2, FALSE ))</f>
        <v>Karyawan Tidak Tetap (Kontrak)</v>
      </c>
      <c r="F608" s="91">
        <v>111000000000005</v>
      </c>
      <c r="G608" s="37" t="str">
        <f>IF(EXACT($F608, ""), "", VLOOKUP($F608, 'MAIN - OrgDepartment'!$C$3:$D$104, 2, FALSE))</f>
        <v>Finance &amp; Accounting</v>
      </c>
      <c r="H608" s="91">
        <v>160000000000004</v>
      </c>
      <c r="I608" s="37" t="str">
        <f>IF(EXACT($H608, ""), "", VLOOKUP($H608, 'MAIN - OrgJobsPos'!$B$2:$C$101, 2, FALSE))</f>
        <v>Supervisor</v>
      </c>
      <c r="J608" s="67" t="s">
        <v>165</v>
      </c>
      <c r="K608" s="63" t="s">
        <v>237</v>
      </c>
      <c r="L608" s="10" t="s">
        <v>3</v>
      </c>
      <c r="M608" s="11"/>
      <c r="O608" s="29">
        <f t="shared" si="19"/>
        <v>164000000000605</v>
      </c>
      <c r="P608" s="30" t="str">
        <f t="shared" si="18"/>
        <v>PERFORM "SchData-OLTP-HumanResource"."Func_TblWorkerCareerInternal_SET"(varSystemLoginSession, null::bigint, null::varchar, '2025-11-20 00:00:00+07'::timestamptz, '9999-12-31 23:59:59+07'::timestamptz, null::varchar, varInstitutionBranchID, varBaseCurrencyID, 32000000000605::bigint, 163000000000003::bigint, 111000000000005::bigint, 160000000000004::bigint, 'Project Controller'::varchar, '2025-11-20 00:00:00+07'::timestamptz, '9999-12-31 23:59:59+07'::timestamptz, null::bigint);</v>
      </c>
    </row>
    <row r="609" spans="2:16" x14ac:dyDescent="0.2">
      <c r="B609" s="37">
        <f>IF(EXACT(DataLookUp!$B609, ""), "", DataLookUp!$B609)</f>
        <v>32000000000606</v>
      </c>
      <c r="C609" s="38" t="str">
        <f>MAIN!C609</f>
        <v>Reza Sanjaya</v>
      </c>
      <c r="D609" s="91">
        <v>163000000000003</v>
      </c>
      <c r="E609" s="37" t="str">
        <f>IF(EXACT($D609, ""), "", VLOOKUP($D609, [2]DataLookUp!$B$4:$D$15, 2, FALSE ))</f>
        <v>Karyawan Tidak Tetap (Kontrak)</v>
      </c>
      <c r="F609" s="91"/>
      <c r="G609" s="37" t="str">
        <f>IF(EXACT($F609, ""), "", VLOOKUP($F609, 'MAIN - OrgDepartment'!$C$3:$D$104, 2, FALSE))</f>
        <v/>
      </c>
      <c r="H609" s="91">
        <v>160000000000003</v>
      </c>
      <c r="I609" s="37" t="str">
        <f>IF(EXACT($H609, ""), "", VLOOKUP($H609, 'MAIN - OrgJobsPos'!$B$2:$C$101, 2, FALSE))</f>
        <v>Staff</v>
      </c>
      <c r="J609" s="67"/>
      <c r="K609" s="63"/>
      <c r="L609" s="10" t="s">
        <v>3</v>
      </c>
      <c r="M609" s="11"/>
      <c r="O609" s="29">
        <f t="shared" si="19"/>
        <v>164000000000606</v>
      </c>
      <c r="P609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32000000000606::bigint, 163000000000003::bigint, null::bigint, 160000000000003::bigint, null::varchar, null::timestamptz, '9999-12-31 23:59:59+07'::timestamptz, null::bigint);</v>
      </c>
    </row>
    <row r="610" spans="2:16" x14ac:dyDescent="0.2">
      <c r="B610" s="37">
        <f>IF(EXACT(DataLookUp!$B610, ""), "", DataLookUp!$B610)</f>
        <v>32000000000607</v>
      </c>
      <c r="C610" s="38" t="str">
        <f>MAIN!C610</f>
        <v>Ridwan Nur Muttaqin</v>
      </c>
      <c r="D610" s="91">
        <v>163000000000003</v>
      </c>
      <c r="E610" s="37" t="str">
        <f>IF(EXACT($D610, ""), "", VLOOKUP($D610, [2]DataLookUp!$B$4:$D$15, 2, FALSE ))</f>
        <v>Karyawan Tidak Tetap (Kontrak)</v>
      </c>
      <c r="F610" s="91">
        <v>111000000000012</v>
      </c>
      <c r="G610" s="37" t="str">
        <f>IF(EXACT($F610, ""), "", VLOOKUP($F610, 'MAIN - OrgDepartment'!$C$3:$D$104, 2, FALSE))</f>
        <v>Procurement</v>
      </c>
      <c r="H610" s="91">
        <v>160000000000005</v>
      </c>
      <c r="I610" s="37" t="str">
        <f>IF(EXACT($H610, ""), "", VLOOKUP($H610, 'MAIN - OrgJobsPos'!$B$2:$C$101, 2, FALSE))</f>
        <v>Senior Supervisor</v>
      </c>
      <c r="J610" s="67" t="s">
        <v>181</v>
      </c>
      <c r="K610" s="63" t="s">
        <v>239</v>
      </c>
      <c r="L610" s="10" t="s">
        <v>3</v>
      </c>
      <c r="M610" s="11"/>
      <c r="O610" s="29">
        <f t="shared" si="19"/>
        <v>164000000000607</v>
      </c>
      <c r="P610" s="30" t="str">
        <f t="shared" si="18"/>
        <v>PERFORM "SchData-OLTP-HumanResource"."Func_TblWorkerCareerInternal_SET"(varSystemLoginSession, null::bigint, null::varchar, '2025-03-06 00:00:00+07'::timestamptz, '9999-12-31 23:59:59+07'::timestamptz, null::varchar, varInstitutionBranchID, varBaseCurrencyID, 32000000000607::bigint, 163000000000003::bigint, 111000000000012::bigint, 160000000000005::bigint, 'Procurement Specialist'::varchar, '2025-03-06 00:00:00+07'::timestamptz, '9999-12-31 23:59:59+07'::timestamptz, null::bigint);</v>
      </c>
    </row>
    <row r="611" spans="2:16" x14ac:dyDescent="0.2">
      <c r="B611" s="37">
        <f>IF(EXACT(DataLookUp!$B611, ""), "", DataLookUp!$B611)</f>
        <v>32000000000608</v>
      </c>
      <c r="C611" s="38" t="str">
        <f>MAIN!C611</f>
        <v xml:space="preserve">Risaldi </v>
      </c>
      <c r="D611" s="91">
        <v>163000000000003</v>
      </c>
      <c r="E611" s="37" t="str">
        <f>IF(EXACT($D611, ""), "", VLOOKUP($D611, [2]DataLookUp!$B$4:$D$15, 2, FALSE ))</f>
        <v>Karyawan Tidak Tetap (Kontrak)</v>
      </c>
      <c r="F611" s="91"/>
      <c r="G611" s="37" t="str">
        <f>IF(EXACT($F611, ""), "", VLOOKUP($F611, 'MAIN - OrgDepartment'!$C$3:$D$104, 2, FALSE))</f>
        <v/>
      </c>
      <c r="H611" s="91">
        <v>160000000000003</v>
      </c>
      <c r="I611" s="37" t="str">
        <f>IF(EXACT($H611, ""), "", VLOOKUP($H611, 'MAIN - OrgJobsPos'!$B$2:$C$101, 2, FALSE))</f>
        <v>Staff</v>
      </c>
      <c r="J611" s="67"/>
      <c r="K611" s="63"/>
      <c r="L611" s="10" t="s">
        <v>3</v>
      </c>
      <c r="M611" s="11"/>
      <c r="O611" s="29">
        <f t="shared" si="19"/>
        <v>164000000000608</v>
      </c>
      <c r="P611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32000000000608::bigint, 163000000000003::bigint, null::bigint, 160000000000003::bigint, null::varchar, null::timestamptz, '9999-12-31 23:59:59+07'::timestamptz, null::bigint);</v>
      </c>
    </row>
    <row r="612" spans="2:16" x14ac:dyDescent="0.2">
      <c r="B612" s="37">
        <f>IF(EXACT(DataLookUp!$B612, ""), "", DataLookUp!$B612)</f>
        <v>32000000000609</v>
      </c>
      <c r="C612" s="38" t="str">
        <f>MAIN!C612</f>
        <v>Risty Alawiyah</v>
      </c>
      <c r="D612" s="91">
        <v>163000000000003</v>
      </c>
      <c r="E612" s="37" t="str">
        <f>IF(EXACT($D612, ""), "", VLOOKUP($D612, [2]DataLookUp!$B$4:$D$15, 2, FALSE ))</f>
        <v>Karyawan Tidak Tetap (Kontrak)</v>
      </c>
      <c r="F612" s="91">
        <v>111000000000011</v>
      </c>
      <c r="G612" s="37" t="str">
        <f>IF(EXACT($F612, ""), "", VLOOKUP($F612, 'MAIN - OrgDepartment'!$C$3:$D$104, 2, FALSE))</f>
        <v>Project</v>
      </c>
      <c r="H612" s="91">
        <v>160000000000004</v>
      </c>
      <c r="I612" s="37" t="str">
        <f>IF(EXACT($H612, ""), "", VLOOKUP($H612, 'MAIN - OrgJobsPos'!$B$2:$C$101, 2, FALSE))</f>
        <v>Supervisor</v>
      </c>
      <c r="J612" s="67" t="s">
        <v>167</v>
      </c>
      <c r="K612" s="63" t="s">
        <v>240</v>
      </c>
      <c r="L612" s="10" t="s">
        <v>3</v>
      </c>
      <c r="M612" s="11"/>
      <c r="O612" s="29">
        <f t="shared" si="19"/>
        <v>164000000000609</v>
      </c>
      <c r="P612" s="30" t="str">
        <f t="shared" si="18"/>
        <v>PERFORM "SchData-OLTP-HumanResource"."Func_TblWorkerCareerInternal_SET"(varSystemLoginSession, null::bigint, null::varchar, '2025-03-27 00:00:00+07'::timestamptz, '9999-12-31 23:59:59+07'::timestamptz, null::varchar, varInstitutionBranchID, varBaseCurrencyID, 32000000000609::bigint, 163000000000003::bigint, 111000000000011::bigint, 160000000000004::bigint, 'Project Administrator'::varchar, '2025-03-27 00:00:00+07'::timestamptz, '9999-12-31 23:59:59+07'::timestamptz, null::bigint);</v>
      </c>
    </row>
    <row r="613" spans="2:16" x14ac:dyDescent="0.2">
      <c r="B613" s="37">
        <f>IF(EXACT(DataLookUp!$B613, ""), "", DataLookUp!$B613)</f>
        <v>32000000000610</v>
      </c>
      <c r="C613" s="38" t="str">
        <f>MAIN!C613</f>
        <v>Rustono</v>
      </c>
      <c r="D613" s="91">
        <v>163000000000003</v>
      </c>
      <c r="E613" s="37" t="str">
        <f>IF(EXACT($D613, ""), "", VLOOKUP($D613, [2]DataLookUp!$B$4:$D$15, 2, FALSE ))</f>
        <v>Karyawan Tidak Tetap (Kontrak)</v>
      </c>
      <c r="F613" s="91">
        <v>111000000000023</v>
      </c>
      <c r="G613" s="37" t="str">
        <f>IF(EXACT($F613, ""), "", VLOOKUP($F613, 'MAIN - OrgDepartment'!$C$3:$D$104, 2, FALSE))</f>
        <v>Operation &amp; Maintenance</v>
      </c>
      <c r="H613" s="91">
        <v>160000000000002</v>
      </c>
      <c r="I613" s="37" t="str">
        <f>IF(EXACT($H613, ""), "", VLOOKUP($H613, 'MAIN - OrgJobsPos'!$B$2:$C$101, 2, FALSE))</f>
        <v>Senior Clerical</v>
      </c>
      <c r="J613" s="67" t="s">
        <v>197</v>
      </c>
      <c r="K613" s="63"/>
      <c r="L613" s="10" t="s">
        <v>3</v>
      </c>
      <c r="M613" s="11"/>
      <c r="O613" s="29">
        <f t="shared" si="19"/>
        <v>164000000000610</v>
      </c>
      <c r="P613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32000000000610::bigint, 163000000000003::bigint, 111000000000023::bigint, 160000000000002::bigint, 'Security'::varchar, null::timestamptz, '9999-12-31 23:59:59+07'::timestamptz, null::bigint);</v>
      </c>
    </row>
    <row r="614" spans="2:16" x14ac:dyDescent="0.2">
      <c r="B614" s="37">
        <f>IF(EXACT(DataLookUp!$B614, ""), "", DataLookUp!$B614)</f>
        <v>32000000000611</v>
      </c>
      <c r="C614" s="38" t="str">
        <f>MAIN!C614</f>
        <v>Solihin</v>
      </c>
      <c r="D614" s="91">
        <v>163000000000003</v>
      </c>
      <c r="E614" s="37" t="str">
        <f>IF(EXACT($D614, ""), "", VLOOKUP($D614, [2]DataLookUp!$B$4:$D$15, 2, FALSE ))</f>
        <v>Karyawan Tidak Tetap (Kontrak)</v>
      </c>
      <c r="F614" s="91">
        <v>111000000000023</v>
      </c>
      <c r="G614" s="37" t="str">
        <f>IF(EXACT($F614, ""), "", VLOOKUP($F614, 'MAIN - OrgDepartment'!$C$3:$D$104, 2, FALSE))</f>
        <v>Operation &amp; Maintenance</v>
      </c>
      <c r="H614" s="91">
        <v>160000000000002</v>
      </c>
      <c r="I614" s="37" t="str">
        <f>IF(EXACT($H614, ""), "", VLOOKUP($H614, 'MAIN - OrgJobsPos'!$B$2:$C$101, 2, FALSE))</f>
        <v>Senior Clerical</v>
      </c>
      <c r="J614" s="67" t="s">
        <v>197</v>
      </c>
      <c r="K614" s="63"/>
      <c r="L614" s="10" t="s">
        <v>3</v>
      </c>
      <c r="M614" s="11"/>
      <c r="O614" s="29">
        <f t="shared" si="19"/>
        <v>164000000000611</v>
      </c>
      <c r="P614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32000000000611::bigint, 163000000000003::bigint, 111000000000023::bigint, 160000000000002::bigint, 'Security'::varchar, null::timestamptz, '9999-12-31 23:59:59+07'::timestamptz, null::bigint);</v>
      </c>
    </row>
    <row r="615" spans="2:16" x14ac:dyDescent="0.2">
      <c r="B615" s="37">
        <f>IF(EXACT(DataLookUp!$B615, ""), "", DataLookUp!$B615)</f>
        <v>32000000000612</v>
      </c>
      <c r="C615" s="38" t="str">
        <f>MAIN!C615</f>
        <v>Supriatna</v>
      </c>
      <c r="D615" s="91">
        <v>163000000000003</v>
      </c>
      <c r="E615" s="37" t="str">
        <f>IF(EXACT($D615, ""), "", VLOOKUP($D615, [2]DataLookUp!$B$4:$D$15, 2, FALSE ))</f>
        <v>Karyawan Tidak Tetap (Kontrak)</v>
      </c>
      <c r="F615" s="91">
        <v>111000000000023</v>
      </c>
      <c r="G615" s="37" t="str">
        <f>IF(EXACT($F615, ""), "", VLOOKUP($F615, 'MAIN - OrgDepartment'!$C$3:$D$104, 2, FALSE))</f>
        <v>Operation &amp; Maintenance</v>
      </c>
      <c r="H615" s="91">
        <v>160000000000002</v>
      </c>
      <c r="I615" s="37" t="str">
        <f>IF(EXACT($H615, ""), "", VLOOKUP($H615, 'MAIN - OrgJobsPos'!$B$2:$C$101, 2, FALSE))</f>
        <v>Senior Clerical</v>
      </c>
      <c r="J615" s="67" t="s">
        <v>197</v>
      </c>
      <c r="K615" s="63"/>
      <c r="L615" s="10" t="s">
        <v>3</v>
      </c>
      <c r="M615" s="11"/>
      <c r="O615" s="29">
        <f t="shared" si="19"/>
        <v>164000000000612</v>
      </c>
      <c r="P615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32000000000612::bigint, 163000000000003::bigint, 111000000000023::bigint, 160000000000002::bigint, 'Security'::varchar, null::timestamptz, '9999-12-31 23:59:59+07'::timestamptz, null::bigint);</v>
      </c>
    </row>
    <row r="616" spans="2:16" x14ac:dyDescent="0.2">
      <c r="B616" s="37">
        <f>IF(EXACT(DataLookUp!$B616, ""), "", DataLookUp!$B616)</f>
        <v>32000000000613</v>
      </c>
      <c r="C616" s="38" t="str">
        <f>MAIN!C616</f>
        <v>Taufik Aminudin</v>
      </c>
      <c r="D616" s="91">
        <v>163000000000003</v>
      </c>
      <c r="E616" s="37" t="str">
        <f>IF(EXACT($D616, ""), "", VLOOKUP($D616, [2]DataLookUp!$B$4:$D$15, 2, FALSE ))</f>
        <v>Karyawan Tidak Tetap (Kontrak)</v>
      </c>
      <c r="F616" s="91"/>
      <c r="G616" s="37" t="str">
        <f>IF(EXACT($F616, ""), "", VLOOKUP($F616, 'MAIN - OrgDepartment'!$C$3:$D$104, 2, FALSE))</f>
        <v/>
      </c>
      <c r="H616" s="91">
        <v>160000000000003</v>
      </c>
      <c r="I616" s="37" t="str">
        <f>IF(EXACT($H616, ""), "", VLOOKUP($H616, 'MAIN - OrgJobsPos'!$B$2:$C$101, 2, FALSE))</f>
        <v>Staff</v>
      </c>
      <c r="J616" s="67"/>
      <c r="K616" s="63"/>
      <c r="L616" s="10" t="s">
        <v>3</v>
      </c>
      <c r="M616" s="11"/>
      <c r="O616" s="29">
        <f t="shared" si="19"/>
        <v>164000000000613</v>
      </c>
      <c r="P616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32000000000613::bigint, 163000000000003::bigint, null::bigint, 160000000000003::bigint, null::varchar, null::timestamptz, '9999-12-31 23:59:59+07'::timestamptz, null::bigint);</v>
      </c>
    </row>
    <row r="617" spans="2:16" x14ac:dyDescent="0.2">
      <c r="B617" s="37">
        <f>IF(EXACT(DataLookUp!$B617, ""), "", DataLookUp!$B617)</f>
        <v>32000000000614</v>
      </c>
      <c r="C617" s="38" t="str">
        <f>MAIN!C617</f>
        <v>Timotius Tabun</v>
      </c>
      <c r="D617" s="91">
        <v>163000000000003</v>
      </c>
      <c r="E617" s="37" t="str">
        <f>IF(EXACT($D617, ""), "", VLOOKUP($D617, [2]DataLookUp!$B$4:$D$15, 2, FALSE ))</f>
        <v>Karyawan Tidak Tetap (Kontrak)</v>
      </c>
      <c r="F617" s="91">
        <v>111000000000023</v>
      </c>
      <c r="G617" s="37" t="str">
        <f>IF(EXACT($F617, ""), "", VLOOKUP($F617, 'MAIN - OrgDepartment'!$C$3:$D$104, 2, FALSE))</f>
        <v>Operation &amp; Maintenance</v>
      </c>
      <c r="H617" s="91">
        <v>160000000000002</v>
      </c>
      <c r="I617" s="37" t="str">
        <f>IF(EXACT($H617, ""), "", VLOOKUP($H617, 'MAIN - OrgJobsPos'!$B$2:$C$101, 2, FALSE))</f>
        <v>Senior Clerical</v>
      </c>
      <c r="J617" s="67" t="s">
        <v>197</v>
      </c>
      <c r="K617" s="63"/>
      <c r="L617" s="10" t="s">
        <v>3</v>
      </c>
      <c r="M617" s="11"/>
      <c r="O617" s="29">
        <f t="shared" si="19"/>
        <v>164000000000614</v>
      </c>
      <c r="P617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32000000000614::bigint, 163000000000003::bigint, 111000000000023::bigint, 160000000000002::bigint, 'Security'::varchar, null::timestamptz, '9999-12-31 23:59:59+07'::timestamptz, null::bigint);</v>
      </c>
    </row>
    <row r="618" spans="2:16" x14ac:dyDescent="0.2">
      <c r="B618" s="37">
        <f>IF(EXACT(DataLookUp!$B618, ""), "", DataLookUp!$B618)</f>
        <v>32000000000615</v>
      </c>
      <c r="C618" s="38" t="str">
        <f>MAIN!C618</f>
        <v>Adi</v>
      </c>
      <c r="D618" s="91">
        <v>163000000000003</v>
      </c>
      <c r="E618" s="37" t="str">
        <f>IF(EXACT($D618, ""), "", VLOOKUP($D618, [2]DataLookUp!$B$4:$D$15, 2, FALSE ))</f>
        <v>Karyawan Tidak Tetap (Kontrak)</v>
      </c>
      <c r="F618" s="91">
        <v>111000000000023</v>
      </c>
      <c r="G618" s="37" t="str">
        <f>IF(EXACT($F618, ""), "", VLOOKUP($F618, 'MAIN - OrgDepartment'!$C$3:$D$104, 2, FALSE))</f>
        <v>Operation &amp; Maintenance</v>
      </c>
      <c r="H618" s="91">
        <v>160000000000002</v>
      </c>
      <c r="I618" s="37" t="str">
        <f>IF(EXACT($H618, ""), "", VLOOKUP($H618, 'MAIN - OrgJobsPos'!$B$2:$C$101, 2, FALSE))</f>
        <v>Senior Clerical</v>
      </c>
      <c r="J618" s="67" t="s">
        <v>205</v>
      </c>
      <c r="K618" s="63"/>
      <c r="L618" s="10" t="s">
        <v>3</v>
      </c>
      <c r="M618" s="11"/>
      <c r="O618" s="29">
        <f t="shared" si="19"/>
        <v>164000000000615</v>
      </c>
      <c r="P618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32000000000615::bigint, 163000000000003::bigint, 111000000000023::bigint, 160000000000002::bigint, 'Driver Operational &amp; Ops Truck Crane'::varchar, null::timestamptz, '9999-12-31 23:59:59+07'::timestamptz, null::bigint);</v>
      </c>
    </row>
    <row r="619" spans="2:16" x14ac:dyDescent="0.2">
      <c r="B619" s="37">
        <f>IF(EXACT(DataLookUp!$B619, ""), "", DataLookUp!$B619)</f>
        <v>32000000000616</v>
      </c>
      <c r="C619" s="38" t="str">
        <f>MAIN!C619</f>
        <v>Andrean Fahrizi</v>
      </c>
      <c r="D619" s="91">
        <v>163000000000001</v>
      </c>
      <c r="E619" s="37" t="str">
        <f>IF(EXACT($D619, ""), "", VLOOKUP($D619, [2]DataLookUp!$B$4:$D$15, 2, FALSE ))</f>
        <v>Non Karyawan</v>
      </c>
      <c r="F619" s="91"/>
      <c r="G619" s="37" t="str">
        <f>IF(EXACT($F619, ""), "", VLOOKUP($F619, 'MAIN - OrgDepartment'!$C$3:$D$104, 2, FALSE))</f>
        <v/>
      </c>
      <c r="H619" s="91"/>
      <c r="I619" s="37" t="str">
        <f>IF(EXACT($H619, ""), "", VLOOKUP($H619, 'MAIN - OrgJobsPos'!$B$2:$C$101, 2, FALSE))</f>
        <v/>
      </c>
      <c r="J619" s="67" t="s">
        <v>330</v>
      </c>
      <c r="K619" s="63" t="s">
        <v>331</v>
      </c>
      <c r="L619" s="10" t="s">
        <v>3</v>
      </c>
      <c r="M619" s="11"/>
      <c r="O619" s="29">
        <f t="shared" ref="O619:O621" si="20" xml:space="preserve"> O618 + IF(EXACT(P619, ""), 0, 1)</f>
        <v>164000000000616</v>
      </c>
      <c r="P619" s="30" t="str">
        <f t="shared" si="18"/>
        <v>PERFORM "SchData-OLTP-HumanResource"."Func_TblWorkerCareerInternal_SET"(varSystemLoginSession, null::bigint, null::varchar, '2026-01-19 00:00:00+07'::timestamptz, '9999-12-31 23:59:59+07'::timestamptz, null::varchar, varInstitutionBranchID, varBaseCurrencyID, 32000000000616::bigint, 163000000000001::bigint, null::bigint, null::bigint, 'Magang IT - EDP ERP Reborn'::varchar, '2026-01-19 00:00:00+07'::timestamptz, '9999-12-31 23:59:59+07'::timestamptz, null::bigint);</v>
      </c>
    </row>
    <row r="620" spans="2:16" x14ac:dyDescent="0.2">
      <c r="B620" s="37">
        <f>IF(EXACT(DataLookUp!$B620, ""), "", DataLookUp!$B620)</f>
        <v>32000000000617</v>
      </c>
      <c r="C620" s="38" t="str">
        <f>MAIN!C620</f>
        <v>Amar Abdilah</v>
      </c>
      <c r="D620" s="91">
        <v>163000000000001</v>
      </c>
      <c r="E620" s="37" t="str">
        <f>IF(EXACT($D620, ""), "", VLOOKUP($D620, [2]DataLookUp!$B$4:$D$15, 2, FALSE ))</f>
        <v>Non Karyawan</v>
      </c>
      <c r="F620" s="91"/>
      <c r="G620" s="37" t="str">
        <f>IF(EXACT($F620, ""), "", VLOOKUP($F620, 'MAIN - OrgDepartment'!$C$3:$D$104, 2, FALSE))</f>
        <v/>
      </c>
      <c r="H620" s="91"/>
      <c r="I620" s="37" t="str">
        <f>IF(EXACT($H620, ""), "", VLOOKUP($H620, 'MAIN - OrgJobsPos'!$B$2:$C$101, 2, FALSE))</f>
        <v/>
      </c>
      <c r="J620" s="67" t="s">
        <v>330</v>
      </c>
      <c r="K620" s="63" t="s">
        <v>331</v>
      </c>
      <c r="L620" s="10" t="s">
        <v>3</v>
      </c>
      <c r="M620" s="11"/>
      <c r="O620" s="29">
        <f t="shared" si="20"/>
        <v>164000000000617</v>
      </c>
      <c r="P620" s="30" t="str">
        <f t="shared" si="18"/>
        <v>PERFORM "SchData-OLTP-HumanResource"."Func_TblWorkerCareerInternal_SET"(varSystemLoginSession, null::bigint, null::varchar, '2026-01-19 00:00:00+07'::timestamptz, '9999-12-31 23:59:59+07'::timestamptz, null::varchar, varInstitutionBranchID, varBaseCurrencyID, 32000000000617::bigint, 163000000000001::bigint, null::bigint, null::bigint, 'Magang IT - EDP ERP Reborn'::varchar, '2026-01-19 00:00:00+07'::timestamptz, '9999-12-31 23:59:59+07'::timestamptz, null::bigint);</v>
      </c>
    </row>
    <row r="621" spans="2:16" x14ac:dyDescent="0.2">
      <c r="B621" s="37">
        <f>IF(EXACT(DataLookUp!$B621, ""), "", DataLookUp!$B621)</f>
        <v>32000000000618</v>
      </c>
      <c r="C621" s="38" t="str">
        <f>MAIN!C621</f>
        <v>Heru Indra Permana</v>
      </c>
      <c r="D621" s="91"/>
      <c r="E621" s="37"/>
      <c r="F621" s="91"/>
      <c r="G621" s="37"/>
      <c r="H621" s="91"/>
      <c r="I621" s="37"/>
      <c r="J621" s="67"/>
      <c r="K621" s="63"/>
      <c r="L621" s="10" t="s">
        <v>3</v>
      </c>
      <c r="M621" s="11"/>
      <c r="O621" s="29">
        <f t="shared" si="20"/>
        <v>164000000000618</v>
      </c>
      <c r="P621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32000000000618::bigint, null::bigint, null::bigint, null::bigint, null::varchar, null::timestamptz, '9999-12-31 23:59:59+07'::timestamptz, null::bigint);</v>
      </c>
    </row>
    <row r="622" spans="2:16" x14ac:dyDescent="0.2">
      <c r="B622" s="37">
        <f>IF(EXACT(DataLookUp!$B622, ""), "", DataLookUp!$B622)</f>
        <v>32000000000619</v>
      </c>
      <c r="C622" s="38" t="str">
        <f>MAIN!C622</f>
        <v>Budi Santosa (KSO)</v>
      </c>
      <c r="D622" s="91">
        <v>163000000000001</v>
      </c>
      <c r="E622" s="37" t="str">
        <f>IF(EXACT($D622, ""), "", VLOOKUP($D622, [2]DataLookUp!$B$4:$D$15, 2, FALSE ))</f>
        <v>Non Karyawan</v>
      </c>
      <c r="F622" s="91"/>
      <c r="G622" s="37"/>
      <c r="H622" s="91"/>
      <c r="I622" s="37"/>
      <c r="J622" s="67"/>
      <c r="K622" s="63"/>
      <c r="L622" s="10" t="s">
        <v>3</v>
      </c>
      <c r="M622" s="11"/>
      <c r="O622" s="29">
        <f t="shared" ref="O622:O623" si="21" xml:space="preserve"> O621 + IF(EXACT(P622, ""), 0, 1)</f>
        <v>164000000000619</v>
      </c>
      <c r="P622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32000000000619::bigint, 163000000000001::bigint, null::bigint, null::bigint, null::varchar, null::timestamptz, '9999-12-31 23:59:59+07'::timestamptz, null::bigint);</v>
      </c>
    </row>
    <row r="623" spans="2:16" x14ac:dyDescent="0.2">
      <c r="B623" s="37">
        <f>IF(EXACT(DataLookUp!$B623, ""), "", DataLookUp!$B623)</f>
        <v>32000000000620</v>
      </c>
      <c r="C623" s="38" t="str">
        <f>MAIN!C623</f>
        <v>Haryono</v>
      </c>
      <c r="D623" s="91"/>
      <c r="E623" s="37"/>
      <c r="F623" s="91"/>
      <c r="G623" s="37"/>
      <c r="H623" s="91"/>
      <c r="I623" s="37"/>
      <c r="J623" s="67" t="s">
        <v>334</v>
      </c>
      <c r="K623" s="63"/>
      <c r="L623" s="10" t="s">
        <v>3</v>
      </c>
      <c r="M623" s="11"/>
      <c r="O623" s="29">
        <f t="shared" si="21"/>
        <v>164000000000620</v>
      </c>
      <c r="P623" s="30" t="str">
        <f t="shared" si="18"/>
        <v>PERFORM "SchData-OLTP-HumanResource"."Func_TblWorkerCareerInternal_SET"(varSystemLoginSession, null::bigint, null::varchar, null::timestamptz, '9999-12-31 23:59:59+07'::timestamptz, null::varchar, varInstitutionBranchID, varBaseCurrencyID, 32000000000620::bigint, null::bigint, null::bigint, null::bigint, 'KSO'::varchar, null::timestamptz, '9999-12-31 23:59:59+07'::timestamptz, null::bigint);</v>
      </c>
    </row>
    <row r="624" spans="2:16" x14ac:dyDescent="0.2">
      <c r="B624" s="37">
        <f>IF(EXACT(DataLookUp!$B624, ""), "", DataLookUp!$B624)</f>
        <v>32000000000621</v>
      </c>
      <c r="C624" s="38" t="str">
        <f>MAIN!C624</f>
        <v>Indah Sri Rejeki</v>
      </c>
      <c r="D624" s="91">
        <v>163000000000003</v>
      </c>
      <c r="E624" s="37" t="str">
        <f>IF(EXACT($D624, ""), "", VLOOKUP($D624, [2]DataLookUp!$B$4:$D$15, 2, FALSE ))</f>
        <v>Karyawan Tidak Tetap (Kontrak)</v>
      </c>
      <c r="F624" s="91">
        <v>111000000000005</v>
      </c>
      <c r="G624" s="37" t="str">
        <f>IF(EXACT($F624, ""), "", VLOOKUP($F624, 'MAIN - OrgDepartment'!$C$3:$D$104, 2, FALSE))</f>
        <v>Finance &amp; Accounting</v>
      </c>
      <c r="H624" s="91">
        <v>160000000000008</v>
      </c>
      <c r="I624" s="37" t="str">
        <f>IF(EXACT($H624, ""), "", VLOOKUP($H624, 'MAIN - OrgJobsPos'!$B$2:$C$101, 2, FALSE))</f>
        <v>General Manager</v>
      </c>
      <c r="J624" s="67" t="s">
        <v>303</v>
      </c>
      <c r="K624" s="63" t="s">
        <v>335</v>
      </c>
      <c r="L624" s="10" t="s">
        <v>3</v>
      </c>
      <c r="M624" s="11"/>
      <c r="O624" s="29">
        <f t="shared" ref="O624" si="22" xml:space="preserve"> O623 + IF(EXACT(P624, ""), 0, 1)</f>
        <v>164000000000621</v>
      </c>
      <c r="P624" s="30" t="str">
        <f t="shared" si="18"/>
        <v>PERFORM "SchData-OLTP-HumanResource"."Func_TblWorkerCareerInternal_SET"(varSystemLoginSession, null::bigint, null::varchar, '2026-05-29 00:00:00+07'::timestamptz, '9999-12-31 23:59:59+07'::timestamptz, null::varchar, varInstitutionBranchID, varBaseCurrencyID, 32000000000621::bigint, 163000000000003::bigint, 111000000000005::bigint, 160000000000008::bigint, 'GM Finance &amp; Accounting'::varchar, '2026-05-29 00:00:00+07'::timestamptz, '9999-12-31 23:59:59+07'::timestamptz, null::bigint);</v>
      </c>
    </row>
    <row r="625" spans="2:16" x14ac:dyDescent="0.2">
      <c r="B625" s="14"/>
      <c r="C625" s="13"/>
      <c r="D625" s="93"/>
      <c r="E625" s="14"/>
      <c r="F625" s="93"/>
      <c r="G625" s="14"/>
      <c r="H625" s="93"/>
      <c r="I625" s="14"/>
      <c r="J625" s="14"/>
      <c r="K625" s="64"/>
      <c r="L625" s="13"/>
      <c r="M625" s="14"/>
      <c r="O625" s="31"/>
      <c r="P625" s="32"/>
    </row>
  </sheetData>
  <conditionalFormatting sqref="L4:L514">
    <cfRule type="containsText" dxfId="25" priority="31" operator="containsText" text="9999-12-31 23:59:59+07">
      <formula>NOT(ISERROR(SEARCH("9999-12-31 23:59:59+07",L4)))</formula>
    </cfRule>
  </conditionalFormatting>
  <conditionalFormatting sqref="L513">
    <cfRule type="containsText" dxfId="24" priority="30" operator="containsText" text="9999-12-31 23:59:59+07">
      <formula>NOT(ISERROR(SEARCH("9999-12-31 23:59:59+07",L513)))</formula>
    </cfRule>
  </conditionalFormatting>
  <conditionalFormatting sqref="L524">
    <cfRule type="containsText" dxfId="23" priority="29" operator="containsText" text="9999-12-31 23:59:59+07">
      <formula>NOT(ISERROR(SEARCH("9999-12-31 23:59:59+07",L524)))</formula>
    </cfRule>
  </conditionalFormatting>
  <conditionalFormatting sqref="L540">
    <cfRule type="containsText" dxfId="22" priority="28" operator="containsText" text="9999-12-31 23:59:59+07">
      <formula>NOT(ISERROR(SEARCH("9999-12-31 23:59:59+07",L540)))</formula>
    </cfRule>
  </conditionalFormatting>
  <conditionalFormatting sqref="L514:L525">
    <cfRule type="containsText" dxfId="21" priority="27" operator="containsText" text="9999-12-31 23:59:59+07">
      <formula>NOT(ISERROR(SEARCH("9999-12-31 23:59:59+07",L514)))</formula>
    </cfRule>
  </conditionalFormatting>
  <conditionalFormatting sqref="L541 L525:L539">
    <cfRule type="containsText" dxfId="20" priority="26" operator="containsText" text="9999-12-31 23:59:59+07">
      <formula>NOT(ISERROR(SEARCH("9999-12-31 23:59:59+07",L525)))</formula>
    </cfRule>
  </conditionalFormatting>
  <conditionalFormatting sqref="L542:L580 L582:L585">
    <cfRule type="containsText" dxfId="19" priority="25" operator="containsText" text="9999-12-31 23:59:59+07">
      <formula>NOT(ISERROR(SEARCH("9999-12-31 23:59:59+07",L542)))</formula>
    </cfRule>
  </conditionalFormatting>
  <conditionalFormatting sqref="L541">
    <cfRule type="containsText" dxfId="18" priority="24" operator="containsText" text="9999-12-31 23:59:59+07">
      <formula>NOT(ISERROR(SEARCH("9999-12-31 23:59:59+07",L541)))</formula>
    </cfRule>
  </conditionalFormatting>
  <conditionalFormatting sqref="L538">
    <cfRule type="containsText" dxfId="17" priority="23" operator="containsText" text="9999-12-31 23:59:59+07">
      <formula>NOT(ISERROR(SEARCH("9999-12-31 23:59:59+07",L538)))</formula>
    </cfRule>
  </conditionalFormatting>
  <conditionalFormatting sqref="L515">
    <cfRule type="containsText" dxfId="16" priority="21" operator="containsText" text="9999-12-31 23:59:59+07">
      <formula>NOT(ISERROR(SEARCH("9999-12-31 23:59:59+07",L515)))</formula>
    </cfRule>
  </conditionalFormatting>
  <conditionalFormatting sqref="L526">
    <cfRule type="containsText" dxfId="15" priority="20" operator="containsText" text="9999-12-31 23:59:59+07">
      <formula>NOT(ISERROR(SEARCH("9999-12-31 23:59:59+07",L526)))</formula>
    </cfRule>
  </conditionalFormatting>
  <conditionalFormatting sqref="L542">
    <cfRule type="containsText" dxfId="14" priority="19" operator="containsText" text="9999-12-31 23:59:59+07">
      <formula>NOT(ISERROR(SEARCH("9999-12-31 23:59:59+07",L542)))</formula>
    </cfRule>
  </conditionalFormatting>
  <conditionalFormatting sqref="L543">
    <cfRule type="containsText" dxfId="13" priority="18" operator="containsText" text="9999-12-31 23:59:59+07">
      <formula>NOT(ISERROR(SEARCH("9999-12-31 23:59:59+07",L543)))</formula>
    </cfRule>
  </conditionalFormatting>
  <conditionalFormatting sqref="L540">
    <cfRule type="containsText" dxfId="12" priority="17" operator="containsText" text="9999-12-31 23:59:59+07">
      <formula>NOT(ISERROR(SEARCH("9999-12-31 23:59:59+07",L540)))</formula>
    </cfRule>
  </conditionalFormatting>
  <conditionalFormatting sqref="L585">
    <cfRule type="containsText" dxfId="11" priority="16" operator="containsText" text="9999-12-31 23:59:59+07">
      <formula>NOT(ISERROR(SEARCH("9999-12-31 23:59:59+07",L585)))</formula>
    </cfRule>
  </conditionalFormatting>
  <conditionalFormatting sqref="L586">
    <cfRule type="containsText" dxfId="10" priority="15" operator="containsText" text="9999-12-31 23:59:59+07">
      <formula>NOT(ISERROR(SEARCH("9999-12-31 23:59:59+07",L586)))</formula>
    </cfRule>
  </conditionalFormatting>
  <conditionalFormatting sqref="O4:O623">
    <cfRule type="expression" dxfId="9" priority="12">
      <formula>EXACT(O3, O4)</formula>
    </cfRule>
  </conditionalFormatting>
  <conditionalFormatting sqref="O5">
    <cfRule type="expression" dxfId="8" priority="11">
      <formula>EXACT(O4, O5)</formula>
    </cfRule>
  </conditionalFormatting>
  <conditionalFormatting sqref="L587:L624">
    <cfRule type="containsText" dxfId="7" priority="10" operator="containsText" text="9999-12-31 23:59:59+07">
      <formula>NOT(ISERROR(SEARCH("9999-12-31 23:59:59+07",L587)))</formula>
    </cfRule>
  </conditionalFormatting>
  <conditionalFormatting sqref="O625">
    <cfRule type="expression" dxfId="6" priority="9">
      <formula>EXACT(O594, O625)</formula>
    </cfRule>
  </conditionalFormatting>
  <conditionalFormatting sqref="L581">
    <cfRule type="containsText" dxfId="5" priority="2" operator="containsText" text="9999-12-31 23:59:59+07">
      <formula>NOT(ISERROR(SEARCH("9999-12-31 23:59:59+07",L581)))</formula>
    </cfRule>
  </conditionalFormatting>
  <conditionalFormatting sqref="O624">
    <cfRule type="expression" dxfId="1" priority="1">
      <formula>EXACT(O623, O624)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25"/>
  <sheetViews>
    <sheetView tabSelected="1" workbookViewId="0">
      <pane xSplit="2" ySplit="3" topLeftCell="C617" activePane="bottomRight" state="frozen"/>
      <selection pane="topRight" activeCell="C1" sqref="C1"/>
      <selection pane="bottomLeft" activeCell="A4" sqref="A4"/>
      <selection pane="bottomRight" activeCell="F623" sqref="F623"/>
    </sheetView>
  </sheetViews>
  <sheetFormatPr defaultRowHeight="12.75" x14ac:dyDescent="0.2"/>
  <cols>
    <col min="1" max="1" width="2.85546875" style="1" customWidth="1"/>
    <col min="2" max="2" width="14" style="2" bestFit="1" customWidth="1"/>
    <col min="3" max="3" width="13.140625" style="2" bestFit="1" customWidth="1"/>
    <col min="4" max="4" width="24.140625" style="1" bestFit="1" customWidth="1"/>
    <col min="5" max="16384" width="9.140625" style="1"/>
  </cols>
  <sheetData>
    <row r="1" spans="2:4" ht="13.5" thickBot="1" x14ac:dyDescent="0.25"/>
    <row r="2" spans="2:4" ht="25.5" x14ac:dyDescent="0.2">
      <c r="B2" s="96" t="s">
        <v>63</v>
      </c>
      <c r="C2" s="40" t="s">
        <v>53</v>
      </c>
      <c r="D2" s="100" t="s">
        <v>332</v>
      </c>
    </row>
    <row r="3" spans="2:4" ht="13.5" thickBot="1" x14ac:dyDescent="0.25">
      <c r="B3" s="97"/>
      <c r="C3" s="98"/>
      <c r="D3" s="101"/>
    </row>
    <row r="4" spans="2:4" x14ac:dyDescent="0.2">
      <c r="B4" s="70">
        <f>IF(EXACT('Internal Career (Last Position)'!$O4, ""), "", 'Internal Career (Last Position)'!$O4)</f>
        <v>164000000000001</v>
      </c>
      <c r="C4" s="50">
        <f>IF(EXACT('Internal Career (Last Position)'!$O4, ""), "", 'Internal Career (Last Position)'!$B4)</f>
        <v>32000000000001</v>
      </c>
      <c r="D4" s="99" t="str">
        <f>IF(EXACT('Internal Career (Last Position)'!$O4, ""), "", 'Internal Career (Last Position)'!$C4)</f>
        <v>Abdollah Syani Siregar</v>
      </c>
    </row>
    <row r="5" spans="2:4" x14ac:dyDescent="0.2">
      <c r="B5" s="11">
        <f>IF(EXACT('Internal Career (Last Position)'!$O5, ""), "", 'Internal Career (Last Position)'!$O5)</f>
        <v>164000000000002</v>
      </c>
      <c r="C5" s="37">
        <f>IF(EXACT('Internal Career (Last Position)'!$O5, ""), "", 'Internal Career (Last Position)'!$B5)</f>
        <v>32000000000002</v>
      </c>
      <c r="D5" s="38" t="str">
        <f>IF(EXACT('Internal Career (Last Position)'!$O5, ""), "", 'Internal Career (Last Position)'!$C5)</f>
        <v>Abdul Karim</v>
      </c>
    </row>
    <row r="6" spans="2:4" x14ac:dyDescent="0.2">
      <c r="B6" s="11">
        <f>IF(EXACT('Internal Career (Last Position)'!$O6, ""), "", 'Internal Career (Last Position)'!$O6)</f>
        <v>164000000000003</v>
      </c>
      <c r="C6" s="37">
        <f>IF(EXACT('Internal Career (Last Position)'!$O6, ""), "", 'Internal Career (Last Position)'!$B6)</f>
        <v>32000000000003</v>
      </c>
      <c r="D6" s="38" t="str">
        <f>IF(EXACT('Internal Career (Last Position)'!$O6, ""), "", 'Internal Career (Last Position)'!$C6)</f>
        <v>Abdul Rahman Sitompul</v>
      </c>
    </row>
    <row r="7" spans="2:4" x14ac:dyDescent="0.2">
      <c r="B7" s="11">
        <f>IF(EXACT('Internal Career (Last Position)'!$O7, ""), "", 'Internal Career (Last Position)'!$O7)</f>
        <v>164000000000004</v>
      </c>
      <c r="C7" s="37">
        <f>IF(EXACT('Internal Career (Last Position)'!$O7, ""), "", 'Internal Career (Last Position)'!$B7)</f>
        <v>32000000000004</v>
      </c>
      <c r="D7" s="38" t="str">
        <f>IF(EXACT('Internal Career (Last Position)'!$O7, ""), "", 'Internal Career (Last Position)'!$C7)</f>
        <v>Abdul Risan</v>
      </c>
    </row>
    <row r="8" spans="2:4" x14ac:dyDescent="0.2">
      <c r="B8" s="11">
        <f>IF(EXACT('Internal Career (Last Position)'!$O8, ""), "", 'Internal Career (Last Position)'!$O8)</f>
        <v>164000000000005</v>
      </c>
      <c r="C8" s="37">
        <f>IF(EXACT('Internal Career (Last Position)'!$O8, ""), "", 'Internal Career (Last Position)'!$B8)</f>
        <v>32000000000005</v>
      </c>
      <c r="D8" s="38" t="str">
        <f>IF(EXACT('Internal Career (Last Position)'!$O8, ""), "", 'Internal Career (Last Position)'!$C8)</f>
        <v>Abdullah Nabil</v>
      </c>
    </row>
    <row r="9" spans="2:4" x14ac:dyDescent="0.2">
      <c r="B9" s="11">
        <f>IF(EXACT('Internal Career (Last Position)'!$O9, ""), "", 'Internal Career (Last Position)'!$O9)</f>
        <v>164000000000006</v>
      </c>
      <c r="C9" s="37">
        <f>IF(EXACT('Internal Career (Last Position)'!$O9, ""), "", 'Internal Career (Last Position)'!$B9)</f>
        <v>32000000000006</v>
      </c>
      <c r="D9" s="38" t="str">
        <f>IF(EXACT('Internal Career (Last Position)'!$O9, ""), "", 'Internal Career (Last Position)'!$C9)</f>
        <v>Adhitya Danar</v>
      </c>
    </row>
    <row r="10" spans="2:4" x14ac:dyDescent="0.2">
      <c r="B10" s="11">
        <f>IF(EXACT('Internal Career (Last Position)'!$O10, ""), "", 'Internal Career (Last Position)'!$O10)</f>
        <v>164000000000007</v>
      </c>
      <c r="C10" s="37">
        <f>IF(EXACT('Internal Career (Last Position)'!$O10, ""), "", 'Internal Career (Last Position)'!$B10)</f>
        <v>32000000000007</v>
      </c>
      <c r="D10" s="38" t="str">
        <f>IF(EXACT('Internal Career (Last Position)'!$O10, ""), "", 'Internal Career (Last Position)'!$C10)</f>
        <v>Adi Ruswandi</v>
      </c>
    </row>
    <row r="11" spans="2:4" x14ac:dyDescent="0.2">
      <c r="B11" s="11">
        <f>IF(EXACT('Internal Career (Last Position)'!$O11, ""), "", 'Internal Career (Last Position)'!$O11)</f>
        <v>164000000000008</v>
      </c>
      <c r="C11" s="37">
        <f>IF(EXACT('Internal Career (Last Position)'!$O11, ""), "", 'Internal Career (Last Position)'!$B11)</f>
        <v>32000000000008</v>
      </c>
      <c r="D11" s="38" t="str">
        <f>IF(EXACT('Internal Career (Last Position)'!$O11, ""), "", 'Internal Career (Last Position)'!$C11)</f>
        <v>Adietya Dharmawan</v>
      </c>
    </row>
    <row r="12" spans="2:4" x14ac:dyDescent="0.2">
      <c r="B12" s="11">
        <f>IF(EXACT('Internal Career (Last Position)'!$O12, ""), "", 'Internal Career (Last Position)'!$O12)</f>
        <v>164000000000009</v>
      </c>
      <c r="C12" s="37">
        <f>IF(EXACT('Internal Career (Last Position)'!$O12, ""), "", 'Internal Career (Last Position)'!$B12)</f>
        <v>32000000000009</v>
      </c>
      <c r="D12" s="38" t="str">
        <f>IF(EXACT('Internal Career (Last Position)'!$O12, ""), "", 'Internal Career (Last Position)'!$C12)</f>
        <v>Aditya Yudha Prawira</v>
      </c>
    </row>
    <row r="13" spans="2:4" x14ac:dyDescent="0.2">
      <c r="B13" s="11">
        <f>IF(EXACT('Internal Career (Last Position)'!$O13, ""), "", 'Internal Career (Last Position)'!$O13)</f>
        <v>164000000000010</v>
      </c>
      <c r="C13" s="37">
        <f>IF(EXACT('Internal Career (Last Position)'!$O13, ""), "", 'Internal Career (Last Position)'!$B13)</f>
        <v>32000000000010</v>
      </c>
      <c r="D13" s="38" t="str">
        <f>IF(EXACT('Internal Career (Last Position)'!$O13, ""), "", 'Internal Career (Last Position)'!$C13)</f>
        <v>Adli Margie</v>
      </c>
    </row>
    <row r="14" spans="2:4" x14ac:dyDescent="0.2">
      <c r="B14" s="11">
        <f>IF(EXACT('Internal Career (Last Position)'!$O14, ""), "", 'Internal Career (Last Position)'!$O14)</f>
        <v>164000000000011</v>
      </c>
      <c r="C14" s="37">
        <f>IF(EXACT('Internal Career (Last Position)'!$O14, ""), "", 'Internal Career (Last Position)'!$B14)</f>
        <v>32000000000011</v>
      </c>
      <c r="D14" s="38" t="str">
        <f>IF(EXACT('Internal Career (Last Position)'!$O14, ""), "", 'Internal Career (Last Position)'!$C14)</f>
        <v>Afrida Eka Putri</v>
      </c>
    </row>
    <row r="15" spans="2:4" x14ac:dyDescent="0.2">
      <c r="B15" s="11">
        <f>IF(EXACT('Internal Career (Last Position)'!$O15, ""), "", 'Internal Career (Last Position)'!$O15)</f>
        <v>164000000000012</v>
      </c>
      <c r="C15" s="37">
        <f>IF(EXACT('Internal Career (Last Position)'!$O15, ""), "", 'Internal Career (Last Position)'!$B15)</f>
        <v>32000000000012</v>
      </c>
      <c r="D15" s="38" t="str">
        <f>IF(EXACT('Internal Career (Last Position)'!$O15, ""), "", 'Internal Career (Last Position)'!$C15)</f>
        <v>Agnes Sutedja</v>
      </c>
    </row>
    <row r="16" spans="2:4" x14ac:dyDescent="0.2">
      <c r="B16" s="11">
        <f>IF(EXACT('Internal Career (Last Position)'!$O16, ""), "", 'Internal Career (Last Position)'!$O16)</f>
        <v>164000000000013</v>
      </c>
      <c r="C16" s="37">
        <f>IF(EXACT('Internal Career (Last Position)'!$O16, ""), "", 'Internal Career (Last Position)'!$B16)</f>
        <v>32000000000013</v>
      </c>
      <c r="D16" s="38" t="str">
        <f>IF(EXACT('Internal Career (Last Position)'!$O16, ""), "", 'Internal Career (Last Position)'!$C16)</f>
        <v>Agung Hendarto</v>
      </c>
    </row>
    <row r="17" spans="2:4" x14ac:dyDescent="0.2">
      <c r="B17" s="11">
        <f>IF(EXACT('Internal Career (Last Position)'!$O17, ""), "", 'Internal Career (Last Position)'!$O17)</f>
        <v>164000000000014</v>
      </c>
      <c r="C17" s="37">
        <f>IF(EXACT('Internal Career (Last Position)'!$O17, ""), "", 'Internal Career (Last Position)'!$B17)</f>
        <v>32000000000014</v>
      </c>
      <c r="D17" s="38" t="str">
        <f>IF(EXACT('Internal Career (Last Position)'!$O17, ""), "", 'Internal Career (Last Position)'!$C17)</f>
        <v>Agus Priyatno Mahmudo</v>
      </c>
    </row>
    <row r="18" spans="2:4" x14ac:dyDescent="0.2">
      <c r="B18" s="11">
        <f>IF(EXACT('Internal Career (Last Position)'!$O18, ""), "", 'Internal Career (Last Position)'!$O18)</f>
        <v>164000000000015</v>
      </c>
      <c r="C18" s="37">
        <f>IF(EXACT('Internal Career (Last Position)'!$O18, ""), "", 'Internal Career (Last Position)'!$B18)</f>
        <v>32000000000015</v>
      </c>
      <c r="D18" s="38" t="str">
        <f>IF(EXACT('Internal Career (Last Position)'!$O18, ""), "", 'Internal Career (Last Position)'!$C18)</f>
        <v>Agus Salim</v>
      </c>
    </row>
    <row r="19" spans="2:4" x14ac:dyDescent="0.2">
      <c r="B19" s="11">
        <f>IF(EXACT('Internal Career (Last Position)'!$O19, ""), "", 'Internal Career (Last Position)'!$O19)</f>
        <v>164000000000016</v>
      </c>
      <c r="C19" s="37">
        <f>IF(EXACT('Internal Career (Last Position)'!$O19, ""), "", 'Internal Career (Last Position)'!$B19)</f>
        <v>32000000000016</v>
      </c>
      <c r="D19" s="38" t="str">
        <f>IF(EXACT('Internal Career (Last Position)'!$O19, ""), "", 'Internal Career (Last Position)'!$C19)</f>
        <v>Agus Tanto</v>
      </c>
    </row>
    <row r="20" spans="2:4" x14ac:dyDescent="0.2">
      <c r="B20" s="11">
        <f>IF(EXACT('Internal Career (Last Position)'!$O20, ""), "", 'Internal Career (Last Position)'!$O20)</f>
        <v>164000000000017</v>
      </c>
      <c r="C20" s="37">
        <f>IF(EXACT('Internal Career (Last Position)'!$O20, ""), "", 'Internal Career (Last Position)'!$B20)</f>
        <v>32000000000017</v>
      </c>
      <c r="D20" s="38" t="str">
        <f>IF(EXACT('Internal Career (Last Position)'!$O20, ""), "", 'Internal Career (Last Position)'!$C20)</f>
        <v>Ahmad Faiz Haems Muda</v>
      </c>
    </row>
    <row r="21" spans="2:4" x14ac:dyDescent="0.2">
      <c r="B21" s="11">
        <f>IF(EXACT('Internal Career (Last Position)'!$O21, ""), "", 'Internal Career (Last Position)'!$O21)</f>
        <v>164000000000018</v>
      </c>
      <c r="C21" s="37">
        <f>IF(EXACT('Internal Career (Last Position)'!$O21, ""), "", 'Internal Career (Last Position)'!$B21)</f>
        <v>32000000000018</v>
      </c>
      <c r="D21" s="38" t="str">
        <f>IF(EXACT('Internal Career (Last Position)'!$O21, ""), "", 'Internal Career (Last Position)'!$C21)</f>
        <v>Ahmad Faza</v>
      </c>
    </row>
    <row r="22" spans="2:4" x14ac:dyDescent="0.2">
      <c r="B22" s="11">
        <f>IF(EXACT('Internal Career (Last Position)'!$O22, ""), "", 'Internal Career (Last Position)'!$O22)</f>
        <v>164000000000019</v>
      </c>
      <c r="C22" s="37">
        <f>IF(EXACT('Internal Career (Last Position)'!$O22, ""), "", 'Internal Career (Last Position)'!$B22)</f>
        <v>32000000000019</v>
      </c>
      <c r="D22" s="38" t="str">
        <f>IF(EXACT('Internal Career (Last Position)'!$O22, ""), "", 'Internal Career (Last Position)'!$C22)</f>
        <v>Ahmad Syaifulloh</v>
      </c>
    </row>
    <row r="23" spans="2:4" x14ac:dyDescent="0.2">
      <c r="B23" s="11">
        <f>IF(EXACT('Internal Career (Last Position)'!$O23, ""), "", 'Internal Career (Last Position)'!$O23)</f>
        <v>164000000000020</v>
      </c>
      <c r="C23" s="37">
        <f>IF(EXACT('Internal Career (Last Position)'!$O23, ""), "", 'Internal Career (Last Position)'!$B23)</f>
        <v>32000000000020</v>
      </c>
      <c r="D23" s="38" t="str">
        <f>IF(EXACT('Internal Career (Last Position)'!$O23, ""), "", 'Internal Career (Last Position)'!$C23)</f>
        <v>Ahmad Zulkarnaen</v>
      </c>
    </row>
    <row r="24" spans="2:4" x14ac:dyDescent="0.2">
      <c r="B24" s="11">
        <f>IF(EXACT('Internal Career (Last Position)'!$O24, ""), "", 'Internal Career (Last Position)'!$O24)</f>
        <v>164000000000021</v>
      </c>
      <c r="C24" s="37">
        <f>IF(EXACT('Internal Career (Last Position)'!$O24, ""), "", 'Internal Career (Last Position)'!$B24)</f>
        <v>32000000000021</v>
      </c>
      <c r="D24" s="38" t="str">
        <f>IF(EXACT('Internal Career (Last Position)'!$O24, ""), "", 'Internal Career (Last Position)'!$C24)</f>
        <v>Ajan</v>
      </c>
    </row>
    <row r="25" spans="2:4" x14ac:dyDescent="0.2">
      <c r="B25" s="11">
        <f>IF(EXACT('Internal Career (Last Position)'!$O25, ""), "", 'Internal Career (Last Position)'!$O25)</f>
        <v>164000000000022</v>
      </c>
      <c r="C25" s="37">
        <f>IF(EXACT('Internal Career (Last Position)'!$O25, ""), "", 'Internal Career (Last Position)'!$B25)</f>
        <v>32000000000022</v>
      </c>
      <c r="D25" s="38" t="str">
        <f>IF(EXACT('Internal Career (Last Position)'!$O25, ""), "", 'Internal Career (Last Position)'!$C25)</f>
        <v>Al Amin</v>
      </c>
    </row>
    <row r="26" spans="2:4" x14ac:dyDescent="0.2">
      <c r="B26" s="11">
        <f>IF(EXACT('Internal Career (Last Position)'!$O26, ""), "", 'Internal Career (Last Position)'!$O26)</f>
        <v>164000000000023</v>
      </c>
      <c r="C26" s="37">
        <f>IF(EXACT('Internal Career (Last Position)'!$O26, ""), "", 'Internal Career (Last Position)'!$B26)</f>
        <v>32000000000023</v>
      </c>
      <c r="D26" s="38" t="str">
        <f>IF(EXACT('Internal Career (Last Position)'!$O26, ""), "", 'Internal Career (Last Position)'!$C26)</f>
        <v>Aldi Mulyadi</v>
      </c>
    </row>
    <row r="27" spans="2:4" x14ac:dyDescent="0.2">
      <c r="B27" s="11">
        <f>IF(EXACT('Internal Career (Last Position)'!$O27, ""), "", 'Internal Career (Last Position)'!$O27)</f>
        <v>164000000000024</v>
      </c>
      <c r="C27" s="37">
        <f>IF(EXACT('Internal Career (Last Position)'!$O27, ""), "", 'Internal Career (Last Position)'!$B27)</f>
        <v>32000000000024</v>
      </c>
      <c r="D27" s="38" t="str">
        <f>IF(EXACT('Internal Career (Last Position)'!$O27, ""), "", 'Internal Career (Last Position)'!$C27)</f>
        <v>Alexandri</v>
      </c>
    </row>
    <row r="28" spans="2:4" x14ac:dyDescent="0.2">
      <c r="B28" s="11">
        <f>IF(EXACT('Internal Career (Last Position)'!$O28, ""), "", 'Internal Career (Last Position)'!$O28)</f>
        <v>164000000000025</v>
      </c>
      <c r="C28" s="37">
        <f>IF(EXACT('Internal Career (Last Position)'!$O28, ""), "", 'Internal Career (Last Position)'!$B28)</f>
        <v>32000000000025</v>
      </c>
      <c r="D28" s="38" t="str">
        <f>IF(EXACT('Internal Career (Last Position)'!$O28, ""), "", 'Internal Career (Last Position)'!$C28)</f>
        <v>Alfaedi</v>
      </c>
    </row>
    <row r="29" spans="2:4" x14ac:dyDescent="0.2">
      <c r="B29" s="11">
        <f>IF(EXACT('Internal Career (Last Position)'!$O29, ""), "", 'Internal Career (Last Position)'!$O29)</f>
        <v>164000000000026</v>
      </c>
      <c r="C29" s="37">
        <f>IF(EXACT('Internal Career (Last Position)'!$O29, ""), "", 'Internal Career (Last Position)'!$B29)</f>
        <v>32000000000026</v>
      </c>
      <c r="D29" s="38" t="str">
        <f>IF(EXACT('Internal Career (Last Position)'!$O29, ""), "", 'Internal Career (Last Position)'!$C29)</f>
        <v>Ali Wahono</v>
      </c>
    </row>
    <row r="30" spans="2:4" x14ac:dyDescent="0.2">
      <c r="B30" s="11">
        <f>IF(EXACT('Internal Career (Last Position)'!$O30, ""), "", 'Internal Career (Last Position)'!$O30)</f>
        <v>164000000000027</v>
      </c>
      <c r="C30" s="37">
        <f>IF(EXACT('Internal Career (Last Position)'!$O30, ""), "", 'Internal Career (Last Position)'!$B30)</f>
        <v>32000000000027</v>
      </c>
      <c r="D30" s="38" t="str">
        <f>IF(EXACT('Internal Career (Last Position)'!$O30, ""), "", 'Internal Career (Last Position)'!$C30)</f>
        <v>Alphaliyanri Lasria</v>
      </c>
    </row>
    <row r="31" spans="2:4" x14ac:dyDescent="0.2">
      <c r="B31" s="11">
        <f>IF(EXACT('Internal Career (Last Position)'!$O31, ""), "", 'Internal Career (Last Position)'!$O31)</f>
        <v>164000000000028</v>
      </c>
      <c r="C31" s="37">
        <f>IF(EXACT('Internal Career (Last Position)'!$O31, ""), "", 'Internal Career (Last Position)'!$B31)</f>
        <v>32000000000028</v>
      </c>
      <c r="D31" s="38" t="str">
        <f>IF(EXACT('Internal Career (Last Position)'!$O31, ""), "", 'Internal Career (Last Position)'!$C31)</f>
        <v>Ambon Rumalean</v>
      </c>
    </row>
    <row r="32" spans="2:4" x14ac:dyDescent="0.2">
      <c r="B32" s="11">
        <f>IF(EXACT('Internal Career (Last Position)'!$O32, ""), "", 'Internal Career (Last Position)'!$O32)</f>
        <v>164000000000029</v>
      </c>
      <c r="C32" s="37">
        <f>IF(EXACT('Internal Career (Last Position)'!$O32, ""), "", 'Internal Career (Last Position)'!$B32)</f>
        <v>32000000000029</v>
      </c>
      <c r="D32" s="38" t="str">
        <f>IF(EXACT('Internal Career (Last Position)'!$O32, ""), "", 'Internal Career (Last Position)'!$C32)</f>
        <v>Amir Sofyan Hadi</v>
      </c>
    </row>
    <row r="33" spans="2:4" x14ac:dyDescent="0.2">
      <c r="B33" s="11">
        <f>IF(EXACT('Internal Career (Last Position)'!$O33, ""), "", 'Internal Career (Last Position)'!$O33)</f>
        <v>164000000000030</v>
      </c>
      <c r="C33" s="37">
        <f>IF(EXACT('Internal Career (Last Position)'!$O33, ""), "", 'Internal Career (Last Position)'!$B33)</f>
        <v>32000000000030</v>
      </c>
      <c r="D33" s="38" t="str">
        <f>IF(EXACT('Internal Career (Last Position)'!$O33, ""), "", 'Internal Career (Last Position)'!$C33)</f>
        <v>Anak Agung Netti Ariani</v>
      </c>
    </row>
    <row r="34" spans="2:4" x14ac:dyDescent="0.2">
      <c r="B34" s="11">
        <f>IF(EXACT('Internal Career (Last Position)'!$O34, ""), "", 'Internal Career (Last Position)'!$O34)</f>
        <v>164000000000031</v>
      </c>
      <c r="C34" s="37">
        <f>IF(EXACT('Internal Career (Last Position)'!$O34, ""), "", 'Internal Career (Last Position)'!$B34)</f>
        <v>32000000000031</v>
      </c>
      <c r="D34" s="38" t="str">
        <f>IF(EXACT('Internal Career (Last Position)'!$O34, ""), "", 'Internal Career (Last Position)'!$C34)</f>
        <v>Andri Gunawan</v>
      </c>
    </row>
    <row r="35" spans="2:4" x14ac:dyDescent="0.2">
      <c r="B35" s="11">
        <f>IF(EXACT('Internal Career (Last Position)'!$O35, ""), "", 'Internal Career (Last Position)'!$O35)</f>
        <v>164000000000032</v>
      </c>
      <c r="C35" s="37">
        <f>IF(EXACT('Internal Career (Last Position)'!$O35, ""), "", 'Internal Career (Last Position)'!$B35)</f>
        <v>32000000000032</v>
      </c>
      <c r="D35" s="38" t="str">
        <f>IF(EXACT('Internal Career (Last Position)'!$O35, ""), "", 'Internal Career (Last Position)'!$C35)</f>
        <v>Andri Herdiansyah</v>
      </c>
    </row>
    <row r="36" spans="2:4" x14ac:dyDescent="0.2">
      <c r="B36" s="11">
        <f>IF(EXACT('Internal Career (Last Position)'!$O36, ""), "", 'Internal Career (Last Position)'!$O36)</f>
        <v>164000000000033</v>
      </c>
      <c r="C36" s="37">
        <f>IF(EXACT('Internal Career (Last Position)'!$O36, ""), "", 'Internal Career (Last Position)'!$B36)</f>
        <v>32000000000033</v>
      </c>
      <c r="D36" s="38" t="str">
        <f>IF(EXACT('Internal Career (Last Position)'!$O36, ""), "", 'Internal Career (Last Position)'!$C36)</f>
        <v>Andrie</v>
      </c>
    </row>
    <row r="37" spans="2:4" x14ac:dyDescent="0.2">
      <c r="B37" s="11">
        <f>IF(EXACT('Internal Career (Last Position)'!$O37, ""), "", 'Internal Career (Last Position)'!$O37)</f>
        <v>164000000000034</v>
      </c>
      <c r="C37" s="37">
        <f>IF(EXACT('Internal Career (Last Position)'!$O37, ""), "", 'Internal Career (Last Position)'!$B37)</f>
        <v>32000000000034</v>
      </c>
      <c r="D37" s="38" t="str">
        <f>IF(EXACT('Internal Career (Last Position)'!$O37, ""), "", 'Internal Career (Last Position)'!$C37)</f>
        <v>Anggina Tri Yudandi</v>
      </c>
    </row>
    <row r="38" spans="2:4" x14ac:dyDescent="0.2">
      <c r="B38" s="11">
        <f>IF(EXACT('Internal Career (Last Position)'!$O38, ""), "", 'Internal Career (Last Position)'!$O38)</f>
        <v>164000000000035</v>
      </c>
      <c r="C38" s="37">
        <f>IF(EXACT('Internal Career (Last Position)'!$O38, ""), "", 'Internal Career (Last Position)'!$B38)</f>
        <v>32000000000035</v>
      </c>
      <c r="D38" s="38" t="str">
        <f>IF(EXACT('Internal Career (Last Position)'!$O38, ""), "", 'Internal Career (Last Position)'!$C38)</f>
        <v>Anggit Ismiyanto</v>
      </c>
    </row>
    <row r="39" spans="2:4" x14ac:dyDescent="0.2">
      <c r="B39" s="11">
        <f>IF(EXACT('Internal Career (Last Position)'!$O39, ""), "", 'Internal Career (Last Position)'!$O39)</f>
        <v>164000000000036</v>
      </c>
      <c r="C39" s="37">
        <f>IF(EXACT('Internal Career (Last Position)'!$O39, ""), "", 'Internal Career (Last Position)'!$B39)</f>
        <v>32000000000036</v>
      </c>
      <c r="D39" s="38" t="str">
        <f>IF(EXACT('Internal Career (Last Position)'!$O39, ""), "", 'Internal Career (Last Position)'!$C39)</f>
        <v>Anika Setyowati</v>
      </c>
    </row>
    <row r="40" spans="2:4" x14ac:dyDescent="0.2">
      <c r="B40" s="11">
        <f>IF(EXACT('Internal Career (Last Position)'!$O40, ""), "", 'Internal Career (Last Position)'!$O40)</f>
        <v>164000000000037</v>
      </c>
      <c r="C40" s="37">
        <f>IF(EXACT('Internal Career (Last Position)'!$O40, ""), "", 'Internal Career (Last Position)'!$B40)</f>
        <v>32000000000037</v>
      </c>
      <c r="D40" s="38" t="str">
        <f>IF(EXACT('Internal Career (Last Position)'!$O40, ""), "", 'Internal Career (Last Position)'!$C40)</f>
        <v>Anisah</v>
      </c>
    </row>
    <row r="41" spans="2:4" x14ac:dyDescent="0.2">
      <c r="B41" s="11">
        <f>IF(EXACT('Internal Career (Last Position)'!$O41, ""), "", 'Internal Career (Last Position)'!$O41)</f>
        <v>164000000000038</v>
      </c>
      <c r="C41" s="37">
        <f>IF(EXACT('Internal Career (Last Position)'!$O41, ""), "", 'Internal Career (Last Position)'!$B41)</f>
        <v>32000000000038</v>
      </c>
      <c r="D41" s="38" t="str">
        <f>IF(EXACT('Internal Career (Last Position)'!$O41, ""), "", 'Internal Career (Last Position)'!$C41)</f>
        <v>Anna Savitrie</v>
      </c>
    </row>
    <row r="42" spans="2:4" x14ac:dyDescent="0.2">
      <c r="B42" s="11">
        <f>IF(EXACT('Internal Career (Last Position)'!$O42, ""), "", 'Internal Career (Last Position)'!$O42)</f>
        <v>164000000000039</v>
      </c>
      <c r="C42" s="37">
        <f>IF(EXACT('Internal Career (Last Position)'!$O42, ""), "", 'Internal Career (Last Position)'!$B42)</f>
        <v>32000000000039</v>
      </c>
      <c r="D42" s="38" t="str">
        <f>IF(EXACT('Internal Career (Last Position)'!$O42, ""), "", 'Internal Career (Last Position)'!$C42)</f>
        <v>Annisa Dewi Arumsari</v>
      </c>
    </row>
    <row r="43" spans="2:4" x14ac:dyDescent="0.2">
      <c r="B43" s="11">
        <f>IF(EXACT('Internal Career (Last Position)'!$O43, ""), "", 'Internal Career (Last Position)'!$O43)</f>
        <v>164000000000040</v>
      </c>
      <c r="C43" s="37">
        <f>IF(EXACT('Internal Career (Last Position)'!$O43, ""), "", 'Internal Career (Last Position)'!$B43)</f>
        <v>32000000000040</v>
      </c>
      <c r="D43" s="38" t="str">
        <f>IF(EXACT('Internal Career (Last Position)'!$O43, ""), "", 'Internal Career (Last Position)'!$C43)</f>
        <v>Annyes Sri Maristi</v>
      </c>
    </row>
    <row r="44" spans="2:4" x14ac:dyDescent="0.2">
      <c r="B44" s="11">
        <f>IF(EXACT('Internal Career (Last Position)'!$O44, ""), "", 'Internal Career (Last Position)'!$O44)</f>
        <v>164000000000041</v>
      </c>
      <c r="C44" s="37">
        <f>IF(EXACT('Internal Career (Last Position)'!$O44, ""), "", 'Internal Career (Last Position)'!$B44)</f>
        <v>32000000000041</v>
      </c>
      <c r="D44" s="38" t="str">
        <f>IF(EXACT('Internal Career (Last Position)'!$O44, ""), "", 'Internal Career (Last Position)'!$C44)</f>
        <v>Antok</v>
      </c>
    </row>
    <row r="45" spans="2:4" x14ac:dyDescent="0.2">
      <c r="B45" s="11">
        <f>IF(EXACT('Internal Career (Last Position)'!$O45, ""), "", 'Internal Career (Last Position)'!$O45)</f>
        <v>164000000000042</v>
      </c>
      <c r="C45" s="37">
        <f>IF(EXACT('Internal Career (Last Position)'!$O45, ""), "", 'Internal Career (Last Position)'!$B45)</f>
        <v>32000000000042</v>
      </c>
      <c r="D45" s="38" t="str">
        <f>IF(EXACT('Internal Career (Last Position)'!$O45, ""), "", 'Internal Career (Last Position)'!$C45)</f>
        <v>Anton Iryanto</v>
      </c>
    </row>
    <row r="46" spans="2:4" x14ac:dyDescent="0.2">
      <c r="B46" s="11">
        <f>IF(EXACT('Internal Career (Last Position)'!$O46, ""), "", 'Internal Career (Last Position)'!$O46)</f>
        <v>164000000000043</v>
      </c>
      <c r="C46" s="37">
        <f>IF(EXACT('Internal Career (Last Position)'!$O46, ""), "", 'Internal Career (Last Position)'!$B46)</f>
        <v>32000000000043</v>
      </c>
      <c r="D46" s="38" t="str">
        <f>IF(EXACT('Internal Career (Last Position)'!$O46, ""), "", 'Internal Career (Last Position)'!$C46)</f>
        <v>Antony Pakpahan</v>
      </c>
    </row>
    <row r="47" spans="2:4" x14ac:dyDescent="0.2">
      <c r="B47" s="11">
        <f>IF(EXACT('Internal Career (Last Position)'!$O47, ""), "", 'Internal Career (Last Position)'!$O47)</f>
        <v>164000000000044</v>
      </c>
      <c r="C47" s="37">
        <f>IF(EXACT('Internal Career (Last Position)'!$O47, ""), "", 'Internal Career (Last Position)'!$B47)</f>
        <v>32000000000044</v>
      </c>
      <c r="D47" s="38" t="str">
        <f>IF(EXACT('Internal Career (Last Position)'!$O47, ""), "", 'Internal Career (Last Position)'!$C47)</f>
        <v>Anugerah Januariansyah</v>
      </c>
    </row>
    <row r="48" spans="2:4" x14ac:dyDescent="0.2">
      <c r="B48" s="11">
        <f>IF(EXACT('Internal Career (Last Position)'!$O48, ""), "", 'Internal Career (Last Position)'!$O48)</f>
        <v>164000000000045</v>
      </c>
      <c r="C48" s="37">
        <f>IF(EXACT('Internal Career (Last Position)'!$O48, ""), "", 'Internal Career (Last Position)'!$B48)</f>
        <v>32000000000045</v>
      </c>
      <c r="D48" s="38" t="str">
        <f>IF(EXACT('Internal Career (Last Position)'!$O48, ""), "", 'Internal Career (Last Position)'!$C48)</f>
        <v>Anwar Purnomo</v>
      </c>
    </row>
    <row r="49" spans="2:4" x14ac:dyDescent="0.2">
      <c r="B49" s="11">
        <f>IF(EXACT('Internal Career (Last Position)'!$O49, ""), "", 'Internal Career (Last Position)'!$O49)</f>
        <v>164000000000046</v>
      </c>
      <c r="C49" s="37">
        <f>IF(EXACT('Internal Career (Last Position)'!$O49, ""), "", 'Internal Career (Last Position)'!$B49)</f>
        <v>32000000000046</v>
      </c>
      <c r="D49" s="38" t="str">
        <f>IF(EXACT('Internal Career (Last Position)'!$O49, ""), "", 'Internal Career (Last Position)'!$C49)</f>
        <v>Ardhi Swasono</v>
      </c>
    </row>
    <row r="50" spans="2:4" x14ac:dyDescent="0.2">
      <c r="B50" s="11">
        <f>IF(EXACT('Internal Career (Last Position)'!$O50, ""), "", 'Internal Career (Last Position)'!$O50)</f>
        <v>164000000000047</v>
      </c>
      <c r="C50" s="37">
        <f>IF(EXACT('Internal Career (Last Position)'!$O50, ""), "", 'Internal Career (Last Position)'!$B50)</f>
        <v>32000000000047</v>
      </c>
      <c r="D50" s="38" t="str">
        <f>IF(EXACT('Internal Career (Last Position)'!$O50, ""), "", 'Internal Career (Last Position)'!$C50)</f>
        <v>Ardi</v>
      </c>
    </row>
    <row r="51" spans="2:4" x14ac:dyDescent="0.2">
      <c r="B51" s="11">
        <f>IF(EXACT('Internal Career (Last Position)'!$O51, ""), "", 'Internal Career (Last Position)'!$O51)</f>
        <v>164000000000048</v>
      </c>
      <c r="C51" s="37">
        <f>IF(EXACT('Internal Career (Last Position)'!$O51, ""), "", 'Internal Career (Last Position)'!$B51)</f>
        <v>32000000000048</v>
      </c>
      <c r="D51" s="38" t="str">
        <f>IF(EXACT('Internal Career (Last Position)'!$O51, ""), "", 'Internal Career (Last Position)'!$C51)</f>
        <v>Ardiansyah</v>
      </c>
    </row>
    <row r="52" spans="2:4" x14ac:dyDescent="0.2">
      <c r="B52" s="11">
        <f>IF(EXACT('Internal Career (Last Position)'!$O52, ""), "", 'Internal Career (Last Position)'!$O52)</f>
        <v>164000000000049</v>
      </c>
      <c r="C52" s="37">
        <f>IF(EXACT('Internal Career (Last Position)'!$O52, ""), "", 'Internal Career (Last Position)'!$B52)</f>
        <v>32000000000049</v>
      </c>
      <c r="D52" s="38" t="str">
        <f>IF(EXACT('Internal Career (Last Position)'!$O52, ""), "", 'Internal Career (Last Position)'!$C52)</f>
        <v>Ardisam</v>
      </c>
    </row>
    <row r="53" spans="2:4" x14ac:dyDescent="0.2">
      <c r="B53" s="11">
        <f>IF(EXACT('Internal Career (Last Position)'!$O53, ""), "", 'Internal Career (Last Position)'!$O53)</f>
        <v>164000000000050</v>
      </c>
      <c r="C53" s="37">
        <f>IF(EXACT('Internal Career (Last Position)'!$O53, ""), "", 'Internal Career (Last Position)'!$B53)</f>
        <v>32000000000050</v>
      </c>
      <c r="D53" s="38" t="str">
        <f>IF(EXACT('Internal Career (Last Position)'!$O53, ""), "", 'Internal Career (Last Position)'!$C53)</f>
        <v>Ardita</v>
      </c>
    </row>
    <row r="54" spans="2:4" x14ac:dyDescent="0.2">
      <c r="B54" s="11">
        <f>IF(EXACT('Internal Career (Last Position)'!$O54, ""), "", 'Internal Career (Last Position)'!$O54)</f>
        <v>164000000000051</v>
      </c>
      <c r="C54" s="37">
        <f>IF(EXACT('Internal Career (Last Position)'!$O54, ""), "", 'Internal Career (Last Position)'!$B54)</f>
        <v>32000000000051</v>
      </c>
      <c r="D54" s="38" t="str">
        <f>IF(EXACT('Internal Career (Last Position)'!$O54, ""), "", 'Internal Career (Last Position)'!$C54)</f>
        <v>Ares S. Mauboi</v>
      </c>
    </row>
    <row r="55" spans="2:4" x14ac:dyDescent="0.2">
      <c r="B55" s="11">
        <f>IF(EXACT('Internal Career (Last Position)'!$O55, ""), "", 'Internal Career (Last Position)'!$O55)</f>
        <v>164000000000052</v>
      </c>
      <c r="C55" s="37">
        <f>IF(EXACT('Internal Career (Last Position)'!$O55, ""), "", 'Internal Career (Last Position)'!$B55)</f>
        <v>32000000000052</v>
      </c>
      <c r="D55" s="38" t="str">
        <f>IF(EXACT('Internal Career (Last Position)'!$O55, ""), "", 'Internal Career (Last Position)'!$C55)</f>
        <v>Arfah Hanum</v>
      </c>
    </row>
    <row r="56" spans="2:4" x14ac:dyDescent="0.2">
      <c r="B56" s="11">
        <f>IF(EXACT('Internal Career (Last Position)'!$O56, ""), "", 'Internal Career (Last Position)'!$O56)</f>
        <v>164000000000053</v>
      </c>
      <c r="C56" s="37">
        <f>IF(EXACT('Internal Career (Last Position)'!$O56, ""), "", 'Internal Career (Last Position)'!$B56)</f>
        <v>32000000000053</v>
      </c>
      <c r="D56" s="38" t="str">
        <f>IF(EXACT('Internal Career (Last Position)'!$O56, ""), "", 'Internal Career (Last Position)'!$C56)</f>
        <v>Arfianti Haryani</v>
      </c>
    </row>
    <row r="57" spans="2:4" x14ac:dyDescent="0.2">
      <c r="B57" s="11">
        <f>IF(EXACT('Internal Career (Last Position)'!$O57, ""), "", 'Internal Career (Last Position)'!$O57)</f>
        <v>164000000000054</v>
      </c>
      <c r="C57" s="37">
        <f>IF(EXACT('Internal Career (Last Position)'!$O57, ""), "", 'Internal Career (Last Position)'!$B57)</f>
        <v>32000000000054</v>
      </c>
      <c r="D57" s="38" t="str">
        <f>IF(EXACT('Internal Career (Last Position)'!$O57, ""), "", 'Internal Career (Last Position)'!$C57)</f>
        <v>Ari Priwarsono</v>
      </c>
    </row>
    <row r="58" spans="2:4" x14ac:dyDescent="0.2">
      <c r="B58" s="11">
        <f>IF(EXACT('Internal Career (Last Position)'!$O58, ""), "", 'Internal Career (Last Position)'!$O58)</f>
        <v>164000000000055</v>
      </c>
      <c r="C58" s="37">
        <f>IF(EXACT('Internal Career (Last Position)'!$O58, ""), "", 'Internal Career (Last Position)'!$B58)</f>
        <v>32000000000055</v>
      </c>
      <c r="D58" s="38" t="str">
        <f>IF(EXACT('Internal Career (Last Position)'!$O58, ""), "", 'Internal Career (Last Position)'!$C58)</f>
        <v>Ari Yuniasmono</v>
      </c>
    </row>
    <row r="59" spans="2:4" x14ac:dyDescent="0.2">
      <c r="B59" s="11">
        <f>IF(EXACT('Internal Career (Last Position)'!$O59, ""), "", 'Internal Career (Last Position)'!$O59)</f>
        <v>164000000000056</v>
      </c>
      <c r="C59" s="37">
        <f>IF(EXACT('Internal Career (Last Position)'!$O59, ""), "", 'Internal Career (Last Position)'!$B59)</f>
        <v>32000000000056</v>
      </c>
      <c r="D59" s="38" t="str">
        <f>IF(EXACT('Internal Career (Last Position)'!$O59, ""), "", 'Internal Career (Last Position)'!$C59)</f>
        <v>Arif Gunawan</v>
      </c>
    </row>
    <row r="60" spans="2:4" x14ac:dyDescent="0.2">
      <c r="B60" s="11">
        <f>IF(EXACT('Internal Career (Last Position)'!$O60, ""), "", 'Internal Career (Last Position)'!$O60)</f>
        <v>164000000000057</v>
      </c>
      <c r="C60" s="37">
        <f>IF(EXACT('Internal Career (Last Position)'!$O60, ""), "", 'Internal Career (Last Position)'!$B60)</f>
        <v>32000000000057</v>
      </c>
      <c r="D60" s="38" t="str">
        <f>IF(EXACT('Internal Career (Last Position)'!$O60, ""), "", 'Internal Career (Last Position)'!$C60)</f>
        <v>Arif Prasetyo</v>
      </c>
    </row>
    <row r="61" spans="2:4" x14ac:dyDescent="0.2">
      <c r="B61" s="11">
        <f>IF(EXACT('Internal Career (Last Position)'!$O61, ""), "", 'Internal Career (Last Position)'!$O61)</f>
        <v>164000000000058</v>
      </c>
      <c r="C61" s="37">
        <f>IF(EXACT('Internal Career (Last Position)'!$O61, ""), "", 'Internal Career (Last Position)'!$B61)</f>
        <v>32000000000058</v>
      </c>
      <c r="D61" s="38" t="str">
        <f>IF(EXACT('Internal Career (Last Position)'!$O61, ""), "", 'Internal Career (Last Position)'!$C61)</f>
        <v>Arini</v>
      </c>
    </row>
    <row r="62" spans="2:4" x14ac:dyDescent="0.2">
      <c r="B62" s="11">
        <f>IF(EXACT('Internal Career (Last Position)'!$O62, ""), "", 'Internal Career (Last Position)'!$O62)</f>
        <v>164000000000059</v>
      </c>
      <c r="C62" s="37">
        <f>IF(EXACT('Internal Career (Last Position)'!$O62, ""), "", 'Internal Career (Last Position)'!$B62)</f>
        <v>32000000000059</v>
      </c>
      <c r="D62" s="38" t="str">
        <f>IF(EXACT('Internal Career (Last Position)'!$O62, ""), "", 'Internal Career (Last Position)'!$C62)</f>
        <v>Ario Setyo Gunawan</v>
      </c>
    </row>
    <row r="63" spans="2:4" x14ac:dyDescent="0.2">
      <c r="B63" s="11">
        <f>IF(EXACT('Internal Career (Last Position)'!$O63, ""), "", 'Internal Career (Last Position)'!$O63)</f>
        <v>164000000000060</v>
      </c>
      <c r="C63" s="37">
        <f>IF(EXACT('Internal Career (Last Position)'!$O63, ""), "", 'Internal Career (Last Position)'!$B63)</f>
        <v>32000000000060</v>
      </c>
      <c r="D63" s="38" t="str">
        <f>IF(EXACT('Internal Career (Last Position)'!$O63, ""), "", 'Internal Career (Last Position)'!$C63)</f>
        <v>Ario Yulianto Wibowo</v>
      </c>
    </row>
    <row r="64" spans="2:4" x14ac:dyDescent="0.2">
      <c r="B64" s="11">
        <f>IF(EXACT('Internal Career (Last Position)'!$O64, ""), "", 'Internal Career (Last Position)'!$O64)</f>
        <v>164000000000061</v>
      </c>
      <c r="C64" s="37">
        <f>IF(EXACT('Internal Career (Last Position)'!$O64, ""), "", 'Internal Career (Last Position)'!$B64)</f>
        <v>32000000000061</v>
      </c>
      <c r="D64" s="38" t="str">
        <f>IF(EXACT('Internal Career (Last Position)'!$O64, ""), "", 'Internal Career (Last Position)'!$C64)</f>
        <v>Aris Widodo Pamungkas</v>
      </c>
    </row>
    <row r="65" spans="2:4" x14ac:dyDescent="0.2">
      <c r="B65" s="11">
        <f>IF(EXACT('Internal Career (Last Position)'!$O65, ""), "", 'Internal Career (Last Position)'!$O65)</f>
        <v>164000000000062</v>
      </c>
      <c r="C65" s="37">
        <f>IF(EXACT('Internal Career (Last Position)'!$O65, ""), "", 'Internal Career (Last Position)'!$B65)</f>
        <v>32000000000062</v>
      </c>
      <c r="D65" s="38" t="str">
        <f>IF(EXACT('Internal Career (Last Position)'!$O65, ""), "", 'Internal Career (Last Position)'!$C65)</f>
        <v>Arjiyanto</v>
      </c>
    </row>
    <row r="66" spans="2:4" x14ac:dyDescent="0.2">
      <c r="B66" s="11">
        <f>IF(EXACT('Internal Career (Last Position)'!$O66, ""), "", 'Internal Career (Last Position)'!$O66)</f>
        <v>164000000000063</v>
      </c>
      <c r="C66" s="37">
        <f>IF(EXACT('Internal Career (Last Position)'!$O66, ""), "", 'Internal Career (Last Position)'!$B66)</f>
        <v>32000000000063</v>
      </c>
      <c r="D66" s="38" t="str">
        <f>IF(EXACT('Internal Career (Last Position)'!$O66, ""), "", 'Internal Career (Last Position)'!$C66)</f>
        <v>Arman</v>
      </c>
    </row>
    <row r="67" spans="2:4" x14ac:dyDescent="0.2">
      <c r="B67" s="11">
        <f>IF(EXACT('Internal Career (Last Position)'!$O67, ""), "", 'Internal Career (Last Position)'!$O67)</f>
        <v>164000000000064</v>
      </c>
      <c r="C67" s="37">
        <f>IF(EXACT('Internal Career (Last Position)'!$O67, ""), "", 'Internal Career (Last Position)'!$B67)</f>
        <v>32000000000064</v>
      </c>
      <c r="D67" s="38" t="str">
        <f>IF(EXACT('Internal Career (Last Position)'!$O67, ""), "", 'Internal Career (Last Position)'!$C67)</f>
        <v>Aryoko Sudiro</v>
      </c>
    </row>
    <row r="68" spans="2:4" x14ac:dyDescent="0.2">
      <c r="B68" s="11">
        <f>IF(EXACT('Internal Career (Last Position)'!$O68, ""), "", 'Internal Career (Last Position)'!$O68)</f>
        <v>164000000000065</v>
      </c>
      <c r="C68" s="37">
        <f>IF(EXACT('Internal Career (Last Position)'!$O68, ""), "", 'Internal Career (Last Position)'!$B68)</f>
        <v>32000000000065</v>
      </c>
      <c r="D68" s="38" t="str">
        <f>IF(EXACT('Internal Career (Last Position)'!$O68, ""), "", 'Internal Career (Last Position)'!$C68)</f>
        <v>Astamyugo</v>
      </c>
    </row>
    <row r="69" spans="2:4" x14ac:dyDescent="0.2">
      <c r="B69" s="11">
        <f>IF(EXACT('Internal Career (Last Position)'!$O69, ""), "", 'Internal Career (Last Position)'!$O69)</f>
        <v>164000000000066</v>
      </c>
      <c r="C69" s="37">
        <f>IF(EXACT('Internal Career (Last Position)'!$O69, ""), "", 'Internal Career (Last Position)'!$B69)</f>
        <v>32000000000066</v>
      </c>
      <c r="D69" s="38" t="str">
        <f>IF(EXACT('Internal Career (Last Position)'!$O69, ""), "", 'Internal Career (Last Position)'!$C69)</f>
        <v>Atmo Sastro Dinoto</v>
      </c>
    </row>
    <row r="70" spans="2:4" x14ac:dyDescent="0.2">
      <c r="B70" s="11">
        <f>IF(EXACT('Internal Career (Last Position)'!$O70, ""), "", 'Internal Career (Last Position)'!$O70)</f>
        <v>164000000000067</v>
      </c>
      <c r="C70" s="37">
        <f>IF(EXACT('Internal Career (Last Position)'!$O70, ""), "", 'Internal Career (Last Position)'!$B70)</f>
        <v>32000000000067</v>
      </c>
      <c r="D70" s="38" t="str">
        <f>IF(EXACT('Internal Career (Last Position)'!$O70, ""), "", 'Internal Career (Last Position)'!$C70)</f>
        <v>Awaludin</v>
      </c>
    </row>
    <row r="71" spans="2:4" x14ac:dyDescent="0.2">
      <c r="B71" s="11">
        <f>IF(EXACT('Internal Career (Last Position)'!$O71, ""), "", 'Internal Career (Last Position)'!$O71)</f>
        <v>164000000000068</v>
      </c>
      <c r="C71" s="37">
        <f>IF(EXACT('Internal Career (Last Position)'!$O71, ""), "", 'Internal Career (Last Position)'!$B71)</f>
        <v>32000000000068</v>
      </c>
      <c r="D71" s="38" t="str">
        <f>IF(EXACT('Internal Career (Last Position)'!$O71, ""), "", 'Internal Career (Last Position)'!$C71)</f>
        <v>Bachtiar</v>
      </c>
    </row>
    <row r="72" spans="2:4" x14ac:dyDescent="0.2">
      <c r="B72" s="11">
        <f>IF(EXACT('Internal Career (Last Position)'!$O72, ""), "", 'Internal Career (Last Position)'!$O72)</f>
        <v>164000000000069</v>
      </c>
      <c r="C72" s="37">
        <f>IF(EXACT('Internal Career (Last Position)'!$O72, ""), "", 'Internal Career (Last Position)'!$B72)</f>
        <v>32000000000069</v>
      </c>
      <c r="D72" s="38" t="str">
        <f>IF(EXACT('Internal Career (Last Position)'!$O72, ""), "", 'Internal Career (Last Position)'!$C72)</f>
        <v>Bambang Irawan</v>
      </c>
    </row>
    <row r="73" spans="2:4" x14ac:dyDescent="0.2">
      <c r="B73" s="11">
        <f>IF(EXACT('Internal Career (Last Position)'!$O73, ""), "", 'Internal Career (Last Position)'!$O73)</f>
        <v>164000000000070</v>
      </c>
      <c r="C73" s="37">
        <f>IF(EXACT('Internal Career (Last Position)'!$O73, ""), "", 'Internal Career (Last Position)'!$B73)</f>
        <v>32000000000070</v>
      </c>
      <c r="D73" s="38" t="str">
        <f>IF(EXACT('Internal Career (Last Position)'!$O73, ""), "", 'Internal Career (Last Position)'!$C73)</f>
        <v>Bambang Prihatin</v>
      </c>
    </row>
    <row r="74" spans="2:4" x14ac:dyDescent="0.2">
      <c r="B74" s="11">
        <f>IF(EXACT('Internal Career (Last Position)'!$O74, ""), "", 'Internal Career (Last Position)'!$O74)</f>
        <v>164000000000071</v>
      </c>
      <c r="C74" s="37">
        <f>IF(EXACT('Internal Career (Last Position)'!$O74, ""), "", 'Internal Career (Last Position)'!$B74)</f>
        <v>32000000000071</v>
      </c>
      <c r="D74" s="38" t="str">
        <f>IF(EXACT('Internal Career (Last Position)'!$O74, ""), "", 'Internal Career (Last Position)'!$C74)</f>
        <v>Bani Mustazeni</v>
      </c>
    </row>
    <row r="75" spans="2:4" x14ac:dyDescent="0.2">
      <c r="B75" s="11">
        <f>IF(EXACT('Internal Career (Last Position)'!$O75, ""), "", 'Internal Career (Last Position)'!$O75)</f>
        <v>164000000000072</v>
      </c>
      <c r="C75" s="37">
        <f>IF(EXACT('Internal Career (Last Position)'!$O75, ""), "", 'Internal Career (Last Position)'!$B75)</f>
        <v>32000000000072</v>
      </c>
      <c r="D75" s="38" t="str">
        <f>IF(EXACT('Internal Career (Last Position)'!$O75, ""), "", 'Internal Career (Last Position)'!$C75)</f>
        <v>Bardai</v>
      </c>
    </row>
    <row r="76" spans="2:4" x14ac:dyDescent="0.2">
      <c r="B76" s="11">
        <f>IF(EXACT('Internal Career (Last Position)'!$O76, ""), "", 'Internal Career (Last Position)'!$O76)</f>
        <v>164000000000073</v>
      </c>
      <c r="C76" s="37">
        <f>IF(EXACT('Internal Career (Last Position)'!$O76, ""), "", 'Internal Career (Last Position)'!$B76)</f>
        <v>32000000000073</v>
      </c>
      <c r="D76" s="38" t="str">
        <f>IF(EXACT('Internal Career (Last Position)'!$O76, ""), "", 'Internal Career (Last Position)'!$C76)</f>
        <v>Barika</v>
      </c>
    </row>
    <row r="77" spans="2:4" x14ac:dyDescent="0.2">
      <c r="B77" s="11">
        <f>IF(EXACT('Internal Career (Last Position)'!$O77, ""), "", 'Internal Career (Last Position)'!$O77)</f>
        <v>164000000000074</v>
      </c>
      <c r="C77" s="37">
        <f>IF(EXACT('Internal Career (Last Position)'!$O77, ""), "", 'Internal Career (Last Position)'!$B77)</f>
        <v>32000000000074</v>
      </c>
      <c r="D77" s="38" t="str">
        <f>IF(EXACT('Internal Career (Last Position)'!$O77, ""), "", 'Internal Career (Last Position)'!$C77)</f>
        <v>Bela Retmalantika</v>
      </c>
    </row>
    <row r="78" spans="2:4" x14ac:dyDescent="0.2">
      <c r="B78" s="11">
        <f>IF(EXACT('Internal Career (Last Position)'!$O78, ""), "", 'Internal Career (Last Position)'!$O78)</f>
        <v>164000000000075</v>
      </c>
      <c r="C78" s="37">
        <f>IF(EXACT('Internal Career (Last Position)'!$O78, ""), "", 'Internal Career (Last Position)'!$B78)</f>
        <v>32000000000075</v>
      </c>
      <c r="D78" s="38" t="str">
        <f>IF(EXACT('Internal Career (Last Position)'!$O78, ""), "", 'Internal Career (Last Position)'!$C78)</f>
        <v>Belina Lindarwani</v>
      </c>
    </row>
    <row r="79" spans="2:4" x14ac:dyDescent="0.2">
      <c r="B79" s="11">
        <f>IF(EXACT('Internal Career (Last Position)'!$O79, ""), "", 'Internal Career (Last Position)'!$O79)</f>
        <v>164000000000076</v>
      </c>
      <c r="C79" s="37">
        <f>IF(EXACT('Internal Career (Last Position)'!$O79, ""), "", 'Internal Career (Last Position)'!$B79)</f>
        <v>32000000000076</v>
      </c>
      <c r="D79" s="38" t="str">
        <f>IF(EXACT('Internal Career (Last Position)'!$O79, ""), "", 'Internal Career (Last Position)'!$C79)</f>
        <v>Benita Sofia</v>
      </c>
    </row>
    <row r="80" spans="2:4" x14ac:dyDescent="0.2">
      <c r="B80" s="11">
        <f>IF(EXACT('Internal Career (Last Position)'!$O80, ""), "", 'Internal Career (Last Position)'!$O80)</f>
        <v>164000000000077</v>
      </c>
      <c r="C80" s="37">
        <f>IF(EXACT('Internal Career (Last Position)'!$O80, ""), "", 'Internal Career (Last Position)'!$B80)</f>
        <v>32000000000077</v>
      </c>
      <c r="D80" s="38" t="str">
        <f>IF(EXACT('Internal Career (Last Position)'!$O80, ""), "", 'Internal Career (Last Position)'!$C80)</f>
        <v>Bherly Novrandy</v>
      </c>
    </row>
    <row r="81" spans="2:4" x14ac:dyDescent="0.2">
      <c r="B81" s="11">
        <f>IF(EXACT('Internal Career (Last Position)'!$O81, ""), "", 'Internal Career (Last Position)'!$O81)</f>
        <v>164000000000078</v>
      </c>
      <c r="C81" s="37">
        <f>IF(EXACT('Internal Career (Last Position)'!$O81, ""), "", 'Internal Career (Last Position)'!$B81)</f>
        <v>32000000000078</v>
      </c>
      <c r="D81" s="38" t="str">
        <f>IF(EXACT('Internal Career (Last Position)'!$O81, ""), "", 'Internal Career (Last Position)'!$C81)</f>
        <v>Binsar</v>
      </c>
    </row>
    <row r="82" spans="2:4" x14ac:dyDescent="0.2">
      <c r="B82" s="11">
        <f>IF(EXACT('Internal Career (Last Position)'!$O82, ""), "", 'Internal Career (Last Position)'!$O82)</f>
        <v>164000000000079</v>
      </c>
      <c r="C82" s="37">
        <f>IF(EXACT('Internal Career (Last Position)'!$O82, ""), "", 'Internal Career (Last Position)'!$B82)</f>
        <v>32000000000079</v>
      </c>
      <c r="D82" s="38" t="str">
        <f>IF(EXACT('Internal Career (Last Position)'!$O82, ""), "", 'Internal Career (Last Position)'!$C82)</f>
        <v>Bondhan Sosiarta</v>
      </c>
    </row>
    <row r="83" spans="2:4" x14ac:dyDescent="0.2">
      <c r="B83" s="11">
        <f>IF(EXACT('Internal Career (Last Position)'!$O83, ""), "", 'Internal Career (Last Position)'!$O83)</f>
        <v>164000000000080</v>
      </c>
      <c r="C83" s="37">
        <f>IF(EXACT('Internal Career (Last Position)'!$O83, ""), "", 'Internal Career (Last Position)'!$B83)</f>
        <v>32000000000080</v>
      </c>
      <c r="D83" s="38" t="str">
        <f>IF(EXACT('Internal Career (Last Position)'!$O83, ""), "", 'Internal Career (Last Position)'!$C83)</f>
        <v>Budi Pranata Sinaga</v>
      </c>
    </row>
    <row r="84" spans="2:4" x14ac:dyDescent="0.2">
      <c r="B84" s="11">
        <f>IF(EXACT('Internal Career (Last Position)'!$O84, ""), "", 'Internal Career (Last Position)'!$O84)</f>
        <v>164000000000081</v>
      </c>
      <c r="C84" s="37">
        <f>IF(EXACT('Internal Career (Last Position)'!$O84, ""), "", 'Internal Career (Last Position)'!$B84)</f>
        <v>32000000000081</v>
      </c>
      <c r="D84" s="38" t="str">
        <f>IF(EXACT('Internal Career (Last Position)'!$O84, ""), "", 'Internal Career (Last Position)'!$C84)</f>
        <v>Budi Satrio</v>
      </c>
    </row>
    <row r="85" spans="2:4" x14ac:dyDescent="0.2">
      <c r="B85" s="11">
        <f>IF(EXACT('Internal Career (Last Position)'!$O85, ""), "", 'Internal Career (Last Position)'!$O85)</f>
        <v>164000000000082</v>
      </c>
      <c r="C85" s="37">
        <f>IF(EXACT('Internal Career (Last Position)'!$O85, ""), "", 'Internal Career (Last Position)'!$B85)</f>
        <v>32000000000082</v>
      </c>
      <c r="D85" s="38" t="str">
        <f>IF(EXACT('Internal Career (Last Position)'!$O85, ""), "", 'Internal Career (Last Position)'!$C85)</f>
        <v>Budianto</v>
      </c>
    </row>
    <row r="86" spans="2:4" x14ac:dyDescent="0.2">
      <c r="B86" s="11">
        <f>IF(EXACT('Internal Career (Last Position)'!$O86, ""), "", 'Internal Career (Last Position)'!$O86)</f>
        <v>164000000000083</v>
      </c>
      <c r="C86" s="37">
        <f>IF(EXACT('Internal Career (Last Position)'!$O86, ""), "", 'Internal Career (Last Position)'!$B86)</f>
        <v>32000000000083</v>
      </c>
      <c r="D86" s="38" t="str">
        <f>IF(EXACT('Internal Career (Last Position)'!$O86, ""), "", 'Internal Career (Last Position)'!$C86)</f>
        <v>Budiman</v>
      </c>
    </row>
    <row r="87" spans="2:4" x14ac:dyDescent="0.2">
      <c r="B87" s="11">
        <f>IF(EXACT('Internal Career (Last Position)'!$O87, ""), "", 'Internal Career (Last Position)'!$O87)</f>
        <v>164000000000084</v>
      </c>
      <c r="C87" s="37">
        <f>IF(EXACT('Internal Career (Last Position)'!$O87, ""), "", 'Internal Career (Last Position)'!$B87)</f>
        <v>32000000000084</v>
      </c>
      <c r="D87" s="38" t="str">
        <f>IF(EXACT('Internal Career (Last Position)'!$O87, ""), "", 'Internal Career (Last Position)'!$C87)</f>
        <v>Cahyaning Annisa</v>
      </c>
    </row>
    <row r="88" spans="2:4" x14ac:dyDescent="0.2">
      <c r="B88" s="11">
        <f>IF(EXACT('Internal Career (Last Position)'!$O88, ""), "", 'Internal Career (Last Position)'!$O88)</f>
        <v>164000000000085</v>
      </c>
      <c r="C88" s="37">
        <f>IF(EXACT('Internal Career (Last Position)'!$O88, ""), "", 'Internal Career (Last Position)'!$B88)</f>
        <v>32000000000085</v>
      </c>
      <c r="D88" s="38" t="str">
        <f>IF(EXACT('Internal Career (Last Position)'!$O88, ""), "", 'Internal Career (Last Position)'!$C88)</f>
        <v>Cahyaningrum Widiastuti</v>
      </c>
    </row>
    <row r="89" spans="2:4" x14ac:dyDescent="0.2">
      <c r="B89" s="11">
        <f>IF(EXACT('Internal Career (Last Position)'!$O89, ""), "", 'Internal Career (Last Position)'!$O89)</f>
        <v>164000000000086</v>
      </c>
      <c r="C89" s="37">
        <f>IF(EXACT('Internal Career (Last Position)'!$O89, ""), "", 'Internal Career (Last Position)'!$B89)</f>
        <v>32000000000086</v>
      </c>
      <c r="D89" s="38" t="str">
        <f>IF(EXACT('Internal Career (Last Position)'!$O89, ""), "", 'Internal Career (Last Position)'!$C89)</f>
        <v>Cecep Maulana</v>
      </c>
    </row>
    <row r="90" spans="2:4" x14ac:dyDescent="0.2">
      <c r="B90" s="11">
        <f>IF(EXACT('Internal Career (Last Position)'!$O90, ""), "", 'Internal Career (Last Position)'!$O90)</f>
        <v>164000000000087</v>
      </c>
      <c r="C90" s="37">
        <f>IF(EXACT('Internal Career (Last Position)'!$O90, ""), "", 'Internal Career (Last Position)'!$B90)</f>
        <v>32000000000087</v>
      </c>
      <c r="D90" s="38" t="str">
        <f>IF(EXACT('Internal Career (Last Position)'!$O90, ""), "", 'Internal Career (Last Position)'!$C90)</f>
        <v>Chairul Musaddat</v>
      </c>
    </row>
    <row r="91" spans="2:4" x14ac:dyDescent="0.2">
      <c r="B91" s="11">
        <f>IF(EXACT('Internal Career (Last Position)'!$O91, ""), "", 'Internal Career (Last Position)'!$O91)</f>
        <v>164000000000088</v>
      </c>
      <c r="C91" s="37">
        <f>IF(EXACT('Internal Career (Last Position)'!$O91, ""), "", 'Internal Career (Last Position)'!$B91)</f>
        <v>32000000000088</v>
      </c>
      <c r="D91" s="38" t="str">
        <f>IF(EXACT('Internal Career (Last Position)'!$O91, ""), "", 'Internal Career (Last Position)'!$C91)</f>
        <v>Christianto</v>
      </c>
    </row>
    <row r="92" spans="2:4" x14ac:dyDescent="0.2">
      <c r="B92" s="11">
        <f>IF(EXACT('Internal Career (Last Position)'!$O92, ""), "", 'Internal Career (Last Position)'!$O92)</f>
        <v>164000000000089</v>
      </c>
      <c r="C92" s="37">
        <f>IF(EXACT('Internal Career (Last Position)'!$O92, ""), "", 'Internal Career (Last Position)'!$B92)</f>
        <v>32000000000089</v>
      </c>
      <c r="D92" s="38" t="str">
        <f>IF(EXACT('Internal Career (Last Position)'!$O92, ""), "", 'Internal Career (Last Position)'!$C92)</f>
        <v>Dadan Hermawan</v>
      </c>
    </row>
    <row r="93" spans="2:4" x14ac:dyDescent="0.2">
      <c r="B93" s="11">
        <f>IF(EXACT('Internal Career (Last Position)'!$O93, ""), "", 'Internal Career (Last Position)'!$O93)</f>
        <v>164000000000090</v>
      </c>
      <c r="C93" s="37">
        <f>IF(EXACT('Internal Career (Last Position)'!$O93, ""), "", 'Internal Career (Last Position)'!$B93)</f>
        <v>32000000000090</v>
      </c>
      <c r="D93" s="38" t="str">
        <f>IF(EXACT('Internal Career (Last Position)'!$O93, ""), "", 'Internal Career (Last Position)'!$C93)</f>
        <v>Dadan Suhendar</v>
      </c>
    </row>
    <row r="94" spans="2:4" x14ac:dyDescent="0.2">
      <c r="B94" s="11">
        <f>IF(EXACT('Internal Career (Last Position)'!$O94, ""), "", 'Internal Career (Last Position)'!$O94)</f>
        <v>164000000000091</v>
      </c>
      <c r="C94" s="37">
        <f>IF(EXACT('Internal Career (Last Position)'!$O94, ""), "", 'Internal Career (Last Position)'!$B94)</f>
        <v>32000000000091</v>
      </c>
      <c r="D94" s="38" t="str">
        <f>IF(EXACT('Internal Career (Last Position)'!$O94, ""), "", 'Internal Career (Last Position)'!$C94)</f>
        <v>Dadi Anda Zuchradi</v>
      </c>
    </row>
    <row r="95" spans="2:4" x14ac:dyDescent="0.2">
      <c r="B95" s="11">
        <f>IF(EXACT('Internal Career (Last Position)'!$O95, ""), "", 'Internal Career (Last Position)'!$O95)</f>
        <v>164000000000092</v>
      </c>
      <c r="C95" s="37">
        <f>IF(EXACT('Internal Career (Last Position)'!$O95, ""), "", 'Internal Career (Last Position)'!$B95)</f>
        <v>32000000000092</v>
      </c>
      <c r="D95" s="38" t="str">
        <f>IF(EXACT('Internal Career (Last Position)'!$O95, ""), "", 'Internal Career (Last Position)'!$C95)</f>
        <v>Darsito</v>
      </c>
    </row>
    <row r="96" spans="2:4" x14ac:dyDescent="0.2">
      <c r="B96" s="11">
        <f>IF(EXACT('Internal Career (Last Position)'!$O96, ""), "", 'Internal Career (Last Position)'!$O96)</f>
        <v>164000000000093</v>
      </c>
      <c r="C96" s="37">
        <f>IF(EXACT('Internal Career (Last Position)'!$O96, ""), "", 'Internal Career (Last Position)'!$B96)</f>
        <v>32000000000093</v>
      </c>
      <c r="D96" s="38" t="str">
        <f>IF(EXACT('Internal Career (Last Position)'!$O96, ""), "", 'Internal Career (Last Position)'!$C96)</f>
        <v>Davit Lumban Gaol</v>
      </c>
    </row>
    <row r="97" spans="2:4" x14ac:dyDescent="0.2">
      <c r="B97" s="11">
        <f>IF(EXACT('Internal Career (Last Position)'!$O97, ""), "", 'Internal Career (Last Position)'!$O97)</f>
        <v>164000000000094</v>
      </c>
      <c r="C97" s="37">
        <f>IF(EXACT('Internal Career (Last Position)'!$O97, ""), "", 'Internal Career (Last Position)'!$B97)</f>
        <v>32000000000094</v>
      </c>
      <c r="D97" s="38" t="str">
        <f>IF(EXACT('Internal Career (Last Position)'!$O97, ""), "", 'Internal Career (Last Position)'!$C97)</f>
        <v>Deddy Rochman</v>
      </c>
    </row>
    <row r="98" spans="2:4" x14ac:dyDescent="0.2">
      <c r="B98" s="11">
        <f>IF(EXACT('Internal Career (Last Position)'!$O98, ""), "", 'Internal Career (Last Position)'!$O98)</f>
        <v>164000000000095</v>
      </c>
      <c r="C98" s="37">
        <f>IF(EXACT('Internal Career (Last Position)'!$O98, ""), "", 'Internal Career (Last Position)'!$B98)</f>
        <v>32000000000095</v>
      </c>
      <c r="D98" s="38" t="str">
        <f>IF(EXACT('Internal Career (Last Position)'!$O98, ""), "", 'Internal Career (Last Position)'!$C98)</f>
        <v>Dedi Kusnadi</v>
      </c>
    </row>
    <row r="99" spans="2:4" x14ac:dyDescent="0.2">
      <c r="B99" s="11">
        <f>IF(EXACT('Internal Career (Last Position)'!$O99, ""), "", 'Internal Career (Last Position)'!$O99)</f>
        <v>164000000000096</v>
      </c>
      <c r="C99" s="37">
        <f>IF(EXACT('Internal Career (Last Position)'!$O99, ""), "", 'Internal Career (Last Position)'!$B99)</f>
        <v>32000000000096</v>
      </c>
      <c r="D99" s="38" t="str">
        <f>IF(EXACT('Internal Career (Last Position)'!$O99, ""), "", 'Internal Career (Last Position)'!$C99)</f>
        <v>Dedi Marciano Rizanur</v>
      </c>
    </row>
    <row r="100" spans="2:4" x14ac:dyDescent="0.2">
      <c r="B100" s="11">
        <f>IF(EXACT('Internal Career (Last Position)'!$O100, ""), "", 'Internal Career (Last Position)'!$O100)</f>
        <v>164000000000097</v>
      </c>
      <c r="C100" s="37">
        <f>IF(EXACT('Internal Career (Last Position)'!$O100, ""), "", 'Internal Career (Last Position)'!$B100)</f>
        <v>32000000000097</v>
      </c>
      <c r="D100" s="38" t="str">
        <f>IF(EXACT('Internal Career (Last Position)'!$O100, ""), "", 'Internal Career (Last Position)'!$C100)</f>
        <v>Dedi Rianto</v>
      </c>
    </row>
    <row r="101" spans="2:4" x14ac:dyDescent="0.2">
      <c r="B101" s="11">
        <f>IF(EXACT('Internal Career (Last Position)'!$O101, ""), "", 'Internal Career (Last Position)'!$O101)</f>
        <v>164000000000098</v>
      </c>
      <c r="C101" s="37">
        <f>IF(EXACT('Internal Career (Last Position)'!$O101, ""), "", 'Internal Career (Last Position)'!$B101)</f>
        <v>32000000000098</v>
      </c>
      <c r="D101" s="38" t="str">
        <f>IF(EXACT('Internal Career (Last Position)'!$O101, ""), "", 'Internal Career (Last Position)'!$C101)</f>
        <v>Dedi Syahputra</v>
      </c>
    </row>
    <row r="102" spans="2:4" x14ac:dyDescent="0.2">
      <c r="B102" s="11">
        <f>IF(EXACT('Internal Career (Last Position)'!$O102, ""), "", 'Internal Career (Last Position)'!$O102)</f>
        <v>164000000000099</v>
      </c>
      <c r="C102" s="37">
        <f>IF(EXACT('Internal Career (Last Position)'!$O102, ""), "", 'Internal Career (Last Position)'!$B102)</f>
        <v>32000000000099</v>
      </c>
      <c r="D102" s="38" t="str">
        <f>IF(EXACT('Internal Career (Last Position)'!$O102, ""), "", 'Internal Career (Last Position)'!$C102)</f>
        <v>Deni Setiawan</v>
      </c>
    </row>
    <row r="103" spans="2:4" x14ac:dyDescent="0.2">
      <c r="B103" s="11">
        <f>IF(EXACT('Internal Career (Last Position)'!$O103, ""), "", 'Internal Career (Last Position)'!$O103)</f>
        <v>164000000000100</v>
      </c>
      <c r="C103" s="37">
        <f>IF(EXACT('Internal Career (Last Position)'!$O103, ""), "", 'Internal Career (Last Position)'!$B103)</f>
        <v>32000000000100</v>
      </c>
      <c r="D103" s="38" t="str">
        <f>IF(EXACT('Internal Career (Last Position)'!$O103, ""), "", 'Internal Career (Last Position)'!$C103)</f>
        <v>Deny Adi Purnama</v>
      </c>
    </row>
    <row r="104" spans="2:4" x14ac:dyDescent="0.2">
      <c r="B104" s="11">
        <f>IF(EXACT('Internal Career (Last Position)'!$O104, ""), "", 'Internal Career (Last Position)'!$O104)</f>
        <v>164000000000101</v>
      </c>
      <c r="C104" s="37">
        <f>IF(EXACT('Internal Career (Last Position)'!$O104, ""), "", 'Internal Career (Last Position)'!$B104)</f>
        <v>32000000000101</v>
      </c>
      <c r="D104" s="38" t="str">
        <f>IF(EXACT('Internal Career (Last Position)'!$O104, ""), "", 'Internal Career (Last Position)'!$C104)</f>
        <v>Desi Herawati</v>
      </c>
    </row>
    <row r="105" spans="2:4" x14ac:dyDescent="0.2">
      <c r="B105" s="11">
        <f>IF(EXACT('Internal Career (Last Position)'!$O105, ""), "", 'Internal Career (Last Position)'!$O105)</f>
        <v>164000000000102</v>
      </c>
      <c r="C105" s="37">
        <f>IF(EXACT('Internal Career (Last Position)'!$O105, ""), "", 'Internal Career (Last Position)'!$B105)</f>
        <v>32000000000102</v>
      </c>
      <c r="D105" s="38" t="str">
        <f>IF(EXACT('Internal Career (Last Position)'!$O105, ""), "", 'Internal Career (Last Position)'!$C105)</f>
        <v>Desi Setiowati</v>
      </c>
    </row>
    <row r="106" spans="2:4" x14ac:dyDescent="0.2">
      <c r="B106" s="11">
        <f>IF(EXACT('Internal Career (Last Position)'!$O106, ""), "", 'Internal Career (Last Position)'!$O106)</f>
        <v>164000000000103</v>
      </c>
      <c r="C106" s="37">
        <f>IF(EXACT('Internal Career (Last Position)'!$O106, ""), "", 'Internal Career (Last Position)'!$B106)</f>
        <v>32000000000103</v>
      </c>
      <c r="D106" s="38" t="str">
        <f>IF(EXACT('Internal Career (Last Position)'!$O106, ""), "", 'Internal Career (Last Position)'!$C106)</f>
        <v>Dian Firdaus</v>
      </c>
    </row>
    <row r="107" spans="2:4" x14ac:dyDescent="0.2">
      <c r="B107" s="11">
        <f>IF(EXACT('Internal Career (Last Position)'!$O107, ""), "", 'Internal Career (Last Position)'!$O107)</f>
        <v>164000000000104</v>
      </c>
      <c r="C107" s="37">
        <f>IF(EXACT('Internal Career (Last Position)'!$O107, ""), "", 'Internal Career (Last Position)'!$B107)</f>
        <v>32000000000104</v>
      </c>
      <c r="D107" s="38" t="str">
        <f>IF(EXACT('Internal Career (Last Position)'!$O107, ""), "", 'Internal Career (Last Position)'!$C107)</f>
        <v>Dian Hariyana</v>
      </c>
    </row>
    <row r="108" spans="2:4" x14ac:dyDescent="0.2">
      <c r="B108" s="11">
        <f>IF(EXACT('Internal Career (Last Position)'!$O108, ""), "", 'Internal Career (Last Position)'!$O108)</f>
        <v>164000000000105</v>
      </c>
      <c r="C108" s="37">
        <f>IF(EXACT('Internal Career (Last Position)'!$O108, ""), "", 'Internal Career (Last Position)'!$B108)</f>
        <v>32000000000105</v>
      </c>
      <c r="D108" s="38" t="str">
        <f>IF(EXACT('Internal Career (Last Position)'!$O108, ""), "", 'Internal Career (Last Position)'!$C108)</f>
        <v>Dinnar Budiarti</v>
      </c>
    </row>
    <row r="109" spans="2:4" x14ac:dyDescent="0.2">
      <c r="B109" s="11">
        <f>IF(EXACT('Internal Career (Last Position)'!$O109, ""), "", 'Internal Career (Last Position)'!$O109)</f>
        <v>164000000000106</v>
      </c>
      <c r="C109" s="37">
        <f>IF(EXACT('Internal Career (Last Position)'!$O109, ""), "", 'Internal Career (Last Position)'!$B109)</f>
        <v>32000000000106</v>
      </c>
      <c r="D109" s="38" t="str">
        <f>IF(EXACT('Internal Career (Last Position)'!$O109, ""), "", 'Internal Career (Last Position)'!$C109)</f>
        <v>Dionesius Sostenist Duka</v>
      </c>
    </row>
    <row r="110" spans="2:4" x14ac:dyDescent="0.2">
      <c r="B110" s="11">
        <f>IF(EXACT('Internal Career (Last Position)'!$O110, ""), "", 'Internal Career (Last Position)'!$O110)</f>
        <v>164000000000107</v>
      </c>
      <c r="C110" s="37">
        <f>IF(EXACT('Internal Career (Last Position)'!$O110, ""), "", 'Internal Career (Last Position)'!$B110)</f>
        <v>32000000000107</v>
      </c>
      <c r="D110" s="38" t="str">
        <f>IF(EXACT('Internal Career (Last Position)'!$O110, ""), "", 'Internal Career (Last Position)'!$C110)</f>
        <v>Diyah Martina</v>
      </c>
    </row>
    <row r="111" spans="2:4" x14ac:dyDescent="0.2">
      <c r="B111" s="11">
        <f>IF(EXACT('Internal Career (Last Position)'!$O111, ""), "", 'Internal Career (Last Position)'!$O111)</f>
        <v>164000000000108</v>
      </c>
      <c r="C111" s="37">
        <f>IF(EXACT('Internal Career (Last Position)'!$O111, ""), "", 'Internal Career (Last Position)'!$B111)</f>
        <v>32000000000108</v>
      </c>
      <c r="D111" s="38" t="str">
        <f>IF(EXACT('Internal Career (Last Position)'!$O111, ""), "", 'Internal Career (Last Position)'!$C111)</f>
        <v>Djuang Tampubolon</v>
      </c>
    </row>
    <row r="112" spans="2:4" x14ac:dyDescent="0.2">
      <c r="B112" s="11">
        <f>IF(EXACT('Internal Career (Last Position)'!$O112, ""), "", 'Internal Career (Last Position)'!$O112)</f>
        <v>164000000000109</v>
      </c>
      <c r="C112" s="37">
        <f>IF(EXACT('Internal Career (Last Position)'!$O112, ""), "", 'Internal Career (Last Position)'!$B112)</f>
        <v>32000000000109</v>
      </c>
      <c r="D112" s="38" t="str">
        <f>IF(EXACT('Internal Career (Last Position)'!$O112, ""), "", 'Internal Career (Last Position)'!$C112)</f>
        <v>Dodit Widiarto</v>
      </c>
    </row>
    <row r="113" spans="2:4" x14ac:dyDescent="0.2">
      <c r="B113" s="11">
        <f>IF(EXACT('Internal Career (Last Position)'!$O113, ""), "", 'Internal Career (Last Position)'!$O113)</f>
        <v>164000000000110</v>
      </c>
      <c r="C113" s="37">
        <f>IF(EXACT('Internal Career (Last Position)'!$O113, ""), "", 'Internal Career (Last Position)'!$B113)</f>
        <v>32000000000110</v>
      </c>
      <c r="D113" s="38" t="str">
        <f>IF(EXACT('Internal Career (Last Position)'!$O113, ""), "", 'Internal Career (Last Position)'!$C113)</f>
        <v>Dony Darmawan</v>
      </c>
    </row>
    <row r="114" spans="2:4" x14ac:dyDescent="0.2">
      <c r="B114" s="11">
        <f>IF(EXACT('Internal Career (Last Position)'!$O114, ""), "", 'Internal Career (Last Position)'!$O114)</f>
        <v>164000000000111</v>
      </c>
      <c r="C114" s="37">
        <f>IF(EXACT('Internal Career (Last Position)'!$O114, ""), "", 'Internal Career (Last Position)'!$B114)</f>
        <v>32000000000111</v>
      </c>
      <c r="D114" s="38" t="str">
        <f>IF(EXACT('Internal Career (Last Position)'!$O114, ""), "", 'Internal Career (Last Position)'!$C114)</f>
        <v>Dony Setiawan</v>
      </c>
    </row>
    <row r="115" spans="2:4" x14ac:dyDescent="0.2">
      <c r="B115" s="11">
        <f>IF(EXACT('Internal Career (Last Position)'!$O115, ""), "", 'Internal Career (Last Position)'!$O115)</f>
        <v>164000000000112</v>
      </c>
      <c r="C115" s="37">
        <f>IF(EXACT('Internal Career (Last Position)'!$O115, ""), "", 'Internal Career (Last Position)'!$B115)</f>
        <v>32000000000112</v>
      </c>
      <c r="D115" s="38" t="str">
        <f>IF(EXACT('Internal Career (Last Position)'!$O115, ""), "", 'Internal Career (Last Position)'!$C115)</f>
        <v>Dudi Rustandi</v>
      </c>
    </row>
    <row r="116" spans="2:4" x14ac:dyDescent="0.2">
      <c r="B116" s="11">
        <f>IF(EXACT('Internal Career (Last Position)'!$O116, ""), "", 'Internal Career (Last Position)'!$O116)</f>
        <v>164000000000113</v>
      </c>
      <c r="C116" s="37">
        <f>IF(EXACT('Internal Career (Last Position)'!$O116, ""), "", 'Internal Career (Last Position)'!$B116)</f>
        <v>32000000000113</v>
      </c>
      <c r="D116" s="38" t="str">
        <f>IF(EXACT('Internal Career (Last Position)'!$O116, ""), "", 'Internal Career (Last Position)'!$C116)</f>
        <v>Dudung</v>
      </c>
    </row>
    <row r="117" spans="2:4" x14ac:dyDescent="0.2">
      <c r="B117" s="11">
        <f>IF(EXACT('Internal Career (Last Position)'!$O117, ""), "", 'Internal Career (Last Position)'!$O117)</f>
        <v>164000000000114</v>
      </c>
      <c r="C117" s="37">
        <f>IF(EXACT('Internal Career (Last Position)'!$O117, ""), "", 'Internal Career (Last Position)'!$B117)</f>
        <v>32000000000114</v>
      </c>
      <c r="D117" s="38" t="str">
        <f>IF(EXACT('Internal Career (Last Position)'!$O117, ""), "", 'Internal Career (Last Position)'!$C117)</f>
        <v>Dwi Joko Setio Tjaroko</v>
      </c>
    </row>
    <row r="118" spans="2:4" x14ac:dyDescent="0.2">
      <c r="B118" s="11">
        <f>IF(EXACT('Internal Career (Last Position)'!$O118, ""), "", 'Internal Career (Last Position)'!$O118)</f>
        <v>164000000000115</v>
      </c>
      <c r="C118" s="37">
        <f>IF(EXACT('Internal Career (Last Position)'!$O118, ""), "", 'Internal Career (Last Position)'!$B118)</f>
        <v>32000000000115</v>
      </c>
      <c r="D118" s="38" t="str">
        <f>IF(EXACT('Internal Career (Last Position)'!$O118, ""), "", 'Internal Career (Last Position)'!$C118)</f>
        <v>Dwinanto Prabowo</v>
      </c>
    </row>
    <row r="119" spans="2:4" x14ac:dyDescent="0.2">
      <c r="B119" s="11">
        <f>IF(EXACT('Internal Career (Last Position)'!$O119, ""), "", 'Internal Career (Last Position)'!$O119)</f>
        <v>164000000000116</v>
      </c>
      <c r="C119" s="37">
        <f>IF(EXACT('Internal Career (Last Position)'!$O119, ""), "", 'Internal Career (Last Position)'!$B119)</f>
        <v>32000000000116</v>
      </c>
      <c r="D119" s="38" t="str">
        <f>IF(EXACT('Internal Career (Last Position)'!$O119, ""), "", 'Internal Career (Last Position)'!$C119)</f>
        <v>Edi Waluyo</v>
      </c>
    </row>
    <row r="120" spans="2:4" x14ac:dyDescent="0.2">
      <c r="B120" s="11">
        <f>IF(EXACT('Internal Career (Last Position)'!$O120, ""), "", 'Internal Career (Last Position)'!$O120)</f>
        <v>164000000000117</v>
      </c>
      <c r="C120" s="37">
        <f>IF(EXACT('Internal Career (Last Position)'!$O120, ""), "", 'Internal Career (Last Position)'!$B120)</f>
        <v>32000000000117</v>
      </c>
      <c r="D120" s="38" t="str">
        <f>IF(EXACT('Internal Career (Last Position)'!$O120, ""), "", 'Internal Career (Last Position)'!$C120)</f>
        <v>Edi Siswanto</v>
      </c>
    </row>
    <row r="121" spans="2:4" x14ac:dyDescent="0.2">
      <c r="B121" s="11">
        <f>IF(EXACT('Internal Career (Last Position)'!$O121, ""), "", 'Internal Career (Last Position)'!$O121)</f>
        <v>164000000000118</v>
      </c>
      <c r="C121" s="37">
        <f>IF(EXACT('Internal Career (Last Position)'!$O121, ""), "", 'Internal Career (Last Position)'!$B121)</f>
        <v>32000000000118</v>
      </c>
      <c r="D121" s="38" t="str">
        <f>IF(EXACT('Internal Career (Last Position)'!$O121, ""), "", 'Internal Career (Last Position)'!$C121)</f>
        <v>Edi Turnip</v>
      </c>
    </row>
    <row r="122" spans="2:4" x14ac:dyDescent="0.2">
      <c r="B122" s="11">
        <f>IF(EXACT('Internal Career (Last Position)'!$O122, ""), "", 'Internal Career (Last Position)'!$O122)</f>
        <v>164000000000119</v>
      </c>
      <c r="C122" s="37">
        <f>IF(EXACT('Internal Career (Last Position)'!$O122, ""), "", 'Internal Career (Last Position)'!$B122)</f>
        <v>32000000000119</v>
      </c>
      <c r="D122" s="38" t="str">
        <f>IF(EXACT('Internal Career (Last Position)'!$O122, ""), "", 'Internal Career (Last Position)'!$C122)</f>
        <v>Edy Putra Waskita</v>
      </c>
    </row>
    <row r="123" spans="2:4" x14ac:dyDescent="0.2">
      <c r="B123" s="11">
        <f>IF(EXACT('Internal Career (Last Position)'!$O123, ""), "", 'Internal Career (Last Position)'!$O123)</f>
        <v>164000000000120</v>
      </c>
      <c r="C123" s="37">
        <f>IF(EXACT('Internal Career (Last Position)'!$O123, ""), "", 'Internal Career (Last Position)'!$B123)</f>
        <v>32000000000120</v>
      </c>
      <c r="D123" s="38" t="str">
        <f>IF(EXACT('Internal Career (Last Position)'!$O123, ""), "", 'Internal Career (Last Position)'!$C123)</f>
        <v>Edy Syahputra Situmeang</v>
      </c>
    </row>
    <row r="124" spans="2:4" x14ac:dyDescent="0.2">
      <c r="B124" s="11">
        <f>IF(EXACT('Internal Career (Last Position)'!$O124, ""), "", 'Internal Career (Last Position)'!$O124)</f>
        <v>164000000000121</v>
      </c>
      <c r="C124" s="37">
        <f>IF(EXACT('Internal Career (Last Position)'!$O124, ""), "", 'Internal Career (Last Position)'!$B124)</f>
        <v>32000000000121</v>
      </c>
      <c r="D124" s="38" t="str">
        <f>IF(EXACT('Internal Career (Last Position)'!$O124, ""), "", 'Internal Career (Last Position)'!$C124)</f>
        <v>Effendi fendi</v>
      </c>
    </row>
    <row r="125" spans="2:4" x14ac:dyDescent="0.2">
      <c r="B125" s="11">
        <f>IF(EXACT('Internal Career (Last Position)'!$O125, ""), "", 'Internal Career (Last Position)'!$O125)</f>
        <v>164000000000122</v>
      </c>
      <c r="C125" s="37">
        <f>IF(EXACT('Internal Career (Last Position)'!$O125, ""), "", 'Internal Career (Last Position)'!$B125)</f>
        <v>32000000000122</v>
      </c>
      <c r="D125" s="38" t="str">
        <f>IF(EXACT('Internal Career (Last Position)'!$O125, ""), "", 'Internal Career (Last Position)'!$C125)</f>
        <v>Efrina Dwililia</v>
      </c>
    </row>
    <row r="126" spans="2:4" x14ac:dyDescent="0.2">
      <c r="B126" s="11">
        <f>IF(EXACT('Internal Career (Last Position)'!$O126, ""), "", 'Internal Career (Last Position)'!$O126)</f>
        <v>164000000000123</v>
      </c>
      <c r="C126" s="37">
        <f>IF(EXACT('Internal Career (Last Position)'!$O126, ""), "", 'Internal Career (Last Position)'!$B126)</f>
        <v>32000000000123</v>
      </c>
      <c r="D126" s="38" t="str">
        <f>IF(EXACT('Internal Career (Last Position)'!$O126, ""), "", 'Internal Career (Last Position)'!$C126)</f>
        <v>Eka Bagus Dwi Putra</v>
      </c>
    </row>
    <row r="127" spans="2:4" x14ac:dyDescent="0.2">
      <c r="B127" s="11">
        <f>IF(EXACT('Internal Career (Last Position)'!$O127, ""), "", 'Internal Career (Last Position)'!$O127)</f>
        <v>164000000000124</v>
      </c>
      <c r="C127" s="37">
        <f>IF(EXACT('Internal Career (Last Position)'!$O127, ""), "", 'Internal Career (Last Position)'!$B127)</f>
        <v>32000000000124</v>
      </c>
      <c r="D127" s="38" t="str">
        <f>IF(EXACT('Internal Career (Last Position)'!$O127, ""), "", 'Internal Career (Last Position)'!$C127)</f>
        <v>Eka Hamidah</v>
      </c>
    </row>
    <row r="128" spans="2:4" x14ac:dyDescent="0.2">
      <c r="B128" s="11">
        <f>IF(EXACT('Internal Career (Last Position)'!$O128, ""), "", 'Internal Career (Last Position)'!$O128)</f>
        <v>164000000000125</v>
      </c>
      <c r="C128" s="37">
        <f>IF(EXACT('Internal Career (Last Position)'!$O128, ""), "", 'Internal Career (Last Position)'!$B128)</f>
        <v>32000000000125</v>
      </c>
      <c r="D128" s="38" t="str">
        <f>IF(EXACT('Internal Career (Last Position)'!$O128, ""), "", 'Internal Career (Last Position)'!$C128)</f>
        <v>Eka Purwanti</v>
      </c>
    </row>
    <row r="129" spans="2:4" x14ac:dyDescent="0.2">
      <c r="B129" s="11">
        <f>IF(EXACT('Internal Career (Last Position)'!$O129, ""), "", 'Internal Career (Last Position)'!$O129)</f>
        <v>164000000000126</v>
      </c>
      <c r="C129" s="37">
        <f>IF(EXACT('Internal Career (Last Position)'!$O129, ""), "", 'Internal Career (Last Position)'!$B129)</f>
        <v>32000000000126</v>
      </c>
      <c r="D129" s="38" t="str">
        <f>IF(EXACT('Internal Career (Last Position)'!$O129, ""), "", 'Internal Career (Last Position)'!$C129)</f>
        <v>Eka Kurniawan Hidayatullah</v>
      </c>
    </row>
    <row r="130" spans="2:4" x14ac:dyDescent="0.2">
      <c r="B130" s="11">
        <f>IF(EXACT('Internal Career (Last Position)'!$O130, ""), "", 'Internal Career (Last Position)'!$O130)</f>
        <v>164000000000127</v>
      </c>
      <c r="C130" s="37">
        <f>IF(EXACT('Internal Career (Last Position)'!$O130, ""), "", 'Internal Career (Last Position)'!$B130)</f>
        <v>32000000000127</v>
      </c>
      <c r="D130" s="38" t="str">
        <f>IF(EXACT('Internal Career (Last Position)'!$O130, ""), "", 'Internal Career (Last Position)'!$C130)</f>
        <v>Eko Laksono</v>
      </c>
    </row>
    <row r="131" spans="2:4" x14ac:dyDescent="0.2">
      <c r="B131" s="11">
        <f>IF(EXACT('Internal Career (Last Position)'!$O131, ""), "", 'Internal Career (Last Position)'!$O131)</f>
        <v>164000000000128</v>
      </c>
      <c r="C131" s="37">
        <f>IF(EXACT('Internal Career (Last Position)'!$O131, ""), "", 'Internal Career (Last Position)'!$B131)</f>
        <v>32000000000128</v>
      </c>
      <c r="D131" s="38" t="str">
        <f>IF(EXACT('Internal Career (Last Position)'!$O131, ""), "", 'Internal Career (Last Position)'!$C131)</f>
        <v>Eko Syambudi</v>
      </c>
    </row>
    <row r="132" spans="2:4" x14ac:dyDescent="0.2">
      <c r="B132" s="11">
        <f>IF(EXACT('Internal Career (Last Position)'!$O132, ""), "", 'Internal Career (Last Position)'!$O132)</f>
        <v>164000000000129</v>
      </c>
      <c r="C132" s="37">
        <f>IF(EXACT('Internal Career (Last Position)'!$O132, ""), "", 'Internal Career (Last Position)'!$B132)</f>
        <v>32000000000129</v>
      </c>
      <c r="D132" s="38" t="str">
        <f>IF(EXACT('Internal Career (Last Position)'!$O132, ""), "", 'Internal Career (Last Position)'!$C132)</f>
        <v>Elieser Ferdy P.</v>
      </c>
    </row>
    <row r="133" spans="2:4" x14ac:dyDescent="0.2">
      <c r="B133" s="11">
        <f>IF(EXACT('Internal Career (Last Position)'!$O133, ""), "", 'Internal Career (Last Position)'!$O133)</f>
        <v>164000000000130</v>
      </c>
      <c r="C133" s="37">
        <f>IF(EXACT('Internal Career (Last Position)'!$O133, ""), "", 'Internal Career (Last Position)'!$B133)</f>
        <v>32000000000130</v>
      </c>
      <c r="D133" s="38" t="str">
        <f>IF(EXACT('Internal Career (Last Position)'!$O133, ""), "", 'Internal Career (Last Position)'!$C133)</f>
        <v>Elisa</v>
      </c>
    </row>
    <row r="134" spans="2:4" x14ac:dyDescent="0.2">
      <c r="B134" s="11">
        <f>IF(EXACT('Internal Career (Last Position)'!$O134, ""), "", 'Internal Career (Last Position)'!$O134)</f>
        <v>164000000000131</v>
      </c>
      <c r="C134" s="37">
        <f>IF(EXACT('Internal Career (Last Position)'!$O134, ""), "", 'Internal Career (Last Position)'!$B134)</f>
        <v>32000000000131</v>
      </c>
      <c r="D134" s="38" t="str">
        <f>IF(EXACT('Internal Career (Last Position)'!$O134, ""), "", 'Internal Career (Last Position)'!$C134)</f>
        <v>Elsa Jayanti</v>
      </c>
    </row>
    <row r="135" spans="2:4" x14ac:dyDescent="0.2">
      <c r="B135" s="11">
        <f>IF(EXACT('Internal Career (Last Position)'!$O135, ""), "", 'Internal Career (Last Position)'!$O135)</f>
        <v>164000000000132</v>
      </c>
      <c r="C135" s="37">
        <f>IF(EXACT('Internal Career (Last Position)'!$O135, ""), "", 'Internal Career (Last Position)'!$B135)</f>
        <v>32000000000132</v>
      </c>
      <c r="D135" s="38" t="str">
        <f>IF(EXACT('Internal Career (Last Position)'!$O135, ""), "", 'Internal Career (Last Position)'!$C135)</f>
        <v>Elsa Mardian</v>
      </c>
    </row>
    <row r="136" spans="2:4" x14ac:dyDescent="0.2">
      <c r="B136" s="11">
        <f>IF(EXACT('Internal Career (Last Position)'!$O136, ""), "", 'Internal Career (Last Position)'!$O136)</f>
        <v>164000000000133</v>
      </c>
      <c r="C136" s="37">
        <f>IF(EXACT('Internal Career (Last Position)'!$O136, ""), "", 'Internal Career (Last Position)'!$B136)</f>
        <v>32000000000133</v>
      </c>
      <c r="D136" s="38" t="str">
        <f>IF(EXACT('Internal Career (Last Position)'!$O136, ""), "", 'Internal Career (Last Position)'!$C136)</f>
        <v>Emir Paranita Nasution</v>
      </c>
    </row>
    <row r="137" spans="2:4" x14ac:dyDescent="0.2">
      <c r="B137" s="11">
        <f>IF(EXACT('Internal Career (Last Position)'!$O137, ""), "", 'Internal Career (Last Position)'!$O137)</f>
        <v>164000000000134</v>
      </c>
      <c r="C137" s="37">
        <f>IF(EXACT('Internal Career (Last Position)'!$O137, ""), "", 'Internal Career (Last Position)'!$B137)</f>
        <v>32000000000134</v>
      </c>
      <c r="D137" s="38" t="str">
        <f>IF(EXACT('Internal Career (Last Position)'!$O137, ""), "", 'Internal Career (Last Position)'!$C137)</f>
        <v>Enceng Hemawan</v>
      </c>
    </row>
    <row r="138" spans="2:4" x14ac:dyDescent="0.2">
      <c r="B138" s="11">
        <f>IF(EXACT('Internal Career (Last Position)'!$O138, ""), "", 'Internal Career (Last Position)'!$O138)</f>
        <v>164000000000135</v>
      </c>
      <c r="C138" s="37">
        <f>IF(EXACT('Internal Career (Last Position)'!$O138, ""), "", 'Internal Career (Last Position)'!$B138)</f>
        <v>32000000000135</v>
      </c>
      <c r="D138" s="38" t="str">
        <f>IF(EXACT('Internal Career (Last Position)'!$O138, ""), "", 'Internal Career (Last Position)'!$C138)</f>
        <v>Endang</v>
      </c>
    </row>
    <row r="139" spans="2:4" x14ac:dyDescent="0.2">
      <c r="B139" s="11">
        <f>IF(EXACT('Internal Career (Last Position)'!$O139, ""), "", 'Internal Career (Last Position)'!$O139)</f>
        <v>164000000000136</v>
      </c>
      <c r="C139" s="37">
        <f>IF(EXACT('Internal Career (Last Position)'!$O139, ""), "", 'Internal Career (Last Position)'!$B139)</f>
        <v>32000000000136</v>
      </c>
      <c r="D139" s="38" t="str">
        <f>IF(EXACT('Internal Career (Last Position)'!$O139, ""), "", 'Internal Career (Last Position)'!$C139)</f>
        <v>Endang Lestari</v>
      </c>
    </row>
    <row r="140" spans="2:4" x14ac:dyDescent="0.2">
      <c r="B140" s="11">
        <f>IF(EXACT('Internal Career (Last Position)'!$O140, ""), "", 'Internal Career (Last Position)'!$O140)</f>
        <v>164000000000137</v>
      </c>
      <c r="C140" s="37">
        <f>IF(EXACT('Internal Career (Last Position)'!$O140, ""), "", 'Internal Career (Last Position)'!$B140)</f>
        <v>32000000000137</v>
      </c>
      <c r="D140" s="38" t="str">
        <f>IF(EXACT('Internal Career (Last Position)'!$O140, ""), "", 'Internal Career (Last Position)'!$C140)</f>
        <v>Endang Sobari</v>
      </c>
    </row>
    <row r="141" spans="2:4" x14ac:dyDescent="0.2">
      <c r="B141" s="11">
        <f>IF(EXACT('Internal Career (Last Position)'!$O141, ""), "", 'Internal Career (Last Position)'!$O141)</f>
        <v>164000000000138</v>
      </c>
      <c r="C141" s="37">
        <f>IF(EXACT('Internal Career (Last Position)'!$O141, ""), "", 'Internal Career (Last Position)'!$B141)</f>
        <v>32000000000138</v>
      </c>
      <c r="D141" s="38" t="str">
        <f>IF(EXACT('Internal Career (Last Position)'!$O141, ""), "", 'Internal Career (Last Position)'!$C141)</f>
        <v>Endang Sutrisna</v>
      </c>
    </row>
    <row r="142" spans="2:4" x14ac:dyDescent="0.2">
      <c r="B142" s="11">
        <f>IF(EXACT('Internal Career (Last Position)'!$O142, ""), "", 'Internal Career (Last Position)'!$O142)</f>
        <v>164000000000139</v>
      </c>
      <c r="C142" s="37">
        <f>IF(EXACT('Internal Career (Last Position)'!$O142, ""), "", 'Internal Career (Last Position)'!$B142)</f>
        <v>32000000000139</v>
      </c>
      <c r="D142" s="38" t="str">
        <f>IF(EXACT('Internal Career (Last Position)'!$O142, ""), "", 'Internal Career (Last Position)'!$C142)</f>
        <v>Erfananda Rasyid</v>
      </c>
    </row>
    <row r="143" spans="2:4" x14ac:dyDescent="0.2">
      <c r="B143" s="11">
        <f>IF(EXACT('Internal Career (Last Position)'!$O143, ""), "", 'Internal Career (Last Position)'!$O143)</f>
        <v>164000000000140</v>
      </c>
      <c r="C143" s="37">
        <f>IF(EXACT('Internal Career (Last Position)'!$O143, ""), "", 'Internal Career (Last Position)'!$B143)</f>
        <v>32000000000140</v>
      </c>
      <c r="D143" s="38" t="str">
        <f>IF(EXACT('Internal Career (Last Position)'!$O143, ""), "", 'Internal Career (Last Position)'!$C143)</f>
        <v>Ernawati</v>
      </c>
    </row>
    <row r="144" spans="2:4" x14ac:dyDescent="0.2">
      <c r="B144" s="11">
        <f>IF(EXACT('Internal Career (Last Position)'!$O144, ""), "", 'Internal Career (Last Position)'!$O144)</f>
        <v>164000000000141</v>
      </c>
      <c r="C144" s="37">
        <f>IF(EXACT('Internal Career (Last Position)'!$O144, ""), "", 'Internal Career (Last Position)'!$B144)</f>
        <v>32000000000141</v>
      </c>
      <c r="D144" s="38" t="str">
        <f>IF(EXACT('Internal Career (Last Position)'!$O144, ""), "", 'Internal Career (Last Position)'!$C144)</f>
        <v>Erwin Firmansyah</v>
      </c>
    </row>
    <row r="145" spans="2:4" x14ac:dyDescent="0.2">
      <c r="B145" s="11">
        <f>IF(EXACT('Internal Career (Last Position)'!$O145, ""), "", 'Internal Career (Last Position)'!$O145)</f>
        <v>164000000000142</v>
      </c>
      <c r="C145" s="37">
        <f>IF(EXACT('Internal Career (Last Position)'!$O145, ""), "", 'Internal Career (Last Position)'!$B145)</f>
        <v>32000000000142</v>
      </c>
      <c r="D145" s="38" t="str">
        <f>IF(EXACT('Internal Career (Last Position)'!$O145, ""), "", 'Internal Career (Last Position)'!$C145)</f>
        <v>Erwin Said</v>
      </c>
    </row>
    <row r="146" spans="2:4" x14ac:dyDescent="0.2">
      <c r="B146" s="11">
        <f>IF(EXACT('Internal Career (Last Position)'!$O146, ""), "", 'Internal Career (Last Position)'!$O146)</f>
        <v>164000000000143</v>
      </c>
      <c r="C146" s="37">
        <f>IF(EXACT('Internal Career (Last Position)'!$O146, ""), "", 'Internal Career (Last Position)'!$B146)</f>
        <v>32000000000143</v>
      </c>
      <c r="D146" s="38" t="str">
        <f>IF(EXACT('Internal Career (Last Position)'!$O146, ""), "", 'Internal Career (Last Position)'!$C146)</f>
        <v>Esa Annahar</v>
      </c>
    </row>
    <row r="147" spans="2:4" x14ac:dyDescent="0.2">
      <c r="B147" s="11">
        <f>IF(EXACT('Internal Career (Last Position)'!$O147, ""), "", 'Internal Career (Last Position)'!$O147)</f>
        <v>164000000000144</v>
      </c>
      <c r="C147" s="37">
        <f>IF(EXACT('Internal Career (Last Position)'!$O147, ""), "", 'Internal Career (Last Position)'!$B147)</f>
        <v>32000000000144</v>
      </c>
      <c r="D147" s="38" t="str">
        <f>IF(EXACT('Internal Career (Last Position)'!$O147, ""), "", 'Internal Career (Last Position)'!$C147)</f>
        <v>Faiz Horifal</v>
      </c>
    </row>
    <row r="148" spans="2:4" x14ac:dyDescent="0.2">
      <c r="B148" s="11">
        <f>IF(EXACT('Internal Career (Last Position)'!$O148, ""), "", 'Internal Career (Last Position)'!$O148)</f>
        <v>164000000000145</v>
      </c>
      <c r="C148" s="37">
        <f>IF(EXACT('Internal Career (Last Position)'!$O148, ""), "", 'Internal Career (Last Position)'!$B148)</f>
        <v>32000000000145</v>
      </c>
      <c r="D148" s="38" t="str">
        <f>IF(EXACT('Internal Career (Last Position)'!$O148, ""), "", 'Internal Career (Last Position)'!$C148)</f>
        <v>Fani Dwi Astutik</v>
      </c>
    </row>
    <row r="149" spans="2:4" x14ac:dyDescent="0.2">
      <c r="B149" s="11">
        <f>IF(EXACT('Internal Career (Last Position)'!$O149, ""), "", 'Internal Career (Last Position)'!$O149)</f>
        <v>164000000000146</v>
      </c>
      <c r="C149" s="37">
        <f>IF(EXACT('Internal Career (Last Position)'!$O149, ""), "", 'Internal Career (Last Position)'!$B149)</f>
        <v>32000000000146</v>
      </c>
      <c r="D149" s="38" t="str">
        <f>IF(EXACT('Internal Career (Last Position)'!$O149, ""), "", 'Internal Career (Last Position)'!$C149)</f>
        <v>Fardi Nauli R</v>
      </c>
    </row>
    <row r="150" spans="2:4" x14ac:dyDescent="0.2">
      <c r="B150" s="11">
        <f>IF(EXACT('Internal Career (Last Position)'!$O150, ""), "", 'Internal Career (Last Position)'!$O150)</f>
        <v>164000000000147</v>
      </c>
      <c r="C150" s="37">
        <f>IF(EXACT('Internal Career (Last Position)'!$O150, ""), "", 'Internal Career (Last Position)'!$B150)</f>
        <v>32000000000147</v>
      </c>
      <c r="D150" s="38" t="str">
        <f>IF(EXACT('Internal Career (Last Position)'!$O150, ""), "", 'Internal Career (Last Position)'!$C150)</f>
        <v>Farekh Huzair</v>
      </c>
    </row>
    <row r="151" spans="2:4" x14ac:dyDescent="0.2">
      <c r="B151" s="11">
        <f>IF(EXACT('Internal Career (Last Position)'!$O151, ""), "", 'Internal Career (Last Position)'!$O151)</f>
        <v>164000000000148</v>
      </c>
      <c r="C151" s="37">
        <f>IF(EXACT('Internal Career (Last Position)'!$O151, ""), "", 'Internal Career (Last Position)'!$B151)</f>
        <v>32000000000148</v>
      </c>
      <c r="D151" s="38" t="str">
        <f>IF(EXACT('Internal Career (Last Position)'!$O151, ""), "", 'Internal Career (Last Position)'!$C151)</f>
        <v>Farhana</v>
      </c>
    </row>
    <row r="152" spans="2:4" x14ac:dyDescent="0.2">
      <c r="B152" s="11">
        <f>IF(EXACT('Internal Career (Last Position)'!$O152, ""), "", 'Internal Career (Last Position)'!$O152)</f>
        <v>164000000000149</v>
      </c>
      <c r="C152" s="37">
        <f>IF(EXACT('Internal Career (Last Position)'!$O152, ""), "", 'Internal Career (Last Position)'!$B152)</f>
        <v>32000000000149</v>
      </c>
      <c r="D152" s="38" t="str">
        <f>IF(EXACT('Internal Career (Last Position)'!$O152, ""), "", 'Internal Career (Last Position)'!$C152)</f>
        <v>Febriyanto Ahdiat</v>
      </c>
    </row>
    <row r="153" spans="2:4" x14ac:dyDescent="0.2">
      <c r="B153" s="11">
        <f>IF(EXACT('Internal Career (Last Position)'!$O153, ""), "", 'Internal Career (Last Position)'!$O153)</f>
        <v>164000000000150</v>
      </c>
      <c r="C153" s="37">
        <f>IF(EXACT('Internal Career (Last Position)'!$O153, ""), "", 'Internal Career (Last Position)'!$B153)</f>
        <v>32000000000150</v>
      </c>
      <c r="D153" s="38" t="str">
        <f>IF(EXACT('Internal Career (Last Position)'!$O153, ""), "", 'Internal Career (Last Position)'!$C153)</f>
        <v>Febryan Mahsyar</v>
      </c>
    </row>
    <row r="154" spans="2:4" x14ac:dyDescent="0.2">
      <c r="B154" s="11">
        <f>IF(EXACT('Internal Career (Last Position)'!$O154, ""), "", 'Internal Career (Last Position)'!$O154)</f>
        <v>164000000000151</v>
      </c>
      <c r="C154" s="37">
        <f>IF(EXACT('Internal Career (Last Position)'!$O154, ""), "", 'Internal Career (Last Position)'!$B154)</f>
        <v>32000000000151</v>
      </c>
      <c r="D154" s="38" t="str">
        <f>IF(EXACT('Internal Career (Last Position)'!$O154, ""), "", 'Internal Career (Last Position)'!$C154)</f>
        <v>Felpy</v>
      </c>
    </row>
    <row r="155" spans="2:4" x14ac:dyDescent="0.2">
      <c r="B155" s="11">
        <f>IF(EXACT('Internal Career (Last Position)'!$O155, ""), "", 'Internal Career (Last Position)'!$O155)</f>
        <v>164000000000152</v>
      </c>
      <c r="C155" s="37">
        <f>IF(EXACT('Internal Career (Last Position)'!$O155, ""), "", 'Internal Career (Last Position)'!$B155)</f>
        <v>32000000000152</v>
      </c>
      <c r="D155" s="38" t="str">
        <f>IF(EXACT('Internal Career (Last Position)'!$O155, ""), "", 'Internal Career (Last Position)'!$C155)</f>
        <v>Feri Priyanto</v>
      </c>
    </row>
    <row r="156" spans="2:4" x14ac:dyDescent="0.2">
      <c r="B156" s="11">
        <f>IF(EXACT('Internal Career (Last Position)'!$O156, ""), "", 'Internal Career (Last Position)'!$O156)</f>
        <v>164000000000153</v>
      </c>
      <c r="C156" s="37">
        <f>IF(EXACT('Internal Career (Last Position)'!$O156, ""), "", 'Internal Career (Last Position)'!$B156)</f>
        <v>32000000000153</v>
      </c>
      <c r="D156" s="38" t="str">
        <f>IF(EXACT('Internal Career (Last Position)'!$O156, ""), "", 'Internal Career (Last Position)'!$C156)</f>
        <v>Ferry P Simanjuntak</v>
      </c>
    </row>
    <row r="157" spans="2:4" x14ac:dyDescent="0.2">
      <c r="B157" s="11">
        <f>IF(EXACT('Internal Career (Last Position)'!$O157, ""), "", 'Internal Career (Last Position)'!$O157)</f>
        <v>164000000000154</v>
      </c>
      <c r="C157" s="37">
        <f>IF(EXACT('Internal Career (Last Position)'!$O157, ""), "", 'Internal Career (Last Position)'!$B157)</f>
        <v>32000000000154</v>
      </c>
      <c r="D157" s="38" t="str">
        <f>IF(EXACT('Internal Career (Last Position)'!$O157, ""), "", 'Internal Career (Last Position)'!$C157)</f>
        <v>Fikri</v>
      </c>
    </row>
    <row r="158" spans="2:4" x14ac:dyDescent="0.2">
      <c r="B158" s="11">
        <f>IF(EXACT('Internal Career (Last Position)'!$O158, ""), "", 'Internal Career (Last Position)'!$O158)</f>
        <v>164000000000155</v>
      </c>
      <c r="C158" s="37">
        <f>IF(EXACT('Internal Career (Last Position)'!$O158, ""), "", 'Internal Career (Last Position)'!$B158)</f>
        <v>32000000000155</v>
      </c>
      <c r="D158" s="38" t="str">
        <f>IF(EXACT('Internal Career (Last Position)'!$O158, ""), "", 'Internal Career (Last Position)'!$C158)</f>
        <v>M. Fikri Caesarandi Hasibuan</v>
      </c>
    </row>
    <row r="159" spans="2:4" x14ac:dyDescent="0.2">
      <c r="B159" s="11">
        <f>IF(EXACT('Internal Career (Last Position)'!$O159, ""), "", 'Internal Career (Last Position)'!$O159)</f>
        <v>164000000000156</v>
      </c>
      <c r="C159" s="37">
        <f>IF(EXACT('Internal Career (Last Position)'!$O159, ""), "", 'Internal Career (Last Position)'!$B159)</f>
        <v>32000000000156</v>
      </c>
      <c r="D159" s="38" t="str">
        <f>IF(EXACT('Internal Career (Last Position)'!$O159, ""), "", 'Internal Career (Last Position)'!$C159)</f>
        <v>Firman Akbar</v>
      </c>
    </row>
    <row r="160" spans="2:4" x14ac:dyDescent="0.2">
      <c r="B160" s="11">
        <f>IF(EXACT('Internal Career (Last Position)'!$O160, ""), "", 'Internal Career (Last Position)'!$O160)</f>
        <v>164000000000157</v>
      </c>
      <c r="C160" s="37">
        <f>IF(EXACT('Internal Career (Last Position)'!$O160, ""), "", 'Internal Career (Last Position)'!$B160)</f>
        <v>32000000000157</v>
      </c>
      <c r="D160" s="38" t="str">
        <f>IF(EXACT('Internal Career (Last Position)'!$O160, ""), "", 'Internal Career (Last Position)'!$C160)</f>
        <v>Fitriastuti Kurnia</v>
      </c>
    </row>
    <row r="161" spans="2:4" x14ac:dyDescent="0.2">
      <c r="B161" s="11">
        <f>IF(EXACT('Internal Career (Last Position)'!$O161, ""), "", 'Internal Career (Last Position)'!$O161)</f>
        <v>164000000000158</v>
      </c>
      <c r="C161" s="37">
        <f>IF(EXACT('Internal Career (Last Position)'!$O161, ""), "", 'Internal Career (Last Position)'!$B161)</f>
        <v>32000000000158</v>
      </c>
      <c r="D161" s="38" t="str">
        <f>IF(EXACT('Internal Career (Last Position)'!$O161, ""), "", 'Internal Career (Last Position)'!$C161)</f>
        <v>Francis Imanuel</v>
      </c>
    </row>
    <row r="162" spans="2:4" x14ac:dyDescent="0.2">
      <c r="B162" s="11">
        <f>IF(EXACT('Internal Career (Last Position)'!$O162, ""), "", 'Internal Career (Last Position)'!$O162)</f>
        <v>164000000000159</v>
      </c>
      <c r="C162" s="37">
        <f>IF(EXACT('Internal Career (Last Position)'!$O162, ""), "", 'Internal Career (Last Position)'!$B162)</f>
        <v>32000000000159</v>
      </c>
      <c r="D162" s="38" t="str">
        <f>IF(EXACT('Internal Career (Last Position)'!$O162, ""), "", 'Internal Career (Last Position)'!$C162)</f>
        <v>Frando Judi Siahaan</v>
      </c>
    </row>
    <row r="163" spans="2:4" x14ac:dyDescent="0.2">
      <c r="B163" s="11">
        <f>IF(EXACT('Internal Career (Last Position)'!$O163, ""), "", 'Internal Career (Last Position)'!$O163)</f>
        <v>164000000000160</v>
      </c>
      <c r="C163" s="37">
        <f>IF(EXACT('Internal Career (Last Position)'!$O163, ""), "", 'Internal Career (Last Position)'!$B163)</f>
        <v>32000000000160</v>
      </c>
      <c r="D163" s="38" t="str">
        <f>IF(EXACT('Internal Career (Last Position)'!$O163, ""), "", 'Internal Career (Last Position)'!$C163)</f>
        <v>Frederika Intan</v>
      </c>
    </row>
    <row r="164" spans="2:4" x14ac:dyDescent="0.2">
      <c r="B164" s="11">
        <f>IF(EXACT('Internal Career (Last Position)'!$O164, ""), "", 'Internal Career (Last Position)'!$O164)</f>
        <v>164000000000161</v>
      </c>
      <c r="C164" s="37">
        <f>IF(EXACT('Internal Career (Last Position)'!$O164, ""), "", 'Internal Career (Last Position)'!$B164)</f>
        <v>32000000000161</v>
      </c>
      <c r="D164" s="38" t="str">
        <f>IF(EXACT('Internal Career (Last Position)'!$O164, ""), "", 'Internal Career (Last Position)'!$C164)</f>
        <v>Fuad Febrian</v>
      </c>
    </row>
    <row r="165" spans="2:4" x14ac:dyDescent="0.2">
      <c r="B165" s="11">
        <f>IF(EXACT('Internal Career (Last Position)'!$O165, ""), "", 'Internal Career (Last Position)'!$O165)</f>
        <v>164000000000162</v>
      </c>
      <c r="C165" s="37">
        <f>IF(EXACT('Internal Career (Last Position)'!$O165, ""), "", 'Internal Career (Last Position)'!$B165)</f>
        <v>32000000000162</v>
      </c>
      <c r="D165" s="38" t="str">
        <f>IF(EXACT('Internal Career (Last Position)'!$O165, ""), "", 'Internal Career (Last Position)'!$C165)</f>
        <v>Wiyadianto</v>
      </c>
    </row>
    <row r="166" spans="2:4" x14ac:dyDescent="0.2">
      <c r="B166" s="11">
        <f>IF(EXACT('Internal Career (Last Position)'!$O166, ""), "", 'Internal Career (Last Position)'!$O166)</f>
        <v>164000000000163</v>
      </c>
      <c r="C166" s="37">
        <f>IF(EXACT('Internal Career (Last Position)'!$O166, ""), "", 'Internal Career (Last Position)'!$B166)</f>
        <v>32000000000163</v>
      </c>
      <c r="D166" s="38" t="str">
        <f>IF(EXACT('Internal Career (Last Position)'!$O166, ""), "", 'Internal Career (Last Position)'!$C166)</f>
        <v>Galuh Swastika</v>
      </c>
    </row>
    <row r="167" spans="2:4" x14ac:dyDescent="0.2">
      <c r="B167" s="11">
        <f>IF(EXACT('Internal Career (Last Position)'!$O167, ""), "", 'Internal Career (Last Position)'!$O167)</f>
        <v>164000000000164</v>
      </c>
      <c r="C167" s="37">
        <f>IF(EXACT('Internal Career (Last Position)'!$O167, ""), "", 'Internal Career (Last Position)'!$B167)</f>
        <v>32000000000164</v>
      </c>
      <c r="D167" s="38" t="str">
        <f>IF(EXACT('Internal Career (Last Position)'!$O167, ""), "", 'Internal Career (Last Position)'!$C167)</f>
        <v>Ganda Yuharis R.</v>
      </c>
    </row>
    <row r="168" spans="2:4" x14ac:dyDescent="0.2">
      <c r="B168" s="11">
        <f>IF(EXACT('Internal Career (Last Position)'!$O168, ""), "", 'Internal Career (Last Position)'!$O168)</f>
        <v>164000000000165</v>
      </c>
      <c r="C168" s="37">
        <f>IF(EXACT('Internal Career (Last Position)'!$O168, ""), "", 'Internal Career (Last Position)'!$B168)</f>
        <v>32000000000165</v>
      </c>
      <c r="D168" s="38" t="str">
        <f>IF(EXACT('Internal Career (Last Position)'!$O168, ""), "", 'Internal Career (Last Position)'!$C168)</f>
        <v>Gatot Harsono</v>
      </c>
    </row>
    <row r="169" spans="2:4" x14ac:dyDescent="0.2">
      <c r="B169" s="11">
        <f>IF(EXACT('Internal Career (Last Position)'!$O169, ""), "", 'Internal Career (Last Position)'!$O169)</f>
        <v>164000000000166</v>
      </c>
      <c r="C169" s="37">
        <f>IF(EXACT('Internal Career (Last Position)'!$O169, ""), "", 'Internal Career (Last Position)'!$B169)</f>
        <v>32000000000166</v>
      </c>
      <c r="D169" s="38" t="str">
        <f>IF(EXACT('Internal Career (Last Position)'!$O169, ""), "", 'Internal Career (Last Position)'!$C169)</f>
        <v>Gina Septa</v>
      </c>
    </row>
    <row r="170" spans="2:4" x14ac:dyDescent="0.2">
      <c r="B170" s="11">
        <f>IF(EXACT('Internal Career (Last Position)'!$O170, ""), "", 'Internal Career (Last Position)'!$O170)</f>
        <v>164000000000167</v>
      </c>
      <c r="C170" s="37">
        <f>IF(EXACT('Internal Career (Last Position)'!$O170, ""), "", 'Internal Career (Last Position)'!$B170)</f>
        <v>32000000000167</v>
      </c>
      <c r="D170" s="38" t="str">
        <f>IF(EXACT('Internal Career (Last Position)'!$O170, ""), "", 'Internal Career (Last Position)'!$C170)</f>
        <v>Grace Kurniawan</v>
      </c>
    </row>
    <row r="171" spans="2:4" x14ac:dyDescent="0.2">
      <c r="B171" s="11">
        <f>IF(EXACT('Internal Career (Last Position)'!$O171, ""), "", 'Internal Career (Last Position)'!$O171)</f>
        <v>164000000000168</v>
      </c>
      <c r="C171" s="37">
        <f>IF(EXACT('Internal Career (Last Position)'!$O171, ""), "", 'Internal Career (Last Position)'!$B171)</f>
        <v>32000000000168</v>
      </c>
      <c r="D171" s="38" t="str">
        <f>IF(EXACT('Internal Career (Last Position)'!$O171, ""), "", 'Internal Career (Last Position)'!$C171)</f>
        <v>Gunawan</v>
      </c>
    </row>
    <row r="172" spans="2:4" x14ac:dyDescent="0.2">
      <c r="B172" s="11">
        <f>IF(EXACT('Internal Career (Last Position)'!$O172, ""), "", 'Internal Career (Last Position)'!$O172)</f>
        <v>164000000000169</v>
      </c>
      <c r="C172" s="37">
        <f>IF(EXACT('Internal Career (Last Position)'!$O172, ""), "", 'Internal Career (Last Position)'!$B172)</f>
        <v>32000000000169</v>
      </c>
      <c r="D172" s="38" t="str">
        <f>IF(EXACT('Internal Career (Last Position)'!$O172, ""), "", 'Internal Career (Last Position)'!$C172)</f>
        <v>Gustia Rakhmanita</v>
      </c>
    </row>
    <row r="173" spans="2:4" x14ac:dyDescent="0.2">
      <c r="B173" s="11">
        <f>IF(EXACT('Internal Career (Last Position)'!$O173, ""), "", 'Internal Career (Last Position)'!$O173)</f>
        <v>164000000000170</v>
      </c>
      <c r="C173" s="37">
        <f>IF(EXACT('Internal Career (Last Position)'!$O173, ""), "", 'Internal Career (Last Position)'!$B173)</f>
        <v>32000000000170</v>
      </c>
      <c r="D173" s="38" t="str">
        <f>IF(EXACT('Internal Career (Last Position)'!$O173, ""), "", 'Internal Career (Last Position)'!$C173)</f>
        <v>Habib Abdullah</v>
      </c>
    </row>
    <row r="174" spans="2:4" x14ac:dyDescent="0.2">
      <c r="B174" s="11">
        <f>IF(EXACT('Internal Career (Last Position)'!$O174, ""), "", 'Internal Career (Last Position)'!$O174)</f>
        <v>164000000000171</v>
      </c>
      <c r="C174" s="37">
        <f>IF(EXACT('Internal Career (Last Position)'!$O174, ""), "", 'Internal Career (Last Position)'!$B174)</f>
        <v>32000000000171</v>
      </c>
      <c r="D174" s="38" t="str">
        <f>IF(EXACT('Internal Career (Last Position)'!$O174, ""), "", 'Internal Career (Last Position)'!$C174)</f>
        <v>Hadi Kasmuri</v>
      </c>
    </row>
    <row r="175" spans="2:4" x14ac:dyDescent="0.2">
      <c r="B175" s="11">
        <f>IF(EXACT('Internal Career (Last Position)'!$O175, ""), "", 'Internal Career (Last Position)'!$O175)</f>
        <v>164000000000172</v>
      </c>
      <c r="C175" s="37">
        <f>IF(EXACT('Internal Career (Last Position)'!$O175, ""), "", 'Internal Career (Last Position)'!$B175)</f>
        <v>32000000000172</v>
      </c>
      <c r="D175" s="38" t="str">
        <f>IF(EXACT('Internal Career (Last Position)'!$O175, ""), "", 'Internal Career (Last Position)'!$C175)</f>
        <v>Haikal</v>
      </c>
    </row>
    <row r="176" spans="2:4" x14ac:dyDescent="0.2">
      <c r="B176" s="11">
        <f>IF(EXACT('Internal Career (Last Position)'!$O176, ""), "", 'Internal Career (Last Position)'!$O176)</f>
        <v>164000000000173</v>
      </c>
      <c r="C176" s="37">
        <f>IF(EXACT('Internal Career (Last Position)'!$O176, ""), "", 'Internal Career (Last Position)'!$B176)</f>
        <v>32000000000173</v>
      </c>
      <c r="D176" s="38" t="str">
        <f>IF(EXACT('Internal Career (Last Position)'!$O176, ""), "", 'Internal Career (Last Position)'!$C176)</f>
        <v>Hanantowiryo Tamtama</v>
      </c>
    </row>
    <row r="177" spans="2:4" x14ac:dyDescent="0.2">
      <c r="B177" s="11">
        <f>IF(EXACT('Internal Career (Last Position)'!$O177, ""), "", 'Internal Career (Last Position)'!$O177)</f>
        <v>164000000000174</v>
      </c>
      <c r="C177" s="37">
        <f>IF(EXACT('Internal Career (Last Position)'!$O177, ""), "", 'Internal Career (Last Position)'!$B177)</f>
        <v>32000000000174</v>
      </c>
      <c r="D177" s="38" t="str">
        <f>IF(EXACT('Internal Career (Last Position)'!$O177, ""), "", 'Internal Career (Last Position)'!$C177)</f>
        <v>Handoko</v>
      </c>
    </row>
    <row r="178" spans="2:4" x14ac:dyDescent="0.2">
      <c r="B178" s="11">
        <f>IF(EXACT('Internal Career (Last Position)'!$O178, ""), "", 'Internal Career (Last Position)'!$O178)</f>
        <v>164000000000175</v>
      </c>
      <c r="C178" s="37">
        <f>IF(EXACT('Internal Career (Last Position)'!$O178, ""), "", 'Internal Career (Last Position)'!$B178)</f>
        <v>32000000000175</v>
      </c>
      <c r="D178" s="38" t="str">
        <f>IF(EXACT('Internal Career (Last Position)'!$O178, ""), "", 'Internal Career (Last Position)'!$C178)</f>
        <v>Hanif Ashari</v>
      </c>
    </row>
    <row r="179" spans="2:4" x14ac:dyDescent="0.2">
      <c r="B179" s="11">
        <f>IF(EXACT('Internal Career (Last Position)'!$O179, ""), "", 'Internal Career (Last Position)'!$O179)</f>
        <v>164000000000176</v>
      </c>
      <c r="C179" s="37">
        <f>IF(EXACT('Internal Career (Last Position)'!$O179, ""), "", 'Internal Career (Last Position)'!$B179)</f>
        <v>32000000000176</v>
      </c>
      <c r="D179" s="38" t="str">
        <f>IF(EXACT('Internal Career (Last Position)'!$O179, ""), "", 'Internal Career (Last Position)'!$C179)</f>
        <v>Hanif Eko Saputro</v>
      </c>
    </row>
    <row r="180" spans="2:4" x14ac:dyDescent="0.2">
      <c r="B180" s="11">
        <f>IF(EXACT('Internal Career (Last Position)'!$O180, ""), "", 'Internal Career (Last Position)'!$O180)</f>
        <v>164000000000177</v>
      </c>
      <c r="C180" s="37">
        <f>IF(EXACT('Internal Career (Last Position)'!$O180, ""), "", 'Internal Career (Last Position)'!$B180)</f>
        <v>32000000000177</v>
      </c>
      <c r="D180" s="38" t="str">
        <f>IF(EXACT('Internal Career (Last Position)'!$O180, ""), "", 'Internal Career (Last Position)'!$C180)</f>
        <v>Hardianto</v>
      </c>
    </row>
    <row r="181" spans="2:4" x14ac:dyDescent="0.2">
      <c r="B181" s="11">
        <f>IF(EXACT('Internal Career (Last Position)'!$O181, ""), "", 'Internal Career (Last Position)'!$O181)</f>
        <v>164000000000178</v>
      </c>
      <c r="C181" s="37">
        <f>IF(EXACT('Internal Career (Last Position)'!$O181, ""), "", 'Internal Career (Last Position)'!$B181)</f>
        <v>32000000000178</v>
      </c>
      <c r="D181" s="38" t="str">
        <f>IF(EXACT('Internal Career (Last Position)'!$O181, ""), "", 'Internal Career (Last Position)'!$C181)</f>
        <v>Harlen Amudi Purba</v>
      </c>
    </row>
    <row r="182" spans="2:4" x14ac:dyDescent="0.2">
      <c r="B182" s="11">
        <f>IF(EXACT('Internal Career (Last Position)'!$O182, ""), "", 'Internal Career (Last Position)'!$O182)</f>
        <v>164000000000179</v>
      </c>
      <c r="C182" s="37">
        <f>IF(EXACT('Internal Career (Last Position)'!$O182, ""), "", 'Internal Career (Last Position)'!$B182)</f>
        <v>32000000000179</v>
      </c>
      <c r="D182" s="38" t="str">
        <f>IF(EXACT('Internal Career (Last Position)'!$O182, ""), "", 'Internal Career (Last Position)'!$C182)</f>
        <v>Harry Isnaeni</v>
      </c>
    </row>
    <row r="183" spans="2:4" x14ac:dyDescent="0.2">
      <c r="B183" s="11">
        <f>IF(EXACT('Internal Career (Last Position)'!$O183, ""), "", 'Internal Career (Last Position)'!$O183)</f>
        <v>164000000000180</v>
      </c>
      <c r="C183" s="37">
        <f>IF(EXACT('Internal Career (Last Position)'!$O183, ""), "", 'Internal Career (Last Position)'!$B183)</f>
        <v>32000000000180</v>
      </c>
      <c r="D183" s="38" t="str">
        <f>IF(EXACT('Internal Career (Last Position)'!$O183, ""), "", 'Internal Career (Last Position)'!$C183)</f>
        <v>Hasan Gani</v>
      </c>
    </row>
    <row r="184" spans="2:4" x14ac:dyDescent="0.2">
      <c r="B184" s="11">
        <f>IF(EXACT('Internal Career (Last Position)'!$O184, ""), "", 'Internal Career (Last Position)'!$O184)</f>
        <v>164000000000181</v>
      </c>
      <c r="C184" s="37">
        <f>IF(EXACT('Internal Career (Last Position)'!$O184, ""), "", 'Internal Career (Last Position)'!$B184)</f>
        <v>32000000000181</v>
      </c>
      <c r="D184" s="38" t="str">
        <f>IF(EXACT('Internal Career (Last Position)'!$O184, ""), "", 'Internal Career (Last Position)'!$C184)</f>
        <v>Hasrul</v>
      </c>
    </row>
    <row r="185" spans="2:4" x14ac:dyDescent="0.2">
      <c r="B185" s="11">
        <f>IF(EXACT('Internal Career (Last Position)'!$O185, ""), "", 'Internal Career (Last Position)'!$O185)</f>
        <v>164000000000182</v>
      </c>
      <c r="C185" s="37">
        <f>IF(EXACT('Internal Career (Last Position)'!$O185, ""), "", 'Internal Career (Last Position)'!$B185)</f>
        <v>32000000000182</v>
      </c>
      <c r="D185" s="38" t="str">
        <f>IF(EXACT('Internal Career (Last Position)'!$O185, ""), "", 'Internal Career (Last Position)'!$C185)</f>
        <v>Hendar Pambudi</v>
      </c>
    </row>
    <row r="186" spans="2:4" x14ac:dyDescent="0.2">
      <c r="B186" s="11">
        <f>IF(EXACT('Internal Career (Last Position)'!$O186, ""), "", 'Internal Career (Last Position)'!$O186)</f>
        <v>164000000000183</v>
      </c>
      <c r="C186" s="37">
        <f>IF(EXACT('Internal Career (Last Position)'!$O186, ""), "", 'Internal Career (Last Position)'!$B186)</f>
        <v>32000000000183</v>
      </c>
      <c r="D186" s="38" t="str">
        <f>IF(EXACT('Internal Career (Last Position)'!$O186, ""), "", 'Internal Career (Last Position)'!$C186)</f>
        <v>Hendri Kustian</v>
      </c>
    </row>
    <row r="187" spans="2:4" x14ac:dyDescent="0.2">
      <c r="B187" s="11">
        <f>IF(EXACT('Internal Career (Last Position)'!$O187, ""), "", 'Internal Career (Last Position)'!$O187)</f>
        <v>164000000000184</v>
      </c>
      <c r="C187" s="37">
        <f>IF(EXACT('Internal Career (Last Position)'!$O187, ""), "", 'Internal Career (Last Position)'!$B187)</f>
        <v>32000000000184</v>
      </c>
      <c r="D187" s="38" t="str">
        <f>IF(EXACT('Internal Career (Last Position)'!$O187, ""), "", 'Internal Career (Last Position)'!$C187)</f>
        <v>Hendrik</v>
      </c>
    </row>
    <row r="188" spans="2:4" x14ac:dyDescent="0.2">
      <c r="B188" s="11">
        <f>IF(EXACT('Internal Career (Last Position)'!$O188, ""), "", 'Internal Career (Last Position)'!$O188)</f>
        <v>164000000000185</v>
      </c>
      <c r="C188" s="37">
        <f>IF(EXACT('Internal Career (Last Position)'!$O188, ""), "", 'Internal Career (Last Position)'!$B188)</f>
        <v>32000000000185</v>
      </c>
      <c r="D188" s="38" t="str">
        <f>IF(EXACT('Internal Career (Last Position)'!$O188, ""), "", 'Internal Career (Last Position)'!$C188)</f>
        <v>Herdi Yulia Rohmana</v>
      </c>
    </row>
    <row r="189" spans="2:4" x14ac:dyDescent="0.2">
      <c r="B189" s="11">
        <f>IF(EXACT('Internal Career (Last Position)'!$O189, ""), "", 'Internal Career (Last Position)'!$O189)</f>
        <v>164000000000186</v>
      </c>
      <c r="C189" s="37">
        <f>IF(EXACT('Internal Career (Last Position)'!$O189, ""), "", 'Internal Career (Last Position)'!$B189)</f>
        <v>32000000000186</v>
      </c>
      <c r="D189" s="38" t="str">
        <f>IF(EXACT('Internal Career (Last Position)'!$O189, ""), "", 'Internal Career (Last Position)'!$C189)</f>
        <v>Heri Susanto</v>
      </c>
    </row>
    <row r="190" spans="2:4" x14ac:dyDescent="0.2">
      <c r="B190" s="11">
        <f>IF(EXACT('Internal Career (Last Position)'!$O190, ""), "", 'Internal Career (Last Position)'!$O190)</f>
        <v>164000000000187</v>
      </c>
      <c r="C190" s="37">
        <f>IF(EXACT('Internal Career (Last Position)'!$O190, ""), "", 'Internal Career (Last Position)'!$B190)</f>
        <v>32000000000187</v>
      </c>
      <c r="D190" s="38" t="str">
        <f>IF(EXACT('Internal Career (Last Position)'!$O190, ""), "", 'Internal Career (Last Position)'!$C190)</f>
        <v>Herlin Juli Asri</v>
      </c>
    </row>
    <row r="191" spans="2:4" x14ac:dyDescent="0.2">
      <c r="B191" s="11">
        <f>IF(EXACT('Internal Career (Last Position)'!$O191, ""), "", 'Internal Career (Last Position)'!$O191)</f>
        <v>164000000000188</v>
      </c>
      <c r="C191" s="37">
        <f>IF(EXACT('Internal Career (Last Position)'!$O191, ""), "", 'Internal Career (Last Position)'!$B191)</f>
        <v>32000000000188</v>
      </c>
      <c r="D191" s="38" t="str">
        <f>IF(EXACT('Internal Career (Last Position)'!$O191, ""), "", 'Internal Career (Last Position)'!$C191)</f>
        <v>Herman Budoyo</v>
      </c>
    </row>
    <row r="192" spans="2:4" x14ac:dyDescent="0.2">
      <c r="B192" s="11">
        <f>IF(EXACT('Internal Career (Last Position)'!$O192, ""), "", 'Internal Career (Last Position)'!$O192)</f>
        <v>164000000000189</v>
      </c>
      <c r="C192" s="37">
        <f>IF(EXACT('Internal Career (Last Position)'!$O192, ""), "", 'Internal Career (Last Position)'!$B192)</f>
        <v>32000000000189</v>
      </c>
      <c r="D192" s="38" t="str">
        <f>IF(EXACT('Internal Career (Last Position)'!$O192, ""), "", 'Internal Career (Last Position)'!$C192)</f>
        <v>Herni Yuliati</v>
      </c>
    </row>
    <row r="193" spans="2:4" x14ac:dyDescent="0.2">
      <c r="B193" s="11">
        <f>IF(EXACT('Internal Career (Last Position)'!$O193, ""), "", 'Internal Career (Last Position)'!$O193)</f>
        <v>164000000000190</v>
      </c>
      <c r="C193" s="37">
        <f>IF(EXACT('Internal Career (Last Position)'!$O193, ""), "", 'Internal Career (Last Position)'!$B193)</f>
        <v>32000000000190</v>
      </c>
      <c r="D193" s="38" t="str">
        <f>IF(EXACT('Internal Career (Last Position)'!$O193, ""), "", 'Internal Career (Last Position)'!$C193)</f>
        <v>Hernita Dwi</v>
      </c>
    </row>
    <row r="194" spans="2:4" x14ac:dyDescent="0.2">
      <c r="B194" s="11">
        <f>IF(EXACT('Internal Career (Last Position)'!$O194, ""), "", 'Internal Career (Last Position)'!$O194)</f>
        <v>164000000000191</v>
      </c>
      <c r="C194" s="37">
        <f>IF(EXACT('Internal Career (Last Position)'!$O194, ""), "", 'Internal Career (Last Position)'!$B194)</f>
        <v>32000000000191</v>
      </c>
      <c r="D194" s="38" t="str">
        <f>IF(EXACT('Internal Career (Last Position)'!$O194, ""), "", 'Internal Career (Last Position)'!$C194)</f>
        <v>Herri Setyawan</v>
      </c>
    </row>
    <row r="195" spans="2:4" x14ac:dyDescent="0.2">
      <c r="B195" s="11">
        <f>IF(EXACT('Internal Career (Last Position)'!$O195, ""), "", 'Internal Career (Last Position)'!$O195)</f>
        <v>164000000000192</v>
      </c>
      <c r="C195" s="37">
        <f>IF(EXACT('Internal Career (Last Position)'!$O195, ""), "", 'Internal Career (Last Position)'!$B195)</f>
        <v>32000000000192</v>
      </c>
      <c r="D195" s="38" t="str">
        <f>IF(EXACT('Internal Career (Last Position)'!$O195, ""), "", 'Internal Career (Last Position)'!$C195)</f>
        <v>Heru Sugiri</v>
      </c>
    </row>
    <row r="196" spans="2:4" x14ac:dyDescent="0.2">
      <c r="B196" s="11">
        <f>IF(EXACT('Internal Career (Last Position)'!$O196, ""), "", 'Internal Career (Last Position)'!$O196)</f>
        <v>164000000000193</v>
      </c>
      <c r="C196" s="37">
        <f>IF(EXACT('Internal Career (Last Position)'!$O196, ""), "", 'Internal Career (Last Position)'!$B196)</f>
        <v>32000000000193</v>
      </c>
      <c r="D196" s="38" t="str">
        <f>IF(EXACT('Internal Career (Last Position)'!$O196, ""), "", 'Internal Career (Last Position)'!$C196)</f>
        <v>Hervian Bagus Saputra</v>
      </c>
    </row>
    <row r="197" spans="2:4" x14ac:dyDescent="0.2">
      <c r="B197" s="11">
        <f>IF(EXACT('Internal Career (Last Position)'!$O197, ""), "", 'Internal Career (Last Position)'!$O197)</f>
        <v>164000000000194</v>
      </c>
      <c r="C197" s="37">
        <f>IF(EXACT('Internal Career (Last Position)'!$O197, ""), "", 'Internal Career (Last Position)'!$B197)</f>
        <v>32000000000194</v>
      </c>
      <c r="D197" s="38" t="str">
        <f>IF(EXACT('Internal Career (Last Position)'!$O197, ""), "", 'Internal Career (Last Position)'!$C197)</f>
        <v>H.R. Marlina S. T. R.</v>
      </c>
    </row>
    <row r="198" spans="2:4" x14ac:dyDescent="0.2">
      <c r="B198" s="11">
        <f>IF(EXACT('Internal Career (Last Position)'!$O198, ""), "", 'Internal Career (Last Position)'!$O198)</f>
        <v>164000000000195</v>
      </c>
      <c r="C198" s="37">
        <f>IF(EXACT('Internal Career (Last Position)'!$O198, ""), "", 'Internal Career (Last Position)'!$B198)</f>
        <v>32000000000195</v>
      </c>
      <c r="D198" s="38" t="str">
        <f>IF(EXACT('Internal Career (Last Position)'!$O198, ""), "", 'Internal Career (Last Position)'!$C198)</f>
        <v>Ibrahim Soukani</v>
      </c>
    </row>
    <row r="199" spans="2:4" x14ac:dyDescent="0.2">
      <c r="B199" s="11">
        <f>IF(EXACT('Internal Career (Last Position)'!$O199, ""), "", 'Internal Career (Last Position)'!$O199)</f>
        <v>164000000000196</v>
      </c>
      <c r="C199" s="37">
        <f>IF(EXACT('Internal Career (Last Position)'!$O199, ""), "", 'Internal Career (Last Position)'!$B199)</f>
        <v>32000000000196</v>
      </c>
      <c r="D199" s="38" t="str">
        <f>IF(EXACT('Internal Career (Last Position)'!$O199, ""), "", 'Internal Career (Last Position)'!$C199)</f>
        <v>Icha Mailinda Syamsoedin</v>
      </c>
    </row>
    <row r="200" spans="2:4" x14ac:dyDescent="0.2">
      <c r="B200" s="11">
        <f>IF(EXACT('Internal Career (Last Position)'!$O200, ""), "", 'Internal Career (Last Position)'!$O200)</f>
        <v>164000000000197</v>
      </c>
      <c r="C200" s="37">
        <f>IF(EXACT('Internal Career (Last Position)'!$O200, ""), "", 'Internal Career (Last Position)'!$B200)</f>
        <v>32000000000197</v>
      </c>
      <c r="D200" s="38" t="str">
        <f>IF(EXACT('Internal Career (Last Position)'!$O200, ""), "", 'Internal Career (Last Position)'!$C200)</f>
        <v>Ichsanudin</v>
      </c>
    </row>
    <row r="201" spans="2:4" x14ac:dyDescent="0.2">
      <c r="B201" s="11">
        <f>IF(EXACT('Internal Career (Last Position)'!$O201, ""), "", 'Internal Career (Last Position)'!$O201)</f>
        <v>164000000000198</v>
      </c>
      <c r="C201" s="37">
        <f>IF(EXACT('Internal Career (Last Position)'!$O201, ""), "", 'Internal Career (Last Position)'!$B201)</f>
        <v>32000000000198</v>
      </c>
      <c r="D201" s="38" t="str">
        <f>IF(EXACT('Internal Career (Last Position)'!$O201, ""), "", 'Internal Career (Last Position)'!$C201)</f>
        <v>Ida Tri Wulaningsih</v>
      </c>
    </row>
    <row r="202" spans="2:4" x14ac:dyDescent="0.2">
      <c r="B202" s="11">
        <f>IF(EXACT('Internal Career (Last Position)'!$O202, ""), "", 'Internal Career (Last Position)'!$O202)</f>
        <v>164000000000199</v>
      </c>
      <c r="C202" s="37">
        <f>IF(EXACT('Internal Career (Last Position)'!$O202, ""), "", 'Internal Career (Last Position)'!$B202)</f>
        <v>32000000000199</v>
      </c>
      <c r="D202" s="38" t="str">
        <f>IF(EXACT('Internal Career (Last Position)'!$O202, ""), "", 'Internal Career (Last Position)'!$C202)</f>
        <v>Idham</v>
      </c>
    </row>
    <row r="203" spans="2:4" x14ac:dyDescent="0.2">
      <c r="B203" s="11">
        <f>IF(EXACT('Internal Career (Last Position)'!$O203, ""), "", 'Internal Career (Last Position)'!$O203)</f>
        <v>164000000000200</v>
      </c>
      <c r="C203" s="37">
        <f>IF(EXACT('Internal Career (Last Position)'!$O203, ""), "", 'Internal Career (Last Position)'!$B203)</f>
        <v>32000000000200</v>
      </c>
      <c r="D203" s="38" t="str">
        <f>IF(EXACT('Internal Career (Last Position)'!$O203, ""), "", 'Internal Career (Last Position)'!$C203)</f>
        <v>Idham Nasution</v>
      </c>
    </row>
    <row r="204" spans="2:4" x14ac:dyDescent="0.2">
      <c r="B204" s="11">
        <f>IF(EXACT('Internal Career (Last Position)'!$O204, ""), "", 'Internal Career (Last Position)'!$O204)</f>
        <v>164000000000201</v>
      </c>
      <c r="C204" s="37">
        <f>IF(EXACT('Internal Career (Last Position)'!$O204, ""), "", 'Internal Career (Last Position)'!$B204)</f>
        <v>32000000000201</v>
      </c>
      <c r="D204" s="38" t="str">
        <f>IF(EXACT('Internal Career (Last Position)'!$O204, ""), "", 'Internal Career (Last Position)'!$C204)</f>
        <v>Idian</v>
      </c>
    </row>
    <row r="205" spans="2:4" x14ac:dyDescent="0.2">
      <c r="B205" s="11">
        <f>IF(EXACT('Internal Career (Last Position)'!$O205, ""), "", 'Internal Career (Last Position)'!$O205)</f>
        <v>164000000000202</v>
      </c>
      <c r="C205" s="37">
        <f>IF(EXACT('Internal Career (Last Position)'!$O205, ""), "", 'Internal Career (Last Position)'!$B205)</f>
        <v>32000000000202</v>
      </c>
      <c r="D205" s="38" t="str">
        <f>IF(EXACT('Internal Career (Last Position)'!$O205, ""), "", 'Internal Career (Last Position)'!$C205)</f>
        <v>Ikun M. Soedrajat</v>
      </c>
    </row>
    <row r="206" spans="2:4" x14ac:dyDescent="0.2">
      <c r="B206" s="11">
        <f>IF(EXACT('Internal Career (Last Position)'!$O206, ""), "", 'Internal Career (Last Position)'!$O206)</f>
        <v>164000000000203</v>
      </c>
      <c r="C206" s="37">
        <f>IF(EXACT('Internal Career (Last Position)'!$O206, ""), "", 'Internal Career (Last Position)'!$B206)</f>
        <v>32000000000203</v>
      </c>
      <c r="D206" s="38" t="str">
        <f>IF(EXACT('Internal Career (Last Position)'!$O206, ""), "", 'Internal Career (Last Position)'!$C206)</f>
        <v>Ilham Arisyandy</v>
      </c>
    </row>
    <row r="207" spans="2:4" x14ac:dyDescent="0.2">
      <c r="B207" s="11">
        <f>IF(EXACT('Internal Career (Last Position)'!$O207, ""), "", 'Internal Career (Last Position)'!$O207)</f>
        <v>164000000000204</v>
      </c>
      <c r="C207" s="37">
        <f>IF(EXACT('Internal Career (Last Position)'!$O207, ""), "", 'Internal Career (Last Position)'!$B207)</f>
        <v>32000000000204</v>
      </c>
      <c r="D207" s="38" t="str">
        <f>IF(EXACT('Internal Career (Last Position)'!$O207, ""), "", 'Internal Career (Last Position)'!$C207)</f>
        <v>Ilham Akbar</v>
      </c>
    </row>
    <row r="208" spans="2:4" x14ac:dyDescent="0.2">
      <c r="B208" s="11">
        <f>IF(EXACT('Internal Career (Last Position)'!$O208, ""), "", 'Internal Career (Last Position)'!$O208)</f>
        <v>164000000000205</v>
      </c>
      <c r="C208" s="37">
        <f>IF(EXACT('Internal Career (Last Position)'!$O208, ""), "", 'Internal Career (Last Position)'!$B208)</f>
        <v>32000000000205</v>
      </c>
      <c r="D208" s="38" t="str">
        <f>IF(EXACT('Internal Career (Last Position)'!$O208, ""), "", 'Internal Career (Last Position)'!$C208)</f>
        <v>Imam Basuki</v>
      </c>
    </row>
    <row r="209" spans="2:4" x14ac:dyDescent="0.2">
      <c r="B209" s="11">
        <f>IF(EXACT('Internal Career (Last Position)'!$O209, ""), "", 'Internal Career (Last Position)'!$O209)</f>
        <v>164000000000206</v>
      </c>
      <c r="C209" s="37">
        <f>IF(EXACT('Internal Career (Last Position)'!$O209, ""), "", 'Internal Career (Last Position)'!$B209)</f>
        <v>32000000000206</v>
      </c>
      <c r="D209" s="38" t="str">
        <f>IF(EXACT('Internal Career (Last Position)'!$O209, ""), "", 'Internal Career (Last Position)'!$C209)</f>
        <v>Imam Mustofa</v>
      </c>
    </row>
    <row r="210" spans="2:4" x14ac:dyDescent="0.2">
      <c r="B210" s="11">
        <f>IF(EXACT('Internal Career (Last Position)'!$O210, ""), "", 'Internal Career (Last Position)'!$O210)</f>
        <v>164000000000207</v>
      </c>
      <c r="C210" s="37">
        <f>IF(EXACT('Internal Career (Last Position)'!$O210, ""), "", 'Internal Career (Last Position)'!$B210)</f>
        <v>32000000000207</v>
      </c>
      <c r="D210" s="38" t="str">
        <f>IF(EXACT('Internal Career (Last Position)'!$O210, ""), "", 'Internal Career (Last Position)'!$C210)</f>
        <v>Imam Safiiy</v>
      </c>
    </row>
    <row r="211" spans="2:4" x14ac:dyDescent="0.2">
      <c r="B211" s="11">
        <f>IF(EXACT('Internal Career (Last Position)'!$O211, ""), "", 'Internal Career (Last Position)'!$O211)</f>
        <v>164000000000208</v>
      </c>
      <c r="C211" s="37">
        <f>IF(EXACT('Internal Career (Last Position)'!$O211, ""), "", 'Internal Career (Last Position)'!$B211)</f>
        <v>32000000000208</v>
      </c>
      <c r="D211" s="38" t="str">
        <f>IF(EXACT('Internal Career (Last Position)'!$O211, ""), "", 'Internal Career (Last Position)'!$C211)</f>
        <v>Iman Hakiki</v>
      </c>
    </row>
    <row r="212" spans="2:4" x14ac:dyDescent="0.2">
      <c r="B212" s="11">
        <f>IF(EXACT('Internal Career (Last Position)'!$O212, ""), "", 'Internal Career (Last Position)'!$O212)</f>
        <v>164000000000209</v>
      </c>
      <c r="C212" s="37">
        <f>IF(EXACT('Internal Career (Last Position)'!$O212, ""), "", 'Internal Career (Last Position)'!$B212)</f>
        <v>32000000000209</v>
      </c>
      <c r="D212" s="38" t="str">
        <f>IF(EXACT('Internal Career (Last Position)'!$O212, ""), "", 'Internal Career (Last Position)'!$C212)</f>
        <v>Imelda Claudia</v>
      </c>
    </row>
    <row r="213" spans="2:4" x14ac:dyDescent="0.2">
      <c r="B213" s="11">
        <f>IF(EXACT('Internal Career (Last Position)'!$O213, ""), "", 'Internal Career (Last Position)'!$O213)</f>
        <v>164000000000210</v>
      </c>
      <c r="C213" s="37">
        <f>IF(EXACT('Internal Career (Last Position)'!$O213, ""), "", 'Internal Career (Last Position)'!$B213)</f>
        <v>32000000000210</v>
      </c>
      <c r="D213" s="38" t="str">
        <f>IF(EXACT('Internal Career (Last Position)'!$O213, ""), "", 'Internal Career (Last Position)'!$C213)</f>
        <v>Indawan Haryadi</v>
      </c>
    </row>
    <row r="214" spans="2:4" x14ac:dyDescent="0.2">
      <c r="B214" s="11">
        <f>IF(EXACT('Internal Career (Last Position)'!$O214, ""), "", 'Internal Career (Last Position)'!$O214)</f>
        <v>164000000000211</v>
      </c>
      <c r="C214" s="37">
        <f>IF(EXACT('Internal Career (Last Position)'!$O214, ""), "", 'Internal Career (Last Position)'!$B214)</f>
        <v>32000000000211</v>
      </c>
      <c r="D214" s="38" t="str">
        <f>IF(EXACT('Internal Career (Last Position)'!$O214, ""), "", 'Internal Career (Last Position)'!$C214)</f>
        <v>Indra Jaya</v>
      </c>
    </row>
    <row r="215" spans="2:4" x14ac:dyDescent="0.2">
      <c r="B215" s="11">
        <f>IF(EXACT('Internal Career (Last Position)'!$O215, ""), "", 'Internal Career (Last Position)'!$O215)</f>
        <v>164000000000212</v>
      </c>
      <c r="C215" s="37">
        <f>IF(EXACT('Internal Career (Last Position)'!$O215, ""), "", 'Internal Career (Last Position)'!$B215)</f>
        <v>32000000000212</v>
      </c>
      <c r="D215" s="38" t="str">
        <f>IF(EXACT('Internal Career (Last Position)'!$O215, ""), "", 'Internal Career (Last Position)'!$C215)</f>
        <v>Indra Muchtar</v>
      </c>
    </row>
    <row r="216" spans="2:4" x14ac:dyDescent="0.2">
      <c r="B216" s="11">
        <f>IF(EXACT('Internal Career (Last Position)'!$O216, ""), "", 'Internal Career (Last Position)'!$O216)</f>
        <v>164000000000213</v>
      </c>
      <c r="C216" s="37">
        <f>IF(EXACT('Internal Career (Last Position)'!$O216, ""), "", 'Internal Career (Last Position)'!$B216)</f>
        <v>32000000000213</v>
      </c>
      <c r="D216" s="38" t="str">
        <f>IF(EXACT('Internal Career (Last Position)'!$O216, ""), "", 'Internal Career (Last Position)'!$C216)</f>
        <v>Irvan</v>
      </c>
    </row>
    <row r="217" spans="2:4" x14ac:dyDescent="0.2">
      <c r="B217" s="11">
        <f>IF(EXACT('Internal Career (Last Position)'!$O217, ""), "", 'Internal Career (Last Position)'!$O217)</f>
        <v>164000000000214</v>
      </c>
      <c r="C217" s="37">
        <f>IF(EXACT('Internal Career (Last Position)'!$O217, ""), "", 'Internal Career (Last Position)'!$B217)</f>
        <v>32000000000214</v>
      </c>
      <c r="D217" s="38" t="str">
        <f>IF(EXACT('Internal Career (Last Position)'!$O217, ""), "", 'Internal Career (Last Position)'!$C217)</f>
        <v>Irvan Agus Dharma Eka Putra</v>
      </c>
    </row>
    <row r="218" spans="2:4" x14ac:dyDescent="0.2">
      <c r="B218" s="11">
        <f>IF(EXACT('Internal Career (Last Position)'!$O218, ""), "", 'Internal Career (Last Position)'!$O218)</f>
        <v>164000000000215</v>
      </c>
      <c r="C218" s="37">
        <f>IF(EXACT('Internal Career (Last Position)'!$O218, ""), "", 'Internal Career (Last Position)'!$B218)</f>
        <v>32000000000215</v>
      </c>
      <c r="D218" s="38" t="str">
        <f>IF(EXACT('Internal Career (Last Position)'!$O218, ""), "", 'Internal Career (Last Position)'!$C218)</f>
        <v>Irwan</v>
      </c>
    </row>
    <row r="219" spans="2:4" x14ac:dyDescent="0.2">
      <c r="B219" s="11">
        <f>IF(EXACT('Internal Career (Last Position)'!$O219, ""), "", 'Internal Career (Last Position)'!$O219)</f>
        <v>164000000000216</v>
      </c>
      <c r="C219" s="37">
        <f>IF(EXACT('Internal Career (Last Position)'!$O219, ""), "", 'Internal Career (Last Position)'!$B219)</f>
        <v>32000000000216</v>
      </c>
      <c r="D219" s="38" t="str">
        <f>IF(EXACT('Internal Career (Last Position)'!$O219, ""), "", 'Internal Career (Last Position)'!$C219)</f>
        <v>Isa Anshori</v>
      </c>
    </row>
    <row r="220" spans="2:4" x14ac:dyDescent="0.2">
      <c r="B220" s="11">
        <f>IF(EXACT('Internal Career (Last Position)'!$O220, ""), "", 'Internal Career (Last Position)'!$O220)</f>
        <v>164000000000217</v>
      </c>
      <c r="C220" s="37">
        <f>IF(EXACT('Internal Career (Last Position)'!$O220, ""), "", 'Internal Career (Last Position)'!$B220)</f>
        <v>32000000000217</v>
      </c>
      <c r="D220" s="38" t="str">
        <f>IF(EXACT('Internal Career (Last Position)'!$O220, ""), "", 'Internal Career (Last Position)'!$C220)</f>
        <v>Isa Taufiq</v>
      </c>
    </row>
    <row r="221" spans="2:4" x14ac:dyDescent="0.2">
      <c r="B221" s="11">
        <f>IF(EXACT('Internal Career (Last Position)'!$O221, ""), "", 'Internal Career (Last Position)'!$O221)</f>
        <v>164000000000218</v>
      </c>
      <c r="C221" s="37">
        <f>IF(EXACT('Internal Career (Last Position)'!$O221, ""), "", 'Internal Career (Last Position)'!$B221)</f>
        <v>32000000000218</v>
      </c>
      <c r="D221" s="38" t="str">
        <f>IF(EXACT('Internal Career (Last Position)'!$O221, ""), "", 'Internal Career (Last Position)'!$C221)</f>
        <v>Iskandarsyah</v>
      </c>
    </row>
    <row r="222" spans="2:4" x14ac:dyDescent="0.2">
      <c r="B222" s="11">
        <f>IF(EXACT('Internal Career (Last Position)'!$O222, ""), "", 'Internal Career (Last Position)'!$O222)</f>
        <v>164000000000219</v>
      </c>
      <c r="C222" s="37">
        <f>IF(EXACT('Internal Career (Last Position)'!$O222, ""), "", 'Internal Career (Last Position)'!$B222)</f>
        <v>32000000000219</v>
      </c>
      <c r="D222" s="38" t="str">
        <f>IF(EXACT('Internal Career (Last Position)'!$O222, ""), "", 'Internal Career (Last Position)'!$C222)</f>
        <v>Istanto Istanto</v>
      </c>
    </row>
    <row r="223" spans="2:4" x14ac:dyDescent="0.2">
      <c r="B223" s="11">
        <f>IF(EXACT('Internal Career (Last Position)'!$O223, ""), "", 'Internal Career (Last Position)'!$O223)</f>
        <v>164000000000220</v>
      </c>
      <c r="C223" s="37">
        <f>IF(EXACT('Internal Career (Last Position)'!$O223, ""), "", 'Internal Career (Last Position)'!$B223)</f>
        <v>32000000000220</v>
      </c>
      <c r="D223" s="38" t="str">
        <f>IF(EXACT('Internal Career (Last Position)'!$O223, ""), "", 'Internal Career (Last Position)'!$C223)</f>
        <v>Iswahyuni</v>
      </c>
    </row>
    <row r="224" spans="2:4" x14ac:dyDescent="0.2">
      <c r="B224" s="11">
        <f>IF(EXACT('Internal Career (Last Position)'!$O224, ""), "", 'Internal Career (Last Position)'!$O224)</f>
        <v>164000000000221</v>
      </c>
      <c r="C224" s="37">
        <f>IF(EXACT('Internal Career (Last Position)'!$O224, ""), "", 'Internal Career (Last Position)'!$B224)</f>
        <v>32000000000221</v>
      </c>
      <c r="D224" s="38" t="str">
        <f>IF(EXACT('Internal Career (Last Position)'!$O224, ""), "", 'Internal Career (Last Position)'!$C224)</f>
        <v>Iva Nurvahayati</v>
      </c>
    </row>
    <row r="225" spans="2:4" x14ac:dyDescent="0.2">
      <c r="B225" s="11">
        <f>IF(EXACT('Internal Career (Last Position)'!$O225, ""), "", 'Internal Career (Last Position)'!$O225)</f>
        <v>164000000000222</v>
      </c>
      <c r="C225" s="37">
        <f>IF(EXACT('Internal Career (Last Position)'!$O225, ""), "", 'Internal Career (Last Position)'!$B225)</f>
        <v>32000000000222</v>
      </c>
      <c r="D225" s="38" t="str">
        <f>IF(EXACT('Internal Career (Last Position)'!$O225, ""), "", 'Internal Career (Last Position)'!$C225)</f>
        <v>Iwan Setiawan</v>
      </c>
    </row>
    <row r="226" spans="2:4" x14ac:dyDescent="0.2">
      <c r="B226" s="11">
        <f>IF(EXACT('Internal Career (Last Position)'!$O226, ""), "", 'Internal Career (Last Position)'!$O226)</f>
        <v>164000000000223</v>
      </c>
      <c r="C226" s="37">
        <f>IF(EXACT('Internal Career (Last Position)'!$O226, ""), "", 'Internal Career (Last Position)'!$B226)</f>
        <v>32000000000223</v>
      </c>
      <c r="D226" s="38" t="str">
        <f>IF(EXACT('Internal Career (Last Position)'!$O226, ""), "", 'Internal Career (Last Position)'!$C226)</f>
        <v>Iwan Sumantri</v>
      </c>
    </row>
    <row r="227" spans="2:4" x14ac:dyDescent="0.2">
      <c r="B227" s="11">
        <f>IF(EXACT('Internal Career (Last Position)'!$O227, ""), "", 'Internal Career (Last Position)'!$O227)</f>
        <v>164000000000224</v>
      </c>
      <c r="C227" s="37">
        <f>IF(EXACT('Internal Career (Last Position)'!$O227, ""), "", 'Internal Career (Last Position)'!$B227)</f>
        <v>32000000000224</v>
      </c>
      <c r="D227" s="38" t="str">
        <f>IF(EXACT('Internal Career (Last Position)'!$O227, ""), "", 'Internal Career (Last Position)'!$C227)</f>
        <v>Iwan Wibawa</v>
      </c>
    </row>
    <row r="228" spans="2:4" x14ac:dyDescent="0.2">
      <c r="B228" s="11">
        <f>IF(EXACT('Internal Career (Last Position)'!$O228, ""), "", 'Internal Career (Last Position)'!$O228)</f>
        <v>164000000000225</v>
      </c>
      <c r="C228" s="37">
        <f>IF(EXACT('Internal Career (Last Position)'!$O228, ""), "", 'Internal Career (Last Position)'!$B228)</f>
        <v>32000000000225</v>
      </c>
      <c r="D228" s="38" t="str">
        <f>IF(EXACT('Internal Career (Last Position)'!$O228, ""), "", 'Internal Career (Last Position)'!$C228)</f>
        <v>Iyus Darwin</v>
      </c>
    </row>
    <row r="229" spans="2:4" x14ac:dyDescent="0.2">
      <c r="B229" s="11">
        <f>IF(EXACT('Internal Career (Last Position)'!$O229, ""), "", 'Internal Career (Last Position)'!$O229)</f>
        <v>164000000000226</v>
      </c>
      <c r="C229" s="37">
        <f>IF(EXACT('Internal Career (Last Position)'!$O229, ""), "", 'Internal Career (Last Position)'!$B229)</f>
        <v>32000000000226</v>
      </c>
      <c r="D229" s="38" t="str">
        <f>IF(EXACT('Internal Career (Last Position)'!$O229, ""), "", 'Internal Career (Last Position)'!$C229)</f>
        <v>Jaenudin</v>
      </c>
    </row>
    <row r="230" spans="2:4" x14ac:dyDescent="0.2">
      <c r="B230" s="11">
        <f>IF(EXACT('Internal Career (Last Position)'!$O230, ""), "", 'Internal Career (Last Position)'!$O230)</f>
        <v>164000000000227</v>
      </c>
      <c r="C230" s="37">
        <f>IF(EXACT('Internal Career (Last Position)'!$O230, ""), "", 'Internal Career (Last Position)'!$B230)</f>
        <v>32000000000227</v>
      </c>
      <c r="D230" s="38" t="str">
        <f>IF(EXACT('Internal Career (Last Position)'!$O230, ""), "", 'Internal Career (Last Position)'!$C230)</f>
        <v>Jaruli Samosir</v>
      </c>
    </row>
    <row r="231" spans="2:4" x14ac:dyDescent="0.2">
      <c r="B231" s="11">
        <f>IF(EXACT('Internal Career (Last Position)'!$O231, ""), "", 'Internal Career (Last Position)'!$O231)</f>
        <v>164000000000228</v>
      </c>
      <c r="C231" s="37">
        <f>IF(EXACT('Internal Career (Last Position)'!$O231, ""), "", 'Internal Career (Last Position)'!$B231)</f>
        <v>32000000000228</v>
      </c>
      <c r="D231" s="38" t="str">
        <f>IF(EXACT('Internal Career (Last Position)'!$O231, ""), "", 'Internal Career (Last Position)'!$C231)</f>
        <v>Jaya Ganef</v>
      </c>
    </row>
    <row r="232" spans="2:4" x14ac:dyDescent="0.2">
      <c r="B232" s="11">
        <f>IF(EXACT('Internal Career (Last Position)'!$O232, ""), "", 'Internal Career (Last Position)'!$O232)</f>
        <v>164000000000229</v>
      </c>
      <c r="C232" s="37">
        <f>IF(EXACT('Internal Career (Last Position)'!$O232, ""), "", 'Internal Career (Last Position)'!$B232)</f>
        <v>32000000000229</v>
      </c>
      <c r="D232" s="38" t="str">
        <f>IF(EXACT('Internal Career (Last Position)'!$O232, ""), "", 'Internal Career (Last Position)'!$C232)</f>
        <v>Jaya Sitepu</v>
      </c>
    </row>
    <row r="233" spans="2:4" x14ac:dyDescent="0.2">
      <c r="B233" s="11">
        <f>IF(EXACT('Internal Career (Last Position)'!$O233, ""), "", 'Internal Career (Last Position)'!$O233)</f>
        <v>164000000000230</v>
      </c>
      <c r="C233" s="37">
        <f>IF(EXACT('Internal Career (Last Position)'!$O233, ""), "", 'Internal Career (Last Position)'!$B233)</f>
        <v>32000000000230</v>
      </c>
      <c r="D233" s="38" t="str">
        <f>IF(EXACT('Internal Career (Last Position)'!$O233, ""), "", 'Internal Career (Last Position)'!$C233)</f>
        <v>Jeefrianda H. P. Sigalingging</v>
      </c>
    </row>
    <row r="234" spans="2:4" x14ac:dyDescent="0.2">
      <c r="B234" s="11">
        <f>IF(EXACT('Internal Career (Last Position)'!$O234, ""), "", 'Internal Career (Last Position)'!$O234)</f>
        <v>164000000000231</v>
      </c>
      <c r="C234" s="37">
        <f>IF(EXACT('Internal Career (Last Position)'!$O234, ""), "", 'Internal Career (Last Position)'!$B234)</f>
        <v>32000000000231</v>
      </c>
      <c r="D234" s="38" t="str">
        <f>IF(EXACT('Internal Career (Last Position)'!$O234, ""), "", 'Internal Career (Last Position)'!$C234)</f>
        <v>Jerry Djajasaputra</v>
      </c>
    </row>
    <row r="235" spans="2:4" x14ac:dyDescent="0.2">
      <c r="B235" s="11">
        <f>IF(EXACT('Internal Career (Last Position)'!$O235, ""), "", 'Internal Career (Last Position)'!$O235)</f>
        <v>164000000000232</v>
      </c>
      <c r="C235" s="37">
        <f>IF(EXACT('Internal Career (Last Position)'!$O235, ""), "", 'Internal Career (Last Position)'!$B235)</f>
        <v>32000000000232</v>
      </c>
      <c r="D235" s="38" t="str">
        <f>IF(EXACT('Internal Career (Last Position)'!$O235, ""), "", 'Internal Career (Last Position)'!$C235)</f>
        <v>Jimmywal</v>
      </c>
    </row>
    <row r="236" spans="2:4" x14ac:dyDescent="0.2">
      <c r="B236" s="11">
        <f>IF(EXACT('Internal Career (Last Position)'!$O236, ""), "", 'Internal Career (Last Position)'!$O236)</f>
        <v>164000000000233</v>
      </c>
      <c r="C236" s="37">
        <f>IF(EXACT('Internal Career (Last Position)'!$O236, ""), "", 'Internal Career (Last Position)'!$B236)</f>
        <v>32000000000233</v>
      </c>
      <c r="D236" s="38" t="str">
        <f>IF(EXACT('Internal Career (Last Position)'!$O236, ""), "", 'Internal Career (Last Position)'!$C236)</f>
        <v>Jodie Satria</v>
      </c>
    </row>
    <row r="237" spans="2:4" x14ac:dyDescent="0.2">
      <c r="B237" s="11">
        <f>IF(EXACT('Internal Career (Last Position)'!$O237, ""), "", 'Internal Career (Last Position)'!$O237)</f>
        <v>164000000000234</v>
      </c>
      <c r="C237" s="37">
        <f>IF(EXACT('Internal Career (Last Position)'!$O237, ""), "", 'Internal Career (Last Position)'!$B237)</f>
        <v>32000000000234</v>
      </c>
      <c r="D237" s="38" t="str">
        <f>IF(EXACT('Internal Career (Last Position)'!$O237, ""), "", 'Internal Career (Last Position)'!$C237)</f>
        <v>Johannes Silalahi</v>
      </c>
    </row>
    <row r="238" spans="2:4" x14ac:dyDescent="0.2">
      <c r="B238" s="11">
        <f>IF(EXACT('Internal Career (Last Position)'!$O238, ""), "", 'Internal Career (Last Position)'!$O238)</f>
        <v>164000000000235</v>
      </c>
      <c r="C238" s="37">
        <f>IF(EXACT('Internal Career (Last Position)'!$O238, ""), "", 'Internal Career (Last Position)'!$B238)</f>
        <v>32000000000235</v>
      </c>
      <c r="D238" s="38" t="str">
        <f>IF(EXACT('Internal Career (Last Position)'!$O238, ""), "", 'Internal Career (Last Position)'!$C238)</f>
        <v>Joko Wiyono</v>
      </c>
    </row>
    <row r="239" spans="2:4" x14ac:dyDescent="0.2">
      <c r="B239" s="11">
        <f>IF(EXACT('Internal Career (Last Position)'!$O239, ""), "", 'Internal Career (Last Position)'!$O239)</f>
        <v>164000000000236</v>
      </c>
      <c r="C239" s="37">
        <f>IF(EXACT('Internal Career (Last Position)'!$O239, ""), "", 'Internal Career (Last Position)'!$B239)</f>
        <v>32000000000236</v>
      </c>
      <c r="D239" s="38" t="str">
        <f>IF(EXACT('Internal Career (Last Position)'!$O239, ""), "", 'Internal Career (Last Position)'!$C239)</f>
        <v>Jondril Hantoni</v>
      </c>
    </row>
    <row r="240" spans="2:4" x14ac:dyDescent="0.2">
      <c r="B240" s="11">
        <f>IF(EXACT('Internal Career (Last Position)'!$O240, ""), "", 'Internal Career (Last Position)'!$O240)</f>
        <v>164000000000237</v>
      </c>
      <c r="C240" s="37">
        <f>IF(EXACT('Internal Career (Last Position)'!$O240, ""), "", 'Internal Career (Last Position)'!$B240)</f>
        <v>32000000000237</v>
      </c>
      <c r="D240" s="38" t="str">
        <f>IF(EXACT('Internal Career (Last Position)'!$O240, ""), "", 'Internal Career (Last Position)'!$C240)</f>
        <v>Jonhar Aziz</v>
      </c>
    </row>
    <row r="241" spans="2:4" x14ac:dyDescent="0.2">
      <c r="B241" s="11">
        <f>IF(EXACT('Internal Career (Last Position)'!$O241, ""), "", 'Internal Career (Last Position)'!$O241)</f>
        <v>164000000000238</v>
      </c>
      <c r="C241" s="37">
        <f>IF(EXACT('Internal Career (Last Position)'!$O241, ""), "", 'Internal Career (Last Position)'!$B241)</f>
        <v>32000000000238</v>
      </c>
      <c r="D241" s="38" t="str">
        <f>IF(EXACT('Internal Career (Last Position)'!$O241, ""), "", 'Internal Career (Last Position)'!$C241)</f>
        <v>Juan Talitha</v>
      </c>
    </row>
    <row r="242" spans="2:4" x14ac:dyDescent="0.2">
      <c r="B242" s="11">
        <f>IF(EXACT('Internal Career (Last Position)'!$O242, ""), "", 'Internal Career (Last Position)'!$O242)</f>
        <v>164000000000239</v>
      </c>
      <c r="C242" s="37">
        <f>IF(EXACT('Internal Career (Last Position)'!$O242, ""), "", 'Internal Career (Last Position)'!$B242)</f>
        <v>32000000000239</v>
      </c>
      <c r="D242" s="38" t="str">
        <f>IF(EXACT('Internal Career (Last Position)'!$O242, ""), "", 'Internal Career (Last Position)'!$C242)</f>
        <v>Juharja Juharja</v>
      </c>
    </row>
    <row r="243" spans="2:4" x14ac:dyDescent="0.2">
      <c r="B243" s="11">
        <f>IF(EXACT('Internal Career (Last Position)'!$O243, ""), "", 'Internal Career (Last Position)'!$O243)</f>
        <v>164000000000240</v>
      </c>
      <c r="C243" s="37">
        <f>IF(EXACT('Internal Career (Last Position)'!$O243, ""), "", 'Internal Career (Last Position)'!$B243)</f>
        <v>32000000000240</v>
      </c>
      <c r="D243" s="38" t="str">
        <f>IF(EXACT('Internal Career (Last Position)'!$O243, ""), "", 'Internal Career (Last Position)'!$C243)</f>
        <v>Juminar</v>
      </c>
    </row>
    <row r="244" spans="2:4" x14ac:dyDescent="0.2">
      <c r="B244" s="11">
        <f>IF(EXACT('Internal Career (Last Position)'!$O244, ""), "", 'Internal Career (Last Position)'!$O244)</f>
        <v>164000000000241</v>
      </c>
      <c r="C244" s="37">
        <f>IF(EXACT('Internal Career (Last Position)'!$O244, ""), "", 'Internal Career (Last Position)'!$B244)</f>
        <v>32000000000241</v>
      </c>
      <c r="D244" s="38" t="str">
        <f>IF(EXACT('Internal Career (Last Position)'!$O244, ""), "", 'Internal Career (Last Position)'!$C244)</f>
        <v>Jumino</v>
      </c>
    </row>
    <row r="245" spans="2:4" x14ac:dyDescent="0.2">
      <c r="B245" s="11">
        <f>IF(EXACT('Internal Career (Last Position)'!$O245, ""), "", 'Internal Career (Last Position)'!$O245)</f>
        <v>164000000000242</v>
      </c>
      <c r="C245" s="37">
        <f>IF(EXACT('Internal Career (Last Position)'!$O245, ""), "", 'Internal Career (Last Position)'!$B245)</f>
        <v>32000000000242</v>
      </c>
      <c r="D245" s="38" t="str">
        <f>IF(EXACT('Internal Career (Last Position)'!$O245, ""), "", 'Internal Career (Last Position)'!$C245)</f>
        <v>Junaedi</v>
      </c>
    </row>
    <row r="246" spans="2:4" x14ac:dyDescent="0.2">
      <c r="B246" s="11">
        <f>IF(EXACT('Internal Career (Last Position)'!$O246, ""), "", 'Internal Career (Last Position)'!$O246)</f>
        <v>164000000000243</v>
      </c>
      <c r="C246" s="37">
        <f>IF(EXACT('Internal Career (Last Position)'!$O246, ""), "", 'Internal Career (Last Position)'!$B246)</f>
        <v>32000000000243</v>
      </c>
      <c r="D246" s="38" t="str">
        <f>IF(EXACT('Internal Career (Last Position)'!$O246, ""), "", 'Internal Career (Last Position)'!$C246)</f>
        <v>Junaidi</v>
      </c>
    </row>
    <row r="247" spans="2:4" x14ac:dyDescent="0.2">
      <c r="B247" s="11">
        <f>IF(EXACT('Internal Career (Last Position)'!$O247, ""), "", 'Internal Career (Last Position)'!$O247)</f>
        <v>164000000000244</v>
      </c>
      <c r="C247" s="37">
        <f>IF(EXACT('Internal Career (Last Position)'!$O247, ""), "", 'Internal Career (Last Position)'!$B247)</f>
        <v>32000000000244</v>
      </c>
      <c r="D247" s="38" t="str">
        <f>IF(EXACT('Internal Career (Last Position)'!$O247, ""), "", 'Internal Career (Last Position)'!$C247)</f>
        <v>Jusuf Bobby Putra</v>
      </c>
    </row>
    <row r="248" spans="2:4" x14ac:dyDescent="0.2">
      <c r="B248" s="11">
        <f>IF(EXACT('Internal Career (Last Position)'!$O248, ""), "", 'Internal Career (Last Position)'!$O248)</f>
        <v>164000000000245</v>
      </c>
      <c r="C248" s="37">
        <f>IF(EXACT('Internal Career (Last Position)'!$O248, ""), "", 'Internal Career (Last Position)'!$B248)</f>
        <v>32000000000245</v>
      </c>
      <c r="D248" s="38" t="str">
        <f>IF(EXACT('Internal Career (Last Position)'!$O248, ""), "", 'Internal Career (Last Position)'!$C248)</f>
        <v>Jusuf Gandi</v>
      </c>
    </row>
    <row r="249" spans="2:4" x14ac:dyDescent="0.2">
      <c r="B249" s="11">
        <f>IF(EXACT('Internal Career (Last Position)'!$O249, ""), "", 'Internal Career (Last Position)'!$O249)</f>
        <v>164000000000246</v>
      </c>
      <c r="C249" s="37">
        <f>IF(EXACT('Internal Career (Last Position)'!$O249, ""), "", 'Internal Career (Last Position)'!$B249)</f>
        <v>32000000000246</v>
      </c>
      <c r="D249" s="38" t="str">
        <f>IF(EXACT('Internal Career (Last Position)'!$O249, ""), "", 'Internal Career (Last Position)'!$C249)</f>
        <v>Kahar Triyono</v>
      </c>
    </row>
    <row r="250" spans="2:4" x14ac:dyDescent="0.2">
      <c r="B250" s="11">
        <f>IF(EXACT('Internal Career (Last Position)'!$O250, ""), "", 'Internal Career (Last Position)'!$O250)</f>
        <v>164000000000247</v>
      </c>
      <c r="C250" s="37">
        <f>IF(EXACT('Internal Career (Last Position)'!$O250, ""), "", 'Internal Career (Last Position)'!$B250)</f>
        <v>32000000000247</v>
      </c>
      <c r="D250" s="38" t="str">
        <f>IF(EXACT('Internal Career (Last Position)'!$O250, ""), "", 'Internal Career (Last Position)'!$C250)</f>
        <v>Keila</v>
      </c>
    </row>
    <row r="251" spans="2:4" x14ac:dyDescent="0.2">
      <c r="B251" s="11">
        <f>IF(EXACT('Internal Career (Last Position)'!$O251, ""), "", 'Internal Career (Last Position)'!$O251)</f>
        <v>164000000000248</v>
      </c>
      <c r="C251" s="37">
        <f>IF(EXACT('Internal Career (Last Position)'!$O251, ""), "", 'Internal Career (Last Position)'!$B251)</f>
        <v>32000000000248</v>
      </c>
      <c r="D251" s="38" t="str">
        <f>IF(EXACT('Internal Career (Last Position)'!$O251, ""), "", 'Internal Career (Last Position)'!$C251)</f>
        <v>Kendra Daniswara</v>
      </c>
    </row>
    <row r="252" spans="2:4" x14ac:dyDescent="0.2">
      <c r="B252" s="11">
        <f>IF(EXACT('Internal Career (Last Position)'!$O252, ""), "", 'Internal Career (Last Position)'!$O252)</f>
        <v>164000000000249</v>
      </c>
      <c r="C252" s="37">
        <f>IF(EXACT('Internal Career (Last Position)'!$O252, ""), "", 'Internal Career (Last Position)'!$B252)</f>
        <v>32000000000249</v>
      </c>
      <c r="D252" s="38" t="str">
        <f>IF(EXACT('Internal Career (Last Position)'!$O252, ""), "", 'Internal Career (Last Position)'!$C252)</f>
        <v>Kevin Henokh Tambunan</v>
      </c>
    </row>
    <row r="253" spans="2:4" x14ac:dyDescent="0.2">
      <c r="B253" s="11">
        <f>IF(EXACT('Internal Career (Last Position)'!$O253, ""), "", 'Internal Career (Last Position)'!$O253)</f>
        <v>164000000000250</v>
      </c>
      <c r="C253" s="37">
        <f>IF(EXACT('Internal Career (Last Position)'!$O253, ""), "", 'Internal Career (Last Position)'!$B253)</f>
        <v>32000000000250</v>
      </c>
      <c r="D253" s="38" t="str">
        <f>IF(EXACT('Internal Career (Last Position)'!$O253, ""), "", 'Internal Career (Last Position)'!$C253)</f>
        <v>Khafid Fahrurrozi</v>
      </c>
    </row>
    <row r="254" spans="2:4" x14ac:dyDescent="0.2">
      <c r="B254" s="11">
        <f>IF(EXACT('Internal Career (Last Position)'!$O254, ""), "", 'Internal Career (Last Position)'!$O254)</f>
        <v>164000000000251</v>
      </c>
      <c r="C254" s="37">
        <f>IF(EXACT('Internal Career (Last Position)'!$O254, ""), "", 'Internal Career (Last Position)'!$B254)</f>
        <v>32000000000251</v>
      </c>
      <c r="D254" s="38" t="str">
        <f>IF(EXACT('Internal Career (Last Position)'!$O254, ""), "", 'Internal Career (Last Position)'!$C254)</f>
        <v>Kholik</v>
      </c>
    </row>
    <row r="255" spans="2:4" x14ac:dyDescent="0.2">
      <c r="B255" s="11">
        <f>IF(EXACT('Internal Career (Last Position)'!$O255, ""), "", 'Internal Career (Last Position)'!$O255)</f>
        <v>164000000000252</v>
      </c>
      <c r="C255" s="37">
        <f>IF(EXACT('Internal Career (Last Position)'!$O255, ""), "", 'Internal Career (Last Position)'!$B255)</f>
        <v>32000000000252</v>
      </c>
      <c r="D255" s="38" t="str">
        <f>IF(EXACT('Internal Career (Last Position)'!$O255, ""), "", 'Internal Career (Last Position)'!$C255)</f>
        <v>Kiki Mustikawati</v>
      </c>
    </row>
    <row r="256" spans="2:4" x14ac:dyDescent="0.2">
      <c r="B256" s="11">
        <f>IF(EXACT('Internal Career (Last Position)'!$O256, ""), "", 'Internal Career (Last Position)'!$O256)</f>
        <v>164000000000253</v>
      </c>
      <c r="C256" s="37">
        <f>IF(EXACT('Internal Career (Last Position)'!$O256, ""), "", 'Internal Career (Last Position)'!$B256)</f>
        <v>32000000000253</v>
      </c>
      <c r="D256" s="38" t="str">
        <f>IF(EXACT('Internal Career (Last Position)'!$O256, ""), "", 'Internal Career (Last Position)'!$C256)</f>
        <v>Kornelius Sakan</v>
      </c>
    </row>
    <row r="257" spans="2:4" x14ac:dyDescent="0.2">
      <c r="B257" s="11">
        <f>IF(EXACT('Internal Career (Last Position)'!$O257, ""), "", 'Internal Career (Last Position)'!$O257)</f>
        <v>164000000000254</v>
      </c>
      <c r="C257" s="37">
        <f>IF(EXACT('Internal Career (Last Position)'!$O257, ""), "", 'Internal Career (Last Position)'!$B257)</f>
        <v>32000000000254</v>
      </c>
      <c r="D257" s="38" t="str">
        <f>IF(EXACT('Internal Career (Last Position)'!$O257, ""), "", 'Internal Career (Last Position)'!$C257)</f>
        <v>Kosasih</v>
      </c>
    </row>
    <row r="258" spans="2:4" x14ac:dyDescent="0.2">
      <c r="B258" s="11">
        <f>IF(EXACT('Internal Career (Last Position)'!$O258, ""), "", 'Internal Career (Last Position)'!$O258)</f>
        <v>164000000000255</v>
      </c>
      <c r="C258" s="37">
        <f>IF(EXACT('Internal Career (Last Position)'!$O258, ""), "", 'Internal Career (Last Position)'!$B258)</f>
        <v>32000000000255</v>
      </c>
      <c r="D258" s="38" t="str">
        <f>IF(EXACT('Internal Career (Last Position)'!$O258, ""), "", 'Internal Career (Last Position)'!$C258)</f>
        <v>Krisnawan</v>
      </c>
    </row>
    <row r="259" spans="2:4" x14ac:dyDescent="0.2">
      <c r="B259" s="11">
        <f>IF(EXACT('Internal Career (Last Position)'!$O259, ""), "", 'Internal Career (Last Position)'!$O259)</f>
        <v>164000000000256</v>
      </c>
      <c r="C259" s="37">
        <f>IF(EXACT('Internal Career (Last Position)'!$O259, ""), "", 'Internal Career (Last Position)'!$B259)</f>
        <v>32000000000256</v>
      </c>
      <c r="D259" s="38" t="str">
        <f>IF(EXACT('Internal Career (Last Position)'!$O259, ""), "", 'Internal Career (Last Position)'!$C259)</f>
        <v>Kurniadi</v>
      </c>
    </row>
    <row r="260" spans="2:4" x14ac:dyDescent="0.2">
      <c r="B260" s="11">
        <f>IF(EXACT('Internal Career (Last Position)'!$O260, ""), "", 'Internal Career (Last Position)'!$O260)</f>
        <v>164000000000257</v>
      </c>
      <c r="C260" s="37">
        <f>IF(EXACT('Internal Career (Last Position)'!$O260, ""), "", 'Internal Career (Last Position)'!$B260)</f>
        <v>32000000000257</v>
      </c>
      <c r="D260" s="38" t="str">
        <f>IF(EXACT('Internal Career (Last Position)'!$O260, ""), "", 'Internal Career (Last Position)'!$C260)</f>
        <v>Kurniawan</v>
      </c>
    </row>
    <row r="261" spans="2:4" x14ac:dyDescent="0.2">
      <c r="B261" s="11">
        <f>IF(EXACT('Internal Career (Last Position)'!$O261, ""), "", 'Internal Career (Last Position)'!$O261)</f>
        <v>164000000000258</v>
      </c>
      <c r="C261" s="37">
        <f>IF(EXACT('Internal Career (Last Position)'!$O261, ""), "", 'Internal Career (Last Position)'!$B261)</f>
        <v>32000000000258</v>
      </c>
      <c r="D261" s="38" t="str">
        <f>IF(EXACT('Internal Career (Last Position)'!$O261, ""), "", 'Internal Career (Last Position)'!$C261)</f>
        <v>Laode</v>
      </c>
    </row>
    <row r="262" spans="2:4" x14ac:dyDescent="0.2">
      <c r="B262" s="11">
        <f>IF(EXACT('Internal Career (Last Position)'!$O262, ""), "", 'Internal Career (Last Position)'!$O262)</f>
        <v>164000000000259</v>
      </c>
      <c r="C262" s="37">
        <f>IF(EXACT('Internal Career (Last Position)'!$O262, ""), "", 'Internal Career (Last Position)'!$B262)</f>
        <v>32000000000259</v>
      </c>
      <c r="D262" s="38" t="str">
        <f>IF(EXACT('Internal Career (Last Position)'!$O262, ""), "", 'Internal Career (Last Position)'!$C262)</f>
        <v>Leo Nababan</v>
      </c>
    </row>
    <row r="263" spans="2:4" x14ac:dyDescent="0.2">
      <c r="B263" s="11">
        <f>IF(EXACT('Internal Career (Last Position)'!$O263, ""), "", 'Internal Career (Last Position)'!$O263)</f>
        <v>164000000000260</v>
      </c>
      <c r="C263" s="37">
        <f>IF(EXACT('Internal Career (Last Position)'!$O263, ""), "", 'Internal Career (Last Position)'!$B263)</f>
        <v>32000000000260</v>
      </c>
      <c r="D263" s="38" t="str">
        <f>IF(EXACT('Internal Career (Last Position)'!$O263, ""), "", 'Internal Career (Last Position)'!$C263)</f>
        <v>Liani Atmaningrum</v>
      </c>
    </row>
    <row r="264" spans="2:4" x14ac:dyDescent="0.2">
      <c r="B264" s="11">
        <f>IF(EXACT('Internal Career (Last Position)'!$O264, ""), "", 'Internal Career (Last Position)'!$O264)</f>
        <v>164000000000261</v>
      </c>
      <c r="C264" s="37">
        <f>IF(EXACT('Internal Career (Last Position)'!$O264, ""), "", 'Internal Career (Last Position)'!$B264)</f>
        <v>32000000000261</v>
      </c>
      <c r="D264" s="38" t="str">
        <f>IF(EXACT('Internal Career (Last Position)'!$O264, ""), "", 'Internal Career (Last Position)'!$C264)</f>
        <v>Liaseptriani Liaseptriani</v>
      </c>
    </row>
    <row r="265" spans="2:4" x14ac:dyDescent="0.2">
      <c r="B265" s="11">
        <f>IF(EXACT('Internal Career (Last Position)'!$O265, ""), "", 'Internal Career (Last Position)'!$O265)</f>
        <v>164000000000262</v>
      </c>
      <c r="C265" s="37">
        <f>IF(EXACT('Internal Career (Last Position)'!$O265, ""), "", 'Internal Career (Last Position)'!$B265)</f>
        <v>32000000000262</v>
      </c>
      <c r="D265" s="38" t="str">
        <f>IF(EXACT('Internal Career (Last Position)'!$O265, ""), "", 'Internal Career (Last Position)'!$C265)</f>
        <v>Lisma Natalia</v>
      </c>
    </row>
    <row r="266" spans="2:4" x14ac:dyDescent="0.2">
      <c r="B266" s="11">
        <f>IF(EXACT('Internal Career (Last Position)'!$O266, ""), "", 'Internal Career (Last Position)'!$O266)</f>
        <v>164000000000263</v>
      </c>
      <c r="C266" s="37">
        <f>IF(EXACT('Internal Career (Last Position)'!$O266, ""), "", 'Internal Career (Last Position)'!$B266)</f>
        <v>32000000000263</v>
      </c>
      <c r="D266" s="38" t="str">
        <f>IF(EXACT('Internal Career (Last Position)'!$O266, ""), "", 'Internal Career (Last Position)'!$C266)</f>
        <v>Listyo Hartanto</v>
      </c>
    </row>
    <row r="267" spans="2:4" x14ac:dyDescent="0.2">
      <c r="B267" s="11">
        <f>IF(EXACT('Internal Career (Last Position)'!$O267, ""), "", 'Internal Career (Last Position)'!$O267)</f>
        <v>164000000000264</v>
      </c>
      <c r="C267" s="37">
        <f>IF(EXACT('Internal Career (Last Position)'!$O267, ""), "", 'Internal Career (Last Position)'!$B267)</f>
        <v>32000000000264</v>
      </c>
      <c r="D267" s="38" t="str">
        <f>IF(EXACT('Internal Career (Last Position)'!$O267, ""), "", 'Internal Career (Last Position)'!$C267)</f>
        <v>M. Ari Ardizah Nasution</v>
      </c>
    </row>
    <row r="268" spans="2:4" x14ac:dyDescent="0.2">
      <c r="B268" s="11">
        <f>IF(EXACT('Internal Career (Last Position)'!$O268, ""), "", 'Internal Career (Last Position)'!$O268)</f>
        <v>164000000000265</v>
      </c>
      <c r="C268" s="37">
        <f>IF(EXACT('Internal Career (Last Position)'!$O268, ""), "", 'Internal Career (Last Position)'!$B268)</f>
        <v>32000000000265</v>
      </c>
      <c r="D268" s="38" t="str">
        <f>IF(EXACT('Internal Career (Last Position)'!$O268, ""), "", 'Internal Career (Last Position)'!$C268)</f>
        <v>M. Denny  Micrazudin</v>
      </c>
    </row>
    <row r="269" spans="2:4" x14ac:dyDescent="0.2">
      <c r="B269" s="11">
        <f>IF(EXACT('Internal Career (Last Position)'!$O269, ""), "", 'Internal Career (Last Position)'!$O269)</f>
        <v>164000000000266</v>
      </c>
      <c r="C269" s="37">
        <f>IF(EXACT('Internal Career (Last Position)'!$O269, ""), "", 'Internal Career (Last Position)'!$B269)</f>
        <v>32000000000266</v>
      </c>
      <c r="D269" s="38" t="str">
        <f>IF(EXACT('Internal Career (Last Position)'!$O269, ""), "", 'Internal Career (Last Position)'!$C269)</f>
        <v>M. Ridho Pramudia</v>
      </c>
    </row>
    <row r="270" spans="2:4" x14ac:dyDescent="0.2">
      <c r="B270" s="11">
        <f>IF(EXACT('Internal Career (Last Position)'!$O270, ""), "", 'Internal Career (Last Position)'!$O270)</f>
        <v>164000000000267</v>
      </c>
      <c r="C270" s="37">
        <f>IF(EXACT('Internal Career (Last Position)'!$O270, ""), "", 'Internal Career (Last Position)'!$B270)</f>
        <v>32000000000267</v>
      </c>
      <c r="D270" s="38" t="str">
        <f>IF(EXACT('Internal Career (Last Position)'!$O270, ""), "", 'Internal Career (Last Position)'!$C270)</f>
        <v>M. Rusdi</v>
      </c>
    </row>
    <row r="271" spans="2:4" x14ac:dyDescent="0.2">
      <c r="B271" s="11">
        <f>IF(EXACT('Internal Career (Last Position)'!$O271, ""), "", 'Internal Career (Last Position)'!$O271)</f>
        <v>164000000000268</v>
      </c>
      <c r="C271" s="37">
        <f>IF(EXACT('Internal Career (Last Position)'!$O271, ""), "", 'Internal Career (Last Position)'!$B271)</f>
        <v>32000000000268</v>
      </c>
      <c r="D271" s="38" t="str">
        <f>IF(EXACT('Internal Career (Last Position)'!$O271, ""), "", 'Internal Career (Last Position)'!$C271)</f>
        <v>M. Ervan Isyawal Akbar</v>
      </c>
    </row>
    <row r="272" spans="2:4" x14ac:dyDescent="0.2">
      <c r="B272" s="11">
        <f>IF(EXACT('Internal Career (Last Position)'!$O272, ""), "", 'Internal Career (Last Position)'!$O272)</f>
        <v>164000000000269</v>
      </c>
      <c r="C272" s="37">
        <f>IF(EXACT('Internal Career (Last Position)'!$O272, ""), "", 'Internal Career (Last Position)'!$B272)</f>
        <v>32000000000269</v>
      </c>
      <c r="D272" s="38" t="str">
        <f>IF(EXACT('Internal Career (Last Position)'!$O272, ""), "", 'Internal Career (Last Position)'!$C272)</f>
        <v>Maharani Tanjungsari</v>
      </c>
    </row>
    <row r="273" spans="2:4" x14ac:dyDescent="0.2">
      <c r="B273" s="11">
        <f>IF(EXACT('Internal Career (Last Position)'!$O273, ""), "", 'Internal Career (Last Position)'!$O273)</f>
        <v>164000000000270</v>
      </c>
      <c r="C273" s="37">
        <f>IF(EXACT('Internal Career (Last Position)'!$O273, ""), "", 'Internal Career (Last Position)'!$B273)</f>
        <v>32000000000270</v>
      </c>
      <c r="D273" s="38" t="str">
        <f>IF(EXACT('Internal Career (Last Position)'!$O273, ""), "", 'Internal Career (Last Position)'!$C273)</f>
        <v>Maharani Uthmaniah</v>
      </c>
    </row>
    <row r="274" spans="2:4" x14ac:dyDescent="0.2">
      <c r="B274" s="11">
        <f>IF(EXACT('Internal Career (Last Position)'!$O274, ""), "", 'Internal Career (Last Position)'!$O274)</f>
        <v>164000000000271</v>
      </c>
      <c r="C274" s="37">
        <f>IF(EXACT('Internal Career (Last Position)'!$O274, ""), "", 'Internal Career (Last Position)'!$B274)</f>
        <v>32000000000271</v>
      </c>
      <c r="D274" s="38" t="str">
        <f>IF(EXACT('Internal Career (Last Position)'!$O274, ""), "", 'Internal Career (Last Position)'!$C274)</f>
        <v>Manotar Tamba</v>
      </c>
    </row>
    <row r="275" spans="2:4" x14ac:dyDescent="0.2">
      <c r="B275" s="11">
        <f>IF(EXACT('Internal Career (Last Position)'!$O275, ""), "", 'Internal Career (Last Position)'!$O275)</f>
        <v>164000000000272</v>
      </c>
      <c r="C275" s="37">
        <f>IF(EXACT('Internal Career (Last Position)'!$O275, ""), "", 'Internal Career (Last Position)'!$B275)</f>
        <v>32000000000272</v>
      </c>
      <c r="D275" s="38" t="str">
        <f>IF(EXACT('Internal Career (Last Position)'!$O275, ""), "", 'Internal Career (Last Position)'!$C275)</f>
        <v>Maradona Manurung</v>
      </c>
    </row>
    <row r="276" spans="2:4" x14ac:dyDescent="0.2">
      <c r="B276" s="11">
        <f>IF(EXACT('Internal Career (Last Position)'!$O276, ""), "", 'Internal Career (Last Position)'!$O276)</f>
        <v>164000000000273</v>
      </c>
      <c r="C276" s="37">
        <f>IF(EXACT('Internal Career (Last Position)'!$O276, ""), "", 'Internal Career (Last Position)'!$B276)</f>
        <v>32000000000273</v>
      </c>
      <c r="D276" s="38" t="str">
        <f>IF(EXACT('Internal Career (Last Position)'!$O276, ""), "", 'Internal Career (Last Position)'!$C276)</f>
        <v>Pantas Banjarnahor Marbun</v>
      </c>
    </row>
    <row r="277" spans="2:4" x14ac:dyDescent="0.2">
      <c r="B277" s="11">
        <f>IF(EXACT('Internal Career (Last Position)'!$O277, ""), "", 'Internal Career (Last Position)'!$O277)</f>
        <v>164000000000274</v>
      </c>
      <c r="C277" s="37">
        <f>IF(EXACT('Internal Career (Last Position)'!$O277, ""), "", 'Internal Career (Last Position)'!$B277)</f>
        <v>32000000000274</v>
      </c>
      <c r="D277" s="38" t="str">
        <f>IF(EXACT('Internal Career (Last Position)'!$O277, ""), "", 'Internal Career (Last Position)'!$C277)</f>
        <v>Marcella Avia Ramadhinaningrum</v>
      </c>
    </row>
    <row r="278" spans="2:4" x14ac:dyDescent="0.2">
      <c r="B278" s="11">
        <f>IF(EXACT('Internal Career (Last Position)'!$O278, ""), "", 'Internal Career (Last Position)'!$O278)</f>
        <v>164000000000275</v>
      </c>
      <c r="C278" s="37">
        <f>IF(EXACT('Internal Career (Last Position)'!$O278, ""), "", 'Internal Career (Last Position)'!$B278)</f>
        <v>32000000000275</v>
      </c>
      <c r="D278" s="38" t="str">
        <f>IF(EXACT('Internal Career (Last Position)'!$O278, ""), "", 'Internal Career (Last Position)'!$C278)</f>
        <v>Marissa Watak</v>
      </c>
    </row>
    <row r="279" spans="2:4" x14ac:dyDescent="0.2">
      <c r="B279" s="11">
        <f>IF(EXACT('Internal Career (Last Position)'!$O279, ""), "", 'Internal Career (Last Position)'!$O279)</f>
        <v>164000000000276</v>
      </c>
      <c r="C279" s="37">
        <f>IF(EXACT('Internal Career (Last Position)'!$O279, ""), "", 'Internal Career (Last Position)'!$B279)</f>
        <v>32000000000276</v>
      </c>
      <c r="D279" s="38" t="str">
        <f>IF(EXACT('Internal Career (Last Position)'!$O279, ""), "", 'Internal Career (Last Position)'!$C279)</f>
        <v>Marten Tabun</v>
      </c>
    </row>
    <row r="280" spans="2:4" x14ac:dyDescent="0.2">
      <c r="B280" s="11">
        <f>IF(EXACT('Internal Career (Last Position)'!$O280, ""), "", 'Internal Career (Last Position)'!$O280)</f>
        <v>164000000000277</v>
      </c>
      <c r="C280" s="37">
        <f>IF(EXACT('Internal Career (Last Position)'!$O280, ""), "", 'Internal Career (Last Position)'!$B280)</f>
        <v>32000000000277</v>
      </c>
      <c r="D280" s="38" t="str">
        <f>IF(EXACT('Internal Career (Last Position)'!$O280, ""), "", 'Internal Career (Last Position)'!$C280)</f>
        <v>Martimbul Rahman</v>
      </c>
    </row>
    <row r="281" spans="2:4" x14ac:dyDescent="0.2">
      <c r="B281" s="11">
        <f>IF(EXACT('Internal Career (Last Position)'!$O281, ""), "", 'Internal Career (Last Position)'!$O281)</f>
        <v>164000000000278</v>
      </c>
      <c r="C281" s="37">
        <f>IF(EXACT('Internal Career (Last Position)'!$O281, ""), "", 'Internal Career (Last Position)'!$B281)</f>
        <v>32000000000278</v>
      </c>
      <c r="D281" s="38" t="str">
        <f>IF(EXACT('Internal Career (Last Position)'!$O281, ""), "", 'Internal Career (Last Position)'!$C281)</f>
        <v>T. Marungkil U. S. Sagala</v>
      </c>
    </row>
    <row r="282" spans="2:4" x14ac:dyDescent="0.2">
      <c r="B282" s="11">
        <f>IF(EXACT('Internal Career (Last Position)'!$O282, ""), "", 'Internal Career (Last Position)'!$O282)</f>
        <v>164000000000279</v>
      </c>
      <c r="C282" s="37">
        <f>IF(EXACT('Internal Career (Last Position)'!$O282, ""), "", 'Internal Career (Last Position)'!$B282)</f>
        <v>32000000000279</v>
      </c>
      <c r="D282" s="38" t="str">
        <f>IF(EXACT('Internal Career (Last Position)'!$O282, ""), "", 'Internal Career (Last Position)'!$C282)</f>
        <v>Marzuki</v>
      </c>
    </row>
    <row r="283" spans="2:4" x14ac:dyDescent="0.2">
      <c r="B283" s="11">
        <f>IF(EXACT('Internal Career (Last Position)'!$O283, ""), "", 'Internal Career (Last Position)'!$O283)</f>
        <v>164000000000280</v>
      </c>
      <c r="C283" s="37">
        <f>IF(EXACT('Internal Career (Last Position)'!$O283, ""), "", 'Internal Career (Last Position)'!$B283)</f>
        <v>32000000000280</v>
      </c>
      <c r="D283" s="38" t="str">
        <f>IF(EXACT('Internal Career (Last Position)'!$O283, ""), "", 'Internal Career (Last Position)'!$C283)</f>
        <v>Mashuri Mashuri</v>
      </c>
    </row>
    <row r="284" spans="2:4" x14ac:dyDescent="0.2">
      <c r="B284" s="11">
        <f>IF(EXACT('Internal Career (Last Position)'!$O284, ""), "", 'Internal Career (Last Position)'!$O284)</f>
        <v>164000000000281</v>
      </c>
      <c r="C284" s="37">
        <f>IF(EXACT('Internal Career (Last Position)'!$O284, ""), "", 'Internal Career (Last Position)'!$B284)</f>
        <v>32000000000281</v>
      </c>
      <c r="D284" s="38" t="str">
        <f>IF(EXACT('Internal Career (Last Position)'!$O284, ""), "", 'Internal Career (Last Position)'!$C284)</f>
        <v>Mat Soleh</v>
      </c>
    </row>
    <row r="285" spans="2:4" x14ac:dyDescent="0.2">
      <c r="B285" s="11">
        <f>IF(EXACT('Internal Career (Last Position)'!$O285, ""), "", 'Internal Career (Last Position)'!$O285)</f>
        <v>164000000000282</v>
      </c>
      <c r="C285" s="37">
        <f>IF(EXACT('Internal Career (Last Position)'!$O285, ""), "", 'Internal Career (Last Position)'!$B285)</f>
        <v>32000000000282</v>
      </c>
      <c r="D285" s="38" t="str">
        <f>IF(EXACT('Internal Career (Last Position)'!$O285, ""), "", 'Internal Career (Last Position)'!$C285)</f>
        <v>Mhd Syahputra</v>
      </c>
    </row>
    <row r="286" spans="2:4" x14ac:dyDescent="0.2">
      <c r="B286" s="11">
        <f>IF(EXACT('Internal Career (Last Position)'!$O286, ""), "", 'Internal Career (Last Position)'!$O286)</f>
        <v>164000000000283</v>
      </c>
      <c r="C286" s="37">
        <f>IF(EXACT('Internal Career (Last Position)'!$O286, ""), "", 'Internal Career (Last Position)'!$B286)</f>
        <v>32000000000283</v>
      </c>
      <c r="D286" s="38" t="str">
        <f>IF(EXACT('Internal Career (Last Position)'!$O286, ""), "", 'Internal Career (Last Position)'!$C286)</f>
        <v>Mia Puspitasari</v>
      </c>
    </row>
    <row r="287" spans="2:4" x14ac:dyDescent="0.2">
      <c r="B287" s="11">
        <f>IF(EXACT('Internal Career (Last Position)'!$O287, ""), "", 'Internal Career (Last Position)'!$O287)</f>
        <v>164000000000284</v>
      </c>
      <c r="C287" s="37">
        <f>IF(EXACT('Internal Career (Last Position)'!$O287, ""), "", 'Internal Career (Last Position)'!$B287)</f>
        <v>32000000000284</v>
      </c>
      <c r="D287" s="38" t="str">
        <f>IF(EXACT('Internal Career (Last Position)'!$O287, ""), "", 'Internal Career (Last Position)'!$C287)</f>
        <v>Midin Ena</v>
      </c>
    </row>
    <row r="288" spans="2:4" x14ac:dyDescent="0.2">
      <c r="B288" s="11">
        <f>IF(EXACT('Internal Career (Last Position)'!$O288, ""), "", 'Internal Career (Last Position)'!$O288)</f>
        <v>164000000000285</v>
      </c>
      <c r="C288" s="37">
        <f>IF(EXACT('Internal Career (Last Position)'!$O288, ""), "", 'Internal Career (Last Position)'!$B288)</f>
        <v>32000000000285</v>
      </c>
      <c r="D288" s="38" t="str">
        <f>IF(EXACT('Internal Career (Last Position)'!$O288, ""), "", 'Internal Career (Last Position)'!$C288)</f>
        <v>Miftakhul Muzakky</v>
      </c>
    </row>
    <row r="289" spans="2:4" x14ac:dyDescent="0.2">
      <c r="B289" s="11">
        <f>IF(EXACT('Internal Career (Last Position)'!$O289, ""), "", 'Internal Career (Last Position)'!$O289)</f>
        <v>164000000000286</v>
      </c>
      <c r="C289" s="37">
        <f>IF(EXACT('Internal Career (Last Position)'!$O289, ""), "", 'Internal Career (Last Position)'!$B289)</f>
        <v>32000000000286</v>
      </c>
      <c r="D289" s="38" t="str">
        <f>IF(EXACT('Internal Career (Last Position)'!$O289, ""), "", 'Internal Career (Last Position)'!$C289)</f>
        <v>Mista</v>
      </c>
    </row>
    <row r="290" spans="2:4" x14ac:dyDescent="0.2">
      <c r="B290" s="11">
        <f>IF(EXACT('Internal Career (Last Position)'!$O290, ""), "", 'Internal Career (Last Position)'!$O290)</f>
        <v>164000000000287</v>
      </c>
      <c r="C290" s="37">
        <f>IF(EXACT('Internal Career (Last Position)'!$O290, ""), "", 'Internal Career (Last Position)'!$B290)</f>
        <v>32000000000287</v>
      </c>
      <c r="D290" s="38" t="str">
        <f>IF(EXACT('Internal Career (Last Position)'!$O290, ""), "", 'Internal Career (Last Position)'!$C290)</f>
        <v>Mochamad Samman</v>
      </c>
    </row>
    <row r="291" spans="2:4" x14ac:dyDescent="0.2">
      <c r="B291" s="11">
        <f>IF(EXACT('Internal Career (Last Position)'!$O291, ""), "", 'Internal Career (Last Position)'!$O291)</f>
        <v>164000000000288</v>
      </c>
      <c r="C291" s="37">
        <f>IF(EXACT('Internal Career (Last Position)'!$O291, ""), "", 'Internal Career (Last Position)'!$B291)</f>
        <v>32000000000288</v>
      </c>
      <c r="D291" s="38" t="str">
        <f>IF(EXACT('Internal Career (Last Position)'!$O291, ""), "", 'Internal Career (Last Position)'!$C291)</f>
        <v>Moh. Afif</v>
      </c>
    </row>
    <row r="292" spans="2:4" x14ac:dyDescent="0.2">
      <c r="B292" s="11">
        <f>IF(EXACT('Internal Career (Last Position)'!$O292, ""), "", 'Internal Career (Last Position)'!$O292)</f>
        <v>164000000000289</v>
      </c>
      <c r="C292" s="37">
        <f>IF(EXACT('Internal Career (Last Position)'!$O292, ""), "", 'Internal Career (Last Position)'!$B292)</f>
        <v>32000000000289</v>
      </c>
      <c r="D292" s="38" t="str">
        <f>IF(EXACT('Internal Career (Last Position)'!$O292, ""), "", 'Internal Career (Last Position)'!$C292)</f>
        <v>Mohammad Arman Tompo</v>
      </c>
    </row>
    <row r="293" spans="2:4" x14ac:dyDescent="0.2">
      <c r="B293" s="11">
        <f>IF(EXACT('Internal Career (Last Position)'!$O293, ""), "", 'Internal Career (Last Position)'!$O293)</f>
        <v>164000000000290</v>
      </c>
      <c r="C293" s="37">
        <f>IF(EXACT('Internal Career (Last Position)'!$O293, ""), "", 'Internal Career (Last Position)'!$B293)</f>
        <v>32000000000290</v>
      </c>
      <c r="D293" s="38" t="str">
        <f>IF(EXACT('Internal Career (Last Position)'!$O293, ""), "", 'Internal Career (Last Position)'!$C293)</f>
        <v>Mohd. Elfan Pratama</v>
      </c>
    </row>
    <row r="294" spans="2:4" x14ac:dyDescent="0.2">
      <c r="B294" s="11">
        <f>IF(EXACT('Internal Career (Last Position)'!$O294, ""), "", 'Internal Career (Last Position)'!$O294)</f>
        <v>164000000000291</v>
      </c>
      <c r="C294" s="37">
        <f>IF(EXACT('Internal Career (Last Position)'!$O294, ""), "", 'Internal Career (Last Position)'!$B294)</f>
        <v>32000000000291</v>
      </c>
      <c r="D294" s="38" t="str">
        <f>IF(EXACT('Internal Career (Last Position)'!$O294, ""), "", 'Internal Career (Last Position)'!$C294)</f>
        <v>Monang Simarmata</v>
      </c>
    </row>
    <row r="295" spans="2:4" x14ac:dyDescent="0.2">
      <c r="B295" s="11">
        <f>IF(EXACT('Internal Career (Last Position)'!$O295, ""), "", 'Internal Career (Last Position)'!$O295)</f>
        <v>164000000000292</v>
      </c>
      <c r="C295" s="37">
        <f>IF(EXACT('Internal Career (Last Position)'!$O295, ""), "", 'Internal Career (Last Position)'!$B295)</f>
        <v>32000000000292</v>
      </c>
      <c r="D295" s="38" t="str">
        <f>IF(EXACT('Internal Career (Last Position)'!$O295, ""), "", 'Internal Career (Last Position)'!$C295)</f>
        <v>Moritz Thomsen Marbun</v>
      </c>
    </row>
    <row r="296" spans="2:4" x14ac:dyDescent="0.2">
      <c r="B296" s="11">
        <f>IF(EXACT('Internal Career (Last Position)'!$O296, ""), "", 'Internal Career (Last Position)'!$O296)</f>
        <v>164000000000293</v>
      </c>
      <c r="C296" s="37">
        <f>IF(EXACT('Internal Career (Last Position)'!$O296, ""), "", 'Internal Career (Last Position)'!$B296)</f>
        <v>32000000000293</v>
      </c>
      <c r="D296" s="38" t="str">
        <f>IF(EXACT('Internal Career (Last Position)'!$O296, ""), "", 'Internal Career (Last Position)'!$C296)</f>
        <v>Muhamad Hamdan Rifai</v>
      </c>
    </row>
    <row r="297" spans="2:4" x14ac:dyDescent="0.2">
      <c r="B297" s="11">
        <f>IF(EXACT('Internal Career (Last Position)'!$O297, ""), "", 'Internal Career (Last Position)'!$O297)</f>
        <v>164000000000294</v>
      </c>
      <c r="C297" s="37">
        <f>IF(EXACT('Internal Career (Last Position)'!$O297, ""), "", 'Internal Career (Last Position)'!$B297)</f>
        <v>32000000000294</v>
      </c>
      <c r="D297" s="38" t="str">
        <f>IF(EXACT('Internal Career (Last Position)'!$O297, ""), "", 'Internal Career (Last Position)'!$C297)</f>
        <v>Muhamad Ikhsan</v>
      </c>
    </row>
    <row r="298" spans="2:4" x14ac:dyDescent="0.2">
      <c r="B298" s="11">
        <f>IF(EXACT('Internal Career (Last Position)'!$O298, ""), "", 'Internal Career (Last Position)'!$O298)</f>
        <v>164000000000295</v>
      </c>
      <c r="C298" s="37">
        <f>IF(EXACT('Internal Career (Last Position)'!$O298, ""), "", 'Internal Career (Last Position)'!$B298)</f>
        <v>32000000000295</v>
      </c>
      <c r="D298" s="38" t="str">
        <f>IF(EXACT('Internal Career (Last Position)'!$O298, ""), "", 'Internal Career (Last Position)'!$C298)</f>
        <v>Muhamad Nurhamsach</v>
      </c>
    </row>
    <row r="299" spans="2:4" x14ac:dyDescent="0.2">
      <c r="B299" s="11">
        <f>IF(EXACT('Internal Career (Last Position)'!$O299, ""), "", 'Internal Career (Last Position)'!$O299)</f>
        <v>164000000000296</v>
      </c>
      <c r="C299" s="37">
        <f>IF(EXACT('Internal Career (Last Position)'!$O299, ""), "", 'Internal Career (Last Position)'!$B299)</f>
        <v>32000000000296</v>
      </c>
      <c r="D299" s="38" t="str">
        <f>IF(EXACT('Internal Career (Last Position)'!$O299, ""), "", 'Internal Career (Last Position)'!$C299)</f>
        <v>Muhammad Ardiansyah</v>
      </c>
    </row>
    <row r="300" spans="2:4" x14ac:dyDescent="0.2">
      <c r="B300" s="11">
        <f>IF(EXACT('Internal Career (Last Position)'!$O300, ""), "", 'Internal Career (Last Position)'!$O300)</f>
        <v>164000000000297</v>
      </c>
      <c r="C300" s="37">
        <f>IF(EXACT('Internal Career (Last Position)'!$O300, ""), "", 'Internal Career (Last Position)'!$B300)</f>
        <v>32000000000297</v>
      </c>
      <c r="D300" s="38" t="str">
        <f>IF(EXACT('Internal Career (Last Position)'!$O300, ""), "", 'Internal Career (Last Position)'!$C300)</f>
        <v>Muhammad Khadafy</v>
      </c>
    </row>
    <row r="301" spans="2:4" x14ac:dyDescent="0.2">
      <c r="B301" s="11">
        <f>IF(EXACT('Internal Career (Last Position)'!$O301, ""), "", 'Internal Career (Last Position)'!$O301)</f>
        <v>164000000000298</v>
      </c>
      <c r="C301" s="37">
        <f>IF(EXACT('Internal Career (Last Position)'!$O301, ""), "", 'Internal Career (Last Position)'!$B301)</f>
        <v>32000000000298</v>
      </c>
      <c r="D301" s="38" t="str">
        <f>IF(EXACT('Internal Career (Last Position)'!$O301, ""), "", 'Internal Career (Last Position)'!$C301)</f>
        <v>Muhammad Taufan</v>
      </c>
    </row>
    <row r="302" spans="2:4" x14ac:dyDescent="0.2">
      <c r="B302" s="11">
        <f>IF(EXACT('Internal Career (Last Position)'!$O302, ""), "", 'Internal Career (Last Position)'!$O302)</f>
        <v>164000000000299</v>
      </c>
      <c r="C302" s="37">
        <f>IF(EXACT('Internal Career (Last Position)'!$O302, ""), "", 'Internal Career (Last Position)'!$B302)</f>
        <v>32000000000299</v>
      </c>
      <c r="D302" s="38" t="str">
        <f>IF(EXACT('Internal Career (Last Position)'!$O302, ""), "", 'Internal Career (Last Position)'!$C302)</f>
        <v>Muklis</v>
      </c>
    </row>
    <row r="303" spans="2:4" x14ac:dyDescent="0.2">
      <c r="B303" s="11">
        <f>IF(EXACT('Internal Career (Last Position)'!$O303, ""), "", 'Internal Career (Last Position)'!$O303)</f>
        <v>164000000000300</v>
      </c>
      <c r="C303" s="37">
        <f>IF(EXACT('Internal Career (Last Position)'!$O303, ""), "", 'Internal Career (Last Position)'!$B303)</f>
        <v>32000000000300</v>
      </c>
      <c r="D303" s="38" t="str">
        <f>IF(EXACT('Internal Career (Last Position)'!$O303, ""), "", 'Internal Career (Last Position)'!$C303)</f>
        <v>Mulia Rohanson Harahap</v>
      </c>
    </row>
    <row r="304" spans="2:4" x14ac:dyDescent="0.2">
      <c r="B304" s="11">
        <f>IF(EXACT('Internal Career (Last Position)'!$O304, ""), "", 'Internal Career (Last Position)'!$O304)</f>
        <v>164000000000301</v>
      </c>
      <c r="C304" s="37">
        <f>IF(EXACT('Internal Career (Last Position)'!$O304, ""), "", 'Internal Career (Last Position)'!$B304)</f>
        <v>32000000000301</v>
      </c>
      <c r="D304" s="38" t="str">
        <f>IF(EXACT('Internal Career (Last Position)'!$O304, ""), "", 'Internal Career (Last Position)'!$C304)</f>
        <v>Mullan Tresna</v>
      </c>
    </row>
    <row r="305" spans="2:4" x14ac:dyDescent="0.2">
      <c r="B305" s="11">
        <f>IF(EXACT('Internal Career (Last Position)'!$O305, ""), "", 'Internal Career (Last Position)'!$O305)</f>
        <v>164000000000302</v>
      </c>
      <c r="C305" s="37">
        <f>IF(EXACT('Internal Career (Last Position)'!$O305, ""), "", 'Internal Career (Last Position)'!$B305)</f>
        <v>32000000000302</v>
      </c>
      <c r="D305" s="38" t="str">
        <f>IF(EXACT('Internal Career (Last Position)'!$O305, ""), "", 'Internal Career (Last Position)'!$C305)</f>
        <v>Mulyadi</v>
      </c>
    </row>
    <row r="306" spans="2:4" x14ac:dyDescent="0.2">
      <c r="B306" s="11">
        <f>IF(EXACT('Internal Career (Last Position)'!$O306, ""), "", 'Internal Career (Last Position)'!$O306)</f>
        <v>164000000000303</v>
      </c>
      <c r="C306" s="37">
        <f>IF(EXACT('Internal Career (Last Position)'!$O306, ""), "", 'Internal Career (Last Position)'!$B306)</f>
        <v>32000000000303</v>
      </c>
      <c r="D306" s="38" t="str">
        <f>IF(EXACT('Internal Career (Last Position)'!$O306, ""), "", 'Internal Career (Last Position)'!$C306)</f>
        <v>Mulyono</v>
      </c>
    </row>
    <row r="307" spans="2:4" x14ac:dyDescent="0.2">
      <c r="B307" s="11">
        <f>IF(EXACT('Internal Career (Last Position)'!$O307, ""), "", 'Internal Career (Last Position)'!$O307)</f>
        <v>164000000000304</v>
      </c>
      <c r="C307" s="37">
        <f>IF(EXACT('Internal Career (Last Position)'!$O307, ""), "", 'Internal Career (Last Position)'!$B307)</f>
        <v>32000000000304</v>
      </c>
      <c r="D307" s="38" t="str">
        <f>IF(EXACT('Internal Career (Last Position)'!$O307, ""), "", 'Internal Career (Last Position)'!$C307)</f>
        <v>Murdiansyah</v>
      </c>
    </row>
    <row r="308" spans="2:4" x14ac:dyDescent="0.2">
      <c r="B308" s="11">
        <f>IF(EXACT('Internal Career (Last Position)'!$O308, ""), "", 'Internal Career (Last Position)'!$O308)</f>
        <v>164000000000305</v>
      </c>
      <c r="C308" s="37">
        <f>IF(EXACT('Internal Career (Last Position)'!$O308, ""), "", 'Internal Career (Last Position)'!$B308)</f>
        <v>32000000000305</v>
      </c>
      <c r="D308" s="38" t="str">
        <f>IF(EXACT('Internal Career (Last Position)'!$O308, ""), "", 'Internal Career (Last Position)'!$C308)</f>
        <v>Mursalim</v>
      </c>
    </row>
    <row r="309" spans="2:4" x14ac:dyDescent="0.2">
      <c r="B309" s="11">
        <f>IF(EXACT('Internal Career (Last Position)'!$O309, ""), "", 'Internal Career (Last Position)'!$O309)</f>
        <v>164000000000306</v>
      </c>
      <c r="C309" s="37">
        <f>IF(EXACT('Internal Career (Last Position)'!$O309, ""), "", 'Internal Career (Last Position)'!$B309)</f>
        <v>32000000000306</v>
      </c>
      <c r="D309" s="38" t="str">
        <f>IF(EXACT('Internal Career (Last Position)'!$O309, ""), "", 'Internal Career (Last Position)'!$C309)</f>
        <v>Nancy Meriana Sinaga</v>
      </c>
    </row>
    <row r="310" spans="2:4" x14ac:dyDescent="0.2">
      <c r="B310" s="11">
        <f>IF(EXACT('Internal Career (Last Position)'!$O310, ""), "", 'Internal Career (Last Position)'!$O310)</f>
        <v>164000000000307</v>
      </c>
      <c r="C310" s="37">
        <f>IF(EXACT('Internal Career (Last Position)'!$O310, ""), "", 'Internal Career (Last Position)'!$B310)</f>
        <v>32000000000307</v>
      </c>
      <c r="D310" s="38" t="str">
        <f>IF(EXACT('Internal Career (Last Position)'!$O310, ""), "", 'Internal Career (Last Position)'!$C310)</f>
        <v>Nandang Effendi</v>
      </c>
    </row>
    <row r="311" spans="2:4" x14ac:dyDescent="0.2">
      <c r="B311" s="11">
        <f>IF(EXACT('Internal Career (Last Position)'!$O311, ""), "", 'Internal Career (Last Position)'!$O311)</f>
        <v>164000000000308</v>
      </c>
      <c r="C311" s="37">
        <f>IF(EXACT('Internal Career (Last Position)'!$O311, ""), "", 'Internal Career (Last Position)'!$B311)</f>
        <v>32000000000308</v>
      </c>
      <c r="D311" s="38" t="str">
        <f>IF(EXACT('Internal Career (Last Position)'!$O311, ""), "", 'Internal Career (Last Position)'!$C311)</f>
        <v>Narno</v>
      </c>
    </row>
    <row r="312" spans="2:4" x14ac:dyDescent="0.2">
      <c r="B312" s="11">
        <f>IF(EXACT('Internal Career (Last Position)'!$O312, ""), "", 'Internal Career (Last Position)'!$O312)</f>
        <v>164000000000309</v>
      </c>
      <c r="C312" s="37">
        <f>IF(EXACT('Internal Career (Last Position)'!$O312, ""), "", 'Internal Career (Last Position)'!$B312)</f>
        <v>32000000000309</v>
      </c>
      <c r="D312" s="38" t="str">
        <f>IF(EXACT('Internal Career (Last Position)'!$O312, ""), "", 'Internal Career (Last Position)'!$C312)</f>
        <v>Nasrul Anwar P.</v>
      </c>
    </row>
    <row r="313" spans="2:4" x14ac:dyDescent="0.2">
      <c r="B313" s="11">
        <f>IF(EXACT('Internal Career (Last Position)'!$O313, ""), "", 'Internal Career (Last Position)'!$O313)</f>
        <v>164000000000310</v>
      </c>
      <c r="C313" s="37">
        <f>IF(EXACT('Internal Career (Last Position)'!$O313, ""), "", 'Internal Career (Last Position)'!$B313)</f>
        <v>32000000000310</v>
      </c>
      <c r="D313" s="38" t="str">
        <f>IF(EXACT('Internal Career (Last Position)'!$O313, ""), "", 'Internal Career (Last Position)'!$C313)</f>
        <v>Nawal</v>
      </c>
    </row>
    <row r="314" spans="2:4" x14ac:dyDescent="0.2">
      <c r="B314" s="11">
        <f>IF(EXACT('Internal Career (Last Position)'!$O314, ""), "", 'Internal Career (Last Position)'!$O314)</f>
        <v>164000000000311</v>
      </c>
      <c r="C314" s="37">
        <f>IF(EXACT('Internal Career (Last Position)'!$O314, ""), "", 'Internal Career (Last Position)'!$B314)</f>
        <v>32000000000311</v>
      </c>
      <c r="D314" s="38" t="str">
        <f>IF(EXACT('Internal Career (Last Position)'!$O314, ""), "", 'Internal Career (Last Position)'!$C314)</f>
        <v>Nawir Lahamutu</v>
      </c>
    </row>
    <row r="315" spans="2:4" x14ac:dyDescent="0.2">
      <c r="B315" s="11">
        <f>IF(EXACT('Internal Career (Last Position)'!$O315, ""), "", 'Internal Career (Last Position)'!$O315)</f>
        <v>164000000000312</v>
      </c>
      <c r="C315" s="37">
        <f>IF(EXACT('Internal Career (Last Position)'!$O315, ""), "", 'Internal Career (Last Position)'!$B315)</f>
        <v>32000000000312</v>
      </c>
      <c r="D315" s="38" t="str">
        <f>IF(EXACT('Internal Career (Last Position)'!$O315, ""), "", 'Internal Career (Last Position)'!$C315)</f>
        <v>Nicky Kurnia</v>
      </c>
    </row>
    <row r="316" spans="2:4" x14ac:dyDescent="0.2">
      <c r="B316" s="11">
        <f>IF(EXACT('Internal Career (Last Position)'!$O316, ""), "", 'Internal Career (Last Position)'!$O316)</f>
        <v>164000000000313</v>
      </c>
      <c r="C316" s="37">
        <f>IF(EXACT('Internal Career (Last Position)'!$O316, ""), "", 'Internal Career (Last Position)'!$B316)</f>
        <v>32000000000313</v>
      </c>
      <c r="D316" s="38" t="str">
        <f>IF(EXACT('Internal Career (Last Position)'!$O316, ""), "", 'Internal Career (Last Position)'!$C316)</f>
        <v>Noercholis Firmansyah</v>
      </c>
    </row>
    <row r="317" spans="2:4" x14ac:dyDescent="0.2">
      <c r="B317" s="11">
        <f>IF(EXACT('Internal Career (Last Position)'!$O317, ""), "", 'Internal Career (Last Position)'!$O317)</f>
        <v>164000000000314</v>
      </c>
      <c r="C317" s="37">
        <f>IF(EXACT('Internal Career (Last Position)'!$O317, ""), "", 'Internal Career (Last Position)'!$B317)</f>
        <v>32000000000314</v>
      </c>
      <c r="D317" s="38" t="str">
        <f>IF(EXACT('Internal Career (Last Position)'!$O317, ""), "", 'Internal Career (Last Position)'!$C317)</f>
        <v>Nopitasari</v>
      </c>
    </row>
    <row r="318" spans="2:4" x14ac:dyDescent="0.2">
      <c r="B318" s="11">
        <f>IF(EXACT('Internal Career (Last Position)'!$O318, ""), "", 'Internal Career (Last Position)'!$O318)</f>
        <v>164000000000315</v>
      </c>
      <c r="C318" s="37">
        <f>IF(EXACT('Internal Career (Last Position)'!$O318, ""), "", 'Internal Career (Last Position)'!$B318)</f>
        <v>32000000000315</v>
      </c>
      <c r="D318" s="38" t="str">
        <f>IF(EXACT('Internal Career (Last Position)'!$O318, ""), "", 'Internal Career (Last Position)'!$C318)</f>
        <v>Nora Meilissa</v>
      </c>
    </row>
    <row r="319" spans="2:4" x14ac:dyDescent="0.2">
      <c r="B319" s="11">
        <f>IF(EXACT('Internal Career (Last Position)'!$O319, ""), "", 'Internal Career (Last Position)'!$O319)</f>
        <v>164000000000316</v>
      </c>
      <c r="C319" s="37">
        <f>IF(EXACT('Internal Career (Last Position)'!$O319, ""), "", 'Internal Career (Last Position)'!$B319)</f>
        <v>32000000000316</v>
      </c>
      <c r="D319" s="38" t="str">
        <f>IF(EXACT('Internal Career (Last Position)'!$O319, ""), "", 'Internal Career (Last Position)'!$C319)</f>
        <v>Novalia</v>
      </c>
    </row>
    <row r="320" spans="2:4" x14ac:dyDescent="0.2">
      <c r="B320" s="11">
        <f>IF(EXACT('Internal Career (Last Position)'!$O320, ""), "", 'Internal Career (Last Position)'!$O320)</f>
        <v>164000000000317</v>
      </c>
      <c r="C320" s="37">
        <f>IF(EXACT('Internal Career (Last Position)'!$O320, ""), "", 'Internal Career (Last Position)'!$B320)</f>
        <v>32000000000317</v>
      </c>
      <c r="D320" s="38" t="str">
        <f>IF(EXACT('Internal Career (Last Position)'!$O320, ""), "", 'Internal Career (Last Position)'!$C320)</f>
        <v>Novan Nugraha</v>
      </c>
    </row>
    <row r="321" spans="2:4" x14ac:dyDescent="0.2">
      <c r="B321" s="11">
        <f>IF(EXACT('Internal Career (Last Position)'!$O321, ""), "", 'Internal Career (Last Position)'!$O321)</f>
        <v>164000000000318</v>
      </c>
      <c r="C321" s="37">
        <f>IF(EXACT('Internal Career (Last Position)'!$O321, ""), "", 'Internal Career (Last Position)'!$B321)</f>
        <v>32000000000318</v>
      </c>
      <c r="D321" s="38" t="str">
        <f>IF(EXACT('Internal Career (Last Position)'!$O321, ""), "", 'Internal Career (Last Position)'!$C321)</f>
        <v>Nugraha</v>
      </c>
    </row>
    <row r="322" spans="2:4" x14ac:dyDescent="0.2">
      <c r="B322" s="11">
        <f>IF(EXACT('Internal Career (Last Position)'!$O322, ""), "", 'Internal Career (Last Position)'!$O322)</f>
        <v>164000000000319</v>
      </c>
      <c r="C322" s="37">
        <f>IF(EXACT('Internal Career (Last Position)'!$O322, ""), "", 'Internal Career (Last Position)'!$B322)</f>
        <v>32000000000319</v>
      </c>
      <c r="D322" s="38" t="str">
        <f>IF(EXACT('Internal Career (Last Position)'!$O322, ""), "", 'Internal Career (Last Position)'!$C322)</f>
        <v>Nugroho Putranto</v>
      </c>
    </row>
    <row r="323" spans="2:4" x14ac:dyDescent="0.2">
      <c r="B323" s="11">
        <f>IF(EXACT('Internal Career (Last Position)'!$O323, ""), "", 'Internal Career (Last Position)'!$O323)</f>
        <v>164000000000320</v>
      </c>
      <c r="C323" s="37">
        <f>IF(EXACT('Internal Career (Last Position)'!$O323, ""), "", 'Internal Career (Last Position)'!$B323)</f>
        <v>32000000000320</v>
      </c>
      <c r="D323" s="38" t="str">
        <f>IF(EXACT('Internal Career (Last Position)'!$O323, ""), "", 'Internal Career (Last Position)'!$C323)</f>
        <v>Nur Indra Sri Melati</v>
      </c>
    </row>
    <row r="324" spans="2:4" x14ac:dyDescent="0.2">
      <c r="B324" s="11">
        <f>IF(EXACT('Internal Career (Last Position)'!$O324, ""), "", 'Internal Career (Last Position)'!$O324)</f>
        <v>164000000000321</v>
      </c>
      <c r="C324" s="37">
        <f>IF(EXACT('Internal Career (Last Position)'!$O324, ""), "", 'Internal Career (Last Position)'!$B324)</f>
        <v>32000000000321</v>
      </c>
      <c r="D324" s="38" t="str">
        <f>IF(EXACT('Internal Career (Last Position)'!$O324, ""), "", 'Internal Career (Last Position)'!$C324)</f>
        <v>Nur Kusumowati</v>
      </c>
    </row>
    <row r="325" spans="2:4" x14ac:dyDescent="0.2">
      <c r="B325" s="11">
        <f>IF(EXACT('Internal Career (Last Position)'!$O325, ""), "", 'Internal Career (Last Position)'!$O325)</f>
        <v>164000000000322</v>
      </c>
      <c r="C325" s="37">
        <f>IF(EXACT('Internal Career (Last Position)'!$O325, ""), "", 'Internal Career (Last Position)'!$B325)</f>
        <v>32000000000322</v>
      </c>
      <c r="D325" s="38" t="str">
        <f>IF(EXACT('Internal Career (Last Position)'!$O325, ""), "", 'Internal Career (Last Position)'!$C325)</f>
        <v>Nurhidayat</v>
      </c>
    </row>
    <row r="326" spans="2:4" x14ac:dyDescent="0.2">
      <c r="B326" s="11">
        <f>IF(EXACT('Internal Career (Last Position)'!$O326, ""), "", 'Internal Career (Last Position)'!$O326)</f>
        <v>164000000000323</v>
      </c>
      <c r="C326" s="37">
        <f>IF(EXACT('Internal Career (Last Position)'!$O326, ""), "", 'Internal Career (Last Position)'!$B326)</f>
        <v>32000000000323</v>
      </c>
      <c r="D326" s="38" t="str">
        <f>IF(EXACT('Internal Career (Last Position)'!$O326, ""), "", 'Internal Career (Last Position)'!$C326)</f>
        <v>Otong Bustori</v>
      </c>
    </row>
    <row r="327" spans="2:4" x14ac:dyDescent="0.2">
      <c r="B327" s="11">
        <f>IF(EXACT('Internal Career (Last Position)'!$O327, ""), "", 'Internal Career (Last Position)'!$O327)</f>
        <v>164000000000324</v>
      </c>
      <c r="C327" s="37">
        <f>IF(EXACT('Internal Career (Last Position)'!$O327, ""), "", 'Internal Career (Last Position)'!$B327)</f>
        <v>32000000000324</v>
      </c>
      <c r="D327" s="38" t="str">
        <f>IF(EXACT('Internal Career (Last Position)'!$O327, ""), "", 'Internal Career (Last Position)'!$C327)</f>
        <v>Paino Suprayinto</v>
      </c>
    </row>
    <row r="328" spans="2:4" x14ac:dyDescent="0.2">
      <c r="B328" s="11">
        <f>IF(EXACT('Internal Career (Last Position)'!$O328, ""), "", 'Internal Career (Last Position)'!$O328)</f>
        <v>164000000000325</v>
      </c>
      <c r="C328" s="37">
        <f>IF(EXACT('Internal Career (Last Position)'!$O328, ""), "", 'Internal Career (Last Position)'!$B328)</f>
        <v>32000000000325</v>
      </c>
      <c r="D328" s="38" t="str">
        <f>IF(EXACT('Internal Career (Last Position)'!$O328, ""), "", 'Internal Career (Last Position)'!$C328)</f>
        <v>Panca Yudi Baskoro</v>
      </c>
    </row>
    <row r="329" spans="2:4" x14ac:dyDescent="0.2">
      <c r="B329" s="11">
        <f>IF(EXACT('Internal Career (Last Position)'!$O329, ""), "", 'Internal Career (Last Position)'!$O329)</f>
        <v>164000000000326</v>
      </c>
      <c r="C329" s="37">
        <f>IF(EXACT('Internal Career (Last Position)'!$O329, ""), "", 'Internal Career (Last Position)'!$B329)</f>
        <v>32000000000326</v>
      </c>
      <c r="D329" s="38" t="str">
        <f>IF(EXACT('Internal Career (Last Position)'!$O329, ""), "", 'Internal Career (Last Position)'!$C329)</f>
        <v>Panji Bima Santri</v>
      </c>
    </row>
    <row r="330" spans="2:4" x14ac:dyDescent="0.2">
      <c r="B330" s="11">
        <f>IF(EXACT('Internal Career (Last Position)'!$O330, ""), "", 'Internal Career (Last Position)'!$O330)</f>
        <v>164000000000327</v>
      </c>
      <c r="C330" s="37">
        <f>IF(EXACT('Internal Career (Last Position)'!$O330, ""), "", 'Internal Career (Last Position)'!$B330)</f>
        <v>32000000000327</v>
      </c>
      <c r="D330" s="38" t="str">
        <f>IF(EXACT('Internal Career (Last Position)'!$O330, ""), "", 'Internal Career (Last Position)'!$C330)</f>
        <v>Parulian Napitupulu</v>
      </c>
    </row>
    <row r="331" spans="2:4" x14ac:dyDescent="0.2">
      <c r="B331" s="11">
        <f>IF(EXACT('Internal Career (Last Position)'!$O331, ""), "", 'Internal Career (Last Position)'!$O331)</f>
        <v>164000000000328</v>
      </c>
      <c r="C331" s="37">
        <f>IF(EXACT('Internal Career (Last Position)'!$O331, ""), "", 'Internal Career (Last Position)'!$B331)</f>
        <v>32000000000328</v>
      </c>
      <c r="D331" s="38" t="str">
        <f>IF(EXACT('Internal Career (Last Position)'!$O331, ""), "", 'Internal Career (Last Position)'!$C331)</f>
        <v>Paryanto</v>
      </c>
    </row>
    <row r="332" spans="2:4" x14ac:dyDescent="0.2">
      <c r="B332" s="11">
        <f>IF(EXACT('Internal Career (Last Position)'!$O332, ""), "", 'Internal Career (Last Position)'!$O332)</f>
        <v>164000000000329</v>
      </c>
      <c r="C332" s="37">
        <f>IF(EXACT('Internal Career (Last Position)'!$O332, ""), "", 'Internal Career (Last Position)'!$B332)</f>
        <v>32000000000329</v>
      </c>
      <c r="D332" s="38" t="str">
        <f>IF(EXACT('Internal Career (Last Position)'!$O332, ""), "", 'Internal Career (Last Position)'!$C332)</f>
        <v>Pikri Hidayat</v>
      </c>
    </row>
    <row r="333" spans="2:4" x14ac:dyDescent="0.2">
      <c r="B333" s="11">
        <f>IF(EXACT('Internal Career (Last Position)'!$O333, ""), "", 'Internal Career (Last Position)'!$O333)</f>
        <v>164000000000330</v>
      </c>
      <c r="C333" s="37">
        <f>IF(EXACT('Internal Career (Last Position)'!$O333, ""), "", 'Internal Career (Last Position)'!$B333)</f>
        <v>32000000000330</v>
      </c>
      <c r="D333" s="38" t="str">
        <f>IF(EXACT('Internal Career (Last Position)'!$O333, ""), "", 'Internal Career (Last Position)'!$C333)</f>
        <v>Prayanti Dewi Anggraini</v>
      </c>
    </row>
    <row r="334" spans="2:4" x14ac:dyDescent="0.2">
      <c r="B334" s="11">
        <f>IF(EXACT('Internal Career (Last Position)'!$O334, ""), "", 'Internal Career (Last Position)'!$O334)</f>
        <v>164000000000331</v>
      </c>
      <c r="C334" s="37">
        <f>IF(EXACT('Internal Career (Last Position)'!$O334, ""), "", 'Internal Career (Last Position)'!$B334)</f>
        <v>32000000000331</v>
      </c>
      <c r="D334" s="38" t="str">
        <f>IF(EXACT('Internal Career (Last Position)'!$O334, ""), "", 'Internal Career (Last Position)'!$C334)</f>
        <v>Prayati Zai</v>
      </c>
    </row>
    <row r="335" spans="2:4" x14ac:dyDescent="0.2">
      <c r="B335" s="11">
        <f>IF(EXACT('Internal Career (Last Position)'!$O335, ""), "", 'Internal Career (Last Position)'!$O335)</f>
        <v>164000000000332</v>
      </c>
      <c r="C335" s="37">
        <f>IF(EXACT('Internal Career (Last Position)'!$O335, ""), "", 'Internal Career (Last Position)'!$B335)</f>
        <v>32000000000332</v>
      </c>
      <c r="D335" s="38" t="str">
        <f>IF(EXACT('Internal Career (Last Position)'!$O335, ""), "", 'Internal Career (Last Position)'!$C335)</f>
        <v>Pristu Andonoto</v>
      </c>
    </row>
    <row r="336" spans="2:4" x14ac:dyDescent="0.2">
      <c r="B336" s="11">
        <f>IF(EXACT('Internal Career (Last Position)'!$O336, ""), "", 'Internal Career (Last Position)'!$O336)</f>
        <v>164000000000333</v>
      </c>
      <c r="C336" s="37">
        <f>IF(EXACT('Internal Career (Last Position)'!$O336, ""), "", 'Internal Career (Last Position)'!$B336)</f>
        <v>32000000000333</v>
      </c>
      <c r="D336" s="38" t="str">
        <f>IF(EXACT('Internal Career (Last Position)'!$O336, ""), "", 'Internal Career (Last Position)'!$C336)</f>
        <v>Putra Perdana Tirtomoyo</v>
      </c>
    </row>
    <row r="337" spans="2:4" x14ac:dyDescent="0.2">
      <c r="B337" s="11">
        <f>IF(EXACT('Internal Career (Last Position)'!$O337, ""), "", 'Internal Career (Last Position)'!$O337)</f>
        <v>164000000000334</v>
      </c>
      <c r="C337" s="37">
        <f>IF(EXACT('Internal Career (Last Position)'!$O337, ""), "", 'Internal Career (Last Position)'!$B337)</f>
        <v>32000000000334</v>
      </c>
      <c r="D337" s="38" t="str">
        <f>IF(EXACT('Internal Career (Last Position)'!$O337, ""), "", 'Internal Career (Last Position)'!$C337)</f>
        <v>R. Lar Kumalaning Tresno</v>
      </c>
    </row>
    <row r="338" spans="2:4" x14ac:dyDescent="0.2">
      <c r="B338" s="11">
        <f>IF(EXACT('Internal Career (Last Position)'!$O338, ""), "", 'Internal Career (Last Position)'!$O338)</f>
        <v>164000000000335</v>
      </c>
      <c r="C338" s="37">
        <f>IF(EXACT('Internal Career (Last Position)'!$O338, ""), "", 'Internal Career (Last Position)'!$B338)</f>
        <v>32000000000335</v>
      </c>
      <c r="D338" s="38" t="str">
        <f>IF(EXACT('Internal Career (Last Position)'!$O338, ""), "", 'Internal Career (Last Position)'!$C338)</f>
        <v>Rachmad</v>
      </c>
    </row>
    <row r="339" spans="2:4" x14ac:dyDescent="0.2">
      <c r="B339" s="11">
        <f>IF(EXACT('Internal Career (Last Position)'!$O339, ""), "", 'Internal Career (Last Position)'!$O339)</f>
        <v>164000000000336</v>
      </c>
      <c r="C339" s="37">
        <f>IF(EXACT('Internal Career (Last Position)'!$O339, ""), "", 'Internal Career (Last Position)'!$B339)</f>
        <v>32000000000336</v>
      </c>
      <c r="D339" s="38" t="str">
        <f>IF(EXACT('Internal Career (Last Position)'!$O339, ""), "", 'Internal Career (Last Position)'!$C339)</f>
        <v>Radjiman</v>
      </c>
    </row>
    <row r="340" spans="2:4" x14ac:dyDescent="0.2">
      <c r="B340" s="11">
        <f>IF(EXACT('Internal Career (Last Position)'!$O340, ""), "", 'Internal Career (Last Position)'!$O340)</f>
        <v>164000000000337</v>
      </c>
      <c r="C340" s="37">
        <f>IF(EXACT('Internal Career (Last Position)'!$O340, ""), "", 'Internal Career (Last Position)'!$B340)</f>
        <v>32000000000337</v>
      </c>
      <c r="D340" s="38" t="str">
        <f>IF(EXACT('Internal Career (Last Position)'!$O340, ""), "", 'Internal Career (Last Position)'!$C340)</f>
        <v>Rafi Firman Saputra</v>
      </c>
    </row>
    <row r="341" spans="2:4" x14ac:dyDescent="0.2">
      <c r="B341" s="11">
        <f>IF(EXACT('Internal Career (Last Position)'!$O341, ""), "", 'Internal Career (Last Position)'!$O341)</f>
        <v>164000000000338</v>
      </c>
      <c r="C341" s="37">
        <f>IF(EXACT('Internal Career (Last Position)'!$O341, ""), "", 'Internal Career (Last Position)'!$B341)</f>
        <v>32000000000338</v>
      </c>
      <c r="D341" s="38" t="str">
        <f>IF(EXACT('Internal Career (Last Position)'!$O341, ""), "", 'Internal Career (Last Position)'!$C341)</f>
        <v>Rahmat Riyadi</v>
      </c>
    </row>
    <row r="342" spans="2:4" x14ac:dyDescent="0.2">
      <c r="B342" s="11">
        <f>IF(EXACT('Internal Career (Last Position)'!$O342, ""), "", 'Internal Career (Last Position)'!$O342)</f>
        <v>164000000000339</v>
      </c>
      <c r="C342" s="37">
        <f>IF(EXACT('Internal Career (Last Position)'!$O342, ""), "", 'Internal Career (Last Position)'!$B342)</f>
        <v>32000000000339</v>
      </c>
      <c r="D342" s="38" t="str">
        <f>IF(EXACT('Internal Career (Last Position)'!$O342, ""), "", 'Internal Career (Last Position)'!$C342)</f>
        <v>Rahmat Sirfano</v>
      </c>
    </row>
    <row r="343" spans="2:4" x14ac:dyDescent="0.2">
      <c r="B343" s="11">
        <f>IF(EXACT('Internal Career (Last Position)'!$O343, ""), "", 'Internal Career (Last Position)'!$O343)</f>
        <v>164000000000340</v>
      </c>
      <c r="C343" s="37">
        <f>IF(EXACT('Internal Career (Last Position)'!$O343, ""), "", 'Internal Career (Last Position)'!$B343)</f>
        <v>32000000000340</v>
      </c>
      <c r="D343" s="38" t="str">
        <f>IF(EXACT('Internal Career (Last Position)'!$O343, ""), "", 'Internal Career (Last Position)'!$C343)</f>
        <v>Rais Indra Noor</v>
      </c>
    </row>
    <row r="344" spans="2:4" x14ac:dyDescent="0.2">
      <c r="B344" s="11">
        <f>IF(EXACT('Internal Career (Last Position)'!$O344, ""), "", 'Internal Career (Last Position)'!$O344)</f>
        <v>164000000000341</v>
      </c>
      <c r="C344" s="37">
        <f>IF(EXACT('Internal Career (Last Position)'!$O344, ""), "", 'Internal Career (Last Position)'!$B344)</f>
        <v>32000000000341</v>
      </c>
      <c r="D344" s="38" t="str">
        <f>IF(EXACT('Internal Career (Last Position)'!$O344, ""), "", 'Internal Career (Last Position)'!$C344)</f>
        <v>Rakman A. Hadi</v>
      </c>
    </row>
    <row r="345" spans="2:4" x14ac:dyDescent="0.2">
      <c r="B345" s="11">
        <f>IF(EXACT('Internal Career (Last Position)'!$O345, ""), "", 'Internal Career (Last Position)'!$O345)</f>
        <v>164000000000342</v>
      </c>
      <c r="C345" s="37">
        <f>IF(EXACT('Internal Career (Last Position)'!$O345, ""), "", 'Internal Career (Last Position)'!$B345)</f>
        <v>32000000000342</v>
      </c>
      <c r="D345" s="38" t="str">
        <f>IF(EXACT('Internal Career (Last Position)'!$O345, ""), "", 'Internal Career (Last Position)'!$C345)</f>
        <v>Ramaizon</v>
      </c>
    </row>
    <row r="346" spans="2:4" x14ac:dyDescent="0.2">
      <c r="B346" s="11">
        <f>IF(EXACT('Internal Career (Last Position)'!$O346, ""), "", 'Internal Career (Last Position)'!$O346)</f>
        <v>164000000000343</v>
      </c>
      <c r="C346" s="37">
        <f>IF(EXACT('Internal Career (Last Position)'!$O346, ""), "", 'Internal Career (Last Position)'!$B346)</f>
        <v>32000000000343</v>
      </c>
      <c r="D346" s="38" t="str">
        <f>IF(EXACT('Internal Career (Last Position)'!$O346, ""), "", 'Internal Career (Last Position)'!$C346)</f>
        <v>Rangga Darmawan</v>
      </c>
    </row>
    <row r="347" spans="2:4" x14ac:dyDescent="0.2">
      <c r="B347" s="11">
        <f>IF(EXACT('Internal Career (Last Position)'!$O347, ""), "", 'Internal Career (Last Position)'!$O347)</f>
        <v>164000000000344</v>
      </c>
      <c r="C347" s="37">
        <f>IF(EXACT('Internal Career (Last Position)'!$O347, ""), "", 'Internal Career (Last Position)'!$B347)</f>
        <v>32000000000344</v>
      </c>
      <c r="D347" s="38" t="str">
        <f>IF(EXACT('Internal Career (Last Position)'!$O347, ""), "", 'Internal Career (Last Position)'!$C347)</f>
        <v>Raoli Nainggolan</v>
      </c>
    </row>
    <row r="348" spans="2:4" x14ac:dyDescent="0.2">
      <c r="B348" s="11">
        <f>IF(EXACT('Internal Career (Last Position)'!$O348, ""), "", 'Internal Career (Last Position)'!$O348)</f>
        <v>164000000000345</v>
      </c>
      <c r="C348" s="37">
        <f>IF(EXACT('Internal Career (Last Position)'!$O348, ""), "", 'Internal Career (Last Position)'!$B348)</f>
        <v>32000000000345</v>
      </c>
      <c r="D348" s="38" t="str">
        <f>IF(EXACT('Internal Career (Last Position)'!$O348, ""), "", 'Internal Career (Last Position)'!$C348)</f>
        <v>Rayan Suryadikara</v>
      </c>
    </row>
    <row r="349" spans="2:4" x14ac:dyDescent="0.2">
      <c r="B349" s="11">
        <f>IF(EXACT('Internal Career (Last Position)'!$O349, ""), "", 'Internal Career (Last Position)'!$O349)</f>
        <v>164000000000346</v>
      </c>
      <c r="C349" s="37">
        <f>IF(EXACT('Internal Career (Last Position)'!$O349, ""), "", 'Internal Career (Last Position)'!$B349)</f>
        <v>32000000000346</v>
      </c>
      <c r="D349" s="38" t="str">
        <f>IF(EXACT('Internal Career (Last Position)'!$O349, ""), "", 'Internal Career (Last Position)'!$C349)</f>
        <v>Redi Setiadi</v>
      </c>
    </row>
    <row r="350" spans="2:4" x14ac:dyDescent="0.2">
      <c r="B350" s="11">
        <f>IF(EXACT('Internal Career (Last Position)'!$O350, ""), "", 'Internal Career (Last Position)'!$O350)</f>
        <v>164000000000347</v>
      </c>
      <c r="C350" s="37">
        <f>IF(EXACT('Internal Career (Last Position)'!$O350, ""), "", 'Internal Career (Last Position)'!$B350)</f>
        <v>32000000000347</v>
      </c>
      <c r="D350" s="38" t="str">
        <f>IF(EXACT('Internal Career (Last Position)'!$O350, ""), "", 'Internal Career (Last Position)'!$C350)</f>
        <v>Redi Subekti</v>
      </c>
    </row>
    <row r="351" spans="2:4" x14ac:dyDescent="0.2">
      <c r="B351" s="11">
        <f>IF(EXACT('Internal Career (Last Position)'!$O351, ""), "", 'Internal Career (Last Position)'!$O351)</f>
        <v>164000000000348</v>
      </c>
      <c r="C351" s="37">
        <f>IF(EXACT('Internal Career (Last Position)'!$O351, ""), "", 'Internal Career (Last Position)'!$B351)</f>
        <v>32000000000348</v>
      </c>
      <c r="D351" s="38" t="str">
        <f>IF(EXACT('Internal Career (Last Position)'!$O351, ""), "", 'Internal Career (Last Position)'!$C351)</f>
        <v>Rendy Prananta Purba</v>
      </c>
    </row>
    <row r="352" spans="2:4" x14ac:dyDescent="0.2">
      <c r="B352" s="11">
        <f>IF(EXACT('Internal Career (Last Position)'!$O352, ""), "", 'Internal Career (Last Position)'!$O352)</f>
        <v>164000000000349</v>
      </c>
      <c r="C352" s="37">
        <f>IF(EXACT('Internal Career (Last Position)'!$O352, ""), "", 'Internal Career (Last Position)'!$B352)</f>
        <v>32000000000349</v>
      </c>
      <c r="D352" s="38" t="str">
        <f>IF(EXACT('Internal Career (Last Position)'!$O352, ""), "", 'Internal Career (Last Position)'!$C352)</f>
        <v>Reni Septiana</v>
      </c>
    </row>
    <row r="353" spans="2:4" x14ac:dyDescent="0.2">
      <c r="B353" s="11">
        <f>IF(EXACT('Internal Career (Last Position)'!$O353, ""), "", 'Internal Career (Last Position)'!$O353)</f>
        <v>164000000000350</v>
      </c>
      <c r="C353" s="37">
        <f>IF(EXACT('Internal Career (Last Position)'!$O353, ""), "", 'Internal Career (Last Position)'!$B353)</f>
        <v>32000000000350</v>
      </c>
      <c r="D353" s="38" t="str">
        <f>IF(EXACT('Internal Career (Last Position)'!$O353, ""), "", 'Internal Career (Last Position)'!$C353)</f>
        <v>Rere Ronggolawe</v>
      </c>
    </row>
    <row r="354" spans="2:4" x14ac:dyDescent="0.2">
      <c r="B354" s="11">
        <f>IF(EXACT('Internal Career (Last Position)'!$O354, ""), "", 'Internal Career (Last Position)'!$O354)</f>
        <v>164000000000351</v>
      </c>
      <c r="C354" s="37">
        <f>IF(EXACT('Internal Career (Last Position)'!$O354, ""), "", 'Internal Career (Last Position)'!$B354)</f>
        <v>32000000000351</v>
      </c>
      <c r="D354" s="38" t="str">
        <f>IF(EXACT('Internal Career (Last Position)'!$O354, ""), "", 'Internal Career (Last Position)'!$C354)</f>
        <v>Retnasha Gameswari</v>
      </c>
    </row>
    <row r="355" spans="2:4" x14ac:dyDescent="0.2">
      <c r="B355" s="11">
        <f>IF(EXACT('Internal Career (Last Position)'!$O355, ""), "", 'Internal Career (Last Position)'!$O355)</f>
        <v>164000000000352</v>
      </c>
      <c r="C355" s="37">
        <f>IF(EXACT('Internal Career (Last Position)'!$O355, ""), "", 'Internal Career (Last Position)'!$B355)</f>
        <v>32000000000352</v>
      </c>
      <c r="D355" s="38" t="str">
        <f>IF(EXACT('Internal Career (Last Position)'!$O355, ""), "", 'Internal Career (Last Position)'!$C355)</f>
        <v>Rhino Priawan</v>
      </c>
    </row>
    <row r="356" spans="2:4" x14ac:dyDescent="0.2">
      <c r="B356" s="11">
        <f>IF(EXACT('Internal Career (Last Position)'!$O356, ""), "", 'Internal Career (Last Position)'!$O356)</f>
        <v>164000000000353</v>
      </c>
      <c r="C356" s="37">
        <f>IF(EXACT('Internal Career (Last Position)'!$O356, ""), "", 'Internal Career (Last Position)'!$B356)</f>
        <v>32000000000353</v>
      </c>
      <c r="D356" s="38" t="str">
        <f>IF(EXACT('Internal Career (Last Position)'!$O356, ""), "", 'Internal Career (Last Position)'!$C356)</f>
        <v>Rian Yushak</v>
      </c>
    </row>
    <row r="357" spans="2:4" x14ac:dyDescent="0.2">
      <c r="B357" s="11">
        <f>IF(EXACT('Internal Career (Last Position)'!$O357, ""), "", 'Internal Career (Last Position)'!$O357)</f>
        <v>164000000000354</v>
      </c>
      <c r="C357" s="37">
        <f>IF(EXACT('Internal Career (Last Position)'!$O357, ""), "", 'Internal Career (Last Position)'!$B357)</f>
        <v>32000000000354</v>
      </c>
      <c r="D357" s="38" t="str">
        <f>IF(EXACT('Internal Career (Last Position)'!$O357, ""), "", 'Internal Career (Last Position)'!$C357)</f>
        <v>Riandi</v>
      </c>
    </row>
    <row r="358" spans="2:4" x14ac:dyDescent="0.2">
      <c r="B358" s="11">
        <f>IF(EXACT('Internal Career (Last Position)'!$O358, ""), "", 'Internal Career (Last Position)'!$O358)</f>
        <v>164000000000355</v>
      </c>
      <c r="C358" s="37">
        <f>IF(EXACT('Internal Career (Last Position)'!$O358, ""), "", 'Internal Career (Last Position)'!$B358)</f>
        <v>32000000000355</v>
      </c>
      <c r="D358" s="38" t="str">
        <f>IF(EXACT('Internal Career (Last Position)'!$O358, ""), "", 'Internal Career (Last Position)'!$C358)</f>
        <v>Ricky Samuel</v>
      </c>
    </row>
    <row r="359" spans="2:4" x14ac:dyDescent="0.2">
      <c r="B359" s="11">
        <f>IF(EXACT('Internal Career (Last Position)'!$O359, ""), "", 'Internal Career (Last Position)'!$O359)</f>
        <v>164000000000356</v>
      </c>
      <c r="C359" s="37">
        <f>IF(EXACT('Internal Career (Last Position)'!$O359, ""), "", 'Internal Career (Last Position)'!$B359)</f>
        <v>32000000000356</v>
      </c>
      <c r="D359" s="38" t="str">
        <f>IF(EXACT('Internal Career (Last Position)'!$O359, ""), "", 'Internal Career (Last Position)'!$C359)</f>
        <v>Ridwan Nurhadi</v>
      </c>
    </row>
    <row r="360" spans="2:4" x14ac:dyDescent="0.2">
      <c r="B360" s="11">
        <f>IF(EXACT('Internal Career (Last Position)'!$O360, ""), "", 'Internal Career (Last Position)'!$O360)</f>
        <v>164000000000357</v>
      </c>
      <c r="C360" s="37">
        <f>IF(EXACT('Internal Career (Last Position)'!$O360, ""), "", 'Internal Career (Last Position)'!$B360)</f>
        <v>32000000000357</v>
      </c>
      <c r="D360" s="38" t="str">
        <f>IF(EXACT('Internal Career (Last Position)'!$O360, ""), "", 'Internal Career (Last Position)'!$C360)</f>
        <v>Rifki</v>
      </c>
    </row>
    <row r="361" spans="2:4" x14ac:dyDescent="0.2">
      <c r="B361" s="11">
        <f>IF(EXACT('Internal Career (Last Position)'!$O361, ""), "", 'Internal Career (Last Position)'!$O361)</f>
        <v>164000000000358</v>
      </c>
      <c r="C361" s="37">
        <f>IF(EXACT('Internal Career (Last Position)'!$O361, ""), "", 'Internal Career (Last Position)'!$B361)</f>
        <v>32000000000358</v>
      </c>
      <c r="D361" s="38" t="str">
        <f>IF(EXACT('Internal Career (Last Position)'!$O361, ""), "", 'Internal Career (Last Position)'!$C361)</f>
        <v>Rika Ginting</v>
      </c>
    </row>
    <row r="362" spans="2:4" x14ac:dyDescent="0.2">
      <c r="B362" s="11">
        <f>IF(EXACT('Internal Career (Last Position)'!$O362, ""), "", 'Internal Career (Last Position)'!$O362)</f>
        <v>164000000000359</v>
      </c>
      <c r="C362" s="37">
        <f>IF(EXACT('Internal Career (Last Position)'!$O362, ""), "", 'Internal Career (Last Position)'!$B362)</f>
        <v>32000000000359</v>
      </c>
      <c r="D362" s="38" t="str">
        <f>IF(EXACT('Internal Career (Last Position)'!$O362, ""), "", 'Internal Career (Last Position)'!$C362)</f>
        <v>Riki Chairul Anwar</v>
      </c>
    </row>
    <row r="363" spans="2:4" x14ac:dyDescent="0.2">
      <c r="B363" s="11">
        <f>IF(EXACT('Internal Career (Last Position)'!$O363, ""), "", 'Internal Career (Last Position)'!$O363)</f>
        <v>164000000000360</v>
      </c>
      <c r="C363" s="37">
        <f>IF(EXACT('Internal Career (Last Position)'!$O363, ""), "", 'Internal Career (Last Position)'!$B363)</f>
        <v>32000000000360</v>
      </c>
      <c r="D363" s="38" t="str">
        <f>IF(EXACT('Internal Career (Last Position)'!$O363, ""), "", 'Internal Career (Last Position)'!$C363)</f>
        <v>Riki Evindra</v>
      </c>
    </row>
    <row r="364" spans="2:4" x14ac:dyDescent="0.2">
      <c r="B364" s="11">
        <f>IF(EXACT('Internal Career (Last Position)'!$O364, ""), "", 'Internal Career (Last Position)'!$O364)</f>
        <v>164000000000361</v>
      </c>
      <c r="C364" s="37">
        <f>IF(EXACT('Internal Career (Last Position)'!$O364, ""), "", 'Internal Career (Last Position)'!$B364)</f>
        <v>32000000000361</v>
      </c>
      <c r="D364" s="38" t="str">
        <f>IF(EXACT('Internal Career (Last Position)'!$O364, ""), "", 'Internal Career (Last Position)'!$C364)</f>
        <v>Rinaldi Asrin</v>
      </c>
    </row>
    <row r="365" spans="2:4" x14ac:dyDescent="0.2">
      <c r="B365" s="11">
        <f>IF(EXACT('Internal Career (Last Position)'!$O365, ""), "", 'Internal Career (Last Position)'!$O365)</f>
        <v>164000000000362</v>
      </c>
      <c r="C365" s="37">
        <f>IF(EXACT('Internal Career (Last Position)'!$O365, ""), "", 'Internal Career (Last Position)'!$B365)</f>
        <v>32000000000362</v>
      </c>
      <c r="D365" s="38" t="str">
        <f>IF(EXACT('Internal Career (Last Position)'!$O365, ""), "", 'Internal Career (Last Position)'!$C365)</f>
        <v>Rio Hakim</v>
      </c>
    </row>
    <row r="366" spans="2:4" x14ac:dyDescent="0.2">
      <c r="B366" s="11">
        <f>IF(EXACT('Internal Career (Last Position)'!$O366, ""), "", 'Internal Career (Last Position)'!$O366)</f>
        <v>164000000000363</v>
      </c>
      <c r="C366" s="37">
        <f>IF(EXACT('Internal Career (Last Position)'!$O366, ""), "", 'Internal Career (Last Position)'!$B366)</f>
        <v>32000000000363</v>
      </c>
      <c r="D366" s="38" t="str">
        <f>IF(EXACT('Internal Career (Last Position)'!$O366, ""), "", 'Internal Career (Last Position)'!$C366)</f>
        <v>Rio Martha</v>
      </c>
    </row>
    <row r="367" spans="2:4" x14ac:dyDescent="0.2">
      <c r="B367" s="11">
        <f>IF(EXACT('Internal Career (Last Position)'!$O367, ""), "", 'Internal Career (Last Position)'!$O367)</f>
        <v>164000000000364</v>
      </c>
      <c r="C367" s="37">
        <f>IF(EXACT('Internal Career (Last Position)'!$O367, ""), "", 'Internal Career (Last Position)'!$B367)</f>
        <v>32000000000364</v>
      </c>
      <c r="D367" s="38" t="str">
        <f>IF(EXACT('Internal Career (Last Position)'!$O367, ""), "", 'Internal Career (Last Position)'!$C367)</f>
        <v>Risdyanto Risdyanto</v>
      </c>
    </row>
    <row r="368" spans="2:4" x14ac:dyDescent="0.2">
      <c r="B368" s="11">
        <f>IF(EXACT('Internal Career (Last Position)'!$O368, ""), "", 'Internal Career (Last Position)'!$O368)</f>
        <v>164000000000365</v>
      </c>
      <c r="C368" s="37">
        <f>IF(EXACT('Internal Career (Last Position)'!$O368, ""), "", 'Internal Career (Last Position)'!$B368)</f>
        <v>32000000000365</v>
      </c>
      <c r="D368" s="38" t="str">
        <f>IF(EXACT('Internal Career (Last Position)'!$O368, ""), "", 'Internal Career (Last Position)'!$C368)</f>
        <v>Rizak Tri Septian</v>
      </c>
    </row>
    <row r="369" spans="2:4" x14ac:dyDescent="0.2">
      <c r="B369" s="11">
        <f>IF(EXACT('Internal Career (Last Position)'!$O369, ""), "", 'Internal Career (Last Position)'!$O369)</f>
        <v>164000000000366</v>
      </c>
      <c r="C369" s="37">
        <f>IF(EXACT('Internal Career (Last Position)'!$O369, ""), "", 'Internal Career (Last Position)'!$B369)</f>
        <v>32000000000366</v>
      </c>
      <c r="D369" s="38" t="str">
        <f>IF(EXACT('Internal Career (Last Position)'!$O369, ""), "", 'Internal Career (Last Position)'!$C369)</f>
        <v>Rizki Akbar</v>
      </c>
    </row>
    <row r="370" spans="2:4" x14ac:dyDescent="0.2">
      <c r="B370" s="11">
        <f>IF(EXACT('Internal Career (Last Position)'!$O370, ""), "", 'Internal Career (Last Position)'!$O370)</f>
        <v>164000000000367</v>
      </c>
      <c r="C370" s="37">
        <f>IF(EXACT('Internal Career (Last Position)'!$O370, ""), "", 'Internal Career (Last Position)'!$B370)</f>
        <v>32000000000367</v>
      </c>
      <c r="D370" s="38" t="str">
        <f>IF(EXACT('Internal Career (Last Position)'!$O370, ""), "", 'Internal Career (Last Position)'!$C370)</f>
        <v>Rizky Fauzy</v>
      </c>
    </row>
    <row r="371" spans="2:4" x14ac:dyDescent="0.2">
      <c r="B371" s="11">
        <f>IF(EXACT('Internal Career (Last Position)'!$O371, ""), "", 'Internal Career (Last Position)'!$O371)</f>
        <v>164000000000368</v>
      </c>
      <c r="C371" s="37">
        <f>IF(EXACT('Internal Career (Last Position)'!$O371, ""), "", 'Internal Career (Last Position)'!$B371)</f>
        <v>32000000000368</v>
      </c>
      <c r="D371" s="38" t="str">
        <f>IF(EXACT('Internal Career (Last Position)'!$O371, ""), "", 'Internal Career (Last Position)'!$C371)</f>
        <v>Rizky Reza Pradipta</v>
      </c>
    </row>
    <row r="372" spans="2:4" x14ac:dyDescent="0.2">
      <c r="B372" s="11">
        <f>IF(EXACT('Internal Career (Last Position)'!$O372, ""), "", 'Internal Career (Last Position)'!$O372)</f>
        <v>164000000000369</v>
      </c>
      <c r="C372" s="37">
        <f>IF(EXACT('Internal Career (Last Position)'!$O372, ""), "", 'Internal Career (Last Position)'!$B372)</f>
        <v>32000000000369</v>
      </c>
      <c r="D372" s="38" t="str">
        <f>IF(EXACT('Internal Career (Last Position)'!$O372, ""), "", 'Internal Career (Last Position)'!$C372)</f>
        <v>Rohendi Rohendi</v>
      </c>
    </row>
    <row r="373" spans="2:4" x14ac:dyDescent="0.2">
      <c r="B373" s="11">
        <f>IF(EXACT('Internal Career (Last Position)'!$O373, ""), "", 'Internal Career (Last Position)'!$O373)</f>
        <v>164000000000370</v>
      </c>
      <c r="C373" s="37">
        <f>IF(EXACT('Internal Career (Last Position)'!$O373, ""), "", 'Internal Career (Last Position)'!$B373)</f>
        <v>32000000000370</v>
      </c>
      <c r="D373" s="38" t="str">
        <f>IF(EXACT('Internal Career (Last Position)'!$O373, ""), "", 'Internal Career (Last Position)'!$C373)</f>
        <v>Rohmani</v>
      </c>
    </row>
    <row r="374" spans="2:4" x14ac:dyDescent="0.2">
      <c r="B374" s="11">
        <f>IF(EXACT('Internal Career (Last Position)'!$O374, ""), "", 'Internal Career (Last Position)'!$O374)</f>
        <v>164000000000371</v>
      </c>
      <c r="C374" s="37">
        <f>IF(EXACT('Internal Career (Last Position)'!$O374, ""), "", 'Internal Career (Last Position)'!$B374)</f>
        <v>32000000000371</v>
      </c>
      <c r="D374" s="38" t="str">
        <f>IF(EXACT('Internal Career (Last Position)'!$O374, ""), "", 'Internal Career (Last Position)'!$C374)</f>
        <v>Rommel Hutapea</v>
      </c>
    </row>
    <row r="375" spans="2:4" x14ac:dyDescent="0.2">
      <c r="B375" s="11">
        <f>IF(EXACT('Internal Career (Last Position)'!$O375, ""), "", 'Internal Career (Last Position)'!$O375)</f>
        <v>164000000000372</v>
      </c>
      <c r="C375" s="37">
        <f>IF(EXACT('Internal Career (Last Position)'!$O375, ""), "", 'Internal Career (Last Position)'!$B375)</f>
        <v>32000000000372</v>
      </c>
      <c r="D375" s="38" t="str">
        <f>IF(EXACT('Internal Career (Last Position)'!$O375, ""), "", 'Internal Career (Last Position)'!$C375)</f>
        <v>Roy Aditya</v>
      </c>
    </row>
    <row r="376" spans="2:4" x14ac:dyDescent="0.2">
      <c r="B376" s="11">
        <f>IF(EXACT('Internal Career (Last Position)'!$O376, ""), "", 'Internal Career (Last Position)'!$O376)</f>
        <v>164000000000373</v>
      </c>
      <c r="C376" s="37">
        <f>IF(EXACT('Internal Career (Last Position)'!$O376, ""), "", 'Internal Career (Last Position)'!$B376)</f>
        <v>32000000000373</v>
      </c>
      <c r="D376" s="38" t="str">
        <f>IF(EXACT('Internal Career (Last Position)'!$O376, ""), "", 'Internal Career (Last Position)'!$C376)</f>
        <v>Rubah</v>
      </c>
    </row>
    <row r="377" spans="2:4" x14ac:dyDescent="0.2">
      <c r="B377" s="11">
        <f>IF(EXACT('Internal Career (Last Position)'!$O377, ""), "", 'Internal Career (Last Position)'!$O377)</f>
        <v>164000000000374</v>
      </c>
      <c r="C377" s="37">
        <f>IF(EXACT('Internal Career (Last Position)'!$O377, ""), "", 'Internal Career (Last Position)'!$B377)</f>
        <v>32000000000374</v>
      </c>
      <c r="D377" s="38" t="str">
        <f>IF(EXACT('Internal Career (Last Position)'!$O377, ""), "", 'Internal Career (Last Position)'!$C377)</f>
        <v>Rudi Junaedi</v>
      </c>
    </row>
    <row r="378" spans="2:4" x14ac:dyDescent="0.2">
      <c r="B378" s="11">
        <f>IF(EXACT('Internal Career (Last Position)'!$O378, ""), "", 'Internal Career (Last Position)'!$O378)</f>
        <v>164000000000375</v>
      </c>
      <c r="C378" s="37">
        <f>IF(EXACT('Internal Career (Last Position)'!$O378, ""), "", 'Internal Career (Last Position)'!$B378)</f>
        <v>32000000000375</v>
      </c>
      <c r="D378" s="38" t="str">
        <f>IF(EXACT('Internal Career (Last Position)'!$O378, ""), "", 'Internal Career (Last Position)'!$C378)</f>
        <v>Ruswandi</v>
      </c>
    </row>
    <row r="379" spans="2:4" x14ac:dyDescent="0.2">
      <c r="B379" s="11">
        <f>IF(EXACT('Internal Career (Last Position)'!$O379, ""), "", 'Internal Career (Last Position)'!$O379)</f>
        <v>164000000000376</v>
      </c>
      <c r="C379" s="37">
        <f>IF(EXACT('Internal Career (Last Position)'!$O379, ""), "", 'Internal Career (Last Position)'!$B379)</f>
        <v>32000000000376</v>
      </c>
      <c r="D379" s="38" t="str">
        <f>IF(EXACT('Internal Career (Last Position)'!$O379, ""), "", 'Internal Career (Last Position)'!$C379)</f>
        <v>Ryan Bagus Sasminta</v>
      </c>
    </row>
    <row r="380" spans="2:4" x14ac:dyDescent="0.2">
      <c r="B380" s="11">
        <f>IF(EXACT('Internal Career (Last Position)'!$O380, ""), "", 'Internal Career (Last Position)'!$O380)</f>
        <v>164000000000377</v>
      </c>
      <c r="C380" s="37">
        <f>IF(EXACT('Internal Career (Last Position)'!$O380, ""), "", 'Internal Career (Last Position)'!$B380)</f>
        <v>32000000000377</v>
      </c>
      <c r="D380" s="38" t="str">
        <f>IF(EXACT('Internal Career (Last Position)'!$O380, ""), "", 'Internal Career (Last Position)'!$C380)</f>
        <v>Saarah Andriani</v>
      </c>
    </row>
    <row r="381" spans="2:4" x14ac:dyDescent="0.2">
      <c r="B381" s="11">
        <f>IF(EXACT('Internal Career (Last Position)'!$O381, ""), "", 'Internal Career (Last Position)'!$O381)</f>
        <v>164000000000378</v>
      </c>
      <c r="C381" s="37">
        <f>IF(EXACT('Internal Career (Last Position)'!$O381, ""), "", 'Internal Career (Last Position)'!$B381)</f>
        <v>32000000000378</v>
      </c>
      <c r="D381" s="38" t="str">
        <f>IF(EXACT('Internal Career (Last Position)'!$O381, ""), "", 'Internal Career (Last Position)'!$C381)</f>
        <v>Safira Nurbaiti</v>
      </c>
    </row>
    <row r="382" spans="2:4" x14ac:dyDescent="0.2">
      <c r="B382" s="11">
        <f>IF(EXACT('Internal Career (Last Position)'!$O382, ""), "", 'Internal Career (Last Position)'!$O382)</f>
        <v>164000000000379</v>
      </c>
      <c r="C382" s="37">
        <f>IF(EXACT('Internal Career (Last Position)'!$O382, ""), "", 'Internal Career (Last Position)'!$B382)</f>
        <v>32000000000379</v>
      </c>
      <c r="D382" s="38" t="str">
        <f>IF(EXACT('Internal Career (Last Position)'!$O382, ""), "", 'Internal Career (Last Position)'!$C382)</f>
        <v>Saifulloh</v>
      </c>
    </row>
    <row r="383" spans="2:4" x14ac:dyDescent="0.2">
      <c r="B383" s="11">
        <f>IF(EXACT('Internal Career (Last Position)'!$O383, ""), "", 'Internal Career (Last Position)'!$O383)</f>
        <v>164000000000380</v>
      </c>
      <c r="C383" s="37">
        <f>IF(EXACT('Internal Career (Last Position)'!$O383, ""), "", 'Internal Career (Last Position)'!$B383)</f>
        <v>32000000000380</v>
      </c>
      <c r="D383" s="38" t="str">
        <f>IF(EXACT('Internal Career (Last Position)'!$O383, ""), "", 'Internal Career (Last Position)'!$C383)</f>
        <v>Saifuloh</v>
      </c>
    </row>
    <row r="384" spans="2:4" x14ac:dyDescent="0.2">
      <c r="B384" s="11">
        <f>IF(EXACT('Internal Career (Last Position)'!$O384, ""), "", 'Internal Career (Last Position)'!$O384)</f>
        <v>164000000000381</v>
      </c>
      <c r="C384" s="37">
        <f>IF(EXACT('Internal Career (Last Position)'!$O384, ""), "", 'Internal Career (Last Position)'!$B384)</f>
        <v>32000000000381</v>
      </c>
      <c r="D384" s="38" t="str">
        <f>IF(EXACT('Internal Career (Last Position)'!$O384, ""), "", 'Internal Career (Last Position)'!$C384)</f>
        <v>Sakinah Tantriani Lubis</v>
      </c>
    </row>
    <row r="385" spans="2:4" x14ac:dyDescent="0.2">
      <c r="B385" s="11">
        <f>IF(EXACT('Internal Career (Last Position)'!$O385, ""), "", 'Internal Career (Last Position)'!$O385)</f>
        <v>164000000000382</v>
      </c>
      <c r="C385" s="37">
        <f>IF(EXACT('Internal Career (Last Position)'!$O385, ""), "", 'Internal Career (Last Position)'!$B385)</f>
        <v>32000000000382</v>
      </c>
      <c r="D385" s="38" t="str">
        <f>IF(EXACT('Internal Career (Last Position)'!$O385, ""), "", 'Internal Career (Last Position)'!$C385)</f>
        <v>Abdul Samad</v>
      </c>
    </row>
    <row r="386" spans="2:4" x14ac:dyDescent="0.2">
      <c r="B386" s="11">
        <f>IF(EXACT('Internal Career (Last Position)'!$O386, ""), "", 'Internal Career (Last Position)'!$O386)</f>
        <v>164000000000383</v>
      </c>
      <c r="C386" s="37">
        <f>IF(EXACT('Internal Career (Last Position)'!$O386, ""), "", 'Internal Career (Last Position)'!$B386)</f>
        <v>32000000000383</v>
      </c>
      <c r="D386" s="38" t="str">
        <f>IF(EXACT('Internal Career (Last Position)'!$O386, ""), "", 'Internal Career (Last Position)'!$C386)</f>
        <v>Samsul Hadi</v>
      </c>
    </row>
    <row r="387" spans="2:4" x14ac:dyDescent="0.2">
      <c r="B387" s="11">
        <f>IF(EXACT('Internal Career (Last Position)'!$O387, ""), "", 'Internal Career (Last Position)'!$O387)</f>
        <v>164000000000384</v>
      </c>
      <c r="C387" s="37">
        <f>IF(EXACT('Internal Career (Last Position)'!$O387, ""), "", 'Internal Career (Last Position)'!$B387)</f>
        <v>32000000000384</v>
      </c>
      <c r="D387" s="38" t="str">
        <f>IF(EXACT('Internal Career (Last Position)'!$O387, ""), "", 'Internal Career (Last Position)'!$C387)</f>
        <v>Sandika</v>
      </c>
    </row>
    <row r="388" spans="2:4" x14ac:dyDescent="0.2">
      <c r="B388" s="11">
        <f>IF(EXACT('Internal Career (Last Position)'!$O388, ""), "", 'Internal Career (Last Position)'!$O388)</f>
        <v>164000000000385</v>
      </c>
      <c r="C388" s="37">
        <f>IF(EXACT('Internal Career (Last Position)'!$O388, ""), "", 'Internal Career (Last Position)'!$B388)</f>
        <v>32000000000385</v>
      </c>
      <c r="D388" s="38" t="str">
        <f>IF(EXACT('Internal Career (Last Position)'!$O388, ""), "", 'Internal Career (Last Position)'!$C388)</f>
        <v>Sang Toga Sitompul</v>
      </c>
    </row>
    <row r="389" spans="2:4" x14ac:dyDescent="0.2">
      <c r="B389" s="11">
        <f>IF(EXACT('Internal Career (Last Position)'!$O389, ""), "", 'Internal Career (Last Position)'!$O389)</f>
        <v>164000000000386</v>
      </c>
      <c r="C389" s="37">
        <f>IF(EXACT('Internal Career (Last Position)'!$O389, ""), "", 'Internal Career (Last Position)'!$B389)</f>
        <v>32000000000386</v>
      </c>
      <c r="D389" s="38" t="str">
        <f>IF(EXACT('Internal Career (Last Position)'!$O389, ""), "", 'Internal Career (Last Position)'!$C389)</f>
        <v>Santi Dewi R. W.</v>
      </c>
    </row>
    <row r="390" spans="2:4" x14ac:dyDescent="0.2">
      <c r="B390" s="11">
        <f>IF(EXACT('Internal Career (Last Position)'!$O390, ""), "", 'Internal Career (Last Position)'!$O390)</f>
        <v>164000000000387</v>
      </c>
      <c r="C390" s="37">
        <f>IF(EXACT('Internal Career (Last Position)'!$O390, ""), "", 'Internal Career (Last Position)'!$B390)</f>
        <v>32000000000387</v>
      </c>
      <c r="D390" s="38" t="str">
        <f>IF(EXACT('Internal Career (Last Position)'!$O390, ""), "", 'Internal Career (Last Position)'!$C390)</f>
        <v>Sarah Sibarani</v>
      </c>
    </row>
    <row r="391" spans="2:4" x14ac:dyDescent="0.2">
      <c r="B391" s="11">
        <f>IF(EXACT('Internal Career (Last Position)'!$O391, ""), "", 'Internal Career (Last Position)'!$O391)</f>
        <v>164000000000388</v>
      </c>
      <c r="C391" s="37">
        <f>IF(EXACT('Internal Career (Last Position)'!$O391, ""), "", 'Internal Career (Last Position)'!$B391)</f>
        <v>32000000000388</v>
      </c>
      <c r="D391" s="38" t="str">
        <f>IF(EXACT('Internal Career (Last Position)'!$O391, ""), "", 'Internal Career (Last Position)'!$C391)</f>
        <v>Sarif Hidayatul Umah</v>
      </c>
    </row>
    <row r="392" spans="2:4" x14ac:dyDescent="0.2">
      <c r="B392" s="11">
        <f>IF(EXACT('Internal Career (Last Position)'!$O392, ""), "", 'Internal Career (Last Position)'!$O392)</f>
        <v>164000000000389</v>
      </c>
      <c r="C392" s="37">
        <f>IF(EXACT('Internal Career (Last Position)'!$O392, ""), "", 'Internal Career (Last Position)'!$B392)</f>
        <v>32000000000389</v>
      </c>
      <c r="D392" s="38" t="str">
        <f>IF(EXACT('Internal Career (Last Position)'!$O392, ""), "", 'Internal Career (Last Position)'!$C392)</f>
        <v>Satria Budi Raharja</v>
      </c>
    </row>
    <row r="393" spans="2:4" x14ac:dyDescent="0.2">
      <c r="B393" s="11">
        <f>IF(EXACT('Internal Career (Last Position)'!$O393, ""), "", 'Internal Career (Last Position)'!$O393)</f>
        <v>164000000000390</v>
      </c>
      <c r="C393" s="37">
        <f>IF(EXACT('Internal Career (Last Position)'!$O393, ""), "", 'Internal Career (Last Position)'!$B393)</f>
        <v>32000000000390</v>
      </c>
      <c r="D393" s="38" t="str">
        <f>IF(EXACT('Internal Career (Last Position)'!$O393, ""), "", 'Internal Career (Last Position)'!$C393)</f>
        <v>Saut M. P. L. Tobing</v>
      </c>
    </row>
    <row r="394" spans="2:4" x14ac:dyDescent="0.2">
      <c r="B394" s="11">
        <f>IF(EXACT('Internal Career (Last Position)'!$O394, ""), "", 'Internal Career (Last Position)'!$O394)</f>
        <v>164000000000391</v>
      </c>
      <c r="C394" s="37">
        <f>IF(EXACT('Internal Career (Last Position)'!$O394, ""), "", 'Internal Career (Last Position)'!$B394)</f>
        <v>32000000000391</v>
      </c>
      <c r="D394" s="38" t="str">
        <f>IF(EXACT('Internal Career (Last Position)'!$O394, ""), "", 'Internal Career (Last Position)'!$C394)</f>
        <v>Seftiyan Hadi Maulana</v>
      </c>
    </row>
    <row r="395" spans="2:4" x14ac:dyDescent="0.2">
      <c r="B395" s="11">
        <f>IF(EXACT('Internal Career (Last Position)'!$O395, ""), "", 'Internal Career (Last Position)'!$O395)</f>
        <v>164000000000392</v>
      </c>
      <c r="C395" s="37">
        <f>IF(EXACT('Internal Career (Last Position)'!$O395, ""), "", 'Internal Career (Last Position)'!$B395)</f>
        <v>32000000000392</v>
      </c>
      <c r="D395" s="38" t="str">
        <f>IF(EXACT('Internal Career (Last Position)'!$O395, ""), "", 'Internal Career (Last Position)'!$C395)</f>
        <v>Sena Andi Satria</v>
      </c>
    </row>
    <row r="396" spans="2:4" x14ac:dyDescent="0.2">
      <c r="B396" s="11">
        <f>IF(EXACT('Internal Career (Last Position)'!$O396, ""), "", 'Internal Career (Last Position)'!$O396)</f>
        <v>164000000000393</v>
      </c>
      <c r="C396" s="37">
        <f>IF(EXACT('Internal Career (Last Position)'!$O396, ""), "", 'Internal Career (Last Position)'!$B396)</f>
        <v>32000000000393</v>
      </c>
      <c r="D396" s="38" t="str">
        <f>IF(EXACT('Internal Career (Last Position)'!$O396, ""), "", 'Internal Career (Last Position)'!$C396)</f>
        <v>Setiadi</v>
      </c>
    </row>
    <row r="397" spans="2:4" x14ac:dyDescent="0.2">
      <c r="B397" s="11">
        <f>IF(EXACT('Internal Career (Last Position)'!$O397, ""), "", 'Internal Career (Last Position)'!$O397)</f>
        <v>164000000000394</v>
      </c>
      <c r="C397" s="37">
        <f>IF(EXACT('Internal Career (Last Position)'!$O397, ""), "", 'Internal Career (Last Position)'!$B397)</f>
        <v>32000000000394</v>
      </c>
      <c r="D397" s="38" t="str">
        <f>IF(EXACT('Internal Career (Last Position)'!$O397, ""), "", 'Internal Career (Last Position)'!$C397)</f>
        <v>Sherly Tamira</v>
      </c>
    </row>
    <row r="398" spans="2:4" x14ac:dyDescent="0.2">
      <c r="B398" s="11">
        <f>IF(EXACT('Internal Career (Last Position)'!$O398, ""), "", 'Internal Career (Last Position)'!$O398)</f>
        <v>164000000000395</v>
      </c>
      <c r="C398" s="37">
        <f>IF(EXACT('Internal Career (Last Position)'!$O398, ""), "", 'Internal Career (Last Position)'!$B398)</f>
        <v>32000000000395</v>
      </c>
      <c r="D398" s="38" t="str">
        <f>IF(EXACT('Internal Career (Last Position)'!$O398, ""), "", 'Internal Career (Last Position)'!$C398)</f>
        <v>Shihab</v>
      </c>
    </row>
    <row r="399" spans="2:4" x14ac:dyDescent="0.2">
      <c r="B399" s="11">
        <f>IF(EXACT('Internal Career (Last Position)'!$O399, ""), "", 'Internal Career (Last Position)'!$O399)</f>
        <v>164000000000396</v>
      </c>
      <c r="C399" s="37">
        <f>IF(EXACT('Internal Career (Last Position)'!$O399, ""), "", 'Internal Career (Last Position)'!$B399)</f>
        <v>32000000000396</v>
      </c>
      <c r="D399" s="38" t="str">
        <f>IF(EXACT('Internal Career (Last Position)'!$O399, ""), "", 'Internal Career (Last Position)'!$C399)</f>
        <v>Shobarin Jabar</v>
      </c>
    </row>
    <row r="400" spans="2:4" x14ac:dyDescent="0.2">
      <c r="B400" s="11">
        <f>IF(EXACT('Internal Career (Last Position)'!$O400, ""), "", 'Internal Career (Last Position)'!$O400)</f>
        <v>164000000000397</v>
      </c>
      <c r="C400" s="37">
        <f>IF(EXACT('Internal Career (Last Position)'!$O400, ""), "", 'Internal Career (Last Position)'!$B400)</f>
        <v>32000000000397</v>
      </c>
      <c r="D400" s="38" t="str">
        <f>IF(EXACT('Internal Career (Last Position)'!$O400, ""), "", 'Internal Career (Last Position)'!$C400)</f>
        <v>Sholehah</v>
      </c>
    </row>
    <row r="401" spans="2:4" x14ac:dyDescent="0.2">
      <c r="B401" s="11">
        <f>IF(EXACT('Internal Career (Last Position)'!$O401, ""), "", 'Internal Career (Last Position)'!$O401)</f>
        <v>164000000000398</v>
      </c>
      <c r="C401" s="37">
        <f>IF(EXACT('Internal Career (Last Position)'!$O401, ""), "", 'Internal Career (Last Position)'!$B401)</f>
        <v>32000000000398</v>
      </c>
      <c r="D401" s="38" t="str">
        <f>IF(EXACT('Internal Career (Last Position)'!$O401, ""), "", 'Internal Career (Last Position)'!$C401)</f>
        <v>Sigit Rudiantono</v>
      </c>
    </row>
    <row r="402" spans="2:4" x14ac:dyDescent="0.2">
      <c r="B402" s="11">
        <f>IF(EXACT('Internal Career (Last Position)'!$O402, ""), "", 'Internal Career (Last Position)'!$O402)</f>
        <v>164000000000399</v>
      </c>
      <c r="C402" s="37">
        <f>IF(EXACT('Internal Career (Last Position)'!$O402, ""), "", 'Internal Career (Last Position)'!$B402)</f>
        <v>32000000000399</v>
      </c>
      <c r="D402" s="38" t="str">
        <f>IF(EXACT('Internal Career (Last Position)'!$O402, ""), "", 'Internal Career (Last Position)'!$C402)</f>
        <v>Silvia Putri</v>
      </c>
    </row>
    <row r="403" spans="2:4" x14ac:dyDescent="0.2">
      <c r="B403" s="11">
        <f>IF(EXACT('Internal Career (Last Position)'!$O403, ""), "", 'Internal Career (Last Position)'!$O403)</f>
        <v>164000000000400</v>
      </c>
      <c r="C403" s="37">
        <f>IF(EXACT('Internal Career (Last Position)'!$O403, ""), "", 'Internal Career (Last Position)'!$B403)</f>
        <v>32000000000400</v>
      </c>
      <c r="D403" s="38" t="str">
        <f>IF(EXACT('Internal Career (Last Position)'!$O403, ""), "", 'Internal Career (Last Position)'!$C403)</f>
        <v>Simron Ronaldi Nasution</v>
      </c>
    </row>
    <row r="404" spans="2:4" x14ac:dyDescent="0.2">
      <c r="B404" s="11">
        <f>IF(EXACT('Internal Career (Last Position)'!$O404, ""), "", 'Internal Career (Last Position)'!$O404)</f>
        <v>164000000000401</v>
      </c>
      <c r="C404" s="37">
        <f>IF(EXACT('Internal Career (Last Position)'!$O404, ""), "", 'Internal Career (Last Position)'!$B404)</f>
        <v>32000000000401</v>
      </c>
      <c r="D404" s="38" t="str">
        <f>IF(EXACT('Internal Career (Last Position)'!$O404, ""), "", 'Internal Career (Last Position)'!$C404)</f>
        <v>Sinta Vera Trikawati</v>
      </c>
    </row>
    <row r="405" spans="2:4" x14ac:dyDescent="0.2">
      <c r="B405" s="11">
        <f>IF(EXACT('Internal Career (Last Position)'!$O405, ""), "", 'Internal Career (Last Position)'!$O405)</f>
        <v>164000000000402</v>
      </c>
      <c r="C405" s="37">
        <f>IF(EXACT('Internal Career (Last Position)'!$O405, ""), "", 'Internal Career (Last Position)'!$B405)</f>
        <v>32000000000402</v>
      </c>
      <c r="D405" s="38" t="str">
        <f>IF(EXACT('Internal Career (Last Position)'!$O405, ""), "", 'Internal Career (Last Position)'!$C405)</f>
        <v>Sir Muhammad Zafrulloh Khan</v>
      </c>
    </row>
    <row r="406" spans="2:4" x14ac:dyDescent="0.2">
      <c r="B406" s="11">
        <f>IF(EXACT('Internal Career (Last Position)'!$O406, ""), "", 'Internal Career (Last Position)'!$O406)</f>
        <v>164000000000403</v>
      </c>
      <c r="C406" s="37">
        <f>IF(EXACT('Internal Career (Last Position)'!$O406, ""), "", 'Internal Career (Last Position)'!$B406)</f>
        <v>32000000000403</v>
      </c>
      <c r="D406" s="38" t="str">
        <f>IF(EXACT('Internal Career (Last Position)'!$O406, ""), "", 'Internal Career (Last Position)'!$C406)</f>
        <v>Siska Marlina</v>
      </c>
    </row>
    <row r="407" spans="2:4" x14ac:dyDescent="0.2">
      <c r="B407" s="11">
        <f>IF(EXACT('Internal Career (Last Position)'!$O407, ""), "", 'Internal Career (Last Position)'!$O407)</f>
        <v>164000000000404</v>
      </c>
      <c r="C407" s="37">
        <f>IF(EXACT('Internal Career (Last Position)'!$O407, ""), "", 'Internal Career (Last Position)'!$B407)</f>
        <v>32000000000404</v>
      </c>
      <c r="D407" s="38" t="str">
        <f>IF(EXACT('Internal Career (Last Position)'!$O407, ""), "", 'Internal Career (Last Position)'!$C407)</f>
        <v>Siswanto</v>
      </c>
    </row>
    <row r="408" spans="2:4" x14ac:dyDescent="0.2">
      <c r="B408" s="11">
        <f>IF(EXACT('Internal Career (Last Position)'!$O408, ""), "", 'Internal Career (Last Position)'!$O408)</f>
        <v>164000000000405</v>
      </c>
      <c r="C408" s="37">
        <f>IF(EXACT('Internal Career (Last Position)'!$O408, ""), "", 'Internal Career (Last Position)'!$B408)</f>
        <v>32000000000405</v>
      </c>
      <c r="D408" s="38" t="str">
        <f>IF(EXACT('Internal Career (Last Position)'!$O408, ""), "", 'Internal Career (Last Position)'!$C408)</f>
        <v>Siti Mulyani</v>
      </c>
    </row>
    <row r="409" spans="2:4" x14ac:dyDescent="0.2">
      <c r="B409" s="11">
        <f>IF(EXACT('Internal Career (Last Position)'!$O409, ""), "", 'Internal Career (Last Position)'!$O409)</f>
        <v>164000000000406</v>
      </c>
      <c r="C409" s="37">
        <f>IF(EXACT('Internal Career (Last Position)'!$O409, ""), "", 'Internal Career (Last Position)'!$B409)</f>
        <v>32000000000406</v>
      </c>
      <c r="D409" s="38" t="str">
        <f>IF(EXACT('Internal Career (Last Position)'!$O409, ""), "", 'Internal Career (Last Position)'!$C409)</f>
        <v>Sjanti Devi</v>
      </c>
    </row>
    <row r="410" spans="2:4" x14ac:dyDescent="0.2">
      <c r="B410" s="11">
        <f>IF(EXACT('Internal Career (Last Position)'!$O410, ""), "", 'Internal Career (Last Position)'!$O410)</f>
        <v>164000000000407</v>
      </c>
      <c r="C410" s="37">
        <f>IF(EXACT('Internal Career (Last Position)'!$O410, ""), "", 'Internal Career (Last Position)'!$B410)</f>
        <v>32000000000407</v>
      </c>
      <c r="D410" s="38" t="str">
        <f>IF(EXACT('Internal Career (Last Position)'!$O410, ""), "", 'Internal Career (Last Position)'!$C410)</f>
        <v>Slamet Budi Setiawan</v>
      </c>
    </row>
    <row r="411" spans="2:4" x14ac:dyDescent="0.2">
      <c r="B411" s="11">
        <f>IF(EXACT('Internal Career (Last Position)'!$O411, ""), "", 'Internal Career (Last Position)'!$O411)</f>
        <v>164000000000408</v>
      </c>
      <c r="C411" s="37">
        <f>IF(EXACT('Internal Career (Last Position)'!$O411, ""), "", 'Internal Career (Last Position)'!$B411)</f>
        <v>32000000000408</v>
      </c>
      <c r="D411" s="38" t="str">
        <f>IF(EXACT('Internal Career (Last Position)'!$O411, ""), "", 'Internal Career (Last Position)'!$C411)</f>
        <v>Sofyan Maulana</v>
      </c>
    </row>
    <row r="412" spans="2:4" x14ac:dyDescent="0.2">
      <c r="B412" s="11">
        <f>IF(EXACT('Internal Career (Last Position)'!$O412, ""), "", 'Internal Career (Last Position)'!$O412)</f>
        <v>164000000000409</v>
      </c>
      <c r="C412" s="37">
        <f>IF(EXACT('Internal Career (Last Position)'!$O412, ""), "", 'Internal Career (Last Position)'!$B412)</f>
        <v>32000000000409</v>
      </c>
      <c r="D412" s="38" t="str">
        <f>IF(EXACT('Internal Career (Last Position)'!$O412, ""), "", 'Internal Career (Last Position)'!$C412)</f>
        <v>Subagio</v>
      </c>
    </row>
    <row r="413" spans="2:4" x14ac:dyDescent="0.2">
      <c r="B413" s="11">
        <f>IF(EXACT('Internal Career (Last Position)'!$O413, ""), "", 'Internal Career (Last Position)'!$O413)</f>
        <v>164000000000410</v>
      </c>
      <c r="C413" s="37">
        <f>IF(EXACT('Internal Career (Last Position)'!$O413, ""), "", 'Internal Career (Last Position)'!$B413)</f>
        <v>32000000000410</v>
      </c>
      <c r="D413" s="38" t="str">
        <f>IF(EXACT('Internal Career (Last Position)'!$O413, ""), "", 'Internal Career (Last Position)'!$C413)</f>
        <v>Suci Mardiana</v>
      </c>
    </row>
    <row r="414" spans="2:4" x14ac:dyDescent="0.2">
      <c r="B414" s="11">
        <f>IF(EXACT('Internal Career (Last Position)'!$O414, ""), "", 'Internal Career (Last Position)'!$O414)</f>
        <v>164000000000411</v>
      </c>
      <c r="C414" s="37">
        <f>IF(EXACT('Internal Career (Last Position)'!$O414, ""), "", 'Internal Career (Last Position)'!$B414)</f>
        <v>32000000000411</v>
      </c>
      <c r="D414" s="38" t="str">
        <f>IF(EXACT('Internal Career (Last Position)'!$O414, ""), "", 'Internal Career (Last Position)'!$C414)</f>
        <v>Suci Rachma Sari</v>
      </c>
    </row>
    <row r="415" spans="2:4" x14ac:dyDescent="0.2">
      <c r="B415" s="11">
        <f>IF(EXACT('Internal Career (Last Position)'!$O415, ""), "", 'Internal Career (Last Position)'!$O415)</f>
        <v>164000000000412</v>
      </c>
      <c r="C415" s="37">
        <f>IF(EXACT('Internal Career (Last Position)'!$O415, ""), "", 'Internal Career (Last Position)'!$B415)</f>
        <v>32000000000412</v>
      </c>
      <c r="D415" s="38" t="str">
        <f>IF(EXACT('Internal Career (Last Position)'!$O415, ""), "", 'Internal Career (Last Position)'!$C415)</f>
        <v>Sudarlan</v>
      </c>
    </row>
    <row r="416" spans="2:4" x14ac:dyDescent="0.2">
      <c r="B416" s="11">
        <f>IF(EXACT('Internal Career (Last Position)'!$O416, ""), "", 'Internal Career (Last Position)'!$O416)</f>
        <v>164000000000413</v>
      </c>
      <c r="C416" s="37">
        <f>IF(EXACT('Internal Career (Last Position)'!$O416, ""), "", 'Internal Career (Last Position)'!$B416)</f>
        <v>32000000000413</v>
      </c>
      <c r="D416" s="38" t="str">
        <f>IF(EXACT('Internal Career (Last Position)'!$O416, ""), "", 'Internal Career (Last Position)'!$C416)</f>
        <v>Sufie Amalia</v>
      </c>
    </row>
    <row r="417" spans="2:4" x14ac:dyDescent="0.2">
      <c r="B417" s="11">
        <f>IF(EXACT('Internal Career (Last Position)'!$O417, ""), "", 'Internal Career (Last Position)'!$O417)</f>
        <v>164000000000414</v>
      </c>
      <c r="C417" s="37">
        <f>IF(EXACT('Internal Career (Last Position)'!$O417, ""), "", 'Internal Career (Last Position)'!$B417)</f>
        <v>32000000000414</v>
      </c>
      <c r="D417" s="38" t="str">
        <f>IF(EXACT('Internal Career (Last Position)'!$O417, ""), "", 'Internal Career (Last Position)'!$C417)</f>
        <v>Sugeng Ismanto</v>
      </c>
    </row>
    <row r="418" spans="2:4" x14ac:dyDescent="0.2">
      <c r="B418" s="11">
        <f>IF(EXACT('Internal Career (Last Position)'!$O418, ""), "", 'Internal Career (Last Position)'!$O418)</f>
        <v>164000000000415</v>
      </c>
      <c r="C418" s="37">
        <f>IF(EXACT('Internal Career (Last Position)'!$O418, ""), "", 'Internal Career (Last Position)'!$B418)</f>
        <v>32000000000415</v>
      </c>
      <c r="D418" s="38" t="str">
        <f>IF(EXACT('Internal Career (Last Position)'!$O418, ""), "", 'Internal Career (Last Position)'!$C418)</f>
        <v>Sugiarto</v>
      </c>
    </row>
    <row r="419" spans="2:4" x14ac:dyDescent="0.2">
      <c r="B419" s="11">
        <f>IF(EXACT('Internal Career (Last Position)'!$O419, ""), "", 'Internal Career (Last Position)'!$O419)</f>
        <v>164000000000416</v>
      </c>
      <c r="C419" s="37">
        <f>IF(EXACT('Internal Career (Last Position)'!$O419, ""), "", 'Internal Career (Last Position)'!$B419)</f>
        <v>32000000000416</v>
      </c>
      <c r="D419" s="38" t="str">
        <f>IF(EXACT('Internal Career (Last Position)'!$O419, ""), "", 'Internal Career (Last Position)'!$C419)</f>
        <v>Sulih</v>
      </c>
    </row>
    <row r="420" spans="2:4" x14ac:dyDescent="0.2">
      <c r="B420" s="11">
        <f>IF(EXACT('Internal Career (Last Position)'!$O420, ""), "", 'Internal Career (Last Position)'!$O420)</f>
        <v>164000000000417</v>
      </c>
      <c r="C420" s="37">
        <f>IF(EXACT('Internal Career (Last Position)'!$O420, ""), "", 'Internal Career (Last Position)'!$B420)</f>
        <v>32000000000417</v>
      </c>
      <c r="D420" s="38" t="str">
        <f>IF(EXACT('Internal Career (Last Position)'!$O420, ""), "", 'Internal Career (Last Position)'!$C420)</f>
        <v>Sumadi</v>
      </c>
    </row>
    <row r="421" spans="2:4" x14ac:dyDescent="0.2">
      <c r="B421" s="11">
        <f>IF(EXACT('Internal Career (Last Position)'!$O421, ""), "", 'Internal Career (Last Position)'!$O421)</f>
        <v>164000000000418</v>
      </c>
      <c r="C421" s="37">
        <f>IF(EXACT('Internal Career (Last Position)'!$O421, ""), "", 'Internal Career (Last Position)'!$B421)</f>
        <v>32000000000418</v>
      </c>
      <c r="D421" s="38" t="str">
        <f>IF(EXACT('Internal Career (Last Position)'!$O421, ""), "", 'Internal Career (Last Position)'!$C421)</f>
        <v>Sumirat</v>
      </c>
    </row>
    <row r="422" spans="2:4" x14ac:dyDescent="0.2">
      <c r="B422" s="11">
        <f>IF(EXACT('Internal Career (Last Position)'!$O422, ""), "", 'Internal Career (Last Position)'!$O422)</f>
        <v>164000000000419</v>
      </c>
      <c r="C422" s="37">
        <f>IF(EXACT('Internal Career (Last Position)'!$O422, ""), "", 'Internal Career (Last Position)'!$B422)</f>
        <v>32000000000419</v>
      </c>
      <c r="D422" s="38" t="str">
        <f>IF(EXACT('Internal Career (Last Position)'!$O422, ""), "", 'Internal Career (Last Position)'!$C422)</f>
        <v>Sunaryati</v>
      </c>
    </row>
    <row r="423" spans="2:4" x14ac:dyDescent="0.2">
      <c r="B423" s="11">
        <f>IF(EXACT('Internal Career (Last Position)'!$O423, ""), "", 'Internal Career (Last Position)'!$O423)</f>
        <v>164000000000420</v>
      </c>
      <c r="C423" s="37">
        <f>IF(EXACT('Internal Career (Last Position)'!$O423, ""), "", 'Internal Career (Last Position)'!$B423)</f>
        <v>32000000000420</v>
      </c>
      <c r="D423" s="38" t="str">
        <f>IF(EXACT('Internal Career (Last Position)'!$O423, ""), "", 'Internal Career (Last Position)'!$C423)</f>
        <v>Supriyadi</v>
      </c>
    </row>
    <row r="424" spans="2:4" x14ac:dyDescent="0.2">
      <c r="B424" s="11">
        <f>IF(EXACT('Internal Career (Last Position)'!$O424, ""), "", 'Internal Career (Last Position)'!$O424)</f>
        <v>164000000000421</v>
      </c>
      <c r="C424" s="37">
        <f>IF(EXACT('Internal Career (Last Position)'!$O424, ""), "", 'Internal Career (Last Position)'!$B424)</f>
        <v>32000000000421</v>
      </c>
      <c r="D424" s="38" t="str">
        <f>IF(EXACT('Internal Career (Last Position)'!$O424, ""), "", 'Internal Career (Last Position)'!$C424)</f>
        <v>Suriono Suriono</v>
      </c>
    </row>
    <row r="425" spans="2:4" x14ac:dyDescent="0.2">
      <c r="B425" s="11">
        <f>IF(EXACT('Internal Career (Last Position)'!$O425, ""), "", 'Internal Career (Last Position)'!$O425)</f>
        <v>164000000000422</v>
      </c>
      <c r="C425" s="37">
        <f>IF(EXACT('Internal Career (Last Position)'!$O425, ""), "", 'Internal Career (Last Position)'!$B425)</f>
        <v>32000000000422</v>
      </c>
      <c r="D425" s="38" t="str">
        <f>IF(EXACT('Internal Career (Last Position)'!$O425, ""), "", 'Internal Career (Last Position)'!$C425)</f>
        <v>Surono</v>
      </c>
    </row>
    <row r="426" spans="2:4" x14ac:dyDescent="0.2">
      <c r="B426" s="11">
        <f>IF(EXACT('Internal Career (Last Position)'!$O426, ""), "", 'Internal Career (Last Position)'!$O426)</f>
        <v>164000000000423</v>
      </c>
      <c r="C426" s="37">
        <f>IF(EXACT('Internal Career (Last Position)'!$O426, ""), "", 'Internal Career (Last Position)'!$B426)</f>
        <v>32000000000423</v>
      </c>
      <c r="D426" s="38" t="str">
        <f>IF(EXACT('Internal Career (Last Position)'!$O426, ""), "", 'Internal Career (Last Position)'!$C426)</f>
        <v>Surtoyo Syukri</v>
      </c>
    </row>
    <row r="427" spans="2:4" x14ac:dyDescent="0.2">
      <c r="B427" s="11">
        <f>IF(EXACT('Internal Career (Last Position)'!$O427, ""), "", 'Internal Career (Last Position)'!$O427)</f>
        <v>164000000000424</v>
      </c>
      <c r="C427" s="37">
        <f>IF(EXACT('Internal Career (Last Position)'!$O427, ""), "", 'Internal Career (Last Position)'!$B427)</f>
        <v>32000000000424</v>
      </c>
      <c r="D427" s="38" t="str">
        <f>IF(EXACT('Internal Career (Last Position)'!$O427, ""), "", 'Internal Career (Last Position)'!$C427)</f>
        <v>Suryadi</v>
      </c>
    </row>
    <row r="428" spans="2:4" x14ac:dyDescent="0.2">
      <c r="B428" s="11">
        <f>IF(EXACT('Internal Career (Last Position)'!$O428, ""), "", 'Internal Career (Last Position)'!$O428)</f>
        <v>164000000000425</v>
      </c>
      <c r="C428" s="37">
        <f>IF(EXACT('Internal Career (Last Position)'!$O428, ""), "", 'Internal Career (Last Position)'!$B428)</f>
        <v>32000000000425</v>
      </c>
      <c r="D428" s="38" t="str">
        <f>IF(EXACT('Internal Career (Last Position)'!$O428, ""), "", 'Internal Career (Last Position)'!$C428)</f>
        <v>Susilawati</v>
      </c>
    </row>
    <row r="429" spans="2:4" x14ac:dyDescent="0.2">
      <c r="B429" s="11">
        <f>IF(EXACT('Internal Career (Last Position)'!$O429, ""), "", 'Internal Career (Last Position)'!$O429)</f>
        <v>164000000000426</v>
      </c>
      <c r="C429" s="37">
        <f>IF(EXACT('Internal Career (Last Position)'!$O429, ""), "", 'Internal Career (Last Position)'!$B429)</f>
        <v>32000000000426</v>
      </c>
      <c r="D429" s="38" t="str">
        <f>IF(EXACT('Internal Career (Last Position)'!$O429, ""), "", 'Internal Career (Last Position)'!$C429)</f>
        <v>Sutarno</v>
      </c>
    </row>
    <row r="430" spans="2:4" x14ac:dyDescent="0.2">
      <c r="B430" s="11">
        <f>IF(EXACT('Internal Career (Last Position)'!$O430, ""), "", 'Internal Career (Last Position)'!$O430)</f>
        <v>164000000000427</v>
      </c>
      <c r="C430" s="37">
        <f>IF(EXACT('Internal Career (Last Position)'!$O430, ""), "", 'Internal Career (Last Position)'!$B430)</f>
        <v>32000000000427</v>
      </c>
      <c r="D430" s="38" t="str">
        <f>IF(EXACT('Internal Career (Last Position)'!$O430, ""), "", 'Internal Career (Last Position)'!$C430)</f>
        <v>Sutra Riandi</v>
      </c>
    </row>
    <row r="431" spans="2:4" x14ac:dyDescent="0.2">
      <c r="B431" s="11">
        <f>IF(EXACT('Internal Career (Last Position)'!$O431, ""), "", 'Internal Career (Last Position)'!$O431)</f>
        <v>164000000000428</v>
      </c>
      <c r="C431" s="37">
        <f>IF(EXACT('Internal Career (Last Position)'!$O431, ""), "", 'Internal Career (Last Position)'!$B431)</f>
        <v>32000000000428</v>
      </c>
      <c r="D431" s="38" t="str">
        <f>IF(EXACT('Internal Career (Last Position)'!$O431, ""), "", 'Internal Career (Last Position)'!$C431)</f>
        <v>Suyanto</v>
      </c>
    </row>
    <row r="432" spans="2:4" x14ac:dyDescent="0.2">
      <c r="B432" s="11">
        <f>IF(EXACT('Internal Career (Last Position)'!$O432, ""), "", 'Internal Career (Last Position)'!$O432)</f>
        <v>164000000000429</v>
      </c>
      <c r="C432" s="37">
        <f>IF(EXACT('Internal Career (Last Position)'!$O432, ""), "", 'Internal Career (Last Position)'!$B432)</f>
        <v>32000000000429</v>
      </c>
      <c r="D432" s="38" t="str">
        <f>IF(EXACT('Internal Career (Last Position)'!$O432, ""), "", 'Internal Career (Last Position)'!$C432)</f>
        <v>Swar Jono</v>
      </c>
    </row>
    <row r="433" spans="2:4" x14ac:dyDescent="0.2">
      <c r="B433" s="11">
        <f>IF(EXACT('Internal Career (Last Position)'!$O433, ""), "", 'Internal Career (Last Position)'!$O433)</f>
        <v>164000000000430</v>
      </c>
      <c r="C433" s="37">
        <f>IF(EXACT('Internal Career (Last Position)'!$O433, ""), "", 'Internal Career (Last Position)'!$B433)</f>
        <v>32000000000430</v>
      </c>
      <c r="D433" s="38" t="str">
        <f>IF(EXACT('Internal Career (Last Position)'!$O433, ""), "", 'Internal Career (Last Position)'!$C433)</f>
        <v>Syafruddin</v>
      </c>
    </row>
    <row r="434" spans="2:4" x14ac:dyDescent="0.2">
      <c r="B434" s="11">
        <f>IF(EXACT('Internal Career (Last Position)'!$O434, ""), "", 'Internal Career (Last Position)'!$O434)</f>
        <v>164000000000431</v>
      </c>
      <c r="C434" s="37">
        <f>IF(EXACT('Internal Career (Last Position)'!$O434, ""), "", 'Internal Career (Last Position)'!$B434)</f>
        <v>32000000000431</v>
      </c>
      <c r="D434" s="38" t="str">
        <f>IF(EXACT('Internal Career (Last Position)'!$O434, ""), "", 'Internal Career (Last Position)'!$C434)</f>
        <v>Syafrudin Machmud</v>
      </c>
    </row>
    <row r="435" spans="2:4" x14ac:dyDescent="0.2">
      <c r="B435" s="11">
        <f>IF(EXACT('Internal Career (Last Position)'!$O435, ""), "", 'Internal Career (Last Position)'!$O435)</f>
        <v>164000000000432</v>
      </c>
      <c r="C435" s="37">
        <f>IF(EXACT('Internal Career (Last Position)'!$O435, ""), "", 'Internal Career (Last Position)'!$B435)</f>
        <v>32000000000432</v>
      </c>
      <c r="D435" s="38" t="str">
        <f>IF(EXACT('Internal Career (Last Position)'!$O435, ""), "", 'Internal Career (Last Position)'!$C435)</f>
        <v>Syahrizal</v>
      </c>
    </row>
    <row r="436" spans="2:4" x14ac:dyDescent="0.2">
      <c r="B436" s="11">
        <f>IF(EXACT('Internal Career (Last Position)'!$O436, ""), "", 'Internal Career (Last Position)'!$O436)</f>
        <v>164000000000433</v>
      </c>
      <c r="C436" s="37">
        <f>IF(EXACT('Internal Career (Last Position)'!$O436, ""), "", 'Internal Career (Last Position)'!$B436)</f>
        <v>32000000000433</v>
      </c>
      <c r="D436" s="38" t="str">
        <f>IF(EXACT('Internal Career (Last Position)'!$O436, ""), "", 'Internal Career (Last Position)'!$C436)</f>
        <v>Syaiful Idjam</v>
      </c>
    </row>
    <row r="437" spans="2:4" x14ac:dyDescent="0.2">
      <c r="B437" s="11">
        <f>IF(EXACT('Internal Career (Last Position)'!$O437, ""), "", 'Internal Career (Last Position)'!$O437)</f>
        <v>164000000000434</v>
      </c>
      <c r="C437" s="37">
        <f>IF(EXACT('Internal Career (Last Position)'!$O437, ""), "", 'Internal Career (Last Position)'!$B437)</f>
        <v>32000000000434</v>
      </c>
      <c r="D437" s="38" t="str">
        <f>IF(EXACT('Internal Career (Last Position)'!$O437, ""), "", 'Internal Career (Last Position)'!$C437)</f>
        <v>Tajuddin Assubki Ismail</v>
      </c>
    </row>
    <row r="438" spans="2:4" x14ac:dyDescent="0.2">
      <c r="B438" s="11">
        <f>IF(EXACT('Internal Career (Last Position)'!$O438, ""), "", 'Internal Career (Last Position)'!$O438)</f>
        <v>164000000000435</v>
      </c>
      <c r="C438" s="37">
        <f>IF(EXACT('Internal Career (Last Position)'!$O438, ""), "", 'Internal Career (Last Position)'!$B438)</f>
        <v>32000000000435</v>
      </c>
      <c r="D438" s="38" t="str">
        <f>IF(EXACT('Internal Career (Last Position)'!$O438, ""), "", 'Internal Career (Last Position)'!$C438)</f>
        <v>Taslim</v>
      </c>
    </row>
    <row r="439" spans="2:4" x14ac:dyDescent="0.2">
      <c r="B439" s="11">
        <f>IF(EXACT('Internal Career (Last Position)'!$O439, ""), "", 'Internal Career (Last Position)'!$O439)</f>
        <v>164000000000436</v>
      </c>
      <c r="C439" s="37">
        <f>IF(EXACT('Internal Career (Last Position)'!$O439, ""), "", 'Internal Career (Last Position)'!$B439)</f>
        <v>32000000000436</v>
      </c>
      <c r="D439" s="38" t="str">
        <f>IF(EXACT('Internal Career (Last Position)'!$O439, ""), "", 'Internal Career (Last Position)'!$C439)</f>
        <v>Taufik Mulia Pane</v>
      </c>
    </row>
    <row r="440" spans="2:4" x14ac:dyDescent="0.2">
      <c r="B440" s="11">
        <f>IF(EXACT('Internal Career (Last Position)'!$O440, ""), "", 'Internal Career (Last Position)'!$O440)</f>
        <v>164000000000437</v>
      </c>
      <c r="C440" s="37">
        <f>IF(EXACT('Internal Career (Last Position)'!$O440, ""), "", 'Internal Career (Last Position)'!$B440)</f>
        <v>32000000000437</v>
      </c>
      <c r="D440" s="38" t="str">
        <f>IF(EXACT('Internal Career (Last Position)'!$O440, ""), "", 'Internal Career (Last Position)'!$C440)</f>
        <v>Tedy Harseno</v>
      </c>
    </row>
    <row r="441" spans="2:4" x14ac:dyDescent="0.2">
      <c r="B441" s="11">
        <f>IF(EXACT('Internal Career (Last Position)'!$O441, ""), "", 'Internal Career (Last Position)'!$O441)</f>
        <v>164000000000438</v>
      </c>
      <c r="C441" s="37">
        <f>IF(EXACT('Internal Career (Last Position)'!$O441, ""), "", 'Internal Career (Last Position)'!$B441)</f>
        <v>32000000000438</v>
      </c>
      <c r="D441" s="38" t="str">
        <f>IF(EXACT('Internal Career (Last Position)'!$O441, ""), "", 'Internal Career (Last Position)'!$C441)</f>
        <v>Teguh Joko Pamuji</v>
      </c>
    </row>
    <row r="442" spans="2:4" x14ac:dyDescent="0.2">
      <c r="B442" s="11">
        <f>IF(EXACT('Internal Career (Last Position)'!$O442, ""), "", 'Internal Career (Last Position)'!$O442)</f>
        <v>164000000000439</v>
      </c>
      <c r="C442" s="37">
        <f>IF(EXACT('Internal Career (Last Position)'!$O442, ""), "", 'Internal Career (Last Position)'!$B442)</f>
        <v>32000000000439</v>
      </c>
      <c r="D442" s="38" t="str">
        <f>IF(EXACT('Internal Career (Last Position)'!$O442, ""), "", 'Internal Career (Last Position)'!$C442)</f>
        <v>Teguh Pratama Januzir Sukin</v>
      </c>
    </row>
    <row r="443" spans="2:4" x14ac:dyDescent="0.2">
      <c r="B443" s="11">
        <f>IF(EXACT('Internal Career (Last Position)'!$O443, ""), "", 'Internal Career (Last Position)'!$O443)</f>
        <v>164000000000440</v>
      </c>
      <c r="C443" s="37">
        <f>IF(EXACT('Internal Career (Last Position)'!$O443, ""), "", 'Internal Career (Last Position)'!$B443)</f>
        <v>32000000000440</v>
      </c>
      <c r="D443" s="38" t="str">
        <f>IF(EXACT('Internal Career (Last Position)'!$O443, ""), "", 'Internal Career (Last Position)'!$C443)</f>
        <v>Teguh Susanto</v>
      </c>
    </row>
    <row r="444" spans="2:4" x14ac:dyDescent="0.2">
      <c r="B444" s="11">
        <f>IF(EXACT('Internal Career (Last Position)'!$O444, ""), "", 'Internal Career (Last Position)'!$O444)</f>
        <v>164000000000441</v>
      </c>
      <c r="C444" s="37">
        <f>IF(EXACT('Internal Career (Last Position)'!$O444, ""), "", 'Internal Career (Last Position)'!$B444)</f>
        <v>32000000000441</v>
      </c>
      <c r="D444" s="38" t="str">
        <f>IF(EXACT('Internal Career (Last Position)'!$O444, ""), "", 'Internal Career (Last Position)'!$C444)</f>
        <v>Tenri Sumange</v>
      </c>
    </row>
    <row r="445" spans="2:4" x14ac:dyDescent="0.2">
      <c r="B445" s="11">
        <f>IF(EXACT('Internal Career (Last Position)'!$O445, ""), "", 'Internal Career (Last Position)'!$O445)</f>
        <v>164000000000442</v>
      </c>
      <c r="C445" s="37">
        <f>IF(EXACT('Internal Career (Last Position)'!$O445, ""), "", 'Internal Career (Last Position)'!$B445)</f>
        <v>32000000000442</v>
      </c>
      <c r="D445" s="38" t="str">
        <f>IF(EXACT('Internal Career (Last Position)'!$O445, ""), "", 'Internal Career (Last Position)'!$C445)</f>
        <v>Teuku Zulkifli</v>
      </c>
    </row>
    <row r="446" spans="2:4" x14ac:dyDescent="0.2">
      <c r="B446" s="11">
        <f>IF(EXACT('Internal Career (Last Position)'!$O446, ""), "", 'Internal Career (Last Position)'!$O446)</f>
        <v>164000000000443</v>
      </c>
      <c r="C446" s="37">
        <f>IF(EXACT('Internal Career (Last Position)'!$O446, ""), "", 'Internal Career (Last Position)'!$B446)</f>
        <v>32000000000443</v>
      </c>
      <c r="D446" s="38" t="str">
        <f>IF(EXACT('Internal Career (Last Position)'!$O446, ""), "", 'Internal Career (Last Position)'!$C446)</f>
        <v>Tiara Kemalasari</v>
      </c>
    </row>
    <row r="447" spans="2:4" x14ac:dyDescent="0.2">
      <c r="B447" s="11">
        <f>IF(EXACT('Internal Career (Last Position)'!$O447, ""), "", 'Internal Career (Last Position)'!$O447)</f>
        <v>164000000000444</v>
      </c>
      <c r="C447" s="37">
        <f>IF(EXACT('Internal Career (Last Position)'!$O447, ""), "", 'Internal Career (Last Position)'!$B447)</f>
        <v>32000000000444</v>
      </c>
      <c r="D447" s="38" t="str">
        <f>IF(EXACT('Internal Career (Last Position)'!$O447, ""), "", 'Internal Career (Last Position)'!$C447)</f>
        <v>Tjhang Linawati</v>
      </c>
    </row>
    <row r="448" spans="2:4" x14ac:dyDescent="0.2">
      <c r="B448" s="11">
        <f>IF(EXACT('Internal Career (Last Position)'!$O448, ""), "", 'Internal Career (Last Position)'!$O448)</f>
        <v>164000000000445</v>
      </c>
      <c r="C448" s="37">
        <f>IF(EXACT('Internal Career (Last Position)'!$O448, ""), "", 'Internal Career (Last Position)'!$B448)</f>
        <v>32000000000445</v>
      </c>
      <c r="D448" s="38" t="str">
        <f>IF(EXACT('Internal Career (Last Position)'!$O448, ""), "", 'Internal Career (Last Position)'!$C448)</f>
        <v>Totok Kristianto</v>
      </c>
    </row>
    <row r="449" spans="2:4" x14ac:dyDescent="0.2">
      <c r="B449" s="11">
        <f>IF(EXACT('Internal Career (Last Position)'!$O449, ""), "", 'Internal Career (Last Position)'!$O449)</f>
        <v>164000000000446</v>
      </c>
      <c r="C449" s="37">
        <f>IF(EXACT('Internal Career (Last Position)'!$O449, ""), "", 'Internal Career (Last Position)'!$B449)</f>
        <v>32000000000446</v>
      </c>
      <c r="D449" s="38" t="str">
        <f>IF(EXACT('Internal Career (Last Position)'!$O449, ""), "", 'Internal Career (Last Position)'!$C449)</f>
        <v>Tri Aji</v>
      </c>
    </row>
    <row r="450" spans="2:4" x14ac:dyDescent="0.2">
      <c r="B450" s="11">
        <f>IF(EXACT('Internal Career (Last Position)'!$O450, ""), "", 'Internal Career (Last Position)'!$O450)</f>
        <v>164000000000447</v>
      </c>
      <c r="C450" s="37">
        <f>IF(EXACT('Internal Career (Last Position)'!$O450, ""), "", 'Internal Career (Last Position)'!$B450)</f>
        <v>32000000000447</v>
      </c>
      <c r="D450" s="38" t="str">
        <f>IF(EXACT('Internal Career (Last Position)'!$O450, ""), "", 'Internal Career (Last Position)'!$C450)</f>
        <v>Tri M. Saputra</v>
      </c>
    </row>
    <row r="451" spans="2:4" x14ac:dyDescent="0.2">
      <c r="B451" s="11">
        <f>IF(EXACT('Internal Career (Last Position)'!$O451, ""), "", 'Internal Career (Last Position)'!$O451)</f>
        <v>164000000000448</v>
      </c>
      <c r="C451" s="37">
        <f>IF(EXACT('Internal Career (Last Position)'!$O451, ""), "", 'Internal Career (Last Position)'!$B451)</f>
        <v>32000000000448</v>
      </c>
      <c r="D451" s="38" t="str">
        <f>IF(EXACT('Internal Career (Last Position)'!$O451, ""), "", 'Internal Career (Last Position)'!$C451)</f>
        <v>Triani Irma</v>
      </c>
    </row>
    <row r="452" spans="2:4" x14ac:dyDescent="0.2">
      <c r="B452" s="11">
        <f>IF(EXACT('Internal Career (Last Position)'!$O452, ""), "", 'Internal Career (Last Position)'!$O452)</f>
        <v>164000000000449</v>
      </c>
      <c r="C452" s="37">
        <f>IF(EXACT('Internal Career (Last Position)'!$O452, ""), "", 'Internal Career (Last Position)'!$B452)</f>
        <v>32000000000449</v>
      </c>
      <c r="D452" s="38" t="str">
        <f>IF(EXACT('Internal Career (Last Position)'!$O452, ""), "", 'Internal Career (Last Position)'!$C452)</f>
        <v>Trisyanto</v>
      </c>
    </row>
    <row r="453" spans="2:4" x14ac:dyDescent="0.2">
      <c r="B453" s="11">
        <f>IF(EXACT('Internal Career (Last Position)'!$O453, ""), "", 'Internal Career (Last Position)'!$O453)</f>
        <v>164000000000450</v>
      </c>
      <c r="C453" s="37">
        <f>IF(EXACT('Internal Career (Last Position)'!$O453, ""), "", 'Internal Career (Last Position)'!$B453)</f>
        <v>32000000000450</v>
      </c>
      <c r="D453" s="38" t="str">
        <f>IF(EXACT('Internal Career (Last Position)'!$O453, ""), "", 'Internal Career (Last Position)'!$C453)</f>
        <v>Triwiarti Dibya</v>
      </c>
    </row>
    <row r="454" spans="2:4" x14ac:dyDescent="0.2">
      <c r="B454" s="11">
        <f>IF(EXACT('Internal Career (Last Position)'!$O454, ""), "", 'Internal Career (Last Position)'!$O454)</f>
        <v>164000000000451</v>
      </c>
      <c r="C454" s="37">
        <f>IF(EXACT('Internal Career (Last Position)'!$O454, ""), "", 'Internal Career (Last Position)'!$B454)</f>
        <v>32000000000451</v>
      </c>
      <c r="D454" s="38" t="str">
        <f>IF(EXACT('Internal Career (Last Position)'!$O454, ""), "", 'Internal Career (Last Position)'!$C454)</f>
        <v>Triyono</v>
      </c>
    </row>
    <row r="455" spans="2:4" x14ac:dyDescent="0.2">
      <c r="B455" s="11">
        <f>IF(EXACT('Internal Career (Last Position)'!$O455, ""), "", 'Internal Career (Last Position)'!$O455)</f>
        <v>164000000000452</v>
      </c>
      <c r="C455" s="37">
        <f>IF(EXACT('Internal Career (Last Position)'!$O455, ""), "", 'Internal Career (Last Position)'!$B455)</f>
        <v>32000000000452</v>
      </c>
      <c r="D455" s="38" t="str">
        <f>IF(EXACT('Internal Career (Last Position)'!$O455, ""), "", 'Internal Career (Last Position)'!$C455)</f>
        <v>Turita Pramuning Marantina</v>
      </c>
    </row>
    <row r="456" spans="2:4" x14ac:dyDescent="0.2">
      <c r="B456" s="11">
        <f>IF(EXACT('Internal Career (Last Position)'!$O456, ""), "", 'Internal Career (Last Position)'!$O456)</f>
        <v>164000000000453</v>
      </c>
      <c r="C456" s="37">
        <f>IF(EXACT('Internal Career (Last Position)'!$O456, ""), "", 'Internal Career (Last Position)'!$B456)</f>
        <v>32000000000453</v>
      </c>
      <c r="D456" s="38" t="str">
        <f>IF(EXACT('Internal Career (Last Position)'!$O456, ""), "", 'Internal Career (Last Position)'!$C456)</f>
        <v>Tutus Ary</v>
      </c>
    </row>
    <row r="457" spans="2:4" x14ac:dyDescent="0.2">
      <c r="B457" s="11">
        <f>IF(EXACT('Internal Career (Last Position)'!$O457, ""), "", 'Internal Career (Last Position)'!$O457)</f>
        <v>164000000000454</v>
      </c>
      <c r="C457" s="37">
        <f>IF(EXACT('Internal Career (Last Position)'!$O457, ""), "", 'Internal Career (Last Position)'!$B457)</f>
        <v>32000000000454</v>
      </c>
      <c r="D457" s="38" t="str">
        <f>IF(EXACT('Internal Career (Last Position)'!$O457, ""), "", 'Internal Career (Last Position)'!$C457)</f>
        <v>Ubaidillah</v>
      </c>
    </row>
    <row r="458" spans="2:4" x14ac:dyDescent="0.2">
      <c r="B458" s="11">
        <f>IF(EXACT('Internal Career (Last Position)'!$O458, ""), "", 'Internal Career (Last Position)'!$O458)</f>
        <v>164000000000455</v>
      </c>
      <c r="C458" s="37">
        <f>IF(EXACT('Internal Career (Last Position)'!$O458, ""), "", 'Internal Career (Last Position)'!$B458)</f>
        <v>32000000000455</v>
      </c>
      <c r="D458" s="38" t="str">
        <f>IF(EXACT('Internal Career (Last Position)'!$O458, ""), "", 'Internal Career (Last Position)'!$C458)</f>
        <v>Ujang Barma</v>
      </c>
    </row>
    <row r="459" spans="2:4" x14ac:dyDescent="0.2">
      <c r="B459" s="11">
        <f>IF(EXACT('Internal Career (Last Position)'!$O459, ""), "", 'Internal Career (Last Position)'!$O459)</f>
        <v>164000000000456</v>
      </c>
      <c r="C459" s="37">
        <f>IF(EXACT('Internal Career (Last Position)'!$O459, ""), "", 'Internal Career (Last Position)'!$B459)</f>
        <v>32000000000456</v>
      </c>
      <c r="D459" s="38" t="str">
        <f>IF(EXACT('Internal Career (Last Position)'!$O459, ""), "", 'Internal Career (Last Position)'!$C459)</f>
        <v>Ujang Suryana</v>
      </c>
    </row>
    <row r="460" spans="2:4" x14ac:dyDescent="0.2">
      <c r="B460" s="11">
        <f>IF(EXACT('Internal Career (Last Position)'!$O460, ""), "", 'Internal Career (Last Position)'!$O460)</f>
        <v>164000000000457</v>
      </c>
      <c r="C460" s="37">
        <f>IF(EXACT('Internal Career (Last Position)'!$O460, ""), "", 'Internal Career (Last Position)'!$B460)</f>
        <v>32000000000457</v>
      </c>
      <c r="D460" s="38" t="str">
        <f>IF(EXACT('Internal Career (Last Position)'!$O460, ""), "", 'Internal Career (Last Position)'!$C460)</f>
        <v>Ulman Juanda</v>
      </c>
    </row>
    <row r="461" spans="2:4" x14ac:dyDescent="0.2">
      <c r="B461" s="11">
        <f>IF(EXACT('Internal Career (Last Position)'!$O461, ""), "", 'Internal Career (Last Position)'!$O461)</f>
        <v>164000000000458</v>
      </c>
      <c r="C461" s="37">
        <f>IF(EXACT('Internal Career (Last Position)'!$O461, ""), "", 'Internal Career (Last Position)'!$B461)</f>
        <v>32000000000458</v>
      </c>
      <c r="D461" s="38" t="str">
        <f>IF(EXACT('Internal Career (Last Position)'!$O461, ""), "", 'Internal Career (Last Position)'!$C461)</f>
        <v>Urbanus Boimau</v>
      </c>
    </row>
    <row r="462" spans="2:4" x14ac:dyDescent="0.2">
      <c r="B462" s="11">
        <f>IF(EXACT('Internal Career (Last Position)'!$O462, ""), "", 'Internal Career (Last Position)'!$O462)</f>
        <v>164000000000459</v>
      </c>
      <c r="C462" s="37">
        <f>IF(EXACT('Internal Career (Last Position)'!$O462, ""), "", 'Internal Career (Last Position)'!$B462)</f>
        <v>32000000000459</v>
      </c>
      <c r="D462" s="38" t="str">
        <f>IF(EXACT('Internal Career (Last Position)'!$O462, ""), "", 'Internal Career (Last Position)'!$C462)</f>
        <v>Uswatun Hasamah</v>
      </c>
    </row>
    <row r="463" spans="2:4" x14ac:dyDescent="0.2">
      <c r="B463" s="11">
        <f>IF(EXACT('Internal Career (Last Position)'!$O463, ""), "", 'Internal Career (Last Position)'!$O463)</f>
        <v>164000000000460</v>
      </c>
      <c r="C463" s="37">
        <f>IF(EXACT('Internal Career (Last Position)'!$O463, ""), "", 'Internal Career (Last Position)'!$B463)</f>
        <v>32000000000460</v>
      </c>
      <c r="D463" s="38" t="str">
        <f>IF(EXACT('Internal Career (Last Position)'!$O463, ""), "", 'Internal Career (Last Position)'!$C463)</f>
        <v>Uswatun Khasanah</v>
      </c>
    </row>
    <row r="464" spans="2:4" x14ac:dyDescent="0.2">
      <c r="B464" s="11">
        <f>IF(EXACT('Internal Career (Last Position)'!$O464, ""), "", 'Internal Career (Last Position)'!$O464)</f>
        <v>164000000000461</v>
      </c>
      <c r="C464" s="37">
        <f>IF(EXACT('Internal Career (Last Position)'!$O464, ""), "", 'Internal Career (Last Position)'!$B464)</f>
        <v>32000000000461</v>
      </c>
      <c r="D464" s="38" t="str">
        <f>IF(EXACT('Internal Career (Last Position)'!$O464, ""), "", 'Internal Career (Last Position)'!$C464)</f>
        <v>Utami Dewi</v>
      </c>
    </row>
    <row r="465" spans="2:4" x14ac:dyDescent="0.2">
      <c r="B465" s="11">
        <f>IF(EXACT('Internal Career (Last Position)'!$O465, ""), "", 'Internal Career (Last Position)'!$O465)</f>
        <v>164000000000462</v>
      </c>
      <c r="C465" s="37">
        <f>IF(EXACT('Internal Career (Last Position)'!$O465, ""), "", 'Internal Career (Last Position)'!$B465)</f>
        <v>32000000000462</v>
      </c>
      <c r="D465" s="38" t="str">
        <f>IF(EXACT('Internal Career (Last Position)'!$O465, ""), "", 'Internal Career (Last Position)'!$C465)</f>
        <v>Utanto</v>
      </c>
    </row>
    <row r="466" spans="2:4" x14ac:dyDescent="0.2">
      <c r="B466" s="11">
        <f>IF(EXACT('Internal Career (Last Position)'!$O466, ""), "", 'Internal Career (Last Position)'!$O466)</f>
        <v>164000000000463</v>
      </c>
      <c r="C466" s="37">
        <f>IF(EXACT('Internal Career (Last Position)'!$O466, ""), "", 'Internal Career (Last Position)'!$B466)</f>
        <v>32000000000463</v>
      </c>
      <c r="D466" s="38" t="str">
        <f>IF(EXACT('Internal Career (Last Position)'!$O466, ""), "", 'Internal Career (Last Position)'!$C466)</f>
        <v>Veradita Yulanda</v>
      </c>
    </row>
    <row r="467" spans="2:4" x14ac:dyDescent="0.2">
      <c r="B467" s="11">
        <f>IF(EXACT('Internal Career (Last Position)'!$O467, ""), "", 'Internal Career (Last Position)'!$O467)</f>
        <v>164000000000464</v>
      </c>
      <c r="C467" s="37">
        <f>IF(EXACT('Internal Career (Last Position)'!$O467, ""), "", 'Internal Career (Last Position)'!$B467)</f>
        <v>32000000000464</v>
      </c>
      <c r="D467" s="38" t="str">
        <f>IF(EXACT('Internal Career (Last Position)'!$O467, ""), "", 'Internal Career (Last Position)'!$C467)</f>
        <v>Vidhy Kartika Putri</v>
      </c>
    </row>
    <row r="468" spans="2:4" x14ac:dyDescent="0.2">
      <c r="B468" s="11">
        <f>IF(EXACT('Internal Career (Last Position)'!$O468, ""), "", 'Internal Career (Last Position)'!$O468)</f>
        <v>164000000000465</v>
      </c>
      <c r="C468" s="37">
        <f>IF(EXACT('Internal Career (Last Position)'!$O468, ""), "", 'Internal Career (Last Position)'!$B468)</f>
        <v>32000000000465</v>
      </c>
      <c r="D468" s="38" t="str">
        <f>IF(EXACT('Internal Career (Last Position)'!$O468, ""), "", 'Internal Career (Last Position)'!$C468)</f>
        <v>Vonny Agram</v>
      </c>
    </row>
    <row r="469" spans="2:4" x14ac:dyDescent="0.2">
      <c r="B469" s="11">
        <f>IF(EXACT('Internal Career (Last Position)'!$O469, ""), "", 'Internal Career (Last Position)'!$O469)</f>
        <v>164000000000466</v>
      </c>
      <c r="C469" s="37">
        <f>IF(EXACT('Internal Career (Last Position)'!$O469, ""), "", 'Internal Career (Last Position)'!$B469)</f>
        <v>32000000000466</v>
      </c>
      <c r="D469" s="38" t="str">
        <f>IF(EXACT('Internal Career (Last Position)'!$O469, ""), "", 'Internal Career (Last Position)'!$C469)</f>
        <v>Wahyu</v>
      </c>
    </row>
    <row r="470" spans="2:4" x14ac:dyDescent="0.2">
      <c r="B470" s="11">
        <f>IF(EXACT('Internal Career (Last Position)'!$O470, ""), "", 'Internal Career (Last Position)'!$O470)</f>
        <v>164000000000467</v>
      </c>
      <c r="C470" s="37">
        <f>IF(EXACT('Internal Career (Last Position)'!$O470, ""), "", 'Internal Career (Last Position)'!$B470)</f>
        <v>32000000000467</v>
      </c>
      <c r="D470" s="38" t="str">
        <f>IF(EXACT('Internal Career (Last Position)'!$O470, ""), "", 'Internal Career (Last Position)'!$C470)</f>
        <v>Wahyu Ramadhani</v>
      </c>
    </row>
    <row r="471" spans="2:4" x14ac:dyDescent="0.2">
      <c r="B471" s="11">
        <f>IF(EXACT('Internal Career (Last Position)'!$O471, ""), "", 'Internal Career (Last Position)'!$O471)</f>
        <v>164000000000468</v>
      </c>
      <c r="C471" s="37">
        <f>IF(EXACT('Internal Career (Last Position)'!$O471, ""), "", 'Internal Career (Last Position)'!$B471)</f>
        <v>32000000000468</v>
      </c>
      <c r="D471" s="38" t="str">
        <f>IF(EXACT('Internal Career (Last Position)'!$O471, ""), "", 'Internal Career (Last Position)'!$C471)</f>
        <v>Wahyu Widodo</v>
      </c>
    </row>
    <row r="472" spans="2:4" x14ac:dyDescent="0.2">
      <c r="B472" s="11">
        <f>IF(EXACT('Internal Career (Last Position)'!$O472, ""), "", 'Internal Career (Last Position)'!$O472)</f>
        <v>164000000000469</v>
      </c>
      <c r="C472" s="37">
        <f>IF(EXACT('Internal Career (Last Position)'!$O472, ""), "", 'Internal Career (Last Position)'!$B472)</f>
        <v>32000000000469</v>
      </c>
      <c r="D472" s="38" t="str">
        <f>IF(EXACT('Internal Career (Last Position)'!$O472, ""), "", 'Internal Career (Last Position)'!$C472)</f>
        <v>Warsito Edy Saputra</v>
      </c>
    </row>
    <row r="473" spans="2:4" x14ac:dyDescent="0.2">
      <c r="B473" s="11">
        <f>IF(EXACT('Internal Career (Last Position)'!$O473, ""), "", 'Internal Career (Last Position)'!$O473)</f>
        <v>164000000000470</v>
      </c>
      <c r="C473" s="37">
        <f>IF(EXACT('Internal Career (Last Position)'!$O473, ""), "", 'Internal Career (Last Position)'!$B473)</f>
        <v>32000000000470</v>
      </c>
      <c r="D473" s="38" t="str">
        <f>IF(EXACT('Internal Career (Last Position)'!$O473, ""), "", 'Internal Career (Last Position)'!$C473)</f>
        <v>Weldi Wimar</v>
      </c>
    </row>
    <row r="474" spans="2:4" x14ac:dyDescent="0.2">
      <c r="B474" s="11">
        <f>IF(EXACT('Internal Career (Last Position)'!$O474, ""), "", 'Internal Career (Last Position)'!$O474)</f>
        <v>164000000000471</v>
      </c>
      <c r="C474" s="37">
        <f>IF(EXACT('Internal Career (Last Position)'!$O474, ""), "", 'Internal Career (Last Position)'!$B474)</f>
        <v>32000000000471</v>
      </c>
      <c r="D474" s="38" t="str">
        <f>IF(EXACT('Internal Career (Last Position)'!$O474, ""), "", 'Internal Career (Last Position)'!$C474)</f>
        <v>Wendy Septiyan</v>
      </c>
    </row>
    <row r="475" spans="2:4" x14ac:dyDescent="0.2">
      <c r="B475" s="11">
        <f>IF(EXACT('Internal Career (Last Position)'!$O475, ""), "", 'Internal Career (Last Position)'!$O475)</f>
        <v>164000000000472</v>
      </c>
      <c r="C475" s="37">
        <f>IF(EXACT('Internal Career (Last Position)'!$O475, ""), "", 'Internal Career (Last Position)'!$B475)</f>
        <v>32000000000472</v>
      </c>
      <c r="D475" s="38" t="str">
        <f>IF(EXACT('Internal Career (Last Position)'!$O475, ""), "", 'Internal Career (Last Position)'!$C475)</f>
        <v>Willy Indarto</v>
      </c>
    </row>
    <row r="476" spans="2:4" x14ac:dyDescent="0.2">
      <c r="B476" s="11">
        <f>IF(EXACT('Internal Career (Last Position)'!$O476, ""), "", 'Internal Career (Last Position)'!$O476)</f>
        <v>164000000000473</v>
      </c>
      <c r="C476" s="37">
        <f>IF(EXACT('Internal Career (Last Position)'!$O476, ""), "", 'Internal Career (Last Position)'!$B476)</f>
        <v>32000000000473</v>
      </c>
      <c r="D476" s="38" t="str">
        <f>IF(EXACT('Internal Career (Last Position)'!$O476, ""), "", 'Internal Career (Last Position)'!$C476)</f>
        <v>Winda Suherman</v>
      </c>
    </row>
    <row r="477" spans="2:4" x14ac:dyDescent="0.2">
      <c r="B477" s="11">
        <f>IF(EXACT('Internal Career (Last Position)'!$O477, ""), "", 'Internal Career (Last Position)'!$O477)</f>
        <v>164000000000474</v>
      </c>
      <c r="C477" s="37">
        <f>IF(EXACT('Internal Career (Last Position)'!$O477, ""), "", 'Internal Career (Last Position)'!$B477)</f>
        <v>32000000000474</v>
      </c>
      <c r="D477" s="38" t="str">
        <f>IF(EXACT('Internal Career (Last Position)'!$O477, ""), "", 'Internal Career (Last Position)'!$C477)</f>
        <v>Wisnu Ardian</v>
      </c>
    </row>
    <row r="478" spans="2:4" x14ac:dyDescent="0.2">
      <c r="B478" s="11">
        <f>IF(EXACT('Internal Career (Last Position)'!$O478, ""), "", 'Internal Career (Last Position)'!$O478)</f>
        <v>164000000000475</v>
      </c>
      <c r="C478" s="37">
        <f>IF(EXACT('Internal Career (Last Position)'!$O478, ""), "", 'Internal Career (Last Position)'!$B478)</f>
        <v>32000000000475</v>
      </c>
      <c r="D478" s="38" t="str">
        <f>IF(EXACT('Internal Career (Last Position)'!$O478, ""), "", 'Internal Career (Last Position)'!$C478)</f>
        <v>Wisudanto C. Suntoyo</v>
      </c>
    </row>
    <row r="479" spans="2:4" x14ac:dyDescent="0.2">
      <c r="B479" s="11">
        <f>IF(EXACT('Internal Career (Last Position)'!$O479, ""), "", 'Internal Career (Last Position)'!$O479)</f>
        <v>164000000000476</v>
      </c>
      <c r="C479" s="37">
        <f>IF(EXACT('Internal Career (Last Position)'!$O479, ""), "", 'Internal Career (Last Position)'!$B479)</f>
        <v>32000000000476</v>
      </c>
      <c r="D479" s="38" t="str">
        <f>IF(EXACT('Internal Career (Last Position)'!$O479, ""), "", 'Internal Career (Last Position)'!$C479)</f>
        <v>Yahya Adyasa Febriansyah</v>
      </c>
    </row>
    <row r="480" spans="2:4" x14ac:dyDescent="0.2">
      <c r="B480" s="11">
        <f>IF(EXACT('Internal Career (Last Position)'!$O480, ""), "", 'Internal Career (Last Position)'!$O480)</f>
        <v>164000000000477</v>
      </c>
      <c r="C480" s="37">
        <f>IF(EXACT('Internal Career (Last Position)'!$O480, ""), "", 'Internal Career (Last Position)'!$B480)</f>
        <v>32000000000477</v>
      </c>
      <c r="D480" s="38" t="str">
        <f>IF(EXACT('Internal Career (Last Position)'!$O480, ""), "", 'Internal Career (Last Position)'!$C480)</f>
        <v>Yakup Sunaryo</v>
      </c>
    </row>
    <row r="481" spans="2:4" x14ac:dyDescent="0.2">
      <c r="B481" s="11">
        <f>IF(EXACT('Internal Career (Last Position)'!$O481, ""), "", 'Internal Career (Last Position)'!$O481)</f>
        <v>164000000000478</v>
      </c>
      <c r="C481" s="37">
        <f>IF(EXACT('Internal Career (Last Position)'!$O481, ""), "", 'Internal Career (Last Position)'!$B481)</f>
        <v>32000000000478</v>
      </c>
      <c r="D481" s="38" t="str">
        <f>IF(EXACT('Internal Career (Last Position)'!$O481, ""), "", 'Internal Career (Last Position)'!$C481)</f>
        <v>Yanuar Tri Ananda</v>
      </c>
    </row>
    <row r="482" spans="2:4" x14ac:dyDescent="0.2">
      <c r="B482" s="11">
        <f>IF(EXACT('Internal Career (Last Position)'!$O482, ""), "", 'Internal Career (Last Position)'!$O482)</f>
        <v>164000000000479</v>
      </c>
      <c r="C482" s="37">
        <f>IF(EXACT('Internal Career (Last Position)'!$O482, ""), "", 'Internal Career (Last Position)'!$B482)</f>
        <v>32000000000479</v>
      </c>
      <c r="D482" s="38" t="str">
        <f>IF(EXACT('Internal Career (Last Position)'!$O482, ""), "", 'Internal Career (Last Position)'!$C482)</f>
        <v>Yasir Liem</v>
      </c>
    </row>
    <row r="483" spans="2:4" x14ac:dyDescent="0.2">
      <c r="B483" s="11">
        <f>IF(EXACT('Internal Career (Last Position)'!$O483, ""), "", 'Internal Career (Last Position)'!$O483)</f>
        <v>164000000000480</v>
      </c>
      <c r="C483" s="37">
        <f>IF(EXACT('Internal Career (Last Position)'!$O483, ""), "", 'Internal Career (Last Position)'!$B483)</f>
        <v>32000000000480</v>
      </c>
      <c r="D483" s="38" t="str">
        <f>IF(EXACT('Internal Career (Last Position)'!$O483, ""), "", 'Internal Career (Last Position)'!$C483)</f>
        <v>Yefri Hendrayani</v>
      </c>
    </row>
    <row r="484" spans="2:4" x14ac:dyDescent="0.2">
      <c r="B484" s="11">
        <f>IF(EXACT('Internal Career (Last Position)'!$O484, ""), "", 'Internal Career (Last Position)'!$O484)</f>
        <v>164000000000481</v>
      </c>
      <c r="C484" s="37">
        <f>IF(EXACT('Internal Career (Last Position)'!$O484, ""), "", 'Internal Career (Last Position)'!$B484)</f>
        <v>32000000000481</v>
      </c>
      <c r="D484" s="38" t="str">
        <f>IF(EXACT('Internal Career (Last Position)'!$O484, ""), "", 'Internal Career (Last Position)'!$C484)</f>
        <v>Yessi Setiarini</v>
      </c>
    </row>
    <row r="485" spans="2:4" x14ac:dyDescent="0.2">
      <c r="B485" s="11">
        <f>IF(EXACT('Internal Career (Last Position)'!$O485, ""), "", 'Internal Career (Last Position)'!$O485)</f>
        <v>164000000000482</v>
      </c>
      <c r="C485" s="37">
        <f>IF(EXACT('Internal Career (Last Position)'!$O485, ""), "", 'Internal Career (Last Position)'!$B485)</f>
        <v>32000000000482</v>
      </c>
      <c r="D485" s="38" t="str">
        <f>IF(EXACT('Internal Career (Last Position)'!$O485, ""), "", 'Internal Career (Last Position)'!$C485)</f>
        <v>Yorid Fae</v>
      </c>
    </row>
    <row r="486" spans="2:4" x14ac:dyDescent="0.2">
      <c r="B486" s="11">
        <f>IF(EXACT('Internal Career (Last Position)'!$O486, ""), "", 'Internal Career (Last Position)'!$O486)</f>
        <v>164000000000483</v>
      </c>
      <c r="C486" s="37">
        <f>IF(EXACT('Internal Career (Last Position)'!$O486, ""), "", 'Internal Career (Last Position)'!$B486)</f>
        <v>32000000000483</v>
      </c>
      <c r="D486" s="38" t="str">
        <f>IF(EXACT('Internal Career (Last Position)'!$O486, ""), "", 'Internal Career (Last Position)'!$C486)</f>
        <v>Yosef Hang Wan</v>
      </c>
    </row>
    <row r="487" spans="2:4" x14ac:dyDescent="0.2">
      <c r="B487" s="11">
        <f>IF(EXACT('Internal Career (Last Position)'!$O487, ""), "", 'Internal Career (Last Position)'!$O487)</f>
        <v>164000000000484</v>
      </c>
      <c r="C487" s="37">
        <f>IF(EXACT('Internal Career (Last Position)'!$O487, ""), "", 'Internal Career (Last Position)'!$B487)</f>
        <v>32000000000484</v>
      </c>
      <c r="D487" s="38" t="str">
        <f>IF(EXACT('Internal Career (Last Position)'!$O487, ""), "", 'Internal Career (Last Position)'!$C487)</f>
        <v>Yossie Deliana</v>
      </c>
    </row>
    <row r="488" spans="2:4" x14ac:dyDescent="0.2">
      <c r="B488" s="11">
        <f>IF(EXACT('Internal Career (Last Position)'!$O488, ""), "", 'Internal Career (Last Position)'!$O488)</f>
        <v>164000000000485</v>
      </c>
      <c r="C488" s="37">
        <f>IF(EXACT('Internal Career (Last Position)'!$O488, ""), "", 'Internal Career (Last Position)'!$B488)</f>
        <v>32000000000485</v>
      </c>
      <c r="D488" s="38" t="str">
        <f>IF(EXACT('Internal Career (Last Position)'!$O488, ""), "", 'Internal Career (Last Position)'!$C488)</f>
        <v>Yudi Rahmadi</v>
      </c>
    </row>
    <row r="489" spans="2:4" x14ac:dyDescent="0.2">
      <c r="B489" s="11">
        <f>IF(EXACT('Internal Career (Last Position)'!$O489, ""), "", 'Internal Career (Last Position)'!$O489)</f>
        <v>164000000000486</v>
      </c>
      <c r="C489" s="37">
        <f>IF(EXACT('Internal Career (Last Position)'!$O489, ""), "", 'Internal Career (Last Position)'!$B489)</f>
        <v>32000000000486</v>
      </c>
      <c r="D489" s="38" t="str">
        <f>IF(EXACT('Internal Career (Last Position)'!$O489, ""), "", 'Internal Career (Last Position)'!$C489)</f>
        <v>Yudo Jati Rahmat Satrio</v>
      </c>
    </row>
    <row r="490" spans="2:4" x14ac:dyDescent="0.2">
      <c r="B490" s="11">
        <f>IF(EXACT('Internal Career (Last Position)'!$O490, ""), "", 'Internal Career (Last Position)'!$O490)</f>
        <v>164000000000487</v>
      </c>
      <c r="C490" s="37">
        <f>IF(EXACT('Internal Career (Last Position)'!$O490, ""), "", 'Internal Career (Last Position)'!$B490)</f>
        <v>32000000000487</v>
      </c>
      <c r="D490" s="38" t="str">
        <f>IF(EXACT('Internal Career (Last Position)'!$O490, ""), "", 'Internal Career (Last Position)'!$C490)</f>
        <v>Yuliandaru Suryoatmodjo</v>
      </c>
    </row>
    <row r="491" spans="2:4" x14ac:dyDescent="0.2">
      <c r="B491" s="11">
        <f>IF(EXACT('Internal Career (Last Position)'!$O491, ""), "", 'Internal Career (Last Position)'!$O491)</f>
        <v>164000000000488</v>
      </c>
      <c r="C491" s="37">
        <f>IF(EXACT('Internal Career (Last Position)'!$O491, ""), "", 'Internal Career (Last Position)'!$B491)</f>
        <v>32000000000488</v>
      </c>
      <c r="D491" s="38" t="str">
        <f>IF(EXACT('Internal Career (Last Position)'!$O491, ""), "", 'Internal Career (Last Position)'!$C491)</f>
        <v>Yulianta</v>
      </c>
    </row>
    <row r="492" spans="2:4" x14ac:dyDescent="0.2">
      <c r="B492" s="11">
        <f>IF(EXACT('Internal Career (Last Position)'!$O492, ""), "", 'Internal Career (Last Position)'!$O492)</f>
        <v>164000000000489</v>
      </c>
      <c r="C492" s="37">
        <f>IF(EXACT('Internal Career (Last Position)'!$O492, ""), "", 'Internal Career (Last Position)'!$B492)</f>
        <v>32000000000489</v>
      </c>
      <c r="D492" s="38" t="str">
        <f>IF(EXACT('Internal Career (Last Position)'!$O492, ""), "", 'Internal Career (Last Position)'!$C492)</f>
        <v>Yulianti</v>
      </c>
    </row>
    <row r="493" spans="2:4" x14ac:dyDescent="0.2">
      <c r="B493" s="11">
        <f>IF(EXACT('Internal Career (Last Position)'!$O493, ""), "", 'Internal Career (Last Position)'!$O493)</f>
        <v>164000000000490</v>
      </c>
      <c r="C493" s="37">
        <f>IF(EXACT('Internal Career (Last Position)'!$O493, ""), "", 'Internal Career (Last Position)'!$B493)</f>
        <v>32000000000490</v>
      </c>
      <c r="D493" s="38" t="str">
        <f>IF(EXACT('Internal Career (Last Position)'!$O493, ""), "", 'Internal Career (Last Position)'!$C493)</f>
        <v>Yulius</v>
      </c>
    </row>
    <row r="494" spans="2:4" x14ac:dyDescent="0.2">
      <c r="B494" s="11">
        <f>IF(EXACT('Internal Career (Last Position)'!$O494, ""), "", 'Internal Career (Last Position)'!$O494)</f>
        <v>164000000000491</v>
      </c>
      <c r="C494" s="37">
        <f>IF(EXACT('Internal Career (Last Position)'!$O494, ""), "", 'Internal Career (Last Position)'!$B494)</f>
        <v>32000000000491</v>
      </c>
      <c r="D494" s="38" t="str">
        <f>IF(EXACT('Internal Career (Last Position)'!$O494, ""), "", 'Internal Career (Last Position)'!$C494)</f>
        <v>Yunni Sazili</v>
      </c>
    </row>
    <row r="495" spans="2:4" x14ac:dyDescent="0.2">
      <c r="B495" s="11">
        <f>IF(EXACT('Internal Career (Last Position)'!$O495, ""), "", 'Internal Career (Last Position)'!$O495)</f>
        <v>164000000000492</v>
      </c>
      <c r="C495" s="37">
        <f>IF(EXACT('Internal Career (Last Position)'!$O495, ""), "", 'Internal Career (Last Position)'!$B495)</f>
        <v>32000000000492</v>
      </c>
      <c r="D495" s="38" t="str">
        <f>IF(EXACT('Internal Career (Last Position)'!$O495, ""), "", 'Internal Career (Last Position)'!$C495)</f>
        <v>Yusman</v>
      </c>
    </row>
    <row r="496" spans="2:4" x14ac:dyDescent="0.2">
      <c r="B496" s="11">
        <f>IF(EXACT('Internal Career (Last Position)'!$O496, ""), "", 'Internal Career (Last Position)'!$O496)</f>
        <v>164000000000493</v>
      </c>
      <c r="C496" s="37">
        <f>IF(EXACT('Internal Career (Last Position)'!$O496, ""), "", 'Internal Career (Last Position)'!$B496)</f>
        <v>32000000000493</v>
      </c>
      <c r="D496" s="38" t="str">
        <f>IF(EXACT('Internal Career (Last Position)'!$O496, ""), "", 'Internal Career (Last Position)'!$C496)</f>
        <v>Yusri Azhar</v>
      </c>
    </row>
    <row r="497" spans="2:4" x14ac:dyDescent="0.2">
      <c r="B497" s="11">
        <f>IF(EXACT('Internal Career (Last Position)'!$O497, ""), "", 'Internal Career (Last Position)'!$O497)</f>
        <v>164000000000494</v>
      </c>
      <c r="C497" s="37">
        <f>IF(EXACT('Internal Career (Last Position)'!$O497, ""), "", 'Internal Career (Last Position)'!$B497)</f>
        <v>32000000000494</v>
      </c>
      <c r="D497" s="38" t="str">
        <f>IF(EXACT('Internal Career (Last Position)'!$O497, ""), "", 'Internal Career (Last Position)'!$C497)</f>
        <v>Zafrizal</v>
      </c>
    </row>
    <row r="498" spans="2:4" x14ac:dyDescent="0.2">
      <c r="B498" s="11">
        <f>IF(EXACT('Internal Career (Last Position)'!$O498, ""), "", 'Internal Career (Last Position)'!$O498)</f>
        <v>164000000000495</v>
      </c>
      <c r="C498" s="37">
        <f>IF(EXACT('Internal Career (Last Position)'!$O498, ""), "", 'Internal Career (Last Position)'!$B498)</f>
        <v>32000000000495</v>
      </c>
      <c r="D498" s="38" t="str">
        <f>IF(EXACT('Internal Career (Last Position)'!$O498, ""), "", 'Internal Career (Last Position)'!$C498)</f>
        <v>Zafrizal Rifla (Ucok)</v>
      </c>
    </row>
    <row r="499" spans="2:4" x14ac:dyDescent="0.2">
      <c r="B499" s="11">
        <f>IF(EXACT('Internal Career (Last Position)'!$O499, ""), "", 'Internal Career (Last Position)'!$O499)</f>
        <v>164000000000496</v>
      </c>
      <c r="C499" s="37">
        <f>IF(EXACT('Internal Career (Last Position)'!$O499, ""), "", 'Internal Career (Last Position)'!$B499)</f>
        <v>32000000000496</v>
      </c>
      <c r="D499" s="38" t="str">
        <f>IF(EXACT('Internal Career (Last Position)'!$O499, ""), "", 'Internal Career (Last Position)'!$C499)</f>
        <v>Zainuddin</v>
      </c>
    </row>
    <row r="500" spans="2:4" x14ac:dyDescent="0.2">
      <c r="B500" s="11">
        <f>IF(EXACT('Internal Career (Last Position)'!$O500, ""), "", 'Internal Career (Last Position)'!$O500)</f>
        <v>164000000000497</v>
      </c>
      <c r="C500" s="37">
        <f>IF(EXACT('Internal Career (Last Position)'!$O500, ""), "", 'Internal Career (Last Position)'!$B500)</f>
        <v>32000000000497</v>
      </c>
      <c r="D500" s="38" t="str">
        <f>IF(EXACT('Internal Career (Last Position)'!$O500, ""), "", 'Internal Career (Last Position)'!$C500)</f>
        <v>Zainudin Anwar</v>
      </c>
    </row>
    <row r="501" spans="2:4" x14ac:dyDescent="0.2">
      <c r="B501" s="11">
        <f>IF(EXACT('Internal Career (Last Position)'!$O501, ""), "", 'Internal Career (Last Position)'!$O501)</f>
        <v>164000000000498</v>
      </c>
      <c r="C501" s="37">
        <f>IF(EXACT('Internal Career (Last Position)'!$O501, ""), "", 'Internal Career (Last Position)'!$B501)</f>
        <v>32000000000498</v>
      </c>
      <c r="D501" s="38" t="str">
        <f>IF(EXACT('Internal Career (Last Position)'!$O501, ""), "", 'Internal Career (Last Position)'!$C501)</f>
        <v>Zaire Dite Biscaya</v>
      </c>
    </row>
    <row r="502" spans="2:4" x14ac:dyDescent="0.2">
      <c r="B502" s="11">
        <f>IF(EXACT('Internal Career (Last Position)'!$O502, ""), "", 'Internal Career (Last Position)'!$O502)</f>
        <v>164000000000499</v>
      </c>
      <c r="C502" s="37">
        <f>IF(EXACT('Internal Career (Last Position)'!$O502, ""), "", 'Internal Career (Last Position)'!$B502)</f>
        <v>32000000000499</v>
      </c>
      <c r="D502" s="38" t="str">
        <f>IF(EXACT('Internal Career (Last Position)'!$O502, ""), "", 'Internal Career (Last Position)'!$C502)</f>
        <v>Zalfi Yandri</v>
      </c>
    </row>
    <row r="503" spans="2:4" x14ac:dyDescent="0.2">
      <c r="B503" s="11">
        <f>IF(EXACT('Internal Career (Last Position)'!$O503, ""), "", 'Internal Career (Last Position)'!$O503)</f>
        <v>164000000000500</v>
      </c>
      <c r="C503" s="37">
        <f>IF(EXACT('Internal Career (Last Position)'!$O503, ""), "", 'Internal Career (Last Position)'!$B503)</f>
        <v>32000000000500</v>
      </c>
      <c r="D503" s="38" t="str">
        <f>IF(EXACT('Internal Career (Last Position)'!$O503, ""), "", 'Internal Career (Last Position)'!$C503)</f>
        <v>Zam Roji</v>
      </c>
    </row>
    <row r="504" spans="2:4" x14ac:dyDescent="0.2">
      <c r="B504" s="11">
        <f>IF(EXACT('Internal Career (Last Position)'!$O504, ""), "", 'Internal Career (Last Position)'!$O504)</f>
        <v>164000000000501</v>
      </c>
      <c r="C504" s="37">
        <f>IF(EXACT('Internal Career (Last Position)'!$O504, ""), "", 'Internal Career (Last Position)'!$B504)</f>
        <v>32000000000501</v>
      </c>
      <c r="D504" s="38" t="str">
        <f>IF(EXACT('Internal Career (Last Position)'!$O504, ""), "", 'Internal Career (Last Position)'!$C504)</f>
        <v>Zulfikar K. Siregar</v>
      </c>
    </row>
    <row r="505" spans="2:4" x14ac:dyDescent="0.2">
      <c r="B505" s="11">
        <f>IF(EXACT('Internal Career (Last Position)'!$O505, ""), "", 'Internal Career (Last Position)'!$O505)</f>
        <v>164000000000502</v>
      </c>
      <c r="C505" s="37">
        <f>IF(EXACT('Internal Career (Last Position)'!$O505, ""), "", 'Internal Career (Last Position)'!$B505)</f>
        <v>32000000000502</v>
      </c>
      <c r="D505" s="38" t="str">
        <f>IF(EXACT('Internal Career (Last Position)'!$O505, ""), "", 'Internal Career (Last Position)'!$C505)</f>
        <v>Adythia Adikara</v>
      </c>
    </row>
    <row r="506" spans="2:4" x14ac:dyDescent="0.2">
      <c r="B506" s="11">
        <f>IF(EXACT('Internal Career (Last Position)'!$O506, ""), "", 'Internal Career (Last Position)'!$O506)</f>
        <v>164000000000503</v>
      </c>
      <c r="C506" s="37">
        <f>IF(EXACT('Internal Career (Last Position)'!$O506, ""), "", 'Internal Career (Last Position)'!$B506)</f>
        <v>32000000000503</v>
      </c>
      <c r="D506" s="38" t="str">
        <f>IF(EXACT('Internal Career (Last Position)'!$O506, ""), "", 'Internal Career (Last Position)'!$C506)</f>
        <v>Agus Sopyan Hadi</v>
      </c>
    </row>
    <row r="507" spans="2:4" x14ac:dyDescent="0.2">
      <c r="B507" s="11">
        <f>IF(EXACT('Internal Career (Last Position)'!$O507, ""), "", 'Internal Career (Last Position)'!$O507)</f>
        <v>164000000000504</v>
      </c>
      <c r="C507" s="37">
        <f>IF(EXACT('Internal Career (Last Position)'!$O507, ""), "", 'Internal Career (Last Position)'!$B507)</f>
        <v>32000000000504</v>
      </c>
      <c r="D507" s="38" t="str">
        <f>IF(EXACT('Internal Career (Last Position)'!$O507, ""), "", 'Internal Career (Last Position)'!$C507)</f>
        <v>Azis Purwandana</v>
      </c>
    </row>
    <row r="508" spans="2:4" x14ac:dyDescent="0.2">
      <c r="B508" s="11">
        <f>IF(EXACT('Internal Career (Last Position)'!$O508, ""), "", 'Internal Career (Last Position)'!$O508)</f>
        <v>164000000000505</v>
      </c>
      <c r="C508" s="37">
        <f>IF(EXACT('Internal Career (Last Position)'!$O508, ""), "", 'Internal Career (Last Position)'!$B508)</f>
        <v>32000000000505</v>
      </c>
      <c r="D508" s="38" t="str">
        <f>IF(EXACT('Internal Career (Last Position)'!$O508, ""), "", 'Internal Career (Last Position)'!$C508)</f>
        <v>Heryanto</v>
      </c>
    </row>
    <row r="509" spans="2:4" x14ac:dyDescent="0.2">
      <c r="B509" s="11">
        <f>IF(EXACT('Internal Career (Last Position)'!$O509, ""), "", 'Internal Career (Last Position)'!$O509)</f>
        <v>164000000000506</v>
      </c>
      <c r="C509" s="37">
        <f>IF(EXACT('Internal Career (Last Position)'!$O509, ""), "", 'Internal Career (Last Position)'!$B509)</f>
        <v>32000000000506</v>
      </c>
      <c r="D509" s="38" t="str">
        <f>IF(EXACT('Internal Career (Last Position)'!$O509, ""), "", 'Internal Career (Last Position)'!$C509)</f>
        <v>Imran</v>
      </c>
    </row>
    <row r="510" spans="2:4" x14ac:dyDescent="0.2">
      <c r="B510" s="11">
        <f>IF(EXACT('Internal Career (Last Position)'!$O510, ""), "", 'Internal Career (Last Position)'!$O510)</f>
        <v>164000000000507</v>
      </c>
      <c r="C510" s="37">
        <f>IF(EXACT('Internal Career (Last Position)'!$O510, ""), "", 'Internal Career (Last Position)'!$B510)</f>
        <v>32000000000507</v>
      </c>
      <c r="D510" s="38" t="str">
        <f>IF(EXACT('Internal Career (Last Position)'!$O510, ""), "", 'Internal Career (Last Position)'!$C510)</f>
        <v>Khamim Taryono</v>
      </c>
    </row>
    <row r="511" spans="2:4" x14ac:dyDescent="0.2">
      <c r="B511" s="11">
        <f>IF(EXACT('Internal Career (Last Position)'!$O511, ""), "", 'Internal Career (Last Position)'!$O511)</f>
        <v>164000000000508</v>
      </c>
      <c r="C511" s="37">
        <f>IF(EXACT('Internal Career (Last Position)'!$O511, ""), "", 'Internal Career (Last Position)'!$B511)</f>
        <v>32000000000508</v>
      </c>
      <c r="D511" s="38" t="str">
        <f>IF(EXACT('Internal Career (Last Position)'!$O511, ""), "", 'Internal Career (Last Position)'!$C511)</f>
        <v>Rafi Artman Siddiq</v>
      </c>
    </row>
    <row r="512" spans="2:4" x14ac:dyDescent="0.2">
      <c r="B512" s="11">
        <f>IF(EXACT('Internal Career (Last Position)'!$O512, ""), "", 'Internal Career (Last Position)'!$O512)</f>
        <v>164000000000509</v>
      </c>
      <c r="C512" s="37">
        <f>IF(EXACT('Internal Career (Last Position)'!$O512, ""), "", 'Internal Career (Last Position)'!$B512)</f>
        <v>32000000000509</v>
      </c>
      <c r="D512" s="38" t="str">
        <f>IF(EXACT('Internal Career (Last Position)'!$O512, ""), "", 'Internal Career (Last Position)'!$C512)</f>
        <v>Riza Emir Subekti</v>
      </c>
    </row>
    <row r="513" spans="2:4" x14ac:dyDescent="0.2">
      <c r="B513" s="11">
        <f>IF(EXACT('Internal Career (Last Position)'!$O513, ""), "", 'Internal Career (Last Position)'!$O513)</f>
        <v>164000000000510</v>
      </c>
      <c r="C513" s="37">
        <f>IF(EXACT('Internal Career (Last Position)'!$O513, ""), "", 'Internal Career (Last Position)'!$B513)</f>
        <v>32000000000510</v>
      </c>
      <c r="D513" s="38" t="str">
        <f>IF(EXACT('Internal Career (Last Position)'!$O513, ""), "", 'Internal Career (Last Position)'!$C513)</f>
        <v>Slamet Riadi</v>
      </c>
    </row>
    <row r="514" spans="2:4" x14ac:dyDescent="0.2">
      <c r="B514" s="11">
        <f>IF(EXACT('Internal Career (Last Position)'!$O514, ""), "", 'Internal Career (Last Position)'!$O514)</f>
        <v>164000000000511</v>
      </c>
      <c r="C514" s="37">
        <f>IF(EXACT('Internal Career (Last Position)'!$O514, ""), "", 'Internal Career (Last Position)'!$B514)</f>
        <v>32000000000511</v>
      </c>
      <c r="D514" s="38" t="str">
        <f>IF(EXACT('Internal Career (Last Position)'!$O514, ""), "", 'Internal Career (Last Position)'!$C514)</f>
        <v>Wisnu Andra Isdianto</v>
      </c>
    </row>
    <row r="515" spans="2:4" x14ac:dyDescent="0.2">
      <c r="B515" s="11">
        <f>IF(EXACT('Internal Career (Last Position)'!$O515, ""), "", 'Internal Career (Last Position)'!$O515)</f>
        <v>164000000000512</v>
      </c>
      <c r="C515" s="37">
        <f>IF(EXACT('Internal Career (Last Position)'!$O515, ""), "", 'Internal Career (Last Position)'!$B515)</f>
        <v>32000000000512</v>
      </c>
      <c r="D515" s="38" t="str">
        <f>IF(EXACT('Internal Career (Last Position)'!$O515, ""), "", 'Internal Career (Last Position)'!$C515)</f>
        <v>Agus Budi Setiawan</v>
      </c>
    </row>
    <row r="516" spans="2:4" x14ac:dyDescent="0.2">
      <c r="B516" s="11">
        <f>IF(EXACT('Internal Career (Last Position)'!$O516, ""), "", 'Internal Career (Last Position)'!$O516)</f>
        <v>164000000000513</v>
      </c>
      <c r="C516" s="37">
        <f>IF(EXACT('Internal Career (Last Position)'!$O516, ""), "", 'Internal Career (Last Position)'!$B516)</f>
        <v>32000000000513</v>
      </c>
      <c r="D516" s="38" t="str">
        <f>IF(EXACT('Internal Career (Last Position)'!$O516, ""), "", 'Internal Career (Last Position)'!$C516)</f>
        <v>Ahmad Choerul</v>
      </c>
    </row>
    <row r="517" spans="2:4" x14ac:dyDescent="0.2">
      <c r="B517" s="11">
        <f>IF(EXACT('Internal Career (Last Position)'!$O517, ""), "", 'Internal Career (Last Position)'!$O517)</f>
        <v>164000000000514</v>
      </c>
      <c r="C517" s="37">
        <f>IF(EXACT('Internal Career (Last Position)'!$O517, ""), "", 'Internal Career (Last Position)'!$B517)</f>
        <v>32000000000514</v>
      </c>
      <c r="D517" s="38" t="str">
        <f>IF(EXACT('Internal Career (Last Position)'!$O517, ""), "", 'Internal Career (Last Position)'!$C517)</f>
        <v>Achmad Yunadi</v>
      </c>
    </row>
    <row r="518" spans="2:4" x14ac:dyDescent="0.2">
      <c r="B518" s="11">
        <f>IF(EXACT('Internal Career (Last Position)'!$O518, ""), "", 'Internal Career (Last Position)'!$O518)</f>
        <v>164000000000515</v>
      </c>
      <c r="C518" s="37">
        <f>IF(EXACT('Internal Career (Last Position)'!$O518, ""), "", 'Internal Career (Last Position)'!$B518)</f>
        <v>32000000000515</v>
      </c>
      <c r="D518" s="38" t="str">
        <f>IF(EXACT('Internal Career (Last Position)'!$O518, ""), "", 'Internal Career (Last Position)'!$C518)</f>
        <v>Asep mulyana</v>
      </c>
    </row>
    <row r="519" spans="2:4" x14ac:dyDescent="0.2">
      <c r="B519" s="11">
        <f>IF(EXACT('Internal Career (Last Position)'!$O519, ""), "", 'Internal Career (Last Position)'!$O519)</f>
        <v>164000000000516</v>
      </c>
      <c r="C519" s="37">
        <f>IF(EXACT('Internal Career (Last Position)'!$O519, ""), "", 'Internal Career (Last Position)'!$B519)</f>
        <v>32000000000516</v>
      </c>
      <c r="D519" s="38" t="str">
        <f>IF(EXACT('Internal Career (Last Position)'!$O519, ""), "", 'Internal Career (Last Position)'!$C519)</f>
        <v>Bagus Isdiantara</v>
      </c>
    </row>
    <row r="520" spans="2:4" x14ac:dyDescent="0.2">
      <c r="B520" s="11">
        <f>IF(EXACT('Internal Career (Last Position)'!$O520, ""), "", 'Internal Career (Last Position)'!$O520)</f>
        <v>164000000000517</v>
      </c>
      <c r="C520" s="37">
        <f>IF(EXACT('Internal Career (Last Position)'!$O520, ""), "", 'Internal Career (Last Position)'!$B520)</f>
        <v>32000000000517</v>
      </c>
      <c r="D520" s="38" t="str">
        <f>IF(EXACT('Internal Career (Last Position)'!$O520, ""), "", 'Internal Career (Last Position)'!$C520)</f>
        <v>Cahyana</v>
      </c>
    </row>
    <row r="521" spans="2:4" x14ac:dyDescent="0.2">
      <c r="B521" s="11">
        <f>IF(EXACT('Internal Career (Last Position)'!$O521, ""), "", 'Internal Career (Last Position)'!$O521)</f>
        <v>164000000000518</v>
      </c>
      <c r="C521" s="37">
        <f>IF(EXACT('Internal Career (Last Position)'!$O521, ""), "", 'Internal Career (Last Position)'!$B521)</f>
        <v>32000000000518</v>
      </c>
      <c r="D521" s="38" t="str">
        <f>IF(EXACT('Internal Career (Last Position)'!$O521, ""), "", 'Internal Career (Last Position)'!$C521)</f>
        <v>Dede Hartanto</v>
      </c>
    </row>
    <row r="522" spans="2:4" x14ac:dyDescent="0.2">
      <c r="B522" s="11">
        <f>IF(EXACT('Internal Career (Last Position)'!$O522, ""), "", 'Internal Career (Last Position)'!$O522)</f>
        <v>164000000000519</v>
      </c>
      <c r="C522" s="37">
        <f>IF(EXACT('Internal Career (Last Position)'!$O522, ""), "", 'Internal Career (Last Position)'!$B522)</f>
        <v>32000000000519</v>
      </c>
      <c r="D522" s="38" t="str">
        <f>IF(EXACT('Internal Career (Last Position)'!$O522, ""), "", 'Internal Career (Last Position)'!$C522)</f>
        <v>Denny Achmad Ferlando</v>
      </c>
    </row>
    <row r="523" spans="2:4" x14ac:dyDescent="0.2">
      <c r="B523" s="11">
        <f>IF(EXACT('Internal Career (Last Position)'!$O523, ""), "", 'Internal Career (Last Position)'!$O523)</f>
        <v>164000000000520</v>
      </c>
      <c r="C523" s="37">
        <f>IF(EXACT('Internal Career (Last Position)'!$O523, ""), "", 'Internal Career (Last Position)'!$B523)</f>
        <v>32000000000520</v>
      </c>
      <c r="D523" s="38" t="str">
        <f>IF(EXACT('Internal Career (Last Position)'!$O523, ""), "", 'Internal Career (Last Position)'!$C523)</f>
        <v>Dian Setiawan</v>
      </c>
    </row>
    <row r="524" spans="2:4" x14ac:dyDescent="0.2">
      <c r="B524" s="11">
        <f>IF(EXACT('Internal Career (Last Position)'!$O524, ""), "", 'Internal Career (Last Position)'!$O524)</f>
        <v>164000000000521</v>
      </c>
      <c r="C524" s="37">
        <f>IF(EXACT('Internal Career (Last Position)'!$O524, ""), "", 'Internal Career (Last Position)'!$B524)</f>
        <v>32000000000521</v>
      </c>
      <c r="D524" s="38" t="str">
        <f>IF(EXACT('Internal Career (Last Position)'!$O524, ""), "", 'Internal Career (Last Position)'!$C524)</f>
        <v>Fabrian Danang Destiyara</v>
      </c>
    </row>
    <row r="525" spans="2:4" x14ac:dyDescent="0.2">
      <c r="B525" s="11">
        <f>IF(EXACT('Internal Career (Last Position)'!$O525, ""), "", 'Internal Career (Last Position)'!$O525)</f>
        <v>164000000000522</v>
      </c>
      <c r="C525" s="37">
        <f>IF(EXACT('Internal Career (Last Position)'!$O525, ""), "", 'Internal Career (Last Position)'!$B525)</f>
        <v>32000000000522</v>
      </c>
      <c r="D525" s="38" t="str">
        <f>IF(EXACT('Internal Career (Last Position)'!$O525, ""), "", 'Internal Career (Last Position)'!$C525)</f>
        <v>Ferdian Kriswantoro</v>
      </c>
    </row>
    <row r="526" spans="2:4" x14ac:dyDescent="0.2">
      <c r="B526" s="11">
        <f>IF(EXACT('Internal Career (Last Position)'!$O526, ""), "", 'Internal Career (Last Position)'!$O526)</f>
        <v>164000000000523</v>
      </c>
      <c r="C526" s="37">
        <f>IF(EXACT('Internal Career (Last Position)'!$O526, ""), "", 'Internal Career (Last Position)'!$B526)</f>
        <v>32000000000523</v>
      </c>
      <c r="D526" s="38" t="str">
        <f>IF(EXACT('Internal Career (Last Position)'!$O526, ""), "", 'Internal Career (Last Position)'!$C526)</f>
        <v>Fuzi Mafrozi</v>
      </c>
    </row>
    <row r="527" spans="2:4" x14ac:dyDescent="0.2">
      <c r="B527" s="11">
        <f>IF(EXACT('Internal Career (Last Position)'!$O527, ""), "", 'Internal Career (Last Position)'!$O527)</f>
        <v>164000000000524</v>
      </c>
      <c r="C527" s="37">
        <f>IF(EXACT('Internal Career (Last Position)'!$O527, ""), "", 'Internal Career (Last Position)'!$B527)</f>
        <v>32000000000524</v>
      </c>
      <c r="D527" s="38" t="str">
        <f>IF(EXACT('Internal Career (Last Position)'!$O527, ""), "", 'Internal Career (Last Position)'!$C527)</f>
        <v>Gilang Setiawan</v>
      </c>
    </row>
    <row r="528" spans="2:4" x14ac:dyDescent="0.2">
      <c r="B528" s="11">
        <f>IF(EXACT('Internal Career (Last Position)'!$O528, ""), "", 'Internal Career (Last Position)'!$O528)</f>
        <v>164000000000525</v>
      </c>
      <c r="C528" s="37">
        <f>IF(EXACT('Internal Career (Last Position)'!$O528, ""), "", 'Internal Career (Last Position)'!$B528)</f>
        <v>32000000000525</v>
      </c>
      <c r="D528" s="38" t="str">
        <f>IF(EXACT('Internal Career (Last Position)'!$O528, ""), "", 'Internal Career (Last Position)'!$C528)</f>
        <v>Idris Affandi</v>
      </c>
    </row>
    <row r="529" spans="2:4" x14ac:dyDescent="0.2">
      <c r="B529" s="11">
        <f>IF(EXACT('Internal Career (Last Position)'!$O529, ""), "", 'Internal Career (Last Position)'!$O529)</f>
        <v>164000000000526</v>
      </c>
      <c r="C529" s="37">
        <f>IF(EXACT('Internal Career (Last Position)'!$O529, ""), "", 'Internal Career (Last Position)'!$B529)</f>
        <v>32000000000526</v>
      </c>
      <c r="D529" s="38" t="str">
        <f>IF(EXACT('Internal Career (Last Position)'!$O529, ""), "", 'Internal Career (Last Position)'!$C529)</f>
        <v>Indra Wijaya</v>
      </c>
    </row>
    <row r="530" spans="2:4" x14ac:dyDescent="0.2">
      <c r="B530" s="11">
        <f>IF(EXACT('Internal Career (Last Position)'!$O530, ""), "", 'Internal Career (Last Position)'!$O530)</f>
        <v>164000000000527</v>
      </c>
      <c r="C530" s="37">
        <f>IF(EXACT('Internal Career (Last Position)'!$O530, ""), "", 'Internal Career (Last Position)'!$B530)</f>
        <v>32000000000527</v>
      </c>
      <c r="D530" s="38" t="str">
        <f>IF(EXACT('Internal Career (Last Position)'!$O530, ""), "", 'Internal Career (Last Position)'!$C530)</f>
        <v>Irma Maulidawati</v>
      </c>
    </row>
    <row r="531" spans="2:4" x14ac:dyDescent="0.2">
      <c r="B531" s="11">
        <f>IF(EXACT('Internal Career (Last Position)'!$O531, ""), "", 'Internal Career (Last Position)'!$O531)</f>
        <v>164000000000528</v>
      </c>
      <c r="C531" s="37">
        <f>IF(EXACT('Internal Career (Last Position)'!$O531, ""), "", 'Internal Career (Last Position)'!$B531)</f>
        <v>32000000000528</v>
      </c>
      <c r="D531" s="38" t="str">
        <f>IF(EXACT('Internal Career (Last Position)'!$O531, ""), "", 'Internal Career (Last Position)'!$C531)</f>
        <v>Istikaro Fauziah</v>
      </c>
    </row>
    <row r="532" spans="2:4" x14ac:dyDescent="0.2">
      <c r="B532" s="11">
        <f>IF(EXACT('Internal Career (Last Position)'!$O532, ""), "", 'Internal Career (Last Position)'!$O532)</f>
        <v>164000000000529</v>
      </c>
      <c r="C532" s="37">
        <f>IF(EXACT('Internal Career (Last Position)'!$O532, ""), "", 'Internal Career (Last Position)'!$B532)</f>
        <v>32000000000529</v>
      </c>
      <c r="D532" s="38" t="str">
        <f>IF(EXACT('Internal Career (Last Position)'!$O532, ""), "", 'Internal Career (Last Position)'!$C532)</f>
        <v>Muhammad Lukbani</v>
      </c>
    </row>
    <row r="533" spans="2:4" x14ac:dyDescent="0.2">
      <c r="B533" s="11">
        <f>IF(EXACT('Internal Career (Last Position)'!$O533, ""), "", 'Internal Career (Last Position)'!$O533)</f>
        <v>164000000000530</v>
      </c>
      <c r="C533" s="37">
        <f>IF(EXACT('Internal Career (Last Position)'!$O533, ""), "", 'Internal Career (Last Position)'!$B533)</f>
        <v>32000000000530</v>
      </c>
      <c r="D533" s="38" t="str">
        <f>IF(EXACT('Internal Career (Last Position)'!$O533, ""), "", 'Internal Career (Last Position)'!$C533)</f>
        <v>Muhammad Sholikhun</v>
      </c>
    </row>
    <row r="534" spans="2:4" x14ac:dyDescent="0.2">
      <c r="B534" s="11">
        <f>IF(EXACT('Internal Career (Last Position)'!$O534, ""), "", 'Internal Career (Last Position)'!$O534)</f>
        <v>164000000000531</v>
      </c>
      <c r="C534" s="37">
        <f>IF(EXACT('Internal Career (Last Position)'!$O534, ""), "", 'Internal Career (Last Position)'!$B534)</f>
        <v>32000000000531</v>
      </c>
      <c r="D534" s="38" t="str">
        <f>IF(EXACT('Internal Career (Last Position)'!$O534, ""), "", 'Internal Career (Last Position)'!$C534)</f>
        <v>Muhammad Syarifudin</v>
      </c>
    </row>
    <row r="535" spans="2:4" x14ac:dyDescent="0.2">
      <c r="B535" s="11">
        <f>IF(EXACT('Internal Career (Last Position)'!$O535, ""), "", 'Internal Career (Last Position)'!$O535)</f>
        <v>164000000000532</v>
      </c>
      <c r="C535" s="37">
        <f>IF(EXACT('Internal Career (Last Position)'!$O535, ""), "", 'Internal Career (Last Position)'!$B535)</f>
        <v>32000000000532</v>
      </c>
      <c r="D535" s="38" t="str">
        <f>IF(EXACT('Internal Career (Last Position)'!$O535, ""), "", 'Internal Career (Last Position)'!$C535)</f>
        <v>Nadia Rizkiah</v>
      </c>
    </row>
    <row r="536" spans="2:4" x14ac:dyDescent="0.2">
      <c r="B536" s="11">
        <f>IF(EXACT('Internal Career (Last Position)'!$O536, ""), "", 'Internal Career (Last Position)'!$O536)</f>
        <v>164000000000533</v>
      </c>
      <c r="C536" s="37">
        <f>IF(EXACT('Internal Career (Last Position)'!$O536, ""), "", 'Internal Career (Last Position)'!$B536)</f>
        <v>32000000000533</v>
      </c>
      <c r="D536" s="38" t="str">
        <f>IF(EXACT('Internal Career (Last Position)'!$O536, ""), "", 'Internal Career (Last Position)'!$C536)</f>
        <v>Nikko Septian</v>
      </c>
    </row>
    <row r="537" spans="2:4" x14ac:dyDescent="0.2">
      <c r="B537" s="11">
        <f>IF(EXACT('Internal Career (Last Position)'!$O537, ""), "", 'Internal Career (Last Position)'!$O537)</f>
        <v>164000000000534</v>
      </c>
      <c r="C537" s="37">
        <f>IF(EXACT('Internal Career (Last Position)'!$O537, ""), "", 'Internal Career (Last Position)'!$B537)</f>
        <v>32000000000534</v>
      </c>
      <c r="D537" s="38" t="str">
        <f>IF(EXACT('Internal Career (Last Position)'!$O537, ""), "", 'Internal Career (Last Position)'!$C537)</f>
        <v>Novizan</v>
      </c>
    </row>
    <row r="538" spans="2:4" x14ac:dyDescent="0.2">
      <c r="B538" s="11">
        <f>IF(EXACT('Internal Career (Last Position)'!$O538, ""), "", 'Internal Career (Last Position)'!$O538)</f>
        <v>164000000000535</v>
      </c>
      <c r="C538" s="37">
        <f>IF(EXACT('Internal Career (Last Position)'!$O538, ""), "", 'Internal Career (Last Position)'!$B538)</f>
        <v>32000000000535</v>
      </c>
      <c r="D538" s="38" t="str">
        <f>IF(EXACT('Internal Career (Last Position)'!$O538, ""), "", 'Internal Career (Last Position)'!$C538)</f>
        <v>Oqi Suhaqi Yunus</v>
      </c>
    </row>
    <row r="539" spans="2:4" x14ac:dyDescent="0.2">
      <c r="B539" s="11">
        <f>IF(EXACT('Internal Career (Last Position)'!$O539, ""), "", 'Internal Career (Last Position)'!$O539)</f>
        <v>164000000000536</v>
      </c>
      <c r="C539" s="37">
        <f>IF(EXACT('Internal Career (Last Position)'!$O539, ""), "", 'Internal Career (Last Position)'!$B539)</f>
        <v>32000000000536</v>
      </c>
      <c r="D539" s="38" t="str">
        <f>IF(EXACT('Internal Career (Last Position)'!$O539, ""), "", 'Internal Career (Last Position)'!$C539)</f>
        <v>Restu Dwi Anjayani</v>
      </c>
    </row>
    <row r="540" spans="2:4" x14ac:dyDescent="0.2">
      <c r="B540" s="11">
        <f>IF(EXACT('Internal Career (Last Position)'!$O540, ""), "", 'Internal Career (Last Position)'!$O540)</f>
        <v>164000000000537</v>
      </c>
      <c r="C540" s="37">
        <f>IF(EXACT('Internal Career (Last Position)'!$O540, ""), "", 'Internal Career (Last Position)'!$B540)</f>
        <v>32000000000537</v>
      </c>
      <c r="D540" s="38" t="str">
        <f>IF(EXACT('Internal Career (Last Position)'!$O540, ""), "", 'Internal Career (Last Position)'!$C540)</f>
        <v>Rizal Amri</v>
      </c>
    </row>
    <row r="541" spans="2:4" x14ac:dyDescent="0.2">
      <c r="B541" s="11">
        <f>IF(EXACT('Internal Career (Last Position)'!$O541, ""), "", 'Internal Career (Last Position)'!$O541)</f>
        <v>164000000000538</v>
      </c>
      <c r="C541" s="37">
        <f>IF(EXACT('Internal Career (Last Position)'!$O541, ""), "", 'Internal Career (Last Position)'!$B541)</f>
        <v>32000000000538</v>
      </c>
      <c r="D541" s="38" t="str">
        <f>IF(EXACT('Internal Career (Last Position)'!$O541, ""), "", 'Internal Career (Last Position)'!$C541)</f>
        <v>Ronny Anindika Arnold</v>
      </c>
    </row>
    <row r="542" spans="2:4" x14ac:dyDescent="0.2">
      <c r="B542" s="11">
        <f>IF(EXACT('Internal Career (Last Position)'!$O542, ""), "", 'Internal Career (Last Position)'!$O542)</f>
        <v>164000000000539</v>
      </c>
      <c r="C542" s="37">
        <f>IF(EXACT('Internal Career (Last Position)'!$O542, ""), "", 'Internal Career (Last Position)'!$B542)</f>
        <v>32000000000539</v>
      </c>
      <c r="D542" s="38" t="str">
        <f>IF(EXACT('Internal Career (Last Position)'!$O542, ""), "", 'Internal Career (Last Position)'!$C542)</f>
        <v>Samta Harahap</v>
      </c>
    </row>
    <row r="543" spans="2:4" x14ac:dyDescent="0.2">
      <c r="B543" s="11">
        <f>IF(EXACT('Internal Career (Last Position)'!$O543, ""), "", 'Internal Career (Last Position)'!$O543)</f>
        <v>164000000000540</v>
      </c>
      <c r="C543" s="37">
        <f>IF(EXACT('Internal Career (Last Position)'!$O543, ""), "", 'Internal Career (Last Position)'!$B543)</f>
        <v>32000000000540</v>
      </c>
      <c r="D543" s="38" t="str">
        <f>IF(EXACT('Internal Career (Last Position)'!$O543, ""), "", 'Internal Career (Last Position)'!$C543)</f>
        <v>Vingky Hendriek Yomerlin</v>
      </c>
    </row>
    <row r="544" spans="2:4" x14ac:dyDescent="0.2">
      <c r="B544" s="11">
        <f>IF(EXACT('Internal Career (Last Position)'!$O544, ""), "", 'Internal Career (Last Position)'!$O544)</f>
        <v>164000000000541</v>
      </c>
      <c r="C544" s="37">
        <f>IF(EXACT('Internal Career (Last Position)'!$O544, ""), "", 'Internal Career (Last Position)'!$B544)</f>
        <v>32000000000541</v>
      </c>
      <c r="D544" s="38" t="str">
        <f>IF(EXACT('Internal Career (Last Position)'!$O544, ""), "", 'Internal Career (Last Position)'!$C544)</f>
        <v>Wahyu Teluk Naga</v>
      </c>
    </row>
    <row r="545" spans="2:4" x14ac:dyDescent="0.2">
      <c r="B545" s="11">
        <f>IF(EXACT('Internal Career (Last Position)'!$O545, ""), "", 'Internal Career (Last Position)'!$O545)</f>
        <v>164000000000542</v>
      </c>
      <c r="C545" s="37">
        <f>IF(EXACT('Internal Career (Last Position)'!$O545, ""), "", 'Internal Career (Last Position)'!$B545)</f>
        <v>32000000000542</v>
      </c>
      <c r="D545" s="38" t="str">
        <f>IF(EXACT('Internal Career (Last Position)'!$O545, ""), "", 'Internal Career (Last Position)'!$C545)</f>
        <v>Wardah Laily Khoiriyah</v>
      </c>
    </row>
    <row r="546" spans="2:4" x14ac:dyDescent="0.2">
      <c r="B546" s="11">
        <f>IF(EXACT('Internal Career (Last Position)'!$O546, ""), "", 'Internal Career (Last Position)'!$O546)</f>
        <v>164000000000543</v>
      </c>
      <c r="C546" s="37">
        <f>IF(EXACT('Internal Career (Last Position)'!$O546, ""), "", 'Internal Career (Last Position)'!$B546)</f>
        <v>32000000000543</v>
      </c>
      <c r="D546" s="38" t="str">
        <f>IF(EXACT('Internal Career (Last Position)'!$O546, ""), "", 'Internal Career (Last Position)'!$C546)</f>
        <v>Wawan Kusworo</v>
      </c>
    </row>
    <row r="547" spans="2:4" x14ac:dyDescent="0.2">
      <c r="B547" s="11">
        <f>IF(EXACT('Internal Career (Last Position)'!$O547, ""), "", 'Internal Career (Last Position)'!$O547)</f>
        <v>164000000000544</v>
      </c>
      <c r="C547" s="37">
        <f>IF(EXACT('Internal Career (Last Position)'!$O547, ""), "", 'Internal Career (Last Position)'!$B547)</f>
        <v>32000000000544</v>
      </c>
      <c r="D547" s="38" t="str">
        <f>IF(EXACT('Internal Career (Last Position)'!$O547, ""), "", 'Internal Career (Last Position)'!$C547)</f>
        <v>Wulanraniasih</v>
      </c>
    </row>
    <row r="548" spans="2:4" x14ac:dyDescent="0.2">
      <c r="B548" s="11">
        <f>IF(EXACT('Internal Career (Last Position)'!$O548, ""), "", 'Internal Career (Last Position)'!$O548)</f>
        <v>164000000000545</v>
      </c>
      <c r="C548" s="37">
        <f>IF(EXACT('Internal Career (Last Position)'!$O548, ""), "", 'Internal Career (Last Position)'!$B548)</f>
        <v>32000000000545</v>
      </c>
      <c r="D548" s="38" t="str">
        <f>IF(EXACT('Internal Career (Last Position)'!$O548, ""), "", 'Internal Career (Last Position)'!$C548)</f>
        <v>Yogi Perbangkara</v>
      </c>
    </row>
    <row r="549" spans="2:4" x14ac:dyDescent="0.2">
      <c r="B549" s="11">
        <f>IF(EXACT('Internal Career (Last Position)'!$O549, ""), "", 'Internal Career (Last Position)'!$O549)</f>
        <v>164000000000546</v>
      </c>
      <c r="C549" s="37">
        <f>IF(EXACT('Internal Career (Last Position)'!$O549, ""), "", 'Internal Career (Last Position)'!$B549)</f>
        <v>32000000000546</v>
      </c>
      <c r="D549" s="38" t="str">
        <f>IF(EXACT('Internal Career (Last Position)'!$O549, ""), "", 'Internal Career (Last Position)'!$C549)</f>
        <v>Yusuf Fathurahman</v>
      </c>
    </row>
    <row r="550" spans="2:4" x14ac:dyDescent="0.2">
      <c r="B550" s="11">
        <f>IF(EXACT('Internal Career (Last Position)'!$O550, ""), "", 'Internal Career (Last Position)'!$O550)</f>
        <v>164000000000547</v>
      </c>
      <c r="C550" s="37">
        <f>IF(EXACT('Internal Career (Last Position)'!$O550, ""), "", 'Internal Career (Last Position)'!$B550)</f>
        <v>32000000000547</v>
      </c>
      <c r="D550" s="38" t="str">
        <f>IF(EXACT('Internal Career (Last Position)'!$O550, ""), "", 'Internal Career (Last Position)'!$C550)</f>
        <v>Zeinurani</v>
      </c>
    </row>
    <row r="551" spans="2:4" x14ac:dyDescent="0.2">
      <c r="B551" s="11">
        <f>IF(EXACT('Internal Career (Last Position)'!$O551, ""), "", 'Internal Career (Last Position)'!$O551)</f>
        <v>164000000000548</v>
      </c>
      <c r="C551" s="37">
        <f>IF(EXACT('Internal Career (Last Position)'!$O551, ""), "", 'Internal Career (Last Position)'!$B551)</f>
        <v>32000000000548</v>
      </c>
      <c r="D551" s="38" t="str">
        <f>IF(EXACT('Internal Career (Last Position)'!$O551, ""), "", 'Internal Career (Last Position)'!$C551)</f>
        <v>Sulaeman</v>
      </c>
    </row>
    <row r="552" spans="2:4" x14ac:dyDescent="0.2">
      <c r="B552" s="11">
        <f>IF(EXACT('Internal Career (Last Position)'!$O552, ""), "", 'Internal Career (Last Position)'!$O552)</f>
        <v>164000000000549</v>
      </c>
      <c r="C552" s="37">
        <f>IF(EXACT('Internal Career (Last Position)'!$O552, ""), "", 'Internal Career (Last Position)'!$B552)</f>
        <v>32000000000549</v>
      </c>
      <c r="D552" s="38" t="str">
        <f>IF(EXACT('Internal Career (Last Position)'!$O552, ""), "", 'Internal Career (Last Position)'!$C552)</f>
        <v>Agus Nuryadi</v>
      </c>
    </row>
    <row r="553" spans="2:4" x14ac:dyDescent="0.2">
      <c r="B553" s="11">
        <f>IF(EXACT('Internal Career (Last Position)'!$O553, ""), "", 'Internal Career (Last Position)'!$O553)</f>
        <v>164000000000550</v>
      </c>
      <c r="C553" s="37">
        <f>IF(EXACT('Internal Career (Last Position)'!$O553, ""), "", 'Internal Career (Last Position)'!$B553)</f>
        <v>32000000000550</v>
      </c>
      <c r="D553" s="38" t="str">
        <f>IF(EXACT('Internal Career (Last Position)'!$O553, ""), "", 'Internal Career (Last Position)'!$C553)</f>
        <v>Dian Tri Rahmawati</v>
      </c>
    </row>
    <row r="554" spans="2:4" x14ac:dyDescent="0.2">
      <c r="B554" s="11">
        <f>IF(EXACT('Internal Career (Last Position)'!$O554, ""), "", 'Internal Career (Last Position)'!$O554)</f>
        <v>164000000000551</v>
      </c>
      <c r="C554" s="37">
        <f>IF(EXACT('Internal Career (Last Position)'!$O554, ""), "", 'Internal Career (Last Position)'!$B554)</f>
        <v>32000000000551</v>
      </c>
      <c r="D554" s="38" t="str">
        <f>IF(EXACT('Internal Career (Last Position)'!$O554, ""), "", 'Internal Career (Last Position)'!$C554)</f>
        <v>Langgeng Eko Dwiantoro</v>
      </c>
    </row>
    <row r="555" spans="2:4" x14ac:dyDescent="0.2">
      <c r="B555" s="11">
        <f>IF(EXACT('Internal Career (Last Position)'!$O555, ""), "", 'Internal Career (Last Position)'!$O555)</f>
        <v>164000000000552</v>
      </c>
      <c r="C555" s="37">
        <f>IF(EXACT('Internal Career (Last Position)'!$O555, ""), "", 'Internal Career (Last Position)'!$B555)</f>
        <v>32000000000552</v>
      </c>
      <c r="D555" s="38" t="str">
        <f>IF(EXACT('Internal Career (Last Position)'!$O555, ""), "", 'Internal Career (Last Position)'!$C555)</f>
        <v>Aldi Rizaldi</v>
      </c>
    </row>
    <row r="556" spans="2:4" x14ac:dyDescent="0.2">
      <c r="B556" s="11">
        <f>IF(EXACT('Internal Career (Last Position)'!$O556, ""), "", 'Internal Career (Last Position)'!$O556)</f>
        <v>164000000000553</v>
      </c>
      <c r="C556" s="37">
        <f>IF(EXACT('Internal Career (Last Position)'!$O556, ""), "", 'Internal Career (Last Position)'!$B556)</f>
        <v>32000000000553</v>
      </c>
      <c r="D556" s="38" t="str">
        <f>IF(EXACT('Internal Career (Last Position)'!$O556, ""), "", 'Internal Career (Last Position)'!$C556)</f>
        <v>Masimin</v>
      </c>
    </row>
    <row r="557" spans="2:4" x14ac:dyDescent="0.2">
      <c r="B557" s="11">
        <f>IF(EXACT('Internal Career (Last Position)'!$O557, ""), "", 'Internal Career (Last Position)'!$O557)</f>
        <v>164000000000554</v>
      </c>
      <c r="C557" s="37">
        <f>IF(EXACT('Internal Career (Last Position)'!$O557, ""), "", 'Internal Career (Last Position)'!$B557)</f>
        <v>32000000000554</v>
      </c>
      <c r="D557" s="38" t="str">
        <f>IF(EXACT('Internal Career (Last Position)'!$O557, ""), "", 'Internal Career (Last Position)'!$C557)</f>
        <v>Santoso Dwi Cahyo</v>
      </c>
    </row>
    <row r="558" spans="2:4" x14ac:dyDescent="0.2">
      <c r="B558" s="11">
        <f>IF(EXACT('Internal Career (Last Position)'!$O558, ""), "", 'Internal Career (Last Position)'!$O558)</f>
        <v>164000000000555</v>
      </c>
      <c r="C558" s="37">
        <f>IF(EXACT('Internal Career (Last Position)'!$O558, ""), "", 'Internal Career (Last Position)'!$B558)</f>
        <v>32000000000555</v>
      </c>
      <c r="D558" s="38" t="str">
        <f>IF(EXACT('Internal Career (Last Position)'!$O558, ""), "", 'Internal Career (Last Position)'!$C558)</f>
        <v>Wartono</v>
      </c>
    </row>
    <row r="559" spans="2:4" x14ac:dyDescent="0.2">
      <c r="B559" s="11">
        <f>IF(EXACT('Internal Career (Last Position)'!$O559, ""), "", 'Internal Career (Last Position)'!$O559)</f>
        <v>164000000000556</v>
      </c>
      <c r="C559" s="37">
        <f>IF(EXACT('Internal Career (Last Position)'!$O559, ""), "", 'Internal Career (Last Position)'!$B559)</f>
        <v>32000000000556</v>
      </c>
      <c r="D559" s="38" t="str">
        <f>IF(EXACT('Internal Career (Last Position)'!$O559, ""), "", 'Internal Career (Last Position)'!$C559)</f>
        <v>Yusarman</v>
      </c>
    </row>
    <row r="560" spans="2:4" x14ac:dyDescent="0.2">
      <c r="B560" s="11">
        <f>IF(EXACT('Internal Career (Last Position)'!$O560, ""), "", 'Internal Career (Last Position)'!$O560)</f>
        <v>164000000000557</v>
      </c>
      <c r="C560" s="37">
        <f>IF(EXACT('Internal Career (Last Position)'!$O560, ""), "", 'Internal Career (Last Position)'!$B560)</f>
        <v>32000000000557</v>
      </c>
      <c r="D560" s="38" t="str">
        <f>IF(EXACT('Internal Career (Last Position)'!$O560, ""), "", 'Internal Career (Last Position)'!$C560)</f>
        <v>Abdul Rachman</v>
      </c>
    </row>
    <row r="561" spans="2:4" x14ac:dyDescent="0.2">
      <c r="B561" s="11">
        <f>IF(EXACT('Internal Career (Last Position)'!$O561, ""), "", 'Internal Career (Last Position)'!$O561)</f>
        <v>164000000000558</v>
      </c>
      <c r="C561" s="37">
        <f>IF(EXACT('Internal Career (Last Position)'!$O561, ""), "", 'Internal Career (Last Position)'!$B561)</f>
        <v>32000000000558</v>
      </c>
      <c r="D561" s="38" t="str">
        <f>IF(EXACT('Internal Career (Last Position)'!$O561, ""), "", 'Internal Career (Last Position)'!$C561)</f>
        <v>Aden Bagus</v>
      </c>
    </row>
    <row r="562" spans="2:4" x14ac:dyDescent="0.2">
      <c r="B562" s="11">
        <f>IF(EXACT('Internal Career (Last Position)'!$O562, ""), "", 'Internal Career (Last Position)'!$O562)</f>
        <v>164000000000559</v>
      </c>
      <c r="C562" s="37">
        <f>IF(EXACT('Internal Career (Last Position)'!$O562, ""), "", 'Internal Career (Last Position)'!$B562)</f>
        <v>32000000000559</v>
      </c>
      <c r="D562" s="38" t="str">
        <f>IF(EXACT('Internal Career (Last Position)'!$O562, ""), "", 'Internal Career (Last Position)'!$C562)</f>
        <v>Adhe Kurniawan</v>
      </c>
    </row>
    <row r="563" spans="2:4" x14ac:dyDescent="0.2">
      <c r="B563" s="11">
        <f>IF(EXACT('Internal Career (Last Position)'!$O563, ""), "", 'Internal Career (Last Position)'!$O563)</f>
        <v>164000000000560</v>
      </c>
      <c r="C563" s="37">
        <f>IF(EXACT('Internal Career (Last Position)'!$O563, ""), "", 'Internal Career (Last Position)'!$B563)</f>
        <v>32000000000560</v>
      </c>
      <c r="D563" s="38" t="str">
        <f>IF(EXACT('Internal Career (Last Position)'!$O563, ""), "", 'Internal Career (Last Position)'!$C563)</f>
        <v>Ahmad Fauzi</v>
      </c>
    </row>
    <row r="564" spans="2:4" x14ac:dyDescent="0.2">
      <c r="B564" s="11">
        <f>IF(EXACT('Internal Career (Last Position)'!$O564, ""), "", 'Internal Career (Last Position)'!$O564)</f>
        <v>164000000000561</v>
      </c>
      <c r="C564" s="37">
        <f>IF(EXACT('Internal Career (Last Position)'!$O564, ""), "", 'Internal Career (Last Position)'!$B564)</f>
        <v>32000000000561</v>
      </c>
      <c r="D564" s="38" t="str">
        <f>IF(EXACT('Internal Career (Last Position)'!$O564, ""), "", 'Internal Career (Last Position)'!$C564)</f>
        <v>Ahmad Gunawan</v>
      </c>
    </row>
    <row r="565" spans="2:4" x14ac:dyDescent="0.2">
      <c r="B565" s="11">
        <f>IF(EXACT('Internal Career (Last Position)'!$O565, ""), "", 'Internal Career (Last Position)'!$O565)</f>
        <v>164000000000562</v>
      </c>
      <c r="C565" s="37">
        <f>IF(EXACT('Internal Career (Last Position)'!$O565, ""), "", 'Internal Career (Last Position)'!$B565)</f>
        <v>32000000000562</v>
      </c>
      <c r="D565" s="38" t="str">
        <f>IF(EXACT('Internal Career (Last Position)'!$O565, ""), "", 'Internal Career (Last Position)'!$C565)</f>
        <v>Andri Andriyan</v>
      </c>
    </row>
    <row r="566" spans="2:4" x14ac:dyDescent="0.2">
      <c r="B566" s="11">
        <f>IF(EXACT('Internal Career (Last Position)'!$O566, ""), "", 'Internal Career (Last Position)'!$O566)</f>
        <v>164000000000563</v>
      </c>
      <c r="C566" s="37">
        <f>IF(EXACT('Internal Career (Last Position)'!$O566, ""), "", 'Internal Career (Last Position)'!$B566)</f>
        <v>32000000000563</v>
      </c>
      <c r="D566" s="38" t="str">
        <f>IF(EXACT('Internal Career (Last Position)'!$O566, ""), "", 'Internal Career (Last Position)'!$C566)</f>
        <v>Budi Sulistianto</v>
      </c>
    </row>
    <row r="567" spans="2:4" x14ac:dyDescent="0.2">
      <c r="B567" s="11">
        <f>IF(EXACT('Internal Career (Last Position)'!$O567, ""), "", 'Internal Career (Last Position)'!$O567)</f>
        <v>164000000000564</v>
      </c>
      <c r="C567" s="37">
        <f>IF(EXACT('Internal Career (Last Position)'!$O567, ""), "", 'Internal Career (Last Position)'!$B567)</f>
        <v>32000000000564</v>
      </c>
      <c r="D567" s="38" t="str">
        <f>IF(EXACT('Internal Career (Last Position)'!$O567, ""), "", 'Internal Career (Last Position)'!$C567)</f>
        <v>Eka Budi</v>
      </c>
    </row>
    <row r="568" spans="2:4" x14ac:dyDescent="0.2">
      <c r="B568" s="11">
        <f>IF(EXACT('Internal Career (Last Position)'!$O568, ""), "", 'Internal Career (Last Position)'!$O568)</f>
        <v>164000000000565</v>
      </c>
      <c r="C568" s="37">
        <f>IF(EXACT('Internal Career (Last Position)'!$O568, ""), "", 'Internal Career (Last Position)'!$B568)</f>
        <v>32000000000565</v>
      </c>
      <c r="D568" s="38" t="str">
        <f>IF(EXACT('Internal Career (Last Position)'!$O568, ""), "", 'Internal Career (Last Position)'!$C568)</f>
        <v>Haerul Gunawan</v>
      </c>
    </row>
    <row r="569" spans="2:4" x14ac:dyDescent="0.2">
      <c r="B569" s="11">
        <f>IF(EXACT('Internal Career (Last Position)'!$O569, ""), "", 'Internal Career (Last Position)'!$O569)</f>
        <v>164000000000566</v>
      </c>
      <c r="C569" s="37">
        <f>IF(EXACT('Internal Career (Last Position)'!$O569, ""), "", 'Internal Career (Last Position)'!$B569)</f>
        <v>32000000000566</v>
      </c>
      <c r="D569" s="38" t="str">
        <f>IF(EXACT('Internal Career (Last Position)'!$O569, ""), "", 'Internal Career (Last Position)'!$C569)</f>
        <v>Irvan Agus</v>
      </c>
    </row>
    <row r="570" spans="2:4" x14ac:dyDescent="0.2">
      <c r="B570" s="11">
        <f>IF(EXACT('Internal Career (Last Position)'!$O570, ""), "", 'Internal Career (Last Position)'!$O570)</f>
        <v>164000000000567</v>
      </c>
      <c r="C570" s="37">
        <f>IF(EXACT('Internal Career (Last Position)'!$O570, ""), "", 'Internal Career (Last Position)'!$B570)</f>
        <v>32000000000567</v>
      </c>
      <c r="D570" s="38" t="str">
        <f>IF(EXACT('Internal Career (Last Position)'!$O570, ""), "", 'Internal Career (Last Position)'!$C570)</f>
        <v>Joshika Pradirga</v>
      </c>
    </row>
    <row r="571" spans="2:4" x14ac:dyDescent="0.2">
      <c r="B571" s="11">
        <f>IF(EXACT('Internal Career (Last Position)'!$O571, ""), "", 'Internal Career (Last Position)'!$O571)</f>
        <v>164000000000568</v>
      </c>
      <c r="C571" s="37">
        <f>IF(EXACT('Internal Career (Last Position)'!$O571, ""), "", 'Internal Career (Last Position)'!$B571)</f>
        <v>32000000000568</v>
      </c>
      <c r="D571" s="38" t="str">
        <f>IF(EXACT('Internal Career (Last Position)'!$O571, ""), "", 'Internal Career (Last Position)'!$C571)</f>
        <v>Khaidir</v>
      </c>
    </row>
    <row r="572" spans="2:4" x14ac:dyDescent="0.2">
      <c r="B572" s="11">
        <f>IF(EXACT('Internal Career (Last Position)'!$O572, ""), "", 'Internal Career (Last Position)'!$O572)</f>
        <v>164000000000569</v>
      </c>
      <c r="C572" s="37">
        <f>IF(EXACT('Internal Career (Last Position)'!$O572, ""), "", 'Internal Career (Last Position)'!$B572)</f>
        <v>32000000000569</v>
      </c>
      <c r="D572" s="38" t="str">
        <f>IF(EXACT('Internal Career (Last Position)'!$O572, ""), "", 'Internal Career (Last Position)'!$C572)</f>
        <v>Latip Muhlanto</v>
      </c>
    </row>
    <row r="573" spans="2:4" x14ac:dyDescent="0.2">
      <c r="B573" s="11">
        <f>IF(EXACT('Internal Career (Last Position)'!$O573, ""), "", 'Internal Career (Last Position)'!$O573)</f>
        <v>164000000000570</v>
      </c>
      <c r="C573" s="37">
        <f>IF(EXACT('Internal Career (Last Position)'!$O573, ""), "", 'Internal Career (Last Position)'!$B573)</f>
        <v>32000000000570</v>
      </c>
      <c r="D573" s="38" t="str">
        <f>IF(EXACT('Internal Career (Last Position)'!$O573, ""), "", 'Internal Career (Last Position)'!$C573)</f>
        <v>Leonardo Putra</v>
      </c>
    </row>
    <row r="574" spans="2:4" x14ac:dyDescent="0.2">
      <c r="B574" s="11">
        <f>IF(EXACT('Internal Career (Last Position)'!$O574, ""), "", 'Internal Career (Last Position)'!$O574)</f>
        <v>164000000000571</v>
      </c>
      <c r="C574" s="37">
        <f>IF(EXACT('Internal Career (Last Position)'!$O574, ""), "", 'Internal Career (Last Position)'!$B574)</f>
        <v>32000000000571</v>
      </c>
      <c r="D574" s="38" t="str">
        <f>IF(EXACT('Internal Career (Last Position)'!$O574, ""), "", 'Internal Career (Last Position)'!$C574)</f>
        <v>Muhammad Ramadani</v>
      </c>
    </row>
    <row r="575" spans="2:4" x14ac:dyDescent="0.2">
      <c r="B575" s="11">
        <f>IF(EXACT('Internal Career (Last Position)'!$O575, ""), "", 'Internal Career (Last Position)'!$O575)</f>
        <v>164000000000572</v>
      </c>
      <c r="C575" s="37">
        <f>IF(EXACT('Internal Career (Last Position)'!$O575, ""), "", 'Internal Career (Last Position)'!$B575)</f>
        <v>32000000000572</v>
      </c>
      <c r="D575" s="38" t="str">
        <f>IF(EXACT('Internal Career (Last Position)'!$O575, ""), "", 'Internal Career (Last Position)'!$C575)</f>
        <v>Musdalipa</v>
      </c>
    </row>
    <row r="576" spans="2:4" x14ac:dyDescent="0.2">
      <c r="B576" s="11">
        <f>IF(EXACT('Internal Career (Last Position)'!$O576, ""), "", 'Internal Career (Last Position)'!$O576)</f>
        <v>164000000000573</v>
      </c>
      <c r="C576" s="37">
        <f>IF(EXACT('Internal Career (Last Position)'!$O576, ""), "", 'Internal Career (Last Position)'!$B576)</f>
        <v>32000000000573</v>
      </c>
      <c r="D576" s="38" t="str">
        <f>IF(EXACT('Internal Career (Last Position)'!$O576, ""), "", 'Internal Career (Last Position)'!$C576)</f>
        <v>Nico Melky</v>
      </c>
    </row>
    <row r="577" spans="2:4" x14ac:dyDescent="0.2">
      <c r="B577" s="11">
        <f>IF(EXACT('Internal Career (Last Position)'!$O577, ""), "", 'Internal Career (Last Position)'!$O577)</f>
        <v>164000000000574</v>
      </c>
      <c r="C577" s="37">
        <f>IF(EXACT('Internal Career (Last Position)'!$O577, ""), "", 'Internal Career (Last Position)'!$B577)</f>
        <v>32000000000574</v>
      </c>
      <c r="D577" s="38" t="str">
        <f>IF(EXACT('Internal Career (Last Position)'!$O577, ""), "", 'Internal Career (Last Position)'!$C577)</f>
        <v>Rahmata Novanisa</v>
      </c>
    </row>
    <row r="578" spans="2:4" x14ac:dyDescent="0.2">
      <c r="B578" s="11">
        <f>IF(EXACT('Internal Career (Last Position)'!$O578, ""), "", 'Internal Career (Last Position)'!$O578)</f>
        <v>164000000000575</v>
      </c>
      <c r="C578" s="37">
        <f>IF(EXACT('Internal Career (Last Position)'!$O578, ""), "", 'Internal Career (Last Position)'!$B578)</f>
        <v>32000000000575</v>
      </c>
      <c r="D578" s="38" t="str">
        <f>IF(EXACT('Internal Career (Last Position)'!$O578, ""), "", 'Internal Career (Last Position)'!$C578)</f>
        <v>Satrio Dhiaputra</v>
      </c>
    </row>
    <row r="579" spans="2:4" x14ac:dyDescent="0.2">
      <c r="B579" s="11">
        <f>IF(EXACT('Internal Career (Last Position)'!$O579, ""), "", 'Internal Career (Last Position)'!$O579)</f>
        <v>164000000000576</v>
      </c>
      <c r="C579" s="37">
        <f>IF(EXACT('Internal Career (Last Position)'!$O579, ""), "", 'Internal Career (Last Position)'!$B579)</f>
        <v>32000000000576</v>
      </c>
      <c r="D579" s="38" t="str">
        <f>IF(EXACT('Internal Career (Last Position)'!$O579, ""), "", 'Internal Career (Last Position)'!$C579)</f>
        <v>Sudirman</v>
      </c>
    </row>
    <row r="580" spans="2:4" x14ac:dyDescent="0.2">
      <c r="B580" s="11">
        <f>IF(EXACT('Internal Career (Last Position)'!$O580, ""), "", 'Internal Career (Last Position)'!$O580)</f>
        <v>164000000000577</v>
      </c>
      <c r="C580" s="37">
        <f>IF(EXACT('Internal Career (Last Position)'!$O580, ""), "", 'Internal Career (Last Position)'!$B580)</f>
        <v>32000000000577</v>
      </c>
      <c r="D580" s="38" t="str">
        <f>IF(EXACT('Internal Career (Last Position)'!$O580, ""), "", 'Internal Career (Last Position)'!$C580)</f>
        <v>Suparji</v>
      </c>
    </row>
    <row r="581" spans="2:4" x14ac:dyDescent="0.2">
      <c r="B581" s="11">
        <f>IF(EXACT('Internal Career (Last Position)'!$O581, ""), "", 'Internal Career (Last Position)'!$O581)</f>
        <v>164000000000578</v>
      </c>
      <c r="C581" s="37">
        <f>IF(EXACT('Internal Career (Last Position)'!$O581, ""), "", 'Internal Career (Last Position)'!$B581)</f>
        <v>32000000000578</v>
      </c>
      <c r="D581" s="38" t="str">
        <f>IF(EXACT('Internal Career (Last Position)'!$O581, ""), "", 'Internal Career (Last Position)'!$C581)</f>
        <v>Taufik Iskandar</v>
      </c>
    </row>
    <row r="582" spans="2:4" x14ac:dyDescent="0.2">
      <c r="B582" s="11">
        <f>IF(EXACT('Internal Career (Last Position)'!$O582, ""), "", 'Internal Career (Last Position)'!$O582)</f>
        <v>164000000000579</v>
      </c>
      <c r="C582" s="37">
        <f>IF(EXACT('Internal Career (Last Position)'!$O582, ""), "", 'Internal Career (Last Position)'!$B582)</f>
        <v>32000000000579</v>
      </c>
      <c r="D582" s="38" t="str">
        <f>IF(EXACT('Internal Career (Last Position)'!$O582, ""), "", 'Internal Career (Last Position)'!$C582)</f>
        <v>Tegar Hersaputra</v>
      </c>
    </row>
    <row r="583" spans="2:4" x14ac:dyDescent="0.2">
      <c r="B583" s="11">
        <f>IF(EXACT('Internal Career (Last Position)'!$O583, ""), "", 'Internal Career (Last Position)'!$O583)</f>
        <v>164000000000580</v>
      </c>
      <c r="C583" s="37">
        <f>IF(EXACT('Internal Career (Last Position)'!$O583, ""), "", 'Internal Career (Last Position)'!$B583)</f>
        <v>32000000000580</v>
      </c>
      <c r="D583" s="38" t="str">
        <f>IF(EXACT('Internal Career (Last Position)'!$O583, ""), "", 'Internal Career (Last Position)'!$C583)</f>
        <v>Togar Sihombing</v>
      </c>
    </row>
    <row r="584" spans="2:4" x14ac:dyDescent="0.2">
      <c r="B584" s="11">
        <f>IF(EXACT('Internal Career (Last Position)'!$O584, ""), "", 'Internal Career (Last Position)'!$O584)</f>
        <v>164000000000581</v>
      </c>
      <c r="C584" s="37">
        <f>IF(EXACT('Internal Career (Last Position)'!$O584, ""), "", 'Internal Career (Last Position)'!$B584)</f>
        <v>32000000000581</v>
      </c>
      <c r="D584" s="38" t="str">
        <f>IF(EXACT('Internal Career (Last Position)'!$O584, ""), "", 'Internal Career (Last Position)'!$C584)</f>
        <v>Wisnu Trenggono Wirayuda</v>
      </c>
    </row>
    <row r="585" spans="2:4" x14ac:dyDescent="0.2">
      <c r="B585" s="11">
        <f>IF(EXACT('Internal Career (Last Position)'!$O585, ""), "", 'Internal Career (Last Position)'!$O585)</f>
        <v>164000000000582</v>
      </c>
      <c r="C585" s="37">
        <f>IF(EXACT('Internal Career (Last Position)'!$O585, ""), "", 'Internal Career (Last Position)'!$B585)</f>
        <v>32000000000582</v>
      </c>
      <c r="D585" s="38" t="str">
        <f>IF(EXACT('Internal Career (Last Position)'!$O585, ""), "", 'Internal Career (Last Position)'!$C585)</f>
        <v>Yogo</v>
      </c>
    </row>
    <row r="586" spans="2:4" x14ac:dyDescent="0.2">
      <c r="B586" s="11">
        <f>IF(EXACT('Internal Career (Last Position)'!$O586, ""), "", 'Internal Career (Last Position)'!$O586)</f>
        <v>164000000000583</v>
      </c>
      <c r="C586" s="37">
        <f>IF(EXACT('Internal Career (Last Position)'!$O586, ""), "", 'Internal Career (Last Position)'!$B586)</f>
        <v>32000000000583</v>
      </c>
      <c r="D586" s="38" t="str">
        <f>IF(EXACT('Internal Career (Last Position)'!$O586, ""), "", 'Internal Career (Last Position)'!$C586)</f>
        <v>Yustiana Firda</v>
      </c>
    </row>
    <row r="587" spans="2:4" x14ac:dyDescent="0.2">
      <c r="B587" s="11">
        <f>IF(EXACT('Internal Career (Last Position)'!$O587, ""), "", 'Internal Career (Last Position)'!$O587)</f>
        <v>164000000000584</v>
      </c>
      <c r="C587" s="37">
        <f>IF(EXACT('Internal Career (Last Position)'!$O587, ""), "", 'Internal Career (Last Position)'!$B587)</f>
        <v>32000000000584</v>
      </c>
      <c r="D587" s="38" t="str">
        <f>IF(EXACT('Internal Career (Last Position)'!$O587, ""), "", 'Internal Career (Last Position)'!$C587)</f>
        <v>Zainal Abidin</v>
      </c>
    </row>
    <row r="588" spans="2:4" x14ac:dyDescent="0.2">
      <c r="B588" s="11">
        <f>IF(EXACT('Internal Career (Last Position)'!$O588, ""), "", 'Internal Career (Last Position)'!$O588)</f>
        <v>164000000000585</v>
      </c>
      <c r="C588" s="37">
        <f>IF(EXACT('Internal Career (Last Position)'!$O588, ""), "", 'Internal Career (Last Position)'!$B588)</f>
        <v>32000000000585</v>
      </c>
      <c r="D588" s="38" t="str">
        <f>IF(EXACT('Internal Career (Last Position)'!$O588, ""), "", 'Internal Career (Last Position)'!$C588)</f>
        <v>Budi Sandika</v>
      </c>
    </row>
    <row r="589" spans="2:4" x14ac:dyDescent="0.2">
      <c r="B589" s="11">
        <f>IF(EXACT('Internal Career (Last Position)'!$O589, ""), "", 'Internal Career (Last Position)'!$O589)</f>
        <v>164000000000586</v>
      </c>
      <c r="C589" s="37">
        <f>IF(EXACT('Internal Career (Last Position)'!$O589, ""), "", 'Internal Career (Last Position)'!$B589)</f>
        <v>32000000000586</v>
      </c>
      <c r="D589" s="38" t="str">
        <f>IF(EXACT('Internal Career (Last Position)'!$O589, ""), "", 'Internal Career (Last Position)'!$C589)</f>
        <v>Fachri Azhar</v>
      </c>
    </row>
    <row r="590" spans="2:4" x14ac:dyDescent="0.2">
      <c r="B590" s="11">
        <f>IF(EXACT('Internal Career (Last Position)'!$O590, ""), "", 'Internal Career (Last Position)'!$O590)</f>
        <v>164000000000587</v>
      </c>
      <c r="C590" s="37">
        <f>IF(EXACT('Internal Career (Last Position)'!$O590, ""), "", 'Internal Career (Last Position)'!$B590)</f>
        <v>32000000000587</v>
      </c>
      <c r="D590" s="38" t="str">
        <f>IF(EXACT('Internal Career (Last Position)'!$O590, ""), "", 'Internal Career (Last Position)'!$C590)</f>
        <v>Firmansyah Awaludin</v>
      </c>
    </row>
    <row r="591" spans="2:4" x14ac:dyDescent="0.2">
      <c r="B591" s="11">
        <f>IF(EXACT('Internal Career (Last Position)'!$O591, ""), "", 'Internal Career (Last Position)'!$O591)</f>
        <v>164000000000588</v>
      </c>
      <c r="C591" s="37">
        <f>IF(EXACT('Internal Career (Last Position)'!$O591, ""), "", 'Internal Career (Last Position)'!$B591)</f>
        <v>32000000000588</v>
      </c>
      <c r="D591" s="38" t="str">
        <f>IF(EXACT('Internal Career (Last Position)'!$O591, ""), "", 'Internal Career (Last Position)'!$C591)</f>
        <v>Iman Faisal Abdurahman</v>
      </c>
    </row>
    <row r="592" spans="2:4" x14ac:dyDescent="0.2">
      <c r="B592" s="11">
        <f>IF(EXACT('Internal Career (Last Position)'!$O592, ""), "", 'Internal Career (Last Position)'!$O592)</f>
        <v>164000000000589</v>
      </c>
      <c r="C592" s="37">
        <f>IF(EXACT('Internal Career (Last Position)'!$O592, ""), "", 'Internal Career (Last Position)'!$B592)</f>
        <v>32000000000589</v>
      </c>
      <c r="D592" s="38" t="str">
        <f>IF(EXACT('Internal Career (Last Position)'!$O592, ""), "", 'Internal Career (Last Position)'!$C592)</f>
        <v>Muhammad Irfan Alfikri Rayana</v>
      </c>
    </row>
    <row r="593" spans="2:4" x14ac:dyDescent="0.2">
      <c r="B593" s="11">
        <f>IF(EXACT('Internal Career (Last Position)'!$O593, ""), "", 'Internal Career (Last Position)'!$O593)</f>
        <v>164000000000590</v>
      </c>
      <c r="C593" s="37">
        <f>IF(EXACT('Internal Career (Last Position)'!$O593, ""), "", 'Internal Career (Last Position)'!$B593)</f>
        <v>32000000000590</v>
      </c>
      <c r="D593" s="38" t="str">
        <f>IF(EXACT('Internal Career (Last Position)'!$O593, ""), "", 'Internal Career (Last Position)'!$C593)</f>
        <v>Syafri Johansah</v>
      </c>
    </row>
    <row r="594" spans="2:4" x14ac:dyDescent="0.2">
      <c r="B594" s="11">
        <f>IF(EXACT('Internal Career (Last Position)'!$O594, ""), "", 'Internal Career (Last Position)'!$O594)</f>
        <v>164000000000591</v>
      </c>
      <c r="C594" s="37">
        <f>IF(EXACT('Internal Career (Last Position)'!$O594, ""), "", 'Internal Career (Last Position)'!$B594)</f>
        <v>32000000000591</v>
      </c>
      <c r="D594" s="38" t="str">
        <f>IF(EXACT('Internal Career (Last Position)'!$O594, ""), "", 'Internal Career (Last Position)'!$C594)</f>
        <v>Agus Sobar</v>
      </c>
    </row>
    <row r="595" spans="2:4" x14ac:dyDescent="0.2">
      <c r="B595" s="11">
        <f>IF(EXACT('Internal Career (Last Position)'!$O595, ""), "", 'Internal Career (Last Position)'!$O595)</f>
        <v>164000000000592</v>
      </c>
      <c r="C595" s="37">
        <f>IF(EXACT('Internal Career (Last Position)'!$O595, ""), "", 'Internal Career (Last Position)'!$B595)</f>
        <v>32000000000592</v>
      </c>
      <c r="D595" s="38" t="str">
        <f>IF(EXACT('Internal Career (Last Position)'!$O595, ""), "", 'Internal Career (Last Position)'!$C595)</f>
        <v>Ahmad Sandi Asyuri</v>
      </c>
    </row>
    <row r="596" spans="2:4" x14ac:dyDescent="0.2">
      <c r="B596" s="11">
        <f>IF(EXACT('Internal Career (Last Position)'!$O596, ""), "", 'Internal Career (Last Position)'!$O596)</f>
        <v>164000000000593</v>
      </c>
      <c r="C596" s="37">
        <f>IF(EXACT('Internal Career (Last Position)'!$O596, ""), "", 'Internal Career (Last Position)'!$B596)</f>
        <v>32000000000593</v>
      </c>
      <c r="D596" s="38" t="str">
        <f>IF(EXACT('Internal Career (Last Position)'!$O596, ""), "", 'Internal Career (Last Position)'!$C596)</f>
        <v>Andi Mapasoro</v>
      </c>
    </row>
    <row r="597" spans="2:4" x14ac:dyDescent="0.2">
      <c r="B597" s="11">
        <f>IF(EXACT('Internal Career (Last Position)'!$O597, ""), "", 'Internal Career (Last Position)'!$O597)</f>
        <v>164000000000594</v>
      </c>
      <c r="C597" s="37">
        <f>IF(EXACT('Internal Career (Last Position)'!$O597, ""), "", 'Internal Career (Last Position)'!$B597)</f>
        <v>32000000000594</v>
      </c>
      <c r="D597" s="38" t="str">
        <f>IF(EXACT('Internal Career (Last Position)'!$O597, ""), "", 'Internal Career (Last Position)'!$C597)</f>
        <v>Arie Gustaman</v>
      </c>
    </row>
    <row r="598" spans="2:4" x14ac:dyDescent="0.2">
      <c r="B598" s="11">
        <f>IF(EXACT('Internal Career (Last Position)'!$O598, ""), "", 'Internal Career (Last Position)'!$O598)</f>
        <v>164000000000595</v>
      </c>
      <c r="C598" s="37">
        <f>IF(EXACT('Internal Career (Last Position)'!$O598, ""), "", 'Internal Career (Last Position)'!$B598)</f>
        <v>32000000000595</v>
      </c>
      <c r="D598" s="38" t="str">
        <f>IF(EXACT('Internal Career (Last Position)'!$O598, ""), "", 'Internal Career (Last Position)'!$C598)</f>
        <v>Arief Yulianto</v>
      </c>
    </row>
    <row r="599" spans="2:4" x14ac:dyDescent="0.2">
      <c r="B599" s="11">
        <f>IF(EXACT('Internal Career (Last Position)'!$O599, ""), "", 'Internal Career (Last Position)'!$O599)</f>
        <v>164000000000596</v>
      </c>
      <c r="C599" s="37">
        <f>IF(EXACT('Internal Career (Last Position)'!$O599, ""), "", 'Internal Career (Last Position)'!$B599)</f>
        <v>32000000000596</v>
      </c>
      <c r="D599" s="38" t="str">
        <f>IF(EXACT('Internal Career (Last Position)'!$O599, ""), "", 'Internal Career (Last Position)'!$C599)</f>
        <v>Burhan</v>
      </c>
    </row>
    <row r="600" spans="2:4" x14ac:dyDescent="0.2">
      <c r="B600" s="11">
        <f>IF(EXACT('Internal Career (Last Position)'!$O600, ""), "", 'Internal Career (Last Position)'!$O600)</f>
        <v>164000000000597</v>
      </c>
      <c r="C600" s="37">
        <f>IF(EXACT('Internal Career (Last Position)'!$O600, ""), "", 'Internal Career (Last Position)'!$B600)</f>
        <v>32000000000597</v>
      </c>
      <c r="D600" s="38" t="str">
        <f>IF(EXACT('Internal Career (Last Position)'!$O600, ""), "", 'Internal Career (Last Position)'!$C600)</f>
        <v>Deby Syahputa</v>
      </c>
    </row>
    <row r="601" spans="2:4" x14ac:dyDescent="0.2">
      <c r="B601" s="11">
        <f>IF(EXACT('Internal Career (Last Position)'!$O601, ""), "", 'Internal Career (Last Position)'!$O601)</f>
        <v>164000000000598</v>
      </c>
      <c r="C601" s="37">
        <f>IF(EXACT('Internal Career (Last Position)'!$O601, ""), "", 'Internal Career (Last Position)'!$B601)</f>
        <v>32000000000598</v>
      </c>
      <c r="D601" s="38" t="str">
        <f>IF(EXACT('Internal Career (Last Position)'!$O601, ""), "", 'Internal Career (Last Position)'!$C601)</f>
        <v>Ibrahim Arya Yuda</v>
      </c>
    </row>
    <row r="602" spans="2:4" x14ac:dyDescent="0.2">
      <c r="B602" s="11">
        <f>IF(EXACT('Internal Career (Last Position)'!$O602, ""), "", 'Internal Career (Last Position)'!$O602)</f>
        <v>164000000000599</v>
      </c>
      <c r="C602" s="37">
        <f>IF(EXACT('Internal Career (Last Position)'!$O602, ""), "", 'Internal Career (Last Position)'!$B602)</f>
        <v>32000000000599</v>
      </c>
      <c r="D602" s="38" t="str">
        <f>IF(EXACT('Internal Career (Last Position)'!$O602, ""), "", 'Internal Career (Last Position)'!$C602)</f>
        <v>Jamil</v>
      </c>
    </row>
    <row r="603" spans="2:4" x14ac:dyDescent="0.2">
      <c r="B603" s="11">
        <f>IF(EXACT('Internal Career (Last Position)'!$O603, ""), "", 'Internal Career (Last Position)'!$O603)</f>
        <v>164000000000600</v>
      </c>
      <c r="C603" s="37">
        <f>IF(EXACT('Internal Career (Last Position)'!$O603, ""), "", 'Internal Career (Last Position)'!$B603)</f>
        <v>32000000000600</v>
      </c>
      <c r="D603" s="38" t="str">
        <f>IF(EXACT('Internal Career (Last Position)'!$O603, ""), "", 'Internal Career (Last Position)'!$C603)</f>
        <v>Kiki Prasetyo</v>
      </c>
    </row>
    <row r="604" spans="2:4" x14ac:dyDescent="0.2">
      <c r="B604" s="11">
        <f>IF(EXACT('Internal Career (Last Position)'!$O604, ""), "", 'Internal Career (Last Position)'!$O604)</f>
        <v>164000000000601</v>
      </c>
      <c r="C604" s="37">
        <f>IF(EXACT('Internal Career (Last Position)'!$O604, ""), "", 'Internal Career (Last Position)'!$B604)</f>
        <v>32000000000601</v>
      </c>
      <c r="D604" s="38" t="str">
        <f>IF(EXACT('Internal Career (Last Position)'!$O604, ""), "", 'Internal Career (Last Position)'!$C604)</f>
        <v>Mochamad Ulul Azmi Wira Utama</v>
      </c>
    </row>
    <row r="605" spans="2:4" x14ac:dyDescent="0.2">
      <c r="B605" s="11">
        <f>IF(EXACT('Internal Career (Last Position)'!$O605, ""), "", 'Internal Career (Last Position)'!$O605)</f>
        <v>164000000000602</v>
      </c>
      <c r="C605" s="37">
        <f>IF(EXACT('Internal Career (Last Position)'!$O605, ""), "", 'Internal Career (Last Position)'!$B605)</f>
        <v>32000000000602</v>
      </c>
      <c r="D605" s="38" t="str">
        <f>IF(EXACT('Internal Career (Last Position)'!$O605, ""), "", 'Internal Career (Last Position)'!$C605)</f>
        <v>Muhammad Bilal Sharony</v>
      </c>
    </row>
    <row r="606" spans="2:4" x14ac:dyDescent="0.2">
      <c r="B606" s="11">
        <f>IF(EXACT('Internal Career (Last Position)'!$O606, ""), "", 'Internal Career (Last Position)'!$O606)</f>
        <v>164000000000603</v>
      </c>
      <c r="C606" s="37">
        <f>IF(EXACT('Internal Career (Last Position)'!$O606, ""), "", 'Internal Career (Last Position)'!$B606)</f>
        <v>32000000000603</v>
      </c>
      <c r="D606" s="38" t="str">
        <f>IF(EXACT('Internal Career (Last Position)'!$O606, ""), "", 'Internal Career (Last Position)'!$C606)</f>
        <v>Muhammad Hairul</v>
      </c>
    </row>
    <row r="607" spans="2:4" x14ac:dyDescent="0.2">
      <c r="B607" s="11">
        <f>IF(EXACT('Internal Career (Last Position)'!$O607, ""), "", 'Internal Career (Last Position)'!$O607)</f>
        <v>164000000000604</v>
      </c>
      <c r="C607" s="37">
        <f>IF(EXACT('Internal Career (Last Position)'!$O607, ""), "", 'Internal Career (Last Position)'!$B607)</f>
        <v>32000000000604</v>
      </c>
      <c r="D607" s="38" t="str">
        <f>IF(EXACT('Internal Career (Last Position)'!$O607, ""), "", 'Internal Career (Last Position)'!$C607)</f>
        <v>Muhammad Rizal</v>
      </c>
    </row>
    <row r="608" spans="2:4" x14ac:dyDescent="0.2">
      <c r="B608" s="11">
        <f>IF(EXACT('Internal Career (Last Position)'!$O608, ""), "", 'Internal Career (Last Position)'!$O608)</f>
        <v>164000000000605</v>
      </c>
      <c r="C608" s="37">
        <f>IF(EXACT('Internal Career (Last Position)'!$O608, ""), "", 'Internal Career (Last Position)'!$B608)</f>
        <v>32000000000605</v>
      </c>
      <c r="D608" s="38" t="str">
        <f>IF(EXACT('Internal Career (Last Position)'!$O608, ""), "", 'Internal Career (Last Position)'!$C608)</f>
        <v>Rahmad Dwifar</v>
      </c>
    </row>
    <row r="609" spans="2:4" x14ac:dyDescent="0.2">
      <c r="B609" s="11">
        <f>IF(EXACT('Internal Career (Last Position)'!$O609, ""), "", 'Internal Career (Last Position)'!$O609)</f>
        <v>164000000000606</v>
      </c>
      <c r="C609" s="37">
        <f>IF(EXACT('Internal Career (Last Position)'!$O609, ""), "", 'Internal Career (Last Position)'!$B609)</f>
        <v>32000000000606</v>
      </c>
      <c r="D609" s="38" t="str">
        <f>IF(EXACT('Internal Career (Last Position)'!$O609, ""), "", 'Internal Career (Last Position)'!$C609)</f>
        <v>Reza Sanjaya</v>
      </c>
    </row>
    <row r="610" spans="2:4" x14ac:dyDescent="0.2">
      <c r="B610" s="11">
        <f>IF(EXACT('Internal Career (Last Position)'!$O610, ""), "", 'Internal Career (Last Position)'!$O610)</f>
        <v>164000000000607</v>
      </c>
      <c r="C610" s="37">
        <f>IF(EXACT('Internal Career (Last Position)'!$O610, ""), "", 'Internal Career (Last Position)'!$B610)</f>
        <v>32000000000607</v>
      </c>
      <c r="D610" s="38" t="str">
        <f>IF(EXACT('Internal Career (Last Position)'!$O610, ""), "", 'Internal Career (Last Position)'!$C610)</f>
        <v>Ridwan Nur Muttaqin</v>
      </c>
    </row>
    <row r="611" spans="2:4" x14ac:dyDescent="0.2">
      <c r="B611" s="11">
        <f>IF(EXACT('Internal Career (Last Position)'!$O611, ""), "", 'Internal Career (Last Position)'!$O611)</f>
        <v>164000000000608</v>
      </c>
      <c r="C611" s="37">
        <f>IF(EXACT('Internal Career (Last Position)'!$O611, ""), "", 'Internal Career (Last Position)'!$B611)</f>
        <v>32000000000608</v>
      </c>
      <c r="D611" s="38" t="str">
        <f>IF(EXACT('Internal Career (Last Position)'!$O611, ""), "", 'Internal Career (Last Position)'!$C611)</f>
        <v xml:space="preserve">Risaldi </v>
      </c>
    </row>
    <row r="612" spans="2:4" x14ac:dyDescent="0.2">
      <c r="B612" s="11">
        <f>IF(EXACT('Internal Career (Last Position)'!$O612, ""), "", 'Internal Career (Last Position)'!$O612)</f>
        <v>164000000000609</v>
      </c>
      <c r="C612" s="37">
        <f>IF(EXACT('Internal Career (Last Position)'!$O612, ""), "", 'Internal Career (Last Position)'!$B612)</f>
        <v>32000000000609</v>
      </c>
      <c r="D612" s="38" t="str">
        <f>IF(EXACT('Internal Career (Last Position)'!$O612, ""), "", 'Internal Career (Last Position)'!$C612)</f>
        <v>Risty Alawiyah</v>
      </c>
    </row>
    <row r="613" spans="2:4" x14ac:dyDescent="0.2">
      <c r="B613" s="11">
        <f>IF(EXACT('Internal Career (Last Position)'!$O613, ""), "", 'Internal Career (Last Position)'!$O613)</f>
        <v>164000000000610</v>
      </c>
      <c r="C613" s="37">
        <f>IF(EXACT('Internal Career (Last Position)'!$O613, ""), "", 'Internal Career (Last Position)'!$B613)</f>
        <v>32000000000610</v>
      </c>
      <c r="D613" s="38" t="str">
        <f>IF(EXACT('Internal Career (Last Position)'!$O613, ""), "", 'Internal Career (Last Position)'!$C613)</f>
        <v>Rustono</v>
      </c>
    </row>
    <row r="614" spans="2:4" x14ac:dyDescent="0.2">
      <c r="B614" s="11">
        <f>IF(EXACT('Internal Career (Last Position)'!$O614, ""), "", 'Internal Career (Last Position)'!$O614)</f>
        <v>164000000000611</v>
      </c>
      <c r="C614" s="37">
        <f>IF(EXACT('Internal Career (Last Position)'!$O614, ""), "", 'Internal Career (Last Position)'!$B614)</f>
        <v>32000000000611</v>
      </c>
      <c r="D614" s="38" t="str">
        <f>IF(EXACT('Internal Career (Last Position)'!$O614, ""), "", 'Internal Career (Last Position)'!$C614)</f>
        <v>Solihin</v>
      </c>
    </row>
    <row r="615" spans="2:4" x14ac:dyDescent="0.2">
      <c r="B615" s="11">
        <f>IF(EXACT('Internal Career (Last Position)'!$O615, ""), "", 'Internal Career (Last Position)'!$O615)</f>
        <v>164000000000612</v>
      </c>
      <c r="C615" s="37">
        <f>IF(EXACT('Internal Career (Last Position)'!$O615, ""), "", 'Internal Career (Last Position)'!$B615)</f>
        <v>32000000000612</v>
      </c>
      <c r="D615" s="38" t="str">
        <f>IF(EXACT('Internal Career (Last Position)'!$O615, ""), "", 'Internal Career (Last Position)'!$C615)</f>
        <v>Supriatna</v>
      </c>
    </row>
    <row r="616" spans="2:4" x14ac:dyDescent="0.2">
      <c r="B616" s="11">
        <f>IF(EXACT('Internal Career (Last Position)'!$O616, ""), "", 'Internal Career (Last Position)'!$O616)</f>
        <v>164000000000613</v>
      </c>
      <c r="C616" s="37">
        <f>IF(EXACT('Internal Career (Last Position)'!$O616, ""), "", 'Internal Career (Last Position)'!$B616)</f>
        <v>32000000000613</v>
      </c>
      <c r="D616" s="38" t="str">
        <f>IF(EXACT('Internal Career (Last Position)'!$O616, ""), "", 'Internal Career (Last Position)'!$C616)</f>
        <v>Taufik Aminudin</v>
      </c>
    </row>
    <row r="617" spans="2:4" x14ac:dyDescent="0.2">
      <c r="B617" s="11">
        <f>IF(EXACT('Internal Career (Last Position)'!$O617, ""), "", 'Internal Career (Last Position)'!$O617)</f>
        <v>164000000000614</v>
      </c>
      <c r="C617" s="37">
        <f>IF(EXACT('Internal Career (Last Position)'!$O617, ""), "", 'Internal Career (Last Position)'!$B617)</f>
        <v>32000000000614</v>
      </c>
      <c r="D617" s="38" t="str">
        <f>IF(EXACT('Internal Career (Last Position)'!$O617, ""), "", 'Internal Career (Last Position)'!$C617)</f>
        <v>Timotius Tabun</v>
      </c>
    </row>
    <row r="618" spans="2:4" x14ac:dyDescent="0.2">
      <c r="B618" s="11">
        <f>IF(EXACT('Internal Career (Last Position)'!$O618, ""), "", 'Internal Career (Last Position)'!$O618)</f>
        <v>164000000000615</v>
      </c>
      <c r="C618" s="37">
        <f>IF(EXACT('Internal Career (Last Position)'!$O618, ""), "", 'Internal Career (Last Position)'!$B618)</f>
        <v>32000000000615</v>
      </c>
      <c r="D618" s="38" t="str">
        <f>IF(EXACT('Internal Career (Last Position)'!$O618, ""), "", 'Internal Career (Last Position)'!$C618)</f>
        <v>Adi</v>
      </c>
    </row>
    <row r="619" spans="2:4" x14ac:dyDescent="0.2">
      <c r="B619" s="11">
        <f>IF(EXACT('Internal Career (Last Position)'!$O619, ""), "", 'Internal Career (Last Position)'!$O619)</f>
        <v>164000000000616</v>
      </c>
      <c r="C619" s="37">
        <f>IF(EXACT('Internal Career (Last Position)'!$O619, ""), "", 'Internal Career (Last Position)'!$B619)</f>
        <v>32000000000616</v>
      </c>
      <c r="D619" s="38" t="str">
        <f>IF(EXACT('Internal Career (Last Position)'!$O619, ""), "", 'Internal Career (Last Position)'!$C619)</f>
        <v>Andrean Fahrizi</v>
      </c>
    </row>
    <row r="620" spans="2:4" x14ac:dyDescent="0.2">
      <c r="B620" s="11">
        <f>IF(EXACT('Internal Career (Last Position)'!$O620, ""), "", 'Internal Career (Last Position)'!$O620)</f>
        <v>164000000000617</v>
      </c>
      <c r="C620" s="37">
        <f>IF(EXACT('Internal Career (Last Position)'!$O620, ""), "", 'Internal Career (Last Position)'!$B620)</f>
        <v>32000000000617</v>
      </c>
      <c r="D620" s="38" t="str">
        <f>IF(EXACT('Internal Career (Last Position)'!$O620, ""), "", 'Internal Career (Last Position)'!$C620)</f>
        <v>Amar Abdilah</v>
      </c>
    </row>
    <row r="621" spans="2:4" x14ac:dyDescent="0.2">
      <c r="B621" s="11">
        <f>IF(EXACT('Internal Career (Last Position)'!$O621, ""), "", 'Internal Career (Last Position)'!$O621)</f>
        <v>164000000000618</v>
      </c>
      <c r="C621" s="37">
        <f>IF(EXACT('Internal Career (Last Position)'!$O621, ""), "", 'Internal Career (Last Position)'!$B621)</f>
        <v>32000000000618</v>
      </c>
      <c r="D621" s="38" t="str">
        <f>IF(EXACT('Internal Career (Last Position)'!$O621, ""), "", 'Internal Career (Last Position)'!$C621)</f>
        <v>Heru Indra Permana</v>
      </c>
    </row>
    <row r="622" spans="2:4" x14ac:dyDescent="0.2">
      <c r="B622" s="11">
        <f>IF(EXACT('Internal Career (Last Position)'!$O622, ""), "", 'Internal Career (Last Position)'!$O622)</f>
        <v>164000000000619</v>
      </c>
      <c r="C622" s="37">
        <f>IF(EXACT('Internal Career (Last Position)'!$O622, ""), "", 'Internal Career (Last Position)'!$B622)</f>
        <v>32000000000619</v>
      </c>
      <c r="D622" s="38" t="str">
        <f>IF(EXACT('Internal Career (Last Position)'!$O622, ""), "", 'Internal Career (Last Position)'!$C622)</f>
        <v>Budi Santosa (KSO)</v>
      </c>
    </row>
    <row r="623" spans="2:4" x14ac:dyDescent="0.2">
      <c r="B623" s="11">
        <f>IF(EXACT('Internal Career (Last Position)'!$O623, ""), "", 'Internal Career (Last Position)'!$O623)</f>
        <v>164000000000620</v>
      </c>
      <c r="C623" s="37">
        <f>IF(EXACT('Internal Career (Last Position)'!$O623, ""), "", 'Internal Career (Last Position)'!$B623)</f>
        <v>32000000000620</v>
      </c>
      <c r="D623" s="38" t="str">
        <f>IF(EXACT('Internal Career (Last Position)'!$O623, ""), "", 'Internal Career (Last Position)'!$C623)</f>
        <v>Haryono</v>
      </c>
    </row>
    <row r="624" spans="2:4" x14ac:dyDescent="0.2">
      <c r="B624" s="11">
        <f>IF(EXACT('Internal Career (Last Position)'!$O624, ""), "", 'Internal Career (Last Position)'!$O624)</f>
        <v>164000000000621</v>
      </c>
      <c r="C624" s="37">
        <f>IF(EXACT('Internal Career (Last Position)'!$O624, ""), "", 'Internal Career (Last Position)'!$B624)</f>
        <v>32000000000621</v>
      </c>
      <c r="D624" s="38" t="str">
        <f>IF(EXACT('Internal Career (Last Position)'!$O624, ""), "", 'Internal Career (Last Position)'!$C624)</f>
        <v>Indah Sri Rejeki</v>
      </c>
    </row>
    <row r="625" spans="2:4" x14ac:dyDescent="0.2">
      <c r="B625" s="11" t="str">
        <f>IF(EXACT('Internal Career (Last Position)'!$O625, ""), "", 'Internal Career (Last Position)'!$O625)</f>
        <v/>
      </c>
      <c r="C625" s="37" t="str">
        <f>IF(EXACT('Internal Career (Last Position)'!$O625, ""), "", 'Internal Career (Last Position)'!$B625)</f>
        <v/>
      </c>
      <c r="D625" s="38" t="str">
        <f>IF(EXACT('Internal Career (Last Position)'!$O625, ""), "", 'Internal Career (Last Position)'!$C625)</f>
        <v/>
      </c>
    </row>
  </sheetData>
  <pageMargins left="0.7" right="0.7" top="0.75" bottom="0.75" header="0.3" footer="0.3"/>
  <pageSetup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P18"/>
  <sheetViews>
    <sheetView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K12" sqref="K12:K14"/>
    </sheetView>
  </sheetViews>
  <sheetFormatPr defaultRowHeight="12.75" x14ac:dyDescent="0.2"/>
  <cols>
    <col min="1" max="1" width="2.85546875" style="1" customWidth="1"/>
    <col min="2" max="2" width="13.140625" style="3" bestFit="1" customWidth="1"/>
    <col min="3" max="3" width="18.7109375" style="1" bestFit="1" customWidth="1"/>
    <col min="4" max="4" width="14" style="5" bestFit="1" customWidth="1"/>
    <col min="5" max="5" width="23.5703125" style="74" bestFit="1" customWidth="1"/>
    <col min="6" max="6" width="14" style="73" bestFit="1" customWidth="1"/>
    <col min="7" max="7" width="22.5703125" style="74" bestFit="1" customWidth="1"/>
    <col min="8" max="8" width="15.28515625" style="5" bestFit="1" customWidth="1"/>
    <col min="9" max="9" width="15.5703125" style="5" customWidth="1"/>
    <col min="10" max="10" width="21.140625" style="74" bestFit="1" customWidth="1"/>
    <col min="11" max="12" width="18.28515625" style="5" bestFit="1" customWidth="1"/>
    <col min="13" max="13" width="15.5703125" style="5" customWidth="1"/>
    <col min="14" max="14" width="3" style="1" customWidth="1"/>
    <col min="15" max="15" width="14" style="2" bestFit="1" customWidth="1"/>
    <col min="16" max="16384" width="9.140625" style="1"/>
  </cols>
  <sheetData>
    <row r="1" spans="2:16" ht="15" customHeight="1" thickBot="1" x14ac:dyDescent="0.25"/>
    <row r="2" spans="2:16" s="8" customFormat="1" ht="38.25" x14ac:dyDescent="0.25">
      <c r="B2" s="33" t="s">
        <v>53</v>
      </c>
      <c r="C2" s="16" t="str">
        <f>DataLookUp!D2</f>
        <v>Person Name</v>
      </c>
      <c r="D2" s="16" t="s">
        <v>54</v>
      </c>
      <c r="E2" s="16" t="s">
        <v>65</v>
      </c>
      <c r="F2" s="40" t="s">
        <v>55</v>
      </c>
      <c r="G2" s="16" t="s">
        <v>275</v>
      </c>
      <c r="H2" s="16" t="s">
        <v>56</v>
      </c>
      <c r="I2" s="16" t="s">
        <v>290</v>
      </c>
      <c r="J2" s="16" t="s">
        <v>291</v>
      </c>
      <c r="K2" s="61" t="s">
        <v>0</v>
      </c>
      <c r="L2" s="16" t="s">
        <v>1</v>
      </c>
      <c r="M2" s="17" t="s">
        <v>2</v>
      </c>
      <c r="O2" s="25" t="s">
        <v>58</v>
      </c>
      <c r="P2" s="26" t="s">
        <v>59</v>
      </c>
    </row>
    <row r="3" spans="2:16" s="8" customFormat="1" ht="13.5" thickBot="1" x14ac:dyDescent="0.25">
      <c r="B3" s="34"/>
      <c r="C3" s="19"/>
      <c r="D3" s="19"/>
      <c r="E3" s="88"/>
      <c r="F3" s="90"/>
      <c r="G3" s="88"/>
      <c r="H3" s="88"/>
      <c r="I3" s="19"/>
      <c r="J3" s="75"/>
      <c r="K3" s="62"/>
      <c r="L3" s="19"/>
      <c r="M3" s="20"/>
      <c r="O3" s="27">
        <f ca="1">MAX(OFFSET('Internal Career (Last Position)'!O3,0,0,1000,1))</f>
        <v>164000000000621</v>
      </c>
      <c r="P3" s="28"/>
    </row>
    <row r="4" spans="2:16" x14ac:dyDescent="0.2">
      <c r="B4" s="94">
        <f>'Internal Career (Last Position)'!B78</f>
        <v>32000000000075</v>
      </c>
      <c r="C4" s="68" t="str">
        <f>IF(EXACT($B4, ""), "", VLOOKUP($B4, DataLookUp!$B$4:$D$1000, 3, FALSE))</f>
        <v>Belina Lindarwani</v>
      </c>
      <c r="D4" s="70">
        <v>163000000000008</v>
      </c>
      <c r="E4" s="95" t="str">
        <f>IF(EXACT($D4, ""), "", VLOOKUP($D4, [2]DataLookUp!$B$4:$D$15, 2, FALSE ))</f>
        <v>Karyawan Magang</v>
      </c>
      <c r="F4" s="73">
        <v>111000000000005</v>
      </c>
      <c r="G4" s="84" t="str">
        <f>IF(EXACT($F4, ""), "", VLOOKUP($F4, 'MAIN - OrgDepartment'!$C$3:$D$104, 2, FALSE))</f>
        <v>Finance &amp; Accounting</v>
      </c>
      <c r="H4" s="89"/>
      <c r="I4" s="37" t="str">
        <f>IF(EXACT($H4, ""), "", VLOOKUP($H4, 'MAIN - OrgJobsPos'!$B$2:$C$101, 2, FALSE))</f>
        <v/>
      </c>
      <c r="J4" s="76" t="s">
        <v>161</v>
      </c>
      <c r="K4" s="79" t="s">
        <v>214</v>
      </c>
      <c r="L4" s="79" t="s">
        <v>259</v>
      </c>
      <c r="M4" s="79"/>
      <c r="O4" s="29">
        <f ca="1" xml:space="preserve"> O3 + IF(EXACT(P4, ""), 0, 1)</f>
        <v>164000000000622</v>
      </c>
      <c r="P4" s="30" t="str">
        <f>CONCATENATE("PERFORM ""SchData-OLTP-HumanResource"".""Func_TblWorkerCareerInternal_SET""(varSystemLoginSession, null::bigint, null::varchar",
CONCATENATE(IF(EXACT(K4, ""), ", null", CONCATENATE(", '", K4, "'")), "::timestamptz"),
CONCATENATE(IF(EXACT(L4, ""), ", null", CONCATENATE(", '", L4, "'")), "::timestamptz"),
", null::varchar, varInstitutionBranchID, varBaseCurrencyID",
CONCATENATE(IF(EXACT(B4, ""), ", null", CONCATENATE(", ", B4, "")), "::bigint"),
CONCATENATE(IF(EXACT(D4, ""), ", null", CONCATENATE(", ", D4, "")), "::bigint"),
CONCATENATE(IF(EXACT(F4, ""), ", null", CONCATENATE(", ", F4, "")), "::bigint"),
CONCATENATE(IF(EXACT(H4, ""), ", null", CONCATENATE(", ", H4, "")), "::bigint"),
CONCATENATE(IF(EXACT($J4, ""), ", null", CONCATENATE(", '", $J4, "'")), "::varchar"),
CONCATENATE(IF(EXACT(K4, ""), ", null", CONCATENATE(", '", K4, "'")), "::timestamptz"),
CONCATENATE(IF(EXACT(L4, ""), ", null", CONCATENATE(", '", L4, "'")), "::timestamptz"),
CONCATENATE(IF(EXACT(M4, ""), ", null", CONCATENATE(", ", M4, "")), "::bigint"),
");")</f>
        <v>PERFORM "SchData-OLTP-HumanResource"."Func_TblWorkerCareerInternal_SET"(varSystemLoginSession, null::bigint, null::varchar, '2020-02-11 00:00:00+07'::timestamptz, '2020-09-09 23:59:59+07'::timestamptz, null::varchar, varInstitutionBranchID, varBaseCurrencyID, 32000000000075::bigint, 163000000000008::bigint, 111000000000005::bigint, null::bigint, 'Tax Internship'::varchar, '2020-02-11 00:00:00+07'::timestamptz, '2020-09-09 23:59:59+07'::timestamptz, null::bigint);</v>
      </c>
    </row>
    <row r="5" spans="2:16" x14ac:dyDescent="0.2">
      <c r="B5" s="91">
        <f>'Internal Career (Last Position)'!B20</f>
        <v>32000000000017</v>
      </c>
      <c r="C5" s="38" t="str">
        <f>IF(EXACT($B5, ""), "", VLOOKUP($B5, DataLookUp!$B$4:$D$1000, 3, FALSE))</f>
        <v>Ahmad Faiz Haems Muda</v>
      </c>
      <c r="D5" s="11">
        <v>163000000000002</v>
      </c>
      <c r="E5" s="85" t="str">
        <f>IF(EXACT($D5, ""), "", VLOOKUP($D5, [2]DataLookUp!$B$4:$D$15, 2, FALSE ))</f>
        <v>Karyawan Tetap (Purna Waktu)</v>
      </c>
      <c r="F5" s="3">
        <v>111000000000006</v>
      </c>
      <c r="G5" s="85" t="str">
        <f>IF(EXACT($F5, ""), "", VLOOKUP($F5, 'MAIN - OrgDepartment'!$C$3:$D$104, 2, FALSE))</f>
        <v>Human Resource Development</v>
      </c>
      <c r="H5" s="3">
        <v>160000000000005</v>
      </c>
      <c r="I5" s="37" t="str">
        <f>IF(EXACT($H5, ""), "", VLOOKUP($H5, 'MAIN - OrgJobsPos'!$B$2:$C$101, 2, FALSE))</f>
        <v>Senior Supervisor</v>
      </c>
      <c r="J5" s="77" t="s">
        <v>207</v>
      </c>
      <c r="K5" s="71"/>
      <c r="L5" s="71"/>
      <c r="M5" s="71"/>
      <c r="O5" s="29">
        <f ca="1" xml:space="preserve"> O4 + IF(EXACT(P5, ""), 0, 1)</f>
        <v>164000000000623</v>
      </c>
      <c r="P5" s="30" t="str">
        <f t="shared" ref="P5:P7" si="0">CONCATENATE("PERFORM ""SchData-OLTP-HumanResource"".""Func_TblWorkerCareerInternal_SET""(varSystemLoginSession, null::bigint, null::varchar",
CONCATENATE(IF(EXACT(K5, ""), ", null", CONCATENATE(", '", K5, "'")), "::timestamptz"),
CONCATENATE(IF(EXACT(L5, ""), ", null", CONCATENATE(", '", L5, "'")), "::timestamptz"),
", null::varchar, varInstitutionBranchID, varBaseCurrencyID",
CONCATENATE(IF(EXACT(B5, ""), ", null", CONCATENATE(", ", B5, "")), "::bigint"),
CONCATENATE(IF(EXACT(D5, ""), ", null", CONCATENATE(", ", D5, "")), "::bigint"),
CONCATENATE(IF(EXACT(F5, ""), ", null", CONCATENATE(", ", F5, "")), "::bigint"),
CONCATENATE(IF(EXACT(H5, ""), ", null", CONCATENATE(", ", H5, "")), "::bigint"),
CONCATENATE(IF(EXACT($J5, ""), ", null", CONCATENATE(", '", $J5, "'")), "::varchar"),
CONCATENATE(IF(EXACT(K5, ""), ", null", CONCATENATE(", '", K5, "'")), "::timestamptz"),
CONCATENATE(IF(EXACT(L5, ""), ", null", CONCATENATE(", '", L5, "'")), "::timestamptz"),
CONCATENATE(IF(EXACT(M5, ""), ", null", CONCATENATE(", ", M5, "")), "::bigint"),
");")</f>
        <v>PERFORM "SchData-OLTP-HumanResource"."Func_TblWorkerCareerInternal_SET"(varSystemLoginSession, null::bigint, null::varchar, null::timestamptz, null::timestamptz, null::varchar, varInstitutionBranchID, varBaseCurrencyID, 32000000000017::bigint, 163000000000002::bigint, 111000000000006::bigint, 160000000000005::bigint, 'HR Coordinator'::varchar, null::timestamptz, null::timestamptz, null::bigint);</v>
      </c>
    </row>
    <row r="6" spans="2:16" x14ac:dyDescent="0.2">
      <c r="B6" s="91">
        <f>'Internal Career (Last Position)'!B375</f>
        <v>32000000000372</v>
      </c>
      <c r="C6" s="38" t="str">
        <f>IF(EXACT($B6, ""), "", VLOOKUP($B6, DataLookUp!$B$4:$D$1000, 3, FALSE))</f>
        <v>Roy Aditya</v>
      </c>
      <c r="D6" s="11">
        <v>163000000000003</v>
      </c>
      <c r="E6" s="85" t="str">
        <f>IF(EXACT($D6, ""), "", VLOOKUP($D6, [2]DataLookUp!$B$4:$D$15, 2, FALSE ))</f>
        <v>Karyawan Tidak Tetap (Kontrak)</v>
      </c>
      <c r="F6" s="91">
        <v>111000000000023</v>
      </c>
      <c r="G6" s="86" t="str">
        <f>IF(EXACT($F6, ""), "", VLOOKUP($F6, 'MAIN - OrgDepartment'!$C$3:$D$104, 2, FALSE))</f>
        <v>Operation &amp; Maintenance</v>
      </c>
      <c r="H6" s="3">
        <v>160000000000003</v>
      </c>
      <c r="I6" s="37" t="str">
        <f>IF(EXACT($H6, ""), "", VLOOKUP($H6, 'MAIN - OrgJobsPos'!$B$2:$C$101, 2, FALSE))</f>
        <v>Staff</v>
      </c>
      <c r="J6" s="78" t="s">
        <v>203</v>
      </c>
      <c r="K6" s="71"/>
      <c r="L6" s="71" t="s">
        <v>260</v>
      </c>
      <c r="M6" s="71"/>
      <c r="O6" s="29">
        <f ca="1" xml:space="preserve"> O5 + IF(EXACT(P6, ""), 0, 1)</f>
        <v>164000000000624</v>
      </c>
      <c r="P6" s="30" t="str">
        <f t="shared" si="0"/>
        <v>PERFORM "SchData-OLTP-HumanResource"."Func_TblWorkerCareerInternal_SET"(varSystemLoginSession, null::bigint, null::varchar, null::timestamptz, '2021-09-15 23:59:59+07'::timestamptz, null::varchar, varInstitutionBranchID, varBaseCurrencyID, 32000000000372::bigint, 163000000000003::bigint, 111000000000023::bigint, 160000000000003::bigint, 'Telco &amp; Stringing Coordinator'::varchar, null::timestamptz, '2021-09-15 23:59:59+07'::timestamptz, null::bigint);</v>
      </c>
    </row>
    <row r="7" spans="2:16" x14ac:dyDescent="0.2">
      <c r="B7" s="91">
        <v>32000000000120</v>
      </c>
      <c r="C7" s="38" t="str">
        <f>IF(EXACT($B7, ""), "", VLOOKUP($B7, DataLookUp!$B$4:$D$1000, 3, FALSE))</f>
        <v>Edy Syahputra Situmeang</v>
      </c>
      <c r="D7" s="11">
        <v>163000000000003</v>
      </c>
      <c r="E7" s="86" t="str">
        <f>IF(EXACT($D7, ""), "", VLOOKUP($D7, [2]DataLookUp!$B$4:$D$15, 2, FALSE ))</f>
        <v>Karyawan Tidak Tetap (Kontrak)</v>
      </c>
      <c r="F7" s="91">
        <v>111000000000024</v>
      </c>
      <c r="G7" s="86" t="str">
        <f>IF(EXACT($F7, ""), "", VLOOKUP($F7, 'MAIN - OrgDepartment'!$C$3:$D$104, 2, FALSE))</f>
        <v>Warehouse &amp; TAM</v>
      </c>
      <c r="H7" s="3">
        <v>160000000000003</v>
      </c>
      <c r="I7" s="37" t="str">
        <f>IF(EXACT($H7, ""), "", VLOOKUP($H7, 'MAIN - OrgJobsPos'!$B$2:$C$101, 2, FALSE))</f>
        <v>Staff</v>
      </c>
      <c r="J7" s="78" t="s">
        <v>198</v>
      </c>
      <c r="K7" s="71"/>
      <c r="L7" s="71"/>
      <c r="M7" s="71"/>
      <c r="O7" s="29">
        <f ca="1" xml:space="preserve"> O6 + IF(EXACT(P7, ""), 0, 1)</f>
        <v>164000000000625</v>
      </c>
      <c r="P7" s="30" t="str">
        <f t="shared" si="0"/>
        <v>PERFORM "SchData-OLTP-HumanResource"."Func_TblWorkerCareerInternal_SET"(varSystemLoginSession, null::bigint, null::varchar, null::timestamptz, null::timestamptz, null::varchar, varInstitutionBranchID, varBaseCurrencyID, 32000000000120::bigint, 163000000000003::bigint, 111000000000024::bigint, 160000000000003::bigint, 'Operator Stringing Machine'::varchar, null::timestamptz, null::timestamptz, null::bigint);</v>
      </c>
    </row>
    <row r="8" spans="2:16" x14ac:dyDescent="0.2">
      <c r="B8" s="91"/>
      <c r="C8" s="38" t="str">
        <f>IF(EXACT($B8, ""), "", VLOOKUP($B8, DataLookUp!$B$4:$D$1000, 3, FALSE))</f>
        <v/>
      </c>
      <c r="D8" s="71"/>
      <c r="E8" s="86" t="str">
        <f>IF(EXACT($D8, ""), "", VLOOKUP($D8, [2]DataLookUp!$B$4:$D$15, 2, FALSE ))</f>
        <v/>
      </c>
      <c r="G8" s="86" t="str">
        <f>IF(EXACT($F8, ""), "", VLOOKUP($F8, 'MAIN - OrgDepartment'!$C$3:$D$104, 2, FALSE))</f>
        <v/>
      </c>
      <c r="I8" s="37" t="str">
        <f>IF(EXACT($H8, ""), "", VLOOKUP($H8, 'MAIN - OrgJobsPos'!$B$2:$C$101, 2, FALSE))</f>
        <v/>
      </c>
      <c r="J8" s="78"/>
      <c r="K8" s="71"/>
      <c r="L8" s="71"/>
      <c r="M8" s="71"/>
      <c r="O8" s="29"/>
    </row>
    <row r="9" spans="2:16" x14ac:dyDescent="0.2">
      <c r="B9" s="91"/>
      <c r="C9" s="38" t="str">
        <f>IF(EXACT($B9, ""), "", VLOOKUP($B9, DataLookUp!$B$4:$D$1000, 3, FALSE))</f>
        <v/>
      </c>
      <c r="D9" s="71"/>
      <c r="E9" s="86" t="str">
        <f>IF(EXACT($D9, ""), "", VLOOKUP($D9, [2]DataLookUp!$B$4:$D$15, 2, FALSE ))</f>
        <v/>
      </c>
      <c r="G9" s="86" t="str">
        <f>IF(EXACT($F9, ""), "", VLOOKUP($F9, 'MAIN - OrgDepartment'!$C$3:$D$104, 2, FALSE))</f>
        <v/>
      </c>
      <c r="I9" s="37" t="str">
        <f>IF(EXACT($H9, ""), "", VLOOKUP($H9, 'MAIN - OrgJobsPos'!$B$2:$C$101, 2, FALSE))</f>
        <v/>
      </c>
      <c r="J9" s="78"/>
      <c r="K9" s="71"/>
      <c r="L9" s="71"/>
      <c r="M9" s="71"/>
      <c r="O9" s="29"/>
    </row>
    <row r="10" spans="2:16" x14ac:dyDescent="0.2">
      <c r="B10" s="91"/>
      <c r="C10" s="38" t="str">
        <f>IF(EXACT($B10, ""), "", VLOOKUP($B10, DataLookUp!$B$4:$D$1000, 3, FALSE))</f>
        <v/>
      </c>
      <c r="D10" s="71"/>
      <c r="E10" s="86" t="str">
        <f>IF(EXACT($D10, ""), "", VLOOKUP($D10, [2]DataLookUp!$B$4:$D$15, 2, FALSE ))</f>
        <v/>
      </c>
      <c r="G10" s="86" t="str">
        <f>IF(EXACT($F10, ""), "", VLOOKUP($F10, 'MAIN - OrgDepartment'!$C$3:$D$104, 2, FALSE))</f>
        <v/>
      </c>
      <c r="I10" s="37" t="str">
        <f>IF(EXACT($H10, ""), "", VLOOKUP($H10, 'MAIN - OrgJobsPos'!$B$2:$C$101, 2, FALSE))</f>
        <v/>
      </c>
      <c r="J10" s="78"/>
      <c r="K10" s="71"/>
      <c r="L10" s="71"/>
      <c r="M10" s="71"/>
      <c r="O10" s="29"/>
    </row>
    <row r="11" spans="2:16" x14ac:dyDescent="0.2">
      <c r="B11" s="91"/>
      <c r="C11" s="38" t="str">
        <f>IF(EXACT($B11, ""), "", VLOOKUP($B11, DataLookUp!$B$4:$D$1000, 3, FALSE))</f>
        <v/>
      </c>
      <c r="D11" s="71"/>
      <c r="E11" s="86" t="str">
        <f>IF(EXACT($D11, ""), "", VLOOKUP($D11, [2]DataLookUp!$B$4:$D$15, 2, FALSE ))</f>
        <v/>
      </c>
      <c r="G11" s="86" t="str">
        <f>IF(EXACT($F11, ""), "", VLOOKUP($F11, 'MAIN - OrgDepartment'!$C$3:$D$104, 2, FALSE))</f>
        <v/>
      </c>
      <c r="I11" s="37" t="str">
        <f>IF(EXACT($H11, ""), "", VLOOKUP($H11, 'MAIN - OrgJobsPos'!$B$2:$C$101, 2, FALSE))</f>
        <v/>
      </c>
      <c r="J11" s="78"/>
      <c r="K11" s="71"/>
      <c r="L11" s="71"/>
      <c r="M11" s="71"/>
      <c r="O11" s="29"/>
    </row>
    <row r="12" spans="2:16" x14ac:dyDescent="0.2">
      <c r="B12" s="91"/>
      <c r="C12" s="38" t="str">
        <f>IF(EXACT($B12, ""), "", VLOOKUP($B12, DataLookUp!$B$4:$D$1000, 3, FALSE))</f>
        <v/>
      </c>
      <c r="D12" s="71"/>
      <c r="E12" s="86" t="str">
        <f>IF(EXACT($D12, ""), "", VLOOKUP($D12, [2]DataLookUp!$B$4:$D$15, 2, FALSE ))</f>
        <v/>
      </c>
      <c r="G12" s="86" t="str">
        <f>IF(EXACT($F12, ""), "", VLOOKUP($F12, 'MAIN - OrgDepartment'!$C$3:$D$104, 2, FALSE))</f>
        <v/>
      </c>
      <c r="I12" s="37" t="str">
        <f>IF(EXACT($H12, ""), "", VLOOKUP($H12, 'MAIN - OrgJobsPos'!$B$2:$C$101, 2, FALSE))</f>
        <v/>
      </c>
      <c r="J12" s="78"/>
      <c r="K12" s="71"/>
      <c r="L12" s="71"/>
      <c r="M12" s="71"/>
      <c r="O12" s="29"/>
    </row>
    <row r="13" spans="2:16" x14ac:dyDescent="0.2">
      <c r="B13" s="91"/>
      <c r="C13" s="38" t="str">
        <f>IF(EXACT($B13, ""), "", VLOOKUP($B13, DataLookUp!$B$4:$D$1000, 3, FALSE))</f>
        <v/>
      </c>
      <c r="D13" s="71"/>
      <c r="E13" s="86" t="str">
        <f>IF(EXACT($D13, ""), "", VLOOKUP($D13, [2]DataLookUp!$B$4:$D$15, 2, FALSE ))</f>
        <v/>
      </c>
      <c r="G13" s="86" t="str">
        <f>IF(EXACT($F13, ""), "", VLOOKUP($F13, 'MAIN - OrgDepartment'!$C$3:$D$104, 2, FALSE))</f>
        <v/>
      </c>
      <c r="I13" s="37" t="str">
        <f>IF(EXACT($H13, ""), "", VLOOKUP($H13, 'MAIN - OrgJobsPos'!$B$2:$C$101, 2, FALSE))</f>
        <v/>
      </c>
      <c r="J13" s="78"/>
      <c r="K13" s="71"/>
      <c r="L13" s="71"/>
      <c r="M13" s="71"/>
      <c r="O13" s="29"/>
    </row>
    <row r="14" spans="2:16" x14ac:dyDescent="0.2">
      <c r="B14" s="91"/>
      <c r="C14" s="38" t="str">
        <f>IF(EXACT($B14, ""), "", VLOOKUP($B14, DataLookUp!$B$4:$D$1000, 3, FALSE))</f>
        <v/>
      </c>
      <c r="D14" s="71"/>
      <c r="E14" s="86" t="str">
        <f>IF(EXACT($D14, ""), "", VLOOKUP($D14, [2]DataLookUp!$B$4:$D$15, 2, FALSE ))</f>
        <v/>
      </c>
      <c r="G14" s="86" t="str">
        <f>IF(EXACT($F14, ""), "", VLOOKUP($F14, 'MAIN - OrgDepartment'!$C$3:$D$104, 2, FALSE))</f>
        <v/>
      </c>
      <c r="I14" s="37" t="str">
        <f>IF(EXACT($H14, ""), "", VLOOKUP($H14, 'MAIN - OrgJobsPos'!$B$2:$C$101, 2, FALSE))</f>
        <v/>
      </c>
      <c r="J14" s="78"/>
      <c r="K14" s="71"/>
      <c r="L14" s="71"/>
      <c r="M14" s="71"/>
      <c r="O14" s="29"/>
    </row>
    <row r="15" spans="2:16" x14ac:dyDescent="0.2">
      <c r="B15" s="91"/>
      <c r="C15" s="38" t="str">
        <f>IF(EXACT($B15, ""), "", VLOOKUP($B15, DataLookUp!$B$4:$D$1000, 3, FALSE))</f>
        <v/>
      </c>
      <c r="D15" s="71"/>
      <c r="E15" s="86" t="str">
        <f>IF(EXACT($D15, ""), "", VLOOKUP($D15, [2]DataLookUp!$B$4:$D$15, 2, FALSE ))</f>
        <v/>
      </c>
      <c r="G15" s="86" t="str">
        <f>IF(EXACT($F15, ""), "", VLOOKUP($F15, 'MAIN - OrgDepartment'!$C$3:$D$104, 2, FALSE))</f>
        <v/>
      </c>
      <c r="I15" s="37" t="str">
        <f>IF(EXACT($H15, ""), "", VLOOKUP($H15, 'MAIN - OrgJobsPos'!$B$2:$C$101, 2, FALSE))</f>
        <v/>
      </c>
      <c r="J15" s="78"/>
      <c r="K15" s="71"/>
      <c r="L15" s="71"/>
      <c r="M15" s="71"/>
      <c r="O15" s="29"/>
    </row>
    <row r="16" spans="2:16" x14ac:dyDescent="0.2">
      <c r="B16" s="91"/>
      <c r="C16" s="38" t="str">
        <f>IF(EXACT($B16, ""), "", VLOOKUP($B16, DataLookUp!$B$4:$D$1000, 3, FALSE))</f>
        <v/>
      </c>
      <c r="D16" s="71"/>
      <c r="E16" s="86" t="str">
        <f>IF(EXACT($D16, ""), "", VLOOKUP($D16, [2]DataLookUp!$B$4:$D$15, 2, FALSE ))</f>
        <v/>
      </c>
      <c r="G16" s="86" t="str">
        <f>IF(EXACT($F16, ""), "", VLOOKUP($F16, 'MAIN - OrgDepartment'!$C$3:$D$104, 2, FALSE))</f>
        <v/>
      </c>
      <c r="I16" s="37" t="str">
        <f>IF(EXACT($H16, ""), "", VLOOKUP($H16, 'MAIN - OrgJobsPos'!$B$2:$C$101, 2, FALSE))</f>
        <v/>
      </c>
      <c r="J16" s="78"/>
      <c r="K16" s="71"/>
      <c r="L16" s="71"/>
      <c r="M16" s="71"/>
      <c r="O16" s="29"/>
    </row>
    <row r="17" spans="2:15" x14ac:dyDescent="0.2">
      <c r="B17" s="91"/>
      <c r="C17" s="38" t="str">
        <f>IF(EXACT($B17, ""), "", VLOOKUP($B17, DataLookUp!$B$4:$D$1000, 3, FALSE))</f>
        <v/>
      </c>
      <c r="D17" s="71"/>
      <c r="E17" s="86" t="str">
        <f>IF(EXACT($D17, ""), "", VLOOKUP($D17, [2]DataLookUp!$B$4:$D$15, 2, FALSE ))</f>
        <v/>
      </c>
      <c r="G17" s="86" t="str">
        <f>IF(EXACT($F17, ""), "", VLOOKUP($F17, 'MAIN - OrgDepartment'!$C$3:$D$104, 2, FALSE))</f>
        <v/>
      </c>
      <c r="I17" s="37" t="str">
        <f>IF(EXACT($H17, ""), "", VLOOKUP($H17, 'MAIN - OrgJobsPos'!$B$2:$C$101, 2, FALSE))</f>
        <v/>
      </c>
      <c r="J17" s="78"/>
      <c r="K17" s="71"/>
      <c r="L17" s="71"/>
      <c r="M17" s="71"/>
      <c r="O17" s="29"/>
    </row>
    <row r="18" spans="2:15" x14ac:dyDescent="0.2">
      <c r="B18" s="93"/>
      <c r="C18" s="69" t="str">
        <f>IF(EXACT($B18, ""), "", VLOOKUP($B18, DataLookUp!$B$4:$D$1000, 3, FALSE))</f>
        <v/>
      </c>
      <c r="D18" s="72"/>
      <c r="E18" s="87" t="str">
        <f>IF(EXACT($D18, ""), "", VLOOKUP($D18, [2]DataLookUp!$B$4:$D$15, 2, FALSE ))</f>
        <v/>
      </c>
      <c r="F18" s="80"/>
      <c r="G18" s="87" t="str">
        <f>IF(EXACT($F18, ""), "", VLOOKUP($F18, 'MAIN - OrgDepartment'!$C$3:$D$104, 2, FALSE))</f>
        <v/>
      </c>
      <c r="H18" s="81"/>
      <c r="I18" s="82" t="str">
        <f>IF(EXACT($H18, ""), "", VLOOKUP($H18, 'MAIN - OrgJobsPos'!$B$2:$C$101, 2, FALSE))</f>
        <v/>
      </c>
      <c r="J18" s="83"/>
      <c r="K18" s="72"/>
      <c r="L18" s="72"/>
      <c r="M18" s="72"/>
      <c r="O18" s="29"/>
    </row>
  </sheetData>
  <conditionalFormatting sqref="O4:O18">
    <cfRule type="expression" dxfId="4" priority="1">
      <formula>EXACT(O3, O4)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H75"/>
  <sheetViews>
    <sheetView topLeftCell="A58" workbookViewId="0">
      <selection activeCell="E63" sqref="E63"/>
    </sheetView>
  </sheetViews>
  <sheetFormatPr defaultRowHeight="15" x14ac:dyDescent="0.25"/>
  <cols>
    <col min="2" max="2" width="28.85546875" bestFit="1" customWidth="1"/>
    <col min="3" max="3" width="9.7109375" hidden="1" customWidth="1"/>
    <col min="4" max="4" width="22" bestFit="1" customWidth="1"/>
    <col min="5" max="5" width="33.42578125" bestFit="1" customWidth="1"/>
    <col min="6" max="6" width="9.5703125" bestFit="1" customWidth="1"/>
    <col min="7" max="7" width="22" bestFit="1" customWidth="1"/>
    <col min="8" max="8" width="32.140625" bestFit="1" customWidth="1"/>
  </cols>
  <sheetData>
    <row r="2" spans="2:8" x14ac:dyDescent="0.25">
      <c r="B2" s="43" t="s">
        <v>70</v>
      </c>
      <c r="C2" s="51">
        <v>45717</v>
      </c>
      <c r="D2" s="51" t="str">
        <f>CONCATENATE(TEXT(C2, "YYYY-MM-DD"), " 00:00:00+07")</f>
        <v>2025-03-01 00:00:00+07</v>
      </c>
      <c r="E2" s="51" t="s">
        <v>158</v>
      </c>
      <c r="F2" s="51"/>
      <c r="G2" s="51"/>
      <c r="H2" s="51"/>
    </row>
    <row r="3" spans="2:8" x14ac:dyDescent="0.25">
      <c r="B3" s="43" t="s">
        <v>69</v>
      </c>
      <c r="C3" s="51">
        <v>45614</v>
      </c>
      <c r="D3" s="51" t="str">
        <f t="shared" ref="D3:D47" si="0">CONCATENATE(TEXT(C3, "YYYY-MM-DD"), " 00:00:00+07")</f>
        <v>2024-11-18 00:00:00+07</v>
      </c>
      <c r="E3" s="51" t="s">
        <v>159</v>
      </c>
      <c r="F3" s="51"/>
      <c r="G3" s="51"/>
      <c r="H3" s="51"/>
    </row>
    <row r="4" spans="2:8" x14ac:dyDescent="0.25">
      <c r="B4" s="43" t="s">
        <v>84</v>
      </c>
      <c r="C4" s="52">
        <v>37803</v>
      </c>
      <c r="D4" s="51" t="str">
        <f t="shared" si="0"/>
        <v>2003-07-01 00:00:00+07</v>
      </c>
      <c r="E4" s="53" t="s">
        <v>160</v>
      </c>
      <c r="F4" s="52"/>
      <c r="G4" s="51"/>
      <c r="H4" s="52"/>
    </row>
    <row r="5" spans="2:8" x14ac:dyDescent="0.25">
      <c r="B5" s="44" t="s">
        <v>85</v>
      </c>
      <c r="C5" s="52"/>
      <c r="D5" s="51"/>
      <c r="E5" s="53"/>
      <c r="F5" s="52"/>
      <c r="G5" s="51"/>
      <c r="H5" s="52"/>
    </row>
    <row r="6" spans="2:8" x14ac:dyDescent="0.25">
      <c r="B6" s="43" t="s">
        <v>86</v>
      </c>
      <c r="C6" s="52">
        <v>43872</v>
      </c>
      <c r="D6" s="51" t="str">
        <f t="shared" si="0"/>
        <v>2020-02-11 00:00:00+07</v>
      </c>
      <c r="E6" s="52" t="s">
        <v>161</v>
      </c>
      <c r="F6" s="52">
        <v>44084</v>
      </c>
      <c r="G6" s="51" t="str">
        <f t="shared" ref="G6" si="1">CONCATENATE(TEXT(F6, "YYYY-MM-DD"), " 00:00:00+07")</f>
        <v>2020-09-10 00:00:00+07</v>
      </c>
      <c r="H6" s="52" t="s">
        <v>206</v>
      </c>
    </row>
    <row r="7" spans="2:8" x14ac:dyDescent="0.25">
      <c r="B7" s="43" t="s">
        <v>87</v>
      </c>
      <c r="C7" s="52">
        <v>42130</v>
      </c>
      <c r="D7" s="51" t="str">
        <f t="shared" si="0"/>
        <v>2015-05-06 00:00:00+07</v>
      </c>
      <c r="E7" s="53" t="s">
        <v>162</v>
      </c>
      <c r="F7" s="52"/>
      <c r="G7" s="52"/>
      <c r="H7" s="52"/>
    </row>
    <row r="8" spans="2:8" x14ac:dyDescent="0.25">
      <c r="B8" s="43" t="s">
        <v>88</v>
      </c>
      <c r="C8" s="52">
        <v>41246</v>
      </c>
      <c r="D8" s="51" t="str">
        <f t="shared" si="0"/>
        <v>2012-12-03 00:00:00+07</v>
      </c>
      <c r="E8" s="53" t="s">
        <v>163</v>
      </c>
      <c r="F8" s="52"/>
      <c r="G8" s="52"/>
      <c r="H8" s="52"/>
    </row>
    <row r="9" spans="2:8" x14ac:dyDescent="0.25">
      <c r="B9" s="43" t="s">
        <v>89</v>
      </c>
      <c r="C9" s="52">
        <v>38504</v>
      </c>
      <c r="D9" s="51" t="str">
        <f t="shared" si="0"/>
        <v>2005-06-01 00:00:00+07</v>
      </c>
      <c r="E9" s="53" t="s">
        <v>164</v>
      </c>
      <c r="F9" s="52"/>
      <c r="G9" s="52"/>
      <c r="H9" s="52"/>
    </row>
    <row r="10" spans="2:8" x14ac:dyDescent="0.25">
      <c r="B10" s="43" t="s">
        <v>90</v>
      </c>
      <c r="C10" s="52">
        <v>37837</v>
      </c>
      <c r="D10" s="51" t="str">
        <f t="shared" si="0"/>
        <v>2003-08-04 00:00:00+07</v>
      </c>
      <c r="E10" s="53" t="s">
        <v>164</v>
      </c>
      <c r="F10" s="52"/>
      <c r="G10" s="52"/>
      <c r="H10" s="52"/>
    </row>
    <row r="11" spans="2:8" x14ac:dyDescent="0.25">
      <c r="B11" s="43" t="s">
        <v>91</v>
      </c>
      <c r="C11" s="52">
        <v>43941</v>
      </c>
      <c r="D11" s="51" t="str">
        <f t="shared" si="0"/>
        <v>2020-04-20 00:00:00+07</v>
      </c>
      <c r="E11" s="53" t="s">
        <v>165</v>
      </c>
      <c r="F11" s="52"/>
      <c r="G11" s="52"/>
      <c r="H11" s="52"/>
    </row>
    <row r="12" spans="2:8" x14ac:dyDescent="0.25">
      <c r="B12" s="43" t="s">
        <v>93</v>
      </c>
      <c r="C12" s="52">
        <v>45363</v>
      </c>
      <c r="D12" s="51" t="str">
        <f t="shared" si="0"/>
        <v>2024-03-12 00:00:00+07</v>
      </c>
      <c r="E12" s="43" t="s">
        <v>166</v>
      </c>
      <c r="F12" s="43"/>
      <c r="G12" s="43"/>
      <c r="H12" s="52"/>
    </row>
    <row r="13" spans="2:8" x14ac:dyDescent="0.25">
      <c r="B13" s="43" t="s">
        <v>94</v>
      </c>
      <c r="C13" s="52">
        <v>44202</v>
      </c>
      <c r="D13" s="51" t="str">
        <f t="shared" si="0"/>
        <v>2021-01-06 00:00:00+07</v>
      </c>
      <c r="E13" s="52" t="s">
        <v>167</v>
      </c>
      <c r="F13" s="43"/>
      <c r="G13" s="43"/>
      <c r="H13" s="52"/>
    </row>
    <row r="14" spans="2:8" x14ac:dyDescent="0.25">
      <c r="B14" s="43" t="s">
        <v>95</v>
      </c>
      <c r="C14" s="52">
        <v>38930</v>
      </c>
      <c r="D14" s="51" t="str">
        <f t="shared" si="0"/>
        <v>2006-08-01 00:00:00+07</v>
      </c>
      <c r="E14" s="53" t="s">
        <v>164</v>
      </c>
      <c r="F14" s="52"/>
      <c r="G14" s="52"/>
      <c r="H14" s="52"/>
    </row>
    <row r="15" spans="2:8" x14ac:dyDescent="0.25">
      <c r="B15" s="43" t="s">
        <v>96</v>
      </c>
      <c r="C15" s="52">
        <v>38936</v>
      </c>
      <c r="D15" s="51" t="str">
        <f t="shared" si="0"/>
        <v>2006-08-07 00:00:00+07</v>
      </c>
      <c r="E15" s="53" t="s">
        <v>168</v>
      </c>
      <c r="F15" s="52"/>
      <c r="G15" s="52"/>
      <c r="H15" s="52"/>
    </row>
    <row r="16" spans="2:8" x14ac:dyDescent="0.25">
      <c r="B16" s="43" t="s">
        <v>97</v>
      </c>
      <c r="C16" s="52">
        <v>42296</v>
      </c>
      <c r="D16" s="51" t="str">
        <f t="shared" si="0"/>
        <v>2015-10-19 00:00:00+07</v>
      </c>
      <c r="E16" s="53" t="s">
        <v>169</v>
      </c>
      <c r="F16" s="52"/>
      <c r="G16" s="52"/>
      <c r="H16" s="52"/>
    </row>
    <row r="17" spans="2:8" x14ac:dyDescent="0.25">
      <c r="B17" s="43" t="s">
        <v>98</v>
      </c>
      <c r="C17" s="52">
        <v>44777</v>
      </c>
      <c r="D17" s="51" t="str">
        <f t="shared" si="0"/>
        <v>2022-08-04 00:00:00+07</v>
      </c>
      <c r="E17" s="53" t="s">
        <v>170</v>
      </c>
      <c r="F17" s="52"/>
      <c r="G17" s="52"/>
      <c r="H17" s="52"/>
    </row>
    <row r="18" spans="2:8" x14ac:dyDescent="0.25">
      <c r="B18" s="43" t="s">
        <v>99</v>
      </c>
      <c r="C18" s="52">
        <v>44637</v>
      </c>
      <c r="D18" s="51" t="str">
        <f t="shared" si="0"/>
        <v>2022-03-17 00:00:00+07</v>
      </c>
      <c r="E18" s="53" t="s">
        <v>171</v>
      </c>
      <c r="F18" s="52"/>
      <c r="G18" s="52"/>
      <c r="H18" s="52"/>
    </row>
    <row r="19" spans="2:8" x14ac:dyDescent="0.25">
      <c r="B19" s="43" t="s">
        <v>100</v>
      </c>
      <c r="C19" s="52">
        <v>42128</v>
      </c>
      <c r="D19" s="51" t="str">
        <f t="shared" si="0"/>
        <v>2015-05-04 00:00:00+07</v>
      </c>
      <c r="E19" s="53" t="s">
        <v>158</v>
      </c>
      <c r="F19" s="52"/>
      <c r="G19" s="52"/>
      <c r="H19" s="52"/>
    </row>
    <row r="20" spans="2:8" x14ac:dyDescent="0.25">
      <c r="B20" s="43" t="s">
        <v>101</v>
      </c>
      <c r="C20" s="52">
        <v>37852</v>
      </c>
      <c r="D20" s="51" t="str">
        <f t="shared" si="0"/>
        <v>2003-08-19 00:00:00+07</v>
      </c>
      <c r="E20" s="53" t="s">
        <v>172</v>
      </c>
      <c r="F20" s="52"/>
      <c r="G20" s="52"/>
      <c r="H20" s="52"/>
    </row>
    <row r="21" spans="2:8" x14ac:dyDescent="0.25">
      <c r="B21" s="43" t="s">
        <v>102</v>
      </c>
      <c r="C21" s="52">
        <v>43360</v>
      </c>
      <c r="D21" s="51" t="str">
        <f t="shared" si="0"/>
        <v>2018-09-17 00:00:00+07</v>
      </c>
      <c r="E21" s="43" t="s">
        <v>173</v>
      </c>
      <c r="F21" s="52"/>
      <c r="G21" s="52"/>
      <c r="H21" s="52"/>
    </row>
    <row r="22" spans="2:8" x14ac:dyDescent="0.25">
      <c r="B22" s="43" t="s">
        <v>103</v>
      </c>
      <c r="C22" s="52">
        <v>42629</v>
      </c>
      <c r="D22" s="51" t="str">
        <f t="shared" si="0"/>
        <v>2016-09-16 00:00:00+07</v>
      </c>
      <c r="E22" s="53" t="s">
        <v>174</v>
      </c>
      <c r="F22" s="52"/>
      <c r="G22" s="52"/>
      <c r="H22" s="52"/>
    </row>
    <row r="23" spans="2:8" x14ac:dyDescent="0.25">
      <c r="B23" s="43" t="s">
        <v>104</v>
      </c>
      <c r="C23" s="52">
        <v>41395</v>
      </c>
      <c r="D23" s="51" t="str">
        <f t="shared" si="0"/>
        <v>2013-05-01 00:00:00+07</v>
      </c>
      <c r="E23" s="53" t="s">
        <v>175</v>
      </c>
      <c r="F23" s="52"/>
      <c r="G23" s="52"/>
      <c r="H23" s="52"/>
    </row>
    <row r="24" spans="2:8" x14ac:dyDescent="0.25">
      <c r="B24" s="43" t="s">
        <v>73</v>
      </c>
      <c r="C24" s="52">
        <v>45820</v>
      </c>
      <c r="D24" s="51" t="str">
        <f t="shared" si="0"/>
        <v>2025-06-12 00:00:00+07</v>
      </c>
      <c r="E24" s="54" t="s">
        <v>176</v>
      </c>
      <c r="F24" s="52"/>
      <c r="G24" s="52"/>
      <c r="H24" s="52"/>
    </row>
    <row r="25" spans="2:8" x14ac:dyDescent="0.25">
      <c r="B25" s="43" t="s">
        <v>74</v>
      </c>
      <c r="C25" s="52">
        <v>45680</v>
      </c>
      <c r="D25" s="51" t="str">
        <f t="shared" si="0"/>
        <v>2025-01-23 00:00:00+07</v>
      </c>
      <c r="E25" s="53" t="s">
        <v>169</v>
      </c>
      <c r="F25" s="52"/>
      <c r="G25" s="52"/>
      <c r="H25" s="52"/>
    </row>
    <row r="26" spans="2:8" x14ac:dyDescent="0.25">
      <c r="B26" s="43" t="s">
        <v>107</v>
      </c>
      <c r="C26" s="52">
        <v>38355</v>
      </c>
      <c r="D26" s="51" t="str">
        <f t="shared" si="0"/>
        <v>2005-01-03 00:00:00+07</v>
      </c>
      <c r="E26" s="53" t="s">
        <v>177</v>
      </c>
      <c r="F26" s="52"/>
      <c r="G26" s="52"/>
      <c r="H26" s="52"/>
    </row>
    <row r="27" spans="2:8" x14ac:dyDescent="0.25">
      <c r="B27" s="43" t="s">
        <v>108</v>
      </c>
      <c r="C27" s="52">
        <v>39027</v>
      </c>
      <c r="D27" s="51" t="str">
        <f t="shared" si="0"/>
        <v>2006-11-06 00:00:00+07</v>
      </c>
      <c r="E27" s="53" t="s">
        <v>178</v>
      </c>
      <c r="F27" s="52"/>
      <c r="G27" s="52"/>
      <c r="H27" s="52"/>
    </row>
    <row r="28" spans="2:8" x14ac:dyDescent="0.25">
      <c r="B28" s="45" t="s">
        <v>109</v>
      </c>
      <c r="C28" s="52">
        <v>45558</v>
      </c>
      <c r="D28" s="51" t="str">
        <f t="shared" si="0"/>
        <v>2024-09-23 00:00:00+07</v>
      </c>
      <c r="E28" s="53" t="s">
        <v>179</v>
      </c>
      <c r="F28" s="52"/>
      <c r="G28" s="52"/>
      <c r="H28" s="52"/>
    </row>
    <row r="29" spans="2:8" x14ac:dyDescent="0.25">
      <c r="B29" s="45" t="s">
        <v>75</v>
      </c>
      <c r="C29" s="52">
        <v>45981</v>
      </c>
      <c r="D29" s="51" t="str">
        <f t="shared" si="0"/>
        <v>2025-11-20 00:00:00+07</v>
      </c>
      <c r="E29" s="53" t="s">
        <v>165</v>
      </c>
      <c r="F29" s="52"/>
      <c r="G29" s="52"/>
      <c r="H29" s="52"/>
    </row>
    <row r="30" spans="2:8" x14ac:dyDescent="0.25">
      <c r="B30" s="43" t="s">
        <v>111</v>
      </c>
      <c r="C30" s="52">
        <v>34895</v>
      </c>
      <c r="D30" s="51" t="str">
        <f t="shared" si="0"/>
        <v>1995-07-15 00:00:00+07</v>
      </c>
      <c r="E30" s="53" t="s">
        <v>180</v>
      </c>
      <c r="F30" s="52"/>
      <c r="G30" s="52"/>
      <c r="H30" s="52"/>
    </row>
    <row r="31" spans="2:8" x14ac:dyDescent="0.25">
      <c r="B31" s="43" t="s">
        <v>76</v>
      </c>
      <c r="C31" s="52">
        <v>45722</v>
      </c>
      <c r="D31" s="51" t="str">
        <f t="shared" si="0"/>
        <v>2025-03-06 00:00:00+07</v>
      </c>
      <c r="E31" s="53" t="s">
        <v>181</v>
      </c>
      <c r="F31" s="52"/>
      <c r="G31" s="52"/>
      <c r="H31" s="52"/>
    </row>
    <row r="32" spans="2:8" x14ac:dyDescent="0.25">
      <c r="B32" s="43" t="s">
        <v>77</v>
      </c>
      <c r="C32" s="52">
        <v>45743</v>
      </c>
      <c r="D32" s="51" t="str">
        <f t="shared" si="0"/>
        <v>2025-03-27 00:00:00+07</v>
      </c>
      <c r="E32" s="53" t="s">
        <v>167</v>
      </c>
      <c r="F32" s="52"/>
      <c r="G32" s="52"/>
      <c r="H32" s="52"/>
    </row>
    <row r="33" spans="2:8" x14ac:dyDescent="0.25">
      <c r="B33" s="43" t="s">
        <v>114</v>
      </c>
      <c r="C33" s="52">
        <v>40504</v>
      </c>
      <c r="D33" s="51" t="str">
        <f t="shared" si="0"/>
        <v>2010-11-22 00:00:00+07</v>
      </c>
      <c r="E33" s="53" t="s">
        <v>178</v>
      </c>
      <c r="F33" s="52"/>
      <c r="G33" s="52"/>
      <c r="H33" s="52"/>
    </row>
    <row r="34" spans="2:8" x14ac:dyDescent="0.25">
      <c r="B34" s="43" t="s">
        <v>115</v>
      </c>
      <c r="C34" s="52">
        <v>43418</v>
      </c>
      <c r="D34" s="51" t="str">
        <f t="shared" si="0"/>
        <v>2018-11-14 00:00:00+07</v>
      </c>
      <c r="E34" s="53" t="s">
        <v>182</v>
      </c>
      <c r="F34" s="52"/>
      <c r="G34" s="52"/>
      <c r="H34" s="52"/>
    </row>
    <row r="35" spans="2:8" x14ac:dyDescent="0.25">
      <c r="B35" s="43" t="s">
        <v>116</v>
      </c>
      <c r="C35" s="52">
        <v>38973</v>
      </c>
      <c r="D35" s="51" t="str">
        <f t="shared" si="0"/>
        <v>2006-09-13 00:00:00+07</v>
      </c>
      <c r="E35" s="53" t="s">
        <v>183</v>
      </c>
      <c r="F35" s="52"/>
      <c r="G35" s="52"/>
      <c r="H35" s="52"/>
    </row>
    <row r="36" spans="2:8" x14ac:dyDescent="0.25">
      <c r="B36" s="43" t="s">
        <v>117</v>
      </c>
      <c r="C36" s="52">
        <v>43244</v>
      </c>
      <c r="D36" s="51" t="str">
        <f t="shared" si="0"/>
        <v>2018-05-24 00:00:00+07</v>
      </c>
      <c r="E36" s="43" t="s">
        <v>184</v>
      </c>
      <c r="F36" s="52"/>
      <c r="G36" s="52"/>
      <c r="H36" s="52"/>
    </row>
    <row r="37" spans="2:8" x14ac:dyDescent="0.25">
      <c r="B37" s="43" t="s">
        <v>118</v>
      </c>
      <c r="C37" s="52">
        <v>39203</v>
      </c>
      <c r="D37" s="51" t="str">
        <f t="shared" si="0"/>
        <v>2007-05-01 00:00:00+07</v>
      </c>
      <c r="E37" s="55" t="s">
        <v>164</v>
      </c>
      <c r="F37" s="52"/>
      <c r="G37" s="52"/>
      <c r="H37" s="52"/>
    </row>
    <row r="38" spans="2:8" x14ac:dyDescent="0.25">
      <c r="B38" s="43" t="s">
        <v>119</v>
      </c>
      <c r="C38" s="52">
        <v>40210</v>
      </c>
      <c r="D38" s="51" t="str">
        <f t="shared" si="0"/>
        <v>2010-02-01 00:00:00+07</v>
      </c>
      <c r="E38" s="53" t="s">
        <v>178</v>
      </c>
      <c r="F38" s="52"/>
      <c r="G38" s="52"/>
      <c r="H38" s="52"/>
    </row>
    <row r="39" spans="2:8" x14ac:dyDescent="0.25">
      <c r="B39" s="43" t="s">
        <v>120</v>
      </c>
      <c r="C39" s="52">
        <v>45379</v>
      </c>
      <c r="D39" s="51" t="str">
        <f t="shared" si="0"/>
        <v>2024-03-28 00:00:00+07</v>
      </c>
      <c r="E39" s="43" t="s">
        <v>185</v>
      </c>
      <c r="F39" s="52"/>
      <c r="G39" s="52"/>
      <c r="H39" s="52"/>
    </row>
    <row r="40" spans="2:8" x14ac:dyDescent="0.25">
      <c r="B40" s="43" t="s">
        <v>121</v>
      </c>
      <c r="C40" s="52">
        <v>42919</v>
      </c>
      <c r="D40" s="51" t="str">
        <f t="shared" si="0"/>
        <v>2017-07-03 00:00:00+07</v>
      </c>
      <c r="E40" s="43" t="s">
        <v>186</v>
      </c>
      <c r="F40" s="52"/>
      <c r="G40" s="52"/>
      <c r="H40" s="52"/>
    </row>
    <row r="41" spans="2:8" x14ac:dyDescent="0.25">
      <c r="B41" s="43" t="s">
        <v>122</v>
      </c>
      <c r="C41" s="52">
        <v>43321</v>
      </c>
      <c r="D41" s="51" t="str">
        <f t="shared" si="0"/>
        <v>2018-08-09 00:00:00+07</v>
      </c>
      <c r="E41" s="43" t="s">
        <v>187</v>
      </c>
      <c r="F41" s="52"/>
      <c r="G41" s="52"/>
      <c r="H41" s="52"/>
    </row>
    <row r="42" spans="2:8" x14ac:dyDescent="0.25">
      <c r="B42" s="43" t="s">
        <v>123</v>
      </c>
      <c r="C42" s="52">
        <v>44585</v>
      </c>
      <c r="D42" s="51" t="str">
        <f t="shared" si="0"/>
        <v>2022-01-24 00:00:00+07</v>
      </c>
      <c r="E42" s="43" t="s">
        <v>167</v>
      </c>
      <c r="F42" s="52"/>
      <c r="G42" s="52"/>
      <c r="H42" s="52"/>
    </row>
    <row r="43" spans="2:8" x14ac:dyDescent="0.25">
      <c r="B43" s="43" t="s">
        <v>124</v>
      </c>
      <c r="C43" s="52">
        <v>45427</v>
      </c>
      <c r="D43" s="51" t="str">
        <f t="shared" si="0"/>
        <v>2024-05-15 00:00:00+07</v>
      </c>
      <c r="E43" s="43" t="s">
        <v>169</v>
      </c>
      <c r="F43" s="52"/>
      <c r="G43" s="52"/>
      <c r="H43" s="52"/>
    </row>
    <row r="44" spans="2:8" x14ac:dyDescent="0.25">
      <c r="B44" s="43" t="s">
        <v>125</v>
      </c>
      <c r="C44" s="52">
        <v>44952</v>
      </c>
      <c r="D44" s="51" t="str">
        <f t="shared" si="0"/>
        <v>2023-01-26 00:00:00+07</v>
      </c>
      <c r="E44" s="53" t="s">
        <v>188</v>
      </c>
      <c r="F44" s="52"/>
      <c r="G44" s="52"/>
      <c r="H44" s="52"/>
    </row>
    <row r="45" spans="2:8" x14ac:dyDescent="0.25">
      <c r="B45" s="43" t="s">
        <v>126</v>
      </c>
      <c r="C45" s="52">
        <v>41836</v>
      </c>
      <c r="D45" s="51" t="str">
        <f t="shared" si="0"/>
        <v>2014-07-16 00:00:00+07</v>
      </c>
      <c r="E45" s="53" t="s">
        <v>189</v>
      </c>
      <c r="F45" s="52"/>
      <c r="G45" s="52"/>
      <c r="H45" s="52"/>
    </row>
    <row r="46" spans="2:8" x14ac:dyDescent="0.25">
      <c r="B46" s="43" t="s">
        <v>127</v>
      </c>
      <c r="C46" s="52">
        <v>43686</v>
      </c>
      <c r="D46" s="51" t="str">
        <f t="shared" si="0"/>
        <v>2019-08-09 00:00:00+07</v>
      </c>
      <c r="E46" s="53" t="s">
        <v>190</v>
      </c>
      <c r="F46" s="52"/>
      <c r="G46" s="52"/>
      <c r="H46" s="52"/>
    </row>
    <row r="47" spans="2:8" x14ac:dyDescent="0.25">
      <c r="B47" s="43" t="s">
        <v>129</v>
      </c>
      <c r="C47" s="52">
        <v>45869</v>
      </c>
      <c r="D47" s="51" t="str">
        <f t="shared" si="0"/>
        <v>2025-07-31 00:00:00+07</v>
      </c>
      <c r="E47" s="53" t="s">
        <v>158</v>
      </c>
      <c r="F47" s="52"/>
      <c r="G47" s="52"/>
      <c r="H47" s="52"/>
    </row>
    <row r="48" spans="2:8" x14ac:dyDescent="0.25">
      <c r="B48" s="46"/>
      <c r="C48" s="56"/>
      <c r="D48" s="56"/>
      <c r="E48" s="56"/>
      <c r="F48" s="56"/>
      <c r="G48" s="56"/>
      <c r="H48" s="56"/>
    </row>
    <row r="49" spans="2:8" x14ac:dyDescent="0.25">
      <c r="B49" s="42"/>
      <c r="C49" s="57"/>
      <c r="D49" s="57"/>
      <c r="E49" s="57"/>
      <c r="F49" s="57"/>
      <c r="G49" s="57"/>
      <c r="H49" s="57"/>
    </row>
    <row r="50" spans="2:8" x14ac:dyDescent="0.25">
      <c r="B50" s="47" t="s">
        <v>130</v>
      </c>
      <c r="C50" s="52">
        <v>37788</v>
      </c>
      <c r="D50" s="52"/>
      <c r="E50" s="53" t="s">
        <v>191</v>
      </c>
      <c r="F50" s="52"/>
      <c r="G50" s="52"/>
      <c r="H50" s="52"/>
    </row>
    <row r="51" spans="2:8" x14ac:dyDescent="0.25">
      <c r="B51" s="47" t="s">
        <v>132</v>
      </c>
      <c r="C51" s="52">
        <v>43132</v>
      </c>
      <c r="D51" s="52"/>
      <c r="E51" s="53" t="s">
        <v>192</v>
      </c>
      <c r="F51" s="52"/>
      <c r="G51" s="52"/>
      <c r="H51" s="52"/>
    </row>
    <row r="52" spans="2:8" x14ac:dyDescent="0.25">
      <c r="B52" s="43" t="s">
        <v>134</v>
      </c>
      <c r="C52" s="52">
        <v>45323</v>
      </c>
      <c r="D52" s="52"/>
      <c r="E52" s="53" t="s">
        <v>193</v>
      </c>
      <c r="F52" s="52"/>
      <c r="G52" s="52"/>
      <c r="H52" s="52"/>
    </row>
    <row r="53" spans="2:8" x14ac:dyDescent="0.25">
      <c r="B53" s="43" t="s">
        <v>135</v>
      </c>
      <c r="C53" s="52">
        <v>41726</v>
      </c>
      <c r="D53" s="52"/>
      <c r="E53" s="53" t="s">
        <v>184</v>
      </c>
      <c r="F53" s="52"/>
      <c r="G53" s="52"/>
      <c r="H53" s="52" t="s">
        <v>207</v>
      </c>
    </row>
    <row r="54" spans="2:8" x14ac:dyDescent="0.25">
      <c r="B54" s="43" t="s">
        <v>136</v>
      </c>
      <c r="C54" s="52">
        <v>42577</v>
      </c>
      <c r="D54" s="52"/>
      <c r="E54" s="53" t="s">
        <v>194</v>
      </c>
      <c r="F54" s="52"/>
      <c r="G54" s="52"/>
      <c r="H54" s="52"/>
    </row>
    <row r="55" spans="2:8" x14ac:dyDescent="0.25">
      <c r="B55" s="48"/>
      <c r="C55" s="58"/>
      <c r="D55" s="58"/>
      <c r="E55" s="58"/>
      <c r="F55" s="58"/>
      <c r="G55" s="58"/>
      <c r="H55" s="58"/>
    </row>
    <row r="56" spans="2:8" x14ac:dyDescent="0.25">
      <c r="B56" s="42"/>
      <c r="C56" s="57"/>
      <c r="D56" s="57"/>
      <c r="E56" s="57"/>
      <c r="F56" s="57"/>
      <c r="G56" s="57"/>
      <c r="H56" s="57"/>
    </row>
    <row r="57" spans="2:8" x14ac:dyDescent="0.25">
      <c r="B57" s="43" t="s">
        <v>137</v>
      </c>
      <c r="C57" s="52">
        <v>41349</v>
      </c>
      <c r="D57" s="52"/>
      <c r="E57" s="52" t="s">
        <v>195</v>
      </c>
      <c r="F57" s="52"/>
      <c r="G57" s="52"/>
      <c r="H57" s="52"/>
    </row>
    <row r="58" spans="2:8" x14ac:dyDescent="0.25">
      <c r="B58" s="43" t="s">
        <v>71</v>
      </c>
      <c r="C58" s="52" t="str">
        <f>B58</f>
        <v>Arief Yulianto</v>
      </c>
      <c r="D58" s="52"/>
      <c r="E58" s="43" t="s">
        <v>196</v>
      </c>
      <c r="F58" s="52"/>
      <c r="G58" s="52"/>
      <c r="H58" s="52"/>
    </row>
    <row r="59" spans="2:8" x14ac:dyDescent="0.25">
      <c r="B59" s="43" t="s">
        <v>72</v>
      </c>
      <c r="C59" s="52">
        <v>41365</v>
      </c>
      <c r="D59" s="52"/>
      <c r="E59" s="53" t="s">
        <v>197</v>
      </c>
      <c r="F59" s="52"/>
      <c r="G59" s="52"/>
      <c r="H59" s="52"/>
    </row>
    <row r="60" spans="2:8" x14ac:dyDescent="0.25">
      <c r="B60" s="43" t="s">
        <v>139</v>
      </c>
      <c r="C60" s="52">
        <v>44417</v>
      </c>
      <c r="D60" s="52"/>
      <c r="E60" s="53" t="s">
        <v>160</v>
      </c>
      <c r="F60" s="52"/>
      <c r="G60" s="52"/>
      <c r="H60" s="52"/>
    </row>
    <row r="61" spans="2:8" x14ac:dyDescent="0.25">
      <c r="B61" s="43" t="s">
        <v>140</v>
      </c>
      <c r="C61" s="52">
        <v>42842</v>
      </c>
      <c r="D61" s="52"/>
      <c r="E61" s="53" t="s">
        <v>198</v>
      </c>
      <c r="F61" s="52"/>
      <c r="G61" s="52"/>
      <c r="H61" s="52"/>
    </row>
    <row r="62" spans="2:8" x14ac:dyDescent="0.25">
      <c r="B62" s="43" t="s">
        <v>141</v>
      </c>
      <c r="C62" s="52">
        <v>44837</v>
      </c>
      <c r="D62" s="52"/>
      <c r="E62" s="53" t="s">
        <v>199</v>
      </c>
      <c r="F62" s="52"/>
      <c r="G62" s="52"/>
      <c r="H62" s="52"/>
    </row>
    <row r="63" spans="2:8" x14ac:dyDescent="0.25">
      <c r="B63" s="43" t="s">
        <v>143</v>
      </c>
      <c r="C63" s="52">
        <v>42893</v>
      </c>
      <c r="D63" s="52"/>
      <c r="E63" s="53" t="s">
        <v>198</v>
      </c>
      <c r="F63" s="52">
        <v>45664</v>
      </c>
      <c r="G63" s="51" t="str">
        <f t="shared" ref="G63" si="2">CONCATENATE(TEXT(F63, "YYYY-MM-DD"), " 00:00:00+07")</f>
        <v>2025-01-07 00:00:00+07</v>
      </c>
      <c r="H63" s="52" t="s">
        <v>208</v>
      </c>
    </row>
    <row r="64" spans="2:8" x14ac:dyDescent="0.25">
      <c r="B64" s="43" t="s">
        <v>144</v>
      </c>
      <c r="C64" s="59" t="s">
        <v>200</v>
      </c>
      <c r="D64" s="59"/>
      <c r="E64" s="59" t="s">
        <v>200</v>
      </c>
      <c r="F64" s="59" t="s">
        <v>200</v>
      </c>
      <c r="G64" s="59"/>
      <c r="H64" s="59" t="s">
        <v>200</v>
      </c>
    </row>
    <row r="65" spans="2:8" x14ac:dyDescent="0.25">
      <c r="B65" s="43" t="s">
        <v>146</v>
      </c>
      <c r="C65" s="52">
        <v>45691</v>
      </c>
      <c r="D65" s="52"/>
      <c r="E65" s="52" t="s">
        <v>201</v>
      </c>
      <c r="F65" s="59"/>
      <c r="G65" s="59"/>
      <c r="H65" s="59"/>
    </row>
    <row r="66" spans="2:8" x14ac:dyDescent="0.25">
      <c r="B66" s="49" t="s">
        <v>147</v>
      </c>
      <c r="C66" s="52">
        <v>44656</v>
      </c>
      <c r="D66" s="52"/>
      <c r="E66" s="53" t="s">
        <v>202</v>
      </c>
      <c r="F66" s="52"/>
      <c r="G66" s="52"/>
      <c r="H66" s="52"/>
    </row>
    <row r="67" spans="2:8" x14ac:dyDescent="0.25">
      <c r="B67" s="43" t="s">
        <v>148</v>
      </c>
      <c r="C67" s="52">
        <v>43627</v>
      </c>
      <c r="D67" s="52"/>
      <c r="E67" s="53" t="s">
        <v>203</v>
      </c>
      <c r="F67" s="52">
        <v>44455</v>
      </c>
      <c r="G67" s="51" t="str">
        <f t="shared" ref="G67" si="3">CONCATENATE(TEXT(F67, "YYYY-MM-DD"), " 00:00:00+07")</f>
        <v>2021-09-16 00:00:00+07</v>
      </c>
      <c r="H67" s="52" t="s">
        <v>209</v>
      </c>
    </row>
    <row r="68" spans="2:8" x14ac:dyDescent="0.25">
      <c r="B68" s="43" t="s">
        <v>78</v>
      </c>
      <c r="C68" s="52">
        <v>41365</v>
      </c>
      <c r="D68" s="52"/>
      <c r="E68" s="53" t="s">
        <v>197</v>
      </c>
      <c r="F68" s="52"/>
      <c r="G68" s="52"/>
      <c r="H68" s="52"/>
    </row>
    <row r="69" spans="2:8" x14ac:dyDescent="0.25">
      <c r="B69" s="43" t="s">
        <v>79</v>
      </c>
      <c r="C69" s="52">
        <v>42615</v>
      </c>
      <c r="D69" s="52"/>
      <c r="E69" s="53" t="s">
        <v>197</v>
      </c>
      <c r="F69" s="52"/>
      <c r="G69" s="52"/>
      <c r="H69" s="52"/>
    </row>
    <row r="70" spans="2:8" x14ac:dyDescent="0.25">
      <c r="B70" s="43" t="s">
        <v>151</v>
      </c>
      <c r="C70" s="52">
        <v>42039</v>
      </c>
      <c r="D70" s="52"/>
      <c r="E70" s="52" t="s">
        <v>195</v>
      </c>
      <c r="F70" s="52"/>
      <c r="G70" s="52"/>
      <c r="H70" s="52"/>
    </row>
    <row r="71" spans="2:8" x14ac:dyDescent="0.25">
      <c r="B71" s="43" t="s">
        <v>152</v>
      </c>
      <c r="C71" s="52">
        <v>44928</v>
      </c>
      <c r="D71" s="52"/>
      <c r="E71" s="52" t="s">
        <v>204</v>
      </c>
      <c r="F71" s="52"/>
      <c r="G71" s="52"/>
      <c r="H71" s="52"/>
    </row>
    <row r="72" spans="2:8" x14ac:dyDescent="0.25">
      <c r="B72" s="43" t="s">
        <v>80</v>
      </c>
      <c r="C72" s="52">
        <v>41365</v>
      </c>
      <c r="D72" s="52"/>
      <c r="E72" s="53" t="s">
        <v>197</v>
      </c>
      <c r="F72" s="52"/>
      <c r="G72" s="52"/>
      <c r="H72" s="52"/>
    </row>
    <row r="73" spans="2:8" x14ac:dyDescent="0.25">
      <c r="B73" s="43" t="s">
        <v>81</v>
      </c>
      <c r="C73" s="52">
        <v>41547</v>
      </c>
      <c r="D73" s="52"/>
      <c r="E73" s="53" t="s">
        <v>197</v>
      </c>
      <c r="F73" s="52"/>
      <c r="G73" s="52"/>
      <c r="H73" s="52"/>
    </row>
    <row r="74" spans="2:8" x14ac:dyDescent="0.25">
      <c r="B74" s="43" t="s">
        <v>155</v>
      </c>
      <c r="C74" s="52">
        <v>41349</v>
      </c>
      <c r="D74" s="52"/>
      <c r="E74" s="52" t="s">
        <v>195</v>
      </c>
      <c r="F74" s="52"/>
      <c r="G74" s="52"/>
      <c r="H74" s="52"/>
    </row>
    <row r="75" spans="2:8" x14ac:dyDescent="0.25">
      <c r="B75" s="43" t="s">
        <v>157</v>
      </c>
      <c r="C75" s="52">
        <v>45902</v>
      </c>
      <c r="D75" s="52"/>
      <c r="E75" s="43" t="s">
        <v>205</v>
      </c>
      <c r="F75" s="52"/>
      <c r="G75" s="52"/>
      <c r="H75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DataLookUp</vt:lpstr>
      <vt:lpstr>MAIN - OrgJobsPos</vt:lpstr>
      <vt:lpstr>MAIN - OrgDepartment</vt:lpstr>
      <vt:lpstr>Internal Career (Last Position)</vt:lpstr>
      <vt:lpstr>DataLookUp - InternalCareer(LP)</vt:lpstr>
      <vt:lpstr>Internal Career (Previous Pos)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2026-07-21T08:38:25Z</dcterms:modified>
</cp:coreProperties>
</file>