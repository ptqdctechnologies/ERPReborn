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H13" i="1" l="1"/>
  <c r="H12" i="1"/>
  <c r="H11" i="1"/>
  <c r="H10" i="1"/>
  <c r="H9" i="1"/>
  <c r="H8" i="1"/>
  <c r="H7" i="1"/>
  <c r="H6" i="1"/>
  <c r="H5" i="1"/>
  <c r="G12" i="1"/>
  <c r="G10" i="1"/>
  <c r="G9" i="1"/>
  <c r="G8" i="1"/>
  <c r="G7" i="1"/>
  <c r="G6" i="1"/>
  <c r="G5" i="1"/>
  <c r="F14" i="1"/>
  <c r="E14" i="1"/>
  <c r="D11" i="1"/>
  <c r="G11" i="1" s="1"/>
  <c r="D14" i="1" l="1"/>
  <c r="H14" i="1"/>
  <c r="G14" i="1"/>
</calcChain>
</file>

<file path=xl/sharedStrings.xml><?xml version="1.0" encoding="utf-8"?>
<sst xmlns="http://schemas.openxmlformats.org/spreadsheetml/2006/main" count="24" uniqueCount="24">
  <si>
    <t>COA</t>
  </si>
  <si>
    <t>Employee</t>
  </si>
  <si>
    <t>User</t>
  </si>
  <si>
    <t>Customer</t>
  </si>
  <si>
    <t>Supplier</t>
  </si>
  <si>
    <t>Product</t>
  </si>
  <si>
    <t>ERP Live</t>
  </si>
  <si>
    <t>Data Clean Up</t>
  </si>
  <si>
    <t>ERP Reborn</t>
  </si>
  <si>
    <t>Imported Record</t>
  </si>
  <si>
    <t>Criteria</t>
  </si>
  <si>
    <t>Progress</t>
  </si>
  <si>
    <t>Bank Account</t>
  </si>
  <si>
    <t>Unconfirm Filtered Record</t>
  </si>
  <si>
    <t>All Record (Unfiltered)</t>
  </si>
  <si>
    <t>Project</t>
  </si>
  <si>
    <t>Confirm Filtered Record (Without Duplication)</t>
  </si>
  <si>
    <t>(a)</t>
  </si>
  <si>
    <t>(b)</t>
  </si>
  <si>
    <t>(c.1)</t>
  </si>
  <si>
    <t>(d.1)</t>
  </si>
  <si>
    <t>(c.2)</t>
  </si>
  <si>
    <t>(c.2) VS (d.1)</t>
  </si>
  <si>
    <t>(c.1) VS (d.1)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</si>
</sst>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3" fillId="2" borderId="3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10" fontId="2" fillId="4" borderId="20" xfId="1" applyNumberFormat="1" applyFont="1" applyFill="1" applyBorder="1" applyAlignment="1">
      <alignment horizontal="center"/>
    </xf>
    <xf numFmtId="10" fontId="2" fillId="4" borderId="21" xfId="1" applyNumberFormat="1" applyFont="1" applyFill="1" applyBorder="1" applyAlignment="1">
      <alignment horizontal="center"/>
    </xf>
    <xf numFmtId="10" fontId="2" fillId="4" borderId="23" xfId="1" applyNumberFormat="1" applyFont="1" applyFill="1" applyBorder="1" applyAlignment="1">
      <alignment horizontal="center"/>
    </xf>
    <xf numFmtId="10" fontId="2" fillId="4" borderId="24" xfId="1" applyNumberFormat="1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26" xfId="0" applyFont="1" applyFill="1" applyBorder="1"/>
    <xf numFmtId="10" fontId="2" fillId="4" borderId="17" xfId="1" applyNumberFormat="1" applyFont="1" applyFill="1" applyBorder="1" applyAlignment="1">
      <alignment horizontal="center"/>
    </xf>
    <xf numFmtId="10" fontId="2" fillId="4" borderId="18" xfId="1" applyNumberFormat="1" applyFont="1" applyFill="1" applyBorder="1" applyAlignment="1">
      <alignment horizontal="center"/>
    </xf>
    <xf numFmtId="3" fontId="2" fillId="0" borderId="5" xfId="0" applyNumberFormat="1" applyFont="1" applyBorder="1" applyAlignment="1">
      <alignment horizontal="center"/>
    </xf>
    <xf numFmtId="3" fontId="2" fillId="0" borderId="19" xfId="0" applyNumberFormat="1" applyFont="1" applyBorder="1" applyAlignment="1">
      <alignment horizontal="center"/>
    </xf>
    <xf numFmtId="3" fontId="2" fillId="0" borderId="21" xfId="0" applyNumberFormat="1" applyFont="1" applyBorder="1" applyAlignment="1">
      <alignment horizontal="center"/>
    </xf>
    <xf numFmtId="3" fontId="2" fillId="0" borderId="22" xfId="0" applyNumberFormat="1" applyFont="1" applyBorder="1" applyAlignment="1">
      <alignment horizontal="center"/>
    </xf>
    <xf numFmtId="3" fontId="2" fillId="0" borderId="24" xfId="0" applyNumberFormat="1" applyFont="1" applyBorder="1" applyAlignment="1">
      <alignment horizontal="center"/>
    </xf>
    <xf numFmtId="3" fontId="2" fillId="3" borderId="2" xfId="0" applyNumberFormat="1" applyFont="1" applyFill="1" applyBorder="1" applyAlignment="1">
      <alignment horizontal="center"/>
    </xf>
    <xf numFmtId="3" fontId="2" fillId="0" borderId="16" xfId="0" applyNumberFormat="1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4"/>
  <sheetViews>
    <sheetView tabSelected="1" workbookViewId="0">
      <selection activeCell="F9" sqref="F9"/>
    </sheetView>
  </sheetViews>
  <sheetFormatPr defaultRowHeight="12.75" x14ac:dyDescent="0.2"/>
  <cols>
    <col min="1" max="1" width="3.140625" style="1" customWidth="1"/>
    <col min="2" max="2" width="16.85546875" style="1" customWidth="1"/>
    <col min="3" max="3" width="18" style="2" bestFit="1" customWidth="1"/>
    <col min="4" max="4" width="15.140625" style="2" bestFit="1" customWidth="1"/>
    <col min="5" max="5" width="19.28515625" style="2" bestFit="1" customWidth="1"/>
    <col min="6" max="6" width="13.85546875" style="2" bestFit="1" customWidth="1"/>
    <col min="7" max="8" width="10.7109375" style="1" bestFit="1" customWidth="1"/>
    <col min="9" max="16384" width="9.140625" style="1"/>
  </cols>
  <sheetData>
    <row r="1" spans="2:8" ht="13.5" thickBot="1" x14ac:dyDescent="0.25"/>
    <row r="2" spans="2:8" s="3" customFormat="1" ht="15" customHeight="1" x14ac:dyDescent="0.25">
      <c r="B2" s="32" t="s">
        <v>10</v>
      </c>
      <c r="C2" s="6" t="s">
        <v>6</v>
      </c>
      <c r="D2" s="29" t="s">
        <v>7</v>
      </c>
      <c r="E2" s="30"/>
      <c r="F2" s="29" t="s">
        <v>8</v>
      </c>
      <c r="G2" s="31"/>
      <c r="H2" s="30"/>
    </row>
    <row r="3" spans="2:8" s="3" customFormat="1" ht="25.5" x14ac:dyDescent="0.25">
      <c r="B3" s="33"/>
      <c r="C3" s="4" t="s">
        <v>14</v>
      </c>
      <c r="D3" s="7" t="s">
        <v>13</v>
      </c>
      <c r="E3" s="8" t="s">
        <v>16</v>
      </c>
      <c r="F3" s="7" t="s">
        <v>9</v>
      </c>
      <c r="G3" s="34" t="s">
        <v>11</v>
      </c>
      <c r="H3" s="35"/>
    </row>
    <row r="4" spans="2:8" s="3" customFormat="1" ht="13.5" thickBot="1" x14ac:dyDescent="0.3">
      <c r="B4" s="9" t="s">
        <v>17</v>
      </c>
      <c r="C4" s="9" t="s">
        <v>18</v>
      </c>
      <c r="D4" s="10" t="s">
        <v>19</v>
      </c>
      <c r="E4" s="11" t="s">
        <v>21</v>
      </c>
      <c r="F4" s="10" t="s">
        <v>20</v>
      </c>
      <c r="G4" s="12" t="s">
        <v>23</v>
      </c>
      <c r="H4" s="11" t="s">
        <v>22</v>
      </c>
    </row>
    <row r="5" spans="2:8" x14ac:dyDescent="0.2">
      <c r="B5" s="5" t="s">
        <v>2</v>
      </c>
      <c r="C5" s="22">
        <v>632</v>
      </c>
      <c r="D5" s="23">
        <v>632</v>
      </c>
      <c r="E5" s="24">
        <v>632</v>
      </c>
      <c r="F5" s="23">
        <v>632</v>
      </c>
      <c r="G5" s="14">
        <f t="shared" ref="G5:G12" si="0">IF(D5&gt;0, F5/D5, "")</f>
        <v>1</v>
      </c>
      <c r="H5" s="15">
        <f t="shared" ref="H5:H14" si="1">IF(E5&gt;0, F5/E5, "")</f>
        <v>1</v>
      </c>
    </row>
    <row r="6" spans="2:8" x14ac:dyDescent="0.2">
      <c r="B6" s="5" t="s">
        <v>0</v>
      </c>
      <c r="C6" s="22">
        <v>534</v>
      </c>
      <c r="D6" s="25">
        <v>534</v>
      </c>
      <c r="E6" s="26">
        <v>534</v>
      </c>
      <c r="F6" s="25">
        <v>534</v>
      </c>
      <c r="G6" s="16">
        <f t="shared" si="0"/>
        <v>1</v>
      </c>
      <c r="H6" s="17">
        <f t="shared" si="1"/>
        <v>1</v>
      </c>
    </row>
    <row r="7" spans="2:8" x14ac:dyDescent="0.2">
      <c r="B7" s="5" t="s">
        <v>1</v>
      </c>
      <c r="C7" s="22">
        <v>617</v>
      </c>
      <c r="D7" s="25">
        <v>617</v>
      </c>
      <c r="E7" s="26">
        <v>617</v>
      </c>
      <c r="F7" s="25">
        <v>617</v>
      </c>
      <c r="G7" s="16">
        <f t="shared" si="0"/>
        <v>1</v>
      </c>
      <c r="H7" s="17">
        <f t="shared" si="1"/>
        <v>1</v>
      </c>
    </row>
    <row r="8" spans="2:8" x14ac:dyDescent="0.2">
      <c r="B8" s="5" t="s">
        <v>3</v>
      </c>
      <c r="C8" s="22">
        <v>75</v>
      </c>
      <c r="D8" s="25">
        <v>75</v>
      </c>
      <c r="E8" s="26">
        <v>75</v>
      </c>
      <c r="F8" s="25">
        <v>75</v>
      </c>
      <c r="G8" s="16">
        <f t="shared" si="0"/>
        <v>1</v>
      </c>
      <c r="H8" s="17">
        <f t="shared" si="1"/>
        <v>1</v>
      </c>
    </row>
    <row r="9" spans="2:8" x14ac:dyDescent="0.2">
      <c r="B9" s="5" t="s">
        <v>4</v>
      </c>
      <c r="C9" s="22">
        <v>4169</v>
      </c>
      <c r="D9" s="25">
        <v>4169</v>
      </c>
      <c r="E9" s="26">
        <v>1366</v>
      </c>
      <c r="F9" s="25">
        <v>1366</v>
      </c>
      <c r="G9" s="16">
        <f t="shared" si="0"/>
        <v>0.3276565123530823</v>
      </c>
      <c r="H9" s="17">
        <f t="shared" si="1"/>
        <v>1</v>
      </c>
    </row>
    <row r="10" spans="2:8" x14ac:dyDescent="0.2">
      <c r="B10" s="5" t="s">
        <v>12</v>
      </c>
      <c r="C10" s="22">
        <v>59</v>
      </c>
      <c r="D10" s="25">
        <v>59</v>
      </c>
      <c r="E10" s="26">
        <v>59</v>
      </c>
      <c r="F10" s="25">
        <v>59</v>
      </c>
      <c r="G10" s="16">
        <f t="shared" si="0"/>
        <v>1</v>
      </c>
      <c r="H10" s="17">
        <f t="shared" si="1"/>
        <v>1</v>
      </c>
    </row>
    <row r="11" spans="2:8" x14ac:dyDescent="0.2">
      <c r="B11" s="5" t="s">
        <v>5</v>
      </c>
      <c r="C11" s="22">
        <v>11627</v>
      </c>
      <c r="D11" s="25">
        <f>4528+284</f>
        <v>4812</v>
      </c>
      <c r="E11" s="26"/>
      <c r="F11" s="25"/>
      <c r="G11" s="16">
        <f t="shared" si="0"/>
        <v>0</v>
      </c>
      <c r="H11" s="17" t="str">
        <f t="shared" si="1"/>
        <v/>
      </c>
    </row>
    <row r="12" spans="2:8" x14ac:dyDescent="0.2">
      <c r="B12" s="5" t="s">
        <v>15</v>
      </c>
      <c r="C12" s="22">
        <v>632</v>
      </c>
      <c r="D12" s="25">
        <v>632</v>
      </c>
      <c r="E12" s="26">
        <v>632</v>
      </c>
      <c r="F12" s="25">
        <v>632</v>
      </c>
      <c r="G12" s="16">
        <f t="shared" si="0"/>
        <v>1</v>
      </c>
      <c r="H12" s="17">
        <f t="shared" si="1"/>
        <v>1</v>
      </c>
    </row>
    <row r="13" spans="2:8" ht="13.5" thickBot="1" x14ac:dyDescent="0.25">
      <c r="B13" s="5"/>
      <c r="C13" s="22"/>
      <c r="D13" s="25"/>
      <c r="E13" s="26"/>
      <c r="F13" s="25"/>
      <c r="G13" s="18"/>
      <c r="H13" s="19" t="str">
        <f t="shared" si="1"/>
        <v/>
      </c>
    </row>
    <row r="14" spans="2:8" ht="13.5" thickBot="1" x14ac:dyDescent="0.25">
      <c r="B14" s="13"/>
      <c r="C14" s="27"/>
      <c r="D14" s="28">
        <f>SUM(D5:D12)</f>
        <v>11530</v>
      </c>
      <c r="E14" s="28">
        <f>SUM(E5:E12)</f>
        <v>3915</v>
      </c>
      <c r="F14" s="28">
        <f>SUM(F5:F12)</f>
        <v>3915</v>
      </c>
      <c r="G14" s="20">
        <f>IF(D14&gt;0, F14/D14, "")</f>
        <v>0.33954900260190807</v>
      </c>
      <c r="H14" s="21">
        <f t="shared" si="1"/>
        <v>1</v>
      </c>
    </row>
  </sheetData>
  <mergeCells count="4">
    <mergeCell ref="D2:E2"/>
    <mergeCell ref="F2:H2"/>
    <mergeCell ref="B2:B3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2026-01-30T07:32:41Z</dcterms:modified>
</cp:coreProperties>
</file>