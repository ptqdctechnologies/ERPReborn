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706"/>
  </bookViews>
  <sheets>
    <sheet name="SEED" sheetId="1" r:id="rId1"/>
    <sheet name="SEED 1-1101.01" sheetId="2" r:id="rId2"/>
    <sheet name="SEED 1-1102.01" sheetId="3" r:id="rId3"/>
    <sheet name="SEED 1-1102.02" sheetId="4" r:id="rId4"/>
    <sheet name="SEED 1-1700.01" sheetId="5" r:id="rId5"/>
    <sheet name="SEED 1-1901.01" sheetId="6" r:id="rId6"/>
  </sheets>
  <externalReferences>
    <externalReference r:id="rId7"/>
    <externalReference r:id="rId8"/>
    <externalReference r:id="rId9"/>
  </externalReferences>
  <calcPr calcId="152511"/>
</workbook>
</file>

<file path=xl/calcChain.xml><?xml version="1.0" encoding="utf-8"?>
<calcChain xmlns="http://schemas.openxmlformats.org/spreadsheetml/2006/main">
  <c r="D7" i="1" l="1"/>
  <c r="C7" i="1"/>
  <c r="B7" i="1"/>
  <c r="B3" i="5"/>
  <c r="C3" i="5" s="1"/>
  <c r="D65" i="6" l="1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B3" i="6"/>
  <c r="D57" i="5"/>
  <c r="D58" i="5"/>
  <c r="D59" i="5"/>
  <c r="D60" i="5"/>
  <c r="D61" i="5"/>
  <c r="D62" i="5"/>
  <c r="D63" i="5"/>
  <c r="D64" i="5"/>
  <c r="D65" i="5"/>
  <c r="B65" i="6" l="1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7" i="6"/>
  <c r="G7" i="6" s="1"/>
  <c r="B8" i="6"/>
  <c r="G8" i="6" s="1"/>
  <c r="B9" i="6"/>
  <c r="G9" i="6" s="1"/>
  <c r="B10" i="6"/>
  <c r="G10" i="6" s="1"/>
  <c r="B11" i="6"/>
  <c r="G11" i="6" s="1"/>
  <c r="B12" i="6"/>
  <c r="G12" i="6" s="1"/>
  <c r="B13" i="6"/>
  <c r="G13" i="6" s="1"/>
  <c r="B14" i="6"/>
  <c r="G14" i="6" s="1"/>
  <c r="B15" i="6"/>
  <c r="G15" i="6" s="1"/>
  <c r="B16" i="6"/>
  <c r="G16" i="6" s="1"/>
  <c r="B17" i="6"/>
  <c r="G17" i="6" s="1"/>
  <c r="B18" i="6"/>
  <c r="G18" i="6" s="1"/>
  <c r="B19" i="6"/>
  <c r="G19" i="6" s="1"/>
  <c r="B20" i="6"/>
  <c r="G20" i="6" s="1"/>
  <c r="B21" i="6"/>
  <c r="G21" i="6" s="1"/>
  <c r="B22" i="6"/>
  <c r="G22" i="6" s="1"/>
  <c r="B23" i="6"/>
  <c r="G23" i="6" s="1"/>
  <c r="B24" i="6"/>
  <c r="G24" i="6" s="1"/>
  <c r="B25" i="6"/>
  <c r="G25" i="6" s="1"/>
  <c r="B26" i="6"/>
  <c r="G26" i="6" s="1"/>
  <c r="B27" i="6"/>
  <c r="G27" i="6" s="1"/>
  <c r="B28" i="6"/>
  <c r="G28" i="6" s="1"/>
  <c r="B29" i="6"/>
  <c r="G29" i="6" s="1"/>
  <c r="B30" i="6"/>
  <c r="G30" i="6" s="1"/>
  <c r="B31" i="6"/>
  <c r="G31" i="6" s="1"/>
  <c r="B32" i="6"/>
  <c r="G32" i="6" s="1"/>
  <c r="B33" i="6"/>
  <c r="G33" i="6" s="1"/>
  <c r="B34" i="6"/>
  <c r="G34" i="6" s="1"/>
  <c r="B35" i="6"/>
  <c r="G35" i="6" s="1"/>
  <c r="B36" i="6"/>
  <c r="G36" i="6" s="1"/>
  <c r="B37" i="6"/>
  <c r="G37" i="6" s="1"/>
  <c r="G38" i="6" l="1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D8" i="5" l="1"/>
  <c r="D9" i="5" l="1"/>
  <c r="D11" i="5" l="1"/>
  <c r="D10" i="5"/>
  <c r="D12" i="5" l="1"/>
  <c r="D13" i="5" l="1"/>
  <c r="D14" i="5" l="1"/>
  <c r="D15" i="5" l="1"/>
  <c r="D16" i="5" l="1"/>
  <c r="D17" i="5" l="1"/>
  <c r="D18" i="5" l="1"/>
  <c r="D19" i="5" l="1"/>
  <c r="D20" i="5" l="1"/>
  <c r="D21" i="5" l="1"/>
  <c r="D22" i="5" l="1"/>
  <c r="D23" i="5" l="1"/>
  <c r="D24" i="5" l="1"/>
  <c r="D25" i="5" l="1"/>
  <c r="D26" i="5" l="1"/>
  <c r="D27" i="5" l="1"/>
  <c r="D28" i="5" l="1"/>
  <c r="D29" i="5" l="1"/>
  <c r="D30" i="5" l="1"/>
  <c r="D31" i="5" l="1"/>
  <c r="D32" i="5" l="1"/>
  <c r="D33" i="5" l="1"/>
  <c r="D34" i="5" l="1"/>
  <c r="D35" i="5" l="1"/>
  <c r="D36" i="5" l="1"/>
  <c r="D37" i="5" l="1"/>
  <c r="D38" i="5" l="1"/>
  <c r="D39" i="5" l="1"/>
  <c r="D40" i="5" l="1"/>
  <c r="D41" i="5" l="1"/>
  <c r="D42" i="5" l="1"/>
  <c r="D43" i="5" l="1"/>
  <c r="D44" i="5" l="1"/>
  <c r="D45" i="5" l="1"/>
  <c r="D46" i="5" l="1"/>
  <c r="D47" i="5" l="1"/>
  <c r="D48" i="5" l="1"/>
  <c r="D49" i="5" l="1"/>
  <c r="D50" i="5" l="1"/>
  <c r="D51" i="5" l="1"/>
  <c r="D52" i="5" l="1"/>
  <c r="D53" i="5" l="1"/>
  <c r="D54" i="5" l="1"/>
  <c r="D55" i="5" l="1"/>
  <c r="D56" i="5" l="1"/>
  <c r="B3" i="4" l="1"/>
  <c r="B3" i="3"/>
  <c r="B10" i="3" s="1"/>
  <c r="B57" i="5" l="1"/>
  <c r="B58" i="5"/>
  <c r="B59" i="5"/>
  <c r="B60" i="5"/>
  <c r="B61" i="5"/>
  <c r="B62" i="5"/>
  <c r="B63" i="5"/>
  <c r="B64" i="5"/>
  <c r="B65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26" i="5"/>
  <c r="B27" i="5"/>
  <c r="B28" i="5"/>
  <c r="B29" i="5"/>
  <c r="B30" i="5"/>
  <c r="B31" i="5"/>
  <c r="B32" i="5"/>
  <c r="B7" i="5"/>
  <c r="G7" i="5" s="1"/>
  <c r="B18" i="5"/>
  <c r="B19" i="5"/>
  <c r="B20" i="5"/>
  <c r="B21" i="5"/>
  <c r="B22" i="5"/>
  <c r="B23" i="5"/>
  <c r="B24" i="5"/>
  <c r="B25" i="5"/>
  <c r="B12" i="5"/>
  <c r="B13" i="5"/>
  <c r="B14" i="5"/>
  <c r="B15" i="5"/>
  <c r="B16" i="5"/>
  <c r="B17" i="5"/>
  <c r="B8" i="5"/>
  <c r="G8" i="5" s="1"/>
  <c r="B9" i="5"/>
  <c r="G9" i="5" s="1"/>
  <c r="B10" i="5"/>
  <c r="G10" i="5" s="1"/>
  <c r="B11" i="5"/>
  <c r="G11" i="5" s="1"/>
  <c r="B7" i="4"/>
  <c r="G7" i="4" s="1"/>
  <c r="B8" i="4"/>
  <c r="G8" i="4" s="1"/>
  <c r="B9" i="4"/>
  <c r="G9" i="4" s="1"/>
  <c r="B10" i="4"/>
  <c r="G10" i="4" s="1"/>
  <c r="B11" i="4"/>
  <c r="G11" i="4" s="1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7" i="3"/>
  <c r="G7" i="3" s="1"/>
  <c r="B8" i="3"/>
  <c r="G8" i="3" s="1"/>
  <c r="B9" i="3"/>
  <c r="G9" i="3" s="1"/>
  <c r="G10" i="3" s="1"/>
  <c r="G12" i="5" l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11" i="3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D8" i="3" l="1"/>
  <c r="D9" i="3" l="1"/>
  <c r="D10" i="3" l="1"/>
  <c r="D11" i="3" l="1"/>
  <c r="D12" i="3" l="1"/>
  <c r="D10" i="4" l="1"/>
  <c r="D11" i="4"/>
  <c r="D7" i="4"/>
  <c r="D8" i="4"/>
  <c r="D9" i="4"/>
  <c r="D52" i="3"/>
  <c r="D53" i="3"/>
  <c r="D54" i="3"/>
  <c r="D55" i="3"/>
  <c r="D56" i="3"/>
  <c r="D57" i="3"/>
  <c r="D58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3" i="3"/>
  <c r="D24" i="3"/>
  <c r="D25" i="3"/>
  <c r="D26" i="3"/>
  <c r="D27" i="3"/>
  <c r="D28" i="3"/>
  <c r="D29" i="3"/>
  <c r="D30" i="3"/>
  <c r="D31" i="3"/>
  <c r="D32" i="3"/>
  <c r="D33" i="3"/>
  <c r="D34" i="3"/>
  <c r="D17" i="3"/>
  <c r="D18" i="3"/>
  <c r="D19" i="3"/>
  <c r="D20" i="3"/>
  <c r="D21" i="3"/>
  <c r="D22" i="3"/>
  <c r="D16" i="3"/>
  <c r="D15" i="3"/>
  <c r="D14" i="3"/>
  <c r="D13" i="3"/>
  <c r="B3" i="2" l="1"/>
  <c r="B7" i="2"/>
  <c r="G7" i="2" s="1"/>
  <c r="B10" i="2" l="1"/>
  <c r="B9" i="2"/>
  <c r="B8" i="2"/>
  <c r="G8" i="2" s="1"/>
  <c r="B551" i="1"/>
  <c r="B550" i="1"/>
  <c r="B549" i="1"/>
  <c r="D548" i="1"/>
  <c r="C548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483" i="1"/>
  <c r="B482" i="1"/>
  <c r="B481" i="1"/>
  <c r="B480" i="1"/>
  <c r="B479" i="1"/>
  <c r="B478" i="1"/>
  <c r="B477" i="1"/>
  <c r="B476" i="1"/>
  <c r="B475" i="1"/>
  <c r="D473" i="1"/>
  <c r="C473" i="1"/>
  <c r="B474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472" i="1"/>
  <c r="D471" i="1"/>
  <c r="C471" i="1"/>
  <c r="D395" i="1"/>
  <c r="C395" i="1"/>
  <c r="B396" i="1"/>
  <c r="B394" i="1"/>
  <c r="D393" i="1"/>
  <c r="C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D317" i="1"/>
  <c r="C317" i="1"/>
  <c r="B316" i="1"/>
  <c r="B315" i="1"/>
  <c r="B314" i="1"/>
  <c r="B313" i="1"/>
  <c r="D311" i="1"/>
  <c r="C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312" i="1"/>
  <c r="G9" i="2" l="1"/>
  <c r="G10" i="2" s="1"/>
  <c r="B260" i="1" l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C259" i="1"/>
  <c r="D259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C52" i="1"/>
  <c r="D52" i="1"/>
  <c r="C56" i="1"/>
  <c r="D56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6" i="1"/>
  <c r="B5" i="1"/>
  <c r="B4" i="1"/>
  <c r="B62" i="1" l="1"/>
  <c r="B82" i="1" l="1"/>
  <c r="B83" i="1" l="1"/>
  <c r="B84" i="1" l="1"/>
  <c r="B85" i="1" l="1"/>
  <c r="B86" i="1" l="1"/>
  <c r="D4" i="1" l="1"/>
  <c r="C4" i="1"/>
  <c r="C3" i="2" l="1"/>
  <c r="C277" i="1" l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60" i="1"/>
  <c r="C5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5" i="1"/>
  <c r="D260" i="1"/>
  <c r="E7" i="2"/>
  <c r="E10" i="2"/>
  <c r="E9" i="2"/>
  <c r="E8" i="2"/>
  <c r="C3" i="3" l="1"/>
  <c r="E7" i="3" l="1"/>
  <c r="E8" i="3"/>
  <c r="E9" i="3"/>
  <c r="E10" i="3"/>
  <c r="E11" i="3"/>
  <c r="E12" i="3"/>
  <c r="E13" i="3"/>
  <c r="E14" i="3"/>
  <c r="E15" i="3"/>
  <c r="E16" i="3"/>
  <c r="E22" i="3"/>
  <c r="E21" i="3"/>
  <c r="E20" i="3"/>
  <c r="E19" i="3"/>
  <c r="E18" i="3"/>
  <c r="E17" i="3"/>
  <c r="E34" i="3"/>
  <c r="E33" i="3"/>
  <c r="E32" i="3"/>
  <c r="E31" i="3"/>
  <c r="E30" i="3"/>
  <c r="E29" i="3"/>
  <c r="E28" i="3"/>
  <c r="E27" i="3"/>
  <c r="E26" i="3"/>
  <c r="E25" i="3"/>
  <c r="E24" i="3"/>
  <c r="E23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58" i="3"/>
  <c r="E57" i="3"/>
  <c r="E56" i="3"/>
  <c r="E55" i="3"/>
  <c r="E54" i="3"/>
  <c r="E53" i="3"/>
  <c r="E52" i="3"/>
  <c r="C315" i="1" l="1"/>
  <c r="C316" i="1"/>
  <c r="C314" i="1"/>
  <c r="C313" i="1"/>
  <c r="C312" i="1"/>
  <c r="C6" i="1"/>
  <c r="D312" i="1"/>
  <c r="D313" i="1"/>
  <c r="D314" i="1"/>
  <c r="D315" i="1"/>
  <c r="D316" i="1"/>
  <c r="D6" i="1"/>
  <c r="C319" i="1" l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18" i="1"/>
  <c r="C8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8" i="1"/>
  <c r="C3" i="4"/>
  <c r="E9" i="4" l="1"/>
  <c r="E8" i="4"/>
  <c r="E7" i="4"/>
  <c r="E11" i="4"/>
  <c r="E10" i="4"/>
  <c r="D394" i="1" l="1"/>
  <c r="D9" i="1"/>
  <c r="C394" i="1"/>
  <c r="C9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10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396" i="1"/>
  <c r="C10" i="1"/>
  <c r="C12" i="1" l="1"/>
  <c r="D12" i="1"/>
  <c r="D472" i="1" l="1"/>
  <c r="D11" i="1"/>
  <c r="C472" i="1"/>
  <c r="C11" i="1"/>
  <c r="C14" i="1" l="1"/>
  <c r="D14" i="1"/>
  <c r="C13" i="1"/>
  <c r="D13" i="1"/>
  <c r="C15" i="1" l="1"/>
  <c r="D15" i="1"/>
  <c r="C16" i="1" l="1"/>
  <c r="D16" i="1"/>
  <c r="C17" i="1" l="1"/>
  <c r="D17" i="1"/>
  <c r="C18" i="1" l="1"/>
  <c r="D18" i="1"/>
  <c r="C19" i="1" l="1"/>
  <c r="D19" i="1"/>
  <c r="C20" i="1" l="1"/>
  <c r="D20" i="1"/>
  <c r="C21" i="1" l="1"/>
  <c r="D21" i="1"/>
  <c r="C22" i="1" l="1"/>
  <c r="D22" i="1"/>
  <c r="D484" i="1" l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474" i="1"/>
  <c r="D475" i="1"/>
  <c r="D476" i="1"/>
  <c r="D477" i="1"/>
  <c r="D478" i="1"/>
  <c r="D479" i="1"/>
  <c r="D480" i="1"/>
  <c r="D481" i="1"/>
  <c r="D482" i="1"/>
  <c r="D483" i="1"/>
  <c r="D2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477" i="1"/>
  <c r="C478" i="1"/>
  <c r="C479" i="1"/>
  <c r="C480" i="1"/>
  <c r="C481" i="1"/>
  <c r="C482" i="1"/>
  <c r="C483" i="1"/>
  <c r="C476" i="1"/>
  <c r="C475" i="1"/>
  <c r="C474" i="1"/>
  <c r="C23" i="1"/>
  <c r="C24" i="1" l="1"/>
  <c r="D24" i="1"/>
  <c r="C25" i="1" l="1"/>
  <c r="D25" i="1"/>
  <c r="C26" i="1" l="1"/>
  <c r="D26" i="1"/>
  <c r="C27" i="1" l="1"/>
  <c r="D27" i="1"/>
  <c r="C28" i="1" l="1"/>
  <c r="D28" i="1"/>
  <c r="C29" i="1" l="1"/>
  <c r="D29" i="1"/>
  <c r="C30" i="1" l="1"/>
  <c r="D30" i="1"/>
  <c r="C31" i="1" l="1"/>
  <c r="D31" i="1"/>
  <c r="C32" i="1" l="1"/>
  <c r="D32" i="1"/>
  <c r="C33" i="1" l="1"/>
  <c r="D33" i="1"/>
  <c r="C34" i="1" l="1"/>
  <c r="D34" i="1"/>
  <c r="C35" i="1" l="1"/>
  <c r="D35" i="1"/>
  <c r="C36" i="1" l="1"/>
  <c r="D36" i="1"/>
  <c r="C37" i="1" l="1"/>
  <c r="D37" i="1"/>
  <c r="C38" i="1" l="1"/>
  <c r="D38" i="1"/>
  <c r="C39" i="1" l="1"/>
  <c r="D39" i="1"/>
  <c r="C40" i="1" l="1"/>
  <c r="D40" i="1"/>
  <c r="C41" i="1" l="1"/>
  <c r="D41" i="1"/>
  <c r="C42" i="1" l="1"/>
  <c r="D42" i="1"/>
  <c r="C43" i="1" l="1"/>
  <c r="D43" i="1"/>
  <c r="C44" i="1" l="1"/>
  <c r="D44" i="1"/>
  <c r="C45" i="1" l="1"/>
  <c r="D45" i="1"/>
  <c r="C46" i="1" l="1"/>
  <c r="D46" i="1"/>
  <c r="C47" i="1" l="1"/>
  <c r="D47" i="1"/>
  <c r="C48" i="1" l="1"/>
  <c r="D48" i="1"/>
  <c r="C49" i="1" l="1"/>
  <c r="D49" i="1"/>
  <c r="C50" i="1" l="1"/>
  <c r="D50" i="1"/>
  <c r="C51" i="1" l="1"/>
  <c r="D51" i="1"/>
  <c r="D53" i="1" l="1"/>
  <c r="D57" i="1"/>
  <c r="C53" i="1"/>
  <c r="C57" i="1"/>
  <c r="D54" i="1" l="1"/>
  <c r="D58" i="1"/>
  <c r="C54" i="1"/>
  <c r="C58" i="1"/>
  <c r="D55" i="1" l="1"/>
  <c r="D59" i="1"/>
  <c r="C55" i="1"/>
  <c r="C59" i="1"/>
  <c r="D550" i="1" l="1"/>
  <c r="D61" i="1"/>
  <c r="C550" i="1"/>
  <c r="C61" i="1"/>
  <c r="D549" i="1" l="1"/>
  <c r="D60" i="1"/>
  <c r="C549" i="1"/>
  <c r="C60" i="1"/>
  <c r="D551" i="1" l="1"/>
  <c r="D62" i="1"/>
  <c r="C551" i="1"/>
  <c r="C62" i="1"/>
  <c r="C63" i="1"/>
  <c r="D63" i="1"/>
  <c r="C64" i="1" l="1"/>
  <c r="D64" i="1"/>
  <c r="C65" i="1" l="1"/>
  <c r="D65" i="1"/>
  <c r="C66" i="1" l="1"/>
  <c r="D66" i="1"/>
  <c r="C67" i="1" l="1"/>
  <c r="D67" i="1"/>
  <c r="C68" i="1" l="1"/>
  <c r="D68" i="1"/>
  <c r="C69" i="1" l="1"/>
  <c r="D69" i="1"/>
  <c r="C70" i="1" l="1"/>
  <c r="D70" i="1"/>
  <c r="C71" i="1" l="1"/>
  <c r="D71" i="1"/>
  <c r="C72" i="1" l="1"/>
  <c r="D72" i="1"/>
  <c r="C73" i="1" l="1"/>
  <c r="D73" i="1"/>
  <c r="C74" i="1" l="1"/>
  <c r="D74" i="1"/>
  <c r="C75" i="1" l="1"/>
  <c r="D75" i="1"/>
  <c r="C76" i="1" l="1"/>
  <c r="D76" i="1"/>
  <c r="C77" i="1" l="1"/>
  <c r="D77" i="1"/>
  <c r="C78" i="1" l="1"/>
  <c r="D78" i="1"/>
  <c r="C79" i="1" l="1"/>
  <c r="D79" i="1"/>
  <c r="C80" i="1" l="1"/>
  <c r="D80" i="1"/>
  <c r="C81" i="1" l="1"/>
  <c r="D81" i="1"/>
  <c r="C82" i="1" l="1"/>
  <c r="D82" i="1"/>
  <c r="C83" i="1" l="1"/>
  <c r="D83" i="1"/>
  <c r="C84" i="1" l="1"/>
  <c r="D84" i="1"/>
  <c r="C85" i="1" l="1"/>
  <c r="D85" i="1"/>
  <c r="C86" i="1" l="1"/>
  <c r="D86" i="1"/>
  <c r="C87" i="1" l="1"/>
  <c r="D87" i="1"/>
  <c r="C88" i="1" l="1"/>
  <c r="D88" i="1"/>
  <c r="C89" i="1" l="1"/>
  <c r="D89" i="1"/>
  <c r="C90" i="1" l="1"/>
  <c r="D90" i="1"/>
  <c r="C91" i="1" l="1"/>
  <c r="D91" i="1"/>
  <c r="C92" i="1" l="1"/>
  <c r="D92" i="1"/>
  <c r="C93" i="1" l="1"/>
  <c r="D93" i="1"/>
  <c r="C94" i="1" l="1"/>
  <c r="D94" i="1"/>
  <c r="C95" i="1" l="1"/>
  <c r="D95" i="1"/>
  <c r="C96" i="1" l="1"/>
  <c r="D96" i="1"/>
  <c r="C97" i="1" l="1"/>
  <c r="D97" i="1"/>
  <c r="C98" i="1" l="1"/>
  <c r="D98" i="1"/>
  <c r="C99" i="1" l="1"/>
  <c r="D99" i="1"/>
  <c r="C100" i="1" l="1"/>
  <c r="D100" i="1"/>
  <c r="C101" i="1" l="1"/>
  <c r="D101" i="1"/>
  <c r="C102" i="1" l="1"/>
  <c r="D102" i="1"/>
  <c r="C103" i="1" l="1"/>
  <c r="D103" i="1"/>
  <c r="C104" i="1" l="1"/>
  <c r="D104" i="1"/>
  <c r="C105" i="1" l="1"/>
  <c r="D105" i="1"/>
  <c r="C106" i="1" l="1"/>
  <c r="D106" i="1"/>
  <c r="C107" i="1" l="1"/>
  <c r="D107" i="1"/>
  <c r="C108" i="1" l="1"/>
  <c r="D108" i="1"/>
  <c r="C109" i="1" l="1"/>
  <c r="D109" i="1"/>
  <c r="C110" i="1" l="1"/>
  <c r="D110" i="1"/>
  <c r="C111" i="1" l="1"/>
  <c r="D111" i="1"/>
  <c r="C112" i="1" l="1"/>
  <c r="D112" i="1"/>
  <c r="C113" i="1" l="1"/>
  <c r="D113" i="1"/>
  <c r="C114" i="1" l="1"/>
  <c r="D114" i="1"/>
  <c r="C115" i="1" l="1"/>
  <c r="D115" i="1"/>
  <c r="C116" i="1" l="1"/>
  <c r="D116" i="1"/>
  <c r="C117" i="1" l="1"/>
  <c r="D117" i="1"/>
  <c r="C118" i="1" l="1"/>
  <c r="D118" i="1"/>
  <c r="C119" i="1" l="1"/>
  <c r="D119" i="1"/>
  <c r="C120" i="1" l="1"/>
  <c r="D120" i="1"/>
  <c r="C121" i="1" l="1"/>
  <c r="D121" i="1"/>
  <c r="C122" i="1" l="1"/>
  <c r="D122" i="1"/>
  <c r="C123" i="1" l="1"/>
  <c r="D123" i="1"/>
  <c r="C124" i="1" l="1"/>
  <c r="D124" i="1"/>
  <c r="D126" i="1" l="1"/>
  <c r="D125" i="1"/>
  <c r="C126" i="1"/>
  <c r="C125" i="1"/>
  <c r="C127" i="1" l="1"/>
  <c r="D127" i="1"/>
  <c r="C128" i="1" l="1"/>
  <c r="D128" i="1"/>
  <c r="C129" i="1" l="1"/>
  <c r="D129" i="1"/>
  <c r="C130" i="1" l="1"/>
  <c r="D130" i="1"/>
  <c r="C131" i="1" l="1"/>
  <c r="D131" i="1"/>
  <c r="C132" i="1" l="1"/>
  <c r="D132" i="1"/>
  <c r="C133" i="1" l="1"/>
  <c r="D133" i="1"/>
  <c r="C134" i="1" l="1"/>
  <c r="D134" i="1"/>
  <c r="C135" i="1" l="1"/>
  <c r="D135" i="1"/>
  <c r="C136" i="1" l="1"/>
  <c r="D136" i="1"/>
  <c r="C137" i="1" l="1"/>
  <c r="D137" i="1"/>
  <c r="C138" i="1" l="1"/>
  <c r="D138" i="1"/>
  <c r="C139" i="1" l="1"/>
  <c r="D139" i="1"/>
  <c r="C140" i="1" l="1"/>
  <c r="D140" i="1"/>
  <c r="C141" i="1" l="1"/>
  <c r="D141" i="1"/>
  <c r="C142" i="1" l="1"/>
  <c r="D142" i="1"/>
  <c r="C143" i="1" l="1"/>
  <c r="D143" i="1"/>
  <c r="C144" i="1" l="1"/>
  <c r="D144" i="1"/>
  <c r="C145" i="1" l="1"/>
  <c r="D145" i="1"/>
  <c r="C146" i="1" l="1"/>
  <c r="D146" i="1"/>
  <c r="C147" i="1" l="1"/>
  <c r="D147" i="1"/>
  <c r="C148" i="1" l="1"/>
  <c r="D148" i="1"/>
  <c r="C149" i="1" l="1"/>
  <c r="D149" i="1"/>
  <c r="C150" i="1" l="1"/>
  <c r="D150" i="1"/>
  <c r="C151" i="1" l="1"/>
  <c r="D151" i="1"/>
  <c r="C152" i="1" l="1"/>
  <c r="D152" i="1"/>
  <c r="C153" i="1" l="1"/>
  <c r="D153" i="1"/>
  <c r="C154" i="1" l="1"/>
  <c r="D154" i="1"/>
  <c r="C155" i="1" l="1"/>
  <c r="D155" i="1"/>
  <c r="C156" i="1" l="1"/>
  <c r="D156" i="1"/>
  <c r="C157" i="1" l="1"/>
  <c r="D157" i="1"/>
  <c r="C158" i="1" l="1"/>
  <c r="D158" i="1"/>
  <c r="C159" i="1" l="1"/>
  <c r="D159" i="1"/>
  <c r="C160" i="1" l="1"/>
  <c r="D160" i="1"/>
  <c r="C161" i="1" l="1"/>
  <c r="D161" i="1"/>
  <c r="C162" i="1" l="1"/>
  <c r="D162" i="1"/>
  <c r="C163" i="1" l="1"/>
  <c r="D163" i="1"/>
  <c r="C164" i="1" l="1"/>
  <c r="D164" i="1"/>
  <c r="C165" i="1" l="1"/>
  <c r="D165" i="1"/>
  <c r="C166" i="1" l="1"/>
  <c r="D166" i="1"/>
  <c r="C167" i="1" l="1"/>
  <c r="D167" i="1"/>
  <c r="C168" i="1" l="1"/>
  <c r="D168" i="1"/>
  <c r="C169" i="1" l="1"/>
  <c r="D169" i="1"/>
  <c r="C170" i="1" l="1"/>
  <c r="D170" i="1"/>
  <c r="C171" i="1" l="1"/>
  <c r="D171" i="1"/>
  <c r="C172" i="1" l="1"/>
  <c r="D172" i="1"/>
  <c r="C173" i="1" l="1"/>
  <c r="D173" i="1"/>
  <c r="C174" i="1" l="1"/>
  <c r="D174" i="1"/>
  <c r="C175" i="1" l="1"/>
  <c r="D175" i="1"/>
  <c r="C176" i="1" l="1"/>
  <c r="D176" i="1"/>
  <c r="C177" i="1" l="1"/>
  <c r="D177" i="1"/>
  <c r="C178" i="1" l="1"/>
  <c r="D178" i="1"/>
  <c r="C179" i="1" l="1"/>
  <c r="D179" i="1"/>
  <c r="C180" i="1" l="1"/>
  <c r="D180" i="1"/>
  <c r="C181" i="1" l="1"/>
  <c r="D181" i="1"/>
  <c r="C182" i="1" l="1"/>
  <c r="D182" i="1"/>
  <c r="C183" i="1" l="1"/>
  <c r="D183" i="1"/>
  <c r="C184" i="1" l="1"/>
  <c r="D184" i="1"/>
  <c r="C185" i="1" l="1"/>
  <c r="D185" i="1"/>
  <c r="C186" i="1" l="1"/>
  <c r="D186" i="1"/>
  <c r="C187" i="1" l="1"/>
  <c r="D187" i="1"/>
  <c r="C188" i="1" l="1"/>
  <c r="D188" i="1"/>
  <c r="C189" i="1" l="1"/>
  <c r="D189" i="1"/>
  <c r="C190" i="1" l="1"/>
  <c r="D190" i="1"/>
  <c r="C191" i="1" l="1"/>
  <c r="D191" i="1"/>
  <c r="C192" i="1" l="1"/>
  <c r="D192" i="1"/>
  <c r="C193" i="1" l="1"/>
  <c r="D193" i="1"/>
  <c r="C194" i="1" l="1"/>
  <c r="D194" i="1"/>
  <c r="C195" i="1" l="1"/>
  <c r="D195" i="1"/>
  <c r="C196" i="1" l="1"/>
  <c r="D196" i="1"/>
  <c r="C197" i="1" l="1"/>
  <c r="D197" i="1"/>
  <c r="C198" i="1" l="1"/>
  <c r="D198" i="1"/>
  <c r="C199" i="1" l="1"/>
  <c r="D199" i="1"/>
  <c r="C200" i="1" l="1"/>
  <c r="D200" i="1"/>
  <c r="C201" i="1" l="1"/>
  <c r="D201" i="1"/>
  <c r="C202" i="1" l="1"/>
  <c r="D202" i="1"/>
  <c r="C203" i="1" l="1"/>
  <c r="D203" i="1"/>
  <c r="C204" i="1" l="1"/>
  <c r="D204" i="1"/>
  <c r="C205" i="1" l="1"/>
  <c r="D205" i="1"/>
  <c r="C206" i="1" l="1"/>
  <c r="D206" i="1"/>
  <c r="C207" i="1" l="1"/>
  <c r="D207" i="1"/>
  <c r="C208" i="1" l="1"/>
  <c r="D208" i="1"/>
  <c r="C209" i="1" l="1"/>
  <c r="D209" i="1"/>
  <c r="C210" i="1" l="1"/>
  <c r="D210" i="1"/>
  <c r="C211" i="1" l="1"/>
  <c r="D211" i="1"/>
  <c r="C212" i="1" l="1"/>
  <c r="D212" i="1"/>
  <c r="C213" i="1" l="1"/>
  <c r="D213" i="1"/>
  <c r="C214" i="1" l="1"/>
  <c r="D214" i="1"/>
  <c r="C215" i="1" l="1"/>
  <c r="D215" i="1"/>
  <c r="C216" i="1" l="1"/>
  <c r="D216" i="1"/>
  <c r="C217" i="1" l="1"/>
  <c r="D217" i="1"/>
  <c r="C218" i="1" l="1"/>
  <c r="D218" i="1"/>
  <c r="C219" i="1" l="1"/>
  <c r="D219" i="1"/>
  <c r="C220" i="1" l="1"/>
  <c r="D220" i="1"/>
  <c r="C221" i="1" l="1"/>
  <c r="D221" i="1"/>
  <c r="C222" i="1" l="1"/>
  <c r="D222" i="1"/>
  <c r="C223" i="1" l="1"/>
  <c r="D223" i="1"/>
  <c r="C224" i="1" l="1"/>
  <c r="D224" i="1"/>
  <c r="C225" i="1" l="1"/>
  <c r="D225" i="1"/>
  <c r="C226" i="1" l="1"/>
  <c r="D226" i="1"/>
  <c r="C227" i="1" l="1"/>
  <c r="D227" i="1"/>
  <c r="C228" i="1" l="1"/>
  <c r="D228" i="1"/>
  <c r="C229" i="1" l="1"/>
  <c r="D229" i="1"/>
  <c r="C230" i="1" l="1"/>
  <c r="D230" i="1"/>
  <c r="C231" i="1" l="1"/>
  <c r="D231" i="1"/>
  <c r="C232" i="1" l="1"/>
  <c r="D232" i="1"/>
  <c r="C233" i="1" l="1"/>
  <c r="D233" i="1"/>
  <c r="C234" i="1" l="1"/>
  <c r="D234" i="1"/>
  <c r="C235" i="1" l="1"/>
  <c r="D235" i="1"/>
  <c r="C236" i="1" l="1"/>
  <c r="D236" i="1"/>
  <c r="C237" i="1" l="1"/>
  <c r="D237" i="1"/>
  <c r="C238" i="1" l="1"/>
  <c r="D238" i="1"/>
  <c r="C239" i="1" l="1"/>
  <c r="D239" i="1"/>
  <c r="C240" i="1" l="1"/>
  <c r="D240" i="1"/>
  <c r="C241" i="1" l="1"/>
  <c r="D241" i="1"/>
  <c r="C242" i="1" l="1"/>
  <c r="D242" i="1"/>
  <c r="C243" i="1" l="1"/>
  <c r="D243" i="1"/>
  <c r="C244" i="1" l="1"/>
  <c r="D244" i="1"/>
  <c r="C245" i="1" l="1"/>
  <c r="D245" i="1"/>
  <c r="C246" i="1" l="1"/>
  <c r="D246" i="1"/>
  <c r="C247" i="1" l="1"/>
  <c r="D247" i="1"/>
  <c r="C248" i="1" l="1"/>
  <c r="D248" i="1"/>
  <c r="C249" i="1" l="1"/>
  <c r="D249" i="1"/>
  <c r="C250" i="1" l="1"/>
  <c r="D250" i="1"/>
  <c r="C251" i="1" l="1"/>
  <c r="D251" i="1"/>
  <c r="C252" i="1" l="1"/>
  <c r="D252" i="1"/>
  <c r="C253" i="1" l="1"/>
  <c r="D253" i="1"/>
  <c r="C254" i="1" l="1"/>
  <c r="D254" i="1"/>
  <c r="C255" i="1" l="1"/>
  <c r="D255" i="1"/>
  <c r="C256" i="1" l="1"/>
  <c r="D256" i="1"/>
  <c r="C257" i="1" l="1"/>
  <c r="D257" i="1"/>
  <c r="C258" i="1" l="1"/>
  <c r="D258" i="1"/>
  <c r="C3" i="6" l="1"/>
  <c r="E7" i="6" l="1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65" i="5"/>
  <c r="E63" i="5"/>
  <c r="E64" i="5"/>
  <c r="E61" i="5"/>
  <c r="E62" i="5"/>
  <c r="E59" i="5"/>
  <c r="E60" i="5"/>
  <c r="E57" i="5"/>
  <c r="E58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26" i="5"/>
  <c r="E27" i="5"/>
  <c r="E28" i="5"/>
  <c r="E29" i="5"/>
  <c r="E30" i="5"/>
  <c r="E31" i="5"/>
  <c r="E32" i="5"/>
  <c r="E7" i="5"/>
  <c r="E18" i="5"/>
  <c r="E19" i="5"/>
  <c r="E20" i="5"/>
  <c r="E21" i="5"/>
  <c r="E22" i="5"/>
  <c r="E23" i="5"/>
  <c r="E24" i="5"/>
  <c r="E25" i="5"/>
  <c r="E13" i="5"/>
  <c r="E14" i="5"/>
  <c r="E15" i="5"/>
  <c r="E16" i="5"/>
  <c r="E17" i="5"/>
  <c r="E12" i="5"/>
  <c r="E11" i="5"/>
  <c r="E10" i="5"/>
  <c r="E9" i="5"/>
  <c r="E8" i="5"/>
</calcChain>
</file>

<file path=xl/sharedStrings.xml><?xml version="1.0" encoding="utf-8"?>
<sst xmlns="http://schemas.openxmlformats.org/spreadsheetml/2006/main" count="326" uniqueCount="220">
  <si>
    <t>Ref_ID
COA</t>
  </si>
  <si>
    <t>COA Name</t>
  </si>
  <si>
    <t>COA</t>
  </si>
  <si>
    <t>Link ID</t>
  </si>
  <si>
    <t>Bank Central Asia - 0063032911</t>
  </si>
  <si>
    <t>Bank Central Asia - 0065557750</t>
  </si>
  <si>
    <t>Bank Central Asia - 0068502911</t>
  </si>
  <si>
    <t>Bank Central Asia - 2173050101</t>
  </si>
  <si>
    <t>Bank Central Asia - 2173108214</t>
  </si>
  <si>
    <t>Bank CIMB Niaga - 762375277200</t>
  </si>
  <si>
    <t>Bank CIMB Niaga - 800039839400</t>
  </si>
  <si>
    <t>Bank CIMB Niaga - 800039840100</t>
  </si>
  <si>
    <t>Bank CIMB Niaga - 860012900500</t>
  </si>
  <si>
    <t>Bank Commonwealth - 1051189606</t>
  </si>
  <si>
    <t>Bank Commonwealth - 1051189707</t>
  </si>
  <si>
    <t>Bank KB Bukopin - 1001327468</t>
  </si>
  <si>
    <t>Bank KB Bukopin - 1001374466</t>
  </si>
  <si>
    <t>Bank KB Bukopin - 1002405420</t>
  </si>
  <si>
    <t>Bank Mandiri - 0700009986097</t>
  </si>
  <si>
    <t>Bank Mandiri - 0700010933104</t>
  </si>
  <si>
    <t>Bank Negara Indonesia - 1999998082</t>
  </si>
  <si>
    <t>Bank Negara Indonesia - 779207704</t>
  </si>
  <si>
    <t>Bank Negara Indonesia - 779207715</t>
  </si>
  <si>
    <t>Bank Negara Indonesia - 8995885888</t>
  </si>
  <si>
    <t>Bank Negara Indonesia - 907670396</t>
  </si>
  <si>
    <t>Bank OCBC Nilai Inti Sari Penyimpanan - 020800017913</t>
  </si>
  <si>
    <t>Bank Pembangunan Daerah Bengkulu - 0080107000764</t>
  </si>
  <si>
    <t>Bank Pembangunan Daerah Jawa Barat Banten - 8880888880888</t>
  </si>
  <si>
    <t>Bank Pembangunan Daerah Jawa Timur - 035101616</t>
  </si>
  <si>
    <t>Bank Pembangunan Daerah Jawa Timur - 1221001121</t>
  </si>
  <si>
    <t>Bank Pembangunan Daerah Jawa Timur - 1231001251</t>
  </si>
  <si>
    <t>Bank Pembangunan Daerah Kalimantan Selatan - 0400007001223</t>
  </si>
  <si>
    <t>Bank Permata - 0701393414</t>
  </si>
  <si>
    <t>Bank Permata - 0701393481</t>
  </si>
  <si>
    <t>Bank Permata - 0701393570</t>
  </si>
  <si>
    <t>Bank Permata - 0701393643</t>
  </si>
  <si>
    <t>Bank Rakyat Indonesia - 005301004453305</t>
  </si>
  <si>
    <t>Bank Rakyat Indonesia - 019301001230300</t>
  </si>
  <si>
    <t>Bank Rakyat Indonesia - 019301003214300</t>
  </si>
  <si>
    <t>Bank Rakyat Indonesia - 019301003667309</t>
  </si>
  <si>
    <t>Bank Rakyat Indonesia - 019301003718304</t>
  </si>
  <si>
    <t>Bank Rakyat Indonesia - 019301003719300</t>
  </si>
  <si>
    <t>Bank Rakyat Indonesia - 019301003720301</t>
  </si>
  <si>
    <t>Bank Rakyat Indonesia - 019301003881301</t>
  </si>
  <si>
    <t>Bank Rakyat Indonesia - 035901002067300</t>
  </si>
  <si>
    <t>Bank Rakyat Indonesia - 035901002951305</t>
  </si>
  <si>
    <t>Bank Rakyat Indonesia - 035901002958307</t>
  </si>
  <si>
    <t>Bank Rakyat Indonesia - 044101001553563</t>
  </si>
  <si>
    <t>Bank Rakyat Indonesia - 044101002094300</t>
  </si>
  <si>
    <t>Bank Rakyat Indonesia - 053801000258309</t>
  </si>
  <si>
    <t>Bank Rakyat Indonesia - 34101002394304</t>
  </si>
  <si>
    <t>Bank Rakyat Indonesia - 34101002395300</t>
  </si>
  <si>
    <t>Bank Standard Chartered - 30601430287</t>
  </si>
  <si>
    <t>Bank Standard Chartered - 30601430325</t>
  </si>
  <si>
    <t>Bank Standard Chartered - 30601430376</t>
  </si>
  <si>
    <t>Bank Standard Chartered - 30601430414</t>
  </si>
  <si>
    <t>Bank Syariah Indonesia - 1006777593</t>
  </si>
  <si>
    <t>Bank Syariah Indonesia - 7240736928</t>
  </si>
  <si>
    <t>Bank Syariah Indonesia - 7240741347</t>
  </si>
  <si>
    <t>Bank Tabungan Negara - 0100201300000052</t>
  </si>
  <si>
    <t>PT. Infra Media Dinamika</t>
  </si>
  <si>
    <t>PT. Abhitama Citra Abadi</t>
  </si>
  <si>
    <t>PT. Abiyasa Tunggal</t>
  </si>
  <si>
    <t>PT. Aplika Nusa Lintas Arta</t>
  </si>
  <si>
    <t>PT. Bakrie Telecom, Tbk</t>
  </si>
  <si>
    <t>PT. Bukaka Teknik Utama, Tbk</t>
  </si>
  <si>
    <t>PT. Citra Panji Manunggal</t>
  </si>
  <si>
    <t>PT. Dayamitra Telekomunikasi</t>
  </si>
  <si>
    <t>Departemen Dalam Negeri</t>
  </si>
  <si>
    <t>PT. Duta Hita Jaya</t>
  </si>
  <si>
    <t>PT. Duta Pertiwi, Tbk</t>
  </si>
  <si>
    <t>PT. Duta Realtindo Perkasa</t>
  </si>
  <si>
    <t>PT. Energi Mekar Lestari</t>
  </si>
  <si>
    <t>PT. Ericsson Indonesia</t>
  </si>
  <si>
    <t>PT. Esa Mitra Teknologi</t>
  </si>
  <si>
    <t>PT. First Media, Tbk</t>
  </si>
  <si>
    <t xml:space="preserve">Flexi </t>
  </si>
  <si>
    <t>Flexi Mitrayasa</t>
  </si>
  <si>
    <t>PT. Huawei Tech Investment</t>
  </si>
  <si>
    <t>PT. Hutchinson 3 Indonesia</t>
  </si>
  <si>
    <t>PT. Indoprima Seluler</t>
  </si>
  <si>
    <t>PT. Indosat, Tbk</t>
  </si>
  <si>
    <t>PT. Industri Telekomunikasi Indonesia (Persero)</t>
  </si>
  <si>
    <t>PT. Infrastruktur Bisnis Sejahtera</t>
  </si>
  <si>
    <t>PT. Intershop Prima Center</t>
  </si>
  <si>
    <t>PT. Inti Bangun Sejahtera, Tbk</t>
  </si>
  <si>
    <t>PT. Karya Mitra Nugraha</t>
  </si>
  <si>
    <t>PT. Lektrika Karyatama</t>
  </si>
  <si>
    <t>PT. Link Net</t>
  </si>
  <si>
    <t>PT. Lintas Teknologi Indonesia</t>
  </si>
  <si>
    <t>PT. Mega Eltra</t>
  </si>
  <si>
    <t>PT. Megatel Jaya Swastikarya</t>
  </si>
  <si>
    <t>PT. Nokia Indonesia</t>
  </si>
  <si>
    <t>PT. Nokia Siemens Network Indonesia</t>
  </si>
  <si>
    <t>PT. Pertamina Geothermal Energy</t>
  </si>
  <si>
    <t>PT. Pelayanan Listrik Nasional (PLN) (Persero) - Kantor Pusat</t>
  </si>
  <si>
    <t>PT. Pelayanan Listrik Nasional (PLN) (Persero) - Batam</t>
  </si>
  <si>
    <t>PT. Pelayanan Listrik Nasional (PLN) (Persero) - P3B Jawa Bali APP Cawang</t>
  </si>
  <si>
    <t>PT. Pelayanan Listrik Nasional (PLN) (Persero) - Unit Induk Pembangunan V</t>
  </si>
  <si>
    <t>PT. Pelayanan Listrik Nasional (PLN) (Persero) - Unit Induk Pembangunan Nusa Tenggara</t>
  </si>
  <si>
    <t>PT. Pelayanan Listrik Nasional (PLN) (Persero) - Unit Induk Pembangunan XIII</t>
  </si>
  <si>
    <t>PT. Pelayanan Listrik Nasional (PLN) (Persero) - P2B Jawa Bali APB Jawa Tengah &amp; DIY</t>
  </si>
  <si>
    <t>PT. Pelayanan Listrik Nasional (PLN) (Persero) - Unit Induk Pembangunan II</t>
  </si>
  <si>
    <t>PT. Pelayanan Listrik Nasional (PLN) (Persero) - Unit Induk Pembangunan Interkoneksi Sumatera Jawa</t>
  </si>
  <si>
    <t>PT. Pelayanan Listrik Nasional (PLN) (Persero) - Unit Induk Pembangunan X</t>
  </si>
  <si>
    <t xml:space="preserve">PT. Pelayanan Listrik Nasional (PLN) (Persero) - Unit Induk Pembangunan JBT II </t>
  </si>
  <si>
    <t>PT. Protelindo</t>
  </si>
  <si>
    <t>PT. Ramayana Lestari Sentosa, Tbk</t>
  </si>
  <si>
    <t>PT. Rekadaya Elektrika</t>
  </si>
  <si>
    <t>CV. Sejahtera Mandiri</t>
  </si>
  <si>
    <t>PT. Sigindo Kemas</t>
  </si>
  <si>
    <t>PT. Smart Telecom</t>
  </si>
  <si>
    <t>PT. Telekomunikasi Indonesia (Telkom) (Persero), Tbk - Bandung</t>
  </si>
  <si>
    <t>PT. Telekomunikasi Selular (Telkomsel), Tbk - Jakarta</t>
  </si>
  <si>
    <t>PT. Telkom Akses</t>
  </si>
  <si>
    <t>PT. Tosan Permai Lestari</t>
  </si>
  <si>
    <t>PT. Tower Capital Indonesia</t>
  </si>
  <si>
    <t>PT. Waskita Karya (Persero), Tbk</t>
  </si>
  <si>
    <t>PT. Widodo Karya Sejahtera</t>
  </si>
  <si>
    <t>PT. XL Axiata, Tbk</t>
  </si>
  <si>
    <t>PT. XL Mitrayasa</t>
  </si>
  <si>
    <t>PT. ZTE Indonesia</t>
  </si>
  <si>
    <t>PT. Sansaine Exindo</t>
  </si>
  <si>
    <t>Indo Jaya Scaffolding</t>
  </si>
  <si>
    <t>PT. Pembangunan Perumahan (Persero), Tbk</t>
  </si>
  <si>
    <t>Linus Nusa Express</t>
  </si>
  <si>
    <t>PT. Penjaminan Jamkrindo Syariah</t>
  </si>
  <si>
    <t>PT. Larsen And Tourbo</t>
  </si>
  <si>
    <t>PT. Pelayanan Listrik Nasional (PLN) (Persero) - Unit Induk Pembangunan Kalimantan Bagian Barat</t>
  </si>
  <si>
    <t>PT. Pelayanan Listrik Nasional (PLN) (Persero) - Unit Induk Pembangunan Sumatera Bagian Tengah</t>
  </si>
  <si>
    <t xml:space="preserve">PT. Asuransi Sinar Mas </t>
  </si>
  <si>
    <t>PT. Karawang Dinamika Lestari</t>
  </si>
  <si>
    <t>KSO WST-QDC</t>
  </si>
  <si>
    <t>PT. Adhi Commuter Properti</t>
  </si>
  <si>
    <t xml:space="preserve">PT. Pelayanan Listrik Nasional (PLN) (Persero) - Penyaluran dan Pusat Pengaturan </t>
  </si>
  <si>
    <t>Agnes Sutedja</t>
  </si>
  <si>
    <t>Agus Salim</t>
  </si>
  <si>
    <t>Ahmad Faiz Haems Muda</t>
  </si>
  <si>
    <t>Aldi Mulyadi</t>
  </si>
  <si>
    <t>Anna Savitrie</t>
  </si>
  <si>
    <t>Annisa Dewi Arumsari</t>
  </si>
  <si>
    <t>Anugerah Januariansyah</t>
  </si>
  <si>
    <t>Ardi</t>
  </si>
  <si>
    <t>Belina Lindarwani</t>
  </si>
  <si>
    <t>Budianto</t>
  </si>
  <si>
    <t>Darsito</t>
  </si>
  <si>
    <t>Deny Adi Purnama</t>
  </si>
  <si>
    <t>Dionesius Sostenist Duka</t>
  </si>
  <si>
    <t>Edi Waluyo</t>
  </si>
  <si>
    <t>Eka Bagus Dwi Putra</t>
  </si>
  <si>
    <t>Eka Purwanti</t>
  </si>
  <si>
    <t>Eka Kurniawan Hidayatullah</t>
  </si>
  <si>
    <t>Endang Sutrisna</t>
  </si>
  <si>
    <t>M. Fikri Caesarandi Hasibuan</t>
  </si>
  <si>
    <t>Fitriastuti Kurnia</t>
  </si>
  <si>
    <t>Grace Kurniawan</t>
  </si>
  <si>
    <t>Gunawan</t>
  </si>
  <si>
    <t>Icha Mailinda Syamsoedin</t>
  </si>
  <si>
    <t>Ilham Akbar</t>
  </si>
  <si>
    <t>Jimmywal</t>
  </si>
  <si>
    <t>Kornelius Sakan</t>
  </si>
  <si>
    <t>Lisma Natalia</t>
  </si>
  <si>
    <t>Pantas Banjarnahor Marbun</t>
  </si>
  <si>
    <t>T. Marungkil U. S. Sagala</t>
  </si>
  <si>
    <t>Mullan Tresna</t>
  </si>
  <si>
    <t>Nandang Effendi</t>
  </si>
  <si>
    <t>Panca Yudi Baskoro</t>
  </si>
  <si>
    <t>Redi Subekti</t>
  </si>
  <si>
    <t>Rhino Priawan</t>
  </si>
  <si>
    <t>Safira Nurbaiti</t>
  </si>
  <si>
    <t>Sakinah Tantriani Lubis</t>
  </si>
  <si>
    <t>Abdul Samad</t>
  </si>
  <si>
    <t>Sang Toga Sitompul</t>
  </si>
  <si>
    <t>Seftiyan Hadi Maulana</t>
  </si>
  <si>
    <t>Setiadi</t>
  </si>
  <si>
    <t>Sholehah</t>
  </si>
  <si>
    <t>Sudarlan</t>
  </si>
  <si>
    <t>Sufie Amalia</t>
  </si>
  <si>
    <t>Suyanto</t>
  </si>
  <si>
    <t>Teguh Pratama Januzir Sukin</t>
  </si>
  <si>
    <t>Turita Pramuning Marantina</t>
  </si>
  <si>
    <t>Wisnu Ardian</t>
  </si>
  <si>
    <t>Yuliandaru Suryoatmodjo</t>
  </si>
  <si>
    <t>Zainudin Anwar</t>
  </si>
  <si>
    <t>Zulfikar K. Siregar</t>
  </si>
  <si>
    <t>Riza Emir Subekti</t>
  </si>
  <si>
    <t>Ahmad Choerul</t>
  </si>
  <si>
    <t>Ferdian Kriswantoro</t>
  </si>
  <si>
    <t>Fuzi Mafrozi</t>
  </si>
  <si>
    <t>Irma Maulidawati</t>
  </si>
  <si>
    <t>Istikaro Fauziah</t>
  </si>
  <si>
    <t>Restu Dwi Anjayani</t>
  </si>
  <si>
    <t>Rizal Amri</t>
  </si>
  <si>
    <t>Zeinurani</t>
  </si>
  <si>
    <t>Santoso Dwi Cahyo</t>
  </si>
  <si>
    <t>Adhe Kurniawan</t>
  </si>
  <si>
    <t>Rahmata Novanisa</t>
  </si>
  <si>
    <t>Satrio Dhiaputra</t>
  </si>
  <si>
    <t>Tegar Hersaputra</t>
  </si>
  <si>
    <t>Wisnu Trenggono Wirayuda</t>
  </si>
  <si>
    <t>Firmansyah Awaludin</t>
  </si>
  <si>
    <t>Ahmad Sandi Asyuri</t>
  </si>
  <si>
    <t>Andi Mapasoro</t>
  </si>
  <si>
    <t>Ibrahim Arya Yuda</t>
  </si>
  <si>
    <t>Mochamad Ulul Azmi Wira Utama</t>
  </si>
  <si>
    <t>Muhammad Rizal</t>
  </si>
  <si>
    <t>Rahmad Dwifar</t>
  </si>
  <si>
    <t>Ridwan Nur Muttaqin</t>
  </si>
  <si>
    <t>Risty Alawiyah</t>
  </si>
  <si>
    <t>PARENT COA</t>
  </si>
  <si>
    <t>Linkage_RefID</t>
  </si>
  <si>
    <t>Name</t>
  </si>
  <si>
    <t>Sign Other Things</t>
  </si>
  <si>
    <t>Full Name</t>
  </si>
  <si>
    <t>Lainnya</t>
  </si>
  <si>
    <t>Kantor Pusat</t>
  </si>
  <si>
    <t>PJO Surabaya</t>
  </si>
  <si>
    <t>PJO Medan</t>
  </si>
  <si>
    <t>MT</t>
  </si>
  <si>
    <t>COA Suffix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</si>
</sst>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0" fontId="2" fillId="0" borderId="0" xfId="0" applyFon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4" borderId="3" xfId="0" applyFont="1" applyFill="1" applyBorder="1"/>
    <xf numFmtId="1" fontId="2" fillId="0" borderId="5" xfId="0" applyNumberFormat="1" applyFont="1" applyBorder="1" applyAlignment="1">
      <alignment horizontal="center"/>
    </xf>
    <xf numFmtId="0" fontId="2" fillId="4" borderId="5" xfId="0" applyFont="1" applyFill="1" applyBorder="1"/>
    <xf numFmtId="0" fontId="2" fillId="5" borderId="5" xfId="0" applyFont="1" applyFill="1" applyBorder="1"/>
    <xf numFmtId="0" fontId="1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" fontId="2" fillId="5" borderId="5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1" fillId="2" borderId="3" xfId="0" applyNumberFormat="1" applyFont="1" applyFill="1" applyBorder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" fontId="2" fillId="0" borderId="0" xfId="0" applyNumberFormat="1" applyFont="1"/>
    <xf numFmtId="1" fontId="2" fillId="0" borderId="5" xfId="0" applyNumberFormat="1" applyFont="1" applyBorder="1"/>
    <xf numFmtId="0" fontId="2" fillId="6" borderId="3" xfId="0" applyFont="1" applyFill="1" applyBorder="1" applyAlignment="1">
      <alignment horizontal="center"/>
    </xf>
    <xf numFmtId="1" fontId="2" fillId="0" borderId="3" xfId="0" applyNumberFormat="1" applyFont="1" applyBorder="1"/>
    <xf numFmtId="0" fontId="2" fillId="5" borderId="3" xfId="0" applyFont="1" applyFill="1" applyBorder="1"/>
    <xf numFmtId="0" fontId="2" fillId="6" borderId="5" xfId="0" applyFont="1" applyFill="1" applyBorder="1"/>
    <xf numFmtId="0" fontId="2" fillId="6" borderId="3" xfId="0" applyFont="1" applyFill="1" applyBorder="1"/>
    <xf numFmtId="1" fontId="2" fillId="6" borderId="3" xfId="0" applyNumberFormat="1" applyFont="1" applyFill="1" applyBorder="1" applyAlignment="1">
      <alignment horizontal="center"/>
    </xf>
    <xf numFmtId="1" fontId="2" fillId="6" borderId="5" xfId="0" applyNumberFormat="1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2" fillId="0" borderId="14" xfId="0" applyFont="1" applyBorder="1"/>
    <xf numFmtId="1" fontId="2" fillId="0" borderId="14" xfId="0" applyNumberFormat="1" applyFont="1" applyBorder="1"/>
    <xf numFmtId="0" fontId="2" fillId="0" borderId="14" xfId="0" applyFont="1" applyBorder="1" applyAlignment="1">
      <alignment horizontal="center"/>
    </xf>
    <xf numFmtId="1" fontId="2" fillId="5" borderId="5" xfId="0" applyNumberFormat="1" applyFont="1" applyFill="1" applyBorder="1"/>
    <xf numFmtId="0" fontId="1" fillId="6" borderId="12" xfId="0" applyFont="1" applyFill="1" applyBorder="1" applyAlignment="1">
      <alignment horizontal="left"/>
    </xf>
    <xf numFmtId="0" fontId="1" fillId="6" borderId="13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counting.TblChartOfAccou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.TblBankAccoun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umanResource.TblWor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"/>
      <sheetName val="DataLookUp"/>
      <sheetName val="COA Baru"/>
      <sheetName val="QDC COA"/>
      <sheetName val="Auto Link"/>
      <sheetName val="Refer"/>
    </sheetNames>
    <sheetDataSet>
      <sheetData sheetId="0"/>
      <sheetData sheetId="1">
        <row r="4">
          <cell r="B4">
            <v>65000000000001</v>
          </cell>
          <cell r="C4" t="str">
            <v>1-0000</v>
          </cell>
          <cell r="D4" t="str">
            <v>Aset</v>
          </cell>
        </row>
        <row r="5">
          <cell r="B5">
            <v>65000000000002</v>
          </cell>
          <cell r="C5" t="str">
            <v>1-1000</v>
          </cell>
          <cell r="D5" t="str">
            <v>Aset Lancar</v>
          </cell>
        </row>
        <row r="6">
          <cell r="B6">
            <v>65000000000003</v>
          </cell>
          <cell r="C6" t="str">
            <v>1-1100</v>
          </cell>
          <cell r="D6" t="str">
            <v>Cash &amp; Cash Equivalent</v>
          </cell>
        </row>
        <row r="7">
          <cell r="B7">
            <v>65000000000004</v>
          </cell>
          <cell r="C7" t="str">
            <v>1-1101</v>
          </cell>
          <cell r="D7" t="str">
            <v>Petty Cash</v>
          </cell>
        </row>
        <row r="8">
          <cell r="B8">
            <v>65000000000005</v>
          </cell>
          <cell r="C8" t="str">
            <v>1-1101.01</v>
          </cell>
          <cell r="D8" t="str">
            <v>Petty Cash (IDR)</v>
          </cell>
        </row>
        <row r="9">
          <cell r="B9">
            <v>65000000000006</v>
          </cell>
          <cell r="C9" t="str">
            <v>1-1102</v>
          </cell>
          <cell r="D9" t="str">
            <v>Bank</v>
          </cell>
        </row>
        <row r="10">
          <cell r="B10">
            <v>65000000000007</v>
          </cell>
          <cell r="C10" t="str">
            <v>1-1102.01</v>
          </cell>
          <cell r="D10" t="str">
            <v>Bank (IDR)</v>
          </cell>
        </row>
        <row r="11">
          <cell r="B11">
            <v>65000000000008</v>
          </cell>
          <cell r="C11" t="str">
            <v>1-1102.02</v>
          </cell>
          <cell r="D11" t="str">
            <v>Bank (USD)</v>
          </cell>
        </row>
        <row r="12">
          <cell r="B12">
            <v>65000000000009</v>
          </cell>
          <cell r="C12" t="str">
            <v>1-1103</v>
          </cell>
          <cell r="D12" t="str">
            <v>Money In Transfer</v>
          </cell>
        </row>
        <row r="13">
          <cell r="B13">
            <v>65000000000010</v>
          </cell>
          <cell r="C13" t="str">
            <v>1-1103.01</v>
          </cell>
          <cell r="D13" t="str">
            <v>Money In Transfer (IDR)</v>
          </cell>
        </row>
        <row r="14">
          <cell r="B14">
            <v>65000000000011</v>
          </cell>
          <cell r="C14" t="str">
            <v>1-1200</v>
          </cell>
          <cell r="D14" t="str">
            <v>Account Receivable</v>
          </cell>
        </row>
        <row r="15">
          <cell r="B15">
            <v>65000000000012</v>
          </cell>
          <cell r="C15" t="str">
            <v>1-1201</v>
          </cell>
          <cell r="D15" t="str">
            <v>Piutang Usaha</v>
          </cell>
        </row>
        <row r="16">
          <cell r="B16">
            <v>65000000000013</v>
          </cell>
          <cell r="C16" t="str">
            <v>1-1201.01</v>
          </cell>
          <cell r="D16" t="str">
            <v>AR (IDR)</v>
          </cell>
        </row>
        <row r="17">
          <cell r="B17">
            <v>65000000000014</v>
          </cell>
          <cell r="C17" t="str">
            <v>1-1201.02</v>
          </cell>
          <cell r="D17" t="str">
            <v>AR (USD)</v>
          </cell>
        </row>
        <row r="18">
          <cell r="B18">
            <v>65000000000015</v>
          </cell>
          <cell r="C18" t="str">
            <v>1-1202</v>
          </cell>
          <cell r="D18" t="str">
            <v>Cadangan Kerugian Piutang</v>
          </cell>
        </row>
        <row r="19">
          <cell r="B19">
            <v>65000000000016</v>
          </cell>
          <cell r="C19" t="str">
            <v>1-1202.01</v>
          </cell>
          <cell r="D19" t="str">
            <v>Cadangan Kerugian Piutang (IDR)</v>
          </cell>
        </row>
        <row r="20">
          <cell r="B20">
            <v>65000000000017</v>
          </cell>
          <cell r="C20" t="str">
            <v>1-1202.02</v>
          </cell>
          <cell r="D20" t="str">
            <v>Cadangan Kerugian Piutang (USD)</v>
          </cell>
        </row>
        <row r="21">
          <cell r="B21">
            <v>65000000000018</v>
          </cell>
          <cell r="C21" t="str">
            <v>1-1203</v>
          </cell>
          <cell r="D21" t="str">
            <v>Piutang Non Usaha</v>
          </cell>
        </row>
        <row r="22">
          <cell r="B22">
            <v>65000000000019</v>
          </cell>
          <cell r="C22" t="str">
            <v>1-1203.01</v>
          </cell>
          <cell r="D22" t="str">
            <v>Piutang Non Usaha (IDR)</v>
          </cell>
        </row>
        <row r="23">
          <cell r="B23">
            <v>65000000000020</v>
          </cell>
          <cell r="C23" t="str">
            <v>1-1203.02</v>
          </cell>
          <cell r="D23" t="str">
            <v>Piutang Non Usaha (USD)</v>
          </cell>
        </row>
        <row r="24">
          <cell r="B24">
            <v>65000000000021</v>
          </cell>
          <cell r="C24" t="str">
            <v>1-1204</v>
          </cell>
          <cell r="D24" t="str">
            <v>Piutang Antar Perusahaan</v>
          </cell>
        </row>
        <row r="25">
          <cell r="B25">
            <v>65000000000022</v>
          </cell>
          <cell r="C25" t="str">
            <v>1-1204.01</v>
          </cell>
          <cell r="D25" t="str">
            <v>Piutang Antar Perusahaan (IDR)</v>
          </cell>
        </row>
        <row r="26">
          <cell r="B26">
            <v>65000000000023</v>
          </cell>
          <cell r="C26" t="str">
            <v>1-1204.02</v>
          </cell>
          <cell r="D26" t="str">
            <v>Piutang Antar Perusahaan (USD)</v>
          </cell>
        </row>
        <row r="27">
          <cell r="B27">
            <v>65000000000024</v>
          </cell>
          <cell r="C27" t="str">
            <v>1-1300</v>
          </cell>
          <cell r="D27" t="str">
            <v>Inventory</v>
          </cell>
        </row>
        <row r="28">
          <cell r="B28">
            <v>65000000000025</v>
          </cell>
          <cell r="C28" t="str">
            <v>1-1301</v>
          </cell>
          <cell r="D28" t="str">
            <v>Inventory</v>
          </cell>
        </row>
        <row r="29">
          <cell r="B29">
            <v>65000000000026</v>
          </cell>
          <cell r="C29" t="str">
            <v>1-1301.01</v>
          </cell>
          <cell r="D29" t="str">
            <v>Inventory (IDR)</v>
          </cell>
        </row>
        <row r="30">
          <cell r="B30">
            <v>65000000000027</v>
          </cell>
          <cell r="C30" t="str">
            <v>1-1400</v>
          </cell>
          <cell r="D30" t="str">
            <v>Biaya Dibayar Dimuka</v>
          </cell>
        </row>
        <row r="31">
          <cell r="B31">
            <v>65000000000028</v>
          </cell>
          <cell r="C31" t="str">
            <v>1-1400.01</v>
          </cell>
          <cell r="D31" t="str">
            <v>Biaya Dibayar Dimuka (IDR)</v>
          </cell>
        </row>
        <row r="32">
          <cell r="B32">
            <v>65000000000029</v>
          </cell>
          <cell r="C32" t="str">
            <v>1-1500</v>
          </cell>
          <cell r="D32" t="str">
            <v>Pajak Dibayar Dimuka</v>
          </cell>
        </row>
        <row r="33">
          <cell r="B33">
            <v>65000000000030</v>
          </cell>
          <cell r="C33" t="str">
            <v>1-1501</v>
          </cell>
          <cell r="D33" t="str">
            <v>VAT IN</v>
          </cell>
        </row>
        <row r="34">
          <cell r="B34">
            <v>65000000000031</v>
          </cell>
          <cell r="C34" t="str">
            <v>1-1501.01</v>
          </cell>
          <cell r="D34" t="str">
            <v>VAT IN (IDR)</v>
          </cell>
        </row>
        <row r="35">
          <cell r="B35">
            <v>65000000000032</v>
          </cell>
          <cell r="C35" t="str">
            <v>1-1502</v>
          </cell>
          <cell r="D35" t="str">
            <v>Prepaid Tax 22</v>
          </cell>
        </row>
        <row r="36">
          <cell r="B36">
            <v>65000000000033</v>
          </cell>
          <cell r="C36" t="str">
            <v>1-1502.01</v>
          </cell>
          <cell r="D36" t="str">
            <v>Prepaid Tax 22 (IDR)</v>
          </cell>
        </row>
        <row r="37">
          <cell r="B37">
            <v>65000000000034</v>
          </cell>
          <cell r="C37" t="str">
            <v>1-1503</v>
          </cell>
          <cell r="D37" t="str">
            <v>Prepaid Tax 23</v>
          </cell>
        </row>
        <row r="38">
          <cell r="B38">
            <v>65000000000035</v>
          </cell>
          <cell r="C38" t="str">
            <v>1-1503.01</v>
          </cell>
          <cell r="D38" t="str">
            <v>Prepaid Tax 23 (IDR)</v>
          </cell>
        </row>
        <row r="39">
          <cell r="B39">
            <v>65000000000036</v>
          </cell>
          <cell r="C39" t="str">
            <v>1-1504</v>
          </cell>
          <cell r="D39" t="str">
            <v>Prepaid Tax 25</v>
          </cell>
        </row>
        <row r="40">
          <cell r="B40">
            <v>65000000000037</v>
          </cell>
          <cell r="C40" t="str">
            <v>1-1504.01</v>
          </cell>
          <cell r="D40" t="str">
            <v>Prepaid Tax 25 (IDR)</v>
          </cell>
        </row>
        <row r="41">
          <cell r="B41">
            <v>65000000000038</v>
          </cell>
          <cell r="C41" t="str">
            <v>1-1600</v>
          </cell>
          <cell r="D41" t="str">
            <v>Perlengkapan Kantor</v>
          </cell>
        </row>
        <row r="42">
          <cell r="B42">
            <v>65000000000039</v>
          </cell>
          <cell r="C42" t="str">
            <v>1-1600.01</v>
          </cell>
          <cell r="D42" t="str">
            <v>Perlengkapan Kantor (IDR)</v>
          </cell>
        </row>
        <row r="43">
          <cell r="B43">
            <v>65000000000040</v>
          </cell>
          <cell r="C43" t="str">
            <v>1-1700</v>
          </cell>
          <cell r="D43" t="str">
            <v>Uang Muka</v>
          </cell>
        </row>
        <row r="44">
          <cell r="B44">
            <v>65000000000041</v>
          </cell>
          <cell r="C44" t="str">
            <v>1-1700.01</v>
          </cell>
          <cell r="D44" t="str">
            <v>Uang Muka (IDR)</v>
          </cell>
        </row>
        <row r="45">
          <cell r="B45">
            <v>65000000000042</v>
          </cell>
          <cell r="C45" t="str">
            <v>1-1900</v>
          </cell>
          <cell r="D45" t="str">
            <v>Other Current Asset</v>
          </cell>
        </row>
        <row r="46">
          <cell r="B46">
            <v>65000000000043</v>
          </cell>
          <cell r="C46" t="str">
            <v>1-1901</v>
          </cell>
          <cell r="D46" t="str">
            <v>Paid in Advance</v>
          </cell>
        </row>
        <row r="47">
          <cell r="B47">
            <v>65000000000044</v>
          </cell>
          <cell r="C47" t="str">
            <v>1-1901.01</v>
          </cell>
          <cell r="D47" t="str">
            <v>Paid in Advance (IDR)</v>
          </cell>
        </row>
        <row r="48">
          <cell r="B48">
            <v>65000000000045</v>
          </cell>
          <cell r="C48" t="str">
            <v>1-1902</v>
          </cell>
          <cell r="D48" t="str">
            <v>Suspense</v>
          </cell>
        </row>
        <row r="49">
          <cell r="B49">
            <v>65000000000046</v>
          </cell>
          <cell r="C49" t="str">
            <v>1-1902.01</v>
          </cell>
          <cell r="D49" t="str">
            <v>Suspense (IDR)</v>
          </cell>
        </row>
        <row r="50">
          <cell r="B50">
            <v>65000000000047</v>
          </cell>
          <cell r="C50" t="str">
            <v>1-1903</v>
          </cell>
          <cell r="D50" t="str">
            <v>Security Deposit</v>
          </cell>
        </row>
        <row r="51">
          <cell r="B51">
            <v>65000000000048</v>
          </cell>
          <cell r="C51" t="str">
            <v>1-1903.01</v>
          </cell>
          <cell r="D51" t="str">
            <v>Security Deposit (IDR)</v>
          </cell>
        </row>
        <row r="52">
          <cell r="B52">
            <v>65000000000049</v>
          </cell>
          <cell r="C52" t="str">
            <v>1-1904</v>
          </cell>
          <cell r="D52" t="str">
            <v>Unbilled Receivable</v>
          </cell>
        </row>
        <row r="53">
          <cell r="B53">
            <v>65000000000050</v>
          </cell>
          <cell r="C53" t="str">
            <v>1-1904.01</v>
          </cell>
          <cell r="D53" t="str">
            <v>Unbilled Receivable (IDR)</v>
          </cell>
        </row>
        <row r="54">
          <cell r="B54">
            <v>65000000000051</v>
          </cell>
          <cell r="C54" t="str">
            <v>1-1905</v>
          </cell>
          <cell r="D54" t="str">
            <v>Work in Progress</v>
          </cell>
        </row>
        <row r="55">
          <cell r="B55">
            <v>65000000000052</v>
          </cell>
          <cell r="C55" t="str">
            <v>1-1905.01</v>
          </cell>
          <cell r="D55" t="str">
            <v>Work in Progress (IDR)</v>
          </cell>
        </row>
        <row r="56">
          <cell r="B56">
            <v>65000000000053</v>
          </cell>
          <cell r="C56" t="str">
            <v>1-1999</v>
          </cell>
          <cell r="D56" t="str">
            <v>Other Prepayment</v>
          </cell>
        </row>
        <row r="57">
          <cell r="B57">
            <v>65000000000054</v>
          </cell>
          <cell r="C57" t="str">
            <v>1-1999.01</v>
          </cell>
          <cell r="D57" t="str">
            <v>Other Prepayment (IDR)</v>
          </cell>
        </row>
        <row r="58">
          <cell r="B58">
            <v>65000000000055</v>
          </cell>
          <cell r="C58" t="str">
            <v>1-2000</v>
          </cell>
          <cell r="D58" t="str">
            <v>Investasi Jangka Panjang</v>
          </cell>
        </row>
        <row r="59">
          <cell r="B59">
            <v>65000000000056</v>
          </cell>
          <cell r="C59" t="str">
            <v>1-2001</v>
          </cell>
          <cell r="D59" t="str">
            <v>Investasi Saham</v>
          </cell>
        </row>
        <row r="60">
          <cell r="B60">
            <v>65000000000057</v>
          </cell>
          <cell r="C60" t="str">
            <v>1-2001.01</v>
          </cell>
          <cell r="D60" t="str">
            <v>Investasi Saham (IDR)</v>
          </cell>
        </row>
        <row r="61">
          <cell r="B61">
            <v>65000000000058</v>
          </cell>
          <cell r="C61" t="str">
            <v>1-3000</v>
          </cell>
          <cell r="D61" t="str">
            <v>Aktiva Tetap</v>
          </cell>
        </row>
        <row r="62">
          <cell r="B62">
            <v>65000000000059</v>
          </cell>
          <cell r="C62" t="str">
            <v>1-3100</v>
          </cell>
          <cell r="D62" t="str">
            <v>Aset Tetap</v>
          </cell>
        </row>
        <row r="63">
          <cell r="B63">
            <v>65000000000060</v>
          </cell>
          <cell r="C63" t="str">
            <v>1-3101</v>
          </cell>
          <cell r="D63" t="str">
            <v>Land</v>
          </cell>
        </row>
        <row r="64">
          <cell r="B64">
            <v>65000000000061</v>
          </cell>
          <cell r="C64" t="str">
            <v>1-3101.01</v>
          </cell>
          <cell r="D64" t="str">
            <v>Land (IDR)</v>
          </cell>
        </row>
        <row r="65">
          <cell r="B65">
            <v>65000000000062</v>
          </cell>
          <cell r="C65" t="str">
            <v>1-3102</v>
          </cell>
          <cell r="D65" t="str">
            <v>Building - Improvement</v>
          </cell>
        </row>
        <row r="66">
          <cell r="B66">
            <v>65000000000063</v>
          </cell>
          <cell r="C66" t="str">
            <v>1-3102.01</v>
          </cell>
          <cell r="D66" t="str">
            <v>Building - Improvement (IDR)</v>
          </cell>
        </row>
        <row r="67">
          <cell r="B67">
            <v>65000000000064</v>
          </cell>
          <cell r="C67" t="str">
            <v>1-3103</v>
          </cell>
          <cell r="D67" t="str">
            <v>Building - Office</v>
          </cell>
        </row>
        <row r="68">
          <cell r="B68">
            <v>65000000000065</v>
          </cell>
          <cell r="C68" t="str">
            <v>1-3103.01</v>
          </cell>
          <cell r="D68" t="str">
            <v>Building - Office (IDR)</v>
          </cell>
        </row>
        <row r="69">
          <cell r="B69">
            <v>65000000000066</v>
          </cell>
          <cell r="C69" t="str">
            <v>1-3104</v>
          </cell>
          <cell r="D69" t="str">
            <v>Info Tech Equipment</v>
          </cell>
        </row>
        <row r="70">
          <cell r="B70">
            <v>65000000000067</v>
          </cell>
          <cell r="C70" t="str">
            <v>1-3104.01</v>
          </cell>
          <cell r="D70" t="str">
            <v>Info Tech Equipment (IDR)</v>
          </cell>
        </row>
        <row r="71">
          <cell r="B71">
            <v>65000000000068</v>
          </cell>
          <cell r="C71" t="str">
            <v>1-3105</v>
          </cell>
          <cell r="D71" t="str">
            <v>Office Machine &amp; Equipment</v>
          </cell>
        </row>
        <row r="72">
          <cell r="B72">
            <v>65000000000069</v>
          </cell>
          <cell r="C72" t="str">
            <v>1-3105.01</v>
          </cell>
          <cell r="D72" t="str">
            <v>Office Machine &amp; Equipment (IDR)</v>
          </cell>
        </row>
        <row r="73">
          <cell r="B73">
            <v>65000000000070</v>
          </cell>
          <cell r="C73" t="str">
            <v>1-3106</v>
          </cell>
          <cell r="D73" t="str">
            <v>Sundry Plant &amp; Equipment</v>
          </cell>
        </row>
        <row r="74">
          <cell r="B74">
            <v>65000000000071</v>
          </cell>
          <cell r="C74" t="str">
            <v>1-3106.01</v>
          </cell>
          <cell r="D74" t="str">
            <v>Sundry Plant &amp; Equipment (IDR)</v>
          </cell>
        </row>
        <row r="75">
          <cell r="B75">
            <v>65000000000072</v>
          </cell>
          <cell r="C75" t="str">
            <v>1-3107</v>
          </cell>
          <cell r="D75" t="str">
            <v>Test Equipment</v>
          </cell>
        </row>
        <row r="76">
          <cell r="B76">
            <v>65000000000073</v>
          </cell>
          <cell r="C76" t="str">
            <v>1-3107.01</v>
          </cell>
          <cell r="D76" t="str">
            <v>Test Equipment (IDR)</v>
          </cell>
        </row>
        <row r="77">
          <cell r="B77">
            <v>65000000000074</v>
          </cell>
          <cell r="C77" t="str">
            <v>1-3108</v>
          </cell>
          <cell r="D77" t="str">
            <v>Motor Vehicle</v>
          </cell>
        </row>
        <row r="78">
          <cell r="B78">
            <v>65000000000075</v>
          </cell>
          <cell r="C78" t="str">
            <v>1-3108.01</v>
          </cell>
          <cell r="D78" t="str">
            <v>Motor Vehicle (IDR)</v>
          </cell>
        </row>
        <row r="79">
          <cell r="B79">
            <v>65000000000076</v>
          </cell>
          <cell r="C79" t="str">
            <v>1-3109</v>
          </cell>
          <cell r="D79" t="str">
            <v>Tools</v>
          </cell>
        </row>
        <row r="80">
          <cell r="B80">
            <v>65000000000077</v>
          </cell>
          <cell r="C80" t="str">
            <v>1-3109.01</v>
          </cell>
          <cell r="D80" t="str">
            <v>Tools (IDR)</v>
          </cell>
        </row>
        <row r="81">
          <cell r="B81">
            <v>65000000000078</v>
          </cell>
          <cell r="C81" t="str">
            <v>1-3110</v>
          </cell>
          <cell r="D81" t="str">
            <v>Furniture Fitting</v>
          </cell>
        </row>
        <row r="82">
          <cell r="B82">
            <v>65000000000079</v>
          </cell>
          <cell r="C82" t="str">
            <v>1-3110.01</v>
          </cell>
          <cell r="D82" t="str">
            <v>Furniture Fitting (IDR)</v>
          </cell>
        </row>
        <row r="83">
          <cell r="B83">
            <v>65000000000080</v>
          </cell>
          <cell r="C83" t="str">
            <v>1-3111</v>
          </cell>
          <cell r="D83" t="str">
            <v>Mobile Phone</v>
          </cell>
        </row>
        <row r="84">
          <cell r="B84">
            <v>65000000000081</v>
          </cell>
          <cell r="C84" t="str">
            <v>1-3111.01</v>
          </cell>
          <cell r="D84" t="str">
            <v>Mobile Phone (IDR)</v>
          </cell>
        </row>
        <row r="85">
          <cell r="B85">
            <v>65000000000082</v>
          </cell>
          <cell r="C85" t="str">
            <v>1-3200</v>
          </cell>
          <cell r="D85" t="str">
            <v>Akumulasi Penyusutan Aktiva Tetap</v>
          </cell>
        </row>
        <row r="86">
          <cell r="B86">
            <v>65000000000083</v>
          </cell>
          <cell r="C86" t="str">
            <v>1-3201</v>
          </cell>
          <cell r="D86" t="str">
            <v>Akumulasi Penyusutan Building - Improvement</v>
          </cell>
        </row>
        <row r="87">
          <cell r="B87">
            <v>65000000000084</v>
          </cell>
          <cell r="C87" t="str">
            <v>1-3201.01</v>
          </cell>
          <cell r="D87" t="str">
            <v>Akumulasi Penyusutan Building - Improvement (IDR)</v>
          </cell>
        </row>
        <row r="88">
          <cell r="B88">
            <v>65000000000085</v>
          </cell>
          <cell r="C88" t="str">
            <v>1-3202</v>
          </cell>
          <cell r="D88" t="str">
            <v>Akumulasi Penyusutan Building - Office</v>
          </cell>
        </row>
        <row r="89">
          <cell r="B89">
            <v>65000000000086</v>
          </cell>
          <cell r="C89" t="str">
            <v>1-3202.01</v>
          </cell>
          <cell r="D89" t="str">
            <v>Akumulasi Penyusutan Building - Office (IDR)</v>
          </cell>
        </row>
        <row r="90">
          <cell r="B90">
            <v>65000000000087</v>
          </cell>
          <cell r="C90" t="str">
            <v>1-3203</v>
          </cell>
          <cell r="D90" t="str">
            <v>Akumulasi Penyusutan Info Tech Equipment</v>
          </cell>
        </row>
        <row r="91">
          <cell r="B91">
            <v>65000000000088</v>
          </cell>
          <cell r="C91" t="str">
            <v>1-3203.01</v>
          </cell>
          <cell r="D91" t="str">
            <v>Akumulasi Penyusutan Info Tech Equipment (IDR)</v>
          </cell>
        </row>
        <row r="92">
          <cell r="B92">
            <v>65000000000089</v>
          </cell>
          <cell r="C92" t="str">
            <v>1-3204</v>
          </cell>
          <cell r="D92" t="str">
            <v>Akumulasi Penyusutan Office Machine &amp; Equipment</v>
          </cell>
        </row>
        <row r="93">
          <cell r="B93">
            <v>65000000000090</v>
          </cell>
          <cell r="C93" t="str">
            <v>1-3204.01</v>
          </cell>
          <cell r="D93" t="str">
            <v>Akumulasi Penyusutan Office Machine &amp; Equipment (IDR)</v>
          </cell>
        </row>
        <row r="94">
          <cell r="B94">
            <v>65000000000091</v>
          </cell>
          <cell r="C94" t="str">
            <v>1-3205</v>
          </cell>
          <cell r="D94" t="str">
            <v>Akumulasi Penyusutan Sundry Plant &amp; Equipment</v>
          </cell>
        </row>
        <row r="95">
          <cell r="B95">
            <v>65000000000092</v>
          </cell>
          <cell r="C95" t="str">
            <v>1-3205.01</v>
          </cell>
          <cell r="D95" t="str">
            <v>Akumulasi Penyusutan Sundry Plant &amp; Equipment (IDR)</v>
          </cell>
        </row>
        <row r="96">
          <cell r="B96">
            <v>65000000000093</v>
          </cell>
          <cell r="C96" t="str">
            <v>1-3206</v>
          </cell>
          <cell r="D96" t="str">
            <v>Akumulasi Penyusutan Test Equipment</v>
          </cell>
        </row>
        <row r="97">
          <cell r="B97">
            <v>65000000000094</v>
          </cell>
          <cell r="C97" t="str">
            <v>1-3206.01</v>
          </cell>
          <cell r="D97" t="str">
            <v>Akumulasi Penyusutan Test Equipment (IDR)</v>
          </cell>
        </row>
        <row r="98">
          <cell r="B98">
            <v>65000000000095</v>
          </cell>
          <cell r="C98" t="str">
            <v>1-3207</v>
          </cell>
          <cell r="D98" t="str">
            <v>Akumulasi Penyusutan Motor Vehicle</v>
          </cell>
        </row>
        <row r="99">
          <cell r="B99">
            <v>65000000000096</v>
          </cell>
          <cell r="C99" t="str">
            <v>1-3207.01</v>
          </cell>
          <cell r="D99" t="str">
            <v>Akumulasi Penyusutan Motor Vehicle (IDR)</v>
          </cell>
        </row>
        <row r="100">
          <cell r="B100">
            <v>65000000000097</v>
          </cell>
          <cell r="C100" t="str">
            <v>1-3208</v>
          </cell>
          <cell r="D100" t="str">
            <v>Akumulasi Penyusutan Tools</v>
          </cell>
        </row>
        <row r="101">
          <cell r="B101">
            <v>65000000000098</v>
          </cell>
          <cell r="C101" t="str">
            <v>1-3208.01</v>
          </cell>
          <cell r="D101" t="str">
            <v>Akumulasi Penyusutan Tools (IDR)</v>
          </cell>
        </row>
        <row r="102">
          <cell r="B102">
            <v>65000000000099</v>
          </cell>
          <cell r="C102" t="str">
            <v>1-3209</v>
          </cell>
          <cell r="D102" t="str">
            <v>Akumulasi Penyusutan Furniture Fitting</v>
          </cell>
        </row>
        <row r="103">
          <cell r="B103">
            <v>65000000000100</v>
          </cell>
          <cell r="C103" t="str">
            <v>1-3209.01</v>
          </cell>
          <cell r="D103" t="str">
            <v>Akumulasi Penyusutan Furniture Fitting (IDR)</v>
          </cell>
        </row>
        <row r="104">
          <cell r="B104">
            <v>65000000000101</v>
          </cell>
          <cell r="C104" t="str">
            <v>1-3210</v>
          </cell>
          <cell r="D104" t="str">
            <v>Akumulasi Penyusutan Mobile Phone</v>
          </cell>
        </row>
        <row r="105">
          <cell r="B105">
            <v>65000000000102</v>
          </cell>
          <cell r="C105" t="str">
            <v>1-3210.01</v>
          </cell>
          <cell r="D105" t="str">
            <v>Akumulasi Penyusutan Mobile Phone (IDR)</v>
          </cell>
        </row>
        <row r="106">
          <cell r="B106" t="str">
            <v/>
          </cell>
          <cell r="C106" t="str">
            <v/>
          </cell>
          <cell r="D106" t="str">
            <v/>
          </cell>
        </row>
        <row r="107">
          <cell r="B107">
            <v>65000000000103</v>
          </cell>
          <cell r="C107" t="str">
            <v>1-4000</v>
          </cell>
          <cell r="D107" t="str">
            <v>Aktiva Tetap Tidak Berwujud</v>
          </cell>
        </row>
        <row r="108">
          <cell r="B108">
            <v>65000000000104</v>
          </cell>
          <cell r="C108" t="str">
            <v>1-4000.01</v>
          </cell>
          <cell r="D108" t="str">
            <v>Aktiva Tetap Tidak Berwujud (IDR)</v>
          </cell>
        </row>
        <row r="109">
          <cell r="B109">
            <v>65000000000105</v>
          </cell>
          <cell r="C109" t="str">
            <v>1-5000</v>
          </cell>
          <cell r="D109" t="str">
            <v>Aktiva Lain2</v>
          </cell>
        </row>
        <row r="110">
          <cell r="B110">
            <v>65000000000106</v>
          </cell>
          <cell r="C110" t="str">
            <v>1-5100</v>
          </cell>
          <cell r="D110" t="str">
            <v>Pre Ops Project</v>
          </cell>
        </row>
        <row r="111">
          <cell r="B111">
            <v>65000000000107</v>
          </cell>
          <cell r="C111" t="str">
            <v>1-5101</v>
          </cell>
          <cell r="D111" t="str">
            <v>Pre Opr Costproject - Material</v>
          </cell>
        </row>
        <row r="112">
          <cell r="B112">
            <v>65000000000108</v>
          </cell>
          <cell r="C112" t="str">
            <v>1-5101.01</v>
          </cell>
          <cell r="D112" t="str">
            <v>Pre Opr Costproject - Material (IDR)</v>
          </cell>
        </row>
        <row r="113">
          <cell r="B113">
            <v>65000000000109</v>
          </cell>
          <cell r="C113" t="str">
            <v>1-5102</v>
          </cell>
          <cell r="D113" t="str">
            <v>Pre Opr Costproject - Labor Cost</v>
          </cell>
        </row>
        <row r="114">
          <cell r="B114">
            <v>65000000000110</v>
          </cell>
          <cell r="C114" t="str">
            <v>1-5102.01</v>
          </cell>
          <cell r="D114" t="str">
            <v>Pre Opr Costproject - Labor Cost (IDR)</v>
          </cell>
        </row>
        <row r="115">
          <cell r="B115">
            <v>65000000000111</v>
          </cell>
          <cell r="C115" t="str">
            <v>1-5103</v>
          </cell>
          <cell r="D115" t="str">
            <v>Pre Opr Costproject - Overhead</v>
          </cell>
        </row>
        <row r="116">
          <cell r="B116">
            <v>65000000000112</v>
          </cell>
          <cell r="C116" t="str">
            <v>1-5103.01</v>
          </cell>
          <cell r="D116" t="str">
            <v>Pre Opr Costproject - Overhead (IDR)</v>
          </cell>
        </row>
        <row r="117">
          <cell r="B117" t="str">
            <v/>
          </cell>
          <cell r="C117" t="str">
            <v/>
          </cell>
          <cell r="D117" t="str">
            <v/>
          </cell>
        </row>
        <row r="118">
          <cell r="B118">
            <v>65000000000113</v>
          </cell>
          <cell r="C118" t="str">
            <v>2-0000</v>
          </cell>
          <cell r="D118" t="str">
            <v>Hutang</v>
          </cell>
        </row>
        <row r="119">
          <cell r="B119">
            <v>65000000000114</v>
          </cell>
          <cell r="C119" t="str">
            <v>2-1000</v>
          </cell>
          <cell r="D119" t="str">
            <v>Hutang lancar</v>
          </cell>
        </row>
        <row r="120">
          <cell r="B120">
            <v>65000000000115</v>
          </cell>
          <cell r="C120" t="str">
            <v>2-1001</v>
          </cell>
          <cell r="D120" t="str">
            <v>Hutang Dagang</v>
          </cell>
        </row>
        <row r="121">
          <cell r="B121">
            <v>65000000000116</v>
          </cell>
          <cell r="C121" t="str">
            <v>2-1001.01</v>
          </cell>
          <cell r="D121" t="str">
            <v>Hutang Dagang (IDR)</v>
          </cell>
        </row>
        <row r="122">
          <cell r="B122">
            <v>65000000000117</v>
          </cell>
          <cell r="C122" t="str">
            <v>2-1001.02</v>
          </cell>
          <cell r="D122" t="str">
            <v>Hutang Dagang (USD)</v>
          </cell>
        </row>
        <row r="123">
          <cell r="B123">
            <v>65000000000118</v>
          </cell>
          <cell r="C123" t="str">
            <v>2-1001.03</v>
          </cell>
          <cell r="D123" t="str">
            <v>Hutang Dagang (AUD)</v>
          </cell>
        </row>
        <row r="124">
          <cell r="B124">
            <v>65000000000119</v>
          </cell>
          <cell r="C124" t="str">
            <v>2-1002</v>
          </cell>
          <cell r="D124" t="str">
            <v>Biaya yang ditangguhkan</v>
          </cell>
        </row>
        <row r="125">
          <cell r="B125">
            <v>65000000000120</v>
          </cell>
          <cell r="C125" t="str">
            <v>2-1002.01</v>
          </cell>
          <cell r="D125" t="str">
            <v>Biaya yang ditangguhkan (IDR)</v>
          </cell>
        </row>
        <row r="126">
          <cell r="B126">
            <v>65000000000121</v>
          </cell>
          <cell r="C126" t="str">
            <v>2-1003</v>
          </cell>
          <cell r="D126" t="str">
            <v>Unearned Revenue</v>
          </cell>
        </row>
        <row r="127">
          <cell r="B127">
            <v>65000000000122</v>
          </cell>
          <cell r="C127" t="str">
            <v>2-1003.01</v>
          </cell>
          <cell r="D127" t="str">
            <v>Unearned Revenue (IDR)</v>
          </cell>
        </row>
        <row r="128">
          <cell r="B128">
            <v>65000000000123</v>
          </cell>
          <cell r="C128" t="str">
            <v>2-1003.02</v>
          </cell>
          <cell r="D128" t="str">
            <v>Unearned Revenue (USD)</v>
          </cell>
        </row>
        <row r="129">
          <cell r="B129">
            <v>65000000000124</v>
          </cell>
          <cell r="C129" t="str">
            <v>2-1004</v>
          </cell>
          <cell r="D129" t="str">
            <v>Month end CFS Accrual</v>
          </cell>
        </row>
        <row r="130">
          <cell r="B130">
            <v>65000000000125</v>
          </cell>
          <cell r="C130" t="str">
            <v>2-1004.01</v>
          </cell>
          <cell r="D130" t="str">
            <v>Month end CFS Accrual (IDR)</v>
          </cell>
        </row>
        <row r="131">
          <cell r="B131">
            <v>65000000000126</v>
          </cell>
          <cell r="C131" t="str">
            <v>2-1005</v>
          </cell>
          <cell r="D131" t="str">
            <v>Hutang Karyawan</v>
          </cell>
        </row>
        <row r="132">
          <cell r="B132">
            <v>65000000000127</v>
          </cell>
          <cell r="C132" t="str">
            <v>2-1005.01</v>
          </cell>
          <cell r="D132" t="str">
            <v>Hutang Karyawan (IDR)</v>
          </cell>
        </row>
        <row r="133">
          <cell r="B133">
            <v>65000000000128</v>
          </cell>
          <cell r="C133" t="str">
            <v>2-1006</v>
          </cell>
          <cell r="D133" t="str">
            <v>Hutang Lancar Lainnya</v>
          </cell>
        </row>
        <row r="134">
          <cell r="B134">
            <v>65000000000129</v>
          </cell>
          <cell r="C134" t="str">
            <v>2-1006.01</v>
          </cell>
          <cell r="D134" t="str">
            <v>Hutang Lancar Lainnya (IDR)</v>
          </cell>
        </row>
        <row r="135">
          <cell r="B135">
            <v>65000000000130</v>
          </cell>
          <cell r="C135" t="str">
            <v>2-1100</v>
          </cell>
          <cell r="D135" t="str">
            <v>Hutang Pajak</v>
          </cell>
        </row>
        <row r="136">
          <cell r="B136">
            <v>65000000000131</v>
          </cell>
          <cell r="C136" t="str">
            <v>2-1101</v>
          </cell>
          <cell r="D136" t="str">
            <v>GST - Output Tax</v>
          </cell>
        </row>
        <row r="137">
          <cell r="B137">
            <v>65000000000132</v>
          </cell>
          <cell r="C137" t="str">
            <v>2-1101.01</v>
          </cell>
          <cell r="D137" t="str">
            <v>GST - Output Tax (IDR)</v>
          </cell>
        </row>
        <row r="138">
          <cell r="B138">
            <v>65000000000133</v>
          </cell>
          <cell r="C138" t="str">
            <v>2-1102</v>
          </cell>
          <cell r="D138" t="str">
            <v>Witholding Tax 4(2)</v>
          </cell>
        </row>
        <row r="139">
          <cell r="B139">
            <v>65000000000134</v>
          </cell>
          <cell r="C139" t="str">
            <v>2-1102.01</v>
          </cell>
          <cell r="D139" t="str">
            <v>Witholding Tax 4(2) (IDR)</v>
          </cell>
        </row>
        <row r="140">
          <cell r="B140">
            <v>65000000000135</v>
          </cell>
          <cell r="C140" t="str">
            <v>2-1103</v>
          </cell>
          <cell r="D140" t="str">
            <v>Witholding Tax 21</v>
          </cell>
        </row>
        <row r="141">
          <cell r="B141">
            <v>65000000000136</v>
          </cell>
          <cell r="C141" t="str">
            <v>2-1103.01</v>
          </cell>
          <cell r="D141" t="str">
            <v>Witholding Tax 21 (IDR)</v>
          </cell>
        </row>
        <row r="142">
          <cell r="B142">
            <v>65000000000137</v>
          </cell>
          <cell r="C142" t="str">
            <v>2-1104</v>
          </cell>
          <cell r="D142" t="str">
            <v>Witholding Tax 22</v>
          </cell>
        </row>
        <row r="143">
          <cell r="B143">
            <v>65000000000138</v>
          </cell>
          <cell r="C143" t="str">
            <v>2-1104.01</v>
          </cell>
          <cell r="D143" t="str">
            <v>Witholding Tax 22 (IDR)</v>
          </cell>
        </row>
        <row r="144">
          <cell r="B144">
            <v>65000000000139</v>
          </cell>
          <cell r="C144" t="str">
            <v>2-1105</v>
          </cell>
          <cell r="D144" t="str">
            <v>Witholding Tax 23</v>
          </cell>
        </row>
        <row r="145">
          <cell r="B145">
            <v>65000000000140</v>
          </cell>
          <cell r="C145" t="str">
            <v>2-1105.01</v>
          </cell>
          <cell r="D145" t="str">
            <v>Witholding Tax 23 (IDR)</v>
          </cell>
        </row>
        <row r="146">
          <cell r="B146">
            <v>65000000000141</v>
          </cell>
          <cell r="C146" t="str">
            <v>2-1106</v>
          </cell>
          <cell r="D146" t="str">
            <v>Witholding Tax 25</v>
          </cell>
        </row>
        <row r="147">
          <cell r="B147">
            <v>65000000000142</v>
          </cell>
          <cell r="C147" t="str">
            <v>2-1106.01</v>
          </cell>
          <cell r="D147" t="str">
            <v>Witholding Tax 25 (IDR)</v>
          </cell>
        </row>
        <row r="148">
          <cell r="B148">
            <v>65000000000143</v>
          </cell>
          <cell r="C148" t="str">
            <v>2-1107</v>
          </cell>
          <cell r="D148" t="str">
            <v>Tax Paid Current Year</v>
          </cell>
        </row>
        <row r="149">
          <cell r="B149">
            <v>65000000000144</v>
          </cell>
          <cell r="C149" t="str">
            <v>2-1107.01</v>
          </cell>
          <cell r="D149" t="str">
            <v>Tax Paid Current Year (IDR)</v>
          </cell>
        </row>
        <row r="150">
          <cell r="B150">
            <v>65000000000145</v>
          </cell>
          <cell r="C150" t="str">
            <v>2-1108</v>
          </cell>
          <cell r="D150" t="str">
            <v>Provision for Tax Current Year</v>
          </cell>
        </row>
        <row r="151">
          <cell r="B151">
            <v>65000000000146</v>
          </cell>
          <cell r="C151" t="str">
            <v>2-1108.01</v>
          </cell>
          <cell r="D151" t="str">
            <v>Provision for Tax Current Year (IDR)</v>
          </cell>
        </row>
        <row r="152">
          <cell r="B152">
            <v>65000000000147</v>
          </cell>
          <cell r="C152" t="str">
            <v>2-1109</v>
          </cell>
          <cell r="D152" t="str">
            <v>Defferred Tax Liability</v>
          </cell>
        </row>
        <row r="153">
          <cell r="B153">
            <v>65000000000148</v>
          </cell>
          <cell r="C153" t="str">
            <v>2-1109.01</v>
          </cell>
          <cell r="D153" t="str">
            <v>Defferred Tax Liability (IDR)</v>
          </cell>
        </row>
        <row r="154">
          <cell r="B154">
            <v>65000000000149</v>
          </cell>
          <cell r="C154" t="str">
            <v>2-1200</v>
          </cell>
          <cell r="D154" t="str">
            <v>Hutang Antar Perusahaan</v>
          </cell>
        </row>
        <row r="155">
          <cell r="B155">
            <v>65000000000150</v>
          </cell>
          <cell r="C155" t="str">
            <v>2-1200.01</v>
          </cell>
          <cell r="D155" t="str">
            <v>Hutang Antar Perusahaan (IDR)</v>
          </cell>
        </row>
        <row r="156">
          <cell r="B156">
            <v>65000000000151</v>
          </cell>
          <cell r="C156" t="str">
            <v>2-2000</v>
          </cell>
          <cell r="D156" t="str">
            <v>Hutang Jangka Panjang</v>
          </cell>
        </row>
        <row r="157">
          <cell r="B157">
            <v>65000000000152</v>
          </cell>
          <cell r="C157" t="str">
            <v>2-2001</v>
          </cell>
          <cell r="D157" t="str">
            <v>Bank Loan</v>
          </cell>
        </row>
        <row r="158">
          <cell r="B158">
            <v>65000000000153</v>
          </cell>
          <cell r="C158" t="str">
            <v>2-2001.01</v>
          </cell>
          <cell r="D158" t="str">
            <v>Bank Loan (IDR)</v>
          </cell>
        </row>
        <row r="159">
          <cell r="B159">
            <v>65000000000154</v>
          </cell>
          <cell r="C159" t="str">
            <v>2-2002</v>
          </cell>
          <cell r="D159" t="str">
            <v>Hutang Pemegang Saham</v>
          </cell>
        </row>
        <row r="160">
          <cell r="B160">
            <v>65000000000155</v>
          </cell>
          <cell r="C160" t="str">
            <v>2-2002.01</v>
          </cell>
          <cell r="D160" t="str">
            <v>Hutang Pemegang Saham (IDR)</v>
          </cell>
        </row>
        <row r="161">
          <cell r="B161" t="str">
            <v/>
          </cell>
          <cell r="C161" t="str">
            <v/>
          </cell>
          <cell r="D161" t="str">
            <v/>
          </cell>
        </row>
        <row r="162">
          <cell r="B162">
            <v>65000000000156</v>
          </cell>
          <cell r="C162" t="str">
            <v>2-3000</v>
          </cell>
          <cell r="D162" t="str">
            <v>Hutang Lain - Lain</v>
          </cell>
        </row>
        <row r="163">
          <cell r="B163">
            <v>65000000000157</v>
          </cell>
          <cell r="C163" t="str">
            <v>2-3001</v>
          </cell>
          <cell r="D163" t="str">
            <v>Hutang Lain - Lain</v>
          </cell>
        </row>
        <row r="164">
          <cell r="B164">
            <v>65000000000158</v>
          </cell>
          <cell r="C164" t="str">
            <v>2-3001.01</v>
          </cell>
          <cell r="D164" t="str">
            <v>Hutang Lain - Lain (IDR)</v>
          </cell>
        </row>
        <row r="165">
          <cell r="B165">
            <v>65000000000159</v>
          </cell>
          <cell r="C165" t="str">
            <v>2-3001.01</v>
          </cell>
          <cell r="D165" t="str">
            <v>Hutang Lain - Lain (USD)</v>
          </cell>
        </row>
        <row r="166">
          <cell r="B166" t="str">
            <v/>
          </cell>
          <cell r="C166" t="str">
            <v/>
          </cell>
          <cell r="D166" t="str">
            <v/>
          </cell>
        </row>
        <row r="167">
          <cell r="B167">
            <v>65000000000160</v>
          </cell>
          <cell r="C167" t="str">
            <v>3-0000</v>
          </cell>
          <cell r="D167" t="str">
            <v>Modal</v>
          </cell>
        </row>
        <row r="168">
          <cell r="B168">
            <v>65000000000161</v>
          </cell>
          <cell r="C168" t="str">
            <v>3-1000</v>
          </cell>
          <cell r="D168" t="str">
            <v>Share Capital</v>
          </cell>
        </row>
        <row r="169">
          <cell r="B169">
            <v>65000000000162</v>
          </cell>
          <cell r="C169" t="str">
            <v>3-1000.01</v>
          </cell>
          <cell r="D169" t="str">
            <v>Share Capital (IDR)</v>
          </cell>
        </row>
        <row r="170">
          <cell r="B170">
            <v>65000000000163</v>
          </cell>
          <cell r="C170" t="str">
            <v>3-2000</v>
          </cell>
          <cell r="D170" t="str">
            <v>R/E Profits/Losses Prev Year</v>
          </cell>
        </row>
        <row r="171">
          <cell r="B171">
            <v>65000000000164</v>
          </cell>
          <cell r="C171" t="str">
            <v>3-2000.01</v>
          </cell>
          <cell r="D171" t="str">
            <v>R/E Profits/Losses Prev Year (IDR)</v>
          </cell>
        </row>
        <row r="172">
          <cell r="B172">
            <v>65000000000165</v>
          </cell>
          <cell r="C172" t="str">
            <v>3-3000</v>
          </cell>
          <cell r="D172" t="str">
            <v>Current Year Earnings</v>
          </cell>
        </row>
        <row r="173">
          <cell r="B173">
            <v>65000000000166</v>
          </cell>
          <cell r="C173" t="str">
            <v>3-3000.01</v>
          </cell>
          <cell r="D173" t="str">
            <v>Current Year Earnings (IDR)</v>
          </cell>
        </row>
        <row r="174">
          <cell r="B174">
            <v>65000000000167</v>
          </cell>
          <cell r="C174" t="str">
            <v>3-9000</v>
          </cell>
          <cell r="D174" t="str">
            <v>Historical Balancing</v>
          </cell>
        </row>
        <row r="175">
          <cell r="B175">
            <v>65000000000168</v>
          </cell>
          <cell r="C175" t="str">
            <v>3-9000.01</v>
          </cell>
          <cell r="D175" t="str">
            <v>Historical Balancing (IDR)</v>
          </cell>
        </row>
        <row r="176">
          <cell r="B176" t="str">
            <v/>
          </cell>
          <cell r="C176" t="str">
            <v/>
          </cell>
          <cell r="D176" t="str">
            <v/>
          </cell>
        </row>
        <row r="177">
          <cell r="B177">
            <v>65000000000169</v>
          </cell>
          <cell r="C177" t="str">
            <v>4-0000</v>
          </cell>
          <cell r="D177" t="str">
            <v>Pendapatan</v>
          </cell>
        </row>
        <row r="178">
          <cell r="B178">
            <v>65000000000170</v>
          </cell>
          <cell r="C178" t="str">
            <v>4-1000</v>
          </cell>
          <cell r="D178" t="str">
            <v>Completed Project</v>
          </cell>
        </row>
        <row r="179">
          <cell r="B179">
            <v>65000000000171</v>
          </cell>
          <cell r="C179" t="str">
            <v>4-1001</v>
          </cell>
          <cell r="D179" t="str">
            <v>Completed Project</v>
          </cell>
        </row>
        <row r="180">
          <cell r="B180">
            <v>65000000000172</v>
          </cell>
          <cell r="C180" t="str">
            <v>4-1001.01</v>
          </cell>
          <cell r="D180" t="str">
            <v>Completed Project (IDR)</v>
          </cell>
        </row>
        <row r="181">
          <cell r="B181">
            <v>65000000000173</v>
          </cell>
          <cell r="C181" t="str">
            <v>4-2000</v>
          </cell>
          <cell r="D181" t="str">
            <v>Construction Project</v>
          </cell>
        </row>
        <row r="182">
          <cell r="B182">
            <v>65000000000174</v>
          </cell>
          <cell r="C182" t="str">
            <v>4-2001</v>
          </cell>
          <cell r="D182" t="str">
            <v>Construction Project</v>
          </cell>
        </row>
        <row r="183">
          <cell r="B183">
            <v>65000000000175</v>
          </cell>
          <cell r="C183" t="str">
            <v>4-2001.01</v>
          </cell>
          <cell r="D183" t="str">
            <v>Construction Project (IDR)</v>
          </cell>
        </row>
        <row r="184">
          <cell r="B184">
            <v>65000000000176</v>
          </cell>
          <cell r="C184" t="str">
            <v>4-3000</v>
          </cell>
          <cell r="D184" t="str">
            <v>WIP Adjustment</v>
          </cell>
        </row>
        <row r="185">
          <cell r="B185">
            <v>65000000000177</v>
          </cell>
          <cell r="C185" t="str">
            <v>4-3001</v>
          </cell>
          <cell r="D185" t="str">
            <v>WIP Adjustment</v>
          </cell>
        </row>
        <row r="186">
          <cell r="B186">
            <v>65000000000178</v>
          </cell>
          <cell r="C186" t="str">
            <v>4-3001.01</v>
          </cell>
          <cell r="D186" t="str">
            <v>WIP Adjustment (IDR)</v>
          </cell>
        </row>
        <row r="187">
          <cell r="B187">
            <v>65000000000179</v>
          </cell>
          <cell r="C187" t="str">
            <v>4-4000</v>
          </cell>
          <cell r="D187" t="str">
            <v>Under/Overclaim Adjustment</v>
          </cell>
        </row>
        <row r="188">
          <cell r="B188">
            <v>65000000000180</v>
          </cell>
          <cell r="C188" t="str">
            <v>4-4001</v>
          </cell>
          <cell r="D188" t="str">
            <v>Under/Overclaim Adjustment</v>
          </cell>
        </row>
        <row r="189">
          <cell r="B189">
            <v>65000000000181</v>
          </cell>
          <cell r="C189" t="str">
            <v>4-4001.01</v>
          </cell>
          <cell r="D189" t="str">
            <v>Under/Overclaim Adjustment (IDR)</v>
          </cell>
        </row>
        <row r="190">
          <cell r="B190">
            <v>65000000000182</v>
          </cell>
          <cell r="C190" t="str">
            <v>4-5000</v>
          </cell>
          <cell r="D190" t="str">
            <v>Discount</v>
          </cell>
        </row>
        <row r="191">
          <cell r="B191">
            <v>65000000000183</v>
          </cell>
          <cell r="C191" t="str">
            <v>4-5001</v>
          </cell>
          <cell r="D191" t="str">
            <v>Discount</v>
          </cell>
        </row>
        <row r="192">
          <cell r="B192">
            <v>65000000000184</v>
          </cell>
          <cell r="C192" t="str">
            <v>4-5001.01</v>
          </cell>
          <cell r="D192" t="str">
            <v>Discount (IDR)</v>
          </cell>
        </row>
        <row r="193">
          <cell r="B193">
            <v>65000000000185</v>
          </cell>
          <cell r="C193" t="str">
            <v>4-6000</v>
          </cell>
          <cell r="D193" t="str">
            <v>Commision</v>
          </cell>
        </row>
        <row r="194">
          <cell r="B194">
            <v>65000000000186</v>
          </cell>
          <cell r="C194" t="str">
            <v>4-6001</v>
          </cell>
          <cell r="D194" t="str">
            <v>Commision</v>
          </cell>
        </row>
        <row r="195">
          <cell r="B195">
            <v>65000000000187</v>
          </cell>
          <cell r="C195" t="str">
            <v>4-6001.01</v>
          </cell>
          <cell r="D195" t="str">
            <v>Commision (IDR)</v>
          </cell>
        </row>
        <row r="196">
          <cell r="B196" t="str">
            <v/>
          </cell>
          <cell r="C196" t="str">
            <v/>
          </cell>
          <cell r="D196" t="str">
            <v/>
          </cell>
        </row>
        <row r="197">
          <cell r="B197">
            <v>65000000000188</v>
          </cell>
          <cell r="C197" t="str">
            <v>5-0000</v>
          </cell>
          <cell r="D197" t="str">
            <v>HPP (COGS)</v>
          </cell>
        </row>
        <row r="198">
          <cell r="B198">
            <v>65000000000189</v>
          </cell>
          <cell r="C198" t="str">
            <v>5-1000</v>
          </cell>
          <cell r="D198" t="str">
            <v>Cost of Material</v>
          </cell>
        </row>
        <row r="199">
          <cell r="B199">
            <v>65000000000190</v>
          </cell>
          <cell r="C199" t="str">
            <v>5-1001</v>
          </cell>
          <cell r="D199" t="str">
            <v>Opening Balance - Material</v>
          </cell>
        </row>
        <row r="200">
          <cell r="B200">
            <v>65000000000191</v>
          </cell>
          <cell r="C200" t="str">
            <v>5-1001.01</v>
          </cell>
          <cell r="D200" t="str">
            <v>Opening Balance - Material (IDR)</v>
          </cell>
        </row>
        <row r="201">
          <cell r="B201">
            <v>65000000000192</v>
          </cell>
          <cell r="C201" t="str">
            <v>5-1002</v>
          </cell>
          <cell r="D201" t="str">
            <v>Opening Balance - Supplies</v>
          </cell>
        </row>
        <row r="202">
          <cell r="B202">
            <v>65000000000193</v>
          </cell>
          <cell r="C202" t="str">
            <v>5-1002.01</v>
          </cell>
          <cell r="D202" t="str">
            <v>Opening Balance - Supplies (IDR)</v>
          </cell>
        </row>
        <row r="203">
          <cell r="B203">
            <v>65000000000194</v>
          </cell>
          <cell r="C203" t="str">
            <v>5-1003</v>
          </cell>
          <cell r="D203" t="str">
            <v>Purchase - Material</v>
          </cell>
        </row>
        <row r="204">
          <cell r="B204">
            <v>65000000000195</v>
          </cell>
          <cell r="C204" t="str">
            <v>5-1003.01</v>
          </cell>
          <cell r="D204" t="str">
            <v>Purchase - Material (IDR)</v>
          </cell>
        </row>
        <row r="205">
          <cell r="B205">
            <v>65000000000196</v>
          </cell>
          <cell r="C205" t="str">
            <v>5-1004</v>
          </cell>
          <cell r="D205" t="str">
            <v>Purchase - Supplies</v>
          </cell>
        </row>
        <row r="206">
          <cell r="B206">
            <v>65000000000197</v>
          </cell>
          <cell r="C206" t="str">
            <v>5-1004.01</v>
          </cell>
          <cell r="D206" t="str">
            <v>Purchase - Supplies (IDR)</v>
          </cell>
        </row>
        <row r="207">
          <cell r="B207">
            <v>65000000000198</v>
          </cell>
          <cell r="C207" t="str">
            <v>5-1005</v>
          </cell>
          <cell r="D207" t="str">
            <v>Ending Balance - Material</v>
          </cell>
        </row>
        <row r="208">
          <cell r="B208">
            <v>65000000000199</v>
          </cell>
          <cell r="C208" t="str">
            <v>5-1005.01</v>
          </cell>
          <cell r="D208" t="str">
            <v>Ending Balance - Material (IDR)</v>
          </cell>
        </row>
        <row r="209">
          <cell r="B209">
            <v>65000000000200</v>
          </cell>
          <cell r="C209" t="str">
            <v>5-1006</v>
          </cell>
          <cell r="D209" t="str">
            <v>Ending Balance - Supplies</v>
          </cell>
        </row>
        <row r="210">
          <cell r="B210">
            <v>65000000000201</v>
          </cell>
          <cell r="C210" t="str">
            <v>5-1006.01</v>
          </cell>
          <cell r="D210" t="str">
            <v>Ending Balance - Supplies (IDR)</v>
          </cell>
        </row>
        <row r="211">
          <cell r="B211">
            <v>65000000000202</v>
          </cell>
          <cell r="C211" t="str">
            <v>5-1007</v>
          </cell>
          <cell r="D211" t="str">
            <v>Material Used</v>
          </cell>
        </row>
        <row r="212">
          <cell r="B212">
            <v>65000000000203</v>
          </cell>
          <cell r="C212" t="str">
            <v>5-1007.01</v>
          </cell>
          <cell r="D212" t="str">
            <v>Material Used (IDR)</v>
          </cell>
        </row>
        <row r="213">
          <cell r="B213">
            <v>65000000000204</v>
          </cell>
          <cell r="C213" t="str">
            <v>5-1008</v>
          </cell>
          <cell r="D213" t="str">
            <v>Supplies Used</v>
          </cell>
        </row>
        <row r="214">
          <cell r="B214">
            <v>65000000000205</v>
          </cell>
          <cell r="C214" t="str">
            <v>5-1008.01</v>
          </cell>
          <cell r="D214" t="str">
            <v>Supplies Used (IDR)</v>
          </cell>
        </row>
        <row r="215">
          <cell r="B215">
            <v>65000000000206</v>
          </cell>
          <cell r="C215" t="str">
            <v>5-1009</v>
          </cell>
          <cell r="D215" t="str">
            <v>Material Other</v>
          </cell>
        </row>
        <row r="216">
          <cell r="B216">
            <v>65000000000207</v>
          </cell>
          <cell r="C216" t="str">
            <v>5-1009.01</v>
          </cell>
          <cell r="D216" t="str">
            <v>Material Other (IDR)</v>
          </cell>
        </row>
        <row r="217">
          <cell r="B217">
            <v>65000000000208</v>
          </cell>
          <cell r="C217" t="str">
            <v>5-1010</v>
          </cell>
          <cell r="D217" t="str">
            <v>IT Hardware Purchase</v>
          </cell>
        </row>
        <row r="218">
          <cell r="B218">
            <v>65000000000209</v>
          </cell>
          <cell r="C218" t="str">
            <v>5-1010.01</v>
          </cell>
          <cell r="D218" t="str">
            <v>IT Hardware Purchase (IDR)</v>
          </cell>
        </row>
        <row r="219">
          <cell r="B219">
            <v>65000000000210</v>
          </cell>
          <cell r="C219" t="str">
            <v>5-1099</v>
          </cell>
          <cell r="D219" t="str">
            <v>Other Cost of Material</v>
          </cell>
        </row>
        <row r="220">
          <cell r="B220">
            <v>65000000000211</v>
          </cell>
          <cell r="C220" t="str">
            <v>5-1099.01</v>
          </cell>
          <cell r="D220" t="str">
            <v>Other Cost of Material (IDR)</v>
          </cell>
        </row>
        <row r="221">
          <cell r="B221">
            <v>65000000000212</v>
          </cell>
          <cell r="C221" t="str">
            <v>5-2000</v>
          </cell>
          <cell r="D221" t="str">
            <v>Cost of Labor</v>
          </cell>
        </row>
        <row r="222">
          <cell r="B222">
            <v>65000000000213</v>
          </cell>
          <cell r="C222" t="str">
            <v>5-2001</v>
          </cell>
          <cell r="D222" t="str">
            <v>Salary Daily Worker</v>
          </cell>
        </row>
        <row r="223">
          <cell r="B223">
            <v>65000000000214</v>
          </cell>
          <cell r="C223" t="str">
            <v>5-2001.01</v>
          </cell>
          <cell r="D223" t="str">
            <v>Salary Daily Worker (IDR)</v>
          </cell>
        </row>
        <row r="224">
          <cell r="B224">
            <v>65000000000215</v>
          </cell>
          <cell r="C224" t="str">
            <v>5-2002</v>
          </cell>
          <cell r="D224" t="str">
            <v>Salary Direct</v>
          </cell>
        </row>
        <row r="225">
          <cell r="B225">
            <v>65000000000216</v>
          </cell>
          <cell r="C225" t="str">
            <v>5-2002.01</v>
          </cell>
          <cell r="D225" t="str">
            <v>Salary Direct (IDR)</v>
          </cell>
        </row>
        <row r="226">
          <cell r="B226">
            <v>65000000000217</v>
          </cell>
          <cell r="C226" t="str">
            <v>5-2003</v>
          </cell>
          <cell r="D226" t="str">
            <v>Salary Indirect</v>
          </cell>
        </row>
        <row r="227">
          <cell r="B227">
            <v>65000000000218</v>
          </cell>
          <cell r="C227" t="str">
            <v>5-2003.01</v>
          </cell>
          <cell r="D227" t="str">
            <v>Salary Indirect (IDR)</v>
          </cell>
        </row>
        <row r="228">
          <cell r="B228">
            <v>65000000000219</v>
          </cell>
          <cell r="C228" t="str">
            <v>5-2004</v>
          </cell>
          <cell r="D228" t="str">
            <v>Overtime Direct</v>
          </cell>
        </row>
        <row r="229">
          <cell r="B229">
            <v>65000000000220</v>
          </cell>
          <cell r="C229" t="str">
            <v>5-2004.01</v>
          </cell>
          <cell r="D229" t="str">
            <v>Overtime Direct (IDR)</v>
          </cell>
        </row>
        <row r="230">
          <cell r="B230">
            <v>65000000000221</v>
          </cell>
          <cell r="C230" t="str">
            <v>5-2005</v>
          </cell>
          <cell r="D230" t="str">
            <v>Overtime Indirect</v>
          </cell>
        </row>
        <row r="231">
          <cell r="B231">
            <v>65000000000222</v>
          </cell>
          <cell r="C231" t="str">
            <v>5-2005.01</v>
          </cell>
          <cell r="D231" t="str">
            <v>Overtime Indirect (IDR)</v>
          </cell>
        </row>
        <row r="232">
          <cell r="B232">
            <v>65000000000223</v>
          </cell>
          <cell r="C232" t="str">
            <v>5-2006</v>
          </cell>
          <cell r="D232" t="str">
            <v>Jamsostek Direct</v>
          </cell>
        </row>
        <row r="233">
          <cell r="B233">
            <v>65000000000224</v>
          </cell>
          <cell r="C233" t="str">
            <v>5-2006.01</v>
          </cell>
          <cell r="D233" t="str">
            <v>Jamsostek Direct (IDR)</v>
          </cell>
        </row>
        <row r="234">
          <cell r="B234">
            <v>65000000000225</v>
          </cell>
          <cell r="C234" t="str">
            <v>5-2007</v>
          </cell>
          <cell r="D234" t="str">
            <v>Jamsostek Indirect</v>
          </cell>
        </row>
        <row r="235">
          <cell r="B235">
            <v>65000000000226</v>
          </cell>
          <cell r="C235" t="str">
            <v>5-2007.01</v>
          </cell>
          <cell r="D235" t="str">
            <v>Jamsostek Indirect (IDR)</v>
          </cell>
        </row>
        <row r="236">
          <cell r="B236">
            <v>65000000000227</v>
          </cell>
          <cell r="C236" t="str">
            <v>5-2008</v>
          </cell>
          <cell r="D236" t="str">
            <v>Bonus,THR-Direct</v>
          </cell>
        </row>
        <row r="237">
          <cell r="B237">
            <v>65000000000228</v>
          </cell>
          <cell r="C237" t="str">
            <v>5-2008.01</v>
          </cell>
          <cell r="D237" t="str">
            <v>Bonus,THR-Direct (IDR)</v>
          </cell>
        </row>
        <row r="238">
          <cell r="B238">
            <v>65000000000229</v>
          </cell>
          <cell r="C238" t="str">
            <v>5-2009</v>
          </cell>
          <cell r="D238" t="str">
            <v>Performance Bonus-Direct</v>
          </cell>
        </row>
        <row r="239">
          <cell r="B239">
            <v>65000000000230</v>
          </cell>
          <cell r="C239" t="str">
            <v>5-2009.01</v>
          </cell>
          <cell r="D239" t="str">
            <v>Performance Bonus-Direct (IDR)</v>
          </cell>
        </row>
        <row r="240">
          <cell r="B240">
            <v>65000000000231</v>
          </cell>
          <cell r="C240" t="str">
            <v>5-2010</v>
          </cell>
          <cell r="D240" t="str">
            <v>Bonus,THR-Indirect</v>
          </cell>
        </row>
        <row r="241">
          <cell r="B241">
            <v>65000000000232</v>
          </cell>
          <cell r="C241" t="str">
            <v>5-2010.01</v>
          </cell>
          <cell r="D241" t="str">
            <v>Bonus,THR-Indirect (IDR)</v>
          </cell>
        </row>
        <row r="242">
          <cell r="B242">
            <v>65000000000233</v>
          </cell>
          <cell r="C242" t="str">
            <v>5-2011</v>
          </cell>
          <cell r="D242" t="str">
            <v>Performance Bonus-Indirect</v>
          </cell>
        </row>
        <row r="243">
          <cell r="B243">
            <v>65000000000234</v>
          </cell>
          <cell r="C243" t="str">
            <v>5-2011.01</v>
          </cell>
          <cell r="D243" t="str">
            <v>Performance Bonus-Indirect (IDR)</v>
          </cell>
        </row>
        <row r="244">
          <cell r="B244">
            <v>65000000000235</v>
          </cell>
          <cell r="C244" t="str">
            <v>5-2012</v>
          </cell>
          <cell r="D244" t="str">
            <v>Personal Income Tax-Direct</v>
          </cell>
        </row>
        <row r="245">
          <cell r="B245">
            <v>65000000000236</v>
          </cell>
          <cell r="C245" t="str">
            <v>5-2012.01</v>
          </cell>
          <cell r="D245" t="str">
            <v>Personal Income Tax-Direct (IDR)</v>
          </cell>
        </row>
        <row r="246">
          <cell r="B246">
            <v>65000000000237</v>
          </cell>
          <cell r="C246" t="str">
            <v>5-2013</v>
          </cell>
          <cell r="D246" t="str">
            <v>Personal Income Tax-Indirect</v>
          </cell>
        </row>
        <row r="247">
          <cell r="B247">
            <v>65000000000238</v>
          </cell>
          <cell r="C247" t="str">
            <v>5-2013.01</v>
          </cell>
          <cell r="D247" t="str">
            <v>Personal Income Tax-Indirect (IDR)</v>
          </cell>
        </row>
        <row r="248">
          <cell r="B248">
            <v>65000000000239</v>
          </cell>
          <cell r="C248" t="str">
            <v>5-2014</v>
          </cell>
          <cell r="D248" t="str">
            <v>Uniform,Protect Clothe-Direct</v>
          </cell>
        </row>
        <row r="249">
          <cell r="B249">
            <v>65000000000240</v>
          </cell>
          <cell r="C249" t="str">
            <v>5-2014.01</v>
          </cell>
          <cell r="D249" t="str">
            <v>Uniform,Protect Clothe-Direct (IDR)</v>
          </cell>
        </row>
        <row r="250">
          <cell r="B250">
            <v>65000000000241</v>
          </cell>
          <cell r="C250" t="str">
            <v>5-2015</v>
          </cell>
          <cell r="D250" t="str">
            <v>Uniform,Protect Cloth-Indirect</v>
          </cell>
        </row>
        <row r="251">
          <cell r="B251">
            <v>65000000000242</v>
          </cell>
          <cell r="C251" t="str">
            <v>5-2015.01</v>
          </cell>
          <cell r="D251" t="str">
            <v>Uniform,Protect Cloth-Indirect (IDR)</v>
          </cell>
        </row>
        <row r="252">
          <cell r="B252">
            <v>65000000000243</v>
          </cell>
          <cell r="C252" t="str">
            <v>5-2016</v>
          </cell>
          <cell r="D252" t="str">
            <v>Business Trip Allowance</v>
          </cell>
        </row>
        <row r="253">
          <cell r="B253">
            <v>65000000000244</v>
          </cell>
          <cell r="C253" t="str">
            <v>5-2016.01</v>
          </cell>
          <cell r="D253" t="str">
            <v>Business Trip Allowance (IDR)</v>
          </cell>
        </row>
        <row r="254">
          <cell r="B254">
            <v>65000000000245</v>
          </cell>
          <cell r="C254" t="str">
            <v>5-2017</v>
          </cell>
          <cell r="D254" t="str">
            <v>Meal</v>
          </cell>
        </row>
        <row r="255">
          <cell r="B255">
            <v>65000000000246</v>
          </cell>
          <cell r="C255" t="str">
            <v>5-2017.01</v>
          </cell>
          <cell r="D255" t="str">
            <v>Meal (IDR)</v>
          </cell>
        </row>
        <row r="256">
          <cell r="B256">
            <v>65000000000247</v>
          </cell>
          <cell r="C256" t="str">
            <v>5-2018</v>
          </cell>
          <cell r="D256" t="str">
            <v>Severance Pay - Project</v>
          </cell>
        </row>
        <row r="257">
          <cell r="B257">
            <v>65000000000248</v>
          </cell>
          <cell r="C257" t="str">
            <v>5-2018.01</v>
          </cell>
          <cell r="D257" t="str">
            <v>Severance Pay - Project (IDR)</v>
          </cell>
        </row>
        <row r="258">
          <cell r="B258">
            <v>65000000000249</v>
          </cell>
          <cell r="C258" t="str">
            <v>5-2019</v>
          </cell>
          <cell r="D258" t="str">
            <v>Sub Contractor</v>
          </cell>
        </row>
        <row r="259">
          <cell r="B259">
            <v>65000000000250</v>
          </cell>
          <cell r="C259" t="str">
            <v>5-2019.01</v>
          </cell>
          <cell r="D259" t="str">
            <v>Sub Contractor (IDR)</v>
          </cell>
        </row>
        <row r="260">
          <cell r="B260">
            <v>65000000000251</v>
          </cell>
          <cell r="C260" t="str">
            <v>5-2099</v>
          </cell>
          <cell r="D260" t="str">
            <v>Other Cost of Labor</v>
          </cell>
        </row>
        <row r="261">
          <cell r="B261">
            <v>65000000000252</v>
          </cell>
          <cell r="C261" t="str">
            <v>5-2099.01</v>
          </cell>
          <cell r="D261" t="str">
            <v>Other Cost of Labor (IDR)</v>
          </cell>
        </row>
        <row r="262">
          <cell r="B262">
            <v>65000000000253</v>
          </cell>
          <cell r="C262" t="str">
            <v>5-3000</v>
          </cell>
          <cell r="D262" t="str">
            <v>Indirect Cost</v>
          </cell>
        </row>
        <row r="263">
          <cell r="B263">
            <v>65000000000254</v>
          </cell>
          <cell r="C263" t="str">
            <v>5-3001</v>
          </cell>
          <cell r="D263" t="str">
            <v>Consumables</v>
          </cell>
        </row>
        <row r="264">
          <cell r="B264">
            <v>65000000000255</v>
          </cell>
          <cell r="C264" t="str">
            <v>5-3001.01</v>
          </cell>
          <cell r="D264" t="str">
            <v>Consumables (IDR)</v>
          </cell>
        </row>
        <row r="265">
          <cell r="B265">
            <v>65000000000256</v>
          </cell>
          <cell r="C265" t="str">
            <v>5-3002</v>
          </cell>
          <cell r="D265" t="str">
            <v>Spare Parts</v>
          </cell>
        </row>
        <row r="266">
          <cell r="B266">
            <v>65000000000257</v>
          </cell>
          <cell r="C266" t="str">
            <v>5-3002.01</v>
          </cell>
          <cell r="D266" t="str">
            <v>Spare Parts (IDR)</v>
          </cell>
        </row>
        <row r="267">
          <cell r="B267">
            <v>65000000000258</v>
          </cell>
          <cell r="C267" t="str">
            <v>5-3003</v>
          </cell>
          <cell r="D267" t="str">
            <v>Tools</v>
          </cell>
        </row>
        <row r="268">
          <cell r="B268">
            <v>65000000000259</v>
          </cell>
          <cell r="C268" t="str">
            <v>5-3003.01</v>
          </cell>
          <cell r="D268" t="str">
            <v>Tools (IDR)</v>
          </cell>
        </row>
        <row r="269">
          <cell r="B269">
            <v>65000000000260</v>
          </cell>
          <cell r="C269" t="str">
            <v>5-3004</v>
          </cell>
          <cell r="D269" t="str">
            <v>Utilities</v>
          </cell>
        </row>
        <row r="270">
          <cell r="B270">
            <v>65000000000261</v>
          </cell>
          <cell r="C270" t="str">
            <v>5-3004.01</v>
          </cell>
          <cell r="D270" t="str">
            <v>Utilities (IDR)</v>
          </cell>
        </row>
        <row r="271">
          <cell r="B271">
            <v>65000000000262</v>
          </cell>
          <cell r="C271" t="str">
            <v>5-3005</v>
          </cell>
          <cell r="D271" t="str">
            <v>Stationery &amp; Printing</v>
          </cell>
        </row>
        <row r="272">
          <cell r="B272">
            <v>65000000000263</v>
          </cell>
          <cell r="C272" t="str">
            <v>5-3005.01</v>
          </cell>
          <cell r="D272" t="str">
            <v>Stationery &amp; Printing (IDR)</v>
          </cell>
        </row>
        <row r="273">
          <cell r="B273">
            <v>65000000000264</v>
          </cell>
          <cell r="C273" t="str">
            <v>5-3006</v>
          </cell>
          <cell r="D273" t="str">
            <v>Postage &amp; Courier Service</v>
          </cell>
        </row>
        <row r="274">
          <cell r="B274">
            <v>65000000000265</v>
          </cell>
          <cell r="C274" t="str">
            <v>5-3006.01</v>
          </cell>
          <cell r="D274" t="str">
            <v>Postage &amp; Courier Service (IDR)</v>
          </cell>
        </row>
        <row r="275">
          <cell r="B275">
            <v>65000000000266</v>
          </cell>
          <cell r="C275" t="str">
            <v>5-3007</v>
          </cell>
          <cell r="D275" t="str">
            <v>Telephone Expenses</v>
          </cell>
        </row>
        <row r="276">
          <cell r="B276">
            <v>65000000000267</v>
          </cell>
          <cell r="C276" t="str">
            <v>5-3007.01</v>
          </cell>
          <cell r="D276" t="str">
            <v>Telephone Expenses (IDR)</v>
          </cell>
        </row>
        <row r="277">
          <cell r="B277">
            <v>65000000000268</v>
          </cell>
          <cell r="C277" t="str">
            <v>5-3008</v>
          </cell>
          <cell r="D277" t="str">
            <v>Mobile Phone</v>
          </cell>
        </row>
        <row r="278">
          <cell r="B278">
            <v>65000000000269</v>
          </cell>
          <cell r="C278" t="str">
            <v>5-3008.01</v>
          </cell>
          <cell r="D278" t="str">
            <v>Mobile Phone (IDR)</v>
          </cell>
        </row>
        <row r="279">
          <cell r="B279">
            <v>65000000000270</v>
          </cell>
          <cell r="C279" t="str">
            <v>5-3009</v>
          </cell>
          <cell r="D279" t="str">
            <v>Insurance Expenses</v>
          </cell>
        </row>
        <row r="280">
          <cell r="B280">
            <v>65000000000271</v>
          </cell>
          <cell r="C280" t="str">
            <v>5-3009.01</v>
          </cell>
          <cell r="D280" t="str">
            <v>Insurance Expenses (IDR)</v>
          </cell>
        </row>
        <row r="281">
          <cell r="B281">
            <v>65000000000272</v>
          </cell>
          <cell r="C281" t="str">
            <v>5-3010</v>
          </cell>
          <cell r="D281" t="str">
            <v>Property Rental/Lease</v>
          </cell>
        </row>
        <row r="282">
          <cell r="B282">
            <v>65000000000273</v>
          </cell>
          <cell r="C282" t="str">
            <v>5-3010.01</v>
          </cell>
          <cell r="D282" t="str">
            <v>Property Rental/Lease (IDR)</v>
          </cell>
        </row>
        <row r="283">
          <cell r="B283">
            <v>65000000000274</v>
          </cell>
          <cell r="C283" t="str">
            <v>5-3011</v>
          </cell>
          <cell r="D283" t="str">
            <v>Hire of Other Plant &amp; Equipt</v>
          </cell>
        </row>
        <row r="284">
          <cell r="B284">
            <v>65000000000275</v>
          </cell>
          <cell r="C284" t="str">
            <v>5-3011.01</v>
          </cell>
          <cell r="D284" t="str">
            <v>Hire of Other Plant &amp; Equipt (IDR)</v>
          </cell>
        </row>
        <row r="285">
          <cell r="B285">
            <v>65000000000276</v>
          </cell>
          <cell r="C285" t="str">
            <v>5-3012</v>
          </cell>
          <cell r="D285" t="str">
            <v>Property Repair &amp; Maintenance</v>
          </cell>
        </row>
        <row r="286">
          <cell r="B286">
            <v>65000000000277</v>
          </cell>
          <cell r="C286" t="str">
            <v>5-3012.01</v>
          </cell>
          <cell r="D286" t="str">
            <v>Property Repair &amp; Maintenance (IDR)</v>
          </cell>
        </row>
        <row r="287">
          <cell r="B287">
            <v>65000000000278</v>
          </cell>
          <cell r="C287" t="str">
            <v>5-3013</v>
          </cell>
          <cell r="D287" t="str">
            <v>IT Expenses</v>
          </cell>
        </row>
        <row r="288">
          <cell r="B288">
            <v>65000000000279</v>
          </cell>
          <cell r="C288" t="str">
            <v>5-3013.01</v>
          </cell>
          <cell r="D288" t="str">
            <v>IT Expenses (IDR)</v>
          </cell>
        </row>
        <row r="289">
          <cell r="B289">
            <v>65000000000280</v>
          </cell>
          <cell r="C289" t="str">
            <v>5-3014</v>
          </cell>
          <cell r="D289" t="str">
            <v>Hire of Motor Vehicle</v>
          </cell>
        </row>
        <row r="290">
          <cell r="B290">
            <v>65000000000281</v>
          </cell>
          <cell r="C290" t="str">
            <v>5-3014.01</v>
          </cell>
          <cell r="D290" t="str">
            <v>Hire of Motor Vehicle (IDR)</v>
          </cell>
        </row>
        <row r="291">
          <cell r="B291">
            <v>65000000000282</v>
          </cell>
          <cell r="C291" t="str">
            <v>5-3015</v>
          </cell>
          <cell r="D291" t="str">
            <v>MV-Fuel &amp; Oil</v>
          </cell>
        </row>
        <row r="292">
          <cell r="B292">
            <v>65000000000283</v>
          </cell>
          <cell r="C292" t="str">
            <v>5-3015.01</v>
          </cell>
          <cell r="D292" t="str">
            <v>MV-Fuel &amp; Oil (IDR)</v>
          </cell>
        </row>
        <row r="293">
          <cell r="B293">
            <v>65000000000284</v>
          </cell>
          <cell r="C293" t="str">
            <v>5-3016</v>
          </cell>
          <cell r="D293" t="str">
            <v>MV-Repair &amp; Maintenance</v>
          </cell>
        </row>
        <row r="294">
          <cell r="B294">
            <v>65000000000285</v>
          </cell>
          <cell r="C294" t="str">
            <v>5-3016.01</v>
          </cell>
          <cell r="D294" t="str">
            <v>MV-Repair &amp; Maintenance (IDR)</v>
          </cell>
        </row>
        <row r="295">
          <cell r="B295">
            <v>65000000000286</v>
          </cell>
          <cell r="C295" t="str">
            <v>5-3017</v>
          </cell>
          <cell r="D295" t="str">
            <v>MV-Tyres, Tubes</v>
          </cell>
        </row>
        <row r="296">
          <cell r="B296">
            <v>65000000000287</v>
          </cell>
          <cell r="C296" t="str">
            <v>5-3017.01</v>
          </cell>
          <cell r="D296" t="str">
            <v>MV-Tyres, Tubes (IDR)</v>
          </cell>
        </row>
        <row r="297">
          <cell r="B297">
            <v>65000000000288</v>
          </cell>
          <cell r="C297" t="str">
            <v>5-3018</v>
          </cell>
          <cell r="D297" t="str">
            <v>MV-Spare Parts</v>
          </cell>
        </row>
        <row r="298">
          <cell r="B298">
            <v>65000000000289</v>
          </cell>
          <cell r="C298" t="str">
            <v>5-3018.01</v>
          </cell>
          <cell r="D298" t="str">
            <v>MV-Spare Parts (IDR)</v>
          </cell>
        </row>
        <row r="299">
          <cell r="B299">
            <v>65000000000290</v>
          </cell>
          <cell r="C299" t="str">
            <v>5-3019</v>
          </cell>
          <cell r="D299" t="str">
            <v>MV-Accessories</v>
          </cell>
        </row>
        <row r="300">
          <cell r="B300">
            <v>65000000000291</v>
          </cell>
          <cell r="C300" t="str">
            <v>5-3019.01</v>
          </cell>
          <cell r="D300" t="str">
            <v>MV-Accessories (IDR)</v>
          </cell>
        </row>
        <row r="301">
          <cell r="B301">
            <v>65000000000292</v>
          </cell>
          <cell r="C301" t="str">
            <v>5-3020</v>
          </cell>
          <cell r="D301" t="str">
            <v>MV Other</v>
          </cell>
        </row>
        <row r="302">
          <cell r="B302">
            <v>65000000000293</v>
          </cell>
          <cell r="C302" t="str">
            <v>5-3020.01</v>
          </cell>
          <cell r="D302" t="str">
            <v>MV Other (IDR)</v>
          </cell>
        </row>
        <row r="303">
          <cell r="B303">
            <v>65000000000294</v>
          </cell>
          <cell r="C303" t="str">
            <v>5-3021</v>
          </cell>
          <cell r="D303" t="str">
            <v>Local Transport</v>
          </cell>
        </row>
        <row r="304">
          <cell r="B304">
            <v>65000000000295</v>
          </cell>
          <cell r="C304" t="str">
            <v>5-3021.01</v>
          </cell>
          <cell r="D304" t="str">
            <v>Local Transport (IDR)</v>
          </cell>
        </row>
        <row r="305">
          <cell r="B305">
            <v>65000000000296</v>
          </cell>
          <cell r="C305" t="str">
            <v>5-3022</v>
          </cell>
          <cell r="D305" t="str">
            <v>Business Travelling</v>
          </cell>
        </row>
        <row r="306">
          <cell r="B306">
            <v>65000000000297</v>
          </cell>
          <cell r="C306" t="str">
            <v>5-3022.01</v>
          </cell>
          <cell r="D306" t="str">
            <v>Business Travelling (IDR)</v>
          </cell>
        </row>
        <row r="307">
          <cell r="B307">
            <v>65000000000298</v>
          </cell>
          <cell r="C307" t="str">
            <v>5-3023</v>
          </cell>
          <cell r="D307" t="str">
            <v>Travel &amp; Fares</v>
          </cell>
        </row>
        <row r="308">
          <cell r="B308">
            <v>65000000000299</v>
          </cell>
          <cell r="C308" t="str">
            <v>5-3023.01</v>
          </cell>
          <cell r="D308" t="str">
            <v>Travel &amp; Fares (IDR)</v>
          </cell>
        </row>
        <row r="309">
          <cell r="B309">
            <v>65000000000300</v>
          </cell>
          <cell r="C309" t="str">
            <v>5-3024</v>
          </cell>
          <cell r="D309" t="str">
            <v>Freight Expenses</v>
          </cell>
        </row>
        <row r="310">
          <cell r="B310">
            <v>65000000000301</v>
          </cell>
          <cell r="C310" t="str">
            <v>5-3024.01</v>
          </cell>
          <cell r="D310" t="str">
            <v>Freight Expenses (IDR)</v>
          </cell>
        </row>
        <row r="311">
          <cell r="B311">
            <v>65000000000302</v>
          </cell>
          <cell r="C311" t="str">
            <v>5-3025</v>
          </cell>
          <cell r="D311" t="str">
            <v>Custom Clearance</v>
          </cell>
        </row>
        <row r="312">
          <cell r="B312">
            <v>65000000000303</v>
          </cell>
          <cell r="C312" t="str">
            <v>5-3025.01</v>
          </cell>
          <cell r="D312" t="str">
            <v>Custom Clearance (IDR)</v>
          </cell>
        </row>
        <row r="313">
          <cell r="B313">
            <v>65000000000304</v>
          </cell>
          <cell r="C313" t="str">
            <v>5-3026</v>
          </cell>
          <cell r="D313" t="str">
            <v>Infrastructure</v>
          </cell>
        </row>
        <row r="314">
          <cell r="B314">
            <v>65000000000305</v>
          </cell>
          <cell r="C314" t="str">
            <v>5-3026.01</v>
          </cell>
          <cell r="D314" t="str">
            <v>Infrastructure (IDR)</v>
          </cell>
        </row>
        <row r="315">
          <cell r="B315">
            <v>65000000000306</v>
          </cell>
          <cell r="C315" t="str">
            <v>5-3027</v>
          </cell>
          <cell r="D315" t="str">
            <v>Tender Cost</v>
          </cell>
        </row>
        <row r="316">
          <cell r="B316">
            <v>65000000000307</v>
          </cell>
          <cell r="C316" t="str">
            <v>5-3027.01</v>
          </cell>
          <cell r="D316" t="str">
            <v>Tender Cost (IDR)</v>
          </cell>
        </row>
        <row r="317">
          <cell r="B317">
            <v>65000000000308</v>
          </cell>
          <cell r="C317" t="str">
            <v>5-3028</v>
          </cell>
          <cell r="D317" t="str">
            <v>Sitac Expenses</v>
          </cell>
        </row>
        <row r="318">
          <cell r="B318">
            <v>65000000000309</v>
          </cell>
          <cell r="C318" t="str">
            <v>5-3028.01</v>
          </cell>
          <cell r="D318" t="str">
            <v>Sitac Expenses (IDR)</v>
          </cell>
        </row>
        <row r="319">
          <cell r="B319">
            <v>65000000000310</v>
          </cell>
          <cell r="C319" t="str">
            <v>5-3029</v>
          </cell>
          <cell r="D319" t="str">
            <v>Loss, Damage &amp; Pinalty</v>
          </cell>
        </row>
        <row r="320">
          <cell r="B320">
            <v>65000000000311</v>
          </cell>
          <cell r="C320" t="str">
            <v>5-3029.01</v>
          </cell>
          <cell r="D320" t="str">
            <v>Loss, Damage &amp; Pinalty (IDR)</v>
          </cell>
        </row>
        <row r="321">
          <cell r="B321">
            <v>65000000000312</v>
          </cell>
          <cell r="C321" t="str">
            <v>5-3030</v>
          </cell>
          <cell r="D321" t="str">
            <v>Supervision Expenses</v>
          </cell>
        </row>
        <row r="322">
          <cell r="B322">
            <v>65000000000313</v>
          </cell>
          <cell r="C322" t="str">
            <v>5-3030.01</v>
          </cell>
          <cell r="D322" t="str">
            <v>Supervision Expenses (IDR)</v>
          </cell>
        </row>
        <row r="323">
          <cell r="B323">
            <v>65000000000314</v>
          </cell>
          <cell r="C323" t="str">
            <v>5-3031</v>
          </cell>
          <cell r="D323" t="str">
            <v>Power Supply</v>
          </cell>
        </row>
        <row r="324">
          <cell r="B324">
            <v>65000000000315</v>
          </cell>
          <cell r="C324" t="str">
            <v>5-3031.01</v>
          </cell>
          <cell r="D324" t="str">
            <v>Power Supply (IDR)</v>
          </cell>
        </row>
        <row r="325">
          <cell r="B325">
            <v>65000000000316</v>
          </cell>
          <cell r="C325" t="str">
            <v>5-3032</v>
          </cell>
          <cell r="D325" t="str">
            <v>Civil  Work</v>
          </cell>
        </row>
        <row r="326">
          <cell r="B326">
            <v>65000000000317</v>
          </cell>
          <cell r="C326" t="str">
            <v>5-3032.01</v>
          </cell>
          <cell r="D326" t="str">
            <v>Civil  Work (IDR)</v>
          </cell>
        </row>
        <row r="327">
          <cell r="B327">
            <v>65000000000318</v>
          </cell>
          <cell r="C327" t="str">
            <v>5-3033</v>
          </cell>
          <cell r="D327" t="str">
            <v>Moblilization &amp; demobilization</v>
          </cell>
        </row>
        <row r="328">
          <cell r="B328">
            <v>65000000000319</v>
          </cell>
          <cell r="C328" t="str">
            <v>5-3033.01</v>
          </cell>
          <cell r="D328" t="str">
            <v>Moblilization &amp; demobilization (IDR)</v>
          </cell>
        </row>
        <row r="329">
          <cell r="B329">
            <v>65000000000320</v>
          </cell>
          <cell r="C329" t="str">
            <v>5-3034</v>
          </cell>
          <cell r="D329" t="str">
            <v>Entertainment-Deductable</v>
          </cell>
        </row>
        <row r="330">
          <cell r="B330">
            <v>65000000000321</v>
          </cell>
          <cell r="C330" t="str">
            <v>5-3034.01</v>
          </cell>
          <cell r="D330" t="str">
            <v>Entertainment-Deductable (IDR)</v>
          </cell>
        </row>
        <row r="331">
          <cell r="B331">
            <v>65000000000322</v>
          </cell>
          <cell r="C331" t="str">
            <v>5-3035</v>
          </cell>
          <cell r="D331" t="str">
            <v>Entertainment-Undeductable</v>
          </cell>
        </row>
        <row r="332">
          <cell r="B332">
            <v>65000000000323</v>
          </cell>
          <cell r="C332" t="str">
            <v>5-3035.01</v>
          </cell>
          <cell r="D332" t="str">
            <v>Entertainment-Undeductable (IDR)</v>
          </cell>
        </row>
        <row r="333">
          <cell r="B333">
            <v>65000000000324</v>
          </cell>
          <cell r="C333" t="str">
            <v>5-3036</v>
          </cell>
          <cell r="D333" t="str">
            <v>Non Meal Entertaint-Ded.</v>
          </cell>
        </row>
        <row r="334">
          <cell r="B334">
            <v>65000000000325</v>
          </cell>
          <cell r="C334" t="str">
            <v>5-3036.01</v>
          </cell>
          <cell r="D334" t="str">
            <v>Non Meal Entertaint-Ded. (IDR)</v>
          </cell>
        </row>
        <row r="335">
          <cell r="B335">
            <v>65000000000326</v>
          </cell>
          <cell r="C335" t="str">
            <v>5-3037</v>
          </cell>
          <cell r="D335" t="str">
            <v>Non Meal Entertaint-Unded.</v>
          </cell>
        </row>
        <row r="336">
          <cell r="B336">
            <v>65000000000327</v>
          </cell>
          <cell r="C336" t="str">
            <v>5-3037.01</v>
          </cell>
          <cell r="D336" t="str">
            <v>Non Meal Entertaint-Unded. (IDR)</v>
          </cell>
        </row>
        <row r="337">
          <cell r="B337">
            <v>65000000000328</v>
          </cell>
          <cell r="C337" t="str">
            <v>5-3038</v>
          </cell>
          <cell r="D337" t="str">
            <v>Donation</v>
          </cell>
        </row>
        <row r="338">
          <cell r="B338">
            <v>65000000000329</v>
          </cell>
          <cell r="C338" t="str">
            <v>5-3038.01</v>
          </cell>
          <cell r="D338" t="str">
            <v>Donation (IDR)</v>
          </cell>
        </row>
        <row r="339">
          <cell r="B339">
            <v>65000000000330</v>
          </cell>
          <cell r="C339" t="str">
            <v>5-3039</v>
          </cell>
          <cell r="D339" t="str">
            <v>Depre - Building Improvement</v>
          </cell>
        </row>
        <row r="340">
          <cell r="B340">
            <v>65000000000331</v>
          </cell>
          <cell r="C340" t="str">
            <v>5-3039.01</v>
          </cell>
          <cell r="D340" t="str">
            <v>Depre - Building Improvement (IDR)</v>
          </cell>
        </row>
        <row r="341">
          <cell r="B341">
            <v>65000000000332</v>
          </cell>
          <cell r="C341" t="str">
            <v>5-3040</v>
          </cell>
          <cell r="D341" t="str">
            <v>Depre - IT Equipment</v>
          </cell>
        </row>
        <row r="342">
          <cell r="B342">
            <v>65000000000333</v>
          </cell>
          <cell r="C342" t="str">
            <v>5-3040.01</v>
          </cell>
          <cell r="D342" t="str">
            <v>Depre - IT Equipment (IDR)</v>
          </cell>
        </row>
        <row r="343">
          <cell r="B343">
            <v>65000000000334</v>
          </cell>
          <cell r="C343" t="str">
            <v>5-3041</v>
          </cell>
          <cell r="D343" t="str">
            <v>Depre - Office Machine &amp; Equip</v>
          </cell>
        </row>
        <row r="344">
          <cell r="B344">
            <v>65000000000335</v>
          </cell>
          <cell r="C344" t="str">
            <v>5-3041.01</v>
          </cell>
          <cell r="D344" t="str">
            <v>Depre - Office Machine &amp; Equip (IDR)</v>
          </cell>
        </row>
        <row r="345">
          <cell r="B345">
            <v>65000000000336</v>
          </cell>
          <cell r="C345" t="str">
            <v>5-3042</v>
          </cell>
          <cell r="D345" t="str">
            <v>Depre - Sundry Plant &amp; Equipt</v>
          </cell>
        </row>
        <row r="346">
          <cell r="B346">
            <v>65000000000337</v>
          </cell>
          <cell r="C346" t="str">
            <v>5-3042.01</v>
          </cell>
          <cell r="D346" t="str">
            <v>Depre - Sundry Plant &amp; Equipt (IDR)</v>
          </cell>
        </row>
        <row r="347">
          <cell r="B347">
            <v>65000000000338</v>
          </cell>
          <cell r="C347" t="str">
            <v>5-3043</v>
          </cell>
          <cell r="D347" t="str">
            <v>Depre - Test Equipment</v>
          </cell>
        </row>
        <row r="348">
          <cell r="B348">
            <v>65000000000339</v>
          </cell>
          <cell r="C348" t="str">
            <v>5-3043.01</v>
          </cell>
          <cell r="D348" t="str">
            <v>Depre - Test Equipment (IDR)</v>
          </cell>
        </row>
        <row r="349">
          <cell r="B349">
            <v>65000000000340</v>
          </cell>
          <cell r="C349" t="str">
            <v>5-3044</v>
          </cell>
          <cell r="D349" t="str">
            <v>Depre - Motor Vehicle</v>
          </cell>
        </row>
        <row r="350">
          <cell r="B350">
            <v>65000000000341</v>
          </cell>
          <cell r="C350" t="str">
            <v>5-3044.01</v>
          </cell>
          <cell r="D350" t="str">
            <v>Depre - Motor Vehicle (IDR)</v>
          </cell>
        </row>
        <row r="351">
          <cell r="B351">
            <v>65000000000342</v>
          </cell>
          <cell r="C351" t="str">
            <v>5-3045</v>
          </cell>
          <cell r="D351" t="str">
            <v>Depre - Tools</v>
          </cell>
        </row>
        <row r="352">
          <cell r="B352">
            <v>65000000000343</v>
          </cell>
          <cell r="C352" t="str">
            <v>5-3045.01</v>
          </cell>
          <cell r="D352" t="str">
            <v>Depre - Tools (IDR)</v>
          </cell>
        </row>
        <row r="353">
          <cell r="B353">
            <v>65000000000344</v>
          </cell>
          <cell r="C353" t="str">
            <v>5-3046</v>
          </cell>
          <cell r="D353" t="str">
            <v>Depre - Furniture Fitting</v>
          </cell>
        </row>
        <row r="354">
          <cell r="B354">
            <v>65000000000345</v>
          </cell>
          <cell r="C354" t="str">
            <v>5-3046.01</v>
          </cell>
          <cell r="D354" t="str">
            <v>Depre - Furniture Fitting (IDR)</v>
          </cell>
        </row>
        <row r="355">
          <cell r="B355">
            <v>65000000000346</v>
          </cell>
          <cell r="C355" t="str">
            <v>5-3047</v>
          </cell>
          <cell r="D355" t="str">
            <v>Depre - Mobile Phone</v>
          </cell>
        </row>
        <row r="356">
          <cell r="B356">
            <v>65000000000347</v>
          </cell>
          <cell r="C356" t="str">
            <v>5-3047.01</v>
          </cell>
          <cell r="D356" t="str">
            <v>Depre - Mobile Phone (IDR)</v>
          </cell>
        </row>
        <row r="357">
          <cell r="B357">
            <v>65000000000348</v>
          </cell>
          <cell r="C357" t="str">
            <v>5-3048</v>
          </cell>
          <cell r="D357" t="str">
            <v>Customer Claims</v>
          </cell>
        </row>
        <row r="358">
          <cell r="B358">
            <v>65000000000349</v>
          </cell>
          <cell r="C358" t="str">
            <v>5-3048.01</v>
          </cell>
          <cell r="D358" t="str">
            <v>Customer Claims (IDR)</v>
          </cell>
        </row>
        <row r="359">
          <cell r="B359">
            <v>65000000000350</v>
          </cell>
          <cell r="C359" t="str">
            <v>5-3099</v>
          </cell>
          <cell r="D359" t="str">
            <v>Other Overhead</v>
          </cell>
        </row>
        <row r="360">
          <cell r="B360">
            <v>65000000000351</v>
          </cell>
          <cell r="C360" t="str">
            <v>5-3099.01</v>
          </cell>
          <cell r="D360" t="str">
            <v>Other Overhead (IDR)</v>
          </cell>
        </row>
        <row r="361">
          <cell r="B361">
            <v>65000000000352</v>
          </cell>
          <cell r="C361" t="str">
            <v>6-0000</v>
          </cell>
          <cell r="D361" t="str">
            <v>Biaya Administrasi &amp; Umum</v>
          </cell>
        </row>
        <row r="362">
          <cell r="B362">
            <v>65000000000353</v>
          </cell>
          <cell r="C362" t="str">
            <v>6-1000</v>
          </cell>
          <cell r="D362" t="str">
            <v>Biaya Pegawai</v>
          </cell>
        </row>
        <row r="363">
          <cell r="B363">
            <v>65000000000354</v>
          </cell>
          <cell r="C363" t="str">
            <v>6-1001</v>
          </cell>
          <cell r="D363" t="str">
            <v>Salary</v>
          </cell>
        </row>
        <row r="364">
          <cell r="B364">
            <v>65000000000355</v>
          </cell>
          <cell r="C364" t="str">
            <v>6-1001.01</v>
          </cell>
          <cell r="D364" t="str">
            <v>Salary (IDR)</v>
          </cell>
        </row>
        <row r="365">
          <cell r="B365">
            <v>65000000000356</v>
          </cell>
          <cell r="C365" t="str">
            <v>6-1002</v>
          </cell>
          <cell r="D365" t="str">
            <v>Overtime</v>
          </cell>
        </row>
        <row r="366">
          <cell r="B366">
            <v>65000000000357</v>
          </cell>
          <cell r="C366" t="str">
            <v>6-1002.01</v>
          </cell>
          <cell r="D366" t="str">
            <v>Overtime (IDR)</v>
          </cell>
        </row>
        <row r="367">
          <cell r="B367">
            <v>65000000000358</v>
          </cell>
          <cell r="C367" t="str">
            <v>6-1003</v>
          </cell>
          <cell r="D367" t="str">
            <v>Bonus, THR</v>
          </cell>
        </row>
        <row r="368">
          <cell r="B368">
            <v>65000000000359</v>
          </cell>
          <cell r="C368" t="str">
            <v>6-1003.01</v>
          </cell>
          <cell r="D368" t="str">
            <v>Bonus, THR (IDR)</v>
          </cell>
        </row>
        <row r="369">
          <cell r="B369">
            <v>65000000000360</v>
          </cell>
          <cell r="C369" t="str">
            <v>6-1004</v>
          </cell>
          <cell r="D369" t="str">
            <v>Performance Bonus</v>
          </cell>
        </row>
        <row r="370">
          <cell r="B370">
            <v>65000000000361</v>
          </cell>
          <cell r="C370" t="str">
            <v>6-1004.01</v>
          </cell>
          <cell r="D370" t="str">
            <v>Performance Bonus (IDR)</v>
          </cell>
        </row>
        <row r="371">
          <cell r="B371">
            <v>65000000000362</v>
          </cell>
          <cell r="C371" t="str">
            <v>6-1005</v>
          </cell>
          <cell r="D371" t="str">
            <v>Jamsostek</v>
          </cell>
        </row>
        <row r="372">
          <cell r="B372">
            <v>65000000000363</v>
          </cell>
          <cell r="C372" t="str">
            <v>6-1005.01</v>
          </cell>
          <cell r="D372" t="str">
            <v>Jamsostek (IDR)</v>
          </cell>
        </row>
        <row r="373">
          <cell r="B373">
            <v>65000000000364</v>
          </cell>
          <cell r="C373" t="str">
            <v>6-1006</v>
          </cell>
          <cell r="D373" t="str">
            <v>Personal Income Tax</v>
          </cell>
        </row>
        <row r="374">
          <cell r="B374">
            <v>65000000000365</v>
          </cell>
          <cell r="C374" t="str">
            <v>6-1006.01</v>
          </cell>
          <cell r="D374" t="str">
            <v>Personal Income Tax (IDR)</v>
          </cell>
        </row>
        <row r="375">
          <cell r="B375">
            <v>65000000000366</v>
          </cell>
          <cell r="C375" t="str">
            <v>6-1007</v>
          </cell>
          <cell r="D375" t="str">
            <v>Post Employee benefit Expense</v>
          </cell>
        </row>
        <row r="376">
          <cell r="B376">
            <v>65000000000367</v>
          </cell>
          <cell r="C376" t="str">
            <v>6-1007.01</v>
          </cell>
          <cell r="D376" t="str">
            <v>Post Employee benefit Expense (IDR)</v>
          </cell>
        </row>
        <row r="377">
          <cell r="B377">
            <v>65000000000368</v>
          </cell>
          <cell r="C377" t="str">
            <v>6-1008</v>
          </cell>
          <cell r="D377" t="str">
            <v>Medical Expense</v>
          </cell>
        </row>
        <row r="378">
          <cell r="B378">
            <v>65000000000369</v>
          </cell>
          <cell r="C378" t="str">
            <v>6-1008.01</v>
          </cell>
          <cell r="D378" t="str">
            <v>Medical Expense (IDR)</v>
          </cell>
        </row>
        <row r="379">
          <cell r="B379">
            <v>65000000000370</v>
          </cell>
          <cell r="C379" t="str">
            <v>6-1009</v>
          </cell>
          <cell r="D379" t="str">
            <v>Accrual for Operation Staff</v>
          </cell>
        </row>
        <row r="380">
          <cell r="B380">
            <v>65000000000371</v>
          </cell>
          <cell r="C380" t="str">
            <v>6-1009.01</v>
          </cell>
          <cell r="D380" t="str">
            <v>Accrual for Operation Staff (IDR)</v>
          </cell>
        </row>
        <row r="381">
          <cell r="B381">
            <v>65000000000372</v>
          </cell>
          <cell r="C381" t="str">
            <v>6-1010</v>
          </cell>
          <cell r="D381" t="str">
            <v>Meal Allowance</v>
          </cell>
        </row>
        <row r="382">
          <cell r="B382">
            <v>65000000000373</v>
          </cell>
          <cell r="C382" t="str">
            <v>6-1010.01</v>
          </cell>
          <cell r="D382" t="str">
            <v>Meal Allowance (IDR)</v>
          </cell>
        </row>
        <row r="383">
          <cell r="B383">
            <v>65000000000374</v>
          </cell>
          <cell r="C383" t="str">
            <v>6-1011</v>
          </cell>
          <cell r="D383" t="str">
            <v>Staff Welfare</v>
          </cell>
        </row>
        <row r="384">
          <cell r="B384">
            <v>65000000000375</v>
          </cell>
          <cell r="C384" t="str">
            <v>6-1011.01</v>
          </cell>
          <cell r="D384" t="str">
            <v>Staff Welfare (IDR)</v>
          </cell>
        </row>
        <row r="385">
          <cell r="B385">
            <v>65000000000376</v>
          </cell>
          <cell r="C385" t="str">
            <v>6-1012</v>
          </cell>
          <cell r="D385" t="str">
            <v>Housing Allowance</v>
          </cell>
        </row>
        <row r="386">
          <cell r="B386">
            <v>65000000000377</v>
          </cell>
          <cell r="C386" t="str">
            <v>6-1012.01</v>
          </cell>
          <cell r="D386" t="str">
            <v>Housing Allowance (IDR)</v>
          </cell>
        </row>
        <row r="387">
          <cell r="B387">
            <v>65000000000378</v>
          </cell>
          <cell r="C387" t="str">
            <v>6-1013</v>
          </cell>
          <cell r="D387" t="str">
            <v>Uniform</v>
          </cell>
        </row>
        <row r="388">
          <cell r="B388">
            <v>65000000000379</v>
          </cell>
          <cell r="C388" t="str">
            <v>6-1013.01</v>
          </cell>
          <cell r="D388" t="str">
            <v>Uniform (IDR)</v>
          </cell>
        </row>
        <row r="389">
          <cell r="B389">
            <v>65000000000380</v>
          </cell>
          <cell r="C389" t="str">
            <v>6-1014</v>
          </cell>
          <cell r="D389" t="str">
            <v>Recruitment expense</v>
          </cell>
        </row>
        <row r="390">
          <cell r="B390">
            <v>65000000000381</v>
          </cell>
          <cell r="C390" t="str">
            <v>6-1014.01</v>
          </cell>
          <cell r="D390" t="str">
            <v>Recruitment expense (IDR)</v>
          </cell>
        </row>
        <row r="391">
          <cell r="B391">
            <v>65000000000382</v>
          </cell>
          <cell r="C391" t="str">
            <v>6-1015</v>
          </cell>
          <cell r="D391" t="str">
            <v>Seminar, Confrences, Meeting</v>
          </cell>
        </row>
        <row r="392">
          <cell r="B392">
            <v>65000000000383</v>
          </cell>
          <cell r="C392" t="str">
            <v>6-1015.01</v>
          </cell>
          <cell r="D392" t="str">
            <v>Seminar, Confrences, Meeting (IDR)</v>
          </cell>
        </row>
        <row r="393">
          <cell r="B393">
            <v>65000000000384</v>
          </cell>
          <cell r="C393" t="str">
            <v>6-1016</v>
          </cell>
          <cell r="D393" t="str">
            <v>Skill Development Expense</v>
          </cell>
        </row>
        <row r="394">
          <cell r="B394">
            <v>65000000000385</v>
          </cell>
          <cell r="C394" t="str">
            <v>6-1016.01</v>
          </cell>
          <cell r="D394" t="str">
            <v>Skill Development Expense (IDR)</v>
          </cell>
        </row>
        <row r="395">
          <cell r="B395">
            <v>65000000000386</v>
          </cell>
          <cell r="C395" t="str">
            <v>6-1017</v>
          </cell>
          <cell r="D395" t="str">
            <v>Severance Pay - Admin</v>
          </cell>
        </row>
        <row r="396">
          <cell r="B396">
            <v>65000000000387</v>
          </cell>
          <cell r="C396" t="str">
            <v>6-1017.01</v>
          </cell>
          <cell r="D396" t="str">
            <v>Severance Pay - Admin (IDR)</v>
          </cell>
        </row>
        <row r="397">
          <cell r="B397">
            <v>65000000000388</v>
          </cell>
          <cell r="C397" t="str">
            <v>6-1099</v>
          </cell>
          <cell r="D397" t="str">
            <v>Biaya Pegawai Lainnya</v>
          </cell>
        </row>
        <row r="398">
          <cell r="B398">
            <v>65000000000389</v>
          </cell>
          <cell r="C398" t="str">
            <v>6-1099.01</v>
          </cell>
          <cell r="D398" t="str">
            <v>Biaya Pegawai Lainnya (IDR)</v>
          </cell>
        </row>
        <row r="399">
          <cell r="B399">
            <v>65000000000390</v>
          </cell>
          <cell r="C399" t="str">
            <v>6-2000</v>
          </cell>
          <cell r="D399" t="str">
            <v>Biaya Kantor</v>
          </cell>
        </row>
        <row r="400">
          <cell r="B400">
            <v>65000000000391</v>
          </cell>
          <cell r="C400" t="str">
            <v>6-2001</v>
          </cell>
          <cell r="D400" t="str">
            <v>Stationery &amp; Printing</v>
          </cell>
        </row>
        <row r="401">
          <cell r="B401">
            <v>65000000000392</v>
          </cell>
          <cell r="C401" t="str">
            <v>6-2001.01</v>
          </cell>
          <cell r="D401" t="str">
            <v>Stationery &amp; Printing (IDR)</v>
          </cell>
        </row>
        <row r="402">
          <cell r="B402">
            <v>65000000000393</v>
          </cell>
          <cell r="C402" t="str">
            <v>6-2002</v>
          </cell>
          <cell r="D402" t="str">
            <v>Stamp Duty</v>
          </cell>
        </row>
        <row r="403">
          <cell r="B403">
            <v>65000000000394</v>
          </cell>
          <cell r="C403" t="str">
            <v>6-2002.01</v>
          </cell>
          <cell r="D403" t="str">
            <v>Stamp Duty (IDR)</v>
          </cell>
        </row>
        <row r="404">
          <cell r="B404">
            <v>65000000000395</v>
          </cell>
          <cell r="C404" t="str">
            <v>6-2003</v>
          </cell>
          <cell r="D404" t="str">
            <v>Postage &amp; Courier</v>
          </cell>
        </row>
        <row r="405">
          <cell r="B405">
            <v>65000000000396</v>
          </cell>
          <cell r="C405" t="str">
            <v>6-2003.01</v>
          </cell>
          <cell r="D405" t="str">
            <v>Postage &amp; Courier (IDR)</v>
          </cell>
        </row>
        <row r="406">
          <cell r="B406">
            <v>65000000000397</v>
          </cell>
          <cell r="C406" t="str">
            <v>6-2004</v>
          </cell>
          <cell r="D406" t="str">
            <v>Other Admin Expenses</v>
          </cell>
        </row>
        <row r="407">
          <cell r="B407">
            <v>65000000000398</v>
          </cell>
          <cell r="C407" t="str">
            <v>6-2004.01</v>
          </cell>
          <cell r="D407" t="str">
            <v>Other Admin Expenses (IDR)</v>
          </cell>
        </row>
        <row r="408">
          <cell r="B408">
            <v>65000000000399</v>
          </cell>
          <cell r="C408" t="str">
            <v>6-2005</v>
          </cell>
          <cell r="D408" t="str">
            <v>Office Supplies</v>
          </cell>
        </row>
        <row r="409">
          <cell r="B409">
            <v>65000000000400</v>
          </cell>
          <cell r="C409" t="str">
            <v>6-2005.01</v>
          </cell>
          <cell r="D409" t="str">
            <v>Office Supplies (IDR)</v>
          </cell>
        </row>
        <row r="410">
          <cell r="B410">
            <v>65000000000401</v>
          </cell>
          <cell r="C410" t="str">
            <v>6-2006</v>
          </cell>
          <cell r="D410" t="str">
            <v>Office Equipment &lt; $500</v>
          </cell>
        </row>
        <row r="411">
          <cell r="B411">
            <v>65000000000402</v>
          </cell>
          <cell r="C411" t="str">
            <v>6-2006.01</v>
          </cell>
          <cell r="D411" t="str">
            <v>Office Equipment &lt; $500 (IDR)</v>
          </cell>
        </row>
        <row r="412">
          <cell r="B412">
            <v>65000000000403</v>
          </cell>
          <cell r="C412" t="str">
            <v>6-2007</v>
          </cell>
          <cell r="D412" t="str">
            <v>Furniture &amp; Fitting &lt; $500</v>
          </cell>
        </row>
        <row r="413">
          <cell r="B413">
            <v>65000000000404</v>
          </cell>
          <cell r="C413" t="str">
            <v>6-2007.01</v>
          </cell>
          <cell r="D413" t="str">
            <v>Furniture &amp; Fitting &lt; $500 (IDR)</v>
          </cell>
        </row>
        <row r="414">
          <cell r="B414">
            <v>65000000000405</v>
          </cell>
          <cell r="C414" t="str">
            <v>6-2008</v>
          </cell>
          <cell r="D414" t="str">
            <v>Light &amp; Power Equipment</v>
          </cell>
        </row>
        <row r="415">
          <cell r="B415">
            <v>65000000000406</v>
          </cell>
          <cell r="C415" t="str">
            <v>6-2008.01</v>
          </cell>
          <cell r="D415" t="str">
            <v>Light &amp; Power Equipment (IDR)</v>
          </cell>
        </row>
        <row r="416">
          <cell r="B416">
            <v>65000000000407</v>
          </cell>
          <cell r="C416" t="str">
            <v>6-2009</v>
          </cell>
          <cell r="D416" t="str">
            <v>Utilities</v>
          </cell>
        </row>
        <row r="417">
          <cell r="B417">
            <v>65000000000408</v>
          </cell>
          <cell r="C417" t="str">
            <v>6-2009.01</v>
          </cell>
          <cell r="D417" t="str">
            <v>Utilities (IDR)</v>
          </cell>
        </row>
        <row r="418">
          <cell r="B418">
            <v>65000000000409</v>
          </cell>
          <cell r="C418" t="str">
            <v>6-2010</v>
          </cell>
          <cell r="D418" t="str">
            <v>Telephone, Telex, Fax</v>
          </cell>
        </row>
        <row r="419">
          <cell r="B419">
            <v>65000000000410</v>
          </cell>
          <cell r="C419" t="str">
            <v>6-2010.01</v>
          </cell>
          <cell r="D419" t="str">
            <v>Telephone, Telex, Fax (IDR)</v>
          </cell>
        </row>
        <row r="420">
          <cell r="B420">
            <v>65000000000411</v>
          </cell>
          <cell r="C420" t="str">
            <v>6-2011</v>
          </cell>
          <cell r="D420" t="str">
            <v>Telephone - Sales</v>
          </cell>
        </row>
        <row r="421">
          <cell r="B421">
            <v>65000000000412</v>
          </cell>
          <cell r="C421" t="str">
            <v>6-2011.01</v>
          </cell>
          <cell r="D421" t="str">
            <v>Telephone - Sales (IDR)</v>
          </cell>
        </row>
        <row r="422">
          <cell r="B422">
            <v>65000000000413</v>
          </cell>
          <cell r="C422" t="str">
            <v>6-2012</v>
          </cell>
          <cell r="D422" t="str">
            <v>Mobile Phones &lt; $500</v>
          </cell>
        </row>
        <row r="423">
          <cell r="B423">
            <v>65000000000414</v>
          </cell>
          <cell r="C423" t="str">
            <v>6-2012.01</v>
          </cell>
          <cell r="D423" t="str">
            <v>Mobile Phones &lt; $500 (IDR)</v>
          </cell>
        </row>
        <row r="424">
          <cell r="B424">
            <v>65000000000415</v>
          </cell>
          <cell r="C424" t="str">
            <v>6-2013</v>
          </cell>
          <cell r="D424" t="str">
            <v>IT Expenses</v>
          </cell>
        </row>
        <row r="425">
          <cell r="B425">
            <v>65000000000416</v>
          </cell>
          <cell r="C425" t="str">
            <v>6-2013.01</v>
          </cell>
          <cell r="D425" t="str">
            <v>IT Expenses (IDR)</v>
          </cell>
        </row>
        <row r="426">
          <cell r="B426">
            <v>65000000000417</v>
          </cell>
          <cell r="C426" t="str">
            <v>6-2014</v>
          </cell>
          <cell r="D426" t="str">
            <v>Local Transportation</v>
          </cell>
        </row>
        <row r="427">
          <cell r="B427">
            <v>65000000000418</v>
          </cell>
          <cell r="C427" t="str">
            <v>6-2014.01</v>
          </cell>
          <cell r="D427" t="str">
            <v>Local Transportation (IDR)</v>
          </cell>
        </row>
        <row r="428">
          <cell r="B428">
            <v>65000000000419</v>
          </cell>
          <cell r="C428" t="str">
            <v>6-2015</v>
          </cell>
          <cell r="D428" t="str">
            <v>Hire of Motor Vehicle</v>
          </cell>
        </row>
        <row r="429">
          <cell r="B429">
            <v>65000000000420</v>
          </cell>
          <cell r="C429" t="str">
            <v>6-2015.01</v>
          </cell>
          <cell r="D429" t="str">
            <v>Hire of Motor Vehicle (IDR)</v>
          </cell>
        </row>
        <row r="430">
          <cell r="B430">
            <v>65000000000421</v>
          </cell>
          <cell r="C430" t="str">
            <v>6-2016</v>
          </cell>
          <cell r="D430" t="str">
            <v>Business Travelling</v>
          </cell>
        </row>
        <row r="431">
          <cell r="B431">
            <v>65000000000422</v>
          </cell>
          <cell r="C431" t="str">
            <v>6-2016.01</v>
          </cell>
          <cell r="D431" t="str">
            <v>Business Travelling (IDR)</v>
          </cell>
        </row>
        <row r="432">
          <cell r="B432">
            <v>65000000000423</v>
          </cell>
          <cell r="C432" t="str">
            <v>6-2017</v>
          </cell>
          <cell r="D432" t="str">
            <v>MV - Fuel &amp; Oil</v>
          </cell>
        </row>
        <row r="433">
          <cell r="B433">
            <v>65000000000424</v>
          </cell>
          <cell r="C433" t="str">
            <v>6-2017.01</v>
          </cell>
          <cell r="D433" t="str">
            <v>MV - Fuel &amp; Oil (IDR)</v>
          </cell>
        </row>
        <row r="434">
          <cell r="B434">
            <v>65000000000425</v>
          </cell>
          <cell r="C434" t="str">
            <v>6-2018</v>
          </cell>
          <cell r="D434" t="str">
            <v>MV - Repair &amp; Maintenance</v>
          </cell>
        </row>
        <row r="435">
          <cell r="B435">
            <v>65000000000426</v>
          </cell>
          <cell r="C435" t="str">
            <v>6-2018.01</v>
          </cell>
          <cell r="D435" t="str">
            <v>MV - Repair &amp; Maintenance (IDR)</v>
          </cell>
        </row>
        <row r="436">
          <cell r="B436">
            <v>65000000000427</v>
          </cell>
          <cell r="C436" t="str">
            <v>6-2019</v>
          </cell>
          <cell r="D436" t="str">
            <v>MV - Tyres, Tubes</v>
          </cell>
        </row>
        <row r="437">
          <cell r="B437">
            <v>65000000000428</v>
          </cell>
          <cell r="C437" t="str">
            <v>6-2019.01</v>
          </cell>
          <cell r="D437" t="str">
            <v>MV - Tyres, Tubes (IDR)</v>
          </cell>
        </row>
        <row r="438">
          <cell r="B438">
            <v>65000000000429</v>
          </cell>
          <cell r="C438" t="str">
            <v>6-2020</v>
          </cell>
          <cell r="D438" t="str">
            <v>MV - Spare Parts</v>
          </cell>
        </row>
        <row r="439">
          <cell r="B439">
            <v>65000000000430</v>
          </cell>
          <cell r="C439" t="str">
            <v>6-2020.01</v>
          </cell>
          <cell r="D439" t="str">
            <v>MV - Spare Parts (IDR)</v>
          </cell>
        </row>
        <row r="440">
          <cell r="B440">
            <v>65000000000431</v>
          </cell>
          <cell r="C440" t="str">
            <v>6-2021</v>
          </cell>
          <cell r="D440" t="str">
            <v>MV - Accessories</v>
          </cell>
        </row>
        <row r="441">
          <cell r="B441">
            <v>65000000000432</v>
          </cell>
          <cell r="C441" t="str">
            <v>6-2021.01</v>
          </cell>
          <cell r="D441" t="str">
            <v>MV - Accessories (IDR)</v>
          </cell>
        </row>
        <row r="442">
          <cell r="B442">
            <v>65000000000433</v>
          </cell>
          <cell r="C442" t="str">
            <v>6-2022</v>
          </cell>
          <cell r="D442" t="str">
            <v>MV - Other</v>
          </cell>
        </row>
        <row r="443">
          <cell r="B443">
            <v>65000000000434</v>
          </cell>
          <cell r="C443" t="str">
            <v>6-2022.01</v>
          </cell>
          <cell r="D443" t="str">
            <v>MV - Other (IDR)</v>
          </cell>
        </row>
        <row r="444">
          <cell r="B444">
            <v>65000000000435</v>
          </cell>
          <cell r="C444" t="str">
            <v>6-2023</v>
          </cell>
          <cell r="D444" t="str">
            <v>Travel &amp; Fares</v>
          </cell>
        </row>
        <row r="445">
          <cell r="B445">
            <v>65000000000436</v>
          </cell>
          <cell r="C445" t="str">
            <v>6-2023.01</v>
          </cell>
          <cell r="D445" t="str">
            <v>Travel &amp; Fares (IDR)</v>
          </cell>
        </row>
        <row r="446">
          <cell r="B446">
            <v>65000000000437</v>
          </cell>
          <cell r="C446" t="str">
            <v>6-2024</v>
          </cell>
          <cell r="D446" t="str">
            <v>Travel &amp;Fares - Sales</v>
          </cell>
        </row>
        <row r="447">
          <cell r="B447">
            <v>65000000000438</v>
          </cell>
          <cell r="C447" t="str">
            <v>6-2024.01</v>
          </cell>
          <cell r="D447" t="str">
            <v>Travel &amp;Fares - Sales (IDR)</v>
          </cell>
        </row>
        <row r="448">
          <cell r="B448">
            <v>65000000000439</v>
          </cell>
          <cell r="C448" t="str">
            <v>6-2025</v>
          </cell>
          <cell r="D448" t="str">
            <v>Property Rental/Lease</v>
          </cell>
        </row>
        <row r="449">
          <cell r="B449">
            <v>65000000000440</v>
          </cell>
          <cell r="C449" t="str">
            <v>6-2025.01</v>
          </cell>
          <cell r="D449" t="str">
            <v>Property Rental/Lease (IDR)</v>
          </cell>
        </row>
        <row r="450">
          <cell r="B450">
            <v>65000000000441</v>
          </cell>
          <cell r="C450" t="str">
            <v>6-2026</v>
          </cell>
          <cell r="D450" t="str">
            <v>Hire of Other Plant &amp; Equipt</v>
          </cell>
        </row>
        <row r="451">
          <cell r="B451">
            <v>65000000000442</v>
          </cell>
          <cell r="C451" t="str">
            <v>6-2026.01</v>
          </cell>
          <cell r="D451" t="str">
            <v>Hire of Other Plant &amp; Equipt (IDR)</v>
          </cell>
        </row>
        <row r="452">
          <cell r="B452">
            <v>65000000000443</v>
          </cell>
          <cell r="C452" t="str">
            <v>6-2027</v>
          </cell>
          <cell r="D452" t="str">
            <v>Property Repair &amp; Maintenance</v>
          </cell>
        </row>
        <row r="453">
          <cell r="B453">
            <v>65000000000444</v>
          </cell>
          <cell r="C453" t="str">
            <v>6-2027.01</v>
          </cell>
          <cell r="D453" t="str">
            <v>Property Repair &amp; Maintenance (IDR)</v>
          </cell>
        </row>
        <row r="454">
          <cell r="B454">
            <v>65000000000445</v>
          </cell>
          <cell r="C454" t="str">
            <v>6-2099</v>
          </cell>
          <cell r="D454" t="str">
            <v>Biaya Kantor Lainnya</v>
          </cell>
        </row>
        <row r="455">
          <cell r="B455">
            <v>65000000000446</v>
          </cell>
          <cell r="C455" t="str">
            <v>6-2099.01</v>
          </cell>
          <cell r="D455" t="str">
            <v>Biaya Kantor Lainnya (IDR)</v>
          </cell>
        </row>
        <row r="456">
          <cell r="B456">
            <v>65000000000447</v>
          </cell>
          <cell r="C456" t="str">
            <v>6-3000</v>
          </cell>
          <cell r="D456" t="str">
            <v>Biaya Marketing</v>
          </cell>
        </row>
        <row r="457">
          <cell r="B457">
            <v>65000000000448</v>
          </cell>
          <cell r="C457" t="str">
            <v>6-3001</v>
          </cell>
          <cell r="D457" t="str">
            <v>Entertainment-Deductable</v>
          </cell>
        </row>
        <row r="458">
          <cell r="B458">
            <v>65000000000449</v>
          </cell>
          <cell r="C458" t="str">
            <v>6-3001.01</v>
          </cell>
          <cell r="D458" t="str">
            <v>Entertainment-Deductable (IDR)</v>
          </cell>
        </row>
        <row r="459">
          <cell r="B459">
            <v>65000000000450</v>
          </cell>
          <cell r="C459" t="str">
            <v>6-3002</v>
          </cell>
          <cell r="D459" t="str">
            <v>Entertainment-Undeductable</v>
          </cell>
        </row>
        <row r="460">
          <cell r="B460">
            <v>65000000000451</v>
          </cell>
          <cell r="C460" t="str">
            <v>6-3002.01</v>
          </cell>
          <cell r="D460" t="str">
            <v>Entertainment-Undeductable (IDR)</v>
          </cell>
        </row>
        <row r="461">
          <cell r="B461">
            <v>65000000000452</v>
          </cell>
          <cell r="C461" t="str">
            <v>6-3003</v>
          </cell>
          <cell r="D461" t="str">
            <v>Non Meal Entertainment-Ded.</v>
          </cell>
        </row>
        <row r="462">
          <cell r="B462">
            <v>65000000000453</v>
          </cell>
          <cell r="C462" t="str">
            <v>6-3003.01</v>
          </cell>
          <cell r="D462" t="str">
            <v>Non Meal Entertainment-Ded. (IDR)</v>
          </cell>
        </row>
        <row r="463">
          <cell r="B463">
            <v>65000000000454</v>
          </cell>
          <cell r="C463" t="str">
            <v>6-3004</v>
          </cell>
          <cell r="D463" t="str">
            <v>Non Meal Entertaint-Unded.</v>
          </cell>
        </row>
        <row r="464">
          <cell r="B464">
            <v>65000000000455</v>
          </cell>
          <cell r="C464" t="str">
            <v>6-3004.01</v>
          </cell>
          <cell r="D464" t="str">
            <v>Non Meal Entertaint-Unded. (IDR)</v>
          </cell>
        </row>
        <row r="465">
          <cell r="B465">
            <v>65000000000456</v>
          </cell>
          <cell r="C465" t="str">
            <v>6-3005</v>
          </cell>
          <cell r="D465" t="str">
            <v>Marketing Expense</v>
          </cell>
        </row>
        <row r="466">
          <cell r="B466">
            <v>65000000000457</v>
          </cell>
          <cell r="C466" t="str">
            <v>6-3005.01</v>
          </cell>
          <cell r="D466" t="str">
            <v>Marketing Expense (IDR)</v>
          </cell>
        </row>
        <row r="467">
          <cell r="B467">
            <v>65000000000458</v>
          </cell>
          <cell r="C467" t="str">
            <v>6-3006</v>
          </cell>
          <cell r="D467" t="str">
            <v>Sales Call Expense</v>
          </cell>
        </row>
        <row r="468">
          <cell r="B468">
            <v>65000000000459</v>
          </cell>
          <cell r="C468" t="str">
            <v>6-3006.01</v>
          </cell>
          <cell r="D468" t="str">
            <v>Sales Call Expense (IDR)</v>
          </cell>
        </row>
        <row r="469">
          <cell r="B469">
            <v>65000000000460</v>
          </cell>
          <cell r="C469" t="str">
            <v>6-3099</v>
          </cell>
          <cell r="D469" t="str">
            <v>Biaya Marketing Lainnya</v>
          </cell>
        </row>
        <row r="470">
          <cell r="B470">
            <v>65000000000461</v>
          </cell>
          <cell r="C470" t="str">
            <v>6-3099.01</v>
          </cell>
          <cell r="D470" t="str">
            <v>Biaya Marketing Lainnya (IDR)</v>
          </cell>
        </row>
        <row r="471">
          <cell r="B471">
            <v>65000000000462</v>
          </cell>
          <cell r="C471" t="str">
            <v>6-4000</v>
          </cell>
          <cell r="D471" t="str">
            <v>Biaya Administrasi Umum</v>
          </cell>
        </row>
        <row r="472">
          <cell r="B472">
            <v>65000000000463</v>
          </cell>
          <cell r="C472" t="str">
            <v>6-4001</v>
          </cell>
          <cell r="D472" t="str">
            <v>Profesional Fee</v>
          </cell>
        </row>
        <row r="473">
          <cell r="B473">
            <v>65000000000464</v>
          </cell>
          <cell r="C473" t="str">
            <v>6-4001.01</v>
          </cell>
          <cell r="D473" t="str">
            <v>Profesional Fee (IDR)</v>
          </cell>
        </row>
        <row r="474">
          <cell r="B474">
            <v>65000000000465</v>
          </cell>
          <cell r="C474" t="str">
            <v>6-4002</v>
          </cell>
          <cell r="D474" t="str">
            <v>Legal Fee</v>
          </cell>
        </row>
        <row r="475">
          <cell r="B475">
            <v>65000000000466</v>
          </cell>
          <cell r="C475" t="str">
            <v>6-4002.01</v>
          </cell>
          <cell r="D475" t="str">
            <v>Legal Fee (IDR)</v>
          </cell>
        </row>
        <row r="476">
          <cell r="B476">
            <v>65000000000467</v>
          </cell>
          <cell r="C476" t="str">
            <v>6-4003</v>
          </cell>
          <cell r="D476" t="str">
            <v>Audit Fee</v>
          </cell>
        </row>
        <row r="477">
          <cell r="B477">
            <v>65000000000468</v>
          </cell>
          <cell r="C477" t="str">
            <v>6-4003.01</v>
          </cell>
          <cell r="D477" t="str">
            <v>Audit Fee (IDR)</v>
          </cell>
        </row>
        <row r="478">
          <cell r="B478">
            <v>65000000000469</v>
          </cell>
          <cell r="C478" t="str">
            <v>6-4004</v>
          </cell>
          <cell r="D478" t="str">
            <v>Advertising &amp; Promotion</v>
          </cell>
        </row>
        <row r="479">
          <cell r="B479">
            <v>65000000000470</v>
          </cell>
          <cell r="C479" t="str">
            <v>6-4004.01</v>
          </cell>
          <cell r="D479" t="str">
            <v>Advertising &amp; Promotion (IDR)</v>
          </cell>
        </row>
        <row r="480">
          <cell r="B480">
            <v>65000000000471</v>
          </cell>
          <cell r="C480" t="str">
            <v>6-4005</v>
          </cell>
          <cell r="D480" t="str">
            <v>Bad debt expense</v>
          </cell>
        </row>
        <row r="481">
          <cell r="B481">
            <v>65000000000472</v>
          </cell>
          <cell r="C481" t="str">
            <v>6-4005.01</v>
          </cell>
          <cell r="D481" t="str">
            <v>Bad debt expense (IDR)</v>
          </cell>
        </row>
        <row r="482">
          <cell r="B482">
            <v>65000000000473</v>
          </cell>
          <cell r="C482" t="str">
            <v>6-4006</v>
          </cell>
          <cell r="D482" t="str">
            <v>Project Costs (closed CFS)</v>
          </cell>
        </row>
        <row r="483">
          <cell r="B483">
            <v>65000000000474</v>
          </cell>
          <cell r="C483" t="str">
            <v>6-4006.01</v>
          </cell>
          <cell r="D483" t="str">
            <v>Project Costs (closed CFS) (IDR)</v>
          </cell>
        </row>
        <row r="484">
          <cell r="B484">
            <v>65000000000475</v>
          </cell>
          <cell r="C484" t="str">
            <v>6-4007</v>
          </cell>
          <cell r="D484" t="str">
            <v>Insurance Expenses</v>
          </cell>
        </row>
        <row r="485">
          <cell r="B485">
            <v>65000000000476</v>
          </cell>
          <cell r="C485" t="str">
            <v>6-4007.01</v>
          </cell>
          <cell r="D485" t="str">
            <v>Insurance Expenses (IDR)</v>
          </cell>
        </row>
        <row r="486">
          <cell r="B486">
            <v>65000000000477</v>
          </cell>
          <cell r="C486" t="str">
            <v>6-4008</v>
          </cell>
          <cell r="D486" t="str">
            <v>Bank Charge (Excl. Interest)</v>
          </cell>
        </row>
        <row r="487">
          <cell r="B487">
            <v>65000000000478</v>
          </cell>
          <cell r="C487" t="str">
            <v>6-4008.01</v>
          </cell>
          <cell r="D487" t="str">
            <v>Bank Charge (Excl. Interest) (IDR)</v>
          </cell>
        </row>
        <row r="488">
          <cell r="B488">
            <v>65000000000479</v>
          </cell>
          <cell r="C488" t="str">
            <v>6-4099</v>
          </cell>
          <cell r="D488" t="str">
            <v>Biaya Adm &amp; Umum Lainnya</v>
          </cell>
        </row>
        <row r="489">
          <cell r="B489">
            <v>65000000000480</v>
          </cell>
          <cell r="C489" t="str">
            <v>6-4099.01</v>
          </cell>
          <cell r="D489" t="str">
            <v>Biaya Adm &amp; Umum Lainnya (IDR)</v>
          </cell>
        </row>
        <row r="490">
          <cell r="B490">
            <v>65000000000481</v>
          </cell>
          <cell r="C490" t="str">
            <v>6-5000</v>
          </cell>
          <cell r="D490" t="str">
            <v>Biaya Depresiasi</v>
          </cell>
        </row>
        <row r="491">
          <cell r="B491">
            <v>65000000000482</v>
          </cell>
          <cell r="C491" t="str">
            <v>6-5001</v>
          </cell>
          <cell r="D491" t="str">
            <v>Depre - Building Improvement</v>
          </cell>
        </row>
        <row r="492">
          <cell r="B492">
            <v>65000000000483</v>
          </cell>
          <cell r="C492" t="str">
            <v>6-5001.01</v>
          </cell>
          <cell r="D492" t="str">
            <v>Depre - Building Improvement (IDR)</v>
          </cell>
        </row>
        <row r="493">
          <cell r="B493">
            <v>65000000000484</v>
          </cell>
          <cell r="C493" t="str">
            <v>6-5002</v>
          </cell>
          <cell r="D493" t="str">
            <v>Depre - Building Office</v>
          </cell>
        </row>
        <row r="494">
          <cell r="B494">
            <v>65000000000485</v>
          </cell>
          <cell r="C494" t="str">
            <v>6-5002.01</v>
          </cell>
          <cell r="D494" t="str">
            <v>Depre - Building Office (IDR)</v>
          </cell>
        </row>
        <row r="495">
          <cell r="B495">
            <v>65000000000486</v>
          </cell>
          <cell r="C495" t="str">
            <v>6-5003</v>
          </cell>
          <cell r="D495" t="str">
            <v>Depre -  IT-Equipment</v>
          </cell>
        </row>
        <row r="496">
          <cell r="B496">
            <v>65000000000487</v>
          </cell>
          <cell r="C496" t="str">
            <v>6-5003.01</v>
          </cell>
          <cell r="D496" t="str">
            <v>Depre -  IT-Equipment (IDR)</v>
          </cell>
        </row>
        <row r="497">
          <cell r="B497">
            <v>65000000000488</v>
          </cell>
          <cell r="C497" t="str">
            <v>6-5004</v>
          </cell>
          <cell r="D497" t="str">
            <v>Depre - Office Machine &amp; Equip</v>
          </cell>
        </row>
        <row r="498">
          <cell r="B498">
            <v>65000000000489</v>
          </cell>
          <cell r="C498" t="str">
            <v>6-5004.01</v>
          </cell>
          <cell r="D498" t="str">
            <v>Depre - Office Machine &amp; Equip (IDR)</v>
          </cell>
        </row>
        <row r="499">
          <cell r="B499">
            <v>65000000000490</v>
          </cell>
          <cell r="C499" t="str">
            <v>6-5005</v>
          </cell>
          <cell r="D499" t="str">
            <v>Depre - Sundry Plant &amp; Equip</v>
          </cell>
        </row>
        <row r="500">
          <cell r="B500">
            <v>65000000000491</v>
          </cell>
          <cell r="C500" t="str">
            <v>6-5005.01</v>
          </cell>
          <cell r="D500" t="str">
            <v>Depre - Sundry Plant &amp; Equip (IDR)</v>
          </cell>
        </row>
        <row r="501">
          <cell r="B501">
            <v>65000000000492</v>
          </cell>
          <cell r="C501" t="str">
            <v>6-5006</v>
          </cell>
          <cell r="D501" t="str">
            <v>Depre - Test Equipment</v>
          </cell>
        </row>
        <row r="502">
          <cell r="B502">
            <v>65000000000493</v>
          </cell>
          <cell r="C502" t="str">
            <v>6-5006.01</v>
          </cell>
          <cell r="D502" t="str">
            <v>Depre - Test Equipment (IDR)</v>
          </cell>
        </row>
        <row r="503">
          <cell r="B503">
            <v>65000000000494</v>
          </cell>
          <cell r="C503" t="str">
            <v>6-5007</v>
          </cell>
          <cell r="D503" t="str">
            <v>Depre - Motor Vehicle</v>
          </cell>
        </row>
        <row r="504">
          <cell r="B504">
            <v>65000000000495</v>
          </cell>
          <cell r="C504" t="str">
            <v>6-5007.01</v>
          </cell>
          <cell r="D504" t="str">
            <v>Depre - Motor Vehicle (IDR)</v>
          </cell>
        </row>
        <row r="505">
          <cell r="B505">
            <v>65000000000496</v>
          </cell>
          <cell r="C505" t="str">
            <v>6-5008</v>
          </cell>
          <cell r="D505" t="str">
            <v>Depre - Tools</v>
          </cell>
        </row>
        <row r="506">
          <cell r="B506">
            <v>65000000000497</v>
          </cell>
          <cell r="C506" t="str">
            <v>6-5008.01</v>
          </cell>
          <cell r="D506" t="str">
            <v>Depre - Tools (IDR)</v>
          </cell>
        </row>
        <row r="507">
          <cell r="B507">
            <v>65000000000498</v>
          </cell>
          <cell r="C507" t="str">
            <v>6-5009</v>
          </cell>
          <cell r="D507" t="str">
            <v>Depre - Furniture Fitting</v>
          </cell>
        </row>
        <row r="508">
          <cell r="B508">
            <v>65000000000499</v>
          </cell>
          <cell r="C508" t="str">
            <v>6-5009.01</v>
          </cell>
          <cell r="D508" t="str">
            <v>Depre - Furniture Fitting (IDR)</v>
          </cell>
        </row>
        <row r="509">
          <cell r="B509">
            <v>65000000000500</v>
          </cell>
          <cell r="C509" t="str">
            <v>6-5010</v>
          </cell>
          <cell r="D509" t="str">
            <v>Depre - Mobile Phone</v>
          </cell>
        </row>
        <row r="510">
          <cell r="B510">
            <v>65000000000501</v>
          </cell>
          <cell r="C510" t="str">
            <v>6-5010.01</v>
          </cell>
          <cell r="D510" t="str">
            <v>Depre - Mobile Phone (IDR)</v>
          </cell>
        </row>
        <row r="511">
          <cell r="B511">
            <v>65000000000502</v>
          </cell>
          <cell r="C511" t="str">
            <v>7-0000</v>
          </cell>
          <cell r="D511" t="str">
            <v>Pendapatan Lain - Lain</v>
          </cell>
        </row>
        <row r="512">
          <cell r="B512">
            <v>65000000000503</v>
          </cell>
          <cell r="C512" t="str">
            <v>7-1000</v>
          </cell>
          <cell r="D512" t="str">
            <v>Interest Received</v>
          </cell>
        </row>
        <row r="513">
          <cell r="B513">
            <v>65000000000504</v>
          </cell>
          <cell r="C513" t="str">
            <v>7-1001</v>
          </cell>
          <cell r="D513" t="str">
            <v>Interest Received - Bank</v>
          </cell>
        </row>
        <row r="514">
          <cell r="B514">
            <v>65000000000505</v>
          </cell>
          <cell r="C514" t="str">
            <v>7-1001.01</v>
          </cell>
          <cell r="D514" t="str">
            <v>Interest Received - Bank (IDR)</v>
          </cell>
        </row>
        <row r="515">
          <cell r="B515">
            <v>65000000000506</v>
          </cell>
          <cell r="C515" t="str">
            <v>7-1002</v>
          </cell>
          <cell r="D515" t="str">
            <v>Interest Received - Other</v>
          </cell>
        </row>
        <row r="516">
          <cell r="B516">
            <v>65000000000507</v>
          </cell>
          <cell r="C516" t="str">
            <v>7-1002.01</v>
          </cell>
          <cell r="D516" t="str">
            <v>Interest Received - Other (IDR)</v>
          </cell>
        </row>
        <row r="517">
          <cell r="B517">
            <v>65000000000508</v>
          </cell>
          <cell r="C517" t="str">
            <v>7-1003</v>
          </cell>
          <cell r="D517" t="str">
            <v>Interest Income Promesory Note</v>
          </cell>
        </row>
        <row r="518">
          <cell r="B518">
            <v>65000000000509</v>
          </cell>
          <cell r="C518" t="str">
            <v>7-1003.01</v>
          </cell>
          <cell r="D518" t="str">
            <v>Interest Income Promesory Note (IDR)</v>
          </cell>
        </row>
        <row r="519">
          <cell r="B519">
            <v>65000000000510</v>
          </cell>
          <cell r="C519" t="str">
            <v>7-2000</v>
          </cell>
          <cell r="D519" t="str">
            <v>Gain (Loss) Disposal of Fixed Asset</v>
          </cell>
        </row>
        <row r="520">
          <cell r="B520">
            <v>65000000000511</v>
          </cell>
          <cell r="C520" t="str">
            <v>7-2000.01</v>
          </cell>
          <cell r="D520" t="str">
            <v>Gain (Loss) Disposal of FA (IDR)</v>
          </cell>
        </row>
        <row r="521">
          <cell r="B521">
            <v>65000000000512</v>
          </cell>
          <cell r="C521" t="str">
            <v>7-3000</v>
          </cell>
          <cell r="D521" t="str">
            <v>Gain (Loss) Exchange Rate Difference</v>
          </cell>
        </row>
        <row r="522">
          <cell r="B522">
            <v>65000000000513</v>
          </cell>
          <cell r="C522" t="str">
            <v>7-3001</v>
          </cell>
          <cell r="D522" t="str">
            <v>Gain (Loss) Exchange Rate Difference</v>
          </cell>
        </row>
        <row r="523">
          <cell r="B523">
            <v>65000000000514</v>
          </cell>
          <cell r="C523" t="str">
            <v>7-3001.01</v>
          </cell>
          <cell r="D523" t="str">
            <v>Gain (Loss) Exchange Rate Difference (IDR)</v>
          </cell>
        </row>
        <row r="524">
          <cell r="B524">
            <v>65000000000515</v>
          </cell>
          <cell r="C524" t="str">
            <v>7-3002</v>
          </cell>
          <cell r="D524" t="str">
            <v>Gain (Loss) Exchange Rate Difference Downer</v>
          </cell>
        </row>
        <row r="525">
          <cell r="B525">
            <v>65000000000516</v>
          </cell>
          <cell r="C525" t="str">
            <v>7-3002.01</v>
          </cell>
          <cell r="D525" t="str">
            <v>Gain (Loss) Exchange Rate Difference Downer (IDR)</v>
          </cell>
        </row>
        <row r="526">
          <cell r="B526">
            <v>65000000000517</v>
          </cell>
          <cell r="C526" t="str">
            <v>7-4000</v>
          </cell>
          <cell r="D526" t="str">
            <v>Other Revenue - Other</v>
          </cell>
        </row>
        <row r="527">
          <cell r="B527">
            <v>65000000000518</v>
          </cell>
          <cell r="C527" t="str">
            <v>7-4100</v>
          </cell>
          <cell r="D527" t="str">
            <v>Income (loss) Subsidiary</v>
          </cell>
        </row>
        <row r="528">
          <cell r="B528">
            <v>65000000000519</v>
          </cell>
          <cell r="C528" t="str">
            <v>7-4100.01</v>
          </cell>
          <cell r="D528" t="str">
            <v>Income (loss) Subsidiary IMD (IDR)</v>
          </cell>
        </row>
        <row r="529">
          <cell r="B529">
            <v>65000000000520</v>
          </cell>
          <cell r="C529" t="str">
            <v>7-4200</v>
          </cell>
          <cell r="D529" t="str">
            <v>Income Tax</v>
          </cell>
        </row>
        <row r="530">
          <cell r="B530">
            <v>65000000000521</v>
          </cell>
          <cell r="C530" t="str">
            <v>7-4201</v>
          </cell>
          <cell r="D530" t="str">
            <v>Income Tax</v>
          </cell>
        </row>
        <row r="531">
          <cell r="B531">
            <v>65000000000522</v>
          </cell>
          <cell r="C531" t="str">
            <v>7-4201.01</v>
          </cell>
          <cell r="D531" t="str">
            <v>Income Tax (IDR)</v>
          </cell>
        </row>
        <row r="532">
          <cell r="B532">
            <v>65000000000523</v>
          </cell>
          <cell r="C532" t="str">
            <v>8-0000</v>
          </cell>
          <cell r="D532" t="str">
            <v>Biaya Lain - Lain</v>
          </cell>
        </row>
        <row r="533">
          <cell r="B533">
            <v>65000000000524</v>
          </cell>
          <cell r="C533" t="str">
            <v>8-1000</v>
          </cell>
          <cell r="D533" t="str">
            <v>Interest Expenses</v>
          </cell>
        </row>
        <row r="534">
          <cell r="B534">
            <v>65000000000525</v>
          </cell>
          <cell r="C534" t="str">
            <v>8-1001</v>
          </cell>
          <cell r="D534" t="str">
            <v>Interest Expense Downer</v>
          </cell>
        </row>
        <row r="535">
          <cell r="B535">
            <v>65000000000526</v>
          </cell>
          <cell r="C535" t="str">
            <v>8-1001.01</v>
          </cell>
          <cell r="D535" t="str">
            <v>Interest Expense Downer (IDR)</v>
          </cell>
        </row>
        <row r="536">
          <cell r="B536">
            <v>65000000000527</v>
          </cell>
          <cell r="C536" t="str">
            <v>8-1002</v>
          </cell>
          <cell r="D536" t="str">
            <v>Interest Expense Redi</v>
          </cell>
        </row>
        <row r="537">
          <cell r="B537">
            <v>65000000000528</v>
          </cell>
          <cell r="C537" t="str">
            <v>8-1002.01</v>
          </cell>
          <cell r="D537" t="str">
            <v>Interest Expense Redi (IDR)</v>
          </cell>
        </row>
        <row r="538">
          <cell r="B538">
            <v>65000000000529</v>
          </cell>
          <cell r="C538" t="str">
            <v>8-2000</v>
          </cell>
          <cell r="D538" t="str">
            <v>Late Charges</v>
          </cell>
        </row>
        <row r="539">
          <cell r="B539">
            <v>65000000000530</v>
          </cell>
          <cell r="C539" t="str">
            <v>8-2001</v>
          </cell>
          <cell r="D539" t="str">
            <v>Late Charges for Downer</v>
          </cell>
        </row>
        <row r="540">
          <cell r="B540">
            <v>65000000000531</v>
          </cell>
          <cell r="C540" t="str">
            <v>8-2001.01</v>
          </cell>
          <cell r="D540" t="str">
            <v>Late Charges for Downer (IDR)</v>
          </cell>
        </row>
        <row r="541">
          <cell r="B541">
            <v>65000000000532</v>
          </cell>
          <cell r="C541" t="str">
            <v>8-2002</v>
          </cell>
          <cell r="D541" t="str">
            <v>Late Charges for Redi</v>
          </cell>
        </row>
        <row r="542">
          <cell r="B542">
            <v>65000000000533</v>
          </cell>
          <cell r="C542" t="str">
            <v>8-2002.01</v>
          </cell>
          <cell r="D542" t="str">
            <v>Late Charges for Redi (IDR)</v>
          </cell>
        </row>
        <row r="543">
          <cell r="B543">
            <v>65000000000534</v>
          </cell>
          <cell r="C543" t="str">
            <v>8-3000</v>
          </cell>
          <cell r="D543" t="str">
            <v>Other Expenses - Other</v>
          </cell>
        </row>
        <row r="544">
          <cell r="B544">
            <v>65000000000535</v>
          </cell>
          <cell r="C544" t="str">
            <v>8-3001</v>
          </cell>
          <cell r="D544" t="str">
            <v>Tax Expenses</v>
          </cell>
        </row>
        <row r="545">
          <cell r="B545">
            <v>65000000000536</v>
          </cell>
          <cell r="C545" t="str">
            <v>8-3001.01</v>
          </cell>
          <cell r="D545" t="str">
            <v>Tax Expenses (IDR)</v>
          </cell>
        </row>
        <row r="546">
          <cell r="B546" t="str">
            <v/>
          </cell>
          <cell r="C546" t="str">
            <v/>
          </cell>
          <cell r="D546" t="str">
            <v/>
          </cell>
        </row>
        <row r="547">
          <cell r="B547" t="str">
            <v/>
          </cell>
          <cell r="C547" t="str">
            <v/>
          </cell>
          <cell r="D547" t="str">
            <v/>
          </cell>
        </row>
        <row r="548">
          <cell r="B548" t="str">
            <v/>
          </cell>
          <cell r="C548" t="str">
            <v/>
          </cell>
          <cell r="D548" t="str">
            <v/>
          </cell>
        </row>
        <row r="549">
          <cell r="B549" t="str">
            <v/>
          </cell>
          <cell r="C549" t="str">
            <v/>
          </cell>
          <cell r="D549" t="str">
            <v/>
          </cell>
        </row>
        <row r="550">
          <cell r="B550" t="str">
            <v/>
          </cell>
          <cell r="C550" t="str">
            <v/>
          </cell>
          <cell r="D550" t="str">
            <v/>
          </cell>
        </row>
        <row r="551">
          <cell r="B551" t="str">
            <v/>
          </cell>
          <cell r="C551" t="str">
            <v/>
          </cell>
          <cell r="D551" t="str">
            <v/>
          </cell>
        </row>
        <row r="552">
          <cell r="B552" t="str">
            <v/>
          </cell>
          <cell r="C552" t="str">
            <v/>
          </cell>
          <cell r="D552" t="str">
            <v/>
          </cell>
        </row>
        <row r="553">
          <cell r="B553" t="str">
            <v/>
          </cell>
          <cell r="C553" t="str">
            <v/>
          </cell>
          <cell r="D553" t="str">
            <v/>
          </cell>
        </row>
        <row r="554">
          <cell r="B554" t="str">
            <v/>
          </cell>
          <cell r="C554" t="str">
            <v/>
          </cell>
          <cell r="D554" t="str">
            <v/>
          </cell>
        </row>
        <row r="555">
          <cell r="B555" t="str">
            <v/>
          </cell>
          <cell r="C555" t="str">
            <v/>
          </cell>
          <cell r="D555" t="str">
            <v/>
          </cell>
        </row>
        <row r="556">
          <cell r="B556" t="str">
            <v/>
          </cell>
          <cell r="C556" t="str">
            <v/>
          </cell>
          <cell r="D556" t="str">
            <v/>
          </cell>
        </row>
        <row r="557">
          <cell r="B557" t="str">
            <v/>
          </cell>
          <cell r="C557" t="str">
            <v/>
          </cell>
          <cell r="D557" t="str">
            <v/>
          </cell>
        </row>
        <row r="558">
          <cell r="B558" t="str">
            <v/>
          </cell>
          <cell r="C558" t="str">
            <v/>
          </cell>
          <cell r="D558" t="str">
            <v/>
          </cell>
        </row>
        <row r="559">
          <cell r="B559" t="str">
            <v/>
          </cell>
          <cell r="C559" t="str">
            <v/>
          </cell>
          <cell r="D559" t="str">
            <v/>
          </cell>
        </row>
        <row r="560">
          <cell r="B560" t="str">
            <v/>
          </cell>
          <cell r="C560" t="str">
            <v/>
          </cell>
          <cell r="D560" t="str">
            <v/>
          </cell>
        </row>
        <row r="561">
          <cell r="B561" t="str">
            <v/>
          </cell>
          <cell r="C561" t="str">
            <v/>
          </cell>
          <cell r="D561" t="str">
            <v/>
          </cell>
        </row>
        <row r="562">
          <cell r="B562" t="str">
            <v/>
          </cell>
          <cell r="C562" t="str">
            <v/>
          </cell>
          <cell r="D562" t="str">
            <v/>
          </cell>
        </row>
        <row r="563">
          <cell r="B563" t="str">
            <v/>
          </cell>
          <cell r="C563" t="str">
            <v/>
          </cell>
          <cell r="D563" t="str">
            <v/>
          </cell>
        </row>
        <row r="564">
          <cell r="B564" t="str">
            <v/>
          </cell>
          <cell r="C564" t="str">
            <v/>
          </cell>
          <cell r="D564" t="str">
            <v/>
          </cell>
        </row>
        <row r="565">
          <cell r="B565" t="str">
            <v/>
          </cell>
          <cell r="C565" t="str">
            <v/>
          </cell>
          <cell r="D565" t="str">
            <v/>
          </cell>
        </row>
        <row r="566">
          <cell r="B566" t="str">
            <v/>
          </cell>
          <cell r="C566" t="str">
            <v/>
          </cell>
          <cell r="D566" t="str">
            <v/>
          </cell>
        </row>
        <row r="567">
          <cell r="B567" t="str">
            <v/>
          </cell>
          <cell r="C567" t="str">
            <v/>
          </cell>
          <cell r="D567" t="str">
            <v/>
          </cell>
        </row>
        <row r="568">
          <cell r="B568" t="str">
            <v/>
          </cell>
          <cell r="C568" t="str">
            <v/>
          </cell>
          <cell r="D568" t="str">
            <v/>
          </cell>
        </row>
        <row r="569">
          <cell r="B569" t="str">
            <v/>
          </cell>
          <cell r="C569" t="str">
            <v/>
          </cell>
          <cell r="D569" t="str">
            <v/>
          </cell>
        </row>
        <row r="570">
          <cell r="B570" t="str">
            <v/>
          </cell>
          <cell r="C570" t="str">
            <v/>
          </cell>
          <cell r="D570" t="str">
            <v/>
          </cell>
        </row>
        <row r="571">
          <cell r="B571" t="str">
            <v/>
          </cell>
          <cell r="C571" t="str">
            <v/>
          </cell>
          <cell r="D571" t="str">
            <v/>
          </cell>
        </row>
        <row r="572">
          <cell r="B572" t="str">
            <v/>
          </cell>
          <cell r="C572" t="str">
            <v/>
          </cell>
          <cell r="D572" t="str">
            <v/>
          </cell>
        </row>
        <row r="573">
          <cell r="B573" t="str">
            <v/>
          </cell>
          <cell r="C573" t="str">
            <v/>
          </cell>
          <cell r="D573" t="str">
            <v/>
          </cell>
        </row>
        <row r="574">
          <cell r="B574" t="str">
            <v/>
          </cell>
          <cell r="C574" t="str">
            <v/>
          </cell>
          <cell r="D574" t="str">
            <v/>
          </cell>
        </row>
        <row r="575">
          <cell r="B575" t="str">
            <v/>
          </cell>
          <cell r="C575" t="str">
            <v/>
          </cell>
          <cell r="D575" t="str">
            <v/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"/>
      <sheetName val="DataLookUp"/>
      <sheetName val="Sheet2"/>
      <sheetName val="Sheet4"/>
      <sheetName val="Sheet1"/>
    </sheetNames>
    <sheetDataSet>
      <sheetData sheetId="0"/>
      <sheetData sheetId="1">
        <row r="4">
          <cell r="B4">
            <v>167000000000001</v>
          </cell>
          <cell r="C4" t="str">
            <v>Bank Central Asia - 0063032911</v>
          </cell>
        </row>
        <row r="5">
          <cell r="B5">
            <v>167000000000002</v>
          </cell>
          <cell r="C5" t="str">
            <v>Bank Central Asia - 0065557750</v>
          </cell>
        </row>
        <row r="6">
          <cell r="B6">
            <v>167000000000003</v>
          </cell>
          <cell r="C6" t="str">
            <v>Bank Central Asia - 0068502911</v>
          </cell>
        </row>
        <row r="7">
          <cell r="B7">
            <v>167000000000004</v>
          </cell>
          <cell r="C7" t="str">
            <v>Bank Central Asia - 2173050101</v>
          </cell>
        </row>
        <row r="8">
          <cell r="B8">
            <v>167000000000005</v>
          </cell>
          <cell r="C8" t="str">
            <v>Bank Central Asia - 2173108214</v>
          </cell>
        </row>
        <row r="9">
          <cell r="B9">
            <v>167000000000006</v>
          </cell>
          <cell r="C9" t="str">
            <v>Bank CIMB Niaga - 762375277200</v>
          </cell>
        </row>
        <row r="10">
          <cell r="B10">
            <v>167000000000007</v>
          </cell>
          <cell r="C10" t="str">
            <v>Bank CIMB Niaga - 800039839400</v>
          </cell>
        </row>
        <row r="11">
          <cell r="B11">
            <v>167000000000008</v>
          </cell>
          <cell r="C11" t="str">
            <v>Bank CIMB Niaga - 800039840100</v>
          </cell>
        </row>
        <row r="12">
          <cell r="B12">
            <v>167000000000009</v>
          </cell>
          <cell r="C12" t="str">
            <v>Bank CIMB Niaga - 860012900500</v>
          </cell>
        </row>
        <row r="13">
          <cell r="B13">
            <v>167000000000010</v>
          </cell>
          <cell r="C13" t="str">
            <v>Bank Commonwealth - 1051189606</v>
          </cell>
        </row>
        <row r="14">
          <cell r="B14">
            <v>167000000000011</v>
          </cell>
          <cell r="C14" t="str">
            <v>Bank Commonwealth - 1051189707</v>
          </cell>
        </row>
        <row r="15">
          <cell r="B15">
            <v>167000000000012</v>
          </cell>
          <cell r="C15" t="str">
            <v>Bank KB Bukopin - 1001327468</v>
          </cell>
        </row>
        <row r="16">
          <cell r="B16">
            <v>167000000000013</v>
          </cell>
          <cell r="C16" t="str">
            <v>Bank KB Bukopin - 1001374466</v>
          </cell>
        </row>
        <row r="17">
          <cell r="B17">
            <v>167000000000014</v>
          </cell>
          <cell r="C17" t="str">
            <v>Bank KB Bukopin - 1002405420</v>
          </cell>
        </row>
        <row r="18">
          <cell r="B18">
            <v>167000000000015</v>
          </cell>
          <cell r="C18" t="str">
            <v>Bank Mandiri - 0700009986097</v>
          </cell>
        </row>
        <row r="19">
          <cell r="B19">
            <v>167000000000016</v>
          </cell>
          <cell r="C19" t="str">
            <v>Bank Mandiri - 0700010933104</v>
          </cell>
        </row>
        <row r="20">
          <cell r="B20">
            <v>167000000000017</v>
          </cell>
          <cell r="C20" t="str">
            <v>Bank Negara Indonesia - 1999998082</v>
          </cell>
        </row>
        <row r="21">
          <cell r="B21">
            <v>167000000000018</v>
          </cell>
          <cell r="C21" t="str">
            <v>Bank Negara Indonesia - 779207704</v>
          </cell>
        </row>
        <row r="22">
          <cell r="B22">
            <v>167000000000019</v>
          </cell>
          <cell r="C22" t="str">
            <v>Bank Negara Indonesia - 779207715</v>
          </cell>
        </row>
        <row r="23">
          <cell r="B23">
            <v>167000000000020</v>
          </cell>
          <cell r="C23" t="str">
            <v>Bank Negara Indonesia - 8995885888</v>
          </cell>
        </row>
        <row r="24">
          <cell r="B24">
            <v>167000000000021</v>
          </cell>
          <cell r="C24" t="str">
            <v>Bank Negara Indonesia - 907670396</v>
          </cell>
        </row>
        <row r="25">
          <cell r="B25">
            <v>167000000000022</v>
          </cell>
          <cell r="C25" t="str">
            <v>Bank OCBC Nilai Inti Sari Penyimpanan - 020800017913</v>
          </cell>
        </row>
        <row r="26">
          <cell r="B26">
            <v>167000000000023</v>
          </cell>
          <cell r="C26" t="str">
            <v>Bank Pembangunan Daerah Bengkulu - 0080107000764</v>
          </cell>
        </row>
        <row r="27">
          <cell r="B27">
            <v>167000000000024</v>
          </cell>
          <cell r="C27" t="str">
            <v>Bank Pembangunan Daerah Jawa Barat Banten - 8880888880888</v>
          </cell>
        </row>
        <row r="28">
          <cell r="B28">
            <v>167000000000025</v>
          </cell>
          <cell r="C28" t="str">
            <v>Bank Pembangunan Daerah Jawa Timur - 035101616</v>
          </cell>
        </row>
        <row r="29">
          <cell r="B29">
            <v>167000000000026</v>
          </cell>
          <cell r="C29" t="str">
            <v>Bank Pembangunan Daerah Jawa Timur - 1221001121</v>
          </cell>
        </row>
        <row r="30">
          <cell r="B30">
            <v>167000000000027</v>
          </cell>
          <cell r="C30" t="str">
            <v>Bank Pembangunan Daerah Jawa Timur - 1231001251</v>
          </cell>
        </row>
        <row r="31">
          <cell r="B31">
            <v>167000000000028</v>
          </cell>
          <cell r="C31" t="str">
            <v>Bank Pembangunan Daerah Kalimantan Selatan - 0400007001223</v>
          </cell>
        </row>
        <row r="32">
          <cell r="B32">
            <v>167000000000029</v>
          </cell>
          <cell r="C32" t="str">
            <v>Bank Permata - 0701393414</v>
          </cell>
        </row>
        <row r="33">
          <cell r="B33">
            <v>167000000000030</v>
          </cell>
          <cell r="C33" t="str">
            <v>Bank Permata - 0701393481</v>
          </cell>
        </row>
        <row r="34">
          <cell r="B34">
            <v>167000000000031</v>
          </cell>
          <cell r="C34" t="str">
            <v>Bank Permata - 0701393570</v>
          </cell>
        </row>
        <row r="35">
          <cell r="B35">
            <v>167000000000032</v>
          </cell>
          <cell r="C35" t="str">
            <v>Bank Permata - 0701393643</v>
          </cell>
        </row>
        <row r="36">
          <cell r="B36">
            <v>167000000000033</v>
          </cell>
          <cell r="C36" t="str">
            <v>Bank Rakyat Indonesia - 005301004453305</v>
          </cell>
        </row>
        <row r="37">
          <cell r="B37">
            <v>167000000000034</v>
          </cell>
          <cell r="C37" t="str">
            <v>Bank Rakyat Indonesia - 019301001230300</v>
          </cell>
        </row>
        <row r="38">
          <cell r="B38">
            <v>167000000000035</v>
          </cell>
          <cell r="C38" t="str">
            <v>Bank Rakyat Indonesia - 019301003214300</v>
          </cell>
        </row>
        <row r="39">
          <cell r="B39">
            <v>167000000000036</v>
          </cell>
          <cell r="C39" t="str">
            <v>Bank Rakyat Indonesia - 019301003667309</v>
          </cell>
        </row>
        <row r="40">
          <cell r="B40">
            <v>167000000000037</v>
          </cell>
          <cell r="C40" t="str">
            <v>Bank Rakyat Indonesia - 019301003718304</v>
          </cell>
        </row>
        <row r="41">
          <cell r="B41">
            <v>167000000000038</v>
          </cell>
          <cell r="C41" t="str">
            <v>Bank Rakyat Indonesia - 019301003719300</v>
          </cell>
        </row>
        <row r="42">
          <cell r="B42">
            <v>167000000000039</v>
          </cell>
          <cell r="C42" t="str">
            <v>Bank Rakyat Indonesia - 019301003720301</v>
          </cell>
        </row>
        <row r="43">
          <cell r="B43">
            <v>167000000000040</v>
          </cell>
          <cell r="C43" t="str">
            <v>Bank Rakyat Indonesia - 019301003881301</v>
          </cell>
        </row>
        <row r="44">
          <cell r="B44">
            <v>167000000000041</v>
          </cell>
          <cell r="C44" t="str">
            <v>Bank Rakyat Indonesia - 035901002067300</v>
          </cell>
        </row>
        <row r="45">
          <cell r="B45">
            <v>167000000000042</v>
          </cell>
          <cell r="C45" t="str">
            <v>Bank Rakyat Indonesia - 035901002951305</v>
          </cell>
        </row>
        <row r="46">
          <cell r="B46">
            <v>167000000000043</v>
          </cell>
          <cell r="C46" t="str">
            <v>Bank Rakyat Indonesia - 035901002958307</v>
          </cell>
        </row>
        <row r="47">
          <cell r="B47">
            <v>167000000000044</v>
          </cell>
          <cell r="C47" t="str">
            <v>Bank Rakyat Indonesia - 044101001553563</v>
          </cell>
        </row>
        <row r="48">
          <cell r="B48">
            <v>167000000000045</v>
          </cell>
          <cell r="C48" t="str">
            <v>Bank Rakyat Indonesia - 044101002094300</v>
          </cell>
        </row>
        <row r="49">
          <cell r="B49">
            <v>167000000000046</v>
          </cell>
          <cell r="C49" t="str">
            <v>Bank Rakyat Indonesia - 053801000258309</v>
          </cell>
        </row>
        <row r="50">
          <cell r="B50">
            <v>167000000000047</v>
          </cell>
          <cell r="C50" t="str">
            <v>Bank Rakyat Indonesia - 34101002394304</v>
          </cell>
        </row>
        <row r="51">
          <cell r="B51">
            <v>167000000000048</v>
          </cell>
          <cell r="C51" t="str">
            <v>Bank Rakyat Indonesia - 34101002395300</v>
          </cell>
        </row>
        <row r="52">
          <cell r="B52">
            <v>167000000000049</v>
          </cell>
          <cell r="C52" t="str">
            <v>Bank Standard Chartered - 30601430287</v>
          </cell>
        </row>
        <row r="53">
          <cell r="B53">
            <v>167000000000050</v>
          </cell>
          <cell r="C53" t="str">
            <v>Bank Standard Chartered - 30601430325</v>
          </cell>
        </row>
        <row r="54">
          <cell r="B54">
            <v>167000000000051</v>
          </cell>
          <cell r="C54" t="str">
            <v>Bank Standard Chartered - 30601430376</v>
          </cell>
        </row>
        <row r="55">
          <cell r="B55">
            <v>167000000000052</v>
          </cell>
          <cell r="C55" t="str">
            <v>Bank Standard Chartered - 30601430414</v>
          </cell>
        </row>
        <row r="56">
          <cell r="B56">
            <v>167000000000053</v>
          </cell>
          <cell r="C56" t="str">
            <v>Bank Syariah Indonesia - 1006777593</v>
          </cell>
        </row>
        <row r="57">
          <cell r="B57">
            <v>167000000000054</v>
          </cell>
          <cell r="C57" t="str">
            <v>Bank Syariah Indonesia - 7240736928</v>
          </cell>
        </row>
        <row r="58">
          <cell r="B58">
            <v>167000000000055</v>
          </cell>
          <cell r="C58" t="str">
            <v>Bank Syariah Indonesia - 7240741347</v>
          </cell>
        </row>
        <row r="59">
          <cell r="B59">
            <v>167000000000056</v>
          </cell>
          <cell r="C59" t="str">
            <v>Bank Tabungan Negara - 0100201300000052</v>
          </cell>
        </row>
        <row r="60">
          <cell r="B60" t="str">
            <v/>
          </cell>
          <cell r="C60" t="str">
            <v/>
          </cell>
        </row>
        <row r="61">
          <cell r="B61">
            <v>167000000000057</v>
          </cell>
          <cell r="C61" t="str">
            <v>Bank Central Asia - 6550289791</v>
          </cell>
        </row>
        <row r="62">
          <cell r="B62">
            <v>167000000000058</v>
          </cell>
          <cell r="C62" t="str">
            <v>Bank Mandiri - 121-00-0599441-7</v>
          </cell>
        </row>
        <row r="63">
          <cell r="B63">
            <v>167000000000059</v>
          </cell>
          <cell r="C63" t="str">
            <v>Bank Rakyat Indonesia - 0206-01-095647-50-4</v>
          </cell>
        </row>
        <row r="64">
          <cell r="B64">
            <v>167000000000060</v>
          </cell>
          <cell r="C64" t="str">
            <v>Bank Central Asia - 0060262641</v>
          </cell>
        </row>
        <row r="65">
          <cell r="B65">
            <v>167000000000061</v>
          </cell>
          <cell r="C65" t="str">
            <v>Bank Central Asia - 2040089643</v>
          </cell>
        </row>
        <row r="66">
          <cell r="B66">
            <v>167000000000062</v>
          </cell>
          <cell r="C66" t="str">
            <v>Bank Central Asia - 0350780718</v>
          </cell>
        </row>
        <row r="67">
          <cell r="B67">
            <v>167000000000063</v>
          </cell>
          <cell r="C67" t="str">
            <v>Bank Central Asia - 6821221339</v>
          </cell>
        </row>
        <row r="68">
          <cell r="B68">
            <v>167000000000064</v>
          </cell>
          <cell r="C68" t="str">
            <v>Bank Central Asia - 5750423347</v>
          </cell>
        </row>
        <row r="69">
          <cell r="B69">
            <v>167000000000065</v>
          </cell>
          <cell r="C69" t="str">
            <v>Bank Central Asia - 7150306269</v>
          </cell>
        </row>
        <row r="70">
          <cell r="B70">
            <v>167000000000066</v>
          </cell>
          <cell r="C70" t="str">
            <v>Bank Central Asia - 2670159496</v>
          </cell>
        </row>
        <row r="71">
          <cell r="B71">
            <v>167000000000067</v>
          </cell>
          <cell r="C71" t="str">
            <v>Bank Central Asia - 5520607058</v>
          </cell>
        </row>
        <row r="72">
          <cell r="B72">
            <v>167000000000068</v>
          </cell>
          <cell r="C72" t="str">
            <v>Bank Central Asia - 5520537742</v>
          </cell>
        </row>
        <row r="73">
          <cell r="B73">
            <v>167000000000069</v>
          </cell>
          <cell r="C73" t="str">
            <v>Bank Central Asia - 4565061969</v>
          </cell>
        </row>
        <row r="74">
          <cell r="B74">
            <v>167000000000070</v>
          </cell>
          <cell r="C74" t="str">
            <v>Bank Central Asia - 5520579321</v>
          </cell>
        </row>
        <row r="75">
          <cell r="B75">
            <v>167000000000071</v>
          </cell>
          <cell r="C75" t="str">
            <v>Bank Central Asia - 1280247568</v>
          </cell>
        </row>
        <row r="76">
          <cell r="B76">
            <v>167000000000072</v>
          </cell>
          <cell r="C76" t="str">
            <v>Bank Central Asia - 2211206120</v>
          </cell>
        </row>
        <row r="77">
          <cell r="B77">
            <v>167000000000073</v>
          </cell>
          <cell r="C77" t="str">
            <v>Bank Central Asia - 2839669733</v>
          </cell>
        </row>
        <row r="78">
          <cell r="B78">
            <v>167000000000074</v>
          </cell>
          <cell r="C78" t="str">
            <v>Bank Central Asia - 2731371123</v>
          </cell>
        </row>
        <row r="79">
          <cell r="B79">
            <v>167000000000075</v>
          </cell>
          <cell r="C79" t="str">
            <v>Bank Central Asia - 0060185646</v>
          </cell>
        </row>
        <row r="80">
          <cell r="B80">
            <v>167000000000076</v>
          </cell>
          <cell r="C80" t="str">
            <v>Bank Central Asia - 5211078091</v>
          </cell>
        </row>
        <row r="81">
          <cell r="B81">
            <v>167000000000077</v>
          </cell>
          <cell r="C81" t="str">
            <v>Bank Central Asia - 5855178874</v>
          </cell>
        </row>
        <row r="82">
          <cell r="B82">
            <v>167000000000078</v>
          </cell>
          <cell r="C82" t="str">
            <v>Bank Central Asia - 5750226541</v>
          </cell>
        </row>
        <row r="83">
          <cell r="B83">
            <v>167000000000079</v>
          </cell>
          <cell r="C83" t="str">
            <v>Bank Central Asia - 8760378217</v>
          </cell>
        </row>
        <row r="84">
          <cell r="B84">
            <v>167000000000080</v>
          </cell>
          <cell r="C84" t="str">
            <v>Bank Central Asia - 8200472447</v>
          </cell>
        </row>
        <row r="85">
          <cell r="B85">
            <v>167000000000081</v>
          </cell>
          <cell r="C85" t="str">
            <v>Bank Central Asia - 1281467889</v>
          </cell>
        </row>
        <row r="86">
          <cell r="B86">
            <v>167000000000082</v>
          </cell>
          <cell r="C86" t="str">
            <v>Bank Central Asia - 3191643869</v>
          </cell>
        </row>
        <row r="87">
          <cell r="B87">
            <v>167000000000083</v>
          </cell>
          <cell r="C87" t="str">
            <v>Bank Central Asia - 5520226500</v>
          </cell>
        </row>
        <row r="88">
          <cell r="B88">
            <v>167000000000084</v>
          </cell>
          <cell r="C88" t="str">
            <v>Bank Central Asia - 5520464753</v>
          </cell>
        </row>
        <row r="89">
          <cell r="B89">
            <v>167000000000085</v>
          </cell>
          <cell r="C89" t="str">
            <v>Bank Central Asia - 5520696425</v>
          </cell>
        </row>
        <row r="90">
          <cell r="B90">
            <v>167000000000086</v>
          </cell>
          <cell r="C90" t="str">
            <v>Bank Central Asia - 7660328771</v>
          </cell>
        </row>
        <row r="91">
          <cell r="B91">
            <v>167000000000087</v>
          </cell>
          <cell r="C91" t="str">
            <v>Bank Central Asia - 4980153300</v>
          </cell>
        </row>
        <row r="92">
          <cell r="B92">
            <v>167000000000088</v>
          </cell>
          <cell r="C92" t="str">
            <v>Bank Central Asia - 5520190068</v>
          </cell>
        </row>
        <row r="93">
          <cell r="B93">
            <v>167000000000089</v>
          </cell>
          <cell r="C93" t="str">
            <v>Bank Central Asia - 0060238634</v>
          </cell>
        </row>
        <row r="94">
          <cell r="B94">
            <v>167000000000090</v>
          </cell>
          <cell r="C94" t="str">
            <v>Bank Central Asia - 0060202915</v>
          </cell>
        </row>
        <row r="95">
          <cell r="B95">
            <v>167000000000091</v>
          </cell>
          <cell r="C95" t="str">
            <v>Bank Central Asia - 5520514947</v>
          </cell>
        </row>
        <row r="96">
          <cell r="B96">
            <v>167000000000092</v>
          </cell>
          <cell r="C96" t="str">
            <v>Bank Central Asia - 7865198493</v>
          </cell>
        </row>
        <row r="97">
          <cell r="B97">
            <v>167000000000093</v>
          </cell>
          <cell r="C97" t="str">
            <v>Bank Central Asia - 5750336223</v>
          </cell>
        </row>
        <row r="98">
          <cell r="B98">
            <v>167000000000094</v>
          </cell>
          <cell r="C98" t="str">
            <v>Bank Central Asia - 0350189041</v>
          </cell>
        </row>
        <row r="99">
          <cell r="B99">
            <v>167000000000095</v>
          </cell>
          <cell r="C99" t="str">
            <v>Bank Central Asia - 7660282321</v>
          </cell>
        </row>
        <row r="100">
          <cell r="B100">
            <v>167000000000096</v>
          </cell>
          <cell r="C100" t="str">
            <v>Bank Central Asia - 7000245156</v>
          </cell>
        </row>
        <row r="101">
          <cell r="B101">
            <v>167000000000097</v>
          </cell>
          <cell r="C101" t="str">
            <v>Bank Central Asia - 8760571998</v>
          </cell>
        </row>
        <row r="102">
          <cell r="B102">
            <v>167000000000098</v>
          </cell>
          <cell r="C102" t="str">
            <v>Bank Central Asia - 0060098298</v>
          </cell>
        </row>
        <row r="103">
          <cell r="B103">
            <v>167000000000099</v>
          </cell>
          <cell r="C103" t="str">
            <v>Bank Central Asia - 3831252381</v>
          </cell>
        </row>
        <row r="104">
          <cell r="B104">
            <v>167000000000100</v>
          </cell>
          <cell r="C104" t="str">
            <v>Bank Central Asia - 7660268949</v>
          </cell>
        </row>
        <row r="105">
          <cell r="B105">
            <v>167000000000101</v>
          </cell>
          <cell r="C105" t="str">
            <v>Bank Central Asia - 2170088924</v>
          </cell>
        </row>
        <row r="106">
          <cell r="B106">
            <v>167000000000102</v>
          </cell>
          <cell r="C106" t="str">
            <v>Bank Central Asia - 5025005331</v>
          </cell>
        </row>
        <row r="107">
          <cell r="B107">
            <v>167000000000103</v>
          </cell>
          <cell r="C107" t="str">
            <v>Bank Central Asia - 5325315714</v>
          </cell>
        </row>
        <row r="108">
          <cell r="B108">
            <v>167000000000104</v>
          </cell>
          <cell r="C108" t="str">
            <v>Bank Central Asia - 2101238654</v>
          </cell>
        </row>
        <row r="109">
          <cell r="B109">
            <v>167000000000105</v>
          </cell>
          <cell r="C109" t="str">
            <v>Bank Central Asia - 0670059618</v>
          </cell>
        </row>
        <row r="110">
          <cell r="B110">
            <v>167000000000106</v>
          </cell>
          <cell r="C110" t="str">
            <v>Bank Central Asia - 5750223151</v>
          </cell>
        </row>
        <row r="111">
          <cell r="B111">
            <v>167000000000107</v>
          </cell>
          <cell r="C111" t="str">
            <v>Bank Central Asia - 5490332288</v>
          </cell>
        </row>
        <row r="112">
          <cell r="B112">
            <v>167000000000108</v>
          </cell>
          <cell r="C112" t="str">
            <v>Bank Central Asia - 1280421665</v>
          </cell>
        </row>
        <row r="113">
          <cell r="B113">
            <v>167000000000109</v>
          </cell>
          <cell r="C113" t="str">
            <v>Bank Central Asia - 7660251671</v>
          </cell>
        </row>
        <row r="114">
          <cell r="B114">
            <v>167000000000110</v>
          </cell>
          <cell r="C114" t="str">
            <v>Bank Central Asia - 3751363751</v>
          </cell>
        </row>
        <row r="115">
          <cell r="B115">
            <v>167000000000111</v>
          </cell>
          <cell r="C115" t="str">
            <v>Bank Central Asia - 5520532155</v>
          </cell>
        </row>
        <row r="116">
          <cell r="B116">
            <v>167000000000112</v>
          </cell>
          <cell r="C116" t="str">
            <v>Bank Central Asia - 8670430678</v>
          </cell>
        </row>
        <row r="117">
          <cell r="B117">
            <v>167000000000113</v>
          </cell>
          <cell r="C117" t="str">
            <v>Bank Central Asia - 2910590742</v>
          </cell>
        </row>
        <row r="118">
          <cell r="B118">
            <v>167000000000114</v>
          </cell>
          <cell r="C118" t="str">
            <v>Bank Central Asia - 6860316941</v>
          </cell>
        </row>
        <row r="119">
          <cell r="B119">
            <v>167000000000115</v>
          </cell>
          <cell r="C119" t="str">
            <v>Bank Central Asia - 3721127379</v>
          </cell>
        </row>
        <row r="120">
          <cell r="B120">
            <v>167000000000116</v>
          </cell>
          <cell r="C120" t="str">
            <v>Bank Central Asia - 5520552261</v>
          </cell>
        </row>
        <row r="121">
          <cell r="B121">
            <v>167000000000117</v>
          </cell>
          <cell r="C121" t="str">
            <v>Bank Central Asia - 0011754723</v>
          </cell>
        </row>
        <row r="122">
          <cell r="B122">
            <v>167000000000118</v>
          </cell>
          <cell r="C122" t="str">
            <v>Bank Central Asia - 2821395781</v>
          </cell>
        </row>
        <row r="123">
          <cell r="B123">
            <v>167000000000119</v>
          </cell>
          <cell r="C123" t="str">
            <v>Bank Central Asia - 2281429789</v>
          </cell>
        </row>
        <row r="124">
          <cell r="B124">
            <v>167000000000120</v>
          </cell>
          <cell r="C124" t="str">
            <v>Bank Central Asia - 5750622536</v>
          </cell>
        </row>
        <row r="125">
          <cell r="B125">
            <v>167000000000121</v>
          </cell>
          <cell r="C125" t="str">
            <v>Bank Central Asia - 4860276548</v>
          </cell>
        </row>
        <row r="126">
          <cell r="B126">
            <v>167000000000122</v>
          </cell>
          <cell r="C126" t="str">
            <v>Bank Central Asia - 6540386232</v>
          </cell>
        </row>
        <row r="127">
          <cell r="B127">
            <v>167000000000123</v>
          </cell>
          <cell r="C127" t="str">
            <v>Bank Central Asia - 0670059618</v>
          </cell>
        </row>
        <row r="128">
          <cell r="B128">
            <v>167000000000124</v>
          </cell>
          <cell r="C128" t="str">
            <v>Bank Central Asia - 0670059618</v>
          </cell>
        </row>
        <row r="129">
          <cell r="B129">
            <v>167000000000125</v>
          </cell>
          <cell r="C129" t="str">
            <v>Bank Central Asia - 0670059618</v>
          </cell>
        </row>
        <row r="130">
          <cell r="B130">
            <v>167000000000126</v>
          </cell>
          <cell r="C130" t="str">
            <v>Bank Central Asia - 0670059618</v>
          </cell>
        </row>
        <row r="131">
          <cell r="B131">
            <v>167000000000127</v>
          </cell>
          <cell r="C131" t="str">
            <v>Bank Central Asia - 8681161864</v>
          </cell>
        </row>
        <row r="132">
          <cell r="B132">
            <v>167000000000128</v>
          </cell>
          <cell r="C132" t="str">
            <v>Bank Central Asia - 7125461581</v>
          </cell>
        </row>
        <row r="133">
          <cell r="B133" t="str">
            <v/>
          </cell>
          <cell r="C133" t="str">
            <v/>
          </cell>
        </row>
        <row r="134">
          <cell r="B134" t="str">
            <v/>
          </cell>
          <cell r="C134" t="str">
            <v/>
          </cell>
        </row>
        <row r="135">
          <cell r="B135">
            <v>167000000000129</v>
          </cell>
          <cell r="C135" t="str">
            <v>Bank Central Asia - 2302269280</v>
          </cell>
        </row>
        <row r="136">
          <cell r="B136">
            <v>167000000000130</v>
          </cell>
          <cell r="C136" t="str">
            <v>Bank Central Asia - 4271122556</v>
          </cell>
        </row>
        <row r="137">
          <cell r="B137">
            <v>167000000000131</v>
          </cell>
          <cell r="C137" t="str">
            <v>Bank Rakyat Indonesia - 034101074863509</v>
          </cell>
        </row>
        <row r="138">
          <cell r="B138">
            <v>167000000000132</v>
          </cell>
          <cell r="C138" t="str">
            <v>Bank Rakyat Indonesia - 727401009580534</v>
          </cell>
        </row>
        <row r="139">
          <cell r="B139">
            <v>167000000000133</v>
          </cell>
          <cell r="C139" t="str">
            <v>Bank Rakyat Indonesia - 033601013930530</v>
          </cell>
        </row>
        <row r="140">
          <cell r="B140">
            <v>167000000000134</v>
          </cell>
          <cell r="C140" t="str">
            <v xml:space="preserve">Bank Rakyat Indonesia - 212401007578533 </v>
          </cell>
        </row>
        <row r="141">
          <cell r="B141">
            <v>167000000000135</v>
          </cell>
          <cell r="C141" t="str">
            <v>Bank Rakyat Indonesia - 353201013523538</v>
          </cell>
        </row>
        <row r="142">
          <cell r="B142">
            <v>167000000000136</v>
          </cell>
          <cell r="C142" t="str">
            <v>Bank Rakyat Indonesia - 122301024676505</v>
          </cell>
        </row>
        <row r="143">
          <cell r="B143">
            <v>167000000000137</v>
          </cell>
          <cell r="C143" t="str">
            <v>Bank Central Asia - 0021817308</v>
          </cell>
        </row>
        <row r="144">
          <cell r="B144">
            <v>167000000000138</v>
          </cell>
          <cell r="C144" t="str">
            <v>Bank Rakyat Indonesia - 034101013725530</v>
          </cell>
        </row>
        <row r="145">
          <cell r="B145">
            <v>167000000000139</v>
          </cell>
          <cell r="C145" t="str">
            <v>Bank Rakyat Indonesia - 034101085528508</v>
          </cell>
        </row>
        <row r="146">
          <cell r="B146">
            <v>167000000000140</v>
          </cell>
          <cell r="C146" t="str">
            <v>Bank Rakyat Indonesia - 034101074864505</v>
          </cell>
        </row>
        <row r="147">
          <cell r="B147">
            <v>167000000000141</v>
          </cell>
          <cell r="C147" t="str">
            <v>Bank Rakyat Indonesia - 034101082539500</v>
          </cell>
        </row>
        <row r="148">
          <cell r="B148">
            <v>167000000000142</v>
          </cell>
          <cell r="C148" t="str">
            <v>Bank Rakyat Indonesia - 026901024911506</v>
          </cell>
        </row>
        <row r="149">
          <cell r="B149">
            <v>167000000000143</v>
          </cell>
          <cell r="C149" t="str">
            <v>Bank Central Asia - 5520769236</v>
          </cell>
        </row>
        <row r="150">
          <cell r="B150">
            <v>167000000000144</v>
          </cell>
          <cell r="C150" t="str">
            <v>Bank Rakyat Indonesia - 069501008650509</v>
          </cell>
        </row>
        <row r="151">
          <cell r="B151" t="str">
            <v/>
          </cell>
          <cell r="C151" t="str">
            <v/>
          </cell>
        </row>
        <row r="152">
          <cell r="B152" t="str">
            <v/>
          </cell>
          <cell r="C152" t="str">
            <v/>
          </cell>
        </row>
        <row r="153">
          <cell r="B153" t="str">
            <v/>
          </cell>
          <cell r="C153" t="str">
            <v/>
          </cell>
        </row>
        <row r="154">
          <cell r="B154" t="str">
            <v/>
          </cell>
          <cell r="C154" t="str">
            <v/>
          </cell>
        </row>
        <row r="155">
          <cell r="B155" t="str">
            <v/>
          </cell>
          <cell r="C155" t="str">
            <v/>
          </cell>
        </row>
        <row r="156">
          <cell r="B156">
            <v>167000000000145</v>
          </cell>
          <cell r="C156" t="str">
            <v>Bank Central Asia - 5520776887</v>
          </cell>
        </row>
        <row r="157">
          <cell r="B157">
            <v>167000000000146</v>
          </cell>
          <cell r="C157" t="str">
            <v>Bank Central Asia - 2420807867</v>
          </cell>
        </row>
        <row r="158">
          <cell r="B158" t="str">
            <v/>
          </cell>
          <cell r="C158" t="str">
            <v/>
          </cell>
        </row>
        <row r="159">
          <cell r="B159" t="str">
            <v/>
          </cell>
          <cell r="C159" t="str">
            <v/>
          </cell>
        </row>
        <row r="160">
          <cell r="B160" t="str">
            <v/>
          </cell>
          <cell r="C160" t="str">
            <v/>
          </cell>
        </row>
        <row r="161">
          <cell r="B161" t="str">
            <v/>
          </cell>
          <cell r="C161" t="str">
            <v/>
          </cell>
        </row>
        <row r="162">
          <cell r="B162" t="str">
            <v/>
          </cell>
          <cell r="C162" t="str">
            <v/>
          </cell>
        </row>
        <row r="163">
          <cell r="B163" t="str">
            <v/>
          </cell>
          <cell r="C163" t="str">
            <v/>
          </cell>
        </row>
        <row r="164">
          <cell r="B164" t="str">
            <v/>
          </cell>
          <cell r="C164" t="str">
            <v/>
          </cell>
        </row>
        <row r="165">
          <cell r="B165" t="str">
            <v/>
          </cell>
          <cell r="C165" t="str">
            <v/>
          </cell>
        </row>
        <row r="166">
          <cell r="B166" t="str">
            <v/>
          </cell>
          <cell r="C166" t="str">
            <v/>
          </cell>
        </row>
        <row r="167">
          <cell r="B167">
            <v>167000000000147</v>
          </cell>
          <cell r="C167" t="str">
            <v>Bank Central Asia - 8020227444</v>
          </cell>
        </row>
        <row r="168">
          <cell r="B168">
            <v>167000000000148</v>
          </cell>
          <cell r="C168" t="str">
            <v>Bank Central Asia - 0886361747</v>
          </cell>
        </row>
        <row r="169">
          <cell r="B169" t="str">
            <v/>
          </cell>
          <cell r="C169" t="str">
            <v/>
          </cell>
        </row>
        <row r="170">
          <cell r="B170" t="str">
            <v/>
          </cell>
          <cell r="C170" t="str">
            <v/>
          </cell>
        </row>
        <row r="171">
          <cell r="B171" t="str">
            <v/>
          </cell>
          <cell r="C171" t="str">
            <v/>
          </cell>
        </row>
        <row r="172">
          <cell r="B172">
            <v>167000000000149</v>
          </cell>
          <cell r="C172" t="str">
            <v>Bank Central Asia - 8801497411</v>
          </cell>
        </row>
        <row r="173">
          <cell r="B173" t="str">
            <v/>
          </cell>
          <cell r="C173" t="str">
            <v/>
          </cell>
        </row>
        <row r="174">
          <cell r="B174">
            <v>167000000000150</v>
          </cell>
          <cell r="C174" t="str">
            <v>Bank Central Asia -  2730511712</v>
          </cell>
        </row>
        <row r="175">
          <cell r="B175" t="str">
            <v/>
          </cell>
          <cell r="C175" t="str">
            <v/>
          </cell>
        </row>
        <row r="176">
          <cell r="B176" t="str">
            <v/>
          </cell>
          <cell r="C176" t="str">
            <v/>
          </cell>
        </row>
        <row r="177">
          <cell r="B177" t="str">
            <v/>
          </cell>
          <cell r="C177" t="str">
            <v/>
          </cell>
        </row>
        <row r="178">
          <cell r="B178" t="str">
            <v/>
          </cell>
          <cell r="C178" t="str">
            <v/>
          </cell>
        </row>
        <row r="179">
          <cell r="B179" t="str">
            <v/>
          </cell>
          <cell r="C179" t="str">
            <v/>
          </cell>
        </row>
        <row r="180">
          <cell r="B180" t="str">
            <v/>
          </cell>
          <cell r="C180" t="str">
            <v/>
          </cell>
        </row>
        <row r="181">
          <cell r="B181">
            <v>167000000000151</v>
          </cell>
          <cell r="C181" t="str">
            <v>Bank Rakyat Indonesia - 038401073431507</v>
          </cell>
        </row>
        <row r="182">
          <cell r="B182" t="str">
            <v/>
          </cell>
          <cell r="C182" t="str">
            <v/>
          </cell>
        </row>
        <row r="183">
          <cell r="B183" t="str">
            <v/>
          </cell>
          <cell r="C183" t="str">
            <v/>
          </cell>
        </row>
        <row r="184">
          <cell r="B184" t="str">
            <v/>
          </cell>
          <cell r="C184" t="str">
            <v/>
          </cell>
        </row>
        <row r="185">
          <cell r="B185">
            <v>167000000000152</v>
          </cell>
          <cell r="C185" t="str">
            <v>Bank Central Asia - 0354409671</v>
          </cell>
        </row>
        <row r="186">
          <cell r="B186">
            <v>167000000000153</v>
          </cell>
          <cell r="C186" t="str">
            <v>Bank Central Asia - 7025035526</v>
          </cell>
        </row>
        <row r="187">
          <cell r="B187" t="str">
            <v/>
          </cell>
          <cell r="C187" t="str">
            <v/>
          </cell>
        </row>
        <row r="188">
          <cell r="B188">
            <v>167000000000154</v>
          </cell>
          <cell r="C188" t="str">
            <v>Bank Rakyat Indonesia - 669501015343535</v>
          </cell>
        </row>
        <row r="189">
          <cell r="B189">
            <v>167000000000155</v>
          </cell>
          <cell r="C189" t="str">
            <v>Bank Rakyat Indonesia - 034101074857508</v>
          </cell>
        </row>
        <row r="190">
          <cell r="B190" t="str">
            <v/>
          </cell>
          <cell r="C190" t="str">
            <v/>
          </cell>
        </row>
        <row r="191">
          <cell r="B191" t="str">
            <v/>
          </cell>
          <cell r="C191" t="str">
            <v/>
          </cell>
        </row>
        <row r="192">
          <cell r="B192" t="str">
            <v/>
          </cell>
          <cell r="C192" t="str">
            <v/>
          </cell>
        </row>
        <row r="193">
          <cell r="B193" t="str">
            <v/>
          </cell>
          <cell r="C193" t="str">
            <v/>
          </cell>
        </row>
        <row r="194">
          <cell r="B194">
            <v>167000000000156</v>
          </cell>
          <cell r="C194" t="str">
            <v>Bank Central Asia - 7635680946</v>
          </cell>
        </row>
        <row r="195">
          <cell r="B195" t="str">
            <v/>
          </cell>
          <cell r="C195" t="str">
            <v/>
          </cell>
        </row>
        <row r="196">
          <cell r="B196" t="str">
            <v/>
          </cell>
          <cell r="C196" t="str">
            <v/>
          </cell>
        </row>
        <row r="197">
          <cell r="B197">
            <v>167000000000157</v>
          </cell>
          <cell r="C197" t="str">
            <v>Bank Central Asia - 2290191010</v>
          </cell>
        </row>
        <row r="198">
          <cell r="B198">
            <v>167000000000158</v>
          </cell>
          <cell r="C198" t="str">
            <v>Bank Central Asia - 1630519922</v>
          </cell>
        </row>
        <row r="199">
          <cell r="B199" t="str">
            <v/>
          </cell>
          <cell r="C199" t="str">
            <v/>
          </cell>
        </row>
        <row r="200">
          <cell r="B200">
            <v>167000000000159</v>
          </cell>
          <cell r="C200" t="str">
            <v>Bank Central Asia - 7485341129</v>
          </cell>
        </row>
        <row r="201">
          <cell r="B201" t="str">
            <v/>
          </cell>
          <cell r="C201" t="str">
            <v/>
          </cell>
        </row>
        <row r="202">
          <cell r="B202">
            <v>167000000000160</v>
          </cell>
          <cell r="C202" t="str">
            <v>Bank Central Asia - 6290416262</v>
          </cell>
        </row>
        <row r="203">
          <cell r="B203">
            <v>167000000000161</v>
          </cell>
          <cell r="C203" t="str">
            <v>Bank Rakyat Indonesia - 034101074859500</v>
          </cell>
        </row>
        <row r="204">
          <cell r="B204">
            <v>167000000000162</v>
          </cell>
          <cell r="C204" t="str">
            <v>Bank Rakyat Indonesia - 034101074862503</v>
          </cell>
        </row>
        <row r="205">
          <cell r="B205">
            <v>167000000000163</v>
          </cell>
          <cell r="C205" t="str">
            <v>Bank Rakyat Indonesia - 034101074867503</v>
          </cell>
        </row>
        <row r="206">
          <cell r="B206">
            <v>167000000000164</v>
          </cell>
          <cell r="C206" t="str">
            <v>Bank Rakyat Indonesia - 010201029577531</v>
          </cell>
        </row>
        <row r="207">
          <cell r="B207">
            <v>167000000000165</v>
          </cell>
          <cell r="C207" t="str">
            <v>Bank Rakyat Indonesia - 034101074865501</v>
          </cell>
        </row>
        <row r="208">
          <cell r="B208" t="str">
            <v/>
          </cell>
          <cell r="C208" t="str">
            <v/>
          </cell>
        </row>
        <row r="209">
          <cell r="B209" t="str">
            <v/>
          </cell>
          <cell r="C209" t="str">
            <v/>
          </cell>
        </row>
        <row r="210">
          <cell r="B210" t="str">
            <v/>
          </cell>
          <cell r="C210" t="str">
            <v/>
          </cell>
        </row>
        <row r="211">
          <cell r="B211" t="str">
            <v/>
          </cell>
          <cell r="C211" t="str">
            <v/>
          </cell>
        </row>
        <row r="212">
          <cell r="B212" t="str">
            <v/>
          </cell>
          <cell r="C212" t="str">
            <v/>
          </cell>
        </row>
        <row r="213">
          <cell r="B213" t="str">
            <v/>
          </cell>
          <cell r="C213" t="str">
            <v/>
          </cell>
        </row>
        <row r="214">
          <cell r="B214" t="str">
            <v/>
          </cell>
          <cell r="C214" t="str">
            <v/>
          </cell>
        </row>
        <row r="215">
          <cell r="B215" t="str">
            <v/>
          </cell>
          <cell r="C215" t="str">
            <v/>
          </cell>
        </row>
        <row r="216">
          <cell r="B216" t="str">
            <v/>
          </cell>
          <cell r="C216" t="str">
            <v/>
          </cell>
        </row>
        <row r="217">
          <cell r="B217" t="str">
            <v/>
          </cell>
          <cell r="C217" t="str">
            <v/>
          </cell>
        </row>
        <row r="218">
          <cell r="B218" t="str">
            <v/>
          </cell>
          <cell r="C218" t="str">
            <v/>
          </cell>
        </row>
        <row r="219">
          <cell r="B219" t="str">
            <v/>
          </cell>
          <cell r="C219" t="str">
            <v/>
          </cell>
        </row>
        <row r="220">
          <cell r="B220" t="str">
            <v/>
          </cell>
          <cell r="C220" t="str">
            <v/>
          </cell>
        </row>
        <row r="221">
          <cell r="B221" t="str">
            <v/>
          </cell>
          <cell r="C221" t="str">
            <v/>
          </cell>
        </row>
        <row r="222">
          <cell r="B222" t="str">
            <v/>
          </cell>
          <cell r="C222" t="str">
            <v/>
          </cell>
        </row>
        <row r="223">
          <cell r="B223" t="str">
            <v/>
          </cell>
          <cell r="C223" t="str">
            <v/>
          </cell>
        </row>
        <row r="224">
          <cell r="B224" t="str">
            <v/>
          </cell>
          <cell r="C224" t="str">
            <v/>
          </cell>
        </row>
        <row r="225">
          <cell r="B225" t="str">
            <v/>
          </cell>
          <cell r="C225" t="str">
            <v/>
          </cell>
        </row>
        <row r="226">
          <cell r="B226" t="str">
            <v/>
          </cell>
          <cell r="C226" t="str">
            <v/>
          </cell>
        </row>
        <row r="227">
          <cell r="B227" t="str">
            <v/>
          </cell>
          <cell r="C227" t="str">
            <v/>
          </cell>
        </row>
        <row r="228">
          <cell r="B228" t="str">
            <v/>
          </cell>
          <cell r="C228" t="str">
            <v/>
          </cell>
        </row>
        <row r="229">
          <cell r="B229" t="str">
            <v/>
          </cell>
          <cell r="C229" t="str">
            <v/>
          </cell>
        </row>
        <row r="230">
          <cell r="B230" t="str">
            <v/>
          </cell>
          <cell r="C230" t="str">
            <v/>
          </cell>
        </row>
        <row r="231">
          <cell r="B231" t="str">
            <v/>
          </cell>
          <cell r="C231" t="str">
            <v/>
          </cell>
        </row>
        <row r="232">
          <cell r="B232" t="str">
            <v/>
          </cell>
          <cell r="C232" t="str">
            <v/>
          </cell>
        </row>
        <row r="233">
          <cell r="B233" t="str">
            <v/>
          </cell>
          <cell r="C233" t="str">
            <v/>
          </cell>
        </row>
        <row r="234">
          <cell r="B234" t="str">
            <v/>
          </cell>
          <cell r="C234" t="str">
            <v/>
          </cell>
        </row>
        <row r="235">
          <cell r="B235" t="str">
            <v/>
          </cell>
          <cell r="C235" t="str">
            <v/>
          </cell>
        </row>
        <row r="236">
          <cell r="B236" t="str">
            <v/>
          </cell>
          <cell r="C236" t="str">
            <v/>
          </cell>
        </row>
        <row r="237">
          <cell r="B237" t="str">
            <v/>
          </cell>
          <cell r="C237" t="str">
            <v/>
          </cell>
        </row>
        <row r="238">
          <cell r="B238" t="str">
            <v/>
          </cell>
          <cell r="C238" t="str">
            <v/>
          </cell>
        </row>
        <row r="239">
          <cell r="B239" t="str">
            <v/>
          </cell>
          <cell r="C239" t="str">
            <v/>
          </cell>
        </row>
        <row r="240">
          <cell r="B240" t="str">
            <v/>
          </cell>
          <cell r="C240" t="str">
            <v/>
          </cell>
        </row>
        <row r="241">
          <cell r="B241" t="str">
            <v/>
          </cell>
          <cell r="C241" t="str">
            <v/>
          </cell>
        </row>
        <row r="242">
          <cell r="B242" t="str">
            <v/>
          </cell>
          <cell r="C242" t="str">
            <v/>
          </cell>
        </row>
        <row r="243">
          <cell r="B243" t="str">
            <v/>
          </cell>
          <cell r="C243" t="str">
            <v/>
          </cell>
        </row>
        <row r="244">
          <cell r="B244" t="str">
            <v/>
          </cell>
          <cell r="C244" t="str">
            <v/>
          </cell>
        </row>
        <row r="245">
          <cell r="B245" t="str">
            <v/>
          </cell>
          <cell r="C245" t="str">
            <v/>
          </cell>
        </row>
        <row r="246">
          <cell r="B246" t="str">
            <v/>
          </cell>
          <cell r="C246" t="str">
            <v/>
          </cell>
        </row>
        <row r="247">
          <cell r="B247" t="str">
            <v/>
          </cell>
          <cell r="C247" t="str">
            <v/>
          </cell>
        </row>
        <row r="248">
          <cell r="B248" t="str">
            <v/>
          </cell>
          <cell r="C248" t="str">
            <v/>
          </cell>
        </row>
        <row r="249">
          <cell r="B249" t="str">
            <v/>
          </cell>
          <cell r="C249" t="str">
            <v/>
          </cell>
        </row>
        <row r="250">
          <cell r="B250" t="str">
            <v/>
          </cell>
          <cell r="C250" t="str">
            <v/>
          </cell>
        </row>
        <row r="251">
          <cell r="B251" t="str">
            <v/>
          </cell>
          <cell r="C251" t="str">
            <v/>
          </cell>
        </row>
        <row r="252">
          <cell r="B252" t="str">
            <v/>
          </cell>
          <cell r="C252" t="str">
            <v/>
          </cell>
        </row>
        <row r="253">
          <cell r="B253" t="str">
            <v/>
          </cell>
          <cell r="C253" t="str">
            <v/>
          </cell>
        </row>
        <row r="254">
          <cell r="B254" t="str">
            <v/>
          </cell>
          <cell r="C254" t="str">
            <v/>
          </cell>
        </row>
        <row r="255">
          <cell r="B255" t="str">
            <v/>
          </cell>
          <cell r="C255" t="str">
            <v/>
          </cell>
        </row>
        <row r="256">
          <cell r="B256" t="str">
            <v/>
          </cell>
          <cell r="C256" t="str">
            <v/>
          </cell>
        </row>
        <row r="257">
          <cell r="B257" t="str">
            <v/>
          </cell>
          <cell r="C257" t="str">
            <v/>
          </cell>
        </row>
        <row r="258">
          <cell r="B258" t="str">
            <v/>
          </cell>
          <cell r="C258" t="str">
            <v/>
          </cell>
        </row>
        <row r="259">
          <cell r="B259" t="str">
            <v/>
          </cell>
          <cell r="C259" t="str">
            <v/>
          </cell>
        </row>
        <row r="260">
          <cell r="B260" t="str">
            <v/>
          </cell>
          <cell r="C260" t="str">
            <v/>
          </cell>
        </row>
        <row r="261">
          <cell r="B261" t="str">
            <v/>
          </cell>
          <cell r="C261" t="str">
            <v/>
          </cell>
        </row>
        <row r="262">
          <cell r="B262" t="str">
            <v/>
          </cell>
          <cell r="C262" t="str">
            <v/>
          </cell>
        </row>
        <row r="263">
          <cell r="B263" t="str">
            <v/>
          </cell>
          <cell r="C263" t="str">
            <v/>
          </cell>
        </row>
        <row r="264">
          <cell r="B264" t="str">
            <v/>
          </cell>
          <cell r="C264" t="str">
            <v/>
          </cell>
        </row>
        <row r="265">
          <cell r="B265" t="str">
            <v/>
          </cell>
          <cell r="C265" t="str">
            <v/>
          </cell>
        </row>
        <row r="266">
          <cell r="B266" t="str">
            <v/>
          </cell>
          <cell r="C266" t="str">
            <v/>
          </cell>
        </row>
        <row r="267">
          <cell r="B267" t="str">
            <v/>
          </cell>
          <cell r="C267" t="str">
            <v/>
          </cell>
        </row>
        <row r="268">
          <cell r="B268" t="str">
            <v/>
          </cell>
          <cell r="C268" t="str">
            <v/>
          </cell>
        </row>
        <row r="269">
          <cell r="B269" t="str">
            <v/>
          </cell>
          <cell r="C269" t="str">
            <v/>
          </cell>
        </row>
        <row r="270">
          <cell r="B270" t="str">
            <v/>
          </cell>
          <cell r="C270" t="str">
            <v/>
          </cell>
        </row>
        <row r="271">
          <cell r="B271" t="str">
            <v/>
          </cell>
          <cell r="C271" t="str">
            <v/>
          </cell>
        </row>
        <row r="272">
          <cell r="B272" t="str">
            <v/>
          </cell>
          <cell r="C272" t="str">
            <v/>
          </cell>
        </row>
        <row r="273">
          <cell r="B273" t="str">
            <v/>
          </cell>
          <cell r="C273" t="str">
            <v/>
          </cell>
        </row>
        <row r="274">
          <cell r="B274" t="str">
            <v/>
          </cell>
          <cell r="C274" t="str">
            <v/>
          </cell>
        </row>
        <row r="275">
          <cell r="B275" t="str">
            <v/>
          </cell>
          <cell r="C275" t="str">
            <v/>
          </cell>
        </row>
        <row r="276">
          <cell r="B276" t="str">
            <v/>
          </cell>
          <cell r="C276" t="str">
            <v/>
          </cell>
        </row>
        <row r="277">
          <cell r="B277" t="str">
            <v/>
          </cell>
          <cell r="C277" t="str">
            <v/>
          </cell>
        </row>
        <row r="278">
          <cell r="B278" t="str">
            <v/>
          </cell>
          <cell r="C278" t="str">
            <v/>
          </cell>
        </row>
        <row r="279">
          <cell r="B279" t="str">
            <v/>
          </cell>
          <cell r="C279" t="str">
            <v/>
          </cell>
        </row>
        <row r="280">
          <cell r="B280" t="str">
            <v/>
          </cell>
          <cell r="C280" t="str">
            <v/>
          </cell>
        </row>
        <row r="281">
          <cell r="B281" t="str">
            <v/>
          </cell>
          <cell r="C281" t="str">
            <v/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  <sheetName val="MAIN - OrgJobsPos"/>
      <sheetName val="MAIN - OrgDepartment"/>
      <sheetName val="Internal Career (Last Position)"/>
      <sheetName val="DataLookUp - InternalCareer(LP)"/>
      <sheetName val="Internal Career (Previous Pos)"/>
      <sheetName val="Sheet2"/>
    </sheetNames>
    <sheetDataSet>
      <sheetData sheetId="0"/>
      <sheetData sheetId="1">
        <row r="4">
          <cell r="B4">
            <v>32000000000001</v>
          </cell>
          <cell r="C4">
            <v>25000000000001</v>
          </cell>
          <cell r="D4" t="str">
            <v>Abdollah Syani Siregar</v>
          </cell>
          <cell r="E4" t="str">
            <v/>
          </cell>
        </row>
        <row r="5">
          <cell r="B5">
            <v>32000000000002</v>
          </cell>
          <cell r="C5">
            <v>25000000000002</v>
          </cell>
          <cell r="D5" t="str">
            <v>Abdul Karim</v>
          </cell>
          <cell r="E5" t="str">
            <v/>
          </cell>
        </row>
        <row r="6">
          <cell r="B6">
            <v>32000000000003</v>
          </cell>
          <cell r="C6">
            <v>25000000000003</v>
          </cell>
          <cell r="D6" t="str">
            <v>Abdul Rahman Sitompul</v>
          </cell>
          <cell r="E6" t="str">
            <v/>
          </cell>
        </row>
        <row r="7">
          <cell r="B7">
            <v>32000000000004</v>
          </cell>
          <cell r="C7">
            <v>25000000000004</v>
          </cell>
          <cell r="D7" t="str">
            <v>Abdul Risan</v>
          </cell>
          <cell r="E7" t="str">
            <v/>
          </cell>
        </row>
        <row r="8">
          <cell r="B8">
            <v>32000000000005</v>
          </cell>
          <cell r="C8">
            <v>25000000000005</v>
          </cell>
          <cell r="D8" t="str">
            <v>Abdullah Nabil</v>
          </cell>
          <cell r="E8" t="str">
            <v/>
          </cell>
        </row>
        <row r="9">
          <cell r="B9">
            <v>32000000000006</v>
          </cell>
          <cell r="C9">
            <v>25000000000006</v>
          </cell>
          <cell r="D9" t="str">
            <v>Adhitya Danar</v>
          </cell>
          <cell r="E9" t="str">
            <v/>
          </cell>
        </row>
        <row r="10">
          <cell r="B10">
            <v>32000000000007</v>
          </cell>
          <cell r="C10">
            <v>25000000000007</v>
          </cell>
          <cell r="D10" t="str">
            <v>Adi Ruswandi</v>
          </cell>
          <cell r="E10" t="str">
            <v>0209251009</v>
          </cell>
        </row>
        <row r="11">
          <cell r="B11">
            <v>32000000000008</v>
          </cell>
          <cell r="C11">
            <v>25000000000008</v>
          </cell>
          <cell r="D11" t="str">
            <v>Adietya Dharmawan</v>
          </cell>
          <cell r="E11" t="str">
            <v>050321947</v>
          </cell>
        </row>
        <row r="12">
          <cell r="B12">
            <v>32000000000009</v>
          </cell>
          <cell r="C12">
            <v>25000000000009</v>
          </cell>
          <cell r="D12" t="str">
            <v>Aditya Yudha Prawira</v>
          </cell>
          <cell r="E12" t="str">
            <v/>
          </cell>
        </row>
        <row r="13">
          <cell r="B13">
            <v>32000000000010</v>
          </cell>
          <cell r="C13">
            <v>25000000000010</v>
          </cell>
          <cell r="D13" t="str">
            <v>Adli Margie</v>
          </cell>
          <cell r="E13" t="str">
            <v/>
          </cell>
        </row>
        <row r="14">
          <cell r="B14">
            <v>32000000000011</v>
          </cell>
          <cell r="C14">
            <v>25000000000011</v>
          </cell>
          <cell r="D14" t="str">
            <v>Afrida Eka Putri</v>
          </cell>
          <cell r="E14" t="str">
            <v/>
          </cell>
        </row>
        <row r="15">
          <cell r="B15">
            <v>32000000000012</v>
          </cell>
          <cell r="C15">
            <v>25000000000012</v>
          </cell>
          <cell r="D15" t="str">
            <v>Agnes Sutedja</v>
          </cell>
          <cell r="E15" t="str">
            <v>010703020</v>
          </cell>
        </row>
        <row r="16">
          <cell r="B16">
            <v>32000000000013</v>
          </cell>
          <cell r="C16">
            <v>25000000000013</v>
          </cell>
          <cell r="D16" t="str">
            <v>Agung Hendarto</v>
          </cell>
          <cell r="E16" t="str">
            <v/>
          </cell>
        </row>
        <row r="17">
          <cell r="B17">
            <v>32000000000014</v>
          </cell>
          <cell r="C17">
            <v>25000000000014</v>
          </cell>
          <cell r="D17" t="str">
            <v>Agus Priyatno Mahmudo</v>
          </cell>
          <cell r="E17" t="str">
            <v/>
          </cell>
        </row>
        <row r="18">
          <cell r="B18">
            <v>32000000000015</v>
          </cell>
          <cell r="C18">
            <v>25000000000015</v>
          </cell>
          <cell r="D18" t="str">
            <v>Agus Salim</v>
          </cell>
          <cell r="E18" t="str">
            <v>130223978</v>
          </cell>
        </row>
        <row r="19">
          <cell r="B19">
            <v>32000000000016</v>
          </cell>
          <cell r="C19">
            <v>25000000000016</v>
          </cell>
          <cell r="D19" t="str">
            <v>Agus Tanto</v>
          </cell>
          <cell r="E19" t="str">
            <v/>
          </cell>
        </row>
        <row r="20">
          <cell r="B20">
            <v>32000000000017</v>
          </cell>
          <cell r="C20">
            <v>25000000000017</v>
          </cell>
          <cell r="D20" t="str">
            <v>Ahmad Faiz Haems Muda</v>
          </cell>
          <cell r="E20" t="str">
            <v>280314716</v>
          </cell>
        </row>
        <row r="21">
          <cell r="B21">
            <v>32000000000018</v>
          </cell>
          <cell r="C21">
            <v>25000000000018</v>
          </cell>
          <cell r="D21" t="str">
            <v>Ahmad Faza</v>
          </cell>
          <cell r="E21" t="str">
            <v/>
          </cell>
        </row>
        <row r="22">
          <cell r="B22">
            <v>32000000000019</v>
          </cell>
          <cell r="C22">
            <v>25000000000019</v>
          </cell>
          <cell r="D22" t="str">
            <v>Ahmad Syaifulloh</v>
          </cell>
          <cell r="E22" t="str">
            <v>150506222</v>
          </cell>
        </row>
        <row r="23">
          <cell r="B23">
            <v>32000000000020</v>
          </cell>
          <cell r="C23">
            <v>25000000000020</v>
          </cell>
          <cell r="D23" t="str">
            <v>Ahmad Zulkarnaen</v>
          </cell>
          <cell r="E23" t="str">
            <v/>
          </cell>
        </row>
        <row r="24">
          <cell r="B24">
            <v>32000000000021</v>
          </cell>
          <cell r="C24">
            <v>25000000000021</v>
          </cell>
          <cell r="D24" t="str">
            <v>Ajan</v>
          </cell>
          <cell r="E24" t="str">
            <v/>
          </cell>
        </row>
        <row r="25">
          <cell r="B25">
            <v>32000000000022</v>
          </cell>
          <cell r="C25">
            <v>25000000000022</v>
          </cell>
          <cell r="D25" t="str">
            <v>Al Amin</v>
          </cell>
          <cell r="E25" t="str">
            <v/>
          </cell>
        </row>
        <row r="26">
          <cell r="B26">
            <v>32000000000023</v>
          </cell>
          <cell r="C26">
            <v>25000000000023</v>
          </cell>
          <cell r="D26" t="str">
            <v>Aldi Mulyadi</v>
          </cell>
          <cell r="E26" t="str">
            <v>141020935</v>
          </cell>
        </row>
        <row r="27">
          <cell r="B27">
            <v>32000000000024</v>
          </cell>
          <cell r="C27">
            <v>25000000000024</v>
          </cell>
          <cell r="D27" t="str">
            <v>Alexandri</v>
          </cell>
          <cell r="E27" t="str">
            <v/>
          </cell>
        </row>
        <row r="28">
          <cell r="B28">
            <v>32000000000025</v>
          </cell>
          <cell r="C28">
            <v>25000000000025</v>
          </cell>
          <cell r="D28" t="str">
            <v>Alfaedi</v>
          </cell>
          <cell r="E28" t="str">
            <v/>
          </cell>
        </row>
        <row r="29">
          <cell r="B29">
            <v>32000000000026</v>
          </cell>
          <cell r="C29">
            <v>25000000000026</v>
          </cell>
          <cell r="D29" t="str">
            <v>Ali Wahono</v>
          </cell>
          <cell r="E29" t="str">
            <v/>
          </cell>
        </row>
        <row r="30">
          <cell r="B30">
            <v>32000000000027</v>
          </cell>
          <cell r="C30">
            <v>25000000000027</v>
          </cell>
          <cell r="D30" t="str">
            <v>Alphaliyanri Lasria</v>
          </cell>
          <cell r="E30" t="str">
            <v/>
          </cell>
        </row>
        <row r="31">
          <cell r="B31">
            <v>32000000000028</v>
          </cell>
          <cell r="C31">
            <v>25000000000028</v>
          </cell>
          <cell r="D31" t="str">
            <v>Ambon Rumalean</v>
          </cell>
          <cell r="E31" t="str">
            <v/>
          </cell>
        </row>
        <row r="32">
          <cell r="B32">
            <v>32000000000029</v>
          </cell>
          <cell r="C32">
            <v>25000000000029</v>
          </cell>
          <cell r="D32" t="str">
            <v>Amir Sofyan Hadi</v>
          </cell>
          <cell r="E32" t="str">
            <v/>
          </cell>
        </row>
        <row r="33">
          <cell r="B33">
            <v>32000000000030</v>
          </cell>
          <cell r="C33">
            <v>25000000000030</v>
          </cell>
          <cell r="D33" t="str">
            <v>Anak Agung Netti Ariani</v>
          </cell>
          <cell r="E33" t="str">
            <v/>
          </cell>
        </row>
        <row r="34">
          <cell r="B34">
            <v>32000000000031</v>
          </cell>
          <cell r="C34">
            <v>25000000000031</v>
          </cell>
          <cell r="D34" t="str">
            <v>Andri Gunawan</v>
          </cell>
          <cell r="E34" t="str">
            <v/>
          </cell>
        </row>
        <row r="35">
          <cell r="B35">
            <v>32000000000032</v>
          </cell>
          <cell r="C35">
            <v>25000000000032</v>
          </cell>
          <cell r="D35" t="str">
            <v>Andri Herdiansyah</v>
          </cell>
          <cell r="E35" t="str">
            <v/>
          </cell>
        </row>
        <row r="36">
          <cell r="B36">
            <v>32000000000033</v>
          </cell>
          <cell r="C36">
            <v>25000000000033</v>
          </cell>
          <cell r="D36" t="str">
            <v>Andrie</v>
          </cell>
          <cell r="E36" t="str">
            <v/>
          </cell>
        </row>
        <row r="37">
          <cell r="B37">
            <v>32000000000034</v>
          </cell>
          <cell r="C37">
            <v>25000000000034</v>
          </cell>
          <cell r="D37" t="str">
            <v>Anggina Tri Yudandi</v>
          </cell>
          <cell r="E37" t="str">
            <v/>
          </cell>
        </row>
        <row r="38">
          <cell r="B38">
            <v>32000000000035</v>
          </cell>
          <cell r="C38">
            <v>25000000000035</v>
          </cell>
          <cell r="D38" t="str">
            <v>Anggit Ismiyanto</v>
          </cell>
          <cell r="E38" t="str">
            <v/>
          </cell>
        </row>
        <row r="39">
          <cell r="B39">
            <v>32000000000036</v>
          </cell>
          <cell r="C39">
            <v>25000000000036</v>
          </cell>
          <cell r="D39" t="str">
            <v>Anika Setyowati</v>
          </cell>
          <cell r="E39" t="str">
            <v/>
          </cell>
        </row>
        <row r="40">
          <cell r="B40">
            <v>32000000000037</v>
          </cell>
          <cell r="C40">
            <v>25000000000037</v>
          </cell>
          <cell r="D40" t="str">
            <v>Anisah</v>
          </cell>
          <cell r="E40" t="str">
            <v/>
          </cell>
        </row>
        <row r="41">
          <cell r="B41">
            <v>32000000000038</v>
          </cell>
          <cell r="C41">
            <v>25000000000038</v>
          </cell>
          <cell r="D41" t="str">
            <v>Anna Savitrie</v>
          </cell>
          <cell r="E41" t="str">
            <v/>
          </cell>
        </row>
        <row r="42">
          <cell r="B42">
            <v>32000000000039</v>
          </cell>
          <cell r="C42">
            <v>25000000000039</v>
          </cell>
          <cell r="D42" t="str">
            <v>Annisa Dewi Arumsari</v>
          </cell>
          <cell r="E42" t="str">
            <v>100419903</v>
          </cell>
        </row>
        <row r="43">
          <cell r="B43">
            <v>32000000000040</v>
          </cell>
          <cell r="C43">
            <v>25000000000040</v>
          </cell>
          <cell r="D43" t="str">
            <v>Annyes Sri Maristi</v>
          </cell>
          <cell r="E43" t="str">
            <v/>
          </cell>
        </row>
        <row r="44">
          <cell r="B44">
            <v>32000000000041</v>
          </cell>
          <cell r="C44">
            <v>25000000000041</v>
          </cell>
          <cell r="D44" t="str">
            <v>Antok</v>
          </cell>
          <cell r="E44" t="str">
            <v/>
          </cell>
        </row>
        <row r="45">
          <cell r="B45">
            <v>32000000000042</v>
          </cell>
          <cell r="C45">
            <v>25000000000042</v>
          </cell>
          <cell r="D45" t="str">
            <v>Anton Iryanto</v>
          </cell>
          <cell r="E45" t="str">
            <v/>
          </cell>
        </row>
        <row r="46">
          <cell r="B46">
            <v>32000000000043</v>
          </cell>
          <cell r="C46">
            <v>25000000000043</v>
          </cell>
          <cell r="D46" t="str">
            <v>Antony Pakpahan</v>
          </cell>
          <cell r="E46" t="str">
            <v/>
          </cell>
        </row>
        <row r="47">
          <cell r="B47">
            <v>32000000000044</v>
          </cell>
          <cell r="C47">
            <v>25000000000044</v>
          </cell>
          <cell r="D47" t="str">
            <v>Anugerah Januariansyah</v>
          </cell>
          <cell r="E47" t="str">
            <v>310821007</v>
          </cell>
        </row>
        <row r="48">
          <cell r="B48">
            <v>32000000000045</v>
          </cell>
          <cell r="C48">
            <v>25000000000045</v>
          </cell>
          <cell r="D48" t="str">
            <v>Anwar Purnomo</v>
          </cell>
          <cell r="E48" t="str">
            <v/>
          </cell>
        </row>
        <row r="49">
          <cell r="B49">
            <v>32000000000046</v>
          </cell>
          <cell r="C49">
            <v>25000000000046</v>
          </cell>
          <cell r="D49" t="str">
            <v>Ardhi Swasono</v>
          </cell>
          <cell r="E49" t="str">
            <v/>
          </cell>
        </row>
        <row r="50">
          <cell r="B50">
            <v>32000000000047</v>
          </cell>
          <cell r="C50">
            <v>25000000000047</v>
          </cell>
          <cell r="D50" t="str">
            <v>Ardi</v>
          </cell>
          <cell r="E50" t="str">
            <v/>
          </cell>
        </row>
        <row r="51">
          <cell r="B51">
            <v>32000000000048</v>
          </cell>
          <cell r="C51">
            <v>25000000000048</v>
          </cell>
          <cell r="D51" t="str">
            <v>Ardiansyah</v>
          </cell>
          <cell r="E51" t="str">
            <v/>
          </cell>
        </row>
        <row r="52">
          <cell r="B52">
            <v>32000000000049</v>
          </cell>
          <cell r="C52">
            <v>25000000000049</v>
          </cell>
          <cell r="D52" t="str">
            <v>Ardisam</v>
          </cell>
          <cell r="E52" t="str">
            <v/>
          </cell>
        </row>
        <row r="53">
          <cell r="B53">
            <v>32000000000050</v>
          </cell>
          <cell r="C53">
            <v>25000000000050</v>
          </cell>
          <cell r="D53" t="str">
            <v>Ardita</v>
          </cell>
          <cell r="E53" t="str">
            <v/>
          </cell>
        </row>
        <row r="54">
          <cell r="B54">
            <v>32000000000051</v>
          </cell>
          <cell r="C54">
            <v>25000000000051</v>
          </cell>
          <cell r="D54" t="str">
            <v>Ares S. Mauboi</v>
          </cell>
          <cell r="E54" t="str">
            <v>160313008</v>
          </cell>
        </row>
        <row r="55">
          <cell r="B55">
            <v>32000000000052</v>
          </cell>
          <cell r="C55">
            <v>25000000000052</v>
          </cell>
          <cell r="D55" t="str">
            <v>Arfah Hanum</v>
          </cell>
          <cell r="E55" t="str">
            <v/>
          </cell>
        </row>
        <row r="56">
          <cell r="B56">
            <v>32000000000053</v>
          </cell>
          <cell r="C56">
            <v>25000000000053</v>
          </cell>
          <cell r="D56" t="str">
            <v>Arfianti Haryani</v>
          </cell>
          <cell r="E56" t="str">
            <v/>
          </cell>
        </row>
        <row r="57">
          <cell r="B57">
            <v>32000000000054</v>
          </cell>
          <cell r="C57">
            <v>25000000000054</v>
          </cell>
          <cell r="D57" t="str">
            <v>Ari Priwarsono</v>
          </cell>
          <cell r="E57" t="str">
            <v/>
          </cell>
        </row>
        <row r="58">
          <cell r="B58">
            <v>32000000000055</v>
          </cell>
          <cell r="C58">
            <v>25000000000055</v>
          </cell>
          <cell r="D58" t="str">
            <v>Ari Yuniasmono</v>
          </cell>
          <cell r="E58" t="str">
            <v/>
          </cell>
        </row>
        <row r="59">
          <cell r="B59">
            <v>32000000000056</v>
          </cell>
          <cell r="C59">
            <v>25000000000056</v>
          </cell>
          <cell r="D59" t="str">
            <v>Arif Gunawan</v>
          </cell>
          <cell r="E59" t="str">
            <v/>
          </cell>
        </row>
        <row r="60">
          <cell r="B60">
            <v>32000000000057</v>
          </cell>
          <cell r="C60">
            <v>25000000000057</v>
          </cell>
          <cell r="D60" t="str">
            <v>Arif Prasetyo</v>
          </cell>
          <cell r="E60" t="str">
            <v/>
          </cell>
        </row>
        <row r="61">
          <cell r="B61">
            <v>32000000000058</v>
          </cell>
          <cell r="C61">
            <v>25000000000058</v>
          </cell>
          <cell r="D61" t="str">
            <v>Arini</v>
          </cell>
          <cell r="E61" t="str">
            <v/>
          </cell>
        </row>
        <row r="62">
          <cell r="B62">
            <v>32000000000059</v>
          </cell>
          <cell r="C62">
            <v>25000000000059</v>
          </cell>
          <cell r="D62" t="str">
            <v>Ario Setyo Gunawan</v>
          </cell>
          <cell r="E62" t="str">
            <v/>
          </cell>
        </row>
        <row r="63">
          <cell r="B63">
            <v>32000000000060</v>
          </cell>
          <cell r="C63">
            <v>25000000000060</v>
          </cell>
          <cell r="D63" t="str">
            <v>Ario Yulianto Wibowo</v>
          </cell>
          <cell r="E63" t="str">
            <v/>
          </cell>
        </row>
        <row r="64">
          <cell r="B64">
            <v>32000000000061</v>
          </cell>
          <cell r="C64">
            <v>25000000000061</v>
          </cell>
          <cell r="D64" t="str">
            <v>Aris Widodo Pamungkas</v>
          </cell>
          <cell r="E64" t="str">
            <v/>
          </cell>
        </row>
        <row r="65">
          <cell r="B65">
            <v>32000000000062</v>
          </cell>
          <cell r="C65">
            <v>25000000000062</v>
          </cell>
          <cell r="D65" t="str">
            <v>Arjiyanto</v>
          </cell>
          <cell r="E65" t="str">
            <v/>
          </cell>
        </row>
        <row r="66">
          <cell r="B66">
            <v>32000000000063</v>
          </cell>
          <cell r="C66">
            <v>25000000000063</v>
          </cell>
          <cell r="D66" t="str">
            <v>Arman</v>
          </cell>
          <cell r="E66" t="str">
            <v/>
          </cell>
        </row>
        <row r="67">
          <cell r="B67">
            <v>32000000000064</v>
          </cell>
          <cell r="C67">
            <v>25000000000064</v>
          </cell>
          <cell r="D67" t="str">
            <v>Aryoko Sudiro</v>
          </cell>
          <cell r="E67" t="str">
            <v/>
          </cell>
        </row>
        <row r="68">
          <cell r="B68">
            <v>32000000000065</v>
          </cell>
          <cell r="C68">
            <v>25000000000065</v>
          </cell>
          <cell r="D68" t="str">
            <v>Astamyugo</v>
          </cell>
          <cell r="E68" t="str">
            <v/>
          </cell>
        </row>
        <row r="69">
          <cell r="B69">
            <v>32000000000066</v>
          </cell>
          <cell r="C69">
            <v>25000000000066</v>
          </cell>
          <cell r="D69" t="str">
            <v>Atmo Sastro Dinoto</v>
          </cell>
          <cell r="E69" t="str">
            <v/>
          </cell>
        </row>
        <row r="70">
          <cell r="B70">
            <v>32000000000067</v>
          </cell>
          <cell r="C70">
            <v>25000000000067</v>
          </cell>
          <cell r="D70" t="str">
            <v>Awaludin</v>
          </cell>
          <cell r="E70" t="str">
            <v/>
          </cell>
        </row>
        <row r="71">
          <cell r="B71">
            <v>32000000000068</v>
          </cell>
          <cell r="C71">
            <v>25000000000068</v>
          </cell>
          <cell r="D71" t="str">
            <v>Bachtiar</v>
          </cell>
          <cell r="E71" t="str">
            <v/>
          </cell>
        </row>
        <row r="72">
          <cell r="B72">
            <v>32000000000069</v>
          </cell>
          <cell r="C72">
            <v>25000000000069</v>
          </cell>
          <cell r="D72" t="str">
            <v>Bambang Irawan</v>
          </cell>
          <cell r="E72" t="str">
            <v/>
          </cell>
        </row>
        <row r="73">
          <cell r="B73">
            <v>32000000000070</v>
          </cell>
          <cell r="C73">
            <v>25000000000070</v>
          </cell>
          <cell r="D73" t="str">
            <v>Bambang Prihatin</v>
          </cell>
          <cell r="E73" t="str">
            <v/>
          </cell>
        </row>
        <row r="74">
          <cell r="B74">
            <v>32000000000071</v>
          </cell>
          <cell r="C74">
            <v>25000000000071</v>
          </cell>
          <cell r="D74" t="str">
            <v>Bani Mustazeni</v>
          </cell>
          <cell r="E74" t="str">
            <v/>
          </cell>
        </row>
        <row r="75">
          <cell r="B75">
            <v>32000000000072</v>
          </cell>
          <cell r="C75">
            <v>25000000000072</v>
          </cell>
          <cell r="D75" t="str">
            <v>Bardai</v>
          </cell>
          <cell r="E75" t="str">
            <v/>
          </cell>
        </row>
        <row r="76">
          <cell r="B76">
            <v>32000000000073</v>
          </cell>
          <cell r="C76">
            <v>25000000000073</v>
          </cell>
          <cell r="D76" t="str">
            <v>Barika</v>
          </cell>
          <cell r="E76" t="str">
            <v/>
          </cell>
        </row>
        <row r="77">
          <cell r="B77">
            <v>32000000000074</v>
          </cell>
          <cell r="C77">
            <v>25000000000074</v>
          </cell>
          <cell r="D77" t="str">
            <v>Bela Retmalantika</v>
          </cell>
          <cell r="E77" t="str">
            <v/>
          </cell>
        </row>
        <row r="78">
          <cell r="B78">
            <v>32000000000075</v>
          </cell>
          <cell r="C78">
            <v>25000000000075</v>
          </cell>
          <cell r="D78" t="str">
            <v>Belina Lindarwani</v>
          </cell>
          <cell r="E78" t="str">
            <v>100920934</v>
          </cell>
        </row>
        <row r="79">
          <cell r="B79">
            <v>32000000000076</v>
          </cell>
          <cell r="C79">
            <v>25000000000076</v>
          </cell>
          <cell r="D79" t="str">
            <v>Benita Sofia</v>
          </cell>
          <cell r="E79" t="str">
            <v/>
          </cell>
        </row>
        <row r="80">
          <cell r="B80">
            <v>32000000000077</v>
          </cell>
          <cell r="C80">
            <v>25000000000077</v>
          </cell>
          <cell r="D80" t="str">
            <v>Bherly Novrandy</v>
          </cell>
          <cell r="E80" t="str">
            <v/>
          </cell>
        </row>
        <row r="81">
          <cell r="B81">
            <v>32000000000078</v>
          </cell>
          <cell r="C81">
            <v>25000000000078</v>
          </cell>
          <cell r="D81" t="str">
            <v>Binsar</v>
          </cell>
          <cell r="E81" t="str">
            <v/>
          </cell>
        </row>
        <row r="82">
          <cell r="B82">
            <v>32000000000079</v>
          </cell>
          <cell r="C82">
            <v>25000000000079</v>
          </cell>
          <cell r="D82" t="str">
            <v>Bondhan Sosiarta</v>
          </cell>
          <cell r="E82" t="str">
            <v/>
          </cell>
        </row>
        <row r="83">
          <cell r="B83">
            <v>32000000000080</v>
          </cell>
          <cell r="C83">
            <v>25000000000080</v>
          </cell>
          <cell r="D83" t="str">
            <v>Budi Pranata Sinaga</v>
          </cell>
          <cell r="E83" t="str">
            <v/>
          </cell>
        </row>
        <row r="84">
          <cell r="B84">
            <v>32000000000081</v>
          </cell>
          <cell r="C84">
            <v>25000000000081</v>
          </cell>
          <cell r="D84" t="str">
            <v>Budi Satrio</v>
          </cell>
          <cell r="E84" t="str">
            <v/>
          </cell>
        </row>
        <row r="85">
          <cell r="B85">
            <v>32000000000082</v>
          </cell>
          <cell r="C85">
            <v>25000000000082</v>
          </cell>
          <cell r="D85" t="str">
            <v>Budianto</v>
          </cell>
          <cell r="E85" t="str">
            <v>060515769</v>
          </cell>
        </row>
        <row r="86">
          <cell r="B86">
            <v>32000000000083</v>
          </cell>
          <cell r="C86">
            <v>25000000000083</v>
          </cell>
          <cell r="D86" t="str">
            <v>Budiman</v>
          </cell>
          <cell r="E86" t="str">
            <v/>
          </cell>
        </row>
        <row r="87">
          <cell r="B87">
            <v>32000000000084</v>
          </cell>
          <cell r="C87">
            <v>25000000000084</v>
          </cell>
          <cell r="D87" t="str">
            <v>Cahyaning Annisa</v>
          </cell>
          <cell r="E87" t="str">
            <v/>
          </cell>
        </row>
        <row r="88">
          <cell r="B88">
            <v>32000000000085</v>
          </cell>
          <cell r="C88">
            <v>25000000000085</v>
          </cell>
          <cell r="D88" t="str">
            <v>Cahyaningrum Widiastuti</v>
          </cell>
          <cell r="E88" t="str">
            <v/>
          </cell>
        </row>
        <row r="89">
          <cell r="B89">
            <v>32000000000086</v>
          </cell>
          <cell r="C89">
            <v>25000000000086</v>
          </cell>
          <cell r="D89" t="str">
            <v>Cecep Maulana</v>
          </cell>
          <cell r="E89" t="str">
            <v/>
          </cell>
        </row>
        <row r="90">
          <cell r="B90">
            <v>32000000000087</v>
          </cell>
          <cell r="C90">
            <v>25000000000087</v>
          </cell>
          <cell r="D90" t="str">
            <v>Chairul Musaddat</v>
          </cell>
          <cell r="E90" t="str">
            <v/>
          </cell>
        </row>
        <row r="91">
          <cell r="B91">
            <v>32000000000088</v>
          </cell>
          <cell r="C91">
            <v>25000000000088</v>
          </cell>
          <cell r="D91" t="str">
            <v>Christianto</v>
          </cell>
          <cell r="E91" t="str">
            <v/>
          </cell>
        </row>
        <row r="92">
          <cell r="B92">
            <v>32000000000089</v>
          </cell>
          <cell r="C92">
            <v>25000000000089</v>
          </cell>
          <cell r="D92" t="str">
            <v>Dadan Hermawan</v>
          </cell>
          <cell r="E92" t="str">
            <v/>
          </cell>
        </row>
        <row r="93">
          <cell r="B93">
            <v>32000000000090</v>
          </cell>
          <cell r="C93">
            <v>25000000000090</v>
          </cell>
          <cell r="D93" t="str">
            <v>Dadan Suhendar</v>
          </cell>
          <cell r="E93" t="str">
            <v/>
          </cell>
        </row>
        <row r="94">
          <cell r="B94">
            <v>32000000000091</v>
          </cell>
          <cell r="C94">
            <v>25000000000091</v>
          </cell>
          <cell r="D94" t="str">
            <v>Dadi Anda Zuchradi</v>
          </cell>
          <cell r="E94" t="str">
            <v/>
          </cell>
        </row>
        <row r="95">
          <cell r="B95">
            <v>32000000000092</v>
          </cell>
          <cell r="C95">
            <v>25000000000092</v>
          </cell>
          <cell r="D95" t="str">
            <v>Darsito</v>
          </cell>
          <cell r="E95" t="str">
            <v>031212631</v>
          </cell>
        </row>
        <row r="96">
          <cell r="B96">
            <v>32000000000093</v>
          </cell>
          <cell r="C96">
            <v>25000000000093</v>
          </cell>
          <cell r="D96" t="str">
            <v>Davit Lumban Gaol</v>
          </cell>
          <cell r="E96" t="str">
            <v>170417832</v>
          </cell>
        </row>
        <row r="97">
          <cell r="B97">
            <v>32000000000094</v>
          </cell>
          <cell r="C97">
            <v>25000000000094</v>
          </cell>
          <cell r="D97" t="str">
            <v>Deddy Rochman</v>
          </cell>
          <cell r="E97" t="str">
            <v>171215791</v>
          </cell>
        </row>
        <row r="98">
          <cell r="B98">
            <v>32000000000095</v>
          </cell>
          <cell r="C98">
            <v>25000000000095</v>
          </cell>
          <cell r="D98" t="str">
            <v>Dedi Kusnadi</v>
          </cell>
          <cell r="E98" t="str">
            <v/>
          </cell>
        </row>
        <row r="99">
          <cell r="B99">
            <v>32000000000096</v>
          </cell>
          <cell r="C99">
            <v>25000000000096</v>
          </cell>
          <cell r="D99" t="str">
            <v>Dedi Marciano Rizanur</v>
          </cell>
          <cell r="E99" t="str">
            <v/>
          </cell>
        </row>
        <row r="100">
          <cell r="B100">
            <v>32000000000097</v>
          </cell>
          <cell r="C100">
            <v>25000000000097</v>
          </cell>
          <cell r="D100" t="str">
            <v>Dedi Rianto</v>
          </cell>
          <cell r="E100" t="str">
            <v/>
          </cell>
        </row>
        <row r="101">
          <cell r="B101">
            <v>32000000000098</v>
          </cell>
          <cell r="C101">
            <v>25000000000098</v>
          </cell>
          <cell r="D101" t="str">
            <v>Dedi Syahputra</v>
          </cell>
          <cell r="E101" t="str">
            <v/>
          </cell>
        </row>
        <row r="102">
          <cell r="B102">
            <v>32000000000099</v>
          </cell>
          <cell r="C102">
            <v>25000000000099</v>
          </cell>
          <cell r="D102" t="str">
            <v>Deni Setiawan</v>
          </cell>
          <cell r="E102" t="str">
            <v/>
          </cell>
        </row>
        <row r="103">
          <cell r="B103">
            <v>32000000000100</v>
          </cell>
          <cell r="C103">
            <v>25000000000100</v>
          </cell>
          <cell r="D103" t="str">
            <v>Deny Adi Purnama</v>
          </cell>
          <cell r="E103" t="str">
            <v>050123975</v>
          </cell>
        </row>
        <row r="104">
          <cell r="B104">
            <v>32000000000101</v>
          </cell>
          <cell r="C104">
            <v>25000000000101</v>
          </cell>
          <cell r="D104" t="str">
            <v>Desi Herawati</v>
          </cell>
          <cell r="E104" t="str">
            <v/>
          </cell>
        </row>
        <row r="105">
          <cell r="B105">
            <v>32000000000102</v>
          </cell>
          <cell r="C105">
            <v>25000000000102</v>
          </cell>
          <cell r="D105" t="str">
            <v>Desi Setiowati</v>
          </cell>
          <cell r="E105" t="str">
            <v/>
          </cell>
        </row>
        <row r="106">
          <cell r="B106">
            <v>32000000000103</v>
          </cell>
          <cell r="C106">
            <v>25000000000103</v>
          </cell>
          <cell r="D106" t="str">
            <v>Dian Firdaus</v>
          </cell>
          <cell r="E106" t="str">
            <v/>
          </cell>
        </row>
        <row r="107">
          <cell r="B107">
            <v>32000000000104</v>
          </cell>
          <cell r="C107">
            <v>25000000000104</v>
          </cell>
          <cell r="D107" t="str">
            <v>Dian Hariyana</v>
          </cell>
          <cell r="E107" t="str">
            <v/>
          </cell>
        </row>
        <row r="108">
          <cell r="B108">
            <v>32000000000105</v>
          </cell>
          <cell r="C108">
            <v>25000000000105</v>
          </cell>
          <cell r="D108" t="str">
            <v>Dinnar Budiarti</v>
          </cell>
          <cell r="E108" t="str">
            <v/>
          </cell>
        </row>
        <row r="109">
          <cell r="B109">
            <v>32000000000106</v>
          </cell>
          <cell r="C109">
            <v>25000000000106</v>
          </cell>
          <cell r="D109" t="str">
            <v>Dionesius Sostenist Duka</v>
          </cell>
          <cell r="E109" t="str">
            <v>010605133</v>
          </cell>
        </row>
        <row r="110">
          <cell r="B110">
            <v>32000000000107</v>
          </cell>
          <cell r="C110">
            <v>25000000000107</v>
          </cell>
          <cell r="D110" t="str">
            <v>Diyah Martina</v>
          </cell>
          <cell r="E110" t="str">
            <v/>
          </cell>
        </row>
        <row r="111">
          <cell r="B111">
            <v>32000000000108</v>
          </cell>
          <cell r="C111">
            <v>25000000000108</v>
          </cell>
          <cell r="D111" t="str">
            <v>Djuang Tampubolon</v>
          </cell>
          <cell r="E111" t="str">
            <v/>
          </cell>
        </row>
        <row r="112">
          <cell r="B112">
            <v>32000000000109</v>
          </cell>
          <cell r="C112">
            <v>25000000000109</v>
          </cell>
          <cell r="D112" t="str">
            <v>Dodit Widiarto</v>
          </cell>
          <cell r="E112" t="str">
            <v/>
          </cell>
        </row>
        <row r="113">
          <cell r="B113">
            <v>32000000000110</v>
          </cell>
          <cell r="C113">
            <v>25000000000110</v>
          </cell>
          <cell r="D113" t="str">
            <v>Dony Darmawan</v>
          </cell>
          <cell r="E113" t="str">
            <v/>
          </cell>
        </row>
        <row r="114">
          <cell r="B114">
            <v>32000000000111</v>
          </cell>
          <cell r="C114">
            <v>25000000000111</v>
          </cell>
          <cell r="D114" t="str">
            <v>Dony Setiawan</v>
          </cell>
          <cell r="E114" t="str">
            <v/>
          </cell>
        </row>
        <row r="115">
          <cell r="B115">
            <v>32000000000112</v>
          </cell>
          <cell r="C115">
            <v>25000000000112</v>
          </cell>
          <cell r="D115" t="str">
            <v>Dudi Rustandi</v>
          </cell>
          <cell r="E115" t="str">
            <v/>
          </cell>
        </row>
        <row r="116">
          <cell r="B116">
            <v>32000000000113</v>
          </cell>
          <cell r="C116">
            <v>25000000000113</v>
          </cell>
          <cell r="D116" t="str">
            <v>Dudung</v>
          </cell>
          <cell r="E116" t="str">
            <v/>
          </cell>
        </row>
        <row r="117">
          <cell r="B117">
            <v>32000000000114</v>
          </cell>
          <cell r="C117">
            <v>25000000000114</v>
          </cell>
          <cell r="D117" t="str">
            <v>Dwi Joko Setio Tjaroko</v>
          </cell>
          <cell r="E117" t="str">
            <v/>
          </cell>
        </row>
        <row r="118">
          <cell r="B118">
            <v>32000000000115</v>
          </cell>
          <cell r="C118">
            <v>25000000000115</v>
          </cell>
          <cell r="D118" t="str">
            <v>Dwinanto Prabowo</v>
          </cell>
          <cell r="E118" t="str">
            <v/>
          </cell>
        </row>
        <row r="119">
          <cell r="B119">
            <v>32000000000116</v>
          </cell>
          <cell r="C119">
            <v>25000000000116</v>
          </cell>
          <cell r="D119" t="str">
            <v>Edi Waluyo</v>
          </cell>
          <cell r="E119" t="str">
            <v>040803040</v>
          </cell>
        </row>
        <row r="120">
          <cell r="B120">
            <v>32000000000117</v>
          </cell>
          <cell r="C120">
            <v>25000000000117</v>
          </cell>
          <cell r="D120" t="str">
            <v>Edi Siswanto</v>
          </cell>
          <cell r="E120" t="str">
            <v/>
          </cell>
        </row>
        <row r="121">
          <cell r="B121">
            <v>32000000000118</v>
          </cell>
          <cell r="C121">
            <v>25000000000118</v>
          </cell>
          <cell r="D121" t="str">
            <v>Edi Turnip</v>
          </cell>
          <cell r="E121" t="str">
            <v/>
          </cell>
        </row>
        <row r="122">
          <cell r="B122">
            <v>32000000000119</v>
          </cell>
          <cell r="C122">
            <v>25000000000119</v>
          </cell>
          <cell r="D122" t="str">
            <v>Edy Putra Waskita</v>
          </cell>
          <cell r="E122" t="str">
            <v/>
          </cell>
        </row>
        <row r="123">
          <cell r="B123">
            <v>32000000000120</v>
          </cell>
          <cell r="C123">
            <v>25000000000120</v>
          </cell>
          <cell r="D123" t="str">
            <v>Edy Syahputra Situmeang</v>
          </cell>
          <cell r="E123" t="str">
            <v>0701251000</v>
          </cell>
        </row>
        <row r="124">
          <cell r="B124">
            <v>32000000000121</v>
          </cell>
          <cell r="C124">
            <v>25000000000121</v>
          </cell>
          <cell r="D124" t="str">
            <v>Effendi fendi</v>
          </cell>
          <cell r="E124" t="str">
            <v/>
          </cell>
        </row>
        <row r="125">
          <cell r="B125">
            <v>32000000000122</v>
          </cell>
          <cell r="C125">
            <v>25000000000122</v>
          </cell>
          <cell r="D125" t="str">
            <v>Efrina Dwililia</v>
          </cell>
          <cell r="E125" t="str">
            <v/>
          </cell>
        </row>
        <row r="126">
          <cell r="B126">
            <v>32000000000123</v>
          </cell>
          <cell r="C126">
            <v>25000000000123</v>
          </cell>
          <cell r="D126" t="str">
            <v>Eka Bagus Dwi Putra</v>
          </cell>
          <cell r="E126" t="str">
            <v>200420932</v>
          </cell>
        </row>
        <row r="127">
          <cell r="B127">
            <v>32000000000124</v>
          </cell>
          <cell r="C127">
            <v>25000000000124</v>
          </cell>
          <cell r="D127" t="str">
            <v>Eka Hamidah</v>
          </cell>
          <cell r="E127" t="str">
            <v/>
          </cell>
        </row>
        <row r="128">
          <cell r="B128">
            <v>32000000000125</v>
          </cell>
          <cell r="C128">
            <v>25000000000125</v>
          </cell>
          <cell r="D128" t="str">
            <v>Eka Purwanti</v>
          </cell>
          <cell r="E128" t="str">
            <v>060121944</v>
          </cell>
        </row>
        <row r="129">
          <cell r="B129">
            <v>32000000000126</v>
          </cell>
          <cell r="C129">
            <v>25000000000126</v>
          </cell>
          <cell r="D129" t="str">
            <v>Eka Kurniawan Hidayatullah</v>
          </cell>
          <cell r="E129" t="str">
            <v>120324987</v>
          </cell>
        </row>
        <row r="130">
          <cell r="B130">
            <v>32000000000127</v>
          </cell>
          <cell r="C130">
            <v>25000000000127</v>
          </cell>
          <cell r="D130" t="str">
            <v>Eko Laksono</v>
          </cell>
          <cell r="E130" t="str">
            <v/>
          </cell>
        </row>
        <row r="131">
          <cell r="B131">
            <v>32000000000128</v>
          </cell>
          <cell r="C131">
            <v>25000000000128</v>
          </cell>
          <cell r="D131" t="str">
            <v>Eko Syambudi</v>
          </cell>
          <cell r="E131" t="str">
            <v/>
          </cell>
        </row>
        <row r="132">
          <cell r="B132">
            <v>32000000000129</v>
          </cell>
          <cell r="C132">
            <v>25000000000129</v>
          </cell>
          <cell r="D132" t="str">
            <v>Elieser Ferdy P.</v>
          </cell>
          <cell r="E132" t="str">
            <v/>
          </cell>
        </row>
        <row r="133">
          <cell r="B133">
            <v>32000000000130</v>
          </cell>
          <cell r="C133">
            <v>25000000000130</v>
          </cell>
          <cell r="D133" t="str">
            <v>Elisa</v>
          </cell>
          <cell r="E133" t="str">
            <v/>
          </cell>
        </row>
        <row r="134">
          <cell r="B134">
            <v>32000000000131</v>
          </cell>
          <cell r="C134">
            <v>25000000000131</v>
          </cell>
          <cell r="D134" t="str">
            <v>Elsa Jayanti</v>
          </cell>
          <cell r="E134" t="str">
            <v/>
          </cell>
        </row>
        <row r="135">
          <cell r="B135">
            <v>32000000000132</v>
          </cell>
          <cell r="C135">
            <v>25000000000132</v>
          </cell>
          <cell r="D135" t="str">
            <v>Elsa Mardian</v>
          </cell>
          <cell r="E135" t="str">
            <v/>
          </cell>
        </row>
        <row r="136">
          <cell r="B136">
            <v>32000000000133</v>
          </cell>
          <cell r="C136">
            <v>25000000000133</v>
          </cell>
          <cell r="D136" t="str">
            <v>Emir Paranita Nasution</v>
          </cell>
          <cell r="E136" t="str">
            <v/>
          </cell>
        </row>
        <row r="137">
          <cell r="B137">
            <v>32000000000134</v>
          </cell>
          <cell r="C137">
            <v>25000000000134</v>
          </cell>
          <cell r="D137" t="str">
            <v>Enceng Hemawan</v>
          </cell>
          <cell r="E137" t="str">
            <v/>
          </cell>
        </row>
        <row r="138">
          <cell r="B138">
            <v>32000000000135</v>
          </cell>
          <cell r="C138">
            <v>25000000000135</v>
          </cell>
          <cell r="D138" t="str">
            <v>Endang</v>
          </cell>
          <cell r="E138" t="str">
            <v/>
          </cell>
        </row>
        <row r="139">
          <cell r="B139">
            <v>32000000000136</v>
          </cell>
          <cell r="C139">
            <v>25000000000136</v>
          </cell>
          <cell r="D139" t="str">
            <v>Endang Lestari</v>
          </cell>
          <cell r="E139" t="str">
            <v/>
          </cell>
        </row>
        <row r="140">
          <cell r="B140">
            <v>32000000000137</v>
          </cell>
          <cell r="C140">
            <v>25000000000137</v>
          </cell>
          <cell r="D140" t="str">
            <v>Endang Sobari</v>
          </cell>
          <cell r="E140" t="str">
            <v/>
          </cell>
        </row>
        <row r="141">
          <cell r="B141">
            <v>32000000000138</v>
          </cell>
          <cell r="C141">
            <v>25000000000138</v>
          </cell>
          <cell r="D141" t="str">
            <v>Endang Sutrisna</v>
          </cell>
          <cell r="E141" t="str">
            <v>010806250</v>
          </cell>
        </row>
        <row r="142">
          <cell r="B142">
            <v>32000000000139</v>
          </cell>
          <cell r="C142">
            <v>25000000000139</v>
          </cell>
          <cell r="D142" t="str">
            <v>Erfananda Rasyid</v>
          </cell>
          <cell r="E142" t="str">
            <v/>
          </cell>
        </row>
        <row r="143">
          <cell r="B143">
            <v>32000000000140</v>
          </cell>
          <cell r="C143">
            <v>25000000000140</v>
          </cell>
          <cell r="D143" t="str">
            <v>Ernawati</v>
          </cell>
          <cell r="E143" t="str">
            <v/>
          </cell>
        </row>
        <row r="144">
          <cell r="B144">
            <v>32000000000141</v>
          </cell>
          <cell r="C144">
            <v>25000000000141</v>
          </cell>
          <cell r="D144" t="str">
            <v>Erwin Firmansyah</v>
          </cell>
          <cell r="E144" t="str">
            <v/>
          </cell>
        </row>
        <row r="145">
          <cell r="B145">
            <v>32000000000142</v>
          </cell>
          <cell r="C145">
            <v>25000000000142</v>
          </cell>
          <cell r="D145" t="str">
            <v>Erwin Said</v>
          </cell>
          <cell r="E145" t="str">
            <v/>
          </cell>
        </row>
        <row r="146">
          <cell r="B146">
            <v>32000000000143</v>
          </cell>
          <cell r="C146">
            <v>25000000000143</v>
          </cell>
          <cell r="D146" t="str">
            <v>Esa Annahar</v>
          </cell>
          <cell r="E146" t="str">
            <v/>
          </cell>
        </row>
        <row r="147">
          <cell r="B147">
            <v>32000000000144</v>
          </cell>
          <cell r="C147">
            <v>25000000000144</v>
          </cell>
          <cell r="D147" t="str">
            <v>Faiz Horifal</v>
          </cell>
          <cell r="E147" t="str">
            <v/>
          </cell>
        </row>
        <row r="148">
          <cell r="B148">
            <v>32000000000145</v>
          </cell>
          <cell r="C148">
            <v>25000000000145</v>
          </cell>
          <cell r="D148" t="str">
            <v>Fani Dwi Astutik</v>
          </cell>
          <cell r="E148" t="str">
            <v/>
          </cell>
        </row>
        <row r="149">
          <cell r="B149">
            <v>32000000000146</v>
          </cell>
          <cell r="C149">
            <v>25000000000146</v>
          </cell>
          <cell r="D149" t="str">
            <v>Fardi Nauli R</v>
          </cell>
          <cell r="E149" t="str">
            <v/>
          </cell>
        </row>
        <row r="150">
          <cell r="B150">
            <v>32000000000147</v>
          </cell>
          <cell r="C150">
            <v>25000000000147</v>
          </cell>
          <cell r="D150" t="str">
            <v>Farekh Huzair</v>
          </cell>
          <cell r="E150" t="str">
            <v/>
          </cell>
        </row>
        <row r="151">
          <cell r="B151">
            <v>32000000000148</v>
          </cell>
          <cell r="C151">
            <v>25000000000148</v>
          </cell>
          <cell r="D151" t="str">
            <v>Farhana</v>
          </cell>
          <cell r="E151" t="str">
            <v/>
          </cell>
        </row>
        <row r="152">
          <cell r="B152">
            <v>32000000000149</v>
          </cell>
          <cell r="C152">
            <v>25000000000149</v>
          </cell>
          <cell r="D152" t="str">
            <v>Febriyanto Ahdiat</v>
          </cell>
          <cell r="E152" t="str">
            <v/>
          </cell>
        </row>
        <row r="153">
          <cell r="B153">
            <v>32000000000150</v>
          </cell>
          <cell r="C153">
            <v>25000000000150</v>
          </cell>
          <cell r="D153" t="str">
            <v>Febryan Mahsyar</v>
          </cell>
          <cell r="E153" t="str">
            <v/>
          </cell>
        </row>
        <row r="154">
          <cell r="B154">
            <v>32000000000151</v>
          </cell>
          <cell r="C154">
            <v>25000000000151</v>
          </cell>
          <cell r="D154" t="str">
            <v>Felpy</v>
          </cell>
          <cell r="E154" t="str">
            <v/>
          </cell>
        </row>
        <row r="155">
          <cell r="B155">
            <v>32000000000152</v>
          </cell>
          <cell r="C155">
            <v>25000000000152</v>
          </cell>
          <cell r="D155" t="str">
            <v>Feri Priyanto</v>
          </cell>
          <cell r="E155" t="str">
            <v/>
          </cell>
        </row>
        <row r="156">
          <cell r="B156">
            <v>32000000000153</v>
          </cell>
          <cell r="C156">
            <v>25000000000153</v>
          </cell>
          <cell r="D156" t="str">
            <v>Ferry P Simanjuntak</v>
          </cell>
          <cell r="E156" t="str">
            <v/>
          </cell>
        </row>
        <row r="157">
          <cell r="B157">
            <v>32000000000154</v>
          </cell>
          <cell r="C157">
            <v>25000000000154</v>
          </cell>
          <cell r="D157" t="str">
            <v>Fikri</v>
          </cell>
          <cell r="E157" t="str">
            <v/>
          </cell>
        </row>
        <row r="158">
          <cell r="B158">
            <v>32000000000155</v>
          </cell>
          <cell r="C158">
            <v>25000000000155</v>
          </cell>
          <cell r="D158" t="str">
            <v>M. Fikri Caesarandi Hasibuan</v>
          </cell>
          <cell r="E158" t="str">
            <v>160916799</v>
          </cell>
        </row>
        <row r="159">
          <cell r="B159">
            <v>32000000000156</v>
          </cell>
          <cell r="C159">
            <v>25000000000156</v>
          </cell>
          <cell r="D159" t="str">
            <v>Firman Akbar</v>
          </cell>
          <cell r="E159" t="str">
            <v/>
          </cell>
        </row>
        <row r="160">
          <cell r="B160">
            <v>32000000000157</v>
          </cell>
          <cell r="C160">
            <v>25000000000157</v>
          </cell>
          <cell r="D160" t="str">
            <v>Fitriastuti Kurnia</v>
          </cell>
          <cell r="E160" t="str">
            <v>070305123</v>
          </cell>
        </row>
        <row r="161">
          <cell r="B161">
            <v>32000000000158</v>
          </cell>
          <cell r="C161">
            <v>25000000000158</v>
          </cell>
          <cell r="D161" t="str">
            <v>Francis Imanuel</v>
          </cell>
          <cell r="E161" t="str">
            <v/>
          </cell>
        </row>
        <row r="162">
          <cell r="B162">
            <v>32000000000159</v>
          </cell>
          <cell r="C162">
            <v>25000000000159</v>
          </cell>
          <cell r="D162" t="str">
            <v>Frando Judi Siahaan</v>
          </cell>
          <cell r="E162" t="str">
            <v>181114748</v>
          </cell>
        </row>
        <row r="163">
          <cell r="B163">
            <v>32000000000160</v>
          </cell>
          <cell r="C163">
            <v>25000000000160</v>
          </cell>
          <cell r="D163" t="str">
            <v>Frederika Intan</v>
          </cell>
          <cell r="E163" t="str">
            <v/>
          </cell>
        </row>
        <row r="164">
          <cell r="B164">
            <v>32000000000161</v>
          </cell>
          <cell r="C164">
            <v>25000000000161</v>
          </cell>
          <cell r="D164" t="str">
            <v>Fuad Febrian</v>
          </cell>
          <cell r="E164" t="str">
            <v/>
          </cell>
        </row>
        <row r="165">
          <cell r="B165">
            <v>32000000000162</v>
          </cell>
          <cell r="C165">
            <v>25000000000162</v>
          </cell>
          <cell r="D165" t="str">
            <v>Wiyadianto</v>
          </cell>
          <cell r="E165" t="str">
            <v/>
          </cell>
        </row>
        <row r="166">
          <cell r="B166">
            <v>32000000000163</v>
          </cell>
          <cell r="C166">
            <v>25000000000163</v>
          </cell>
          <cell r="D166" t="str">
            <v>Galuh Swastika</v>
          </cell>
          <cell r="E166" t="str">
            <v/>
          </cell>
        </row>
        <row r="167">
          <cell r="B167">
            <v>32000000000164</v>
          </cell>
          <cell r="C167">
            <v>25000000000164</v>
          </cell>
          <cell r="D167" t="str">
            <v>Ganda Yuharis R.</v>
          </cell>
          <cell r="E167" t="str">
            <v/>
          </cell>
        </row>
        <row r="168">
          <cell r="B168">
            <v>32000000000165</v>
          </cell>
          <cell r="C168">
            <v>25000000000165</v>
          </cell>
          <cell r="D168" t="str">
            <v>Gatot Harsono</v>
          </cell>
          <cell r="E168" t="str">
            <v/>
          </cell>
        </row>
        <row r="169">
          <cell r="B169">
            <v>32000000000166</v>
          </cell>
          <cell r="C169">
            <v>25000000000166</v>
          </cell>
          <cell r="D169" t="str">
            <v>Gina Septa</v>
          </cell>
          <cell r="E169" t="str">
            <v/>
          </cell>
        </row>
        <row r="170">
          <cell r="B170">
            <v>32000000000167</v>
          </cell>
          <cell r="C170">
            <v>25000000000167</v>
          </cell>
          <cell r="D170" t="str">
            <v>Grace Kurniawan</v>
          </cell>
          <cell r="E170" t="str">
            <v>010218858</v>
          </cell>
        </row>
        <row r="171">
          <cell r="B171">
            <v>32000000000168</v>
          </cell>
          <cell r="C171">
            <v>25000000000168</v>
          </cell>
          <cell r="D171" t="str">
            <v>Gunawan</v>
          </cell>
          <cell r="E171" t="str">
            <v>070806256</v>
          </cell>
        </row>
        <row r="172">
          <cell r="B172">
            <v>32000000000169</v>
          </cell>
          <cell r="C172">
            <v>25000000000169</v>
          </cell>
          <cell r="D172" t="str">
            <v>Gustia Rakhmanita</v>
          </cell>
          <cell r="E172" t="str">
            <v/>
          </cell>
        </row>
        <row r="173">
          <cell r="B173">
            <v>32000000000170</v>
          </cell>
          <cell r="C173">
            <v>25000000000170</v>
          </cell>
          <cell r="D173" t="str">
            <v>Habib Abdullah</v>
          </cell>
          <cell r="E173" t="str">
            <v/>
          </cell>
        </row>
        <row r="174">
          <cell r="B174">
            <v>32000000000171</v>
          </cell>
          <cell r="C174">
            <v>25000000000171</v>
          </cell>
          <cell r="D174" t="str">
            <v>Hadi Kasmuri</v>
          </cell>
          <cell r="E174" t="str">
            <v/>
          </cell>
        </row>
        <row r="175">
          <cell r="B175">
            <v>32000000000172</v>
          </cell>
          <cell r="C175">
            <v>25000000000172</v>
          </cell>
          <cell r="D175" t="str">
            <v>Haikal</v>
          </cell>
          <cell r="E175" t="str">
            <v/>
          </cell>
        </row>
        <row r="176">
          <cell r="B176">
            <v>32000000000173</v>
          </cell>
          <cell r="C176">
            <v>25000000000173</v>
          </cell>
          <cell r="D176" t="str">
            <v>Hanantowiryo Tamtama</v>
          </cell>
          <cell r="E176" t="str">
            <v/>
          </cell>
        </row>
        <row r="177">
          <cell r="B177">
            <v>32000000000174</v>
          </cell>
          <cell r="C177">
            <v>25000000000174</v>
          </cell>
          <cell r="D177" t="str">
            <v>Handoko</v>
          </cell>
          <cell r="E177" t="str">
            <v/>
          </cell>
        </row>
        <row r="178">
          <cell r="B178">
            <v>32000000000175</v>
          </cell>
          <cell r="C178">
            <v>25000000000175</v>
          </cell>
          <cell r="D178" t="str">
            <v>Hanif Ashari</v>
          </cell>
          <cell r="E178" t="str">
            <v/>
          </cell>
        </row>
        <row r="179">
          <cell r="B179">
            <v>32000000000176</v>
          </cell>
          <cell r="C179">
            <v>25000000000176</v>
          </cell>
          <cell r="D179" t="str">
            <v>Hanif Eko Saputro</v>
          </cell>
          <cell r="E179" t="str">
            <v/>
          </cell>
        </row>
        <row r="180">
          <cell r="B180">
            <v>32000000000177</v>
          </cell>
          <cell r="C180">
            <v>25000000000177</v>
          </cell>
          <cell r="D180" t="str">
            <v>Hardianto</v>
          </cell>
          <cell r="E180" t="str">
            <v/>
          </cell>
        </row>
        <row r="181">
          <cell r="B181">
            <v>32000000000178</v>
          </cell>
          <cell r="C181">
            <v>25000000000178</v>
          </cell>
          <cell r="D181" t="str">
            <v>Harlen Amudi Purba</v>
          </cell>
          <cell r="E181" t="str">
            <v/>
          </cell>
        </row>
        <row r="182">
          <cell r="B182">
            <v>32000000000179</v>
          </cell>
          <cell r="C182">
            <v>25000000000179</v>
          </cell>
          <cell r="D182" t="str">
            <v>Harry Isnaeni</v>
          </cell>
          <cell r="E182" t="str">
            <v/>
          </cell>
        </row>
        <row r="183">
          <cell r="B183">
            <v>32000000000180</v>
          </cell>
          <cell r="C183">
            <v>25000000000180</v>
          </cell>
          <cell r="D183" t="str">
            <v>Hasan Gani</v>
          </cell>
          <cell r="E183" t="str">
            <v/>
          </cell>
        </row>
        <row r="184">
          <cell r="B184">
            <v>32000000000181</v>
          </cell>
          <cell r="C184">
            <v>25000000000181</v>
          </cell>
          <cell r="D184" t="str">
            <v>Hasrul</v>
          </cell>
          <cell r="E184" t="str">
            <v/>
          </cell>
        </row>
        <row r="185">
          <cell r="B185">
            <v>32000000000182</v>
          </cell>
          <cell r="C185">
            <v>25000000000182</v>
          </cell>
          <cell r="D185" t="str">
            <v>Hendar Pambudi</v>
          </cell>
          <cell r="E185" t="str">
            <v/>
          </cell>
        </row>
        <row r="186">
          <cell r="B186">
            <v>32000000000183</v>
          </cell>
          <cell r="C186">
            <v>25000000000183</v>
          </cell>
          <cell r="D186" t="str">
            <v>Hendri Kustian</v>
          </cell>
          <cell r="E186" t="str">
            <v/>
          </cell>
        </row>
        <row r="187">
          <cell r="B187">
            <v>32000000000184</v>
          </cell>
          <cell r="C187">
            <v>25000000000184</v>
          </cell>
          <cell r="D187" t="str">
            <v>Hendrik</v>
          </cell>
          <cell r="E187" t="str">
            <v/>
          </cell>
        </row>
        <row r="188">
          <cell r="B188">
            <v>32000000000185</v>
          </cell>
          <cell r="C188">
            <v>25000000000185</v>
          </cell>
          <cell r="D188" t="str">
            <v>Herdi Yulia Rohmana</v>
          </cell>
          <cell r="E188" t="str">
            <v/>
          </cell>
        </row>
        <row r="189">
          <cell r="B189">
            <v>32000000000186</v>
          </cell>
          <cell r="C189">
            <v>25000000000186</v>
          </cell>
          <cell r="D189" t="str">
            <v>Heri Susanto</v>
          </cell>
          <cell r="E189" t="str">
            <v/>
          </cell>
        </row>
        <row r="190">
          <cell r="B190">
            <v>32000000000187</v>
          </cell>
          <cell r="C190">
            <v>25000000000187</v>
          </cell>
          <cell r="D190" t="str">
            <v>Herlin Juli Asri</v>
          </cell>
          <cell r="E190" t="str">
            <v/>
          </cell>
        </row>
        <row r="191">
          <cell r="B191">
            <v>32000000000188</v>
          </cell>
          <cell r="C191">
            <v>25000000000188</v>
          </cell>
          <cell r="D191" t="str">
            <v>Herman Budoyo</v>
          </cell>
          <cell r="E191" t="str">
            <v/>
          </cell>
        </row>
        <row r="192">
          <cell r="B192">
            <v>32000000000189</v>
          </cell>
          <cell r="C192">
            <v>25000000000189</v>
          </cell>
          <cell r="D192" t="str">
            <v>Herni Yuliati</v>
          </cell>
          <cell r="E192" t="str">
            <v/>
          </cell>
        </row>
        <row r="193">
          <cell r="B193">
            <v>32000000000190</v>
          </cell>
          <cell r="C193">
            <v>25000000000190</v>
          </cell>
          <cell r="D193" t="str">
            <v>Hernita Dwi</v>
          </cell>
          <cell r="E193" t="str">
            <v/>
          </cell>
        </row>
        <row r="194">
          <cell r="B194">
            <v>32000000000191</v>
          </cell>
          <cell r="C194">
            <v>25000000000191</v>
          </cell>
          <cell r="D194" t="str">
            <v>Herri Setyawan</v>
          </cell>
          <cell r="E194" t="str">
            <v/>
          </cell>
        </row>
        <row r="195">
          <cell r="B195">
            <v>32000000000192</v>
          </cell>
          <cell r="C195">
            <v>25000000000192</v>
          </cell>
          <cell r="D195" t="str">
            <v>Heru Sugiri</v>
          </cell>
          <cell r="E195" t="str">
            <v/>
          </cell>
        </row>
        <row r="196">
          <cell r="B196">
            <v>32000000000193</v>
          </cell>
          <cell r="C196">
            <v>25000000000193</v>
          </cell>
          <cell r="D196" t="str">
            <v>Hervian Bagus Saputra</v>
          </cell>
          <cell r="E196" t="str">
            <v/>
          </cell>
        </row>
        <row r="197">
          <cell r="B197">
            <v>32000000000194</v>
          </cell>
          <cell r="C197">
            <v>25000000000194</v>
          </cell>
          <cell r="D197" t="str">
            <v>H.R. Marlina S. T. R.</v>
          </cell>
          <cell r="E197" t="str">
            <v/>
          </cell>
        </row>
        <row r="198">
          <cell r="B198">
            <v>32000000000195</v>
          </cell>
          <cell r="C198">
            <v>25000000000195</v>
          </cell>
          <cell r="D198" t="str">
            <v>Ibrahim Soukani</v>
          </cell>
          <cell r="E198" t="str">
            <v/>
          </cell>
        </row>
        <row r="199">
          <cell r="B199">
            <v>32000000000196</v>
          </cell>
          <cell r="C199">
            <v>25000000000196</v>
          </cell>
          <cell r="D199" t="str">
            <v>Icha Mailinda Syamsoedin</v>
          </cell>
          <cell r="E199" t="str">
            <v>191015786</v>
          </cell>
        </row>
        <row r="200">
          <cell r="B200">
            <v>32000000000197</v>
          </cell>
          <cell r="C200">
            <v>25000000000197</v>
          </cell>
          <cell r="D200" t="str">
            <v>Ichsanudin</v>
          </cell>
          <cell r="E200" t="str">
            <v/>
          </cell>
        </row>
        <row r="201">
          <cell r="B201">
            <v>32000000000198</v>
          </cell>
          <cell r="C201">
            <v>25000000000198</v>
          </cell>
          <cell r="D201" t="str">
            <v>Ida Tri Wulaningsih</v>
          </cell>
          <cell r="E201" t="str">
            <v/>
          </cell>
        </row>
        <row r="202">
          <cell r="B202">
            <v>32000000000199</v>
          </cell>
          <cell r="C202">
            <v>25000000000199</v>
          </cell>
          <cell r="D202" t="str">
            <v>Idham</v>
          </cell>
          <cell r="E202" t="str">
            <v/>
          </cell>
        </row>
        <row r="203">
          <cell r="B203">
            <v>32000000000200</v>
          </cell>
          <cell r="C203">
            <v>25000000000200</v>
          </cell>
          <cell r="D203" t="str">
            <v>Idham Nasution</v>
          </cell>
          <cell r="E203" t="str">
            <v/>
          </cell>
        </row>
        <row r="204">
          <cell r="B204">
            <v>32000000000201</v>
          </cell>
          <cell r="C204">
            <v>25000000000201</v>
          </cell>
          <cell r="D204" t="str">
            <v>Idian</v>
          </cell>
          <cell r="E204" t="str">
            <v/>
          </cell>
        </row>
        <row r="205">
          <cell r="B205">
            <v>32000000000202</v>
          </cell>
          <cell r="C205">
            <v>25000000000202</v>
          </cell>
          <cell r="D205" t="str">
            <v>Ikun M. Soedrajat</v>
          </cell>
          <cell r="E205" t="str">
            <v/>
          </cell>
        </row>
        <row r="206">
          <cell r="B206">
            <v>32000000000203</v>
          </cell>
          <cell r="C206">
            <v>25000000000203</v>
          </cell>
          <cell r="D206" t="str">
            <v>Ilham Arisyandy</v>
          </cell>
          <cell r="E206" t="str">
            <v/>
          </cell>
        </row>
        <row r="207">
          <cell r="B207">
            <v>32000000000204</v>
          </cell>
          <cell r="C207">
            <v>25000000000204</v>
          </cell>
          <cell r="D207" t="str">
            <v>Ilham Akbar</v>
          </cell>
          <cell r="E207" t="str">
            <v>170217825</v>
          </cell>
        </row>
        <row r="208">
          <cell r="B208">
            <v>32000000000205</v>
          </cell>
          <cell r="C208">
            <v>25000000000205</v>
          </cell>
          <cell r="D208" t="str">
            <v>Imam Basuki</v>
          </cell>
          <cell r="E208" t="str">
            <v/>
          </cell>
        </row>
        <row r="209">
          <cell r="B209">
            <v>32000000000206</v>
          </cell>
          <cell r="C209">
            <v>25000000000206</v>
          </cell>
          <cell r="D209" t="str">
            <v>Imam Mustofa</v>
          </cell>
          <cell r="E209" t="str">
            <v/>
          </cell>
        </row>
        <row r="210">
          <cell r="B210">
            <v>32000000000207</v>
          </cell>
          <cell r="C210">
            <v>25000000000207</v>
          </cell>
          <cell r="D210" t="str">
            <v>Imam Safiiy</v>
          </cell>
          <cell r="E210" t="str">
            <v/>
          </cell>
        </row>
        <row r="211">
          <cell r="B211">
            <v>32000000000208</v>
          </cell>
          <cell r="C211">
            <v>25000000000208</v>
          </cell>
          <cell r="D211" t="str">
            <v>Iman Hakiki</v>
          </cell>
          <cell r="E211" t="str">
            <v/>
          </cell>
        </row>
        <row r="212">
          <cell r="B212">
            <v>32000000000209</v>
          </cell>
          <cell r="C212">
            <v>25000000000209</v>
          </cell>
          <cell r="D212" t="str">
            <v>Imelda Claudia</v>
          </cell>
          <cell r="E212" t="str">
            <v/>
          </cell>
        </row>
        <row r="213">
          <cell r="B213">
            <v>32000000000210</v>
          </cell>
          <cell r="C213">
            <v>25000000000210</v>
          </cell>
          <cell r="D213" t="str">
            <v>Indawan Haryadi</v>
          </cell>
          <cell r="E213" t="str">
            <v/>
          </cell>
        </row>
        <row r="214">
          <cell r="B214">
            <v>32000000000211</v>
          </cell>
          <cell r="C214">
            <v>25000000000211</v>
          </cell>
          <cell r="D214" t="str">
            <v>Indra Jaya</v>
          </cell>
          <cell r="E214" t="str">
            <v/>
          </cell>
        </row>
        <row r="215">
          <cell r="B215">
            <v>32000000000212</v>
          </cell>
          <cell r="C215">
            <v>25000000000212</v>
          </cell>
          <cell r="D215" t="str">
            <v>Indra Muchtar</v>
          </cell>
          <cell r="E215" t="str">
            <v/>
          </cell>
        </row>
        <row r="216">
          <cell r="B216">
            <v>32000000000213</v>
          </cell>
          <cell r="C216">
            <v>25000000000213</v>
          </cell>
          <cell r="D216" t="str">
            <v>Irvan</v>
          </cell>
          <cell r="E216" t="str">
            <v/>
          </cell>
        </row>
        <row r="217">
          <cell r="B217">
            <v>32000000000214</v>
          </cell>
          <cell r="C217">
            <v>25000000000214</v>
          </cell>
          <cell r="D217" t="str">
            <v>Irvan Agus Dharma Eka Putra</v>
          </cell>
          <cell r="E217" t="str">
            <v>220221946</v>
          </cell>
        </row>
        <row r="218">
          <cell r="B218">
            <v>32000000000215</v>
          </cell>
          <cell r="C218">
            <v>25000000000215</v>
          </cell>
          <cell r="D218" t="str">
            <v>Irwan</v>
          </cell>
          <cell r="E218" t="str">
            <v/>
          </cell>
        </row>
        <row r="219">
          <cell r="B219">
            <v>32000000000216</v>
          </cell>
          <cell r="C219">
            <v>25000000000216</v>
          </cell>
          <cell r="D219" t="str">
            <v>Isa Anshori</v>
          </cell>
          <cell r="E219" t="str">
            <v/>
          </cell>
        </row>
        <row r="220">
          <cell r="B220">
            <v>32000000000217</v>
          </cell>
          <cell r="C220">
            <v>25000000000217</v>
          </cell>
          <cell r="D220" t="str">
            <v>Isa Taufiq</v>
          </cell>
          <cell r="E220" t="str">
            <v>150805153</v>
          </cell>
        </row>
        <row r="221">
          <cell r="B221">
            <v>32000000000218</v>
          </cell>
          <cell r="C221">
            <v>25000000000218</v>
          </cell>
          <cell r="D221" t="str">
            <v>Iskandarsyah</v>
          </cell>
          <cell r="E221" t="str">
            <v/>
          </cell>
        </row>
        <row r="222">
          <cell r="B222">
            <v>32000000000219</v>
          </cell>
          <cell r="C222">
            <v>25000000000219</v>
          </cell>
          <cell r="D222" t="str">
            <v>Istanto Istanto</v>
          </cell>
          <cell r="E222" t="str">
            <v/>
          </cell>
        </row>
        <row r="223">
          <cell r="B223">
            <v>32000000000220</v>
          </cell>
          <cell r="C223">
            <v>25000000000220</v>
          </cell>
          <cell r="D223" t="str">
            <v>Iswahyuni</v>
          </cell>
          <cell r="E223" t="str">
            <v/>
          </cell>
        </row>
        <row r="224">
          <cell r="B224">
            <v>32000000000221</v>
          </cell>
          <cell r="C224">
            <v>25000000000221</v>
          </cell>
          <cell r="D224" t="str">
            <v>Iva Nurvahayati</v>
          </cell>
          <cell r="E224" t="str">
            <v/>
          </cell>
        </row>
        <row r="225">
          <cell r="B225">
            <v>32000000000222</v>
          </cell>
          <cell r="C225">
            <v>25000000000222</v>
          </cell>
          <cell r="D225" t="str">
            <v>Iwan Setiawan</v>
          </cell>
          <cell r="E225" t="str">
            <v/>
          </cell>
        </row>
        <row r="226">
          <cell r="B226">
            <v>32000000000223</v>
          </cell>
          <cell r="C226">
            <v>25000000000223</v>
          </cell>
          <cell r="D226" t="str">
            <v>Iwan Sumantri</v>
          </cell>
          <cell r="E226" t="str">
            <v/>
          </cell>
        </row>
        <row r="227">
          <cell r="B227">
            <v>32000000000224</v>
          </cell>
          <cell r="C227">
            <v>25000000000224</v>
          </cell>
          <cell r="D227" t="str">
            <v>Iwan Wibawa</v>
          </cell>
          <cell r="E227" t="str">
            <v/>
          </cell>
        </row>
        <row r="228">
          <cell r="B228">
            <v>32000000000225</v>
          </cell>
          <cell r="C228">
            <v>25000000000225</v>
          </cell>
          <cell r="D228" t="str">
            <v>Iyus Darwin</v>
          </cell>
          <cell r="E228" t="str">
            <v/>
          </cell>
        </row>
        <row r="229">
          <cell r="B229">
            <v>32000000000226</v>
          </cell>
          <cell r="C229">
            <v>25000000000226</v>
          </cell>
          <cell r="D229" t="str">
            <v>Jaenudin</v>
          </cell>
          <cell r="E229" t="str">
            <v/>
          </cell>
        </row>
        <row r="230">
          <cell r="B230">
            <v>32000000000227</v>
          </cell>
          <cell r="C230">
            <v>25000000000227</v>
          </cell>
          <cell r="D230" t="str">
            <v>Jaruli Samosir</v>
          </cell>
          <cell r="E230" t="str">
            <v/>
          </cell>
        </row>
        <row r="231">
          <cell r="B231">
            <v>32000000000228</v>
          </cell>
          <cell r="C231">
            <v>25000000000228</v>
          </cell>
          <cell r="D231" t="str">
            <v>Jaya Ganef</v>
          </cell>
          <cell r="E231" t="str">
            <v/>
          </cell>
        </row>
        <row r="232">
          <cell r="B232">
            <v>32000000000229</v>
          </cell>
          <cell r="C232">
            <v>25000000000229</v>
          </cell>
          <cell r="D232" t="str">
            <v>Jaya Sitepu</v>
          </cell>
          <cell r="E232" t="str">
            <v/>
          </cell>
        </row>
        <row r="233">
          <cell r="B233">
            <v>32000000000230</v>
          </cell>
          <cell r="C233">
            <v>25000000000230</v>
          </cell>
          <cell r="D233" t="str">
            <v>Jeefrianda H. P. Sigalingging</v>
          </cell>
          <cell r="E233" t="str">
            <v/>
          </cell>
        </row>
        <row r="234">
          <cell r="B234">
            <v>32000000000231</v>
          </cell>
          <cell r="C234">
            <v>25000000000231</v>
          </cell>
          <cell r="D234" t="str">
            <v>Jerry Djajasaputra</v>
          </cell>
          <cell r="E234" t="str">
            <v/>
          </cell>
        </row>
        <row r="235">
          <cell r="B235">
            <v>32000000000232</v>
          </cell>
          <cell r="C235">
            <v>25000000000232</v>
          </cell>
          <cell r="D235" t="str">
            <v>Jimmywal</v>
          </cell>
          <cell r="E235" t="str">
            <v>040515767</v>
          </cell>
        </row>
        <row r="236">
          <cell r="B236">
            <v>32000000000233</v>
          </cell>
          <cell r="C236">
            <v>25000000000233</v>
          </cell>
          <cell r="D236" t="str">
            <v>Jodie Satria</v>
          </cell>
          <cell r="E236" t="str">
            <v/>
          </cell>
        </row>
        <row r="237">
          <cell r="B237">
            <v>32000000000234</v>
          </cell>
          <cell r="C237">
            <v>25000000000234</v>
          </cell>
          <cell r="D237" t="str">
            <v>Johannes Silalahi</v>
          </cell>
          <cell r="E237" t="str">
            <v/>
          </cell>
        </row>
        <row r="238">
          <cell r="B238">
            <v>32000000000235</v>
          </cell>
          <cell r="C238">
            <v>25000000000235</v>
          </cell>
          <cell r="D238" t="str">
            <v>Joko Wiyono</v>
          </cell>
          <cell r="E238" t="str">
            <v/>
          </cell>
        </row>
        <row r="239">
          <cell r="B239">
            <v>32000000000236</v>
          </cell>
          <cell r="C239">
            <v>25000000000236</v>
          </cell>
          <cell r="D239" t="str">
            <v>Jondril Hantoni</v>
          </cell>
          <cell r="E239" t="str">
            <v/>
          </cell>
        </row>
        <row r="240">
          <cell r="B240">
            <v>32000000000237</v>
          </cell>
          <cell r="C240">
            <v>25000000000237</v>
          </cell>
          <cell r="D240" t="str">
            <v>Jonhar Aziz</v>
          </cell>
          <cell r="E240" t="str">
            <v/>
          </cell>
        </row>
        <row r="241">
          <cell r="B241">
            <v>32000000000238</v>
          </cell>
          <cell r="C241">
            <v>25000000000238</v>
          </cell>
          <cell r="D241" t="str">
            <v>Juan Talitha</v>
          </cell>
          <cell r="E241" t="str">
            <v/>
          </cell>
        </row>
        <row r="242">
          <cell r="B242">
            <v>32000000000239</v>
          </cell>
          <cell r="C242">
            <v>25000000000239</v>
          </cell>
          <cell r="D242" t="str">
            <v>Juharja Juharja</v>
          </cell>
          <cell r="E242" t="str">
            <v/>
          </cell>
        </row>
        <row r="243">
          <cell r="B243">
            <v>32000000000240</v>
          </cell>
          <cell r="C243">
            <v>25000000000240</v>
          </cell>
          <cell r="D243" t="str">
            <v>Juminar</v>
          </cell>
          <cell r="E243" t="str">
            <v/>
          </cell>
        </row>
        <row r="244">
          <cell r="B244">
            <v>32000000000241</v>
          </cell>
          <cell r="C244">
            <v>25000000000241</v>
          </cell>
          <cell r="D244" t="str">
            <v>Jumino</v>
          </cell>
          <cell r="E244" t="str">
            <v/>
          </cell>
        </row>
        <row r="245">
          <cell r="B245">
            <v>32000000000242</v>
          </cell>
          <cell r="C245">
            <v>25000000000242</v>
          </cell>
          <cell r="D245" t="str">
            <v>Junaedi</v>
          </cell>
          <cell r="E245" t="str">
            <v/>
          </cell>
        </row>
        <row r="246">
          <cell r="B246">
            <v>32000000000243</v>
          </cell>
          <cell r="C246">
            <v>25000000000243</v>
          </cell>
          <cell r="D246" t="str">
            <v>Junaidi</v>
          </cell>
          <cell r="E246" t="str">
            <v/>
          </cell>
        </row>
        <row r="247">
          <cell r="B247">
            <v>32000000000244</v>
          </cell>
          <cell r="C247">
            <v>25000000000244</v>
          </cell>
          <cell r="D247" t="str">
            <v>Jusuf Bobby Putra</v>
          </cell>
          <cell r="E247" t="str">
            <v/>
          </cell>
        </row>
        <row r="248">
          <cell r="B248">
            <v>32000000000245</v>
          </cell>
          <cell r="C248">
            <v>25000000000245</v>
          </cell>
          <cell r="D248" t="str">
            <v>Jusuf Gandi</v>
          </cell>
          <cell r="E248" t="str">
            <v/>
          </cell>
        </row>
        <row r="249">
          <cell r="B249">
            <v>32000000000246</v>
          </cell>
          <cell r="C249">
            <v>25000000000246</v>
          </cell>
          <cell r="D249" t="str">
            <v>Kahar Triyono</v>
          </cell>
          <cell r="E249" t="str">
            <v/>
          </cell>
        </row>
        <row r="250">
          <cell r="B250">
            <v>32000000000247</v>
          </cell>
          <cell r="C250">
            <v>25000000000247</v>
          </cell>
          <cell r="D250" t="str">
            <v>Keila</v>
          </cell>
          <cell r="E250" t="str">
            <v/>
          </cell>
        </row>
        <row r="251">
          <cell r="B251">
            <v>32000000000248</v>
          </cell>
          <cell r="C251">
            <v>25000000000248</v>
          </cell>
          <cell r="D251" t="str">
            <v>Kendra Daniswara</v>
          </cell>
          <cell r="E251" t="str">
            <v/>
          </cell>
        </row>
        <row r="252">
          <cell r="B252">
            <v>32000000000249</v>
          </cell>
          <cell r="C252">
            <v>25000000000249</v>
          </cell>
          <cell r="D252" t="str">
            <v>Kevin Henokh Tambunan</v>
          </cell>
          <cell r="E252" t="str">
            <v/>
          </cell>
        </row>
        <row r="253">
          <cell r="B253">
            <v>32000000000250</v>
          </cell>
          <cell r="C253">
            <v>25000000000250</v>
          </cell>
          <cell r="D253" t="str">
            <v>Khafid Fahrurrozi</v>
          </cell>
          <cell r="E253" t="str">
            <v/>
          </cell>
        </row>
        <row r="254">
          <cell r="B254">
            <v>32000000000251</v>
          </cell>
          <cell r="C254">
            <v>25000000000251</v>
          </cell>
          <cell r="D254" t="str">
            <v>Kholik</v>
          </cell>
          <cell r="E254" t="str">
            <v/>
          </cell>
        </row>
        <row r="255">
          <cell r="B255">
            <v>32000000000252</v>
          </cell>
          <cell r="C255">
            <v>25000000000252</v>
          </cell>
          <cell r="D255" t="str">
            <v>Kiki Mustikawati</v>
          </cell>
          <cell r="E255" t="str">
            <v/>
          </cell>
        </row>
        <row r="256">
          <cell r="B256">
            <v>32000000000253</v>
          </cell>
          <cell r="C256">
            <v>25000000000253</v>
          </cell>
          <cell r="D256" t="str">
            <v>Kornelius Sakan</v>
          </cell>
          <cell r="E256" t="str">
            <v>190803044</v>
          </cell>
        </row>
        <row r="257">
          <cell r="B257">
            <v>32000000000254</v>
          </cell>
          <cell r="C257">
            <v>25000000000254</v>
          </cell>
          <cell r="D257" t="str">
            <v>Kosasih</v>
          </cell>
          <cell r="E257" t="str">
            <v/>
          </cell>
        </row>
        <row r="258">
          <cell r="B258">
            <v>32000000000255</v>
          </cell>
          <cell r="C258">
            <v>25000000000255</v>
          </cell>
          <cell r="D258" t="str">
            <v>Krisnawan</v>
          </cell>
          <cell r="E258" t="str">
            <v/>
          </cell>
        </row>
        <row r="259">
          <cell r="B259">
            <v>32000000000256</v>
          </cell>
          <cell r="C259">
            <v>25000000000256</v>
          </cell>
          <cell r="D259" t="str">
            <v>Kurniadi</v>
          </cell>
          <cell r="E259" t="str">
            <v/>
          </cell>
        </row>
        <row r="260">
          <cell r="B260">
            <v>32000000000257</v>
          </cell>
          <cell r="C260">
            <v>25000000000257</v>
          </cell>
          <cell r="D260" t="str">
            <v>Kurniawan</v>
          </cell>
          <cell r="E260" t="str">
            <v/>
          </cell>
        </row>
        <row r="261">
          <cell r="B261">
            <v>32000000000258</v>
          </cell>
          <cell r="C261">
            <v>25000000000258</v>
          </cell>
          <cell r="D261" t="str">
            <v>Laode</v>
          </cell>
          <cell r="E261" t="str">
            <v/>
          </cell>
        </row>
        <row r="262">
          <cell r="B262">
            <v>32000000000259</v>
          </cell>
          <cell r="C262">
            <v>25000000000259</v>
          </cell>
          <cell r="D262" t="str">
            <v>Leo Nababan</v>
          </cell>
          <cell r="E262" t="str">
            <v/>
          </cell>
        </row>
        <row r="263">
          <cell r="B263">
            <v>32000000000260</v>
          </cell>
          <cell r="C263">
            <v>25000000000260</v>
          </cell>
          <cell r="D263" t="str">
            <v>Liani Atmaningrum</v>
          </cell>
          <cell r="E263" t="str">
            <v/>
          </cell>
        </row>
        <row r="264">
          <cell r="B264">
            <v>32000000000261</v>
          </cell>
          <cell r="C264">
            <v>25000000000261</v>
          </cell>
          <cell r="D264" t="str">
            <v>Liaseptriani Liaseptriani</v>
          </cell>
          <cell r="E264" t="str">
            <v/>
          </cell>
        </row>
        <row r="265">
          <cell r="B265">
            <v>32000000000262</v>
          </cell>
          <cell r="C265">
            <v>25000000000262</v>
          </cell>
          <cell r="D265" t="str">
            <v>Lisma Natalia</v>
          </cell>
          <cell r="E265" t="str">
            <v>170918883</v>
          </cell>
        </row>
        <row r="266">
          <cell r="B266">
            <v>32000000000263</v>
          </cell>
          <cell r="C266">
            <v>25000000000263</v>
          </cell>
          <cell r="D266" t="str">
            <v>Listyo Hartanto</v>
          </cell>
          <cell r="E266" t="str">
            <v/>
          </cell>
        </row>
        <row r="267">
          <cell r="B267">
            <v>32000000000264</v>
          </cell>
          <cell r="C267">
            <v>25000000000264</v>
          </cell>
          <cell r="D267" t="str">
            <v>M. Ari Ardizah Nasution</v>
          </cell>
          <cell r="E267" t="str">
            <v/>
          </cell>
        </row>
        <row r="268">
          <cell r="B268">
            <v>32000000000265</v>
          </cell>
          <cell r="C268">
            <v>25000000000265</v>
          </cell>
          <cell r="D268" t="str">
            <v>M. Denny  Micrazudin</v>
          </cell>
          <cell r="E268" t="str">
            <v/>
          </cell>
        </row>
        <row r="269">
          <cell r="B269">
            <v>32000000000266</v>
          </cell>
          <cell r="C269">
            <v>25000000000266</v>
          </cell>
          <cell r="D269" t="str">
            <v>M. Ridho Pramudia</v>
          </cell>
          <cell r="E269" t="str">
            <v/>
          </cell>
        </row>
        <row r="270">
          <cell r="B270">
            <v>32000000000267</v>
          </cell>
          <cell r="C270">
            <v>25000000000267</v>
          </cell>
          <cell r="D270" t="str">
            <v>M. Rusdi</v>
          </cell>
          <cell r="E270" t="str">
            <v/>
          </cell>
        </row>
        <row r="271">
          <cell r="B271">
            <v>32000000000268</v>
          </cell>
          <cell r="C271">
            <v>25000000000268</v>
          </cell>
          <cell r="D271" t="str">
            <v>M. Ervan Isyawal Akbar</v>
          </cell>
          <cell r="E271" t="str">
            <v/>
          </cell>
        </row>
        <row r="272">
          <cell r="B272">
            <v>32000000000269</v>
          </cell>
          <cell r="C272">
            <v>25000000000269</v>
          </cell>
          <cell r="D272" t="str">
            <v>Maharani Tanjungsari</v>
          </cell>
          <cell r="E272" t="str">
            <v/>
          </cell>
        </row>
        <row r="273">
          <cell r="B273">
            <v>32000000000270</v>
          </cell>
          <cell r="C273">
            <v>25000000000270</v>
          </cell>
          <cell r="D273" t="str">
            <v>Maharani Uthmaniah</v>
          </cell>
          <cell r="E273" t="str">
            <v/>
          </cell>
        </row>
        <row r="274">
          <cell r="B274">
            <v>32000000000271</v>
          </cell>
          <cell r="C274">
            <v>25000000000271</v>
          </cell>
          <cell r="D274" t="str">
            <v>Manotar Tamba</v>
          </cell>
          <cell r="E274" t="str">
            <v/>
          </cell>
        </row>
        <row r="275">
          <cell r="B275">
            <v>32000000000272</v>
          </cell>
          <cell r="C275">
            <v>25000000000272</v>
          </cell>
          <cell r="D275" t="str">
            <v>Maradona Manurung</v>
          </cell>
          <cell r="E275" t="str">
            <v/>
          </cell>
        </row>
        <row r="276">
          <cell r="B276">
            <v>32000000000273</v>
          </cell>
          <cell r="C276">
            <v>25000000000273</v>
          </cell>
          <cell r="D276" t="str">
            <v>Pantas Banjarnahor Marbun</v>
          </cell>
          <cell r="E276" t="str">
            <v>160603011</v>
          </cell>
        </row>
        <row r="277">
          <cell r="B277">
            <v>32000000000274</v>
          </cell>
          <cell r="C277">
            <v>25000000000274</v>
          </cell>
          <cell r="D277" t="str">
            <v>Marcella Avia Ramadhinaningrum</v>
          </cell>
          <cell r="E277" t="str">
            <v/>
          </cell>
        </row>
        <row r="278">
          <cell r="B278">
            <v>32000000000275</v>
          </cell>
          <cell r="C278">
            <v>25000000000275</v>
          </cell>
          <cell r="D278" t="str">
            <v>Marissa Watak</v>
          </cell>
          <cell r="E278" t="str">
            <v/>
          </cell>
        </row>
        <row r="279">
          <cell r="B279">
            <v>32000000000276</v>
          </cell>
          <cell r="C279">
            <v>25000000000276</v>
          </cell>
          <cell r="D279" t="str">
            <v>Marten Tabun</v>
          </cell>
          <cell r="E279" t="str">
            <v>010513665</v>
          </cell>
        </row>
        <row r="280">
          <cell r="B280">
            <v>32000000000277</v>
          </cell>
          <cell r="C280">
            <v>25000000000277</v>
          </cell>
          <cell r="D280" t="str">
            <v>Martimbul Rahman</v>
          </cell>
          <cell r="E280" t="str">
            <v>110621951</v>
          </cell>
        </row>
        <row r="281">
          <cell r="B281">
            <v>32000000000278</v>
          </cell>
          <cell r="C281">
            <v>25000000000278</v>
          </cell>
          <cell r="D281" t="str">
            <v>T. Marungkil U. S. Sagala</v>
          </cell>
          <cell r="E281" t="str">
            <v>010210516</v>
          </cell>
        </row>
        <row r="282">
          <cell r="B282">
            <v>32000000000279</v>
          </cell>
          <cell r="C282">
            <v>25000000000279</v>
          </cell>
          <cell r="D282" t="str">
            <v>Marzuki</v>
          </cell>
          <cell r="E282" t="str">
            <v/>
          </cell>
        </row>
        <row r="283">
          <cell r="B283">
            <v>32000000000280</v>
          </cell>
          <cell r="C283">
            <v>25000000000280</v>
          </cell>
          <cell r="D283" t="str">
            <v>Mashuri Mashuri</v>
          </cell>
          <cell r="E283" t="str">
            <v/>
          </cell>
        </row>
        <row r="284">
          <cell r="B284">
            <v>32000000000281</v>
          </cell>
          <cell r="C284">
            <v>25000000000281</v>
          </cell>
          <cell r="D284" t="str">
            <v>Mat Soleh</v>
          </cell>
          <cell r="E284" t="str">
            <v/>
          </cell>
        </row>
        <row r="285">
          <cell r="B285">
            <v>32000000000282</v>
          </cell>
          <cell r="C285">
            <v>25000000000282</v>
          </cell>
          <cell r="D285" t="str">
            <v>Mhd Syahputra</v>
          </cell>
          <cell r="E285" t="str">
            <v/>
          </cell>
        </row>
        <row r="286">
          <cell r="B286">
            <v>32000000000283</v>
          </cell>
          <cell r="C286">
            <v>25000000000283</v>
          </cell>
          <cell r="D286" t="str">
            <v>Mia Puspitasari</v>
          </cell>
          <cell r="E286" t="str">
            <v/>
          </cell>
        </row>
        <row r="287">
          <cell r="B287">
            <v>32000000000284</v>
          </cell>
          <cell r="C287">
            <v>25000000000284</v>
          </cell>
          <cell r="D287" t="str">
            <v>Midin Ena</v>
          </cell>
          <cell r="E287" t="str">
            <v/>
          </cell>
        </row>
        <row r="288">
          <cell r="B288">
            <v>32000000000285</v>
          </cell>
          <cell r="C288">
            <v>25000000000285</v>
          </cell>
          <cell r="D288" t="str">
            <v>Miftakhul Muzakky</v>
          </cell>
          <cell r="E288" t="str">
            <v/>
          </cell>
        </row>
        <row r="289">
          <cell r="B289">
            <v>32000000000286</v>
          </cell>
          <cell r="C289">
            <v>25000000000286</v>
          </cell>
          <cell r="D289" t="str">
            <v>Mista</v>
          </cell>
          <cell r="E289" t="str">
            <v/>
          </cell>
        </row>
        <row r="290">
          <cell r="B290">
            <v>32000000000287</v>
          </cell>
          <cell r="C290">
            <v>25000000000287</v>
          </cell>
          <cell r="D290" t="str">
            <v>Mochamad Samman</v>
          </cell>
          <cell r="E290" t="str">
            <v/>
          </cell>
        </row>
        <row r="291">
          <cell r="B291">
            <v>32000000000288</v>
          </cell>
          <cell r="C291">
            <v>25000000000288</v>
          </cell>
          <cell r="D291" t="str">
            <v>Moh. Afif</v>
          </cell>
          <cell r="E291" t="str">
            <v/>
          </cell>
        </row>
        <row r="292">
          <cell r="B292">
            <v>32000000000289</v>
          </cell>
          <cell r="C292">
            <v>25000000000289</v>
          </cell>
          <cell r="D292" t="str">
            <v>Mohammad Arman Tompo</v>
          </cell>
          <cell r="E292" t="str">
            <v/>
          </cell>
        </row>
        <row r="293">
          <cell r="B293">
            <v>32000000000290</v>
          </cell>
          <cell r="C293">
            <v>25000000000290</v>
          </cell>
          <cell r="D293" t="str">
            <v>Mohd. Elfan Pratama</v>
          </cell>
          <cell r="E293" t="str">
            <v/>
          </cell>
        </row>
        <row r="294">
          <cell r="B294">
            <v>32000000000291</v>
          </cell>
          <cell r="C294">
            <v>25000000000291</v>
          </cell>
          <cell r="D294" t="str">
            <v>Monang Simarmata</v>
          </cell>
          <cell r="E294" t="str">
            <v/>
          </cell>
        </row>
        <row r="295">
          <cell r="B295">
            <v>32000000000292</v>
          </cell>
          <cell r="C295">
            <v>25000000000292</v>
          </cell>
          <cell r="D295" t="str">
            <v>Moritz Thomsen Marbun</v>
          </cell>
          <cell r="E295" t="str">
            <v/>
          </cell>
        </row>
        <row r="296">
          <cell r="B296">
            <v>32000000000293</v>
          </cell>
          <cell r="C296">
            <v>25000000000293</v>
          </cell>
          <cell r="D296" t="str">
            <v>Muhamad Hamdan Rifai</v>
          </cell>
          <cell r="E296" t="str">
            <v/>
          </cell>
        </row>
        <row r="297">
          <cell r="B297">
            <v>32000000000294</v>
          </cell>
          <cell r="C297">
            <v>25000000000294</v>
          </cell>
          <cell r="D297" t="str">
            <v>Muhamad Ikhsan</v>
          </cell>
          <cell r="E297" t="str">
            <v/>
          </cell>
        </row>
        <row r="298">
          <cell r="B298">
            <v>32000000000295</v>
          </cell>
          <cell r="C298">
            <v>25000000000295</v>
          </cell>
          <cell r="D298" t="str">
            <v>Muhamad Nurhamsach</v>
          </cell>
          <cell r="E298" t="str">
            <v/>
          </cell>
        </row>
        <row r="299">
          <cell r="B299">
            <v>32000000000296</v>
          </cell>
          <cell r="C299">
            <v>25000000000296</v>
          </cell>
          <cell r="D299" t="str">
            <v>Muhammad Ardiansyah</v>
          </cell>
          <cell r="E299" t="str">
            <v/>
          </cell>
        </row>
        <row r="300">
          <cell r="B300">
            <v>32000000000297</v>
          </cell>
          <cell r="C300">
            <v>25000000000297</v>
          </cell>
          <cell r="D300" t="str">
            <v>Muhammad Khadafy</v>
          </cell>
          <cell r="E300" t="str">
            <v/>
          </cell>
        </row>
        <row r="301">
          <cell r="B301">
            <v>32000000000298</v>
          </cell>
          <cell r="C301">
            <v>25000000000298</v>
          </cell>
          <cell r="D301" t="str">
            <v>Muhammad Taufan</v>
          </cell>
          <cell r="E301" t="str">
            <v/>
          </cell>
        </row>
        <row r="302">
          <cell r="B302">
            <v>32000000000299</v>
          </cell>
          <cell r="C302">
            <v>25000000000299</v>
          </cell>
          <cell r="D302" t="str">
            <v>Muklis</v>
          </cell>
          <cell r="E302" t="str">
            <v/>
          </cell>
        </row>
        <row r="303">
          <cell r="B303">
            <v>32000000000300</v>
          </cell>
          <cell r="C303">
            <v>25000000000300</v>
          </cell>
          <cell r="D303" t="str">
            <v>Mulia Rohanson Harahap</v>
          </cell>
          <cell r="E303" t="str">
            <v/>
          </cell>
        </row>
        <row r="304">
          <cell r="B304">
            <v>32000000000301</v>
          </cell>
          <cell r="C304">
            <v>25000000000301</v>
          </cell>
          <cell r="D304" t="str">
            <v>Mullan Tresna</v>
          </cell>
          <cell r="E304" t="str">
            <v>030105116</v>
          </cell>
        </row>
        <row r="305">
          <cell r="B305">
            <v>32000000000302</v>
          </cell>
          <cell r="C305">
            <v>25000000000302</v>
          </cell>
          <cell r="D305" t="str">
            <v>Mulyadi</v>
          </cell>
          <cell r="E305" t="str">
            <v/>
          </cell>
        </row>
        <row r="306">
          <cell r="B306">
            <v>32000000000303</v>
          </cell>
          <cell r="C306">
            <v>25000000000303</v>
          </cell>
          <cell r="D306" t="str">
            <v>Mulyono</v>
          </cell>
          <cell r="E306" t="str">
            <v/>
          </cell>
        </row>
        <row r="307">
          <cell r="B307">
            <v>32000000000304</v>
          </cell>
          <cell r="C307">
            <v>25000000000304</v>
          </cell>
          <cell r="D307" t="str">
            <v>Murdiansyah</v>
          </cell>
          <cell r="E307" t="str">
            <v/>
          </cell>
        </row>
        <row r="308">
          <cell r="B308">
            <v>32000000000305</v>
          </cell>
          <cell r="C308">
            <v>25000000000305</v>
          </cell>
          <cell r="D308" t="str">
            <v>Mursalim</v>
          </cell>
          <cell r="E308" t="str">
            <v/>
          </cell>
        </row>
        <row r="309">
          <cell r="B309">
            <v>32000000000306</v>
          </cell>
          <cell r="C309">
            <v>25000000000306</v>
          </cell>
          <cell r="D309" t="str">
            <v>Nancy Meriana Sinaga</v>
          </cell>
          <cell r="E309" t="str">
            <v/>
          </cell>
        </row>
        <row r="310">
          <cell r="B310">
            <v>32000000000307</v>
          </cell>
          <cell r="C310">
            <v>25000000000307</v>
          </cell>
          <cell r="D310" t="str">
            <v>Nandang Effendi</v>
          </cell>
          <cell r="E310" t="str">
            <v>061106279</v>
          </cell>
        </row>
        <row r="311">
          <cell r="B311">
            <v>32000000000308</v>
          </cell>
          <cell r="C311">
            <v>25000000000308</v>
          </cell>
          <cell r="D311" t="str">
            <v>Narno</v>
          </cell>
          <cell r="E311" t="str">
            <v/>
          </cell>
        </row>
        <row r="312">
          <cell r="B312">
            <v>32000000000309</v>
          </cell>
          <cell r="C312">
            <v>25000000000309</v>
          </cell>
          <cell r="D312" t="str">
            <v>Nasrul Anwar P.</v>
          </cell>
          <cell r="E312" t="str">
            <v/>
          </cell>
        </row>
        <row r="313">
          <cell r="B313">
            <v>32000000000310</v>
          </cell>
          <cell r="C313">
            <v>25000000000310</v>
          </cell>
          <cell r="D313" t="str">
            <v>Nawal</v>
          </cell>
          <cell r="E313" t="str">
            <v/>
          </cell>
        </row>
        <row r="314">
          <cell r="B314">
            <v>32000000000311</v>
          </cell>
          <cell r="C314">
            <v>25000000000311</v>
          </cell>
          <cell r="D314" t="str">
            <v>Nawir Lahamutu</v>
          </cell>
          <cell r="E314" t="str">
            <v/>
          </cell>
        </row>
        <row r="315">
          <cell r="B315">
            <v>32000000000312</v>
          </cell>
          <cell r="C315">
            <v>25000000000312</v>
          </cell>
          <cell r="D315" t="str">
            <v>Nicky Kurnia</v>
          </cell>
          <cell r="E315" t="str">
            <v/>
          </cell>
        </row>
        <row r="316">
          <cell r="B316">
            <v>32000000000313</v>
          </cell>
          <cell r="C316">
            <v>25000000000313</v>
          </cell>
          <cell r="D316" t="str">
            <v>Noercholis Firmansyah</v>
          </cell>
          <cell r="E316" t="str">
            <v/>
          </cell>
        </row>
        <row r="317">
          <cell r="B317">
            <v>32000000000314</v>
          </cell>
          <cell r="C317">
            <v>25000000000314</v>
          </cell>
          <cell r="D317" t="str">
            <v>Nopitasari</v>
          </cell>
          <cell r="E317" t="str">
            <v/>
          </cell>
        </row>
        <row r="318">
          <cell r="B318">
            <v>32000000000315</v>
          </cell>
          <cell r="C318">
            <v>25000000000315</v>
          </cell>
          <cell r="D318" t="str">
            <v>Nora Meilissa</v>
          </cell>
          <cell r="E318" t="str">
            <v/>
          </cell>
        </row>
        <row r="319">
          <cell r="B319">
            <v>32000000000316</v>
          </cell>
          <cell r="C319">
            <v>25000000000316</v>
          </cell>
          <cell r="D319" t="str">
            <v>Novalia</v>
          </cell>
          <cell r="E319" t="str">
            <v/>
          </cell>
        </row>
        <row r="320">
          <cell r="B320">
            <v>32000000000317</v>
          </cell>
          <cell r="C320">
            <v>25000000000317</v>
          </cell>
          <cell r="D320" t="str">
            <v>Novan Nugraha</v>
          </cell>
          <cell r="E320" t="str">
            <v/>
          </cell>
        </row>
        <row r="321">
          <cell r="B321">
            <v>32000000000318</v>
          </cell>
          <cell r="C321">
            <v>25000000000318</v>
          </cell>
          <cell r="D321" t="str">
            <v>Nugraha</v>
          </cell>
          <cell r="E321" t="str">
            <v/>
          </cell>
        </row>
        <row r="322">
          <cell r="B322">
            <v>32000000000319</v>
          </cell>
          <cell r="C322">
            <v>25000000000319</v>
          </cell>
          <cell r="D322" t="str">
            <v>Nugroho Putranto</v>
          </cell>
          <cell r="E322" t="str">
            <v/>
          </cell>
        </row>
        <row r="323">
          <cell r="B323">
            <v>32000000000320</v>
          </cell>
          <cell r="C323">
            <v>25000000000320</v>
          </cell>
          <cell r="D323" t="str">
            <v>Nur Indra Sri Melati</v>
          </cell>
          <cell r="E323" t="str">
            <v/>
          </cell>
        </row>
        <row r="324">
          <cell r="B324">
            <v>32000000000321</v>
          </cell>
          <cell r="C324">
            <v>25000000000321</v>
          </cell>
          <cell r="D324" t="str">
            <v>Nur Kusumowati</v>
          </cell>
          <cell r="E324" t="str">
            <v/>
          </cell>
        </row>
        <row r="325">
          <cell r="B325">
            <v>32000000000322</v>
          </cell>
          <cell r="C325">
            <v>25000000000322</v>
          </cell>
          <cell r="D325" t="str">
            <v>Nurhidayat</v>
          </cell>
          <cell r="E325" t="str">
            <v/>
          </cell>
        </row>
        <row r="326">
          <cell r="B326">
            <v>32000000000323</v>
          </cell>
          <cell r="C326">
            <v>25000000000323</v>
          </cell>
          <cell r="D326" t="str">
            <v>Otong Bustori</v>
          </cell>
          <cell r="E326" t="str">
            <v/>
          </cell>
        </row>
        <row r="327">
          <cell r="B327">
            <v>32000000000324</v>
          </cell>
          <cell r="C327">
            <v>25000000000324</v>
          </cell>
          <cell r="D327" t="str">
            <v>Paino Suprayinto</v>
          </cell>
          <cell r="E327" t="str">
            <v/>
          </cell>
        </row>
        <row r="328">
          <cell r="B328">
            <v>32000000000325</v>
          </cell>
          <cell r="C328">
            <v>25000000000325</v>
          </cell>
          <cell r="D328" t="str">
            <v>Panca Yudi Baskoro</v>
          </cell>
          <cell r="E328" t="str">
            <v>070518868</v>
          </cell>
        </row>
        <row r="329">
          <cell r="B329">
            <v>32000000000326</v>
          </cell>
          <cell r="C329">
            <v>25000000000326</v>
          </cell>
          <cell r="D329" t="str">
            <v>Panji Bima Santri</v>
          </cell>
          <cell r="E329" t="str">
            <v/>
          </cell>
        </row>
        <row r="330">
          <cell r="B330">
            <v>32000000000327</v>
          </cell>
          <cell r="C330">
            <v>25000000000327</v>
          </cell>
          <cell r="D330" t="str">
            <v>Parulian Napitupulu</v>
          </cell>
          <cell r="E330" t="str">
            <v/>
          </cell>
        </row>
        <row r="331">
          <cell r="B331">
            <v>32000000000328</v>
          </cell>
          <cell r="C331">
            <v>25000000000328</v>
          </cell>
          <cell r="D331" t="str">
            <v>Paryanto</v>
          </cell>
          <cell r="E331" t="str">
            <v/>
          </cell>
        </row>
        <row r="332">
          <cell r="B332">
            <v>32000000000329</v>
          </cell>
          <cell r="C332">
            <v>25000000000329</v>
          </cell>
          <cell r="D332" t="str">
            <v>Pikri Hidayat</v>
          </cell>
          <cell r="E332" t="str">
            <v/>
          </cell>
        </row>
        <row r="333">
          <cell r="B333">
            <v>32000000000330</v>
          </cell>
          <cell r="C333">
            <v>25000000000330</v>
          </cell>
          <cell r="D333" t="str">
            <v>Prayanti Dewi Anggraini</v>
          </cell>
          <cell r="E333" t="str">
            <v>260115754</v>
          </cell>
        </row>
        <row r="334">
          <cell r="B334">
            <v>32000000000331</v>
          </cell>
          <cell r="C334">
            <v>25000000000331</v>
          </cell>
          <cell r="D334" t="str">
            <v>Prayati Zai</v>
          </cell>
          <cell r="E334" t="str">
            <v/>
          </cell>
        </row>
        <row r="335">
          <cell r="B335">
            <v>32000000000332</v>
          </cell>
          <cell r="C335">
            <v>25000000000332</v>
          </cell>
          <cell r="D335" t="str">
            <v>Pristu Andonoto</v>
          </cell>
          <cell r="E335" t="str">
            <v/>
          </cell>
        </row>
        <row r="336">
          <cell r="B336">
            <v>32000000000333</v>
          </cell>
          <cell r="C336">
            <v>25000000000333</v>
          </cell>
          <cell r="D336" t="str">
            <v>Putra Perdana Tirtomoyo</v>
          </cell>
          <cell r="E336" t="str">
            <v/>
          </cell>
        </row>
        <row r="337">
          <cell r="B337">
            <v>32000000000334</v>
          </cell>
          <cell r="C337">
            <v>25000000000334</v>
          </cell>
          <cell r="D337" t="str">
            <v>R. Lar Kumalaning Tresno</v>
          </cell>
          <cell r="E337" t="str">
            <v/>
          </cell>
        </row>
        <row r="338">
          <cell r="B338">
            <v>32000000000335</v>
          </cell>
          <cell r="C338">
            <v>25000000000335</v>
          </cell>
          <cell r="D338" t="str">
            <v>Rachmad</v>
          </cell>
          <cell r="E338" t="str">
            <v/>
          </cell>
        </row>
        <row r="339">
          <cell r="B339">
            <v>32000000000336</v>
          </cell>
          <cell r="C339">
            <v>25000000000336</v>
          </cell>
          <cell r="D339" t="str">
            <v>Radjiman</v>
          </cell>
          <cell r="E339" t="str">
            <v/>
          </cell>
        </row>
        <row r="340">
          <cell r="B340">
            <v>32000000000337</v>
          </cell>
          <cell r="C340">
            <v>25000000000337</v>
          </cell>
          <cell r="D340" t="str">
            <v>Rafi Firman Saputra</v>
          </cell>
          <cell r="E340" t="str">
            <v/>
          </cell>
        </row>
        <row r="341">
          <cell r="B341">
            <v>32000000000338</v>
          </cell>
          <cell r="C341">
            <v>25000000000338</v>
          </cell>
          <cell r="D341" t="str">
            <v>Rahmat Riyadi</v>
          </cell>
          <cell r="E341" t="str">
            <v/>
          </cell>
        </row>
        <row r="342">
          <cell r="B342">
            <v>32000000000339</v>
          </cell>
          <cell r="C342">
            <v>25000000000339</v>
          </cell>
          <cell r="D342" t="str">
            <v>Rahmat Sirfano</v>
          </cell>
          <cell r="E342" t="str">
            <v/>
          </cell>
        </row>
        <row r="343">
          <cell r="B343">
            <v>32000000000340</v>
          </cell>
          <cell r="C343">
            <v>25000000000340</v>
          </cell>
          <cell r="D343" t="str">
            <v>Rais Indra Noor</v>
          </cell>
          <cell r="E343" t="str">
            <v/>
          </cell>
        </row>
        <row r="344">
          <cell r="B344">
            <v>32000000000341</v>
          </cell>
          <cell r="C344">
            <v>25000000000341</v>
          </cell>
          <cell r="D344" t="str">
            <v>Rakman A. Hadi</v>
          </cell>
          <cell r="E344" t="str">
            <v/>
          </cell>
        </row>
        <row r="345">
          <cell r="B345">
            <v>32000000000342</v>
          </cell>
          <cell r="C345">
            <v>25000000000342</v>
          </cell>
          <cell r="D345" t="str">
            <v>Ramaizon</v>
          </cell>
          <cell r="E345" t="str">
            <v/>
          </cell>
        </row>
        <row r="346">
          <cell r="B346">
            <v>32000000000343</v>
          </cell>
          <cell r="C346">
            <v>25000000000343</v>
          </cell>
          <cell r="D346" t="str">
            <v>Rangga Darmawan</v>
          </cell>
          <cell r="E346" t="str">
            <v/>
          </cell>
        </row>
        <row r="347">
          <cell r="B347">
            <v>32000000000344</v>
          </cell>
          <cell r="C347">
            <v>25000000000344</v>
          </cell>
          <cell r="D347" t="str">
            <v>Raoli Nainggolan</v>
          </cell>
          <cell r="E347" t="str">
            <v/>
          </cell>
        </row>
        <row r="348">
          <cell r="B348">
            <v>32000000000345</v>
          </cell>
          <cell r="C348">
            <v>25000000000345</v>
          </cell>
          <cell r="D348" t="str">
            <v>Rayan Suryadikara</v>
          </cell>
          <cell r="E348" t="str">
            <v/>
          </cell>
        </row>
        <row r="349">
          <cell r="B349">
            <v>32000000000346</v>
          </cell>
          <cell r="C349">
            <v>25000000000346</v>
          </cell>
          <cell r="D349" t="str">
            <v>Redi Setiadi</v>
          </cell>
          <cell r="E349" t="str">
            <v/>
          </cell>
        </row>
        <row r="350">
          <cell r="B350">
            <v>32000000000347</v>
          </cell>
          <cell r="C350">
            <v>25000000000347</v>
          </cell>
          <cell r="D350" t="str">
            <v>Redi Subekti</v>
          </cell>
          <cell r="E350" t="str">
            <v>160603000</v>
          </cell>
        </row>
        <row r="351">
          <cell r="B351">
            <v>32000000000348</v>
          </cell>
          <cell r="C351">
            <v>25000000000348</v>
          </cell>
          <cell r="D351" t="str">
            <v>Rendy Prananta Purba</v>
          </cell>
          <cell r="E351" t="str">
            <v/>
          </cell>
        </row>
        <row r="352">
          <cell r="B352">
            <v>32000000000349</v>
          </cell>
          <cell r="C352">
            <v>25000000000349</v>
          </cell>
          <cell r="D352" t="str">
            <v>Reni Septiana</v>
          </cell>
          <cell r="E352" t="str">
            <v/>
          </cell>
        </row>
        <row r="353">
          <cell r="B353">
            <v>32000000000350</v>
          </cell>
          <cell r="C353">
            <v>25000000000350</v>
          </cell>
          <cell r="D353" t="str">
            <v>Rere Ronggolawe</v>
          </cell>
          <cell r="E353" t="str">
            <v/>
          </cell>
        </row>
        <row r="354">
          <cell r="B354">
            <v>32000000000351</v>
          </cell>
          <cell r="C354">
            <v>25000000000351</v>
          </cell>
          <cell r="D354" t="str">
            <v>Retnasha Gameswari</v>
          </cell>
          <cell r="E354" t="str">
            <v/>
          </cell>
        </row>
        <row r="355">
          <cell r="B355">
            <v>32000000000352</v>
          </cell>
          <cell r="C355">
            <v>25000000000352</v>
          </cell>
          <cell r="D355" t="str">
            <v>Rhino Priawan</v>
          </cell>
          <cell r="E355" t="str">
            <v>221110557</v>
          </cell>
        </row>
        <row r="356">
          <cell r="B356">
            <v>32000000000353</v>
          </cell>
          <cell r="C356">
            <v>25000000000353</v>
          </cell>
          <cell r="D356" t="str">
            <v>Rian Yushak</v>
          </cell>
          <cell r="E356" t="str">
            <v/>
          </cell>
        </row>
        <row r="357">
          <cell r="B357">
            <v>32000000000354</v>
          </cell>
          <cell r="C357">
            <v>25000000000354</v>
          </cell>
          <cell r="D357" t="str">
            <v>Riandi</v>
          </cell>
          <cell r="E357" t="str">
            <v/>
          </cell>
        </row>
        <row r="358">
          <cell r="B358">
            <v>32000000000355</v>
          </cell>
          <cell r="C358">
            <v>25000000000355</v>
          </cell>
          <cell r="D358" t="str">
            <v>Ricky Samuel</v>
          </cell>
          <cell r="E358" t="str">
            <v/>
          </cell>
        </row>
        <row r="359">
          <cell r="B359">
            <v>32000000000356</v>
          </cell>
          <cell r="C359">
            <v>25000000000356</v>
          </cell>
          <cell r="D359" t="str">
            <v>Ridwan Nurhadi</v>
          </cell>
          <cell r="E359" t="str">
            <v/>
          </cell>
        </row>
        <row r="360">
          <cell r="B360">
            <v>32000000000357</v>
          </cell>
          <cell r="C360">
            <v>25000000000357</v>
          </cell>
          <cell r="D360" t="str">
            <v>Rifki</v>
          </cell>
          <cell r="E360" t="str">
            <v/>
          </cell>
        </row>
        <row r="361">
          <cell r="B361">
            <v>32000000000358</v>
          </cell>
          <cell r="C361">
            <v>25000000000358</v>
          </cell>
          <cell r="D361" t="str">
            <v>Rika Ginting</v>
          </cell>
          <cell r="E361" t="str">
            <v/>
          </cell>
        </row>
        <row r="362">
          <cell r="B362">
            <v>32000000000359</v>
          </cell>
          <cell r="C362">
            <v>25000000000359</v>
          </cell>
          <cell r="D362" t="str">
            <v>Riki Chairul Anwar</v>
          </cell>
          <cell r="E362" t="str">
            <v/>
          </cell>
        </row>
        <row r="363">
          <cell r="B363">
            <v>32000000000360</v>
          </cell>
          <cell r="C363">
            <v>25000000000360</v>
          </cell>
          <cell r="D363" t="str">
            <v>Riki Evindra</v>
          </cell>
          <cell r="E363" t="str">
            <v/>
          </cell>
        </row>
        <row r="364">
          <cell r="B364">
            <v>32000000000361</v>
          </cell>
          <cell r="C364">
            <v>25000000000361</v>
          </cell>
          <cell r="D364" t="str">
            <v>Rinaldi Asrin</v>
          </cell>
          <cell r="E364" t="str">
            <v/>
          </cell>
        </row>
        <row r="365">
          <cell r="B365">
            <v>32000000000362</v>
          </cell>
          <cell r="C365">
            <v>25000000000362</v>
          </cell>
          <cell r="D365" t="str">
            <v>Rio Hakim</v>
          </cell>
          <cell r="E365" t="str">
            <v/>
          </cell>
        </row>
        <row r="366">
          <cell r="B366">
            <v>32000000000363</v>
          </cell>
          <cell r="C366">
            <v>25000000000363</v>
          </cell>
          <cell r="D366" t="str">
            <v>Rio Martha</v>
          </cell>
          <cell r="E366" t="str">
            <v/>
          </cell>
        </row>
        <row r="367">
          <cell r="B367">
            <v>32000000000364</v>
          </cell>
          <cell r="C367">
            <v>25000000000364</v>
          </cell>
          <cell r="D367" t="str">
            <v>Risdyanto Risdyanto</v>
          </cell>
          <cell r="E367" t="str">
            <v/>
          </cell>
        </row>
        <row r="368">
          <cell r="B368">
            <v>32000000000365</v>
          </cell>
          <cell r="C368">
            <v>25000000000365</v>
          </cell>
          <cell r="D368" t="str">
            <v>Rizak Tri Septian</v>
          </cell>
          <cell r="E368" t="str">
            <v/>
          </cell>
        </row>
        <row r="369">
          <cell r="B369">
            <v>32000000000366</v>
          </cell>
          <cell r="C369">
            <v>25000000000366</v>
          </cell>
          <cell r="D369" t="str">
            <v>Rizki Akbar</v>
          </cell>
          <cell r="E369" t="str">
            <v/>
          </cell>
        </row>
        <row r="370">
          <cell r="B370">
            <v>32000000000367</v>
          </cell>
          <cell r="C370">
            <v>25000000000367</v>
          </cell>
          <cell r="D370" t="str">
            <v>Rizky Fauzy</v>
          </cell>
          <cell r="E370" t="str">
            <v/>
          </cell>
        </row>
        <row r="371">
          <cell r="B371">
            <v>32000000000368</v>
          </cell>
          <cell r="C371">
            <v>25000000000368</v>
          </cell>
          <cell r="D371" t="str">
            <v>Rizky Reza Pradipta</v>
          </cell>
          <cell r="E371" t="str">
            <v/>
          </cell>
        </row>
        <row r="372">
          <cell r="B372">
            <v>32000000000369</v>
          </cell>
          <cell r="C372">
            <v>25000000000369</v>
          </cell>
          <cell r="D372" t="str">
            <v>Rohendi Rohendi</v>
          </cell>
          <cell r="E372" t="str">
            <v/>
          </cell>
        </row>
        <row r="373">
          <cell r="B373">
            <v>32000000000370</v>
          </cell>
          <cell r="C373">
            <v>25000000000370</v>
          </cell>
          <cell r="D373" t="str">
            <v>Rohmani</v>
          </cell>
          <cell r="E373" t="str">
            <v/>
          </cell>
        </row>
        <row r="374">
          <cell r="B374">
            <v>32000000000371</v>
          </cell>
          <cell r="C374">
            <v>25000000000371</v>
          </cell>
          <cell r="D374" t="str">
            <v>Rommel Hutapea</v>
          </cell>
          <cell r="E374" t="str">
            <v/>
          </cell>
        </row>
        <row r="375">
          <cell r="B375">
            <v>32000000000372</v>
          </cell>
          <cell r="C375">
            <v>25000000000372</v>
          </cell>
          <cell r="D375" t="str">
            <v>Roy Aditya</v>
          </cell>
          <cell r="E375" t="str">
            <v>160921954</v>
          </cell>
        </row>
        <row r="376">
          <cell r="B376">
            <v>32000000000373</v>
          </cell>
          <cell r="C376">
            <v>25000000000373</v>
          </cell>
          <cell r="D376" t="str">
            <v>Rubah</v>
          </cell>
          <cell r="E376" t="str">
            <v/>
          </cell>
        </row>
        <row r="377">
          <cell r="B377">
            <v>32000000000374</v>
          </cell>
          <cell r="C377">
            <v>25000000000374</v>
          </cell>
          <cell r="D377" t="str">
            <v>Rudi Junaedi</v>
          </cell>
          <cell r="E377" t="str">
            <v/>
          </cell>
        </row>
        <row r="378">
          <cell r="B378">
            <v>32000000000375</v>
          </cell>
          <cell r="C378">
            <v>25000000000375</v>
          </cell>
          <cell r="D378" t="str">
            <v>Ruswandi</v>
          </cell>
          <cell r="E378" t="str">
            <v/>
          </cell>
        </row>
        <row r="379">
          <cell r="B379">
            <v>32000000000376</v>
          </cell>
          <cell r="C379">
            <v>25000000000376</v>
          </cell>
          <cell r="D379" t="str">
            <v>Ryan Bagus Sasminta</v>
          </cell>
          <cell r="E379" t="str">
            <v/>
          </cell>
        </row>
        <row r="380">
          <cell r="B380">
            <v>32000000000377</v>
          </cell>
          <cell r="C380">
            <v>25000000000377</v>
          </cell>
          <cell r="D380" t="str">
            <v>Saarah Andriani</v>
          </cell>
          <cell r="E380" t="str">
            <v/>
          </cell>
        </row>
        <row r="381">
          <cell r="B381">
            <v>32000000000378</v>
          </cell>
          <cell r="C381">
            <v>25000000000378</v>
          </cell>
          <cell r="D381" t="str">
            <v>Safira Nurbaiti</v>
          </cell>
          <cell r="E381" t="str">
            <v>030221945</v>
          </cell>
        </row>
        <row r="382">
          <cell r="B382">
            <v>32000000000379</v>
          </cell>
          <cell r="C382">
            <v>25000000000379</v>
          </cell>
          <cell r="D382" t="str">
            <v>Saifulloh</v>
          </cell>
          <cell r="E382" t="str">
            <v/>
          </cell>
        </row>
        <row r="383">
          <cell r="B383">
            <v>32000000000380</v>
          </cell>
          <cell r="C383">
            <v>25000000000380</v>
          </cell>
          <cell r="D383" t="str">
            <v>Saifuloh</v>
          </cell>
          <cell r="E383" t="str">
            <v/>
          </cell>
        </row>
        <row r="384">
          <cell r="B384">
            <v>32000000000381</v>
          </cell>
          <cell r="C384">
            <v>25000000000381</v>
          </cell>
          <cell r="D384" t="str">
            <v>Sakinah Tantriani Lubis</v>
          </cell>
          <cell r="E384" t="str">
            <v>161220941</v>
          </cell>
        </row>
        <row r="385">
          <cell r="B385">
            <v>32000000000382</v>
          </cell>
          <cell r="C385">
            <v>25000000000382</v>
          </cell>
          <cell r="D385" t="str">
            <v>Abdul Samad</v>
          </cell>
          <cell r="E385" t="str">
            <v>210904088</v>
          </cell>
        </row>
        <row r="386">
          <cell r="B386">
            <v>32000000000383</v>
          </cell>
          <cell r="C386">
            <v>25000000000383</v>
          </cell>
          <cell r="D386" t="str">
            <v>Samsul Hadi</v>
          </cell>
          <cell r="E386" t="str">
            <v/>
          </cell>
        </row>
        <row r="387">
          <cell r="B387">
            <v>32000000000384</v>
          </cell>
          <cell r="C387">
            <v>25000000000384</v>
          </cell>
          <cell r="D387" t="str">
            <v>Sandika</v>
          </cell>
          <cell r="E387" t="str">
            <v/>
          </cell>
        </row>
        <row r="388">
          <cell r="B388">
            <v>32000000000385</v>
          </cell>
          <cell r="C388">
            <v>25000000000385</v>
          </cell>
          <cell r="D388" t="str">
            <v>Sang Toga Sitompul</v>
          </cell>
          <cell r="E388" t="str">
            <v/>
          </cell>
        </row>
        <row r="389">
          <cell r="B389">
            <v>32000000000386</v>
          </cell>
          <cell r="C389">
            <v>25000000000386</v>
          </cell>
          <cell r="D389" t="str">
            <v>Santi Dewi R. W.</v>
          </cell>
          <cell r="E389" t="str">
            <v/>
          </cell>
        </row>
        <row r="390">
          <cell r="B390">
            <v>32000000000387</v>
          </cell>
          <cell r="C390">
            <v>25000000000387</v>
          </cell>
          <cell r="D390" t="str">
            <v>Sarah Sibarani</v>
          </cell>
          <cell r="E390" t="str">
            <v/>
          </cell>
        </row>
        <row r="391">
          <cell r="B391">
            <v>32000000000388</v>
          </cell>
          <cell r="C391">
            <v>25000000000388</v>
          </cell>
          <cell r="D391" t="str">
            <v>Sarif Hidayatul Umah</v>
          </cell>
          <cell r="E391" t="str">
            <v/>
          </cell>
        </row>
        <row r="392">
          <cell r="B392">
            <v>32000000000389</v>
          </cell>
          <cell r="C392">
            <v>25000000000389</v>
          </cell>
          <cell r="D392" t="str">
            <v>Satria Budi Raharja</v>
          </cell>
          <cell r="E392" t="str">
            <v/>
          </cell>
        </row>
        <row r="393">
          <cell r="B393">
            <v>32000000000390</v>
          </cell>
          <cell r="C393">
            <v>25000000000390</v>
          </cell>
          <cell r="D393" t="str">
            <v>Saut M. P. L. Tobing</v>
          </cell>
          <cell r="E393" t="str">
            <v/>
          </cell>
        </row>
        <row r="394">
          <cell r="B394">
            <v>32000000000391</v>
          </cell>
          <cell r="C394">
            <v>25000000000391</v>
          </cell>
          <cell r="D394" t="str">
            <v>Seftiyan Hadi Maulana</v>
          </cell>
          <cell r="E394" t="str">
            <v>141118892</v>
          </cell>
        </row>
        <row r="395">
          <cell r="B395">
            <v>32000000000392</v>
          </cell>
          <cell r="C395">
            <v>25000000000392</v>
          </cell>
          <cell r="D395" t="str">
            <v>Sena Andi Satria</v>
          </cell>
          <cell r="E395" t="str">
            <v/>
          </cell>
        </row>
        <row r="396">
          <cell r="B396">
            <v>32000000000393</v>
          </cell>
          <cell r="C396">
            <v>25000000000393</v>
          </cell>
          <cell r="D396" t="str">
            <v>Setiadi</v>
          </cell>
          <cell r="E396" t="str">
            <v>130906272</v>
          </cell>
        </row>
        <row r="397">
          <cell r="B397">
            <v>32000000000394</v>
          </cell>
          <cell r="C397">
            <v>25000000000394</v>
          </cell>
          <cell r="D397" t="str">
            <v>Sherly Tamira</v>
          </cell>
          <cell r="E397" t="str">
            <v/>
          </cell>
        </row>
        <row r="398">
          <cell r="B398">
            <v>32000000000395</v>
          </cell>
          <cell r="C398">
            <v>25000000000395</v>
          </cell>
          <cell r="D398" t="str">
            <v>Shihab</v>
          </cell>
          <cell r="E398" t="str">
            <v/>
          </cell>
        </row>
        <row r="399">
          <cell r="B399">
            <v>32000000000396</v>
          </cell>
          <cell r="C399">
            <v>25000000000396</v>
          </cell>
          <cell r="D399" t="str">
            <v>Shobarin Jabar</v>
          </cell>
          <cell r="E399" t="str">
            <v/>
          </cell>
        </row>
        <row r="400">
          <cell r="B400">
            <v>32000000000397</v>
          </cell>
          <cell r="C400">
            <v>25000000000397</v>
          </cell>
          <cell r="D400" t="str">
            <v>Sholehah</v>
          </cell>
          <cell r="E400" t="str">
            <v>240518874</v>
          </cell>
        </row>
        <row r="401">
          <cell r="B401">
            <v>32000000000398</v>
          </cell>
          <cell r="C401">
            <v>25000000000398</v>
          </cell>
          <cell r="D401" t="str">
            <v>Sigit Rudiantono</v>
          </cell>
          <cell r="E401" t="str">
            <v/>
          </cell>
        </row>
        <row r="402">
          <cell r="B402">
            <v>32000000000399</v>
          </cell>
          <cell r="C402">
            <v>25000000000399</v>
          </cell>
          <cell r="D402" t="str">
            <v>Silvia Putri</v>
          </cell>
          <cell r="E402" t="str">
            <v/>
          </cell>
        </row>
        <row r="403">
          <cell r="B403">
            <v>32000000000400</v>
          </cell>
          <cell r="C403">
            <v>25000000000400</v>
          </cell>
          <cell r="D403" t="str">
            <v>Simron Ronaldi Nasution</v>
          </cell>
          <cell r="E403" t="str">
            <v/>
          </cell>
        </row>
        <row r="404">
          <cell r="B404">
            <v>32000000000401</v>
          </cell>
          <cell r="C404">
            <v>25000000000401</v>
          </cell>
          <cell r="D404" t="str">
            <v>Sinta Vera Trikawati</v>
          </cell>
          <cell r="E404" t="str">
            <v/>
          </cell>
        </row>
        <row r="405">
          <cell r="B405">
            <v>32000000000402</v>
          </cell>
          <cell r="C405">
            <v>25000000000402</v>
          </cell>
          <cell r="D405" t="str">
            <v>Sir Muhammad Zafrulloh Khan</v>
          </cell>
          <cell r="E405" t="str">
            <v/>
          </cell>
        </row>
        <row r="406">
          <cell r="B406">
            <v>32000000000403</v>
          </cell>
          <cell r="C406">
            <v>25000000000403</v>
          </cell>
          <cell r="D406" t="str">
            <v>Siska Marlina</v>
          </cell>
          <cell r="E406" t="str">
            <v/>
          </cell>
        </row>
        <row r="407">
          <cell r="B407">
            <v>32000000000404</v>
          </cell>
          <cell r="C407">
            <v>25000000000404</v>
          </cell>
          <cell r="D407" t="str">
            <v>Siswanto</v>
          </cell>
          <cell r="E407" t="str">
            <v/>
          </cell>
        </row>
        <row r="408">
          <cell r="B408">
            <v>32000000000405</v>
          </cell>
          <cell r="C408">
            <v>25000000000405</v>
          </cell>
          <cell r="D408" t="str">
            <v>Siti Mulyani</v>
          </cell>
          <cell r="E408" t="str">
            <v/>
          </cell>
        </row>
        <row r="409">
          <cell r="B409">
            <v>32000000000406</v>
          </cell>
          <cell r="C409">
            <v>25000000000406</v>
          </cell>
          <cell r="D409" t="str">
            <v>Sjanti Devi</v>
          </cell>
          <cell r="E409" t="str">
            <v/>
          </cell>
        </row>
        <row r="410">
          <cell r="B410">
            <v>32000000000407</v>
          </cell>
          <cell r="C410">
            <v>25000000000407</v>
          </cell>
          <cell r="D410" t="str">
            <v>Slamet Budi Setiawan</v>
          </cell>
          <cell r="E410" t="str">
            <v/>
          </cell>
        </row>
        <row r="411">
          <cell r="B411">
            <v>32000000000408</v>
          </cell>
          <cell r="C411">
            <v>25000000000408</v>
          </cell>
          <cell r="D411" t="str">
            <v>Sofyan Maulana</v>
          </cell>
          <cell r="E411" t="str">
            <v/>
          </cell>
        </row>
        <row r="412">
          <cell r="B412">
            <v>32000000000409</v>
          </cell>
          <cell r="C412">
            <v>25000000000409</v>
          </cell>
          <cell r="D412" t="str">
            <v>Subagio</v>
          </cell>
          <cell r="E412" t="str">
            <v/>
          </cell>
        </row>
        <row r="413">
          <cell r="B413">
            <v>32000000000410</v>
          </cell>
          <cell r="C413">
            <v>25000000000410</v>
          </cell>
          <cell r="D413" t="str">
            <v>Suci Mardiana</v>
          </cell>
          <cell r="E413" t="str">
            <v/>
          </cell>
        </row>
        <row r="414">
          <cell r="B414">
            <v>32000000000411</v>
          </cell>
          <cell r="C414">
            <v>25000000000411</v>
          </cell>
          <cell r="D414" t="str">
            <v>Suci Rachma Sari</v>
          </cell>
          <cell r="E414" t="str">
            <v/>
          </cell>
        </row>
        <row r="415">
          <cell r="B415">
            <v>32000000000412</v>
          </cell>
          <cell r="C415">
            <v>25000000000412</v>
          </cell>
          <cell r="D415" t="str">
            <v>Sudarlan</v>
          </cell>
          <cell r="E415" t="str">
            <v>010507354</v>
          </cell>
        </row>
        <row r="416">
          <cell r="B416">
            <v>32000000000413</v>
          </cell>
          <cell r="C416">
            <v>25000000000413</v>
          </cell>
          <cell r="D416" t="str">
            <v>Sufie Amalia</v>
          </cell>
          <cell r="E416" t="str">
            <v>140421948</v>
          </cell>
        </row>
        <row r="417">
          <cell r="B417">
            <v>32000000000414</v>
          </cell>
          <cell r="C417">
            <v>25000000000414</v>
          </cell>
          <cell r="D417" t="str">
            <v>Sugeng Ismanto</v>
          </cell>
          <cell r="E417" t="str">
            <v/>
          </cell>
        </row>
        <row r="418">
          <cell r="B418">
            <v>32000000000415</v>
          </cell>
          <cell r="C418">
            <v>25000000000415</v>
          </cell>
          <cell r="D418" t="str">
            <v>Sugiarto</v>
          </cell>
          <cell r="E418" t="str">
            <v>080822967</v>
          </cell>
        </row>
        <row r="419">
          <cell r="B419">
            <v>32000000000416</v>
          </cell>
          <cell r="C419">
            <v>25000000000416</v>
          </cell>
          <cell r="D419" t="str">
            <v>Sulih</v>
          </cell>
          <cell r="E419" t="str">
            <v/>
          </cell>
        </row>
        <row r="420">
          <cell r="B420">
            <v>32000000000417</v>
          </cell>
          <cell r="C420">
            <v>25000000000417</v>
          </cell>
          <cell r="D420" t="str">
            <v>Sumadi</v>
          </cell>
          <cell r="E420" t="str">
            <v/>
          </cell>
        </row>
        <row r="421">
          <cell r="B421">
            <v>32000000000418</v>
          </cell>
          <cell r="C421">
            <v>25000000000418</v>
          </cell>
          <cell r="D421" t="str">
            <v>Sumirat</v>
          </cell>
          <cell r="E421" t="str">
            <v/>
          </cell>
        </row>
        <row r="422">
          <cell r="B422">
            <v>32000000000419</v>
          </cell>
          <cell r="C422">
            <v>25000000000419</v>
          </cell>
          <cell r="D422" t="str">
            <v>Sunaryati</v>
          </cell>
          <cell r="E422" t="str">
            <v/>
          </cell>
        </row>
        <row r="423">
          <cell r="B423">
            <v>32000000000420</v>
          </cell>
          <cell r="C423">
            <v>25000000000420</v>
          </cell>
          <cell r="D423" t="str">
            <v>Supriyadi</v>
          </cell>
          <cell r="E423" t="str">
            <v/>
          </cell>
        </row>
        <row r="424">
          <cell r="B424">
            <v>32000000000421</v>
          </cell>
          <cell r="C424">
            <v>25000000000421</v>
          </cell>
          <cell r="D424" t="str">
            <v>Suriono Suriono</v>
          </cell>
          <cell r="E424" t="str">
            <v/>
          </cell>
        </row>
        <row r="425">
          <cell r="B425">
            <v>32000000000422</v>
          </cell>
          <cell r="C425">
            <v>25000000000422</v>
          </cell>
          <cell r="D425" t="str">
            <v>Surono</v>
          </cell>
          <cell r="E425" t="str">
            <v/>
          </cell>
        </row>
        <row r="426">
          <cell r="B426">
            <v>32000000000423</v>
          </cell>
          <cell r="C426">
            <v>25000000000423</v>
          </cell>
          <cell r="D426" t="str">
            <v>Surtoyo Syukri</v>
          </cell>
          <cell r="E426" t="str">
            <v/>
          </cell>
        </row>
        <row r="427">
          <cell r="B427">
            <v>32000000000424</v>
          </cell>
          <cell r="C427">
            <v>25000000000424</v>
          </cell>
          <cell r="D427" t="str">
            <v>Suryadi</v>
          </cell>
          <cell r="E427" t="str">
            <v/>
          </cell>
        </row>
        <row r="428">
          <cell r="B428">
            <v>32000000000425</v>
          </cell>
          <cell r="C428">
            <v>25000000000425</v>
          </cell>
          <cell r="D428" t="str">
            <v>Susilawati</v>
          </cell>
          <cell r="E428" t="str">
            <v/>
          </cell>
        </row>
        <row r="429">
          <cell r="B429">
            <v>32000000000426</v>
          </cell>
          <cell r="C429">
            <v>25000000000426</v>
          </cell>
          <cell r="D429" t="str">
            <v>Sutarno</v>
          </cell>
          <cell r="E429" t="str">
            <v/>
          </cell>
        </row>
        <row r="430">
          <cell r="B430">
            <v>32000000000427</v>
          </cell>
          <cell r="C430">
            <v>25000000000427</v>
          </cell>
          <cell r="D430" t="str">
            <v>Sutra Riandi</v>
          </cell>
          <cell r="E430" t="str">
            <v/>
          </cell>
        </row>
        <row r="431">
          <cell r="B431">
            <v>32000000000428</v>
          </cell>
          <cell r="C431">
            <v>25000000000428</v>
          </cell>
          <cell r="D431" t="str">
            <v>Suyanto</v>
          </cell>
          <cell r="E431" t="str">
            <v>261219925</v>
          </cell>
        </row>
        <row r="432">
          <cell r="B432">
            <v>32000000000429</v>
          </cell>
          <cell r="C432">
            <v>25000000000429</v>
          </cell>
          <cell r="D432" t="str">
            <v>Swar Jono</v>
          </cell>
          <cell r="E432" t="str">
            <v/>
          </cell>
        </row>
        <row r="433">
          <cell r="B433">
            <v>32000000000430</v>
          </cell>
          <cell r="C433">
            <v>25000000000430</v>
          </cell>
          <cell r="D433" t="str">
            <v>Syafruddin</v>
          </cell>
          <cell r="E433" t="str">
            <v/>
          </cell>
        </row>
        <row r="434">
          <cell r="B434">
            <v>32000000000431</v>
          </cell>
          <cell r="C434">
            <v>25000000000431</v>
          </cell>
          <cell r="D434" t="str">
            <v>Syafrudin Machmud</v>
          </cell>
          <cell r="E434" t="str">
            <v/>
          </cell>
        </row>
        <row r="435">
          <cell r="B435">
            <v>32000000000432</v>
          </cell>
          <cell r="C435">
            <v>25000000000432</v>
          </cell>
          <cell r="D435" t="str">
            <v>Syahrizal</v>
          </cell>
          <cell r="E435" t="str">
            <v/>
          </cell>
        </row>
        <row r="436">
          <cell r="B436">
            <v>32000000000433</v>
          </cell>
          <cell r="C436">
            <v>25000000000433</v>
          </cell>
          <cell r="D436" t="str">
            <v>Syaiful Idjam</v>
          </cell>
          <cell r="E436" t="str">
            <v/>
          </cell>
        </row>
        <row r="437">
          <cell r="B437">
            <v>32000000000434</v>
          </cell>
          <cell r="C437">
            <v>25000000000434</v>
          </cell>
          <cell r="D437" t="str">
            <v>Tajuddin Assubki Ismail</v>
          </cell>
          <cell r="E437" t="str">
            <v>070703034</v>
          </cell>
        </row>
        <row r="438">
          <cell r="B438">
            <v>32000000000435</v>
          </cell>
          <cell r="C438">
            <v>25000000000435</v>
          </cell>
          <cell r="D438" t="str">
            <v>Taslim</v>
          </cell>
          <cell r="E438" t="str">
            <v/>
          </cell>
        </row>
        <row r="439">
          <cell r="B439">
            <v>32000000000436</v>
          </cell>
          <cell r="C439">
            <v>25000000000436</v>
          </cell>
          <cell r="D439" t="str">
            <v>Taufik Mulia Pane</v>
          </cell>
          <cell r="E439" t="str">
            <v/>
          </cell>
        </row>
        <row r="440">
          <cell r="B440">
            <v>32000000000437</v>
          </cell>
          <cell r="C440">
            <v>25000000000437</v>
          </cell>
          <cell r="D440" t="str">
            <v>Tedy Harseno</v>
          </cell>
          <cell r="E440" t="str">
            <v/>
          </cell>
        </row>
        <row r="441">
          <cell r="B441">
            <v>32000000000438</v>
          </cell>
          <cell r="C441">
            <v>25000000000438</v>
          </cell>
          <cell r="D441" t="str">
            <v>Teguh Joko Pamuji</v>
          </cell>
          <cell r="E441" t="str">
            <v/>
          </cell>
        </row>
        <row r="442">
          <cell r="B442">
            <v>32000000000439</v>
          </cell>
          <cell r="C442">
            <v>25000000000439</v>
          </cell>
          <cell r="D442" t="str">
            <v>Teguh Pratama Januzir Sukin</v>
          </cell>
          <cell r="E442" t="str">
            <v>030717839</v>
          </cell>
        </row>
        <row r="443">
          <cell r="B443">
            <v>32000000000440</v>
          </cell>
          <cell r="C443">
            <v>25000000000440</v>
          </cell>
          <cell r="D443" t="str">
            <v>Teguh Susanto</v>
          </cell>
          <cell r="E443" t="str">
            <v/>
          </cell>
        </row>
        <row r="444">
          <cell r="B444">
            <v>32000000000441</v>
          </cell>
          <cell r="C444">
            <v>25000000000441</v>
          </cell>
          <cell r="D444" t="str">
            <v>Tenri Sumange</v>
          </cell>
          <cell r="E444" t="str">
            <v/>
          </cell>
        </row>
        <row r="445">
          <cell r="B445">
            <v>32000000000442</v>
          </cell>
          <cell r="C445">
            <v>25000000000442</v>
          </cell>
          <cell r="D445" t="str">
            <v>Teuku Zulkifli</v>
          </cell>
          <cell r="E445" t="str">
            <v/>
          </cell>
        </row>
        <row r="446">
          <cell r="B446">
            <v>32000000000443</v>
          </cell>
          <cell r="C446">
            <v>25000000000443</v>
          </cell>
          <cell r="D446" t="str">
            <v>Tiara Kemalasari</v>
          </cell>
          <cell r="E446" t="str">
            <v/>
          </cell>
        </row>
        <row r="447">
          <cell r="B447">
            <v>32000000000444</v>
          </cell>
          <cell r="C447">
            <v>25000000000444</v>
          </cell>
          <cell r="D447" t="str">
            <v>Tjhang Linawati</v>
          </cell>
          <cell r="E447" t="str">
            <v/>
          </cell>
        </row>
        <row r="448">
          <cell r="B448">
            <v>32000000000445</v>
          </cell>
          <cell r="C448">
            <v>25000000000445</v>
          </cell>
          <cell r="D448" t="str">
            <v>Totok Kristianto</v>
          </cell>
          <cell r="E448" t="str">
            <v/>
          </cell>
        </row>
        <row r="449">
          <cell r="B449">
            <v>32000000000446</v>
          </cell>
          <cell r="C449">
            <v>25000000000446</v>
          </cell>
          <cell r="D449" t="str">
            <v>Tri Aji</v>
          </cell>
          <cell r="E449" t="str">
            <v/>
          </cell>
        </row>
        <row r="450">
          <cell r="B450">
            <v>32000000000447</v>
          </cell>
          <cell r="C450">
            <v>25000000000447</v>
          </cell>
          <cell r="D450" t="str">
            <v>Tri M. Saputra</v>
          </cell>
          <cell r="E450" t="str">
            <v/>
          </cell>
        </row>
        <row r="451">
          <cell r="B451">
            <v>32000000000448</v>
          </cell>
          <cell r="C451">
            <v>25000000000448</v>
          </cell>
          <cell r="D451" t="str">
            <v>Triani Irma</v>
          </cell>
          <cell r="E451" t="str">
            <v/>
          </cell>
        </row>
        <row r="452">
          <cell r="B452">
            <v>32000000000449</v>
          </cell>
          <cell r="C452">
            <v>25000000000449</v>
          </cell>
          <cell r="D452" t="str">
            <v>Trisyanto</v>
          </cell>
          <cell r="E452" t="str">
            <v/>
          </cell>
        </row>
        <row r="453">
          <cell r="B453">
            <v>32000000000450</v>
          </cell>
          <cell r="C453">
            <v>25000000000450</v>
          </cell>
          <cell r="D453" t="str">
            <v>Triwiarti Dibya</v>
          </cell>
          <cell r="E453" t="str">
            <v/>
          </cell>
        </row>
        <row r="454">
          <cell r="B454">
            <v>32000000000451</v>
          </cell>
          <cell r="C454">
            <v>25000000000451</v>
          </cell>
          <cell r="D454" t="str">
            <v>Triyono</v>
          </cell>
          <cell r="E454" t="str">
            <v/>
          </cell>
        </row>
        <row r="455">
          <cell r="B455">
            <v>32000000000452</v>
          </cell>
          <cell r="C455">
            <v>25000000000452</v>
          </cell>
          <cell r="D455" t="str">
            <v>Turita Pramuning Marantina</v>
          </cell>
          <cell r="E455" t="str">
            <v>090818879</v>
          </cell>
        </row>
        <row r="456">
          <cell r="B456">
            <v>32000000000453</v>
          </cell>
          <cell r="C456">
            <v>25000000000453</v>
          </cell>
          <cell r="D456" t="str">
            <v>Tutus Ary</v>
          </cell>
          <cell r="E456" t="str">
            <v/>
          </cell>
        </row>
        <row r="457">
          <cell r="B457">
            <v>32000000000454</v>
          </cell>
          <cell r="C457">
            <v>25000000000454</v>
          </cell>
          <cell r="D457" t="str">
            <v>Ubaidillah</v>
          </cell>
          <cell r="E457" t="str">
            <v/>
          </cell>
        </row>
        <row r="458">
          <cell r="B458">
            <v>32000000000455</v>
          </cell>
          <cell r="C458">
            <v>25000000000455</v>
          </cell>
          <cell r="D458" t="str">
            <v>Ujang Barma</v>
          </cell>
          <cell r="E458" t="str">
            <v/>
          </cell>
        </row>
        <row r="459">
          <cell r="B459">
            <v>32000000000456</v>
          </cell>
          <cell r="C459">
            <v>25000000000456</v>
          </cell>
          <cell r="D459" t="str">
            <v>Ujang Suryana</v>
          </cell>
          <cell r="E459" t="str">
            <v/>
          </cell>
        </row>
        <row r="460">
          <cell r="B460">
            <v>32000000000457</v>
          </cell>
          <cell r="C460">
            <v>25000000000457</v>
          </cell>
          <cell r="D460" t="str">
            <v>Ulman Juanda</v>
          </cell>
          <cell r="E460" t="str">
            <v/>
          </cell>
        </row>
        <row r="461">
          <cell r="B461">
            <v>32000000000458</v>
          </cell>
          <cell r="C461">
            <v>25000000000458</v>
          </cell>
          <cell r="D461" t="str">
            <v>Urbanus Boimau</v>
          </cell>
          <cell r="E461" t="str">
            <v>010906267</v>
          </cell>
        </row>
        <row r="462">
          <cell r="B462">
            <v>32000000000459</v>
          </cell>
          <cell r="C462">
            <v>25000000000459</v>
          </cell>
          <cell r="D462" t="str">
            <v>Uswatun Hasamah</v>
          </cell>
          <cell r="E462" t="str">
            <v/>
          </cell>
        </row>
        <row r="463">
          <cell r="B463">
            <v>32000000000460</v>
          </cell>
          <cell r="C463">
            <v>25000000000460</v>
          </cell>
          <cell r="D463" t="str">
            <v>Uswatun Khasanah</v>
          </cell>
          <cell r="E463" t="str">
            <v/>
          </cell>
        </row>
        <row r="464">
          <cell r="B464">
            <v>32000000000461</v>
          </cell>
          <cell r="C464">
            <v>25000000000461</v>
          </cell>
          <cell r="D464" t="str">
            <v>Utami Dewi</v>
          </cell>
          <cell r="E464" t="str">
            <v/>
          </cell>
        </row>
        <row r="465">
          <cell r="B465">
            <v>32000000000462</v>
          </cell>
          <cell r="C465">
            <v>25000000000462</v>
          </cell>
          <cell r="D465" t="str">
            <v>Utanto</v>
          </cell>
          <cell r="E465" t="str">
            <v/>
          </cell>
        </row>
        <row r="466">
          <cell r="B466">
            <v>32000000000463</v>
          </cell>
          <cell r="C466">
            <v>25000000000463</v>
          </cell>
          <cell r="D466" t="str">
            <v>Veradita Yulanda</v>
          </cell>
          <cell r="E466" t="str">
            <v/>
          </cell>
        </row>
        <row r="467">
          <cell r="B467">
            <v>32000000000464</v>
          </cell>
          <cell r="C467">
            <v>25000000000464</v>
          </cell>
          <cell r="D467" t="str">
            <v>Vidhy Kartika Putri</v>
          </cell>
          <cell r="E467" t="str">
            <v/>
          </cell>
        </row>
        <row r="468">
          <cell r="B468">
            <v>32000000000465</v>
          </cell>
          <cell r="C468">
            <v>25000000000465</v>
          </cell>
          <cell r="D468" t="str">
            <v>Vonny Agram</v>
          </cell>
          <cell r="E468" t="str">
            <v/>
          </cell>
        </row>
        <row r="469">
          <cell r="B469">
            <v>32000000000466</v>
          </cell>
          <cell r="C469">
            <v>25000000000466</v>
          </cell>
          <cell r="D469" t="str">
            <v>Wahyu</v>
          </cell>
          <cell r="E469" t="str">
            <v/>
          </cell>
        </row>
        <row r="470">
          <cell r="B470">
            <v>32000000000467</v>
          </cell>
          <cell r="C470">
            <v>25000000000467</v>
          </cell>
          <cell r="D470" t="str">
            <v>Wahyu Ramadhani</v>
          </cell>
          <cell r="E470" t="str">
            <v>040219900</v>
          </cell>
        </row>
        <row r="471">
          <cell r="B471">
            <v>32000000000468</v>
          </cell>
          <cell r="C471">
            <v>25000000000468</v>
          </cell>
          <cell r="D471" t="str">
            <v>Wahyu Widodo</v>
          </cell>
          <cell r="E471" t="str">
            <v/>
          </cell>
        </row>
        <row r="472">
          <cell r="B472">
            <v>32000000000469</v>
          </cell>
          <cell r="C472">
            <v>25000000000469</v>
          </cell>
          <cell r="D472" t="str">
            <v>Warsito Edy Saputra</v>
          </cell>
          <cell r="E472" t="str">
            <v/>
          </cell>
        </row>
        <row r="473">
          <cell r="B473">
            <v>32000000000470</v>
          </cell>
          <cell r="C473">
            <v>25000000000470</v>
          </cell>
          <cell r="D473" t="str">
            <v>Weldi Wimar</v>
          </cell>
          <cell r="E473" t="str">
            <v/>
          </cell>
        </row>
        <row r="474">
          <cell r="B474">
            <v>32000000000471</v>
          </cell>
          <cell r="C474">
            <v>25000000000471</v>
          </cell>
          <cell r="D474" t="str">
            <v>Wendy Septiyan</v>
          </cell>
          <cell r="E474" t="str">
            <v/>
          </cell>
        </row>
        <row r="475">
          <cell r="B475">
            <v>32000000000472</v>
          </cell>
          <cell r="C475">
            <v>25000000000472</v>
          </cell>
          <cell r="D475" t="str">
            <v>Willy Indarto</v>
          </cell>
          <cell r="E475" t="str">
            <v/>
          </cell>
        </row>
        <row r="476">
          <cell r="B476">
            <v>32000000000473</v>
          </cell>
          <cell r="C476">
            <v>25000000000473</v>
          </cell>
          <cell r="D476" t="str">
            <v>Winda Suherman</v>
          </cell>
          <cell r="E476" t="str">
            <v/>
          </cell>
        </row>
        <row r="477">
          <cell r="B477">
            <v>32000000000474</v>
          </cell>
          <cell r="C477">
            <v>25000000000474</v>
          </cell>
          <cell r="D477" t="str">
            <v>Wisnu Ardian</v>
          </cell>
          <cell r="E477" t="str">
            <v>280618877</v>
          </cell>
        </row>
        <row r="478">
          <cell r="B478">
            <v>32000000000475</v>
          </cell>
          <cell r="C478">
            <v>25000000000475</v>
          </cell>
          <cell r="D478" t="str">
            <v>Wisudanto C. Suntoyo</v>
          </cell>
          <cell r="E478" t="str">
            <v/>
          </cell>
        </row>
        <row r="479">
          <cell r="B479">
            <v>32000000000476</v>
          </cell>
          <cell r="C479">
            <v>25000000000476</v>
          </cell>
          <cell r="D479" t="str">
            <v>Yahya Adyasa Febriansyah</v>
          </cell>
          <cell r="E479" t="str">
            <v/>
          </cell>
        </row>
        <row r="480">
          <cell r="B480">
            <v>32000000000477</v>
          </cell>
          <cell r="C480">
            <v>25000000000477</v>
          </cell>
          <cell r="D480" t="str">
            <v>Yakup Sunaryo</v>
          </cell>
          <cell r="E480" t="str">
            <v/>
          </cell>
        </row>
        <row r="481">
          <cell r="B481">
            <v>32000000000478</v>
          </cell>
          <cell r="C481">
            <v>25000000000478</v>
          </cell>
          <cell r="D481" t="str">
            <v>Yanuar Tri Ananda</v>
          </cell>
          <cell r="E481" t="str">
            <v/>
          </cell>
        </row>
        <row r="482">
          <cell r="B482">
            <v>32000000000479</v>
          </cell>
          <cell r="C482">
            <v>25000000000479</v>
          </cell>
          <cell r="D482" t="str">
            <v>Yasir Liem</v>
          </cell>
          <cell r="E482" t="str">
            <v/>
          </cell>
        </row>
        <row r="483">
          <cell r="B483">
            <v>32000000000480</v>
          </cell>
          <cell r="C483">
            <v>25000000000480</v>
          </cell>
          <cell r="D483" t="str">
            <v>Yefri Hendrayani</v>
          </cell>
          <cell r="E483" t="str">
            <v/>
          </cell>
        </row>
        <row r="484">
          <cell r="B484">
            <v>32000000000481</v>
          </cell>
          <cell r="C484">
            <v>25000000000481</v>
          </cell>
          <cell r="D484" t="str">
            <v>Yessi Setiarini</v>
          </cell>
          <cell r="E484" t="str">
            <v/>
          </cell>
        </row>
        <row r="485">
          <cell r="B485">
            <v>32000000000482</v>
          </cell>
          <cell r="C485">
            <v>25000000000482</v>
          </cell>
          <cell r="D485" t="str">
            <v>Yorid Fae</v>
          </cell>
          <cell r="E485" t="str">
            <v/>
          </cell>
        </row>
        <row r="486">
          <cell r="B486">
            <v>32000000000483</v>
          </cell>
          <cell r="C486">
            <v>25000000000483</v>
          </cell>
          <cell r="D486" t="str">
            <v>Yosef Hang Wan</v>
          </cell>
          <cell r="E486" t="str">
            <v/>
          </cell>
        </row>
        <row r="487">
          <cell r="B487">
            <v>32000000000484</v>
          </cell>
          <cell r="C487">
            <v>25000000000484</v>
          </cell>
          <cell r="D487" t="str">
            <v>Yossie Deliana</v>
          </cell>
          <cell r="E487" t="str">
            <v/>
          </cell>
        </row>
        <row r="488">
          <cell r="B488">
            <v>32000000000485</v>
          </cell>
          <cell r="C488">
            <v>25000000000485</v>
          </cell>
          <cell r="D488" t="str">
            <v>Yudi Rahmadi</v>
          </cell>
          <cell r="E488" t="str">
            <v/>
          </cell>
        </row>
        <row r="489">
          <cell r="B489">
            <v>32000000000486</v>
          </cell>
          <cell r="C489">
            <v>25000000000486</v>
          </cell>
          <cell r="D489" t="str">
            <v>Yudo Jati Rahmat Satrio</v>
          </cell>
          <cell r="E489" t="str">
            <v/>
          </cell>
        </row>
        <row r="490">
          <cell r="B490">
            <v>32000000000487</v>
          </cell>
          <cell r="C490">
            <v>25000000000487</v>
          </cell>
          <cell r="D490" t="str">
            <v>Yuliandaru Suryoatmodjo</v>
          </cell>
          <cell r="E490" t="str">
            <v>160714734</v>
          </cell>
        </row>
        <row r="491">
          <cell r="B491">
            <v>32000000000488</v>
          </cell>
          <cell r="C491">
            <v>25000000000488</v>
          </cell>
          <cell r="D491" t="str">
            <v>Yulianta</v>
          </cell>
          <cell r="E491" t="str">
            <v/>
          </cell>
        </row>
        <row r="492">
          <cell r="B492">
            <v>32000000000489</v>
          </cell>
          <cell r="C492">
            <v>25000000000489</v>
          </cell>
          <cell r="D492" t="str">
            <v>Yulianti</v>
          </cell>
          <cell r="E492" t="str">
            <v/>
          </cell>
        </row>
        <row r="493">
          <cell r="B493">
            <v>32000000000490</v>
          </cell>
          <cell r="C493">
            <v>25000000000490</v>
          </cell>
          <cell r="D493" t="str">
            <v>Yulius</v>
          </cell>
          <cell r="E493" t="str">
            <v/>
          </cell>
        </row>
        <row r="494">
          <cell r="B494">
            <v>32000000000491</v>
          </cell>
          <cell r="C494">
            <v>25000000000491</v>
          </cell>
          <cell r="D494" t="str">
            <v>Yunni Sazili</v>
          </cell>
          <cell r="E494" t="str">
            <v/>
          </cell>
        </row>
        <row r="495">
          <cell r="B495">
            <v>32000000000492</v>
          </cell>
          <cell r="C495">
            <v>25000000000492</v>
          </cell>
          <cell r="D495" t="str">
            <v>Yusman</v>
          </cell>
          <cell r="E495" t="str">
            <v/>
          </cell>
        </row>
        <row r="496">
          <cell r="B496">
            <v>32000000000493</v>
          </cell>
          <cell r="C496">
            <v>25000000000493</v>
          </cell>
          <cell r="D496" t="str">
            <v>Yusri Azhar</v>
          </cell>
          <cell r="E496" t="str">
            <v/>
          </cell>
        </row>
        <row r="497">
          <cell r="B497">
            <v>32000000000494</v>
          </cell>
          <cell r="C497">
            <v>25000000000494</v>
          </cell>
          <cell r="D497" t="str">
            <v>Zafrizal</v>
          </cell>
          <cell r="E497" t="str">
            <v/>
          </cell>
        </row>
        <row r="498">
          <cell r="B498">
            <v>32000000000495</v>
          </cell>
          <cell r="C498">
            <v>25000000000495</v>
          </cell>
          <cell r="D498" t="str">
            <v>Zafrizal Rifla (Ucok)</v>
          </cell>
          <cell r="E498" t="str">
            <v/>
          </cell>
        </row>
        <row r="499">
          <cell r="B499">
            <v>32000000000496</v>
          </cell>
          <cell r="C499">
            <v>25000000000496</v>
          </cell>
          <cell r="D499" t="str">
            <v>Zainuddin</v>
          </cell>
          <cell r="E499" t="str">
            <v/>
          </cell>
        </row>
        <row r="500">
          <cell r="B500">
            <v>32000000000497</v>
          </cell>
          <cell r="C500">
            <v>25000000000497</v>
          </cell>
          <cell r="D500" t="str">
            <v>Zainudin Anwar</v>
          </cell>
          <cell r="E500" t="str">
            <v>090819915</v>
          </cell>
        </row>
        <row r="501">
          <cell r="B501">
            <v>32000000000498</v>
          </cell>
          <cell r="C501">
            <v>25000000000498</v>
          </cell>
          <cell r="D501" t="str">
            <v>Zaire Dite Biscaya</v>
          </cell>
          <cell r="E501" t="str">
            <v/>
          </cell>
        </row>
        <row r="502">
          <cell r="B502">
            <v>32000000000499</v>
          </cell>
          <cell r="C502">
            <v>25000000000499</v>
          </cell>
          <cell r="D502" t="str">
            <v>Zalfi Yandri</v>
          </cell>
          <cell r="E502" t="str">
            <v/>
          </cell>
        </row>
        <row r="503">
          <cell r="B503">
            <v>32000000000500</v>
          </cell>
          <cell r="C503">
            <v>25000000000500</v>
          </cell>
          <cell r="D503" t="str">
            <v>Zam Roji</v>
          </cell>
          <cell r="E503" t="str">
            <v/>
          </cell>
        </row>
        <row r="504">
          <cell r="B504">
            <v>32000000000501</v>
          </cell>
          <cell r="C504">
            <v>25000000000501</v>
          </cell>
          <cell r="D504" t="str">
            <v>Zulfikar K. Siregar</v>
          </cell>
          <cell r="E504" t="str">
            <v>3107251008</v>
          </cell>
        </row>
        <row r="505">
          <cell r="B505">
            <v>32000000000502</v>
          </cell>
          <cell r="C505">
            <v>25000000000502</v>
          </cell>
          <cell r="D505" t="str">
            <v>Adythia Adikara</v>
          </cell>
          <cell r="E505" t="str">
            <v/>
          </cell>
        </row>
        <row r="506">
          <cell r="B506">
            <v>32000000000503</v>
          </cell>
          <cell r="C506">
            <v>25000000000503</v>
          </cell>
          <cell r="D506" t="str">
            <v>Agus Sopyan Hadi</v>
          </cell>
          <cell r="E506" t="str">
            <v/>
          </cell>
        </row>
        <row r="507">
          <cell r="B507">
            <v>32000000000504</v>
          </cell>
          <cell r="C507">
            <v>25000000000504</v>
          </cell>
          <cell r="D507" t="str">
            <v>Azis Purwandana</v>
          </cell>
          <cell r="E507" t="str">
            <v/>
          </cell>
        </row>
        <row r="508">
          <cell r="B508">
            <v>32000000000505</v>
          </cell>
          <cell r="C508">
            <v>25000000000505</v>
          </cell>
          <cell r="D508" t="str">
            <v>Heryanto</v>
          </cell>
          <cell r="E508" t="str">
            <v/>
          </cell>
        </row>
        <row r="509">
          <cell r="B509">
            <v>32000000000506</v>
          </cell>
          <cell r="C509">
            <v>25000000000506</v>
          </cell>
          <cell r="D509" t="str">
            <v>Imran</v>
          </cell>
          <cell r="E509" t="str">
            <v/>
          </cell>
        </row>
        <row r="510">
          <cell r="B510">
            <v>32000000000507</v>
          </cell>
          <cell r="C510">
            <v>25000000000507</v>
          </cell>
          <cell r="D510" t="str">
            <v>Khamim Taryono</v>
          </cell>
          <cell r="E510" t="str">
            <v>280621950</v>
          </cell>
        </row>
        <row r="511">
          <cell r="B511">
            <v>32000000000508</v>
          </cell>
          <cell r="C511">
            <v>25000000000508</v>
          </cell>
          <cell r="D511" t="str">
            <v>Rafi Artman Siddiq</v>
          </cell>
          <cell r="E511" t="str">
            <v>130921953</v>
          </cell>
        </row>
        <row r="512">
          <cell r="B512">
            <v>32000000000509</v>
          </cell>
          <cell r="C512">
            <v>25000000000509</v>
          </cell>
          <cell r="D512" t="str">
            <v>Riza Emir Subekti</v>
          </cell>
          <cell r="E512" t="str">
            <v>260716795</v>
          </cell>
        </row>
        <row r="513">
          <cell r="B513">
            <v>32000000000510</v>
          </cell>
          <cell r="C513">
            <v>25000000000510</v>
          </cell>
          <cell r="D513" t="str">
            <v>Slamet Riadi</v>
          </cell>
          <cell r="E513" t="str">
            <v/>
          </cell>
        </row>
        <row r="514">
          <cell r="B514">
            <v>32000000000511</v>
          </cell>
          <cell r="C514">
            <v>25000000000511</v>
          </cell>
          <cell r="D514" t="str">
            <v>Wisnu Andra Isdianto</v>
          </cell>
          <cell r="E514" t="str">
            <v>150721949</v>
          </cell>
        </row>
        <row r="515">
          <cell r="B515">
            <v>32000000000512</v>
          </cell>
          <cell r="C515">
            <v>25000000000512</v>
          </cell>
          <cell r="D515" t="str">
            <v>Agus Budi Setiawan</v>
          </cell>
          <cell r="E515" t="str">
            <v>171121955</v>
          </cell>
        </row>
        <row r="516">
          <cell r="B516">
            <v>32000000000513</v>
          </cell>
          <cell r="C516">
            <v>25000000000513</v>
          </cell>
          <cell r="D516" t="str">
            <v>Ahmad Choerul</v>
          </cell>
          <cell r="E516" t="str">
            <v>191022969</v>
          </cell>
        </row>
        <row r="517">
          <cell r="B517">
            <v>32000000000514</v>
          </cell>
          <cell r="C517">
            <v>25000000000514</v>
          </cell>
          <cell r="D517" t="str">
            <v>Achmad Yunadi</v>
          </cell>
          <cell r="E517" t="str">
            <v>110422962</v>
          </cell>
        </row>
        <row r="518">
          <cell r="B518">
            <v>32000000000515</v>
          </cell>
          <cell r="C518">
            <v>25000000000515</v>
          </cell>
          <cell r="D518" t="str">
            <v>Asep mulyana</v>
          </cell>
          <cell r="E518" t="str">
            <v/>
          </cell>
        </row>
        <row r="519">
          <cell r="B519">
            <v>32000000000516</v>
          </cell>
          <cell r="C519">
            <v>25000000000516</v>
          </cell>
          <cell r="D519" t="str">
            <v>Bagus Isdiantara</v>
          </cell>
          <cell r="E519" t="str">
            <v/>
          </cell>
        </row>
        <row r="520">
          <cell r="B520">
            <v>32000000000517</v>
          </cell>
          <cell r="C520">
            <v>25000000000517</v>
          </cell>
          <cell r="D520" t="str">
            <v>Cahyana</v>
          </cell>
          <cell r="E520" t="str">
            <v>090821952</v>
          </cell>
        </row>
        <row r="521">
          <cell r="B521">
            <v>32000000000518</v>
          </cell>
          <cell r="C521">
            <v>25000000000518</v>
          </cell>
          <cell r="D521" t="str">
            <v>Dede Hartanto</v>
          </cell>
          <cell r="E521" t="str">
            <v/>
          </cell>
        </row>
        <row r="522">
          <cell r="B522">
            <v>32000000000519</v>
          </cell>
          <cell r="C522">
            <v>25000000000519</v>
          </cell>
          <cell r="D522" t="str">
            <v>Denny Achmad Ferlando</v>
          </cell>
          <cell r="E522" t="str">
            <v>170522963</v>
          </cell>
        </row>
        <row r="523">
          <cell r="B523">
            <v>32000000000520</v>
          </cell>
          <cell r="C523">
            <v>25000000000520</v>
          </cell>
          <cell r="D523" t="str">
            <v>Dian Setiawan</v>
          </cell>
          <cell r="E523" t="str">
            <v/>
          </cell>
        </row>
        <row r="524">
          <cell r="B524">
            <v>32000000000521</v>
          </cell>
          <cell r="C524">
            <v>25000000000521</v>
          </cell>
          <cell r="D524" t="str">
            <v>Fabrian Danang Destiyara</v>
          </cell>
          <cell r="E524" t="str">
            <v>110523979</v>
          </cell>
        </row>
        <row r="525">
          <cell r="B525">
            <v>32000000000522</v>
          </cell>
          <cell r="C525">
            <v>25000000000522</v>
          </cell>
          <cell r="D525" t="str">
            <v>Ferdian Kriswantoro</v>
          </cell>
          <cell r="E525" t="str">
            <v>191022968</v>
          </cell>
        </row>
        <row r="526">
          <cell r="B526">
            <v>32000000000523</v>
          </cell>
          <cell r="C526">
            <v>25000000000523</v>
          </cell>
          <cell r="D526" t="str">
            <v>Fuzi Mafrozi</v>
          </cell>
          <cell r="E526" t="str">
            <v>040722964</v>
          </cell>
        </row>
        <row r="527">
          <cell r="B527">
            <v>32000000000524</v>
          </cell>
          <cell r="C527">
            <v>25000000000524</v>
          </cell>
          <cell r="D527" t="str">
            <v>Gilang Setiawan</v>
          </cell>
          <cell r="E527" t="str">
            <v/>
          </cell>
        </row>
        <row r="528">
          <cell r="B528">
            <v>32000000000525</v>
          </cell>
          <cell r="C528">
            <v>25000000000525</v>
          </cell>
          <cell r="D528" t="str">
            <v>Idris Affandi</v>
          </cell>
          <cell r="E528" t="str">
            <v/>
          </cell>
        </row>
        <row r="529">
          <cell r="B529">
            <v>32000000000526</v>
          </cell>
          <cell r="C529">
            <v>25000000000526</v>
          </cell>
          <cell r="D529" t="str">
            <v>Indra Wijaya</v>
          </cell>
          <cell r="E529" t="str">
            <v/>
          </cell>
        </row>
        <row r="530">
          <cell r="B530">
            <v>32000000000527</v>
          </cell>
          <cell r="C530">
            <v>25000000000527</v>
          </cell>
          <cell r="D530" t="str">
            <v>Irma Maulidawati</v>
          </cell>
          <cell r="E530" t="str">
            <v>040822965</v>
          </cell>
        </row>
        <row r="531">
          <cell r="B531">
            <v>32000000000528</v>
          </cell>
          <cell r="C531">
            <v>25000000000528</v>
          </cell>
          <cell r="D531" t="str">
            <v>Istikaro Fauziah</v>
          </cell>
          <cell r="E531" t="str">
            <v>170322960</v>
          </cell>
        </row>
        <row r="532">
          <cell r="B532">
            <v>32000000000529</v>
          </cell>
          <cell r="C532">
            <v>25000000000529</v>
          </cell>
          <cell r="D532" t="str">
            <v>Muhammad Lukbani</v>
          </cell>
          <cell r="E532" t="str">
            <v/>
          </cell>
        </row>
        <row r="533">
          <cell r="B533">
            <v>32000000000530</v>
          </cell>
          <cell r="C533">
            <v>25000000000530</v>
          </cell>
          <cell r="D533" t="str">
            <v>Muhammad Sholikhun</v>
          </cell>
          <cell r="E533" t="str">
            <v/>
          </cell>
        </row>
        <row r="534">
          <cell r="B534">
            <v>32000000000531</v>
          </cell>
          <cell r="C534">
            <v>25000000000531</v>
          </cell>
          <cell r="D534" t="str">
            <v>Muhammad Syarifudin</v>
          </cell>
          <cell r="E534" t="str">
            <v/>
          </cell>
        </row>
        <row r="535">
          <cell r="B535">
            <v>32000000000532</v>
          </cell>
          <cell r="C535">
            <v>25000000000532</v>
          </cell>
          <cell r="D535" t="str">
            <v>Nadia Rizkiah</v>
          </cell>
          <cell r="E535" t="str">
            <v>170222959</v>
          </cell>
        </row>
        <row r="536">
          <cell r="B536">
            <v>32000000000533</v>
          </cell>
          <cell r="C536">
            <v>25000000000533</v>
          </cell>
          <cell r="D536" t="str">
            <v>Nikko Septian</v>
          </cell>
          <cell r="E536" t="str">
            <v/>
          </cell>
        </row>
        <row r="537">
          <cell r="B537">
            <v>32000000000534</v>
          </cell>
          <cell r="C537">
            <v>25000000000534</v>
          </cell>
          <cell r="D537" t="str">
            <v>Novizan</v>
          </cell>
          <cell r="E537" t="str">
            <v>291121956</v>
          </cell>
        </row>
        <row r="538">
          <cell r="B538">
            <v>32000000000535</v>
          </cell>
          <cell r="C538">
            <v>25000000000535</v>
          </cell>
          <cell r="D538" t="str">
            <v>Oqi Suhaqi Yunus</v>
          </cell>
          <cell r="E538" t="str">
            <v/>
          </cell>
        </row>
        <row r="539">
          <cell r="B539">
            <v>32000000000536</v>
          </cell>
          <cell r="C539">
            <v>25000000000536</v>
          </cell>
          <cell r="D539" t="str">
            <v>Restu Dwi Anjayani</v>
          </cell>
          <cell r="E539" t="str">
            <v>051023981</v>
          </cell>
        </row>
        <row r="540">
          <cell r="B540">
            <v>32000000000537</v>
          </cell>
          <cell r="C540">
            <v>25000000000537</v>
          </cell>
          <cell r="D540" t="str">
            <v>Rizal Amri</v>
          </cell>
          <cell r="E540" t="str">
            <v>211222971</v>
          </cell>
        </row>
        <row r="541">
          <cell r="B541">
            <v>32000000000538</v>
          </cell>
          <cell r="C541">
            <v>25000000000538</v>
          </cell>
          <cell r="D541" t="str">
            <v>Ronny Anindika Arnold</v>
          </cell>
          <cell r="E541" t="str">
            <v/>
          </cell>
        </row>
        <row r="542">
          <cell r="B542">
            <v>32000000000539</v>
          </cell>
          <cell r="C542">
            <v>25000000000539</v>
          </cell>
          <cell r="D542" t="str">
            <v>Samta Harahap</v>
          </cell>
          <cell r="E542" t="str">
            <v/>
          </cell>
        </row>
        <row r="543">
          <cell r="B543">
            <v>32000000000540</v>
          </cell>
          <cell r="C543">
            <v>25000000000540</v>
          </cell>
          <cell r="D543" t="str">
            <v>Vingky Hendriek Yomerlin</v>
          </cell>
          <cell r="E543" t="str">
            <v>131221957</v>
          </cell>
        </row>
        <row r="544">
          <cell r="B544">
            <v>32000000000541</v>
          </cell>
          <cell r="C544">
            <v>25000000000541</v>
          </cell>
          <cell r="D544" t="str">
            <v>Wahyu Teluk Naga</v>
          </cell>
          <cell r="E544" t="str">
            <v/>
          </cell>
        </row>
        <row r="545">
          <cell r="B545">
            <v>32000000000542</v>
          </cell>
          <cell r="C545">
            <v>25000000000542</v>
          </cell>
          <cell r="D545" t="str">
            <v>Wardah Laily Khoiriyah</v>
          </cell>
          <cell r="E545" t="str">
            <v>240122958</v>
          </cell>
        </row>
        <row r="546">
          <cell r="B546">
            <v>32000000000543</v>
          </cell>
          <cell r="C546">
            <v>25000000000543</v>
          </cell>
          <cell r="D546" t="str">
            <v>Wawan Kusworo</v>
          </cell>
          <cell r="E546" t="str">
            <v/>
          </cell>
        </row>
        <row r="547">
          <cell r="B547">
            <v>32000000000544</v>
          </cell>
          <cell r="C547">
            <v>25000000000544</v>
          </cell>
          <cell r="D547" t="str">
            <v>Wulanraniasih</v>
          </cell>
          <cell r="E547" t="str">
            <v>180822966</v>
          </cell>
        </row>
        <row r="548">
          <cell r="B548">
            <v>32000000000545</v>
          </cell>
          <cell r="C548">
            <v>25000000000545</v>
          </cell>
          <cell r="D548" t="str">
            <v>Yogi Perbangkara</v>
          </cell>
          <cell r="E548" t="str">
            <v>260123977</v>
          </cell>
        </row>
        <row r="549">
          <cell r="B549">
            <v>32000000000546</v>
          </cell>
          <cell r="C549">
            <v>25000000000546</v>
          </cell>
          <cell r="D549" t="str">
            <v>Yusuf Fathurahman</v>
          </cell>
          <cell r="E549" t="str">
            <v/>
          </cell>
        </row>
        <row r="550">
          <cell r="B550">
            <v>32000000000547</v>
          </cell>
          <cell r="C550">
            <v>25000000000547</v>
          </cell>
          <cell r="D550" t="str">
            <v>Zeinurani</v>
          </cell>
          <cell r="E550" t="str">
            <v>271222973</v>
          </cell>
        </row>
        <row r="551">
          <cell r="B551">
            <v>32000000000548</v>
          </cell>
          <cell r="C551">
            <v>25000000000548</v>
          </cell>
          <cell r="D551" t="str">
            <v>Sulaeman</v>
          </cell>
          <cell r="E551" t="str">
            <v>020123976</v>
          </cell>
        </row>
        <row r="552">
          <cell r="B552">
            <v>32000000000549</v>
          </cell>
          <cell r="C552">
            <v>25000000000549</v>
          </cell>
          <cell r="D552" t="str">
            <v>Agus Nuryadi</v>
          </cell>
          <cell r="E552" t="str">
            <v>311022972</v>
          </cell>
        </row>
        <row r="553">
          <cell r="B553">
            <v>32000000000550</v>
          </cell>
          <cell r="C553">
            <v>25000000000550</v>
          </cell>
          <cell r="D553" t="str">
            <v>Dian Tri Rahmawati</v>
          </cell>
          <cell r="E553" t="str">
            <v>031022970</v>
          </cell>
        </row>
        <row r="554">
          <cell r="B554">
            <v>32000000000551</v>
          </cell>
          <cell r="C554">
            <v>25000000000551</v>
          </cell>
          <cell r="D554" t="str">
            <v>Langgeng Eko Dwiantoro</v>
          </cell>
          <cell r="E554" t="str">
            <v>050422961</v>
          </cell>
        </row>
        <row r="555">
          <cell r="B555">
            <v>32000000000552</v>
          </cell>
          <cell r="C555">
            <v>25000000000552</v>
          </cell>
          <cell r="D555" t="str">
            <v>Aldi Rizaldi</v>
          </cell>
          <cell r="E555" t="str">
            <v>110121943</v>
          </cell>
        </row>
        <row r="556">
          <cell r="B556">
            <v>32000000000553</v>
          </cell>
          <cell r="C556">
            <v>25000000000553</v>
          </cell>
          <cell r="D556" t="str">
            <v>Masimin</v>
          </cell>
          <cell r="E556" t="str">
            <v>010803042</v>
          </cell>
        </row>
        <row r="557">
          <cell r="B557">
            <v>32000000000554</v>
          </cell>
          <cell r="C557">
            <v>25000000000554</v>
          </cell>
          <cell r="D557" t="str">
            <v>Santoso Dwi Cahyo</v>
          </cell>
          <cell r="E557" t="str">
            <v/>
          </cell>
        </row>
        <row r="558">
          <cell r="B558">
            <v>32000000000555</v>
          </cell>
          <cell r="C558">
            <v>25000000000555</v>
          </cell>
          <cell r="D558" t="str">
            <v>Wartono</v>
          </cell>
          <cell r="E558" t="str">
            <v/>
          </cell>
        </row>
        <row r="559">
          <cell r="B559">
            <v>32000000000556</v>
          </cell>
          <cell r="C559">
            <v>25000000000556</v>
          </cell>
          <cell r="D559" t="str">
            <v>Yusarman</v>
          </cell>
          <cell r="E559" t="str">
            <v/>
          </cell>
        </row>
        <row r="560">
          <cell r="B560">
            <v>32000000000557</v>
          </cell>
          <cell r="C560">
            <v>25000000000557</v>
          </cell>
          <cell r="D560" t="str">
            <v>Abdul Rachman</v>
          </cell>
          <cell r="E560" t="str">
            <v/>
          </cell>
        </row>
        <row r="561">
          <cell r="B561">
            <v>32000000000558</v>
          </cell>
          <cell r="C561">
            <v>25000000000558</v>
          </cell>
          <cell r="D561" t="str">
            <v>Aden Bagus</v>
          </cell>
          <cell r="E561" t="str">
            <v/>
          </cell>
        </row>
        <row r="562">
          <cell r="B562">
            <v>32000000000559</v>
          </cell>
          <cell r="C562">
            <v>25000000000559</v>
          </cell>
          <cell r="D562" t="str">
            <v>Adhe Kurniawan</v>
          </cell>
          <cell r="E562" t="str">
            <v>010224985</v>
          </cell>
        </row>
        <row r="563">
          <cell r="B563">
            <v>32000000000560</v>
          </cell>
          <cell r="C563">
            <v>25000000000560</v>
          </cell>
          <cell r="D563" t="str">
            <v>Ahmad Fauzi</v>
          </cell>
          <cell r="E563" t="str">
            <v/>
          </cell>
        </row>
        <row r="564">
          <cell r="B564">
            <v>32000000000561</v>
          </cell>
          <cell r="C564">
            <v>25000000000561</v>
          </cell>
          <cell r="D564" t="str">
            <v>Ahmad Gunawan</v>
          </cell>
          <cell r="E564" t="str">
            <v/>
          </cell>
        </row>
        <row r="565">
          <cell r="B565">
            <v>32000000000562</v>
          </cell>
          <cell r="C565">
            <v>25000000000562</v>
          </cell>
          <cell r="D565" t="str">
            <v>Andri Andriyan</v>
          </cell>
          <cell r="E565" t="str">
            <v/>
          </cell>
        </row>
        <row r="566">
          <cell r="B566">
            <v>32000000000563</v>
          </cell>
          <cell r="C566">
            <v>25000000000563</v>
          </cell>
          <cell r="D566" t="str">
            <v>Budi Sulistianto</v>
          </cell>
          <cell r="E566" t="str">
            <v/>
          </cell>
        </row>
        <row r="567">
          <cell r="B567">
            <v>32000000000564</v>
          </cell>
          <cell r="C567">
            <v>25000000000564</v>
          </cell>
          <cell r="D567" t="str">
            <v>Eka Budi</v>
          </cell>
          <cell r="E567" t="str">
            <v/>
          </cell>
        </row>
        <row r="568">
          <cell r="B568">
            <v>32000000000565</v>
          </cell>
          <cell r="C568">
            <v>25000000000565</v>
          </cell>
          <cell r="D568" t="str">
            <v>Haerul Gunawan</v>
          </cell>
          <cell r="E568" t="str">
            <v/>
          </cell>
        </row>
        <row r="569">
          <cell r="B569">
            <v>32000000000566</v>
          </cell>
          <cell r="C569">
            <v>25000000000566</v>
          </cell>
          <cell r="D569" t="str">
            <v>Irvan Agus</v>
          </cell>
          <cell r="E569" t="str">
            <v/>
          </cell>
        </row>
        <row r="570">
          <cell r="B570">
            <v>32000000000567</v>
          </cell>
          <cell r="C570">
            <v>25000000000567</v>
          </cell>
          <cell r="D570" t="str">
            <v>Joshika Pradirga</v>
          </cell>
          <cell r="E570" t="str">
            <v/>
          </cell>
        </row>
        <row r="571">
          <cell r="B571">
            <v>32000000000568</v>
          </cell>
          <cell r="C571">
            <v>25000000000568</v>
          </cell>
          <cell r="D571" t="str">
            <v>Khaidir</v>
          </cell>
          <cell r="E571" t="str">
            <v/>
          </cell>
        </row>
        <row r="572">
          <cell r="B572">
            <v>32000000000569</v>
          </cell>
          <cell r="C572">
            <v>25000000000569</v>
          </cell>
          <cell r="D572" t="str">
            <v>Latip Muhlanto</v>
          </cell>
          <cell r="E572" t="str">
            <v/>
          </cell>
        </row>
        <row r="573">
          <cell r="B573">
            <v>32000000000570</v>
          </cell>
          <cell r="C573">
            <v>25000000000570</v>
          </cell>
          <cell r="D573" t="str">
            <v>Leonardo Putra</v>
          </cell>
          <cell r="E573" t="str">
            <v/>
          </cell>
        </row>
        <row r="574">
          <cell r="B574">
            <v>32000000000571</v>
          </cell>
          <cell r="C574">
            <v>25000000000571</v>
          </cell>
          <cell r="D574" t="str">
            <v>Muhammad Ramadani</v>
          </cell>
          <cell r="E574" t="str">
            <v/>
          </cell>
        </row>
        <row r="575">
          <cell r="B575">
            <v>32000000000572</v>
          </cell>
          <cell r="C575">
            <v>25000000000572</v>
          </cell>
          <cell r="D575" t="str">
            <v>Musdalipa</v>
          </cell>
          <cell r="E575" t="str">
            <v/>
          </cell>
        </row>
        <row r="576">
          <cell r="B576">
            <v>32000000000573</v>
          </cell>
          <cell r="C576">
            <v>25000000000573</v>
          </cell>
          <cell r="D576" t="str">
            <v>Nico Melky</v>
          </cell>
          <cell r="E576" t="str">
            <v/>
          </cell>
        </row>
        <row r="577">
          <cell r="B577">
            <v>32000000000574</v>
          </cell>
          <cell r="C577">
            <v>25000000000574</v>
          </cell>
          <cell r="D577" t="str">
            <v>Rahmata Novanisa</v>
          </cell>
          <cell r="E577" t="str">
            <v>230924993</v>
          </cell>
        </row>
        <row r="578">
          <cell r="B578">
            <v>32000000000575</v>
          </cell>
          <cell r="C578">
            <v>25000000000575</v>
          </cell>
          <cell r="D578" t="str">
            <v>Satrio Dhiaputra</v>
          </cell>
          <cell r="E578" t="str">
            <v/>
          </cell>
        </row>
        <row r="579">
          <cell r="B579">
            <v>32000000000576</v>
          </cell>
          <cell r="C579">
            <v>25000000000576</v>
          </cell>
          <cell r="D579" t="str">
            <v>Sudirman</v>
          </cell>
          <cell r="E579" t="str">
            <v/>
          </cell>
        </row>
        <row r="580">
          <cell r="B580">
            <v>32000000000577</v>
          </cell>
          <cell r="C580">
            <v>25000000000577</v>
          </cell>
          <cell r="D580" t="str">
            <v>Suparji</v>
          </cell>
          <cell r="E580" t="str">
            <v/>
          </cell>
        </row>
        <row r="581">
          <cell r="B581">
            <v>32000000000578</v>
          </cell>
          <cell r="C581">
            <v>25000000000578</v>
          </cell>
          <cell r="D581" t="str">
            <v>Taufik Iskandar</v>
          </cell>
          <cell r="E581" t="str">
            <v/>
          </cell>
        </row>
        <row r="582">
          <cell r="B582">
            <v>32000000000579</v>
          </cell>
          <cell r="C582">
            <v>25000000000579</v>
          </cell>
          <cell r="D582" t="str">
            <v>Tegar Hersaputra</v>
          </cell>
          <cell r="E582" t="str">
            <v>280324989</v>
          </cell>
        </row>
        <row r="583">
          <cell r="B583">
            <v>32000000000580</v>
          </cell>
          <cell r="C583">
            <v>25000000000580</v>
          </cell>
          <cell r="D583" t="str">
            <v>Togar Sihombing</v>
          </cell>
          <cell r="E583" t="str">
            <v/>
          </cell>
        </row>
        <row r="584">
          <cell r="B584">
            <v>32000000000581</v>
          </cell>
          <cell r="C584">
            <v>25000000000581</v>
          </cell>
          <cell r="D584" t="str">
            <v>Wisnu Trenggono Wirayuda</v>
          </cell>
          <cell r="E584" t="str">
            <v>150724991</v>
          </cell>
        </row>
        <row r="585">
          <cell r="B585">
            <v>32000000000582</v>
          </cell>
          <cell r="C585">
            <v>25000000000582</v>
          </cell>
          <cell r="D585" t="str">
            <v>Yogo</v>
          </cell>
          <cell r="E585" t="str">
            <v/>
          </cell>
        </row>
        <row r="586">
          <cell r="B586">
            <v>32000000000583</v>
          </cell>
          <cell r="C586">
            <v>25000000000583</v>
          </cell>
          <cell r="D586" t="str">
            <v>Yustiana Firda</v>
          </cell>
          <cell r="E586" t="str">
            <v/>
          </cell>
        </row>
        <row r="587">
          <cell r="B587">
            <v>32000000000584</v>
          </cell>
          <cell r="C587">
            <v>25000000000584</v>
          </cell>
          <cell r="D587" t="str">
            <v>Zainal Abidin</v>
          </cell>
          <cell r="E587" t="str">
            <v/>
          </cell>
        </row>
        <row r="588">
          <cell r="B588">
            <v>32000000000585</v>
          </cell>
          <cell r="C588">
            <v>25000000000585</v>
          </cell>
          <cell r="D588" t="str">
            <v>Budi Sandika</v>
          </cell>
          <cell r="E588" t="str">
            <v/>
          </cell>
        </row>
        <row r="589">
          <cell r="B589">
            <v>32000000000586</v>
          </cell>
          <cell r="C589">
            <v>25000000000586</v>
          </cell>
          <cell r="D589" t="str">
            <v>Fachri Azhar</v>
          </cell>
          <cell r="E589" t="str">
            <v/>
          </cell>
        </row>
        <row r="590">
          <cell r="B590">
            <v>32000000000587</v>
          </cell>
          <cell r="C590">
            <v>25000000000587</v>
          </cell>
          <cell r="D590" t="str">
            <v>Firmansyah Awaludin</v>
          </cell>
          <cell r="E590" t="str">
            <v/>
          </cell>
        </row>
        <row r="591">
          <cell r="B591">
            <v>32000000000588</v>
          </cell>
          <cell r="C591">
            <v>25000000000588</v>
          </cell>
          <cell r="D591" t="str">
            <v>Iman Faisal Abdurahman</v>
          </cell>
          <cell r="E591" t="str">
            <v>030225999</v>
          </cell>
        </row>
        <row r="592">
          <cell r="B592">
            <v>32000000000589</v>
          </cell>
          <cell r="C592">
            <v>25000000000589</v>
          </cell>
          <cell r="D592" t="str">
            <v>Muhammad Irfan Alfikri Rayana</v>
          </cell>
          <cell r="E592" t="str">
            <v/>
          </cell>
        </row>
        <row r="593">
          <cell r="B593">
            <v>32000000000590</v>
          </cell>
          <cell r="C593">
            <v>25000000000590</v>
          </cell>
          <cell r="D593" t="str">
            <v>Syafri Johansah</v>
          </cell>
          <cell r="E593" t="str">
            <v/>
          </cell>
        </row>
        <row r="594">
          <cell r="B594">
            <v>32000000000591</v>
          </cell>
          <cell r="C594">
            <v>25000000000591</v>
          </cell>
          <cell r="D594" t="str">
            <v>Agus Sobar</v>
          </cell>
          <cell r="E594" t="str">
            <v/>
          </cell>
        </row>
        <row r="595">
          <cell r="B595">
            <v>32000000000592</v>
          </cell>
          <cell r="C595">
            <v>25000000000592</v>
          </cell>
          <cell r="D595" t="str">
            <v>Ahmad Sandi Asyuri</v>
          </cell>
          <cell r="E595" t="str">
            <v>181124994</v>
          </cell>
        </row>
        <row r="596">
          <cell r="B596">
            <v>32000000000593</v>
          </cell>
          <cell r="C596">
            <v>25000000000593</v>
          </cell>
          <cell r="D596" t="str">
            <v>Andi Mapasoro</v>
          </cell>
          <cell r="E596" t="str">
            <v>0403251002</v>
          </cell>
        </row>
        <row r="597">
          <cell r="B597">
            <v>32000000000594</v>
          </cell>
          <cell r="C597">
            <v>25000000000594</v>
          </cell>
          <cell r="D597" t="str">
            <v>Arie Gustaman</v>
          </cell>
          <cell r="E597" t="str">
            <v/>
          </cell>
        </row>
        <row r="598">
          <cell r="B598">
            <v>32000000000595</v>
          </cell>
          <cell r="C598">
            <v>25000000000595</v>
          </cell>
          <cell r="D598" t="str">
            <v>Arief Yulianto</v>
          </cell>
          <cell r="E598" t="str">
            <v>120124984</v>
          </cell>
        </row>
        <row r="599">
          <cell r="B599">
            <v>32000000000596</v>
          </cell>
          <cell r="C599">
            <v>25000000000596</v>
          </cell>
          <cell r="D599" t="str">
            <v>Burhan</v>
          </cell>
          <cell r="E599" t="str">
            <v>010413650</v>
          </cell>
        </row>
        <row r="600">
          <cell r="B600">
            <v>32000000000597</v>
          </cell>
          <cell r="C600">
            <v>25000000000597</v>
          </cell>
          <cell r="D600" t="str">
            <v>Deby Syahputa</v>
          </cell>
          <cell r="E600" t="str">
            <v/>
          </cell>
        </row>
        <row r="601">
          <cell r="B601">
            <v>32000000000598</v>
          </cell>
          <cell r="C601">
            <v>25000000000598</v>
          </cell>
          <cell r="D601" t="str">
            <v>Ibrahim Arya Yuda</v>
          </cell>
          <cell r="E601" t="str">
            <v/>
          </cell>
        </row>
        <row r="602">
          <cell r="B602">
            <v>32000000000599</v>
          </cell>
          <cell r="C602">
            <v>25000000000599</v>
          </cell>
          <cell r="D602" t="str">
            <v>Jamil</v>
          </cell>
          <cell r="E602" t="str">
            <v/>
          </cell>
        </row>
        <row r="603">
          <cell r="B603">
            <v>32000000000600</v>
          </cell>
          <cell r="C603">
            <v>25000000000600</v>
          </cell>
          <cell r="D603" t="str">
            <v>Kiki Prasetyo</v>
          </cell>
          <cell r="E603" t="str">
            <v/>
          </cell>
        </row>
        <row r="604">
          <cell r="B604">
            <v>32000000000601</v>
          </cell>
          <cell r="C604">
            <v>25000000000601</v>
          </cell>
          <cell r="D604" t="str">
            <v>Mochamad Ulul Azmi Wira Utama</v>
          </cell>
          <cell r="E604" t="str">
            <v>1206251007</v>
          </cell>
        </row>
        <row r="605">
          <cell r="B605">
            <v>32000000000602</v>
          </cell>
          <cell r="C605">
            <v>25000000000602</v>
          </cell>
          <cell r="D605" t="str">
            <v>Muhammad Bilal Sharony</v>
          </cell>
          <cell r="E605" t="str">
            <v/>
          </cell>
        </row>
        <row r="606">
          <cell r="B606">
            <v>32000000000603</v>
          </cell>
          <cell r="C606">
            <v>25000000000603</v>
          </cell>
          <cell r="D606" t="str">
            <v>Muhammad Hairul</v>
          </cell>
          <cell r="E606" t="str">
            <v/>
          </cell>
        </row>
        <row r="607">
          <cell r="B607">
            <v>32000000000604</v>
          </cell>
          <cell r="C607">
            <v>25000000000604</v>
          </cell>
          <cell r="D607" t="str">
            <v>Muhammad Rizal</v>
          </cell>
          <cell r="E607" t="str">
            <v>230125998</v>
          </cell>
        </row>
        <row r="608">
          <cell r="B608">
            <v>32000000000605</v>
          </cell>
          <cell r="C608">
            <v>25000000000605</v>
          </cell>
          <cell r="D608" t="str">
            <v>Rahmad Dwifar</v>
          </cell>
          <cell r="E608" t="str">
            <v>2011251012</v>
          </cell>
        </row>
        <row r="609">
          <cell r="B609">
            <v>32000000000606</v>
          </cell>
          <cell r="C609">
            <v>25000000000606</v>
          </cell>
          <cell r="D609" t="str">
            <v>Reza Sanjaya</v>
          </cell>
          <cell r="E609" t="str">
            <v/>
          </cell>
        </row>
        <row r="610">
          <cell r="B610">
            <v>32000000000607</v>
          </cell>
          <cell r="C610">
            <v>25000000000607</v>
          </cell>
          <cell r="D610" t="str">
            <v>Ridwan Nur Muttaqin</v>
          </cell>
          <cell r="E610" t="str">
            <v>0603251003</v>
          </cell>
        </row>
        <row r="611">
          <cell r="B611">
            <v>32000000000608</v>
          </cell>
          <cell r="C611">
            <v>25000000000608</v>
          </cell>
          <cell r="D611" t="str">
            <v xml:space="preserve">Risaldi </v>
          </cell>
          <cell r="E611" t="str">
            <v/>
          </cell>
        </row>
        <row r="612">
          <cell r="B612">
            <v>32000000000609</v>
          </cell>
          <cell r="C612">
            <v>25000000000609</v>
          </cell>
          <cell r="D612" t="str">
            <v>Risty Alawiyah</v>
          </cell>
          <cell r="E612" t="str">
            <v>2703251004</v>
          </cell>
        </row>
        <row r="613">
          <cell r="B613">
            <v>32000000000610</v>
          </cell>
          <cell r="C613">
            <v>25000000000610</v>
          </cell>
          <cell r="D613" t="str">
            <v>Rustono</v>
          </cell>
          <cell r="E613" t="str">
            <v>010413649</v>
          </cell>
        </row>
        <row r="614">
          <cell r="B614">
            <v>32000000000611</v>
          </cell>
          <cell r="C614">
            <v>25000000000611</v>
          </cell>
          <cell r="D614" t="str">
            <v>Solihin</v>
          </cell>
          <cell r="E614" t="str">
            <v>020916798</v>
          </cell>
        </row>
        <row r="615">
          <cell r="B615">
            <v>32000000000612</v>
          </cell>
          <cell r="C615">
            <v>25000000000612</v>
          </cell>
          <cell r="D615" t="str">
            <v>Supriatna</v>
          </cell>
          <cell r="E615" t="str">
            <v>010413653</v>
          </cell>
        </row>
        <row r="616">
          <cell r="B616">
            <v>32000000000613</v>
          </cell>
          <cell r="C616">
            <v>25000000000613</v>
          </cell>
          <cell r="D616" t="str">
            <v>Taufik Aminudin</v>
          </cell>
          <cell r="E616" t="str">
            <v/>
          </cell>
        </row>
        <row r="617">
          <cell r="B617">
            <v>32000000000614</v>
          </cell>
          <cell r="C617">
            <v>25000000000614</v>
          </cell>
          <cell r="D617" t="str">
            <v>Timotius Tabun</v>
          </cell>
          <cell r="E617" t="str">
            <v>300913696</v>
          </cell>
        </row>
        <row r="618">
          <cell r="B618">
            <v>32000000000615</v>
          </cell>
          <cell r="C618">
            <v>25000000000615</v>
          </cell>
          <cell r="D618" t="str">
            <v>Adi</v>
          </cell>
          <cell r="E618" t="str">
            <v>0209251009</v>
          </cell>
        </row>
        <row r="619">
          <cell r="B619">
            <v>32000000000616</v>
          </cell>
          <cell r="C619">
            <v>25000000000616</v>
          </cell>
          <cell r="D619" t="str">
            <v>Andrean Fahrizi</v>
          </cell>
          <cell r="E619" t="str">
            <v/>
          </cell>
        </row>
        <row r="620">
          <cell r="B620">
            <v>32000000000617</v>
          </cell>
          <cell r="C620">
            <v>25000000000617</v>
          </cell>
          <cell r="D620" t="str">
            <v>Amar Abdilah</v>
          </cell>
          <cell r="E620" t="str">
            <v/>
          </cell>
        </row>
        <row r="621">
          <cell r="B621">
            <v>32000000000618</v>
          </cell>
          <cell r="C621">
            <v>25000000000618</v>
          </cell>
          <cell r="D621" t="str">
            <v>Heru Indra Permana</v>
          </cell>
          <cell r="E621" t="str">
            <v/>
          </cell>
        </row>
        <row r="622">
          <cell r="B622">
            <v>32000000000619</v>
          </cell>
          <cell r="C622">
            <v>25000000000619</v>
          </cell>
          <cell r="D622" t="str">
            <v>Budi Santosa (KSO)</v>
          </cell>
          <cell r="E622" t="str">
            <v/>
          </cell>
        </row>
        <row r="623">
          <cell r="B623">
            <v>32000000000620</v>
          </cell>
          <cell r="C623">
            <v>25000000000620</v>
          </cell>
          <cell r="D623" t="str">
            <v>Haryono</v>
          </cell>
          <cell r="E623" t="str">
            <v/>
          </cell>
        </row>
        <row r="624">
          <cell r="B624">
            <v>32000000000621</v>
          </cell>
          <cell r="C624">
            <v>25000000000621</v>
          </cell>
          <cell r="D624" t="str">
            <v>Indah Sri Rejeki</v>
          </cell>
          <cell r="E624" t="str">
            <v/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G551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8" sqref="D8"/>
    </sheetView>
  </sheetViews>
  <sheetFormatPr defaultRowHeight="12.75" x14ac:dyDescent="0.2"/>
  <cols>
    <col min="1" max="1" width="2.85546875" style="3" customWidth="1"/>
    <col min="2" max="2" width="13.140625" style="5" bestFit="1" customWidth="1"/>
    <col min="3" max="3" width="8" style="3" bestFit="1" customWidth="1"/>
    <col min="4" max="4" width="40.42578125" style="3" bestFit="1" customWidth="1"/>
    <col min="5" max="5" width="2.5703125" style="3" customWidth="1"/>
    <col min="6" max="6" width="14" style="5" bestFit="1" customWidth="1"/>
    <col min="7" max="7" width="73" style="3" bestFit="1" customWidth="1"/>
    <col min="8" max="8" width="47.28515625" style="3" bestFit="1" customWidth="1"/>
    <col min="9" max="16384" width="9.140625" style="3"/>
  </cols>
  <sheetData>
    <row r="1" spans="2:7" ht="13.5" thickBot="1" x14ac:dyDescent="0.25"/>
    <row r="2" spans="2:7" ht="25.5" x14ac:dyDescent="0.2">
      <c r="B2" s="4" t="s">
        <v>0</v>
      </c>
      <c r="C2" s="1" t="s">
        <v>2</v>
      </c>
      <c r="D2" s="12" t="s">
        <v>1</v>
      </c>
      <c r="F2" s="4" t="s">
        <v>3</v>
      </c>
      <c r="G2" s="12"/>
    </row>
    <row r="3" spans="2:7" ht="13.5" thickBot="1" x14ac:dyDescent="0.25">
      <c r="B3" s="6"/>
      <c r="C3" s="2"/>
      <c r="D3" s="13"/>
      <c r="F3" s="6"/>
      <c r="G3" s="13"/>
    </row>
    <row r="4" spans="2:7" x14ac:dyDescent="0.2">
      <c r="B4" s="7">
        <f>[1]DataLookUp!$B$8</f>
        <v>65000000000005</v>
      </c>
      <c r="C4" s="8" t="str">
        <f>IF(EXACT($B4, ""), "", VLOOKUP($B4, [1]DataLookUp!$B$4:$D$1000, 2, FALSE))</f>
        <v>1-1101.01</v>
      </c>
      <c r="D4" s="8" t="str">
        <f>IF(EXACT($B4, ""), "", VLOOKUP($B4, [1]DataLookUp!$B$4:$D$1000, 3, FALSE))</f>
        <v>Petty Cash (IDR)</v>
      </c>
      <c r="F4" s="7"/>
      <c r="G4" s="15"/>
    </row>
    <row r="5" spans="2:7" x14ac:dyDescent="0.2">
      <c r="B5" s="9">
        <f>[1]DataLookUp!$B$10</f>
        <v>65000000000007</v>
      </c>
      <c r="C5" s="10" t="str">
        <f>IF(EXACT($B5, ""), "", VLOOKUP($B5, [1]DataLookUp!$B$4:$D$1000, 2, FALSE))</f>
        <v>1-1102.01</v>
      </c>
      <c r="D5" s="10" t="str">
        <f>IF(EXACT($B5, ""), "", VLOOKUP($B5, [1]DataLookUp!$B$4:$D$1000, 3, FALSE))</f>
        <v>Bank (IDR)</v>
      </c>
      <c r="F5" s="9"/>
      <c r="G5" s="16"/>
    </row>
    <row r="6" spans="2:7" x14ac:dyDescent="0.2">
      <c r="B6" s="9">
        <f>[1]DataLookUp!$B$11</f>
        <v>65000000000008</v>
      </c>
      <c r="C6" s="10" t="str">
        <f>IF(EXACT($B6, ""), "", VLOOKUP($B6, [1]DataLookUp!$B$4:$D$1000, 2, FALSE))</f>
        <v>1-1102.02</v>
      </c>
      <c r="D6" s="10" t="str">
        <f>IF(EXACT($B6, ""), "", VLOOKUP($B6, [1]DataLookUp!$B$4:$D$1000, 3, FALSE))</f>
        <v>Bank (USD)</v>
      </c>
      <c r="F6" s="9"/>
      <c r="G6" s="16"/>
    </row>
    <row r="7" spans="2:7" x14ac:dyDescent="0.2">
      <c r="B7" s="9">
        <f>[1]DataLookUp!$B$13</f>
        <v>65000000000010</v>
      </c>
      <c r="C7" s="10" t="str">
        <f>IF(EXACT($B7, ""), "", VLOOKUP($B7, [1]DataLookUp!$B$4:$D$1000, 2, FALSE))</f>
        <v>1-1103.01</v>
      </c>
      <c r="D7" s="10" t="str">
        <f>IF(EXACT($B7, ""), "", VLOOKUP($B7, [1]DataLookUp!$B$4:$D$1000, 3, FALSE))</f>
        <v>Money In Transfer (IDR)</v>
      </c>
      <c r="F7" s="9"/>
      <c r="G7" s="16"/>
    </row>
    <row r="8" spans="2:7" x14ac:dyDescent="0.2">
      <c r="B8" s="9">
        <f>[1]DataLookUp!$B$14</f>
        <v>65000000000011</v>
      </c>
      <c r="C8" s="10" t="str">
        <f>IF(EXACT($B8, ""), "", VLOOKUP($B8, [1]DataLookUp!$B$4:$D$1000, 2, FALSE))</f>
        <v>1-1200</v>
      </c>
      <c r="D8" s="10" t="str">
        <f>IF(EXACT($B8, ""), "", VLOOKUP($B8, [1]DataLookUp!$B$4:$D$1000, 3, FALSE))</f>
        <v>Account Receivable</v>
      </c>
      <c r="F8" s="9"/>
      <c r="G8" s="16"/>
    </row>
    <row r="9" spans="2:7" x14ac:dyDescent="0.2">
      <c r="B9" s="9">
        <f>[1]DataLookUp!$B$15</f>
        <v>65000000000012</v>
      </c>
      <c r="C9" s="10" t="str">
        <f>IF(EXACT($B9, ""), "", VLOOKUP($B9, [1]DataLookUp!$B$4:$D$1000, 2, FALSE))</f>
        <v>1-1201</v>
      </c>
      <c r="D9" s="10" t="str">
        <f>IF(EXACT($B9, ""), "", VLOOKUP($B9, [1]DataLookUp!$B$4:$D$1000, 3, FALSE))</f>
        <v>Piutang Usaha</v>
      </c>
      <c r="F9" s="9"/>
      <c r="G9" s="16"/>
    </row>
    <row r="10" spans="2:7" x14ac:dyDescent="0.2">
      <c r="B10" s="9">
        <f>[1]DataLookUp!$B$17</f>
        <v>65000000000014</v>
      </c>
      <c r="C10" s="10" t="str">
        <f>IF(EXACT($B10, ""), "", VLOOKUP($B10, [1]DataLookUp!$B$4:$D$1000, 2, FALSE))</f>
        <v>1-1201.02</v>
      </c>
      <c r="D10" s="10" t="str">
        <f>IF(EXACT($B10, ""), "", VLOOKUP($B10, [1]DataLookUp!$B$4:$D$1000, 3, FALSE))</f>
        <v>AR (USD)</v>
      </c>
      <c r="F10" s="9"/>
      <c r="G10" s="16"/>
    </row>
    <row r="11" spans="2:7" x14ac:dyDescent="0.2">
      <c r="B11" s="9">
        <f>[1]DataLookUp!$B$18</f>
        <v>65000000000015</v>
      </c>
      <c r="C11" s="10" t="str">
        <f>IF(EXACT($B11, ""), "", VLOOKUP($B11, [1]DataLookUp!$B$4:$D$1000, 2, FALSE))</f>
        <v>1-1202</v>
      </c>
      <c r="D11" s="10" t="str">
        <f>IF(EXACT($B11, ""), "", VLOOKUP($B11, [1]DataLookUp!$B$4:$D$1000, 3, FALSE))</f>
        <v>Cadangan Kerugian Piutang</v>
      </c>
      <c r="F11" s="9"/>
      <c r="G11" s="16"/>
    </row>
    <row r="12" spans="2:7" x14ac:dyDescent="0.2">
      <c r="B12" s="9">
        <f>[1]DataLookUp!$B$20</f>
        <v>65000000000017</v>
      </c>
      <c r="C12" s="10" t="str">
        <f>IF(EXACT($B12, ""), "", VLOOKUP($B12, [1]DataLookUp!$B$4:$D$1000, 2, FALSE))</f>
        <v>1-1202.02</v>
      </c>
      <c r="D12" s="10" t="str">
        <f>IF(EXACT($B12, ""), "", VLOOKUP($B12, [1]DataLookUp!$B$4:$D$1000, 3, FALSE))</f>
        <v>Cadangan Kerugian Piutang (USD)</v>
      </c>
      <c r="F12" s="9"/>
      <c r="G12" s="16"/>
    </row>
    <row r="13" spans="2:7" x14ac:dyDescent="0.2">
      <c r="B13" s="9">
        <f>[1]DataLookUp!$B$21</f>
        <v>65000000000018</v>
      </c>
      <c r="C13" s="10" t="str">
        <f>IF(EXACT($B13, ""), "", VLOOKUP($B13, [1]DataLookUp!$B$4:$D$1000, 2, FALSE))</f>
        <v>1-1203</v>
      </c>
      <c r="D13" s="10" t="str">
        <f>IF(EXACT($B13, ""), "", VLOOKUP($B13, [1]DataLookUp!$B$4:$D$1000, 3, FALSE))</f>
        <v>Piutang Non Usaha</v>
      </c>
      <c r="F13" s="9"/>
      <c r="G13" s="16"/>
    </row>
    <row r="14" spans="2:7" x14ac:dyDescent="0.2">
      <c r="B14" s="9">
        <f>[1]DataLookUp!$B$23</f>
        <v>65000000000020</v>
      </c>
      <c r="C14" s="10" t="str">
        <f>IF(EXACT($B14, ""), "", VLOOKUP($B14, [1]DataLookUp!$B$4:$D$1000, 2, FALSE))</f>
        <v>1-1203.02</v>
      </c>
      <c r="D14" s="10" t="str">
        <f>IF(EXACT($B14, ""), "", VLOOKUP($B14, [1]DataLookUp!$B$4:$D$1000, 3, FALSE))</f>
        <v>Piutang Non Usaha (USD)</v>
      </c>
      <c r="F14" s="9"/>
      <c r="G14" s="16"/>
    </row>
    <row r="15" spans="2:7" x14ac:dyDescent="0.2">
      <c r="B15" s="9">
        <f>[1]DataLookUp!$B$24</f>
        <v>65000000000021</v>
      </c>
      <c r="C15" s="10" t="str">
        <f>IF(EXACT($B15, ""), "", VLOOKUP($B15, [1]DataLookUp!$B$4:$D$1000, 2, FALSE))</f>
        <v>1-1204</v>
      </c>
      <c r="D15" s="10" t="str">
        <f>IF(EXACT($B15, ""), "", VLOOKUP($B15, [1]DataLookUp!$B$4:$D$1000, 3, FALSE))</f>
        <v>Piutang Antar Perusahaan</v>
      </c>
      <c r="F15" s="9"/>
      <c r="G15" s="16"/>
    </row>
    <row r="16" spans="2:7" x14ac:dyDescent="0.2">
      <c r="B16" s="9">
        <f>[1]DataLookUp!$B$27</f>
        <v>65000000000024</v>
      </c>
      <c r="C16" s="10" t="str">
        <f>IF(EXACT($B16, ""), "", VLOOKUP($B16, [1]DataLookUp!$B$4:$D$1000, 2, FALSE))</f>
        <v>1-1300</v>
      </c>
      <c r="D16" s="10" t="str">
        <f>IF(EXACT($B16, ""), "", VLOOKUP($B16, [1]DataLookUp!$B$4:$D$1000, 3, FALSE))</f>
        <v>Inventory</v>
      </c>
      <c r="F16" s="9"/>
      <c r="G16" s="16"/>
    </row>
    <row r="17" spans="2:7" x14ac:dyDescent="0.2">
      <c r="B17" s="9">
        <f>[1]DataLookUp!$B$29</f>
        <v>65000000000026</v>
      </c>
      <c r="C17" s="10" t="str">
        <f>IF(EXACT($B17, ""), "", VLOOKUP($B17, [1]DataLookUp!$B$4:$D$1000, 2, FALSE))</f>
        <v>1-1301.01</v>
      </c>
      <c r="D17" s="10" t="str">
        <f>IF(EXACT($B17, ""), "", VLOOKUP($B17, [1]DataLookUp!$B$4:$D$1000, 3, FALSE))</f>
        <v>Inventory (IDR)</v>
      </c>
      <c r="F17" s="9"/>
      <c r="G17" s="16"/>
    </row>
    <row r="18" spans="2:7" x14ac:dyDescent="0.2">
      <c r="B18" s="9">
        <f>[1]DataLookUp!$B$32</f>
        <v>65000000000029</v>
      </c>
      <c r="C18" s="10" t="str">
        <f>IF(EXACT($B18, ""), "", VLOOKUP($B18, [1]DataLookUp!$B$4:$D$1000, 2, FALSE))</f>
        <v>1-1500</v>
      </c>
      <c r="D18" s="10" t="str">
        <f>IF(EXACT($B18, ""), "", VLOOKUP($B18, [1]DataLookUp!$B$4:$D$1000, 3, FALSE))</f>
        <v>Pajak Dibayar Dimuka</v>
      </c>
      <c r="F18" s="9"/>
      <c r="G18" s="16"/>
    </row>
    <row r="19" spans="2:7" x14ac:dyDescent="0.2">
      <c r="B19" s="9">
        <f>[1]DataLookUp!$B$34</f>
        <v>65000000000031</v>
      </c>
      <c r="C19" s="10" t="str">
        <f>IF(EXACT($B19, ""), "", VLOOKUP($B19, [1]DataLookUp!$B$4:$D$1000, 2, FALSE))</f>
        <v>1-1501.01</v>
      </c>
      <c r="D19" s="10" t="str">
        <f>IF(EXACT($B19, ""), "", VLOOKUP($B19, [1]DataLookUp!$B$4:$D$1000, 3, FALSE))</f>
        <v>VAT IN (IDR)</v>
      </c>
      <c r="F19" s="9"/>
      <c r="G19" s="16"/>
    </row>
    <row r="20" spans="2:7" x14ac:dyDescent="0.2">
      <c r="B20" s="9">
        <f>[1]DataLookUp!$B$36</f>
        <v>65000000000033</v>
      </c>
      <c r="C20" s="10" t="str">
        <f>IF(EXACT($B20, ""), "", VLOOKUP($B20, [1]DataLookUp!$B$4:$D$1000, 2, FALSE))</f>
        <v>1-1502.01</v>
      </c>
      <c r="D20" s="10" t="str">
        <f>IF(EXACT($B20, ""), "", VLOOKUP($B20, [1]DataLookUp!$B$4:$D$1000, 3, FALSE))</f>
        <v>Prepaid Tax 22 (IDR)</v>
      </c>
      <c r="F20" s="9"/>
      <c r="G20" s="16"/>
    </row>
    <row r="21" spans="2:7" x14ac:dyDescent="0.2">
      <c r="B21" s="9">
        <f>[1]DataLookUp!$B$38</f>
        <v>65000000000035</v>
      </c>
      <c r="C21" s="10" t="str">
        <f>IF(EXACT($B21, ""), "", VLOOKUP($B21, [1]DataLookUp!$B$4:$D$1000, 2, FALSE))</f>
        <v>1-1503.01</v>
      </c>
      <c r="D21" s="10" t="str">
        <f>IF(EXACT($B21, ""), "", VLOOKUP($B21, [1]DataLookUp!$B$4:$D$1000, 3, FALSE))</f>
        <v>Prepaid Tax 23 (IDR)</v>
      </c>
      <c r="F21" s="9"/>
      <c r="G21" s="16"/>
    </row>
    <row r="22" spans="2:7" x14ac:dyDescent="0.2">
      <c r="B22" s="9">
        <f>[1]DataLookUp!$B$40</f>
        <v>65000000000037</v>
      </c>
      <c r="C22" s="10" t="str">
        <f>IF(EXACT($B22, ""), "", VLOOKUP($B22, [1]DataLookUp!$B$4:$D$1000, 2, FALSE))</f>
        <v>1-1504.01</v>
      </c>
      <c r="D22" s="10" t="str">
        <f>IF(EXACT($B22, ""), "", VLOOKUP($B22, [1]DataLookUp!$B$4:$D$1000, 3, FALSE))</f>
        <v>Prepaid Tax 25 (IDR)</v>
      </c>
      <c r="F22" s="9"/>
      <c r="G22" s="16"/>
    </row>
    <row r="23" spans="2:7" x14ac:dyDescent="0.2">
      <c r="B23" s="9">
        <f>[1]DataLookUp!$B$42</f>
        <v>65000000000039</v>
      </c>
      <c r="C23" s="10" t="str">
        <f>IF(EXACT($B23, ""), "", VLOOKUP($B23, [1]DataLookUp!$B$4:$D$1000, 2, FALSE))</f>
        <v>1-1600.01</v>
      </c>
      <c r="D23" s="10" t="str">
        <f>IF(EXACT($B23, ""), "", VLOOKUP($B23, [1]DataLookUp!$B$4:$D$1000, 3, FALSE))</f>
        <v>Perlengkapan Kantor (IDR)</v>
      </c>
      <c r="F23" s="9"/>
      <c r="G23" s="16"/>
    </row>
    <row r="24" spans="2:7" x14ac:dyDescent="0.2">
      <c r="B24" s="9">
        <f>[1]DataLookUp!$B$45</f>
        <v>65000000000042</v>
      </c>
      <c r="C24" s="10" t="str">
        <f>IF(EXACT($B24, ""), "", VLOOKUP($B24, [1]DataLookUp!$B$4:$D$1000, 2, FALSE))</f>
        <v>1-1900</v>
      </c>
      <c r="D24" s="10" t="str">
        <f>IF(EXACT($B24, ""), "", VLOOKUP($B24, [1]DataLookUp!$B$4:$D$1000, 3, FALSE))</f>
        <v>Other Current Asset</v>
      </c>
      <c r="F24" s="9"/>
      <c r="G24" s="16"/>
    </row>
    <row r="25" spans="2:7" x14ac:dyDescent="0.2">
      <c r="B25" s="9">
        <f>[1]DataLookUp!$B$47</f>
        <v>65000000000044</v>
      </c>
      <c r="C25" s="10" t="str">
        <f>IF(EXACT($B25, ""), "", VLOOKUP($B25, [1]DataLookUp!$B$4:$D$1000, 2, FALSE))</f>
        <v>1-1901.01</v>
      </c>
      <c r="D25" s="10" t="str">
        <f>IF(EXACT($B25, ""), "", VLOOKUP($B25, [1]DataLookUp!$B$4:$D$1000, 3, FALSE))</f>
        <v>Paid in Advance (IDR)</v>
      </c>
      <c r="F25" s="9"/>
      <c r="G25" s="16"/>
    </row>
    <row r="26" spans="2:7" x14ac:dyDescent="0.2">
      <c r="B26" s="9">
        <f>[1]DataLookUp!$B$49</f>
        <v>65000000000046</v>
      </c>
      <c r="C26" s="10" t="str">
        <f>IF(EXACT($B26, ""), "", VLOOKUP($B26, [1]DataLookUp!$B$4:$D$1000, 2, FALSE))</f>
        <v>1-1902.01</v>
      </c>
      <c r="D26" s="10" t="str">
        <f>IF(EXACT($B26, ""), "", VLOOKUP($B26, [1]DataLookUp!$B$4:$D$1000, 3, FALSE))</f>
        <v>Suspense (IDR)</v>
      </c>
      <c r="F26" s="9"/>
      <c r="G26" s="16"/>
    </row>
    <row r="27" spans="2:7" x14ac:dyDescent="0.2">
      <c r="B27" s="9">
        <f>[1]DataLookUp!$B$51</f>
        <v>65000000000048</v>
      </c>
      <c r="C27" s="10" t="str">
        <f>IF(EXACT($B27, ""), "", VLOOKUP($B27, [1]DataLookUp!$B$4:$D$1000, 2, FALSE))</f>
        <v>1-1903.01</v>
      </c>
      <c r="D27" s="10" t="str">
        <f>IF(EXACT($B27, ""), "", VLOOKUP($B27, [1]DataLookUp!$B$4:$D$1000, 3, FALSE))</f>
        <v>Security Deposit (IDR)</v>
      </c>
      <c r="F27" s="9"/>
      <c r="G27" s="16"/>
    </row>
    <row r="28" spans="2:7" x14ac:dyDescent="0.2">
      <c r="B28" s="9">
        <f>[1]DataLookUp!$B$53</f>
        <v>65000000000050</v>
      </c>
      <c r="C28" s="10" t="str">
        <f>IF(EXACT($B28, ""), "", VLOOKUP($B28, [1]DataLookUp!$B$4:$D$1000, 2, FALSE))</f>
        <v>1-1904.01</v>
      </c>
      <c r="D28" s="10" t="str">
        <f>IF(EXACT($B28, ""), "", VLOOKUP($B28, [1]DataLookUp!$B$4:$D$1000, 3, FALSE))</f>
        <v>Unbilled Receivable (IDR)</v>
      </c>
      <c r="F28" s="9"/>
      <c r="G28" s="16"/>
    </row>
    <row r="29" spans="2:7" x14ac:dyDescent="0.2">
      <c r="B29" s="9">
        <f>[1]DataLookUp!$B$55</f>
        <v>65000000000052</v>
      </c>
      <c r="C29" s="10" t="str">
        <f>IF(EXACT($B29, ""), "", VLOOKUP($B29, [1]DataLookUp!$B$4:$D$1000, 2, FALSE))</f>
        <v>1-1905.01</v>
      </c>
      <c r="D29" s="10" t="str">
        <f>IF(EXACT($B29, ""), "", VLOOKUP($B29, [1]DataLookUp!$B$4:$D$1000, 3, FALSE))</f>
        <v>Work in Progress (IDR)</v>
      </c>
      <c r="F29" s="9"/>
      <c r="G29" s="16"/>
    </row>
    <row r="30" spans="2:7" x14ac:dyDescent="0.2">
      <c r="B30" s="9">
        <f>[1]DataLookUp!$B$58</f>
        <v>65000000000055</v>
      </c>
      <c r="C30" s="10" t="str">
        <f>IF(EXACT($B30, ""), "", VLOOKUP($B30, [1]DataLookUp!$B$4:$D$1000, 2, FALSE))</f>
        <v>1-2000</v>
      </c>
      <c r="D30" s="10" t="str">
        <f>IF(EXACT($B30, ""), "", VLOOKUP($B30, [1]DataLookUp!$B$4:$D$1000, 3, FALSE))</f>
        <v>Investasi Jangka Panjang</v>
      </c>
      <c r="F30" s="9"/>
      <c r="G30" s="16"/>
    </row>
    <row r="31" spans="2:7" x14ac:dyDescent="0.2">
      <c r="B31" s="9">
        <f>[1]DataLookUp!$B$62</f>
        <v>65000000000059</v>
      </c>
      <c r="C31" s="10" t="str">
        <f>IF(EXACT($B31, ""), "", VLOOKUP($B31, [1]DataLookUp!$B$4:$D$1000, 2, FALSE))</f>
        <v>1-3100</v>
      </c>
      <c r="D31" s="10" t="str">
        <f>IF(EXACT($B31, ""), "", VLOOKUP($B31, [1]DataLookUp!$B$4:$D$1000, 3, FALSE))</f>
        <v>Aset Tetap</v>
      </c>
      <c r="F31" s="9"/>
      <c r="G31" s="16"/>
    </row>
    <row r="32" spans="2:7" x14ac:dyDescent="0.2">
      <c r="B32" s="9">
        <f>[1]DataLookUp!$B$64</f>
        <v>65000000000061</v>
      </c>
      <c r="C32" s="10" t="str">
        <f>IF(EXACT($B32, ""), "", VLOOKUP($B32, [1]DataLookUp!$B$4:$D$1000, 2, FALSE))</f>
        <v>1-3101.01</v>
      </c>
      <c r="D32" s="10" t="str">
        <f>IF(EXACT($B32, ""), "", VLOOKUP($B32, [1]DataLookUp!$B$4:$D$1000, 3, FALSE))</f>
        <v>Land (IDR)</v>
      </c>
      <c r="F32" s="9"/>
      <c r="G32" s="16"/>
    </row>
    <row r="33" spans="2:7" x14ac:dyDescent="0.2">
      <c r="B33" s="9">
        <f>[1]DataLookUp!$B$66</f>
        <v>65000000000063</v>
      </c>
      <c r="C33" s="10" t="str">
        <f>IF(EXACT($B33, ""), "", VLOOKUP($B33, [1]DataLookUp!$B$4:$D$1000, 2, FALSE))</f>
        <v>1-3102.01</v>
      </c>
      <c r="D33" s="10" t="str">
        <f>IF(EXACT($B33, ""), "", VLOOKUP($B33, [1]DataLookUp!$B$4:$D$1000, 3, FALSE))</f>
        <v>Building - Improvement (IDR)</v>
      </c>
      <c r="F33" s="9"/>
      <c r="G33" s="16"/>
    </row>
    <row r="34" spans="2:7" x14ac:dyDescent="0.2">
      <c r="B34" s="9">
        <f>[1]DataLookUp!$B$68</f>
        <v>65000000000065</v>
      </c>
      <c r="C34" s="10" t="str">
        <f>IF(EXACT($B34, ""), "", VLOOKUP($B34, [1]DataLookUp!$B$4:$D$1000, 2, FALSE))</f>
        <v>1-3103.01</v>
      </c>
      <c r="D34" s="10" t="str">
        <f>IF(EXACT($B34, ""), "", VLOOKUP($B34, [1]DataLookUp!$B$4:$D$1000, 3, FALSE))</f>
        <v>Building - Office (IDR)</v>
      </c>
      <c r="F34" s="9"/>
      <c r="G34" s="16"/>
    </row>
    <row r="35" spans="2:7" x14ac:dyDescent="0.2">
      <c r="B35" s="9">
        <f>[1]DataLookUp!$B$70</f>
        <v>65000000000067</v>
      </c>
      <c r="C35" s="10" t="str">
        <f>IF(EXACT($B35, ""), "", VLOOKUP($B35, [1]DataLookUp!$B$4:$D$1000, 2, FALSE))</f>
        <v>1-3104.01</v>
      </c>
      <c r="D35" s="10" t="str">
        <f>IF(EXACT($B35, ""), "", VLOOKUP($B35, [1]DataLookUp!$B$4:$D$1000, 3, FALSE))</f>
        <v>Info Tech Equipment (IDR)</v>
      </c>
      <c r="F35" s="9"/>
      <c r="G35" s="16"/>
    </row>
    <row r="36" spans="2:7" x14ac:dyDescent="0.2">
      <c r="B36" s="9">
        <f>[1]DataLookUp!$B$72</f>
        <v>65000000000069</v>
      </c>
      <c r="C36" s="10" t="str">
        <f>IF(EXACT($B36, ""), "", VLOOKUP($B36, [1]DataLookUp!$B$4:$D$1000, 2, FALSE))</f>
        <v>1-3105.01</v>
      </c>
      <c r="D36" s="10" t="str">
        <f>IF(EXACT($B36, ""), "", VLOOKUP($B36, [1]DataLookUp!$B$4:$D$1000, 3, FALSE))</f>
        <v>Office Machine &amp; Equipment (IDR)</v>
      </c>
      <c r="F36" s="9"/>
      <c r="G36" s="16"/>
    </row>
    <row r="37" spans="2:7" x14ac:dyDescent="0.2">
      <c r="B37" s="9">
        <f>[1]DataLookUp!$B$74</f>
        <v>65000000000071</v>
      </c>
      <c r="C37" s="10" t="str">
        <f>IF(EXACT($B37, ""), "", VLOOKUP($B37, [1]DataLookUp!$B$4:$D$1000, 2, FALSE))</f>
        <v>1-3106.01</v>
      </c>
      <c r="D37" s="10" t="str">
        <f>IF(EXACT($B37, ""), "", VLOOKUP($B37, [1]DataLookUp!$B$4:$D$1000, 3, FALSE))</f>
        <v>Sundry Plant &amp; Equipment (IDR)</v>
      </c>
      <c r="F37" s="9"/>
      <c r="G37" s="16"/>
    </row>
    <row r="38" spans="2:7" x14ac:dyDescent="0.2">
      <c r="B38" s="9">
        <f>[1]DataLookUp!$B$76</f>
        <v>65000000000073</v>
      </c>
      <c r="C38" s="10" t="str">
        <f>IF(EXACT($B38, ""), "", VLOOKUP($B38, [1]DataLookUp!$B$4:$D$1000, 2, FALSE))</f>
        <v>1-3107.01</v>
      </c>
      <c r="D38" s="10" t="str">
        <f>IF(EXACT($B38, ""), "", VLOOKUP($B38, [1]DataLookUp!$B$4:$D$1000, 3, FALSE))</f>
        <v>Test Equipment (IDR)</v>
      </c>
      <c r="F38" s="9"/>
      <c r="G38" s="16"/>
    </row>
    <row r="39" spans="2:7" x14ac:dyDescent="0.2">
      <c r="B39" s="9">
        <f>[1]DataLookUp!$B$78</f>
        <v>65000000000075</v>
      </c>
      <c r="C39" s="10" t="str">
        <f>IF(EXACT($B39, ""), "", VLOOKUP($B39, [1]DataLookUp!$B$4:$D$1000, 2, FALSE))</f>
        <v>1-3108.01</v>
      </c>
      <c r="D39" s="10" t="str">
        <f>IF(EXACT($B39, ""), "", VLOOKUP($B39, [1]DataLookUp!$B$4:$D$1000, 3, FALSE))</f>
        <v>Motor Vehicle (IDR)</v>
      </c>
      <c r="F39" s="9"/>
      <c r="G39" s="16"/>
    </row>
    <row r="40" spans="2:7" x14ac:dyDescent="0.2">
      <c r="B40" s="9">
        <f>[1]DataLookUp!$B$80</f>
        <v>65000000000077</v>
      </c>
      <c r="C40" s="10" t="str">
        <f>IF(EXACT($B40, ""), "", VLOOKUP($B40, [1]DataLookUp!$B$4:$D$1000, 2, FALSE))</f>
        <v>1-3109.01</v>
      </c>
      <c r="D40" s="10" t="str">
        <f>IF(EXACT($B40, ""), "", VLOOKUP($B40, [1]DataLookUp!$B$4:$D$1000, 3, FALSE))</f>
        <v>Tools (IDR)</v>
      </c>
      <c r="F40" s="9"/>
      <c r="G40" s="16"/>
    </row>
    <row r="41" spans="2:7" x14ac:dyDescent="0.2">
      <c r="B41" s="9">
        <f>[1]DataLookUp!$B$82</f>
        <v>65000000000079</v>
      </c>
      <c r="C41" s="10" t="str">
        <f>IF(EXACT($B41, ""), "", VLOOKUP($B41, [1]DataLookUp!$B$4:$D$1000, 2, FALSE))</f>
        <v>1-3110.01</v>
      </c>
      <c r="D41" s="10" t="str">
        <f>IF(EXACT($B41, ""), "", VLOOKUP($B41, [1]DataLookUp!$B$4:$D$1000, 3, FALSE))</f>
        <v>Furniture Fitting (IDR)</v>
      </c>
      <c r="F41" s="9"/>
      <c r="G41" s="16"/>
    </row>
    <row r="42" spans="2:7" x14ac:dyDescent="0.2">
      <c r="B42" s="9">
        <f>[1]DataLookUp!$B$85</f>
        <v>65000000000082</v>
      </c>
      <c r="C42" s="10" t="str">
        <f>IF(EXACT($B42, ""), "", VLOOKUP($B42, [1]DataLookUp!$B$4:$D$1000, 2, FALSE))</f>
        <v>1-3200</v>
      </c>
      <c r="D42" s="10" t="str">
        <f>IF(EXACT($B42, ""), "", VLOOKUP($B42, [1]DataLookUp!$B$4:$D$1000, 3, FALSE))</f>
        <v>Akumulasi Penyusutan Aktiva Tetap</v>
      </c>
      <c r="F42" s="9"/>
      <c r="G42" s="16"/>
    </row>
    <row r="43" spans="2:7" x14ac:dyDescent="0.2">
      <c r="B43" s="9">
        <f>[1]DataLookUp!$B$87</f>
        <v>65000000000084</v>
      </c>
      <c r="C43" s="10" t="str">
        <f>IF(EXACT($B43, ""), "", VLOOKUP($B43, [1]DataLookUp!$B$4:$D$1000, 2, FALSE))</f>
        <v>1-3201.01</v>
      </c>
      <c r="D43" s="10" t="str">
        <f>IF(EXACT($B43, ""), "", VLOOKUP($B43, [1]DataLookUp!$B$4:$D$1000, 3, FALSE))</f>
        <v>Akumulasi Penyusutan Building - Improvement (IDR)</v>
      </c>
      <c r="F43" s="9"/>
      <c r="G43" s="16"/>
    </row>
    <row r="44" spans="2:7" x14ac:dyDescent="0.2">
      <c r="B44" s="9">
        <f>[1]DataLookUp!$B$89</f>
        <v>65000000000086</v>
      </c>
      <c r="C44" s="10" t="str">
        <f>IF(EXACT($B44, ""), "", VLOOKUP($B44, [1]DataLookUp!$B$4:$D$1000, 2, FALSE))</f>
        <v>1-3202.01</v>
      </c>
      <c r="D44" s="10" t="str">
        <f>IF(EXACT($B44, ""), "", VLOOKUP($B44, [1]DataLookUp!$B$4:$D$1000, 3, FALSE))</f>
        <v>Akumulasi Penyusutan Building - Office (IDR)</v>
      </c>
      <c r="F44" s="9"/>
      <c r="G44" s="16"/>
    </row>
    <row r="45" spans="2:7" x14ac:dyDescent="0.2">
      <c r="B45" s="9">
        <f>[1]DataLookUp!$B$91</f>
        <v>65000000000088</v>
      </c>
      <c r="C45" s="10" t="str">
        <f>IF(EXACT($B45, ""), "", VLOOKUP($B45, [1]DataLookUp!$B$4:$D$1000, 2, FALSE))</f>
        <v>1-3203.01</v>
      </c>
      <c r="D45" s="10" t="str">
        <f>IF(EXACT($B45, ""), "", VLOOKUP($B45, [1]DataLookUp!$B$4:$D$1000, 3, FALSE))</f>
        <v>Akumulasi Penyusutan Info Tech Equipment (IDR)</v>
      </c>
      <c r="F45" s="9"/>
      <c r="G45" s="16"/>
    </row>
    <row r="46" spans="2:7" x14ac:dyDescent="0.2">
      <c r="B46" s="9">
        <f>[1]DataLookUp!$B$93</f>
        <v>65000000000090</v>
      </c>
      <c r="C46" s="10" t="str">
        <f>IF(EXACT($B46, ""), "", VLOOKUP($B46, [1]DataLookUp!$B$4:$D$1000, 2, FALSE))</f>
        <v>1-3204.01</v>
      </c>
      <c r="D46" s="10" t="str">
        <f>IF(EXACT($B46, ""), "", VLOOKUP($B46, [1]DataLookUp!$B$4:$D$1000, 3, FALSE))</f>
        <v>Akumulasi Penyusutan Office Machine &amp; Equipment (IDR)</v>
      </c>
      <c r="F46" s="9"/>
      <c r="G46" s="16"/>
    </row>
    <row r="47" spans="2:7" x14ac:dyDescent="0.2">
      <c r="B47" s="9">
        <f>[1]DataLookUp!$B$95</f>
        <v>65000000000092</v>
      </c>
      <c r="C47" s="10" t="str">
        <f>IF(EXACT($B47, ""), "", VLOOKUP($B47, [1]DataLookUp!$B$4:$D$1000, 2, FALSE))</f>
        <v>1-3205.01</v>
      </c>
      <c r="D47" s="10" t="str">
        <f>IF(EXACT($B47, ""), "", VLOOKUP($B47, [1]DataLookUp!$B$4:$D$1000, 3, FALSE))</f>
        <v>Akumulasi Penyusutan Sundry Plant &amp; Equipment (IDR)</v>
      </c>
      <c r="F47" s="9"/>
      <c r="G47" s="16"/>
    </row>
    <row r="48" spans="2:7" x14ac:dyDescent="0.2">
      <c r="B48" s="9">
        <f>[1]DataLookUp!$B$97</f>
        <v>65000000000094</v>
      </c>
      <c r="C48" s="10" t="str">
        <f>IF(EXACT($B48, ""), "", VLOOKUP($B48, [1]DataLookUp!$B$4:$D$1000, 2, FALSE))</f>
        <v>1-3206.01</v>
      </c>
      <c r="D48" s="10" t="str">
        <f>IF(EXACT($B48, ""), "", VLOOKUP($B48, [1]DataLookUp!$B$4:$D$1000, 3, FALSE))</f>
        <v>Akumulasi Penyusutan Test Equipment (IDR)</v>
      </c>
      <c r="F48" s="9"/>
      <c r="G48" s="16"/>
    </row>
    <row r="49" spans="2:7" x14ac:dyDescent="0.2">
      <c r="B49" s="9">
        <f>[1]DataLookUp!$B$99</f>
        <v>65000000000096</v>
      </c>
      <c r="C49" s="10" t="str">
        <f>IF(EXACT($B49, ""), "", VLOOKUP($B49, [1]DataLookUp!$B$4:$D$1000, 2, FALSE))</f>
        <v>1-3207.01</v>
      </c>
      <c r="D49" s="10" t="str">
        <f>IF(EXACT($B49, ""), "", VLOOKUP($B49, [1]DataLookUp!$B$4:$D$1000, 3, FALSE))</f>
        <v>Akumulasi Penyusutan Motor Vehicle (IDR)</v>
      </c>
      <c r="F49" s="9"/>
      <c r="G49" s="16"/>
    </row>
    <row r="50" spans="2:7" x14ac:dyDescent="0.2">
      <c r="B50" s="9">
        <f>[1]DataLookUp!$B$101</f>
        <v>65000000000098</v>
      </c>
      <c r="C50" s="10" t="str">
        <f>IF(EXACT($B50, ""), "", VLOOKUP($B50, [1]DataLookUp!$B$4:$D$1000, 2, FALSE))</f>
        <v>1-3208.01</v>
      </c>
      <c r="D50" s="10" t="str">
        <f>IF(EXACT($B50, ""), "", VLOOKUP($B50, [1]DataLookUp!$B$4:$D$1000, 3, FALSE))</f>
        <v>Akumulasi Penyusutan Tools (IDR)</v>
      </c>
      <c r="F50" s="9"/>
      <c r="G50" s="16"/>
    </row>
    <row r="51" spans="2:7" x14ac:dyDescent="0.2">
      <c r="B51" s="9">
        <f>[1]DataLookUp!$B$103</f>
        <v>65000000000100</v>
      </c>
      <c r="C51" s="10" t="str">
        <f>IF(EXACT($B51, ""), "", VLOOKUP($B51, [1]DataLookUp!$B$4:$D$1000, 2, FALSE))</f>
        <v>1-3209.01</v>
      </c>
      <c r="D51" s="10" t="str">
        <f>IF(EXACT($B51, ""), "", VLOOKUP($B51, [1]DataLookUp!$B$4:$D$1000, 3, FALSE))</f>
        <v>Akumulasi Penyusutan Furniture Fitting (IDR)</v>
      </c>
      <c r="F51" s="9"/>
      <c r="G51" s="16"/>
    </row>
    <row r="52" spans="2:7" x14ac:dyDescent="0.2">
      <c r="B52" s="9" t="str">
        <f>[1]DataLookUp!$B$106</f>
        <v/>
      </c>
      <c r="C52" s="10" t="str">
        <f>IF(EXACT($B52, ""), "", VLOOKUP($B52, [1]DataLookUp!$B$4:$D$1000, 2, FALSE))</f>
        <v/>
      </c>
      <c r="D52" s="10" t="str">
        <f>IF(EXACT($B52, ""), "", VLOOKUP($B52, [1]DataLookUp!$B$4:$D$1000, 3, FALSE))</f>
        <v/>
      </c>
      <c r="F52" s="9"/>
      <c r="G52" s="16"/>
    </row>
    <row r="53" spans="2:7" x14ac:dyDescent="0.2">
      <c r="B53" s="9">
        <f>[1]DataLookUp!$B$110</f>
        <v>65000000000106</v>
      </c>
      <c r="C53" s="10" t="str">
        <f>IF(EXACT($B53, ""), "", VLOOKUP($B53, [1]DataLookUp!$B$4:$D$1000, 2, FALSE))</f>
        <v>1-5100</v>
      </c>
      <c r="D53" s="10" t="str">
        <f>IF(EXACT($B53, ""), "", VLOOKUP($B53, [1]DataLookUp!$B$4:$D$1000, 3, FALSE))</f>
        <v>Pre Ops Project</v>
      </c>
      <c r="F53" s="9"/>
      <c r="G53" s="16"/>
    </row>
    <row r="54" spans="2:7" x14ac:dyDescent="0.2">
      <c r="B54" s="9">
        <f>[1]DataLookUp!$B$112</f>
        <v>65000000000108</v>
      </c>
      <c r="C54" s="10" t="str">
        <f>IF(EXACT($B54, ""), "", VLOOKUP($B54, [1]DataLookUp!$B$4:$D$1000, 2, FALSE))</f>
        <v>1-5101.01</v>
      </c>
      <c r="D54" s="10" t="str">
        <f>IF(EXACT($B54, ""), "", VLOOKUP($B54, [1]DataLookUp!$B$4:$D$1000, 3, FALSE))</f>
        <v>Pre Opr Costproject - Material (IDR)</v>
      </c>
      <c r="F54" s="9"/>
      <c r="G54" s="16"/>
    </row>
    <row r="55" spans="2:7" x14ac:dyDescent="0.2">
      <c r="B55" s="9">
        <f>[1]DataLookUp!$B$114</f>
        <v>65000000000110</v>
      </c>
      <c r="C55" s="10" t="str">
        <f>IF(EXACT($B55, ""), "", VLOOKUP($B55, [1]DataLookUp!$B$4:$D$1000, 2, FALSE))</f>
        <v>1-5102.01</v>
      </c>
      <c r="D55" s="10" t="str">
        <f>IF(EXACT($B55, ""), "", VLOOKUP($B55, [1]DataLookUp!$B$4:$D$1000, 3, FALSE))</f>
        <v>Pre Opr Costproject - Labor Cost (IDR)</v>
      </c>
      <c r="F55" s="9"/>
      <c r="G55" s="16"/>
    </row>
    <row r="56" spans="2:7" x14ac:dyDescent="0.2">
      <c r="B56" s="9" t="str">
        <f>[1]DataLookUp!$B$106</f>
        <v/>
      </c>
      <c r="C56" s="10" t="str">
        <f>IF(EXACT($B56, ""), "", VLOOKUP($B56, [1]DataLookUp!$B$4:$D$1000, 2, FALSE))</f>
        <v/>
      </c>
      <c r="D56" s="10" t="str">
        <f>IF(EXACT($B56, ""), "", VLOOKUP($B56, [1]DataLookUp!$B$4:$D$1000, 3, FALSE))</f>
        <v/>
      </c>
      <c r="F56" s="9"/>
      <c r="G56" s="16"/>
    </row>
    <row r="57" spans="2:7" x14ac:dyDescent="0.2">
      <c r="B57" s="9">
        <f>[1]DataLookUp!$B$110</f>
        <v>65000000000106</v>
      </c>
      <c r="C57" s="10" t="str">
        <f>IF(EXACT($B57, ""), "", VLOOKUP($B57, [1]DataLookUp!$B$4:$D$1000, 2, FALSE))</f>
        <v>1-5100</v>
      </c>
      <c r="D57" s="10" t="str">
        <f>IF(EXACT($B57, ""), "", VLOOKUP($B57, [1]DataLookUp!$B$4:$D$1000, 3, FALSE))</f>
        <v>Pre Ops Project</v>
      </c>
      <c r="F57" s="9"/>
      <c r="G57" s="16"/>
    </row>
    <row r="58" spans="2:7" x14ac:dyDescent="0.2">
      <c r="B58" s="9">
        <f>[1]DataLookUp!$B$112</f>
        <v>65000000000108</v>
      </c>
      <c r="C58" s="10" t="str">
        <f>IF(EXACT($B58, ""), "", VLOOKUP($B58, [1]DataLookUp!$B$4:$D$1000, 2, FALSE))</f>
        <v>1-5101.01</v>
      </c>
      <c r="D58" s="10" t="str">
        <f>IF(EXACT($B58, ""), "", VLOOKUP($B58, [1]DataLookUp!$B$4:$D$1000, 3, FALSE))</f>
        <v>Pre Opr Costproject - Material (IDR)</v>
      </c>
      <c r="F58" s="9"/>
      <c r="G58" s="16"/>
    </row>
    <row r="59" spans="2:7" x14ac:dyDescent="0.2">
      <c r="B59" s="9">
        <f>[1]DataLookUp!$B$114</f>
        <v>65000000000110</v>
      </c>
      <c r="C59" s="10" t="str">
        <f>IF(EXACT($B59, ""), "", VLOOKUP($B59, [1]DataLookUp!$B$4:$D$1000, 2, FALSE))</f>
        <v>1-5102.01</v>
      </c>
      <c r="D59" s="10" t="str">
        <f>IF(EXACT($B59, ""), "", VLOOKUP($B59, [1]DataLookUp!$B$4:$D$1000, 3, FALSE))</f>
        <v>Pre Opr Costproject - Labor Cost (IDR)</v>
      </c>
      <c r="F59" s="9"/>
      <c r="G59" s="16"/>
    </row>
    <row r="60" spans="2:7" x14ac:dyDescent="0.2">
      <c r="B60" s="9">
        <f>[1]DataLookUp!$B$119</f>
        <v>65000000000114</v>
      </c>
      <c r="C60" s="10" t="str">
        <f>IF(EXACT($B60, ""), "", VLOOKUP($B60, [1]DataLookUp!$B$4:$D$1000, 2, FALSE))</f>
        <v>2-1000</v>
      </c>
      <c r="D60" s="10" t="str">
        <f>IF(EXACT($B60, ""), "", VLOOKUP($B60, [1]DataLookUp!$B$4:$D$1000, 3, FALSE))</f>
        <v>Hutang lancar</v>
      </c>
      <c r="F60" s="9"/>
      <c r="G60" s="16"/>
    </row>
    <row r="61" spans="2:7" x14ac:dyDescent="0.2">
      <c r="B61" s="9">
        <f>[1]DataLookUp!$B$120</f>
        <v>65000000000115</v>
      </c>
      <c r="C61" s="10" t="str">
        <f>IF(EXACT($B61, ""), "", VLOOKUP($B61, [1]DataLookUp!$B$4:$D$1000, 2, FALSE))</f>
        <v>2-1001</v>
      </c>
      <c r="D61" s="10" t="str">
        <f>IF(EXACT($B61, ""), "", VLOOKUP($B61, [1]DataLookUp!$B$4:$D$1000, 3, FALSE))</f>
        <v>Hutang Dagang</v>
      </c>
      <c r="F61" s="9"/>
      <c r="G61" s="16"/>
    </row>
    <row r="62" spans="2:7" x14ac:dyDescent="0.2">
      <c r="B62" s="9">
        <f>[1]DataLookUp!$B$121</f>
        <v>65000000000116</v>
      </c>
      <c r="C62" s="10" t="str">
        <f>IF(EXACT($B62, ""), "", VLOOKUP($B62, [1]DataLookUp!$B$4:$D$1000, 2, FALSE))</f>
        <v>2-1001.01</v>
      </c>
      <c r="D62" s="10" t="str">
        <f>IF(EXACT($B62, ""), "", VLOOKUP($B62, [1]DataLookUp!$B$4:$D$1000, 3, FALSE))</f>
        <v>Hutang Dagang (IDR)</v>
      </c>
      <c r="F62" s="9"/>
      <c r="G62" s="16"/>
    </row>
    <row r="63" spans="2:7" x14ac:dyDescent="0.2">
      <c r="B63" s="9">
        <f>[1]DataLookUp!$B$123</f>
        <v>65000000000118</v>
      </c>
      <c r="C63" s="10" t="str">
        <f>IF(EXACT($B63, ""), "", VLOOKUP($B63, [1]DataLookUp!$B$4:$D$1000, 2, FALSE))</f>
        <v>2-1001.03</v>
      </c>
      <c r="D63" s="10" t="str">
        <f>IF(EXACT($B63, ""), "", VLOOKUP($B63, [1]DataLookUp!$B$4:$D$1000, 3, FALSE))</f>
        <v>Hutang Dagang (AUD)</v>
      </c>
      <c r="F63" s="9"/>
      <c r="G63" s="16"/>
    </row>
    <row r="64" spans="2:7" x14ac:dyDescent="0.2">
      <c r="B64" s="9">
        <f>[1]DataLookUp!$B$125</f>
        <v>65000000000120</v>
      </c>
      <c r="C64" s="10" t="str">
        <f>IF(EXACT($B64, ""), "", VLOOKUP($B64, [1]DataLookUp!$B$4:$D$1000, 2, FALSE))</f>
        <v>2-1002.01</v>
      </c>
      <c r="D64" s="10" t="str">
        <f>IF(EXACT($B64, ""), "", VLOOKUP($B64, [1]DataLookUp!$B$4:$D$1000, 3, FALSE))</f>
        <v>Biaya yang ditangguhkan (IDR)</v>
      </c>
      <c r="F64" s="9"/>
      <c r="G64" s="16"/>
    </row>
    <row r="65" spans="2:7" x14ac:dyDescent="0.2">
      <c r="B65" s="9">
        <f>[1]DataLookUp!$B$126</f>
        <v>65000000000121</v>
      </c>
      <c r="C65" s="10" t="str">
        <f>IF(EXACT($B65, ""), "", VLOOKUP($B65, [1]DataLookUp!$B$4:$D$1000, 2, FALSE))</f>
        <v>2-1003</v>
      </c>
      <c r="D65" s="10" t="str">
        <f>IF(EXACT($B65, ""), "", VLOOKUP($B65, [1]DataLookUp!$B$4:$D$1000, 3, FALSE))</f>
        <v>Unearned Revenue</v>
      </c>
      <c r="F65" s="9"/>
      <c r="G65" s="16"/>
    </row>
    <row r="66" spans="2:7" x14ac:dyDescent="0.2">
      <c r="B66" s="9">
        <f>[1]DataLookUp!$B$128</f>
        <v>65000000000123</v>
      </c>
      <c r="C66" s="10" t="str">
        <f>IF(EXACT($B66, ""), "", VLOOKUP($B66, [1]DataLookUp!$B$4:$D$1000, 2, FALSE))</f>
        <v>2-1003.02</v>
      </c>
      <c r="D66" s="10" t="str">
        <f>IF(EXACT($B66, ""), "", VLOOKUP($B66, [1]DataLookUp!$B$4:$D$1000, 3, FALSE))</f>
        <v>Unearned Revenue (USD)</v>
      </c>
      <c r="F66" s="9"/>
      <c r="G66" s="16"/>
    </row>
    <row r="67" spans="2:7" x14ac:dyDescent="0.2">
      <c r="B67" s="9">
        <f>[1]DataLookUp!$B$130</f>
        <v>65000000000125</v>
      </c>
      <c r="C67" s="10" t="str">
        <f>IF(EXACT($B67, ""), "", VLOOKUP($B67, [1]DataLookUp!$B$4:$D$1000, 2, FALSE))</f>
        <v>2-1004.01</v>
      </c>
      <c r="D67" s="10" t="str">
        <f>IF(EXACT($B67, ""), "", VLOOKUP($B67, [1]DataLookUp!$B$4:$D$1000, 3, FALSE))</f>
        <v>Month end CFS Accrual (IDR)</v>
      </c>
      <c r="F67" s="9"/>
      <c r="G67" s="16"/>
    </row>
    <row r="68" spans="2:7" x14ac:dyDescent="0.2">
      <c r="B68" s="9">
        <f>[1]DataLookUp!$B$132</f>
        <v>65000000000127</v>
      </c>
      <c r="C68" s="10" t="str">
        <f>IF(EXACT($B68, ""), "", VLOOKUP($B68, [1]DataLookUp!$B$4:$D$1000, 2, FALSE))</f>
        <v>2-1005.01</v>
      </c>
      <c r="D68" s="10" t="str">
        <f>IF(EXACT($B68, ""), "", VLOOKUP($B68, [1]DataLookUp!$B$4:$D$1000, 3, FALSE))</f>
        <v>Hutang Karyawan (IDR)</v>
      </c>
      <c r="F68" s="9"/>
      <c r="G68" s="16"/>
    </row>
    <row r="69" spans="2:7" x14ac:dyDescent="0.2">
      <c r="B69" s="9">
        <f>[1]DataLookUp!$B$135</f>
        <v>65000000000130</v>
      </c>
      <c r="C69" s="10" t="str">
        <f>IF(EXACT($B69, ""), "", VLOOKUP($B69, [1]DataLookUp!$B$4:$D$1000, 2, FALSE))</f>
        <v>2-1100</v>
      </c>
      <c r="D69" s="10" t="str">
        <f>IF(EXACT($B69, ""), "", VLOOKUP($B69, [1]DataLookUp!$B$4:$D$1000, 3, FALSE))</f>
        <v>Hutang Pajak</v>
      </c>
      <c r="F69" s="9"/>
      <c r="G69" s="16"/>
    </row>
    <row r="70" spans="2:7" x14ac:dyDescent="0.2">
      <c r="B70" s="9">
        <f>[1]DataLookUp!$B$137</f>
        <v>65000000000132</v>
      </c>
      <c r="C70" s="10" t="str">
        <f>IF(EXACT($B70, ""), "", VLOOKUP($B70, [1]DataLookUp!$B$4:$D$1000, 2, FALSE))</f>
        <v>2-1101.01</v>
      </c>
      <c r="D70" s="10" t="str">
        <f>IF(EXACT($B70, ""), "", VLOOKUP($B70, [1]DataLookUp!$B$4:$D$1000, 3, FALSE))</f>
        <v>GST - Output Tax (IDR)</v>
      </c>
      <c r="F70" s="9"/>
      <c r="G70" s="16"/>
    </row>
    <row r="71" spans="2:7" x14ac:dyDescent="0.2">
      <c r="B71" s="9">
        <f>[1]DataLookUp!$B$139</f>
        <v>65000000000134</v>
      </c>
      <c r="C71" s="10" t="str">
        <f>IF(EXACT($B71, ""), "", VLOOKUP($B71, [1]DataLookUp!$B$4:$D$1000, 2, FALSE))</f>
        <v>2-1102.01</v>
      </c>
      <c r="D71" s="10" t="str">
        <f>IF(EXACT($B71, ""), "", VLOOKUP($B71, [1]DataLookUp!$B$4:$D$1000, 3, FALSE))</f>
        <v>Witholding Tax 4(2) (IDR)</v>
      </c>
      <c r="F71" s="9"/>
      <c r="G71" s="16"/>
    </row>
    <row r="72" spans="2:7" x14ac:dyDescent="0.2">
      <c r="B72" s="9">
        <f>[1]DataLookUp!$B$141</f>
        <v>65000000000136</v>
      </c>
      <c r="C72" s="10" t="str">
        <f>IF(EXACT($B72, ""), "", VLOOKUP($B72, [1]DataLookUp!$B$4:$D$1000, 2, FALSE))</f>
        <v>2-1103.01</v>
      </c>
      <c r="D72" s="10" t="str">
        <f>IF(EXACT($B72, ""), "", VLOOKUP($B72, [1]DataLookUp!$B$4:$D$1000, 3, FALSE))</f>
        <v>Witholding Tax 21 (IDR)</v>
      </c>
      <c r="F72" s="9"/>
      <c r="G72" s="16"/>
    </row>
    <row r="73" spans="2:7" x14ac:dyDescent="0.2">
      <c r="B73" s="9">
        <f>[1]DataLookUp!$B$143</f>
        <v>65000000000138</v>
      </c>
      <c r="C73" s="10" t="str">
        <f>IF(EXACT($B73, ""), "", VLOOKUP($B73, [1]DataLookUp!$B$4:$D$1000, 2, FALSE))</f>
        <v>2-1104.01</v>
      </c>
      <c r="D73" s="10" t="str">
        <f>IF(EXACT($B73, ""), "", VLOOKUP($B73, [1]DataLookUp!$B$4:$D$1000, 3, FALSE))</f>
        <v>Witholding Tax 22 (IDR)</v>
      </c>
      <c r="F73" s="9"/>
      <c r="G73" s="16"/>
    </row>
    <row r="74" spans="2:7" x14ac:dyDescent="0.2">
      <c r="B74" s="9">
        <f>[1]DataLookUp!$B$145</f>
        <v>65000000000140</v>
      </c>
      <c r="C74" s="10" t="str">
        <f>IF(EXACT($B74, ""), "", VLOOKUP($B74, [1]DataLookUp!$B$4:$D$1000, 2, FALSE))</f>
        <v>2-1105.01</v>
      </c>
      <c r="D74" s="10" t="str">
        <f>IF(EXACT($B74, ""), "", VLOOKUP($B74, [1]DataLookUp!$B$4:$D$1000, 3, FALSE))</f>
        <v>Witholding Tax 23 (IDR)</v>
      </c>
      <c r="F74" s="9"/>
      <c r="G74" s="16"/>
    </row>
    <row r="75" spans="2:7" x14ac:dyDescent="0.2">
      <c r="B75" s="9">
        <f>[1]DataLookUp!$B$147</f>
        <v>65000000000142</v>
      </c>
      <c r="C75" s="10" t="str">
        <f>IF(EXACT($B75, ""), "", VLOOKUP($B75, [1]DataLookUp!$B$4:$D$1000, 2, FALSE))</f>
        <v>2-1106.01</v>
      </c>
      <c r="D75" s="10" t="str">
        <f>IF(EXACT($B75, ""), "", VLOOKUP($B75, [1]DataLookUp!$B$4:$D$1000, 3, FALSE))</f>
        <v>Witholding Tax 25 (IDR)</v>
      </c>
      <c r="F75" s="9"/>
      <c r="G75" s="16"/>
    </row>
    <row r="76" spans="2:7" x14ac:dyDescent="0.2">
      <c r="B76" s="9">
        <f>[1]DataLookUp!$B$149</f>
        <v>65000000000144</v>
      </c>
      <c r="C76" s="10" t="str">
        <f>IF(EXACT($B76, ""), "", VLOOKUP($B76, [1]DataLookUp!$B$4:$D$1000, 2, FALSE))</f>
        <v>2-1107.01</v>
      </c>
      <c r="D76" s="10" t="str">
        <f>IF(EXACT($B76, ""), "", VLOOKUP($B76, [1]DataLookUp!$B$4:$D$1000, 3, FALSE))</f>
        <v>Tax Paid Current Year (IDR)</v>
      </c>
      <c r="F76" s="9"/>
      <c r="G76" s="16"/>
    </row>
    <row r="77" spans="2:7" x14ac:dyDescent="0.2">
      <c r="B77" s="9">
        <f>[1]DataLookUp!$B$151</f>
        <v>65000000000146</v>
      </c>
      <c r="C77" s="10" t="str">
        <f>IF(EXACT($B77, ""), "", VLOOKUP($B77, [1]DataLookUp!$B$4:$D$1000, 2, FALSE))</f>
        <v>2-1108.01</v>
      </c>
      <c r="D77" s="10" t="str">
        <f>IF(EXACT($B77, ""), "", VLOOKUP($B77, [1]DataLookUp!$B$4:$D$1000, 3, FALSE))</f>
        <v>Provision for Tax Current Year (IDR)</v>
      </c>
      <c r="F77" s="9"/>
      <c r="G77" s="16"/>
    </row>
    <row r="78" spans="2:7" x14ac:dyDescent="0.2">
      <c r="B78" s="9">
        <f>[1]DataLookUp!$B$153</f>
        <v>65000000000148</v>
      </c>
      <c r="C78" s="10" t="str">
        <f>IF(EXACT($B78, ""), "", VLOOKUP($B78, [1]DataLookUp!$B$4:$D$1000, 2, FALSE))</f>
        <v>2-1109.01</v>
      </c>
      <c r="D78" s="10" t="str">
        <f>IF(EXACT($B78, ""), "", VLOOKUP($B78, [1]DataLookUp!$B$4:$D$1000, 3, FALSE))</f>
        <v>Defferred Tax Liability (IDR)</v>
      </c>
      <c r="F78" s="9"/>
      <c r="G78" s="16"/>
    </row>
    <row r="79" spans="2:7" x14ac:dyDescent="0.2">
      <c r="B79" s="9">
        <f>[1]DataLookUp!$B$156</f>
        <v>65000000000151</v>
      </c>
      <c r="C79" s="10" t="str">
        <f>IF(EXACT($B79, ""), "", VLOOKUP($B79, [1]DataLookUp!$B$4:$D$1000, 2, FALSE))</f>
        <v>2-2000</v>
      </c>
      <c r="D79" s="10" t="str">
        <f>IF(EXACT($B79, ""), "", VLOOKUP($B79, [1]DataLookUp!$B$4:$D$1000, 3, FALSE))</f>
        <v>Hutang Jangka Panjang</v>
      </c>
      <c r="F79" s="9"/>
      <c r="G79" s="16"/>
    </row>
    <row r="80" spans="2:7" x14ac:dyDescent="0.2">
      <c r="B80" s="9">
        <f>[1]DataLookUp!$B$158</f>
        <v>65000000000153</v>
      </c>
      <c r="C80" s="10" t="str">
        <f>IF(EXACT($B80, ""), "", VLOOKUP($B80, [1]DataLookUp!$B$4:$D$1000, 2, FALSE))</f>
        <v>2-2001.01</v>
      </c>
      <c r="D80" s="10" t="str">
        <f>IF(EXACT($B80, ""), "", VLOOKUP($B80, [1]DataLookUp!$B$4:$D$1000, 3, FALSE))</f>
        <v>Bank Loan (IDR)</v>
      </c>
      <c r="F80" s="9"/>
      <c r="G80" s="16"/>
    </row>
    <row r="81" spans="2:7" x14ac:dyDescent="0.2">
      <c r="B81" s="9">
        <f>[1]DataLookUp!$B$162</f>
        <v>65000000000156</v>
      </c>
      <c r="C81" s="10" t="str">
        <f>IF(EXACT($B81, ""), "", VLOOKUP($B81, [1]DataLookUp!$B$4:$D$1000, 2, FALSE))</f>
        <v>2-3000</v>
      </c>
      <c r="D81" s="10" t="str">
        <f>IF(EXACT($B81, ""), "", VLOOKUP($B81, [1]DataLookUp!$B$4:$D$1000, 3, FALSE))</f>
        <v>Hutang Lain - Lain</v>
      </c>
      <c r="F81" s="9"/>
      <c r="G81" s="16"/>
    </row>
    <row r="82" spans="2:7" x14ac:dyDescent="0.2">
      <c r="B82" s="9">
        <f>[1]DataLookUp!$B$163</f>
        <v>65000000000157</v>
      </c>
      <c r="C82" s="10" t="str">
        <f>IF(EXACT($B82, ""), "", VLOOKUP($B82, [1]DataLookUp!$B$4:$D$1000, 2, FALSE))</f>
        <v>2-3001</v>
      </c>
      <c r="D82" s="10" t="str">
        <f>IF(EXACT($B82, ""), "", VLOOKUP($B82, [1]DataLookUp!$B$4:$D$1000, 3, FALSE))</f>
        <v>Hutang Lain - Lain</v>
      </c>
      <c r="F82" s="9"/>
      <c r="G82" s="16"/>
    </row>
    <row r="83" spans="2:7" x14ac:dyDescent="0.2">
      <c r="B83" s="9">
        <f>[1]DataLookUp!$B$167</f>
        <v>65000000000160</v>
      </c>
      <c r="C83" s="10" t="str">
        <f>IF(EXACT($B83, ""), "", VLOOKUP($B83, [1]DataLookUp!$B$4:$D$1000, 2, FALSE))</f>
        <v>3-0000</v>
      </c>
      <c r="D83" s="10" t="str">
        <f>IF(EXACT($B83, ""), "", VLOOKUP($B83, [1]DataLookUp!$B$4:$D$1000, 3, FALSE))</f>
        <v>Modal</v>
      </c>
      <c r="F83" s="9"/>
      <c r="G83" s="16"/>
    </row>
    <row r="84" spans="2:7" x14ac:dyDescent="0.2">
      <c r="B84" s="9">
        <f>[1]DataLookUp!$B$169</f>
        <v>65000000000162</v>
      </c>
      <c r="C84" s="10" t="str">
        <f>IF(EXACT($B84, ""), "", VLOOKUP($B84, [1]DataLookUp!$B$4:$D$1000, 2, FALSE))</f>
        <v>3-1000.01</v>
      </c>
      <c r="D84" s="10" t="str">
        <f>IF(EXACT($B84, ""), "", VLOOKUP($B84, [1]DataLookUp!$B$4:$D$1000, 3, FALSE))</f>
        <v>Share Capital (IDR)</v>
      </c>
      <c r="F84" s="9"/>
      <c r="G84" s="16"/>
    </row>
    <row r="85" spans="2:7" x14ac:dyDescent="0.2">
      <c r="B85" s="9">
        <f>[1]DataLookUp!$B$171</f>
        <v>65000000000164</v>
      </c>
      <c r="C85" s="10" t="str">
        <f>IF(EXACT($B85, ""), "", VLOOKUP($B85, [1]DataLookUp!$B$4:$D$1000, 2, FALSE))</f>
        <v>3-2000.01</v>
      </c>
      <c r="D85" s="10" t="str">
        <f>IF(EXACT($B85, ""), "", VLOOKUP($B85, [1]DataLookUp!$B$4:$D$1000, 3, FALSE))</f>
        <v>R/E Profits/Losses Prev Year (IDR)</v>
      </c>
      <c r="F85" s="9"/>
      <c r="G85" s="16"/>
    </row>
    <row r="86" spans="2:7" x14ac:dyDescent="0.2">
      <c r="B86" s="9">
        <f>[1]DataLookUp!$B$173</f>
        <v>65000000000166</v>
      </c>
      <c r="C86" s="10" t="str">
        <f>IF(EXACT($B86, ""), "", VLOOKUP($B86, [1]DataLookUp!$B$4:$D$1000, 2, FALSE))</f>
        <v>3-3000.01</v>
      </c>
      <c r="D86" s="10" t="str">
        <f>IF(EXACT($B86, ""), "", VLOOKUP($B86, [1]DataLookUp!$B$4:$D$1000, 3, FALSE))</f>
        <v>Current Year Earnings (IDR)</v>
      </c>
      <c r="F86" s="9"/>
      <c r="G86" s="16"/>
    </row>
    <row r="87" spans="2:7" x14ac:dyDescent="0.2">
      <c r="B87" s="9">
        <f>[1]DataLookUp!$B$178</f>
        <v>65000000000170</v>
      </c>
      <c r="C87" s="10" t="str">
        <f>IF(EXACT($B87, ""), "", VLOOKUP($B87, [1]DataLookUp!$B$4:$D$1000, 2, FALSE))</f>
        <v>4-1000</v>
      </c>
      <c r="D87" s="10" t="str">
        <f>IF(EXACT($B87, ""), "", VLOOKUP($B87, [1]DataLookUp!$B$4:$D$1000, 3, FALSE))</f>
        <v>Completed Project</v>
      </c>
      <c r="F87" s="9"/>
      <c r="G87" s="16"/>
    </row>
    <row r="88" spans="2:7" x14ac:dyDescent="0.2">
      <c r="B88" s="9">
        <f>[1]DataLookUp!$B$181</f>
        <v>65000000000173</v>
      </c>
      <c r="C88" s="10" t="str">
        <f>IF(EXACT($B88, ""), "", VLOOKUP($B88, [1]DataLookUp!$B$4:$D$1000, 2, FALSE))</f>
        <v>4-2000</v>
      </c>
      <c r="D88" s="10" t="str">
        <f>IF(EXACT($B88, ""), "", VLOOKUP($B88, [1]DataLookUp!$B$4:$D$1000, 3, FALSE))</f>
        <v>Construction Project</v>
      </c>
      <c r="F88" s="9"/>
      <c r="G88" s="16"/>
    </row>
    <row r="89" spans="2:7" x14ac:dyDescent="0.2">
      <c r="B89" s="9">
        <f>[1]DataLookUp!$B$184</f>
        <v>65000000000176</v>
      </c>
      <c r="C89" s="10" t="str">
        <f>IF(EXACT($B89, ""), "", VLOOKUP($B89, [1]DataLookUp!$B$4:$D$1000, 2, FALSE))</f>
        <v>4-3000</v>
      </c>
      <c r="D89" s="10" t="str">
        <f>IF(EXACT($B89, ""), "", VLOOKUP($B89, [1]DataLookUp!$B$4:$D$1000, 3, FALSE))</f>
        <v>WIP Adjustment</v>
      </c>
      <c r="F89" s="9"/>
      <c r="G89" s="16"/>
    </row>
    <row r="90" spans="2:7" x14ac:dyDescent="0.2">
      <c r="B90" s="9">
        <f>[1]DataLookUp!$B$187</f>
        <v>65000000000179</v>
      </c>
      <c r="C90" s="10" t="str">
        <f>IF(EXACT($B90, ""), "", VLOOKUP($B90, [1]DataLookUp!$B$4:$D$1000, 2, FALSE))</f>
        <v>4-4000</v>
      </c>
      <c r="D90" s="10" t="str">
        <f>IF(EXACT($B90, ""), "", VLOOKUP($B90, [1]DataLookUp!$B$4:$D$1000, 3, FALSE))</f>
        <v>Under/Overclaim Adjustment</v>
      </c>
      <c r="F90" s="9"/>
      <c r="G90" s="16"/>
    </row>
    <row r="91" spans="2:7" x14ac:dyDescent="0.2">
      <c r="B91" s="9">
        <f>[1]DataLookUp!$B$190</f>
        <v>65000000000182</v>
      </c>
      <c r="C91" s="10" t="str">
        <f>IF(EXACT($B91, ""), "", VLOOKUP($B91, [1]DataLookUp!$B$4:$D$1000, 2, FALSE))</f>
        <v>4-5000</v>
      </c>
      <c r="D91" s="10" t="str">
        <f>IF(EXACT($B91, ""), "", VLOOKUP($B91, [1]DataLookUp!$B$4:$D$1000, 3, FALSE))</f>
        <v>Discount</v>
      </c>
      <c r="F91" s="9"/>
      <c r="G91" s="16"/>
    </row>
    <row r="92" spans="2:7" x14ac:dyDescent="0.2">
      <c r="B92" s="9">
        <f>[1]DataLookUp!$B$193</f>
        <v>65000000000185</v>
      </c>
      <c r="C92" s="10" t="str">
        <f>IF(EXACT($B92, ""), "", VLOOKUP($B92, [1]DataLookUp!$B$4:$D$1000, 2, FALSE))</f>
        <v>4-6000</v>
      </c>
      <c r="D92" s="10" t="str">
        <f>IF(EXACT($B92, ""), "", VLOOKUP($B92, [1]DataLookUp!$B$4:$D$1000, 3, FALSE))</f>
        <v>Commision</v>
      </c>
      <c r="F92" s="9"/>
      <c r="G92" s="16"/>
    </row>
    <row r="93" spans="2:7" x14ac:dyDescent="0.2">
      <c r="B93" s="9">
        <f>[1]DataLookUp!$B$198</f>
        <v>65000000000189</v>
      </c>
      <c r="C93" s="10" t="str">
        <f>IF(EXACT($B93, ""), "", VLOOKUP($B93, [1]DataLookUp!$B$4:$D$1000, 2, FALSE))</f>
        <v>5-1000</v>
      </c>
      <c r="D93" s="10" t="str">
        <f>IF(EXACT($B93, ""), "", VLOOKUP($B93, [1]DataLookUp!$B$4:$D$1000, 3, FALSE))</f>
        <v>Cost of Material</v>
      </c>
      <c r="F93" s="9"/>
      <c r="G93" s="16"/>
    </row>
    <row r="94" spans="2:7" x14ac:dyDescent="0.2">
      <c r="B94" s="9">
        <f>[1]DataLookUp!$B$200</f>
        <v>65000000000191</v>
      </c>
      <c r="C94" s="10" t="str">
        <f>IF(EXACT($B94, ""), "", VLOOKUP($B94, [1]DataLookUp!$B$4:$D$1000, 2, FALSE))</f>
        <v>5-1001.01</v>
      </c>
      <c r="D94" s="10" t="str">
        <f>IF(EXACT($B94, ""), "", VLOOKUP($B94, [1]DataLookUp!$B$4:$D$1000, 3, FALSE))</f>
        <v>Opening Balance - Material (IDR)</v>
      </c>
      <c r="F94" s="9"/>
      <c r="G94" s="16"/>
    </row>
    <row r="95" spans="2:7" x14ac:dyDescent="0.2">
      <c r="B95" s="9">
        <f>[1]DataLookUp!$B$202</f>
        <v>65000000000193</v>
      </c>
      <c r="C95" s="10" t="str">
        <f>IF(EXACT($B95, ""), "", VLOOKUP($B95, [1]DataLookUp!$B$4:$D$1000, 2, FALSE))</f>
        <v>5-1002.01</v>
      </c>
      <c r="D95" s="10" t="str">
        <f>IF(EXACT($B95, ""), "", VLOOKUP($B95, [1]DataLookUp!$B$4:$D$1000, 3, FALSE))</f>
        <v>Opening Balance - Supplies (IDR)</v>
      </c>
      <c r="F95" s="9"/>
      <c r="G95" s="16"/>
    </row>
    <row r="96" spans="2:7" x14ac:dyDescent="0.2">
      <c r="B96" s="9">
        <f>[1]DataLookUp!$B$204</f>
        <v>65000000000195</v>
      </c>
      <c r="C96" s="10" t="str">
        <f>IF(EXACT($B96, ""), "", VLOOKUP($B96, [1]DataLookUp!$B$4:$D$1000, 2, FALSE))</f>
        <v>5-1003.01</v>
      </c>
      <c r="D96" s="10" t="str">
        <f>IF(EXACT($B96, ""), "", VLOOKUP($B96, [1]DataLookUp!$B$4:$D$1000, 3, FALSE))</f>
        <v>Purchase - Material (IDR)</v>
      </c>
      <c r="F96" s="9"/>
      <c r="G96" s="16"/>
    </row>
    <row r="97" spans="2:7" x14ac:dyDescent="0.2">
      <c r="B97" s="9">
        <f>[1]DataLookUp!$B$206</f>
        <v>65000000000197</v>
      </c>
      <c r="C97" s="10" t="str">
        <f>IF(EXACT($B97, ""), "", VLOOKUP($B97, [1]DataLookUp!$B$4:$D$1000, 2, FALSE))</f>
        <v>5-1004.01</v>
      </c>
      <c r="D97" s="10" t="str">
        <f>IF(EXACT($B97, ""), "", VLOOKUP($B97, [1]DataLookUp!$B$4:$D$1000, 3, FALSE))</f>
        <v>Purchase - Supplies (IDR)</v>
      </c>
      <c r="F97" s="9"/>
      <c r="G97" s="16"/>
    </row>
    <row r="98" spans="2:7" x14ac:dyDescent="0.2">
      <c r="B98" s="9">
        <f>[1]DataLookUp!$B$208</f>
        <v>65000000000199</v>
      </c>
      <c r="C98" s="10" t="str">
        <f>IF(EXACT($B98, ""), "", VLOOKUP($B98, [1]DataLookUp!$B$4:$D$1000, 2, FALSE))</f>
        <v>5-1005.01</v>
      </c>
      <c r="D98" s="10" t="str">
        <f>IF(EXACT($B98, ""), "", VLOOKUP($B98, [1]DataLookUp!$B$4:$D$1000, 3, FALSE))</f>
        <v>Ending Balance - Material (IDR)</v>
      </c>
      <c r="F98" s="9"/>
      <c r="G98" s="16"/>
    </row>
    <row r="99" spans="2:7" x14ac:dyDescent="0.2">
      <c r="B99" s="9">
        <f>[1]DataLookUp!$B$210</f>
        <v>65000000000201</v>
      </c>
      <c r="C99" s="10" t="str">
        <f>IF(EXACT($B99, ""), "", VLOOKUP($B99, [1]DataLookUp!$B$4:$D$1000, 2, FALSE))</f>
        <v>5-1006.01</v>
      </c>
      <c r="D99" s="10" t="str">
        <f>IF(EXACT($B99, ""), "", VLOOKUP($B99, [1]DataLookUp!$B$4:$D$1000, 3, FALSE))</f>
        <v>Ending Balance - Supplies (IDR)</v>
      </c>
      <c r="F99" s="9"/>
      <c r="G99" s="16"/>
    </row>
    <row r="100" spans="2:7" x14ac:dyDescent="0.2">
      <c r="B100" s="9">
        <f>[1]DataLookUp!$B$212</f>
        <v>65000000000203</v>
      </c>
      <c r="C100" s="10" t="str">
        <f>IF(EXACT($B100, ""), "", VLOOKUP($B100, [1]DataLookUp!$B$4:$D$1000, 2, FALSE))</f>
        <v>5-1007.01</v>
      </c>
      <c r="D100" s="10" t="str">
        <f>IF(EXACT($B100, ""), "", VLOOKUP($B100, [1]DataLookUp!$B$4:$D$1000, 3, FALSE))</f>
        <v>Material Used (IDR)</v>
      </c>
      <c r="F100" s="9"/>
      <c r="G100" s="16"/>
    </row>
    <row r="101" spans="2:7" x14ac:dyDescent="0.2">
      <c r="B101" s="9">
        <f>[1]DataLookUp!$B$214</f>
        <v>65000000000205</v>
      </c>
      <c r="C101" s="10" t="str">
        <f>IF(EXACT($B101, ""), "", VLOOKUP($B101, [1]DataLookUp!$B$4:$D$1000, 2, FALSE))</f>
        <v>5-1008.01</v>
      </c>
      <c r="D101" s="10" t="str">
        <f>IF(EXACT($B101, ""), "", VLOOKUP($B101, [1]DataLookUp!$B$4:$D$1000, 3, FALSE))</f>
        <v>Supplies Used (IDR)</v>
      </c>
      <c r="F101" s="9"/>
      <c r="G101" s="16"/>
    </row>
    <row r="102" spans="2:7" x14ac:dyDescent="0.2">
      <c r="B102" s="9">
        <f>[1]DataLookUp!$B$216</f>
        <v>65000000000207</v>
      </c>
      <c r="C102" s="10" t="str">
        <f>IF(EXACT($B102, ""), "", VLOOKUP($B102, [1]DataLookUp!$B$4:$D$1000, 2, FALSE))</f>
        <v>5-1009.01</v>
      </c>
      <c r="D102" s="10" t="str">
        <f>IF(EXACT($B102, ""), "", VLOOKUP($B102, [1]DataLookUp!$B$4:$D$1000, 3, FALSE))</f>
        <v>Material Other (IDR)</v>
      </c>
      <c r="F102" s="9"/>
      <c r="G102" s="16"/>
    </row>
    <row r="103" spans="2:7" x14ac:dyDescent="0.2">
      <c r="B103" s="9">
        <f>[1]DataLookUp!$B$218</f>
        <v>65000000000209</v>
      </c>
      <c r="C103" s="10" t="str">
        <f>IF(EXACT($B103, ""), "", VLOOKUP($B103, [1]DataLookUp!$B$4:$D$1000, 2, FALSE))</f>
        <v>5-1010.01</v>
      </c>
      <c r="D103" s="10" t="str">
        <f>IF(EXACT($B103, ""), "", VLOOKUP($B103, [1]DataLookUp!$B$4:$D$1000, 3, FALSE))</f>
        <v>IT Hardware Purchase (IDR)</v>
      </c>
      <c r="F103" s="9"/>
      <c r="G103" s="16"/>
    </row>
    <row r="104" spans="2:7" x14ac:dyDescent="0.2">
      <c r="B104" s="9">
        <f>[1]DataLookUp!$B$221</f>
        <v>65000000000212</v>
      </c>
      <c r="C104" s="10" t="str">
        <f>IF(EXACT($B104, ""), "", VLOOKUP($B104, [1]DataLookUp!$B$4:$D$1000, 2, FALSE))</f>
        <v>5-2000</v>
      </c>
      <c r="D104" s="10" t="str">
        <f>IF(EXACT($B104, ""), "", VLOOKUP($B104, [1]DataLookUp!$B$4:$D$1000, 3, FALSE))</f>
        <v>Cost of Labor</v>
      </c>
      <c r="F104" s="9"/>
      <c r="G104" s="16"/>
    </row>
    <row r="105" spans="2:7" x14ac:dyDescent="0.2">
      <c r="B105" s="9">
        <f>[1]DataLookUp!$B$223</f>
        <v>65000000000214</v>
      </c>
      <c r="C105" s="10" t="str">
        <f>IF(EXACT($B105, ""), "", VLOOKUP($B105, [1]DataLookUp!$B$4:$D$1000, 2, FALSE))</f>
        <v>5-2001.01</v>
      </c>
      <c r="D105" s="10" t="str">
        <f>IF(EXACT($B105, ""), "", VLOOKUP($B105, [1]DataLookUp!$B$4:$D$1000, 3, FALSE))</f>
        <v>Salary Daily Worker (IDR)</v>
      </c>
      <c r="F105" s="9"/>
      <c r="G105" s="16"/>
    </row>
    <row r="106" spans="2:7" x14ac:dyDescent="0.2">
      <c r="B106" s="9">
        <f>[1]DataLookUp!$B$225</f>
        <v>65000000000216</v>
      </c>
      <c r="C106" s="10" t="str">
        <f>IF(EXACT($B106, ""), "", VLOOKUP($B106, [1]DataLookUp!$B$4:$D$1000, 2, FALSE))</f>
        <v>5-2002.01</v>
      </c>
      <c r="D106" s="10" t="str">
        <f>IF(EXACT($B106, ""), "", VLOOKUP($B106, [1]DataLookUp!$B$4:$D$1000, 3, FALSE))</f>
        <v>Salary Direct (IDR)</v>
      </c>
      <c r="F106" s="9"/>
      <c r="G106" s="16"/>
    </row>
    <row r="107" spans="2:7" x14ac:dyDescent="0.2">
      <c r="B107" s="9">
        <f>[1]DataLookUp!$B$227</f>
        <v>65000000000218</v>
      </c>
      <c r="C107" s="10" t="str">
        <f>IF(EXACT($B107, ""), "", VLOOKUP($B107, [1]DataLookUp!$B$4:$D$1000, 2, FALSE))</f>
        <v>5-2003.01</v>
      </c>
      <c r="D107" s="10" t="str">
        <f>IF(EXACT($B107, ""), "", VLOOKUP($B107, [1]DataLookUp!$B$4:$D$1000, 3, FALSE))</f>
        <v>Salary Indirect (IDR)</v>
      </c>
      <c r="F107" s="9"/>
      <c r="G107" s="16"/>
    </row>
    <row r="108" spans="2:7" x14ac:dyDescent="0.2">
      <c r="B108" s="9">
        <f>[1]DataLookUp!$B$229</f>
        <v>65000000000220</v>
      </c>
      <c r="C108" s="10" t="str">
        <f>IF(EXACT($B108, ""), "", VLOOKUP($B108, [1]DataLookUp!$B$4:$D$1000, 2, FALSE))</f>
        <v>5-2004.01</v>
      </c>
      <c r="D108" s="10" t="str">
        <f>IF(EXACT($B108, ""), "", VLOOKUP($B108, [1]DataLookUp!$B$4:$D$1000, 3, FALSE))</f>
        <v>Overtime Direct (IDR)</v>
      </c>
      <c r="F108" s="9"/>
      <c r="G108" s="16"/>
    </row>
    <row r="109" spans="2:7" x14ac:dyDescent="0.2">
      <c r="B109" s="9">
        <f>[1]DataLookUp!$B$231</f>
        <v>65000000000222</v>
      </c>
      <c r="C109" s="10" t="str">
        <f>IF(EXACT($B109, ""), "", VLOOKUP($B109, [1]DataLookUp!$B$4:$D$1000, 2, FALSE))</f>
        <v>5-2005.01</v>
      </c>
      <c r="D109" s="10" t="str">
        <f>IF(EXACT($B109, ""), "", VLOOKUP($B109, [1]DataLookUp!$B$4:$D$1000, 3, FALSE))</f>
        <v>Overtime Indirect (IDR)</v>
      </c>
      <c r="F109" s="9"/>
      <c r="G109" s="16"/>
    </row>
    <row r="110" spans="2:7" x14ac:dyDescent="0.2">
      <c r="B110" s="9">
        <f>[1]DataLookUp!$B$233</f>
        <v>65000000000224</v>
      </c>
      <c r="C110" s="10" t="str">
        <f>IF(EXACT($B110, ""), "", VLOOKUP($B110, [1]DataLookUp!$B$4:$D$1000, 2, FALSE))</f>
        <v>5-2006.01</v>
      </c>
      <c r="D110" s="10" t="str">
        <f>IF(EXACT($B110, ""), "", VLOOKUP($B110, [1]DataLookUp!$B$4:$D$1000, 3, FALSE))</f>
        <v>Jamsostek Direct (IDR)</v>
      </c>
      <c r="F110" s="9"/>
      <c r="G110" s="16"/>
    </row>
    <row r="111" spans="2:7" x14ac:dyDescent="0.2">
      <c r="B111" s="9">
        <f>[1]DataLookUp!$B$235</f>
        <v>65000000000226</v>
      </c>
      <c r="C111" s="10" t="str">
        <f>IF(EXACT($B111, ""), "", VLOOKUP($B111, [1]DataLookUp!$B$4:$D$1000, 2, FALSE))</f>
        <v>5-2007.01</v>
      </c>
      <c r="D111" s="10" t="str">
        <f>IF(EXACT($B111, ""), "", VLOOKUP($B111, [1]DataLookUp!$B$4:$D$1000, 3, FALSE))</f>
        <v>Jamsostek Indirect (IDR)</v>
      </c>
      <c r="F111" s="9"/>
      <c r="G111" s="16"/>
    </row>
    <row r="112" spans="2:7" x14ac:dyDescent="0.2">
      <c r="B112" s="9">
        <f>[1]DataLookUp!$B$237</f>
        <v>65000000000228</v>
      </c>
      <c r="C112" s="10" t="str">
        <f>IF(EXACT($B112, ""), "", VLOOKUP($B112, [1]DataLookUp!$B$4:$D$1000, 2, FALSE))</f>
        <v>5-2008.01</v>
      </c>
      <c r="D112" s="10" t="str">
        <f>IF(EXACT($B112, ""), "", VLOOKUP($B112, [1]DataLookUp!$B$4:$D$1000, 3, FALSE))</f>
        <v>Bonus,THR-Direct (IDR)</v>
      </c>
      <c r="F112" s="9"/>
      <c r="G112" s="16"/>
    </row>
    <row r="113" spans="2:7" x14ac:dyDescent="0.2">
      <c r="B113" s="9">
        <f>[1]DataLookUp!$B$239</f>
        <v>65000000000230</v>
      </c>
      <c r="C113" s="10" t="str">
        <f>IF(EXACT($B113, ""), "", VLOOKUP($B113, [1]DataLookUp!$B$4:$D$1000, 2, FALSE))</f>
        <v>5-2009.01</v>
      </c>
      <c r="D113" s="10" t="str">
        <f>IF(EXACT($B113, ""), "", VLOOKUP($B113, [1]DataLookUp!$B$4:$D$1000, 3, FALSE))</f>
        <v>Performance Bonus-Direct (IDR)</v>
      </c>
      <c r="F113" s="9"/>
      <c r="G113" s="16"/>
    </row>
    <row r="114" spans="2:7" x14ac:dyDescent="0.2">
      <c r="B114" s="9">
        <f>[1]DataLookUp!$B$241</f>
        <v>65000000000232</v>
      </c>
      <c r="C114" s="10" t="str">
        <f>IF(EXACT($B114, ""), "", VLOOKUP($B114, [1]DataLookUp!$B$4:$D$1000, 2, FALSE))</f>
        <v>5-2010.01</v>
      </c>
      <c r="D114" s="10" t="str">
        <f>IF(EXACT($B114, ""), "", VLOOKUP($B114, [1]DataLookUp!$B$4:$D$1000, 3, FALSE))</f>
        <v>Bonus,THR-Indirect (IDR)</v>
      </c>
      <c r="F114" s="9"/>
      <c r="G114" s="16"/>
    </row>
    <row r="115" spans="2:7" x14ac:dyDescent="0.2">
      <c r="B115" s="9">
        <f>[1]DataLookUp!$B$243</f>
        <v>65000000000234</v>
      </c>
      <c r="C115" s="10" t="str">
        <f>IF(EXACT($B115, ""), "", VLOOKUP($B115, [1]DataLookUp!$B$4:$D$1000, 2, FALSE))</f>
        <v>5-2011.01</v>
      </c>
      <c r="D115" s="10" t="str">
        <f>IF(EXACT($B115, ""), "", VLOOKUP($B115, [1]DataLookUp!$B$4:$D$1000, 3, FALSE))</f>
        <v>Performance Bonus-Indirect (IDR)</v>
      </c>
      <c r="F115" s="9"/>
      <c r="G115" s="16"/>
    </row>
    <row r="116" spans="2:7" x14ac:dyDescent="0.2">
      <c r="B116" s="9">
        <f>[1]DataLookUp!$B$245</f>
        <v>65000000000236</v>
      </c>
      <c r="C116" s="10" t="str">
        <f>IF(EXACT($B116, ""), "", VLOOKUP($B116, [1]DataLookUp!$B$4:$D$1000, 2, FALSE))</f>
        <v>5-2012.01</v>
      </c>
      <c r="D116" s="10" t="str">
        <f>IF(EXACT($B116, ""), "", VLOOKUP($B116, [1]DataLookUp!$B$4:$D$1000, 3, FALSE))</f>
        <v>Personal Income Tax-Direct (IDR)</v>
      </c>
      <c r="F116" s="9"/>
      <c r="G116" s="16"/>
    </row>
    <row r="117" spans="2:7" x14ac:dyDescent="0.2">
      <c r="B117" s="9">
        <f>[1]DataLookUp!$B$247</f>
        <v>65000000000238</v>
      </c>
      <c r="C117" s="10" t="str">
        <f>IF(EXACT($B117, ""), "", VLOOKUP($B117, [1]DataLookUp!$B$4:$D$1000, 2, FALSE))</f>
        <v>5-2013.01</v>
      </c>
      <c r="D117" s="10" t="str">
        <f>IF(EXACT($B117, ""), "", VLOOKUP($B117, [1]DataLookUp!$B$4:$D$1000, 3, FALSE))</f>
        <v>Personal Income Tax-Indirect (IDR)</v>
      </c>
      <c r="F117" s="9"/>
      <c r="G117" s="16"/>
    </row>
    <row r="118" spans="2:7" x14ac:dyDescent="0.2">
      <c r="B118" s="9">
        <f>[1]DataLookUp!$B$249</f>
        <v>65000000000240</v>
      </c>
      <c r="C118" s="10" t="str">
        <f>IF(EXACT($B118, ""), "", VLOOKUP($B118, [1]DataLookUp!$B$4:$D$1000, 2, FALSE))</f>
        <v>5-2014.01</v>
      </c>
      <c r="D118" s="10" t="str">
        <f>IF(EXACT($B118, ""), "", VLOOKUP($B118, [1]DataLookUp!$B$4:$D$1000, 3, FALSE))</f>
        <v>Uniform,Protect Clothe-Direct (IDR)</v>
      </c>
      <c r="F118" s="9"/>
      <c r="G118" s="16"/>
    </row>
    <row r="119" spans="2:7" x14ac:dyDescent="0.2">
      <c r="B119" s="9">
        <f>[1]DataLookUp!$B$251</f>
        <v>65000000000242</v>
      </c>
      <c r="C119" s="10" t="str">
        <f>IF(EXACT($B119, ""), "", VLOOKUP($B119, [1]DataLookUp!$B$4:$D$1000, 2, FALSE))</f>
        <v>5-2015.01</v>
      </c>
      <c r="D119" s="10" t="str">
        <f>IF(EXACT($B119, ""), "", VLOOKUP($B119, [1]DataLookUp!$B$4:$D$1000, 3, FALSE))</f>
        <v>Uniform,Protect Cloth-Indirect (IDR)</v>
      </c>
      <c r="F119" s="9"/>
      <c r="G119" s="16"/>
    </row>
    <row r="120" spans="2:7" x14ac:dyDescent="0.2">
      <c r="B120" s="9">
        <f>[1]DataLookUp!$B$253</f>
        <v>65000000000244</v>
      </c>
      <c r="C120" s="10" t="str">
        <f>IF(EXACT($B120, ""), "", VLOOKUP($B120, [1]DataLookUp!$B$4:$D$1000, 2, FALSE))</f>
        <v>5-2016.01</v>
      </c>
      <c r="D120" s="10" t="str">
        <f>IF(EXACT($B120, ""), "", VLOOKUP($B120, [1]DataLookUp!$B$4:$D$1000, 3, FALSE))</f>
        <v>Business Trip Allowance (IDR)</v>
      </c>
      <c r="F120" s="9"/>
      <c r="G120" s="16"/>
    </row>
    <row r="121" spans="2:7" x14ac:dyDescent="0.2">
      <c r="B121" s="9">
        <f>[1]DataLookUp!$B$255</f>
        <v>65000000000246</v>
      </c>
      <c r="C121" s="10" t="str">
        <f>IF(EXACT($B121, ""), "", VLOOKUP($B121, [1]DataLookUp!$B$4:$D$1000, 2, FALSE))</f>
        <v>5-2017.01</v>
      </c>
      <c r="D121" s="10" t="str">
        <f>IF(EXACT($B121, ""), "", VLOOKUP($B121, [1]DataLookUp!$B$4:$D$1000, 3, FALSE))</f>
        <v>Meal (IDR)</v>
      </c>
      <c r="F121" s="9"/>
      <c r="G121" s="16"/>
    </row>
    <row r="122" spans="2:7" x14ac:dyDescent="0.2">
      <c r="B122" s="9">
        <f>[1]DataLookUp!$B$257</f>
        <v>65000000000248</v>
      </c>
      <c r="C122" s="10" t="str">
        <f>IF(EXACT($B122, ""), "", VLOOKUP($B122, [1]DataLookUp!$B$4:$D$1000, 2, FALSE))</f>
        <v>5-2018.01</v>
      </c>
      <c r="D122" s="10" t="str">
        <f>IF(EXACT($B122, ""), "", VLOOKUP($B122, [1]DataLookUp!$B$4:$D$1000, 3, FALSE))</f>
        <v>Severance Pay - Project (IDR)</v>
      </c>
      <c r="F122" s="9"/>
      <c r="G122" s="16"/>
    </row>
    <row r="123" spans="2:7" x14ac:dyDescent="0.2">
      <c r="B123" s="9">
        <f>[1]DataLookUp!$B$259</f>
        <v>65000000000250</v>
      </c>
      <c r="C123" s="10" t="str">
        <f>IF(EXACT($B123, ""), "", VLOOKUP($B123, [1]DataLookUp!$B$4:$D$1000, 2, FALSE))</f>
        <v>5-2019.01</v>
      </c>
      <c r="D123" s="10" t="str">
        <f>IF(EXACT($B123, ""), "", VLOOKUP($B123, [1]DataLookUp!$B$4:$D$1000, 3, FALSE))</f>
        <v>Sub Contractor (IDR)</v>
      </c>
      <c r="F123" s="9"/>
      <c r="G123" s="16"/>
    </row>
    <row r="124" spans="2:7" x14ac:dyDescent="0.2">
      <c r="B124" s="9">
        <f>[1]DataLookUp!$B$262</f>
        <v>65000000000253</v>
      </c>
      <c r="C124" s="10" t="str">
        <f>IF(EXACT($B124, ""), "", VLOOKUP($B124, [1]DataLookUp!$B$4:$D$1000, 2, FALSE))</f>
        <v>5-3000</v>
      </c>
      <c r="D124" s="10" t="str">
        <f>IF(EXACT($B124, ""), "", VLOOKUP($B124, [1]DataLookUp!$B$4:$D$1000, 3, FALSE))</f>
        <v>Indirect Cost</v>
      </c>
      <c r="F124" s="9"/>
      <c r="G124" s="16"/>
    </row>
    <row r="125" spans="2:7" x14ac:dyDescent="0.2">
      <c r="B125" s="9">
        <f>[1]DataLookUp!$B$264</f>
        <v>65000000000255</v>
      </c>
      <c r="C125" s="10" t="str">
        <f>IF(EXACT($B125, ""), "", VLOOKUP($B125, [1]DataLookUp!$B$4:$D$1000, 2, FALSE))</f>
        <v>5-3001.01</v>
      </c>
      <c r="D125" s="10" t="str">
        <f>IF(EXACT($B125, ""), "", VLOOKUP($B125, [1]DataLookUp!$B$4:$D$1000, 3, FALSE))</f>
        <v>Consumables (IDR)</v>
      </c>
      <c r="F125" s="9"/>
      <c r="G125" s="16"/>
    </row>
    <row r="126" spans="2:7" x14ac:dyDescent="0.2">
      <c r="B126" s="9">
        <f>[1]DataLookUp!$B$264</f>
        <v>65000000000255</v>
      </c>
      <c r="C126" s="10" t="str">
        <f>IF(EXACT($B126, ""), "", VLOOKUP($B126, [1]DataLookUp!$B$4:$D$1000, 2, FALSE))</f>
        <v>5-3001.01</v>
      </c>
      <c r="D126" s="10" t="str">
        <f>IF(EXACT($B126, ""), "", VLOOKUP($B126, [1]DataLookUp!$B$4:$D$1000, 3, FALSE))</f>
        <v>Consumables (IDR)</v>
      </c>
      <c r="F126" s="9"/>
      <c r="G126" s="16"/>
    </row>
    <row r="127" spans="2:7" x14ac:dyDescent="0.2">
      <c r="B127" s="9">
        <f>[1]DataLookUp!$B$266</f>
        <v>65000000000257</v>
      </c>
      <c r="C127" s="10" t="str">
        <f>IF(EXACT($B127, ""), "", VLOOKUP($B127, [1]DataLookUp!$B$4:$D$1000, 2, FALSE))</f>
        <v>5-3002.01</v>
      </c>
      <c r="D127" s="10" t="str">
        <f>IF(EXACT($B127, ""), "", VLOOKUP($B127, [1]DataLookUp!$B$4:$D$1000, 3, FALSE))</f>
        <v>Spare Parts (IDR)</v>
      </c>
      <c r="F127" s="9"/>
      <c r="G127" s="16"/>
    </row>
    <row r="128" spans="2:7" x14ac:dyDescent="0.2">
      <c r="B128" s="9">
        <f>[1]DataLookUp!$B$268</f>
        <v>65000000000259</v>
      </c>
      <c r="C128" s="10" t="str">
        <f>IF(EXACT($B128, ""), "", VLOOKUP($B128, [1]DataLookUp!$B$4:$D$1000, 2, FALSE))</f>
        <v>5-3003.01</v>
      </c>
      <c r="D128" s="10" t="str">
        <f>IF(EXACT($B128, ""), "", VLOOKUP($B128, [1]DataLookUp!$B$4:$D$1000, 3, FALSE))</f>
        <v>Tools (IDR)</v>
      </c>
      <c r="F128" s="9"/>
      <c r="G128" s="16"/>
    </row>
    <row r="129" spans="2:7" x14ac:dyDescent="0.2">
      <c r="B129" s="9">
        <f>[1]DataLookUp!$B$270</f>
        <v>65000000000261</v>
      </c>
      <c r="C129" s="10" t="str">
        <f>IF(EXACT($B129, ""), "", VLOOKUP($B129, [1]DataLookUp!$B$4:$D$1000, 2, FALSE))</f>
        <v>5-3004.01</v>
      </c>
      <c r="D129" s="10" t="str">
        <f>IF(EXACT($B129, ""), "", VLOOKUP($B129, [1]DataLookUp!$B$4:$D$1000, 3, FALSE))</f>
        <v>Utilities (IDR)</v>
      </c>
      <c r="F129" s="9"/>
      <c r="G129" s="16"/>
    </row>
    <row r="130" spans="2:7" x14ac:dyDescent="0.2">
      <c r="B130" s="9">
        <f>[1]DataLookUp!$B$272</f>
        <v>65000000000263</v>
      </c>
      <c r="C130" s="10" t="str">
        <f>IF(EXACT($B130, ""), "", VLOOKUP($B130, [1]DataLookUp!$B$4:$D$1000, 2, FALSE))</f>
        <v>5-3005.01</v>
      </c>
      <c r="D130" s="10" t="str">
        <f>IF(EXACT($B130, ""), "", VLOOKUP($B130, [1]DataLookUp!$B$4:$D$1000, 3, FALSE))</f>
        <v>Stationery &amp; Printing (IDR)</v>
      </c>
      <c r="F130" s="9"/>
      <c r="G130" s="16"/>
    </row>
    <row r="131" spans="2:7" x14ac:dyDescent="0.2">
      <c r="B131" s="9">
        <f>[1]DataLookUp!$B$274</f>
        <v>65000000000265</v>
      </c>
      <c r="C131" s="10" t="str">
        <f>IF(EXACT($B131, ""), "", VLOOKUP($B131, [1]DataLookUp!$B$4:$D$1000, 2, FALSE))</f>
        <v>5-3006.01</v>
      </c>
      <c r="D131" s="10" t="str">
        <f>IF(EXACT($B131, ""), "", VLOOKUP($B131, [1]DataLookUp!$B$4:$D$1000, 3, FALSE))</f>
        <v>Postage &amp; Courier Service (IDR)</v>
      </c>
      <c r="F131" s="9"/>
      <c r="G131" s="16"/>
    </row>
    <row r="132" spans="2:7" x14ac:dyDescent="0.2">
      <c r="B132" s="9">
        <f>[1]DataLookUp!$B$276</f>
        <v>65000000000267</v>
      </c>
      <c r="C132" s="10" t="str">
        <f>IF(EXACT($B132, ""), "", VLOOKUP($B132, [1]DataLookUp!$B$4:$D$1000, 2, FALSE))</f>
        <v>5-3007.01</v>
      </c>
      <c r="D132" s="10" t="str">
        <f>IF(EXACT($B132, ""), "", VLOOKUP($B132, [1]DataLookUp!$B$4:$D$1000, 3, FALSE))</f>
        <v>Telephone Expenses (IDR)</v>
      </c>
      <c r="F132" s="9"/>
      <c r="G132" s="16"/>
    </row>
    <row r="133" spans="2:7" x14ac:dyDescent="0.2">
      <c r="B133" s="9">
        <f>[1]DataLookUp!$B$278</f>
        <v>65000000000269</v>
      </c>
      <c r="C133" s="10" t="str">
        <f>IF(EXACT($B133, ""), "", VLOOKUP($B133, [1]DataLookUp!$B$4:$D$1000, 2, FALSE))</f>
        <v>5-3008.01</v>
      </c>
      <c r="D133" s="10" t="str">
        <f>IF(EXACT($B133, ""), "", VLOOKUP($B133, [1]DataLookUp!$B$4:$D$1000, 3, FALSE))</f>
        <v>Mobile Phone (IDR)</v>
      </c>
      <c r="F133" s="9"/>
      <c r="G133" s="16"/>
    </row>
    <row r="134" spans="2:7" x14ac:dyDescent="0.2">
      <c r="B134" s="9">
        <f>[1]DataLookUp!$B$280</f>
        <v>65000000000271</v>
      </c>
      <c r="C134" s="10" t="str">
        <f>IF(EXACT($B134, ""), "", VLOOKUP($B134, [1]DataLookUp!$B$4:$D$1000, 2, FALSE))</f>
        <v>5-3009.01</v>
      </c>
      <c r="D134" s="10" t="str">
        <f>IF(EXACT($B134, ""), "", VLOOKUP($B134, [1]DataLookUp!$B$4:$D$1000, 3, FALSE))</f>
        <v>Insurance Expenses (IDR)</v>
      </c>
      <c r="F134" s="9"/>
      <c r="G134" s="16"/>
    </row>
    <row r="135" spans="2:7" x14ac:dyDescent="0.2">
      <c r="B135" s="9">
        <f>[1]DataLookUp!$B$282</f>
        <v>65000000000273</v>
      </c>
      <c r="C135" s="10" t="str">
        <f>IF(EXACT($B135, ""), "", VLOOKUP($B135, [1]DataLookUp!$B$4:$D$1000, 2, FALSE))</f>
        <v>5-3010.01</v>
      </c>
      <c r="D135" s="10" t="str">
        <f>IF(EXACT($B135, ""), "", VLOOKUP($B135, [1]DataLookUp!$B$4:$D$1000, 3, FALSE))</f>
        <v>Property Rental/Lease (IDR)</v>
      </c>
      <c r="F135" s="9"/>
      <c r="G135" s="16"/>
    </row>
    <row r="136" spans="2:7" x14ac:dyDescent="0.2">
      <c r="B136" s="9">
        <f>[1]DataLookUp!$B$284</f>
        <v>65000000000275</v>
      </c>
      <c r="C136" s="10" t="str">
        <f>IF(EXACT($B136, ""), "", VLOOKUP($B136, [1]DataLookUp!$B$4:$D$1000, 2, FALSE))</f>
        <v>5-3011.01</v>
      </c>
      <c r="D136" s="10" t="str">
        <f>IF(EXACT($B136, ""), "", VLOOKUP($B136, [1]DataLookUp!$B$4:$D$1000, 3, FALSE))</f>
        <v>Hire of Other Plant &amp; Equipt (IDR)</v>
      </c>
      <c r="F136" s="9"/>
      <c r="G136" s="16"/>
    </row>
    <row r="137" spans="2:7" x14ac:dyDescent="0.2">
      <c r="B137" s="9">
        <f>[1]DataLookUp!$B$286</f>
        <v>65000000000277</v>
      </c>
      <c r="C137" s="10" t="str">
        <f>IF(EXACT($B137, ""), "", VLOOKUP($B137, [1]DataLookUp!$B$4:$D$1000, 2, FALSE))</f>
        <v>5-3012.01</v>
      </c>
      <c r="D137" s="10" t="str">
        <f>IF(EXACT($B137, ""), "", VLOOKUP($B137, [1]DataLookUp!$B$4:$D$1000, 3, FALSE))</f>
        <v>Property Repair &amp; Maintenance (IDR)</v>
      </c>
      <c r="F137" s="9"/>
      <c r="G137" s="16"/>
    </row>
    <row r="138" spans="2:7" x14ac:dyDescent="0.2">
      <c r="B138" s="9">
        <f>[1]DataLookUp!$B$288</f>
        <v>65000000000279</v>
      </c>
      <c r="C138" s="10" t="str">
        <f>IF(EXACT($B138, ""), "", VLOOKUP($B138, [1]DataLookUp!$B$4:$D$1000, 2, FALSE))</f>
        <v>5-3013.01</v>
      </c>
      <c r="D138" s="10" t="str">
        <f>IF(EXACT($B138, ""), "", VLOOKUP($B138, [1]DataLookUp!$B$4:$D$1000, 3, FALSE))</f>
        <v>IT Expenses (IDR)</v>
      </c>
      <c r="F138" s="9"/>
      <c r="G138" s="16"/>
    </row>
    <row r="139" spans="2:7" x14ac:dyDescent="0.2">
      <c r="B139" s="9">
        <f>[1]DataLookUp!$B$290</f>
        <v>65000000000281</v>
      </c>
      <c r="C139" s="10" t="str">
        <f>IF(EXACT($B139, ""), "", VLOOKUP($B139, [1]DataLookUp!$B$4:$D$1000, 2, FALSE))</f>
        <v>5-3014.01</v>
      </c>
      <c r="D139" s="10" t="str">
        <f>IF(EXACT($B139, ""), "", VLOOKUP($B139, [1]DataLookUp!$B$4:$D$1000, 3, FALSE))</f>
        <v>Hire of Motor Vehicle (IDR)</v>
      </c>
      <c r="F139" s="9"/>
      <c r="G139" s="16"/>
    </row>
    <row r="140" spans="2:7" x14ac:dyDescent="0.2">
      <c r="B140" s="9">
        <f>[1]DataLookUp!$B$292</f>
        <v>65000000000283</v>
      </c>
      <c r="C140" s="10" t="str">
        <f>IF(EXACT($B140, ""), "", VLOOKUP($B140, [1]DataLookUp!$B$4:$D$1000, 2, FALSE))</f>
        <v>5-3015.01</v>
      </c>
      <c r="D140" s="10" t="str">
        <f>IF(EXACT($B140, ""), "", VLOOKUP($B140, [1]DataLookUp!$B$4:$D$1000, 3, FALSE))</f>
        <v>MV-Fuel &amp; Oil (IDR)</v>
      </c>
      <c r="F140" s="9"/>
      <c r="G140" s="16"/>
    </row>
    <row r="141" spans="2:7" x14ac:dyDescent="0.2">
      <c r="B141" s="9">
        <f>[1]DataLookUp!$B$294</f>
        <v>65000000000285</v>
      </c>
      <c r="C141" s="10" t="str">
        <f>IF(EXACT($B141, ""), "", VLOOKUP($B141, [1]DataLookUp!$B$4:$D$1000, 2, FALSE))</f>
        <v>5-3016.01</v>
      </c>
      <c r="D141" s="10" t="str">
        <f>IF(EXACT($B141, ""), "", VLOOKUP($B141, [1]DataLookUp!$B$4:$D$1000, 3, FALSE))</f>
        <v>MV-Repair &amp; Maintenance (IDR)</v>
      </c>
      <c r="F141" s="9"/>
      <c r="G141" s="16"/>
    </row>
    <row r="142" spans="2:7" x14ac:dyDescent="0.2">
      <c r="B142" s="9">
        <f>[1]DataLookUp!$B$296</f>
        <v>65000000000287</v>
      </c>
      <c r="C142" s="10" t="str">
        <f>IF(EXACT($B142, ""), "", VLOOKUP($B142, [1]DataLookUp!$B$4:$D$1000, 2, FALSE))</f>
        <v>5-3017.01</v>
      </c>
      <c r="D142" s="10" t="str">
        <f>IF(EXACT($B142, ""), "", VLOOKUP($B142, [1]DataLookUp!$B$4:$D$1000, 3, FALSE))</f>
        <v>MV-Tyres, Tubes (IDR)</v>
      </c>
      <c r="F142" s="9"/>
      <c r="G142" s="16"/>
    </row>
    <row r="143" spans="2:7" x14ac:dyDescent="0.2">
      <c r="B143" s="9">
        <f>[1]DataLookUp!$B$298</f>
        <v>65000000000289</v>
      </c>
      <c r="C143" s="10" t="str">
        <f>IF(EXACT($B143, ""), "", VLOOKUP($B143, [1]DataLookUp!$B$4:$D$1000, 2, FALSE))</f>
        <v>5-3018.01</v>
      </c>
      <c r="D143" s="10" t="str">
        <f>IF(EXACT($B143, ""), "", VLOOKUP($B143, [1]DataLookUp!$B$4:$D$1000, 3, FALSE))</f>
        <v>MV-Spare Parts (IDR)</v>
      </c>
      <c r="F143" s="9"/>
      <c r="G143" s="16"/>
    </row>
    <row r="144" spans="2:7" x14ac:dyDescent="0.2">
      <c r="B144" s="9">
        <f>[1]DataLookUp!$B$300</f>
        <v>65000000000291</v>
      </c>
      <c r="C144" s="10" t="str">
        <f>IF(EXACT($B144, ""), "", VLOOKUP($B144, [1]DataLookUp!$B$4:$D$1000, 2, FALSE))</f>
        <v>5-3019.01</v>
      </c>
      <c r="D144" s="10" t="str">
        <f>IF(EXACT($B144, ""), "", VLOOKUP($B144, [1]DataLookUp!$B$4:$D$1000, 3, FALSE))</f>
        <v>MV-Accessories (IDR)</v>
      </c>
      <c r="F144" s="9"/>
      <c r="G144" s="16"/>
    </row>
    <row r="145" spans="2:7" x14ac:dyDescent="0.2">
      <c r="B145" s="9">
        <f>[1]DataLookUp!$B$302</f>
        <v>65000000000293</v>
      </c>
      <c r="C145" s="10" t="str">
        <f>IF(EXACT($B145, ""), "", VLOOKUP($B145, [1]DataLookUp!$B$4:$D$1000, 2, FALSE))</f>
        <v>5-3020.01</v>
      </c>
      <c r="D145" s="10" t="str">
        <f>IF(EXACT($B145, ""), "", VLOOKUP($B145, [1]DataLookUp!$B$4:$D$1000, 3, FALSE))</f>
        <v>MV Other (IDR)</v>
      </c>
      <c r="F145" s="9"/>
      <c r="G145" s="16"/>
    </row>
    <row r="146" spans="2:7" x14ac:dyDescent="0.2">
      <c r="B146" s="9">
        <f>[1]DataLookUp!$B$304</f>
        <v>65000000000295</v>
      </c>
      <c r="C146" s="10" t="str">
        <f>IF(EXACT($B146, ""), "", VLOOKUP($B146, [1]DataLookUp!$B$4:$D$1000, 2, FALSE))</f>
        <v>5-3021.01</v>
      </c>
      <c r="D146" s="10" t="str">
        <f>IF(EXACT($B146, ""), "", VLOOKUP($B146, [1]DataLookUp!$B$4:$D$1000, 3, FALSE))</f>
        <v>Local Transport (IDR)</v>
      </c>
      <c r="F146" s="9"/>
      <c r="G146" s="16"/>
    </row>
    <row r="147" spans="2:7" x14ac:dyDescent="0.2">
      <c r="B147" s="9">
        <f>[1]DataLookUp!$B$306</f>
        <v>65000000000297</v>
      </c>
      <c r="C147" s="10" t="str">
        <f>IF(EXACT($B147, ""), "", VLOOKUP($B147, [1]DataLookUp!$B$4:$D$1000, 2, FALSE))</f>
        <v>5-3022.01</v>
      </c>
      <c r="D147" s="10" t="str">
        <f>IF(EXACT($B147, ""), "", VLOOKUP($B147, [1]DataLookUp!$B$4:$D$1000, 3, FALSE))</f>
        <v>Business Travelling (IDR)</v>
      </c>
      <c r="F147" s="9"/>
      <c r="G147" s="16"/>
    </row>
    <row r="148" spans="2:7" x14ac:dyDescent="0.2">
      <c r="B148" s="9">
        <f>[1]DataLookUp!$B$308</f>
        <v>65000000000299</v>
      </c>
      <c r="C148" s="10" t="str">
        <f>IF(EXACT($B148, ""), "", VLOOKUP($B148, [1]DataLookUp!$B$4:$D$1000, 2, FALSE))</f>
        <v>5-3023.01</v>
      </c>
      <c r="D148" s="10" t="str">
        <f>IF(EXACT($B148, ""), "", VLOOKUP($B148, [1]DataLookUp!$B$4:$D$1000, 3, FALSE))</f>
        <v>Travel &amp; Fares (IDR)</v>
      </c>
      <c r="F148" s="9"/>
      <c r="G148" s="16"/>
    </row>
    <row r="149" spans="2:7" x14ac:dyDescent="0.2">
      <c r="B149" s="9">
        <f>[1]DataLookUp!$B$310</f>
        <v>65000000000301</v>
      </c>
      <c r="C149" s="10" t="str">
        <f>IF(EXACT($B149, ""), "", VLOOKUP($B149, [1]DataLookUp!$B$4:$D$1000, 2, FALSE))</f>
        <v>5-3024.01</v>
      </c>
      <c r="D149" s="10" t="str">
        <f>IF(EXACT($B149, ""), "", VLOOKUP($B149, [1]DataLookUp!$B$4:$D$1000, 3, FALSE))</f>
        <v>Freight Expenses (IDR)</v>
      </c>
      <c r="F149" s="9"/>
      <c r="G149" s="16"/>
    </row>
    <row r="150" spans="2:7" x14ac:dyDescent="0.2">
      <c r="B150" s="9">
        <f>[1]DataLookUp!$B$312</f>
        <v>65000000000303</v>
      </c>
      <c r="C150" s="10" t="str">
        <f>IF(EXACT($B150, ""), "", VLOOKUP($B150, [1]DataLookUp!$B$4:$D$1000, 2, FALSE))</f>
        <v>5-3025.01</v>
      </c>
      <c r="D150" s="10" t="str">
        <f>IF(EXACT($B150, ""), "", VLOOKUP($B150, [1]DataLookUp!$B$4:$D$1000, 3, FALSE))</f>
        <v>Custom Clearance (IDR)</v>
      </c>
      <c r="F150" s="9"/>
      <c r="G150" s="16"/>
    </row>
    <row r="151" spans="2:7" x14ac:dyDescent="0.2">
      <c r="B151" s="9">
        <f>[1]DataLookUp!$B$314</f>
        <v>65000000000305</v>
      </c>
      <c r="C151" s="10" t="str">
        <f>IF(EXACT($B151, ""), "", VLOOKUP($B151, [1]DataLookUp!$B$4:$D$1000, 2, FALSE))</f>
        <v>5-3026.01</v>
      </c>
      <c r="D151" s="10" t="str">
        <f>IF(EXACT($B151, ""), "", VLOOKUP($B151, [1]DataLookUp!$B$4:$D$1000, 3, FALSE))</f>
        <v>Infrastructure (IDR)</v>
      </c>
      <c r="F151" s="9"/>
      <c r="G151" s="16"/>
    </row>
    <row r="152" spans="2:7" x14ac:dyDescent="0.2">
      <c r="B152" s="9">
        <f>[1]DataLookUp!$B$316</f>
        <v>65000000000307</v>
      </c>
      <c r="C152" s="10" t="str">
        <f>IF(EXACT($B152, ""), "", VLOOKUP($B152, [1]DataLookUp!$B$4:$D$1000, 2, FALSE))</f>
        <v>5-3027.01</v>
      </c>
      <c r="D152" s="10" t="str">
        <f>IF(EXACT($B152, ""), "", VLOOKUP($B152, [1]DataLookUp!$B$4:$D$1000, 3, FALSE))</f>
        <v>Tender Cost (IDR)</v>
      </c>
      <c r="F152" s="9"/>
      <c r="G152" s="16"/>
    </row>
    <row r="153" spans="2:7" x14ac:dyDescent="0.2">
      <c r="B153" s="9">
        <f>[1]DataLookUp!$B$318</f>
        <v>65000000000309</v>
      </c>
      <c r="C153" s="10" t="str">
        <f>IF(EXACT($B153, ""), "", VLOOKUP($B153, [1]DataLookUp!$B$4:$D$1000, 2, FALSE))</f>
        <v>5-3028.01</v>
      </c>
      <c r="D153" s="10" t="str">
        <f>IF(EXACT($B153, ""), "", VLOOKUP($B153, [1]DataLookUp!$B$4:$D$1000, 3, FALSE))</f>
        <v>Sitac Expenses (IDR)</v>
      </c>
      <c r="F153" s="9"/>
      <c r="G153" s="16"/>
    </row>
    <row r="154" spans="2:7" x14ac:dyDescent="0.2">
      <c r="B154" s="9">
        <f>[1]DataLookUp!$B$320</f>
        <v>65000000000311</v>
      </c>
      <c r="C154" s="10" t="str">
        <f>IF(EXACT($B154, ""), "", VLOOKUP($B154, [1]DataLookUp!$B$4:$D$1000, 2, FALSE))</f>
        <v>5-3029.01</v>
      </c>
      <c r="D154" s="10" t="str">
        <f>IF(EXACT($B154, ""), "", VLOOKUP($B154, [1]DataLookUp!$B$4:$D$1000, 3, FALSE))</f>
        <v>Loss, Damage &amp; Pinalty (IDR)</v>
      </c>
      <c r="F154" s="9"/>
      <c r="G154" s="16"/>
    </row>
    <row r="155" spans="2:7" x14ac:dyDescent="0.2">
      <c r="B155" s="9">
        <f>[1]DataLookUp!$B$322</f>
        <v>65000000000313</v>
      </c>
      <c r="C155" s="10" t="str">
        <f>IF(EXACT($B155, ""), "", VLOOKUP($B155, [1]DataLookUp!$B$4:$D$1000, 2, FALSE))</f>
        <v>5-3030.01</v>
      </c>
      <c r="D155" s="10" t="str">
        <f>IF(EXACT($B155, ""), "", VLOOKUP($B155, [1]DataLookUp!$B$4:$D$1000, 3, FALSE))</f>
        <v>Supervision Expenses (IDR)</v>
      </c>
      <c r="F155" s="9"/>
      <c r="G155" s="16"/>
    </row>
    <row r="156" spans="2:7" x14ac:dyDescent="0.2">
      <c r="B156" s="9">
        <f>[1]DataLookUp!$B$324</f>
        <v>65000000000315</v>
      </c>
      <c r="C156" s="10" t="str">
        <f>IF(EXACT($B156, ""), "", VLOOKUP($B156, [1]DataLookUp!$B$4:$D$1000, 2, FALSE))</f>
        <v>5-3031.01</v>
      </c>
      <c r="D156" s="10" t="str">
        <f>IF(EXACT($B156, ""), "", VLOOKUP($B156, [1]DataLookUp!$B$4:$D$1000, 3, FALSE))</f>
        <v>Power Supply (IDR)</v>
      </c>
      <c r="F156" s="9"/>
      <c r="G156" s="16"/>
    </row>
    <row r="157" spans="2:7" x14ac:dyDescent="0.2">
      <c r="B157" s="9">
        <f>[1]DataLookUp!$B$326</f>
        <v>65000000000317</v>
      </c>
      <c r="C157" s="10" t="str">
        <f>IF(EXACT($B157, ""), "", VLOOKUP($B157, [1]DataLookUp!$B$4:$D$1000, 2, FALSE))</f>
        <v>5-3032.01</v>
      </c>
      <c r="D157" s="10" t="str">
        <f>IF(EXACT($B157, ""), "", VLOOKUP($B157, [1]DataLookUp!$B$4:$D$1000, 3, FALSE))</f>
        <v>Civil  Work (IDR)</v>
      </c>
      <c r="F157" s="9"/>
      <c r="G157" s="16"/>
    </row>
    <row r="158" spans="2:7" x14ac:dyDescent="0.2">
      <c r="B158" s="9">
        <f>[1]DataLookUp!$B$328</f>
        <v>65000000000319</v>
      </c>
      <c r="C158" s="10" t="str">
        <f>IF(EXACT($B158, ""), "", VLOOKUP($B158, [1]DataLookUp!$B$4:$D$1000, 2, FALSE))</f>
        <v>5-3033.01</v>
      </c>
      <c r="D158" s="10" t="str">
        <f>IF(EXACT($B158, ""), "", VLOOKUP($B158, [1]DataLookUp!$B$4:$D$1000, 3, FALSE))</f>
        <v>Moblilization &amp; demobilization (IDR)</v>
      </c>
      <c r="F158" s="9"/>
      <c r="G158" s="16"/>
    </row>
    <row r="159" spans="2:7" x14ac:dyDescent="0.2">
      <c r="B159" s="9">
        <f>[1]DataLookUp!$B$330</f>
        <v>65000000000321</v>
      </c>
      <c r="C159" s="10" t="str">
        <f>IF(EXACT($B159, ""), "", VLOOKUP($B159, [1]DataLookUp!$B$4:$D$1000, 2, FALSE))</f>
        <v>5-3034.01</v>
      </c>
      <c r="D159" s="10" t="str">
        <f>IF(EXACT($B159, ""), "", VLOOKUP($B159, [1]DataLookUp!$B$4:$D$1000, 3, FALSE))</f>
        <v>Entertainment-Deductable (IDR)</v>
      </c>
      <c r="F159" s="9"/>
      <c r="G159" s="16"/>
    </row>
    <row r="160" spans="2:7" x14ac:dyDescent="0.2">
      <c r="B160" s="9">
        <f>[1]DataLookUp!$B$332</f>
        <v>65000000000323</v>
      </c>
      <c r="C160" s="10" t="str">
        <f>IF(EXACT($B160, ""), "", VLOOKUP($B160, [1]DataLookUp!$B$4:$D$1000, 2, FALSE))</f>
        <v>5-3035.01</v>
      </c>
      <c r="D160" s="10" t="str">
        <f>IF(EXACT($B160, ""), "", VLOOKUP($B160, [1]DataLookUp!$B$4:$D$1000, 3, FALSE))</f>
        <v>Entertainment-Undeductable (IDR)</v>
      </c>
      <c r="F160" s="9"/>
      <c r="G160" s="16"/>
    </row>
    <row r="161" spans="2:7" x14ac:dyDescent="0.2">
      <c r="B161" s="9">
        <f>[1]DataLookUp!$B$334</f>
        <v>65000000000325</v>
      </c>
      <c r="C161" s="10" t="str">
        <f>IF(EXACT($B161, ""), "", VLOOKUP($B161, [1]DataLookUp!$B$4:$D$1000, 2, FALSE))</f>
        <v>5-3036.01</v>
      </c>
      <c r="D161" s="10" t="str">
        <f>IF(EXACT($B161, ""), "", VLOOKUP($B161, [1]DataLookUp!$B$4:$D$1000, 3, FALSE))</f>
        <v>Non Meal Entertaint-Ded. (IDR)</v>
      </c>
      <c r="F161" s="9"/>
      <c r="G161" s="16"/>
    </row>
    <row r="162" spans="2:7" x14ac:dyDescent="0.2">
      <c r="B162" s="9">
        <f>[1]DataLookUp!$B$336</f>
        <v>65000000000327</v>
      </c>
      <c r="C162" s="10" t="str">
        <f>IF(EXACT($B162, ""), "", VLOOKUP($B162, [1]DataLookUp!$B$4:$D$1000, 2, FALSE))</f>
        <v>5-3037.01</v>
      </c>
      <c r="D162" s="10" t="str">
        <f>IF(EXACT($B162, ""), "", VLOOKUP($B162, [1]DataLookUp!$B$4:$D$1000, 3, FALSE))</f>
        <v>Non Meal Entertaint-Unded. (IDR)</v>
      </c>
      <c r="F162" s="9"/>
      <c r="G162" s="16"/>
    </row>
    <row r="163" spans="2:7" x14ac:dyDescent="0.2">
      <c r="B163" s="9">
        <f>[1]DataLookUp!$B$338</f>
        <v>65000000000329</v>
      </c>
      <c r="C163" s="10" t="str">
        <f>IF(EXACT($B163, ""), "", VLOOKUP($B163, [1]DataLookUp!$B$4:$D$1000, 2, FALSE))</f>
        <v>5-3038.01</v>
      </c>
      <c r="D163" s="10" t="str">
        <f>IF(EXACT($B163, ""), "", VLOOKUP($B163, [1]DataLookUp!$B$4:$D$1000, 3, FALSE))</f>
        <v>Donation (IDR)</v>
      </c>
      <c r="F163" s="9"/>
      <c r="G163" s="16"/>
    </row>
    <row r="164" spans="2:7" x14ac:dyDescent="0.2">
      <c r="B164" s="9">
        <f>[1]DataLookUp!$B$340</f>
        <v>65000000000331</v>
      </c>
      <c r="C164" s="10" t="str">
        <f>IF(EXACT($B164, ""), "", VLOOKUP($B164, [1]DataLookUp!$B$4:$D$1000, 2, FALSE))</f>
        <v>5-3039.01</v>
      </c>
      <c r="D164" s="10" t="str">
        <f>IF(EXACT($B164, ""), "", VLOOKUP($B164, [1]DataLookUp!$B$4:$D$1000, 3, FALSE))</f>
        <v>Depre - Building Improvement (IDR)</v>
      </c>
      <c r="F164" s="9"/>
      <c r="G164" s="16"/>
    </row>
    <row r="165" spans="2:7" x14ac:dyDescent="0.2">
      <c r="B165" s="9">
        <f>[1]DataLookUp!$B$342</f>
        <v>65000000000333</v>
      </c>
      <c r="C165" s="10" t="str">
        <f>IF(EXACT($B165, ""), "", VLOOKUP($B165, [1]DataLookUp!$B$4:$D$1000, 2, FALSE))</f>
        <v>5-3040.01</v>
      </c>
      <c r="D165" s="10" t="str">
        <f>IF(EXACT($B165, ""), "", VLOOKUP($B165, [1]DataLookUp!$B$4:$D$1000, 3, FALSE))</f>
        <v>Depre - IT Equipment (IDR)</v>
      </c>
      <c r="F165" s="9"/>
      <c r="G165" s="16"/>
    </row>
    <row r="166" spans="2:7" x14ac:dyDescent="0.2">
      <c r="B166" s="9">
        <f>[1]DataLookUp!$B$344</f>
        <v>65000000000335</v>
      </c>
      <c r="C166" s="10" t="str">
        <f>IF(EXACT($B166, ""), "", VLOOKUP($B166, [1]DataLookUp!$B$4:$D$1000, 2, FALSE))</f>
        <v>5-3041.01</v>
      </c>
      <c r="D166" s="10" t="str">
        <f>IF(EXACT($B166, ""), "", VLOOKUP($B166, [1]DataLookUp!$B$4:$D$1000, 3, FALSE))</f>
        <v>Depre - Office Machine &amp; Equip (IDR)</v>
      </c>
      <c r="F166" s="9"/>
      <c r="G166" s="16"/>
    </row>
    <row r="167" spans="2:7" x14ac:dyDescent="0.2">
      <c r="B167" s="9">
        <f>[1]DataLookUp!$B$346</f>
        <v>65000000000337</v>
      </c>
      <c r="C167" s="10" t="str">
        <f>IF(EXACT($B167, ""), "", VLOOKUP($B167, [1]DataLookUp!$B$4:$D$1000, 2, FALSE))</f>
        <v>5-3042.01</v>
      </c>
      <c r="D167" s="10" t="str">
        <f>IF(EXACT($B167, ""), "", VLOOKUP($B167, [1]DataLookUp!$B$4:$D$1000, 3, FALSE))</f>
        <v>Depre - Sundry Plant &amp; Equipt (IDR)</v>
      </c>
      <c r="F167" s="9"/>
      <c r="G167" s="16"/>
    </row>
    <row r="168" spans="2:7" x14ac:dyDescent="0.2">
      <c r="B168" s="9">
        <f>[1]DataLookUp!$B$348</f>
        <v>65000000000339</v>
      </c>
      <c r="C168" s="10" t="str">
        <f>IF(EXACT($B168, ""), "", VLOOKUP($B168, [1]DataLookUp!$B$4:$D$1000, 2, FALSE))</f>
        <v>5-3043.01</v>
      </c>
      <c r="D168" s="10" t="str">
        <f>IF(EXACT($B168, ""), "", VLOOKUP($B168, [1]DataLookUp!$B$4:$D$1000, 3, FALSE))</f>
        <v>Depre - Test Equipment (IDR)</v>
      </c>
      <c r="F168" s="9"/>
      <c r="G168" s="16"/>
    </row>
    <row r="169" spans="2:7" x14ac:dyDescent="0.2">
      <c r="B169" s="9">
        <f>[1]DataLookUp!$B$350</f>
        <v>65000000000341</v>
      </c>
      <c r="C169" s="10" t="str">
        <f>IF(EXACT($B169, ""), "", VLOOKUP($B169, [1]DataLookUp!$B$4:$D$1000, 2, FALSE))</f>
        <v>5-3044.01</v>
      </c>
      <c r="D169" s="10" t="str">
        <f>IF(EXACT($B169, ""), "", VLOOKUP($B169, [1]DataLookUp!$B$4:$D$1000, 3, FALSE))</f>
        <v>Depre - Motor Vehicle (IDR)</v>
      </c>
      <c r="F169" s="9"/>
      <c r="G169" s="16"/>
    </row>
    <row r="170" spans="2:7" x14ac:dyDescent="0.2">
      <c r="B170" s="9">
        <f>[1]DataLookUp!$B$352</f>
        <v>65000000000343</v>
      </c>
      <c r="C170" s="10" t="str">
        <f>IF(EXACT($B170, ""), "", VLOOKUP($B170, [1]DataLookUp!$B$4:$D$1000, 2, FALSE))</f>
        <v>5-3045.01</v>
      </c>
      <c r="D170" s="10" t="str">
        <f>IF(EXACT($B170, ""), "", VLOOKUP($B170, [1]DataLookUp!$B$4:$D$1000, 3, FALSE))</f>
        <v>Depre - Tools (IDR)</v>
      </c>
      <c r="F170" s="9"/>
      <c r="G170" s="16"/>
    </row>
    <row r="171" spans="2:7" x14ac:dyDescent="0.2">
      <c r="B171" s="9">
        <f>[1]DataLookUp!$B$354</f>
        <v>65000000000345</v>
      </c>
      <c r="C171" s="10" t="str">
        <f>IF(EXACT($B171, ""), "", VLOOKUP($B171, [1]DataLookUp!$B$4:$D$1000, 2, FALSE))</f>
        <v>5-3046.01</v>
      </c>
      <c r="D171" s="10" t="str">
        <f>IF(EXACT($B171, ""), "", VLOOKUP($B171, [1]DataLookUp!$B$4:$D$1000, 3, FALSE))</f>
        <v>Depre - Furniture Fitting (IDR)</v>
      </c>
      <c r="F171" s="9"/>
      <c r="G171" s="16"/>
    </row>
    <row r="172" spans="2:7" x14ac:dyDescent="0.2">
      <c r="B172" s="9">
        <f>[1]DataLookUp!$B$356</f>
        <v>65000000000347</v>
      </c>
      <c r="C172" s="10" t="str">
        <f>IF(EXACT($B172, ""), "", VLOOKUP($B172, [1]DataLookUp!$B$4:$D$1000, 2, FALSE))</f>
        <v>5-3047.01</v>
      </c>
      <c r="D172" s="10" t="str">
        <f>IF(EXACT($B172, ""), "", VLOOKUP($B172, [1]DataLookUp!$B$4:$D$1000, 3, FALSE))</f>
        <v>Depre - Mobile Phone (IDR)</v>
      </c>
      <c r="F172" s="9"/>
      <c r="G172" s="16"/>
    </row>
    <row r="173" spans="2:7" x14ac:dyDescent="0.2">
      <c r="B173" s="9">
        <f>[1]DataLookUp!$B$358</f>
        <v>65000000000349</v>
      </c>
      <c r="C173" s="10" t="str">
        <f>IF(EXACT($B173, ""), "", VLOOKUP($B173, [1]DataLookUp!$B$4:$D$1000, 2, FALSE))</f>
        <v>5-3048.01</v>
      </c>
      <c r="D173" s="10" t="str">
        <f>IF(EXACT($B173, ""), "", VLOOKUP($B173, [1]DataLookUp!$B$4:$D$1000, 3, FALSE))</f>
        <v>Customer Claims (IDR)</v>
      </c>
      <c r="F173" s="9"/>
      <c r="G173" s="16"/>
    </row>
    <row r="174" spans="2:7" x14ac:dyDescent="0.2">
      <c r="B174" s="9">
        <f>[1]DataLookUp!$B$362</f>
        <v>65000000000353</v>
      </c>
      <c r="C174" s="10" t="str">
        <f>IF(EXACT($B174, ""), "", VLOOKUP($B174, [1]DataLookUp!$B$4:$D$1000, 2, FALSE))</f>
        <v>6-1000</v>
      </c>
      <c r="D174" s="10" t="str">
        <f>IF(EXACT($B174, ""), "", VLOOKUP($B174, [1]DataLookUp!$B$4:$D$1000, 3, FALSE))</f>
        <v>Biaya Pegawai</v>
      </c>
      <c r="F174" s="9"/>
      <c r="G174" s="16"/>
    </row>
    <row r="175" spans="2:7" x14ac:dyDescent="0.2">
      <c r="B175" s="9">
        <f>[1]DataLookUp!$B$364</f>
        <v>65000000000355</v>
      </c>
      <c r="C175" s="10" t="str">
        <f>IF(EXACT($B175, ""), "", VLOOKUP($B175, [1]DataLookUp!$B$4:$D$1000, 2, FALSE))</f>
        <v>6-1001.01</v>
      </c>
      <c r="D175" s="10" t="str">
        <f>IF(EXACT($B175, ""), "", VLOOKUP($B175, [1]DataLookUp!$B$4:$D$1000, 3, FALSE))</f>
        <v>Salary (IDR)</v>
      </c>
      <c r="F175" s="9"/>
      <c r="G175" s="16"/>
    </row>
    <row r="176" spans="2:7" x14ac:dyDescent="0.2">
      <c r="B176" s="9">
        <f>[1]DataLookUp!$B$366</f>
        <v>65000000000357</v>
      </c>
      <c r="C176" s="10" t="str">
        <f>IF(EXACT($B176, ""), "", VLOOKUP($B176, [1]DataLookUp!$B$4:$D$1000, 2, FALSE))</f>
        <v>6-1002.01</v>
      </c>
      <c r="D176" s="10" t="str">
        <f>IF(EXACT($B176, ""), "", VLOOKUP($B176, [1]DataLookUp!$B$4:$D$1000, 3, FALSE))</f>
        <v>Overtime (IDR)</v>
      </c>
      <c r="F176" s="9"/>
      <c r="G176" s="16"/>
    </row>
    <row r="177" spans="2:7" x14ac:dyDescent="0.2">
      <c r="B177" s="9">
        <f>[1]DataLookUp!$B$368</f>
        <v>65000000000359</v>
      </c>
      <c r="C177" s="10" t="str">
        <f>IF(EXACT($B177, ""), "", VLOOKUP($B177, [1]DataLookUp!$B$4:$D$1000, 2, FALSE))</f>
        <v>6-1003.01</v>
      </c>
      <c r="D177" s="10" t="str">
        <f>IF(EXACT($B177, ""), "", VLOOKUP($B177, [1]DataLookUp!$B$4:$D$1000, 3, FALSE))</f>
        <v>Bonus, THR (IDR)</v>
      </c>
      <c r="F177" s="9"/>
      <c r="G177" s="16"/>
    </row>
    <row r="178" spans="2:7" x14ac:dyDescent="0.2">
      <c r="B178" s="9">
        <f>[1]DataLookUp!$B$370</f>
        <v>65000000000361</v>
      </c>
      <c r="C178" s="10" t="str">
        <f>IF(EXACT($B178, ""), "", VLOOKUP($B178, [1]DataLookUp!$B$4:$D$1000, 2, FALSE))</f>
        <v>6-1004.01</v>
      </c>
      <c r="D178" s="10" t="str">
        <f>IF(EXACT($B178, ""), "", VLOOKUP($B178, [1]DataLookUp!$B$4:$D$1000, 3, FALSE))</f>
        <v>Performance Bonus (IDR)</v>
      </c>
      <c r="F178" s="9"/>
      <c r="G178" s="16"/>
    </row>
    <row r="179" spans="2:7" x14ac:dyDescent="0.2">
      <c r="B179" s="9">
        <f>[1]DataLookUp!$B$372</f>
        <v>65000000000363</v>
      </c>
      <c r="C179" s="10" t="str">
        <f>IF(EXACT($B179, ""), "", VLOOKUP($B179, [1]DataLookUp!$B$4:$D$1000, 2, FALSE))</f>
        <v>6-1005.01</v>
      </c>
      <c r="D179" s="10" t="str">
        <f>IF(EXACT($B179, ""), "", VLOOKUP($B179, [1]DataLookUp!$B$4:$D$1000, 3, FALSE))</f>
        <v>Jamsostek (IDR)</v>
      </c>
      <c r="F179" s="9"/>
      <c r="G179" s="16"/>
    </row>
    <row r="180" spans="2:7" x14ac:dyDescent="0.2">
      <c r="B180" s="9">
        <f>[1]DataLookUp!$B$374</f>
        <v>65000000000365</v>
      </c>
      <c r="C180" s="10" t="str">
        <f>IF(EXACT($B180, ""), "", VLOOKUP($B180, [1]DataLookUp!$B$4:$D$1000, 2, FALSE))</f>
        <v>6-1006.01</v>
      </c>
      <c r="D180" s="10" t="str">
        <f>IF(EXACT($B180, ""), "", VLOOKUP($B180, [1]DataLookUp!$B$4:$D$1000, 3, FALSE))</f>
        <v>Personal Income Tax (IDR)</v>
      </c>
      <c r="F180" s="9"/>
      <c r="G180" s="16"/>
    </row>
    <row r="181" spans="2:7" x14ac:dyDescent="0.2">
      <c r="B181" s="9">
        <f>[1]DataLookUp!$B$376</f>
        <v>65000000000367</v>
      </c>
      <c r="C181" s="10" t="str">
        <f>IF(EXACT($B181, ""), "", VLOOKUP($B181, [1]DataLookUp!$B$4:$D$1000, 2, FALSE))</f>
        <v>6-1007.01</v>
      </c>
      <c r="D181" s="10" t="str">
        <f>IF(EXACT($B181, ""), "", VLOOKUP($B181, [1]DataLookUp!$B$4:$D$1000, 3, FALSE))</f>
        <v>Post Employee benefit Expense (IDR)</v>
      </c>
      <c r="F181" s="9"/>
      <c r="G181" s="16"/>
    </row>
    <row r="182" spans="2:7" x14ac:dyDescent="0.2">
      <c r="B182" s="9">
        <f>[1]DataLookUp!$B$378</f>
        <v>65000000000369</v>
      </c>
      <c r="C182" s="10" t="str">
        <f>IF(EXACT($B182, ""), "", VLOOKUP($B182, [1]DataLookUp!$B$4:$D$1000, 2, FALSE))</f>
        <v>6-1008.01</v>
      </c>
      <c r="D182" s="10" t="str">
        <f>IF(EXACT($B182, ""), "", VLOOKUP($B182, [1]DataLookUp!$B$4:$D$1000, 3, FALSE))</f>
        <v>Medical Expense (IDR)</v>
      </c>
      <c r="F182" s="9"/>
      <c r="G182" s="16"/>
    </row>
    <row r="183" spans="2:7" x14ac:dyDescent="0.2">
      <c r="B183" s="9">
        <f>[1]DataLookUp!$B$380</f>
        <v>65000000000371</v>
      </c>
      <c r="C183" s="10" t="str">
        <f>IF(EXACT($B183, ""), "", VLOOKUP($B183, [1]DataLookUp!$B$4:$D$1000, 2, FALSE))</f>
        <v>6-1009.01</v>
      </c>
      <c r="D183" s="10" t="str">
        <f>IF(EXACT($B183, ""), "", VLOOKUP($B183, [1]DataLookUp!$B$4:$D$1000, 3, FALSE))</f>
        <v>Accrual for Operation Staff (IDR)</v>
      </c>
      <c r="F183" s="9"/>
      <c r="G183" s="16"/>
    </row>
    <row r="184" spans="2:7" x14ac:dyDescent="0.2">
      <c r="B184" s="9">
        <f>[1]DataLookUp!$B$382</f>
        <v>65000000000373</v>
      </c>
      <c r="C184" s="10" t="str">
        <f>IF(EXACT($B184, ""), "", VLOOKUP($B184, [1]DataLookUp!$B$4:$D$1000, 2, FALSE))</f>
        <v>6-1010.01</v>
      </c>
      <c r="D184" s="10" t="str">
        <f>IF(EXACT($B184, ""), "", VLOOKUP($B184, [1]DataLookUp!$B$4:$D$1000, 3, FALSE))</f>
        <v>Meal Allowance (IDR)</v>
      </c>
      <c r="F184" s="9"/>
      <c r="G184" s="16"/>
    </row>
    <row r="185" spans="2:7" x14ac:dyDescent="0.2">
      <c r="B185" s="9">
        <f>[1]DataLookUp!$B$384</f>
        <v>65000000000375</v>
      </c>
      <c r="C185" s="10" t="str">
        <f>IF(EXACT($B185, ""), "", VLOOKUP($B185, [1]DataLookUp!$B$4:$D$1000, 2, FALSE))</f>
        <v>6-1011.01</v>
      </c>
      <c r="D185" s="10" t="str">
        <f>IF(EXACT($B185, ""), "", VLOOKUP($B185, [1]DataLookUp!$B$4:$D$1000, 3, FALSE))</f>
        <v>Staff Welfare (IDR)</v>
      </c>
      <c r="F185" s="9"/>
      <c r="G185" s="16"/>
    </row>
    <row r="186" spans="2:7" x14ac:dyDescent="0.2">
      <c r="B186" s="9">
        <f>[1]DataLookUp!$B$386</f>
        <v>65000000000377</v>
      </c>
      <c r="C186" s="10" t="str">
        <f>IF(EXACT($B186, ""), "", VLOOKUP($B186, [1]DataLookUp!$B$4:$D$1000, 2, FALSE))</f>
        <v>6-1012.01</v>
      </c>
      <c r="D186" s="10" t="str">
        <f>IF(EXACT($B186, ""), "", VLOOKUP($B186, [1]DataLookUp!$B$4:$D$1000, 3, FALSE))</f>
        <v>Housing Allowance (IDR)</v>
      </c>
      <c r="F186" s="9"/>
      <c r="G186" s="16"/>
    </row>
    <row r="187" spans="2:7" x14ac:dyDescent="0.2">
      <c r="B187" s="9">
        <f>[1]DataLookUp!$B$388</f>
        <v>65000000000379</v>
      </c>
      <c r="C187" s="10" t="str">
        <f>IF(EXACT($B187, ""), "", VLOOKUP($B187, [1]DataLookUp!$B$4:$D$1000, 2, FALSE))</f>
        <v>6-1013.01</v>
      </c>
      <c r="D187" s="10" t="str">
        <f>IF(EXACT($B187, ""), "", VLOOKUP($B187, [1]DataLookUp!$B$4:$D$1000, 3, FALSE))</f>
        <v>Uniform (IDR)</v>
      </c>
      <c r="F187" s="9"/>
      <c r="G187" s="16"/>
    </row>
    <row r="188" spans="2:7" x14ac:dyDescent="0.2">
      <c r="B188" s="9">
        <f>[1]DataLookUp!$B$390</f>
        <v>65000000000381</v>
      </c>
      <c r="C188" s="10" t="str">
        <f>IF(EXACT($B188, ""), "", VLOOKUP($B188, [1]DataLookUp!$B$4:$D$1000, 2, FALSE))</f>
        <v>6-1014.01</v>
      </c>
      <c r="D188" s="10" t="str">
        <f>IF(EXACT($B188, ""), "", VLOOKUP($B188, [1]DataLookUp!$B$4:$D$1000, 3, FALSE))</f>
        <v>Recruitment expense (IDR)</v>
      </c>
      <c r="F188" s="9"/>
      <c r="G188" s="16"/>
    </row>
    <row r="189" spans="2:7" x14ac:dyDescent="0.2">
      <c r="B189" s="9">
        <f>[1]DataLookUp!$B$392</f>
        <v>65000000000383</v>
      </c>
      <c r="C189" s="10" t="str">
        <f>IF(EXACT($B189, ""), "", VLOOKUP($B189, [1]DataLookUp!$B$4:$D$1000, 2, FALSE))</f>
        <v>6-1015.01</v>
      </c>
      <c r="D189" s="10" t="str">
        <f>IF(EXACT($B189, ""), "", VLOOKUP($B189, [1]DataLookUp!$B$4:$D$1000, 3, FALSE))</f>
        <v>Seminar, Confrences, Meeting (IDR)</v>
      </c>
      <c r="F189" s="9"/>
      <c r="G189" s="16"/>
    </row>
    <row r="190" spans="2:7" x14ac:dyDescent="0.2">
      <c r="B190" s="9">
        <f>[1]DataLookUp!$B$394</f>
        <v>65000000000385</v>
      </c>
      <c r="C190" s="10" t="str">
        <f>IF(EXACT($B190, ""), "", VLOOKUP($B190, [1]DataLookUp!$B$4:$D$1000, 2, FALSE))</f>
        <v>6-1016.01</v>
      </c>
      <c r="D190" s="10" t="str">
        <f>IF(EXACT($B190, ""), "", VLOOKUP($B190, [1]DataLookUp!$B$4:$D$1000, 3, FALSE))</f>
        <v>Skill Development Expense (IDR)</v>
      </c>
      <c r="F190" s="9"/>
      <c r="G190" s="16"/>
    </row>
    <row r="191" spans="2:7" x14ac:dyDescent="0.2">
      <c r="B191" s="9">
        <f>[1]DataLookUp!$B$396</f>
        <v>65000000000387</v>
      </c>
      <c r="C191" s="10" t="str">
        <f>IF(EXACT($B191, ""), "", VLOOKUP($B191, [1]DataLookUp!$B$4:$D$1000, 2, FALSE))</f>
        <v>6-1017.01</v>
      </c>
      <c r="D191" s="10" t="str">
        <f>IF(EXACT($B191, ""), "", VLOOKUP($B191, [1]DataLookUp!$B$4:$D$1000, 3, FALSE))</f>
        <v>Severance Pay - Admin (IDR)</v>
      </c>
      <c r="F191" s="9"/>
      <c r="G191" s="16"/>
    </row>
    <row r="192" spans="2:7" x14ac:dyDescent="0.2">
      <c r="B192" s="9">
        <f>[1]DataLookUp!$B$399</f>
        <v>65000000000390</v>
      </c>
      <c r="C192" s="10" t="str">
        <f>IF(EXACT($B192, ""), "", VLOOKUP($B192, [1]DataLookUp!$B$4:$D$1000, 2, FALSE))</f>
        <v>6-2000</v>
      </c>
      <c r="D192" s="10" t="str">
        <f>IF(EXACT($B192, ""), "", VLOOKUP($B192, [1]DataLookUp!$B$4:$D$1000, 3, FALSE))</f>
        <v>Biaya Kantor</v>
      </c>
      <c r="F192" s="9"/>
      <c r="G192" s="16"/>
    </row>
    <row r="193" spans="2:7" x14ac:dyDescent="0.2">
      <c r="B193" s="9">
        <f>[1]DataLookUp!$B$401</f>
        <v>65000000000392</v>
      </c>
      <c r="C193" s="10" t="str">
        <f>IF(EXACT($B193, ""), "", VLOOKUP($B193, [1]DataLookUp!$B$4:$D$1000, 2, FALSE))</f>
        <v>6-2001.01</v>
      </c>
      <c r="D193" s="10" t="str">
        <f>IF(EXACT($B193, ""), "", VLOOKUP($B193, [1]DataLookUp!$B$4:$D$1000, 3, FALSE))</f>
        <v>Stationery &amp; Printing (IDR)</v>
      </c>
      <c r="F193" s="9"/>
      <c r="G193" s="16"/>
    </row>
    <row r="194" spans="2:7" x14ac:dyDescent="0.2">
      <c r="B194" s="9">
        <f>[1]DataLookUp!$B$403</f>
        <v>65000000000394</v>
      </c>
      <c r="C194" s="10" t="str">
        <f>IF(EXACT($B194, ""), "", VLOOKUP($B194, [1]DataLookUp!$B$4:$D$1000, 2, FALSE))</f>
        <v>6-2002.01</v>
      </c>
      <c r="D194" s="10" t="str">
        <f>IF(EXACT($B194, ""), "", VLOOKUP($B194, [1]DataLookUp!$B$4:$D$1000, 3, FALSE))</f>
        <v>Stamp Duty (IDR)</v>
      </c>
      <c r="F194" s="9"/>
      <c r="G194" s="16"/>
    </row>
    <row r="195" spans="2:7" x14ac:dyDescent="0.2">
      <c r="B195" s="9">
        <f>[1]DataLookUp!$B$405</f>
        <v>65000000000396</v>
      </c>
      <c r="C195" s="10" t="str">
        <f>IF(EXACT($B195, ""), "", VLOOKUP($B195, [1]DataLookUp!$B$4:$D$1000, 2, FALSE))</f>
        <v>6-2003.01</v>
      </c>
      <c r="D195" s="10" t="str">
        <f>IF(EXACT($B195, ""), "", VLOOKUP($B195, [1]DataLookUp!$B$4:$D$1000, 3, FALSE))</f>
        <v>Postage &amp; Courier (IDR)</v>
      </c>
      <c r="F195" s="9"/>
      <c r="G195" s="16"/>
    </row>
    <row r="196" spans="2:7" x14ac:dyDescent="0.2">
      <c r="B196" s="9">
        <f>[1]DataLookUp!$B$407</f>
        <v>65000000000398</v>
      </c>
      <c r="C196" s="10" t="str">
        <f>IF(EXACT($B196, ""), "", VLOOKUP($B196, [1]DataLookUp!$B$4:$D$1000, 2, FALSE))</f>
        <v>6-2004.01</v>
      </c>
      <c r="D196" s="10" t="str">
        <f>IF(EXACT($B196, ""), "", VLOOKUP($B196, [1]DataLookUp!$B$4:$D$1000, 3, FALSE))</f>
        <v>Other Admin Expenses (IDR)</v>
      </c>
      <c r="F196" s="9"/>
      <c r="G196" s="16"/>
    </row>
    <row r="197" spans="2:7" x14ac:dyDescent="0.2">
      <c r="B197" s="9">
        <f>[1]DataLookUp!$B$409</f>
        <v>65000000000400</v>
      </c>
      <c r="C197" s="10" t="str">
        <f>IF(EXACT($B197, ""), "", VLOOKUP($B197, [1]DataLookUp!$B$4:$D$1000, 2, FALSE))</f>
        <v>6-2005.01</v>
      </c>
      <c r="D197" s="10" t="str">
        <f>IF(EXACT($B197, ""), "", VLOOKUP($B197, [1]DataLookUp!$B$4:$D$1000, 3, FALSE))</f>
        <v>Office Supplies (IDR)</v>
      </c>
      <c r="F197" s="9"/>
      <c r="G197" s="16"/>
    </row>
    <row r="198" spans="2:7" x14ac:dyDescent="0.2">
      <c r="B198" s="9">
        <f>[1]DataLookUp!$B$411</f>
        <v>65000000000402</v>
      </c>
      <c r="C198" s="10" t="str">
        <f>IF(EXACT($B198, ""), "", VLOOKUP($B198, [1]DataLookUp!$B$4:$D$1000, 2, FALSE))</f>
        <v>6-2006.01</v>
      </c>
      <c r="D198" s="10" t="str">
        <f>IF(EXACT($B198, ""), "", VLOOKUP($B198, [1]DataLookUp!$B$4:$D$1000, 3, FALSE))</f>
        <v>Office Equipment &lt; $500 (IDR)</v>
      </c>
      <c r="F198" s="9"/>
      <c r="G198" s="16"/>
    </row>
    <row r="199" spans="2:7" x14ac:dyDescent="0.2">
      <c r="B199" s="9">
        <f>[1]DataLookUp!$B$413</f>
        <v>65000000000404</v>
      </c>
      <c r="C199" s="10" t="str">
        <f>IF(EXACT($B199, ""), "", VLOOKUP($B199, [1]DataLookUp!$B$4:$D$1000, 2, FALSE))</f>
        <v>6-2007.01</v>
      </c>
      <c r="D199" s="10" t="str">
        <f>IF(EXACT($B199, ""), "", VLOOKUP($B199, [1]DataLookUp!$B$4:$D$1000, 3, FALSE))</f>
        <v>Furniture &amp; Fitting &lt; $500 (IDR)</v>
      </c>
      <c r="F199" s="9"/>
      <c r="G199" s="16"/>
    </row>
    <row r="200" spans="2:7" x14ac:dyDescent="0.2">
      <c r="B200" s="9">
        <f>[1]DataLookUp!$B$415</f>
        <v>65000000000406</v>
      </c>
      <c r="C200" s="10" t="str">
        <f>IF(EXACT($B200, ""), "", VLOOKUP($B200, [1]DataLookUp!$B$4:$D$1000, 2, FALSE))</f>
        <v>6-2008.01</v>
      </c>
      <c r="D200" s="10" t="str">
        <f>IF(EXACT($B200, ""), "", VLOOKUP($B200, [1]DataLookUp!$B$4:$D$1000, 3, FALSE))</f>
        <v>Light &amp; Power Equipment (IDR)</v>
      </c>
      <c r="F200" s="9"/>
      <c r="G200" s="16"/>
    </row>
    <row r="201" spans="2:7" x14ac:dyDescent="0.2">
      <c r="B201" s="9">
        <f>[1]DataLookUp!$B$417</f>
        <v>65000000000408</v>
      </c>
      <c r="C201" s="10" t="str">
        <f>IF(EXACT($B201, ""), "", VLOOKUP($B201, [1]DataLookUp!$B$4:$D$1000, 2, FALSE))</f>
        <v>6-2009.01</v>
      </c>
      <c r="D201" s="10" t="str">
        <f>IF(EXACT($B201, ""), "", VLOOKUP($B201, [1]DataLookUp!$B$4:$D$1000, 3, FALSE))</f>
        <v>Utilities (IDR)</v>
      </c>
      <c r="F201" s="9"/>
      <c r="G201" s="16"/>
    </row>
    <row r="202" spans="2:7" x14ac:dyDescent="0.2">
      <c r="B202" s="9">
        <f>[1]DataLookUp!$B$419</f>
        <v>65000000000410</v>
      </c>
      <c r="C202" s="10" t="str">
        <f>IF(EXACT($B202, ""), "", VLOOKUP($B202, [1]DataLookUp!$B$4:$D$1000, 2, FALSE))</f>
        <v>6-2010.01</v>
      </c>
      <c r="D202" s="10" t="str">
        <f>IF(EXACT($B202, ""), "", VLOOKUP($B202, [1]DataLookUp!$B$4:$D$1000, 3, FALSE))</f>
        <v>Telephone, Telex, Fax (IDR)</v>
      </c>
      <c r="F202" s="9"/>
      <c r="G202" s="16"/>
    </row>
    <row r="203" spans="2:7" x14ac:dyDescent="0.2">
      <c r="B203" s="9">
        <f>[1]DataLookUp!$B$421</f>
        <v>65000000000412</v>
      </c>
      <c r="C203" s="10" t="str">
        <f>IF(EXACT($B203, ""), "", VLOOKUP($B203, [1]DataLookUp!$B$4:$D$1000, 2, FALSE))</f>
        <v>6-2011.01</v>
      </c>
      <c r="D203" s="10" t="str">
        <f>IF(EXACT($B203, ""), "", VLOOKUP($B203, [1]DataLookUp!$B$4:$D$1000, 3, FALSE))</f>
        <v>Telephone - Sales (IDR)</v>
      </c>
      <c r="F203" s="9"/>
      <c r="G203" s="16"/>
    </row>
    <row r="204" spans="2:7" x14ac:dyDescent="0.2">
      <c r="B204" s="9">
        <f>[1]DataLookUp!$B$423</f>
        <v>65000000000414</v>
      </c>
      <c r="C204" s="10" t="str">
        <f>IF(EXACT($B204, ""), "", VLOOKUP($B204, [1]DataLookUp!$B$4:$D$1000, 2, FALSE))</f>
        <v>6-2012.01</v>
      </c>
      <c r="D204" s="10" t="str">
        <f>IF(EXACT($B204, ""), "", VLOOKUP($B204, [1]DataLookUp!$B$4:$D$1000, 3, FALSE))</f>
        <v>Mobile Phones &lt; $500 (IDR)</v>
      </c>
      <c r="F204" s="9"/>
      <c r="G204" s="16"/>
    </row>
    <row r="205" spans="2:7" x14ac:dyDescent="0.2">
      <c r="B205" s="9">
        <f>[1]DataLookUp!$B$425</f>
        <v>65000000000416</v>
      </c>
      <c r="C205" s="10" t="str">
        <f>IF(EXACT($B205, ""), "", VLOOKUP($B205, [1]DataLookUp!$B$4:$D$1000, 2, FALSE))</f>
        <v>6-2013.01</v>
      </c>
      <c r="D205" s="10" t="str">
        <f>IF(EXACT($B205, ""), "", VLOOKUP($B205, [1]DataLookUp!$B$4:$D$1000, 3, FALSE))</f>
        <v>IT Expenses (IDR)</v>
      </c>
      <c r="F205" s="9"/>
      <c r="G205" s="16"/>
    </row>
    <row r="206" spans="2:7" x14ac:dyDescent="0.2">
      <c r="B206" s="9">
        <f>[1]DataLookUp!$B$427</f>
        <v>65000000000418</v>
      </c>
      <c r="C206" s="10" t="str">
        <f>IF(EXACT($B206, ""), "", VLOOKUP($B206, [1]DataLookUp!$B$4:$D$1000, 2, FALSE))</f>
        <v>6-2014.01</v>
      </c>
      <c r="D206" s="10" t="str">
        <f>IF(EXACT($B206, ""), "", VLOOKUP($B206, [1]DataLookUp!$B$4:$D$1000, 3, FALSE))</f>
        <v>Local Transportation (IDR)</v>
      </c>
      <c r="F206" s="9"/>
      <c r="G206" s="16"/>
    </row>
    <row r="207" spans="2:7" x14ac:dyDescent="0.2">
      <c r="B207" s="9">
        <f>[1]DataLookUp!$B$429</f>
        <v>65000000000420</v>
      </c>
      <c r="C207" s="10" t="str">
        <f>IF(EXACT($B207, ""), "", VLOOKUP($B207, [1]DataLookUp!$B$4:$D$1000, 2, FALSE))</f>
        <v>6-2015.01</v>
      </c>
      <c r="D207" s="10" t="str">
        <f>IF(EXACT($B207, ""), "", VLOOKUP($B207, [1]DataLookUp!$B$4:$D$1000, 3, FALSE))</f>
        <v>Hire of Motor Vehicle (IDR)</v>
      </c>
      <c r="F207" s="9"/>
      <c r="G207" s="16"/>
    </row>
    <row r="208" spans="2:7" x14ac:dyDescent="0.2">
      <c r="B208" s="9">
        <f>[1]DataLookUp!$B$431</f>
        <v>65000000000422</v>
      </c>
      <c r="C208" s="10" t="str">
        <f>IF(EXACT($B208, ""), "", VLOOKUP($B208, [1]DataLookUp!$B$4:$D$1000, 2, FALSE))</f>
        <v>6-2016.01</v>
      </c>
      <c r="D208" s="10" t="str">
        <f>IF(EXACT($B208, ""), "", VLOOKUP($B208, [1]DataLookUp!$B$4:$D$1000, 3, FALSE))</f>
        <v>Business Travelling (IDR)</v>
      </c>
      <c r="F208" s="9"/>
      <c r="G208" s="16"/>
    </row>
    <row r="209" spans="2:7" x14ac:dyDescent="0.2">
      <c r="B209" s="9">
        <f>[1]DataLookUp!$B$433</f>
        <v>65000000000424</v>
      </c>
      <c r="C209" s="10" t="str">
        <f>IF(EXACT($B209, ""), "", VLOOKUP($B209, [1]DataLookUp!$B$4:$D$1000, 2, FALSE))</f>
        <v>6-2017.01</v>
      </c>
      <c r="D209" s="10" t="str">
        <f>IF(EXACT($B209, ""), "", VLOOKUP($B209, [1]DataLookUp!$B$4:$D$1000, 3, FALSE))</f>
        <v>MV - Fuel &amp; Oil (IDR)</v>
      </c>
      <c r="F209" s="9"/>
      <c r="G209" s="16"/>
    </row>
    <row r="210" spans="2:7" x14ac:dyDescent="0.2">
      <c r="B210" s="9">
        <f>[1]DataLookUp!$B$435</f>
        <v>65000000000426</v>
      </c>
      <c r="C210" s="10" t="str">
        <f>IF(EXACT($B210, ""), "", VLOOKUP($B210, [1]DataLookUp!$B$4:$D$1000, 2, FALSE))</f>
        <v>6-2018.01</v>
      </c>
      <c r="D210" s="10" t="str">
        <f>IF(EXACT($B210, ""), "", VLOOKUP($B210, [1]DataLookUp!$B$4:$D$1000, 3, FALSE))</f>
        <v>MV - Repair &amp; Maintenance (IDR)</v>
      </c>
      <c r="F210" s="9"/>
      <c r="G210" s="16"/>
    </row>
    <row r="211" spans="2:7" x14ac:dyDescent="0.2">
      <c r="B211" s="9">
        <f>[1]DataLookUp!$B$437</f>
        <v>65000000000428</v>
      </c>
      <c r="C211" s="10" t="str">
        <f>IF(EXACT($B211, ""), "", VLOOKUP($B211, [1]DataLookUp!$B$4:$D$1000, 2, FALSE))</f>
        <v>6-2019.01</v>
      </c>
      <c r="D211" s="10" t="str">
        <f>IF(EXACT($B211, ""), "", VLOOKUP($B211, [1]DataLookUp!$B$4:$D$1000, 3, FALSE))</f>
        <v>MV - Tyres, Tubes (IDR)</v>
      </c>
      <c r="F211" s="9"/>
      <c r="G211" s="16"/>
    </row>
    <row r="212" spans="2:7" x14ac:dyDescent="0.2">
      <c r="B212" s="9">
        <f>[1]DataLookUp!$B$439</f>
        <v>65000000000430</v>
      </c>
      <c r="C212" s="10" t="str">
        <f>IF(EXACT($B212, ""), "", VLOOKUP($B212, [1]DataLookUp!$B$4:$D$1000, 2, FALSE))</f>
        <v>6-2020.01</v>
      </c>
      <c r="D212" s="10" t="str">
        <f>IF(EXACT($B212, ""), "", VLOOKUP($B212, [1]DataLookUp!$B$4:$D$1000, 3, FALSE))</f>
        <v>MV - Spare Parts (IDR)</v>
      </c>
      <c r="F212" s="9"/>
      <c r="G212" s="16"/>
    </row>
    <row r="213" spans="2:7" x14ac:dyDescent="0.2">
      <c r="B213" s="9">
        <f>[1]DataLookUp!$B$441</f>
        <v>65000000000432</v>
      </c>
      <c r="C213" s="10" t="str">
        <f>IF(EXACT($B213, ""), "", VLOOKUP($B213, [1]DataLookUp!$B$4:$D$1000, 2, FALSE))</f>
        <v>6-2021.01</v>
      </c>
      <c r="D213" s="10" t="str">
        <f>IF(EXACT($B213, ""), "", VLOOKUP($B213, [1]DataLookUp!$B$4:$D$1000, 3, FALSE))</f>
        <v>MV - Accessories (IDR)</v>
      </c>
      <c r="F213" s="9"/>
      <c r="G213" s="16"/>
    </row>
    <row r="214" spans="2:7" x14ac:dyDescent="0.2">
      <c r="B214" s="9">
        <f>[1]DataLookUp!$B$443</f>
        <v>65000000000434</v>
      </c>
      <c r="C214" s="10" t="str">
        <f>IF(EXACT($B214, ""), "", VLOOKUP($B214, [1]DataLookUp!$B$4:$D$1000, 2, FALSE))</f>
        <v>6-2022.01</v>
      </c>
      <c r="D214" s="10" t="str">
        <f>IF(EXACT($B214, ""), "", VLOOKUP($B214, [1]DataLookUp!$B$4:$D$1000, 3, FALSE))</f>
        <v>MV - Other (IDR)</v>
      </c>
      <c r="F214" s="9"/>
      <c r="G214" s="16"/>
    </row>
    <row r="215" spans="2:7" x14ac:dyDescent="0.2">
      <c r="B215" s="9">
        <f>[1]DataLookUp!$B$445</f>
        <v>65000000000436</v>
      </c>
      <c r="C215" s="10" t="str">
        <f>IF(EXACT($B215, ""), "", VLOOKUP($B215, [1]DataLookUp!$B$4:$D$1000, 2, FALSE))</f>
        <v>6-2023.01</v>
      </c>
      <c r="D215" s="10" t="str">
        <f>IF(EXACT($B215, ""), "", VLOOKUP($B215, [1]DataLookUp!$B$4:$D$1000, 3, FALSE))</f>
        <v>Travel &amp; Fares (IDR)</v>
      </c>
      <c r="F215" s="9"/>
      <c r="G215" s="16"/>
    </row>
    <row r="216" spans="2:7" x14ac:dyDescent="0.2">
      <c r="B216" s="9">
        <f>[1]DataLookUp!$B$447</f>
        <v>65000000000438</v>
      </c>
      <c r="C216" s="10" t="str">
        <f>IF(EXACT($B216, ""), "", VLOOKUP($B216, [1]DataLookUp!$B$4:$D$1000, 2, FALSE))</f>
        <v>6-2024.01</v>
      </c>
      <c r="D216" s="10" t="str">
        <f>IF(EXACT($B216, ""), "", VLOOKUP($B216, [1]DataLookUp!$B$4:$D$1000, 3, FALSE))</f>
        <v>Travel &amp;Fares - Sales (IDR)</v>
      </c>
      <c r="F216" s="9"/>
      <c r="G216" s="16"/>
    </row>
    <row r="217" spans="2:7" x14ac:dyDescent="0.2">
      <c r="B217" s="9">
        <f>[1]DataLookUp!$B$449</f>
        <v>65000000000440</v>
      </c>
      <c r="C217" s="10" t="str">
        <f>IF(EXACT($B217, ""), "", VLOOKUP($B217, [1]DataLookUp!$B$4:$D$1000, 2, FALSE))</f>
        <v>6-2025.01</v>
      </c>
      <c r="D217" s="10" t="str">
        <f>IF(EXACT($B217, ""), "", VLOOKUP($B217, [1]DataLookUp!$B$4:$D$1000, 3, FALSE))</f>
        <v>Property Rental/Lease (IDR)</v>
      </c>
      <c r="F217" s="9"/>
      <c r="G217" s="16"/>
    </row>
    <row r="218" spans="2:7" x14ac:dyDescent="0.2">
      <c r="B218" s="9">
        <f>[1]DataLookUp!$B$451</f>
        <v>65000000000442</v>
      </c>
      <c r="C218" s="10" t="str">
        <f>IF(EXACT($B218, ""), "", VLOOKUP($B218, [1]DataLookUp!$B$4:$D$1000, 2, FALSE))</f>
        <v>6-2026.01</v>
      </c>
      <c r="D218" s="10" t="str">
        <f>IF(EXACT($B218, ""), "", VLOOKUP($B218, [1]DataLookUp!$B$4:$D$1000, 3, FALSE))</f>
        <v>Hire of Other Plant &amp; Equipt (IDR)</v>
      </c>
      <c r="F218" s="9"/>
      <c r="G218" s="16"/>
    </row>
    <row r="219" spans="2:7" x14ac:dyDescent="0.2">
      <c r="B219" s="9">
        <f>[1]DataLookUp!$B$453</f>
        <v>65000000000444</v>
      </c>
      <c r="C219" s="10" t="str">
        <f>IF(EXACT($B219, ""), "", VLOOKUP($B219, [1]DataLookUp!$B$4:$D$1000, 2, FALSE))</f>
        <v>6-2027.01</v>
      </c>
      <c r="D219" s="10" t="str">
        <f>IF(EXACT($B219, ""), "", VLOOKUP($B219, [1]DataLookUp!$B$4:$D$1000, 3, FALSE))</f>
        <v>Property Repair &amp; Maintenance (IDR)</v>
      </c>
      <c r="F219" s="9"/>
      <c r="G219" s="16"/>
    </row>
    <row r="220" spans="2:7" x14ac:dyDescent="0.2">
      <c r="B220" s="9">
        <f>[1]DataLookUp!$B$456</f>
        <v>65000000000447</v>
      </c>
      <c r="C220" s="10" t="str">
        <f>IF(EXACT($B220, ""), "", VLOOKUP($B220, [1]DataLookUp!$B$4:$D$1000, 2, FALSE))</f>
        <v>6-3000</v>
      </c>
      <c r="D220" s="10" t="str">
        <f>IF(EXACT($B220, ""), "", VLOOKUP($B220, [1]DataLookUp!$B$4:$D$1000, 3, FALSE))</f>
        <v>Biaya Marketing</v>
      </c>
      <c r="F220" s="9"/>
      <c r="G220" s="16"/>
    </row>
    <row r="221" spans="2:7" x14ac:dyDescent="0.2">
      <c r="B221" s="9">
        <f>[1]DataLookUp!$B$458</f>
        <v>65000000000449</v>
      </c>
      <c r="C221" s="10" t="str">
        <f>IF(EXACT($B221, ""), "", VLOOKUP($B221, [1]DataLookUp!$B$4:$D$1000, 2, FALSE))</f>
        <v>6-3001.01</v>
      </c>
      <c r="D221" s="10" t="str">
        <f>IF(EXACT($B221, ""), "", VLOOKUP($B221, [1]DataLookUp!$B$4:$D$1000, 3, FALSE))</f>
        <v>Entertainment-Deductable (IDR)</v>
      </c>
      <c r="F221" s="9"/>
      <c r="G221" s="16"/>
    </row>
    <row r="222" spans="2:7" x14ac:dyDescent="0.2">
      <c r="B222" s="9">
        <f>[1]DataLookUp!$B$460</f>
        <v>65000000000451</v>
      </c>
      <c r="C222" s="10" t="str">
        <f>IF(EXACT($B222, ""), "", VLOOKUP($B222, [1]DataLookUp!$B$4:$D$1000, 2, FALSE))</f>
        <v>6-3002.01</v>
      </c>
      <c r="D222" s="10" t="str">
        <f>IF(EXACT($B222, ""), "", VLOOKUP($B222, [1]DataLookUp!$B$4:$D$1000, 3, FALSE))</f>
        <v>Entertainment-Undeductable (IDR)</v>
      </c>
      <c r="F222" s="9"/>
      <c r="G222" s="16"/>
    </row>
    <row r="223" spans="2:7" x14ac:dyDescent="0.2">
      <c r="B223" s="9">
        <f>[1]DataLookUp!$B$462</f>
        <v>65000000000453</v>
      </c>
      <c r="C223" s="10" t="str">
        <f>IF(EXACT($B223, ""), "", VLOOKUP($B223, [1]DataLookUp!$B$4:$D$1000, 2, FALSE))</f>
        <v>6-3003.01</v>
      </c>
      <c r="D223" s="10" t="str">
        <f>IF(EXACT($B223, ""), "", VLOOKUP($B223, [1]DataLookUp!$B$4:$D$1000, 3, FALSE))</f>
        <v>Non Meal Entertainment-Ded. (IDR)</v>
      </c>
      <c r="F223" s="9"/>
      <c r="G223" s="16"/>
    </row>
    <row r="224" spans="2:7" x14ac:dyDescent="0.2">
      <c r="B224" s="9">
        <f>[1]DataLookUp!$B$464</f>
        <v>65000000000455</v>
      </c>
      <c r="C224" s="10" t="str">
        <f>IF(EXACT($B224, ""), "", VLOOKUP($B224, [1]DataLookUp!$B$4:$D$1000, 2, FALSE))</f>
        <v>6-3004.01</v>
      </c>
      <c r="D224" s="10" t="str">
        <f>IF(EXACT($B224, ""), "", VLOOKUP($B224, [1]DataLookUp!$B$4:$D$1000, 3, FALSE))</f>
        <v>Non Meal Entertaint-Unded. (IDR)</v>
      </c>
      <c r="F224" s="9"/>
      <c r="G224" s="16"/>
    </row>
    <row r="225" spans="2:7" x14ac:dyDescent="0.2">
      <c r="B225" s="9">
        <f>[1]DataLookUp!$B$466</f>
        <v>65000000000457</v>
      </c>
      <c r="C225" s="10" t="str">
        <f>IF(EXACT($B225, ""), "", VLOOKUP($B225, [1]DataLookUp!$B$4:$D$1000, 2, FALSE))</f>
        <v>6-3005.01</v>
      </c>
      <c r="D225" s="10" t="str">
        <f>IF(EXACT($B225, ""), "", VLOOKUP($B225, [1]DataLookUp!$B$4:$D$1000, 3, FALSE))</f>
        <v>Marketing Expense (IDR)</v>
      </c>
      <c r="F225" s="9"/>
      <c r="G225" s="16"/>
    </row>
    <row r="226" spans="2:7" x14ac:dyDescent="0.2">
      <c r="B226" s="9">
        <f>[1]DataLookUp!$B$468</f>
        <v>65000000000459</v>
      </c>
      <c r="C226" s="10" t="str">
        <f>IF(EXACT($B226, ""), "", VLOOKUP($B226, [1]DataLookUp!$B$4:$D$1000, 2, FALSE))</f>
        <v>6-3006.01</v>
      </c>
      <c r="D226" s="10" t="str">
        <f>IF(EXACT($B226, ""), "", VLOOKUP($B226, [1]DataLookUp!$B$4:$D$1000, 3, FALSE))</f>
        <v>Sales Call Expense (IDR)</v>
      </c>
      <c r="F226" s="9"/>
      <c r="G226" s="16"/>
    </row>
    <row r="227" spans="2:7" x14ac:dyDescent="0.2">
      <c r="B227" s="9">
        <f>[1]DataLookUp!$B$471</f>
        <v>65000000000462</v>
      </c>
      <c r="C227" s="10" t="str">
        <f>IF(EXACT($B227, ""), "", VLOOKUP($B227, [1]DataLookUp!$B$4:$D$1000, 2, FALSE))</f>
        <v>6-4000</v>
      </c>
      <c r="D227" s="10" t="str">
        <f>IF(EXACT($B227, ""), "", VLOOKUP($B227, [1]DataLookUp!$B$4:$D$1000, 3, FALSE))</f>
        <v>Biaya Administrasi Umum</v>
      </c>
      <c r="F227" s="9"/>
      <c r="G227" s="16"/>
    </row>
    <row r="228" spans="2:7" x14ac:dyDescent="0.2">
      <c r="B228" s="9">
        <f>[1]DataLookUp!$B$473</f>
        <v>65000000000464</v>
      </c>
      <c r="C228" s="10" t="str">
        <f>IF(EXACT($B228, ""), "", VLOOKUP($B228, [1]DataLookUp!$B$4:$D$1000, 2, FALSE))</f>
        <v>6-4001.01</v>
      </c>
      <c r="D228" s="10" t="str">
        <f>IF(EXACT($B228, ""), "", VLOOKUP($B228, [1]DataLookUp!$B$4:$D$1000, 3, FALSE))</f>
        <v>Profesional Fee (IDR)</v>
      </c>
      <c r="F228" s="9"/>
      <c r="G228" s="16"/>
    </row>
    <row r="229" spans="2:7" x14ac:dyDescent="0.2">
      <c r="B229" s="9">
        <f>[1]DataLookUp!$B$475</f>
        <v>65000000000466</v>
      </c>
      <c r="C229" s="10" t="str">
        <f>IF(EXACT($B229, ""), "", VLOOKUP($B229, [1]DataLookUp!$B$4:$D$1000, 2, FALSE))</f>
        <v>6-4002.01</v>
      </c>
      <c r="D229" s="10" t="str">
        <f>IF(EXACT($B229, ""), "", VLOOKUP($B229, [1]DataLookUp!$B$4:$D$1000, 3, FALSE))</f>
        <v>Legal Fee (IDR)</v>
      </c>
      <c r="F229" s="9"/>
      <c r="G229" s="16"/>
    </row>
    <row r="230" spans="2:7" x14ac:dyDescent="0.2">
      <c r="B230" s="9">
        <f>[1]DataLookUp!$B$477</f>
        <v>65000000000468</v>
      </c>
      <c r="C230" s="10" t="str">
        <f>IF(EXACT($B230, ""), "", VLOOKUP($B230, [1]DataLookUp!$B$4:$D$1000, 2, FALSE))</f>
        <v>6-4003.01</v>
      </c>
      <c r="D230" s="10" t="str">
        <f>IF(EXACT($B230, ""), "", VLOOKUP($B230, [1]DataLookUp!$B$4:$D$1000, 3, FALSE))</f>
        <v>Audit Fee (IDR)</v>
      </c>
      <c r="F230" s="9"/>
      <c r="G230" s="16"/>
    </row>
    <row r="231" spans="2:7" x14ac:dyDescent="0.2">
      <c r="B231" s="9">
        <f>[1]DataLookUp!$B$479</f>
        <v>65000000000470</v>
      </c>
      <c r="C231" s="10" t="str">
        <f>IF(EXACT($B231, ""), "", VLOOKUP($B231, [1]DataLookUp!$B$4:$D$1000, 2, FALSE))</f>
        <v>6-4004.01</v>
      </c>
      <c r="D231" s="10" t="str">
        <f>IF(EXACT($B231, ""), "", VLOOKUP($B231, [1]DataLookUp!$B$4:$D$1000, 3, FALSE))</f>
        <v>Advertising &amp; Promotion (IDR)</v>
      </c>
      <c r="F231" s="9"/>
      <c r="G231" s="16"/>
    </row>
    <row r="232" spans="2:7" x14ac:dyDescent="0.2">
      <c r="B232" s="9">
        <f>[1]DataLookUp!$B$481</f>
        <v>65000000000472</v>
      </c>
      <c r="C232" s="10" t="str">
        <f>IF(EXACT($B232, ""), "", VLOOKUP($B232, [1]DataLookUp!$B$4:$D$1000, 2, FALSE))</f>
        <v>6-4005.01</v>
      </c>
      <c r="D232" s="10" t="str">
        <f>IF(EXACT($B232, ""), "", VLOOKUP($B232, [1]DataLookUp!$B$4:$D$1000, 3, FALSE))</f>
        <v>Bad debt expense (IDR)</v>
      </c>
      <c r="F232" s="9"/>
      <c r="G232" s="16"/>
    </row>
    <row r="233" spans="2:7" x14ac:dyDescent="0.2">
      <c r="B233" s="9">
        <f>[1]DataLookUp!$B$483</f>
        <v>65000000000474</v>
      </c>
      <c r="C233" s="10" t="str">
        <f>IF(EXACT($B233, ""), "", VLOOKUP($B233, [1]DataLookUp!$B$4:$D$1000, 2, FALSE))</f>
        <v>6-4006.01</v>
      </c>
      <c r="D233" s="10" t="str">
        <f>IF(EXACT($B233, ""), "", VLOOKUP($B233, [1]DataLookUp!$B$4:$D$1000, 3, FALSE))</f>
        <v>Project Costs (closed CFS) (IDR)</v>
      </c>
      <c r="F233" s="9"/>
      <c r="G233" s="16"/>
    </row>
    <row r="234" spans="2:7" x14ac:dyDescent="0.2">
      <c r="B234" s="9">
        <f>[1]DataLookUp!$B$485</f>
        <v>65000000000476</v>
      </c>
      <c r="C234" s="10" t="str">
        <f>IF(EXACT($B234, ""), "", VLOOKUP($B234, [1]DataLookUp!$B$4:$D$1000, 2, FALSE))</f>
        <v>6-4007.01</v>
      </c>
      <c r="D234" s="10" t="str">
        <f>IF(EXACT($B234, ""), "", VLOOKUP($B234, [1]DataLookUp!$B$4:$D$1000, 3, FALSE))</f>
        <v>Insurance Expenses (IDR)</v>
      </c>
      <c r="F234" s="9"/>
      <c r="G234" s="16"/>
    </row>
    <row r="235" spans="2:7" x14ac:dyDescent="0.2">
      <c r="B235" s="9">
        <f>[1]DataLookUp!$B$487</f>
        <v>65000000000478</v>
      </c>
      <c r="C235" s="10" t="str">
        <f>IF(EXACT($B235, ""), "", VLOOKUP($B235, [1]DataLookUp!$B$4:$D$1000, 2, FALSE))</f>
        <v>6-4008.01</v>
      </c>
      <c r="D235" s="10" t="str">
        <f>IF(EXACT($B235, ""), "", VLOOKUP($B235, [1]DataLookUp!$B$4:$D$1000, 3, FALSE))</f>
        <v>Bank Charge (Excl. Interest) (IDR)</v>
      </c>
      <c r="F235" s="9"/>
      <c r="G235" s="16"/>
    </row>
    <row r="236" spans="2:7" x14ac:dyDescent="0.2">
      <c r="B236" s="9">
        <f>[1]DataLookUp!$B$490</f>
        <v>65000000000481</v>
      </c>
      <c r="C236" s="10" t="str">
        <f>IF(EXACT($B236, ""), "", VLOOKUP($B236, [1]DataLookUp!$B$4:$D$1000, 2, FALSE))</f>
        <v>6-5000</v>
      </c>
      <c r="D236" s="10" t="str">
        <f>IF(EXACT($B236, ""), "", VLOOKUP($B236, [1]DataLookUp!$B$4:$D$1000, 3, FALSE))</f>
        <v>Biaya Depresiasi</v>
      </c>
      <c r="F236" s="9"/>
      <c r="G236" s="16"/>
    </row>
    <row r="237" spans="2:7" x14ac:dyDescent="0.2">
      <c r="B237" s="9">
        <f>[1]DataLookUp!$B$492</f>
        <v>65000000000483</v>
      </c>
      <c r="C237" s="10" t="str">
        <f>IF(EXACT($B237, ""), "", VLOOKUP($B237, [1]DataLookUp!$B$4:$D$1000, 2, FALSE))</f>
        <v>6-5001.01</v>
      </c>
      <c r="D237" s="10" t="str">
        <f>IF(EXACT($B237, ""), "", VLOOKUP($B237, [1]DataLookUp!$B$4:$D$1000, 3, FALSE))</f>
        <v>Depre - Building Improvement (IDR)</v>
      </c>
      <c r="F237" s="9"/>
      <c r="G237" s="16"/>
    </row>
    <row r="238" spans="2:7" x14ac:dyDescent="0.2">
      <c r="B238" s="9">
        <f>[1]DataLookUp!$B$494</f>
        <v>65000000000485</v>
      </c>
      <c r="C238" s="10" t="str">
        <f>IF(EXACT($B238, ""), "", VLOOKUP($B238, [1]DataLookUp!$B$4:$D$1000, 2, FALSE))</f>
        <v>6-5002.01</v>
      </c>
      <c r="D238" s="10" t="str">
        <f>IF(EXACT($B238, ""), "", VLOOKUP($B238, [1]DataLookUp!$B$4:$D$1000, 3, FALSE))</f>
        <v>Depre - Building Office (IDR)</v>
      </c>
      <c r="F238" s="9"/>
      <c r="G238" s="16"/>
    </row>
    <row r="239" spans="2:7" x14ac:dyDescent="0.2">
      <c r="B239" s="9">
        <f>[1]DataLookUp!$B$496</f>
        <v>65000000000487</v>
      </c>
      <c r="C239" s="10" t="str">
        <f>IF(EXACT($B239, ""), "", VLOOKUP($B239, [1]DataLookUp!$B$4:$D$1000, 2, FALSE))</f>
        <v>6-5003.01</v>
      </c>
      <c r="D239" s="10" t="str">
        <f>IF(EXACT($B239, ""), "", VLOOKUP($B239, [1]DataLookUp!$B$4:$D$1000, 3, FALSE))</f>
        <v>Depre -  IT-Equipment (IDR)</v>
      </c>
      <c r="F239" s="9"/>
      <c r="G239" s="16"/>
    </row>
    <row r="240" spans="2:7" x14ac:dyDescent="0.2">
      <c r="B240" s="9">
        <f>[1]DataLookUp!$B$498</f>
        <v>65000000000489</v>
      </c>
      <c r="C240" s="10" t="str">
        <f>IF(EXACT($B240, ""), "", VLOOKUP($B240, [1]DataLookUp!$B$4:$D$1000, 2, FALSE))</f>
        <v>6-5004.01</v>
      </c>
      <c r="D240" s="10" t="str">
        <f>IF(EXACT($B240, ""), "", VLOOKUP($B240, [1]DataLookUp!$B$4:$D$1000, 3, FALSE))</f>
        <v>Depre - Office Machine &amp; Equip (IDR)</v>
      </c>
      <c r="F240" s="9"/>
      <c r="G240" s="16"/>
    </row>
    <row r="241" spans="2:7" x14ac:dyDescent="0.2">
      <c r="B241" s="9">
        <f>[1]DataLookUp!$B$500</f>
        <v>65000000000491</v>
      </c>
      <c r="C241" s="10" t="str">
        <f>IF(EXACT($B241, ""), "", VLOOKUP($B241, [1]DataLookUp!$B$4:$D$1000, 2, FALSE))</f>
        <v>6-5005.01</v>
      </c>
      <c r="D241" s="10" t="str">
        <f>IF(EXACT($B241, ""), "", VLOOKUP($B241, [1]DataLookUp!$B$4:$D$1000, 3, FALSE))</f>
        <v>Depre - Sundry Plant &amp; Equip (IDR)</v>
      </c>
      <c r="F241" s="9"/>
      <c r="G241" s="16"/>
    </row>
    <row r="242" spans="2:7" x14ac:dyDescent="0.2">
      <c r="B242" s="9">
        <f>[1]DataLookUp!$B$502</f>
        <v>65000000000493</v>
      </c>
      <c r="C242" s="10" t="str">
        <f>IF(EXACT($B242, ""), "", VLOOKUP($B242, [1]DataLookUp!$B$4:$D$1000, 2, FALSE))</f>
        <v>6-5006.01</v>
      </c>
      <c r="D242" s="10" t="str">
        <f>IF(EXACT($B242, ""), "", VLOOKUP($B242, [1]DataLookUp!$B$4:$D$1000, 3, FALSE))</f>
        <v>Depre - Test Equipment (IDR)</v>
      </c>
      <c r="F242" s="9"/>
      <c r="G242" s="16"/>
    </row>
    <row r="243" spans="2:7" x14ac:dyDescent="0.2">
      <c r="B243" s="9">
        <f>[1]DataLookUp!$B$504</f>
        <v>65000000000495</v>
      </c>
      <c r="C243" s="10" t="str">
        <f>IF(EXACT($B243, ""), "", VLOOKUP($B243, [1]DataLookUp!$B$4:$D$1000, 2, FALSE))</f>
        <v>6-5007.01</v>
      </c>
      <c r="D243" s="10" t="str">
        <f>IF(EXACT($B243, ""), "", VLOOKUP($B243, [1]DataLookUp!$B$4:$D$1000, 3, FALSE))</f>
        <v>Depre - Motor Vehicle (IDR)</v>
      </c>
      <c r="F243" s="9"/>
      <c r="G243" s="16"/>
    </row>
    <row r="244" spans="2:7" x14ac:dyDescent="0.2">
      <c r="B244" s="9">
        <f>[1]DataLookUp!$B$506</f>
        <v>65000000000497</v>
      </c>
      <c r="C244" s="10" t="str">
        <f>IF(EXACT($B244, ""), "", VLOOKUP($B244, [1]DataLookUp!$B$4:$D$1000, 2, FALSE))</f>
        <v>6-5008.01</v>
      </c>
      <c r="D244" s="10" t="str">
        <f>IF(EXACT($B244, ""), "", VLOOKUP($B244, [1]DataLookUp!$B$4:$D$1000, 3, FALSE))</f>
        <v>Depre - Tools (IDR)</v>
      </c>
      <c r="F244" s="9"/>
      <c r="G244" s="16"/>
    </row>
    <row r="245" spans="2:7" x14ac:dyDescent="0.2">
      <c r="B245" s="9">
        <f>[1]DataLookUp!$B$508</f>
        <v>65000000000499</v>
      </c>
      <c r="C245" s="10" t="str">
        <f>IF(EXACT($B245, ""), "", VLOOKUP($B245, [1]DataLookUp!$B$4:$D$1000, 2, FALSE))</f>
        <v>6-5009.01</v>
      </c>
      <c r="D245" s="10" t="str">
        <f>IF(EXACT($B245, ""), "", VLOOKUP($B245, [1]DataLookUp!$B$4:$D$1000, 3, FALSE))</f>
        <v>Depre - Furniture Fitting (IDR)</v>
      </c>
      <c r="F245" s="9"/>
      <c r="G245" s="16"/>
    </row>
    <row r="246" spans="2:7" x14ac:dyDescent="0.2">
      <c r="B246" s="9">
        <f>[1]DataLookUp!$B$512</f>
        <v>65000000000503</v>
      </c>
      <c r="C246" s="10" t="str">
        <f>IF(EXACT($B246, ""), "", VLOOKUP($B246, [1]DataLookUp!$B$4:$D$1000, 2, FALSE))</f>
        <v>7-1000</v>
      </c>
      <c r="D246" s="10" t="str">
        <f>IF(EXACT($B246, ""), "", VLOOKUP($B246, [1]DataLookUp!$B$4:$D$1000, 3, FALSE))</f>
        <v>Interest Received</v>
      </c>
      <c r="F246" s="9"/>
      <c r="G246" s="16"/>
    </row>
    <row r="247" spans="2:7" x14ac:dyDescent="0.2">
      <c r="B247" s="9">
        <f>[1]DataLookUp!$B$514</f>
        <v>65000000000505</v>
      </c>
      <c r="C247" s="10" t="str">
        <f>IF(EXACT($B247, ""), "", VLOOKUP($B247, [1]DataLookUp!$B$4:$D$1000, 2, FALSE))</f>
        <v>7-1001.01</v>
      </c>
      <c r="D247" s="10" t="str">
        <f>IF(EXACT($B247, ""), "", VLOOKUP($B247, [1]DataLookUp!$B$4:$D$1000, 3, FALSE))</f>
        <v>Interest Received - Bank (IDR)</v>
      </c>
      <c r="F247" s="9"/>
      <c r="G247" s="16"/>
    </row>
    <row r="248" spans="2:7" x14ac:dyDescent="0.2">
      <c r="B248" s="9">
        <f>[1]DataLookUp!$B$516</f>
        <v>65000000000507</v>
      </c>
      <c r="C248" s="10" t="str">
        <f>IF(EXACT($B248, ""), "", VLOOKUP($B248, [1]DataLookUp!$B$4:$D$1000, 2, FALSE))</f>
        <v>7-1002.01</v>
      </c>
      <c r="D248" s="10" t="str">
        <f>IF(EXACT($B248, ""), "", VLOOKUP($B248, [1]DataLookUp!$B$4:$D$1000, 3, FALSE))</f>
        <v>Interest Received - Other (IDR)</v>
      </c>
      <c r="F248" s="9"/>
      <c r="G248" s="16"/>
    </row>
    <row r="249" spans="2:7" x14ac:dyDescent="0.2">
      <c r="B249" s="9">
        <f>[1]DataLookUp!$B$518</f>
        <v>65000000000509</v>
      </c>
      <c r="C249" s="10" t="str">
        <f>IF(EXACT($B249, ""), "", VLOOKUP($B249, [1]DataLookUp!$B$4:$D$1000, 2, FALSE))</f>
        <v>7-1003.01</v>
      </c>
      <c r="D249" s="10" t="str">
        <f>IF(EXACT($B249, ""), "", VLOOKUP($B249, [1]DataLookUp!$B$4:$D$1000, 3, FALSE))</f>
        <v>Interest Income Promesory Note (IDR)</v>
      </c>
      <c r="F249" s="9"/>
      <c r="G249" s="16"/>
    </row>
    <row r="250" spans="2:7" x14ac:dyDescent="0.2">
      <c r="B250" s="9">
        <f>[1]DataLookUp!$B$521</f>
        <v>65000000000512</v>
      </c>
      <c r="C250" s="10" t="str">
        <f>IF(EXACT($B250, ""), "", VLOOKUP($B250, [1]DataLookUp!$B$4:$D$1000, 2, FALSE))</f>
        <v>7-3000</v>
      </c>
      <c r="D250" s="10" t="str">
        <f>IF(EXACT($B250, ""), "", VLOOKUP($B250, [1]DataLookUp!$B$4:$D$1000, 3, FALSE))</f>
        <v>Gain (Loss) Exchange Rate Difference</v>
      </c>
      <c r="F250" s="9"/>
      <c r="G250" s="16"/>
    </row>
    <row r="251" spans="2:7" x14ac:dyDescent="0.2">
      <c r="B251" s="9">
        <f>[1]DataLookUp!$B$523</f>
        <v>65000000000514</v>
      </c>
      <c r="C251" s="10" t="str">
        <f>IF(EXACT($B251, ""), "", VLOOKUP($B251, [1]DataLookUp!$B$4:$D$1000, 2, FALSE))</f>
        <v>7-3001.01</v>
      </c>
      <c r="D251" s="10" t="str">
        <f>IF(EXACT($B251, ""), "", VLOOKUP($B251, [1]DataLookUp!$B$4:$D$1000, 3, FALSE))</f>
        <v>Gain (Loss) Exchange Rate Difference (IDR)</v>
      </c>
      <c r="F251" s="9"/>
      <c r="G251" s="16"/>
    </row>
    <row r="252" spans="2:7" x14ac:dyDescent="0.2">
      <c r="B252" s="9">
        <f>[1]DataLookUp!$B$526</f>
        <v>65000000000517</v>
      </c>
      <c r="C252" s="10" t="str">
        <f>IF(EXACT($B252, ""), "", VLOOKUP($B252, [1]DataLookUp!$B$4:$D$1000, 2, FALSE))</f>
        <v>7-4000</v>
      </c>
      <c r="D252" s="10" t="str">
        <f>IF(EXACT($B252, ""), "", VLOOKUP($B252, [1]DataLookUp!$B$4:$D$1000, 3, FALSE))</f>
        <v>Other Revenue - Other</v>
      </c>
      <c r="F252" s="9"/>
      <c r="G252" s="16"/>
    </row>
    <row r="253" spans="2:7" x14ac:dyDescent="0.2">
      <c r="B253" s="9">
        <f>[1]DataLookUp!$B$529</f>
        <v>65000000000520</v>
      </c>
      <c r="C253" s="10" t="str">
        <f>IF(EXACT($B253, ""), "", VLOOKUP($B253, [1]DataLookUp!$B$4:$D$1000, 2, FALSE))</f>
        <v>7-4200</v>
      </c>
      <c r="D253" s="10" t="str">
        <f>IF(EXACT($B253, ""), "", VLOOKUP($B253, [1]DataLookUp!$B$4:$D$1000, 3, FALSE))</f>
        <v>Income Tax</v>
      </c>
      <c r="F253" s="9"/>
      <c r="G253" s="16"/>
    </row>
    <row r="254" spans="2:7" x14ac:dyDescent="0.2">
      <c r="B254" s="9">
        <f>[1]DataLookUp!$B$533</f>
        <v>65000000000524</v>
      </c>
      <c r="C254" s="10" t="str">
        <f>IF(EXACT($B254, ""), "", VLOOKUP($B254, [1]DataLookUp!$B$4:$D$1000, 2, FALSE))</f>
        <v>8-1000</v>
      </c>
      <c r="D254" s="10" t="str">
        <f>IF(EXACT($B254, ""), "", VLOOKUP($B254, [1]DataLookUp!$B$4:$D$1000, 3, FALSE))</f>
        <v>Interest Expenses</v>
      </c>
      <c r="F254" s="9"/>
      <c r="G254" s="16"/>
    </row>
    <row r="255" spans="2:7" x14ac:dyDescent="0.2">
      <c r="B255" s="9">
        <f>[1]DataLookUp!$B$535</f>
        <v>65000000000526</v>
      </c>
      <c r="C255" s="10" t="str">
        <f>IF(EXACT($B255, ""), "", VLOOKUP($B255, [1]DataLookUp!$B$4:$D$1000, 2, FALSE))</f>
        <v>8-1001.01</v>
      </c>
      <c r="D255" s="10" t="str">
        <f>IF(EXACT($B255, ""), "", VLOOKUP($B255, [1]DataLookUp!$B$4:$D$1000, 3, FALSE))</f>
        <v>Interest Expense Downer (IDR)</v>
      </c>
      <c r="F255" s="9"/>
      <c r="G255" s="16"/>
    </row>
    <row r="256" spans="2:7" x14ac:dyDescent="0.2">
      <c r="B256" s="9">
        <f>[1]DataLookUp!$B$538</f>
        <v>65000000000529</v>
      </c>
      <c r="C256" s="10" t="str">
        <f>IF(EXACT($B256, ""), "", VLOOKUP($B256, [1]DataLookUp!$B$4:$D$1000, 2, FALSE))</f>
        <v>8-2000</v>
      </c>
      <c r="D256" s="10" t="str">
        <f>IF(EXACT($B256, ""), "", VLOOKUP($B256, [1]DataLookUp!$B$4:$D$1000, 3, FALSE))</f>
        <v>Late Charges</v>
      </c>
      <c r="F256" s="9"/>
      <c r="G256" s="16"/>
    </row>
    <row r="257" spans="2:7" x14ac:dyDescent="0.2">
      <c r="B257" s="9">
        <f>[1]DataLookUp!$B$540</f>
        <v>65000000000531</v>
      </c>
      <c r="C257" s="10" t="str">
        <f>IF(EXACT($B257, ""), "", VLOOKUP($B257, [1]DataLookUp!$B$4:$D$1000, 2, FALSE))</f>
        <v>8-2001.01</v>
      </c>
      <c r="D257" s="10" t="str">
        <f>IF(EXACT($B257, ""), "", VLOOKUP($B257, [1]DataLookUp!$B$4:$D$1000, 3, FALSE))</f>
        <v>Late Charges for Downer (IDR)</v>
      </c>
      <c r="F257" s="9"/>
      <c r="G257" s="16"/>
    </row>
    <row r="258" spans="2:7" x14ac:dyDescent="0.2">
      <c r="B258" s="9">
        <f>[1]DataLookUp!$B$543</f>
        <v>65000000000534</v>
      </c>
      <c r="C258" s="10" t="str">
        <f>IF(EXACT($B258, ""), "", VLOOKUP($B258, [1]DataLookUp!$B$4:$D$1000, 2, FALSE))</f>
        <v>8-3000</v>
      </c>
      <c r="D258" s="10" t="str">
        <f>IF(EXACT($B258, ""), "", VLOOKUP($B258, [1]DataLookUp!$B$4:$D$1000, 3, FALSE))</f>
        <v>Other Expenses - Other</v>
      </c>
      <c r="F258" s="9"/>
      <c r="G258" s="16"/>
    </row>
    <row r="259" spans="2:7" ht="7.5" customHeight="1" x14ac:dyDescent="0.2">
      <c r="B259" s="14"/>
      <c r="C259" s="11" t="str">
        <f>IF(EXACT($B259, ""), "", VLOOKUP($B259, [1]DataLookUp!$B$4:$D$1000, 2, FALSE))</f>
        <v/>
      </c>
      <c r="D259" s="11" t="str">
        <f>IF(EXACT($B259, ""), "", VLOOKUP($B259, [1]DataLookUp!$B$4:$D$1000, 3, FALSE))</f>
        <v/>
      </c>
      <c r="F259" s="14"/>
      <c r="G259" s="14"/>
    </row>
    <row r="260" spans="2:7" x14ac:dyDescent="0.2">
      <c r="B260" s="9">
        <f>[1]DataLookUp!$B$10</f>
        <v>65000000000007</v>
      </c>
      <c r="C260" s="10" t="str">
        <f>IF(EXACT($B260, ""), "", VLOOKUP($B260, [1]DataLookUp!$B$4:$D$1000, 2, FALSE))</f>
        <v>1-1102.01</v>
      </c>
      <c r="D260" s="10" t="str">
        <f>IF(EXACT($B260, ""), "", VLOOKUP($B260, [1]DataLookUp!$B$4:$D$1000, 3, FALSE))</f>
        <v>Bank (IDR)</v>
      </c>
      <c r="F260" s="9">
        <v>167000000000001</v>
      </c>
      <c r="G260" s="16" t="s">
        <v>4</v>
      </c>
    </row>
    <row r="261" spans="2:7" x14ac:dyDescent="0.2">
      <c r="B261" s="9">
        <f>[1]DataLookUp!$B$10</f>
        <v>65000000000007</v>
      </c>
      <c r="C261" s="10" t="str">
        <f>IF(EXACT($B261, ""), "", VLOOKUP($B261, [1]DataLookUp!$B$4:$D$1000, 2, FALSE))</f>
        <v>1-1102.01</v>
      </c>
      <c r="D261" s="10" t="str">
        <f>IF(EXACT($B261, ""), "", VLOOKUP($B261, [1]DataLookUp!$B$4:$D$1000, 3, FALSE))</f>
        <v>Bank (IDR)</v>
      </c>
      <c r="F261" s="9">
        <v>167000000000002</v>
      </c>
      <c r="G261" s="16" t="s">
        <v>5</v>
      </c>
    </row>
    <row r="262" spans="2:7" x14ac:dyDescent="0.2">
      <c r="B262" s="9">
        <f>[1]DataLookUp!$B$10</f>
        <v>65000000000007</v>
      </c>
      <c r="C262" s="10" t="str">
        <f>IF(EXACT($B262, ""), "", VLOOKUP($B262, [1]DataLookUp!$B$4:$D$1000, 2, FALSE))</f>
        <v>1-1102.01</v>
      </c>
      <c r="D262" s="10" t="str">
        <f>IF(EXACT($B262, ""), "", VLOOKUP($B262, [1]DataLookUp!$B$4:$D$1000, 3, FALSE))</f>
        <v>Bank (IDR)</v>
      </c>
      <c r="F262" s="9">
        <v>167000000000003</v>
      </c>
      <c r="G262" s="16" t="s">
        <v>6</v>
      </c>
    </row>
    <row r="263" spans="2:7" x14ac:dyDescent="0.2">
      <c r="B263" s="9">
        <f>[1]DataLookUp!$B$10</f>
        <v>65000000000007</v>
      </c>
      <c r="C263" s="10" t="str">
        <f>IF(EXACT($B263, ""), "", VLOOKUP($B263, [1]DataLookUp!$B$4:$D$1000, 2, FALSE))</f>
        <v>1-1102.01</v>
      </c>
      <c r="D263" s="10" t="str">
        <f>IF(EXACT($B263, ""), "", VLOOKUP($B263, [1]DataLookUp!$B$4:$D$1000, 3, FALSE))</f>
        <v>Bank (IDR)</v>
      </c>
      <c r="F263" s="9">
        <v>167000000000004</v>
      </c>
      <c r="G263" s="16" t="s">
        <v>7</v>
      </c>
    </row>
    <row r="264" spans="2:7" x14ac:dyDescent="0.2">
      <c r="B264" s="9">
        <f>[1]DataLookUp!$B$10</f>
        <v>65000000000007</v>
      </c>
      <c r="C264" s="10" t="str">
        <f>IF(EXACT($B264, ""), "", VLOOKUP($B264, [1]DataLookUp!$B$4:$D$1000, 2, FALSE))</f>
        <v>1-1102.01</v>
      </c>
      <c r="D264" s="10" t="str">
        <f>IF(EXACT($B264, ""), "", VLOOKUP($B264, [1]DataLookUp!$B$4:$D$1000, 3, FALSE))</f>
        <v>Bank (IDR)</v>
      </c>
      <c r="F264" s="9">
        <v>167000000000005</v>
      </c>
      <c r="G264" s="16" t="s">
        <v>8</v>
      </c>
    </row>
    <row r="265" spans="2:7" x14ac:dyDescent="0.2">
      <c r="B265" s="9">
        <f>[1]DataLookUp!$B$10</f>
        <v>65000000000007</v>
      </c>
      <c r="C265" s="10" t="str">
        <f>IF(EXACT($B265, ""), "", VLOOKUP($B265, [1]DataLookUp!$B$4:$D$1000, 2, FALSE))</f>
        <v>1-1102.01</v>
      </c>
      <c r="D265" s="10" t="str">
        <f>IF(EXACT($B265, ""), "", VLOOKUP($B265, [1]DataLookUp!$B$4:$D$1000, 3, FALSE))</f>
        <v>Bank (IDR)</v>
      </c>
      <c r="F265" s="9">
        <v>167000000000006</v>
      </c>
      <c r="G265" s="16" t="s">
        <v>9</v>
      </c>
    </row>
    <row r="266" spans="2:7" x14ac:dyDescent="0.2">
      <c r="B266" s="9">
        <f>[1]DataLookUp!$B$10</f>
        <v>65000000000007</v>
      </c>
      <c r="C266" s="10" t="str">
        <f>IF(EXACT($B266, ""), "", VLOOKUP($B266, [1]DataLookUp!$B$4:$D$1000, 2, FALSE))</f>
        <v>1-1102.01</v>
      </c>
      <c r="D266" s="10" t="str">
        <f>IF(EXACT($B266, ""), "", VLOOKUP($B266, [1]DataLookUp!$B$4:$D$1000, 3, FALSE))</f>
        <v>Bank (IDR)</v>
      </c>
      <c r="F266" s="9">
        <v>167000000000007</v>
      </c>
      <c r="G266" s="16" t="s">
        <v>10</v>
      </c>
    </row>
    <row r="267" spans="2:7" x14ac:dyDescent="0.2">
      <c r="B267" s="9">
        <f>[1]DataLookUp!$B$10</f>
        <v>65000000000007</v>
      </c>
      <c r="C267" s="10" t="str">
        <f>IF(EXACT($B267, ""), "", VLOOKUP($B267, [1]DataLookUp!$B$4:$D$1000, 2, FALSE))</f>
        <v>1-1102.01</v>
      </c>
      <c r="D267" s="10" t="str">
        <f>IF(EXACT($B267, ""), "", VLOOKUP($B267, [1]DataLookUp!$B$4:$D$1000, 3, FALSE))</f>
        <v>Bank (IDR)</v>
      </c>
      <c r="F267" s="9">
        <v>167000000000008</v>
      </c>
      <c r="G267" s="16" t="s">
        <v>11</v>
      </c>
    </row>
    <row r="268" spans="2:7" x14ac:dyDescent="0.2">
      <c r="B268" s="9">
        <f>[1]DataLookUp!$B$10</f>
        <v>65000000000007</v>
      </c>
      <c r="C268" s="10" t="str">
        <f>IF(EXACT($B268, ""), "", VLOOKUP($B268, [1]DataLookUp!$B$4:$D$1000, 2, FALSE))</f>
        <v>1-1102.01</v>
      </c>
      <c r="D268" s="10" t="str">
        <f>IF(EXACT($B268, ""), "", VLOOKUP($B268, [1]DataLookUp!$B$4:$D$1000, 3, FALSE))</f>
        <v>Bank (IDR)</v>
      </c>
      <c r="F268" s="9">
        <v>167000000000009</v>
      </c>
      <c r="G268" s="16" t="s">
        <v>12</v>
      </c>
    </row>
    <row r="269" spans="2:7" x14ac:dyDescent="0.2">
      <c r="B269" s="9">
        <f>[1]DataLookUp!$B$10</f>
        <v>65000000000007</v>
      </c>
      <c r="C269" s="10" t="str">
        <f>IF(EXACT($B269, ""), "", VLOOKUP($B269, [1]DataLookUp!$B$4:$D$1000, 2, FALSE))</f>
        <v>1-1102.01</v>
      </c>
      <c r="D269" s="10" t="str">
        <f>IF(EXACT($B269, ""), "", VLOOKUP($B269, [1]DataLookUp!$B$4:$D$1000, 3, FALSE))</f>
        <v>Bank (IDR)</v>
      </c>
      <c r="F269" s="9">
        <v>167000000000010</v>
      </c>
      <c r="G269" s="16" t="s">
        <v>13</v>
      </c>
    </row>
    <row r="270" spans="2:7" x14ac:dyDescent="0.2">
      <c r="B270" s="9">
        <f>[1]DataLookUp!$B$10</f>
        <v>65000000000007</v>
      </c>
      <c r="C270" s="10" t="str">
        <f>IF(EXACT($B270, ""), "", VLOOKUP($B270, [1]DataLookUp!$B$4:$D$1000, 2, FALSE))</f>
        <v>1-1102.01</v>
      </c>
      <c r="D270" s="10" t="str">
        <f>IF(EXACT($B270, ""), "", VLOOKUP($B270, [1]DataLookUp!$B$4:$D$1000, 3, FALSE))</f>
        <v>Bank (IDR)</v>
      </c>
      <c r="F270" s="9">
        <v>167000000000012</v>
      </c>
      <c r="G270" s="16" t="s">
        <v>15</v>
      </c>
    </row>
    <row r="271" spans="2:7" x14ac:dyDescent="0.2">
      <c r="B271" s="9">
        <f>[1]DataLookUp!$B$10</f>
        <v>65000000000007</v>
      </c>
      <c r="C271" s="10" t="str">
        <f>IF(EXACT($B271, ""), "", VLOOKUP($B271, [1]DataLookUp!$B$4:$D$1000, 2, FALSE))</f>
        <v>1-1102.01</v>
      </c>
      <c r="D271" s="10" t="str">
        <f>IF(EXACT($B271, ""), "", VLOOKUP($B271, [1]DataLookUp!$B$4:$D$1000, 3, FALSE))</f>
        <v>Bank (IDR)</v>
      </c>
      <c r="F271" s="9">
        <v>167000000000013</v>
      </c>
      <c r="G271" s="16" t="s">
        <v>16</v>
      </c>
    </row>
    <row r="272" spans="2:7" x14ac:dyDescent="0.2">
      <c r="B272" s="9">
        <f>[1]DataLookUp!$B$10</f>
        <v>65000000000007</v>
      </c>
      <c r="C272" s="10" t="str">
        <f>IF(EXACT($B272, ""), "", VLOOKUP($B272, [1]DataLookUp!$B$4:$D$1000, 2, FALSE))</f>
        <v>1-1102.01</v>
      </c>
      <c r="D272" s="10" t="str">
        <f>IF(EXACT($B272, ""), "", VLOOKUP($B272, [1]DataLookUp!$B$4:$D$1000, 3, FALSE))</f>
        <v>Bank (IDR)</v>
      </c>
      <c r="F272" s="9">
        <v>167000000000014</v>
      </c>
      <c r="G272" s="16" t="s">
        <v>17</v>
      </c>
    </row>
    <row r="273" spans="2:7" x14ac:dyDescent="0.2">
      <c r="B273" s="9">
        <f>[1]DataLookUp!$B$10</f>
        <v>65000000000007</v>
      </c>
      <c r="C273" s="10" t="str">
        <f>IF(EXACT($B273, ""), "", VLOOKUP($B273, [1]DataLookUp!$B$4:$D$1000, 2, FALSE))</f>
        <v>1-1102.01</v>
      </c>
      <c r="D273" s="10" t="str">
        <f>IF(EXACT($B273, ""), "", VLOOKUP($B273, [1]DataLookUp!$B$4:$D$1000, 3, FALSE))</f>
        <v>Bank (IDR)</v>
      </c>
      <c r="F273" s="9">
        <v>167000000000015</v>
      </c>
      <c r="G273" s="16" t="s">
        <v>18</v>
      </c>
    </row>
    <row r="274" spans="2:7" x14ac:dyDescent="0.2">
      <c r="B274" s="9">
        <f>[1]DataLookUp!$B$10</f>
        <v>65000000000007</v>
      </c>
      <c r="C274" s="10" t="str">
        <f>IF(EXACT($B274, ""), "", VLOOKUP($B274, [1]DataLookUp!$B$4:$D$1000, 2, FALSE))</f>
        <v>1-1102.01</v>
      </c>
      <c r="D274" s="10" t="str">
        <f>IF(EXACT($B274, ""), "", VLOOKUP($B274, [1]DataLookUp!$B$4:$D$1000, 3, FALSE))</f>
        <v>Bank (IDR)</v>
      </c>
      <c r="F274" s="9">
        <v>167000000000016</v>
      </c>
      <c r="G274" s="16" t="s">
        <v>19</v>
      </c>
    </row>
    <row r="275" spans="2:7" x14ac:dyDescent="0.2">
      <c r="B275" s="9">
        <f>[1]DataLookUp!$B$10</f>
        <v>65000000000007</v>
      </c>
      <c r="C275" s="10" t="str">
        <f>IF(EXACT($B275, ""), "", VLOOKUP($B275, [1]DataLookUp!$B$4:$D$1000, 2, FALSE))</f>
        <v>1-1102.01</v>
      </c>
      <c r="D275" s="10" t="str">
        <f>IF(EXACT($B275, ""), "", VLOOKUP($B275, [1]DataLookUp!$B$4:$D$1000, 3, FALSE))</f>
        <v>Bank (IDR)</v>
      </c>
      <c r="F275" s="9">
        <v>167000000000017</v>
      </c>
      <c r="G275" s="16" t="s">
        <v>20</v>
      </c>
    </row>
    <row r="276" spans="2:7" x14ac:dyDescent="0.2">
      <c r="B276" s="9">
        <f>[1]DataLookUp!$B$10</f>
        <v>65000000000007</v>
      </c>
      <c r="C276" s="10" t="str">
        <f>IF(EXACT($B276, ""), "", VLOOKUP($B276, [1]DataLookUp!$B$4:$D$1000, 2, FALSE))</f>
        <v>1-1102.01</v>
      </c>
      <c r="D276" s="10" t="str">
        <f>IF(EXACT($B276, ""), "", VLOOKUP($B276, [1]DataLookUp!$B$4:$D$1000, 3, FALSE))</f>
        <v>Bank (IDR)</v>
      </c>
      <c r="F276" s="9">
        <v>167000000000018</v>
      </c>
      <c r="G276" s="16" t="s">
        <v>21</v>
      </c>
    </row>
    <row r="277" spans="2:7" x14ac:dyDescent="0.2">
      <c r="B277" s="9">
        <f>[1]DataLookUp!$B$10</f>
        <v>65000000000007</v>
      </c>
      <c r="C277" s="10" t="str">
        <f>IF(EXACT($B277, ""), "", VLOOKUP($B277, [1]DataLookUp!$B$4:$D$1000, 2, FALSE))</f>
        <v>1-1102.01</v>
      </c>
      <c r="D277" s="10" t="str">
        <f>IF(EXACT($B277, ""), "", VLOOKUP($B277, [1]DataLookUp!$B$4:$D$1000, 3, FALSE))</f>
        <v>Bank (IDR)</v>
      </c>
      <c r="F277" s="9">
        <v>167000000000019</v>
      </c>
      <c r="G277" s="16" t="s">
        <v>22</v>
      </c>
    </row>
    <row r="278" spans="2:7" x14ac:dyDescent="0.2">
      <c r="B278" s="9">
        <f>[1]DataLookUp!$B$10</f>
        <v>65000000000007</v>
      </c>
      <c r="C278" s="10" t="str">
        <f>IF(EXACT($B278, ""), "", VLOOKUP($B278, [1]DataLookUp!$B$4:$D$1000, 2, FALSE))</f>
        <v>1-1102.01</v>
      </c>
      <c r="D278" s="10" t="str">
        <f>IF(EXACT($B278, ""), "", VLOOKUP($B278, [1]DataLookUp!$B$4:$D$1000, 3, FALSE))</f>
        <v>Bank (IDR)</v>
      </c>
      <c r="F278" s="9">
        <v>167000000000020</v>
      </c>
      <c r="G278" s="16" t="s">
        <v>23</v>
      </c>
    </row>
    <row r="279" spans="2:7" x14ac:dyDescent="0.2">
      <c r="B279" s="9">
        <f>[1]DataLookUp!$B$10</f>
        <v>65000000000007</v>
      </c>
      <c r="C279" s="10" t="str">
        <f>IF(EXACT($B279, ""), "", VLOOKUP($B279, [1]DataLookUp!$B$4:$D$1000, 2, FALSE))</f>
        <v>1-1102.01</v>
      </c>
      <c r="D279" s="10" t="str">
        <f>IF(EXACT($B279, ""), "", VLOOKUP($B279, [1]DataLookUp!$B$4:$D$1000, 3, FALSE))</f>
        <v>Bank (IDR)</v>
      </c>
      <c r="F279" s="9">
        <v>167000000000021</v>
      </c>
      <c r="G279" s="16" t="s">
        <v>24</v>
      </c>
    </row>
    <row r="280" spans="2:7" x14ac:dyDescent="0.2">
      <c r="B280" s="9">
        <f>[1]DataLookUp!$B$10</f>
        <v>65000000000007</v>
      </c>
      <c r="C280" s="10" t="str">
        <f>IF(EXACT($B280, ""), "", VLOOKUP($B280, [1]DataLookUp!$B$4:$D$1000, 2, FALSE))</f>
        <v>1-1102.01</v>
      </c>
      <c r="D280" s="10" t="str">
        <f>IF(EXACT($B280, ""), "", VLOOKUP($B280, [1]DataLookUp!$B$4:$D$1000, 3, FALSE))</f>
        <v>Bank (IDR)</v>
      </c>
      <c r="F280" s="9">
        <v>167000000000022</v>
      </c>
      <c r="G280" s="16" t="s">
        <v>25</v>
      </c>
    </row>
    <row r="281" spans="2:7" x14ac:dyDescent="0.2">
      <c r="B281" s="9">
        <f>[1]DataLookUp!$B$10</f>
        <v>65000000000007</v>
      </c>
      <c r="C281" s="10" t="str">
        <f>IF(EXACT($B281, ""), "", VLOOKUP($B281, [1]DataLookUp!$B$4:$D$1000, 2, FALSE))</f>
        <v>1-1102.01</v>
      </c>
      <c r="D281" s="10" t="str">
        <f>IF(EXACT($B281, ""), "", VLOOKUP($B281, [1]DataLookUp!$B$4:$D$1000, 3, FALSE))</f>
        <v>Bank (IDR)</v>
      </c>
      <c r="F281" s="9">
        <v>167000000000023</v>
      </c>
      <c r="G281" s="16" t="s">
        <v>26</v>
      </c>
    </row>
    <row r="282" spans="2:7" x14ac:dyDescent="0.2">
      <c r="B282" s="9">
        <f>[1]DataLookUp!$B$10</f>
        <v>65000000000007</v>
      </c>
      <c r="C282" s="10" t="str">
        <f>IF(EXACT($B282, ""), "", VLOOKUP($B282, [1]DataLookUp!$B$4:$D$1000, 2, FALSE))</f>
        <v>1-1102.01</v>
      </c>
      <c r="D282" s="10" t="str">
        <f>IF(EXACT($B282, ""), "", VLOOKUP($B282, [1]DataLookUp!$B$4:$D$1000, 3, FALSE))</f>
        <v>Bank (IDR)</v>
      </c>
      <c r="F282" s="9">
        <v>167000000000024</v>
      </c>
      <c r="G282" s="16" t="s">
        <v>27</v>
      </c>
    </row>
    <row r="283" spans="2:7" x14ac:dyDescent="0.2">
      <c r="B283" s="9">
        <f>[1]DataLookUp!$B$10</f>
        <v>65000000000007</v>
      </c>
      <c r="C283" s="10" t="str">
        <f>IF(EXACT($B283, ""), "", VLOOKUP($B283, [1]DataLookUp!$B$4:$D$1000, 2, FALSE))</f>
        <v>1-1102.01</v>
      </c>
      <c r="D283" s="10" t="str">
        <f>IF(EXACT($B283, ""), "", VLOOKUP($B283, [1]DataLookUp!$B$4:$D$1000, 3, FALSE))</f>
        <v>Bank (IDR)</v>
      </c>
      <c r="F283" s="9">
        <v>167000000000025</v>
      </c>
      <c r="G283" s="16" t="s">
        <v>28</v>
      </c>
    </row>
    <row r="284" spans="2:7" x14ac:dyDescent="0.2">
      <c r="B284" s="9">
        <f>[1]DataLookUp!$B$10</f>
        <v>65000000000007</v>
      </c>
      <c r="C284" s="10" t="str">
        <f>IF(EXACT($B284, ""), "", VLOOKUP($B284, [1]DataLookUp!$B$4:$D$1000, 2, FALSE))</f>
        <v>1-1102.01</v>
      </c>
      <c r="D284" s="10" t="str">
        <f>IF(EXACT($B284, ""), "", VLOOKUP($B284, [1]DataLookUp!$B$4:$D$1000, 3, FALSE))</f>
        <v>Bank (IDR)</v>
      </c>
      <c r="F284" s="9">
        <v>167000000000026</v>
      </c>
      <c r="G284" s="16" t="s">
        <v>29</v>
      </c>
    </row>
    <row r="285" spans="2:7" x14ac:dyDescent="0.2">
      <c r="B285" s="9">
        <f>[1]DataLookUp!$B$10</f>
        <v>65000000000007</v>
      </c>
      <c r="C285" s="10" t="str">
        <f>IF(EXACT($B285, ""), "", VLOOKUP($B285, [1]DataLookUp!$B$4:$D$1000, 2, FALSE))</f>
        <v>1-1102.01</v>
      </c>
      <c r="D285" s="10" t="str">
        <f>IF(EXACT($B285, ""), "", VLOOKUP($B285, [1]DataLookUp!$B$4:$D$1000, 3, FALSE))</f>
        <v>Bank (IDR)</v>
      </c>
      <c r="F285" s="9">
        <v>167000000000027</v>
      </c>
      <c r="G285" s="16" t="s">
        <v>30</v>
      </c>
    </row>
    <row r="286" spans="2:7" x14ac:dyDescent="0.2">
      <c r="B286" s="9">
        <f>[1]DataLookUp!$B$10</f>
        <v>65000000000007</v>
      </c>
      <c r="C286" s="10" t="str">
        <f>IF(EXACT($B286, ""), "", VLOOKUP($B286, [1]DataLookUp!$B$4:$D$1000, 2, FALSE))</f>
        <v>1-1102.01</v>
      </c>
      <c r="D286" s="10" t="str">
        <f>IF(EXACT($B286, ""), "", VLOOKUP($B286, [1]DataLookUp!$B$4:$D$1000, 3, FALSE))</f>
        <v>Bank (IDR)</v>
      </c>
      <c r="F286" s="9">
        <v>167000000000028</v>
      </c>
      <c r="G286" s="16" t="s">
        <v>31</v>
      </c>
    </row>
    <row r="287" spans="2:7" x14ac:dyDescent="0.2">
      <c r="B287" s="9">
        <f>[1]DataLookUp!$B$10</f>
        <v>65000000000007</v>
      </c>
      <c r="C287" s="10" t="str">
        <f>IF(EXACT($B287, ""), "", VLOOKUP($B287, [1]DataLookUp!$B$4:$D$1000, 2, FALSE))</f>
        <v>1-1102.01</v>
      </c>
      <c r="D287" s="10" t="str">
        <f>IF(EXACT($B287, ""), "", VLOOKUP($B287, [1]DataLookUp!$B$4:$D$1000, 3, FALSE))</f>
        <v>Bank (IDR)</v>
      </c>
      <c r="F287" s="9">
        <v>167000000000031</v>
      </c>
      <c r="G287" s="16" t="s">
        <v>34</v>
      </c>
    </row>
    <row r="288" spans="2:7" x14ac:dyDescent="0.2">
      <c r="B288" s="9">
        <f>[1]DataLookUp!$B$10</f>
        <v>65000000000007</v>
      </c>
      <c r="C288" s="10" t="str">
        <f>IF(EXACT($B288, ""), "", VLOOKUP($B288, [1]DataLookUp!$B$4:$D$1000, 2, FALSE))</f>
        <v>1-1102.01</v>
      </c>
      <c r="D288" s="10" t="str">
        <f>IF(EXACT($B288, ""), "", VLOOKUP($B288, [1]DataLookUp!$B$4:$D$1000, 3, FALSE))</f>
        <v>Bank (IDR)</v>
      </c>
      <c r="F288" s="9">
        <v>167000000000032</v>
      </c>
      <c r="G288" s="16" t="s">
        <v>35</v>
      </c>
    </row>
    <row r="289" spans="2:7" x14ac:dyDescent="0.2">
      <c r="B289" s="9">
        <f>[1]DataLookUp!$B$10</f>
        <v>65000000000007</v>
      </c>
      <c r="C289" s="10" t="str">
        <f>IF(EXACT($B289, ""), "", VLOOKUP($B289, [1]DataLookUp!$B$4:$D$1000, 2, FALSE))</f>
        <v>1-1102.01</v>
      </c>
      <c r="D289" s="10" t="str">
        <f>IF(EXACT($B289, ""), "", VLOOKUP($B289, [1]DataLookUp!$B$4:$D$1000, 3, FALSE))</f>
        <v>Bank (IDR)</v>
      </c>
      <c r="F289" s="9">
        <v>167000000000033</v>
      </c>
      <c r="G289" s="16" t="s">
        <v>36</v>
      </c>
    </row>
    <row r="290" spans="2:7" x14ac:dyDescent="0.2">
      <c r="B290" s="9">
        <f>[1]DataLookUp!$B$10</f>
        <v>65000000000007</v>
      </c>
      <c r="C290" s="10" t="str">
        <f>IF(EXACT($B290, ""), "", VLOOKUP($B290, [1]DataLookUp!$B$4:$D$1000, 2, FALSE))</f>
        <v>1-1102.01</v>
      </c>
      <c r="D290" s="10" t="str">
        <f>IF(EXACT($B290, ""), "", VLOOKUP($B290, [1]DataLookUp!$B$4:$D$1000, 3, FALSE))</f>
        <v>Bank (IDR)</v>
      </c>
      <c r="F290" s="9">
        <v>167000000000034</v>
      </c>
      <c r="G290" s="16" t="s">
        <v>37</v>
      </c>
    </row>
    <row r="291" spans="2:7" x14ac:dyDescent="0.2">
      <c r="B291" s="9">
        <f>[1]DataLookUp!$B$10</f>
        <v>65000000000007</v>
      </c>
      <c r="C291" s="10" t="str">
        <f>IF(EXACT($B291, ""), "", VLOOKUP($B291, [1]DataLookUp!$B$4:$D$1000, 2, FALSE))</f>
        <v>1-1102.01</v>
      </c>
      <c r="D291" s="10" t="str">
        <f>IF(EXACT($B291, ""), "", VLOOKUP($B291, [1]DataLookUp!$B$4:$D$1000, 3, FALSE))</f>
        <v>Bank (IDR)</v>
      </c>
      <c r="F291" s="9">
        <v>167000000000035</v>
      </c>
      <c r="G291" s="16" t="s">
        <v>38</v>
      </c>
    </row>
    <row r="292" spans="2:7" x14ac:dyDescent="0.2">
      <c r="B292" s="9">
        <f>[1]DataLookUp!$B$10</f>
        <v>65000000000007</v>
      </c>
      <c r="C292" s="10" t="str">
        <f>IF(EXACT($B292, ""), "", VLOOKUP($B292, [1]DataLookUp!$B$4:$D$1000, 2, FALSE))</f>
        <v>1-1102.01</v>
      </c>
      <c r="D292" s="10" t="str">
        <f>IF(EXACT($B292, ""), "", VLOOKUP($B292, [1]DataLookUp!$B$4:$D$1000, 3, FALSE))</f>
        <v>Bank (IDR)</v>
      </c>
      <c r="F292" s="9">
        <v>167000000000036</v>
      </c>
      <c r="G292" s="16" t="s">
        <v>39</v>
      </c>
    </row>
    <row r="293" spans="2:7" x14ac:dyDescent="0.2">
      <c r="B293" s="9">
        <f>[1]DataLookUp!$B$10</f>
        <v>65000000000007</v>
      </c>
      <c r="C293" s="10" t="str">
        <f>IF(EXACT($B293, ""), "", VLOOKUP($B293, [1]DataLookUp!$B$4:$D$1000, 2, FALSE))</f>
        <v>1-1102.01</v>
      </c>
      <c r="D293" s="10" t="str">
        <f>IF(EXACT($B293, ""), "", VLOOKUP($B293, [1]DataLookUp!$B$4:$D$1000, 3, FALSE))</f>
        <v>Bank (IDR)</v>
      </c>
      <c r="F293" s="9">
        <v>167000000000037</v>
      </c>
      <c r="G293" s="16" t="s">
        <v>40</v>
      </c>
    </row>
    <row r="294" spans="2:7" x14ac:dyDescent="0.2">
      <c r="B294" s="9">
        <f>[1]DataLookUp!$B$10</f>
        <v>65000000000007</v>
      </c>
      <c r="C294" s="10" t="str">
        <f>IF(EXACT($B294, ""), "", VLOOKUP($B294, [1]DataLookUp!$B$4:$D$1000, 2, FALSE))</f>
        <v>1-1102.01</v>
      </c>
      <c r="D294" s="10" t="str">
        <f>IF(EXACT($B294, ""), "", VLOOKUP($B294, [1]DataLookUp!$B$4:$D$1000, 3, FALSE))</f>
        <v>Bank (IDR)</v>
      </c>
      <c r="F294" s="9">
        <v>167000000000038</v>
      </c>
      <c r="G294" s="16" t="s">
        <v>41</v>
      </c>
    </row>
    <row r="295" spans="2:7" x14ac:dyDescent="0.2">
      <c r="B295" s="9">
        <f>[1]DataLookUp!$B$10</f>
        <v>65000000000007</v>
      </c>
      <c r="C295" s="10" t="str">
        <f>IF(EXACT($B295, ""), "", VLOOKUP($B295, [1]DataLookUp!$B$4:$D$1000, 2, FALSE))</f>
        <v>1-1102.01</v>
      </c>
      <c r="D295" s="10" t="str">
        <f>IF(EXACT($B295, ""), "", VLOOKUP($B295, [1]DataLookUp!$B$4:$D$1000, 3, FALSE))</f>
        <v>Bank (IDR)</v>
      </c>
      <c r="F295" s="9">
        <v>167000000000039</v>
      </c>
      <c r="G295" s="16" t="s">
        <v>42</v>
      </c>
    </row>
    <row r="296" spans="2:7" x14ac:dyDescent="0.2">
      <c r="B296" s="9">
        <f>[1]DataLookUp!$B$10</f>
        <v>65000000000007</v>
      </c>
      <c r="C296" s="10" t="str">
        <f>IF(EXACT($B296, ""), "", VLOOKUP($B296, [1]DataLookUp!$B$4:$D$1000, 2, FALSE))</f>
        <v>1-1102.01</v>
      </c>
      <c r="D296" s="10" t="str">
        <f>IF(EXACT($B296, ""), "", VLOOKUP($B296, [1]DataLookUp!$B$4:$D$1000, 3, FALSE))</f>
        <v>Bank (IDR)</v>
      </c>
      <c r="F296" s="9">
        <v>167000000000040</v>
      </c>
      <c r="G296" s="16" t="s">
        <v>43</v>
      </c>
    </row>
    <row r="297" spans="2:7" x14ac:dyDescent="0.2">
      <c r="B297" s="9">
        <f>[1]DataLookUp!$B$10</f>
        <v>65000000000007</v>
      </c>
      <c r="C297" s="10" t="str">
        <f>IF(EXACT($B297, ""), "", VLOOKUP($B297, [1]DataLookUp!$B$4:$D$1000, 2, FALSE))</f>
        <v>1-1102.01</v>
      </c>
      <c r="D297" s="10" t="str">
        <f>IF(EXACT($B297, ""), "", VLOOKUP($B297, [1]DataLookUp!$B$4:$D$1000, 3, FALSE))</f>
        <v>Bank (IDR)</v>
      </c>
      <c r="F297" s="9">
        <v>167000000000041</v>
      </c>
      <c r="G297" s="16" t="s">
        <v>44</v>
      </c>
    </row>
    <row r="298" spans="2:7" x14ac:dyDescent="0.2">
      <c r="B298" s="9">
        <f>[1]DataLookUp!$B$10</f>
        <v>65000000000007</v>
      </c>
      <c r="C298" s="10" t="str">
        <f>IF(EXACT($B298, ""), "", VLOOKUP($B298, [1]DataLookUp!$B$4:$D$1000, 2, FALSE))</f>
        <v>1-1102.01</v>
      </c>
      <c r="D298" s="10" t="str">
        <f>IF(EXACT($B298, ""), "", VLOOKUP($B298, [1]DataLookUp!$B$4:$D$1000, 3, FALSE))</f>
        <v>Bank (IDR)</v>
      </c>
      <c r="F298" s="9">
        <v>167000000000042</v>
      </c>
      <c r="G298" s="16" t="s">
        <v>45</v>
      </c>
    </row>
    <row r="299" spans="2:7" x14ac:dyDescent="0.2">
      <c r="B299" s="9">
        <f>[1]DataLookUp!$B$10</f>
        <v>65000000000007</v>
      </c>
      <c r="C299" s="10" t="str">
        <f>IF(EXACT($B299, ""), "", VLOOKUP($B299, [1]DataLookUp!$B$4:$D$1000, 2, FALSE))</f>
        <v>1-1102.01</v>
      </c>
      <c r="D299" s="10" t="str">
        <f>IF(EXACT($B299, ""), "", VLOOKUP($B299, [1]DataLookUp!$B$4:$D$1000, 3, FALSE))</f>
        <v>Bank (IDR)</v>
      </c>
      <c r="F299" s="9">
        <v>167000000000043</v>
      </c>
      <c r="G299" s="16" t="s">
        <v>46</v>
      </c>
    </row>
    <row r="300" spans="2:7" x14ac:dyDescent="0.2">
      <c r="B300" s="9">
        <f>[1]DataLookUp!$B$10</f>
        <v>65000000000007</v>
      </c>
      <c r="C300" s="10" t="str">
        <f>IF(EXACT($B300, ""), "", VLOOKUP($B300, [1]DataLookUp!$B$4:$D$1000, 2, FALSE))</f>
        <v>1-1102.01</v>
      </c>
      <c r="D300" s="10" t="str">
        <f>IF(EXACT($B300, ""), "", VLOOKUP($B300, [1]DataLookUp!$B$4:$D$1000, 3, FALSE))</f>
        <v>Bank (IDR)</v>
      </c>
      <c r="F300" s="9">
        <v>167000000000044</v>
      </c>
      <c r="G300" s="16" t="s">
        <v>47</v>
      </c>
    </row>
    <row r="301" spans="2:7" x14ac:dyDescent="0.2">
      <c r="B301" s="9">
        <f>[1]DataLookUp!$B$10</f>
        <v>65000000000007</v>
      </c>
      <c r="C301" s="10" t="str">
        <f>IF(EXACT($B301, ""), "", VLOOKUP($B301, [1]DataLookUp!$B$4:$D$1000, 2, FALSE))</f>
        <v>1-1102.01</v>
      </c>
      <c r="D301" s="10" t="str">
        <f>IF(EXACT($B301, ""), "", VLOOKUP($B301, [1]DataLookUp!$B$4:$D$1000, 3, FALSE))</f>
        <v>Bank (IDR)</v>
      </c>
      <c r="F301" s="9">
        <v>167000000000045</v>
      </c>
      <c r="G301" s="16" t="s">
        <v>48</v>
      </c>
    </row>
    <row r="302" spans="2:7" x14ac:dyDescent="0.2">
      <c r="B302" s="9">
        <f>[1]DataLookUp!$B$10</f>
        <v>65000000000007</v>
      </c>
      <c r="C302" s="10" t="str">
        <f>IF(EXACT($B302, ""), "", VLOOKUP($B302, [1]DataLookUp!$B$4:$D$1000, 2, FALSE))</f>
        <v>1-1102.01</v>
      </c>
      <c r="D302" s="10" t="str">
        <f>IF(EXACT($B302, ""), "", VLOOKUP($B302, [1]DataLookUp!$B$4:$D$1000, 3, FALSE))</f>
        <v>Bank (IDR)</v>
      </c>
      <c r="F302" s="9">
        <v>167000000000046</v>
      </c>
      <c r="G302" s="16" t="s">
        <v>49</v>
      </c>
    </row>
    <row r="303" spans="2:7" x14ac:dyDescent="0.2">
      <c r="B303" s="9">
        <f>[1]DataLookUp!$B$10</f>
        <v>65000000000007</v>
      </c>
      <c r="C303" s="10" t="str">
        <f>IF(EXACT($B303, ""), "", VLOOKUP($B303, [1]DataLookUp!$B$4:$D$1000, 2, FALSE))</f>
        <v>1-1102.01</v>
      </c>
      <c r="D303" s="10" t="str">
        <f>IF(EXACT($B303, ""), "", VLOOKUP($B303, [1]DataLookUp!$B$4:$D$1000, 3, FALSE))</f>
        <v>Bank (IDR)</v>
      </c>
      <c r="F303" s="9">
        <v>167000000000047</v>
      </c>
      <c r="G303" s="16" t="s">
        <v>50</v>
      </c>
    </row>
    <row r="304" spans="2:7" x14ac:dyDescent="0.2">
      <c r="B304" s="9">
        <f>[1]DataLookUp!$B$10</f>
        <v>65000000000007</v>
      </c>
      <c r="C304" s="10" t="str">
        <f>IF(EXACT($B304, ""), "", VLOOKUP($B304, [1]DataLookUp!$B$4:$D$1000, 2, FALSE))</f>
        <v>1-1102.01</v>
      </c>
      <c r="D304" s="10" t="str">
        <f>IF(EXACT($B304, ""), "", VLOOKUP($B304, [1]DataLookUp!$B$4:$D$1000, 3, FALSE))</f>
        <v>Bank (IDR)</v>
      </c>
      <c r="F304" s="9">
        <v>167000000000050</v>
      </c>
      <c r="G304" s="16" t="s">
        <v>53</v>
      </c>
    </row>
    <row r="305" spans="2:7" x14ac:dyDescent="0.2">
      <c r="B305" s="9">
        <f>[1]DataLookUp!$B$10</f>
        <v>65000000000007</v>
      </c>
      <c r="C305" s="10" t="str">
        <f>IF(EXACT($B305, ""), "", VLOOKUP($B305, [1]DataLookUp!$B$4:$D$1000, 2, FALSE))</f>
        <v>1-1102.01</v>
      </c>
      <c r="D305" s="10" t="str">
        <f>IF(EXACT($B305, ""), "", VLOOKUP($B305, [1]DataLookUp!$B$4:$D$1000, 3, FALSE))</f>
        <v>Bank (IDR)</v>
      </c>
      <c r="F305" s="9">
        <v>167000000000051</v>
      </c>
      <c r="G305" s="16" t="s">
        <v>54</v>
      </c>
    </row>
    <row r="306" spans="2:7" x14ac:dyDescent="0.2">
      <c r="B306" s="9">
        <f>[1]DataLookUp!$B$10</f>
        <v>65000000000007</v>
      </c>
      <c r="C306" s="10" t="str">
        <f>IF(EXACT($B306, ""), "", VLOOKUP($B306, [1]DataLookUp!$B$4:$D$1000, 2, FALSE))</f>
        <v>1-1102.01</v>
      </c>
      <c r="D306" s="10" t="str">
        <f>IF(EXACT($B306, ""), "", VLOOKUP($B306, [1]DataLookUp!$B$4:$D$1000, 3, FALSE))</f>
        <v>Bank (IDR)</v>
      </c>
      <c r="F306" s="9">
        <v>167000000000052</v>
      </c>
      <c r="G306" s="16" t="s">
        <v>55</v>
      </c>
    </row>
    <row r="307" spans="2:7" x14ac:dyDescent="0.2">
      <c r="B307" s="9">
        <f>[1]DataLookUp!$B$10</f>
        <v>65000000000007</v>
      </c>
      <c r="C307" s="10" t="str">
        <f>IF(EXACT($B307, ""), "", VLOOKUP($B307, [1]DataLookUp!$B$4:$D$1000, 2, FALSE))</f>
        <v>1-1102.01</v>
      </c>
      <c r="D307" s="10" t="str">
        <f>IF(EXACT($B307, ""), "", VLOOKUP($B307, [1]DataLookUp!$B$4:$D$1000, 3, FALSE))</f>
        <v>Bank (IDR)</v>
      </c>
      <c r="F307" s="9">
        <v>167000000000053</v>
      </c>
      <c r="G307" s="16" t="s">
        <v>56</v>
      </c>
    </row>
    <row r="308" spans="2:7" x14ac:dyDescent="0.2">
      <c r="B308" s="9">
        <f>[1]DataLookUp!$B$10</f>
        <v>65000000000007</v>
      </c>
      <c r="C308" s="10" t="str">
        <f>IF(EXACT($B308, ""), "", VLOOKUP($B308, [1]DataLookUp!$B$4:$D$1000, 2, FALSE))</f>
        <v>1-1102.01</v>
      </c>
      <c r="D308" s="10" t="str">
        <f>IF(EXACT($B308, ""), "", VLOOKUP($B308, [1]DataLookUp!$B$4:$D$1000, 3, FALSE))</f>
        <v>Bank (IDR)</v>
      </c>
      <c r="F308" s="9">
        <v>167000000000054</v>
      </c>
      <c r="G308" s="16" t="s">
        <v>57</v>
      </c>
    </row>
    <row r="309" spans="2:7" x14ac:dyDescent="0.2">
      <c r="B309" s="9">
        <f>[1]DataLookUp!$B$10</f>
        <v>65000000000007</v>
      </c>
      <c r="C309" s="10" t="str">
        <f>IF(EXACT($B309, ""), "", VLOOKUP($B309, [1]DataLookUp!$B$4:$D$1000, 2, FALSE))</f>
        <v>1-1102.01</v>
      </c>
      <c r="D309" s="10" t="str">
        <f>IF(EXACT($B309, ""), "", VLOOKUP($B309, [1]DataLookUp!$B$4:$D$1000, 3, FALSE))</f>
        <v>Bank (IDR)</v>
      </c>
      <c r="F309" s="9">
        <v>167000000000055</v>
      </c>
      <c r="G309" s="16" t="s">
        <v>58</v>
      </c>
    </row>
    <row r="310" spans="2:7" x14ac:dyDescent="0.2">
      <c r="B310" s="9">
        <f>[1]DataLookUp!$B$10</f>
        <v>65000000000007</v>
      </c>
      <c r="C310" s="10" t="str">
        <f>IF(EXACT($B310, ""), "", VLOOKUP($B310, [1]DataLookUp!$B$4:$D$1000, 2, FALSE))</f>
        <v>1-1102.01</v>
      </c>
      <c r="D310" s="10" t="str">
        <f>IF(EXACT($B310, ""), "", VLOOKUP($B310, [1]DataLookUp!$B$4:$D$1000, 3, FALSE))</f>
        <v>Bank (IDR)</v>
      </c>
      <c r="F310" s="9">
        <v>167000000000056</v>
      </c>
      <c r="G310" s="16" t="s">
        <v>59</v>
      </c>
    </row>
    <row r="311" spans="2:7" ht="7.5" customHeight="1" x14ac:dyDescent="0.2">
      <c r="B311" s="14"/>
      <c r="C311" s="11" t="str">
        <f>IF(EXACT($B311, ""), "", VLOOKUP($B311, [1]DataLookUp!$B$4:$D$1000, 2, FALSE))</f>
        <v/>
      </c>
      <c r="D311" s="11" t="str">
        <f>IF(EXACT($B311, ""), "", VLOOKUP($B311, [1]DataLookUp!$B$4:$D$1000, 3, FALSE))</f>
        <v/>
      </c>
      <c r="F311" s="14"/>
      <c r="G311" s="14"/>
    </row>
    <row r="312" spans="2:7" x14ac:dyDescent="0.2">
      <c r="B312" s="9">
        <f>[1]DataLookUp!$B$11</f>
        <v>65000000000008</v>
      </c>
      <c r="C312" s="10" t="str">
        <f>IF(EXACT($B312, ""), "", VLOOKUP($B312, [1]DataLookUp!$B$4:$D$1000, 2, FALSE))</f>
        <v>1-1102.02</v>
      </c>
      <c r="D312" s="10" t="str">
        <f>IF(EXACT($B312, ""), "", VLOOKUP($B312, [1]DataLookUp!$B$4:$D$1000, 3, FALSE))</f>
        <v>Bank (USD)</v>
      </c>
      <c r="F312" s="9">
        <v>167000000000011</v>
      </c>
      <c r="G312" s="16" t="s">
        <v>14</v>
      </c>
    </row>
    <row r="313" spans="2:7" x14ac:dyDescent="0.2">
      <c r="B313" s="9">
        <f>[1]DataLookUp!$B$11</f>
        <v>65000000000008</v>
      </c>
      <c r="C313" s="10" t="str">
        <f>IF(EXACT($B313, ""), "", VLOOKUP($B313, [1]DataLookUp!$B$4:$D$1000, 2, FALSE))</f>
        <v>1-1102.02</v>
      </c>
      <c r="D313" s="10" t="str">
        <f>IF(EXACT($B313, ""), "", VLOOKUP($B313, [1]DataLookUp!$B$4:$D$1000, 3, FALSE))</f>
        <v>Bank (USD)</v>
      </c>
      <c r="F313" s="9">
        <v>167000000000029</v>
      </c>
      <c r="G313" s="16" t="s">
        <v>32</v>
      </c>
    </row>
    <row r="314" spans="2:7" x14ac:dyDescent="0.2">
      <c r="B314" s="9">
        <f>[1]DataLookUp!$B$11</f>
        <v>65000000000008</v>
      </c>
      <c r="C314" s="10" t="str">
        <f>IF(EXACT($B314, ""), "", VLOOKUP($B314, [1]DataLookUp!$B$4:$D$1000, 2, FALSE))</f>
        <v>1-1102.02</v>
      </c>
      <c r="D314" s="10" t="str">
        <f>IF(EXACT($B314, ""), "", VLOOKUP($B314, [1]DataLookUp!$B$4:$D$1000, 3, FALSE))</f>
        <v>Bank (USD)</v>
      </c>
      <c r="F314" s="9">
        <v>167000000000030</v>
      </c>
      <c r="G314" s="16" t="s">
        <v>33</v>
      </c>
    </row>
    <row r="315" spans="2:7" x14ac:dyDescent="0.2">
      <c r="B315" s="9">
        <f>[1]DataLookUp!$B$11</f>
        <v>65000000000008</v>
      </c>
      <c r="C315" s="10" t="str">
        <f>IF(EXACT($B315, ""), "", VLOOKUP($B315, [1]DataLookUp!$B$4:$D$1000, 2, FALSE))</f>
        <v>1-1102.02</v>
      </c>
      <c r="D315" s="10" t="str">
        <f>IF(EXACT($B315, ""), "", VLOOKUP($B315, [1]DataLookUp!$B$4:$D$1000, 3, FALSE))</f>
        <v>Bank (USD)</v>
      </c>
      <c r="F315" s="9">
        <v>167000000000048</v>
      </c>
      <c r="G315" s="16" t="s">
        <v>51</v>
      </c>
    </row>
    <row r="316" spans="2:7" ht="13.5" customHeight="1" x14ac:dyDescent="0.2">
      <c r="B316" s="9">
        <f>[1]DataLookUp!$B$11</f>
        <v>65000000000008</v>
      </c>
      <c r="C316" s="10" t="str">
        <f>IF(EXACT($B316, ""), "", VLOOKUP($B316, [1]DataLookUp!$B$4:$D$1000, 2, FALSE))</f>
        <v>1-1102.02</v>
      </c>
      <c r="D316" s="10" t="str">
        <f>IF(EXACT($B316, ""), "", VLOOKUP($B316, [1]DataLookUp!$B$4:$D$1000, 3, FALSE))</f>
        <v>Bank (USD)</v>
      </c>
      <c r="F316" s="9">
        <v>167000000000049</v>
      </c>
      <c r="G316" s="16" t="s">
        <v>52</v>
      </c>
    </row>
    <row r="317" spans="2:7" ht="7.5" customHeight="1" x14ac:dyDescent="0.2">
      <c r="B317" s="14"/>
      <c r="C317" s="11" t="str">
        <f>IF(EXACT($B317, ""), "", VLOOKUP($B317, [1]DataLookUp!$B$4:$D$1000, 2, FALSE))</f>
        <v/>
      </c>
      <c r="D317" s="11" t="str">
        <f>IF(EXACT($B317, ""), "", VLOOKUP($B317, [1]DataLookUp!$B$4:$D$1000, 3, FALSE))</f>
        <v/>
      </c>
      <c r="F317" s="14"/>
      <c r="G317" s="14"/>
    </row>
    <row r="318" spans="2:7" x14ac:dyDescent="0.2">
      <c r="B318" s="9">
        <f>[1]DataLookUp!$B$14</f>
        <v>65000000000011</v>
      </c>
      <c r="C318" s="10" t="str">
        <f>IF(EXACT($B318, ""), "", VLOOKUP($B318, [1]DataLookUp!$B$4:$D$1000, 2, FALSE))</f>
        <v>1-1200</v>
      </c>
      <c r="D318" s="10" t="str">
        <f>IF(EXACT($B318, ""), "", VLOOKUP($B318, [1]DataLookUp!$B$4:$D$1000, 3, FALSE))</f>
        <v>Account Receivable</v>
      </c>
      <c r="F318" s="9">
        <v>124000000000002</v>
      </c>
      <c r="G318" s="16" t="s">
        <v>60</v>
      </c>
    </row>
    <row r="319" spans="2:7" x14ac:dyDescent="0.2">
      <c r="B319" s="9">
        <f>[1]DataLookUp!$B$14</f>
        <v>65000000000011</v>
      </c>
      <c r="C319" s="10" t="str">
        <f>IF(EXACT($B319, ""), "", VLOOKUP($B319, [1]DataLookUp!$B$4:$D$1000, 2, FALSE))</f>
        <v>1-1200</v>
      </c>
      <c r="D319" s="10" t="str">
        <f>IF(EXACT($B319, ""), "", VLOOKUP($B319, [1]DataLookUp!$B$4:$D$1000, 3, FALSE))</f>
        <v>Account Receivable</v>
      </c>
      <c r="F319" s="9">
        <v>124000000000006</v>
      </c>
      <c r="G319" s="16" t="s">
        <v>61</v>
      </c>
    </row>
    <row r="320" spans="2:7" x14ac:dyDescent="0.2">
      <c r="B320" s="9">
        <f>[1]DataLookUp!$B$14</f>
        <v>65000000000011</v>
      </c>
      <c r="C320" s="10" t="str">
        <f>IF(EXACT($B320, ""), "", VLOOKUP($B320, [1]DataLookUp!$B$4:$D$1000, 2, FALSE))</f>
        <v>1-1200</v>
      </c>
      <c r="D320" s="10" t="str">
        <f>IF(EXACT($B320, ""), "", VLOOKUP($B320, [1]DataLookUp!$B$4:$D$1000, 3, FALSE))</f>
        <v>Account Receivable</v>
      </c>
      <c r="F320" s="9">
        <v>124000000000007</v>
      </c>
      <c r="G320" s="16" t="s">
        <v>62</v>
      </c>
    </row>
    <row r="321" spans="2:7" x14ac:dyDescent="0.2">
      <c r="B321" s="9">
        <f>[1]DataLookUp!$B$14</f>
        <v>65000000000011</v>
      </c>
      <c r="C321" s="10" t="str">
        <f>IF(EXACT($B321, ""), "", VLOOKUP($B321, [1]DataLookUp!$B$4:$D$1000, 2, FALSE))</f>
        <v>1-1200</v>
      </c>
      <c r="D321" s="10" t="str">
        <f>IF(EXACT($B321, ""), "", VLOOKUP($B321, [1]DataLookUp!$B$4:$D$1000, 3, FALSE))</f>
        <v>Account Receivable</v>
      </c>
      <c r="F321" s="9">
        <v>124000000000008</v>
      </c>
      <c r="G321" s="16" t="s">
        <v>63</v>
      </c>
    </row>
    <row r="322" spans="2:7" x14ac:dyDescent="0.2">
      <c r="B322" s="9">
        <f>[1]DataLookUp!$B$14</f>
        <v>65000000000011</v>
      </c>
      <c r="C322" s="10" t="str">
        <f>IF(EXACT($B322, ""), "", VLOOKUP($B322, [1]DataLookUp!$B$4:$D$1000, 2, FALSE))</f>
        <v>1-1200</v>
      </c>
      <c r="D322" s="10" t="str">
        <f>IF(EXACT($B322, ""), "", VLOOKUP($B322, [1]DataLookUp!$B$4:$D$1000, 3, FALSE))</f>
        <v>Account Receivable</v>
      </c>
      <c r="F322" s="9">
        <v>124000000000009</v>
      </c>
      <c r="G322" s="16" t="s">
        <v>64</v>
      </c>
    </row>
    <row r="323" spans="2:7" x14ac:dyDescent="0.2">
      <c r="B323" s="9">
        <f>[1]DataLookUp!$B$14</f>
        <v>65000000000011</v>
      </c>
      <c r="C323" s="10" t="str">
        <f>IF(EXACT($B323, ""), "", VLOOKUP($B323, [1]DataLookUp!$B$4:$D$1000, 2, FALSE))</f>
        <v>1-1200</v>
      </c>
      <c r="D323" s="10" t="str">
        <f>IF(EXACT($B323, ""), "", VLOOKUP($B323, [1]DataLookUp!$B$4:$D$1000, 3, FALSE))</f>
        <v>Account Receivable</v>
      </c>
      <c r="F323" s="9">
        <v>124000000000010</v>
      </c>
      <c r="G323" s="16" t="s">
        <v>65</v>
      </c>
    </row>
    <row r="324" spans="2:7" x14ac:dyDescent="0.2">
      <c r="B324" s="9">
        <f>[1]DataLookUp!$B$14</f>
        <v>65000000000011</v>
      </c>
      <c r="C324" s="10" t="str">
        <f>IF(EXACT($B324, ""), "", VLOOKUP($B324, [1]DataLookUp!$B$4:$D$1000, 2, FALSE))</f>
        <v>1-1200</v>
      </c>
      <c r="D324" s="10" t="str">
        <f>IF(EXACT($B324, ""), "", VLOOKUP($B324, [1]DataLookUp!$B$4:$D$1000, 3, FALSE))</f>
        <v>Account Receivable</v>
      </c>
      <c r="F324" s="9">
        <v>124000000000011</v>
      </c>
      <c r="G324" s="16" t="s">
        <v>66</v>
      </c>
    </row>
    <row r="325" spans="2:7" x14ac:dyDescent="0.2">
      <c r="B325" s="9">
        <f>[1]DataLookUp!$B$14</f>
        <v>65000000000011</v>
      </c>
      <c r="C325" s="10" t="str">
        <f>IF(EXACT($B325, ""), "", VLOOKUP($B325, [1]DataLookUp!$B$4:$D$1000, 2, FALSE))</f>
        <v>1-1200</v>
      </c>
      <c r="D325" s="10" t="str">
        <f>IF(EXACT($B325, ""), "", VLOOKUP($B325, [1]DataLookUp!$B$4:$D$1000, 3, FALSE))</f>
        <v>Account Receivable</v>
      </c>
      <c r="F325" s="9">
        <v>124000000000012</v>
      </c>
      <c r="G325" s="16" t="s">
        <v>67</v>
      </c>
    </row>
    <row r="326" spans="2:7" x14ac:dyDescent="0.2">
      <c r="B326" s="9">
        <f>[1]DataLookUp!$B$14</f>
        <v>65000000000011</v>
      </c>
      <c r="C326" s="10" t="str">
        <f>IF(EXACT($B326, ""), "", VLOOKUP($B326, [1]DataLookUp!$B$4:$D$1000, 2, FALSE))</f>
        <v>1-1200</v>
      </c>
      <c r="D326" s="10" t="str">
        <f>IF(EXACT($B326, ""), "", VLOOKUP($B326, [1]DataLookUp!$B$4:$D$1000, 3, FALSE))</f>
        <v>Account Receivable</v>
      </c>
      <c r="F326" s="9">
        <v>124000000000013</v>
      </c>
      <c r="G326" s="16" t="s">
        <v>68</v>
      </c>
    </row>
    <row r="327" spans="2:7" x14ac:dyDescent="0.2">
      <c r="B327" s="9">
        <f>[1]DataLookUp!$B$14</f>
        <v>65000000000011</v>
      </c>
      <c r="C327" s="10" t="str">
        <f>IF(EXACT($B327, ""), "", VLOOKUP($B327, [1]DataLookUp!$B$4:$D$1000, 2, FALSE))</f>
        <v>1-1200</v>
      </c>
      <c r="D327" s="10" t="str">
        <f>IF(EXACT($B327, ""), "", VLOOKUP($B327, [1]DataLookUp!$B$4:$D$1000, 3, FALSE))</f>
        <v>Account Receivable</v>
      </c>
      <c r="F327" s="9">
        <v>124000000000014</v>
      </c>
      <c r="G327" s="16" t="s">
        <v>69</v>
      </c>
    </row>
    <row r="328" spans="2:7" x14ac:dyDescent="0.2">
      <c r="B328" s="9">
        <f>[1]DataLookUp!$B$14</f>
        <v>65000000000011</v>
      </c>
      <c r="C328" s="10" t="str">
        <f>IF(EXACT($B328, ""), "", VLOOKUP($B328, [1]DataLookUp!$B$4:$D$1000, 2, FALSE))</f>
        <v>1-1200</v>
      </c>
      <c r="D328" s="10" t="str">
        <f>IF(EXACT($B328, ""), "", VLOOKUP($B328, [1]DataLookUp!$B$4:$D$1000, 3, FALSE))</f>
        <v>Account Receivable</v>
      </c>
      <c r="F328" s="9">
        <v>124000000000015</v>
      </c>
      <c r="G328" s="16" t="s">
        <v>70</v>
      </c>
    </row>
    <row r="329" spans="2:7" x14ac:dyDescent="0.2">
      <c r="B329" s="9">
        <f>[1]DataLookUp!$B$14</f>
        <v>65000000000011</v>
      </c>
      <c r="C329" s="10" t="str">
        <f>IF(EXACT($B329, ""), "", VLOOKUP($B329, [1]DataLookUp!$B$4:$D$1000, 2, FALSE))</f>
        <v>1-1200</v>
      </c>
      <c r="D329" s="10" t="str">
        <f>IF(EXACT($B329, ""), "", VLOOKUP($B329, [1]DataLookUp!$B$4:$D$1000, 3, FALSE))</f>
        <v>Account Receivable</v>
      </c>
      <c r="F329" s="9">
        <v>124000000000016</v>
      </c>
      <c r="G329" s="16" t="s">
        <v>71</v>
      </c>
    </row>
    <row r="330" spans="2:7" x14ac:dyDescent="0.2">
      <c r="B330" s="9">
        <f>[1]DataLookUp!$B$14</f>
        <v>65000000000011</v>
      </c>
      <c r="C330" s="10" t="str">
        <f>IF(EXACT($B330, ""), "", VLOOKUP($B330, [1]DataLookUp!$B$4:$D$1000, 2, FALSE))</f>
        <v>1-1200</v>
      </c>
      <c r="D330" s="10" t="str">
        <f>IF(EXACT($B330, ""), "", VLOOKUP($B330, [1]DataLookUp!$B$4:$D$1000, 3, FALSE))</f>
        <v>Account Receivable</v>
      </c>
      <c r="F330" s="9">
        <v>124000000000017</v>
      </c>
      <c r="G330" s="16" t="s">
        <v>72</v>
      </c>
    </row>
    <row r="331" spans="2:7" x14ac:dyDescent="0.2">
      <c r="B331" s="9">
        <f>[1]DataLookUp!$B$14</f>
        <v>65000000000011</v>
      </c>
      <c r="C331" s="10" t="str">
        <f>IF(EXACT($B331, ""), "", VLOOKUP($B331, [1]DataLookUp!$B$4:$D$1000, 2, FALSE))</f>
        <v>1-1200</v>
      </c>
      <c r="D331" s="10" t="str">
        <f>IF(EXACT($B331, ""), "", VLOOKUP($B331, [1]DataLookUp!$B$4:$D$1000, 3, FALSE))</f>
        <v>Account Receivable</v>
      </c>
      <c r="F331" s="9">
        <v>124000000000018</v>
      </c>
      <c r="G331" s="16" t="s">
        <v>73</v>
      </c>
    </row>
    <row r="332" spans="2:7" x14ac:dyDescent="0.2">
      <c r="B332" s="9">
        <f>[1]DataLookUp!$B$14</f>
        <v>65000000000011</v>
      </c>
      <c r="C332" s="10" t="str">
        <f>IF(EXACT($B332, ""), "", VLOOKUP($B332, [1]DataLookUp!$B$4:$D$1000, 2, FALSE))</f>
        <v>1-1200</v>
      </c>
      <c r="D332" s="10" t="str">
        <f>IF(EXACT($B332, ""), "", VLOOKUP($B332, [1]DataLookUp!$B$4:$D$1000, 3, FALSE))</f>
        <v>Account Receivable</v>
      </c>
      <c r="F332" s="9">
        <v>124000000000019</v>
      </c>
      <c r="G332" s="16" t="s">
        <v>74</v>
      </c>
    </row>
    <row r="333" spans="2:7" x14ac:dyDescent="0.2">
      <c r="B333" s="9">
        <f>[1]DataLookUp!$B$14</f>
        <v>65000000000011</v>
      </c>
      <c r="C333" s="10" t="str">
        <f>IF(EXACT($B333, ""), "", VLOOKUP($B333, [1]DataLookUp!$B$4:$D$1000, 2, FALSE))</f>
        <v>1-1200</v>
      </c>
      <c r="D333" s="10" t="str">
        <f>IF(EXACT($B333, ""), "", VLOOKUP($B333, [1]DataLookUp!$B$4:$D$1000, 3, FALSE))</f>
        <v>Account Receivable</v>
      </c>
      <c r="F333" s="9">
        <v>124000000000020</v>
      </c>
      <c r="G333" s="16" t="s">
        <v>75</v>
      </c>
    </row>
    <row r="334" spans="2:7" x14ac:dyDescent="0.2">
      <c r="B334" s="9">
        <f>[1]DataLookUp!$B$14</f>
        <v>65000000000011</v>
      </c>
      <c r="C334" s="10" t="str">
        <f>IF(EXACT($B334, ""), "", VLOOKUP($B334, [1]DataLookUp!$B$4:$D$1000, 2, FALSE))</f>
        <v>1-1200</v>
      </c>
      <c r="D334" s="10" t="str">
        <f>IF(EXACT($B334, ""), "", VLOOKUP($B334, [1]DataLookUp!$B$4:$D$1000, 3, FALSE))</f>
        <v>Account Receivable</v>
      </c>
      <c r="F334" s="9">
        <v>124000000000021</v>
      </c>
      <c r="G334" s="16" t="s">
        <v>76</v>
      </c>
    </row>
    <row r="335" spans="2:7" x14ac:dyDescent="0.2">
      <c r="B335" s="9">
        <f>[1]DataLookUp!$B$14</f>
        <v>65000000000011</v>
      </c>
      <c r="C335" s="10" t="str">
        <f>IF(EXACT($B335, ""), "", VLOOKUP($B335, [1]DataLookUp!$B$4:$D$1000, 2, FALSE))</f>
        <v>1-1200</v>
      </c>
      <c r="D335" s="10" t="str">
        <f>IF(EXACT($B335, ""), "", VLOOKUP($B335, [1]DataLookUp!$B$4:$D$1000, 3, FALSE))</f>
        <v>Account Receivable</v>
      </c>
      <c r="F335" s="9">
        <v>124000000000022</v>
      </c>
      <c r="G335" s="16" t="s">
        <v>77</v>
      </c>
    </row>
    <row r="336" spans="2:7" x14ac:dyDescent="0.2">
      <c r="B336" s="9">
        <f>[1]DataLookUp!$B$14</f>
        <v>65000000000011</v>
      </c>
      <c r="C336" s="10" t="str">
        <f>IF(EXACT($B336, ""), "", VLOOKUP($B336, [1]DataLookUp!$B$4:$D$1000, 2, FALSE))</f>
        <v>1-1200</v>
      </c>
      <c r="D336" s="10" t="str">
        <f>IF(EXACT($B336, ""), "", VLOOKUP($B336, [1]DataLookUp!$B$4:$D$1000, 3, FALSE))</f>
        <v>Account Receivable</v>
      </c>
      <c r="F336" s="9">
        <v>124000000000023</v>
      </c>
      <c r="G336" s="16" t="s">
        <v>78</v>
      </c>
    </row>
    <row r="337" spans="2:7" x14ac:dyDescent="0.2">
      <c r="B337" s="9">
        <f>[1]DataLookUp!$B$14</f>
        <v>65000000000011</v>
      </c>
      <c r="C337" s="10" t="str">
        <f>IF(EXACT($B337, ""), "", VLOOKUP($B337, [1]DataLookUp!$B$4:$D$1000, 2, FALSE))</f>
        <v>1-1200</v>
      </c>
      <c r="D337" s="10" t="str">
        <f>IF(EXACT($B337, ""), "", VLOOKUP($B337, [1]DataLookUp!$B$4:$D$1000, 3, FALSE))</f>
        <v>Account Receivable</v>
      </c>
      <c r="F337" s="9">
        <v>124000000000024</v>
      </c>
      <c r="G337" s="16" t="s">
        <v>79</v>
      </c>
    </row>
    <row r="338" spans="2:7" x14ac:dyDescent="0.2">
      <c r="B338" s="9">
        <f>[1]DataLookUp!$B$14</f>
        <v>65000000000011</v>
      </c>
      <c r="C338" s="10" t="str">
        <f>IF(EXACT($B338, ""), "", VLOOKUP($B338, [1]DataLookUp!$B$4:$D$1000, 2, FALSE))</f>
        <v>1-1200</v>
      </c>
      <c r="D338" s="10" t="str">
        <f>IF(EXACT($B338, ""), "", VLOOKUP($B338, [1]DataLookUp!$B$4:$D$1000, 3, FALSE))</f>
        <v>Account Receivable</v>
      </c>
      <c r="F338" s="9">
        <v>124000000000025</v>
      </c>
      <c r="G338" s="16" t="s">
        <v>80</v>
      </c>
    </row>
    <row r="339" spans="2:7" x14ac:dyDescent="0.2">
      <c r="B339" s="9">
        <f>[1]DataLookUp!$B$14</f>
        <v>65000000000011</v>
      </c>
      <c r="C339" s="10" t="str">
        <f>IF(EXACT($B339, ""), "", VLOOKUP($B339, [1]DataLookUp!$B$4:$D$1000, 2, FALSE))</f>
        <v>1-1200</v>
      </c>
      <c r="D339" s="10" t="str">
        <f>IF(EXACT($B339, ""), "", VLOOKUP($B339, [1]DataLookUp!$B$4:$D$1000, 3, FALSE))</f>
        <v>Account Receivable</v>
      </c>
      <c r="F339" s="9">
        <v>124000000000026</v>
      </c>
      <c r="G339" s="16" t="s">
        <v>81</v>
      </c>
    </row>
    <row r="340" spans="2:7" x14ac:dyDescent="0.2">
      <c r="B340" s="9">
        <f>[1]DataLookUp!$B$14</f>
        <v>65000000000011</v>
      </c>
      <c r="C340" s="10" t="str">
        <f>IF(EXACT($B340, ""), "", VLOOKUP($B340, [1]DataLookUp!$B$4:$D$1000, 2, FALSE))</f>
        <v>1-1200</v>
      </c>
      <c r="D340" s="10" t="str">
        <f>IF(EXACT($B340, ""), "", VLOOKUP($B340, [1]DataLookUp!$B$4:$D$1000, 3, FALSE))</f>
        <v>Account Receivable</v>
      </c>
      <c r="F340" s="9">
        <v>124000000000027</v>
      </c>
      <c r="G340" s="16" t="s">
        <v>82</v>
      </c>
    </row>
    <row r="341" spans="2:7" x14ac:dyDescent="0.2">
      <c r="B341" s="9">
        <f>[1]DataLookUp!$B$14</f>
        <v>65000000000011</v>
      </c>
      <c r="C341" s="10" t="str">
        <f>IF(EXACT($B341, ""), "", VLOOKUP($B341, [1]DataLookUp!$B$4:$D$1000, 2, FALSE))</f>
        <v>1-1200</v>
      </c>
      <c r="D341" s="10" t="str">
        <f>IF(EXACT($B341, ""), "", VLOOKUP($B341, [1]DataLookUp!$B$4:$D$1000, 3, FALSE))</f>
        <v>Account Receivable</v>
      </c>
      <c r="F341" s="9">
        <v>124000000000028</v>
      </c>
      <c r="G341" s="16" t="s">
        <v>83</v>
      </c>
    </row>
    <row r="342" spans="2:7" x14ac:dyDescent="0.2">
      <c r="B342" s="9">
        <f>[1]DataLookUp!$B$14</f>
        <v>65000000000011</v>
      </c>
      <c r="C342" s="10" t="str">
        <f>IF(EXACT($B342, ""), "", VLOOKUP($B342, [1]DataLookUp!$B$4:$D$1000, 2, FALSE))</f>
        <v>1-1200</v>
      </c>
      <c r="D342" s="10" t="str">
        <f>IF(EXACT($B342, ""), "", VLOOKUP($B342, [1]DataLookUp!$B$4:$D$1000, 3, FALSE))</f>
        <v>Account Receivable</v>
      </c>
      <c r="F342" s="9">
        <v>124000000000029</v>
      </c>
      <c r="G342" s="16" t="s">
        <v>84</v>
      </c>
    </row>
    <row r="343" spans="2:7" x14ac:dyDescent="0.2">
      <c r="B343" s="9">
        <f>[1]DataLookUp!$B$14</f>
        <v>65000000000011</v>
      </c>
      <c r="C343" s="10" t="str">
        <f>IF(EXACT($B343, ""), "", VLOOKUP($B343, [1]DataLookUp!$B$4:$D$1000, 2, FALSE))</f>
        <v>1-1200</v>
      </c>
      <c r="D343" s="10" t="str">
        <f>IF(EXACT($B343, ""), "", VLOOKUP($B343, [1]DataLookUp!$B$4:$D$1000, 3, FALSE))</f>
        <v>Account Receivable</v>
      </c>
      <c r="F343" s="9">
        <v>124000000000030</v>
      </c>
      <c r="G343" s="16" t="s">
        <v>85</v>
      </c>
    </row>
    <row r="344" spans="2:7" x14ac:dyDescent="0.2">
      <c r="B344" s="9">
        <f>[1]DataLookUp!$B$14</f>
        <v>65000000000011</v>
      </c>
      <c r="C344" s="10" t="str">
        <f>IF(EXACT($B344, ""), "", VLOOKUP($B344, [1]DataLookUp!$B$4:$D$1000, 2, FALSE))</f>
        <v>1-1200</v>
      </c>
      <c r="D344" s="10" t="str">
        <f>IF(EXACT($B344, ""), "", VLOOKUP($B344, [1]DataLookUp!$B$4:$D$1000, 3, FALSE))</f>
        <v>Account Receivable</v>
      </c>
      <c r="F344" s="9">
        <v>124000000000031</v>
      </c>
      <c r="G344" s="16" t="s">
        <v>86</v>
      </c>
    </row>
    <row r="345" spans="2:7" x14ac:dyDescent="0.2">
      <c r="B345" s="9">
        <f>[1]DataLookUp!$B$14</f>
        <v>65000000000011</v>
      </c>
      <c r="C345" s="10" t="str">
        <f>IF(EXACT($B345, ""), "", VLOOKUP($B345, [1]DataLookUp!$B$4:$D$1000, 2, FALSE))</f>
        <v>1-1200</v>
      </c>
      <c r="D345" s="10" t="str">
        <f>IF(EXACT($B345, ""), "", VLOOKUP($B345, [1]DataLookUp!$B$4:$D$1000, 3, FALSE))</f>
        <v>Account Receivable</v>
      </c>
      <c r="F345" s="9">
        <v>124000000000032</v>
      </c>
      <c r="G345" s="16" t="s">
        <v>87</v>
      </c>
    </row>
    <row r="346" spans="2:7" x14ac:dyDescent="0.2">
      <c r="B346" s="9">
        <f>[1]DataLookUp!$B$14</f>
        <v>65000000000011</v>
      </c>
      <c r="C346" s="10" t="str">
        <f>IF(EXACT($B346, ""), "", VLOOKUP($B346, [1]DataLookUp!$B$4:$D$1000, 2, FALSE))</f>
        <v>1-1200</v>
      </c>
      <c r="D346" s="10" t="str">
        <f>IF(EXACT($B346, ""), "", VLOOKUP($B346, [1]DataLookUp!$B$4:$D$1000, 3, FALSE))</f>
        <v>Account Receivable</v>
      </c>
      <c r="F346" s="9">
        <v>124000000000033</v>
      </c>
      <c r="G346" s="16" t="s">
        <v>88</v>
      </c>
    </row>
    <row r="347" spans="2:7" x14ac:dyDescent="0.2">
      <c r="B347" s="9">
        <f>[1]DataLookUp!$B$14</f>
        <v>65000000000011</v>
      </c>
      <c r="C347" s="10" t="str">
        <f>IF(EXACT($B347, ""), "", VLOOKUP($B347, [1]DataLookUp!$B$4:$D$1000, 2, FALSE))</f>
        <v>1-1200</v>
      </c>
      <c r="D347" s="10" t="str">
        <f>IF(EXACT($B347, ""), "", VLOOKUP($B347, [1]DataLookUp!$B$4:$D$1000, 3, FALSE))</f>
        <v>Account Receivable</v>
      </c>
      <c r="F347" s="9">
        <v>124000000000034</v>
      </c>
      <c r="G347" s="16" t="s">
        <v>89</v>
      </c>
    </row>
    <row r="348" spans="2:7" x14ac:dyDescent="0.2">
      <c r="B348" s="9">
        <f>[1]DataLookUp!$B$14</f>
        <v>65000000000011</v>
      </c>
      <c r="C348" s="10" t="str">
        <f>IF(EXACT($B348, ""), "", VLOOKUP($B348, [1]DataLookUp!$B$4:$D$1000, 2, FALSE))</f>
        <v>1-1200</v>
      </c>
      <c r="D348" s="10" t="str">
        <f>IF(EXACT($B348, ""), "", VLOOKUP($B348, [1]DataLookUp!$B$4:$D$1000, 3, FALSE))</f>
        <v>Account Receivable</v>
      </c>
      <c r="F348" s="9">
        <v>124000000000035</v>
      </c>
      <c r="G348" s="16" t="s">
        <v>90</v>
      </c>
    </row>
    <row r="349" spans="2:7" x14ac:dyDescent="0.2">
      <c r="B349" s="9">
        <f>[1]DataLookUp!$B$14</f>
        <v>65000000000011</v>
      </c>
      <c r="C349" s="10" t="str">
        <f>IF(EXACT($B349, ""), "", VLOOKUP($B349, [1]DataLookUp!$B$4:$D$1000, 2, FALSE))</f>
        <v>1-1200</v>
      </c>
      <c r="D349" s="10" t="str">
        <f>IF(EXACT($B349, ""), "", VLOOKUP($B349, [1]DataLookUp!$B$4:$D$1000, 3, FALSE))</f>
        <v>Account Receivable</v>
      </c>
      <c r="F349" s="9">
        <v>124000000000036</v>
      </c>
      <c r="G349" s="16" t="s">
        <v>91</v>
      </c>
    </row>
    <row r="350" spans="2:7" x14ac:dyDescent="0.2">
      <c r="B350" s="9">
        <f>[1]DataLookUp!$B$14</f>
        <v>65000000000011</v>
      </c>
      <c r="C350" s="10" t="str">
        <f>IF(EXACT($B350, ""), "", VLOOKUP($B350, [1]DataLookUp!$B$4:$D$1000, 2, FALSE))</f>
        <v>1-1200</v>
      </c>
      <c r="D350" s="10" t="str">
        <f>IF(EXACT($B350, ""), "", VLOOKUP($B350, [1]DataLookUp!$B$4:$D$1000, 3, FALSE))</f>
        <v>Account Receivable</v>
      </c>
      <c r="F350" s="9">
        <v>124000000000037</v>
      </c>
      <c r="G350" s="16" t="s">
        <v>92</v>
      </c>
    </row>
    <row r="351" spans="2:7" x14ac:dyDescent="0.2">
      <c r="B351" s="9">
        <f>[1]DataLookUp!$B$14</f>
        <v>65000000000011</v>
      </c>
      <c r="C351" s="10" t="str">
        <f>IF(EXACT($B351, ""), "", VLOOKUP($B351, [1]DataLookUp!$B$4:$D$1000, 2, FALSE))</f>
        <v>1-1200</v>
      </c>
      <c r="D351" s="10" t="str">
        <f>IF(EXACT($B351, ""), "", VLOOKUP($B351, [1]DataLookUp!$B$4:$D$1000, 3, FALSE))</f>
        <v>Account Receivable</v>
      </c>
      <c r="F351" s="9">
        <v>124000000000038</v>
      </c>
      <c r="G351" s="16" t="s">
        <v>93</v>
      </c>
    </row>
    <row r="352" spans="2:7" x14ac:dyDescent="0.2">
      <c r="B352" s="9">
        <f>[1]DataLookUp!$B$14</f>
        <v>65000000000011</v>
      </c>
      <c r="C352" s="10" t="str">
        <f>IF(EXACT($B352, ""), "", VLOOKUP($B352, [1]DataLookUp!$B$4:$D$1000, 2, FALSE))</f>
        <v>1-1200</v>
      </c>
      <c r="D352" s="10" t="str">
        <f>IF(EXACT($B352, ""), "", VLOOKUP($B352, [1]DataLookUp!$B$4:$D$1000, 3, FALSE))</f>
        <v>Account Receivable</v>
      </c>
      <c r="F352" s="9">
        <v>124000000000039</v>
      </c>
      <c r="G352" s="16" t="s">
        <v>94</v>
      </c>
    </row>
    <row r="353" spans="2:7" x14ac:dyDescent="0.2">
      <c r="B353" s="9">
        <f>[1]DataLookUp!$B$14</f>
        <v>65000000000011</v>
      </c>
      <c r="C353" s="10" t="str">
        <f>IF(EXACT($B353, ""), "", VLOOKUP($B353, [1]DataLookUp!$B$4:$D$1000, 2, FALSE))</f>
        <v>1-1200</v>
      </c>
      <c r="D353" s="10" t="str">
        <f>IF(EXACT($B353, ""), "", VLOOKUP($B353, [1]DataLookUp!$B$4:$D$1000, 3, FALSE))</f>
        <v>Account Receivable</v>
      </c>
      <c r="F353" s="9">
        <v>124000000000040</v>
      </c>
      <c r="G353" s="16" t="s">
        <v>95</v>
      </c>
    </row>
    <row r="354" spans="2:7" x14ac:dyDescent="0.2">
      <c r="B354" s="9">
        <f>[1]DataLookUp!$B$14</f>
        <v>65000000000011</v>
      </c>
      <c r="C354" s="10" t="str">
        <f>IF(EXACT($B354, ""), "", VLOOKUP($B354, [1]DataLookUp!$B$4:$D$1000, 2, FALSE))</f>
        <v>1-1200</v>
      </c>
      <c r="D354" s="10" t="str">
        <f>IF(EXACT($B354, ""), "", VLOOKUP($B354, [1]DataLookUp!$B$4:$D$1000, 3, FALSE))</f>
        <v>Account Receivable</v>
      </c>
      <c r="F354" s="9">
        <v>124000000000041</v>
      </c>
      <c r="G354" s="16" t="s">
        <v>96</v>
      </c>
    </row>
    <row r="355" spans="2:7" x14ac:dyDescent="0.2">
      <c r="B355" s="9">
        <f>[1]DataLookUp!$B$14</f>
        <v>65000000000011</v>
      </c>
      <c r="C355" s="10" t="str">
        <f>IF(EXACT($B355, ""), "", VLOOKUP($B355, [1]DataLookUp!$B$4:$D$1000, 2, FALSE))</f>
        <v>1-1200</v>
      </c>
      <c r="D355" s="10" t="str">
        <f>IF(EXACT($B355, ""), "", VLOOKUP($B355, [1]DataLookUp!$B$4:$D$1000, 3, FALSE))</f>
        <v>Account Receivable</v>
      </c>
      <c r="F355" s="9">
        <v>124000000000042</v>
      </c>
      <c r="G355" s="16" t="s">
        <v>97</v>
      </c>
    </row>
    <row r="356" spans="2:7" x14ac:dyDescent="0.2">
      <c r="B356" s="9">
        <f>[1]DataLookUp!$B$14</f>
        <v>65000000000011</v>
      </c>
      <c r="C356" s="10" t="str">
        <f>IF(EXACT($B356, ""), "", VLOOKUP($B356, [1]DataLookUp!$B$4:$D$1000, 2, FALSE))</f>
        <v>1-1200</v>
      </c>
      <c r="D356" s="10" t="str">
        <f>IF(EXACT($B356, ""), "", VLOOKUP($B356, [1]DataLookUp!$B$4:$D$1000, 3, FALSE))</f>
        <v>Account Receivable</v>
      </c>
      <c r="F356" s="9">
        <v>124000000000043</v>
      </c>
      <c r="G356" s="16" t="s">
        <v>98</v>
      </c>
    </row>
    <row r="357" spans="2:7" x14ac:dyDescent="0.2">
      <c r="B357" s="9">
        <f>[1]DataLookUp!$B$14</f>
        <v>65000000000011</v>
      </c>
      <c r="C357" s="10" t="str">
        <f>IF(EXACT($B357, ""), "", VLOOKUP($B357, [1]DataLookUp!$B$4:$D$1000, 2, FALSE))</f>
        <v>1-1200</v>
      </c>
      <c r="D357" s="10" t="str">
        <f>IF(EXACT($B357, ""), "", VLOOKUP($B357, [1]DataLookUp!$B$4:$D$1000, 3, FALSE))</f>
        <v>Account Receivable</v>
      </c>
      <c r="F357" s="9">
        <v>124000000000044</v>
      </c>
      <c r="G357" s="16" t="s">
        <v>99</v>
      </c>
    </row>
    <row r="358" spans="2:7" x14ac:dyDescent="0.2">
      <c r="B358" s="9">
        <f>[1]DataLookUp!$B$14</f>
        <v>65000000000011</v>
      </c>
      <c r="C358" s="10" t="str">
        <f>IF(EXACT($B358, ""), "", VLOOKUP($B358, [1]DataLookUp!$B$4:$D$1000, 2, FALSE))</f>
        <v>1-1200</v>
      </c>
      <c r="D358" s="10" t="str">
        <f>IF(EXACT($B358, ""), "", VLOOKUP($B358, [1]DataLookUp!$B$4:$D$1000, 3, FALSE))</f>
        <v>Account Receivable</v>
      </c>
      <c r="F358" s="9">
        <v>124000000000045</v>
      </c>
      <c r="G358" s="16" t="s">
        <v>100</v>
      </c>
    </row>
    <row r="359" spans="2:7" x14ac:dyDescent="0.2">
      <c r="B359" s="9">
        <f>[1]DataLookUp!$B$14</f>
        <v>65000000000011</v>
      </c>
      <c r="C359" s="10" t="str">
        <f>IF(EXACT($B359, ""), "", VLOOKUP($B359, [1]DataLookUp!$B$4:$D$1000, 2, FALSE))</f>
        <v>1-1200</v>
      </c>
      <c r="D359" s="10" t="str">
        <f>IF(EXACT($B359, ""), "", VLOOKUP($B359, [1]DataLookUp!$B$4:$D$1000, 3, FALSE))</f>
        <v>Account Receivable</v>
      </c>
      <c r="F359" s="9">
        <v>124000000000046</v>
      </c>
      <c r="G359" s="16" t="s">
        <v>101</v>
      </c>
    </row>
    <row r="360" spans="2:7" x14ac:dyDescent="0.2">
      <c r="B360" s="9">
        <f>[1]DataLookUp!$B$14</f>
        <v>65000000000011</v>
      </c>
      <c r="C360" s="10" t="str">
        <f>IF(EXACT($B360, ""), "", VLOOKUP($B360, [1]DataLookUp!$B$4:$D$1000, 2, FALSE))</f>
        <v>1-1200</v>
      </c>
      <c r="D360" s="10" t="str">
        <f>IF(EXACT($B360, ""), "", VLOOKUP($B360, [1]DataLookUp!$B$4:$D$1000, 3, FALSE))</f>
        <v>Account Receivable</v>
      </c>
      <c r="F360" s="9">
        <v>124000000000047</v>
      </c>
      <c r="G360" s="16" t="s">
        <v>102</v>
      </c>
    </row>
    <row r="361" spans="2:7" x14ac:dyDescent="0.2">
      <c r="B361" s="9">
        <f>[1]DataLookUp!$B$14</f>
        <v>65000000000011</v>
      </c>
      <c r="C361" s="10" t="str">
        <f>IF(EXACT($B361, ""), "", VLOOKUP($B361, [1]DataLookUp!$B$4:$D$1000, 2, FALSE))</f>
        <v>1-1200</v>
      </c>
      <c r="D361" s="10" t="str">
        <f>IF(EXACT($B361, ""), "", VLOOKUP($B361, [1]DataLookUp!$B$4:$D$1000, 3, FALSE))</f>
        <v>Account Receivable</v>
      </c>
      <c r="F361" s="9">
        <v>124000000000048</v>
      </c>
      <c r="G361" s="16" t="s">
        <v>103</v>
      </c>
    </row>
    <row r="362" spans="2:7" x14ac:dyDescent="0.2">
      <c r="B362" s="9">
        <f>[1]DataLookUp!$B$14</f>
        <v>65000000000011</v>
      </c>
      <c r="C362" s="10" t="str">
        <f>IF(EXACT($B362, ""), "", VLOOKUP($B362, [1]DataLookUp!$B$4:$D$1000, 2, FALSE))</f>
        <v>1-1200</v>
      </c>
      <c r="D362" s="10" t="str">
        <f>IF(EXACT($B362, ""), "", VLOOKUP($B362, [1]DataLookUp!$B$4:$D$1000, 3, FALSE))</f>
        <v>Account Receivable</v>
      </c>
      <c r="F362" s="9">
        <v>124000000000049</v>
      </c>
      <c r="G362" s="16" t="s">
        <v>104</v>
      </c>
    </row>
    <row r="363" spans="2:7" x14ac:dyDescent="0.2">
      <c r="B363" s="9">
        <f>[1]DataLookUp!$B$14</f>
        <v>65000000000011</v>
      </c>
      <c r="C363" s="10" t="str">
        <f>IF(EXACT($B363, ""), "", VLOOKUP($B363, [1]DataLookUp!$B$4:$D$1000, 2, FALSE))</f>
        <v>1-1200</v>
      </c>
      <c r="D363" s="10" t="str">
        <f>IF(EXACT($B363, ""), "", VLOOKUP($B363, [1]DataLookUp!$B$4:$D$1000, 3, FALSE))</f>
        <v>Account Receivable</v>
      </c>
      <c r="F363" s="9">
        <v>124000000000050</v>
      </c>
      <c r="G363" s="16" t="s">
        <v>105</v>
      </c>
    </row>
    <row r="364" spans="2:7" x14ac:dyDescent="0.2">
      <c r="B364" s="9">
        <f>[1]DataLookUp!$B$14</f>
        <v>65000000000011</v>
      </c>
      <c r="C364" s="10" t="str">
        <f>IF(EXACT($B364, ""), "", VLOOKUP($B364, [1]DataLookUp!$B$4:$D$1000, 2, FALSE))</f>
        <v>1-1200</v>
      </c>
      <c r="D364" s="10" t="str">
        <f>IF(EXACT($B364, ""), "", VLOOKUP($B364, [1]DataLookUp!$B$4:$D$1000, 3, FALSE))</f>
        <v>Account Receivable</v>
      </c>
      <c r="F364" s="9">
        <v>124000000000051</v>
      </c>
      <c r="G364" s="16" t="s">
        <v>106</v>
      </c>
    </row>
    <row r="365" spans="2:7" x14ac:dyDescent="0.2">
      <c r="B365" s="9">
        <f>[1]DataLookUp!$B$14</f>
        <v>65000000000011</v>
      </c>
      <c r="C365" s="10" t="str">
        <f>IF(EXACT($B365, ""), "", VLOOKUP($B365, [1]DataLookUp!$B$4:$D$1000, 2, FALSE))</f>
        <v>1-1200</v>
      </c>
      <c r="D365" s="10" t="str">
        <f>IF(EXACT($B365, ""), "", VLOOKUP($B365, [1]DataLookUp!$B$4:$D$1000, 3, FALSE))</f>
        <v>Account Receivable</v>
      </c>
      <c r="F365" s="9">
        <v>124000000000052</v>
      </c>
      <c r="G365" s="16" t="s">
        <v>107</v>
      </c>
    </row>
    <row r="366" spans="2:7" x14ac:dyDescent="0.2">
      <c r="B366" s="9">
        <f>[1]DataLookUp!$B$14</f>
        <v>65000000000011</v>
      </c>
      <c r="C366" s="10" t="str">
        <f>IF(EXACT($B366, ""), "", VLOOKUP($B366, [1]DataLookUp!$B$4:$D$1000, 2, FALSE))</f>
        <v>1-1200</v>
      </c>
      <c r="D366" s="10" t="str">
        <f>IF(EXACT($B366, ""), "", VLOOKUP($B366, [1]DataLookUp!$B$4:$D$1000, 3, FALSE))</f>
        <v>Account Receivable</v>
      </c>
      <c r="F366" s="9">
        <v>124000000000053</v>
      </c>
      <c r="G366" s="16" t="s">
        <v>108</v>
      </c>
    </row>
    <row r="367" spans="2:7" x14ac:dyDescent="0.2">
      <c r="B367" s="9">
        <f>[1]DataLookUp!$B$14</f>
        <v>65000000000011</v>
      </c>
      <c r="C367" s="10" t="str">
        <f>IF(EXACT($B367, ""), "", VLOOKUP($B367, [1]DataLookUp!$B$4:$D$1000, 2, FALSE))</f>
        <v>1-1200</v>
      </c>
      <c r="D367" s="10" t="str">
        <f>IF(EXACT($B367, ""), "", VLOOKUP($B367, [1]DataLookUp!$B$4:$D$1000, 3, FALSE))</f>
        <v>Account Receivable</v>
      </c>
      <c r="F367" s="9">
        <v>124000000000054</v>
      </c>
      <c r="G367" s="16" t="s">
        <v>109</v>
      </c>
    </row>
    <row r="368" spans="2:7" x14ac:dyDescent="0.2">
      <c r="B368" s="9">
        <f>[1]DataLookUp!$B$14</f>
        <v>65000000000011</v>
      </c>
      <c r="C368" s="10" t="str">
        <f>IF(EXACT($B368, ""), "", VLOOKUP($B368, [1]DataLookUp!$B$4:$D$1000, 2, FALSE))</f>
        <v>1-1200</v>
      </c>
      <c r="D368" s="10" t="str">
        <f>IF(EXACT($B368, ""), "", VLOOKUP($B368, [1]DataLookUp!$B$4:$D$1000, 3, FALSE))</f>
        <v>Account Receivable</v>
      </c>
      <c r="F368" s="9">
        <v>124000000000055</v>
      </c>
      <c r="G368" s="16" t="s">
        <v>110</v>
      </c>
    </row>
    <row r="369" spans="2:7" x14ac:dyDescent="0.2">
      <c r="B369" s="9">
        <f>[1]DataLookUp!$B$14</f>
        <v>65000000000011</v>
      </c>
      <c r="C369" s="10" t="str">
        <f>IF(EXACT($B369, ""), "", VLOOKUP($B369, [1]DataLookUp!$B$4:$D$1000, 2, FALSE))</f>
        <v>1-1200</v>
      </c>
      <c r="D369" s="10" t="str">
        <f>IF(EXACT($B369, ""), "", VLOOKUP($B369, [1]DataLookUp!$B$4:$D$1000, 3, FALSE))</f>
        <v>Account Receivable</v>
      </c>
      <c r="F369" s="9">
        <v>124000000000056</v>
      </c>
      <c r="G369" s="16" t="s">
        <v>111</v>
      </c>
    </row>
    <row r="370" spans="2:7" x14ac:dyDescent="0.2">
      <c r="B370" s="9">
        <f>[1]DataLookUp!$B$14</f>
        <v>65000000000011</v>
      </c>
      <c r="C370" s="10" t="str">
        <f>IF(EXACT($B370, ""), "", VLOOKUP($B370, [1]DataLookUp!$B$4:$D$1000, 2, FALSE))</f>
        <v>1-1200</v>
      </c>
      <c r="D370" s="10" t="str">
        <f>IF(EXACT($B370, ""), "", VLOOKUP($B370, [1]DataLookUp!$B$4:$D$1000, 3, FALSE))</f>
        <v>Account Receivable</v>
      </c>
      <c r="F370" s="9">
        <v>124000000000057</v>
      </c>
      <c r="G370" s="16" t="s">
        <v>112</v>
      </c>
    </row>
    <row r="371" spans="2:7" x14ac:dyDescent="0.2">
      <c r="B371" s="9">
        <f>[1]DataLookUp!$B$14</f>
        <v>65000000000011</v>
      </c>
      <c r="C371" s="10" t="str">
        <f>IF(EXACT($B371, ""), "", VLOOKUP($B371, [1]DataLookUp!$B$4:$D$1000, 2, FALSE))</f>
        <v>1-1200</v>
      </c>
      <c r="D371" s="10" t="str">
        <f>IF(EXACT($B371, ""), "", VLOOKUP($B371, [1]DataLookUp!$B$4:$D$1000, 3, FALSE))</f>
        <v>Account Receivable</v>
      </c>
      <c r="F371" s="9">
        <v>124000000000058</v>
      </c>
      <c r="G371" s="16" t="s">
        <v>113</v>
      </c>
    </row>
    <row r="372" spans="2:7" x14ac:dyDescent="0.2">
      <c r="B372" s="9">
        <f>[1]DataLookUp!$B$14</f>
        <v>65000000000011</v>
      </c>
      <c r="C372" s="10" t="str">
        <f>IF(EXACT($B372, ""), "", VLOOKUP($B372, [1]DataLookUp!$B$4:$D$1000, 2, FALSE))</f>
        <v>1-1200</v>
      </c>
      <c r="D372" s="10" t="str">
        <f>IF(EXACT($B372, ""), "", VLOOKUP($B372, [1]DataLookUp!$B$4:$D$1000, 3, FALSE))</f>
        <v>Account Receivable</v>
      </c>
      <c r="F372" s="9">
        <v>124000000000059</v>
      </c>
      <c r="G372" s="16" t="s">
        <v>114</v>
      </c>
    </row>
    <row r="373" spans="2:7" x14ac:dyDescent="0.2">
      <c r="B373" s="9">
        <f>[1]DataLookUp!$B$14</f>
        <v>65000000000011</v>
      </c>
      <c r="C373" s="10" t="str">
        <f>IF(EXACT($B373, ""), "", VLOOKUP($B373, [1]DataLookUp!$B$4:$D$1000, 2, FALSE))</f>
        <v>1-1200</v>
      </c>
      <c r="D373" s="10" t="str">
        <f>IF(EXACT($B373, ""), "", VLOOKUP($B373, [1]DataLookUp!$B$4:$D$1000, 3, FALSE))</f>
        <v>Account Receivable</v>
      </c>
      <c r="F373" s="9">
        <v>124000000000060</v>
      </c>
      <c r="G373" s="16" t="s">
        <v>115</v>
      </c>
    </row>
    <row r="374" spans="2:7" x14ac:dyDescent="0.2">
      <c r="B374" s="9">
        <f>[1]DataLookUp!$B$14</f>
        <v>65000000000011</v>
      </c>
      <c r="C374" s="10" t="str">
        <f>IF(EXACT($B374, ""), "", VLOOKUP($B374, [1]DataLookUp!$B$4:$D$1000, 2, FALSE))</f>
        <v>1-1200</v>
      </c>
      <c r="D374" s="10" t="str">
        <f>IF(EXACT($B374, ""), "", VLOOKUP($B374, [1]DataLookUp!$B$4:$D$1000, 3, FALSE))</f>
        <v>Account Receivable</v>
      </c>
      <c r="F374" s="9">
        <v>124000000000061</v>
      </c>
      <c r="G374" s="16" t="s">
        <v>116</v>
      </c>
    </row>
    <row r="375" spans="2:7" x14ac:dyDescent="0.2">
      <c r="B375" s="9">
        <f>[1]DataLookUp!$B$14</f>
        <v>65000000000011</v>
      </c>
      <c r="C375" s="10" t="str">
        <f>IF(EXACT($B375, ""), "", VLOOKUP($B375, [1]DataLookUp!$B$4:$D$1000, 2, FALSE))</f>
        <v>1-1200</v>
      </c>
      <c r="D375" s="10" t="str">
        <f>IF(EXACT($B375, ""), "", VLOOKUP($B375, [1]DataLookUp!$B$4:$D$1000, 3, FALSE))</f>
        <v>Account Receivable</v>
      </c>
      <c r="F375" s="9">
        <v>124000000000062</v>
      </c>
      <c r="G375" s="16" t="s">
        <v>117</v>
      </c>
    </row>
    <row r="376" spans="2:7" x14ac:dyDescent="0.2">
      <c r="B376" s="9">
        <f>[1]DataLookUp!$B$14</f>
        <v>65000000000011</v>
      </c>
      <c r="C376" s="10" t="str">
        <f>IF(EXACT($B376, ""), "", VLOOKUP($B376, [1]DataLookUp!$B$4:$D$1000, 2, FALSE))</f>
        <v>1-1200</v>
      </c>
      <c r="D376" s="10" t="str">
        <f>IF(EXACT($B376, ""), "", VLOOKUP($B376, [1]DataLookUp!$B$4:$D$1000, 3, FALSE))</f>
        <v>Account Receivable</v>
      </c>
      <c r="F376" s="9">
        <v>124000000000063</v>
      </c>
      <c r="G376" s="16" t="s">
        <v>118</v>
      </c>
    </row>
    <row r="377" spans="2:7" x14ac:dyDescent="0.2">
      <c r="B377" s="9">
        <f>[1]DataLookUp!$B$14</f>
        <v>65000000000011</v>
      </c>
      <c r="C377" s="10" t="str">
        <f>IF(EXACT($B377, ""), "", VLOOKUP($B377, [1]DataLookUp!$B$4:$D$1000, 2, FALSE))</f>
        <v>1-1200</v>
      </c>
      <c r="D377" s="10" t="str">
        <f>IF(EXACT($B377, ""), "", VLOOKUP($B377, [1]DataLookUp!$B$4:$D$1000, 3, FALSE))</f>
        <v>Account Receivable</v>
      </c>
      <c r="F377" s="9">
        <v>124000000000064</v>
      </c>
      <c r="G377" s="16" t="s">
        <v>119</v>
      </c>
    </row>
    <row r="378" spans="2:7" x14ac:dyDescent="0.2">
      <c r="B378" s="9">
        <f>[1]DataLookUp!$B$14</f>
        <v>65000000000011</v>
      </c>
      <c r="C378" s="10" t="str">
        <f>IF(EXACT($B378, ""), "", VLOOKUP($B378, [1]DataLookUp!$B$4:$D$1000, 2, FALSE))</f>
        <v>1-1200</v>
      </c>
      <c r="D378" s="10" t="str">
        <f>IF(EXACT($B378, ""), "", VLOOKUP($B378, [1]DataLookUp!$B$4:$D$1000, 3, FALSE))</f>
        <v>Account Receivable</v>
      </c>
      <c r="F378" s="9">
        <v>124000000000065</v>
      </c>
      <c r="G378" s="16" t="s">
        <v>120</v>
      </c>
    </row>
    <row r="379" spans="2:7" x14ac:dyDescent="0.2">
      <c r="B379" s="9">
        <f>[1]DataLookUp!$B$14</f>
        <v>65000000000011</v>
      </c>
      <c r="C379" s="10" t="str">
        <f>IF(EXACT($B379, ""), "", VLOOKUP($B379, [1]DataLookUp!$B$4:$D$1000, 2, FALSE))</f>
        <v>1-1200</v>
      </c>
      <c r="D379" s="10" t="str">
        <f>IF(EXACT($B379, ""), "", VLOOKUP($B379, [1]DataLookUp!$B$4:$D$1000, 3, FALSE))</f>
        <v>Account Receivable</v>
      </c>
      <c r="F379" s="9">
        <v>124000000000066</v>
      </c>
      <c r="G379" s="16" t="s">
        <v>121</v>
      </c>
    </row>
    <row r="380" spans="2:7" x14ac:dyDescent="0.2">
      <c r="B380" s="9">
        <f>[1]DataLookUp!$B$14</f>
        <v>65000000000011</v>
      </c>
      <c r="C380" s="10" t="str">
        <f>IF(EXACT($B380, ""), "", VLOOKUP($B380, [1]DataLookUp!$B$4:$D$1000, 2, FALSE))</f>
        <v>1-1200</v>
      </c>
      <c r="D380" s="10" t="str">
        <f>IF(EXACT($B380, ""), "", VLOOKUP($B380, [1]DataLookUp!$B$4:$D$1000, 3, FALSE))</f>
        <v>Account Receivable</v>
      </c>
      <c r="F380" s="9">
        <v>124000000000067</v>
      </c>
      <c r="G380" s="16" t="s">
        <v>122</v>
      </c>
    </row>
    <row r="381" spans="2:7" x14ac:dyDescent="0.2">
      <c r="B381" s="9">
        <f>[1]DataLookUp!$B$14</f>
        <v>65000000000011</v>
      </c>
      <c r="C381" s="10" t="str">
        <f>IF(EXACT($B381, ""), "", VLOOKUP($B381, [1]DataLookUp!$B$4:$D$1000, 2, FALSE))</f>
        <v>1-1200</v>
      </c>
      <c r="D381" s="10" t="str">
        <f>IF(EXACT($B381, ""), "", VLOOKUP($B381, [1]DataLookUp!$B$4:$D$1000, 3, FALSE))</f>
        <v>Account Receivable</v>
      </c>
      <c r="F381" s="9">
        <v>124000000000068</v>
      </c>
      <c r="G381" s="16" t="s">
        <v>123</v>
      </c>
    </row>
    <row r="382" spans="2:7" x14ac:dyDescent="0.2">
      <c r="B382" s="9">
        <f>[1]DataLookUp!$B$14</f>
        <v>65000000000011</v>
      </c>
      <c r="C382" s="10" t="str">
        <f>IF(EXACT($B382, ""), "", VLOOKUP($B382, [1]DataLookUp!$B$4:$D$1000, 2, FALSE))</f>
        <v>1-1200</v>
      </c>
      <c r="D382" s="10" t="str">
        <f>IF(EXACT($B382, ""), "", VLOOKUP($B382, [1]DataLookUp!$B$4:$D$1000, 3, FALSE))</f>
        <v>Account Receivable</v>
      </c>
      <c r="F382" s="9">
        <v>124000000000069</v>
      </c>
      <c r="G382" s="16" t="s">
        <v>124</v>
      </c>
    </row>
    <row r="383" spans="2:7" x14ac:dyDescent="0.2">
      <c r="B383" s="9">
        <f>[1]DataLookUp!$B$14</f>
        <v>65000000000011</v>
      </c>
      <c r="C383" s="10" t="str">
        <f>IF(EXACT($B383, ""), "", VLOOKUP($B383, [1]DataLookUp!$B$4:$D$1000, 2, FALSE))</f>
        <v>1-1200</v>
      </c>
      <c r="D383" s="10" t="str">
        <f>IF(EXACT($B383, ""), "", VLOOKUP($B383, [1]DataLookUp!$B$4:$D$1000, 3, FALSE))</f>
        <v>Account Receivable</v>
      </c>
      <c r="F383" s="9">
        <v>124000000000070</v>
      </c>
      <c r="G383" s="16" t="s">
        <v>125</v>
      </c>
    </row>
    <row r="384" spans="2:7" x14ac:dyDescent="0.2">
      <c r="B384" s="9">
        <f>[1]DataLookUp!$B$14</f>
        <v>65000000000011</v>
      </c>
      <c r="C384" s="10" t="str">
        <f>IF(EXACT($B384, ""), "", VLOOKUP($B384, [1]DataLookUp!$B$4:$D$1000, 2, FALSE))</f>
        <v>1-1200</v>
      </c>
      <c r="D384" s="10" t="str">
        <f>IF(EXACT($B384, ""), "", VLOOKUP($B384, [1]DataLookUp!$B$4:$D$1000, 3, FALSE))</f>
        <v>Account Receivable</v>
      </c>
      <c r="F384" s="9">
        <v>124000000000071</v>
      </c>
      <c r="G384" s="16" t="s">
        <v>126</v>
      </c>
    </row>
    <row r="385" spans="2:7" x14ac:dyDescent="0.2">
      <c r="B385" s="9">
        <f>[1]DataLookUp!$B$14</f>
        <v>65000000000011</v>
      </c>
      <c r="C385" s="10" t="str">
        <f>IF(EXACT($B385, ""), "", VLOOKUP($B385, [1]DataLookUp!$B$4:$D$1000, 2, FALSE))</f>
        <v>1-1200</v>
      </c>
      <c r="D385" s="10" t="str">
        <f>IF(EXACT($B385, ""), "", VLOOKUP($B385, [1]DataLookUp!$B$4:$D$1000, 3, FALSE))</f>
        <v>Account Receivable</v>
      </c>
      <c r="F385" s="9">
        <v>124000000000072</v>
      </c>
      <c r="G385" s="16" t="s">
        <v>127</v>
      </c>
    </row>
    <row r="386" spans="2:7" x14ac:dyDescent="0.2">
      <c r="B386" s="9">
        <f>[1]DataLookUp!$B$14</f>
        <v>65000000000011</v>
      </c>
      <c r="C386" s="10" t="str">
        <f>IF(EXACT($B386, ""), "", VLOOKUP($B386, [1]DataLookUp!$B$4:$D$1000, 2, FALSE))</f>
        <v>1-1200</v>
      </c>
      <c r="D386" s="10" t="str">
        <f>IF(EXACT($B386, ""), "", VLOOKUP($B386, [1]DataLookUp!$B$4:$D$1000, 3, FALSE))</f>
        <v>Account Receivable</v>
      </c>
      <c r="F386" s="9">
        <v>124000000000073</v>
      </c>
      <c r="G386" s="16" t="s">
        <v>128</v>
      </c>
    </row>
    <row r="387" spans="2:7" x14ac:dyDescent="0.2">
      <c r="B387" s="9">
        <f>[1]DataLookUp!$B$14</f>
        <v>65000000000011</v>
      </c>
      <c r="C387" s="10" t="str">
        <f>IF(EXACT($B387, ""), "", VLOOKUP($B387, [1]DataLookUp!$B$4:$D$1000, 2, FALSE))</f>
        <v>1-1200</v>
      </c>
      <c r="D387" s="10" t="str">
        <f>IF(EXACT($B387, ""), "", VLOOKUP($B387, [1]DataLookUp!$B$4:$D$1000, 3, FALSE))</f>
        <v>Account Receivable</v>
      </c>
      <c r="F387" s="9">
        <v>124000000000074</v>
      </c>
      <c r="G387" s="16" t="s">
        <v>129</v>
      </c>
    </row>
    <row r="388" spans="2:7" x14ac:dyDescent="0.2">
      <c r="B388" s="9">
        <f>[1]DataLookUp!$B$14</f>
        <v>65000000000011</v>
      </c>
      <c r="C388" s="10" t="str">
        <f>IF(EXACT($B388, ""), "", VLOOKUP($B388, [1]DataLookUp!$B$4:$D$1000, 2, FALSE))</f>
        <v>1-1200</v>
      </c>
      <c r="D388" s="10" t="str">
        <f>IF(EXACT($B388, ""), "", VLOOKUP($B388, [1]DataLookUp!$B$4:$D$1000, 3, FALSE))</f>
        <v>Account Receivable</v>
      </c>
      <c r="F388" s="9">
        <v>124000000000075</v>
      </c>
      <c r="G388" s="16" t="s">
        <v>130</v>
      </c>
    </row>
    <row r="389" spans="2:7" x14ac:dyDescent="0.2">
      <c r="B389" s="9">
        <f>[1]DataLookUp!$B$14</f>
        <v>65000000000011</v>
      </c>
      <c r="C389" s="10" t="str">
        <f>IF(EXACT($B389, ""), "", VLOOKUP($B389, [1]DataLookUp!$B$4:$D$1000, 2, FALSE))</f>
        <v>1-1200</v>
      </c>
      <c r="D389" s="10" t="str">
        <f>IF(EXACT($B389, ""), "", VLOOKUP($B389, [1]DataLookUp!$B$4:$D$1000, 3, FALSE))</f>
        <v>Account Receivable</v>
      </c>
      <c r="F389" s="9">
        <v>124000000000081</v>
      </c>
      <c r="G389" s="16" t="s">
        <v>131</v>
      </c>
    </row>
    <row r="390" spans="2:7" x14ac:dyDescent="0.2">
      <c r="B390" s="9">
        <f>[1]DataLookUp!$B$14</f>
        <v>65000000000011</v>
      </c>
      <c r="C390" s="10" t="str">
        <f>IF(EXACT($B390, ""), "", VLOOKUP($B390, [1]DataLookUp!$B$4:$D$1000, 2, FALSE))</f>
        <v>1-1200</v>
      </c>
      <c r="D390" s="10" t="str">
        <f>IF(EXACT($B390, ""), "", VLOOKUP($B390, [1]DataLookUp!$B$4:$D$1000, 3, FALSE))</f>
        <v>Account Receivable</v>
      </c>
      <c r="F390" s="9">
        <v>124000000000082</v>
      </c>
      <c r="G390" s="16" t="s">
        <v>132</v>
      </c>
    </row>
    <row r="391" spans="2:7" x14ac:dyDescent="0.2">
      <c r="B391" s="9">
        <f>[1]DataLookUp!$B$14</f>
        <v>65000000000011</v>
      </c>
      <c r="C391" s="10" t="str">
        <f>IF(EXACT($B391, ""), "", VLOOKUP($B391, [1]DataLookUp!$B$4:$D$1000, 2, FALSE))</f>
        <v>1-1200</v>
      </c>
      <c r="D391" s="10" t="str">
        <f>IF(EXACT($B391, ""), "", VLOOKUP($B391, [1]DataLookUp!$B$4:$D$1000, 3, FALSE))</f>
        <v>Account Receivable</v>
      </c>
      <c r="F391" s="9">
        <v>124000000000083</v>
      </c>
      <c r="G391" s="16" t="s">
        <v>133</v>
      </c>
    </row>
    <row r="392" spans="2:7" x14ac:dyDescent="0.2">
      <c r="B392" s="9">
        <f>[1]DataLookUp!$B$14</f>
        <v>65000000000011</v>
      </c>
      <c r="C392" s="10" t="str">
        <f>IF(EXACT($B392, ""), "", VLOOKUP($B392, [1]DataLookUp!$B$4:$D$1000, 2, FALSE))</f>
        <v>1-1200</v>
      </c>
      <c r="D392" s="10" t="str">
        <f>IF(EXACT($B392, ""), "", VLOOKUP($B392, [1]DataLookUp!$B$4:$D$1000, 3, FALSE))</f>
        <v>Account Receivable</v>
      </c>
      <c r="F392" s="9">
        <v>124000000000084</v>
      </c>
      <c r="G392" s="16" t="s">
        <v>134</v>
      </c>
    </row>
    <row r="393" spans="2:7" ht="7.5" customHeight="1" x14ac:dyDescent="0.2">
      <c r="B393" s="14"/>
      <c r="C393" s="11" t="str">
        <f>IF(EXACT($B393, ""), "", VLOOKUP($B393, [1]DataLookUp!$B$4:$D$1000, 2, FALSE))</f>
        <v/>
      </c>
      <c r="D393" s="11" t="str">
        <f>IF(EXACT($B393, ""), "", VLOOKUP($B393, [1]DataLookUp!$B$4:$D$1000, 3, FALSE))</f>
        <v/>
      </c>
      <c r="F393" s="14"/>
      <c r="G393" s="14"/>
    </row>
    <row r="394" spans="2:7" x14ac:dyDescent="0.2">
      <c r="B394" s="9">
        <f>[1]DataLookUp!$B$15</f>
        <v>65000000000012</v>
      </c>
      <c r="C394" s="10" t="str">
        <f>IF(EXACT($B394, ""), "", VLOOKUP($B394, [1]DataLookUp!$B$4:$D$1000, 2, FALSE))</f>
        <v>1-1201</v>
      </c>
      <c r="D394" s="10" t="str">
        <f>IF(EXACT($B394, ""), "", VLOOKUP($B394, [1]DataLookUp!$B$4:$D$1000, 3, FALSE))</f>
        <v>Piutang Usaha</v>
      </c>
      <c r="F394" s="9"/>
      <c r="G394" s="16"/>
    </row>
    <row r="395" spans="2:7" ht="7.5" customHeight="1" x14ac:dyDescent="0.2">
      <c r="B395" s="14"/>
      <c r="C395" s="11" t="str">
        <f>IF(EXACT($B395, ""), "", VLOOKUP($B395, [1]DataLookUp!$B$4:$D$1000, 2, FALSE))</f>
        <v/>
      </c>
      <c r="D395" s="11" t="str">
        <f>IF(EXACT($B395, ""), "", VLOOKUP($B395, [1]DataLookUp!$B$4:$D$1000, 3, FALSE))</f>
        <v/>
      </c>
      <c r="F395" s="14"/>
      <c r="G395" s="14"/>
    </row>
    <row r="396" spans="2:7" x14ac:dyDescent="0.2">
      <c r="B396" s="9">
        <f>[1]DataLookUp!$B$17</f>
        <v>65000000000014</v>
      </c>
      <c r="C396" s="10" t="str">
        <f>IF(EXACT($B396, ""), "", VLOOKUP($B396, [1]DataLookUp!$B$4:$D$1000, 2, FALSE))</f>
        <v>1-1201.02</v>
      </c>
      <c r="D396" s="10" t="str">
        <f>IF(EXACT($B396, ""), "", VLOOKUP($B396, [1]DataLookUp!$B$4:$D$1000, 3, FALSE))</f>
        <v>AR (USD)</v>
      </c>
      <c r="F396" s="9">
        <v>124000000000002</v>
      </c>
      <c r="G396" s="16" t="s">
        <v>60</v>
      </c>
    </row>
    <row r="397" spans="2:7" x14ac:dyDescent="0.2">
      <c r="B397" s="9">
        <f>[1]DataLookUp!$B$17</f>
        <v>65000000000014</v>
      </c>
      <c r="C397" s="10" t="str">
        <f>IF(EXACT($B397, ""), "", VLOOKUP($B397, [1]DataLookUp!$B$4:$D$1000, 2, FALSE))</f>
        <v>1-1201.02</v>
      </c>
      <c r="D397" s="10" t="str">
        <f>IF(EXACT($B397, ""), "", VLOOKUP($B397, [1]DataLookUp!$B$4:$D$1000, 3, FALSE))</f>
        <v>AR (USD)</v>
      </c>
      <c r="F397" s="9">
        <v>124000000000006</v>
      </c>
      <c r="G397" s="16" t="s">
        <v>61</v>
      </c>
    </row>
    <row r="398" spans="2:7" x14ac:dyDescent="0.2">
      <c r="B398" s="9">
        <f>[1]DataLookUp!$B$17</f>
        <v>65000000000014</v>
      </c>
      <c r="C398" s="10" t="str">
        <f>IF(EXACT($B398, ""), "", VLOOKUP($B398, [1]DataLookUp!$B$4:$D$1000, 2, FALSE))</f>
        <v>1-1201.02</v>
      </c>
      <c r="D398" s="10" t="str">
        <f>IF(EXACT($B398, ""), "", VLOOKUP($B398, [1]DataLookUp!$B$4:$D$1000, 3, FALSE))</f>
        <v>AR (USD)</v>
      </c>
      <c r="F398" s="9">
        <v>124000000000007</v>
      </c>
      <c r="G398" s="16" t="s">
        <v>62</v>
      </c>
    </row>
    <row r="399" spans="2:7" x14ac:dyDescent="0.2">
      <c r="B399" s="9">
        <f>[1]DataLookUp!$B$17</f>
        <v>65000000000014</v>
      </c>
      <c r="C399" s="10" t="str">
        <f>IF(EXACT($B399, ""), "", VLOOKUP($B399, [1]DataLookUp!$B$4:$D$1000, 2, FALSE))</f>
        <v>1-1201.02</v>
      </c>
      <c r="D399" s="10" t="str">
        <f>IF(EXACT($B399, ""), "", VLOOKUP($B399, [1]DataLookUp!$B$4:$D$1000, 3, FALSE))</f>
        <v>AR (USD)</v>
      </c>
      <c r="F399" s="9">
        <v>124000000000008</v>
      </c>
      <c r="G399" s="16" t="s">
        <v>63</v>
      </c>
    </row>
    <row r="400" spans="2:7" x14ac:dyDescent="0.2">
      <c r="B400" s="9">
        <f>[1]DataLookUp!$B$17</f>
        <v>65000000000014</v>
      </c>
      <c r="C400" s="10" t="str">
        <f>IF(EXACT($B400, ""), "", VLOOKUP($B400, [1]DataLookUp!$B$4:$D$1000, 2, FALSE))</f>
        <v>1-1201.02</v>
      </c>
      <c r="D400" s="10" t="str">
        <f>IF(EXACT($B400, ""), "", VLOOKUP($B400, [1]DataLookUp!$B$4:$D$1000, 3, FALSE))</f>
        <v>AR (USD)</v>
      </c>
      <c r="F400" s="9">
        <v>124000000000009</v>
      </c>
      <c r="G400" s="16" t="s">
        <v>64</v>
      </c>
    </row>
    <row r="401" spans="2:7" x14ac:dyDescent="0.2">
      <c r="B401" s="9">
        <f>[1]DataLookUp!$B$17</f>
        <v>65000000000014</v>
      </c>
      <c r="C401" s="10" t="str">
        <f>IF(EXACT($B401, ""), "", VLOOKUP($B401, [1]DataLookUp!$B$4:$D$1000, 2, FALSE))</f>
        <v>1-1201.02</v>
      </c>
      <c r="D401" s="10" t="str">
        <f>IF(EXACT($B401, ""), "", VLOOKUP($B401, [1]DataLookUp!$B$4:$D$1000, 3, FALSE))</f>
        <v>AR (USD)</v>
      </c>
      <c r="F401" s="9">
        <v>124000000000010</v>
      </c>
      <c r="G401" s="16" t="s">
        <v>65</v>
      </c>
    </row>
    <row r="402" spans="2:7" x14ac:dyDescent="0.2">
      <c r="B402" s="9">
        <f>[1]DataLookUp!$B$17</f>
        <v>65000000000014</v>
      </c>
      <c r="C402" s="10" t="str">
        <f>IF(EXACT($B402, ""), "", VLOOKUP($B402, [1]DataLookUp!$B$4:$D$1000, 2, FALSE))</f>
        <v>1-1201.02</v>
      </c>
      <c r="D402" s="10" t="str">
        <f>IF(EXACT($B402, ""), "", VLOOKUP($B402, [1]DataLookUp!$B$4:$D$1000, 3, FALSE))</f>
        <v>AR (USD)</v>
      </c>
      <c r="F402" s="9">
        <v>124000000000011</v>
      </c>
      <c r="G402" s="16" t="s">
        <v>66</v>
      </c>
    </row>
    <row r="403" spans="2:7" x14ac:dyDescent="0.2">
      <c r="B403" s="9">
        <f>[1]DataLookUp!$B$17</f>
        <v>65000000000014</v>
      </c>
      <c r="C403" s="10" t="str">
        <f>IF(EXACT($B403, ""), "", VLOOKUP($B403, [1]DataLookUp!$B$4:$D$1000, 2, FALSE))</f>
        <v>1-1201.02</v>
      </c>
      <c r="D403" s="10" t="str">
        <f>IF(EXACT($B403, ""), "", VLOOKUP($B403, [1]DataLookUp!$B$4:$D$1000, 3, FALSE))</f>
        <v>AR (USD)</v>
      </c>
      <c r="F403" s="9">
        <v>124000000000012</v>
      </c>
      <c r="G403" s="16" t="s">
        <v>67</v>
      </c>
    </row>
    <row r="404" spans="2:7" x14ac:dyDescent="0.2">
      <c r="B404" s="9">
        <f>[1]DataLookUp!$B$17</f>
        <v>65000000000014</v>
      </c>
      <c r="C404" s="10" t="str">
        <f>IF(EXACT($B404, ""), "", VLOOKUP($B404, [1]DataLookUp!$B$4:$D$1000, 2, FALSE))</f>
        <v>1-1201.02</v>
      </c>
      <c r="D404" s="10" t="str">
        <f>IF(EXACT($B404, ""), "", VLOOKUP($B404, [1]DataLookUp!$B$4:$D$1000, 3, FALSE))</f>
        <v>AR (USD)</v>
      </c>
      <c r="F404" s="9">
        <v>124000000000013</v>
      </c>
      <c r="G404" s="16" t="s">
        <v>68</v>
      </c>
    </row>
    <row r="405" spans="2:7" x14ac:dyDescent="0.2">
      <c r="B405" s="9">
        <f>[1]DataLookUp!$B$17</f>
        <v>65000000000014</v>
      </c>
      <c r="C405" s="10" t="str">
        <f>IF(EXACT($B405, ""), "", VLOOKUP($B405, [1]DataLookUp!$B$4:$D$1000, 2, FALSE))</f>
        <v>1-1201.02</v>
      </c>
      <c r="D405" s="10" t="str">
        <f>IF(EXACT($B405, ""), "", VLOOKUP($B405, [1]DataLookUp!$B$4:$D$1000, 3, FALSE))</f>
        <v>AR (USD)</v>
      </c>
      <c r="F405" s="9">
        <v>124000000000014</v>
      </c>
      <c r="G405" s="16" t="s">
        <v>69</v>
      </c>
    </row>
    <row r="406" spans="2:7" x14ac:dyDescent="0.2">
      <c r="B406" s="9">
        <f>[1]DataLookUp!$B$17</f>
        <v>65000000000014</v>
      </c>
      <c r="C406" s="10" t="str">
        <f>IF(EXACT($B406, ""), "", VLOOKUP($B406, [1]DataLookUp!$B$4:$D$1000, 2, FALSE))</f>
        <v>1-1201.02</v>
      </c>
      <c r="D406" s="10" t="str">
        <f>IF(EXACT($B406, ""), "", VLOOKUP($B406, [1]DataLookUp!$B$4:$D$1000, 3, FALSE))</f>
        <v>AR (USD)</v>
      </c>
      <c r="F406" s="9">
        <v>124000000000015</v>
      </c>
      <c r="G406" s="16" t="s">
        <v>70</v>
      </c>
    </row>
    <row r="407" spans="2:7" x14ac:dyDescent="0.2">
      <c r="B407" s="9">
        <f>[1]DataLookUp!$B$17</f>
        <v>65000000000014</v>
      </c>
      <c r="C407" s="10" t="str">
        <f>IF(EXACT($B407, ""), "", VLOOKUP($B407, [1]DataLookUp!$B$4:$D$1000, 2, FALSE))</f>
        <v>1-1201.02</v>
      </c>
      <c r="D407" s="10" t="str">
        <f>IF(EXACT($B407, ""), "", VLOOKUP($B407, [1]DataLookUp!$B$4:$D$1000, 3, FALSE))</f>
        <v>AR (USD)</v>
      </c>
      <c r="F407" s="9">
        <v>124000000000016</v>
      </c>
      <c r="G407" s="16" t="s">
        <v>71</v>
      </c>
    </row>
    <row r="408" spans="2:7" x14ac:dyDescent="0.2">
      <c r="B408" s="9">
        <f>[1]DataLookUp!$B$17</f>
        <v>65000000000014</v>
      </c>
      <c r="C408" s="10" t="str">
        <f>IF(EXACT($B408, ""), "", VLOOKUP($B408, [1]DataLookUp!$B$4:$D$1000, 2, FALSE))</f>
        <v>1-1201.02</v>
      </c>
      <c r="D408" s="10" t="str">
        <f>IF(EXACT($B408, ""), "", VLOOKUP($B408, [1]DataLookUp!$B$4:$D$1000, 3, FALSE))</f>
        <v>AR (USD)</v>
      </c>
      <c r="F408" s="9">
        <v>124000000000017</v>
      </c>
      <c r="G408" s="16" t="s">
        <v>72</v>
      </c>
    </row>
    <row r="409" spans="2:7" x14ac:dyDescent="0.2">
      <c r="B409" s="9">
        <f>[1]DataLookUp!$B$17</f>
        <v>65000000000014</v>
      </c>
      <c r="C409" s="10" t="str">
        <f>IF(EXACT($B409, ""), "", VLOOKUP($B409, [1]DataLookUp!$B$4:$D$1000, 2, FALSE))</f>
        <v>1-1201.02</v>
      </c>
      <c r="D409" s="10" t="str">
        <f>IF(EXACT($B409, ""), "", VLOOKUP($B409, [1]DataLookUp!$B$4:$D$1000, 3, FALSE))</f>
        <v>AR (USD)</v>
      </c>
      <c r="F409" s="9">
        <v>124000000000018</v>
      </c>
      <c r="G409" s="16" t="s">
        <v>73</v>
      </c>
    </row>
    <row r="410" spans="2:7" x14ac:dyDescent="0.2">
      <c r="B410" s="9">
        <f>[1]DataLookUp!$B$17</f>
        <v>65000000000014</v>
      </c>
      <c r="C410" s="10" t="str">
        <f>IF(EXACT($B410, ""), "", VLOOKUP($B410, [1]DataLookUp!$B$4:$D$1000, 2, FALSE))</f>
        <v>1-1201.02</v>
      </c>
      <c r="D410" s="10" t="str">
        <f>IF(EXACT($B410, ""), "", VLOOKUP($B410, [1]DataLookUp!$B$4:$D$1000, 3, FALSE))</f>
        <v>AR (USD)</v>
      </c>
      <c r="F410" s="9">
        <v>124000000000019</v>
      </c>
      <c r="G410" s="16" t="s">
        <v>74</v>
      </c>
    </row>
    <row r="411" spans="2:7" x14ac:dyDescent="0.2">
      <c r="B411" s="9">
        <f>[1]DataLookUp!$B$17</f>
        <v>65000000000014</v>
      </c>
      <c r="C411" s="10" t="str">
        <f>IF(EXACT($B411, ""), "", VLOOKUP($B411, [1]DataLookUp!$B$4:$D$1000, 2, FALSE))</f>
        <v>1-1201.02</v>
      </c>
      <c r="D411" s="10" t="str">
        <f>IF(EXACT($B411, ""), "", VLOOKUP($B411, [1]DataLookUp!$B$4:$D$1000, 3, FALSE))</f>
        <v>AR (USD)</v>
      </c>
      <c r="F411" s="9">
        <v>124000000000020</v>
      </c>
      <c r="G411" s="16" t="s">
        <v>75</v>
      </c>
    </row>
    <row r="412" spans="2:7" x14ac:dyDescent="0.2">
      <c r="B412" s="9">
        <f>[1]DataLookUp!$B$17</f>
        <v>65000000000014</v>
      </c>
      <c r="C412" s="10" t="str">
        <f>IF(EXACT($B412, ""), "", VLOOKUP($B412, [1]DataLookUp!$B$4:$D$1000, 2, FALSE))</f>
        <v>1-1201.02</v>
      </c>
      <c r="D412" s="10" t="str">
        <f>IF(EXACT($B412, ""), "", VLOOKUP($B412, [1]DataLookUp!$B$4:$D$1000, 3, FALSE))</f>
        <v>AR (USD)</v>
      </c>
      <c r="F412" s="9">
        <v>124000000000021</v>
      </c>
      <c r="G412" s="16" t="s">
        <v>76</v>
      </c>
    </row>
    <row r="413" spans="2:7" x14ac:dyDescent="0.2">
      <c r="B413" s="9">
        <f>[1]DataLookUp!$B$17</f>
        <v>65000000000014</v>
      </c>
      <c r="C413" s="10" t="str">
        <f>IF(EXACT($B413, ""), "", VLOOKUP($B413, [1]DataLookUp!$B$4:$D$1000, 2, FALSE))</f>
        <v>1-1201.02</v>
      </c>
      <c r="D413" s="10" t="str">
        <f>IF(EXACT($B413, ""), "", VLOOKUP($B413, [1]DataLookUp!$B$4:$D$1000, 3, FALSE))</f>
        <v>AR (USD)</v>
      </c>
      <c r="F413" s="9">
        <v>124000000000022</v>
      </c>
      <c r="G413" s="16" t="s">
        <v>77</v>
      </c>
    </row>
    <row r="414" spans="2:7" x14ac:dyDescent="0.2">
      <c r="B414" s="9">
        <f>[1]DataLookUp!$B$17</f>
        <v>65000000000014</v>
      </c>
      <c r="C414" s="10" t="str">
        <f>IF(EXACT($B414, ""), "", VLOOKUP($B414, [1]DataLookUp!$B$4:$D$1000, 2, FALSE))</f>
        <v>1-1201.02</v>
      </c>
      <c r="D414" s="10" t="str">
        <f>IF(EXACT($B414, ""), "", VLOOKUP($B414, [1]DataLookUp!$B$4:$D$1000, 3, FALSE))</f>
        <v>AR (USD)</v>
      </c>
      <c r="F414" s="9">
        <v>124000000000023</v>
      </c>
      <c r="G414" s="16" t="s">
        <v>78</v>
      </c>
    </row>
    <row r="415" spans="2:7" x14ac:dyDescent="0.2">
      <c r="B415" s="9">
        <f>[1]DataLookUp!$B$17</f>
        <v>65000000000014</v>
      </c>
      <c r="C415" s="10" t="str">
        <f>IF(EXACT($B415, ""), "", VLOOKUP($B415, [1]DataLookUp!$B$4:$D$1000, 2, FALSE))</f>
        <v>1-1201.02</v>
      </c>
      <c r="D415" s="10" t="str">
        <f>IF(EXACT($B415, ""), "", VLOOKUP($B415, [1]DataLookUp!$B$4:$D$1000, 3, FALSE))</f>
        <v>AR (USD)</v>
      </c>
      <c r="F415" s="9">
        <v>124000000000024</v>
      </c>
      <c r="G415" s="16" t="s">
        <v>79</v>
      </c>
    </row>
    <row r="416" spans="2:7" x14ac:dyDescent="0.2">
      <c r="B416" s="9">
        <f>[1]DataLookUp!$B$17</f>
        <v>65000000000014</v>
      </c>
      <c r="C416" s="10" t="str">
        <f>IF(EXACT($B416, ""), "", VLOOKUP($B416, [1]DataLookUp!$B$4:$D$1000, 2, FALSE))</f>
        <v>1-1201.02</v>
      </c>
      <c r="D416" s="10" t="str">
        <f>IF(EXACT($B416, ""), "", VLOOKUP($B416, [1]DataLookUp!$B$4:$D$1000, 3, FALSE))</f>
        <v>AR (USD)</v>
      </c>
      <c r="F416" s="9">
        <v>124000000000025</v>
      </c>
      <c r="G416" s="16" t="s">
        <v>80</v>
      </c>
    </row>
    <row r="417" spans="2:7" x14ac:dyDescent="0.2">
      <c r="B417" s="9">
        <f>[1]DataLookUp!$B$17</f>
        <v>65000000000014</v>
      </c>
      <c r="C417" s="10" t="str">
        <f>IF(EXACT($B417, ""), "", VLOOKUP($B417, [1]DataLookUp!$B$4:$D$1000, 2, FALSE))</f>
        <v>1-1201.02</v>
      </c>
      <c r="D417" s="10" t="str">
        <f>IF(EXACT($B417, ""), "", VLOOKUP($B417, [1]DataLookUp!$B$4:$D$1000, 3, FALSE))</f>
        <v>AR (USD)</v>
      </c>
      <c r="F417" s="9">
        <v>124000000000026</v>
      </c>
      <c r="G417" s="16" t="s">
        <v>81</v>
      </c>
    </row>
    <row r="418" spans="2:7" x14ac:dyDescent="0.2">
      <c r="B418" s="9">
        <f>[1]DataLookUp!$B$17</f>
        <v>65000000000014</v>
      </c>
      <c r="C418" s="10" t="str">
        <f>IF(EXACT($B418, ""), "", VLOOKUP($B418, [1]DataLookUp!$B$4:$D$1000, 2, FALSE))</f>
        <v>1-1201.02</v>
      </c>
      <c r="D418" s="10" t="str">
        <f>IF(EXACT($B418, ""), "", VLOOKUP($B418, [1]DataLookUp!$B$4:$D$1000, 3, FALSE))</f>
        <v>AR (USD)</v>
      </c>
      <c r="F418" s="9">
        <v>124000000000027</v>
      </c>
      <c r="G418" s="16" t="s">
        <v>82</v>
      </c>
    </row>
    <row r="419" spans="2:7" x14ac:dyDescent="0.2">
      <c r="B419" s="9">
        <f>[1]DataLookUp!$B$17</f>
        <v>65000000000014</v>
      </c>
      <c r="C419" s="10" t="str">
        <f>IF(EXACT($B419, ""), "", VLOOKUP($B419, [1]DataLookUp!$B$4:$D$1000, 2, FALSE))</f>
        <v>1-1201.02</v>
      </c>
      <c r="D419" s="10" t="str">
        <f>IF(EXACT($B419, ""), "", VLOOKUP($B419, [1]DataLookUp!$B$4:$D$1000, 3, FALSE))</f>
        <v>AR (USD)</v>
      </c>
      <c r="F419" s="9">
        <v>124000000000028</v>
      </c>
      <c r="G419" s="16" t="s">
        <v>83</v>
      </c>
    </row>
    <row r="420" spans="2:7" x14ac:dyDescent="0.2">
      <c r="B420" s="9">
        <f>[1]DataLookUp!$B$17</f>
        <v>65000000000014</v>
      </c>
      <c r="C420" s="10" t="str">
        <f>IF(EXACT($B420, ""), "", VLOOKUP($B420, [1]DataLookUp!$B$4:$D$1000, 2, FALSE))</f>
        <v>1-1201.02</v>
      </c>
      <c r="D420" s="10" t="str">
        <f>IF(EXACT($B420, ""), "", VLOOKUP($B420, [1]DataLookUp!$B$4:$D$1000, 3, FALSE))</f>
        <v>AR (USD)</v>
      </c>
      <c r="F420" s="9">
        <v>124000000000029</v>
      </c>
      <c r="G420" s="16" t="s">
        <v>84</v>
      </c>
    </row>
    <row r="421" spans="2:7" x14ac:dyDescent="0.2">
      <c r="B421" s="9">
        <f>[1]DataLookUp!$B$17</f>
        <v>65000000000014</v>
      </c>
      <c r="C421" s="10" t="str">
        <f>IF(EXACT($B421, ""), "", VLOOKUP($B421, [1]DataLookUp!$B$4:$D$1000, 2, FALSE))</f>
        <v>1-1201.02</v>
      </c>
      <c r="D421" s="10" t="str">
        <f>IF(EXACT($B421, ""), "", VLOOKUP($B421, [1]DataLookUp!$B$4:$D$1000, 3, FALSE))</f>
        <v>AR (USD)</v>
      </c>
      <c r="F421" s="9">
        <v>124000000000030</v>
      </c>
      <c r="G421" s="16" t="s">
        <v>85</v>
      </c>
    </row>
    <row r="422" spans="2:7" x14ac:dyDescent="0.2">
      <c r="B422" s="9">
        <f>[1]DataLookUp!$B$17</f>
        <v>65000000000014</v>
      </c>
      <c r="C422" s="10" t="str">
        <f>IF(EXACT($B422, ""), "", VLOOKUP($B422, [1]DataLookUp!$B$4:$D$1000, 2, FALSE))</f>
        <v>1-1201.02</v>
      </c>
      <c r="D422" s="10" t="str">
        <f>IF(EXACT($B422, ""), "", VLOOKUP($B422, [1]DataLookUp!$B$4:$D$1000, 3, FALSE))</f>
        <v>AR (USD)</v>
      </c>
      <c r="F422" s="9">
        <v>124000000000031</v>
      </c>
      <c r="G422" s="16" t="s">
        <v>86</v>
      </c>
    </row>
    <row r="423" spans="2:7" x14ac:dyDescent="0.2">
      <c r="B423" s="9">
        <f>[1]DataLookUp!$B$17</f>
        <v>65000000000014</v>
      </c>
      <c r="C423" s="10" t="str">
        <f>IF(EXACT($B423, ""), "", VLOOKUP($B423, [1]DataLookUp!$B$4:$D$1000, 2, FALSE))</f>
        <v>1-1201.02</v>
      </c>
      <c r="D423" s="10" t="str">
        <f>IF(EXACT($B423, ""), "", VLOOKUP($B423, [1]DataLookUp!$B$4:$D$1000, 3, FALSE))</f>
        <v>AR (USD)</v>
      </c>
      <c r="F423" s="9">
        <v>124000000000032</v>
      </c>
      <c r="G423" s="16" t="s">
        <v>87</v>
      </c>
    </row>
    <row r="424" spans="2:7" x14ac:dyDescent="0.2">
      <c r="B424" s="9">
        <f>[1]DataLookUp!$B$17</f>
        <v>65000000000014</v>
      </c>
      <c r="C424" s="10" t="str">
        <f>IF(EXACT($B424, ""), "", VLOOKUP($B424, [1]DataLookUp!$B$4:$D$1000, 2, FALSE))</f>
        <v>1-1201.02</v>
      </c>
      <c r="D424" s="10" t="str">
        <f>IF(EXACT($B424, ""), "", VLOOKUP($B424, [1]DataLookUp!$B$4:$D$1000, 3, FALSE))</f>
        <v>AR (USD)</v>
      </c>
      <c r="F424" s="9">
        <v>124000000000033</v>
      </c>
      <c r="G424" s="16" t="s">
        <v>88</v>
      </c>
    </row>
    <row r="425" spans="2:7" x14ac:dyDescent="0.2">
      <c r="B425" s="9">
        <f>[1]DataLookUp!$B$17</f>
        <v>65000000000014</v>
      </c>
      <c r="C425" s="10" t="str">
        <f>IF(EXACT($B425, ""), "", VLOOKUP($B425, [1]DataLookUp!$B$4:$D$1000, 2, FALSE))</f>
        <v>1-1201.02</v>
      </c>
      <c r="D425" s="10" t="str">
        <f>IF(EXACT($B425, ""), "", VLOOKUP($B425, [1]DataLookUp!$B$4:$D$1000, 3, FALSE))</f>
        <v>AR (USD)</v>
      </c>
      <c r="F425" s="9">
        <v>124000000000034</v>
      </c>
      <c r="G425" s="16" t="s">
        <v>89</v>
      </c>
    </row>
    <row r="426" spans="2:7" x14ac:dyDescent="0.2">
      <c r="B426" s="9">
        <f>[1]DataLookUp!$B$17</f>
        <v>65000000000014</v>
      </c>
      <c r="C426" s="10" t="str">
        <f>IF(EXACT($B426, ""), "", VLOOKUP($B426, [1]DataLookUp!$B$4:$D$1000, 2, FALSE))</f>
        <v>1-1201.02</v>
      </c>
      <c r="D426" s="10" t="str">
        <f>IF(EXACT($B426, ""), "", VLOOKUP($B426, [1]DataLookUp!$B$4:$D$1000, 3, FALSE))</f>
        <v>AR (USD)</v>
      </c>
      <c r="F426" s="9">
        <v>124000000000035</v>
      </c>
      <c r="G426" s="16" t="s">
        <v>90</v>
      </c>
    </row>
    <row r="427" spans="2:7" x14ac:dyDescent="0.2">
      <c r="B427" s="9">
        <f>[1]DataLookUp!$B$17</f>
        <v>65000000000014</v>
      </c>
      <c r="C427" s="10" t="str">
        <f>IF(EXACT($B427, ""), "", VLOOKUP($B427, [1]DataLookUp!$B$4:$D$1000, 2, FALSE))</f>
        <v>1-1201.02</v>
      </c>
      <c r="D427" s="10" t="str">
        <f>IF(EXACT($B427, ""), "", VLOOKUP($B427, [1]DataLookUp!$B$4:$D$1000, 3, FALSE))</f>
        <v>AR (USD)</v>
      </c>
      <c r="F427" s="9">
        <v>124000000000036</v>
      </c>
      <c r="G427" s="16" t="s">
        <v>91</v>
      </c>
    </row>
    <row r="428" spans="2:7" x14ac:dyDescent="0.2">
      <c r="B428" s="9">
        <f>[1]DataLookUp!$B$17</f>
        <v>65000000000014</v>
      </c>
      <c r="C428" s="10" t="str">
        <f>IF(EXACT($B428, ""), "", VLOOKUP($B428, [1]DataLookUp!$B$4:$D$1000, 2, FALSE))</f>
        <v>1-1201.02</v>
      </c>
      <c r="D428" s="10" t="str">
        <f>IF(EXACT($B428, ""), "", VLOOKUP($B428, [1]DataLookUp!$B$4:$D$1000, 3, FALSE))</f>
        <v>AR (USD)</v>
      </c>
      <c r="F428" s="9">
        <v>124000000000037</v>
      </c>
      <c r="G428" s="16" t="s">
        <v>92</v>
      </c>
    </row>
    <row r="429" spans="2:7" x14ac:dyDescent="0.2">
      <c r="B429" s="9">
        <f>[1]DataLookUp!$B$17</f>
        <v>65000000000014</v>
      </c>
      <c r="C429" s="10" t="str">
        <f>IF(EXACT($B429, ""), "", VLOOKUP($B429, [1]DataLookUp!$B$4:$D$1000, 2, FALSE))</f>
        <v>1-1201.02</v>
      </c>
      <c r="D429" s="10" t="str">
        <f>IF(EXACT($B429, ""), "", VLOOKUP($B429, [1]DataLookUp!$B$4:$D$1000, 3, FALSE))</f>
        <v>AR (USD)</v>
      </c>
      <c r="F429" s="9">
        <v>124000000000038</v>
      </c>
      <c r="G429" s="16" t="s">
        <v>93</v>
      </c>
    </row>
    <row r="430" spans="2:7" x14ac:dyDescent="0.2">
      <c r="B430" s="9">
        <f>[1]DataLookUp!$B$17</f>
        <v>65000000000014</v>
      </c>
      <c r="C430" s="10" t="str">
        <f>IF(EXACT($B430, ""), "", VLOOKUP($B430, [1]DataLookUp!$B$4:$D$1000, 2, FALSE))</f>
        <v>1-1201.02</v>
      </c>
      <c r="D430" s="10" t="str">
        <f>IF(EXACT($B430, ""), "", VLOOKUP($B430, [1]DataLookUp!$B$4:$D$1000, 3, FALSE))</f>
        <v>AR (USD)</v>
      </c>
      <c r="F430" s="9">
        <v>124000000000039</v>
      </c>
      <c r="G430" s="16" t="s">
        <v>94</v>
      </c>
    </row>
    <row r="431" spans="2:7" x14ac:dyDescent="0.2">
      <c r="B431" s="9">
        <f>[1]DataLookUp!$B$17</f>
        <v>65000000000014</v>
      </c>
      <c r="C431" s="10" t="str">
        <f>IF(EXACT($B431, ""), "", VLOOKUP($B431, [1]DataLookUp!$B$4:$D$1000, 2, FALSE))</f>
        <v>1-1201.02</v>
      </c>
      <c r="D431" s="10" t="str">
        <f>IF(EXACT($B431, ""), "", VLOOKUP($B431, [1]DataLookUp!$B$4:$D$1000, 3, FALSE))</f>
        <v>AR (USD)</v>
      </c>
      <c r="F431" s="9">
        <v>124000000000040</v>
      </c>
      <c r="G431" s="16" t="s">
        <v>95</v>
      </c>
    </row>
    <row r="432" spans="2:7" x14ac:dyDescent="0.2">
      <c r="B432" s="9">
        <f>[1]DataLookUp!$B$17</f>
        <v>65000000000014</v>
      </c>
      <c r="C432" s="10" t="str">
        <f>IF(EXACT($B432, ""), "", VLOOKUP($B432, [1]DataLookUp!$B$4:$D$1000, 2, FALSE))</f>
        <v>1-1201.02</v>
      </c>
      <c r="D432" s="10" t="str">
        <f>IF(EXACT($B432, ""), "", VLOOKUP($B432, [1]DataLookUp!$B$4:$D$1000, 3, FALSE))</f>
        <v>AR (USD)</v>
      </c>
      <c r="F432" s="9">
        <v>124000000000041</v>
      </c>
      <c r="G432" s="16" t="s">
        <v>96</v>
      </c>
    </row>
    <row r="433" spans="2:7" x14ac:dyDescent="0.2">
      <c r="B433" s="9">
        <f>[1]DataLookUp!$B$17</f>
        <v>65000000000014</v>
      </c>
      <c r="C433" s="10" t="str">
        <f>IF(EXACT($B433, ""), "", VLOOKUP($B433, [1]DataLookUp!$B$4:$D$1000, 2, FALSE))</f>
        <v>1-1201.02</v>
      </c>
      <c r="D433" s="10" t="str">
        <f>IF(EXACT($B433, ""), "", VLOOKUP($B433, [1]DataLookUp!$B$4:$D$1000, 3, FALSE))</f>
        <v>AR (USD)</v>
      </c>
      <c r="F433" s="9">
        <v>124000000000042</v>
      </c>
      <c r="G433" s="16" t="s">
        <v>97</v>
      </c>
    </row>
    <row r="434" spans="2:7" x14ac:dyDescent="0.2">
      <c r="B434" s="9">
        <f>[1]DataLookUp!$B$17</f>
        <v>65000000000014</v>
      </c>
      <c r="C434" s="10" t="str">
        <f>IF(EXACT($B434, ""), "", VLOOKUP($B434, [1]DataLookUp!$B$4:$D$1000, 2, FALSE))</f>
        <v>1-1201.02</v>
      </c>
      <c r="D434" s="10" t="str">
        <f>IF(EXACT($B434, ""), "", VLOOKUP($B434, [1]DataLookUp!$B$4:$D$1000, 3, FALSE))</f>
        <v>AR (USD)</v>
      </c>
      <c r="F434" s="9">
        <v>124000000000043</v>
      </c>
      <c r="G434" s="16" t="s">
        <v>98</v>
      </c>
    </row>
    <row r="435" spans="2:7" x14ac:dyDescent="0.2">
      <c r="B435" s="9">
        <f>[1]DataLookUp!$B$17</f>
        <v>65000000000014</v>
      </c>
      <c r="C435" s="10" t="str">
        <f>IF(EXACT($B435, ""), "", VLOOKUP($B435, [1]DataLookUp!$B$4:$D$1000, 2, FALSE))</f>
        <v>1-1201.02</v>
      </c>
      <c r="D435" s="10" t="str">
        <f>IF(EXACT($B435, ""), "", VLOOKUP($B435, [1]DataLookUp!$B$4:$D$1000, 3, FALSE))</f>
        <v>AR (USD)</v>
      </c>
      <c r="F435" s="9">
        <v>124000000000044</v>
      </c>
      <c r="G435" s="16" t="s">
        <v>99</v>
      </c>
    </row>
    <row r="436" spans="2:7" x14ac:dyDescent="0.2">
      <c r="B436" s="9">
        <f>[1]DataLookUp!$B$17</f>
        <v>65000000000014</v>
      </c>
      <c r="C436" s="10" t="str">
        <f>IF(EXACT($B436, ""), "", VLOOKUP($B436, [1]DataLookUp!$B$4:$D$1000, 2, FALSE))</f>
        <v>1-1201.02</v>
      </c>
      <c r="D436" s="10" t="str">
        <f>IF(EXACT($B436, ""), "", VLOOKUP($B436, [1]DataLookUp!$B$4:$D$1000, 3, FALSE))</f>
        <v>AR (USD)</v>
      </c>
      <c r="F436" s="9">
        <v>124000000000045</v>
      </c>
      <c r="G436" s="16" t="s">
        <v>100</v>
      </c>
    </row>
    <row r="437" spans="2:7" x14ac:dyDescent="0.2">
      <c r="B437" s="9">
        <f>[1]DataLookUp!$B$17</f>
        <v>65000000000014</v>
      </c>
      <c r="C437" s="10" t="str">
        <f>IF(EXACT($B437, ""), "", VLOOKUP($B437, [1]DataLookUp!$B$4:$D$1000, 2, FALSE))</f>
        <v>1-1201.02</v>
      </c>
      <c r="D437" s="10" t="str">
        <f>IF(EXACT($B437, ""), "", VLOOKUP($B437, [1]DataLookUp!$B$4:$D$1000, 3, FALSE))</f>
        <v>AR (USD)</v>
      </c>
      <c r="F437" s="9">
        <v>124000000000046</v>
      </c>
      <c r="G437" s="16" t="s">
        <v>101</v>
      </c>
    </row>
    <row r="438" spans="2:7" x14ac:dyDescent="0.2">
      <c r="B438" s="9">
        <f>[1]DataLookUp!$B$17</f>
        <v>65000000000014</v>
      </c>
      <c r="C438" s="10" t="str">
        <f>IF(EXACT($B438, ""), "", VLOOKUP($B438, [1]DataLookUp!$B$4:$D$1000, 2, FALSE))</f>
        <v>1-1201.02</v>
      </c>
      <c r="D438" s="10" t="str">
        <f>IF(EXACT($B438, ""), "", VLOOKUP($B438, [1]DataLookUp!$B$4:$D$1000, 3, FALSE))</f>
        <v>AR (USD)</v>
      </c>
      <c r="F438" s="9">
        <v>124000000000047</v>
      </c>
      <c r="G438" s="16" t="s">
        <v>102</v>
      </c>
    </row>
    <row r="439" spans="2:7" x14ac:dyDescent="0.2">
      <c r="B439" s="9">
        <f>[1]DataLookUp!$B$17</f>
        <v>65000000000014</v>
      </c>
      <c r="C439" s="10" t="str">
        <f>IF(EXACT($B439, ""), "", VLOOKUP($B439, [1]DataLookUp!$B$4:$D$1000, 2, FALSE))</f>
        <v>1-1201.02</v>
      </c>
      <c r="D439" s="10" t="str">
        <f>IF(EXACT($B439, ""), "", VLOOKUP($B439, [1]DataLookUp!$B$4:$D$1000, 3, FALSE))</f>
        <v>AR (USD)</v>
      </c>
      <c r="F439" s="9">
        <v>124000000000048</v>
      </c>
      <c r="G439" s="16" t="s">
        <v>103</v>
      </c>
    </row>
    <row r="440" spans="2:7" x14ac:dyDescent="0.2">
      <c r="B440" s="9">
        <f>[1]DataLookUp!$B$17</f>
        <v>65000000000014</v>
      </c>
      <c r="C440" s="10" t="str">
        <f>IF(EXACT($B440, ""), "", VLOOKUP($B440, [1]DataLookUp!$B$4:$D$1000, 2, FALSE))</f>
        <v>1-1201.02</v>
      </c>
      <c r="D440" s="10" t="str">
        <f>IF(EXACT($B440, ""), "", VLOOKUP($B440, [1]DataLookUp!$B$4:$D$1000, 3, FALSE))</f>
        <v>AR (USD)</v>
      </c>
      <c r="F440" s="9">
        <v>124000000000049</v>
      </c>
      <c r="G440" s="16" t="s">
        <v>104</v>
      </c>
    </row>
    <row r="441" spans="2:7" x14ac:dyDescent="0.2">
      <c r="B441" s="9">
        <f>[1]DataLookUp!$B$17</f>
        <v>65000000000014</v>
      </c>
      <c r="C441" s="10" t="str">
        <f>IF(EXACT($B441, ""), "", VLOOKUP($B441, [1]DataLookUp!$B$4:$D$1000, 2, FALSE))</f>
        <v>1-1201.02</v>
      </c>
      <c r="D441" s="10" t="str">
        <f>IF(EXACT($B441, ""), "", VLOOKUP($B441, [1]DataLookUp!$B$4:$D$1000, 3, FALSE))</f>
        <v>AR (USD)</v>
      </c>
      <c r="F441" s="9">
        <v>124000000000050</v>
      </c>
      <c r="G441" s="16" t="s">
        <v>105</v>
      </c>
    </row>
    <row r="442" spans="2:7" x14ac:dyDescent="0.2">
      <c r="B442" s="9">
        <f>[1]DataLookUp!$B$17</f>
        <v>65000000000014</v>
      </c>
      <c r="C442" s="10" t="str">
        <f>IF(EXACT($B442, ""), "", VLOOKUP($B442, [1]DataLookUp!$B$4:$D$1000, 2, FALSE))</f>
        <v>1-1201.02</v>
      </c>
      <c r="D442" s="10" t="str">
        <f>IF(EXACT($B442, ""), "", VLOOKUP($B442, [1]DataLookUp!$B$4:$D$1000, 3, FALSE))</f>
        <v>AR (USD)</v>
      </c>
      <c r="F442" s="9">
        <v>124000000000051</v>
      </c>
      <c r="G442" s="16" t="s">
        <v>106</v>
      </c>
    </row>
    <row r="443" spans="2:7" x14ac:dyDescent="0.2">
      <c r="B443" s="9">
        <f>[1]DataLookUp!$B$17</f>
        <v>65000000000014</v>
      </c>
      <c r="C443" s="10" t="str">
        <f>IF(EXACT($B443, ""), "", VLOOKUP($B443, [1]DataLookUp!$B$4:$D$1000, 2, FALSE))</f>
        <v>1-1201.02</v>
      </c>
      <c r="D443" s="10" t="str">
        <f>IF(EXACT($B443, ""), "", VLOOKUP($B443, [1]DataLookUp!$B$4:$D$1000, 3, FALSE))</f>
        <v>AR (USD)</v>
      </c>
      <c r="F443" s="9">
        <v>124000000000052</v>
      </c>
      <c r="G443" s="16" t="s">
        <v>107</v>
      </c>
    </row>
    <row r="444" spans="2:7" x14ac:dyDescent="0.2">
      <c r="B444" s="9">
        <f>[1]DataLookUp!$B$17</f>
        <v>65000000000014</v>
      </c>
      <c r="C444" s="10" t="str">
        <f>IF(EXACT($B444, ""), "", VLOOKUP($B444, [1]DataLookUp!$B$4:$D$1000, 2, FALSE))</f>
        <v>1-1201.02</v>
      </c>
      <c r="D444" s="10" t="str">
        <f>IF(EXACT($B444, ""), "", VLOOKUP($B444, [1]DataLookUp!$B$4:$D$1000, 3, FALSE))</f>
        <v>AR (USD)</v>
      </c>
      <c r="F444" s="9">
        <v>124000000000053</v>
      </c>
      <c r="G444" s="16" t="s">
        <v>108</v>
      </c>
    </row>
    <row r="445" spans="2:7" x14ac:dyDescent="0.2">
      <c r="B445" s="9">
        <f>[1]DataLookUp!$B$17</f>
        <v>65000000000014</v>
      </c>
      <c r="C445" s="10" t="str">
        <f>IF(EXACT($B445, ""), "", VLOOKUP($B445, [1]DataLookUp!$B$4:$D$1000, 2, FALSE))</f>
        <v>1-1201.02</v>
      </c>
      <c r="D445" s="10" t="str">
        <f>IF(EXACT($B445, ""), "", VLOOKUP($B445, [1]DataLookUp!$B$4:$D$1000, 3, FALSE))</f>
        <v>AR (USD)</v>
      </c>
      <c r="F445" s="9">
        <v>124000000000054</v>
      </c>
      <c r="G445" s="16" t="s">
        <v>109</v>
      </c>
    </row>
    <row r="446" spans="2:7" x14ac:dyDescent="0.2">
      <c r="B446" s="9">
        <f>[1]DataLookUp!$B$17</f>
        <v>65000000000014</v>
      </c>
      <c r="C446" s="10" t="str">
        <f>IF(EXACT($B446, ""), "", VLOOKUP($B446, [1]DataLookUp!$B$4:$D$1000, 2, FALSE))</f>
        <v>1-1201.02</v>
      </c>
      <c r="D446" s="10" t="str">
        <f>IF(EXACT($B446, ""), "", VLOOKUP($B446, [1]DataLookUp!$B$4:$D$1000, 3, FALSE))</f>
        <v>AR (USD)</v>
      </c>
      <c r="F446" s="9">
        <v>124000000000055</v>
      </c>
      <c r="G446" s="16" t="s">
        <v>110</v>
      </c>
    </row>
    <row r="447" spans="2:7" x14ac:dyDescent="0.2">
      <c r="B447" s="9">
        <f>[1]DataLookUp!$B$17</f>
        <v>65000000000014</v>
      </c>
      <c r="C447" s="10" t="str">
        <f>IF(EXACT($B447, ""), "", VLOOKUP($B447, [1]DataLookUp!$B$4:$D$1000, 2, FALSE))</f>
        <v>1-1201.02</v>
      </c>
      <c r="D447" s="10" t="str">
        <f>IF(EXACT($B447, ""), "", VLOOKUP($B447, [1]DataLookUp!$B$4:$D$1000, 3, FALSE))</f>
        <v>AR (USD)</v>
      </c>
      <c r="F447" s="9">
        <v>124000000000056</v>
      </c>
      <c r="G447" s="16" t="s">
        <v>111</v>
      </c>
    </row>
    <row r="448" spans="2:7" x14ac:dyDescent="0.2">
      <c r="B448" s="9">
        <f>[1]DataLookUp!$B$17</f>
        <v>65000000000014</v>
      </c>
      <c r="C448" s="10" t="str">
        <f>IF(EXACT($B448, ""), "", VLOOKUP($B448, [1]DataLookUp!$B$4:$D$1000, 2, FALSE))</f>
        <v>1-1201.02</v>
      </c>
      <c r="D448" s="10" t="str">
        <f>IF(EXACT($B448, ""), "", VLOOKUP($B448, [1]DataLookUp!$B$4:$D$1000, 3, FALSE))</f>
        <v>AR (USD)</v>
      </c>
      <c r="F448" s="9">
        <v>124000000000057</v>
      </c>
      <c r="G448" s="16" t="s">
        <v>112</v>
      </c>
    </row>
    <row r="449" spans="2:7" x14ac:dyDescent="0.2">
      <c r="B449" s="9">
        <f>[1]DataLookUp!$B$17</f>
        <v>65000000000014</v>
      </c>
      <c r="C449" s="10" t="str">
        <f>IF(EXACT($B449, ""), "", VLOOKUP($B449, [1]DataLookUp!$B$4:$D$1000, 2, FALSE))</f>
        <v>1-1201.02</v>
      </c>
      <c r="D449" s="10" t="str">
        <f>IF(EXACT($B449, ""), "", VLOOKUP($B449, [1]DataLookUp!$B$4:$D$1000, 3, FALSE))</f>
        <v>AR (USD)</v>
      </c>
      <c r="F449" s="9">
        <v>124000000000058</v>
      </c>
      <c r="G449" s="16" t="s">
        <v>113</v>
      </c>
    </row>
    <row r="450" spans="2:7" x14ac:dyDescent="0.2">
      <c r="B450" s="9">
        <f>[1]DataLookUp!$B$17</f>
        <v>65000000000014</v>
      </c>
      <c r="C450" s="10" t="str">
        <f>IF(EXACT($B450, ""), "", VLOOKUP($B450, [1]DataLookUp!$B$4:$D$1000, 2, FALSE))</f>
        <v>1-1201.02</v>
      </c>
      <c r="D450" s="10" t="str">
        <f>IF(EXACT($B450, ""), "", VLOOKUP($B450, [1]DataLookUp!$B$4:$D$1000, 3, FALSE))</f>
        <v>AR (USD)</v>
      </c>
      <c r="F450" s="9">
        <v>124000000000059</v>
      </c>
      <c r="G450" s="16" t="s">
        <v>114</v>
      </c>
    </row>
    <row r="451" spans="2:7" x14ac:dyDescent="0.2">
      <c r="B451" s="9">
        <f>[1]DataLookUp!$B$17</f>
        <v>65000000000014</v>
      </c>
      <c r="C451" s="10" t="str">
        <f>IF(EXACT($B451, ""), "", VLOOKUP($B451, [1]DataLookUp!$B$4:$D$1000, 2, FALSE))</f>
        <v>1-1201.02</v>
      </c>
      <c r="D451" s="10" t="str">
        <f>IF(EXACT($B451, ""), "", VLOOKUP($B451, [1]DataLookUp!$B$4:$D$1000, 3, FALSE))</f>
        <v>AR (USD)</v>
      </c>
      <c r="F451" s="9">
        <v>124000000000060</v>
      </c>
      <c r="G451" s="16" t="s">
        <v>115</v>
      </c>
    </row>
    <row r="452" spans="2:7" x14ac:dyDescent="0.2">
      <c r="B452" s="9">
        <f>[1]DataLookUp!$B$17</f>
        <v>65000000000014</v>
      </c>
      <c r="C452" s="10" t="str">
        <f>IF(EXACT($B452, ""), "", VLOOKUP($B452, [1]DataLookUp!$B$4:$D$1000, 2, FALSE))</f>
        <v>1-1201.02</v>
      </c>
      <c r="D452" s="10" t="str">
        <f>IF(EXACT($B452, ""), "", VLOOKUP($B452, [1]DataLookUp!$B$4:$D$1000, 3, FALSE))</f>
        <v>AR (USD)</v>
      </c>
      <c r="F452" s="9">
        <v>124000000000061</v>
      </c>
      <c r="G452" s="16" t="s">
        <v>116</v>
      </c>
    </row>
    <row r="453" spans="2:7" x14ac:dyDescent="0.2">
      <c r="B453" s="9">
        <f>[1]DataLookUp!$B$17</f>
        <v>65000000000014</v>
      </c>
      <c r="C453" s="10" t="str">
        <f>IF(EXACT($B453, ""), "", VLOOKUP($B453, [1]DataLookUp!$B$4:$D$1000, 2, FALSE))</f>
        <v>1-1201.02</v>
      </c>
      <c r="D453" s="10" t="str">
        <f>IF(EXACT($B453, ""), "", VLOOKUP($B453, [1]DataLookUp!$B$4:$D$1000, 3, FALSE))</f>
        <v>AR (USD)</v>
      </c>
      <c r="F453" s="9">
        <v>124000000000062</v>
      </c>
      <c r="G453" s="16" t="s">
        <v>117</v>
      </c>
    </row>
    <row r="454" spans="2:7" x14ac:dyDescent="0.2">
      <c r="B454" s="9">
        <f>[1]DataLookUp!$B$17</f>
        <v>65000000000014</v>
      </c>
      <c r="C454" s="10" t="str">
        <f>IF(EXACT($B454, ""), "", VLOOKUP($B454, [1]DataLookUp!$B$4:$D$1000, 2, FALSE))</f>
        <v>1-1201.02</v>
      </c>
      <c r="D454" s="10" t="str">
        <f>IF(EXACT($B454, ""), "", VLOOKUP($B454, [1]DataLookUp!$B$4:$D$1000, 3, FALSE))</f>
        <v>AR (USD)</v>
      </c>
      <c r="F454" s="9">
        <v>124000000000063</v>
      </c>
      <c r="G454" s="16" t="s">
        <v>118</v>
      </c>
    </row>
    <row r="455" spans="2:7" x14ac:dyDescent="0.2">
      <c r="B455" s="9">
        <f>[1]DataLookUp!$B$17</f>
        <v>65000000000014</v>
      </c>
      <c r="C455" s="10" t="str">
        <f>IF(EXACT($B455, ""), "", VLOOKUP($B455, [1]DataLookUp!$B$4:$D$1000, 2, FALSE))</f>
        <v>1-1201.02</v>
      </c>
      <c r="D455" s="10" t="str">
        <f>IF(EXACT($B455, ""), "", VLOOKUP($B455, [1]DataLookUp!$B$4:$D$1000, 3, FALSE))</f>
        <v>AR (USD)</v>
      </c>
      <c r="F455" s="9">
        <v>124000000000064</v>
      </c>
      <c r="G455" s="16" t="s">
        <v>119</v>
      </c>
    </row>
    <row r="456" spans="2:7" x14ac:dyDescent="0.2">
      <c r="B456" s="9">
        <f>[1]DataLookUp!$B$17</f>
        <v>65000000000014</v>
      </c>
      <c r="C456" s="10" t="str">
        <f>IF(EXACT($B456, ""), "", VLOOKUP($B456, [1]DataLookUp!$B$4:$D$1000, 2, FALSE))</f>
        <v>1-1201.02</v>
      </c>
      <c r="D456" s="10" t="str">
        <f>IF(EXACT($B456, ""), "", VLOOKUP($B456, [1]DataLookUp!$B$4:$D$1000, 3, FALSE))</f>
        <v>AR (USD)</v>
      </c>
      <c r="F456" s="9">
        <v>124000000000065</v>
      </c>
      <c r="G456" s="16" t="s">
        <v>120</v>
      </c>
    </row>
    <row r="457" spans="2:7" x14ac:dyDescent="0.2">
      <c r="B457" s="9">
        <f>[1]DataLookUp!$B$17</f>
        <v>65000000000014</v>
      </c>
      <c r="C457" s="10" t="str">
        <f>IF(EXACT($B457, ""), "", VLOOKUP($B457, [1]DataLookUp!$B$4:$D$1000, 2, FALSE))</f>
        <v>1-1201.02</v>
      </c>
      <c r="D457" s="10" t="str">
        <f>IF(EXACT($B457, ""), "", VLOOKUP($B457, [1]DataLookUp!$B$4:$D$1000, 3, FALSE))</f>
        <v>AR (USD)</v>
      </c>
      <c r="F457" s="9">
        <v>124000000000066</v>
      </c>
      <c r="G457" s="16" t="s">
        <v>121</v>
      </c>
    </row>
    <row r="458" spans="2:7" x14ac:dyDescent="0.2">
      <c r="B458" s="9">
        <f>[1]DataLookUp!$B$17</f>
        <v>65000000000014</v>
      </c>
      <c r="C458" s="10" t="str">
        <f>IF(EXACT($B458, ""), "", VLOOKUP($B458, [1]DataLookUp!$B$4:$D$1000, 2, FALSE))</f>
        <v>1-1201.02</v>
      </c>
      <c r="D458" s="10" t="str">
        <f>IF(EXACT($B458, ""), "", VLOOKUP($B458, [1]DataLookUp!$B$4:$D$1000, 3, FALSE))</f>
        <v>AR (USD)</v>
      </c>
      <c r="F458" s="9">
        <v>124000000000067</v>
      </c>
      <c r="G458" s="16" t="s">
        <v>122</v>
      </c>
    </row>
    <row r="459" spans="2:7" x14ac:dyDescent="0.2">
      <c r="B459" s="9">
        <f>[1]DataLookUp!$B$17</f>
        <v>65000000000014</v>
      </c>
      <c r="C459" s="10" t="str">
        <f>IF(EXACT($B459, ""), "", VLOOKUP($B459, [1]DataLookUp!$B$4:$D$1000, 2, FALSE))</f>
        <v>1-1201.02</v>
      </c>
      <c r="D459" s="10" t="str">
        <f>IF(EXACT($B459, ""), "", VLOOKUP($B459, [1]DataLookUp!$B$4:$D$1000, 3, FALSE))</f>
        <v>AR (USD)</v>
      </c>
      <c r="F459" s="9">
        <v>124000000000068</v>
      </c>
      <c r="G459" s="16" t="s">
        <v>123</v>
      </c>
    </row>
    <row r="460" spans="2:7" x14ac:dyDescent="0.2">
      <c r="B460" s="9">
        <f>[1]DataLookUp!$B$17</f>
        <v>65000000000014</v>
      </c>
      <c r="C460" s="10" t="str">
        <f>IF(EXACT($B460, ""), "", VLOOKUP($B460, [1]DataLookUp!$B$4:$D$1000, 2, FALSE))</f>
        <v>1-1201.02</v>
      </c>
      <c r="D460" s="10" t="str">
        <f>IF(EXACT($B460, ""), "", VLOOKUP($B460, [1]DataLookUp!$B$4:$D$1000, 3, FALSE))</f>
        <v>AR (USD)</v>
      </c>
      <c r="F460" s="9">
        <v>124000000000069</v>
      </c>
      <c r="G460" s="16" t="s">
        <v>124</v>
      </c>
    </row>
    <row r="461" spans="2:7" x14ac:dyDescent="0.2">
      <c r="B461" s="9">
        <f>[1]DataLookUp!$B$17</f>
        <v>65000000000014</v>
      </c>
      <c r="C461" s="10" t="str">
        <f>IF(EXACT($B461, ""), "", VLOOKUP($B461, [1]DataLookUp!$B$4:$D$1000, 2, FALSE))</f>
        <v>1-1201.02</v>
      </c>
      <c r="D461" s="10" t="str">
        <f>IF(EXACT($B461, ""), "", VLOOKUP($B461, [1]DataLookUp!$B$4:$D$1000, 3, FALSE))</f>
        <v>AR (USD)</v>
      </c>
      <c r="F461" s="9">
        <v>124000000000070</v>
      </c>
      <c r="G461" s="16" t="s">
        <v>125</v>
      </c>
    </row>
    <row r="462" spans="2:7" x14ac:dyDescent="0.2">
      <c r="B462" s="9">
        <f>[1]DataLookUp!$B$17</f>
        <v>65000000000014</v>
      </c>
      <c r="C462" s="10" t="str">
        <f>IF(EXACT($B462, ""), "", VLOOKUP($B462, [1]DataLookUp!$B$4:$D$1000, 2, FALSE))</f>
        <v>1-1201.02</v>
      </c>
      <c r="D462" s="10" t="str">
        <f>IF(EXACT($B462, ""), "", VLOOKUP($B462, [1]DataLookUp!$B$4:$D$1000, 3, FALSE))</f>
        <v>AR (USD)</v>
      </c>
      <c r="F462" s="9">
        <v>124000000000071</v>
      </c>
      <c r="G462" s="16" t="s">
        <v>126</v>
      </c>
    </row>
    <row r="463" spans="2:7" x14ac:dyDescent="0.2">
      <c r="B463" s="9">
        <f>[1]DataLookUp!$B$17</f>
        <v>65000000000014</v>
      </c>
      <c r="C463" s="10" t="str">
        <f>IF(EXACT($B463, ""), "", VLOOKUP($B463, [1]DataLookUp!$B$4:$D$1000, 2, FALSE))</f>
        <v>1-1201.02</v>
      </c>
      <c r="D463" s="10" t="str">
        <f>IF(EXACT($B463, ""), "", VLOOKUP($B463, [1]DataLookUp!$B$4:$D$1000, 3, FALSE))</f>
        <v>AR (USD)</v>
      </c>
      <c r="F463" s="9">
        <v>124000000000072</v>
      </c>
      <c r="G463" s="16" t="s">
        <v>127</v>
      </c>
    </row>
    <row r="464" spans="2:7" x14ac:dyDescent="0.2">
      <c r="B464" s="9">
        <f>[1]DataLookUp!$B$17</f>
        <v>65000000000014</v>
      </c>
      <c r="C464" s="10" t="str">
        <f>IF(EXACT($B464, ""), "", VLOOKUP($B464, [1]DataLookUp!$B$4:$D$1000, 2, FALSE))</f>
        <v>1-1201.02</v>
      </c>
      <c r="D464" s="10" t="str">
        <f>IF(EXACT($B464, ""), "", VLOOKUP($B464, [1]DataLookUp!$B$4:$D$1000, 3, FALSE))</f>
        <v>AR (USD)</v>
      </c>
      <c r="F464" s="9">
        <v>124000000000073</v>
      </c>
      <c r="G464" s="16" t="s">
        <v>128</v>
      </c>
    </row>
    <row r="465" spans="2:7" x14ac:dyDescent="0.2">
      <c r="B465" s="9">
        <f>[1]DataLookUp!$B$17</f>
        <v>65000000000014</v>
      </c>
      <c r="C465" s="10" t="str">
        <f>IF(EXACT($B465, ""), "", VLOOKUP($B465, [1]DataLookUp!$B$4:$D$1000, 2, FALSE))</f>
        <v>1-1201.02</v>
      </c>
      <c r="D465" s="10" t="str">
        <f>IF(EXACT($B465, ""), "", VLOOKUP($B465, [1]DataLookUp!$B$4:$D$1000, 3, FALSE))</f>
        <v>AR (USD)</v>
      </c>
      <c r="F465" s="9">
        <v>124000000000074</v>
      </c>
      <c r="G465" s="16" t="s">
        <v>129</v>
      </c>
    </row>
    <row r="466" spans="2:7" x14ac:dyDescent="0.2">
      <c r="B466" s="9">
        <f>[1]DataLookUp!$B$17</f>
        <v>65000000000014</v>
      </c>
      <c r="C466" s="10" t="str">
        <f>IF(EXACT($B466, ""), "", VLOOKUP($B466, [1]DataLookUp!$B$4:$D$1000, 2, FALSE))</f>
        <v>1-1201.02</v>
      </c>
      <c r="D466" s="10" t="str">
        <f>IF(EXACT($B466, ""), "", VLOOKUP($B466, [1]DataLookUp!$B$4:$D$1000, 3, FALSE))</f>
        <v>AR (USD)</v>
      </c>
      <c r="F466" s="9">
        <v>124000000000075</v>
      </c>
      <c r="G466" s="16" t="s">
        <v>130</v>
      </c>
    </row>
    <row r="467" spans="2:7" x14ac:dyDescent="0.2">
      <c r="B467" s="9">
        <f>[1]DataLookUp!$B$17</f>
        <v>65000000000014</v>
      </c>
      <c r="C467" s="10" t="str">
        <f>IF(EXACT($B467, ""), "", VLOOKUP($B467, [1]DataLookUp!$B$4:$D$1000, 2, FALSE))</f>
        <v>1-1201.02</v>
      </c>
      <c r="D467" s="10" t="str">
        <f>IF(EXACT($B467, ""), "", VLOOKUP($B467, [1]DataLookUp!$B$4:$D$1000, 3, FALSE))</f>
        <v>AR (USD)</v>
      </c>
      <c r="F467" s="9">
        <v>124000000000081</v>
      </c>
      <c r="G467" s="16" t="s">
        <v>131</v>
      </c>
    </row>
    <row r="468" spans="2:7" x14ac:dyDescent="0.2">
      <c r="B468" s="9">
        <f>[1]DataLookUp!$B$17</f>
        <v>65000000000014</v>
      </c>
      <c r="C468" s="10" t="str">
        <f>IF(EXACT($B468, ""), "", VLOOKUP($B468, [1]DataLookUp!$B$4:$D$1000, 2, FALSE))</f>
        <v>1-1201.02</v>
      </c>
      <c r="D468" s="10" t="str">
        <f>IF(EXACT($B468, ""), "", VLOOKUP($B468, [1]DataLookUp!$B$4:$D$1000, 3, FALSE))</f>
        <v>AR (USD)</v>
      </c>
      <c r="F468" s="9">
        <v>124000000000082</v>
      </c>
      <c r="G468" s="16" t="s">
        <v>132</v>
      </c>
    </row>
    <row r="469" spans="2:7" x14ac:dyDescent="0.2">
      <c r="B469" s="9">
        <f>[1]DataLookUp!$B$17</f>
        <v>65000000000014</v>
      </c>
      <c r="C469" s="10" t="str">
        <f>IF(EXACT($B469, ""), "", VLOOKUP($B469, [1]DataLookUp!$B$4:$D$1000, 2, FALSE))</f>
        <v>1-1201.02</v>
      </c>
      <c r="D469" s="10" t="str">
        <f>IF(EXACT($B469, ""), "", VLOOKUP($B469, [1]DataLookUp!$B$4:$D$1000, 3, FALSE))</f>
        <v>AR (USD)</v>
      </c>
      <c r="F469" s="9">
        <v>124000000000083</v>
      </c>
      <c r="G469" s="16" t="s">
        <v>133</v>
      </c>
    </row>
    <row r="470" spans="2:7" x14ac:dyDescent="0.2">
      <c r="B470" s="9">
        <f>[1]DataLookUp!$B$17</f>
        <v>65000000000014</v>
      </c>
      <c r="C470" s="10" t="str">
        <f>IF(EXACT($B470, ""), "", VLOOKUP($B470, [1]DataLookUp!$B$4:$D$1000, 2, FALSE))</f>
        <v>1-1201.02</v>
      </c>
      <c r="D470" s="10" t="str">
        <f>IF(EXACT($B470, ""), "", VLOOKUP($B470, [1]DataLookUp!$B$4:$D$1000, 3, FALSE))</f>
        <v>AR (USD)</v>
      </c>
      <c r="F470" s="9">
        <v>124000000000084</v>
      </c>
      <c r="G470" s="16" t="s">
        <v>134</v>
      </c>
    </row>
    <row r="471" spans="2:7" ht="7.5" customHeight="1" x14ac:dyDescent="0.2">
      <c r="B471" s="14"/>
      <c r="C471" s="11" t="str">
        <f>IF(EXACT($B471, ""), "", VLOOKUP($B471, [1]DataLookUp!$B$4:$D$1000, 2, FALSE))</f>
        <v/>
      </c>
      <c r="D471" s="11" t="str">
        <f>IF(EXACT($B471, ""), "", VLOOKUP($B471, [1]DataLookUp!$B$4:$D$1000, 3, FALSE))</f>
        <v/>
      </c>
      <c r="F471" s="14"/>
      <c r="G471" s="14"/>
    </row>
    <row r="472" spans="2:7" x14ac:dyDescent="0.2">
      <c r="B472" s="9">
        <f>[1]DataLookUp!$B$18</f>
        <v>65000000000015</v>
      </c>
      <c r="C472" s="10" t="str">
        <f>IF(EXACT($B472, ""), "", VLOOKUP($B472, [1]DataLookUp!$B$4:$D$1000, 2, FALSE))</f>
        <v>1-1202</v>
      </c>
      <c r="D472" s="10" t="str">
        <f>IF(EXACT($B472, ""), "", VLOOKUP($B472, [1]DataLookUp!$B$4:$D$1000, 3, FALSE))</f>
        <v>Cadangan Kerugian Piutang</v>
      </c>
      <c r="F472" s="9"/>
      <c r="G472" s="16"/>
    </row>
    <row r="473" spans="2:7" ht="7.5" customHeight="1" x14ac:dyDescent="0.2">
      <c r="B473" s="14"/>
      <c r="C473" s="11" t="str">
        <f>IF(EXACT($B473, ""), "", VLOOKUP($B473, [1]DataLookUp!$B$4:$D$1000, 2, FALSE))</f>
        <v/>
      </c>
      <c r="D473" s="11" t="str">
        <f>IF(EXACT($B473, ""), "", VLOOKUP($B473, [1]DataLookUp!$B$4:$D$1000, 3, FALSE))</f>
        <v/>
      </c>
      <c r="F473" s="14"/>
      <c r="G473" s="14"/>
    </row>
    <row r="474" spans="2:7" x14ac:dyDescent="0.2">
      <c r="B474" s="9">
        <f>[1]DataLookUp!$B$42</f>
        <v>65000000000039</v>
      </c>
      <c r="C474" s="10" t="str">
        <f>IF(EXACT($B474, ""), "", VLOOKUP($B474, [1]DataLookUp!$B$4:$D$1000, 2, FALSE))</f>
        <v>1-1600.01</v>
      </c>
      <c r="D474" s="10" t="str">
        <f>IF(EXACT($B474, ""), "", VLOOKUP($B474, [1]DataLookUp!$B$4:$D$1000, 3, FALSE))</f>
        <v>Perlengkapan Kantor (IDR)</v>
      </c>
      <c r="F474" s="9">
        <v>25000000000382</v>
      </c>
      <c r="G474" s="16" t="s">
        <v>171</v>
      </c>
    </row>
    <row r="475" spans="2:7" x14ac:dyDescent="0.2">
      <c r="B475" s="9">
        <f>[1]DataLookUp!$B$42</f>
        <v>65000000000039</v>
      </c>
      <c r="C475" s="10" t="str">
        <f>IF(EXACT($B475, ""), "", VLOOKUP($B475, [1]DataLookUp!$B$4:$D$1000, 2, FALSE))</f>
        <v>1-1600.01</v>
      </c>
      <c r="D475" s="10" t="str">
        <f>IF(EXACT($B475, ""), "", VLOOKUP($B475, [1]DataLookUp!$B$4:$D$1000, 3, FALSE))</f>
        <v>Perlengkapan Kantor (IDR)</v>
      </c>
      <c r="F475" s="9">
        <v>25000000000559</v>
      </c>
      <c r="G475" s="16" t="s">
        <v>195</v>
      </c>
    </row>
    <row r="476" spans="2:7" x14ac:dyDescent="0.2">
      <c r="B476" s="9">
        <f>[1]DataLookUp!$B$42</f>
        <v>65000000000039</v>
      </c>
      <c r="C476" s="10" t="str">
        <f>IF(EXACT($B476, ""), "", VLOOKUP($B476, [1]DataLookUp!$B$4:$D$1000, 2, FALSE))</f>
        <v>1-1600.01</v>
      </c>
      <c r="D476" s="10" t="str">
        <f>IF(EXACT($B476, ""), "", VLOOKUP($B476, [1]DataLookUp!$B$4:$D$1000, 3, FALSE))</f>
        <v>Perlengkapan Kantor (IDR)</v>
      </c>
      <c r="F476" s="9">
        <v>25000000000012</v>
      </c>
      <c r="G476" s="16" t="s">
        <v>135</v>
      </c>
    </row>
    <row r="477" spans="2:7" x14ac:dyDescent="0.2">
      <c r="B477" s="9">
        <f>[1]DataLookUp!$B$42</f>
        <v>65000000000039</v>
      </c>
      <c r="C477" s="10" t="str">
        <f>IF(EXACT($B477, ""), "", VLOOKUP($B477, [1]DataLookUp!$B$4:$D$1000, 2, FALSE))</f>
        <v>1-1600.01</v>
      </c>
      <c r="D477" s="10" t="str">
        <f>IF(EXACT($B477, ""), "", VLOOKUP($B477, [1]DataLookUp!$B$4:$D$1000, 3, FALSE))</f>
        <v>Perlengkapan Kantor (IDR)</v>
      </c>
      <c r="F477" s="9">
        <v>25000000000015</v>
      </c>
      <c r="G477" s="16" t="s">
        <v>136</v>
      </c>
    </row>
    <row r="478" spans="2:7" x14ac:dyDescent="0.2">
      <c r="B478" s="9">
        <f>[1]DataLookUp!$B$42</f>
        <v>65000000000039</v>
      </c>
      <c r="C478" s="10" t="str">
        <f>IF(EXACT($B478, ""), "", VLOOKUP($B478, [1]DataLookUp!$B$4:$D$1000, 2, FALSE))</f>
        <v>1-1600.01</v>
      </c>
      <c r="D478" s="10" t="str">
        <f>IF(EXACT($B478, ""), "", VLOOKUP($B478, [1]DataLookUp!$B$4:$D$1000, 3, FALSE))</f>
        <v>Perlengkapan Kantor (IDR)</v>
      </c>
      <c r="F478" s="9">
        <v>25000000000513</v>
      </c>
      <c r="G478" s="16" t="s">
        <v>186</v>
      </c>
    </row>
    <row r="479" spans="2:7" x14ac:dyDescent="0.2">
      <c r="B479" s="9">
        <f>[1]DataLookUp!$B$42</f>
        <v>65000000000039</v>
      </c>
      <c r="C479" s="10" t="str">
        <f>IF(EXACT($B479, ""), "", VLOOKUP($B479, [1]DataLookUp!$B$4:$D$1000, 2, FALSE))</f>
        <v>1-1600.01</v>
      </c>
      <c r="D479" s="10" t="str">
        <f>IF(EXACT($B479, ""), "", VLOOKUP($B479, [1]DataLookUp!$B$4:$D$1000, 3, FALSE))</f>
        <v>Perlengkapan Kantor (IDR)</v>
      </c>
      <c r="F479" s="9">
        <v>25000000000017</v>
      </c>
      <c r="G479" s="16" t="s">
        <v>137</v>
      </c>
    </row>
    <row r="480" spans="2:7" x14ac:dyDescent="0.2">
      <c r="B480" s="9">
        <f>[1]DataLookUp!$B$42</f>
        <v>65000000000039</v>
      </c>
      <c r="C480" s="10" t="str">
        <f>IF(EXACT($B480, ""), "", VLOOKUP($B480, [1]DataLookUp!$B$4:$D$1000, 2, FALSE))</f>
        <v>1-1600.01</v>
      </c>
      <c r="D480" s="10" t="str">
        <f>IF(EXACT($B480, ""), "", VLOOKUP($B480, [1]DataLookUp!$B$4:$D$1000, 3, FALSE))</f>
        <v>Perlengkapan Kantor (IDR)</v>
      </c>
      <c r="F480" s="9">
        <v>25000000000592</v>
      </c>
      <c r="G480" s="16" t="s">
        <v>201</v>
      </c>
    </row>
    <row r="481" spans="2:7" x14ac:dyDescent="0.2">
      <c r="B481" s="9">
        <f>[1]DataLookUp!$B$42</f>
        <v>65000000000039</v>
      </c>
      <c r="C481" s="10" t="str">
        <f>IF(EXACT($B481, ""), "", VLOOKUP($B481, [1]DataLookUp!$B$4:$D$1000, 2, FALSE))</f>
        <v>1-1600.01</v>
      </c>
      <c r="D481" s="10" t="str">
        <f>IF(EXACT($B481, ""), "", VLOOKUP($B481, [1]DataLookUp!$B$4:$D$1000, 3, FALSE))</f>
        <v>Perlengkapan Kantor (IDR)</v>
      </c>
      <c r="F481" s="9">
        <v>25000000000023</v>
      </c>
      <c r="G481" s="16" t="s">
        <v>138</v>
      </c>
    </row>
    <row r="482" spans="2:7" x14ac:dyDescent="0.2">
      <c r="B482" s="9">
        <f>[1]DataLookUp!$B$42</f>
        <v>65000000000039</v>
      </c>
      <c r="C482" s="10" t="str">
        <f>IF(EXACT($B482, ""), "", VLOOKUP($B482, [1]DataLookUp!$B$4:$D$1000, 2, FALSE))</f>
        <v>1-1600.01</v>
      </c>
      <c r="D482" s="10" t="str">
        <f>IF(EXACT($B482, ""), "", VLOOKUP($B482, [1]DataLookUp!$B$4:$D$1000, 3, FALSE))</f>
        <v>Perlengkapan Kantor (IDR)</v>
      </c>
      <c r="F482" s="9">
        <v>25000000000593</v>
      </c>
      <c r="G482" s="16" t="s">
        <v>202</v>
      </c>
    </row>
    <row r="483" spans="2:7" x14ac:dyDescent="0.2">
      <c r="B483" s="9">
        <f>[1]DataLookUp!$B$42</f>
        <v>65000000000039</v>
      </c>
      <c r="C483" s="10" t="str">
        <f>IF(EXACT($B483, ""), "", VLOOKUP($B483, [1]DataLookUp!$B$4:$D$1000, 2, FALSE))</f>
        <v>1-1600.01</v>
      </c>
      <c r="D483" s="10" t="str">
        <f>IF(EXACT($B483, ""), "", VLOOKUP($B483, [1]DataLookUp!$B$4:$D$1000, 3, FALSE))</f>
        <v>Perlengkapan Kantor (IDR)</v>
      </c>
      <c r="F483" s="9">
        <v>25000000000038</v>
      </c>
      <c r="G483" s="16" t="s">
        <v>139</v>
      </c>
    </row>
    <row r="484" spans="2:7" x14ac:dyDescent="0.2">
      <c r="B484" s="9">
        <f>[1]DataLookUp!$B$42</f>
        <v>65000000000039</v>
      </c>
      <c r="C484" s="10" t="str">
        <f>IF(EXACT($B484, ""), "", VLOOKUP($B484, [1]DataLookUp!$B$4:$D$1000, 2, FALSE))</f>
        <v>1-1600.01</v>
      </c>
      <c r="D484" s="10" t="str">
        <f>IF(EXACT($B484, ""), "", VLOOKUP($B484, [1]DataLookUp!$B$4:$D$1000, 3, FALSE))</f>
        <v>Perlengkapan Kantor (IDR)</v>
      </c>
      <c r="F484" s="9">
        <v>25000000000039</v>
      </c>
      <c r="G484" s="16" t="s">
        <v>140</v>
      </c>
    </row>
    <row r="485" spans="2:7" x14ac:dyDescent="0.2">
      <c r="B485" s="9">
        <f>[1]DataLookUp!$B$42</f>
        <v>65000000000039</v>
      </c>
      <c r="C485" s="10" t="str">
        <f>IF(EXACT($B485, ""), "", VLOOKUP($B485, [1]DataLookUp!$B$4:$D$1000, 2, FALSE))</f>
        <v>1-1600.01</v>
      </c>
      <c r="D485" s="10" t="str">
        <f>IF(EXACT($B485, ""), "", VLOOKUP($B485, [1]DataLookUp!$B$4:$D$1000, 3, FALSE))</f>
        <v>Perlengkapan Kantor (IDR)</v>
      </c>
      <c r="F485" s="9">
        <v>25000000000044</v>
      </c>
      <c r="G485" s="16" t="s">
        <v>141</v>
      </c>
    </row>
    <row r="486" spans="2:7" x14ac:dyDescent="0.2">
      <c r="B486" s="9">
        <f>[1]DataLookUp!$B$42</f>
        <v>65000000000039</v>
      </c>
      <c r="C486" s="10" t="str">
        <f>IF(EXACT($B486, ""), "", VLOOKUP($B486, [1]DataLookUp!$B$4:$D$1000, 2, FALSE))</f>
        <v>1-1600.01</v>
      </c>
      <c r="D486" s="10" t="str">
        <f>IF(EXACT($B486, ""), "", VLOOKUP($B486, [1]DataLookUp!$B$4:$D$1000, 3, FALSE))</f>
        <v>Perlengkapan Kantor (IDR)</v>
      </c>
      <c r="F486" s="9">
        <v>25000000000047</v>
      </c>
      <c r="G486" s="16" t="s">
        <v>142</v>
      </c>
    </row>
    <row r="487" spans="2:7" x14ac:dyDescent="0.2">
      <c r="B487" s="9">
        <f>[1]DataLookUp!$B$42</f>
        <v>65000000000039</v>
      </c>
      <c r="C487" s="10" t="str">
        <f>IF(EXACT($B487, ""), "", VLOOKUP($B487, [1]DataLookUp!$B$4:$D$1000, 2, FALSE))</f>
        <v>1-1600.01</v>
      </c>
      <c r="D487" s="10" t="str">
        <f>IF(EXACT($B487, ""), "", VLOOKUP($B487, [1]DataLookUp!$B$4:$D$1000, 3, FALSE))</f>
        <v>Perlengkapan Kantor (IDR)</v>
      </c>
      <c r="F487" s="9">
        <v>25000000000075</v>
      </c>
      <c r="G487" s="16" t="s">
        <v>143</v>
      </c>
    </row>
    <row r="488" spans="2:7" x14ac:dyDescent="0.2">
      <c r="B488" s="9">
        <f>[1]DataLookUp!$B$42</f>
        <v>65000000000039</v>
      </c>
      <c r="C488" s="10" t="str">
        <f>IF(EXACT($B488, ""), "", VLOOKUP($B488, [1]DataLookUp!$B$4:$D$1000, 2, FALSE))</f>
        <v>1-1600.01</v>
      </c>
      <c r="D488" s="10" t="str">
        <f>IF(EXACT($B488, ""), "", VLOOKUP($B488, [1]DataLookUp!$B$4:$D$1000, 3, FALSE))</f>
        <v>Perlengkapan Kantor (IDR)</v>
      </c>
      <c r="F488" s="9">
        <v>25000000000082</v>
      </c>
      <c r="G488" s="16" t="s">
        <v>144</v>
      </c>
    </row>
    <row r="489" spans="2:7" x14ac:dyDescent="0.2">
      <c r="B489" s="9">
        <f>[1]DataLookUp!$B$42</f>
        <v>65000000000039</v>
      </c>
      <c r="C489" s="10" t="str">
        <f>IF(EXACT($B489, ""), "", VLOOKUP($B489, [1]DataLookUp!$B$4:$D$1000, 2, FALSE))</f>
        <v>1-1600.01</v>
      </c>
      <c r="D489" s="10" t="str">
        <f>IF(EXACT($B489, ""), "", VLOOKUP($B489, [1]DataLookUp!$B$4:$D$1000, 3, FALSE))</f>
        <v>Perlengkapan Kantor (IDR)</v>
      </c>
      <c r="F489" s="9">
        <v>25000000000092</v>
      </c>
      <c r="G489" s="16" t="s">
        <v>145</v>
      </c>
    </row>
    <row r="490" spans="2:7" x14ac:dyDescent="0.2">
      <c r="B490" s="9">
        <f>[1]DataLookUp!$B$42</f>
        <v>65000000000039</v>
      </c>
      <c r="C490" s="10" t="str">
        <f>IF(EXACT($B490, ""), "", VLOOKUP($B490, [1]DataLookUp!$B$4:$D$1000, 2, FALSE))</f>
        <v>1-1600.01</v>
      </c>
      <c r="D490" s="10" t="str">
        <f>IF(EXACT($B490, ""), "", VLOOKUP($B490, [1]DataLookUp!$B$4:$D$1000, 3, FALSE))</f>
        <v>Perlengkapan Kantor (IDR)</v>
      </c>
      <c r="F490" s="9">
        <v>25000000000100</v>
      </c>
      <c r="G490" s="16" t="s">
        <v>146</v>
      </c>
    </row>
    <row r="491" spans="2:7" x14ac:dyDescent="0.2">
      <c r="B491" s="9">
        <f>[1]DataLookUp!$B$42</f>
        <v>65000000000039</v>
      </c>
      <c r="C491" s="10" t="str">
        <f>IF(EXACT($B491, ""), "", VLOOKUP($B491, [1]DataLookUp!$B$4:$D$1000, 2, FALSE))</f>
        <v>1-1600.01</v>
      </c>
      <c r="D491" s="10" t="str">
        <f>IF(EXACT($B491, ""), "", VLOOKUP($B491, [1]DataLookUp!$B$4:$D$1000, 3, FALSE))</f>
        <v>Perlengkapan Kantor (IDR)</v>
      </c>
      <c r="F491" s="9">
        <v>25000000000106</v>
      </c>
      <c r="G491" s="16" t="s">
        <v>147</v>
      </c>
    </row>
    <row r="492" spans="2:7" x14ac:dyDescent="0.2">
      <c r="B492" s="9">
        <f>[1]DataLookUp!$B$42</f>
        <v>65000000000039</v>
      </c>
      <c r="C492" s="10" t="str">
        <f>IF(EXACT($B492, ""), "", VLOOKUP($B492, [1]DataLookUp!$B$4:$D$1000, 2, FALSE))</f>
        <v>1-1600.01</v>
      </c>
      <c r="D492" s="10" t="str">
        <f>IF(EXACT($B492, ""), "", VLOOKUP($B492, [1]DataLookUp!$B$4:$D$1000, 3, FALSE))</f>
        <v>Perlengkapan Kantor (IDR)</v>
      </c>
      <c r="F492" s="9">
        <v>25000000000116</v>
      </c>
      <c r="G492" s="16" t="s">
        <v>148</v>
      </c>
    </row>
    <row r="493" spans="2:7" x14ac:dyDescent="0.2">
      <c r="B493" s="9">
        <f>[1]DataLookUp!$B$42</f>
        <v>65000000000039</v>
      </c>
      <c r="C493" s="10" t="str">
        <f>IF(EXACT($B493, ""), "", VLOOKUP($B493, [1]DataLookUp!$B$4:$D$1000, 2, FALSE))</f>
        <v>1-1600.01</v>
      </c>
      <c r="D493" s="10" t="str">
        <f>IF(EXACT($B493, ""), "", VLOOKUP($B493, [1]DataLookUp!$B$4:$D$1000, 3, FALSE))</f>
        <v>Perlengkapan Kantor (IDR)</v>
      </c>
      <c r="F493" s="9">
        <v>25000000000123</v>
      </c>
      <c r="G493" s="16" t="s">
        <v>149</v>
      </c>
    </row>
    <row r="494" spans="2:7" x14ac:dyDescent="0.2">
      <c r="B494" s="9">
        <f>[1]DataLookUp!$B$42</f>
        <v>65000000000039</v>
      </c>
      <c r="C494" s="10" t="str">
        <f>IF(EXACT($B494, ""), "", VLOOKUP($B494, [1]DataLookUp!$B$4:$D$1000, 2, FALSE))</f>
        <v>1-1600.01</v>
      </c>
      <c r="D494" s="10" t="str">
        <f>IF(EXACT($B494, ""), "", VLOOKUP($B494, [1]DataLookUp!$B$4:$D$1000, 3, FALSE))</f>
        <v>Perlengkapan Kantor (IDR)</v>
      </c>
      <c r="F494" s="9">
        <v>25000000000126</v>
      </c>
      <c r="G494" s="16" t="s">
        <v>151</v>
      </c>
    </row>
    <row r="495" spans="2:7" x14ac:dyDescent="0.2">
      <c r="B495" s="9">
        <f>[1]DataLookUp!$B$42</f>
        <v>65000000000039</v>
      </c>
      <c r="C495" s="10" t="str">
        <f>IF(EXACT($B495, ""), "", VLOOKUP($B495, [1]DataLookUp!$B$4:$D$1000, 2, FALSE))</f>
        <v>1-1600.01</v>
      </c>
      <c r="D495" s="10" t="str">
        <f>IF(EXACT($B495, ""), "", VLOOKUP($B495, [1]DataLookUp!$B$4:$D$1000, 3, FALSE))</f>
        <v>Perlengkapan Kantor (IDR)</v>
      </c>
      <c r="F495" s="9">
        <v>25000000000125</v>
      </c>
      <c r="G495" s="16" t="s">
        <v>150</v>
      </c>
    </row>
    <row r="496" spans="2:7" x14ac:dyDescent="0.2">
      <c r="B496" s="9">
        <f>[1]DataLookUp!$B$42</f>
        <v>65000000000039</v>
      </c>
      <c r="C496" s="10" t="str">
        <f>IF(EXACT($B496, ""), "", VLOOKUP($B496, [1]DataLookUp!$B$4:$D$1000, 2, FALSE))</f>
        <v>1-1600.01</v>
      </c>
      <c r="D496" s="10" t="str">
        <f>IF(EXACT($B496, ""), "", VLOOKUP($B496, [1]DataLookUp!$B$4:$D$1000, 3, FALSE))</f>
        <v>Perlengkapan Kantor (IDR)</v>
      </c>
      <c r="F496" s="9">
        <v>25000000000138</v>
      </c>
      <c r="G496" s="16" t="s">
        <v>152</v>
      </c>
    </row>
    <row r="497" spans="2:7" x14ac:dyDescent="0.2">
      <c r="B497" s="9">
        <f>[1]DataLookUp!$B$42</f>
        <v>65000000000039</v>
      </c>
      <c r="C497" s="10" t="str">
        <f>IF(EXACT($B497, ""), "", VLOOKUP($B497, [1]DataLookUp!$B$4:$D$1000, 2, FALSE))</f>
        <v>1-1600.01</v>
      </c>
      <c r="D497" s="10" t="str">
        <f>IF(EXACT($B497, ""), "", VLOOKUP($B497, [1]DataLookUp!$B$4:$D$1000, 3, FALSE))</f>
        <v>Perlengkapan Kantor (IDR)</v>
      </c>
      <c r="F497" s="9">
        <v>25000000000522</v>
      </c>
      <c r="G497" s="16" t="s">
        <v>187</v>
      </c>
    </row>
    <row r="498" spans="2:7" x14ac:dyDescent="0.2">
      <c r="B498" s="9">
        <f>[1]DataLookUp!$B$42</f>
        <v>65000000000039</v>
      </c>
      <c r="C498" s="10" t="str">
        <f>IF(EXACT($B498, ""), "", VLOOKUP($B498, [1]DataLookUp!$B$4:$D$1000, 2, FALSE))</f>
        <v>1-1600.01</v>
      </c>
      <c r="D498" s="10" t="str">
        <f>IF(EXACT($B498, ""), "", VLOOKUP($B498, [1]DataLookUp!$B$4:$D$1000, 3, FALSE))</f>
        <v>Perlengkapan Kantor (IDR)</v>
      </c>
      <c r="F498" s="9">
        <v>25000000000587</v>
      </c>
      <c r="G498" s="16" t="s">
        <v>200</v>
      </c>
    </row>
    <row r="499" spans="2:7" x14ac:dyDescent="0.2">
      <c r="B499" s="9">
        <f>[1]DataLookUp!$B$42</f>
        <v>65000000000039</v>
      </c>
      <c r="C499" s="10" t="str">
        <f>IF(EXACT($B499, ""), "", VLOOKUP($B499, [1]DataLookUp!$B$4:$D$1000, 2, FALSE))</f>
        <v>1-1600.01</v>
      </c>
      <c r="D499" s="10" t="str">
        <f>IF(EXACT($B499, ""), "", VLOOKUP($B499, [1]DataLookUp!$B$4:$D$1000, 3, FALSE))</f>
        <v>Perlengkapan Kantor (IDR)</v>
      </c>
      <c r="F499" s="9">
        <v>25000000000157</v>
      </c>
      <c r="G499" s="16" t="s">
        <v>154</v>
      </c>
    </row>
    <row r="500" spans="2:7" x14ac:dyDescent="0.2">
      <c r="B500" s="9">
        <f>[1]DataLookUp!$B$42</f>
        <v>65000000000039</v>
      </c>
      <c r="C500" s="10" t="str">
        <f>IF(EXACT($B500, ""), "", VLOOKUP($B500, [1]DataLookUp!$B$4:$D$1000, 2, FALSE))</f>
        <v>1-1600.01</v>
      </c>
      <c r="D500" s="10" t="str">
        <f>IF(EXACT($B500, ""), "", VLOOKUP($B500, [1]DataLookUp!$B$4:$D$1000, 3, FALSE))</f>
        <v>Perlengkapan Kantor (IDR)</v>
      </c>
      <c r="F500" s="9">
        <v>25000000000523</v>
      </c>
      <c r="G500" s="16" t="s">
        <v>188</v>
      </c>
    </row>
    <row r="501" spans="2:7" x14ac:dyDescent="0.2">
      <c r="B501" s="9">
        <f>[1]DataLookUp!$B$42</f>
        <v>65000000000039</v>
      </c>
      <c r="C501" s="10" t="str">
        <f>IF(EXACT($B501, ""), "", VLOOKUP($B501, [1]DataLookUp!$B$4:$D$1000, 2, FALSE))</f>
        <v>1-1600.01</v>
      </c>
      <c r="D501" s="10" t="str">
        <f>IF(EXACT($B501, ""), "", VLOOKUP($B501, [1]DataLookUp!$B$4:$D$1000, 3, FALSE))</f>
        <v>Perlengkapan Kantor (IDR)</v>
      </c>
      <c r="F501" s="9">
        <v>25000000000167</v>
      </c>
      <c r="G501" s="16" t="s">
        <v>155</v>
      </c>
    </row>
    <row r="502" spans="2:7" x14ac:dyDescent="0.2">
      <c r="B502" s="9">
        <f>[1]DataLookUp!$B$42</f>
        <v>65000000000039</v>
      </c>
      <c r="C502" s="10" t="str">
        <f>IF(EXACT($B502, ""), "", VLOOKUP($B502, [1]DataLookUp!$B$4:$D$1000, 2, FALSE))</f>
        <v>1-1600.01</v>
      </c>
      <c r="D502" s="10" t="str">
        <f>IF(EXACT($B502, ""), "", VLOOKUP($B502, [1]DataLookUp!$B$4:$D$1000, 3, FALSE))</f>
        <v>Perlengkapan Kantor (IDR)</v>
      </c>
      <c r="F502" s="9">
        <v>25000000000168</v>
      </c>
      <c r="G502" s="16" t="s">
        <v>156</v>
      </c>
    </row>
    <row r="503" spans="2:7" x14ac:dyDescent="0.2">
      <c r="B503" s="9">
        <f>[1]DataLookUp!$B$42</f>
        <v>65000000000039</v>
      </c>
      <c r="C503" s="10" t="str">
        <f>IF(EXACT($B503, ""), "", VLOOKUP($B503, [1]DataLookUp!$B$4:$D$1000, 2, FALSE))</f>
        <v>1-1600.01</v>
      </c>
      <c r="D503" s="10" t="str">
        <f>IF(EXACT($B503, ""), "", VLOOKUP($B503, [1]DataLookUp!$B$4:$D$1000, 3, FALSE))</f>
        <v>Perlengkapan Kantor (IDR)</v>
      </c>
      <c r="F503" s="9">
        <v>25000000000598</v>
      </c>
      <c r="G503" s="16" t="s">
        <v>203</v>
      </c>
    </row>
    <row r="504" spans="2:7" x14ac:dyDescent="0.2">
      <c r="B504" s="9">
        <f>[1]DataLookUp!$B$42</f>
        <v>65000000000039</v>
      </c>
      <c r="C504" s="10" t="str">
        <f>IF(EXACT($B504, ""), "", VLOOKUP($B504, [1]DataLookUp!$B$4:$D$1000, 2, FALSE))</f>
        <v>1-1600.01</v>
      </c>
      <c r="D504" s="10" t="str">
        <f>IF(EXACT($B504, ""), "", VLOOKUP($B504, [1]DataLookUp!$B$4:$D$1000, 3, FALSE))</f>
        <v>Perlengkapan Kantor (IDR)</v>
      </c>
      <c r="F504" s="9">
        <v>25000000000196</v>
      </c>
      <c r="G504" s="16" t="s">
        <v>157</v>
      </c>
    </row>
    <row r="505" spans="2:7" x14ac:dyDescent="0.2">
      <c r="B505" s="9">
        <f>[1]DataLookUp!$B$42</f>
        <v>65000000000039</v>
      </c>
      <c r="C505" s="10" t="str">
        <f>IF(EXACT($B505, ""), "", VLOOKUP($B505, [1]DataLookUp!$B$4:$D$1000, 2, FALSE))</f>
        <v>1-1600.01</v>
      </c>
      <c r="D505" s="10" t="str">
        <f>IF(EXACT($B505, ""), "", VLOOKUP($B505, [1]DataLookUp!$B$4:$D$1000, 3, FALSE))</f>
        <v>Perlengkapan Kantor (IDR)</v>
      </c>
      <c r="F505" s="9">
        <v>25000000000204</v>
      </c>
      <c r="G505" s="16" t="s">
        <v>158</v>
      </c>
    </row>
    <row r="506" spans="2:7" x14ac:dyDescent="0.2">
      <c r="B506" s="9">
        <f>[1]DataLookUp!$B$42</f>
        <v>65000000000039</v>
      </c>
      <c r="C506" s="10" t="str">
        <f>IF(EXACT($B506, ""), "", VLOOKUP($B506, [1]DataLookUp!$B$4:$D$1000, 2, FALSE))</f>
        <v>1-1600.01</v>
      </c>
      <c r="D506" s="10" t="str">
        <f>IF(EXACT($B506, ""), "", VLOOKUP($B506, [1]DataLookUp!$B$4:$D$1000, 3, FALSE))</f>
        <v>Perlengkapan Kantor (IDR)</v>
      </c>
      <c r="F506" s="9">
        <v>25000000000527</v>
      </c>
      <c r="G506" s="16" t="s">
        <v>189</v>
      </c>
    </row>
    <row r="507" spans="2:7" x14ac:dyDescent="0.2">
      <c r="B507" s="9">
        <f>[1]DataLookUp!$B$42</f>
        <v>65000000000039</v>
      </c>
      <c r="C507" s="10" t="str">
        <f>IF(EXACT($B507, ""), "", VLOOKUP($B507, [1]DataLookUp!$B$4:$D$1000, 2, FALSE))</f>
        <v>1-1600.01</v>
      </c>
      <c r="D507" s="10" t="str">
        <f>IF(EXACT($B507, ""), "", VLOOKUP($B507, [1]DataLookUp!$B$4:$D$1000, 3, FALSE))</f>
        <v>Perlengkapan Kantor (IDR)</v>
      </c>
      <c r="F507" s="9">
        <v>25000000000528</v>
      </c>
      <c r="G507" s="16" t="s">
        <v>190</v>
      </c>
    </row>
    <row r="508" spans="2:7" x14ac:dyDescent="0.2">
      <c r="B508" s="9">
        <f>[1]DataLookUp!$B$42</f>
        <v>65000000000039</v>
      </c>
      <c r="C508" s="10" t="str">
        <f>IF(EXACT($B508, ""), "", VLOOKUP($B508, [1]DataLookUp!$B$4:$D$1000, 2, FALSE))</f>
        <v>1-1600.01</v>
      </c>
      <c r="D508" s="10" t="str">
        <f>IF(EXACT($B508, ""), "", VLOOKUP($B508, [1]DataLookUp!$B$4:$D$1000, 3, FALSE))</f>
        <v>Perlengkapan Kantor (IDR)</v>
      </c>
      <c r="F508" s="9">
        <v>25000000000232</v>
      </c>
      <c r="G508" s="16" t="s">
        <v>159</v>
      </c>
    </row>
    <row r="509" spans="2:7" x14ac:dyDescent="0.2">
      <c r="B509" s="9">
        <f>[1]DataLookUp!$B$42</f>
        <v>65000000000039</v>
      </c>
      <c r="C509" s="10" t="str">
        <f>IF(EXACT($B509, ""), "", VLOOKUP($B509, [1]DataLookUp!$B$4:$D$1000, 2, FALSE))</f>
        <v>1-1600.01</v>
      </c>
      <c r="D509" s="10" t="str">
        <f>IF(EXACT($B509, ""), "", VLOOKUP($B509, [1]DataLookUp!$B$4:$D$1000, 3, FALSE))</f>
        <v>Perlengkapan Kantor (IDR)</v>
      </c>
      <c r="F509" s="9">
        <v>25000000000253</v>
      </c>
      <c r="G509" s="16" t="s">
        <v>160</v>
      </c>
    </row>
    <row r="510" spans="2:7" x14ac:dyDescent="0.2">
      <c r="B510" s="9">
        <f>[1]DataLookUp!$B$42</f>
        <v>65000000000039</v>
      </c>
      <c r="C510" s="10" t="str">
        <f>IF(EXACT($B510, ""), "", VLOOKUP($B510, [1]DataLookUp!$B$4:$D$1000, 2, FALSE))</f>
        <v>1-1600.01</v>
      </c>
      <c r="D510" s="10" t="str">
        <f>IF(EXACT($B510, ""), "", VLOOKUP($B510, [1]DataLookUp!$B$4:$D$1000, 3, FALSE))</f>
        <v>Perlengkapan Kantor (IDR)</v>
      </c>
      <c r="F510" s="9">
        <v>25000000000262</v>
      </c>
      <c r="G510" s="16" t="s">
        <v>161</v>
      </c>
    </row>
    <row r="511" spans="2:7" x14ac:dyDescent="0.2">
      <c r="B511" s="9">
        <f>[1]DataLookUp!$B$42</f>
        <v>65000000000039</v>
      </c>
      <c r="C511" s="10" t="str">
        <f>IF(EXACT($B511, ""), "", VLOOKUP($B511, [1]DataLookUp!$B$4:$D$1000, 2, FALSE))</f>
        <v>1-1600.01</v>
      </c>
      <c r="D511" s="10" t="str">
        <f>IF(EXACT($B511, ""), "", VLOOKUP($B511, [1]DataLookUp!$B$4:$D$1000, 3, FALSE))</f>
        <v>Perlengkapan Kantor (IDR)</v>
      </c>
      <c r="F511" s="9">
        <v>25000000000155</v>
      </c>
      <c r="G511" s="16" t="s">
        <v>153</v>
      </c>
    </row>
    <row r="512" spans="2:7" x14ac:dyDescent="0.2">
      <c r="B512" s="9">
        <f>[1]DataLookUp!$B$42</f>
        <v>65000000000039</v>
      </c>
      <c r="C512" s="10" t="str">
        <f>IF(EXACT($B512, ""), "", VLOOKUP($B512, [1]DataLookUp!$B$4:$D$1000, 2, FALSE))</f>
        <v>1-1600.01</v>
      </c>
      <c r="D512" s="10" t="str">
        <f>IF(EXACT($B512, ""), "", VLOOKUP($B512, [1]DataLookUp!$B$4:$D$1000, 3, FALSE))</f>
        <v>Perlengkapan Kantor (IDR)</v>
      </c>
      <c r="F512" s="9">
        <v>25000000000601</v>
      </c>
      <c r="G512" s="16" t="s">
        <v>204</v>
      </c>
    </row>
    <row r="513" spans="2:7" x14ac:dyDescent="0.2">
      <c r="B513" s="9">
        <f>[1]DataLookUp!$B$42</f>
        <v>65000000000039</v>
      </c>
      <c r="C513" s="10" t="str">
        <f>IF(EXACT($B513, ""), "", VLOOKUP($B513, [1]DataLookUp!$B$4:$D$1000, 2, FALSE))</f>
        <v>1-1600.01</v>
      </c>
      <c r="D513" s="10" t="str">
        <f>IF(EXACT($B513, ""), "", VLOOKUP($B513, [1]DataLookUp!$B$4:$D$1000, 3, FALSE))</f>
        <v>Perlengkapan Kantor (IDR)</v>
      </c>
      <c r="F513" s="9">
        <v>25000000000604</v>
      </c>
      <c r="G513" s="16" t="s">
        <v>205</v>
      </c>
    </row>
    <row r="514" spans="2:7" x14ac:dyDescent="0.2">
      <c r="B514" s="9">
        <f>[1]DataLookUp!$B$42</f>
        <v>65000000000039</v>
      </c>
      <c r="C514" s="10" t="str">
        <f>IF(EXACT($B514, ""), "", VLOOKUP($B514, [1]DataLookUp!$B$4:$D$1000, 2, FALSE))</f>
        <v>1-1600.01</v>
      </c>
      <c r="D514" s="10" t="str">
        <f>IF(EXACT($B514, ""), "", VLOOKUP($B514, [1]DataLookUp!$B$4:$D$1000, 3, FALSE))</f>
        <v>Perlengkapan Kantor (IDR)</v>
      </c>
      <c r="F514" s="9">
        <v>25000000000301</v>
      </c>
      <c r="G514" s="16" t="s">
        <v>164</v>
      </c>
    </row>
    <row r="515" spans="2:7" x14ac:dyDescent="0.2">
      <c r="B515" s="9">
        <f>[1]DataLookUp!$B$42</f>
        <v>65000000000039</v>
      </c>
      <c r="C515" s="10" t="str">
        <f>IF(EXACT($B515, ""), "", VLOOKUP($B515, [1]DataLookUp!$B$4:$D$1000, 2, FALSE))</f>
        <v>1-1600.01</v>
      </c>
      <c r="D515" s="10" t="str">
        <f>IF(EXACT($B515, ""), "", VLOOKUP($B515, [1]DataLookUp!$B$4:$D$1000, 3, FALSE))</f>
        <v>Perlengkapan Kantor (IDR)</v>
      </c>
      <c r="F515" s="9">
        <v>25000000000307</v>
      </c>
      <c r="G515" s="16" t="s">
        <v>165</v>
      </c>
    </row>
    <row r="516" spans="2:7" x14ac:dyDescent="0.2">
      <c r="B516" s="9">
        <f>[1]DataLookUp!$B$42</f>
        <v>65000000000039</v>
      </c>
      <c r="C516" s="10" t="str">
        <f>IF(EXACT($B516, ""), "", VLOOKUP($B516, [1]DataLookUp!$B$4:$D$1000, 2, FALSE))</f>
        <v>1-1600.01</v>
      </c>
      <c r="D516" s="10" t="str">
        <f>IF(EXACT($B516, ""), "", VLOOKUP($B516, [1]DataLookUp!$B$4:$D$1000, 3, FALSE))</f>
        <v>Perlengkapan Kantor (IDR)</v>
      </c>
      <c r="F516" s="9">
        <v>25000000000325</v>
      </c>
      <c r="G516" s="16" t="s">
        <v>166</v>
      </c>
    </row>
    <row r="517" spans="2:7" x14ac:dyDescent="0.2">
      <c r="B517" s="9">
        <f>[1]DataLookUp!$B$42</f>
        <v>65000000000039</v>
      </c>
      <c r="C517" s="10" t="str">
        <f>IF(EXACT($B517, ""), "", VLOOKUP($B517, [1]DataLookUp!$B$4:$D$1000, 2, FALSE))</f>
        <v>1-1600.01</v>
      </c>
      <c r="D517" s="10" t="str">
        <f>IF(EXACT($B517, ""), "", VLOOKUP($B517, [1]DataLookUp!$B$4:$D$1000, 3, FALSE))</f>
        <v>Perlengkapan Kantor (IDR)</v>
      </c>
      <c r="F517" s="9">
        <v>25000000000273</v>
      </c>
      <c r="G517" s="16" t="s">
        <v>162</v>
      </c>
    </row>
    <row r="518" spans="2:7" x14ac:dyDescent="0.2">
      <c r="B518" s="9">
        <f>[1]DataLookUp!$B$42</f>
        <v>65000000000039</v>
      </c>
      <c r="C518" s="10" t="str">
        <f>IF(EXACT($B518, ""), "", VLOOKUP($B518, [1]DataLookUp!$B$4:$D$1000, 2, FALSE))</f>
        <v>1-1600.01</v>
      </c>
      <c r="D518" s="10" t="str">
        <f>IF(EXACT($B518, ""), "", VLOOKUP($B518, [1]DataLookUp!$B$4:$D$1000, 3, FALSE))</f>
        <v>Perlengkapan Kantor (IDR)</v>
      </c>
      <c r="F518" s="9">
        <v>25000000000605</v>
      </c>
      <c r="G518" s="16" t="s">
        <v>206</v>
      </c>
    </row>
    <row r="519" spans="2:7" x14ac:dyDescent="0.2">
      <c r="B519" s="9">
        <f>[1]DataLookUp!$B$42</f>
        <v>65000000000039</v>
      </c>
      <c r="C519" s="10" t="str">
        <f>IF(EXACT($B519, ""), "", VLOOKUP($B519, [1]DataLookUp!$B$4:$D$1000, 2, FALSE))</f>
        <v>1-1600.01</v>
      </c>
      <c r="D519" s="10" t="str">
        <f>IF(EXACT($B519, ""), "", VLOOKUP($B519, [1]DataLookUp!$B$4:$D$1000, 3, FALSE))</f>
        <v>Perlengkapan Kantor (IDR)</v>
      </c>
      <c r="F519" s="9">
        <v>25000000000574</v>
      </c>
      <c r="G519" s="16" t="s">
        <v>196</v>
      </c>
    </row>
    <row r="520" spans="2:7" x14ac:dyDescent="0.2">
      <c r="B520" s="9">
        <f>[1]DataLookUp!$B$42</f>
        <v>65000000000039</v>
      </c>
      <c r="C520" s="10" t="str">
        <f>IF(EXACT($B520, ""), "", VLOOKUP($B520, [1]DataLookUp!$B$4:$D$1000, 2, FALSE))</f>
        <v>1-1600.01</v>
      </c>
      <c r="D520" s="10" t="str">
        <f>IF(EXACT($B520, ""), "", VLOOKUP($B520, [1]DataLookUp!$B$4:$D$1000, 3, FALSE))</f>
        <v>Perlengkapan Kantor (IDR)</v>
      </c>
      <c r="F520" s="9">
        <v>25000000000347</v>
      </c>
      <c r="G520" s="16" t="s">
        <v>167</v>
      </c>
    </row>
    <row r="521" spans="2:7" x14ac:dyDescent="0.2">
      <c r="B521" s="9">
        <f>[1]DataLookUp!$B$42</f>
        <v>65000000000039</v>
      </c>
      <c r="C521" s="10" t="str">
        <f>IF(EXACT($B521, ""), "", VLOOKUP($B521, [1]DataLookUp!$B$4:$D$1000, 2, FALSE))</f>
        <v>1-1600.01</v>
      </c>
      <c r="D521" s="10" t="str">
        <f>IF(EXACT($B521, ""), "", VLOOKUP($B521, [1]DataLookUp!$B$4:$D$1000, 3, FALSE))</f>
        <v>Perlengkapan Kantor (IDR)</v>
      </c>
      <c r="F521" s="9">
        <v>25000000000536</v>
      </c>
      <c r="G521" s="16" t="s">
        <v>191</v>
      </c>
    </row>
    <row r="522" spans="2:7" x14ac:dyDescent="0.2">
      <c r="B522" s="9">
        <f>[1]DataLookUp!$B$42</f>
        <v>65000000000039</v>
      </c>
      <c r="C522" s="10" t="str">
        <f>IF(EXACT($B522, ""), "", VLOOKUP($B522, [1]DataLookUp!$B$4:$D$1000, 2, FALSE))</f>
        <v>1-1600.01</v>
      </c>
      <c r="D522" s="10" t="str">
        <f>IF(EXACT($B522, ""), "", VLOOKUP($B522, [1]DataLookUp!$B$4:$D$1000, 3, FALSE))</f>
        <v>Perlengkapan Kantor (IDR)</v>
      </c>
      <c r="F522" s="9">
        <v>25000000000352</v>
      </c>
      <c r="G522" s="16" t="s">
        <v>168</v>
      </c>
    </row>
    <row r="523" spans="2:7" x14ac:dyDescent="0.2">
      <c r="B523" s="9">
        <f>[1]DataLookUp!$B$42</f>
        <v>65000000000039</v>
      </c>
      <c r="C523" s="10" t="str">
        <f>IF(EXACT($B523, ""), "", VLOOKUP($B523, [1]DataLookUp!$B$4:$D$1000, 2, FALSE))</f>
        <v>1-1600.01</v>
      </c>
      <c r="D523" s="10" t="str">
        <f>IF(EXACT($B523, ""), "", VLOOKUP($B523, [1]DataLookUp!$B$4:$D$1000, 3, FALSE))</f>
        <v>Perlengkapan Kantor (IDR)</v>
      </c>
      <c r="F523" s="9">
        <v>25000000000607</v>
      </c>
      <c r="G523" s="16" t="s">
        <v>207</v>
      </c>
    </row>
    <row r="524" spans="2:7" x14ac:dyDescent="0.2">
      <c r="B524" s="9">
        <f>[1]DataLookUp!$B$42</f>
        <v>65000000000039</v>
      </c>
      <c r="C524" s="10" t="str">
        <f>IF(EXACT($B524, ""), "", VLOOKUP($B524, [1]DataLookUp!$B$4:$D$1000, 2, FALSE))</f>
        <v>1-1600.01</v>
      </c>
      <c r="D524" s="10" t="str">
        <f>IF(EXACT($B524, ""), "", VLOOKUP($B524, [1]DataLookUp!$B$4:$D$1000, 3, FALSE))</f>
        <v>Perlengkapan Kantor (IDR)</v>
      </c>
      <c r="F524" s="9">
        <v>25000000000609</v>
      </c>
      <c r="G524" s="16" t="s">
        <v>208</v>
      </c>
    </row>
    <row r="525" spans="2:7" x14ac:dyDescent="0.2">
      <c r="B525" s="9">
        <f>[1]DataLookUp!$B$42</f>
        <v>65000000000039</v>
      </c>
      <c r="C525" s="10" t="str">
        <f>IF(EXACT($B525, ""), "", VLOOKUP($B525, [1]DataLookUp!$B$4:$D$1000, 2, FALSE))</f>
        <v>1-1600.01</v>
      </c>
      <c r="D525" s="10" t="str">
        <f>IF(EXACT($B525, ""), "", VLOOKUP($B525, [1]DataLookUp!$B$4:$D$1000, 3, FALSE))</f>
        <v>Perlengkapan Kantor (IDR)</v>
      </c>
      <c r="F525" s="9">
        <v>25000000000509</v>
      </c>
      <c r="G525" s="16" t="s">
        <v>185</v>
      </c>
    </row>
    <row r="526" spans="2:7" x14ac:dyDescent="0.2">
      <c r="B526" s="9">
        <f>[1]DataLookUp!$B$42</f>
        <v>65000000000039</v>
      </c>
      <c r="C526" s="10" t="str">
        <f>IF(EXACT($B526, ""), "", VLOOKUP($B526, [1]DataLookUp!$B$4:$D$1000, 2, FALSE))</f>
        <v>1-1600.01</v>
      </c>
      <c r="D526" s="10" t="str">
        <f>IF(EXACT($B526, ""), "", VLOOKUP($B526, [1]DataLookUp!$B$4:$D$1000, 3, FALSE))</f>
        <v>Perlengkapan Kantor (IDR)</v>
      </c>
      <c r="F526" s="9">
        <v>25000000000537</v>
      </c>
      <c r="G526" s="16" t="s">
        <v>192</v>
      </c>
    </row>
    <row r="527" spans="2:7" x14ac:dyDescent="0.2">
      <c r="B527" s="9">
        <f>[1]DataLookUp!$B$42</f>
        <v>65000000000039</v>
      </c>
      <c r="C527" s="10" t="str">
        <f>IF(EXACT($B527, ""), "", VLOOKUP($B527, [1]DataLookUp!$B$4:$D$1000, 2, FALSE))</f>
        <v>1-1600.01</v>
      </c>
      <c r="D527" s="10" t="str">
        <f>IF(EXACT($B527, ""), "", VLOOKUP($B527, [1]DataLookUp!$B$4:$D$1000, 3, FALSE))</f>
        <v>Perlengkapan Kantor (IDR)</v>
      </c>
      <c r="F527" s="9">
        <v>25000000000378</v>
      </c>
      <c r="G527" s="16" t="s">
        <v>169</v>
      </c>
    </row>
    <row r="528" spans="2:7" x14ac:dyDescent="0.2">
      <c r="B528" s="9">
        <f>[1]DataLookUp!$B$42</f>
        <v>65000000000039</v>
      </c>
      <c r="C528" s="10" t="str">
        <f>IF(EXACT($B528, ""), "", VLOOKUP($B528, [1]DataLookUp!$B$4:$D$1000, 2, FALSE))</f>
        <v>1-1600.01</v>
      </c>
      <c r="D528" s="10" t="str">
        <f>IF(EXACT($B528, ""), "", VLOOKUP($B528, [1]DataLookUp!$B$4:$D$1000, 3, FALSE))</f>
        <v>Perlengkapan Kantor (IDR)</v>
      </c>
      <c r="F528" s="9">
        <v>25000000000381</v>
      </c>
      <c r="G528" s="16" t="s">
        <v>170</v>
      </c>
    </row>
    <row r="529" spans="2:7" x14ac:dyDescent="0.2">
      <c r="B529" s="9">
        <f>[1]DataLookUp!$B$42</f>
        <v>65000000000039</v>
      </c>
      <c r="C529" s="10" t="str">
        <f>IF(EXACT($B529, ""), "", VLOOKUP($B529, [1]DataLookUp!$B$4:$D$1000, 2, FALSE))</f>
        <v>1-1600.01</v>
      </c>
      <c r="D529" s="10" t="str">
        <f>IF(EXACT($B529, ""), "", VLOOKUP($B529, [1]DataLookUp!$B$4:$D$1000, 3, FALSE))</f>
        <v>Perlengkapan Kantor (IDR)</v>
      </c>
      <c r="F529" s="9">
        <v>25000000000385</v>
      </c>
      <c r="G529" s="16" t="s">
        <v>172</v>
      </c>
    </row>
    <row r="530" spans="2:7" x14ac:dyDescent="0.2">
      <c r="B530" s="9">
        <f>[1]DataLookUp!$B$42</f>
        <v>65000000000039</v>
      </c>
      <c r="C530" s="10" t="str">
        <f>IF(EXACT($B530, ""), "", VLOOKUP($B530, [1]DataLookUp!$B$4:$D$1000, 2, FALSE))</f>
        <v>1-1600.01</v>
      </c>
      <c r="D530" s="10" t="str">
        <f>IF(EXACT($B530, ""), "", VLOOKUP($B530, [1]DataLookUp!$B$4:$D$1000, 3, FALSE))</f>
        <v>Perlengkapan Kantor (IDR)</v>
      </c>
      <c r="F530" s="9">
        <v>25000000000554</v>
      </c>
      <c r="G530" s="16" t="s">
        <v>194</v>
      </c>
    </row>
    <row r="531" spans="2:7" x14ac:dyDescent="0.2">
      <c r="B531" s="9">
        <f>[1]DataLookUp!$B$42</f>
        <v>65000000000039</v>
      </c>
      <c r="C531" s="10" t="str">
        <f>IF(EXACT($B531, ""), "", VLOOKUP($B531, [1]DataLookUp!$B$4:$D$1000, 2, FALSE))</f>
        <v>1-1600.01</v>
      </c>
      <c r="D531" s="10" t="str">
        <f>IF(EXACT($B531, ""), "", VLOOKUP($B531, [1]DataLookUp!$B$4:$D$1000, 3, FALSE))</f>
        <v>Perlengkapan Kantor (IDR)</v>
      </c>
      <c r="F531" s="9">
        <v>25000000000575</v>
      </c>
      <c r="G531" s="16" t="s">
        <v>197</v>
      </c>
    </row>
    <row r="532" spans="2:7" x14ac:dyDescent="0.2">
      <c r="B532" s="9">
        <f>[1]DataLookUp!$B$42</f>
        <v>65000000000039</v>
      </c>
      <c r="C532" s="10" t="str">
        <f>IF(EXACT($B532, ""), "", VLOOKUP($B532, [1]DataLookUp!$B$4:$D$1000, 2, FALSE))</f>
        <v>1-1600.01</v>
      </c>
      <c r="D532" s="10" t="str">
        <f>IF(EXACT($B532, ""), "", VLOOKUP($B532, [1]DataLookUp!$B$4:$D$1000, 3, FALSE))</f>
        <v>Perlengkapan Kantor (IDR)</v>
      </c>
      <c r="F532" s="9">
        <v>25000000000391</v>
      </c>
      <c r="G532" s="16" t="s">
        <v>173</v>
      </c>
    </row>
    <row r="533" spans="2:7" x14ac:dyDescent="0.2">
      <c r="B533" s="9">
        <f>[1]DataLookUp!$B$42</f>
        <v>65000000000039</v>
      </c>
      <c r="C533" s="10" t="str">
        <f>IF(EXACT($B533, ""), "", VLOOKUP($B533, [1]DataLookUp!$B$4:$D$1000, 2, FALSE))</f>
        <v>1-1600.01</v>
      </c>
      <c r="D533" s="10" t="str">
        <f>IF(EXACT($B533, ""), "", VLOOKUP($B533, [1]DataLookUp!$B$4:$D$1000, 3, FALSE))</f>
        <v>Perlengkapan Kantor (IDR)</v>
      </c>
      <c r="F533" s="9">
        <v>25000000000393</v>
      </c>
      <c r="G533" s="16" t="s">
        <v>174</v>
      </c>
    </row>
    <row r="534" spans="2:7" x14ac:dyDescent="0.2">
      <c r="B534" s="9">
        <f>[1]DataLookUp!$B$42</f>
        <v>65000000000039</v>
      </c>
      <c r="C534" s="10" t="str">
        <f>IF(EXACT($B534, ""), "", VLOOKUP($B534, [1]DataLookUp!$B$4:$D$1000, 2, FALSE))</f>
        <v>1-1600.01</v>
      </c>
      <c r="D534" s="10" t="str">
        <f>IF(EXACT($B534, ""), "", VLOOKUP($B534, [1]DataLookUp!$B$4:$D$1000, 3, FALSE))</f>
        <v>Perlengkapan Kantor (IDR)</v>
      </c>
      <c r="F534" s="9">
        <v>25000000000397</v>
      </c>
      <c r="G534" s="16" t="s">
        <v>175</v>
      </c>
    </row>
    <row r="535" spans="2:7" x14ac:dyDescent="0.2">
      <c r="B535" s="9">
        <f>[1]DataLookUp!$B$42</f>
        <v>65000000000039</v>
      </c>
      <c r="C535" s="10" t="str">
        <f>IF(EXACT($B535, ""), "", VLOOKUP($B535, [1]DataLookUp!$B$4:$D$1000, 2, FALSE))</f>
        <v>1-1600.01</v>
      </c>
      <c r="D535" s="10" t="str">
        <f>IF(EXACT($B535, ""), "", VLOOKUP($B535, [1]DataLookUp!$B$4:$D$1000, 3, FALSE))</f>
        <v>Perlengkapan Kantor (IDR)</v>
      </c>
      <c r="F535" s="9">
        <v>25000000000412</v>
      </c>
      <c r="G535" s="16" t="s">
        <v>176</v>
      </c>
    </row>
    <row r="536" spans="2:7" x14ac:dyDescent="0.2">
      <c r="B536" s="9">
        <f>[1]DataLookUp!$B$42</f>
        <v>65000000000039</v>
      </c>
      <c r="C536" s="10" t="str">
        <f>IF(EXACT($B536, ""), "", VLOOKUP($B536, [1]DataLookUp!$B$4:$D$1000, 2, FALSE))</f>
        <v>1-1600.01</v>
      </c>
      <c r="D536" s="10" t="str">
        <f>IF(EXACT($B536, ""), "", VLOOKUP($B536, [1]DataLookUp!$B$4:$D$1000, 3, FALSE))</f>
        <v>Perlengkapan Kantor (IDR)</v>
      </c>
      <c r="F536" s="9">
        <v>25000000000413</v>
      </c>
      <c r="G536" s="16" t="s">
        <v>177</v>
      </c>
    </row>
    <row r="537" spans="2:7" x14ac:dyDescent="0.2">
      <c r="B537" s="9">
        <f>[1]DataLookUp!$B$42</f>
        <v>65000000000039</v>
      </c>
      <c r="C537" s="10" t="str">
        <f>IF(EXACT($B537, ""), "", VLOOKUP($B537, [1]DataLookUp!$B$4:$D$1000, 2, FALSE))</f>
        <v>1-1600.01</v>
      </c>
      <c r="D537" s="10" t="str">
        <f>IF(EXACT($B537, ""), "", VLOOKUP($B537, [1]DataLookUp!$B$4:$D$1000, 3, FALSE))</f>
        <v>Perlengkapan Kantor (IDR)</v>
      </c>
      <c r="F537" s="9">
        <v>25000000000428</v>
      </c>
      <c r="G537" s="16" t="s">
        <v>178</v>
      </c>
    </row>
    <row r="538" spans="2:7" x14ac:dyDescent="0.2">
      <c r="B538" s="9">
        <f>[1]DataLookUp!$B$42</f>
        <v>65000000000039</v>
      </c>
      <c r="C538" s="10" t="str">
        <f>IF(EXACT($B538, ""), "", VLOOKUP($B538, [1]DataLookUp!$B$4:$D$1000, 2, FALSE))</f>
        <v>1-1600.01</v>
      </c>
      <c r="D538" s="10" t="str">
        <f>IF(EXACT($B538, ""), "", VLOOKUP($B538, [1]DataLookUp!$B$4:$D$1000, 3, FALSE))</f>
        <v>Perlengkapan Kantor (IDR)</v>
      </c>
      <c r="F538" s="9">
        <v>25000000000278</v>
      </c>
      <c r="G538" s="16" t="s">
        <v>163</v>
      </c>
    </row>
    <row r="539" spans="2:7" x14ac:dyDescent="0.2">
      <c r="B539" s="9">
        <f>[1]DataLookUp!$B$42</f>
        <v>65000000000039</v>
      </c>
      <c r="C539" s="10" t="str">
        <f>IF(EXACT($B539, ""), "", VLOOKUP($B539, [1]DataLookUp!$B$4:$D$1000, 2, FALSE))</f>
        <v>1-1600.01</v>
      </c>
      <c r="D539" s="10" t="str">
        <f>IF(EXACT($B539, ""), "", VLOOKUP($B539, [1]DataLookUp!$B$4:$D$1000, 3, FALSE))</f>
        <v>Perlengkapan Kantor (IDR)</v>
      </c>
      <c r="F539" s="9">
        <v>25000000000579</v>
      </c>
      <c r="G539" s="16" t="s">
        <v>198</v>
      </c>
    </row>
    <row r="540" spans="2:7" x14ac:dyDescent="0.2">
      <c r="B540" s="9">
        <f>[1]DataLookUp!$B$42</f>
        <v>65000000000039</v>
      </c>
      <c r="C540" s="10" t="str">
        <f>IF(EXACT($B540, ""), "", VLOOKUP($B540, [1]DataLookUp!$B$4:$D$1000, 2, FALSE))</f>
        <v>1-1600.01</v>
      </c>
      <c r="D540" s="10" t="str">
        <f>IF(EXACT($B540, ""), "", VLOOKUP($B540, [1]DataLookUp!$B$4:$D$1000, 3, FALSE))</f>
        <v>Perlengkapan Kantor (IDR)</v>
      </c>
      <c r="F540" s="9">
        <v>25000000000439</v>
      </c>
      <c r="G540" s="16" t="s">
        <v>179</v>
      </c>
    </row>
    <row r="541" spans="2:7" x14ac:dyDescent="0.2">
      <c r="B541" s="9">
        <f>[1]DataLookUp!$B$42</f>
        <v>65000000000039</v>
      </c>
      <c r="C541" s="10" t="str">
        <f>IF(EXACT($B541, ""), "", VLOOKUP($B541, [1]DataLookUp!$B$4:$D$1000, 2, FALSE))</f>
        <v>1-1600.01</v>
      </c>
      <c r="D541" s="10" t="str">
        <f>IF(EXACT($B541, ""), "", VLOOKUP($B541, [1]DataLookUp!$B$4:$D$1000, 3, FALSE))</f>
        <v>Perlengkapan Kantor (IDR)</v>
      </c>
      <c r="F541" s="9">
        <v>25000000000452</v>
      </c>
      <c r="G541" s="16" t="s">
        <v>180</v>
      </c>
    </row>
    <row r="542" spans="2:7" x14ac:dyDescent="0.2">
      <c r="B542" s="9">
        <f>[1]DataLookUp!$B$42</f>
        <v>65000000000039</v>
      </c>
      <c r="C542" s="10" t="str">
        <f>IF(EXACT($B542, ""), "", VLOOKUP($B542, [1]DataLookUp!$B$4:$D$1000, 2, FALSE))</f>
        <v>1-1600.01</v>
      </c>
      <c r="D542" s="10" t="str">
        <f>IF(EXACT($B542, ""), "", VLOOKUP($B542, [1]DataLookUp!$B$4:$D$1000, 3, FALSE))</f>
        <v>Perlengkapan Kantor (IDR)</v>
      </c>
      <c r="F542" s="9">
        <v>25000000000474</v>
      </c>
      <c r="G542" s="16" t="s">
        <v>181</v>
      </c>
    </row>
    <row r="543" spans="2:7" x14ac:dyDescent="0.2">
      <c r="B543" s="9">
        <f>[1]DataLookUp!$B$42</f>
        <v>65000000000039</v>
      </c>
      <c r="C543" s="10" t="str">
        <f>IF(EXACT($B543, ""), "", VLOOKUP($B543, [1]DataLookUp!$B$4:$D$1000, 2, FALSE))</f>
        <v>1-1600.01</v>
      </c>
      <c r="D543" s="10" t="str">
        <f>IF(EXACT($B543, ""), "", VLOOKUP($B543, [1]DataLookUp!$B$4:$D$1000, 3, FALSE))</f>
        <v>Perlengkapan Kantor (IDR)</v>
      </c>
      <c r="F543" s="9">
        <v>25000000000581</v>
      </c>
      <c r="G543" s="16" t="s">
        <v>199</v>
      </c>
    </row>
    <row r="544" spans="2:7" x14ac:dyDescent="0.2">
      <c r="B544" s="9">
        <f>[1]DataLookUp!$B$42</f>
        <v>65000000000039</v>
      </c>
      <c r="C544" s="10" t="str">
        <f>IF(EXACT($B544, ""), "", VLOOKUP($B544, [1]DataLookUp!$B$4:$D$1000, 2, FALSE))</f>
        <v>1-1600.01</v>
      </c>
      <c r="D544" s="10" t="str">
        <f>IF(EXACT($B544, ""), "", VLOOKUP($B544, [1]DataLookUp!$B$4:$D$1000, 3, FALSE))</f>
        <v>Perlengkapan Kantor (IDR)</v>
      </c>
      <c r="F544" s="9">
        <v>25000000000487</v>
      </c>
      <c r="G544" s="16" t="s">
        <v>182</v>
      </c>
    </row>
    <row r="545" spans="2:7" x14ac:dyDescent="0.2">
      <c r="B545" s="9">
        <f>[1]DataLookUp!$B$42</f>
        <v>65000000000039</v>
      </c>
      <c r="C545" s="10" t="str">
        <f>IF(EXACT($B545, ""), "", VLOOKUP($B545, [1]DataLookUp!$B$4:$D$1000, 2, FALSE))</f>
        <v>1-1600.01</v>
      </c>
      <c r="D545" s="10" t="str">
        <f>IF(EXACT($B545, ""), "", VLOOKUP($B545, [1]DataLookUp!$B$4:$D$1000, 3, FALSE))</f>
        <v>Perlengkapan Kantor (IDR)</v>
      </c>
      <c r="F545" s="9">
        <v>25000000000497</v>
      </c>
      <c r="G545" s="16" t="s">
        <v>183</v>
      </c>
    </row>
    <row r="546" spans="2:7" x14ac:dyDescent="0.2">
      <c r="B546" s="9">
        <f>[1]DataLookUp!$B$42</f>
        <v>65000000000039</v>
      </c>
      <c r="C546" s="10" t="str">
        <f>IF(EXACT($B546, ""), "", VLOOKUP($B546, [1]DataLookUp!$B$4:$D$1000, 2, FALSE))</f>
        <v>1-1600.01</v>
      </c>
      <c r="D546" s="10" t="str">
        <f>IF(EXACT($B546, ""), "", VLOOKUP($B546, [1]DataLookUp!$B$4:$D$1000, 3, FALSE))</f>
        <v>Perlengkapan Kantor (IDR)</v>
      </c>
      <c r="F546" s="9">
        <v>25000000000547</v>
      </c>
      <c r="G546" s="16" t="s">
        <v>193</v>
      </c>
    </row>
    <row r="547" spans="2:7" x14ac:dyDescent="0.2">
      <c r="B547" s="9">
        <f>[1]DataLookUp!$B$42</f>
        <v>65000000000039</v>
      </c>
      <c r="C547" s="10" t="str">
        <f>IF(EXACT($B547, ""), "", VLOOKUP($B547, [1]DataLookUp!$B$4:$D$1000, 2, FALSE))</f>
        <v>1-1600.01</v>
      </c>
      <c r="D547" s="10" t="str">
        <f>IF(EXACT($B547, ""), "", VLOOKUP($B547, [1]DataLookUp!$B$4:$D$1000, 3, FALSE))</f>
        <v>Perlengkapan Kantor (IDR)</v>
      </c>
      <c r="F547" s="9">
        <v>25000000000501</v>
      </c>
      <c r="G547" s="16" t="s">
        <v>184</v>
      </c>
    </row>
    <row r="548" spans="2:7" ht="7.5" customHeight="1" x14ac:dyDescent="0.2">
      <c r="B548" s="14"/>
      <c r="C548" s="11" t="str">
        <f>IF(EXACT($B548, ""), "", VLOOKUP($B548, [1]DataLookUp!$B$4:$D$1000, 2, FALSE))</f>
        <v/>
      </c>
      <c r="D548" s="11" t="str">
        <f>IF(EXACT($B548, ""), "", VLOOKUP($B548, [1]DataLookUp!$B$4:$D$1000, 3, FALSE))</f>
        <v/>
      </c>
      <c r="F548" s="14"/>
      <c r="G548" s="14"/>
    </row>
    <row r="549" spans="2:7" x14ac:dyDescent="0.2">
      <c r="B549" s="9">
        <f>[1]DataLookUp!$B$119</f>
        <v>65000000000114</v>
      </c>
      <c r="C549" s="10" t="str">
        <f>IF(EXACT($B549, ""), "", VLOOKUP($B549, [1]DataLookUp!$B$4:$D$1000, 2, FALSE))</f>
        <v>2-1000</v>
      </c>
      <c r="D549" s="10" t="str">
        <f>IF(EXACT($B549, ""), "", VLOOKUP($B549, [1]DataLookUp!$B$4:$D$1000, 3, FALSE))</f>
        <v>Hutang lancar</v>
      </c>
    </row>
    <row r="550" spans="2:7" x14ac:dyDescent="0.2">
      <c r="B550" s="9">
        <f>[1]DataLookUp!$B$120</f>
        <v>65000000000115</v>
      </c>
      <c r="C550" s="10" t="str">
        <f>IF(EXACT($B550, ""), "", VLOOKUP($B550, [1]DataLookUp!$B$4:$D$1000, 2, FALSE))</f>
        <v>2-1001</v>
      </c>
      <c r="D550" s="10" t="str">
        <f>IF(EXACT($B550, ""), "", VLOOKUP($B550, [1]DataLookUp!$B$4:$D$1000, 3, FALSE))</f>
        <v>Hutang Dagang</v>
      </c>
    </row>
    <row r="551" spans="2:7" x14ac:dyDescent="0.2">
      <c r="B551" s="9">
        <f>[1]DataLookUp!$B$121</f>
        <v>65000000000116</v>
      </c>
      <c r="C551" s="10" t="str">
        <f>IF(EXACT($B551, ""), "", VLOOKUP($B551, [1]DataLookUp!$B$4:$D$1000, 2, FALSE))</f>
        <v>2-1001.01</v>
      </c>
      <c r="D551" s="10" t="str">
        <f>IF(EXACT($B551, ""), "", VLOOKUP($B551, [1]DataLookUp!$B$4:$D$1000, 3, FALSE))</f>
        <v>Hutang Dagang (IDR)</v>
      </c>
    </row>
  </sheetData>
  <sortState ref="F473:G546">
    <sortCondition ref="G473:G546"/>
  </sortState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G11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0" sqref="B10"/>
    </sheetView>
  </sheetViews>
  <sheetFormatPr defaultRowHeight="12.75" x14ac:dyDescent="0.2"/>
  <cols>
    <col min="1" max="1" width="2.85546875" style="3" customWidth="1"/>
    <col min="2" max="2" width="8" style="3" bestFit="1" customWidth="1"/>
    <col min="3" max="3" width="14.140625" style="3" bestFit="1" customWidth="1"/>
    <col min="4" max="4" width="11" style="3" bestFit="1" customWidth="1"/>
    <col min="5" max="5" width="24.42578125" style="3" customWidth="1"/>
    <col min="6" max="6" width="9.140625" style="3" bestFit="1" customWidth="1"/>
    <col min="7" max="7" width="13.7109375" style="3" bestFit="1" customWidth="1"/>
    <col min="8" max="16384" width="9.140625" style="3"/>
  </cols>
  <sheetData>
    <row r="1" spans="2:7" ht="13.5" thickBot="1" x14ac:dyDescent="0.25"/>
    <row r="2" spans="2:7" s="17" customFormat="1" x14ac:dyDescent="0.2">
      <c r="B2" s="39" t="s">
        <v>209</v>
      </c>
      <c r="C2" s="40"/>
      <c r="D2" s="40"/>
      <c r="E2" s="40"/>
      <c r="F2" s="41"/>
    </row>
    <row r="3" spans="2:7" s="17" customFormat="1" ht="13.5" thickBot="1" x14ac:dyDescent="0.25">
      <c r="B3" s="32" t="str">
        <f ca="1">SUBSTITUTE(RIGHT(CELL("filename", $A$1), LEN(CELL("filename", $A$1))-FIND("]", CELL("filename", $A$1), 1)), "SEED ", "")</f>
        <v>1-1101.01</v>
      </c>
      <c r="C3" s="37" t="str">
        <f ca="1">IF(EXACT(B3, ""), "", VLOOKUP(B3, SEED!C4:D258, 2, FALSE))</f>
        <v>Petty Cash (IDR)</v>
      </c>
      <c r="D3" s="37"/>
      <c r="E3" s="37"/>
      <c r="F3" s="38"/>
    </row>
    <row r="4" spans="2:7" ht="13.5" thickBot="1" x14ac:dyDescent="0.25"/>
    <row r="5" spans="2:7" ht="25.5" x14ac:dyDescent="0.2">
      <c r="B5" s="20" t="s">
        <v>0</v>
      </c>
      <c r="C5" s="20" t="s">
        <v>210</v>
      </c>
      <c r="D5" s="20" t="s">
        <v>211</v>
      </c>
      <c r="E5" s="20" t="s">
        <v>213</v>
      </c>
      <c r="F5" s="20" t="s">
        <v>212</v>
      </c>
      <c r="G5" s="20" t="s">
        <v>219</v>
      </c>
    </row>
    <row r="6" spans="2:7" ht="13.5" thickBot="1" x14ac:dyDescent="0.25">
      <c r="B6" s="21"/>
      <c r="C6" s="21"/>
      <c r="D6" s="21"/>
      <c r="E6" s="21"/>
      <c r="F6" s="21"/>
      <c r="G6" s="21"/>
    </row>
    <row r="7" spans="2:7" x14ac:dyDescent="0.2">
      <c r="B7" s="25" t="str">
        <f ca="1">$B$3</f>
        <v>1-1101.01</v>
      </c>
      <c r="C7" s="15"/>
      <c r="D7" s="15" t="s">
        <v>214</v>
      </c>
      <c r="E7" s="29" t="str">
        <f ca="1">IF(EXACT($D7, ""), "", CONCATENATE($C$3, " - ", $D7))</f>
        <v>Petty Cash (IDR) - Lainnya</v>
      </c>
      <c r="F7" s="15" t="b">
        <v>1</v>
      </c>
      <c r="G7" s="30" t="str">
        <f ca="1">IF(EXACT($B7, ""), "", CONCATENATE($B7, ".", TEXT(IF(ROW($B$7)=ROW($B7), IF(EXACT($F7, "FALSE"), 1, 0), (RIGHT($G6, 6)*1)+1), "000000")))</f>
        <v>1-1101.01.000000</v>
      </c>
    </row>
    <row r="8" spans="2:7" x14ac:dyDescent="0.2">
      <c r="B8" s="22" t="str">
        <f t="shared" ref="B8:B10" ca="1" si="0">$B$3</f>
        <v>1-1101.01</v>
      </c>
      <c r="C8" s="16"/>
      <c r="D8" s="16" t="s">
        <v>215</v>
      </c>
      <c r="E8" s="28" t="str">
        <f t="shared" ref="E8:E10" ca="1" si="1">IF(EXACT($D8, ""), "", CONCATENATE($C$3, " - ", $D8))</f>
        <v>Petty Cash (IDR) - Kantor Pusat</v>
      </c>
      <c r="F8" s="16" t="b">
        <v>0</v>
      </c>
      <c r="G8" s="31" t="str">
        <f t="shared" ref="G8:G10" ca="1" si="2">IF(EXACT($B8, ""), "", CONCATENATE($B8, ".", TEXT(IF(ROW($B$7)=ROW($B8), IF(EXACT($F8, "FALSE"), 1, 0), (RIGHT($G7, 6)*1)+1), "000000")))</f>
        <v>1-1101.01.000001</v>
      </c>
    </row>
    <row r="9" spans="2:7" x14ac:dyDescent="0.2">
      <c r="B9" s="22" t="str">
        <f t="shared" ca="1" si="0"/>
        <v>1-1101.01</v>
      </c>
      <c r="C9" s="16"/>
      <c r="D9" s="16" t="s">
        <v>216</v>
      </c>
      <c r="E9" s="28" t="str">
        <f t="shared" ca="1" si="1"/>
        <v>Petty Cash (IDR) - PJO Surabaya</v>
      </c>
      <c r="F9" s="16" t="b">
        <v>0</v>
      </c>
      <c r="G9" s="31" t="str">
        <f t="shared" ca="1" si="2"/>
        <v>1-1101.01.000002</v>
      </c>
    </row>
    <row r="10" spans="2:7" x14ac:dyDescent="0.2">
      <c r="B10" s="22" t="str">
        <f t="shared" ca="1" si="0"/>
        <v>1-1101.01</v>
      </c>
      <c r="C10" s="16"/>
      <c r="D10" s="16" t="s">
        <v>217</v>
      </c>
      <c r="E10" s="28" t="str">
        <f t="shared" ca="1" si="1"/>
        <v>Petty Cash (IDR) - PJO Medan</v>
      </c>
      <c r="F10" s="16" t="b">
        <v>0</v>
      </c>
      <c r="G10" s="31" t="str">
        <f t="shared" ca="1" si="2"/>
        <v>1-1101.01.000003</v>
      </c>
    </row>
    <row r="11" spans="2:7" x14ac:dyDescent="0.2">
      <c r="B11" s="33"/>
      <c r="C11" s="33"/>
      <c r="D11" s="33"/>
      <c r="E11" s="33"/>
      <c r="F11" s="33"/>
      <c r="G11" s="33"/>
    </row>
  </sheetData>
  <mergeCells count="2">
    <mergeCell ref="C3:F3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G59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2.75" x14ac:dyDescent="0.2"/>
  <cols>
    <col min="1" max="1" width="2.85546875" style="3" customWidth="1"/>
    <col min="2" max="2" width="8" style="3" bestFit="1" customWidth="1"/>
    <col min="3" max="3" width="14" style="23" bestFit="1" customWidth="1"/>
    <col min="4" max="4" width="47.28515625" style="3" bestFit="1" customWidth="1"/>
    <col min="5" max="5" width="56.7109375" style="3" bestFit="1" customWidth="1"/>
    <col min="6" max="6" width="9.140625" style="3" bestFit="1" customWidth="1"/>
    <col min="7" max="7" width="13.7109375" style="19" bestFit="1" customWidth="1"/>
    <col min="8" max="16384" width="9.140625" style="3"/>
  </cols>
  <sheetData>
    <row r="1" spans="2:7" ht="13.5" thickBot="1" x14ac:dyDescent="0.25"/>
    <row r="2" spans="2:7" s="17" customFormat="1" x14ac:dyDescent="0.2">
      <c r="B2" s="39" t="s">
        <v>209</v>
      </c>
      <c r="C2" s="40"/>
      <c r="D2" s="40"/>
      <c r="E2" s="40"/>
      <c r="F2" s="41"/>
      <c r="G2" s="18"/>
    </row>
    <row r="3" spans="2:7" s="17" customFormat="1" ht="13.5" thickBot="1" x14ac:dyDescent="0.25">
      <c r="B3" s="32" t="str">
        <f ca="1">SUBSTITUTE(RIGHT(CELL("filename", $A$1), LEN(CELL("filename", $A$1))-FIND("]", CELL("filename", $A$1), 1)), "SEED ", "")</f>
        <v>1-1102.01</v>
      </c>
      <c r="C3" s="37" t="str">
        <f ca="1">IF(EXACT(B3, ""), "", VLOOKUP(B3, SEED!C4:D258, 2, FALSE))</f>
        <v>Bank (IDR)</v>
      </c>
      <c r="D3" s="37"/>
      <c r="E3" s="37"/>
      <c r="F3" s="38"/>
      <c r="G3" s="18"/>
    </row>
    <row r="4" spans="2:7" ht="13.5" thickBot="1" x14ac:dyDescent="0.25"/>
    <row r="5" spans="2:7" ht="25.5" x14ac:dyDescent="0.2">
      <c r="B5" s="20" t="s">
        <v>0</v>
      </c>
      <c r="C5" s="20" t="s">
        <v>210</v>
      </c>
      <c r="D5" s="20" t="s">
        <v>211</v>
      </c>
      <c r="E5" s="20" t="s">
        <v>213</v>
      </c>
      <c r="F5" s="20" t="s">
        <v>212</v>
      </c>
      <c r="G5" s="20" t="s">
        <v>219</v>
      </c>
    </row>
    <row r="6" spans="2:7" ht="13.5" thickBot="1" x14ac:dyDescent="0.25">
      <c r="B6" s="21"/>
      <c r="C6" s="21"/>
      <c r="D6" s="21"/>
      <c r="E6" s="21"/>
      <c r="F6" s="21"/>
      <c r="G6" s="21"/>
    </row>
    <row r="7" spans="2:7" x14ac:dyDescent="0.2">
      <c r="B7" s="25" t="str">
        <f ca="1">$B$3</f>
        <v>1-1102.01</v>
      </c>
      <c r="C7" s="26"/>
      <c r="D7" s="27" t="s">
        <v>218</v>
      </c>
      <c r="E7" s="29" t="str">
        <f t="shared" ref="E7:E16" ca="1" si="0">IF(EXACT($D7, ""), "", CONCATENATE($C$3, " - ", $D7))</f>
        <v>Bank (IDR) - MT</v>
      </c>
      <c r="F7" s="15" t="b">
        <v>0</v>
      </c>
      <c r="G7" s="30" t="str">
        <f ca="1">IF(EXACT($B7, ""), "", CONCATENATE($B7, ".", TEXT(IF(ROW($B$7)=ROW($B7), IF(EXACT($F7, "FALSE"), 1, 0), (RIGHT($G6, 6)*1)+1), "000000")))</f>
        <v>1-1102.01.000001</v>
      </c>
    </row>
    <row r="8" spans="2:7" x14ac:dyDescent="0.2">
      <c r="B8" s="22" t="str">
        <f t="shared" ref="B8:B14" ca="1" si="1">$B$3</f>
        <v>1-1102.01</v>
      </c>
      <c r="C8" s="24">
        <v>167000000000001</v>
      </c>
      <c r="D8" s="28" t="str">
        <f>IF(EXACT($C8, ""), "", VLOOKUP($C8, [2]DataLookUp!$B$4:$C$4000, 2, FALSE))</f>
        <v>Bank Central Asia - 0063032911</v>
      </c>
      <c r="E8" s="28" t="str">
        <f t="shared" ca="1" si="0"/>
        <v>Bank (IDR) - Bank Central Asia - 0063032911</v>
      </c>
      <c r="F8" s="16" t="b">
        <v>0</v>
      </c>
      <c r="G8" s="31" t="str">
        <f t="shared" ref="G8:G58" ca="1" si="2">IF(EXACT($B8, ""), "", CONCATENATE($B8, ".", TEXT(IF(ROW($B$7)=ROW($B8), IF(EXACT($F8, "FALSE"), 1, 0), (RIGHT($G7, 6)*1)+1), "000000")))</f>
        <v>1-1102.01.000002</v>
      </c>
    </row>
    <row r="9" spans="2:7" x14ac:dyDescent="0.2">
      <c r="B9" s="22" t="str">
        <f t="shared" ca="1" si="1"/>
        <v>1-1102.01</v>
      </c>
      <c r="C9" s="24">
        <v>167000000000002</v>
      </c>
      <c r="D9" s="28" t="str">
        <f>IF(EXACT($C9, ""), "", VLOOKUP($C9, [2]DataLookUp!$B$4:$C$4000, 2, FALSE))</f>
        <v>Bank Central Asia - 0065557750</v>
      </c>
      <c r="E9" s="28" t="str">
        <f t="shared" ca="1" si="0"/>
        <v>Bank (IDR) - Bank Central Asia - 0065557750</v>
      </c>
      <c r="F9" s="16" t="b">
        <v>0</v>
      </c>
      <c r="G9" s="31" t="str">
        <f t="shared" ca="1" si="2"/>
        <v>1-1102.01.000003</v>
      </c>
    </row>
    <row r="10" spans="2:7" x14ac:dyDescent="0.2">
      <c r="B10" s="22" t="str">
        <f t="shared" ca="1" si="1"/>
        <v>1-1102.01</v>
      </c>
      <c r="C10" s="24">
        <v>167000000000003</v>
      </c>
      <c r="D10" s="28" t="str">
        <f>IF(EXACT($C10, ""), "", VLOOKUP($C10, [2]DataLookUp!$B$4:$C$4000, 2, FALSE))</f>
        <v>Bank Central Asia - 0068502911</v>
      </c>
      <c r="E10" s="28" t="str">
        <f t="shared" ca="1" si="0"/>
        <v>Bank (IDR) - Bank Central Asia - 0068502911</v>
      </c>
      <c r="F10" s="16" t="b">
        <v>0</v>
      </c>
      <c r="G10" s="31" t="str">
        <f t="shared" ca="1" si="2"/>
        <v>1-1102.01.000004</v>
      </c>
    </row>
    <row r="11" spans="2:7" x14ac:dyDescent="0.2">
      <c r="B11" s="22" t="str">
        <f t="shared" ca="1" si="1"/>
        <v>1-1102.01</v>
      </c>
      <c r="C11" s="24">
        <v>167000000000004</v>
      </c>
      <c r="D11" s="28" t="str">
        <f>IF(EXACT($C11, ""), "", VLOOKUP($C11, [2]DataLookUp!$B$4:$C$4000, 2, FALSE))</f>
        <v>Bank Central Asia - 2173050101</v>
      </c>
      <c r="E11" s="28" t="str">
        <f t="shared" ca="1" si="0"/>
        <v>Bank (IDR) - Bank Central Asia - 2173050101</v>
      </c>
      <c r="F11" s="16" t="b">
        <v>0</v>
      </c>
      <c r="G11" s="31" t="str">
        <f t="shared" ca="1" si="2"/>
        <v>1-1102.01.000005</v>
      </c>
    </row>
    <row r="12" spans="2:7" x14ac:dyDescent="0.2">
      <c r="B12" s="22" t="str">
        <f t="shared" ca="1" si="1"/>
        <v>1-1102.01</v>
      </c>
      <c r="C12" s="24">
        <v>167000000000005</v>
      </c>
      <c r="D12" s="28" t="str">
        <f>IF(EXACT($C12, ""), "", VLOOKUP($C12, [2]DataLookUp!$B$4:$C$4000, 2, FALSE))</f>
        <v>Bank Central Asia - 2173108214</v>
      </c>
      <c r="E12" s="28" t="str">
        <f t="shared" ca="1" si="0"/>
        <v>Bank (IDR) - Bank Central Asia - 2173108214</v>
      </c>
      <c r="F12" s="16" t="b">
        <v>0</v>
      </c>
      <c r="G12" s="31" t="str">
        <f t="shared" ca="1" si="2"/>
        <v>1-1102.01.000006</v>
      </c>
    </row>
    <row r="13" spans="2:7" x14ac:dyDescent="0.2">
      <c r="B13" s="22" t="str">
        <f t="shared" ca="1" si="1"/>
        <v>1-1102.01</v>
      </c>
      <c r="C13" s="24">
        <v>167000000000006</v>
      </c>
      <c r="D13" s="28" t="str">
        <f>IF(EXACT($C13, ""), "", VLOOKUP($C13, [2]DataLookUp!$B$4:$C$4000, 2, FALSE))</f>
        <v>Bank CIMB Niaga - 762375277200</v>
      </c>
      <c r="E13" s="28" t="str">
        <f t="shared" ca="1" si="0"/>
        <v>Bank (IDR) - Bank CIMB Niaga - 762375277200</v>
      </c>
      <c r="F13" s="16" t="b">
        <v>0</v>
      </c>
      <c r="G13" s="31" t="str">
        <f t="shared" ca="1" si="2"/>
        <v>1-1102.01.000007</v>
      </c>
    </row>
    <row r="14" spans="2:7" x14ac:dyDescent="0.2">
      <c r="B14" s="22" t="str">
        <f t="shared" ca="1" si="1"/>
        <v>1-1102.01</v>
      </c>
      <c r="C14" s="24">
        <v>167000000000007</v>
      </c>
      <c r="D14" s="28" t="str">
        <f>IF(EXACT($C14, ""), "", VLOOKUP($C14, [2]DataLookUp!$B$4:$C$4000, 2, FALSE))</f>
        <v>Bank CIMB Niaga - 800039839400</v>
      </c>
      <c r="E14" s="28" t="str">
        <f t="shared" ca="1" si="0"/>
        <v>Bank (IDR) - Bank CIMB Niaga - 800039839400</v>
      </c>
      <c r="F14" s="16" t="b">
        <v>0</v>
      </c>
      <c r="G14" s="31" t="str">
        <f t="shared" ca="1" si="2"/>
        <v>1-1102.01.000008</v>
      </c>
    </row>
    <row r="15" spans="2:7" x14ac:dyDescent="0.2">
      <c r="B15" s="22" t="str">
        <f ca="1">$B$3</f>
        <v>1-1102.01</v>
      </c>
      <c r="C15" s="24">
        <v>167000000000008</v>
      </c>
      <c r="D15" s="28" t="str">
        <f>IF(EXACT($C15, ""), "", VLOOKUP($C15, [2]DataLookUp!$B$4:$C$4000, 2, FALSE))</f>
        <v>Bank CIMB Niaga - 800039840100</v>
      </c>
      <c r="E15" s="28" t="str">
        <f t="shared" ca="1" si="0"/>
        <v>Bank (IDR) - Bank CIMB Niaga - 800039840100</v>
      </c>
      <c r="F15" s="16" t="b">
        <v>0</v>
      </c>
      <c r="G15" s="31" t="str">
        <f t="shared" ca="1" si="2"/>
        <v>1-1102.01.000009</v>
      </c>
    </row>
    <row r="16" spans="2:7" x14ac:dyDescent="0.2">
      <c r="B16" s="22" t="str">
        <f ca="1">$B$3</f>
        <v>1-1102.01</v>
      </c>
      <c r="C16" s="24">
        <v>167000000000009</v>
      </c>
      <c r="D16" s="28" t="str">
        <f>IF(EXACT($C16, ""), "", VLOOKUP($C16, [2]DataLookUp!$B$4:$C$4000, 2, FALSE))</f>
        <v>Bank CIMB Niaga - 860012900500</v>
      </c>
      <c r="E16" s="28" t="str">
        <f t="shared" ca="1" si="0"/>
        <v>Bank (IDR) - Bank CIMB Niaga - 860012900500</v>
      </c>
      <c r="F16" s="16" t="b">
        <v>0</v>
      </c>
      <c r="G16" s="31" t="str">
        <f t="shared" ca="1" si="2"/>
        <v>1-1102.01.000010</v>
      </c>
    </row>
    <row r="17" spans="2:7" x14ac:dyDescent="0.2">
      <c r="B17" s="22" t="str">
        <f t="shared" ref="B17:B58" ca="1" si="3">$B$3</f>
        <v>1-1102.01</v>
      </c>
      <c r="C17" s="24">
        <v>167000000000010</v>
      </c>
      <c r="D17" s="28" t="str">
        <f>IF(EXACT($C17, ""), "", VLOOKUP($C17, [2]DataLookUp!$B$4:$C$4000, 2, FALSE))</f>
        <v>Bank Commonwealth - 1051189606</v>
      </c>
      <c r="E17" s="28" t="str">
        <f t="shared" ref="E17:E58" ca="1" si="4">IF(EXACT($D17, ""), "", CONCATENATE($C$3, " - ", $D17))</f>
        <v>Bank (IDR) - Bank Commonwealth - 1051189606</v>
      </c>
      <c r="F17" s="16" t="b">
        <v>0</v>
      </c>
      <c r="G17" s="31" t="str">
        <f t="shared" ca="1" si="2"/>
        <v>1-1102.01.000011</v>
      </c>
    </row>
    <row r="18" spans="2:7" x14ac:dyDescent="0.2">
      <c r="B18" s="22" t="str">
        <f t="shared" ca="1" si="3"/>
        <v>1-1102.01</v>
      </c>
      <c r="C18" s="24">
        <v>167000000000012</v>
      </c>
      <c r="D18" s="28" t="str">
        <f>IF(EXACT($C18, ""), "", VLOOKUP($C18, [2]DataLookUp!$B$4:$C$4000, 2, FALSE))</f>
        <v>Bank KB Bukopin - 1001327468</v>
      </c>
      <c r="E18" s="28" t="str">
        <f t="shared" ca="1" si="4"/>
        <v>Bank (IDR) - Bank KB Bukopin - 1001327468</v>
      </c>
      <c r="F18" s="16" t="b">
        <v>0</v>
      </c>
      <c r="G18" s="31" t="str">
        <f t="shared" ca="1" si="2"/>
        <v>1-1102.01.000012</v>
      </c>
    </row>
    <row r="19" spans="2:7" x14ac:dyDescent="0.2">
      <c r="B19" s="22" t="str">
        <f t="shared" ca="1" si="3"/>
        <v>1-1102.01</v>
      </c>
      <c r="C19" s="24">
        <v>167000000000013</v>
      </c>
      <c r="D19" s="28" t="str">
        <f>IF(EXACT($C19, ""), "", VLOOKUP($C19, [2]DataLookUp!$B$4:$C$4000, 2, FALSE))</f>
        <v>Bank KB Bukopin - 1001374466</v>
      </c>
      <c r="E19" s="28" t="str">
        <f t="shared" ca="1" si="4"/>
        <v>Bank (IDR) - Bank KB Bukopin - 1001374466</v>
      </c>
      <c r="F19" s="16" t="b">
        <v>0</v>
      </c>
      <c r="G19" s="31" t="str">
        <f t="shared" ca="1" si="2"/>
        <v>1-1102.01.000013</v>
      </c>
    </row>
    <row r="20" spans="2:7" x14ac:dyDescent="0.2">
      <c r="B20" s="22" t="str">
        <f t="shared" ca="1" si="3"/>
        <v>1-1102.01</v>
      </c>
      <c r="C20" s="24">
        <v>167000000000014</v>
      </c>
      <c r="D20" s="28" t="str">
        <f>IF(EXACT($C20, ""), "", VLOOKUP($C20, [2]DataLookUp!$B$4:$C$4000, 2, FALSE))</f>
        <v>Bank KB Bukopin - 1002405420</v>
      </c>
      <c r="E20" s="28" t="str">
        <f t="shared" ca="1" si="4"/>
        <v>Bank (IDR) - Bank KB Bukopin - 1002405420</v>
      </c>
      <c r="F20" s="16" t="b">
        <v>0</v>
      </c>
      <c r="G20" s="31" t="str">
        <f t="shared" ca="1" si="2"/>
        <v>1-1102.01.000014</v>
      </c>
    </row>
    <row r="21" spans="2:7" x14ac:dyDescent="0.2">
      <c r="B21" s="22" t="str">
        <f t="shared" ca="1" si="3"/>
        <v>1-1102.01</v>
      </c>
      <c r="C21" s="24">
        <v>167000000000015</v>
      </c>
      <c r="D21" s="28" t="str">
        <f>IF(EXACT($C21, ""), "", VLOOKUP($C21, [2]DataLookUp!$B$4:$C$4000, 2, FALSE))</f>
        <v>Bank Mandiri - 0700009986097</v>
      </c>
      <c r="E21" s="28" t="str">
        <f t="shared" ca="1" si="4"/>
        <v>Bank (IDR) - Bank Mandiri - 0700009986097</v>
      </c>
      <c r="F21" s="16" t="b">
        <v>0</v>
      </c>
      <c r="G21" s="31" t="str">
        <f t="shared" ca="1" si="2"/>
        <v>1-1102.01.000015</v>
      </c>
    </row>
    <row r="22" spans="2:7" x14ac:dyDescent="0.2">
      <c r="B22" s="22" t="str">
        <f t="shared" ca="1" si="3"/>
        <v>1-1102.01</v>
      </c>
      <c r="C22" s="24">
        <v>167000000000016</v>
      </c>
      <c r="D22" s="28" t="str">
        <f>IF(EXACT($C22, ""), "", VLOOKUP($C22, [2]DataLookUp!$B$4:$C$4000, 2, FALSE))</f>
        <v>Bank Mandiri - 0700010933104</v>
      </c>
      <c r="E22" s="28" t="str">
        <f t="shared" ca="1" si="4"/>
        <v>Bank (IDR) - Bank Mandiri - 0700010933104</v>
      </c>
      <c r="F22" s="16" t="b">
        <v>0</v>
      </c>
      <c r="G22" s="31" t="str">
        <f t="shared" ca="1" si="2"/>
        <v>1-1102.01.000016</v>
      </c>
    </row>
    <row r="23" spans="2:7" x14ac:dyDescent="0.2">
      <c r="B23" s="22" t="str">
        <f t="shared" ca="1" si="3"/>
        <v>1-1102.01</v>
      </c>
      <c r="C23" s="24">
        <v>167000000000017</v>
      </c>
      <c r="D23" s="28" t="str">
        <f>IF(EXACT($C23, ""), "", VLOOKUP($C23, [2]DataLookUp!$B$4:$C$4000, 2, FALSE))</f>
        <v>Bank Negara Indonesia - 1999998082</v>
      </c>
      <c r="E23" s="28" t="str">
        <f t="shared" ca="1" si="4"/>
        <v>Bank (IDR) - Bank Negara Indonesia - 1999998082</v>
      </c>
      <c r="F23" s="16" t="b">
        <v>0</v>
      </c>
      <c r="G23" s="31" t="str">
        <f t="shared" ca="1" si="2"/>
        <v>1-1102.01.000017</v>
      </c>
    </row>
    <row r="24" spans="2:7" x14ac:dyDescent="0.2">
      <c r="B24" s="22" t="str">
        <f t="shared" ca="1" si="3"/>
        <v>1-1102.01</v>
      </c>
      <c r="C24" s="24">
        <v>167000000000018</v>
      </c>
      <c r="D24" s="28" t="str">
        <f>IF(EXACT($C24, ""), "", VLOOKUP($C24, [2]DataLookUp!$B$4:$C$4000, 2, FALSE))</f>
        <v>Bank Negara Indonesia - 779207704</v>
      </c>
      <c r="E24" s="28" t="str">
        <f t="shared" ca="1" si="4"/>
        <v>Bank (IDR) - Bank Negara Indonesia - 779207704</v>
      </c>
      <c r="F24" s="16" t="b">
        <v>0</v>
      </c>
      <c r="G24" s="31" t="str">
        <f t="shared" ca="1" si="2"/>
        <v>1-1102.01.000018</v>
      </c>
    </row>
    <row r="25" spans="2:7" x14ac:dyDescent="0.2">
      <c r="B25" s="22" t="str">
        <f t="shared" ca="1" si="3"/>
        <v>1-1102.01</v>
      </c>
      <c r="C25" s="24">
        <v>167000000000019</v>
      </c>
      <c r="D25" s="28" t="str">
        <f>IF(EXACT($C25, ""), "", VLOOKUP($C25, [2]DataLookUp!$B$4:$C$4000, 2, FALSE))</f>
        <v>Bank Negara Indonesia - 779207715</v>
      </c>
      <c r="E25" s="28" t="str">
        <f t="shared" ca="1" si="4"/>
        <v>Bank (IDR) - Bank Negara Indonesia - 779207715</v>
      </c>
      <c r="F25" s="16" t="b">
        <v>0</v>
      </c>
      <c r="G25" s="31" t="str">
        <f t="shared" ca="1" si="2"/>
        <v>1-1102.01.000019</v>
      </c>
    </row>
    <row r="26" spans="2:7" x14ac:dyDescent="0.2">
      <c r="B26" s="22" t="str">
        <f t="shared" ca="1" si="3"/>
        <v>1-1102.01</v>
      </c>
      <c r="C26" s="24">
        <v>167000000000020</v>
      </c>
      <c r="D26" s="28" t="str">
        <f>IF(EXACT($C26, ""), "", VLOOKUP($C26, [2]DataLookUp!$B$4:$C$4000, 2, FALSE))</f>
        <v>Bank Negara Indonesia - 8995885888</v>
      </c>
      <c r="E26" s="28" t="str">
        <f t="shared" ca="1" si="4"/>
        <v>Bank (IDR) - Bank Negara Indonesia - 8995885888</v>
      </c>
      <c r="F26" s="16" t="b">
        <v>0</v>
      </c>
      <c r="G26" s="31" t="str">
        <f t="shared" ca="1" si="2"/>
        <v>1-1102.01.000020</v>
      </c>
    </row>
    <row r="27" spans="2:7" x14ac:dyDescent="0.2">
      <c r="B27" s="22" t="str">
        <f t="shared" ca="1" si="3"/>
        <v>1-1102.01</v>
      </c>
      <c r="C27" s="24">
        <v>167000000000021</v>
      </c>
      <c r="D27" s="28" t="str">
        <f>IF(EXACT($C27, ""), "", VLOOKUP($C27, [2]DataLookUp!$B$4:$C$4000, 2, FALSE))</f>
        <v>Bank Negara Indonesia - 907670396</v>
      </c>
      <c r="E27" s="28" t="str">
        <f t="shared" ca="1" si="4"/>
        <v>Bank (IDR) - Bank Negara Indonesia - 907670396</v>
      </c>
      <c r="F27" s="16" t="b">
        <v>0</v>
      </c>
      <c r="G27" s="31" t="str">
        <f t="shared" ca="1" si="2"/>
        <v>1-1102.01.000021</v>
      </c>
    </row>
    <row r="28" spans="2:7" x14ac:dyDescent="0.2">
      <c r="B28" s="22" t="str">
        <f t="shared" ca="1" si="3"/>
        <v>1-1102.01</v>
      </c>
      <c r="C28" s="24">
        <v>167000000000022</v>
      </c>
      <c r="D28" s="28" t="str">
        <f>IF(EXACT($C28, ""), "", VLOOKUP($C28, [2]DataLookUp!$B$4:$C$4000, 2, FALSE))</f>
        <v>Bank OCBC Nilai Inti Sari Penyimpanan - 020800017913</v>
      </c>
      <c r="E28" s="28" t="str">
        <f t="shared" ca="1" si="4"/>
        <v>Bank (IDR) - Bank OCBC Nilai Inti Sari Penyimpanan - 020800017913</v>
      </c>
      <c r="F28" s="16" t="b">
        <v>0</v>
      </c>
      <c r="G28" s="31" t="str">
        <f t="shared" ca="1" si="2"/>
        <v>1-1102.01.000022</v>
      </c>
    </row>
    <row r="29" spans="2:7" x14ac:dyDescent="0.2">
      <c r="B29" s="22" t="str">
        <f t="shared" ca="1" si="3"/>
        <v>1-1102.01</v>
      </c>
      <c r="C29" s="24">
        <v>167000000000023</v>
      </c>
      <c r="D29" s="28" t="str">
        <f>IF(EXACT($C29, ""), "", VLOOKUP($C29, [2]DataLookUp!$B$4:$C$4000, 2, FALSE))</f>
        <v>Bank Pembangunan Daerah Bengkulu - 0080107000764</v>
      </c>
      <c r="E29" s="28" t="str">
        <f t="shared" ca="1" si="4"/>
        <v>Bank (IDR) - Bank Pembangunan Daerah Bengkulu - 0080107000764</v>
      </c>
      <c r="F29" s="16" t="b">
        <v>0</v>
      </c>
      <c r="G29" s="31" t="str">
        <f t="shared" ca="1" si="2"/>
        <v>1-1102.01.000023</v>
      </c>
    </row>
    <row r="30" spans="2:7" x14ac:dyDescent="0.2">
      <c r="B30" s="22" t="str">
        <f t="shared" ca="1" si="3"/>
        <v>1-1102.01</v>
      </c>
      <c r="C30" s="24">
        <v>167000000000024</v>
      </c>
      <c r="D30" s="28" t="str">
        <f>IF(EXACT($C30, ""), "", VLOOKUP($C30, [2]DataLookUp!$B$4:$C$4000, 2, FALSE))</f>
        <v>Bank Pembangunan Daerah Jawa Barat Banten - 8880888880888</v>
      </c>
      <c r="E30" s="28" t="str">
        <f t="shared" ca="1" si="4"/>
        <v>Bank (IDR) - Bank Pembangunan Daerah Jawa Barat Banten - 8880888880888</v>
      </c>
      <c r="F30" s="16" t="b">
        <v>0</v>
      </c>
      <c r="G30" s="31" t="str">
        <f t="shared" ca="1" si="2"/>
        <v>1-1102.01.000024</v>
      </c>
    </row>
    <row r="31" spans="2:7" x14ac:dyDescent="0.2">
      <c r="B31" s="22" t="str">
        <f t="shared" ca="1" si="3"/>
        <v>1-1102.01</v>
      </c>
      <c r="C31" s="24">
        <v>167000000000025</v>
      </c>
      <c r="D31" s="28" t="str">
        <f>IF(EXACT($C31, ""), "", VLOOKUP($C31, [2]DataLookUp!$B$4:$C$4000, 2, FALSE))</f>
        <v>Bank Pembangunan Daerah Jawa Timur - 035101616</v>
      </c>
      <c r="E31" s="28" t="str">
        <f t="shared" ca="1" si="4"/>
        <v>Bank (IDR) - Bank Pembangunan Daerah Jawa Timur - 035101616</v>
      </c>
      <c r="F31" s="16" t="b">
        <v>0</v>
      </c>
      <c r="G31" s="31" t="str">
        <f t="shared" ca="1" si="2"/>
        <v>1-1102.01.000025</v>
      </c>
    </row>
    <row r="32" spans="2:7" x14ac:dyDescent="0.2">
      <c r="B32" s="22" t="str">
        <f t="shared" ca="1" si="3"/>
        <v>1-1102.01</v>
      </c>
      <c r="C32" s="24">
        <v>167000000000026</v>
      </c>
      <c r="D32" s="28" t="str">
        <f>IF(EXACT($C32, ""), "", VLOOKUP($C32, [2]DataLookUp!$B$4:$C$4000, 2, FALSE))</f>
        <v>Bank Pembangunan Daerah Jawa Timur - 1221001121</v>
      </c>
      <c r="E32" s="28" t="str">
        <f t="shared" ca="1" si="4"/>
        <v>Bank (IDR) - Bank Pembangunan Daerah Jawa Timur - 1221001121</v>
      </c>
      <c r="F32" s="16" t="b">
        <v>0</v>
      </c>
      <c r="G32" s="31" t="str">
        <f t="shared" ca="1" si="2"/>
        <v>1-1102.01.000026</v>
      </c>
    </row>
    <row r="33" spans="2:7" x14ac:dyDescent="0.2">
      <c r="B33" s="22" t="str">
        <f t="shared" ca="1" si="3"/>
        <v>1-1102.01</v>
      </c>
      <c r="C33" s="24">
        <v>167000000000027</v>
      </c>
      <c r="D33" s="28" t="str">
        <f>IF(EXACT($C33, ""), "", VLOOKUP($C33, [2]DataLookUp!$B$4:$C$4000, 2, FALSE))</f>
        <v>Bank Pembangunan Daerah Jawa Timur - 1231001251</v>
      </c>
      <c r="E33" s="28" t="str">
        <f t="shared" ca="1" si="4"/>
        <v>Bank (IDR) - Bank Pembangunan Daerah Jawa Timur - 1231001251</v>
      </c>
      <c r="F33" s="16" t="b">
        <v>0</v>
      </c>
      <c r="G33" s="31" t="str">
        <f t="shared" ca="1" si="2"/>
        <v>1-1102.01.000027</v>
      </c>
    </row>
    <row r="34" spans="2:7" x14ac:dyDescent="0.2">
      <c r="B34" s="22" t="str">
        <f t="shared" ca="1" si="3"/>
        <v>1-1102.01</v>
      </c>
      <c r="C34" s="24">
        <v>167000000000028</v>
      </c>
      <c r="D34" s="28" t="str">
        <f>IF(EXACT($C34, ""), "", VLOOKUP($C34, [2]DataLookUp!$B$4:$C$4000, 2, FALSE))</f>
        <v>Bank Pembangunan Daerah Kalimantan Selatan - 0400007001223</v>
      </c>
      <c r="E34" s="28" t="str">
        <f t="shared" ca="1" si="4"/>
        <v>Bank (IDR) - Bank Pembangunan Daerah Kalimantan Selatan - 0400007001223</v>
      </c>
      <c r="F34" s="16" t="b">
        <v>0</v>
      </c>
      <c r="G34" s="31" t="str">
        <f t="shared" ca="1" si="2"/>
        <v>1-1102.01.000028</v>
      </c>
    </row>
    <row r="35" spans="2:7" x14ac:dyDescent="0.2">
      <c r="B35" s="22" t="str">
        <f t="shared" ca="1" si="3"/>
        <v>1-1102.01</v>
      </c>
      <c r="C35" s="24">
        <v>167000000000031</v>
      </c>
      <c r="D35" s="28" t="str">
        <f>IF(EXACT($C35, ""), "", VLOOKUP($C35, [2]DataLookUp!$B$4:$C$4000, 2, FALSE))</f>
        <v>Bank Permata - 0701393570</v>
      </c>
      <c r="E35" s="28" t="str">
        <f t="shared" ca="1" si="4"/>
        <v>Bank (IDR) - Bank Permata - 0701393570</v>
      </c>
      <c r="F35" s="16" t="b">
        <v>0</v>
      </c>
      <c r="G35" s="31" t="str">
        <f t="shared" ca="1" si="2"/>
        <v>1-1102.01.000029</v>
      </c>
    </row>
    <row r="36" spans="2:7" x14ac:dyDescent="0.2">
      <c r="B36" s="22" t="str">
        <f t="shared" ca="1" si="3"/>
        <v>1-1102.01</v>
      </c>
      <c r="C36" s="24">
        <v>167000000000032</v>
      </c>
      <c r="D36" s="28" t="str">
        <f>IF(EXACT($C36, ""), "", VLOOKUP($C36, [2]DataLookUp!$B$4:$C$4000, 2, FALSE))</f>
        <v>Bank Permata - 0701393643</v>
      </c>
      <c r="E36" s="28" t="str">
        <f t="shared" ca="1" si="4"/>
        <v>Bank (IDR) - Bank Permata - 0701393643</v>
      </c>
      <c r="F36" s="16" t="b">
        <v>0</v>
      </c>
      <c r="G36" s="31" t="str">
        <f t="shared" ca="1" si="2"/>
        <v>1-1102.01.000030</v>
      </c>
    </row>
    <row r="37" spans="2:7" x14ac:dyDescent="0.2">
      <c r="B37" s="22" t="str">
        <f t="shared" ca="1" si="3"/>
        <v>1-1102.01</v>
      </c>
      <c r="C37" s="24">
        <v>167000000000033</v>
      </c>
      <c r="D37" s="28" t="str">
        <f>IF(EXACT($C37, ""), "", VLOOKUP($C37, [2]DataLookUp!$B$4:$C$4000, 2, FALSE))</f>
        <v>Bank Rakyat Indonesia - 005301004453305</v>
      </c>
      <c r="E37" s="28" t="str">
        <f t="shared" ca="1" si="4"/>
        <v>Bank (IDR) - Bank Rakyat Indonesia - 005301004453305</v>
      </c>
      <c r="F37" s="16" t="b">
        <v>0</v>
      </c>
      <c r="G37" s="31" t="str">
        <f t="shared" ca="1" si="2"/>
        <v>1-1102.01.000031</v>
      </c>
    </row>
    <row r="38" spans="2:7" x14ac:dyDescent="0.2">
      <c r="B38" s="22" t="str">
        <f t="shared" ca="1" si="3"/>
        <v>1-1102.01</v>
      </c>
      <c r="C38" s="24">
        <v>167000000000034</v>
      </c>
      <c r="D38" s="28" t="str">
        <f>IF(EXACT($C38, ""), "", VLOOKUP($C38, [2]DataLookUp!$B$4:$C$4000, 2, FALSE))</f>
        <v>Bank Rakyat Indonesia - 019301001230300</v>
      </c>
      <c r="E38" s="28" t="str">
        <f t="shared" ca="1" si="4"/>
        <v>Bank (IDR) - Bank Rakyat Indonesia - 019301001230300</v>
      </c>
      <c r="F38" s="16" t="b">
        <v>0</v>
      </c>
      <c r="G38" s="31" t="str">
        <f t="shared" ca="1" si="2"/>
        <v>1-1102.01.000032</v>
      </c>
    </row>
    <row r="39" spans="2:7" x14ac:dyDescent="0.2">
      <c r="B39" s="22" t="str">
        <f t="shared" ca="1" si="3"/>
        <v>1-1102.01</v>
      </c>
      <c r="C39" s="24">
        <v>167000000000035</v>
      </c>
      <c r="D39" s="28" t="str">
        <f>IF(EXACT($C39, ""), "", VLOOKUP($C39, [2]DataLookUp!$B$4:$C$4000, 2, FALSE))</f>
        <v>Bank Rakyat Indonesia - 019301003214300</v>
      </c>
      <c r="E39" s="28" t="str">
        <f t="shared" ca="1" si="4"/>
        <v>Bank (IDR) - Bank Rakyat Indonesia - 019301003214300</v>
      </c>
      <c r="F39" s="16" t="b">
        <v>0</v>
      </c>
      <c r="G39" s="31" t="str">
        <f t="shared" ca="1" si="2"/>
        <v>1-1102.01.000033</v>
      </c>
    </row>
    <row r="40" spans="2:7" x14ac:dyDescent="0.2">
      <c r="B40" s="22" t="str">
        <f t="shared" ca="1" si="3"/>
        <v>1-1102.01</v>
      </c>
      <c r="C40" s="24">
        <v>167000000000036</v>
      </c>
      <c r="D40" s="28" t="str">
        <f>IF(EXACT($C40, ""), "", VLOOKUP($C40, [2]DataLookUp!$B$4:$C$4000, 2, FALSE))</f>
        <v>Bank Rakyat Indonesia - 019301003667309</v>
      </c>
      <c r="E40" s="28" t="str">
        <f t="shared" ca="1" si="4"/>
        <v>Bank (IDR) - Bank Rakyat Indonesia - 019301003667309</v>
      </c>
      <c r="F40" s="16" t="b">
        <v>0</v>
      </c>
      <c r="G40" s="31" t="str">
        <f t="shared" ca="1" si="2"/>
        <v>1-1102.01.000034</v>
      </c>
    </row>
    <row r="41" spans="2:7" x14ac:dyDescent="0.2">
      <c r="B41" s="22" t="str">
        <f t="shared" ca="1" si="3"/>
        <v>1-1102.01</v>
      </c>
      <c r="C41" s="24">
        <v>167000000000037</v>
      </c>
      <c r="D41" s="28" t="str">
        <f>IF(EXACT($C41, ""), "", VLOOKUP($C41, [2]DataLookUp!$B$4:$C$4000, 2, FALSE))</f>
        <v>Bank Rakyat Indonesia - 019301003718304</v>
      </c>
      <c r="E41" s="28" t="str">
        <f t="shared" ca="1" si="4"/>
        <v>Bank (IDR) - Bank Rakyat Indonesia - 019301003718304</v>
      </c>
      <c r="F41" s="16" t="b">
        <v>0</v>
      </c>
      <c r="G41" s="31" t="str">
        <f t="shared" ca="1" si="2"/>
        <v>1-1102.01.000035</v>
      </c>
    </row>
    <row r="42" spans="2:7" x14ac:dyDescent="0.2">
      <c r="B42" s="22" t="str">
        <f t="shared" ca="1" si="3"/>
        <v>1-1102.01</v>
      </c>
      <c r="C42" s="24">
        <v>167000000000038</v>
      </c>
      <c r="D42" s="28" t="str">
        <f>IF(EXACT($C42, ""), "", VLOOKUP($C42, [2]DataLookUp!$B$4:$C$4000, 2, FALSE))</f>
        <v>Bank Rakyat Indonesia - 019301003719300</v>
      </c>
      <c r="E42" s="28" t="str">
        <f t="shared" ca="1" si="4"/>
        <v>Bank (IDR) - Bank Rakyat Indonesia - 019301003719300</v>
      </c>
      <c r="F42" s="16" t="b">
        <v>0</v>
      </c>
      <c r="G42" s="31" t="str">
        <f t="shared" ca="1" si="2"/>
        <v>1-1102.01.000036</v>
      </c>
    </row>
    <row r="43" spans="2:7" x14ac:dyDescent="0.2">
      <c r="B43" s="22" t="str">
        <f t="shared" ca="1" si="3"/>
        <v>1-1102.01</v>
      </c>
      <c r="C43" s="24">
        <v>167000000000039</v>
      </c>
      <c r="D43" s="28" t="str">
        <f>IF(EXACT($C43, ""), "", VLOOKUP($C43, [2]DataLookUp!$B$4:$C$4000, 2, FALSE))</f>
        <v>Bank Rakyat Indonesia - 019301003720301</v>
      </c>
      <c r="E43" s="28" t="str">
        <f t="shared" ca="1" si="4"/>
        <v>Bank (IDR) - Bank Rakyat Indonesia - 019301003720301</v>
      </c>
      <c r="F43" s="16" t="b">
        <v>0</v>
      </c>
      <c r="G43" s="31" t="str">
        <f t="shared" ca="1" si="2"/>
        <v>1-1102.01.000037</v>
      </c>
    </row>
    <row r="44" spans="2:7" x14ac:dyDescent="0.2">
      <c r="B44" s="22" t="str">
        <f t="shared" ca="1" si="3"/>
        <v>1-1102.01</v>
      </c>
      <c r="C44" s="24">
        <v>167000000000040</v>
      </c>
      <c r="D44" s="28" t="str">
        <f>IF(EXACT($C44, ""), "", VLOOKUP($C44, [2]DataLookUp!$B$4:$C$4000, 2, FALSE))</f>
        <v>Bank Rakyat Indonesia - 019301003881301</v>
      </c>
      <c r="E44" s="28" t="str">
        <f t="shared" ca="1" si="4"/>
        <v>Bank (IDR) - Bank Rakyat Indonesia - 019301003881301</v>
      </c>
      <c r="F44" s="16" t="b">
        <v>0</v>
      </c>
      <c r="G44" s="31" t="str">
        <f t="shared" ca="1" si="2"/>
        <v>1-1102.01.000038</v>
      </c>
    </row>
    <row r="45" spans="2:7" x14ac:dyDescent="0.2">
      <c r="B45" s="22" t="str">
        <f t="shared" ca="1" si="3"/>
        <v>1-1102.01</v>
      </c>
      <c r="C45" s="24">
        <v>167000000000041</v>
      </c>
      <c r="D45" s="28" t="str">
        <f>IF(EXACT($C45, ""), "", VLOOKUP($C45, [2]DataLookUp!$B$4:$C$4000, 2, FALSE))</f>
        <v>Bank Rakyat Indonesia - 035901002067300</v>
      </c>
      <c r="E45" s="28" t="str">
        <f t="shared" ca="1" si="4"/>
        <v>Bank (IDR) - Bank Rakyat Indonesia - 035901002067300</v>
      </c>
      <c r="F45" s="16" t="b">
        <v>0</v>
      </c>
      <c r="G45" s="31" t="str">
        <f t="shared" ca="1" si="2"/>
        <v>1-1102.01.000039</v>
      </c>
    </row>
    <row r="46" spans="2:7" x14ac:dyDescent="0.2">
      <c r="B46" s="22" t="str">
        <f t="shared" ca="1" si="3"/>
        <v>1-1102.01</v>
      </c>
      <c r="C46" s="24">
        <v>167000000000042</v>
      </c>
      <c r="D46" s="28" t="str">
        <f>IF(EXACT($C46, ""), "", VLOOKUP($C46, [2]DataLookUp!$B$4:$C$4000, 2, FALSE))</f>
        <v>Bank Rakyat Indonesia - 035901002951305</v>
      </c>
      <c r="E46" s="28" t="str">
        <f t="shared" ca="1" si="4"/>
        <v>Bank (IDR) - Bank Rakyat Indonesia - 035901002951305</v>
      </c>
      <c r="F46" s="16" t="b">
        <v>0</v>
      </c>
      <c r="G46" s="31" t="str">
        <f t="shared" ca="1" si="2"/>
        <v>1-1102.01.000040</v>
      </c>
    </row>
    <row r="47" spans="2:7" x14ac:dyDescent="0.2">
      <c r="B47" s="22" t="str">
        <f t="shared" ca="1" si="3"/>
        <v>1-1102.01</v>
      </c>
      <c r="C47" s="24">
        <v>167000000000043</v>
      </c>
      <c r="D47" s="28" t="str">
        <f>IF(EXACT($C47, ""), "", VLOOKUP($C47, [2]DataLookUp!$B$4:$C$4000, 2, FALSE))</f>
        <v>Bank Rakyat Indonesia - 035901002958307</v>
      </c>
      <c r="E47" s="28" t="str">
        <f t="shared" ca="1" si="4"/>
        <v>Bank (IDR) - Bank Rakyat Indonesia - 035901002958307</v>
      </c>
      <c r="F47" s="16" t="b">
        <v>0</v>
      </c>
      <c r="G47" s="31" t="str">
        <f t="shared" ca="1" si="2"/>
        <v>1-1102.01.000041</v>
      </c>
    </row>
    <row r="48" spans="2:7" x14ac:dyDescent="0.2">
      <c r="B48" s="22" t="str">
        <f t="shared" ca="1" si="3"/>
        <v>1-1102.01</v>
      </c>
      <c r="C48" s="24">
        <v>167000000000044</v>
      </c>
      <c r="D48" s="28" t="str">
        <f>IF(EXACT($C48, ""), "", VLOOKUP($C48, [2]DataLookUp!$B$4:$C$4000, 2, FALSE))</f>
        <v>Bank Rakyat Indonesia - 044101001553563</v>
      </c>
      <c r="E48" s="28" t="str">
        <f t="shared" ca="1" si="4"/>
        <v>Bank (IDR) - Bank Rakyat Indonesia - 044101001553563</v>
      </c>
      <c r="F48" s="16" t="b">
        <v>0</v>
      </c>
      <c r="G48" s="31" t="str">
        <f t="shared" ca="1" si="2"/>
        <v>1-1102.01.000042</v>
      </c>
    </row>
    <row r="49" spans="2:7" x14ac:dyDescent="0.2">
      <c r="B49" s="22" t="str">
        <f t="shared" ca="1" si="3"/>
        <v>1-1102.01</v>
      </c>
      <c r="C49" s="24">
        <v>167000000000045</v>
      </c>
      <c r="D49" s="28" t="str">
        <f>IF(EXACT($C49, ""), "", VLOOKUP($C49, [2]DataLookUp!$B$4:$C$4000, 2, FALSE))</f>
        <v>Bank Rakyat Indonesia - 044101002094300</v>
      </c>
      <c r="E49" s="28" t="str">
        <f t="shared" ca="1" si="4"/>
        <v>Bank (IDR) - Bank Rakyat Indonesia - 044101002094300</v>
      </c>
      <c r="F49" s="16" t="b">
        <v>0</v>
      </c>
      <c r="G49" s="31" t="str">
        <f t="shared" ca="1" si="2"/>
        <v>1-1102.01.000043</v>
      </c>
    </row>
    <row r="50" spans="2:7" x14ac:dyDescent="0.2">
      <c r="B50" s="22" t="str">
        <f t="shared" ca="1" si="3"/>
        <v>1-1102.01</v>
      </c>
      <c r="C50" s="24">
        <v>167000000000046</v>
      </c>
      <c r="D50" s="28" t="str">
        <f>IF(EXACT($C50, ""), "", VLOOKUP($C50, [2]DataLookUp!$B$4:$C$4000, 2, FALSE))</f>
        <v>Bank Rakyat Indonesia - 053801000258309</v>
      </c>
      <c r="E50" s="28" t="str">
        <f t="shared" ca="1" si="4"/>
        <v>Bank (IDR) - Bank Rakyat Indonesia - 053801000258309</v>
      </c>
      <c r="F50" s="16" t="b">
        <v>0</v>
      </c>
      <c r="G50" s="31" t="str">
        <f t="shared" ca="1" si="2"/>
        <v>1-1102.01.000044</v>
      </c>
    </row>
    <row r="51" spans="2:7" x14ac:dyDescent="0.2">
      <c r="B51" s="22" t="str">
        <f t="shared" ca="1" si="3"/>
        <v>1-1102.01</v>
      </c>
      <c r="C51" s="24">
        <v>167000000000047</v>
      </c>
      <c r="D51" s="28" t="str">
        <f>IF(EXACT($C51, ""), "", VLOOKUP($C51, [2]DataLookUp!$B$4:$C$4000, 2, FALSE))</f>
        <v>Bank Rakyat Indonesia - 34101002394304</v>
      </c>
      <c r="E51" s="28" t="str">
        <f t="shared" ca="1" si="4"/>
        <v>Bank (IDR) - Bank Rakyat Indonesia - 34101002394304</v>
      </c>
      <c r="F51" s="16" t="b">
        <v>0</v>
      </c>
      <c r="G51" s="31" t="str">
        <f t="shared" ca="1" si="2"/>
        <v>1-1102.01.000045</v>
      </c>
    </row>
    <row r="52" spans="2:7" x14ac:dyDescent="0.2">
      <c r="B52" s="22" t="str">
        <f t="shared" ca="1" si="3"/>
        <v>1-1102.01</v>
      </c>
      <c r="C52" s="24">
        <v>167000000000050</v>
      </c>
      <c r="D52" s="28" t="str">
        <f>IF(EXACT($C52, ""), "", VLOOKUP($C52, [2]DataLookUp!$B$4:$C$4000, 2, FALSE))</f>
        <v>Bank Standard Chartered - 30601430325</v>
      </c>
      <c r="E52" s="28" t="str">
        <f t="shared" ca="1" si="4"/>
        <v>Bank (IDR) - Bank Standard Chartered - 30601430325</v>
      </c>
      <c r="F52" s="16" t="b">
        <v>0</v>
      </c>
      <c r="G52" s="31" t="str">
        <f t="shared" ca="1" si="2"/>
        <v>1-1102.01.000046</v>
      </c>
    </row>
    <row r="53" spans="2:7" x14ac:dyDescent="0.2">
      <c r="B53" s="22" t="str">
        <f t="shared" ca="1" si="3"/>
        <v>1-1102.01</v>
      </c>
      <c r="C53" s="24">
        <v>167000000000051</v>
      </c>
      <c r="D53" s="28" t="str">
        <f>IF(EXACT($C53, ""), "", VLOOKUP($C53, [2]DataLookUp!$B$4:$C$4000, 2, FALSE))</f>
        <v>Bank Standard Chartered - 30601430376</v>
      </c>
      <c r="E53" s="28" t="str">
        <f t="shared" ca="1" si="4"/>
        <v>Bank (IDR) - Bank Standard Chartered - 30601430376</v>
      </c>
      <c r="F53" s="16" t="b">
        <v>0</v>
      </c>
      <c r="G53" s="31" t="str">
        <f t="shared" ca="1" si="2"/>
        <v>1-1102.01.000047</v>
      </c>
    </row>
    <row r="54" spans="2:7" x14ac:dyDescent="0.2">
      <c r="B54" s="22" t="str">
        <f t="shared" ca="1" si="3"/>
        <v>1-1102.01</v>
      </c>
      <c r="C54" s="24">
        <v>167000000000052</v>
      </c>
      <c r="D54" s="28" t="str">
        <f>IF(EXACT($C54, ""), "", VLOOKUP($C54, [2]DataLookUp!$B$4:$C$4000, 2, FALSE))</f>
        <v>Bank Standard Chartered - 30601430414</v>
      </c>
      <c r="E54" s="28" t="str">
        <f t="shared" ca="1" si="4"/>
        <v>Bank (IDR) - Bank Standard Chartered - 30601430414</v>
      </c>
      <c r="F54" s="16" t="b">
        <v>0</v>
      </c>
      <c r="G54" s="31" t="str">
        <f t="shared" ca="1" si="2"/>
        <v>1-1102.01.000048</v>
      </c>
    </row>
    <row r="55" spans="2:7" x14ac:dyDescent="0.2">
      <c r="B55" s="22" t="str">
        <f t="shared" ca="1" si="3"/>
        <v>1-1102.01</v>
      </c>
      <c r="C55" s="24">
        <v>167000000000053</v>
      </c>
      <c r="D55" s="28" t="str">
        <f>IF(EXACT($C55, ""), "", VLOOKUP($C55, [2]DataLookUp!$B$4:$C$4000, 2, FALSE))</f>
        <v>Bank Syariah Indonesia - 1006777593</v>
      </c>
      <c r="E55" s="28" t="str">
        <f t="shared" ca="1" si="4"/>
        <v>Bank (IDR) - Bank Syariah Indonesia - 1006777593</v>
      </c>
      <c r="F55" s="16" t="b">
        <v>0</v>
      </c>
      <c r="G55" s="31" t="str">
        <f t="shared" ca="1" si="2"/>
        <v>1-1102.01.000049</v>
      </c>
    </row>
    <row r="56" spans="2:7" x14ac:dyDescent="0.2">
      <c r="B56" s="22" t="str">
        <f t="shared" ca="1" si="3"/>
        <v>1-1102.01</v>
      </c>
      <c r="C56" s="24">
        <v>167000000000054</v>
      </c>
      <c r="D56" s="28" t="str">
        <f>IF(EXACT($C56, ""), "", VLOOKUP($C56, [2]DataLookUp!$B$4:$C$4000, 2, FALSE))</f>
        <v>Bank Syariah Indonesia - 7240736928</v>
      </c>
      <c r="E56" s="28" t="str">
        <f t="shared" ca="1" si="4"/>
        <v>Bank (IDR) - Bank Syariah Indonesia - 7240736928</v>
      </c>
      <c r="F56" s="16" t="b">
        <v>0</v>
      </c>
      <c r="G56" s="31" t="str">
        <f t="shared" ca="1" si="2"/>
        <v>1-1102.01.000050</v>
      </c>
    </row>
    <row r="57" spans="2:7" x14ac:dyDescent="0.2">
      <c r="B57" s="22" t="str">
        <f t="shared" ca="1" si="3"/>
        <v>1-1102.01</v>
      </c>
      <c r="C57" s="24">
        <v>167000000000055</v>
      </c>
      <c r="D57" s="28" t="str">
        <f>IF(EXACT($C57, ""), "", VLOOKUP($C57, [2]DataLookUp!$B$4:$C$4000, 2, FALSE))</f>
        <v>Bank Syariah Indonesia - 7240741347</v>
      </c>
      <c r="E57" s="28" t="str">
        <f t="shared" ca="1" si="4"/>
        <v>Bank (IDR) - Bank Syariah Indonesia - 7240741347</v>
      </c>
      <c r="F57" s="16" t="b">
        <v>0</v>
      </c>
      <c r="G57" s="31" t="str">
        <f t="shared" ca="1" si="2"/>
        <v>1-1102.01.000051</v>
      </c>
    </row>
    <row r="58" spans="2:7" x14ac:dyDescent="0.2">
      <c r="B58" s="22" t="str">
        <f t="shared" ca="1" si="3"/>
        <v>1-1102.01</v>
      </c>
      <c r="C58" s="24">
        <v>167000000000056</v>
      </c>
      <c r="D58" s="28" t="str">
        <f>IF(EXACT($C58, ""), "", VLOOKUP($C58, [2]DataLookUp!$B$4:$C$4000, 2, FALSE))</f>
        <v>Bank Tabungan Negara - 0100201300000052</v>
      </c>
      <c r="E58" s="28" t="str">
        <f t="shared" ca="1" si="4"/>
        <v>Bank (IDR) - Bank Tabungan Negara - 0100201300000052</v>
      </c>
      <c r="F58" s="16" t="b">
        <v>0</v>
      </c>
      <c r="G58" s="31" t="str">
        <f t="shared" ca="1" si="2"/>
        <v>1-1102.01.000052</v>
      </c>
    </row>
    <row r="59" spans="2:7" x14ac:dyDescent="0.2">
      <c r="B59" s="33"/>
      <c r="C59" s="34"/>
      <c r="D59" s="33"/>
      <c r="E59" s="33"/>
      <c r="F59" s="33"/>
      <c r="G59" s="35"/>
    </row>
  </sheetData>
  <mergeCells count="2">
    <mergeCell ref="B2:F2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G12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1" sqref="D11"/>
    </sheetView>
  </sheetViews>
  <sheetFormatPr defaultRowHeight="12.75" x14ac:dyDescent="0.2"/>
  <cols>
    <col min="1" max="1" width="2.85546875" style="3" customWidth="1"/>
    <col min="2" max="2" width="8" style="3" bestFit="1" customWidth="1"/>
    <col min="3" max="3" width="14" style="23" bestFit="1" customWidth="1"/>
    <col min="4" max="4" width="30.7109375" style="3" bestFit="1" customWidth="1"/>
    <col min="5" max="5" width="40.7109375" style="3" bestFit="1" customWidth="1"/>
    <col min="6" max="6" width="9.140625" style="3" bestFit="1" customWidth="1"/>
    <col min="7" max="7" width="13.7109375" style="19" bestFit="1" customWidth="1"/>
    <col min="8" max="16384" width="9.140625" style="3"/>
  </cols>
  <sheetData>
    <row r="1" spans="2:7" ht="13.5" thickBot="1" x14ac:dyDescent="0.25"/>
    <row r="2" spans="2:7" s="17" customFormat="1" x14ac:dyDescent="0.2">
      <c r="B2" s="39" t="s">
        <v>209</v>
      </c>
      <c r="C2" s="40"/>
      <c r="D2" s="40"/>
      <c r="E2" s="40"/>
      <c r="F2" s="41"/>
      <c r="G2" s="18"/>
    </row>
    <row r="3" spans="2:7" s="17" customFormat="1" ht="13.5" thickBot="1" x14ac:dyDescent="0.25">
      <c r="B3" s="32" t="str">
        <f ca="1">SUBSTITUTE(RIGHT(CELL("filename", $A$1), LEN(CELL("filename", $A$1))-FIND("]", CELL("filename", $A$1), 1)), "SEED ", "")</f>
        <v>1-1102.02</v>
      </c>
      <c r="C3" s="37" t="str">
        <f ca="1">IF(EXACT(B3, ""), "", VLOOKUP(B3, SEED!C4:D258, 2, FALSE))</f>
        <v>Bank (USD)</v>
      </c>
      <c r="D3" s="37"/>
      <c r="E3" s="37"/>
      <c r="F3" s="38"/>
      <c r="G3" s="18"/>
    </row>
    <row r="4" spans="2:7" ht="13.5" thickBot="1" x14ac:dyDescent="0.25"/>
    <row r="5" spans="2:7" ht="25.5" x14ac:dyDescent="0.2">
      <c r="B5" s="20" t="s">
        <v>0</v>
      </c>
      <c r="C5" s="20" t="s">
        <v>210</v>
      </c>
      <c r="D5" s="20" t="s">
        <v>211</v>
      </c>
      <c r="E5" s="20" t="s">
        <v>213</v>
      </c>
      <c r="F5" s="20" t="s">
        <v>212</v>
      </c>
      <c r="G5" s="20" t="s">
        <v>219</v>
      </c>
    </row>
    <row r="6" spans="2:7" ht="13.5" thickBot="1" x14ac:dyDescent="0.25">
      <c r="B6" s="21"/>
      <c r="C6" s="21"/>
      <c r="D6" s="21"/>
      <c r="E6" s="21"/>
      <c r="F6" s="21"/>
      <c r="G6" s="21"/>
    </row>
    <row r="7" spans="2:7" x14ac:dyDescent="0.2">
      <c r="B7" s="25" t="str">
        <f ca="1">$B$3</f>
        <v>1-1102.02</v>
      </c>
      <c r="C7" s="26">
        <v>167000000000011</v>
      </c>
      <c r="D7" s="29" t="str">
        <f>IF(EXACT($C7, ""), "", VLOOKUP($C7, [2]DataLookUp!$B$4:$C$4000, 2, FALSE))</f>
        <v>Bank Commonwealth - 1051189707</v>
      </c>
      <c r="E7" s="29" t="str">
        <f ca="1">IF(EXACT($D7, ""), "", CONCATENATE($C$3, " - ", $D7))</f>
        <v>Bank (USD) - Bank Commonwealth - 1051189707</v>
      </c>
      <c r="F7" s="15" t="b">
        <v>0</v>
      </c>
      <c r="G7" s="30" t="str">
        <f ca="1">IF(EXACT($B7, ""), "", CONCATENATE($B7, ".", TEXT(IF(ROW($B$7)=ROW($B7), IF(EXACT($F7, "FALSE"), 1, 0), (RIGHT($G6, 6)*1)+1), "000000")))</f>
        <v>1-1102.02.000001</v>
      </c>
    </row>
    <row r="8" spans="2:7" x14ac:dyDescent="0.2">
      <c r="B8" s="22" t="str">
        <f t="shared" ref="B8:B11" ca="1" si="0">$B$3</f>
        <v>1-1102.02</v>
      </c>
      <c r="C8" s="24">
        <v>167000000000029</v>
      </c>
      <c r="D8" s="28" t="str">
        <f>IF(EXACT($C8, ""), "", VLOOKUP($C8, [2]DataLookUp!$B$4:$C$4000, 2, FALSE))</f>
        <v>Bank Permata - 0701393414</v>
      </c>
      <c r="E8" s="28" t="str">
        <f ca="1">IF(EXACT($D8, ""), "", CONCATENATE($C$3, " - ", $D8))</f>
        <v>Bank (USD) - Bank Permata - 0701393414</v>
      </c>
      <c r="F8" s="16" t="b">
        <v>0</v>
      </c>
      <c r="G8" s="31" t="str">
        <f t="shared" ref="G8:G11" ca="1" si="1">IF(EXACT($B8, ""), "", CONCATENATE($B8, ".", TEXT(IF(ROW($B$7)=ROW($B8), IF(EXACT($F8, "FALSE"), 1, 0), (RIGHT($G7, 6)*1)+1), "000000")))</f>
        <v>1-1102.02.000002</v>
      </c>
    </row>
    <row r="9" spans="2:7" x14ac:dyDescent="0.2">
      <c r="B9" s="22" t="str">
        <f t="shared" ca="1" si="0"/>
        <v>1-1102.02</v>
      </c>
      <c r="C9" s="24">
        <v>167000000000030</v>
      </c>
      <c r="D9" s="28" t="str">
        <f>IF(EXACT($C9, ""), "", VLOOKUP($C9, [2]DataLookUp!$B$4:$C$4000, 2, FALSE))</f>
        <v>Bank Permata - 0701393481</v>
      </c>
      <c r="E9" s="28" t="str">
        <f ca="1">IF(EXACT($D9, ""), "", CONCATENATE($C$3, " - ", $D9))</f>
        <v>Bank (USD) - Bank Permata - 0701393481</v>
      </c>
      <c r="F9" s="16" t="b">
        <v>0</v>
      </c>
      <c r="G9" s="31" t="str">
        <f t="shared" ca="1" si="1"/>
        <v>1-1102.02.000003</v>
      </c>
    </row>
    <row r="10" spans="2:7" x14ac:dyDescent="0.2">
      <c r="B10" s="22" t="str">
        <f t="shared" ca="1" si="0"/>
        <v>1-1102.02</v>
      </c>
      <c r="C10" s="24">
        <v>167000000000048</v>
      </c>
      <c r="D10" s="28" t="str">
        <f>IF(EXACT($C10, ""), "", VLOOKUP($C10, [2]DataLookUp!$B$4:$C$4000, 2, FALSE))</f>
        <v>Bank Rakyat Indonesia - 34101002395300</v>
      </c>
      <c r="E10" s="28" t="str">
        <f ca="1">IF(EXACT($D10, ""), "", CONCATENATE($C$3, " - ", $D10))</f>
        <v>Bank (USD) - Bank Rakyat Indonesia - 34101002395300</v>
      </c>
      <c r="F10" s="16" t="b">
        <v>0</v>
      </c>
      <c r="G10" s="31" t="str">
        <f t="shared" ca="1" si="1"/>
        <v>1-1102.02.000004</v>
      </c>
    </row>
    <row r="11" spans="2:7" x14ac:dyDescent="0.2">
      <c r="B11" s="22" t="str">
        <f t="shared" ca="1" si="0"/>
        <v>1-1102.02</v>
      </c>
      <c r="C11" s="24">
        <v>167000000000049</v>
      </c>
      <c r="D11" s="28" t="str">
        <f>IF(EXACT($C11, ""), "", VLOOKUP($C11, [2]DataLookUp!$B$4:$C$4000, 2, FALSE))</f>
        <v>Bank Standard Chartered - 30601430287</v>
      </c>
      <c r="E11" s="28" t="str">
        <f ca="1">IF(EXACT($D11, ""), "", CONCATENATE($C$3, " - ", $D11))</f>
        <v>Bank (USD) - Bank Standard Chartered - 30601430287</v>
      </c>
      <c r="F11" s="16" t="b">
        <v>0</v>
      </c>
      <c r="G11" s="31" t="str">
        <f t="shared" ca="1" si="1"/>
        <v>1-1102.02.000005</v>
      </c>
    </row>
    <row r="12" spans="2:7" x14ac:dyDescent="0.2">
      <c r="B12" s="33"/>
      <c r="C12" s="34"/>
      <c r="D12" s="33"/>
      <c r="E12" s="33"/>
      <c r="F12" s="33"/>
      <c r="G12" s="35"/>
    </row>
  </sheetData>
  <mergeCells count="2">
    <mergeCell ref="B2:F2"/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G6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2.75" x14ac:dyDescent="0.2"/>
  <cols>
    <col min="1" max="1" width="2.85546875" style="3" customWidth="1"/>
    <col min="2" max="2" width="8" style="3" bestFit="1" customWidth="1"/>
    <col min="3" max="3" width="14" style="23" bestFit="1" customWidth="1"/>
    <col min="4" max="4" width="38.140625" style="3" bestFit="1" customWidth="1"/>
    <col min="5" max="5" width="52.140625" style="3" bestFit="1" customWidth="1"/>
    <col min="6" max="6" width="9.140625" style="3" bestFit="1" customWidth="1"/>
    <col min="7" max="7" width="13.7109375" style="19" bestFit="1" customWidth="1"/>
    <col min="8" max="16384" width="9.140625" style="3"/>
  </cols>
  <sheetData>
    <row r="1" spans="2:7" ht="13.5" thickBot="1" x14ac:dyDescent="0.25"/>
    <row r="2" spans="2:7" s="17" customFormat="1" x14ac:dyDescent="0.2">
      <c r="B2" s="39" t="s">
        <v>209</v>
      </c>
      <c r="C2" s="40"/>
      <c r="D2" s="40"/>
      <c r="E2" s="40"/>
      <c r="F2" s="41"/>
      <c r="G2" s="18"/>
    </row>
    <row r="3" spans="2:7" s="17" customFormat="1" ht="13.5" thickBot="1" x14ac:dyDescent="0.25">
      <c r="B3" s="32" t="str">
        <f ca="1">SUBSTITUTE(RIGHT(CELL("filename", $A$1), LEN(CELL("filename", $A$1))-FIND("]", CELL("filename", $A$1), 1)), "SEED ", "")</f>
        <v>1-1700.01</v>
      </c>
      <c r="C3" s="37" t="e">
        <f ca="1">IF(EXACT(B3, ""), "", VLOOKUP(B3, SEED!C4:D258, 2, FALSE))</f>
        <v>#N/A</v>
      </c>
      <c r="D3" s="37"/>
      <c r="E3" s="37"/>
      <c r="F3" s="38"/>
      <c r="G3" s="18"/>
    </row>
    <row r="4" spans="2:7" ht="13.5" thickBot="1" x14ac:dyDescent="0.25"/>
    <row r="5" spans="2:7" ht="25.5" x14ac:dyDescent="0.2">
      <c r="B5" s="20" t="s">
        <v>0</v>
      </c>
      <c r="C5" s="20" t="s">
        <v>210</v>
      </c>
      <c r="D5" s="20" t="s">
        <v>211</v>
      </c>
      <c r="E5" s="20" t="s">
        <v>213</v>
      </c>
      <c r="F5" s="20" t="s">
        <v>212</v>
      </c>
      <c r="G5" s="20" t="s">
        <v>219</v>
      </c>
    </row>
    <row r="6" spans="2:7" ht="13.5" thickBot="1" x14ac:dyDescent="0.25">
      <c r="B6" s="21"/>
      <c r="C6" s="21"/>
      <c r="D6" s="21"/>
      <c r="E6" s="21"/>
      <c r="F6" s="21"/>
      <c r="G6" s="21"/>
    </row>
    <row r="7" spans="2:7" x14ac:dyDescent="0.2">
      <c r="B7" s="25" t="str">
        <f ca="1">$B$3</f>
        <v>1-1700.01</v>
      </c>
      <c r="C7" s="26"/>
      <c r="D7" s="27" t="s">
        <v>214</v>
      </c>
      <c r="E7" s="29" t="e">
        <f t="shared" ref="E7:E12" ca="1" si="0">IF(EXACT($D7, ""), "", CONCATENATE($C$3, " - ", $D7))</f>
        <v>#N/A</v>
      </c>
      <c r="F7" s="15" t="b">
        <v>1</v>
      </c>
      <c r="G7" s="30" t="str">
        <f ca="1">IF(EXACT($B7, ""), "", CONCATENATE($B7, ".", TEXT(IF(ROW($B$7)=ROW($B7), IF(EXACT($F7, "FALSE"), 1, 0), (RIGHT($G6, 6)*1)+1), "000000")))</f>
        <v>1-1700.01.000000</v>
      </c>
    </row>
    <row r="8" spans="2:7" x14ac:dyDescent="0.2">
      <c r="B8" s="22" t="str">
        <f ca="1">$B$3</f>
        <v>1-1700.01</v>
      </c>
      <c r="C8" s="36">
        <v>32000000000012</v>
      </c>
      <c r="D8" s="28" t="str">
        <f>IF(EXACT($C8, ""), "", CONCATENATE(VLOOKUP($C8, [3]DataLookUp!$B$4:$E$4000, 3, FALSE), IF(EXACT(VLOOKUP($C8, [3]DataLookUp!$B$4:$E$4000, 4, FALSE), ""), "", CONCATENATE(" (NIK : ", VLOOKUP($C8, [3]DataLookUp!$B$4:$E$4000, 4, FALSE),")"))))</f>
        <v>Agnes Sutedja (NIK : 010703020)</v>
      </c>
      <c r="E8" s="28" t="e">
        <f t="shared" ca="1" si="0"/>
        <v>#N/A</v>
      </c>
      <c r="F8" s="16" t="b">
        <v>0</v>
      </c>
      <c r="G8" s="31" t="str">
        <f t="shared" ref="G8:G17" ca="1" si="1">IF(EXACT($B8, ""), "", CONCATENATE($B8, ".", TEXT(IF(ROW($B$7)=ROW($B8), IF(EXACT($F8, "FALSE"), 1, 0), (RIGHT($G7, 6)*1)+1), "000000")))</f>
        <v>1-1700.01.000001</v>
      </c>
    </row>
    <row r="9" spans="2:7" x14ac:dyDescent="0.2">
      <c r="B9" s="22" t="str">
        <f t="shared" ref="B9:B65" ca="1" si="2">$B$3</f>
        <v>1-1700.01</v>
      </c>
      <c r="C9" s="36">
        <v>32000000000017</v>
      </c>
      <c r="D9" s="28" t="str">
        <f>IF(EXACT($C9, ""), "", CONCATENATE(VLOOKUP($C9, [3]DataLookUp!$B$4:$E$4000, 3, FALSE), IF(EXACT(VLOOKUP($C9, [3]DataLookUp!$B$4:$E$4000, 4, FALSE), ""), "", CONCATENATE(" (NIK : ", VLOOKUP($C9, [3]DataLookUp!$B$4:$E$4000, 4, FALSE),")"))))</f>
        <v>Ahmad Faiz Haems Muda (NIK : 280314716)</v>
      </c>
      <c r="E9" s="28" t="e">
        <f t="shared" ca="1" si="0"/>
        <v>#N/A</v>
      </c>
      <c r="F9" s="16" t="b">
        <v>0</v>
      </c>
      <c r="G9" s="31" t="str">
        <f t="shared" ca="1" si="1"/>
        <v>1-1700.01.000002</v>
      </c>
    </row>
    <row r="10" spans="2:7" x14ac:dyDescent="0.2">
      <c r="B10" s="22" t="str">
        <f t="shared" ca="1" si="2"/>
        <v>1-1700.01</v>
      </c>
      <c r="C10" s="36">
        <v>32000000000023</v>
      </c>
      <c r="D10" s="28" t="str">
        <f>IF(EXACT($C10, ""), "", CONCATENATE(VLOOKUP($C10, [3]DataLookUp!$B$4:$E$4000, 3, FALSE), IF(EXACT(VLOOKUP($C10, [3]DataLookUp!$B$4:$E$4000, 4, FALSE), ""), "", CONCATENATE(" (NIK : ", VLOOKUP($C10, [3]DataLookUp!$B$4:$E$4000, 4, FALSE),")"))))</f>
        <v>Aldi Mulyadi (NIK : 141020935)</v>
      </c>
      <c r="E10" s="28" t="e">
        <f t="shared" ca="1" si="0"/>
        <v>#N/A</v>
      </c>
      <c r="F10" s="16" t="b">
        <v>0</v>
      </c>
      <c r="G10" s="31" t="str">
        <f t="shared" ca="1" si="1"/>
        <v>1-1700.01.000003</v>
      </c>
    </row>
    <row r="11" spans="2:7" x14ac:dyDescent="0.2">
      <c r="B11" s="22" t="str">
        <f t="shared" ca="1" si="2"/>
        <v>1-1700.01</v>
      </c>
      <c r="C11" s="36">
        <v>32000000000075</v>
      </c>
      <c r="D11" s="28" t="str">
        <f>IF(EXACT($C11, ""), "", CONCATENATE(VLOOKUP($C11, [3]DataLookUp!$B$4:$E$4000, 3, FALSE), IF(EXACT(VLOOKUP($C11, [3]DataLookUp!$B$4:$E$4000, 4, FALSE), ""), "", CONCATENATE(" (NIK : ", VLOOKUP($C11, [3]DataLookUp!$B$4:$E$4000, 4, FALSE),")"))))</f>
        <v>Belina Lindarwani (NIK : 100920934)</v>
      </c>
      <c r="E11" s="28" t="e">
        <f t="shared" ca="1" si="0"/>
        <v>#N/A</v>
      </c>
      <c r="F11" s="16" t="b">
        <v>0</v>
      </c>
      <c r="G11" s="31" t="str">
        <f t="shared" ca="1" si="1"/>
        <v>1-1700.01.000004</v>
      </c>
    </row>
    <row r="12" spans="2:7" x14ac:dyDescent="0.2">
      <c r="B12" s="22" t="str">
        <f t="shared" ca="1" si="2"/>
        <v>1-1700.01</v>
      </c>
      <c r="C12" s="36">
        <v>32000000000082</v>
      </c>
      <c r="D12" s="28" t="str">
        <f>IF(EXACT($C12, ""), "", CONCATENATE(VLOOKUP($C12, [3]DataLookUp!$B$4:$E$4000, 3, FALSE), IF(EXACT(VLOOKUP($C12, [3]DataLookUp!$B$4:$E$4000, 4, FALSE), ""), "", CONCATENATE(" (NIK : ", VLOOKUP($C12, [3]DataLookUp!$B$4:$E$4000, 4, FALSE),")"))))</f>
        <v>Budianto (NIK : 060515769)</v>
      </c>
      <c r="E12" s="28" t="e">
        <f t="shared" ca="1" si="0"/>
        <v>#N/A</v>
      </c>
      <c r="F12" s="16" t="b">
        <v>0</v>
      </c>
      <c r="G12" s="31" t="str">
        <f t="shared" ca="1" si="1"/>
        <v>1-1700.01.000005</v>
      </c>
    </row>
    <row r="13" spans="2:7" x14ac:dyDescent="0.2">
      <c r="B13" s="22" t="str">
        <f t="shared" ca="1" si="2"/>
        <v>1-1700.01</v>
      </c>
      <c r="C13" s="36">
        <v>32000000000092</v>
      </c>
      <c r="D13" s="28" t="str">
        <f>IF(EXACT($C13, ""), "", CONCATENATE(VLOOKUP($C13, [3]DataLookUp!$B$4:$E$4000, 3, FALSE), IF(EXACT(VLOOKUP($C13, [3]DataLookUp!$B$4:$E$4000, 4, FALSE), ""), "", CONCATENATE(" (NIK : ", VLOOKUP($C13, [3]DataLookUp!$B$4:$E$4000, 4, FALSE),")"))))</f>
        <v>Darsito (NIK : 031212631)</v>
      </c>
      <c r="E13" s="28" t="e">
        <f t="shared" ref="E13:E65" ca="1" si="3">IF(EXACT($D13, ""), "", CONCATENATE($C$3, " - ", $D13))</f>
        <v>#N/A</v>
      </c>
      <c r="F13" s="16" t="b">
        <v>0</v>
      </c>
      <c r="G13" s="31" t="str">
        <f t="shared" ca="1" si="1"/>
        <v>1-1700.01.000006</v>
      </c>
    </row>
    <row r="14" spans="2:7" x14ac:dyDescent="0.2">
      <c r="B14" s="22" t="str">
        <f t="shared" ca="1" si="2"/>
        <v>1-1700.01</v>
      </c>
      <c r="C14" s="36">
        <v>32000000000100</v>
      </c>
      <c r="D14" s="28" t="str">
        <f>IF(EXACT($C14, ""), "", CONCATENATE(VLOOKUP($C14, [3]DataLookUp!$B$4:$E$4000, 3, FALSE), IF(EXACT(VLOOKUP($C14, [3]DataLookUp!$B$4:$E$4000, 4, FALSE), ""), "", CONCATENATE(" (NIK : ", VLOOKUP($C14, [3]DataLookUp!$B$4:$E$4000, 4, FALSE),")"))))</f>
        <v>Deny Adi Purnama (NIK : 050123975)</v>
      </c>
      <c r="E14" s="28" t="e">
        <f t="shared" ca="1" si="3"/>
        <v>#N/A</v>
      </c>
      <c r="F14" s="16" t="b">
        <v>0</v>
      </c>
      <c r="G14" s="31" t="str">
        <f t="shared" ca="1" si="1"/>
        <v>1-1700.01.000007</v>
      </c>
    </row>
    <row r="15" spans="2:7" x14ac:dyDescent="0.2">
      <c r="B15" s="22" t="str">
        <f t="shared" ca="1" si="2"/>
        <v>1-1700.01</v>
      </c>
      <c r="C15" s="36">
        <v>32000000000106</v>
      </c>
      <c r="D15" s="28" t="str">
        <f>IF(EXACT($C15, ""), "", CONCATENATE(VLOOKUP($C15, [3]DataLookUp!$B$4:$E$4000, 3, FALSE), IF(EXACT(VLOOKUP($C15, [3]DataLookUp!$B$4:$E$4000, 4, FALSE), ""), "", CONCATENATE(" (NIK : ", VLOOKUP($C15, [3]DataLookUp!$B$4:$E$4000, 4, FALSE),")"))))</f>
        <v>Dionesius Sostenist Duka (NIK : 010605133)</v>
      </c>
      <c r="E15" s="28" t="e">
        <f t="shared" ca="1" si="3"/>
        <v>#N/A</v>
      </c>
      <c r="F15" s="16" t="b">
        <v>0</v>
      </c>
      <c r="G15" s="31" t="str">
        <f t="shared" ca="1" si="1"/>
        <v>1-1700.01.000008</v>
      </c>
    </row>
    <row r="16" spans="2:7" x14ac:dyDescent="0.2">
      <c r="B16" s="22" t="str">
        <f t="shared" ca="1" si="2"/>
        <v>1-1700.01</v>
      </c>
      <c r="C16" s="36">
        <v>32000000000116</v>
      </c>
      <c r="D16" s="28" t="str">
        <f>IF(EXACT($C16, ""), "", CONCATENATE(VLOOKUP($C16, [3]DataLookUp!$B$4:$E$4000, 3, FALSE), IF(EXACT(VLOOKUP($C16, [3]DataLookUp!$B$4:$E$4000, 4, FALSE), ""), "", CONCATENATE(" (NIK : ", VLOOKUP($C16, [3]DataLookUp!$B$4:$E$4000, 4, FALSE),")"))))</f>
        <v>Edi Waluyo (NIK : 040803040)</v>
      </c>
      <c r="E16" s="28" t="e">
        <f t="shared" ca="1" si="3"/>
        <v>#N/A</v>
      </c>
      <c r="F16" s="16" t="b">
        <v>0</v>
      </c>
      <c r="G16" s="31" t="str">
        <f t="shared" ca="1" si="1"/>
        <v>1-1700.01.000009</v>
      </c>
    </row>
    <row r="17" spans="2:7" x14ac:dyDescent="0.2">
      <c r="B17" s="22" t="str">
        <f t="shared" ca="1" si="2"/>
        <v>1-1700.01</v>
      </c>
      <c r="C17" s="36">
        <v>32000000000123</v>
      </c>
      <c r="D17" s="28" t="str">
        <f>IF(EXACT($C17, ""), "", CONCATENATE(VLOOKUP($C17, [3]DataLookUp!$B$4:$E$4000, 3, FALSE), IF(EXACT(VLOOKUP($C17, [3]DataLookUp!$B$4:$E$4000, 4, FALSE), ""), "", CONCATENATE(" (NIK : ", VLOOKUP($C17, [3]DataLookUp!$B$4:$E$4000, 4, FALSE),")"))))</f>
        <v>Eka Bagus Dwi Putra (NIK : 200420932)</v>
      </c>
      <c r="E17" s="28" t="e">
        <f t="shared" ca="1" si="3"/>
        <v>#N/A</v>
      </c>
      <c r="F17" s="16" t="b">
        <v>0</v>
      </c>
      <c r="G17" s="31" t="str">
        <f t="shared" ca="1" si="1"/>
        <v>1-1700.01.000010</v>
      </c>
    </row>
    <row r="18" spans="2:7" x14ac:dyDescent="0.2">
      <c r="B18" s="22" t="str">
        <f t="shared" ca="1" si="2"/>
        <v>1-1700.01</v>
      </c>
      <c r="C18" s="36">
        <v>32000000000125</v>
      </c>
      <c r="D18" s="28" t="str">
        <f>IF(EXACT($C18, ""), "", CONCATENATE(VLOOKUP($C18, [3]DataLookUp!$B$4:$E$4000, 3, FALSE), IF(EXACT(VLOOKUP($C18, [3]DataLookUp!$B$4:$E$4000, 4, FALSE), ""), "", CONCATENATE(" (NIK : ", VLOOKUP($C18, [3]DataLookUp!$B$4:$E$4000, 4, FALSE),")"))))</f>
        <v>Eka Purwanti (NIK : 060121944)</v>
      </c>
      <c r="E18" s="28" t="e">
        <f t="shared" ca="1" si="3"/>
        <v>#N/A</v>
      </c>
      <c r="F18" s="16" t="b">
        <v>0</v>
      </c>
      <c r="G18" s="31" t="str">
        <f t="shared" ref="G18:G25" ca="1" si="4">IF(EXACT($B18, ""), "", CONCATENATE($B18, ".", TEXT(IF(ROW($B$7)=ROW($B18), IF(EXACT($F18, "FALSE"), 1, 0), (RIGHT($G17, 6)*1)+1), "000000")))</f>
        <v>1-1700.01.000011</v>
      </c>
    </row>
    <row r="19" spans="2:7" x14ac:dyDescent="0.2">
      <c r="B19" s="22" t="str">
        <f t="shared" ca="1" si="2"/>
        <v>1-1700.01</v>
      </c>
      <c r="C19" s="36">
        <v>32000000000126</v>
      </c>
      <c r="D19" s="28" t="str">
        <f>IF(EXACT($C19, ""), "", CONCATENATE(VLOOKUP($C19, [3]DataLookUp!$B$4:$E$4000, 3, FALSE), IF(EXACT(VLOOKUP($C19, [3]DataLookUp!$B$4:$E$4000, 4, FALSE), ""), "", CONCATENATE(" (NIK : ", VLOOKUP($C19, [3]DataLookUp!$B$4:$E$4000, 4, FALSE),")"))))</f>
        <v>Eka Kurniawan Hidayatullah (NIK : 120324987)</v>
      </c>
      <c r="E19" s="28" t="e">
        <f t="shared" ca="1" si="3"/>
        <v>#N/A</v>
      </c>
      <c r="F19" s="16" t="b">
        <v>0</v>
      </c>
      <c r="G19" s="31" t="str">
        <f t="shared" ca="1" si="4"/>
        <v>1-1700.01.000012</v>
      </c>
    </row>
    <row r="20" spans="2:7" x14ac:dyDescent="0.2">
      <c r="B20" s="22" t="str">
        <f t="shared" ca="1" si="2"/>
        <v>1-1700.01</v>
      </c>
      <c r="C20" s="36">
        <v>32000000000138</v>
      </c>
      <c r="D20" s="28" t="str">
        <f>IF(EXACT($C20, ""), "", CONCATENATE(VLOOKUP($C20, [3]DataLookUp!$B$4:$E$4000, 3, FALSE), IF(EXACT(VLOOKUP($C20, [3]DataLookUp!$B$4:$E$4000, 4, FALSE), ""), "", CONCATENATE(" (NIK : ", VLOOKUP($C20, [3]DataLookUp!$B$4:$E$4000, 4, FALSE),")"))))</f>
        <v>Endang Sutrisna (NIK : 010806250)</v>
      </c>
      <c r="E20" s="28" t="e">
        <f t="shared" ca="1" si="3"/>
        <v>#N/A</v>
      </c>
      <c r="F20" s="16" t="b">
        <v>0</v>
      </c>
      <c r="G20" s="31" t="str">
        <f t="shared" ca="1" si="4"/>
        <v>1-1700.01.000013</v>
      </c>
    </row>
    <row r="21" spans="2:7" x14ac:dyDescent="0.2">
      <c r="B21" s="22" t="str">
        <f t="shared" ca="1" si="2"/>
        <v>1-1700.01</v>
      </c>
      <c r="C21" s="36">
        <v>32000000000155</v>
      </c>
      <c r="D21" s="28" t="str">
        <f>IF(EXACT($C21, ""), "", CONCATENATE(VLOOKUP($C21, [3]DataLookUp!$B$4:$E$4000, 3, FALSE), IF(EXACT(VLOOKUP($C21, [3]DataLookUp!$B$4:$E$4000, 4, FALSE), ""), "", CONCATENATE(" (NIK : ", VLOOKUP($C21, [3]DataLookUp!$B$4:$E$4000, 4, FALSE),")"))))</f>
        <v>M. Fikri Caesarandi Hasibuan (NIK : 160916799)</v>
      </c>
      <c r="E21" s="28" t="e">
        <f t="shared" ca="1" si="3"/>
        <v>#N/A</v>
      </c>
      <c r="F21" s="16" t="b">
        <v>0</v>
      </c>
      <c r="G21" s="31" t="str">
        <f t="shared" ca="1" si="4"/>
        <v>1-1700.01.000014</v>
      </c>
    </row>
    <row r="22" spans="2:7" x14ac:dyDescent="0.2">
      <c r="B22" s="22" t="str">
        <f t="shared" ca="1" si="2"/>
        <v>1-1700.01</v>
      </c>
      <c r="C22" s="36">
        <v>32000000000167</v>
      </c>
      <c r="D22" s="28" t="str">
        <f>IF(EXACT($C22, ""), "", CONCATENATE(VLOOKUP($C22, [3]DataLookUp!$B$4:$E$4000, 3, FALSE), IF(EXACT(VLOOKUP($C22, [3]DataLookUp!$B$4:$E$4000, 4, FALSE), ""), "", CONCATENATE(" (NIK : ", VLOOKUP($C22, [3]DataLookUp!$B$4:$E$4000, 4, FALSE),")"))))</f>
        <v>Grace Kurniawan (NIK : 010218858)</v>
      </c>
      <c r="E22" s="28" t="e">
        <f t="shared" ca="1" si="3"/>
        <v>#N/A</v>
      </c>
      <c r="F22" s="16" t="b">
        <v>0</v>
      </c>
      <c r="G22" s="31" t="str">
        <f t="shared" ca="1" si="4"/>
        <v>1-1700.01.000015</v>
      </c>
    </row>
    <row r="23" spans="2:7" x14ac:dyDescent="0.2">
      <c r="B23" s="22" t="str">
        <f t="shared" ca="1" si="2"/>
        <v>1-1700.01</v>
      </c>
      <c r="C23" s="36">
        <v>32000000000168</v>
      </c>
      <c r="D23" s="28" t="str">
        <f>IF(EXACT($C23, ""), "", CONCATENATE(VLOOKUP($C23, [3]DataLookUp!$B$4:$E$4000, 3, FALSE), IF(EXACT(VLOOKUP($C23, [3]DataLookUp!$B$4:$E$4000, 4, FALSE), ""), "", CONCATENATE(" (NIK : ", VLOOKUP($C23, [3]DataLookUp!$B$4:$E$4000, 4, FALSE),")"))))</f>
        <v>Gunawan (NIK : 070806256)</v>
      </c>
      <c r="E23" s="28" t="e">
        <f t="shared" ca="1" si="3"/>
        <v>#N/A</v>
      </c>
      <c r="F23" s="16" t="b">
        <v>0</v>
      </c>
      <c r="G23" s="31" t="str">
        <f t="shared" ca="1" si="4"/>
        <v>1-1700.01.000016</v>
      </c>
    </row>
    <row r="24" spans="2:7" x14ac:dyDescent="0.2">
      <c r="B24" s="22" t="str">
        <f t="shared" ca="1" si="2"/>
        <v>1-1700.01</v>
      </c>
      <c r="C24" s="36">
        <v>32000000000196</v>
      </c>
      <c r="D24" s="28" t="str">
        <f>IF(EXACT($C24, ""), "", CONCATENATE(VLOOKUP($C24, [3]DataLookUp!$B$4:$E$4000, 3, FALSE), IF(EXACT(VLOOKUP($C24, [3]DataLookUp!$B$4:$E$4000, 4, FALSE), ""), "", CONCATENATE(" (NIK : ", VLOOKUP($C24, [3]DataLookUp!$B$4:$E$4000, 4, FALSE),")"))))</f>
        <v>Icha Mailinda Syamsoedin (NIK : 191015786)</v>
      </c>
      <c r="E24" s="28" t="e">
        <f t="shared" ca="1" si="3"/>
        <v>#N/A</v>
      </c>
      <c r="F24" s="16" t="b">
        <v>0</v>
      </c>
      <c r="G24" s="31" t="str">
        <f t="shared" ca="1" si="4"/>
        <v>1-1700.01.000017</v>
      </c>
    </row>
    <row r="25" spans="2:7" x14ac:dyDescent="0.2">
      <c r="B25" s="22" t="str">
        <f t="shared" ca="1" si="2"/>
        <v>1-1700.01</v>
      </c>
      <c r="C25" s="36">
        <v>32000000000232</v>
      </c>
      <c r="D25" s="28" t="str">
        <f>IF(EXACT($C25, ""), "", CONCATENATE(VLOOKUP($C25, [3]DataLookUp!$B$4:$E$4000, 3, FALSE), IF(EXACT(VLOOKUP($C25, [3]DataLookUp!$B$4:$E$4000, 4, FALSE), ""), "", CONCATENATE(" (NIK : ", VLOOKUP($C25, [3]DataLookUp!$B$4:$E$4000, 4, FALSE),")"))))</f>
        <v>Jimmywal (NIK : 040515767)</v>
      </c>
      <c r="E25" s="28" t="e">
        <f t="shared" ca="1" si="3"/>
        <v>#N/A</v>
      </c>
      <c r="F25" s="16" t="b">
        <v>0</v>
      </c>
      <c r="G25" s="31" t="str">
        <f t="shared" ca="1" si="4"/>
        <v>1-1700.01.000018</v>
      </c>
    </row>
    <row r="26" spans="2:7" x14ac:dyDescent="0.2">
      <c r="B26" s="22" t="str">
        <f t="shared" ca="1" si="2"/>
        <v>1-1700.01</v>
      </c>
      <c r="C26" s="36">
        <v>32000000000252</v>
      </c>
      <c r="D26" s="28" t="str">
        <f>IF(EXACT($C26, ""), "", CONCATENATE(VLOOKUP($C26, [3]DataLookUp!$B$4:$E$4000, 3, FALSE), IF(EXACT(VLOOKUP($C26, [3]DataLookUp!$B$4:$E$4000, 4, FALSE), ""), "", CONCATENATE(" (NIK : ", VLOOKUP($C26, [3]DataLookUp!$B$4:$E$4000, 4, FALSE),")"))))</f>
        <v>Kiki Mustikawati</v>
      </c>
      <c r="E26" s="28" t="e">
        <f t="shared" ca="1" si="3"/>
        <v>#N/A</v>
      </c>
      <c r="F26" s="16" t="b">
        <v>0</v>
      </c>
      <c r="G26" s="31" t="str">
        <f t="shared" ref="G26:G32" ca="1" si="5">IF(EXACT($B26, ""), "", CONCATENATE($B26, ".", TEXT(IF(ROW($B$7)=ROW($B26), IF(EXACT($F26, "FALSE"), 1, 0), (RIGHT($G25, 6)*1)+1), "000000")))</f>
        <v>1-1700.01.000019</v>
      </c>
    </row>
    <row r="27" spans="2:7" x14ac:dyDescent="0.2">
      <c r="B27" s="22" t="str">
        <f t="shared" ca="1" si="2"/>
        <v>1-1700.01</v>
      </c>
      <c r="C27" s="36">
        <v>32000000000253</v>
      </c>
      <c r="D27" s="28" t="str">
        <f>IF(EXACT($C27, ""), "", CONCATENATE(VLOOKUP($C27, [3]DataLookUp!$B$4:$E$4000, 3, FALSE), IF(EXACT(VLOOKUP($C27, [3]DataLookUp!$B$4:$E$4000, 4, FALSE), ""), "", CONCATENATE(" (NIK : ", VLOOKUP($C27, [3]DataLookUp!$B$4:$E$4000, 4, FALSE),")"))))</f>
        <v>Kornelius Sakan (NIK : 190803044)</v>
      </c>
      <c r="E27" s="28" t="e">
        <f t="shared" ca="1" si="3"/>
        <v>#N/A</v>
      </c>
      <c r="F27" s="16" t="b">
        <v>0</v>
      </c>
      <c r="G27" s="31" t="str">
        <f t="shared" ca="1" si="5"/>
        <v>1-1700.01.000020</v>
      </c>
    </row>
    <row r="28" spans="2:7" x14ac:dyDescent="0.2">
      <c r="B28" s="22" t="str">
        <f t="shared" ca="1" si="2"/>
        <v>1-1700.01</v>
      </c>
      <c r="C28" s="36">
        <v>32000000000262</v>
      </c>
      <c r="D28" s="28" t="str">
        <f>IF(EXACT($C28, ""), "", CONCATENATE(VLOOKUP($C28, [3]DataLookUp!$B$4:$E$4000, 3, FALSE), IF(EXACT(VLOOKUP($C28, [3]DataLookUp!$B$4:$E$4000, 4, FALSE), ""), "", CONCATENATE(" (NIK : ", VLOOKUP($C28, [3]DataLookUp!$B$4:$E$4000, 4, FALSE),")"))))</f>
        <v>Lisma Natalia (NIK : 170918883)</v>
      </c>
      <c r="E28" s="28" t="e">
        <f t="shared" ca="1" si="3"/>
        <v>#N/A</v>
      </c>
      <c r="F28" s="16" t="b">
        <v>0</v>
      </c>
      <c r="G28" s="31" t="str">
        <f t="shared" ca="1" si="5"/>
        <v>1-1700.01.000021</v>
      </c>
    </row>
    <row r="29" spans="2:7" x14ac:dyDescent="0.2">
      <c r="B29" s="22" t="str">
        <f t="shared" ca="1" si="2"/>
        <v>1-1700.01</v>
      </c>
      <c r="C29" s="36">
        <v>32000000000276</v>
      </c>
      <c r="D29" s="28" t="str">
        <f>IF(EXACT($C29, ""), "", CONCATENATE(VLOOKUP($C29, [3]DataLookUp!$B$4:$E$4000, 3, FALSE), IF(EXACT(VLOOKUP($C29, [3]DataLookUp!$B$4:$E$4000, 4, FALSE), ""), "", CONCATENATE(" (NIK : ", VLOOKUP($C29, [3]DataLookUp!$B$4:$E$4000, 4, FALSE),")"))))</f>
        <v>Marten Tabun (NIK : 010513665)</v>
      </c>
      <c r="E29" s="28" t="e">
        <f t="shared" ca="1" si="3"/>
        <v>#N/A</v>
      </c>
      <c r="F29" s="16" t="b">
        <v>0</v>
      </c>
      <c r="G29" s="31" t="str">
        <f t="shared" ca="1" si="5"/>
        <v>1-1700.01.000022</v>
      </c>
    </row>
    <row r="30" spans="2:7" x14ac:dyDescent="0.2">
      <c r="B30" s="22" t="str">
        <f t="shared" ca="1" si="2"/>
        <v>1-1700.01</v>
      </c>
      <c r="C30" s="36">
        <v>32000000000278</v>
      </c>
      <c r="D30" s="28" t="str">
        <f>IF(EXACT($C30, ""), "", CONCATENATE(VLOOKUP($C30, [3]DataLookUp!$B$4:$E$4000, 3, FALSE), IF(EXACT(VLOOKUP($C30, [3]DataLookUp!$B$4:$E$4000, 4, FALSE), ""), "", CONCATENATE(" (NIK : ", VLOOKUP($C30, [3]DataLookUp!$B$4:$E$4000, 4, FALSE),")"))))</f>
        <v>T. Marungkil U. S. Sagala (NIK : 010210516)</v>
      </c>
      <c r="E30" s="28" t="e">
        <f t="shared" ca="1" si="3"/>
        <v>#N/A</v>
      </c>
      <c r="F30" s="16" t="b">
        <v>0</v>
      </c>
      <c r="G30" s="31" t="str">
        <f t="shared" ca="1" si="5"/>
        <v>1-1700.01.000023</v>
      </c>
    </row>
    <row r="31" spans="2:7" x14ac:dyDescent="0.2">
      <c r="B31" s="22" t="str">
        <f t="shared" ca="1" si="2"/>
        <v>1-1700.01</v>
      </c>
      <c r="C31" s="36">
        <v>32000000000301</v>
      </c>
      <c r="D31" s="28" t="str">
        <f>IF(EXACT($C31, ""), "", CONCATENATE(VLOOKUP($C31, [3]DataLookUp!$B$4:$E$4000, 3, FALSE), IF(EXACT(VLOOKUP($C31, [3]DataLookUp!$B$4:$E$4000, 4, FALSE), ""), "", CONCATENATE(" (NIK : ", VLOOKUP($C31, [3]DataLookUp!$B$4:$E$4000, 4, FALSE),")"))))</f>
        <v>Mullan Tresna (NIK : 030105116)</v>
      </c>
      <c r="E31" s="28" t="e">
        <f t="shared" ca="1" si="3"/>
        <v>#N/A</v>
      </c>
      <c r="F31" s="16" t="b">
        <v>0</v>
      </c>
      <c r="G31" s="31" t="str">
        <f t="shared" ca="1" si="5"/>
        <v>1-1700.01.000024</v>
      </c>
    </row>
    <row r="32" spans="2:7" x14ac:dyDescent="0.2">
      <c r="B32" s="22" t="str">
        <f t="shared" ca="1" si="2"/>
        <v>1-1700.01</v>
      </c>
      <c r="C32" s="36">
        <v>32000000000307</v>
      </c>
      <c r="D32" s="28" t="str">
        <f>IF(EXACT($C32, ""), "", CONCATENATE(VLOOKUP($C32, [3]DataLookUp!$B$4:$E$4000, 3, FALSE), IF(EXACT(VLOOKUP($C32, [3]DataLookUp!$B$4:$E$4000, 4, FALSE), ""), "", CONCATENATE(" (NIK : ", VLOOKUP($C32, [3]DataLookUp!$B$4:$E$4000, 4, FALSE),")"))))</f>
        <v>Nandang Effendi (NIK : 061106279)</v>
      </c>
      <c r="E32" s="28" t="e">
        <f t="shared" ca="1" si="3"/>
        <v>#N/A</v>
      </c>
      <c r="F32" s="16" t="b">
        <v>0</v>
      </c>
      <c r="G32" s="31" t="str">
        <f t="shared" ca="1" si="5"/>
        <v>1-1700.01.000025</v>
      </c>
    </row>
    <row r="33" spans="2:7" x14ac:dyDescent="0.2">
      <c r="B33" s="22" t="str">
        <f t="shared" ca="1" si="2"/>
        <v>1-1700.01</v>
      </c>
      <c r="C33" s="36">
        <v>32000000000347</v>
      </c>
      <c r="D33" s="28" t="str">
        <f>IF(EXACT($C33, ""), "", CONCATENATE(VLOOKUP($C33, [3]DataLookUp!$B$4:$E$4000, 3, FALSE), IF(EXACT(VLOOKUP($C33, [3]DataLookUp!$B$4:$E$4000, 4, FALSE), ""), "", CONCATENATE(" (NIK : ", VLOOKUP($C33, [3]DataLookUp!$B$4:$E$4000, 4, FALSE),")"))))</f>
        <v>Redi Subekti (NIK : 160603000)</v>
      </c>
      <c r="E33" s="28" t="e">
        <f t="shared" ca="1" si="3"/>
        <v>#N/A</v>
      </c>
      <c r="F33" s="16" t="b">
        <v>0</v>
      </c>
      <c r="G33" s="31" t="str">
        <f t="shared" ref="G33:G56" ca="1" si="6">IF(EXACT($B33, ""), "", CONCATENATE($B33, ".", TEXT(IF(ROW($B$7)=ROW($B33), IF(EXACT($F33, "FALSE"), 1, 0), (RIGHT($G32, 6)*1)+1), "000000")))</f>
        <v>1-1700.01.000026</v>
      </c>
    </row>
    <row r="34" spans="2:7" x14ac:dyDescent="0.2">
      <c r="B34" s="22" t="str">
        <f t="shared" ca="1" si="2"/>
        <v>1-1700.01</v>
      </c>
      <c r="C34" s="36">
        <v>32000000000352</v>
      </c>
      <c r="D34" s="28" t="str">
        <f>IF(EXACT($C34, ""), "", CONCATENATE(VLOOKUP($C34, [3]DataLookUp!$B$4:$E$4000, 3, FALSE), IF(EXACT(VLOOKUP($C34, [3]DataLookUp!$B$4:$E$4000, 4, FALSE), ""), "", CONCATENATE(" (NIK : ", VLOOKUP($C34, [3]DataLookUp!$B$4:$E$4000, 4, FALSE),")"))))</f>
        <v>Rhino Priawan (NIK : 221110557)</v>
      </c>
      <c r="E34" s="28" t="e">
        <f t="shared" ca="1" si="3"/>
        <v>#N/A</v>
      </c>
      <c r="F34" s="16" t="b">
        <v>0</v>
      </c>
      <c r="G34" s="31" t="str">
        <f t="shared" ca="1" si="6"/>
        <v>1-1700.01.000027</v>
      </c>
    </row>
    <row r="35" spans="2:7" x14ac:dyDescent="0.2">
      <c r="B35" s="22" t="str">
        <f t="shared" ca="1" si="2"/>
        <v>1-1700.01</v>
      </c>
      <c r="C35" s="36">
        <v>32000000000381</v>
      </c>
      <c r="D35" s="28" t="str">
        <f>IF(EXACT($C35, ""), "", CONCATENATE(VLOOKUP($C35, [3]DataLookUp!$B$4:$E$4000, 3, FALSE), IF(EXACT(VLOOKUP($C35, [3]DataLookUp!$B$4:$E$4000, 4, FALSE), ""), "", CONCATENATE(" (NIK : ", VLOOKUP($C35, [3]DataLookUp!$B$4:$E$4000, 4, FALSE),")"))))</f>
        <v>Sakinah Tantriani Lubis (NIK : 161220941)</v>
      </c>
      <c r="E35" s="28" t="e">
        <f t="shared" ca="1" si="3"/>
        <v>#N/A</v>
      </c>
      <c r="F35" s="16" t="b">
        <v>0</v>
      </c>
      <c r="G35" s="31" t="str">
        <f t="shared" ca="1" si="6"/>
        <v>1-1700.01.000028</v>
      </c>
    </row>
    <row r="36" spans="2:7" x14ac:dyDescent="0.2">
      <c r="B36" s="22" t="str">
        <f t="shared" ca="1" si="2"/>
        <v>1-1700.01</v>
      </c>
      <c r="C36" s="36">
        <v>32000000000391</v>
      </c>
      <c r="D36" s="28" t="str">
        <f>IF(EXACT($C36, ""), "", CONCATENATE(VLOOKUP($C36, [3]DataLookUp!$B$4:$E$4000, 3, FALSE), IF(EXACT(VLOOKUP($C36, [3]DataLookUp!$B$4:$E$4000, 4, FALSE), ""), "", CONCATENATE(" (NIK : ", VLOOKUP($C36, [3]DataLookUp!$B$4:$E$4000, 4, FALSE),")"))))</f>
        <v>Seftiyan Hadi Maulana (NIK : 141118892)</v>
      </c>
      <c r="E36" s="28" t="e">
        <f t="shared" ca="1" si="3"/>
        <v>#N/A</v>
      </c>
      <c r="F36" s="16" t="b">
        <v>0</v>
      </c>
      <c r="G36" s="31" t="str">
        <f t="shared" ca="1" si="6"/>
        <v>1-1700.01.000029</v>
      </c>
    </row>
    <row r="37" spans="2:7" x14ac:dyDescent="0.2">
      <c r="B37" s="22" t="str">
        <f t="shared" ca="1" si="2"/>
        <v>1-1700.01</v>
      </c>
      <c r="C37" s="36">
        <v>32000000000393</v>
      </c>
      <c r="D37" s="28" t="str">
        <f>IF(EXACT($C37, ""), "", CONCATENATE(VLOOKUP($C37, [3]DataLookUp!$B$4:$E$4000, 3, FALSE), IF(EXACT(VLOOKUP($C37, [3]DataLookUp!$B$4:$E$4000, 4, FALSE), ""), "", CONCATENATE(" (NIK : ", VLOOKUP($C37, [3]DataLookUp!$B$4:$E$4000, 4, FALSE),")"))))</f>
        <v>Setiadi (NIK : 130906272)</v>
      </c>
      <c r="E37" s="28" t="e">
        <f t="shared" ca="1" si="3"/>
        <v>#N/A</v>
      </c>
      <c r="F37" s="16" t="b">
        <v>0</v>
      </c>
      <c r="G37" s="31" t="str">
        <f t="shared" ca="1" si="6"/>
        <v>1-1700.01.000030</v>
      </c>
    </row>
    <row r="38" spans="2:7" x14ac:dyDescent="0.2">
      <c r="B38" s="22" t="str">
        <f t="shared" ca="1" si="2"/>
        <v>1-1700.01</v>
      </c>
      <c r="C38" s="36">
        <v>32000000000397</v>
      </c>
      <c r="D38" s="28" t="str">
        <f>IF(EXACT($C38, ""), "", CONCATENATE(VLOOKUP($C38, [3]DataLookUp!$B$4:$E$4000, 3, FALSE), IF(EXACT(VLOOKUP($C38, [3]DataLookUp!$B$4:$E$4000, 4, FALSE), ""), "", CONCATENATE(" (NIK : ", VLOOKUP($C38, [3]DataLookUp!$B$4:$E$4000, 4, FALSE),")"))))</f>
        <v>Sholehah (NIK : 240518874)</v>
      </c>
      <c r="E38" s="28" t="e">
        <f t="shared" ca="1" si="3"/>
        <v>#N/A</v>
      </c>
      <c r="F38" s="16" t="b">
        <v>0</v>
      </c>
      <c r="G38" s="31" t="str">
        <f t="shared" ca="1" si="6"/>
        <v>1-1700.01.000031</v>
      </c>
    </row>
    <row r="39" spans="2:7" x14ac:dyDescent="0.2">
      <c r="B39" s="22" t="str">
        <f t="shared" ca="1" si="2"/>
        <v>1-1700.01</v>
      </c>
      <c r="C39" s="36">
        <v>32000000000412</v>
      </c>
      <c r="D39" s="28" t="str">
        <f>IF(EXACT($C39, ""), "", CONCATENATE(VLOOKUP($C39, [3]DataLookUp!$B$4:$E$4000, 3, FALSE), IF(EXACT(VLOOKUP($C39, [3]DataLookUp!$B$4:$E$4000, 4, FALSE), ""), "", CONCATENATE(" (NIK : ", VLOOKUP($C39, [3]DataLookUp!$B$4:$E$4000, 4, FALSE),")"))))</f>
        <v>Sudarlan (NIK : 010507354)</v>
      </c>
      <c r="E39" s="28" t="e">
        <f t="shared" ca="1" si="3"/>
        <v>#N/A</v>
      </c>
      <c r="F39" s="16" t="b">
        <v>0</v>
      </c>
      <c r="G39" s="31" t="str">
        <f t="shared" ca="1" si="6"/>
        <v>1-1700.01.000032</v>
      </c>
    </row>
    <row r="40" spans="2:7" x14ac:dyDescent="0.2">
      <c r="B40" s="22" t="str">
        <f t="shared" ca="1" si="2"/>
        <v>1-1700.01</v>
      </c>
      <c r="C40" s="36">
        <v>32000000000413</v>
      </c>
      <c r="D40" s="28" t="str">
        <f>IF(EXACT($C40, ""), "", CONCATENATE(VLOOKUP($C40, [3]DataLookUp!$B$4:$E$4000, 3, FALSE), IF(EXACT(VLOOKUP($C40, [3]DataLookUp!$B$4:$E$4000, 4, FALSE), ""), "", CONCATENATE(" (NIK : ", VLOOKUP($C40, [3]DataLookUp!$B$4:$E$4000, 4, FALSE),")"))))</f>
        <v>Sufie Amalia (NIK : 140421948)</v>
      </c>
      <c r="E40" s="28" t="e">
        <f t="shared" ca="1" si="3"/>
        <v>#N/A</v>
      </c>
      <c r="F40" s="16" t="b">
        <v>0</v>
      </c>
      <c r="G40" s="31" t="str">
        <f t="shared" ca="1" si="6"/>
        <v>1-1700.01.000033</v>
      </c>
    </row>
    <row r="41" spans="2:7" x14ac:dyDescent="0.2">
      <c r="B41" s="22" t="str">
        <f t="shared" ca="1" si="2"/>
        <v>1-1700.01</v>
      </c>
      <c r="C41" s="36">
        <v>32000000000428</v>
      </c>
      <c r="D41" s="28" t="str">
        <f>IF(EXACT($C41, ""), "", CONCATENATE(VLOOKUP($C41, [3]DataLookUp!$B$4:$E$4000, 3, FALSE), IF(EXACT(VLOOKUP($C41, [3]DataLookUp!$B$4:$E$4000, 4, FALSE), ""), "", CONCATENATE(" (NIK : ", VLOOKUP($C41, [3]DataLookUp!$B$4:$E$4000, 4, FALSE),")"))))</f>
        <v>Suyanto (NIK : 261219925)</v>
      </c>
      <c r="E41" s="28" t="e">
        <f t="shared" ca="1" si="3"/>
        <v>#N/A</v>
      </c>
      <c r="F41" s="16" t="b">
        <v>0</v>
      </c>
      <c r="G41" s="31" t="str">
        <f t="shared" ca="1" si="6"/>
        <v>1-1700.01.000034</v>
      </c>
    </row>
    <row r="42" spans="2:7" x14ac:dyDescent="0.2">
      <c r="B42" s="22" t="str">
        <f t="shared" ca="1" si="2"/>
        <v>1-1700.01</v>
      </c>
      <c r="C42" s="36">
        <v>32000000000439</v>
      </c>
      <c r="D42" s="28" t="str">
        <f>IF(EXACT($C42, ""), "", CONCATENATE(VLOOKUP($C42, [3]DataLookUp!$B$4:$E$4000, 3, FALSE), IF(EXACT(VLOOKUP($C42, [3]DataLookUp!$B$4:$E$4000, 4, FALSE), ""), "", CONCATENATE(" (NIK : ", VLOOKUP($C42, [3]DataLookUp!$B$4:$E$4000, 4, FALSE),")"))))</f>
        <v>Teguh Pratama Januzir Sukin (NIK : 030717839)</v>
      </c>
      <c r="E42" s="28" t="e">
        <f t="shared" ca="1" si="3"/>
        <v>#N/A</v>
      </c>
      <c r="F42" s="16" t="b">
        <v>0</v>
      </c>
      <c r="G42" s="31" t="str">
        <f t="shared" ca="1" si="6"/>
        <v>1-1700.01.000035</v>
      </c>
    </row>
    <row r="43" spans="2:7" x14ac:dyDescent="0.2">
      <c r="B43" s="22" t="str">
        <f t="shared" ca="1" si="2"/>
        <v>1-1700.01</v>
      </c>
      <c r="C43" s="36">
        <v>32000000000452</v>
      </c>
      <c r="D43" s="28" t="str">
        <f>IF(EXACT($C43, ""), "", CONCATENATE(VLOOKUP($C43, [3]DataLookUp!$B$4:$E$4000, 3, FALSE), IF(EXACT(VLOOKUP($C43, [3]DataLookUp!$B$4:$E$4000, 4, FALSE), ""), "", CONCATENATE(" (NIK : ", VLOOKUP($C43, [3]DataLookUp!$B$4:$E$4000, 4, FALSE),")"))))</f>
        <v>Turita Pramuning Marantina (NIK : 090818879)</v>
      </c>
      <c r="E43" s="28" t="e">
        <f t="shared" ca="1" si="3"/>
        <v>#N/A</v>
      </c>
      <c r="F43" s="16" t="b">
        <v>0</v>
      </c>
      <c r="G43" s="31" t="str">
        <f t="shared" ca="1" si="6"/>
        <v>1-1700.01.000036</v>
      </c>
    </row>
    <row r="44" spans="2:7" x14ac:dyDescent="0.2">
      <c r="B44" s="22" t="str">
        <f t="shared" ca="1" si="2"/>
        <v>1-1700.01</v>
      </c>
      <c r="C44" s="36">
        <v>32000000000487</v>
      </c>
      <c r="D44" s="28" t="str">
        <f>IF(EXACT($C44, ""), "", CONCATENATE(VLOOKUP($C44, [3]DataLookUp!$B$4:$E$4000, 3, FALSE), IF(EXACT(VLOOKUP($C44, [3]DataLookUp!$B$4:$E$4000, 4, FALSE), ""), "", CONCATENATE(" (NIK : ", VLOOKUP($C44, [3]DataLookUp!$B$4:$E$4000, 4, FALSE),")"))))</f>
        <v>Yuliandaru Suryoatmodjo (NIK : 160714734)</v>
      </c>
      <c r="E44" s="28" t="e">
        <f t="shared" ca="1" si="3"/>
        <v>#N/A</v>
      </c>
      <c r="F44" s="16" t="b">
        <v>0</v>
      </c>
      <c r="G44" s="31" t="str">
        <f t="shared" ca="1" si="6"/>
        <v>1-1700.01.000037</v>
      </c>
    </row>
    <row r="45" spans="2:7" x14ac:dyDescent="0.2">
      <c r="B45" s="22" t="str">
        <f t="shared" ca="1" si="2"/>
        <v>1-1700.01</v>
      </c>
      <c r="C45" s="36">
        <v>32000000000497</v>
      </c>
      <c r="D45" s="28" t="str">
        <f>IF(EXACT($C45, ""), "", CONCATENATE(VLOOKUP($C45, [3]DataLookUp!$B$4:$E$4000, 3, FALSE), IF(EXACT(VLOOKUP($C45, [3]DataLookUp!$B$4:$E$4000, 4, FALSE), ""), "", CONCATENATE(" (NIK : ", VLOOKUP($C45, [3]DataLookUp!$B$4:$E$4000, 4, FALSE),")"))))</f>
        <v>Zainudin Anwar (NIK : 090819915)</v>
      </c>
      <c r="E45" s="28" t="e">
        <f t="shared" ca="1" si="3"/>
        <v>#N/A</v>
      </c>
      <c r="F45" s="16" t="b">
        <v>0</v>
      </c>
      <c r="G45" s="31" t="str">
        <f t="shared" ca="1" si="6"/>
        <v>1-1700.01.000038</v>
      </c>
    </row>
    <row r="46" spans="2:7" x14ac:dyDescent="0.2">
      <c r="B46" s="22" t="str">
        <f t="shared" ca="1" si="2"/>
        <v>1-1700.01</v>
      </c>
      <c r="C46" s="36">
        <v>32000000000501</v>
      </c>
      <c r="D46" s="28" t="str">
        <f>IF(EXACT($C46, ""), "", CONCATENATE(VLOOKUP($C46, [3]DataLookUp!$B$4:$E$4000, 3, FALSE), IF(EXACT(VLOOKUP($C46, [3]DataLookUp!$B$4:$E$4000, 4, FALSE), ""), "", CONCATENATE(" (NIK : ", VLOOKUP($C46, [3]DataLookUp!$B$4:$E$4000, 4, FALSE),")"))))</f>
        <v>Zulfikar K. Siregar (NIK : 3107251008)</v>
      </c>
      <c r="E46" s="28" t="e">
        <f t="shared" ca="1" si="3"/>
        <v>#N/A</v>
      </c>
      <c r="F46" s="16" t="b">
        <v>0</v>
      </c>
      <c r="G46" s="31" t="str">
        <f t="shared" ca="1" si="6"/>
        <v>1-1700.01.000039</v>
      </c>
    </row>
    <row r="47" spans="2:7" x14ac:dyDescent="0.2">
      <c r="B47" s="22" t="str">
        <f t="shared" ca="1" si="2"/>
        <v>1-1700.01</v>
      </c>
      <c r="C47" s="36">
        <v>32000000000509</v>
      </c>
      <c r="D47" s="28" t="str">
        <f>IF(EXACT($C47, ""), "", CONCATENATE(VLOOKUP($C47, [3]DataLookUp!$B$4:$E$4000, 3, FALSE), IF(EXACT(VLOOKUP($C47, [3]DataLookUp!$B$4:$E$4000, 4, FALSE), ""), "", CONCATENATE(" (NIK : ", VLOOKUP($C47, [3]DataLookUp!$B$4:$E$4000, 4, FALSE),")"))))</f>
        <v>Riza Emir Subekti (NIK : 260716795)</v>
      </c>
      <c r="E47" s="28" t="e">
        <f t="shared" ca="1" si="3"/>
        <v>#N/A</v>
      </c>
      <c r="F47" s="16" t="b">
        <v>0</v>
      </c>
      <c r="G47" s="31" t="str">
        <f t="shared" ca="1" si="6"/>
        <v>1-1700.01.000040</v>
      </c>
    </row>
    <row r="48" spans="2:7" x14ac:dyDescent="0.2">
      <c r="B48" s="22" t="str">
        <f t="shared" ca="1" si="2"/>
        <v>1-1700.01</v>
      </c>
      <c r="C48" s="36">
        <v>32000000000513</v>
      </c>
      <c r="D48" s="28" t="str">
        <f>IF(EXACT($C48, ""), "", CONCATENATE(VLOOKUP($C48, [3]DataLookUp!$B$4:$E$4000, 3, FALSE), IF(EXACT(VLOOKUP($C48, [3]DataLookUp!$B$4:$E$4000, 4, FALSE), ""), "", CONCATENATE(" (NIK : ", VLOOKUP($C48, [3]DataLookUp!$B$4:$E$4000, 4, FALSE),")"))))</f>
        <v>Ahmad Choerul (NIK : 191022969)</v>
      </c>
      <c r="E48" s="28" t="e">
        <f t="shared" ca="1" si="3"/>
        <v>#N/A</v>
      </c>
      <c r="F48" s="16" t="b">
        <v>0</v>
      </c>
      <c r="G48" s="31" t="str">
        <f t="shared" ca="1" si="6"/>
        <v>1-1700.01.000041</v>
      </c>
    </row>
    <row r="49" spans="2:7" x14ac:dyDescent="0.2">
      <c r="B49" s="22" t="str">
        <f t="shared" ca="1" si="2"/>
        <v>1-1700.01</v>
      </c>
      <c r="C49" s="36">
        <v>32000000000527</v>
      </c>
      <c r="D49" s="28" t="str">
        <f>IF(EXACT($C49, ""), "", CONCATENATE(VLOOKUP($C49, [3]DataLookUp!$B$4:$E$4000, 3, FALSE), IF(EXACT(VLOOKUP($C49, [3]DataLookUp!$B$4:$E$4000, 4, FALSE), ""), "", CONCATENATE(" (NIK : ", VLOOKUP($C49, [3]DataLookUp!$B$4:$E$4000, 4, FALSE),")"))))</f>
        <v>Irma Maulidawati (NIK : 040822965)</v>
      </c>
      <c r="E49" s="28" t="e">
        <f t="shared" ca="1" si="3"/>
        <v>#N/A</v>
      </c>
      <c r="F49" s="16" t="b">
        <v>0</v>
      </c>
      <c r="G49" s="31" t="str">
        <f t="shared" ca="1" si="6"/>
        <v>1-1700.01.000042</v>
      </c>
    </row>
    <row r="50" spans="2:7" x14ac:dyDescent="0.2">
      <c r="B50" s="22" t="str">
        <f t="shared" ca="1" si="2"/>
        <v>1-1700.01</v>
      </c>
      <c r="C50" s="36">
        <v>32000000000528</v>
      </c>
      <c r="D50" s="28" t="str">
        <f>IF(EXACT($C50, ""), "", CONCATENATE(VLOOKUP($C50, [3]DataLookUp!$B$4:$E$4000, 3, FALSE), IF(EXACT(VLOOKUP($C50, [3]DataLookUp!$B$4:$E$4000, 4, FALSE), ""), "", CONCATENATE(" (NIK : ", VLOOKUP($C50, [3]DataLookUp!$B$4:$E$4000, 4, FALSE),")"))))</f>
        <v>Istikaro Fauziah (NIK : 170322960)</v>
      </c>
      <c r="E50" s="28" t="e">
        <f t="shared" ca="1" si="3"/>
        <v>#N/A</v>
      </c>
      <c r="F50" s="16" t="b">
        <v>0</v>
      </c>
      <c r="G50" s="31" t="str">
        <f t="shared" ca="1" si="6"/>
        <v>1-1700.01.000043</v>
      </c>
    </row>
    <row r="51" spans="2:7" x14ac:dyDescent="0.2">
      <c r="B51" s="22" t="str">
        <f t="shared" ca="1" si="2"/>
        <v>1-1700.01</v>
      </c>
      <c r="C51" s="36">
        <v>32000000000536</v>
      </c>
      <c r="D51" s="28" t="str">
        <f>IF(EXACT($C51, ""), "", CONCATENATE(VLOOKUP($C51, [3]DataLookUp!$B$4:$E$4000, 3, FALSE), IF(EXACT(VLOOKUP($C51, [3]DataLookUp!$B$4:$E$4000, 4, FALSE), ""), "", CONCATENATE(" (NIK : ", VLOOKUP($C51, [3]DataLookUp!$B$4:$E$4000, 4, FALSE),")"))))</f>
        <v>Restu Dwi Anjayani (NIK : 051023981)</v>
      </c>
      <c r="E51" s="28" t="e">
        <f t="shared" ca="1" si="3"/>
        <v>#N/A</v>
      </c>
      <c r="F51" s="16" t="b">
        <v>0</v>
      </c>
      <c r="G51" s="31" t="str">
        <f t="shared" ca="1" si="6"/>
        <v>1-1700.01.000044</v>
      </c>
    </row>
    <row r="52" spans="2:7" x14ac:dyDescent="0.2">
      <c r="B52" s="22" t="str">
        <f t="shared" ca="1" si="2"/>
        <v>1-1700.01</v>
      </c>
      <c r="C52" s="36">
        <v>32000000000542</v>
      </c>
      <c r="D52" s="28" t="str">
        <f>IF(EXACT($C52, ""), "", CONCATENATE(VLOOKUP($C52, [3]DataLookUp!$B$4:$E$4000, 3, FALSE), IF(EXACT(VLOOKUP($C52, [3]DataLookUp!$B$4:$E$4000, 4, FALSE), ""), "", CONCATENATE(" (NIK : ", VLOOKUP($C52, [3]DataLookUp!$B$4:$E$4000, 4, FALSE),")"))))</f>
        <v>Wardah Laily Khoiriyah (NIK : 240122958)</v>
      </c>
      <c r="E52" s="28" t="e">
        <f t="shared" ca="1" si="3"/>
        <v>#N/A</v>
      </c>
      <c r="F52" s="16" t="b">
        <v>0</v>
      </c>
      <c r="G52" s="31" t="str">
        <f t="shared" ca="1" si="6"/>
        <v>1-1700.01.000045</v>
      </c>
    </row>
    <row r="53" spans="2:7" x14ac:dyDescent="0.2">
      <c r="B53" s="22" t="str">
        <f t="shared" ca="1" si="2"/>
        <v>1-1700.01</v>
      </c>
      <c r="C53" s="36">
        <v>32000000000545</v>
      </c>
      <c r="D53" s="28" t="str">
        <f>IF(EXACT($C53, ""), "", CONCATENATE(VLOOKUP($C53, [3]DataLookUp!$B$4:$E$4000, 3, FALSE), IF(EXACT(VLOOKUP($C53, [3]DataLookUp!$B$4:$E$4000, 4, FALSE), ""), "", CONCATENATE(" (NIK : ", VLOOKUP($C53, [3]DataLookUp!$B$4:$E$4000, 4, FALSE),")"))))</f>
        <v>Yogi Perbangkara (NIK : 260123977)</v>
      </c>
      <c r="E53" s="28" t="e">
        <f t="shared" ca="1" si="3"/>
        <v>#N/A</v>
      </c>
      <c r="F53" s="16" t="b">
        <v>0</v>
      </c>
      <c r="G53" s="31" t="str">
        <f t="shared" ca="1" si="6"/>
        <v>1-1700.01.000046</v>
      </c>
    </row>
    <row r="54" spans="2:7" x14ac:dyDescent="0.2">
      <c r="B54" s="22" t="str">
        <f t="shared" ca="1" si="2"/>
        <v>1-1700.01</v>
      </c>
      <c r="C54" s="36">
        <v>32000000000550</v>
      </c>
      <c r="D54" s="28" t="str">
        <f>IF(EXACT($C54, ""), "", CONCATENATE(VLOOKUP($C54, [3]DataLookUp!$B$4:$E$4000, 3, FALSE), IF(EXACT(VLOOKUP($C54, [3]DataLookUp!$B$4:$E$4000, 4, FALSE), ""), "", CONCATENATE(" (NIK : ", VLOOKUP($C54, [3]DataLookUp!$B$4:$E$4000, 4, FALSE),")"))))</f>
        <v>Dian Tri Rahmawati (NIK : 031022970)</v>
      </c>
      <c r="E54" s="28" t="e">
        <f t="shared" ca="1" si="3"/>
        <v>#N/A</v>
      </c>
      <c r="F54" s="16" t="b">
        <v>0</v>
      </c>
      <c r="G54" s="31" t="str">
        <f t="shared" ca="1" si="6"/>
        <v>1-1700.01.000047</v>
      </c>
    </row>
    <row r="55" spans="2:7" x14ac:dyDescent="0.2">
      <c r="B55" s="22" t="str">
        <f t="shared" ca="1" si="2"/>
        <v>1-1700.01</v>
      </c>
      <c r="C55" s="36">
        <v>32000000000559</v>
      </c>
      <c r="D55" s="28" t="str">
        <f>IF(EXACT($C55, ""), "", CONCATENATE(VLOOKUP($C55, [3]DataLookUp!$B$4:$E$4000, 3, FALSE), IF(EXACT(VLOOKUP($C55, [3]DataLookUp!$B$4:$E$4000, 4, FALSE), ""), "", CONCATENATE(" (NIK : ", VLOOKUP($C55, [3]DataLookUp!$B$4:$E$4000, 4, FALSE),")"))))</f>
        <v>Adhe Kurniawan (NIK : 010224985)</v>
      </c>
      <c r="E55" s="28" t="e">
        <f t="shared" ca="1" si="3"/>
        <v>#N/A</v>
      </c>
      <c r="F55" s="16" t="b">
        <v>0</v>
      </c>
      <c r="G55" s="31" t="str">
        <f t="shared" ca="1" si="6"/>
        <v>1-1700.01.000048</v>
      </c>
    </row>
    <row r="56" spans="2:7" x14ac:dyDescent="0.2">
      <c r="B56" s="22" t="str">
        <f t="shared" ca="1" si="2"/>
        <v>1-1700.01</v>
      </c>
      <c r="C56" s="36">
        <v>32000000000574</v>
      </c>
      <c r="D56" s="28" t="str">
        <f>IF(EXACT($C56, ""), "", CONCATENATE(VLOOKUP($C56, [3]DataLookUp!$B$4:$E$4000, 3, FALSE), IF(EXACT(VLOOKUP($C56, [3]DataLookUp!$B$4:$E$4000, 4, FALSE), ""), "", CONCATENATE(" (NIK : ", VLOOKUP($C56, [3]DataLookUp!$B$4:$E$4000, 4, FALSE),")"))))</f>
        <v>Rahmata Novanisa (NIK : 230924993)</v>
      </c>
      <c r="E56" s="28" t="e">
        <f t="shared" ca="1" si="3"/>
        <v>#N/A</v>
      </c>
      <c r="F56" s="16" t="b">
        <v>0</v>
      </c>
      <c r="G56" s="31" t="str">
        <f t="shared" ca="1" si="6"/>
        <v>1-1700.01.000049</v>
      </c>
    </row>
    <row r="57" spans="2:7" x14ac:dyDescent="0.2">
      <c r="B57" s="22" t="str">
        <f t="shared" ca="1" si="2"/>
        <v>1-1700.01</v>
      </c>
      <c r="C57" s="36">
        <v>32000000000579</v>
      </c>
      <c r="D57" s="28" t="str">
        <f>IF(EXACT($C57, ""), "", CONCATENATE(VLOOKUP($C57, [3]DataLookUp!$B$4:$E$4000, 3, FALSE), IF(EXACT(VLOOKUP($C57, [3]DataLookUp!$B$4:$E$4000, 4, FALSE), ""), "", CONCATENATE(" (NIK : ", VLOOKUP($C57, [3]DataLookUp!$B$4:$E$4000, 4, FALSE),")"))))</f>
        <v>Tegar Hersaputra (NIK : 280324989)</v>
      </c>
      <c r="E57" s="28" t="e">
        <f t="shared" ca="1" si="3"/>
        <v>#N/A</v>
      </c>
      <c r="F57" s="16" t="b">
        <v>0</v>
      </c>
      <c r="G57" s="31" t="str">
        <f t="shared" ref="G57:G65" ca="1" si="7">IF(EXACT($B57, ""), "", CONCATENATE($B57, ".", TEXT(IF(ROW($B$7)=ROW($B57), IF(EXACT($F57, "FALSE"), 1, 0), (RIGHT($G56, 6)*1)+1), "000000")))</f>
        <v>1-1700.01.000050</v>
      </c>
    </row>
    <row r="58" spans="2:7" x14ac:dyDescent="0.2">
      <c r="B58" s="22" t="str">
        <f t="shared" ca="1" si="2"/>
        <v>1-1700.01</v>
      </c>
      <c r="C58" s="36">
        <v>32000000000581</v>
      </c>
      <c r="D58" s="28" t="str">
        <f>IF(EXACT($C58, ""), "", CONCATENATE(VLOOKUP($C58, [3]DataLookUp!$B$4:$E$4000, 3, FALSE), IF(EXACT(VLOOKUP($C58, [3]DataLookUp!$B$4:$E$4000, 4, FALSE), ""), "", CONCATENATE(" (NIK : ", VLOOKUP($C58, [3]DataLookUp!$B$4:$E$4000, 4, FALSE),")"))))</f>
        <v>Wisnu Trenggono Wirayuda (NIK : 150724991)</v>
      </c>
      <c r="E58" s="28" t="e">
        <f t="shared" ca="1" si="3"/>
        <v>#N/A</v>
      </c>
      <c r="F58" s="16" t="b">
        <v>0</v>
      </c>
      <c r="G58" s="31" t="str">
        <f t="shared" ca="1" si="7"/>
        <v>1-1700.01.000051</v>
      </c>
    </row>
    <row r="59" spans="2:7" x14ac:dyDescent="0.2">
      <c r="B59" s="22" t="str">
        <f t="shared" ca="1" si="2"/>
        <v>1-1700.01</v>
      </c>
      <c r="C59" s="36">
        <v>32000000000592</v>
      </c>
      <c r="D59" s="28" t="str">
        <f>IF(EXACT($C59, ""), "", CONCATENATE(VLOOKUP($C59, [3]DataLookUp!$B$4:$E$4000, 3, FALSE), IF(EXACT(VLOOKUP($C59, [3]DataLookUp!$B$4:$E$4000, 4, FALSE), ""), "", CONCATENATE(" (NIK : ", VLOOKUP($C59, [3]DataLookUp!$B$4:$E$4000, 4, FALSE),")"))))</f>
        <v>Ahmad Sandi Asyuri (NIK : 181124994)</v>
      </c>
      <c r="E59" s="28" t="e">
        <f t="shared" ca="1" si="3"/>
        <v>#N/A</v>
      </c>
      <c r="F59" s="16" t="b">
        <v>0</v>
      </c>
      <c r="G59" s="31" t="str">
        <f t="shared" ca="1" si="7"/>
        <v>1-1700.01.000052</v>
      </c>
    </row>
    <row r="60" spans="2:7" x14ac:dyDescent="0.2">
      <c r="B60" s="22" t="str">
        <f t="shared" ca="1" si="2"/>
        <v>1-1700.01</v>
      </c>
      <c r="C60" s="36">
        <v>32000000000593</v>
      </c>
      <c r="D60" s="28" t="str">
        <f>IF(EXACT($C60, ""), "", CONCATENATE(VLOOKUP($C60, [3]DataLookUp!$B$4:$E$4000, 3, FALSE), IF(EXACT(VLOOKUP($C60, [3]DataLookUp!$B$4:$E$4000, 4, FALSE), ""), "", CONCATENATE(" (NIK : ", VLOOKUP($C60, [3]DataLookUp!$B$4:$E$4000, 4, FALSE),")"))))</f>
        <v>Andi Mapasoro (NIK : 0403251002)</v>
      </c>
      <c r="E60" s="28" t="e">
        <f t="shared" ca="1" si="3"/>
        <v>#N/A</v>
      </c>
      <c r="F60" s="16" t="b">
        <v>0</v>
      </c>
      <c r="G60" s="31" t="str">
        <f t="shared" ca="1" si="7"/>
        <v>1-1700.01.000053</v>
      </c>
    </row>
    <row r="61" spans="2:7" x14ac:dyDescent="0.2">
      <c r="B61" s="22" t="str">
        <f t="shared" ca="1" si="2"/>
        <v>1-1700.01</v>
      </c>
      <c r="C61" s="36">
        <v>32000000000601</v>
      </c>
      <c r="D61" s="28" t="str">
        <f>IF(EXACT($C61, ""), "", CONCATENATE(VLOOKUP($C61, [3]DataLookUp!$B$4:$E$4000, 3, FALSE), IF(EXACT(VLOOKUP($C61, [3]DataLookUp!$B$4:$E$4000, 4, FALSE), ""), "", CONCATENATE(" (NIK : ", VLOOKUP($C61, [3]DataLookUp!$B$4:$E$4000, 4, FALSE),")"))))</f>
        <v>Mochamad Ulul Azmi Wira Utama (NIK : 1206251007)</v>
      </c>
      <c r="E61" s="28" t="e">
        <f t="shared" ca="1" si="3"/>
        <v>#N/A</v>
      </c>
      <c r="F61" s="16" t="b">
        <v>0</v>
      </c>
      <c r="G61" s="31" t="str">
        <f t="shared" ca="1" si="7"/>
        <v>1-1700.01.000054</v>
      </c>
    </row>
    <row r="62" spans="2:7" x14ac:dyDescent="0.2">
      <c r="B62" s="22" t="str">
        <f t="shared" ca="1" si="2"/>
        <v>1-1700.01</v>
      </c>
      <c r="C62" s="36">
        <v>32000000000604</v>
      </c>
      <c r="D62" s="28" t="str">
        <f>IF(EXACT($C62, ""), "", CONCATENATE(VLOOKUP($C62, [3]DataLookUp!$B$4:$E$4000, 3, FALSE), IF(EXACT(VLOOKUP($C62, [3]DataLookUp!$B$4:$E$4000, 4, FALSE), ""), "", CONCATENATE(" (NIK : ", VLOOKUP($C62, [3]DataLookUp!$B$4:$E$4000, 4, FALSE),")"))))</f>
        <v>Muhammad Rizal (NIK : 230125998)</v>
      </c>
      <c r="E62" s="28" t="e">
        <f t="shared" ca="1" si="3"/>
        <v>#N/A</v>
      </c>
      <c r="F62" s="16" t="b">
        <v>0</v>
      </c>
      <c r="G62" s="31" t="str">
        <f t="shared" ca="1" si="7"/>
        <v>1-1700.01.000055</v>
      </c>
    </row>
    <row r="63" spans="2:7" x14ac:dyDescent="0.2">
      <c r="B63" s="22" t="str">
        <f t="shared" ca="1" si="2"/>
        <v>1-1700.01</v>
      </c>
      <c r="C63" s="36">
        <v>32000000000605</v>
      </c>
      <c r="D63" s="28" t="str">
        <f>IF(EXACT($C63, ""), "", CONCATENATE(VLOOKUP($C63, [3]DataLookUp!$B$4:$E$4000, 3, FALSE), IF(EXACT(VLOOKUP($C63, [3]DataLookUp!$B$4:$E$4000, 4, FALSE), ""), "", CONCATENATE(" (NIK : ", VLOOKUP($C63, [3]DataLookUp!$B$4:$E$4000, 4, FALSE),")"))))</f>
        <v>Rahmad Dwifar (NIK : 2011251012)</v>
      </c>
      <c r="E63" s="28" t="e">
        <f t="shared" ca="1" si="3"/>
        <v>#N/A</v>
      </c>
      <c r="F63" s="16" t="b">
        <v>0</v>
      </c>
      <c r="G63" s="31" t="str">
        <f t="shared" ca="1" si="7"/>
        <v>1-1700.01.000056</v>
      </c>
    </row>
    <row r="64" spans="2:7" x14ac:dyDescent="0.2">
      <c r="B64" s="22" t="str">
        <f t="shared" ca="1" si="2"/>
        <v>1-1700.01</v>
      </c>
      <c r="C64" s="36">
        <v>32000000000607</v>
      </c>
      <c r="D64" s="28" t="str">
        <f>IF(EXACT($C64, ""), "", CONCATENATE(VLOOKUP($C64, [3]DataLookUp!$B$4:$E$4000, 3, FALSE), IF(EXACT(VLOOKUP($C64, [3]DataLookUp!$B$4:$E$4000, 4, FALSE), ""), "", CONCATENATE(" (NIK : ", VLOOKUP($C64, [3]DataLookUp!$B$4:$E$4000, 4, FALSE),")"))))</f>
        <v>Ridwan Nur Muttaqin (NIK : 0603251003)</v>
      </c>
      <c r="E64" s="28" t="e">
        <f t="shared" ca="1" si="3"/>
        <v>#N/A</v>
      </c>
      <c r="F64" s="16" t="b">
        <v>0</v>
      </c>
      <c r="G64" s="31" t="str">
        <f t="shared" ca="1" si="7"/>
        <v>1-1700.01.000057</v>
      </c>
    </row>
    <row r="65" spans="2:7" x14ac:dyDescent="0.2">
      <c r="B65" s="22" t="str">
        <f t="shared" ca="1" si="2"/>
        <v>1-1700.01</v>
      </c>
      <c r="C65" s="36">
        <v>32000000000609</v>
      </c>
      <c r="D65" s="28" t="str">
        <f>IF(EXACT($C65, ""), "", CONCATENATE(VLOOKUP($C65, [3]DataLookUp!$B$4:$E$4000, 3, FALSE), IF(EXACT(VLOOKUP($C65, [3]DataLookUp!$B$4:$E$4000, 4, FALSE), ""), "", CONCATENATE(" (NIK : ", VLOOKUP($C65, [3]DataLookUp!$B$4:$E$4000, 4, FALSE),")"))))</f>
        <v>Risty Alawiyah (NIK : 2703251004)</v>
      </c>
      <c r="E65" s="28" t="e">
        <f t="shared" ca="1" si="3"/>
        <v>#N/A</v>
      </c>
      <c r="F65" s="16" t="b">
        <v>0</v>
      </c>
      <c r="G65" s="31" t="str">
        <f t="shared" ca="1" si="7"/>
        <v>1-1700.01.000058</v>
      </c>
    </row>
    <row r="66" spans="2:7" x14ac:dyDescent="0.2">
      <c r="B66" s="33"/>
      <c r="C66" s="34"/>
      <c r="D66" s="33"/>
      <c r="E66" s="33"/>
      <c r="F66" s="33"/>
      <c r="G66" s="35"/>
    </row>
  </sheetData>
  <mergeCells count="2">
    <mergeCell ref="B2:F2"/>
    <mergeCell ref="C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G6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1" sqref="E11"/>
    </sheetView>
  </sheetViews>
  <sheetFormatPr defaultRowHeight="12.75" x14ac:dyDescent="0.2"/>
  <cols>
    <col min="1" max="1" width="2.85546875" style="3" customWidth="1"/>
    <col min="2" max="2" width="8" style="3" bestFit="1" customWidth="1"/>
    <col min="3" max="3" width="14" style="23" bestFit="1" customWidth="1"/>
    <col min="4" max="4" width="38.140625" style="3" bestFit="1" customWidth="1"/>
    <col min="5" max="5" width="55.42578125" style="3" bestFit="1" customWidth="1"/>
    <col min="6" max="6" width="9.140625" style="3" bestFit="1" customWidth="1"/>
    <col min="7" max="7" width="13.7109375" style="19" bestFit="1" customWidth="1"/>
    <col min="8" max="16384" width="9.140625" style="3"/>
  </cols>
  <sheetData>
    <row r="1" spans="2:7" ht="13.5" thickBot="1" x14ac:dyDescent="0.25"/>
    <row r="2" spans="2:7" s="17" customFormat="1" x14ac:dyDescent="0.2">
      <c r="B2" s="39" t="s">
        <v>209</v>
      </c>
      <c r="C2" s="40"/>
      <c r="D2" s="40"/>
      <c r="E2" s="40"/>
      <c r="F2" s="41"/>
      <c r="G2" s="18"/>
    </row>
    <row r="3" spans="2:7" s="17" customFormat="1" ht="13.5" thickBot="1" x14ac:dyDescent="0.25">
      <c r="B3" s="32" t="str">
        <f ca="1">SUBSTITUTE(RIGHT(CELL("filename", $A$1), LEN(CELL("filename", $A$1))-FIND("]", CELL("filename", $A$1), 1)), "SEED ", "")</f>
        <v>1-1901.01</v>
      </c>
      <c r="C3" s="37" t="str">
        <f ca="1">IF(EXACT(B3, ""), "", VLOOKUP(B3, SEED!C4:D258, 2, FALSE))</f>
        <v>Paid in Advance (IDR)</v>
      </c>
      <c r="D3" s="37"/>
      <c r="E3" s="37"/>
      <c r="F3" s="38"/>
      <c r="G3" s="18"/>
    </row>
    <row r="4" spans="2:7" ht="13.5" thickBot="1" x14ac:dyDescent="0.25"/>
    <row r="5" spans="2:7" ht="25.5" x14ac:dyDescent="0.2">
      <c r="B5" s="20" t="s">
        <v>0</v>
      </c>
      <c r="C5" s="20" t="s">
        <v>210</v>
      </c>
      <c r="D5" s="20" t="s">
        <v>211</v>
      </c>
      <c r="E5" s="20" t="s">
        <v>213</v>
      </c>
      <c r="F5" s="20" t="s">
        <v>212</v>
      </c>
      <c r="G5" s="20" t="s">
        <v>219</v>
      </c>
    </row>
    <row r="6" spans="2:7" ht="13.5" thickBot="1" x14ac:dyDescent="0.25">
      <c r="B6" s="21"/>
      <c r="C6" s="21"/>
      <c r="D6" s="21"/>
      <c r="E6" s="21"/>
      <c r="F6" s="21"/>
      <c r="G6" s="21"/>
    </row>
    <row r="7" spans="2:7" x14ac:dyDescent="0.2">
      <c r="B7" s="25" t="str">
        <f ca="1">$B$3</f>
        <v>1-1901.01</v>
      </c>
      <c r="C7" s="26"/>
      <c r="D7" s="27" t="s">
        <v>214</v>
      </c>
      <c r="E7" s="29" t="str">
        <f t="shared" ref="E7:E12" ca="1" si="0">IF(EXACT($D7, ""), "", CONCATENATE($C$3, " - ", $D7))</f>
        <v>Paid in Advance (IDR) - Lainnya</v>
      </c>
      <c r="F7" s="15" t="b">
        <v>1</v>
      </c>
      <c r="G7" s="30" t="str">
        <f ca="1">IF(EXACT($B7, ""), "", CONCATENATE($B7, ".", TEXT(IF(ROW($B$7)=ROW($B7), IF(EXACT($F7, "FALSE"), 1, 0), (RIGHT($G6, 6)*1)+1), "000000")))</f>
        <v>1-1901.01.000000</v>
      </c>
    </row>
    <row r="8" spans="2:7" x14ac:dyDescent="0.2">
      <c r="B8" s="22" t="str">
        <f ca="1">$B$3</f>
        <v>1-1901.01</v>
      </c>
      <c r="C8" s="36">
        <v>32000000000012</v>
      </c>
      <c r="D8" s="28" t="str">
        <f>IF(EXACT($C8, ""), "", CONCATENATE(VLOOKUP($C8, [3]DataLookUp!$B$4:$E$4000, 3, FALSE), IF(EXACT(VLOOKUP($C8, [3]DataLookUp!$B$4:$E$4000, 4, FALSE), ""), "", CONCATENATE(" (NIK : ", VLOOKUP($C8, [3]DataLookUp!$B$4:$E$4000, 4, FALSE),")"))))</f>
        <v>Agnes Sutedja (NIK : 010703020)</v>
      </c>
      <c r="E8" s="28" t="str">
        <f t="shared" ca="1" si="0"/>
        <v>Paid in Advance (IDR) - Agnes Sutedja (NIK : 010703020)</v>
      </c>
      <c r="F8" s="16" t="b">
        <v>0</v>
      </c>
      <c r="G8" s="31" t="str">
        <f t="shared" ref="G8:G65" ca="1" si="1">IF(EXACT($B8, ""), "", CONCATENATE($B8, ".", TEXT(IF(ROW($B$7)=ROW($B8), IF(EXACT($F8, "FALSE"), 1, 0), (RIGHT($G7, 6)*1)+1), "000000")))</f>
        <v>1-1901.01.000001</v>
      </c>
    </row>
    <row r="9" spans="2:7" x14ac:dyDescent="0.2">
      <c r="B9" s="22" t="str">
        <f t="shared" ref="B9:B65" ca="1" si="2">$B$3</f>
        <v>1-1901.01</v>
      </c>
      <c r="C9" s="36">
        <v>32000000000017</v>
      </c>
      <c r="D9" s="28" t="str">
        <f>IF(EXACT($C9, ""), "", CONCATENATE(VLOOKUP($C9, [3]DataLookUp!$B$4:$E$4000, 3, FALSE), IF(EXACT(VLOOKUP($C9, [3]DataLookUp!$B$4:$E$4000, 4, FALSE), ""), "", CONCATENATE(" (NIK : ", VLOOKUP($C9, [3]DataLookUp!$B$4:$E$4000, 4, FALSE),")"))))</f>
        <v>Ahmad Faiz Haems Muda (NIK : 280314716)</v>
      </c>
      <c r="E9" s="28" t="str">
        <f t="shared" ca="1" si="0"/>
        <v>Paid in Advance (IDR) - Ahmad Faiz Haems Muda (NIK : 280314716)</v>
      </c>
      <c r="F9" s="16" t="b">
        <v>0</v>
      </c>
      <c r="G9" s="31" t="str">
        <f t="shared" ca="1" si="1"/>
        <v>1-1901.01.000002</v>
      </c>
    </row>
    <row r="10" spans="2:7" x14ac:dyDescent="0.2">
      <c r="B10" s="22" t="str">
        <f t="shared" ca="1" si="2"/>
        <v>1-1901.01</v>
      </c>
      <c r="C10" s="36">
        <v>32000000000023</v>
      </c>
      <c r="D10" s="28" t="str">
        <f>IF(EXACT($C10, ""), "", CONCATENATE(VLOOKUP($C10, [3]DataLookUp!$B$4:$E$4000, 3, FALSE), IF(EXACT(VLOOKUP($C10, [3]DataLookUp!$B$4:$E$4000, 4, FALSE), ""), "", CONCATENATE(" (NIK : ", VLOOKUP($C10, [3]DataLookUp!$B$4:$E$4000, 4, FALSE),")"))))</f>
        <v>Aldi Mulyadi (NIK : 141020935)</v>
      </c>
      <c r="E10" s="28" t="str">
        <f t="shared" ca="1" si="0"/>
        <v>Paid in Advance (IDR) - Aldi Mulyadi (NIK : 141020935)</v>
      </c>
      <c r="F10" s="16" t="b">
        <v>0</v>
      </c>
      <c r="G10" s="31" t="str">
        <f t="shared" ca="1" si="1"/>
        <v>1-1901.01.000003</v>
      </c>
    </row>
    <row r="11" spans="2:7" x14ac:dyDescent="0.2">
      <c r="B11" s="22" t="str">
        <f t="shared" ca="1" si="2"/>
        <v>1-1901.01</v>
      </c>
      <c r="C11" s="36">
        <v>32000000000075</v>
      </c>
      <c r="D11" s="28" t="str">
        <f>IF(EXACT($C11, ""), "", CONCATENATE(VLOOKUP($C11, [3]DataLookUp!$B$4:$E$4000, 3, FALSE), IF(EXACT(VLOOKUP($C11, [3]DataLookUp!$B$4:$E$4000, 4, FALSE), ""), "", CONCATENATE(" (NIK : ", VLOOKUP($C11, [3]DataLookUp!$B$4:$E$4000, 4, FALSE),")"))))</f>
        <v>Belina Lindarwani (NIK : 100920934)</v>
      </c>
      <c r="E11" s="28" t="str">
        <f t="shared" ca="1" si="0"/>
        <v>Paid in Advance (IDR) - Belina Lindarwani (NIK : 100920934)</v>
      </c>
      <c r="F11" s="16" t="b">
        <v>0</v>
      </c>
      <c r="G11" s="31" t="str">
        <f t="shared" ca="1" si="1"/>
        <v>1-1901.01.000004</v>
      </c>
    </row>
    <row r="12" spans="2:7" x14ac:dyDescent="0.2">
      <c r="B12" s="22" t="str">
        <f t="shared" ca="1" si="2"/>
        <v>1-1901.01</v>
      </c>
      <c r="C12" s="36">
        <v>32000000000082</v>
      </c>
      <c r="D12" s="28" t="str">
        <f>IF(EXACT($C12, ""), "", CONCATENATE(VLOOKUP($C12, [3]DataLookUp!$B$4:$E$4000, 3, FALSE), IF(EXACT(VLOOKUP($C12, [3]DataLookUp!$B$4:$E$4000, 4, FALSE), ""), "", CONCATENATE(" (NIK : ", VLOOKUP($C12, [3]DataLookUp!$B$4:$E$4000, 4, FALSE),")"))))</f>
        <v>Budianto (NIK : 060515769)</v>
      </c>
      <c r="E12" s="28" t="str">
        <f t="shared" ca="1" si="0"/>
        <v>Paid in Advance (IDR) - Budianto (NIK : 060515769)</v>
      </c>
      <c r="F12" s="16" t="b">
        <v>0</v>
      </c>
      <c r="G12" s="31" t="str">
        <f t="shared" ca="1" si="1"/>
        <v>1-1901.01.000005</v>
      </c>
    </row>
    <row r="13" spans="2:7" x14ac:dyDescent="0.2">
      <c r="B13" s="22" t="str">
        <f t="shared" ca="1" si="2"/>
        <v>1-1901.01</v>
      </c>
      <c r="C13" s="36">
        <v>32000000000092</v>
      </c>
      <c r="D13" s="28" t="str">
        <f>IF(EXACT($C13, ""), "", CONCATENATE(VLOOKUP($C13, [3]DataLookUp!$B$4:$E$4000, 3, FALSE), IF(EXACT(VLOOKUP($C13, [3]DataLookUp!$B$4:$E$4000, 4, FALSE), ""), "", CONCATENATE(" (NIK : ", VLOOKUP($C13, [3]DataLookUp!$B$4:$E$4000, 4, FALSE),")"))))</f>
        <v>Darsito (NIK : 031212631)</v>
      </c>
      <c r="E13" s="28" t="str">
        <f t="shared" ref="E13:E65" ca="1" si="3">IF(EXACT($D13, ""), "", CONCATENATE($C$3, " - ", $D13))</f>
        <v>Paid in Advance (IDR) - Darsito (NIK : 031212631)</v>
      </c>
      <c r="F13" s="16" t="b">
        <v>0</v>
      </c>
      <c r="G13" s="31" t="str">
        <f t="shared" ca="1" si="1"/>
        <v>1-1901.01.000006</v>
      </c>
    </row>
    <row r="14" spans="2:7" x14ac:dyDescent="0.2">
      <c r="B14" s="22" t="str">
        <f t="shared" ca="1" si="2"/>
        <v>1-1901.01</v>
      </c>
      <c r="C14" s="36">
        <v>32000000000100</v>
      </c>
      <c r="D14" s="28" t="str">
        <f>IF(EXACT($C14, ""), "", CONCATENATE(VLOOKUP($C14, [3]DataLookUp!$B$4:$E$4000, 3, FALSE), IF(EXACT(VLOOKUP($C14, [3]DataLookUp!$B$4:$E$4000, 4, FALSE), ""), "", CONCATENATE(" (NIK : ", VLOOKUP($C14, [3]DataLookUp!$B$4:$E$4000, 4, FALSE),")"))))</f>
        <v>Deny Adi Purnama (NIK : 050123975)</v>
      </c>
      <c r="E14" s="28" t="str">
        <f t="shared" ca="1" si="3"/>
        <v>Paid in Advance (IDR) - Deny Adi Purnama (NIK : 050123975)</v>
      </c>
      <c r="F14" s="16" t="b">
        <v>0</v>
      </c>
      <c r="G14" s="31" t="str">
        <f t="shared" ca="1" si="1"/>
        <v>1-1901.01.000007</v>
      </c>
    </row>
    <row r="15" spans="2:7" x14ac:dyDescent="0.2">
      <c r="B15" s="22" t="str">
        <f t="shared" ca="1" si="2"/>
        <v>1-1901.01</v>
      </c>
      <c r="C15" s="36">
        <v>32000000000106</v>
      </c>
      <c r="D15" s="28" t="str">
        <f>IF(EXACT($C15, ""), "", CONCATENATE(VLOOKUP($C15, [3]DataLookUp!$B$4:$E$4000, 3, FALSE), IF(EXACT(VLOOKUP($C15, [3]DataLookUp!$B$4:$E$4000, 4, FALSE), ""), "", CONCATENATE(" (NIK : ", VLOOKUP($C15, [3]DataLookUp!$B$4:$E$4000, 4, FALSE),")"))))</f>
        <v>Dionesius Sostenist Duka (NIK : 010605133)</v>
      </c>
      <c r="E15" s="28" t="str">
        <f t="shared" ca="1" si="3"/>
        <v>Paid in Advance (IDR) - Dionesius Sostenist Duka (NIK : 010605133)</v>
      </c>
      <c r="F15" s="16" t="b">
        <v>0</v>
      </c>
      <c r="G15" s="31" t="str">
        <f t="shared" ca="1" si="1"/>
        <v>1-1901.01.000008</v>
      </c>
    </row>
    <row r="16" spans="2:7" x14ac:dyDescent="0.2">
      <c r="B16" s="22" t="str">
        <f t="shared" ca="1" si="2"/>
        <v>1-1901.01</v>
      </c>
      <c r="C16" s="36">
        <v>32000000000116</v>
      </c>
      <c r="D16" s="28" t="str">
        <f>IF(EXACT($C16, ""), "", CONCATENATE(VLOOKUP($C16, [3]DataLookUp!$B$4:$E$4000, 3, FALSE), IF(EXACT(VLOOKUP($C16, [3]DataLookUp!$B$4:$E$4000, 4, FALSE), ""), "", CONCATENATE(" (NIK : ", VLOOKUP($C16, [3]DataLookUp!$B$4:$E$4000, 4, FALSE),")"))))</f>
        <v>Edi Waluyo (NIK : 040803040)</v>
      </c>
      <c r="E16" s="28" t="str">
        <f t="shared" ca="1" si="3"/>
        <v>Paid in Advance (IDR) - Edi Waluyo (NIK : 040803040)</v>
      </c>
      <c r="F16" s="16" t="b">
        <v>0</v>
      </c>
      <c r="G16" s="31" t="str">
        <f t="shared" ca="1" si="1"/>
        <v>1-1901.01.000009</v>
      </c>
    </row>
    <row r="17" spans="2:7" x14ac:dyDescent="0.2">
      <c r="B17" s="22" t="str">
        <f t="shared" ca="1" si="2"/>
        <v>1-1901.01</v>
      </c>
      <c r="C17" s="36">
        <v>32000000000123</v>
      </c>
      <c r="D17" s="28" t="str">
        <f>IF(EXACT($C17, ""), "", CONCATENATE(VLOOKUP($C17, [3]DataLookUp!$B$4:$E$4000, 3, FALSE), IF(EXACT(VLOOKUP($C17, [3]DataLookUp!$B$4:$E$4000, 4, FALSE), ""), "", CONCATENATE(" (NIK : ", VLOOKUP($C17, [3]DataLookUp!$B$4:$E$4000, 4, FALSE),")"))))</f>
        <v>Eka Bagus Dwi Putra (NIK : 200420932)</v>
      </c>
      <c r="E17" s="28" t="str">
        <f t="shared" ca="1" si="3"/>
        <v>Paid in Advance (IDR) - Eka Bagus Dwi Putra (NIK : 200420932)</v>
      </c>
      <c r="F17" s="16" t="b">
        <v>0</v>
      </c>
      <c r="G17" s="31" t="str">
        <f t="shared" ca="1" si="1"/>
        <v>1-1901.01.000010</v>
      </c>
    </row>
    <row r="18" spans="2:7" x14ac:dyDescent="0.2">
      <c r="B18" s="22" t="str">
        <f t="shared" ca="1" si="2"/>
        <v>1-1901.01</v>
      </c>
      <c r="C18" s="36">
        <v>32000000000125</v>
      </c>
      <c r="D18" s="28" t="str">
        <f>IF(EXACT($C18, ""), "", CONCATENATE(VLOOKUP($C18, [3]DataLookUp!$B$4:$E$4000, 3, FALSE), IF(EXACT(VLOOKUP($C18, [3]DataLookUp!$B$4:$E$4000, 4, FALSE), ""), "", CONCATENATE(" (NIK : ", VLOOKUP($C18, [3]DataLookUp!$B$4:$E$4000, 4, FALSE),")"))))</f>
        <v>Eka Purwanti (NIK : 060121944)</v>
      </c>
      <c r="E18" s="28" t="str">
        <f t="shared" ca="1" si="3"/>
        <v>Paid in Advance (IDR) - Eka Purwanti (NIK : 060121944)</v>
      </c>
      <c r="F18" s="16" t="b">
        <v>0</v>
      </c>
      <c r="G18" s="31" t="str">
        <f t="shared" ca="1" si="1"/>
        <v>1-1901.01.000011</v>
      </c>
    </row>
    <row r="19" spans="2:7" x14ac:dyDescent="0.2">
      <c r="B19" s="22" t="str">
        <f t="shared" ca="1" si="2"/>
        <v>1-1901.01</v>
      </c>
      <c r="C19" s="36">
        <v>32000000000126</v>
      </c>
      <c r="D19" s="28" t="str">
        <f>IF(EXACT($C19, ""), "", CONCATENATE(VLOOKUP($C19, [3]DataLookUp!$B$4:$E$4000, 3, FALSE), IF(EXACT(VLOOKUP($C19, [3]DataLookUp!$B$4:$E$4000, 4, FALSE), ""), "", CONCATENATE(" (NIK : ", VLOOKUP($C19, [3]DataLookUp!$B$4:$E$4000, 4, FALSE),")"))))</f>
        <v>Eka Kurniawan Hidayatullah (NIK : 120324987)</v>
      </c>
      <c r="E19" s="28" t="str">
        <f t="shared" ca="1" si="3"/>
        <v>Paid in Advance (IDR) - Eka Kurniawan Hidayatullah (NIK : 120324987)</v>
      </c>
      <c r="F19" s="16" t="b">
        <v>0</v>
      </c>
      <c r="G19" s="31" t="str">
        <f t="shared" ca="1" si="1"/>
        <v>1-1901.01.000012</v>
      </c>
    </row>
    <row r="20" spans="2:7" x14ac:dyDescent="0.2">
      <c r="B20" s="22" t="str">
        <f t="shared" ca="1" si="2"/>
        <v>1-1901.01</v>
      </c>
      <c r="C20" s="36">
        <v>32000000000138</v>
      </c>
      <c r="D20" s="28" t="str">
        <f>IF(EXACT($C20, ""), "", CONCATENATE(VLOOKUP($C20, [3]DataLookUp!$B$4:$E$4000, 3, FALSE), IF(EXACT(VLOOKUP($C20, [3]DataLookUp!$B$4:$E$4000, 4, FALSE), ""), "", CONCATENATE(" (NIK : ", VLOOKUP($C20, [3]DataLookUp!$B$4:$E$4000, 4, FALSE),")"))))</f>
        <v>Endang Sutrisna (NIK : 010806250)</v>
      </c>
      <c r="E20" s="28" t="str">
        <f t="shared" ca="1" si="3"/>
        <v>Paid in Advance (IDR) - Endang Sutrisna (NIK : 010806250)</v>
      </c>
      <c r="F20" s="16" t="b">
        <v>0</v>
      </c>
      <c r="G20" s="31" t="str">
        <f t="shared" ca="1" si="1"/>
        <v>1-1901.01.000013</v>
      </c>
    </row>
    <row r="21" spans="2:7" x14ac:dyDescent="0.2">
      <c r="B21" s="22" t="str">
        <f t="shared" ca="1" si="2"/>
        <v>1-1901.01</v>
      </c>
      <c r="C21" s="36">
        <v>32000000000155</v>
      </c>
      <c r="D21" s="28" t="str">
        <f>IF(EXACT($C21, ""), "", CONCATENATE(VLOOKUP($C21, [3]DataLookUp!$B$4:$E$4000, 3, FALSE), IF(EXACT(VLOOKUP($C21, [3]DataLookUp!$B$4:$E$4000, 4, FALSE), ""), "", CONCATENATE(" (NIK : ", VLOOKUP($C21, [3]DataLookUp!$B$4:$E$4000, 4, FALSE),")"))))</f>
        <v>M. Fikri Caesarandi Hasibuan (NIK : 160916799)</v>
      </c>
      <c r="E21" s="28" t="str">
        <f t="shared" ca="1" si="3"/>
        <v>Paid in Advance (IDR) - M. Fikri Caesarandi Hasibuan (NIK : 160916799)</v>
      </c>
      <c r="F21" s="16" t="b">
        <v>0</v>
      </c>
      <c r="G21" s="31" t="str">
        <f t="shared" ca="1" si="1"/>
        <v>1-1901.01.000014</v>
      </c>
    </row>
    <row r="22" spans="2:7" x14ac:dyDescent="0.2">
      <c r="B22" s="22" t="str">
        <f t="shared" ca="1" si="2"/>
        <v>1-1901.01</v>
      </c>
      <c r="C22" s="36">
        <v>32000000000167</v>
      </c>
      <c r="D22" s="28" t="str">
        <f>IF(EXACT($C22, ""), "", CONCATENATE(VLOOKUP($C22, [3]DataLookUp!$B$4:$E$4000, 3, FALSE), IF(EXACT(VLOOKUP($C22, [3]DataLookUp!$B$4:$E$4000, 4, FALSE), ""), "", CONCATENATE(" (NIK : ", VLOOKUP($C22, [3]DataLookUp!$B$4:$E$4000, 4, FALSE),")"))))</f>
        <v>Grace Kurniawan (NIK : 010218858)</v>
      </c>
      <c r="E22" s="28" t="str">
        <f t="shared" ca="1" si="3"/>
        <v>Paid in Advance (IDR) - Grace Kurniawan (NIK : 010218858)</v>
      </c>
      <c r="F22" s="16" t="b">
        <v>0</v>
      </c>
      <c r="G22" s="31" t="str">
        <f t="shared" ca="1" si="1"/>
        <v>1-1901.01.000015</v>
      </c>
    </row>
    <row r="23" spans="2:7" x14ac:dyDescent="0.2">
      <c r="B23" s="22" t="str">
        <f t="shared" ca="1" si="2"/>
        <v>1-1901.01</v>
      </c>
      <c r="C23" s="36">
        <v>32000000000168</v>
      </c>
      <c r="D23" s="28" t="str">
        <f>IF(EXACT($C23, ""), "", CONCATENATE(VLOOKUP($C23, [3]DataLookUp!$B$4:$E$4000, 3, FALSE), IF(EXACT(VLOOKUP($C23, [3]DataLookUp!$B$4:$E$4000, 4, FALSE), ""), "", CONCATENATE(" (NIK : ", VLOOKUP($C23, [3]DataLookUp!$B$4:$E$4000, 4, FALSE),")"))))</f>
        <v>Gunawan (NIK : 070806256)</v>
      </c>
      <c r="E23" s="28" t="str">
        <f t="shared" ca="1" si="3"/>
        <v>Paid in Advance (IDR) - Gunawan (NIK : 070806256)</v>
      </c>
      <c r="F23" s="16" t="b">
        <v>0</v>
      </c>
      <c r="G23" s="31" t="str">
        <f t="shared" ca="1" si="1"/>
        <v>1-1901.01.000016</v>
      </c>
    </row>
    <row r="24" spans="2:7" x14ac:dyDescent="0.2">
      <c r="B24" s="22" t="str">
        <f t="shared" ca="1" si="2"/>
        <v>1-1901.01</v>
      </c>
      <c r="C24" s="36">
        <v>32000000000196</v>
      </c>
      <c r="D24" s="28" t="str">
        <f>IF(EXACT($C24, ""), "", CONCATENATE(VLOOKUP($C24, [3]DataLookUp!$B$4:$E$4000, 3, FALSE), IF(EXACT(VLOOKUP($C24, [3]DataLookUp!$B$4:$E$4000, 4, FALSE), ""), "", CONCATENATE(" (NIK : ", VLOOKUP($C24, [3]DataLookUp!$B$4:$E$4000, 4, FALSE),")"))))</f>
        <v>Icha Mailinda Syamsoedin (NIK : 191015786)</v>
      </c>
      <c r="E24" s="28" t="str">
        <f t="shared" ca="1" si="3"/>
        <v>Paid in Advance (IDR) - Icha Mailinda Syamsoedin (NIK : 191015786)</v>
      </c>
      <c r="F24" s="16" t="b">
        <v>0</v>
      </c>
      <c r="G24" s="31" t="str">
        <f t="shared" ca="1" si="1"/>
        <v>1-1901.01.000017</v>
      </c>
    </row>
    <row r="25" spans="2:7" x14ac:dyDescent="0.2">
      <c r="B25" s="22" t="str">
        <f t="shared" ca="1" si="2"/>
        <v>1-1901.01</v>
      </c>
      <c r="C25" s="36">
        <v>32000000000232</v>
      </c>
      <c r="D25" s="28" t="str">
        <f>IF(EXACT($C25, ""), "", CONCATENATE(VLOOKUP($C25, [3]DataLookUp!$B$4:$E$4000, 3, FALSE), IF(EXACT(VLOOKUP($C25, [3]DataLookUp!$B$4:$E$4000, 4, FALSE), ""), "", CONCATENATE(" (NIK : ", VLOOKUP($C25, [3]DataLookUp!$B$4:$E$4000, 4, FALSE),")"))))</f>
        <v>Jimmywal (NIK : 040515767)</v>
      </c>
      <c r="E25" s="28" t="str">
        <f t="shared" ca="1" si="3"/>
        <v>Paid in Advance (IDR) - Jimmywal (NIK : 040515767)</v>
      </c>
      <c r="F25" s="16" t="b">
        <v>0</v>
      </c>
      <c r="G25" s="31" t="str">
        <f t="shared" ca="1" si="1"/>
        <v>1-1901.01.000018</v>
      </c>
    </row>
    <row r="26" spans="2:7" x14ac:dyDescent="0.2">
      <c r="B26" s="22" t="str">
        <f t="shared" ca="1" si="2"/>
        <v>1-1901.01</v>
      </c>
      <c r="C26" s="36">
        <v>32000000000252</v>
      </c>
      <c r="D26" s="28" t="str">
        <f>IF(EXACT($C26, ""), "", CONCATENATE(VLOOKUP($C26, [3]DataLookUp!$B$4:$E$4000, 3, FALSE), IF(EXACT(VLOOKUP($C26, [3]DataLookUp!$B$4:$E$4000, 4, FALSE), ""), "", CONCATENATE(" (NIK : ", VLOOKUP($C26, [3]DataLookUp!$B$4:$E$4000, 4, FALSE),")"))))</f>
        <v>Kiki Mustikawati</v>
      </c>
      <c r="E26" s="28" t="str">
        <f t="shared" ca="1" si="3"/>
        <v>Paid in Advance (IDR) - Kiki Mustikawati</v>
      </c>
      <c r="F26" s="16" t="b">
        <v>0</v>
      </c>
      <c r="G26" s="31" t="str">
        <f t="shared" ca="1" si="1"/>
        <v>1-1901.01.000019</v>
      </c>
    </row>
    <row r="27" spans="2:7" x14ac:dyDescent="0.2">
      <c r="B27" s="22" t="str">
        <f t="shared" ca="1" si="2"/>
        <v>1-1901.01</v>
      </c>
      <c r="C27" s="36">
        <v>32000000000253</v>
      </c>
      <c r="D27" s="28" t="str">
        <f>IF(EXACT($C27, ""), "", CONCATENATE(VLOOKUP($C27, [3]DataLookUp!$B$4:$E$4000, 3, FALSE), IF(EXACT(VLOOKUP($C27, [3]DataLookUp!$B$4:$E$4000, 4, FALSE), ""), "", CONCATENATE(" (NIK : ", VLOOKUP($C27, [3]DataLookUp!$B$4:$E$4000, 4, FALSE),")"))))</f>
        <v>Kornelius Sakan (NIK : 190803044)</v>
      </c>
      <c r="E27" s="28" t="str">
        <f t="shared" ca="1" si="3"/>
        <v>Paid in Advance (IDR) - Kornelius Sakan (NIK : 190803044)</v>
      </c>
      <c r="F27" s="16" t="b">
        <v>0</v>
      </c>
      <c r="G27" s="31" t="str">
        <f t="shared" ca="1" si="1"/>
        <v>1-1901.01.000020</v>
      </c>
    </row>
    <row r="28" spans="2:7" x14ac:dyDescent="0.2">
      <c r="B28" s="22" t="str">
        <f t="shared" ca="1" si="2"/>
        <v>1-1901.01</v>
      </c>
      <c r="C28" s="36">
        <v>32000000000262</v>
      </c>
      <c r="D28" s="28" t="str">
        <f>IF(EXACT($C28, ""), "", CONCATENATE(VLOOKUP($C28, [3]DataLookUp!$B$4:$E$4000, 3, FALSE), IF(EXACT(VLOOKUP($C28, [3]DataLookUp!$B$4:$E$4000, 4, FALSE), ""), "", CONCATENATE(" (NIK : ", VLOOKUP($C28, [3]DataLookUp!$B$4:$E$4000, 4, FALSE),")"))))</f>
        <v>Lisma Natalia (NIK : 170918883)</v>
      </c>
      <c r="E28" s="28" t="str">
        <f t="shared" ca="1" si="3"/>
        <v>Paid in Advance (IDR) - Lisma Natalia (NIK : 170918883)</v>
      </c>
      <c r="F28" s="16" t="b">
        <v>0</v>
      </c>
      <c r="G28" s="31" t="str">
        <f t="shared" ca="1" si="1"/>
        <v>1-1901.01.000021</v>
      </c>
    </row>
    <row r="29" spans="2:7" x14ac:dyDescent="0.2">
      <c r="B29" s="22" t="str">
        <f t="shared" ca="1" si="2"/>
        <v>1-1901.01</v>
      </c>
      <c r="C29" s="36">
        <v>32000000000276</v>
      </c>
      <c r="D29" s="28" t="str">
        <f>IF(EXACT($C29, ""), "", CONCATENATE(VLOOKUP($C29, [3]DataLookUp!$B$4:$E$4000, 3, FALSE), IF(EXACT(VLOOKUP($C29, [3]DataLookUp!$B$4:$E$4000, 4, FALSE), ""), "", CONCATENATE(" (NIK : ", VLOOKUP($C29, [3]DataLookUp!$B$4:$E$4000, 4, FALSE),")"))))</f>
        <v>Marten Tabun (NIK : 010513665)</v>
      </c>
      <c r="E29" s="28" t="str">
        <f t="shared" ca="1" si="3"/>
        <v>Paid in Advance (IDR) - Marten Tabun (NIK : 010513665)</v>
      </c>
      <c r="F29" s="16" t="b">
        <v>0</v>
      </c>
      <c r="G29" s="31" t="str">
        <f t="shared" ca="1" si="1"/>
        <v>1-1901.01.000022</v>
      </c>
    </row>
    <row r="30" spans="2:7" x14ac:dyDescent="0.2">
      <c r="B30" s="22" t="str">
        <f t="shared" ca="1" si="2"/>
        <v>1-1901.01</v>
      </c>
      <c r="C30" s="36">
        <v>32000000000278</v>
      </c>
      <c r="D30" s="28" t="str">
        <f>IF(EXACT($C30, ""), "", CONCATENATE(VLOOKUP($C30, [3]DataLookUp!$B$4:$E$4000, 3, FALSE), IF(EXACT(VLOOKUP($C30, [3]DataLookUp!$B$4:$E$4000, 4, FALSE), ""), "", CONCATENATE(" (NIK : ", VLOOKUP($C30, [3]DataLookUp!$B$4:$E$4000, 4, FALSE),")"))))</f>
        <v>T. Marungkil U. S. Sagala (NIK : 010210516)</v>
      </c>
      <c r="E30" s="28" t="str">
        <f t="shared" ca="1" si="3"/>
        <v>Paid in Advance (IDR) - T. Marungkil U. S. Sagala (NIK : 010210516)</v>
      </c>
      <c r="F30" s="16" t="b">
        <v>0</v>
      </c>
      <c r="G30" s="31" t="str">
        <f t="shared" ca="1" si="1"/>
        <v>1-1901.01.000023</v>
      </c>
    </row>
    <row r="31" spans="2:7" x14ac:dyDescent="0.2">
      <c r="B31" s="22" t="str">
        <f t="shared" ca="1" si="2"/>
        <v>1-1901.01</v>
      </c>
      <c r="C31" s="36">
        <v>32000000000301</v>
      </c>
      <c r="D31" s="28" t="str">
        <f>IF(EXACT($C31, ""), "", CONCATENATE(VLOOKUP($C31, [3]DataLookUp!$B$4:$E$4000, 3, FALSE), IF(EXACT(VLOOKUP($C31, [3]DataLookUp!$B$4:$E$4000, 4, FALSE), ""), "", CONCATENATE(" (NIK : ", VLOOKUP($C31, [3]DataLookUp!$B$4:$E$4000, 4, FALSE),")"))))</f>
        <v>Mullan Tresna (NIK : 030105116)</v>
      </c>
      <c r="E31" s="28" t="str">
        <f t="shared" ca="1" si="3"/>
        <v>Paid in Advance (IDR) - Mullan Tresna (NIK : 030105116)</v>
      </c>
      <c r="F31" s="16" t="b">
        <v>0</v>
      </c>
      <c r="G31" s="31" t="str">
        <f t="shared" ca="1" si="1"/>
        <v>1-1901.01.000024</v>
      </c>
    </row>
    <row r="32" spans="2:7" x14ac:dyDescent="0.2">
      <c r="B32" s="22" t="str">
        <f t="shared" ca="1" si="2"/>
        <v>1-1901.01</v>
      </c>
      <c r="C32" s="36">
        <v>32000000000307</v>
      </c>
      <c r="D32" s="28" t="str">
        <f>IF(EXACT($C32, ""), "", CONCATENATE(VLOOKUP($C32, [3]DataLookUp!$B$4:$E$4000, 3, FALSE), IF(EXACT(VLOOKUP($C32, [3]DataLookUp!$B$4:$E$4000, 4, FALSE), ""), "", CONCATENATE(" (NIK : ", VLOOKUP($C32, [3]DataLookUp!$B$4:$E$4000, 4, FALSE),")"))))</f>
        <v>Nandang Effendi (NIK : 061106279)</v>
      </c>
      <c r="E32" s="28" t="str">
        <f t="shared" ca="1" si="3"/>
        <v>Paid in Advance (IDR) - Nandang Effendi (NIK : 061106279)</v>
      </c>
      <c r="F32" s="16" t="b">
        <v>0</v>
      </c>
      <c r="G32" s="31" t="str">
        <f t="shared" ca="1" si="1"/>
        <v>1-1901.01.000025</v>
      </c>
    </row>
    <row r="33" spans="2:7" x14ac:dyDescent="0.2">
      <c r="B33" s="22" t="str">
        <f t="shared" ca="1" si="2"/>
        <v>1-1901.01</v>
      </c>
      <c r="C33" s="36">
        <v>32000000000347</v>
      </c>
      <c r="D33" s="28" t="str">
        <f>IF(EXACT($C33, ""), "", CONCATENATE(VLOOKUP($C33, [3]DataLookUp!$B$4:$E$4000, 3, FALSE), IF(EXACT(VLOOKUP($C33, [3]DataLookUp!$B$4:$E$4000, 4, FALSE), ""), "", CONCATENATE(" (NIK : ", VLOOKUP($C33, [3]DataLookUp!$B$4:$E$4000, 4, FALSE),")"))))</f>
        <v>Redi Subekti (NIK : 160603000)</v>
      </c>
      <c r="E33" s="28" t="str">
        <f t="shared" ca="1" si="3"/>
        <v>Paid in Advance (IDR) - Redi Subekti (NIK : 160603000)</v>
      </c>
      <c r="F33" s="16" t="b">
        <v>0</v>
      </c>
      <c r="G33" s="31" t="str">
        <f t="shared" ca="1" si="1"/>
        <v>1-1901.01.000026</v>
      </c>
    </row>
    <row r="34" spans="2:7" x14ac:dyDescent="0.2">
      <c r="B34" s="22" t="str">
        <f t="shared" ca="1" si="2"/>
        <v>1-1901.01</v>
      </c>
      <c r="C34" s="36">
        <v>32000000000352</v>
      </c>
      <c r="D34" s="28" t="str">
        <f>IF(EXACT($C34, ""), "", CONCATENATE(VLOOKUP($C34, [3]DataLookUp!$B$4:$E$4000, 3, FALSE), IF(EXACT(VLOOKUP($C34, [3]DataLookUp!$B$4:$E$4000, 4, FALSE), ""), "", CONCATENATE(" (NIK : ", VLOOKUP($C34, [3]DataLookUp!$B$4:$E$4000, 4, FALSE),")"))))</f>
        <v>Rhino Priawan (NIK : 221110557)</v>
      </c>
      <c r="E34" s="28" t="str">
        <f t="shared" ca="1" si="3"/>
        <v>Paid in Advance (IDR) - Rhino Priawan (NIK : 221110557)</v>
      </c>
      <c r="F34" s="16" t="b">
        <v>0</v>
      </c>
      <c r="G34" s="31" t="str">
        <f t="shared" ca="1" si="1"/>
        <v>1-1901.01.000027</v>
      </c>
    </row>
    <row r="35" spans="2:7" x14ac:dyDescent="0.2">
      <c r="B35" s="22" t="str">
        <f t="shared" ca="1" si="2"/>
        <v>1-1901.01</v>
      </c>
      <c r="C35" s="36">
        <v>32000000000381</v>
      </c>
      <c r="D35" s="28" t="str">
        <f>IF(EXACT($C35, ""), "", CONCATENATE(VLOOKUP($C35, [3]DataLookUp!$B$4:$E$4000, 3, FALSE), IF(EXACT(VLOOKUP($C35, [3]DataLookUp!$B$4:$E$4000, 4, FALSE), ""), "", CONCATENATE(" (NIK : ", VLOOKUP($C35, [3]DataLookUp!$B$4:$E$4000, 4, FALSE),")"))))</f>
        <v>Sakinah Tantriani Lubis (NIK : 161220941)</v>
      </c>
      <c r="E35" s="28" t="str">
        <f t="shared" ca="1" si="3"/>
        <v>Paid in Advance (IDR) - Sakinah Tantriani Lubis (NIK : 161220941)</v>
      </c>
      <c r="F35" s="16" t="b">
        <v>0</v>
      </c>
      <c r="G35" s="31" t="str">
        <f t="shared" ca="1" si="1"/>
        <v>1-1901.01.000028</v>
      </c>
    </row>
    <row r="36" spans="2:7" x14ac:dyDescent="0.2">
      <c r="B36" s="22" t="str">
        <f t="shared" ca="1" si="2"/>
        <v>1-1901.01</v>
      </c>
      <c r="C36" s="36">
        <v>32000000000391</v>
      </c>
      <c r="D36" s="28" t="str">
        <f>IF(EXACT($C36, ""), "", CONCATENATE(VLOOKUP($C36, [3]DataLookUp!$B$4:$E$4000, 3, FALSE), IF(EXACT(VLOOKUP($C36, [3]DataLookUp!$B$4:$E$4000, 4, FALSE), ""), "", CONCATENATE(" (NIK : ", VLOOKUP($C36, [3]DataLookUp!$B$4:$E$4000, 4, FALSE),")"))))</f>
        <v>Seftiyan Hadi Maulana (NIK : 141118892)</v>
      </c>
      <c r="E36" s="28" t="str">
        <f t="shared" ca="1" si="3"/>
        <v>Paid in Advance (IDR) - Seftiyan Hadi Maulana (NIK : 141118892)</v>
      </c>
      <c r="F36" s="16" t="b">
        <v>0</v>
      </c>
      <c r="G36" s="31" t="str">
        <f t="shared" ca="1" si="1"/>
        <v>1-1901.01.000029</v>
      </c>
    </row>
    <row r="37" spans="2:7" x14ac:dyDescent="0.2">
      <c r="B37" s="22" t="str">
        <f t="shared" ca="1" si="2"/>
        <v>1-1901.01</v>
      </c>
      <c r="C37" s="36">
        <v>32000000000393</v>
      </c>
      <c r="D37" s="28" t="str">
        <f>IF(EXACT($C37, ""), "", CONCATENATE(VLOOKUP($C37, [3]DataLookUp!$B$4:$E$4000, 3, FALSE), IF(EXACT(VLOOKUP($C37, [3]DataLookUp!$B$4:$E$4000, 4, FALSE), ""), "", CONCATENATE(" (NIK : ", VLOOKUP($C37, [3]DataLookUp!$B$4:$E$4000, 4, FALSE),")"))))</f>
        <v>Setiadi (NIK : 130906272)</v>
      </c>
      <c r="E37" s="28" t="str">
        <f t="shared" ca="1" si="3"/>
        <v>Paid in Advance (IDR) - Setiadi (NIK : 130906272)</v>
      </c>
      <c r="F37" s="16" t="b">
        <v>0</v>
      </c>
      <c r="G37" s="31" t="str">
        <f t="shared" ca="1" si="1"/>
        <v>1-1901.01.000030</v>
      </c>
    </row>
    <row r="38" spans="2:7" x14ac:dyDescent="0.2">
      <c r="B38" s="22" t="str">
        <f t="shared" ca="1" si="2"/>
        <v>1-1901.01</v>
      </c>
      <c r="C38" s="36">
        <v>32000000000397</v>
      </c>
      <c r="D38" s="28" t="str">
        <f>IF(EXACT($C38, ""), "", CONCATENATE(VLOOKUP($C38, [3]DataLookUp!$B$4:$E$4000, 3, FALSE), IF(EXACT(VLOOKUP($C38, [3]DataLookUp!$B$4:$E$4000, 4, FALSE), ""), "", CONCATENATE(" (NIK : ", VLOOKUP($C38, [3]DataLookUp!$B$4:$E$4000, 4, FALSE),")"))))</f>
        <v>Sholehah (NIK : 240518874)</v>
      </c>
      <c r="E38" s="28" t="str">
        <f t="shared" ca="1" si="3"/>
        <v>Paid in Advance (IDR) - Sholehah (NIK : 240518874)</v>
      </c>
      <c r="F38" s="16" t="b">
        <v>0</v>
      </c>
      <c r="G38" s="31" t="str">
        <f t="shared" ca="1" si="1"/>
        <v>1-1901.01.000031</v>
      </c>
    </row>
    <row r="39" spans="2:7" x14ac:dyDescent="0.2">
      <c r="B39" s="22" t="str">
        <f t="shared" ca="1" si="2"/>
        <v>1-1901.01</v>
      </c>
      <c r="C39" s="36">
        <v>32000000000412</v>
      </c>
      <c r="D39" s="28" t="str">
        <f>IF(EXACT($C39, ""), "", CONCATENATE(VLOOKUP($C39, [3]DataLookUp!$B$4:$E$4000, 3, FALSE), IF(EXACT(VLOOKUP($C39, [3]DataLookUp!$B$4:$E$4000, 4, FALSE), ""), "", CONCATENATE(" (NIK : ", VLOOKUP($C39, [3]DataLookUp!$B$4:$E$4000, 4, FALSE),")"))))</f>
        <v>Sudarlan (NIK : 010507354)</v>
      </c>
      <c r="E39" s="28" t="str">
        <f t="shared" ca="1" si="3"/>
        <v>Paid in Advance (IDR) - Sudarlan (NIK : 010507354)</v>
      </c>
      <c r="F39" s="16" t="b">
        <v>0</v>
      </c>
      <c r="G39" s="31" t="str">
        <f t="shared" ca="1" si="1"/>
        <v>1-1901.01.000032</v>
      </c>
    </row>
    <row r="40" spans="2:7" x14ac:dyDescent="0.2">
      <c r="B40" s="22" t="str">
        <f t="shared" ca="1" si="2"/>
        <v>1-1901.01</v>
      </c>
      <c r="C40" s="36">
        <v>32000000000413</v>
      </c>
      <c r="D40" s="28" t="str">
        <f>IF(EXACT($C40, ""), "", CONCATENATE(VLOOKUP($C40, [3]DataLookUp!$B$4:$E$4000, 3, FALSE), IF(EXACT(VLOOKUP($C40, [3]DataLookUp!$B$4:$E$4000, 4, FALSE), ""), "", CONCATENATE(" (NIK : ", VLOOKUP($C40, [3]DataLookUp!$B$4:$E$4000, 4, FALSE),")"))))</f>
        <v>Sufie Amalia (NIK : 140421948)</v>
      </c>
      <c r="E40" s="28" t="str">
        <f t="shared" ca="1" si="3"/>
        <v>Paid in Advance (IDR) - Sufie Amalia (NIK : 140421948)</v>
      </c>
      <c r="F40" s="16" t="b">
        <v>0</v>
      </c>
      <c r="G40" s="31" t="str">
        <f t="shared" ca="1" si="1"/>
        <v>1-1901.01.000033</v>
      </c>
    </row>
    <row r="41" spans="2:7" x14ac:dyDescent="0.2">
      <c r="B41" s="22" t="str">
        <f t="shared" ca="1" si="2"/>
        <v>1-1901.01</v>
      </c>
      <c r="C41" s="36">
        <v>32000000000428</v>
      </c>
      <c r="D41" s="28" t="str">
        <f>IF(EXACT($C41, ""), "", CONCATENATE(VLOOKUP($C41, [3]DataLookUp!$B$4:$E$4000, 3, FALSE), IF(EXACT(VLOOKUP($C41, [3]DataLookUp!$B$4:$E$4000, 4, FALSE), ""), "", CONCATENATE(" (NIK : ", VLOOKUP($C41, [3]DataLookUp!$B$4:$E$4000, 4, FALSE),")"))))</f>
        <v>Suyanto (NIK : 261219925)</v>
      </c>
      <c r="E41" s="28" t="str">
        <f t="shared" ca="1" si="3"/>
        <v>Paid in Advance (IDR) - Suyanto (NIK : 261219925)</v>
      </c>
      <c r="F41" s="16" t="b">
        <v>0</v>
      </c>
      <c r="G41" s="31" t="str">
        <f t="shared" ca="1" si="1"/>
        <v>1-1901.01.000034</v>
      </c>
    </row>
    <row r="42" spans="2:7" x14ac:dyDescent="0.2">
      <c r="B42" s="22" t="str">
        <f t="shared" ca="1" si="2"/>
        <v>1-1901.01</v>
      </c>
      <c r="C42" s="36">
        <v>32000000000439</v>
      </c>
      <c r="D42" s="28" t="str">
        <f>IF(EXACT($C42, ""), "", CONCATENATE(VLOOKUP($C42, [3]DataLookUp!$B$4:$E$4000, 3, FALSE), IF(EXACT(VLOOKUP($C42, [3]DataLookUp!$B$4:$E$4000, 4, FALSE), ""), "", CONCATENATE(" (NIK : ", VLOOKUP($C42, [3]DataLookUp!$B$4:$E$4000, 4, FALSE),")"))))</f>
        <v>Teguh Pratama Januzir Sukin (NIK : 030717839)</v>
      </c>
      <c r="E42" s="28" t="str">
        <f t="shared" ca="1" si="3"/>
        <v>Paid in Advance (IDR) - Teguh Pratama Januzir Sukin (NIK : 030717839)</v>
      </c>
      <c r="F42" s="16" t="b">
        <v>0</v>
      </c>
      <c r="G42" s="31" t="str">
        <f t="shared" ca="1" si="1"/>
        <v>1-1901.01.000035</v>
      </c>
    </row>
    <row r="43" spans="2:7" x14ac:dyDescent="0.2">
      <c r="B43" s="22" t="str">
        <f t="shared" ca="1" si="2"/>
        <v>1-1901.01</v>
      </c>
      <c r="C43" s="36">
        <v>32000000000452</v>
      </c>
      <c r="D43" s="28" t="str">
        <f>IF(EXACT($C43, ""), "", CONCATENATE(VLOOKUP($C43, [3]DataLookUp!$B$4:$E$4000, 3, FALSE), IF(EXACT(VLOOKUP($C43, [3]DataLookUp!$B$4:$E$4000, 4, FALSE), ""), "", CONCATENATE(" (NIK : ", VLOOKUP($C43, [3]DataLookUp!$B$4:$E$4000, 4, FALSE),")"))))</f>
        <v>Turita Pramuning Marantina (NIK : 090818879)</v>
      </c>
      <c r="E43" s="28" t="str">
        <f t="shared" ca="1" si="3"/>
        <v>Paid in Advance (IDR) - Turita Pramuning Marantina (NIK : 090818879)</v>
      </c>
      <c r="F43" s="16" t="b">
        <v>0</v>
      </c>
      <c r="G43" s="31" t="str">
        <f t="shared" ca="1" si="1"/>
        <v>1-1901.01.000036</v>
      </c>
    </row>
    <row r="44" spans="2:7" x14ac:dyDescent="0.2">
      <c r="B44" s="22" t="str">
        <f t="shared" ca="1" si="2"/>
        <v>1-1901.01</v>
      </c>
      <c r="C44" s="36">
        <v>32000000000487</v>
      </c>
      <c r="D44" s="28" t="str">
        <f>IF(EXACT($C44, ""), "", CONCATENATE(VLOOKUP($C44, [3]DataLookUp!$B$4:$E$4000, 3, FALSE), IF(EXACT(VLOOKUP($C44, [3]DataLookUp!$B$4:$E$4000, 4, FALSE), ""), "", CONCATENATE(" (NIK : ", VLOOKUP($C44, [3]DataLookUp!$B$4:$E$4000, 4, FALSE),")"))))</f>
        <v>Yuliandaru Suryoatmodjo (NIK : 160714734)</v>
      </c>
      <c r="E44" s="28" t="str">
        <f t="shared" ca="1" si="3"/>
        <v>Paid in Advance (IDR) - Yuliandaru Suryoatmodjo (NIK : 160714734)</v>
      </c>
      <c r="F44" s="16" t="b">
        <v>0</v>
      </c>
      <c r="G44" s="31" t="str">
        <f t="shared" ca="1" si="1"/>
        <v>1-1901.01.000037</v>
      </c>
    </row>
    <row r="45" spans="2:7" x14ac:dyDescent="0.2">
      <c r="B45" s="22" t="str">
        <f t="shared" ca="1" si="2"/>
        <v>1-1901.01</v>
      </c>
      <c r="C45" s="36">
        <v>32000000000497</v>
      </c>
      <c r="D45" s="28" t="str">
        <f>IF(EXACT($C45, ""), "", CONCATENATE(VLOOKUP($C45, [3]DataLookUp!$B$4:$E$4000, 3, FALSE), IF(EXACT(VLOOKUP($C45, [3]DataLookUp!$B$4:$E$4000, 4, FALSE), ""), "", CONCATENATE(" (NIK : ", VLOOKUP($C45, [3]DataLookUp!$B$4:$E$4000, 4, FALSE),")"))))</f>
        <v>Zainudin Anwar (NIK : 090819915)</v>
      </c>
      <c r="E45" s="28" t="str">
        <f t="shared" ca="1" si="3"/>
        <v>Paid in Advance (IDR) - Zainudin Anwar (NIK : 090819915)</v>
      </c>
      <c r="F45" s="16" t="b">
        <v>0</v>
      </c>
      <c r="G45" s="31" t="str">
        <f t="shared" ca="1" si="1"/>
        <v>1-1901.01.000038</v>
      </c>
    </row>
    <row r="46" spans="2:7" x14ac:dyDescent="0.2">
      <c r="B46" s="22" t="str">
        <f t="shared" ca="1" si="2"/>
        <v>1-1901.01</v>
      </c>
      <c r="C46" s="36">
        <v>32000000000501</v>
      </c>
      <c r="D46" s="28" t="str">
        <f>IF(EXACT($C46, ""), "", CONCATENATE(VLOOKUP($C46, [3]DataLookUp!$B$4:$E$4000, 3, FALSE), IF(EXACT(VLOOKUP($C46, [3]DataLookUp!$B$4:$E$4000, 4, FALSE), ""), "", CONCATENATE(" (NIK : ", VLOOKUP($C46, [3]DataLookUp!$B$4:$E$4000, 4, FALSE),")"))))</f>
        <v>Zulfikar K. Siregar (NIK : 3107251008)</v>
      </c>
      <c r="E46" s="28" t="str">
        <f t="shared" ca="1" si="3"/>
        <v>Paid in Advance (IDR) - Zulfikar K. Siregar (NIK : 3107251008)</v>
      </c>
      <c r="F46" s="16" t="b">
        <v>0</v>
      </c>
      <c r="G46" s="31" t="str">
        <f t="shared" ca="1" si="1"/>
        <v>1-1901.01.000039</v>
      </c>
    </row>
    <row r="47" spans="2:7" x14ac:dyDescent="0.2">
      <c r="B47" s="22" t="str">
        <f t="shared" ca="1" si="2"/>
        <v>1-1901.01</v>
      </c>
      <c r="C47" s="36">
        <v>32000000000509</v>
      </c>
      <c r="D47" s="28" t="str">
        <f>IF(EXACT($C47, ""), "", CONCATENATE(VLOOKUP($C47, [3]DataLookUp!$B$4:$E$4000, 3, FALSE), IF(EXACT(VLOOKUP($C47, [3]DataLookUp!$B$4:$E$4000, 4, FALSE), ""), "", CONCATENATE(" (NIK : ", VLOOKUP($C47, [3]DataLookUp!$B$4:$E$4000, 4, FALSE),")"))))</f>
        <v>Riza Emir Subekti (NIK : 260716795)</v>
      </c>
      <c r="E47" s="28" t="str">
        <f t="shared" ca="1" si="3"/>
        <v>Paid in Advance (IDR) - Riza Emir Subekti (NIK : 260716795)</v>
      </c>
      <c r="F47" s="16" t="b">
        <v>0</v>
      </c>
      <c r="G47" s="31" t="str">
        <f t="shared" ca="1" si="1"/>
        <v>1-1901.01.000040</v>
      </c>
    </row>
    <row r="48" spans="2:7" x14ac:dyDescent="0.2">
      <c r="B48" s="22" t="str">
        <f t="shared" ca="1" si="2"/>
        <v>1-1901.01</v>
      </c>
      <c r="C48" s="36">
        <v>32000000000513</v>
      </c>
      <c r="D48" s="28" t="str">
        <f>IF(EXACT($C48, ""), "", CONCATENATE(VLOOKUP($C48, [3]DataLookUp!$B$4:$E$4000, 3, FALSE), IF(EXACT(VLOOKUP($C48, [3]DataLookUp!$B$4:$E$4000, 4, FALSE), ""), "", CONCATENATE(" (NIK : ", VLOOKUP($C48, [3]DataLookUp!$B$4:$E$4000, 4, FALSE),")"))))</f>
        <v>Ahmad Choerul (NIK : 191022969)</v>
      </c>
      <c r="E48" s="28" t="str">
        <f t="shared" ca="1" si="3"/>
        <v>Paid in Advance (IDR) - Ahmad Choerul (NIK : 191022969)</v>
      </c>
      <c r="F48" s="16" t="b">
        <v>0</v>
      </c>
      <c r="G48" s="31" t="str">
        <f t="shared" ca="1" si="1"/>
        <v>1-1901.01.000041</v>
      </c>
    </row>
    <row r="49" spans="2:7" x14ac:dyDescent="0.2">
      <c r="B49" s="22" t="str">
        <f t="shared" ca="1" si="2"/>
        <v>1-1901.01</v>
      </c>
      <c r="C49" s="36">
        <v>32000000000527</v>
      </c>
      <c r="D49" s="28" t="str">
        <f>IF(EXACT($C49, ""), "", CONCATENATE(VLOOKUP($C49, [3]DataLookUp!$B$4:$E$4000, 3, FALSE), IF(EXACT(VLOOKUP($C49, [3]DataLookUp!$B$4:$E$4000, 4, FALSE), ""), "", CONCATENATE(" (NIK : ", VLOOKUP($C49, [3]DataLookUp!$B$4:$E$4000, 4, FALSE),")"))))</f>
        <v>Irma Maulidawati (NIK : 040822965)</v>
      </c>
      <c r="E49" s="28" t="str">
        <f t="shared" ca="1" si="3"/>
        <v>Paid in Advance (IDR) - Irma Maulidawati (NIK : 040822965)</v>
      </c>
      <c r="F49" s="16" t="b">
        <v>0</v>
      </c>
      <c r="G49" s="31" t="str">
        <f t="shared" ca="1" si="1"/>
        <v>1-1901.01.000042</v>
      </c>
    </row>
    <row r="50" spans="2:7" x14ac:dyDescent="0.2">
      <c r="B50" s="22" t="str">
        <f t="shared" ca="1" si="2"/>
        <v>1-1901.01</v>
      </c>
      <c r="C50" s="36">
        <v>32000000000528</v>
      </c>
      <c r="D50" s="28" t="str">
        <f>IF(EXACT($C50, ""), "", CONCATENATE(VLOOKUP($C50, [3]DataLookUp!$B$4:$E$4000, 3, FALSE), IF(EXACT(VLOOKUP($C50, [3]DataLookUp!$B$4:$E$4000, 4, FALSE), ""), "", CONCATENATE(" (NIK : ", VLOOKUP($C50, [3]DataLookUp!$B$4:$E$4000, 4, FALSE),")"))))</f>
        <v>Istikaro Fauziah (NIK : 170322960)</v>
      </c>
      <c r="E50" s="28" t="str">
        <f t="shared" ca="1" si="3"/>
        <v>Paid in Advance (IDR) - Istikaro Fauziah (NIK : 170322960)</v>
      </c>
      <c r="F50" s="16" t="b">
        <v>0</v>
      </c>
      <c r="G50" s="31" t="str">
        <f t="shared" ca="1" si="1"/>
        <v>1-1901.01.000043</v>
      </c>
    </row>
    <row r="51" spans="2:7" x14ac:dyDescent="0.2">
      <c r="B51" s="22" t="str">
        <f t="shared" ca="1" si="2"/>
        <v>1-1901.01</v>
      </c>
      <c r="C51" s="36">
        <v>32000000000536</v>
      </c>
      <c r="D51" s="28" t="str">
        <f>IF(EXACT($C51, ""), "", CONCATENATE(VLOOKUP($C51, [3]DataLookUp!$B$4:$E$4000, 3, FALSE), IF(EXACT(VLOOKUP($C51, [3]DataLookUp!$B$4:$E$4000, 4, FALSE), ""), "", CONCATENATE(" (NIK : ", VLOOKUP($C51, [3]DataLookUp!$B$4:$E$4000, 4, FALSE),")"))))</f>
        <v>Restu Dwi Anjayani (NIK : 051023981)</v>
      </c>
      <c r="E51" s="28" t="str">
        <f t="shared" ca="1" si="3"/>
        <v>Paid in Advance (IDR) - Restu Dwi Anjayani (NIK : 051023981)</v>
      </c>
      <c r="F51" s="16" t="b">
        <v>0</v>
      </c>
      <c r="G51" s="31" t="str">
        <f t="shared" ca="1" si="1"/>
        <v>1-1901.01.000044</v>
      </c>
    </row>
    <row r="52" spans="2:7" x14ac:dyDescent="0.2">
      <c r="B52" s="22" t="str">
        <f t="shared" ca="1" si="2"/>
        <v>1-1901.01</v>
      </c>
      <c r="C52" s="36">
        <v>32000000000542</v>
      </c>
      <c r="D52" s="28" t="str">
        <f>IF(EXACT($C52, ""), "", CONCATENATE(VLOOKUP($C52, [3]DataLookUp!$B$4:$E$4000, 3, FALSE), IF(EXACT(VLOOKUP($C52, [3]DataLookUp!$B$4:$E$4000, 4, FALSE), ""), "", CONCATENATE(" (NIK : ", VLOOKUP($C52, [3]DataLookUp!$B$4:$E$4000, 4, FALSE),")"))))</f>
        <v>Wardah Laily Khoiriyah (NIK : 240122958)</v>
      </c>
      <c r="E52" s="28" t="str">
        <f t="shared" ca="1" si="3"/>
        <v>Paid in Advance (IDR) - Wardah Laily Khoiriyah (NIK : 240122958)</v>
      </c>
      <c r="F52" s="16" t="b">
        <v>0</v>
      </c>
      <c r="G52" s="31" t="str">
        <f t="shared" ca="1" si="1"/>
        <v>1-1901.01.000045</v>
      </c>
    </row>
    <row r="53" spans="2:7" x14ac:dyDescent="0.2">
      <c r="B53" s="22" t="str">
        <f t="shared" ca="1" si="2"/>
        <v>1-1901.01</v>
      </c>
      <c r="C53" s="36">
        <v>32000000000545</v>
      </c>
      <c r="D53" s="28" t="str">
        <f>IF(EXACT($C53, ""), "", CONCATENATE(VLOOKUP($C53, [3]DataLookUp!$B$4:$E$4000, 3, FALSE), IF(EXACT(VLOOKUP($C53, [3]DataLookUp!$B$4:$E$4000, 4, FALSE), ""), "", CONCATENATE(" (NIK : ", VLOOKUP($C53, [3]DataLookUp!$B$4:$E$4000, 4, FALSE),")"))))</f>
        <v>Yogi Perbangkara (NIK : 260123977)</v>
      </c>
      <c r="E53" s="28" t="str">
        <f t="shared" ca="1" si="3"/>
        <v>Paid in Advance (IDR) - Yogi Perbangkara (NIK : 260123977)</v>
      </c>
      <c r="F53" s="16" t="b">
        <v>0</v>
      </c>
      <c r="G53" s="31" t="str">
        <f t="shared" ca="1" si="1"/>
        <v>1-1901.01.000046</v>
      </c>
    </row>
    <row r="54" spans="2:7" x14ac:dyDescent="0.2">
      <c r="B54" s="22" t="str">
        <f t="shared" ca="1" si="2"/>
        <v>1-1901.01</v>
      </c>
      <c r="C54" s="36">
        <v>32000000000550</v>
      </c>
      <c r="D54" s="28" t="str">
        <f>IF(EXACT($C54, ""), "", CONCATENATE(VLOOKUP($C54, [3]DataLookUp!$B$4:$E$4000, 3, FALSE), IF(EXACT(VLOOKUP($C54, [3]DataLookUp!$B$4:$E$4000, 4, FALSE), ""), "", CONCATENATE(" (NIK : ", VLOOKUP($C54, [3]DataLookUp!$B$4:$E$4000, 4, FALSE),")"))))</f>
        <v>Dian Tri Rahmawati (NIK : 031022970)</v>
      </c>
      <c r="E54" s="28" t="str">
        <f t="shared" ca="1" si="3"/>
        <v>Paid in Advance (IDR) - Dian Tri Rahmawati (NIK : 031022970)</v>
      </c>
      <c r="F54" s="16" t="b">
        <v>0</v>
      </c>
      <c r="G54" s="31" t="str">
        <f t="shared" ca="1" si="1"/>
        <v>1-1901.01.000047</v>
      </c>
    </row>
    <row r="55" spans="2:7" x14ac:dyDescent="0.2">
      <c r="B55" s="22" t="str">
        <f t="shared" ca="1" si="2"/>
        <v>1-1901.01</v>
      </c>
      <c r="C55" s="36">
        <v>32000000000559</v>
      </c>
      <c r="D55" s="28" t="str">
        <f>IF(EXACT($C55, ""), "", CONCATENATE(VLOOKUP($C55, [3]DataLookUp!$B$4:$E$4000, 3, FALSE), IF(EXACT(VLOOKUP($C55, [3]DataLookUp!$B$4:$E$4000, 4, FALSE), ""), "", CONCATENATE(" (NIK : ", VLOOKUP($C55, [3]DataLookUp!$B$4:$E$4000, 4, FALSE),")"))))</f>
        <v>Adhe Kurniawan (NIK : 010224985)</v>
      </c>
      <c r="E55" s="28" t="str">
        <f t="shared" ca="1" si="3"/>
        <v>Paid in Advance (IDR) - Adhe Kurniawan (NIK : 010224985)</v>
      </c>
      <c r="F55" s="16" t="b">
        <v>0</v>
      </c>
      <c r="G55" s="31" t="str">
        <f t="shared" ca="1" si="1"/>
        <v>1-1901.01.000048</v>
      </c>
    </row>
    <row r="56" spans="2:7" x14ac:dyDescent="0.2">
      <c r="B56" s="22" t="str">
        <f t="shared" ca="1" si="2"/>
        <v>1-1901.01</v>
      </c>
      <c r="C56" s="36">
        <v>32000000000574</v>
      </c>
      <c r="D56" s="28" t="str">
        <f>IF(EXACT($C56, ""), "", CONCATENATE(VLOOKUP($C56, [3]DataLookUp!$B$4:$E$4000, 3, FALSE), IF(EXACT(VLOOKUP($C56, [3]DataLookUp!$B$4:$E$4000, 4, FALSE), ""), "", CONCATENATE(" (NIK : ", VLOOKUP($C56, [3]DataLookUp!$B$4:$E$4000, 4, FALSE),")"))))</f>
        <v>Rahmata Novanisa (NIK : 230924993)</v>
      </c>
      <c r="E56" s="28" t="str">
        <f t="shared" ca="1" si="3"/>
        <v>Paid in Advance (IDR) - Rahmata Novanisa (NIK : 230924993)</v>
      </c>
      <c r="F56" s="16" t="b">
        <v>0</v>
      </c>
      <c r="G56" s="31" t="str">
        <f t="shared" ca="1" si="1"/>
        <v>1-1901.01.000049</v>
      </c>
    </row>
    <row r="57" spans="2:7" x14ac:dyDescent="0.2">
      <c r="B57" s="22" t="str">
        <f t="shared" ca="1" si="2"/>
        <v>1-1901.01</v>
      </c>
      <c r="C57" s="36">
        <v>32000000000579</v>
      </c>
      <c r="D57" s="28" t="str">
        <f>IF(EXACT($C57, ""), "", CONCATENATE(VLOOKUP($C57, [3]DataLookUp!$B$4:$E$4000, 3, FALSE), IF(EXACT(VLOOKUP($C57, [3]DataLookUp!$B$4:$E$4000, 4, FALSE), ""), "", CONCATENATE(" (NIK : ", VLOOKUP($C57, [3]DataLookUp!$B$4:$E$4000, 4, FALSE),")"))))</f>
        <v>Tegar Hersaputra (NIK : 280324989)</v>
      </c>
      <c r="E57" s="28" t="str">
        <f t="shared" ca="1" si="3"/>
        <v>Paid in Advance (IDR) - Tegar Hersaputra (NIK : 280324989)</v>
      </c>
      <c r="F57" s="16" t="b">
        <v>0</v>
      </c>
      <c r="G57" s="31" t="str">
        <f t="shared" ca="1" si="1"/>
        <v>1-1901.01.000050</v>
      </c>
    </row>
    <row r="58" spans="2:7" x14ac:dyDescent="0.2">
      <c r="B58" s="22" t="str">
        <f t="shared" ca="1" si="2"/>
        <v>1-1901.01</v>
      </c>
      <c r="C58" s="36">
        <v>32000000000581</v>
      </c>
      <c r="D58" s="28" t="str">
        <f>IF(EXACT($C58, ""), "", CONCATENATE(VLOOKUP($C58, [3]DataLookUp!$B$4:$E$4000, 3, FALSE), IF(EXACT(VLOOKUP($C58, [3]DataLookUp!$B$4:$E$4000, 4, FALSE), ""), "", CONCATENATE(" (NIK : ", VLOOKUP($C58, [3]DataLookUp!$B$4:$E$4000, 4, FALSE),")"))))</f>
        <v>Wisnu Trenggono Wirayuda (NIK : 150724991)</v>
      </c>
      <c r="E58" s="28" t="str">
        <f t="shared" ca="1" si="3"/>
        <v>Paid in Advance (IDR) - Wisnu Trenggono Wirayuda (NIK : 150724991)</v>
      </c>
      <c r="F58" s="16" t="b">
        <v>0</v>
      </c>
      <c r="G58" s="31" t="str">
        <f t="shared" ca="1" si="1"/>
        <v>1-1901.01.000051</v>
      </c>
    </row>
    <row r="59" spans="2:7" x14ac:dyDescent="0.2">
      <c r="B59" s="22" t="str">
        <f t="shared" ca="1" si="2"/>
        <v>1-1901.01</v>
      </c>
      <c r="C59" s="36">
        <v>32000000000592</v>
      </c>
      <c r="D59" s="28" t="str">
        <f>IF(EXACT($C59, ""), "", CONCATENATE(VLOOKUP($C59, [3]DataLookUp!$B$4:$E$4000, 3, FALSE), IF(EXACT(VLOOKUP($C59, [3]DataLookUp!$B$4:$E$4000, 4, FALSE), ""), "", CONCATENATE(" (NIK : ", VLOOKUP($C59, [3]DataLookUp!$B$4:$E$4000, 4, FALSE),")"))))</f>
        <v>Ahmad Sandi Asyuri (NIK : 181124994)</v>
      </c>
      <c r="E59" s="28" t="str">
        <f t="shared" ca="1" si="3"/>
        <v>Paid in Advance (IDR) - Ahmad Sandi Asyuri (NIK : 181124994)</v>
      </c>
      <c r="F59" s="16" t="b">
        <v>0</v>
      </c>
      <c r="G59" s="31" t="str">
        <f t="shared" ca="1" si="1"/>
        <v>1-1901.01.000052</v>
      </c>
    </row>
    <row r="60" spans="2:7" x14ac:dyDescent="0.2">
      <c r="B60" s="22" t="str">
        <f t="shared" ca="1" si="2"/>
        <v>1-1901.01</v>
      </c>
      <c r="C60" s="36">
        <v>32000000000593</v>
      </c>
      <c r="D60" s="28" t="str">
        <f>IF(EXACT($C60, ""), "", CONCATENATE(VLOOKUP($C60, [3]DataLookUp!$B$4:$E$4000, 3, FALSE), IF(EXACT(VLOOKUP($C60, [3]DataLookUp!$B$4:$E$4000, 4, FALSE), ""), "", CONCATENATE(" (NIK : ", VLOOKUP($C60, [3]DataLookUp!$B$4:$E$4000, 4, FALSE),")"))))</f>
        <v>Andi Mapasoro (NIK : 0403251002)</v>
      </c>
      <c r="E60" s="28" t="str">
        <f t="shared" ca="1" si="3"/>
        <v>Paid in Advance (IDR) - Andi Mapasoro (NIK : 0403251002)</v>
      </c>
      <c r="F60" s="16" t="b">
        <v>0</v>
      </c>
      <c r="G60" s="31" t="str">
        <f t="shared" ca="1" si="1"/>
        <v>1-1901.01.000053</v>
      </c>
    </row>
    <row r="61" spans="2:7" x14ac:dyDescent="0.2">
      <c r="B61" s="22" t="str">
        <f t="shared" ca="1" si="2"/>
        <v>1-1901.01</v>
      </c>
      <c r="C61" s="36">
        <v>32000000000601</v>
      </c>
      <c r="D61" s="28" t="str">
        <f>IF(EXACT($C61, ""), "", CONCATENATE(VLOOKUP($C61, [3]DataLookUp!$B$4:$E$4000, 3, FALSE), IF(EXACT(VLOOKUP($C61, [3]DataLookUp!$B$4:$E$4000, 4, FALSE), ""), "", CONCATENATE(" (NIK : ", VLOOKUP($C61, [3]DataLookUp!$B$4:$E$4000, 4, FALSE),")"))))</f>
        <v>Mochamad Ulul Azmi Wira Utama (NIK : 1206251007)</v>
      </c>
      <c r="E61" s="28" t="str">
        <f t="shared" ca="1" si="3"/>
        <v>Paid in Advance (IDR) - Mochamad Ulul Azmi Wira Utama (NIK : 1206251007)</v>
      </c>
      <c r="F61" s="16" t="b">
        <v>0</v>
      </c>
      <c r="G61" s="31" t="str">
        <f t="shared" ca="1" si="1"/>
        <v>1-1901.01.000054</v>
      </c>
    </row>
    <row r="62" spans="2:7" x14ac:dyDescent="0.2">
      <c r="B62" s="22" t="str">
        <f t="shared" ca="1" si="2"/>
        <v>1-1901.01</v>
      </c>
      <c r="C62" s="36">
        <v>32000000000604</v>
      </c>
      <c r="D62" s="28" t="str">
        <f>IF(EXACT($C62, ""), "", CONCATENATE(VLOOKUP($C62, [3]DataLookUp!$B$4:$E$4000, 3, FALSE), IF(EXACT(VLOOKUP($C62, [3]DataLookUp!$B$4:$E$4000, 4, FALSE), ""), "", CONCATENATE(" (NIK : ", VLOOKUP($C62, [3]DataLookUp!$B$4:$E$4000, 4, FALSE),")"))))</f>
        <v>Muhammad Rizal (NIK : 230125998)</v>
      </c>
      <c r="E62" s="28" t="str">
        <f t="shared" ca="1" si="3"/>
        <v>Paid in Advance (IDR) - Muhammad Rizal (NIK : 230125998)</v>
      </c>
      <c r="F62" s="16" t="b">
        <v>0</v>
      </c>
      <c r="G62" s="31" t="str">
        <f t="shared" ca="1" si="1"/>
        <v>1-1901.01.000055</v>
      </c>
    </row>
    <row r="63" spans="2:7" x14ac:dyDescent="0.2">
      <c r="B63" s="22" t="str">
        <f t="shared" ca="1" si="2"/>
        <v>1-1901.01</v>
      </c>
      <c r="C63" s="36">
        <v>32000000000605</v>
      </c>
      <c r="D63" s="28" t="str">
        <f>IF(EXACT($C63, ""), "", CONCATENATE(VLOOKUP($C63, [3]DataLookUp!$B$4:$E$4000, 3, FALSE), IF(EXACT(VLOOKUP($C63, [3]DataLookUp!$B$4:$E$4000, 4, FALSE), ""), "", CONCATENATE(" (NIK : ", VLOOKUP($C63, [3]DataLookUp!$B$4:$E$4000, 4, FALSE),")"))))</f>
        <v>Rahmad Dwifar (NIK : 2011251012)</v>
      </c>
      <c r="E63" s="28" t="str">
        <f t="shared" ca="1" si="3"/>
        <v>Paid in Advance (IDR) - Rahmad Dwifar (NIK : 2011251012)</v>
      </c>
      <c r="F63" s="16" t="b">
        <v>0</v>
      </c>
      <c r="G63" s="31" t="str">
        <f t="shared" ca="1" si="1"/>
        <v>1-1901.01.000056</v>
      </c>
    </row>
    <row r="64" spans="2:7" x14ac:dyDescent="0.2">
      <c r="B64" s="22" t="str">
        <f t="shared" ca="1" si="2"/>
        <v>1-1901.01</v>
      </c>
      <c r="C64" s="36">
        <v>32000000000607</v>
      </c>
      <c r="D64" s="28" t="str">
        <f>IF(EXACT($C64, ""), "", CONCATENATE(VLOOKUP($C64, [3]DataLookUp!$B$4:$E$4000, 3, FALSE), IF(EXACT(VLOOKUP($C64, [3]DataLookUp!$B$4:$E$4000, 4, FALSE), ""), "", CONCATENATE(" (NIK : ", VLOOKUP($C64, [3]DataLookUp!$B$4:$E$4000, 4, FALSE),")"))))</f>
        <v>Ridwan Nur Muttaqin (NIK : 0603251003)</v>
      </c>
      <c r="E64" s="28" t="str">
        <f t="shared" ca="1" si="3"/>
        <v>Paid in Advance (IDR) - Ridwan Nur Muttaqin (NIK : 0603251003)</v>
      </c>
      <c r="F64" s="16" t="b">
        <v>0</v>
      </c>
      <c r="G64" s="31" t="str">
        <f t="shared" ca="1" si="1"/>
        <v>1-1901.01.000057</v>
      </c>
    </row>
    <row r="65" spans="2:7" x14ac:dyDescent="0.2">
      <c r="B65" s="22" t="str">
        <f t="shared" ca="1" si="2"/>
        <v>1-1901.01</v>
      </c>
      <c r="C65" s="36">
        <v>32000000000609</v>
      </c>
      <c r="D65" s="28" t="str">
        <f>IF(EXACT($C65, ""), "", CONCATENATE(VLOOKUP($C65, [3]DataLookUp!$B$4:$E$4000, 3, FALSE), IF(EXACT(VLOOKUP($C65, [3]DataLookUp!$B$4:$E$4000, 4, FALSE), ""), "", CONCATENATE(" (NIK : ", VLOOKUP($C65, [3]DataLookUp!$B$4:$E$4000, 4, FALSE),")"))))</f>
        <v>Risty Alawiyah (NIK : 2703251004)</v>
      </c>
      <c r="E65" s="28" t="str">
        <f t="shared" ca="1" si="3"/>
        <v>Paid in Advance (IDR) - Risty Alawiyah (NIK : 2703251004)</v>
      </c>
      <c r="F65" s="16" t="b">
        <v>0</v>
      </c>
      <c r="G65" s="31" t="str">
        <f t="shared" ca="1" si="1"/>
        <v>1-1901.01.000058</v>
      </c>
    </row>
    <row r="66" spans="2:7" x14ac:dyDescent="0.2">
      <c r="B66" s="33"/>
      <c r="C66" s="34"/>
      <c r="D66" s="33"/>
      <c r="E66" s="33"/>
      <c r="F66" s="33"/>
      <c r="G66" s="35"/>
    </row>
  </sheetData>
  <mergeCells count="2">
    <mergeCell ref="B2:F2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SEED</vt:lpstr>
      <vt:lpstr>SEED 1-1101.01</vt:lpstr>
      <vt:lpstr>SEED 1-1102.01</vt:lpstr>
      <vt:lpstr>SEED 1-1102.02</vt:lpstr>
      <vt:lpstr>SEED 1-1700.01</vt:lpstr>
      <vt:lpstr>SEED 1-1901.01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2026-08-24T09:48:09Z</dcterms:modified>
</cp:coreProperties>
</file>