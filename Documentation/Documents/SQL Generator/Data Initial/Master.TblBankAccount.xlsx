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585"/>
  </bookViews>
  <sheets>
    <sheet name="SEED" sheetId="3" r:id="rId1"/>
    <sheet name="DataLookUp" sheetId="8" r:id="rId2"/>
    <sheet name="Sheet2" sheetId="7" r:id="rId3"/>
    <sheet name="Sheet4" sheetId="6" r:id="rId4"/>
    <sheet name="Sheet1" sheetId="2" r:id="rId5"/>
  </sheets>
  <externalReferences>
    <externalReference r:id="rId6"/>
    <externalReference r:id="rId7"/>
    <externalReference r:id="rId8"/>
    <externalReference r:id="rId9"/>
  </externalReferences>
  <calcPr calcId="152511"/>
</workbook>
</file>

<file path=xl/calcChain.xml><?xml version="1.0" encoding="utf-8"?>
<calcChain xmlns="http://schemas.openxmlformats.org/spreadsheetml/2006/main">
  <c r="N133" i="3" l="1"/>
  <c r="N60" i="3"/>
  <c r="N134" i="3"/>
  <c r="N151" i="3"/>
  <c r="N152" i="3"/>
  <c r="N153" i="3"/>
  <c r="N154" i="3"/>
  <c r="N155" i="3"/>
  <c r="N158" i="3"/>
  <c r="N159" i="3"/>
  <c r="N160" i="3"/>
  <c r="N161" i="3"/>
  <c r="N162" i="3"/>
  <c r="N163" i="3"/>
  <c r="N164" i="3"/>
  <c r="N165" i="3"/>
  <c r="N166" i="3"/>
  <c r="N169" i="3"/>
  <c r="N170" i="3"/>
  <c r="N171" i="3"/>
  <c r="N173" i="3"/>
  <c r="N175" i="3"/>
  <c r="N176" i="3"/>
  <c r="N177" i="3"/>
  <c r="N178" i="3"/>
  <c r="N179" i="3"/>
  <c r="N180" i="3"/>
  <c r="N182" i="3"/>
  <c r="N183" i="3"/>
  <c r="N184" i="3"/>
  <c r="N187" i="3"/>
  <c r="N190" i="3"/>
  <c r="N191" i="3"/>
  <c r="N192" i="3"/>
  <c r="N193" i="3"/>
  <c r="N195" i="3"/>
  <c r="N196" i="3"/>
  <c r="N199" i="3"/>
  <c r="N201" i="3"/>
  <c r="N208" i="3"/>
  <c r="N209" i="3"/>
  <c r="B209" i="8"/>
  <c r="C209" i="8"/>
  <c r="D209" i="8"/>
  <c r="E209" i="8"/>
  <c r="B210" i="8"/>
  <c r="C210" i="8"/>
  <c r="D210" i="8"/>
  <c r="E210" i="8"/>
  <c r="B211" i="8"/>
  <c r="C211" i="8"/>
  <c r="D211" i="8"/>
  <c r="E211" i="8"/>
  <c r="B212" i="8"/>
  <c r="C212" i="8"/>
  <c r="D212" i="8"/>
  <c r="E212" i="8"/>
  <c r="B213" i="8"/>
  <c r="C213" i="8"/>
  <c r="D213" i="8"/>
  <c r="E213" i="8"/>
  <c r="B214" i="8"/>
  <c r="C214" i="8"/>
  <c r="D214" i="8"/>
  <c r="E214" i="8"/>
  <c r="B215" i="8"/>
  <c r="C215" i="8"/>
  <c r="D215" i="8"/>
  <c r="E215" i="8"/>
  <c r="B216" i="8"/>
  <c r="C216" i="8"/>
  <c r="D216" i="8"/>
  <c r="E216" i="8"/>
  <c r="B217" i="8"/>
  <c r="C217" i="8"/>
  <c r="D217" i="8"/>
  <c r="E217" i="8"/>
  <c r="B218" i="8"/>
  <c r="C218" i="8"/>
  <c r="D218" i="8"/>
  <c r="E218" i="8"/>
  <c r="B219" i="8"/>
  <c r="C219" i="8"/>
  <c r="D219" i="8"/>
  <c r="E219" i="8"/>
  <c r="B220" i="8"/>
  <c r="C220" i="8"/>
  <c r="D220" i="8"/>
  <c r="E220" i="8"/>
  <c r="B221" i="8"/>
  <c r="C221" i="8"/>
  <c r="D221" i="8"/>
  <c r="E221" i="8"/>
  <c r="B222" i="8"/>
  <c r="C222" i="8"/>
  <c r="D222" i="8"/>
  <c r="E222" i="8"/>
  <c r="B223" i="8"/>
  <c r="C223" i="8"/>
  <c r="D223" i="8"/>
  <c r="E223" i="8"/>
  <c r="B224" i="8"/>
  <c r="C224" i="8"/>
  <c r="D224" i="8"/>
  <c r="E224" i="8"/>
  <c r="B225" i="8"/>
  <c r="C225" i="8"/>
  <c r="D225" i="8"/>
  <c r="E225" i="8"/>
  <c r="B226" i="8"/>
  <c r="C226" i="8"/>
  <c r="D226" i="8"/>
  <c r="E226" i="8"/>
  <c r="B227" i="8"/>
  <c r="C227" i="8"/>
  <c r="D227" i="8"/>
  <c r="E227" i="8"/>
  <c r="B228" i="8"/>
  <c r="C228" i="8"/>
  <c r="D228" i="8"/>
  <c r="E228" i="8"/>
  <c r="B229" i="8"/>
  <c r="C229" i="8"/>
  <c r="D229" i="8"/>
  <c r="E229" i="8"/>
  <c r="B230" i="8"/>
  <c r="C230" i="8"/>
  <c r="D230" i="8"/>
  <c r="E230" i="8"/>
  <c r="B231" i="8"/>
  <c r="C231" i="8"/>
  <c r="D231" i="8"/>
  <c r="E231" i="8"/>
  <c r="B232" i="8"/>
  <c r="C232" i="8"/>
  <c r="D232" i="8"/>
  <c r="E232" i="8"/>
  <c r="B233" i="8"/>
  <c r="C233" i="8"/>
  <c r="D233" i="8"/>
  <c r="E233" i="8"/>
  <c r="B234" i="8"/>
  <c r="C234" i="8"/>
  <c r="D234" i="8"/>
  <c r="E234" i="8"/>
  <c r="B235" i="8"/>
  <c r="C235" i="8"/>
  <c r="D235" i="8"/>
  <c r="E235" i="8"/>
  <c r="B236" i="8"/>
  <c r="C236" i="8"/>
  <c r="D236" i="8"/>
  <c r="E236" i="8"/>
  <c r="B237" i="8"/>
  <c r="C237" i="8"/>
  <c r="D237" i="8"/>
  <c r="E237" i="8"/>
  <c r="B238" i="8"/>
  <c r="C238" i="8"/>
  <c r="D238" i="8"/>
  <c r="E238" i="8"/>
  <c r="B239" i="8"/>
  <c r="C239" i="8"/>
  <c r="D239" i="8"/>
  <c r="E239" i="8"/>
  <c r="B240" i="8"/>
  <c r="C240" i="8"/>
  <c r="D240" i="8"/>
  <c r="E240" i="8"/>
  <c r="B241" i="8"/>
  <c r="C241" i="8"/>
  <c r="D241" i="8"/>
  <c r="E241" i="8"/>
  <c r="B242" i="8"/>
  <c r="C242" i="8"/>
  <c r="D242" i="8"/>
  <c r="E242" i="8"/>
  <c r="B243" i="8"/>
  <c r="C243" i="8"/>
  <c r="D243" i="8"/>
  <c r="E243" i="8"/>
  <c r="B244" i="8"/>
  <c r="C244" i="8"/>
  <c r="D244" i="8"/>
  <c r="E244" i="8"/>
  <c r="B245" i="8"/>
  <c r="C245" i="8"/>
  <c r="D245" i="8"/>
  <c r="E245" i="8"/>
  <c r="B246" i="8"/>
  <c r="C246" i="8"/>
  <c r="D246" i="8"/>
  <c r="E246" i="8"/>
  <c r="B247" i="8"/>
  <c r="C247" i="8"/>
  <c r="D247" i="8"/>
  <c r="E247" i="8"/>
  <c r="B248" i="8"/>
  <c r="C248" i="8"/>
  <c r="D248" i="8"/>
  <c r="E248" i="8"/>
  <c r="B249" i="8"/>
  <c r="C249" i="8"/>
  <c r="D249" i="8"/>
  <c r="E249" i="8"/>
  <c r="B250" i="8"/>
  <c r="C250" i="8"/>
  <c r="D250" i="8"/>
  <c r="E250" i="8"/>
  <c r="B251" i="8"/>
  <c r="C251" i="8"/>
  <c r="D251" i="8"/>
  <c r="E251" i="8"/>
  <c r="B252" i="8"/>
  <c r="C252" i="8"/>
  <c r="D252" i="8"/>
  <c r="E252" i="8"/>
  <c r="B253" i="8"/>
  <c r="C253" i="8"/>
  <c r="D253" i="8"/>
  <c r="E253" i="8"/>
  <c r="B254" i="8"/>
  <c r="C254" i="8"/>
  <c r="D254" i="8"/>
  <c r="E254" i="8"/>
  <c r="B255" i="8"/>
  <c r="C255" i="8"/>
  <c r="D255" i="8"/>
  <c r="E255" i="8"/>
  <c r="B256" i="8"/>
  <c r="C256" i="8"/>
  <c r="D256" i="8"/>
  <c r="E256" i="8"/>
  <c r="B257" i="8"/>
  <c r="C257" i="8"/>
  <c r="D257" i="8"/>
  <c r="E257" i="8"/>
  <c r="B258" i="8"/>
  <c r="C258" i="8"/>
  <c r="D258" i="8"/>
  <c r="E258" i="8"/>
  <c r="B259" i="8"/>
  <c r="C259" i="8"/>
  <c r="D259" i="8"/>
  <c r="E259" i="8"/>
  <c r="B260" i="8"/>
  <c r="C260" i="8"/>
  <c r="D260" i="8"/>
  <c r="E260" i="8"/>
  <c r="B261" i="8"/>
  <c r="C261" i="8"/>
  <c r="D261" i="8"/>
  <c r="E261" i="8"/>
  <c r="B262" i="8"/>
  <c r="C262" i="8"/>
  <c r="D262" i="8"/>
  <c r="E262" i="8"/>
  <c r="B263" i="8"/>
  <c r="C263" i="8"/>
  <c r="D263" i="8"/>
  <c r="E263" i="8"/>
  <c r="B264" i="8"/>
  <c r="C264" i="8"/>
  <c r="D264" i="8"/>
  <c r="E264" i="8"/>
  <c r="B265" i="8"/>
  <c r="C265" i="8"/>
  <c r="D265" i="8"/>
  <c r="E265" i="8"/>
  <c r="B266" i="8"/>
  <c r="C266" i="8"/>
  <c r="D266" i="8"/>
  <c r="E266" i="8"/>
  <c r="B267" i="8"/>
  <c r="C267" i="8"/>
  <c r="D267" i="8"/>
  <c r="E267" i="8"/>
  <c r="B268" i="8"/>
  <c r="C268" i="8"/>
  <c r="D268" i="8"/>
  <c r="E268" i="8"/>
  <c r="B269" i="8"/>
  <c r="C269" i="8"/>
  <c r="D269" i="8"/>
  <c r="E269" i="8"/>
  <c r="B270" i="8"/>
  <c r="C270" i="8"/>
  <c r="D270" i="8"/>
  <c r="E270" i="8"/>
  <c r="B271" i="8"/>
  <c r="C271" i="8"/>
  <c r="D271" i="8"/>
  <c r="E271" i="8"/>
  <c r="B272" i="8"/>
  <c r="C272" i="8"/>
  <c r="D272" i="8"/>
  <c r="E272" i="8"/>
  <c r="B273" i="8"/>
  <c r="C273" i="8"/>
  <c r="D273" i="8"/>
  <c r="E273" i="8"/>
  <c r="B274" i="8"/>
  <c r="C274" i="8"/>
  <c r="D274" i="8"/>
  <c r="E274" i="8"/>
  <c r="B275" i="8"/>
  <c r="C275" i="8"/>
  <c r="D275" i="8"/>
  <c r="E275" i="8"/>
  <c r="B276" i="8"/>
  <c r="C276" i="8"/>
  <c r="D276" i="8"/>
  <c r="E276" i="8"/>
  <c r="B277" i="8"/>
  <c r="C277" i="8"/>
  <c r="D277" i="8"/>
  <c r="E277" i="8"/>
  <c r="B278" i="8"/>
  <c r="C278" i="8"/>
  <c r="D278" i="8"/>
  <c r="E278" i="8"/>
  <c r="B279" i="8"/>
  <c r="C279" i="8"/>
  <c r="D279" i="8"/>
  <c r="E279" i="8"/>
  <c r="B280" i="8"/>
  <c r="C280" i="8"/>
  <c r="D280" i="8"/>
  <c r="E280" i="8"/>
  <c r="B281" i="8"/>
  <c r="C281" i="8"/>
  <c r="D281" i="8"/>
  <c r="E281" i="8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158" i="3"/>
  <c r="D158" i="3"/>
  <c r="F158" i="3"/>
  <c r="C159" i="3"/>
  <c r="D159" i="3"/>
  <c r="F159" i="3"/>
  <c r="F160" i="3"/>
  <c r="F161" i="3"/>
  <c r="F162" i="3"/>
  <c r="F163" i="3"/>
  <c r="F164" i="3"/>
  <c r="F165" i="3"/>
  <c r="F166" i="3"/>
  <c r="F167" i="3"/>
  <c r="N167" i="3" s="1"/>
  <c r="F168" i="3"/>
  <c r="N168" i="3" s="1"/>
  <c r="F169" i="3"/>
  <c r="F170" i="3"/>
  <c r="F171" i="3"/>
  <c r="F172" i="3"/>
  <c r="N172" i="3" s="1"/>
  <c r="F173" i="3"/>
  <c r="F174" i="3"/>
  <c r="N174" i="3" s="1"/>
  <c r="F175" i="3"/>
  <c r="F176" i="3"/>
  <c r="F177" i="3"/>
  <c r="F178" i="3"/>
  <c r="F179" i="3"/>
  <c r="F180" i="3"/>
  <c r="F181" i="3"/>
  <c r="N181" i="3" s="1"/>
  <c r="F182" i="3"/>
  <c r="F183" i="3"/>
  <c r="F184" i="3"/>
  <c r="F185" i="3"/>
  <c r="N185" i="3" s="1"/>
  <c r="F186" i="3"/>
  <c r="N186" i="3" s="1"/>
  <c r="F187" i="3"/>
  <c r="F188" i="3"/>
  <c r="N188" i="3" s="1"/>
  <c r="F189" i="3"/>
  <c r="N189" i="3" s="1"/>
  <c r="F190" i="3"/>
  <c r="F191" i="3"/>
  <c r="F192" i="3"/>
  <c r="F193" i="3"/>
  <c r="F194" i="3"/>
  <c r="N194" i="3" s="1"/>
  <c r="F195" i="3"/>
  <c r="F196" i="3"/>
  <c r="F197" i="3"/>
  <c r="N197" i="3" s="1"/>
  <c r="F198" i="3"/>
  <c r="N198" i="3" s="1"/>
  <c r="F199" i="3"/>
  <c r="F200" i="3"/>
  <c r="N200" i="3" s="1"/>
  <c r="F201" i="3"/>
  <c r="F202" i="3"/>
  <c r="N202" i="3" s="1"/>
  <c r="F203" i="3"/>
  <c r="N203" i="3" s="1"/>
  <c r="C157" i="3"/>
  <c r="D157" i="3"/>
  <c r="F157" i="3"/>
  <c r="N157" i="3" s="1"/>
  <c r="F63" i="3" l="1"/>
  <c r="N63" i="3" s="1"/>
  <c r="F64" i="3"/>
  <c r="N64" i="3" s="1"/>
  <c r="F65" i="3"/>
  <c r="N65" i="3" s="1"/>
  <c r="F66" i="3"/>
  <c r="N66" i="3" s="1"/>
  <c r="F67" i="3"/>
  <c r="N67" i="3" s="1"/>
  <c r="F68" i="3"/>
  <c r="N68" i="3" s="1"/>
  <c r="F69" i="3"/>
  <c r="N69" i="3" s="1"/>
  <c r="F70" i="3"/>
  <c r="N70" i="3" s="1"/>
  <c r="F71" i="3"/>
  <c r="N71" i="3" s="1"/>
  <c r="F72" i="3"/>
  <c r="N72" i="3" s="1"/>
  <c r="F73" i="3"/>
  <c r="N73" i="3" s="1"/>
  <c r="F74" i="3"/>
  <c r="N74" i="3" s="1"/>
  <c r="F75" i="3"/>
  <c r="N75" i="3" s="1"/>
  <c r="F76" i="3"/>
  <c r="N76" i="3" s="1"/>
  <c r="F77" i="3"/>
  <c r="N77" i="3" s="1"/>
  <c r="F78" i="3"/>
  <c r="N78" i="3" s="1"/>
  <c r="F79" i="3"/>
  <c r="N79" i="3" s="1"/>
  <c r="F80" i="3"/>
  <c r="N80" i="3" s="1"/>
  <c r="F81" i="3"/>
  <c r="N81" i="3" s="1"/>
  <c r="F82" i="3"/>
  <c r="N82" i="3" s="1"/>
  <c r="F83" i="3"/>
  <c r="N83" i="3" s="1"/>
  <c r="F84" i="3"/>
  <c r="N84" i="3" s="1"/>
  <c r="F85" i="3"/>
  <c r="N85" i="3" s="1"/>
  <c r="F86" i="3"/>
  <c r="N86" i="3" s="1"/>
  <c r="F87" i="3"/>
  <c r="N87" i="3" s="1"/>
  <c r="F88" i="3"/>
  <c r="N88" i="3" s="1"/>
  <c r="F89" i="3"/>
  <c r="N89" i="3" s="1"/>
  <c r="F90" i="3"/>
  <c r="N90" i="3" s="1"/>
  <c r="F91" i="3"/>
  <c r="N91" i="3" s="1"/>
  <c r="F92" i="3"/>
  <c r="N92" i="3" s="1"/>
  <c r="F93" i="3"/>
  <c r="N93" i="3" s="1"/>
  <c r="F94" i="3"/>
  <c r="N94" i="3" s="1"/>
  <c r="F95" i="3"/>
  <c r="N95" i="3" s="1"/>
  <c r="F96" i="3"/>
  <c r="N96" i="3" s="1"/>
  <c r="F97" i="3"/>
  <c r="N97" i="3" s="1"/>
  <c r="F98" i="3"/>
  <c r="N98" i="3" s="1"/>
  <c r="F99" i="3"/>
  <c r="N99" i="3" s="1"/>
  <c r="F100" i="3"/>
  <c r="N100" i="3" s="1"/>
  <c r="F101" i="3"/>
  <c r="N101" i="3" s="1"/>
  <c r="F102" i="3"/>
  <c r="N102" i="3" s="1"/>
  <c r="F103" i="3"/>
  <c r="N103" i="3" s="1"/>
  <c r="F104" i="3"/>
  <c r="N104" i="3" s="1"/>
  <c r="F105" i="3"/>
  <c r="N105" i="3" s="1"/>
  <c r="F106" i="3"/>
  <c r="N106" i="3" s="1"/>
  <c r="F107" i="3"/>
  <c r="N107" i="3" s="1"/>
  <c r="F108" i="3"/>
  <c r="N108" i="3" s="1"/>
  <c r="F109" i="3"/>
  <c r="N109" i="3" s="1"/>
  <c r="F110" i="3"/>
  <c r="N110" i="3" s="1"/>
  <c r="F111" i="3"/>
  <c r="N111" i="3" s="1"/>
  <c r="F112" i="3"/>
  <c r="N112" i="3" s="1"/>
  <c r="F113" i="3"/>
  <c r="N113" i="3" s="1"/>
  <c r="F114" i="3"/>
  <c r="N114" i="3" s="1"/>
  <c r="F115" i="3"/>
  <c r="N115" i="3" s="1"/>
  <c r="F116" i="3"/>
  <c r="N116" i="3" s="1"/>
  <c r="F117" i="3"/>
  <c r="N117" i="3" s="1"/>
  <c r="F118" i="3"/>
  <c r="N118" i="3" s="1"/>
  <c r="F119" i="3"/>
  <c r="N119" i="3" s="1"/>
  <c r="F120" i="3"/>
  <c r="N120" i="3" s="1"/>
  <c r="F121" i="3"/>
  <c r="N121" i="3" s="1"/>
  <c r="F122" i="3"/>
  <c r="N122" i="3" s="1"/>
  <c r="F123" i="3"/>
  <c r="N123" i="3" s="1"/>
  <c r="F124" i="3"/>
  <c r="N124" i="3" s="1"/>
  <c r="F125" i="3"/>
  <c r="N125" i="3" s="1"/>
  <c r="F126" i="3"/>
  <c r="N126" i="3" s="1"/>
  <c r="F127" i="3"/>
  <c r="N127" i="3" s="1"/>
  <c r="F128" i="3"/>
  <c r="N128" i="3" s="1"/>
  <c r="F129" i="3"/>
  <c r="N129" i="3" s="1"/>
  <c r="F130" i="3"/>
  <c r="N130" i="3" s="1"/>
  <c r="F131" i="3"/>
  <c r="N131" i="3" s="1"/>
  <c r="F132" i="3"/>
  <c r="N132" i="3" s="1"/>
  <c r="F133" i="3"/>
  <c r="F134" i="3"/>
  <c r="F135" i="3"/>
  <c r="N135" i="3" s="1"/>
  <c r="F136" i="3"/>
  <c r="N136" i="3" s="1"/>
  <c r="F137" i="3"/>
  <c r="N137" i="3" s="1"/>
  <c r="F138" i="3"/>
  <c r="N138" i="3" s="1"/>
  <c r="F139" i="3"/>
  <c r="N139" i="3" s="1"/>
  <c r="F140" i="3"/>
  <c r="N140" i="3" s="1"/>
  <c r="F141" i="3"/>
  <c r="N141" i="3" s="1"/>
  <c r="F142" i="3"/>
  <c r="N142" i="3" s="1"/>
  <c r="F143" i="3"/>
  <c r="N143" i="3" s="1"/>
  <c r="F144" i="3"/>
  <c r="N144" i="3" s="1"/>
  <c r="F145" i="3"/>
  <c r="N145" i="3" s="1"/>
  <c r="F146" i="3"/>
  <c r="N146" i="3" s="1"/>
  <c r="F147" i="3"/>
  <c r="N147" i="3" s="1"/>
  <c r="F148" i="3"/>
  <c r="N148" i="3" s="1"/>
  <c r="F149" i="3"/>
  <c r="N149" i="3" s="1"/>
  <c r="F150" i="3"/>
  <c r="N150" i="3" s="1"/>
  <c r="F151" i="3"/>
  <c r="F152" i="3"/>
  <c r="F153" i="3"/>
  <c r="F154" i="3"/>
  <c r="F155" i="3"/>
  <c r="F156" i="3"/>
  <c r="N156" i="3" s="1"/>
  <c r="F204" i="3"/>
  <c r="N204" i="3" s="1"/>
  <c r="F205" i="3"/>
  <c r="N205" i="3" s="1"/>
  <c r="F206" i="3"/>
  <c r="N206" i="3" s="1"/>
  <c r="F207" i="3"/>
  <c r="N207" i="3" s="1"/>
  <c r="F208" i="3"/>
  <c r="F62" i="3"/>
  <c r="N62" i="3" s="1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C156" i="3"/>
  <c r="C149" i="3"/>
  <c r="C150" i="3"/>
  <c r="C151" i="3"/>
  <c r="C152" i="3"/>
  <c r="C153" i="3"/>
  <c r="C154" i="3"/>
  <c r="C155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F59" i="3" l="1"/>
  <c r="N59" i="3" s="1"/>
  <c r="F58" i="3"/>
  <c r="N58" i="3" s="1"/>
  <c r="F57" i="3"/>
  <c r="N57" i="3" s="1"/>
  <c r="F56" i="3"/>
  <c r="N56" i="3" s="1"/>
  <c r="F55" i="3"/>
  <c r="N55" i="3" s="1"/>
  <c r="F54" i="3"/>
  <c r="N54" i="3" s="1"/>
  <c r="F53" i="3"/>
  <c r="N53" i="3" s="1"/>
  <c r="B60" i="8" l="1"/>
  <c r="E60" i="8" s="1"/>
  <c r="D62" i="3" l="1"/>
  <c r="D61" i="3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F61" i="3" l="1"/>
  <c r="N61" i="3" s="1"/>
  <c r="F6" i="3" l="1"/>
  <c r="N6" i="3" s="1"/>
  <c r="F7" i="3"/>
  <c r="N7" i="3" s="1"/>
  <c r="F8" i="3"/>
  <c r="N8" i="3" s="1"/>
  <c r="F9" i="3"/>
  <c r="N9" i="3" s="1"/>
  <c r="F10" i="3"/>
  <c r="N10" i="3" s="1"/>
  <c r="F11" i="3"/>
  <c r="N11" i="3" s="1"/>
  <c r="F12" i="3"/>
  <c r="N12" i="3" s="1"/>
  <c r="F13" i="3"/>
  <c r="N13" i="3" s="1"/>
  <c r="F14" i="3"/>
  <c r="N14" i="3" s="1"/>
  <c r="F15" i="3"/>
  <c r="N15" i="3" s="1"/>
  <c r="F16" i="3"/>
  <c r="N16" i="3" s="1"/>
  <c r="F17" i="3"/>
  <c r="N17" i="3" s="1"/>
  <c r="F18" i="3"/>
  <c r="N18" i="3" s="1"/>
  <c r="F19" i="3"/>
  <c r="N19" i="3" s="1"/>
  <c r="F20" i="3"/>
  <c r="N20" i="3" s="1"/>
  <c r="F21" i="3"/>
  <c r="N21" i="3" s="1"/>
  <c r="F22" i="3"/>
  <c r="N22" i="3" s="1"/>
  <c r="F23" i="3"/>
  <c r="N23" i="3" s="1"/>
  <c r="F24" i="3"/>
  <c r="N24" i="3" s="1"/>
  <c r="F25" i="3"/>
  <c r="N25" i="3" s="1"/>
  <c r="F26" i="3"/>
  <c r="N26" i="3" s="1"/>
  <c r="F27" i="3"/>
  <c r="N27" i="3" s="1"/>
  <c r="F28" i="3"/>
  <c r="N28" i="3" s="1"/>
  <c r="F29" i="3"/>
  <c r="N29" i="3" s="1"/>
  <c r="F30" i="3"/>
  <c r="N30" i="3" s="1"/>
  <c r="F31" i="3"/>
  <c r="N31" i="3" s="1"/>
  <c r="F32" i="3"/>
  <c r="N32" i="3" s="1"/>
  <c r="F33" i="3"/>
  <c r="N33" i="3" s="1"/>
  <c r="F34" i="3"/>
  <c r="N34" i="3" s="1"/>
  <c r="F35" i="3"/>
  <c r="N35" i="3" s="1"/>
  <c r="F36" i="3"/>
  <c r="N36" i="3" s="1"/>
  <c r="F37" i="3"/>
  <c r="N37" i="3" s="1"/>
  <c r="F38" i="3"/>
  <c r="N38" i="3" s="1"/>
  <c r="F39" i="3"/>
  <c r="N39" i="3" s="1"/>
  <c r="F40" i="3"/>
  <c r="N40" i="3" s="1"/>
  <c r="F41" i="3"/>
  <c r="N41" i="3" s="1"/>
  <c r="F42" i="3"/>
  <c r="N42" i="3" s="1"/>
  <c r="F43" i="3"/>
  <c r="N43" i="3" s="1"/>
  <c r="F44" i="3"/>
  <c r="N44" i="3" s="1"/>
  <c r="F45" i="3"/>
  <c r="N45" i="3" s="1"/>
  <c r="F46" i="3"/>
  <c r="N46" i="3" s="1"/>
  <c r="F47" i="3"/>
  <c r="N47" i="3" s="1"/>
  <c r="F48" i="3"/>
  <c r="N48" i="3" s="1"/>
  <c r="F49" i="3"/>
  <c r="N49" i="3" s="1"/>
  <c r="F50" i="3"/>
  <c r="N50" i="3" s="1"/>
  <c r="F51" i="3"/>
  <c r="N51" i="3" s="1"/>
  <c r="F52" i="3"/>
  <c r="N52" i="3" s="1"/>
  <c r="F5" i="3"/>
  <c r="N5" i="3" s="1"/>
  <c r="F4" i="3"/>
  <c r="N4" i="3" s="1"/>
  <c r="M4" i="3" l="1"/>
  <c r="B4" i="8" l="1"/>
  <c r="C4" i="8"/>
  <c r="M5" i="3"/>
  <c r="B5" i="8" l="1"/>
  <c r="E5" i="8" s="1"/>
  <c r="M6" i="3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E4" i="8"/>
  <c r="D4" i="8"/>
  <c r="B6" i="8"/>
  <c r="M60" i="3" l="1"/>
  <c r="M61" i="3" s="1"/>
  <c r="M62" i="3" s="1"/>
  <c r="M63" i="3" s="1"/>
  <c r="M64" i="3" s="1"/>
  <c r="B64" i="8" s="1"/>
  <c r="E6" i="8"/>
  <c r="C5" i="8"/>
  <c r="D5" i="8"/>
  <c r="B7" i="8"/>
  <c r="E7" i="8" s="1"/>
  <c r="H138" i="3"/>
  <c r="C64" i="8" l="1"/>
  <c r="D64" i="8"/>
  <c r="E64" i="8"/>
  <c r="M65" i="3"/>
  <c r="B65" i="8" s="1"/>
  <c r="C6" i="8"/>
  <c r="D6" i="8"/>
  <c r="B8" i="8"/>
  <c r="E8" i="8" s="1"/>
  <c r="C61" i="3"/>
  <c r="C62" i="3"/>
  <c r="C65" i="8" l="1"/>
  <c r="D65" i="8"/>
  <c r="E65" i="8"/>
  <c r="M66" i="3"/>
  <c r="B66" i="8" s="1"/>
  <c r="C7" i="8"/>
  <c r="D7" i="8"/>
  <c r="B9" i="8"/>
  <c r="E9" i="8" s="1"/>
  <c r="C66" i="8" l="1"/>
  <c r="D66" i="8"/>
  <c r="E66" i="8"/>
  <c r="M67" i="3"/>
  <c r="B67" i="8" s="1"/>
  <c r="C8" i="8"/>
  <c r="D8" i="8"/>
  <c r="B10" i="8"/>
  <c r="E10" i="8" s="1"/>
  <c r="C67" i="8" l="1"/>
  <c r="D67" i="8"/>
  <c r="E67" i="8"/>
  <c r="M68" i="3"/>
  <c r="B68" i="8" s="1"/>
  <c r="C9" i="8"/>
  <c r="D9" i="8"/>
  <c r="B11" i="8"/>
  <c r="E11" i="8" s="1"/>
  <c r="C68" i="8" l="1"/>
  <c r="D68" i="8"/>
  <c r="E68" i="8"/>
  <c r="M69" i="3"/>
  <c r="B69" i="8" s="1"/>
  <c r="C10" i="8"/>
  <c r="D10" i="8"/>
  <c r="B12" i="8"/>
  <c r="E12" i="8" s="1"/>
  <c r="C69" i="8" l="1"/>
  <c r="D69" i="8"/>
  <c r="E69" i="8"/>
  <c r="M70" i="3"/>
  <c r="B70" i="8" s="1"/>
  <c r="C11" i="8"/>
  <c r="D11" i="8"/>
  <c r="B13" i="8"/>
  <c r="E13" i="8" s="1"/>
  <c r="C70" i="8" l="1"/>
  <c r="D70" i="8"/>
  <c r="E70" i="8"/>
  <c r="M71" i="3"/>
  <c r="B71" i="8" s="1"/>
  <c r="C12" i="8"/>
  <c r="D12" i="8"/>
  <c r="B14" i="8"/>
  <c r="E14" i="8" s="1"/>
  <c r="C71" i="8" l="1"/>
  <c r="D71" i="8"/>
  <c r="E71" i="8"/>
  <c r="M72" i="3"/>
  <c r="B72" i="8" s="1"/>
  <c r="C13" i="8"/>
  <c r="D13" i="8"/>
  <c r="B15" i="8"/>
  <c r="E15" i="8" s="1"/>
  <c r="C72" i="8" l="1"/>
  <c r="D72" i="8"/>
  <c r="E72" i="8"/>
  <c r="M73" i="3"/>
  <c r="B73" i="8" s="1"/>
  <c r="C14" i="8"/>
  <c r="D14" i="8"/>
  <c r="B16" i="8"/>
  <c r="E16" i="8" s="1"/>
  <c r="C73" i="8" l="1"/>
  <c r="D73" i="8"/>
  <c r="E73" i="8"/>
  <c r="M74" i="3"/>
  <c r="B74" i="8" s="1"/>
  <c r="C15" i="8"/>
  <c r="D15" i="8"/>
  <c r="B17" i="8"/>
  <c r="E17" i="8" s="1"/>
  <c r="C74" i="8" l="1"/>
  <c r="D74" i="8"/>
  <c r="E74" i="8"/>
  <c r="M75" i="3"/>
  <c r="B75" i="8" s="1"/>
  <c r="C16" i="8"/>
  <c r="D16" i="8"/>
  <c r="B18" i="8"/>
  <c r="E18" i="8" s="1"/>
  <c r="C75" i="8" l="1"/>
  <c r="D75" i="8"/>
  <c r="E75" i="8"/>
  <c r="M76" i="3"/>
  <c r="B76" i="8" s="1"/>
  <c r="C17" i="8"/>
  <c r="D17" i="8"/>
  <c r="B19" i="8"/>
  <c r="E19" i="8" s="1"/>
  <c r="C76" i="8" l="1"/>
  <c r="D76" i="8"/>
  <c r="E76" i="8"/>
  <c r="M77" i="3"/>
  <c r="B77" i="8" s="1"/>
  <c r="C18" i="8"/>
  <c r="D18" i="8"/>
  <c r="B20" i="8"/>
  <c r="E20" i="8" s="1"/>
  <c r="C77" i="8" l="1"/>
  <c r="D77" i="8"/>
  <c r="E77" i="8"/>
  <c r="M78" i="3"/>
  <c r="B78" i="8" s="1"/>
  <c r="B21" i="8"/>
  <c r="E21" i="8" s="1"/>
  <c r="C19" i="8"/>
  <c r="D19" i="8"/>
  <c r="C78" i="8" l="1"/>
  <c r="D78" i="8"/>
  <c r="E78" i="8"/>
  <c r="M79" i="3"/>
  <c r="B79" i="8" s="1"/>
  <c r="C20" i="8"/>
  <c r="D20" i="8"/>
  <c r="B22" i="8"/>
  <c r="E22" i="8" s="1"/>
  <c r="C79" i="8" l="1"/>
  <c r="D79" i="8"/>
  <c r="E79" i="8"/>
  <c r="M80" i="3"/>
  <c r="B80" i="8" s="1"/>
  <c r="C21" i="8"/>
  <c r="D21" i="8"/>
  <c r="B23" i="8"/>
  <c r="E23" i="8" s="1"/>
  <c r="C80" i="8" l="1"/>
  <c r="D80" i="8"/>
  <c r="E80" i="8"/>
  <c r="M81" i="3"/>
  <c r="B81" i="8" s="1"/>
  <c r="C22" i="8"/>
  <c r="D22" i="8"/>
  <c r="B24" i="8"/>
  <c r="E24" i="8" s="1"/>
  <c r="C81" i="8" l="1"/>
  <c r="D81" i="8"/>
  <c r="E81" i="8"/>
  <c r="M82" i="3"/>
  <c r="B82" i="8" s="1"/>
  <c r="C23" i="8"/>
  <c r="D23" i="8"/>
  <c r="B25" i="8"/>
  <c r="E25" i="8" s="1"/>
  <c r="C82" i="8" l="1"/>
  <c r="D82" i="8"/>
  <c r="E82" i="8"/>
  <c r="M83" i="3"/>
  <c r="B83" i="8" s="1"/>
  <c r="C24" i="8"/>
  <c r="D24" i="8"/>
  <c r="B26" i="8"/>
  <c r="E26" i="8" s="1"/>
  <c r="C83" i="8" l="1"/>
  <c r="D83" i="8"/>
  <c r="E83" i="8"/>
  <c r="M84" i="3"/>
  <c r="B84" i="8" s="1"/>
  <c r="C25" i="8"/>
  <c r="D25" i="8"/>
  <c r="B27" i="8"/>
  <c r="E27" i="8" s="1"/>
  <c r="C84" i="8" l="1"/>
  <c r="D84" i="8"/>
  <c r="E84" i="8"/>
  <c r="M85" i="3"/>
  <c r="B85" i="8" s="1"/>
  <c r="B28" i="8"/>
  <c r="E28" i="8" s="1"/>
  <c r="C26" i="8"/>
  <c r="D26" i="8"/>
  <c r="C85" i="8" l="1"/>
  <c r="D85" i="8"/>
  <c r="E85" i="8"/>
  <c r="M86" i="3"/>
  <c r="B86" i="8" s="1"/>
  <c r="C27" i="8"/>
  <c r="D27" i="8"/>
  <c r="B29" i="8"/>
  <c r="E29" i="8" s="1"/>
  <c r="C86" i="8" l="1"/>
  <c r="D86" i="8"/>
  <c r="E86" i="8"/>
  <c r="M87" i="3"/>
  <c r="B87" i="8" s="1"/>
  <c r="C28" i="8"/>
  <c r="D28" i="8"/>
  <c r="B30" i="8"/>
  <c r="E30" i="8" s="1"/>
  <c r="C87" i="8" l="1"/>
  <c r="D87" i="8"/>
  <c r="E87" i="8"/>
  <c r="M88" i="3"/>
  <c r="B88" i="8" s="1"/>
  <c r="C29" i="8"/>
  <c r="D29" i="8"/>
  <c r="B31" i="8"/>
  <c r="E31" i="8" s="1"/>
  <c r="C88" i="8" l="1"/>
  <c r="D88" i="8"/>
  <c r="E88" i="8"/>
  <c r="M89" i="3"/>
  <c r="B89" i="8" s="1"/>
  <c r="C30" i="8"/>
  <c r="D30" i="8"/>
  <c r="B32" i="8"/>
  <c r="E32" i="8" s="1"/>
  <c r="C89" i="8" l="1"/>
  <c r="D89" i="8"/>
  <c r="E89" i="8"/>
  <c r="M90" i="3"/>
  <c r="B90" i="8" s="1"/>
  <c r="C31" i="8"/>
  <c r="D31" i="8"/>
  <c r="B33" i="8"/>
  <c r="E33" i="8" s="1"/>
  <c r="C90" i="8" l="1"/>
  <c r="D90" i="8"/>
  <c r="E90" i="8"/>
  <c r="M91" i="3"/>
  <c r="B91" i="8" s="1"/>
  <c r="C32" i="8"/>
  <c r="D32" i="8"/>
  <c r="B34" i="8"/>
  <c r="E34" i="8" s="1"/>
  <c r="C91" i="8" l="1"/>
  <c r="D91" i="8"/>
  <c r="E91" i="8"/>
  <c r="M92" i="3"/>
  <c r="B92" i="8" s="1"/>
  <c r="C33" i="8"/>
  <c r="D33" i="8"/>
  <c r="B35" i="8"/>
  <c r="E35" i="8" s="1"/>
  <c r="C92" i="8" l="1"/>
  <c r="D92" i="8"/>
  <c r="E92" i="8"/>
  <c r="M93" i="3"/>
  <c r="B93" i="8" s="1"/>
  <c r="C34" i="8"/>
  <c r="D34" i="8"/>
  <c r="B36" i="8"/>
  <c r="E36" i="8" s="1"/>
  <c r="C93" i="8" l="1"/>
  <c r="D93" i="8"/>
  <c r="E93" i="8"/>
  <c r="M94" i="3"/>
  <c r="B94" i="8" s="1"/>
  <c r="B37" i="8"/>
  <c r="E37" i="8" s="1"/>
  <c r="C35" i="8"/>
  <c r="D35" i="8"/>
  <c r="C94" i="8" l="1"/>
  <c r="D94" i="8"/>
  <c r="E94" i="8"/>
  <c r="M95" i="3"/>
  <c r="B95" i="8" s="1"/>
  <c r="C36" i="8"/>
  <c r="D36" i="8"/>
  <c r="B38" i="8"/>
  <c r="E38" i="8" s="1"/>
  <c r="C95" i="8" l="1"/>
  <c r="D95" i="8"/>
  <c r="E95" i="8"/>
  <c r="M96" i="3"/>
  <c r="B96" i="8" s="1"/>
  <c r="C37" i="8"/>
  <c r="D37" i="8"/>
  <c r="B39" i="8"/>
  <c r="E39" i="8" s="1"/>
  <c r="C96" i="8" l="1"/>
  <c r="D96" i="8"/>
  <c r="E96" i="8"/>
  <c r="M97" i="3"/>
  <c r="B97" i="8" s="1"/>
  <c r="C38" i="8"/>
  <c r="D38" i="8"/>
  <c r="B40" i="8"/>
  <c r="E40" i="8" s="1"/>
  <c r="C97" i="8" l="1"/>
  <c r="D97" i="8"/>
  <c r="E97" i="8"/>
  <c r="M98" i="3"/>
  <c r="B98" i="8" s="1"/>
  <c r="C39" i="8"/>
  <c r="D39" i="8"/>
  <c r="B41" i="8"/>
  <c r="E41" i="8" s="1"/>
  <c r="C98" i="8" l="1"/>
  <c r="D98" i="8"/>
  <c r="E98" i="8"/>
  <c r="M99" i="3"/>
  <c r="B99" i="8" s="1"/>
  <c r="C40" i="8"/>
  <c r="D40" i="8"/>
  <c r="B42" i="8"/>
  <c r="E42" i="8" s="1"/>
  <c r="C99" i="8" l="1"/>
  <c r="D99" i="8"/>
  <c r="E99" i="8"/>
  <c r="M100" i="3"/>
  <c r="B100" i="8" s="1"/>
  <c r="C41" i="8"/>
  <c r="D41" i="8"/>
  <c r="B43" i="8"/>
  <c r="E43" i="8" s="1"/>
  <c r="C100" i="8" l="1"/>
  <c r="D100" i="8"/>
  <c r="E100" i="8"/>
  <c r="M101" i="3"/>
  <c r="B101" i="8" s="1"/>
  <c r="C42" i="8"/>
  <c r="D42" i="8"/>
  <c r="B44" i="8"/>
  <c r="E44" i="8" s="1"/>
  <c r="C101" i="8" l="1"/>
  <c r="D101" i="8"/>
  <c r="E101" i="8"/>
  <c r="M102" i="3"/>
  <c r="B102" i="8" s="1"/>
  <c r="C43" i="8"/>
  <c r="D43" i="8"/>
  <c r="B45" i="8"/>
  <c r="E45" i="8" s="1"/>
  <c r="C102" i="8" l="1"/>
  <c r="D102" i="8"/>
  <c r="E102" i="8"/>
  <c r="M103" i="3"/>
  <c r="B103" i="8" s="1"/>
  <c r="C44" i="8"/>
  <c r="D44" i="8"/>
  <c r="B46" i="8"/>
  <c r="E46" i="8" s="1"/>
  <c r="C103" i="8" l="1"/>
  <c r="D103" i="8"/>
  <c r="E103" i="8"/>
  <c r="M104" i="3"/>
  <c r="B104" i="8" s="1"/>
  <c r="C45" i="8"/>
  <c r="D45" i="8"/>
  <c r="B47" i="8"/>
  <c r="E47" i="8" s="1"/>
  <c r="C104" i="8" l="1"/>
  <c r="D104" i="8"/>
  <c r="E104" i="8"/>
  <c r="M105" i="3"/>
  <c r="B105" i="8" s="1"/>
  <c r="C46" i="8"/>
  <c r="D46" i="8"/>
  <c r="B48" i="8"/>
  <c r="E48" i="8" s="1"/>
  <c r="C105" i="8" l="1"/>
  <c r="D105" i="8"/>
  <c r="E105" i="8"/>
  <c r="M106" i="3"/>
  <c r="B106" i="8" s="1"/>
  <c r="C47" i="8"/>
  <c r="D47" i="8"/>
  <c r="B49" i="8"/>
  <c r="E49" i="8" s="1"/>
  <c r="C106" i="8" l="1"/>
  <c r="D106" i="8"/>
  <c r="E106" i="8"/>
  <c r="M107" i="3"/>
  <c r="B107" i="8" s="1"/>
  <c r="C48" i="8"/>
  <c r="D48" i="8"/>
  <c r="B50" i="8"/>
  <c r="E50" i="8" s="1"/>
  <c r="C107" i="8" l="1"/>
  <c r="D107" i="8"/>
  <c r="E107" i="8"/>
  <c r="M108" i="3"/>
  <c r="B108" i="8" s="1"/>
  <c r="C49" i="8"/>
  <c r="D49" i="8"/>
  <c r="B51" i="8"/>
  <c r="E51" i="8" s="1"/>
  <c r="C108" i="8" l="1"/>
  <c r="D108" i="8"/>
  <c r="E108" i="8"/>
  <c r="M109" i="3"/>
  <c r="B109" i="8" s="1"/>
  <c r="C50" i="8"/>
  <c r="D50" i="8"/>
  <c r="B52" i="8"/>
  <c r="E52" i="8" s="1"/>
  <c r="C109" i="8" l="1"/>
  <c r="D109" i="8"/>
  <c r="E109" i="8"/>
  <c r="M110" i="3"/>
  <c r="B110" i="8" s="1"/>
  <c r="C51" i="8"/>
  <c r="D51" i="8"/>
  <c r="B53" i="8"/>
  <c r="E53" i="8" s="1"/>
  <c r="C110" i="8" l="1"/>
  <c r="D110" i="8"/>
  <c r="E110" i="8"/>
  <c r="M111" i="3"/>
  <c r="B111" i="8" s="1"/>
  <c r="C52" i="8"/>
  <c r="D52" i="8"/>
  <c r="B54" i="8"/>
  <c r="E54" i="8" s="1"/>
  <c r="C111" i="8" l="1"/>
  <c r="D111" i="8"/>
  <c r="E111" i="8"/>
  <c r="M112" i="3"/>
  <c r="B112" i="8" s="1"/>
  <c r="B55" i="8"/>
  <c r="E55" i="8" s="1"/>
  <c r="C53" i="8"/>
  <c r="D53" i="8"/>
  <c r="C112" i="8" l="1"/>
  <c r="D112" i="8"/>
  <c r="E112" i="8"/>
  <c r="M113" i="3"/>
  <c r="B113" i="8" s="1"/>
  <c r="C54" i="8"/>
  <c r="D54" i="8"/>
  <c r="B56" i="8"/>
  <c r="E56" i="8" s="1"/>
  <c r="C113" i="8" l="1"/>
  <c r="D113" i="8"/>
  <c r="E113" i="8"/>
  <c r="M114" i="3"/>
  <c r="B114" i="8" s="1"/>
  <c r="C55" i="8"/>
  <c r="D55" i="8"/>
  <c r="B57" i="8"/>
  <c r="E57" i="8" s="1"/>
  <c r="C114" i="8" l="1"/>
  <c r="D114" i="8"/>
  <c r="E114" i="8"/>
  <c r="M115" i="3"/>
  <c r="B115" i="8" s="1"/>
  <c r="C56" i="8"/>
  <c r="D56" i="8"/>
  <c r="B58" i="8"/>
  <c r="E58" i="8" s="1"/>
  <c r="C115" i="8" l="1"/>
  <c r="D115" i="8"/>
  <c r="E115" i="8"/>
  <c r="M116" i="3"/>
  <c r="B116" i="8" s="1"/>
  <c r="C57" i="8"/>
  <c r="D57" i="8"/>
  <c r="B59" i="8"/>
  <c r="E59" i="8" s="1"/>
  <c r="C116" i="8" l="1"/>
  <c r="D116" i="8"/>
  <c r="E116" i="8"/>
  <c r="M117" i="3"/>
  <c r="B117" i="8" s="1"/>
  <c r="C58" i="8"/>
  <c r="D58" i="8"/>
  <c r="C117" i="8" l="1"/>
  <c r="D117" i="8"/>
  <c r="E117" i="8"/>
  <c r="M118" i="3"/>
  <c r="B118" i="8" s="1"/>
  <c r="C59" i="8"/>
  <c r="D59" i="8"/>
  <c r="B61" i="8"/>
  <c r="E61" i="8" s="1"/>
  <c r="C118" i="8" l="1"/>
  <c r="D118" i="8"/>
  <c r="E118" i="8"/>
  <c r="M119" i="3"/>
  <c r="B119" i="8" s="1"/>
  <c r="C60" i="8"/>
  <c r="D60" i="8"/>
  <c r="B62" i="8"/>
  <c r="E62" i="8" s="1"/>
  <c r="C119" i="8" l="1"/>
  <c r="D119" i="8"/>
  <c r="E119" i="8"/>
  <c r="M120" i="3"/>
  <c r="B120" i="8" s="1"/>
  <c r="C61" i="8"/>
  <c r="D61" i="8"/>
  <c r="B63" i="8"/>
  <c r="E63" i="8" s="1"/>
  <c r="C120" i="8" l="1"/>
  <c r="D120" i="8"/>
  <c r="E120" i="8"/>
  <c r="M121" i="3"/>
  <c r="B121" i="8" s="1"/>
  <c r="C62" i="8"/>
  <c r="D62" i="8"/>
  <c r="C121" i="8" l="1"/>
  <c r="D121" i="8"/>
  <c r="E121" i="8"/>
  <c r="M122" i="3"/>
  <c r="B122" i="8" s="1"/>
  <c r="C63" i="8"/>
  <c r="D63" i="8"/>
  <c r="C122" i="8" l="1"/>
  <c r="D122" i="8"/>
  <c r="E122" i="8"/>
  <c r="M123" i="3"/>
  <c r="B123" i="8" s="1"/>
  <c r="C123" i="8" l="1"/>
  <c r="D123" i="8"/>
  <c r="E123" i="8"/>
  <c r="M124" i="3"/>
  <c r="B124" i="8" s="1"/>
  <c r="C124" i="8" l="1"/>
  <c r="D124" i="8"/>
  <c r="E124" i="8"/>
  <c r="M125" i="3"/>
  <c r="B125" i="8" s="1"/>
  <c r="C125" i="8" l="1"/>
  <c r="D125" i="8"/>
  <c r="E125" i="8"/>
  <c r="M126" i="3"/>
  <c r="B126" i="8" s="1"/>
  <c r="C126" i="8" l="1"/>
  <c r="D126" i="8"/>
  <c r="E126" i="8"/>
  <c r="M127" i="3"/>
  <c r="B127" i="8" s="1"/>
  <c r="C127" i="8" l="1"/>
  <c r="D127" i="8"/>
  <c r="E127" i="8"/>
  <c r="M128" i="3"/>
  <c r="B128" i="8" s="1"/>
  <c r="C128" i="8" l="1"/>
  <c r="D128" i="8"/>
  <c r="E128" i="8"/>
  <c r="M129" i="3"/>
  <c r="B129" i="8" s="1"/>
  <c r="C129" i="8" l="1"/>
  <c r="D129" i="8"/>
  <c r="E129" i="8"/>
  <c r="M130" i="3"/>
  <c r="B130" i="8" s="1"/>
  <c r="C130" i="8" l="1"/>
  <c r="D130" i="8"/>
  <c r="E130" i="8"/>
  <c r="M131" i="3"/>
  <c r="B131" i="8" s="1"/>
  <c r="C131" i="8" l="1"/>
  <c r="D131" i="8"/>
  <c r="E131" i="8"/>
  <c r="M132" i="3"/>
  <c r="B132" i="8" s="1"/>
  <c r="C132" i="8" l="1"/>
  <c r="D132" i="8"/>
  <c r="E132" i="8"/>
  <c r="M133" i="3"/>
  <c r="B133" i="8" s="1"/>
  <c r="C133" i="8" l="1"/>
  <c r="D133" i="8"/>
  <c r="E133" i="8"/>
  <c r="M134" i="3"/>
  <c r="B134" i="8" s="1"/>
  <c r="C134" i="8" l="1"/>
  <c r="D134" i="8"/>
  <c r="E134" i="8"/>
  <c r="M135" i="3"/>
  <c r="B135" i="8" s="1"/>
  <c r="C135" i="8" l="1"/>
  <c r="D135" i="8"/>
  <c r="E135" i="8"/>
  <c r="M136" i="3"/>
  <c r="B136" i="8" s="1"/>
  <c r="C136" i="8" l="1"/>
  <c r="D136" i="8"/>
  <c r="E136" i="8"/>
  <c r="M137" i="3"/>
  <c r="B137" i="8" s="1"/>
  <c r="C137" i="8" l="1"/>
  <c r="D137" i="8"/>
  <c r="E137" i="8"/>
  <c r="M138" i="3"/>
  <c r="B138" i="8" s="1"/>
  <c r="C138" i="8" l="1"/>
  <c r="D138" i="8"/>
  <c r="E138" i="8"/>
  <c r="M139" i="3"/>
  <c r="B139" i="8" s="1"/>
  <c r="C139" i="8" l="1"/>
  <c r="D139" i="8"/>
  <c r="E139" i="8"/>
  <c r="M140" i="3"/>
  <c r="B140" i="8" s="1"/>
  <c r="C140" i="8" l="1"/>
  <c r="D140" i="8"/>
  <c r="E140" i="8"/>
  <c r="M141" i="3"/>
  <c r="B141" i="8" s="1"/>
  <c r="C141" i="8" l="1"/>
  <c r="D141" i="8"/>
  <c r="E141" i="8"/>
  <c r="M142" i="3"/>
  <c r="B142" i="8" s="1"/>
  <c r="C142" i="8" l="1"/>
  <c r="D142" i="8"/>
  <c r="E142" i="8"/>
  <c r="M143" i="3"/>
  <c r="B143" i="8" s="1"/>
  <c r="C143" i="8" l="1"/>
  <c r="D143" i="8"/>
  <c r="E143" i="8"/>
  <c r="M144" i="3"/>
  <c r="B144" i="8" s="1"/>
  <c r="C144" i="8" l="1"/>
  <c r="D144" i="8"/>
  <c r="E144" i="8"/>
  <c r="M145" i="3"/>
  <c r="B145" i="8" s="1"/>
  <c r="C145" i="8" l="1"/>
  <c r="D145" i="8"/>
  <c r="E145" i="8"/>
  <c r="M146" i="3"/>
  <c r="B146" i="8" s="1"/>
  <c r="C146" i="8" l="1"/>
  <c r="D146" i="8"/>
  <c r="E146" i="8"/>
  <c r="M147" i="3"/>
  <c r="B147" i="8" s="1"/>
  <c r="C147" i="8" l="1"/>
  <c r="D147" i="8"/>
  <c r="E147" i="8"/>
  <c r="M148" i="3"/>
  <c r="B148" i="8" s="1"/>
  <c r="C148" i="8" l="1"/>
  <c r="D148" i="8"/>
  <c r="E148" i="8"/>
  <c r="M149" i="3"/>
  <c r="B149" i="8" s="1"/>
  <c r="C149" i="8" l="1"/>
  <c r="D149" i="8"/>
  <c r="E149" i="8"/>
  <c r="M150" i="3"/>
  <c r="B150" i="8" s="1"/>
  <c r="C150" i="8" l="1"/>
  <c r="D150" i="8"/>
  <c r="E150" i="8"/>
  <c r="M151" i="3"/>
  <c r="B151" i="8" s="1"/>
  <c r="C151" i="8" l="1"/>
  <c r="D151" i="8"/>
  <c r="E151" i="8"/>
  <c r="M152" i="3"/>
  <c r="B152" i="8" s="1"/>
  <c r="C152" i="8" l="1"/>
  <c r="D152" i="8"/>
  <c r="E152" i="8"/>
  <c r="M153" i="3"/>
  <c r="B153" i="8" s="1"/>
  <c r="C153" i="8" l="1"/>
  <c r="D153" i="8"/>
  <c r="E153" i="8"/>
  <c r="M154" i="3"/>
  <c r="B154" i="8" s="1"/>
  <c r="C154" i="8" l="1"/>
  <c r="D154" i="8"/>
  <c r="E154" i="8"/>
  <c r="M155" i="3"/>
  <c r="B155" i="8" s="1"/>
  <c r="C155" i="8" l="1"/>
  <c r="D155" i="8"/>
  <c r="E155" i="8"/>
  <c r="M156" i="3"/>
  <c r="B156" i="8" s="1"/>
  <c r="C156" i="8" l="1"/>
  <c r="D156" i="8"/>
  <c r="E156" i="8"/>
  <c r="M157" i="3"/>
  <c r="B157" i="8" s="1"/>
  <c r="C157" i="8" l="1"/>
  <c r="D157" i="8"/>
  <c r="E157" i="8"/>
  <c r="M158" i="3"/>
  <c r="B158" i="8" s="1"/>
  <c r="C158" i="8" l="1"/>
  <c r="D158" i="8"/>
  <c r="E158" i="8"/>
  <c r="M159" i="3"/>
  <c r="B159" i="8" s="1"/>
  <c r="C159" i="8" l="1"/>
  <c r="D159" i="8"/>
  <c r="E159" i="8"/>
  <c r="M160" i="3"/>
  <c r="B160" i="8" s="1"/>
  <c r="C160" i="8" l="1"/>
  <c r="D160" i="8"/>
  <c r="E160" i="8"/>
  <c r="M161" i="3"/>
  <c r="B161" i="8" s="1"/>
  <c r="C161" i="8" l="1"/>
  <c r="D161" i="8"/>
  <c r="E161" i="8"/>
  <c r="M162" i="3"/>
  <c r="B162" i="8" s="1"/>
  <c r="C162" i="8" l="1"/>
  <c r="D162" i="8"/>
  <c r="E162" i="8"/>
  <c r="M163" i="3"/>
  <c r="B163" i="8" s="1"/>
  <c r="C163" i="8" l="1"/>
  <c r="D163" i="8"/>
  <c r="E163" i="8"/>
  <c r="M164" i="3"/>
  <c r="B164" i="8" s="1"/>
  <c r="C164" i="8" l="1"/>
  <c r="D164" i="8"/>
  <c r="E164" i="8"/>
  <c r="M165" i="3"/>
  <c r="B165" i="8" s="1"/>
  <c r="C165" i="8" l="1"/>
  <c r="D165" i="8"/>
  <c r="E165" i="8"/>
  <c r="M166" i="3"/>
  <c r="B166" i="8" s="1"/>
  <c r="C166" i="8" l="1"/>
  <c r="D166" i="8"/>
  <c r="E166" i="8"/>
  <c r="M167" i="3"/>
  <c r="B167" i="8" s="1"/>
  <c r="C167" i="8" l="1"/>
  <c r="D167" i="8"/>
  <c r="E167" i="8"/>
  <c r="M168" i="3"/>
  <c r="B168" i="8" s="1"/>
  <c r="C168" i="8" l="1"/>
  <c r="D168" i="8"/>
  <c r="E168" i="8"/>
  <c r="M169" i="3"/>
  <c r="B169" i="8" s="1"/>
  <c r="C169" i="8" l="1"/>
  <c r="D169" i="8"/>
  <c r="E169" i="8"/>
  <c r="M170" i="3"/>
  <c r="B170" i="8" s="1"/>
  <c r="C170" i="8" l="1"/>
  <c r="D170" i="8"/>
  <c r="E170" i="8"/>
  <c r="M171" i="3"/>
  <c r="B171" i="8" s="1"/>
  <c r="C171" i="8" l="1"/>
  <c r="D171" i="8"/>
  <c r="E171" i="8"/>
  <c r="M172" i="3"/>
  <c r="B172" i="8" s="1"/>
  <c r="C172" i="8" l="1"/>
  <c r="D172" i="8"/>
  <c r="E172" i="8"/>
  <c r="M173" i="3"/>
  <c r="B173" i="8" s="1"/>
  <c r="C173" i="8" l="1"/>
  <c r="D173" i="8"/>
  <c r="E173" i="8"/>
  <c r="M174" i="3"/>
  <c r="B174" i="8" s="1"/>
  <c r="C174" i="8" l="1"/>
  <c r="D174" i="8"/>
  <c r="E174" i="8"/>
  <c r="M175" i="3"/>
  <c r="B175" i="8" s="1"/>
  <c r="C175" i="8" l="1"/>
  <c r="D175" i="8"/>
  <c r="E175" i="8"/>
  <c r="M176" i="3"/>
  <c r="B176" i="8" s="1"/>
  <c r="C176" i="8" l="1"/>
  <c r="D176" i="8"/>
  <c r="E176" i="8"/>
  <c r="M177" i="3"/>
  <c r="B177" i="8" s="1"/>
  <c r="C177" i="8" l="1"/>
  <c r="D177" i="8"/>
  <c r="E177" i="8"/>
  <c r="M178" i="3"/>
  <c r="B178" i="8" s="1"/>
  <c r="C178" i="8" l="1"/>
  <c r="D178" i="8"/>
  <c r="E178" i="8"/>
  <c r="M179" i="3"/>
  <c r="B179" i="8" s="1"/>
  <c r="C179" i="8" l="1"/>
  <c r="D179" i="8"/>
  <c r="E179" i="8"/>
  <c r="M180" i="3"/>
  <c r="B180" i="8" s="1"/>
  <c r="C180" i="8" l="1"/>
  <c r="D180" i="8"/>
  <c r="E180" i="8"/>
  <c r="M181" i="3"/>
  <c r="B181" i="8" s="1"/>
  <c r="C181" i="8" l="1"/>
  <c r="D181" i="8"/>
  <c r="E181" i="8"/>
  <c r="M182" i="3"/>
  <c r="B182" i="8" s="1"/>
  <c r="C182" i="8" l="1"/>
  <c r="D182" i="8"/>
  <c r="E182" i="8"/>
  <c r="M183" i="3"/>
  <c r="B183" i="8" s="1"/>
  <c r="C183" i="8" l="1"/>
  <c r="D183" i="8"/>
  <c r="E183" i="8"/>
  <c r="M184" i="3"/>
  <c r="B184" i="8" s="1"/>
  <c r="C184" i="8" l="1"/>
  <c r="D184" i="8"/>
  <c r="E184" i="8"/>
  <c r="M185" i="3"/>
  <c r="B185" i="8" s="1"/>
  <c r="C185" i="8" l="1"/>
  <c r="D185" i="8"/>
  <c r="E185" i="8"/>
  <c r="M186" i="3"/>
  <c r="B186" i="8" s="1"/>
  <c r="C186" i="8" l="1"/>
  <c r="D186" i="8"/>
  <c r="E186" i="8"/>
  <c r="M187" i="3"/>
  <c r="B187" i="8" s="1"/>
  <c r="C187" i="8" l="1"/>
  <c r="D187" i="8"/>
  <c r="E187" i="8"/>
  <c r="M188" i="3"/>
  <c r="B188" i="8" s="1"/>
  <c r="C188" i="8" l="1"/>
  <c r="D188" i="8"/>
  <c r="E188" i="8"/>
  <c r="M189" i="3"/>
  <c r="B189" i="8" s="1"/>
  <c r="C189" i="8" l="1"/>
  <c r="D189" i="8"/>
  <c r="E189" i="8"/>
  <c r="M190" i="3"/>
  <c r="B190" i="8" s="1"/>
  <c r="C190" i="8" l="1"/>
  <c r="D190" i="8"/>
  <c r="E190" i="8"/>
  <c r="M191" i="3"/>
  <c r="B191" i="8" s="1"/>
  <c r="C191" i="8" l="1"/>
  <c r="D191" i="8"/>
  <c r="E191" i="8"/>
  <c r="M192" i="3"/>
  <c r="B192" i="8" s="1"/>
  <c r="C192" i="8" l="1"/>
  <c r="D192" i="8"/>
  <c r="E192" i="8"/>
  <c r="M193" i="3"/>
  <c r="B193" i="8" s="1"/>
  <c r="C193" i="8" l="1"/>
  <c r="D193" i="8"/>
  <c r="E193" i="8"/>
  <c r="M194" i="3"/>
  <c r="B194" i="8" s="1"/>
  <c r="C194" i="8" l="1"/>
  <c r="D194" i="8"/>
  <c r="E194" i="8"/>
  <c r="M195" i="3"/>
  <c r="B195" i="8" s="1"/>
  <c r="C195" i="8" l="1"/>
  <c r="D195" i="8"/>
  <c r="E195" i="8"/>
  <c r="M196" i="3"/>
  <c r="B196" i="8" s="1"/>
  <c r="C196" i="8" l="1"/>
  <c r="D196" i="8"/>
  <c r="E196" i="8"/>
  <c r="M197" i="3"/>
  <c r="B197" i="8" s="1"/>
  <c r="C197" i="8" l="1"/>
  <c r="D197" i="8"/>
  <c r="E197" i="8"/>
  <c r="M198" i="3"/>
  <c r="B198" i="8" s="1"/>
  <c r="C198" i="8" l="1"/>
  <c r="D198" i="8"/>
  <c r="E198" i="8"/>
  <c r="M199" i="3"/>
  <c r="B199" i="8" s="1"/>
  <c r="C199" i="8" l="1"/>
  <c r="D199" i="8"/>
  <c r="E199" i="8"/>
  <c r="M200" i="3"/>
  <c r="B200" i="8" s="1"/>
  <c r="C200" i="8" l="1"/>
  <c r="D200" i="8"/>
  <c r="E200" i="8"/>
  <c r="M201" i="3"/>
  <c r="B201" i="8" s="1"/>
  <c r="C201" i="8" l="1"/>
  <c r="D201" i="8"/>
  <c r="E201" i="8"/>
  <c r="M202" i="3"/>
  <c r="B202" i="8" s="1"/>
  <c r="C202" i="8" l="1"/>
  <c r="D202" i="8"/>
  <c r="E202" i="8"/>
  <c r="M203" i="3"/>
  <c r="B203" i="8" s="1"/>
  <c r="C203" i="8" l="1"/>
  <c r="D203" i="8"/>
  <c r="E203" i="8"/>
  <c r="M204" i="3"/>
  <c r="B204" i="8" s="1"/>
  <c r="C204" i="8" l="1"/>
  <c r="D204" i="8"/>
  <c r="E204" i="8"/>
  <c r="M205" i="3"/>
  <c r="B205" i="8" s="1"/>
  <c r="C205" i="8" l="1"/>
  <c r="D205" i="8"/>
  <c r="E205" i="8"/>
  <c r="M206" i="3"/>
  <c r="B206" i="8" s="1"/>
  <c r="C206" i="8" l="1"/>
  <c r="D206" i="8"/>
  <c r="E206" i="8"/>
  <c r="M207" i="3"/>
  <c r="B207" i="8" s="1"/>
  <c r="C207" i="8" l="1"/>
  <c r="D207" i="8"/>
  <c r="E207" i="8"/>
  <c r="M208" i="3"/>
  <c r="B208" i="8" s="1"/>
  <c r="C208" i="8" l="1"/>
  <c r="D208" i="8"/>
  <c r="E208" i="8"/>
  <c r="M209" i="3"/>
</calcChain>
</file>

<file path=xl/sharedStrings.xml><?xml version="1.0" encoding="utf-8"?>
<sst xmlns="http://schemas.openxmlformats.org/spreadsheetml/2006/main" count="1633" uniqueCount="458">
  <si>
    <t>0060262641</t>
  </si>
  <si>
    <t xml:space="preserve">           000600313QDCT2801006303291100000007000000493192690.00122022</t>
  </si>
  <si>
    <t xml:space="preserve">00060262641000000537535400210904088 Abd Samad                         </t>
  </si>
  <si>
    <t xml:space="preserve">02040089643000000681586400110422962 Achmad Yunadi                     </t>
  </si>
  <si>
    <t xml:space="preserve">00350780718000001267490900010703020 Agnes Sutedja                     </t>
  </si>
  <si>
    <t xml:space="preserve">06821221339000000513600000311022972 Agus Nuryadi                      </t>
  </si>
  <si>
    <t xml:space="preserve">05750423347000000769750000081019918 Agus Salim                        </t>
  </si>
  <si>
    <t xml:space="preserve">07150306269000000434308100150506222 Ahmad Syaifulloh                  </t>
  </si>
  <si>
    <t xml:space="preserve">02670159496000000675090900191022969 Ahmad Choerul                     </t>
  </si>
  <si>
    <t xml:space="preserve">05520607058000000660853600141020935 Aldi Mulyadi                      </t>
  </si>
  <si>
    <t xml:space="preserve">05520537742000000460771800100419903 Annisa Dewi Arumsari              </t>
  </si>
  <si>
    <t xml:space="preserve">04565061969000000584986400310821955 Anugerah Januariansyah            </t>
  </si>
  <si>
    <t xml:space="preserve">05520579321000000617200000100920934 Belina Lindarwani                 </t>
  </si>
  <si>
    <t xml:space="preserve">01280247568000001054500000060515769 Budianto                          </t>
  </si>
  <si>
    <t xml:space="preserve">02211206120000000728213600031212631 Darsito                           </t>
  </si>
  <si>
    <t xml:space="preserve">02839669733000000449658100171215791 Dedi Rohman                       </t>
  </si>
  <si>
    <t xml:space="preserve">02731371123000000454500000010605133 Dionesius Sostenist Duka          </t>
  </si>
  <si>
    <t xml:space="preserve">00060185646000000471927300040803040 Edi Waluyo                        </t>
  </si>
  <si>
    <t xml:space="preserve">05211078091000000784994500200420932 Eka Bagus Dwi Putra               </t>
  </si>
  <si>
    <t xml:space="preserve">05855178874000000383630900300120926 Eka Purwanti                      </t>
  </si>
  <si>
    <t xml:space="preserve">05750226541000000428558100010806250 Endang Sutrisno                   </t>
  </si>
  <si>
    <t xml:space="preserve">08760378217000000830650000191022968 Ferdian Kriswantoro               </t>
  </si>
  <si>
    <t xml:space="preserve">08200472447000000708872700181114748 Frando Judi Siahaan               </t>
  </si>
  <si>
    <t xml:space="preserve">01281467889000000566440900070806256 Gunawan                           </t>
  </si>
  <si>
    <t xml:space="preserve">03191643869000001019700000070703034 H.T Assubki Ismail                </t>
  </si>
  <si>
    <t xml:space="preserve">05520226500000000981758100191015786 Icha Mailinda                     </t>
  </si>
  <si>
    <t xml:space="preserve">05520464753000000577429100170217825 Ilham                             </t>
  </si>
  <si>
    <t xml:space="preserve">05520696425000000685700000040822965 Irma Maulidawati                  </t>
  </si>
  <si>
    <t xml:space="preserve">07660328771000000417127300150805153 Isa Taufik                        </t>
  </si>
  <si>
    <t xml:space="preserve">04980153300000000479058100170322960 Istikaro Fauziah                  </t>
  </si>
  <si>
    <t xml:space="preserve">05520190068000001530218200040515767 Jimmywal                          </t>
  </si>
  <si>
    <t xml:space="preserve">00060238634000000450671800190803044 Kornelius Sakan                   </t>
  </si>
  <si>
    <t xml:space="preserve">00060202915000000489572700070305123 Kurnia Fitriastuti                </t>
  </si>
  <si>
    <t xml:space="preserve">05520514947000000932500000170918883 Lisma Natalia                     </t>
  </si>
  <si>
    <t xml:space="preserve">07865198493000000429403600160916799 M Fikri Caesarandi Hasibuan       </t>
  </si>
  <si>
    <t xml:space="preserve">05750336223000000427121800010513665 Marthen Tabun                     </t>
  </si>
  <si>
    <t xml:space="preserve">00350189041000000600000000000000001 Masimin                           </t>
  </si>
  <si>
    <t xml:space="preserve">07660282321000001276281800030105116 Mullan Tresna                     </t>
  </si>
  <si>
    <t xml:space="preserve">07000245156000000497890000061106279 Nandang Effendi                   </t>
  </si>
  <si>
    <t xml:space="preserve">08760571998000001213272700070518868 Panca Yudi Baskoro                </t>
  </si>
  <si>
    <t xml:space="preserve">00060098298000000804563600160603011 Pantas Banjarnahor Marbun         </t>
  </si>
  <si>
    <t xml:space="preserve">03831252381000000531827300260115754 Prayanti Dewi Anggraini           </t>
  </si>
  <si>
    <t xml:space="preserve">07660268949000000734350000221110557 Rhino Priawan                     </t>
  </si>
  <si>
    <t xml:space="preserve">02170088924000001566800000260716795 Riza Emir Subekti                 </t>
  </si>
  <si>
    <t xml:space="preserve">05025005331000000144218200161220941 Sakinah Tantriana Lubis           </t>
  </si>
  <si>
    <t xml:space="preserve">05325315714000000936450000141108890 Seftiyan Hadi Maulana             </t>
  </si>
  <si>
    <t xml:space="preserve">02101238654000000980622700130906272 Setiadi                           </t>
  </si>
  <si>
    <t xml:space="preserve">00670059618000000608795500210518874 Sholehah                          </t>
  </si>
  <si>
    <t xml:space="preserve">05750223151000000424376300010507354 Sudarlan                          </t>
  </si>
  <si>
    <t xml:space="preserve">05490332288000000456562700140421948 Sufie Amalia                      </t>
  </si>
  <si>
    <t xml:space="preserve">01280421665000000482000000261219925 Suyanto                           </t>
  </si>
  <si>
    <t xml:space="preserve">07660251671000001156145500010210516 T Marungkil  U.S. Sagala          </t>
  </si>
  <si>
    <t xml:space="preserve">06550289791000001268122700030717839 Teguh Pratama Januzir             </t>
  </si>
  <si>
    <t xml:space="preserve">03751363751000001763490900090818880 Turita Pramuning M                </t>
  </si>
  <si>
    <t xml:space="preserve">05520532155000000972350000040219900 Wahyu Ramadhani                   </t>
  </si>
  <si>
    <t xml:space="preserve">08670430678000000472950000240122958 Wardah Laily Khoiriyah            </t>
  </si>
  <si>
    <t xml:space="preserve">02910590742000000611240000280618877 Wisnu Ardian                      </t>
  </si>
  <si>
    <t xml:space="preserve">06860316941000000560518200180822966 Wulanraniasih                     </t>
  </si>
  <si>
    <t xml:space="preserve">03721127379000000913190900160714734 Yuliandaru Suryoatmodjo           </t>
  </si>
  <si>
    <t xml:space="preserve">05520552261000000673506100090819915 Zainudin Anwar                    </t>
  </si>
  <si>
    <t xml:space="preserve">00011754723000001000000000000000002 Yusarman SH                       </t>
  </si>
  <si>
    <t xml:space="preserve">02821395781000000200000000000000002 Jonhar Aziz                       </t>
  </si>
  <si>
    <t xml:space="preserve">02281429789000000200000000000000002 Wartono                           </t>
  </si>
  <si>
    <t xml:space="preserve">05750622536000000485000000000000002 Santoso Dwi Cahyono               </t>
  </si>
  <si>
    <t xml:space="preserve">04860276548000000543863600000000002 Restu Dwi Anjayani                </t>
  </si>
  <si>
    <t xml:space="preserve">06540386232000000800000000000000002 Oqi Suhaqi Yunus                  </t>
  </si>
  <si>
    <t xml:space="preserve">00670059618000000813000000000000002 Yusuf Fathurahman-sho             </t>
  </si>
  <si>
    <t xml:space="preserve">00670059618000000705000000000000002 Muhammad Syarifudin               </t>
  </si>
  <si>
    <t xml:space="preserve">00670059618000000655000000000000002 Dian Setiawan                     </t>
  </si>
  <si>
    <t xml:space="preserve">00670059618000000902500000000000002 Muhammad Sholikun                 </t>
  </si>
  <si>
    <t xml:space="preserve">08681161864000000425000000000000002 Samta Harahap                     </t>
  </si>
  <si>
    <t xml:space="preserve">07125461581000000455000000000000002 Muhammad Lukbani                  </t>
  </si>
  <si>
    <t>0670059618</t>
  </si>
  <si>
    <t>Sholehah</t>
  </si>
  <si>
    <t>Abd Samad</t>
  </si>
  <si>
    <t>BCA</t>
  </si>
  <si>
    <t>Mandiri</t>
  </si>
  <si>
    <t>BRI</t>
  </si>
  <si>
    <t>6550289791</t>
  </si>
  <si>
    <t>121-00-0599441-7</t>
  </si>
  <si>
    <t>0206-01-095647-50-4</t>
  </si>
  <si>
    <t>Teguh Pratama Januzir S</t>
  </si>
  <si>
    <t>Teguh Pratama Januzi</t>
  </si>
  <si>
    <t>0350780718</t>
  </si>
  <si>
    <t>ID Employee</t>
  </si>
  <si>
    <t>Account Number</t>
  </si>
  <si>
    <t>Owner Account</t>
  </si>
  <si>
    <t>Agus Salim</t>
  </si>
  <si>
    <t>Ahmad Syaifulloh</t>
  </si>
  <si>
    <t>Ahmad Choerul</t>
  </si>
  <si>
    <t>Aldi Mulyadi</t>
  </si>
  <si>
    <t>Annisa Dewi Arumsari</t>
  </si>
  <si>
    <t>Anugerah Januariansyah</t>
  </si>
  <si>
    <t>Belina Lindarwani</t>
  </si>
  <si>
    <t>Budianto</t>
  </si>
  <si>
    <t>Dedi Rohman</t>
  </si>
  <si>
    <t>Dionesius Sostenist Duka</t>
  </si>
  <si>
    <t>Edi Waluyo</t>
  </si>
  <si>
    <t>Eka Bagus Dwi Putra</t>
  </si>
  <si>
    <t>Eka Purwanti</t>
  </si>
  <si>
    <t>Endang Sutrisno</t>
  </si>
  <si>
    <t>Ferdian Kriswantoro</t>
  </si>
  <si>
    <t>Frando Judi Siahaan</t>
  </si>
  <si>
    <t>Icha Mailinda</t>
  </si>
  <si>
    <t>Ilham</t>
  </si>
  <si>
    <t>Irma Maulidawati</t>
  </si>
  <si>
    <t>Istikaro Fauziah</t>
  </si>
  <si>
    <t>Kornelius Sakan</t>
  </si>
  <si>
    <t>Kurnia Fitriastuti</t>
  </si>
  <si>
    <t>Lisma Natalia</t>
  </si>
  <si>
    <t>Marthen Tabun</t>
  </si>
  <si>
    <t>Masimin</t>
  </si>
  <si>
    <t>Mullan Tresna</t>
  </si>
  <si>
    <t>Panca Yudi Baskoro</t>
  </si>
  <si>
    <t>Prayanti Dewi Anggraini</t>
  </si>
  <si>
    <t>Rhino Priawan</t>
  </si>
  <si>
    <t>Riza Emir Subekti</t>
  </si>
  <si>
    <t>Seftiyan Hadi Maulana</t>
  </si>
  <si>
    <t>Setiadi</t>
  </si>
  <si>
    <t>Sudarlan</t>
  </si>
  <si>
    <t>Sufie Amalia</t>
  </si>
  <si>
    <t>Suyanto</t>
  </si>
  <si>
    <t>Wahyu Ramadhani</t>
  </si>
  <si>
    <t>Wardah Laily Khoiriyah</t>
  </si>
  <si>
    <t>Wisnu Ardian</t>
  </si>
  <si>
    <t>Wulanraniasih</t>
  </si>
  <si>
    <t>Yuliandaru Suryoatmodjo</t>
  </si>
  <si>
    <t>Zainudin Anwar</t>
  </si>
  <si>
    <t>Yusarman SH</t>
  </si>
  <si>
    <t>Jonhar Aziz</t>
  </si>
  <si>
    <t>Wartono</t>
  </si>
  <si>
    <t>Restu Dwi Anjayani</t>
  </si>
  <si>
    <t>Oqi Suhaqi Yunus</t>
  </si>
  <si>
    <t>Muhammad Syarifudin</t>
  </si>
  <si>
    <t>Dian Setiawan</t>
  </si>
  <si>
    <t>Samta Harahap</t>
  </si>
  <si>
    <t>Muhammad Lukbani</t>
  </si>
  <si>
    <t>4565061969</t>
  </si>
  <si>
    <t>0060185646</t>
  </si>
  <si>
    <t>0060238634</t>
  </si>
  <si>
    <t>0060202915</t>
  </si>
  <si>
    <t>5520514947</t>
  </si>
  <si>
    <t>0350189041</t>
  </si>
  <si>
    <t>0060098298</t>
  </si>
  <si>
    <t>5325315714</t>
  </si>
  <si>
    <t>3751363751</t>
  </si>
  <si>
    <t>0011754723</t>
  </si>
  <si>
    <t>0063032911</t>
  </si>
  <si>
    <t>Achmad Yunadi</t>
  </si>
  <si>
    <t>The Giok Ing Agnes Suted</t>
  </si>
  <si>
    <t>Agus Nuryadi</t>
  </si>
  <si>
    <t>Darsito S Pd</t>
  </si>
  <si>
    <t>Gunawan Ir</t>
  </si>
  <si>
    <t>H T Assubki Ismail Ir</t>
  </si>
  <si>
    <t>Isa Taufiq</t>
  </si>
  <si>
    <t>Jimmywal Amd</t>
  </si>
  <si>
    <t>M Fikri Caesarandi Hasib</t>
  </si>
  <si>
    <t>H Nandang Effendi</t>
  </si>
  <si>
    <t>Pantas Banjar Nahor</t>
  </si>
  <si>
    <t>Sakinah Tantriani</t>
  </si>
  <si>
    <t>T Marungkil U S Sagala</t>
  </si>
  <si>
    <t>Turita Pramuning M Ir</t>
  </si>
  <si>
    <t>Santoso Dwi Cahyo</t>
  </si>
  <si>
    <t>Bank Permata</t>
  </si>
  <si>
    <t>Standard Chartered Bank</t>
  </si>
  <si>
    <t>Permata</t>
  </si>
  <si>
    <t>Standard Chartered</t>
  </si>
  <si>
    <t>Petty Cash</t>
  </si>
  <si>
    <t>Commonwealth</t>
  </si>
  <si>
    <t>Niaga</t>
  </si>
  <si>
    <t>Bank BRI Syariah</t>
  </si>
  <si>
    <t>Bank KALSEL</t>
  </si>
  <si>
    <t>BCM</t>
  </si>
  <si>
    <t>BCS</t>
  </si>
  <si>
    <t>BTN</t>
  </si>
  <si>
    <t>Bank Bengkulu</t>
  </si>
  <si>
    <t>NIAGA</t>
  </si>
  <si>
    <t>BANK BUKOPIN</t>
  </si>
  <si>
    <t>BANK BRI CAB PUTRI HIJAU</t>
  </si>
  <si>
    <t>Bank Bukopin</t>
  </si>
  <si>
    <t>Bank Jatim</t>
  </si>
  <si>
    <t>BNI</t>
  </si>
  <si>
    <t>BNI396</t>
  </si>
  <si>
    <t>NiagaS200</t>
  </si>
  <si>
    <t>Journal Voucher</t>
  </si>
  <si>
    <t>Adjusting Journal</t>
  </si>
  <si>
    <t>Sales Journal</t>
  </si>
  <si>
    <t>BJAWABARAT - IDR 0888</t>
  </si>
  <si>
    <t>Niaga Syariah</t>
  </si>
  <si>
    <t>OCBC</t>
  </si>
  <si>
    <t>Mandiri - IDR 1304</t>
  </si>
  <si>
    <t>BSI - 1347</t>
  </si>
  <si>
    <t>BCA-750</t>
  </si>
  <si>
    <t>Bank Jatim - 1616</t>
  </si>
  <si>
    <t>BRI - IDR 4304</t>
  </si>
  <si>
    <t>BRI - IDR 5300</t>
  </si>
  <si>
    <t>BSI - 6928</t>
  </si>
  <si>
    <t>Bank Central Asia</t>
  </si>
  <si>
    <t>Bank Mandiri</t>
  </si>
  <si>
    <t>Bank Rakyat Indonesia</t>
  </si>
  <si>
    <t>Muhammad Sholikun</t>
  </si>
  <si>
    <t>Yusuf Fathurahman-sho</t>
  </si>
  <si>
    <t>bnk_nama</t>
  </si>
  <si>
    <t>bnk_norek</t>
  </si>
  <si>
    <t>bnk_noreknama</t>
  </si>
  <si>
    <t>bnk_cabang</t>
  </si>
  <si>
    <t>bnk_alamat</t>
  </si>
  <si>
    <t>val_kode</t>
  </si>
  <si>
    <t>cabang</t>
  </si>
  <si>
    <t>PT QDC Technologies</t>
  </si>
  <si>
    <t/>
  </si>
  <si>
    <t>Jakarta</t>
  </si>
  <si>
    <t>2173050101</t>
  </si>
  <si>
    <t>PJO Medan</t>
  </si>
  <si>
    <t>2173108214</t>
  </si>
  <si>
    <t>PJO Surabaya</t>
  </si>
  <si>
    <t>PT. QDC Technologies</t>
  </si>
  <si>
    <t>KCU SCBD</t>
  </si>
  <si>
    <t>Equtiy Tower Ground Floor, Jl. Jend Sudirman Kav 5</t>
  </si>
  <si>
    <t>IDR</t>
  </si>
  <si>
    <t>""</t>
  </si>
  <si>
    <t>0701393414</t>
  </si>
  <si>
    <t>PT Qdc Technologies</t>
  </si>
  <si>
    <t>Menara Prima - Jakarta</t>
  </si>
  <si>
    <t>Jl. Lingkar Mega Kuningan Sub Blok 6.2</t>
  </si>
  <si>
    <t>30601430376</t>
  </si>
  <si>
    <t>Sudirman</t>
  </si>
  <si>
    <t>Menara Standard Chartered Jl, Prof Dr. Satrio No.1</t>
  </si>
  <si>
    <t>0701393481</t>
  </si>
  <si>
    <t>Menara Prima</t>
  </si>
  <si>
    <t>USD</t>
  </si>
  <si>
    <t>0701393643</t>
  </si>
  <si>
    <t>0701393570</t>
  </si>
  <si>
    <t>30601430287</t>
  </si>
  <si>
    <t>30601430325</t>
  </si>
  <si>
    <t>30601430414</t>
  </si>
  <si>
    <t>0000</t>
  </si>
  <si>
    <t>Mega Plaza Lt 5 JL. HR Rasuna Said Kav C3</t>
  </si>
  <si>
    <t>019301001230300</t>
  </si>
  <si>
    <t>PT QDC TECHNOLOGIES</t>
  </si>
  <si>
    <t>Kebayoran baru</t>
  </si>
  <si>
    <t>JL. Hasanudin No. 62 Blok M Kebayoran Baru</t>
  </si>
  <si>
    <t>053801000258309</t>
  </si>
  <si>
    <t>KCP DEPOK</t>
  </si>
  <si>
    <t>JL. Margonda Raya Kp Mangga Rt.002/012 Kel Depok,</t>
  </si>
  <si>
    <t>1051189606</t>
  </si>
  <si>
    <t>PT QDC</t>
  </si>
  <si>
    <t>Wisma Metropolitan 2 Jln Sudirman Kav 25</t>
  </si>
  <si>
    <t>800039839400</t>
  </si>
  <si>
    <t>BEJ</t>
  </si>
  <si>
    <t>1006777593</t>
  </si>
  <si>
    <t>BRS</t>
  </si>
  <si>
    <t>Abdul Moeis</t>
  </si>
  <si>
    <t>Jalan Abdul Muis No.2-4, RT.2/RW.8, Petojo Selatan</t>
  </si>
  <si>
    <t>0400007001223</t>
  </si>
  <si>
    <t>Cabang Jakarta</t>
  </si>
  <si>
    <t>Karet Tengsin, Tanahabang, Kota Jakarta Pusat, Dae</t>
  </si>
  <si>
    <t>BCA Medan</t>
  </si>
  <si>
    <t>Gd. Menara Karya</t>
  </si>
  <si>
    <t>Jl. HR. Rasuna Said X-5 Kav.1-2 Jkt</t>
  </si>
  <si>
    <t>BCA Surabaya</t>
  </si>
  <si>
    <t>0100201300000052</t>
  </si>
  <si>
    <t>Mediterania</t>
  </si>
  <si>
    <t>Apartemen Mediterania Palace Residence, JL Landas</t>
  </si>
  <si>
    <t>0080107000764</t>
  </si>
  <si>
    <t>Jl DR Soepomo Tebet Jakarta</t>
  </si>
  <si>
    <t>800039840100</t>
  </si>
  <si>
    <t>1002405420</t>
  </si>
  <si>
    <t>JAKARTA</t>
  </si>
  <si>
    <t>005301004453305</t>
  </si>
  <si>
    <t>019301003214300</t>
  </si>
  <si>
    <t>Kebayoran Baru</t>
  </si>
  <si>
    <t>Jalan Sultan Hasanudin No.62, RT.2/RW.1, Melawai,</t>
  </si>
  <si>
    <t>1001327468</t>
  </si>
  <si>
    <t>BSD City</t>
  </si>
  <si>
    <t>Ruko Golden Boulevard Blok GI No. 2 - 3, Jl. Pahla</t>
  </si>
  <si>
    <t>1231001251</t>
  </si>
  <si>
    <t>Kelapa Gading</t>
  </si>
  <si>
    <t>Jl. Boulevard Bar. Raya Ruko Inkopal Blk. C No.8,</t>
  </si>
  <si>
    <t>8995885888</t>
  </si>
  <si>
    <t>Cibinong</t>
  </si>
  <si>
    <t>Jl Raya Cibinong No. 600 A, Pabuaran, Cibinong, Pa</t>
  </si>
  <si>
    <t>779207704</t>
  </si>
  <si>
    <t>Menteng</t>
  </si>
  <si>
    <t>Jl. Menteng Raya No.76, RT.4/RW.9, Kb. Sirih, Ment</t>
  </si>
  <si>
    <t>779207715</t>
  </si>
  <si>
    <t>QDC Technologies</t>
  </si>
  <si>
    <t>Jl. Raya Cibinong No. 600 A, Pabuaran, Cibinong, P</t>
  </si>
  <si>
    <t>1001374466</t>
  </si>
  <si>
    <t>QDC Technologies, PT</t>
  </si>
  <si>
    <t>BSD</t>
  </si>
  <si>
    <t>1221001121</t>
  </si>
  <si>
    <t>Depok</t>
  </si>
  <si>
    <t>Jl. Margonda Raya, Pondok Cina, Beji, Kota Depok,</t>
  </si>
  <si>
    <t>1051189707</t>
  </si>
  <si>
    <t>Wisma Metropolitan II, 3A Floor Jl. Jenderal Sudir</t>
  </si>
  <si>
    <t>Equity Tower, Ground Floor, Unit D &amp; Lantai 8, Uni</t>
  </si>
  <si>
    <t>0700009986097</t>
  </si>
  <si>
    <t>KCP Jkt Mampang Prapatan</t>
  </si>
  <si>
    <t>Jl. Mampang Prpt. Raya No.61, Mampang Prpt., Kec.</t>
  </si>
  <si>
    <t>907670396</t>
  </si>
  <si>
    <t>BNI Kankas UBK</t>
  </si>
  <si>
    <t>RT.1/RW.1, Pegangsaan, Kec. Menteng, Kota Jakarta</t>
  </si>
  <si>
    <t>762375277200</t>
  </si>
  <si>
    <t>Graha Niaga / Niaga Tower , Jl. Jendral Sudirman K</t>
  </si>
  <si>
    <t>123456789</t>
  </si>
  <si>
    <t>035901002067300</t>
  </si>
  <si>
    <t>Gatot Subroto</t>
  </si>
  <si>
    <t>Gd. Menara Mulia Lt. Dasar Jl. Jend. Gatot Subroto</t>
  </si>
  <si>
    <t>019301003667309</t>
  </si>
  <si>
    <t>Jl. Sultan Hasanudin No. 62, RT. 2/RW. 1, Melawai,</t>
  </si>
  <si>
    <t>8880888880888</t>
  </si>
  <si>
    <t>Sahardjo</t>
  </si>
  <si>
    <t>Jl. Dr. Saharjo No.111, RT.1/RW.1, Tebet Bar., Kec</t>
  </si>
  <si>
    <t>019301003718304</t>
  </si>
  <si>
    <t>019301003719300</t>
  </si>
  <si>
    <t>019301003720301</t>
  </si>
  <si>
    <t>019301003881301</t>
  </si>
  <si>
    <t>Jalan Sultan Hasanudin No.62, RT.2/RW.1, M</t>
  </si>
  <si>
    <t>044101001553563</t>
  </si>
  <si>
    <t>PT QDC Technoligies</t>
  </si>
  <si>
    <t>Sunter</t>
  </si>
  <si>
    <t>Jl. Danau Sunter Utara Blok C2 No.3 Sunter Agung</t>
  </si>
  <si>
    <t>860012900500</t>
  </si>
  <si>
    <t>Jl. Jendral Sudirman Kav 58</t>
  </si>
  <si>
    <t>020800017913</t>
  </si>
  <si>
    <t>Jl. Gn. Sahari No.38, RT.6/RW.5, Gn. Sahari Utara,</t>
  </si>
  <si>
    <t>044101002094300</t>
  </si>
  <si>
    <t>Jl Danau Sunter Utara Blok C2 No. 3 Kelurahan Sunt</t>
  </si>
  <si>
    <t>0700010933104</t>
  </si>
  <si>
    <t>Mampang</t>
  </si>
  <si>
    <t>Jl. Mampang Prapatan No. 61 Jakarta Selatan, DKI J</t>
  </si>
  <si>
    <t>7240741347</t>
  </si>
  <si>
    <t>Jakarta II (Ampera)</t>
  </si>
  <si>
    <t>Gedung Aurum, Jl. Ampera Raya No.37, Cilandak Tim.</t>
  </si>
  <si>
    <t>0065557750</t>
  </si>
  <si>
    <t>SCBD</t>
  </si>
  <si>
    <t>035101616</t>
  </si>
  <si>
    <t>Thamrin</t>
  </si>
  <si>
    <t xml:space="preserve">Cosmo terrace lantai dasar 1 dan 2 Jakarta pusat  </t>
  </si>
  <si>
    <t>34101002394304</t>
  </si>
  <si>
    <t>Warung Buncit. Mampang</t>
  </si>
  <si>
    <t>Jl. Mampang Prpt. Raya No.8 6, RT.6/RW.3, Mampang</t>
  </si>
  <si>
    <t>34101002395300</t>
  </si>
  <si>
    <t>7240736928</t>
  </si>
  <si>
    <t>Kcp. Jakarta Ampera Raya</t>
  </si>
  <si>
    <t>Jl. Ampera Raya No.59 Kel. Cilandak Timur Kec. Pas</t>
  </si>
  <si>
    <t>Bank Syariah Indonesia</t>
  </si>
  <si>
    <t>Bank Standard Chartered</t>
  </si>
  <si>
    <t>Bank Pembangunan Daerah Jawa Timur</t>
  </si>
  <si>
    <t>Bank Pembangunan Daerah Bengkulu</t>
  </si>
  <si>
    <t>Bank KB Bukopin</t>
  </si>
  <si>
    <t>Bank Negara Indonesia</t>
  </si>
  <si>
    <t>Bank Commonwealth</t>
  </si>
  <si>
    <t>Bank OCBC Nilai Inti Sari Penyimpanan</t>
  </si>
  <si>
    <t>Bank Pembangunan Daerah Kalimantan Selatan</t>
  </si>
  <si>
    <t>Bank Tabungan Negara</t>
  </si>
  <si>
    <t>Bank CIMB Niaga</t>
  </si>
  <si>
    <t>Bank Rakyat Indonesia Syariah</t>
  </si>
  <si>
    <t>Bank Pembangunan Daerah Jawa Barat Banten</t>
  </si>
  <si>
    <t>ZZZ</t>
  </si>
  <si>
    <t>bank</t>
  </si>
  <si>
    <t>0068502911</t>
  </si>
  <si>
    <t>PERFORM "SchData-OLTP-Master"."Func_TblBankAccount_SET"(varSystemLoginSession, null, null, null, varInstitutionBranchID, 166000000000005, '6550289791', 'Teguh Pratama Januzir S', 25000000000439);</t>
  </si>
  <si>
    <t>Currency_RefID</t>
  </si>
  <si>
    <t>62000000000002</t>
  </si>
  <si>
    <t>62000000000001</t>
  </si>
  <si>
    <t>ID Person /
ID Institution</t>
  </si>
  <si>
    <t>Bank Branch</t>
  </si>
  <si>
    <t>Bank Branch Address</t>
  </si>
  <si>
    <t>bnk_kota</t>
  </si>
  <si>
    <t>Jakarta Selatan 12950</t>
  </si>
  <si>
    <t>Jakarta 12930</t>
  </si>
  <si>
    <t>Jakarta Selatan</t>
  </si>
  <si>
    <t>DKI Jakarta</t>
  </si>
  <si>
    <t>Tangerang Selatan</t>
  </si>
  <si>
    <t>Jakarta Utara</t>
  </si>
  <si>
    <t>Bogor</t>
  </si>
  <si>
    <t>Tangerang</t>
  </si>
  <si>
    <t>006-8502911</t>
  </si>
  <si>
    <t>Jakarta Selata</t>
  </si>
  <si>
    <t>Jakarta Pusat</t>
  </si>
  <si>
    <t>1999998082</t>
  </si>
  <si>
    <t xml:space="preserve"> Jl. Margonda No.48, Kemiri Muka, Kecamatan Beji,</t>
  </si>
  <si>
    <t>035901002951305</t>
  </si>
  <si>
    <t>Gd. Mulia, Jl. Gatot Subroto No.Kav. 9-11, Karet S</t>
  </si>
  <si>
    <t>035901002958307</t>
  </si>
  <si>
    <t>026901024911506</t>
  </si>
  <si>
    <t>Urbanus Boimau</t>
  </si>
  <si>
    <t>034101074865501</t>
  </si>
  <si>
    <t>Timotius Tabun</t>
  </si>
  <si>
    <t>034101074867503</t>
  </si>
  <si>
    <t>Supriatna</t>
  </si>
  <si>
    <t>034101074862503</t>
  </si>
  <si>
    <t>Solihin</t>
  </si>
  <si>
    <t>034101074859500</t>
  </si>
  <si>
    <t>Rustono</t>
  </si>
  <si>
    <t>Roy Aditya</t>
  </si>
  <si>
    <t>034101085528508</t>
  </si>
  <si>
    <t>Langgeng Eko Dwiantoro</t>
  </si>
  <si>
    <t>0021817308</t>
  </si>
  <si>
    <t>034101013725530</t>
  </si>
  <si>
    <t>038401073431507</t>
  </si>
  <si>
    <t>Iman Faisal Abdurahman</t>
  </si>
  <si>
    <t>Fabrian Danang Destiyara</t>
  </si>
  <si>
    <t>122301024676505</t>
  </si>
  <si>
    <t>Edy Syahputra Situmeang</t>
  </si>
  <si>
    <t>353201013523538</t>
  </si>
  <si>
    <t xml:space="preserve">212401007578533 </t>
  </si>
  <si>
    <t>Dian Tri Rahmawati</t>
  </si>
  <si>
    <t>033601013930530</t>
  </si>
  <si>
    <t>Davit Lumban Gaol</t>
  </si>
  <si>
    <t>727401009580534</t>
  </si>
  <si>
    <t>034101074857508</t>
  </si>
  <si>
    <t>Burhan</t>
  </si>
  <si>
    <t>669501015343535</t>
  </si>
  <si>
    <t>Arief Yulianto</t>
  </si>
  <si>
    <t>034101074863509</t>
  </si>
  <si>
    <t>Ares S. Mauboi</t>
  </si>
  <si>
    <t>Ahmad Faiz Haems Muda</t>
  </si>
  <si>
    <t>2302269280</t>
  </si>
  <si>
    <t>Adhe Kurniawan</t>
  </si>
  <si>
    <t>5520769236</t>
  </si>
  <si>
    <t>069501008650509</t>
  </si>
  <si>
    <t>Grace Kurniawan</t>
  </si>
  <si>
    <t>4271122556</t>
  </si>
  <si>
    <t>8020227444</t>
  </si>
  <si>
    <t>Rahmata Novanisa</t>
  </si>
  <si>
    <t>0886361747</t>
  </si>
  <si>
    <t>Satrio Dhiaputra</t>
  </si>
  <si>
    <t>7485341129</t>
  </si>
  <si>
    <t>Ridwan Nur Muttaqin</t>
  </si>
  <si>
    <t>010201029577531</t>
  </si>
  <si>
    <t>Taufik Aminudin</t>
  </si>
  <si>
    <t>7025035526</t>
  </si>
  <si>
    <t>Andi Mapasoro</t>
  </si>
  <si>
    <t>0354409671</t>
  </si>
  <si>
    <t>Ahmad Sandi Asyuri</t>
  </si>
  <si>
    <t>5520776887</t>
  </si>
  <si>
    <t>Eka Kurniawan Hidayatullah</t>
  </si>
  <si>
    <t>8801497411</t>
  </si>
  <si>
    <t>Tegar Hersaputra</t>
  </si>
  <si>
    <t xml:space="preserve"> 2730511712</t>
  </si>
  <si>
    <t>Wisnu Trenggono Wirayuda</t>
  </si>
  <si>
    <t>Bank Name</t>
  </si>
  <si>
    <t>RefID Bank</t>
  </si>
  <si>
    <t>Name Person / Institution</t>
  </si>
  <si>
    <t>SYS_PID Prediction</t>
  </si>
  <si>
    <t>SQL Syntax</t>
  </si>
  <si>
    <t>Sulaeman</t>
  </si>
  <si>
    <t>034101082539500</t>
  </si>
  <si>
    <t>034101074864505</t>
  </si>
  <si>
    <t>Sugiarto</t>
  </si>
  <si>
    <t>Sys_PID</t>
  </si>
  <si>
    <t>Bank Account</t>
  </si>
  <si>
    <t>Currency</t>
  </si>
  <si>
    <t>Default Holder</t>
  </si>
  <si>
    <t>7635680946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</si>
</sst>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sz val="10"/>
      <color indexed="8"/>
      <name val="MS Sans Serif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theme="1"/>
      <name val="Tahoma"/>
      <family val="2"/>
      <charset val="1"/>
    </font>
    <font>
      <sz val="10"/>
      <color theme="1"/>
      <name val="Arial"/>
      <family val="2"/>
      <charset val="1"/>
    </font>
    <font>
      <b/>
      <sz val="10"/>
      <color theme="0"/>
      <name val="Arial Narrow"/>
      <family val="2"/>
    </font>
    <font>
      <i/>
      <sz val="10"/>
      <color rgb="FF0070C0"/>
      <name val="Arial Narrow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8">
    <xf numFmtId="0" fontId="0" fillId="0" borderId="0"/>
    <xf numFmtId="0" fontId="3" fillId="0" borderId="0"/>
    <xf numFmtId="41" fontId="5" fillId="0" borderId="0" applyFont="0" applyFill="0" applyBorder="0" applyAlignment="0" applyProtection="0"/>
    <xf numFmtId="0" fontId="6" fillId="0" borderId="0"/>
    <xf numFmtId="0" fontId="3" fillId="0" borderId="0"/>
    <xf numFmtId="43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7" fillId="0" borderId="0" applyFill="0" applyProtection="0"/>
    <xf numFmtId="0" fontId="3" fillId="0" borderId="0"/>
    <xf numFmtId="0" fontId="8" fillId="0" borderId="0"/>
    <xf numFmtId="0" fontId="1" fillId="0" borderId="0"/>
    <xf numFmtId="0" fontId="3" fillId="0" borderId="0"/>
    <xf numFmtId="0" fontId="8" fillId="0" borderId="0"/>
    <xf numFmtId="0" fontId="8" fillId="0" borderId="0"/>
    <xf numFmtId="0" fontId="10" fillId="0" borderId="0"/>
    <xf numFmtId="0" fontId="5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6" fillId="0" borderId="0"/>
    <xf numFmtId="0" fontId="15" fillId="0" borderId="0"/>
  </cellStyleXfs>
  <cellXfs count="77">
    <xf numFmtId="0" fontId="0" fillId="0" borderId="0" xfId="0"/>
    <xf numFmtId="0" fontId="2" fillId="0" borderId="0" xfId="0" applyFont="1"/>
    <xf numFmtId="0" fontId="2" fillId="3" borderId="0" xfId="0" applyFont="1" applyFill="1"/>
    <xf numFmtId="49" fontId="2" fillId="0" borderId="0" xfId="0" applyNumberFormat="1" applyFont="1" applyAlignment="1">
      <alignment horizontal="right"/>
    </xf>
    <xf numFmtId="49" fontId="2" fillId="0" borderId="0" xfId="0" applyNumberFormat="1" applyFont="1"/>
    <xf numFmtId="49" fontId="0" fillId="0" borderId="0" xfId="0" applyNumberFormat="1"/>
    <xf numFmtId="0" fontId="13" fillId="0" borderId="0" xfId="0" applyFont="1"/>
    <xf numFmtId="0" fontId="13" fillId="3" borderId="0" xfId="0" applyFont="1" applyFill="1"/>
    <xf numFmtId="41" fontId="2" fillId="0" borderId="0" xfId="2" applyFont="1"/>
    <xf numFmtId="41" fontId="2" fillId="0" borderId="0" xfId="2" applyFont="1" applyAlignment="1">
      <alignment horizontal="center"/>
    </xf>
    <xf numFmtId="41" fontId="2" fillId="0" borderId="0" xfId="2" applyFont="1" applyAlignment="1">
      <alignment horizontal="right"/>
    </xf>
    <xf numFmtId="49" fontId="4" fillId="2" borderId="0" xfId="0" applyNumberFormat="1" applyFont="1" applyFill="1" applyBorder="1" applyAlignment="1">
      <alignment horizontal="center" vertical="center"/>
    </xf>
    <xf numFmtId="0" fontId="2" fillId="8" borderId="5" xfId="0" applyNumberFormat="1" applyFont="1" applyFill="1" applyBorder="1"/>
    <xf numFmtId="49" fontId="4" fillId="2" borderId="6" xfId="0" applyNumberFormat="1" applyFont="1" applyFill="1" applyBorder="1" applyAlignment="1">
      <alignment horizontal="center" vertical="center"/>
    </xf>
    <xf numFmtId="0" fontId="2" fillId="8" borderId="7" xfId="0" applyNumberFormat="1" applyFont="1" applyFill="1" applyBorder="1"/>
    <xf numFmtId="0" fontId="2" fillId="3" borderId="4" xfId="0" applyFont="1" applyFill="1" applyBorder="1"/>
    <xf numFmtId="49" fontId="2" fillId="0" borderId="8" xfId="0" applyNumberFormat="1" applyFont="1" applyBorder="1" applyAlignment="1">
      <alignment horizontal="right"/>
    </xf>
    <xf numFmtId="0" fontId="2" fillId="3" borderId="8" xfId="0" applyFont="1" applyFill="1" applyBorder="1"/>
    <xf numFmtId="49" fontId="2" fillId="9" borderId="4" xfId="0" applyNumberFormat="1" applyFont="1" applyFill="1" applyBorder="1" applyAlignment="1">
      <alignment horizontal="right"/>
    </xf>
    <xf numFmtId="49" fontId="2" fillId="9" borderId="8" xfId="0" applyNumberFormat="1" applyFont="1" applyFill="1" applyBorder="1" applyAlignment="1">
      <alignment horizontal="right"/>
    </xf>
    <xf numFmtId="49" fontId="2" fillId="0" borderId="0" xfId="0" applyNumberFormat="1" applyFont="1" applyAlignment="1">
      <alignment horizontal="center"/>
    </xf>
    <xf numFmtId="0" fontId="2" fillId="8" borderId="5" xfId="0" applyNumberFormat="1" applyFont="1" applyFill="1" applyBorder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8" borderId="2" xfId="0" applyNumberFormat="1" applyFont="1" applyFill="1" applyBorder="1" applyAlignment="1">
      <alignment horizontal="center"/>
    </xf>
    <xf numFmtId="164" fontId="2" fillId="0" borderId="4" xfId="2" applyNumberFormat="1" applyFont="1" applyBorder="1" applyAlignment="1">
      <alignment horizontal="center"/>
    </xf>
    <xf numFmtId="164" fontId="2" fillId="0" borderId="8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 vertical="center" wrapText="1"/>
    </xf>
    <xf numFmtId="1" fontId="12" fillId="5" borderId="11" xfId="0" applyNumberFormat="1" applyFont="1" applyFill="1" applyBorder="1" applyAlignment="1">
      <alignment horizontal="center" vertical="center" wrapText="1"/>
    </xf>
    <xf numFmtId="1" fontId="16" fillId="10" borderId="13" xfId="0" applyNumberFormat="1" applyFont="1" applyFill="1" applyBorder="1" applyAlignment="1"/>
    <xf numFmtId="0" fontId="2" fillId="0" borderId="0" xfId="0" applyFont="1" applyAlignment="1">
      <alignment horizontal="center"/>
    </xf>
    <xf numFmtId="1" fontId="16" fillId="10" borderId="12" xfId="0" applyNumberFormat="1" applyFont="1" applyFill="1" applyBorder="1" applyAlignment="1">
      <alignment horizontal="center"/>
    </xf>
    <xf numFmtId="1" fontId="17" fillId="6" borderId="8" xfId="0" applyNumberFormat="1" applyFont="1" applyFill="1" applyBorder="1" applyAlignment="1">
      <alignment horizontal="center"/>
    </xf>
    <xf numFmtId="164" fontId="2" fillId="3" borderId="9" xfId="2" applyNumberFormat="1" applyFont="1" applyFill="1" applyBorder="1" applyAlignment="1">
      <alignment horizontal="center"/>
    </xf>
    <xf numFmtId="164" fontId="2" fillId="3" borderId="9" xfId="2" applyNumberFormat="1" applyFont="1" applyFill="1" applyBorder="1"/>
    <xf numFmtId="0" fontId="2" fillId="0" borderId="9" xfId="0" applyFont="1" applyBorder="1"/>
    <xf numFmtId="49" fontId="2" fillId="0" borderId="9" xfId="0" applyNumberFormat="1" applyFont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164" fontId="2" fillId="3" borderId="8" xfId="2" applyNumberFormat="1" applyFont="1" applyFill="1" applyBorder="1"/>
    <xf numFmtId="0" fontId="2" fillId="0" borderId="8" xfId="0" applyFont="1" applyBorder="1"/>
    <xf numFmtId="49" fontId="2" fillId="0" borderId="8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right"/>
    </xf>
    <xf numFmtId="0" fontId="2" fillId="0" borderId="14" xfId="0" applyFont="1" applyBorder="1"/>
    <xf numFmtId="49" fontId="2" fillId="0" borderId="14" xfId="0" applyNumberFormat="1" applyFont="1" applyBorder="1" applyAlignment="1">
      <alignment horizontal="center"/>
    </xf>
    <xf numFmtId="0" fontId="4" fillId="7" borderId="3" xfId="0" applyNumberFormat="1" applyFont="1" applyFill="1" applyBorder="1" applyAlignment="1">
      <alignment horizontal="center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7" borderId="16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" fontId="2" fillId="0" borderId="0" xfId="2" applyNumberFormat="1" applyFont="1" applyAlignment="1">
      <alignment horizontal="center"/>
    </xf>
    <xf numFmtId="1" fontId="2" fillId="3" borderId="9" xfId="2" applyNumberFormat="1" applyFont="1" applyFill="1" applyBorder="1" applyAlignment="1">
      <alignment horizontal="center"/>
    </xf>
    <xf numFmtId="1" fontId="2" fillId="3" borderId="8" xfId="2" applyNumberFormat="1" applyFont="1" applyFill="1" applyBorder="1" applyAlignment="1">
      <alignment horizontal="center"/>
    </xf>
    <xf numFmtId="1" fontId="2" fillId="0" borderId="8" xfId="2" applyNumberFormat="1" applyFont="1" applyBorder="1" applyAlignment="1">
      <alignment horizontal="center"/>
    </xf>
    <xf numFmtId="1" fontId="2" fillId="0" borderId="14" xfId="2" applyNumberFormat="1" applyFont="1" applyBorder="1" applyAlignment="1">
      <alignment horizontal="center"/>
    </xf>
    <xf numFmtId="1" fontId="2" fillId="0" borderId="0" xfId="0" applyNumberFormat="1" applyFont="1"/>
    <xf numFmtId="1" fontId="2" fillId="8" borderId="2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18" xfId="0" applyNumberFormat="1" applyFont="1" applyFill="1" applyBorder="1" applyAlignment="1">
      <alignment horizontal="center" vertical="center" wrapText="1"/>
    </xf>
    <xf numFmtId="1" fontId="2" fillId="3" borderId="4" xfId="2" applyNumberFormat="1" applyFont="1" applyFill="1" applyBorder="1" applyAlignment="1">
      <alignment horizontal="center"/>
    </xf>
    <xf numFmtId="1" fontId="2" fillId="3" borderId="14" xfId="2" applyNumberFormat="1" applyFont="1" applyFill="1" applyBorder="1" applyAlignment="1">
      <alignment horizontal="center"/>
    </xf>
    <xf numFmtId="164" fontId="2" fillId="0" borderId="8" xfId="2" applyNumberFormat="1" applyFont="1" applyFill="1" applyBorder="1" applyAlignment="1">
      <alignment horizontal="center"/>
    </xf>
    <xf numFmtId="164" fontId="2" fillId="0" borderId="14" xfId="2" applyNumberFormat="1" applyFont="1" applyFill="1" applyBorder="1" applyAlignment="1">
      <alignment horizontal="center"/>
    </xf>
    <xf numFmtId="49" fontId="2" fillId="0" borderId="8" xfId="0" applyNumberFormat="1" applyFont="1" applyBorder="1"/>
    <xf numFmtId="49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49" fontId="2" fillId="0" borderId="14" xfId="0" applyNumberFormat="1" applyFont="1" applyBorder="1"/>
    <xf numFmtId="164" fontId="2" fillId="4" borderId="9" xfId="2" applyNumberFormat="1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164" fontId="2" fillId="11" borderId="8" xfId="2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/>
    </xf>
  </cellXfs>
  <cellStyles count="148">
    <cellStyle name="%" xfId="4"/>
    <cellStyle name="Comma [0]" xfId="2" builtinId="6"/>
    <cellStyle name="Comma [0] 2" xfId="6"/>
    <cellStyle name="Comma 10" xfId="7"/>
    <cellStyle name="Comma 100" xfId="8"/>
    <cellStyle name="Comma 101" xfId="9"/>
    <cellStyle name="Comma 102" xfId="10"/>
    <cellStyle name="Comma 103" xfId="11"/>
    <cellStyle name="Comma 104" xfId="12"/>
    <cellStyle name="Comma 105" xfId="13"/>
    <cellStyle name="Comma 106" xfId="5"/>
    <cellStyle name="Comma 11" xfId="14"/>
    <cellStyle name="Comma 12" xfId="15"/>
    <cellStyle name="Comma 13" xfId="16"/>
    <cellStyle name="Comma 14" xfId="17"/>
    <cellStyle name="Comma 15" xfId="18"/>
    <cellStyle name="Comma 16" xfId="19"/>
    <cellStyle name="Comma 17" xfId="20"/>
    <cellStyle name="Comma 18" xfId="21"/>
    <cellStyle name="Comma 19" xfId="22"/>
    <cellStyle name="Comma 2" xfId="23"/>
    <cellStyle name="Comma 20" xfId="24"/>
    <cellStyle name="Comma 21" xfId="25"/>
    <cellStyle name="Comma 22" xfId="26"/>
    <cellStyle name="Comma 23" xfId="27"/>
    <cellStyle name="Comma 24" xfId="28"/>
    <cellStyle name="Comma 25" xfId="29"/>
    <cellStyle name="Comma 26" xfId="30"/>
    <cellStyle name="Comma 27" xfId="31"/>
    <cellStyle name="Comma 28" xfId="32"/>
    <cellStyle name="Comma 29" xfId="33"/>
    <cellStyle name="Comma 3" xfId="34"/>
    <cellStyle name="Comma 30" xfId="35"/>
    <cellStyle name="Comma 31" xfId="36"/>
    <cellStyle name="Comma 32" xfId="37"/>
    <cellStyle name="Comma 33" xfId="38"/>
    <cellStyle name="Comma 34" xfId="39"/>
    <cellStyle name="Comma 35" xfId="40"/>
    <cellStyle name="Comma 36" xfId="41"/>
    <cellStyle name="Comma 37" xfId="42"/>
    <cellStyle name="Comma 38" xfId="43"/>
    <cellStyle name="Comma 39" xfId="44"/>
    <cellStyle name="Comma 4" xfId="45"/>
    <cellStyle name="Comma 40" xfId="46"/>
    <cellStyle name="Comma 41" xfId="47"/>
    <cellStyle name="Comma 42" xfId="48"/>
    <cellStyle name="Comma 43" xfId="49"/>
    <cellStyle name="Comma 44" xfId="50"/>
    <cellStyle name="Comma 45" xfId="51"/>
    <cellStyle name="Comma 46" xfId="52"/>
    <cellStyle name="Comma 47" xfId="53"/>
    <cellStyle name="Comma 48" xfId="54"/>
    <cellStyle name="Comma 49" xfId="55"/>
    <cellStyle name="Comma 5" xfId="56"/>
    <cellStyle name="Comma 50" xfId="57"/>
    <cellStyle name="Comma 51" xfId="58"/>
    <cellStyle name="Comma 52" xfId="59"/>
    <cellStyle name="Comma 53" xfId="60"/>
    <cellStyle name="Comma 54" xfId="61"/>
    <cellStyle name="Comma 55" xfId="62"/>
    <cellStyle name="Comma 56" xfId="63"/>
    <cellStyle name="Comma 57" xfId="64"/>
    <cellStyle name="Comma 58" xfId="65"/>
    <cellStyle name="Comma 59" xfId="66"/>
    <cellStyle name="Comma 6" xfId="67"/>
    <cellStyle name="Comma 60" xfId="68"/>
    <cellStyle name="Comma 61" xfId="69"/>
    <cellStyle name="Comma 62" xfId="70"/>
    <cellStyle name="Comma 63" xfId="71"/>
    <cellStyle name="Comma 64" xfId="72"/>
    <cellStyle name="Comma 65" xfId="73"/>
    <cellStyle name="Comma 66" xfId="74"/>
    <cellStyle name="Comma 67" xfId="75"/>
    <cellStyle name="Comma 68" xfId="76"/>
    <cellStyle name="Comma 69" xfId="77"/>
    <cellStyle name="Comma 7" xfId="78"/>
    <cellStyle name="Comma 70" xfId="79"/>
    <cellStyle name="Comma 71" xfId="80"/>
    <cellStyle name="Comma 72" xfId="81"/>
    <cellStyle name="Comma 73" xfId="82"/>
    <cellStyle name="Comma 74" xfId="83"/>
    <cellStyle name="Comma 75" xfId="84"/>
    <cellStyle name="Comma 76" xfId="85"/>
    <cellStyle name="Comma 77" xfId="86"/>
    <cellStyle name="Comma 78" xfId="87"/>
    <cellStyle name="Comma 79" xfId="88"/>
    <cellStyle name="Comma 8" xfId="89"/>
    <cellStyle name="Comma 80" xfId="90"/>
    <cellStyle name="Comma 81" xfId="91"/>
    <cellStyle name="Comma 82" xfId="92"/>
    <cellStyle name="Comma 83" xfId="93"/>
    <cellStyle name="Comma 84" xfId="94"/>
    <cellStyle name="Comma 85" xfId="95"/>
    <cellStyle name="Comma 86" xfId="96"/>
    <cellStyle name="Comma 87" xfId="97"/>
    <cellStyle name="Comma 88" xfId="98"/>
    <cellStyle name="Comma 89" xfId="99"/>
    <cellStyle name="Comma 9" xfId="100"/>
    <cellStyle name="Comma 90" xfId="101"/>
    <cellStyle name="Comma 91" xfId="102"/>
    <cellStyle name="Comma 92" xfId="103"/>
    <cellStyle name="Comma 93" xfId="104"/>
    <cellStyle name="Comma 94" xfId="105"/>
    <cellStyle name="Comma 95" xfId="106"/>
    <cellStyle name="Comma 96" xfId="107"/>
    <cellStyle name="Comma 97" xfId="108"/>
    <cellStyle name="Comma 98" xfId="109"/>
    <cellStyle name="Comma 99" xfId="110"/>
    <cellStyle name="Normal" xfId="0" builtinId="0"/>
    <cellStyle name="Normal 10" xfId="111"/>
    <cellStyle name="Normal 11" xfId="112"/>
    <cellStyle name="Normal 12" xfId="113"/>
    <cellStyle name="Normal 12 2" xfId="114"/>
    <cellStyle name="Normal 12 3" xfId="115"/>
    <cellStyle name="Normal 13" xfId="116"/>
    <cellStyle name="Normal 14" xfId="117"/>
    <cellStyle name="Normal 14 2" xfId="118"/>
    <cellStyle name="Normal 15" xfId="119"/>
    <cellStyle name="Normal 15 2" xfId="120"/>
    <cellStyle name="Normal 16" xfId="121"/>
    <cellStyle name="Normal 17" xfId="122"/>
    <cellStyle name="Normal 18" xfId="123"/>
    <cellStyle name="Normal 19" xfId="3"/>
    <cellStyle name="Normal 2" xfId="124"/>
    <cellStyle name="Normal 2 2" xfId="125"/>
    <cellStyle name="Normal 2 2 2" xfId="146"/>
    <cellStyle name="Normal 2 3" xfId="1"/>
    <cellStyle name="Normal 2 4" xfId="126"/>
    <cellStyle name="Normal 2 4 2" xfId="127"/>
    <cellStyle name="Normal 2 5" xfId="145"/>
    <cellStyle name="Normal 3" xfId="128"/>
    <cellStyle name="Normal 3 2" xfId="129"/>
    <cellStyle name="Normal 3 2 2" xfId="147"/>
    <cellStyle name="Normal 4" xfId="130"/>
    <cellStyle name="Normal 5" xfId="131"/>
    <cellStyle name="Normal 5 2" xfId="132"/>
    <cellStyle name="Normal 5_Allowance0915" xfId="133"/>
    <cellStyle name="Normal 6" xfId="134"/>
    <cellStyle name="Normal 6 2" xfId="135"/>
    <cellStyle name="Normal 6 2 2" xfId="136"/>
    <cellStyle name="Normal 7" xfId="137"/>
    <cellStyle name="Normal 8" xfId="138"/>
    <cellStyle name="Normal 8 2" xfId="139"/>
    <cellStyle name="Normal 8 3" xfId="140"/>
    <cellStyle name="Normal 8_Allowance0915" xfId="141"/>
    <cellStyle name="Normal 9" xfId="142"/>
    <cellStyle name="Normal 9 2" xfId="143"/>
    <cellStyle name="Normal 9 3" xfId="144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-%20Instit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Ban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EDITED 3 Years"/>
      <sheetName val="PLN"/>
      <sheetName val="REF - InstitutionType"/>
      <sheetName val="SEED - Institution"/>
      <sheetName val="RAW EDITED All Years"/>
      <sheetName val="Sheet2"/>
      <sheetName val="DataLookUp - Institution"/>
      <sheetName val="SEED - InstitutionBranch"/>
      <sheetName val="DataLookUp - InstitutionBranch"/>
      <sheetName val="SEED - Supplier"/>
      <sheetName val="DataLookUp - Supplier"/>
      <sheetName val="SEED - Customer"/>
      <sheetName val="DataLookUp - Customer"/>
      <sheetName val="Transform Contact Email"/>
      <sheetName val="Transform Contact"/>
      <sheetName val="Telp Fax Merge"/>
      <sheetName val="EMail Merge"/>
      <sheetName val="SQL - Customer"/>
      <sheetName val="Sheet1"/>
      <sheetName val="RAW - Customer"/>
      <sheetName val="SQL - Supplier"/>
      <sheetName val="RAW - Suppli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124000000000001</v>
          </cell>
          <cell r="C4" t="str">
            <v>PT. QDC Technologies</v>
          </cell>
        </row>
        <row r="5">
          <cell r="B5">
            <v>124000000000002</v>
          </cell>
          <cell r="C5" t="str">
            <v>PT. Infra Media Dinamika</v>
          </cell>
        </row>
        <row r="6">
          <cell r="B6">
            <v>124000000000003</v>
          </cell>
          <cell r="C6" t="str">
            <v>PT. Daya Hidro Dinamika</v>
          </cell>
        </row>
        <row r="7">
          <cell r="B7">
            <v>124000000000004</v>
          </cell>
          <cell r="C7" t="str">
            <v>PT. Energi Mekar Lestari</v>
          </cell>
        </row>
        <row r="8">
          <cell r="B8">
            <v>124000000000005</v>
          </cell>
          <cell r="C8" t="str">
            <v>PT. KHA</v>
          </cell>
        </row>
        <row r="9">
          <cell r="B9">
            <v>124000000000006</v>
          </cell>
          <cell r="C9" t="str">
            <v>PT. Abhitama Citra Abadi</v>
          </cell>
        </row>
        <row r="10">
          <cell r="B10">
            <v>124000000000007</v>
          </cell>
          <cell r="C10" t="str">
            <v>PT. Abiyasa Tunggal</v>
          </cell>
        </row>
        <row r="11">
          <cell r="B11">
            <v>124000000000008</v>
          </cell>
          <cell r="C11" t="str">
            <v>PT. Aplika Nusa Lintas Arta</v>
          </cell>
        </row>
        <row r="12">
          <cell r="B12">
            <v>124000000000009</v>
          </cell>
          <cell r="C12" t="str">
            <v>PT. Bakrie Telecom, Tbk</v>
          </cell>
        </row>
        <row r="13">
          <cell r="B13">
            <v>124000000000010</v>
          </cell>
          <cell r="C13" t="str">
            <v>PT. Bukaka Teknik Utama, Tbk</v>
          </cell>
        </row>
        <row r="14">
          <cell r="B14">
            <v>124000000000011</v>
          </cell>
          <cell r="C14" t="str">
            <v>PT. Citra Panji Manunggal</v>
          </cell>
        </row>
        <row r="15">
          <cell r="B15">
            <v>124000000000012</v>
          </cell>
          <cell r="C15" t="str">
            <v>PT. Dayamitra Telekomunikasi</v>
          </cell>
        </row>
        <row r="16">
          <cell r="B16">
            <v>124000000000013</v>
          </cell>
          <cell r="C16" t="str">
            <v>Departemen Dalam Negeri</v>
          </cell>
        </row>
        <row r="17">
          <cell r="B17">
            <v>124000000000014</v>
          </cell>
          <cell r="C17" t="str">
            <v>PT. Duta Hita Jaya</v>
          </cell>
        </row>
        <row r="18">
          <cell r="B18">
            <v>124000000000015</v>
          </cell>
          <cell r="C18" t="str">
            <v>PT. Duta Pertiwi, Tbk</v>
          </cell>
        </row>
        <row r="19">
          <cell r="B19">
            <v>124000000000016</v>
          </cell>
          <cell r="C19" t="str">
            <v>PT. Duta Realtindo Perkasa</v>
          </cell>
        </row>
        <row r="20">
          <cell r="B20">
            <v>124000000000017</v>
          </cell>
          <cell r="C20" t="str">
            <v>PT. Ericsson Indonesia</v>
          </cell>
        </row>
        <row r="21">
          <cell r="B21">
            <v>124000000000018</v>
          </cell>
          <cell r="C21" t="str">
            <v>PT. Esa Mitra Teknologi</v>
          </cell>
        </row>
        <row r="22">
          <cell r="B22">
            <v>124000000000019</v>
          </cell>
          <cell r="C22" t="str">
            <v>PT. First Media, Tbk</v>
          </cell>
        </row>
        <row r="23">
          <cell r="B23">
            <v>124000000000020</v>
          </cell>
          <cell r="C23" t="str">
            <v>Flexi</v>
          </cell>
        </row>
        <row r="24">
          <cell r="B24">
            <v>124000000000021</v>
          </cell>
          <cell r="C24" t="str">
            <v>Flexi Mitrayasa</v>
          </cell>
        </row>
        <row r="25">
          <cell r="B25">
            <v>124000000000022</v>
          </cell>
          <cell r="C25" t="str">
            <v>PT. Huawei Tech Investment</v>
          </cell>
        </row>
        <row r="26">
          <cell r="B26">
            <v>124000000000023</v>
          </cell>
          <cell r="C26" t="str">
            <v>PT. Hutchinson 3 Indonesia</v>
          </cell>
        </row>
        <row r="27">
          <cell r="B27">
            <v>124000000000024</v>
          </cell>
          <cell r="C27" t="str">
            <v>PT. Indoprima Seluler</v>
          </cell>
        </row>
        <row r="28">
          <cell r="B28">
            <v>124000000000025</v>
          </cell>
          <cell r="C28" t="str">
            <v>PT. Indosat, Tbk [a.k.a : Indosat] - Jakarta</v>
          </cell>
        </row>
        <row r="29">
          <cell r="B29">
            <v>124000000000026</v>
          </cell>
          <cell r="C29" t="str">
            <v>PT. Industri Telekomunikasi Indonesia (Persero) [a.k.a : INTI]</v>
          </cell>
        </row>
        <row r="30">
          <cell r="B30">
            <v>124000000000027</v>
          </cell>
          <cell r="C30" t="str">
            <v>PT. Infrastruktur Bisnis Sejahtera</v>
          </cell>
        </row>
        <row r="31">
          <cell r="B31">
            <v>124000000000028</v>
          </cell>
          <cell r="C31" t="str">
            <v>PT. Intershop Prima Center</v>
          </cell>
        </row>
        <row r="32">
          <cell r="B32">
            <v>124000000000029</v>
          </cell>
          <cell r="C32" t="str">
            <v>PT. Inti Bangun Sejahtera, Tbk</v>
          </cell>
        </row>
        <row r="33">
          <cell r="B33">
            <v>124000000000030</v>
          </cell>
          <cell r="C33" t="str">
            <v>PT. Karya Mitra Nugraha</v>
          </cell>
        </row>
        <row r="34">
          <cell r="B34">
            <v>124000000000031</v>
          </cell>
          <cell r="C34" t="str">
            <v>PT. Lektrika Karyatama</v>
          </cell>
        </row>
        <row r="35">
          <cell r="B35">
            <v>124000000000032</v>
          </cell>
          <cell r="C35" t="str">
            <v>PT. Link Net</v>
          </cell>
        </row>
        <row r="36">
          <cell r="B36">
            <v>124000000000033</v>
          </cell>
          <cell r="C36" t="str">
            <v>PT. Lintas Teknologi Indonesia</v>
          </cell>
        </row>
        <row r="37">
          <cell r="B37">
            <v>124000000000034</v>
          </cell>
          <cell r="C37" t="str">
            <v>PT. Mega Eltra</v>
          </cell>
        </row>
        <row r="38">
          <cell r="B38">
            <v>124000000000035</v>
          </cell>
          <cell r="C38" t="str">
            <v>PT. Megatel Jaya Swastikarya</v>
          </cell>
        </row>
        <row r="39">
          <cell r="B39">
            <v>124000000000036</v>
          </cell>
          <cell r="C39" t="str">
            <v>PT. Nokia Indonesia</v>
          </cell>
        </row>
        <row r="40">
          <cell r="B40">
            <v>124000000000037</v>
          </cell>
          <cell r="C40" t="str">
            <v>PT. Nokia Siemens Network Indonesia</v>
          </cell>
        </row>
        <row r="41">
          <cell r="B41">
            <v>124000000000038</v>
          </cell>
          <cell r="C41" t="str">
            <v>PT. Pertamina Geothermal Energy</v>
          </cell>
        </row>
        <row r="42">
          <cell r="B42">
            <v>124000000000039</v>
          </cell>
          <cell r="C42" t="str">
            <v>PT. Pelayanan Listrik Nasional (Persero) [a.k.a : PLN] - Kantor Pusat</v>
          </cell>
        </row>
        <row r="43">
          <cell r="B43">
            <v>124000000000040</v>
          </cell>
          <cell r="C43" t="str">
            <v>PT. Pelayanan Listrik Nasional (Persero) [a.k.a : PLN] - Batam</v>
          </cell>
        </row>
        <row r="44">
          <cell r="B44">
            <v>124000000000041</v>
          </cell>
          <cell r="C44" t="str">
            <v>PT. Pelayanan Listrik Nasional (Persero) [a.k.a : PLN] - Penyaluran dan Pusat Pengatur Beban (P3B) Jawa Bali - APP Cawang</v>
          </cell>
        </row>
        <row r="45">
          <cell r="B45">
            <v>124000000000042</v>
          </cell>
          <cell r="C45" t="str">
            <v>PT. Pelayanan Listrik Nasional (Persero) [a.k.a : PLN] - Unit Induk Pembangunan (UIP) V</v>
          </cell>
        </row>
        <row r="46">
          <cell r="B46">
            <v>124000000000043</v>
          </cell>
          <cell r="C46" t="str">
            <v>PT. Pelayanan Listrik Nasional (Persero) [a.k.a : PLN] - Unit Induk Pembangunan (UIP) Nusa Tenggara</v>
          </cell>
        </row>
        <row r="47">
          <cell r="B47">
            <v>124000000000044</v>
          </cell>
          <cell r="C47" t="str">
            <v>PT. Pelayanan Listrik Nasional (Persero) [a.k.a : PLN] - Unit Induk Pembangunan (UIP) XIII</v>
          </cell>
        </row>
        <row r="48">
          <cell r="B48">
            <v>124000000000045</v>
          </cell>
          <cell r="C48" t="str">
            <v>PT. Pelayanan Listrik Nasional (Persero) [a.k.a : PLN] - Pusat Pengatur Beban (P2B) Jawa Bali - Area Pengatur Beban (APB) Jawa Tengah &amp; DIY</v>
          </cell>
        </row>
        <row r="49">
          <cell r="B49">
            <v>124000000000046</v>
          </cell>
          <cell r="C49" t="str">
            <v>PT. Pelayanan Listrik Nasional (Persero) [a.k.a : PLN] - Unit Induk Pembangunan (UIP) II</v>
          </cell>
        </row>
        <row r="50">
          <cell r="B50">
            <v>124000000000047</v>
          </cell>
          <cell r="C50" t="str">
            <v>PT. Pelayanan Listrik Nasional (Persero) [a.k.a : PLN] - Unit Induk Pembangunan (UIP) Interkoneksi Sumatera Jawa</v>
          </cell>
        </row>
        <row r="51">
          <cell r="B51">
            <v>124000000000048</v>
          </cell>
          <cell r="C51" t="str">
            <v>PT. Pelayanan Listrik Nasional (Persero) [a.k.a : PLN] - Unit Induk Pembangunan (UIP) X</v>
          </cell>
        </row>
        <row r="52">
          <cell r="B52">
            <v>124000000000049</v>
          </cell>
          <cell r="C52" t="str">
            <v xml:space="preserve">PT. Pelayanan Listrik Nasional (Persero) [a.k.a : PLN] - Unit Induk Pembangunan (UIP) JBT II </v>
          </cell>
        </row>
        <row r="53">
          <cell r="B53">
            <v>124000000000050</v>
          </cell>
          <cell r="C53" t="str">
            <v>PT. Protelindo</v>
          </cell>
        </row>
        <row r="54">
          <cell r="B54">
            <v>124000000000051</v>
          </cell>
          <cell r="C54" t="str">
            <v>PT. Ramayana Lestari Sentosa, Tbk [a.k.a : Ramayana Departement Store]</v>
          </cell>
        </row>
        <row r="55">
          <cell r="B55">
            <v>124000000000052</v>
          </cell>
          <cell r="C55" t="str">
            <v>PT. Rekadaya Elektrika</v>
          </cell>
        </row>
        <row r="56">
          <cell r="B56">
            <v>124000000000053</v>
          </cell>
          <cell r="C56" t="str">
            <v>CV. Sejahtera Mandiri</v>
          </cell>
        </row>
        <row r="57">
          <cell r="B57">
            <v>124000000000054</v>
          </cell>
          <cell r="C57" t="str">
            <v>PT. Sigindo Kemas</v>
          </cell>
        </row>
        <row r="58">
          <cell r="B58">
            <v>124000000000055</v>
          </cell>
          <cell r="C58" t="str">
            <v>PT. Smart Telecom</v>
          </cell>
        </row>
        <row r="59">
          <cell r="B59">
            <v>124000000000056</v>
          </cell>
          <cell r="C59" t="str">
            <v>PT. Telekomunikasi Indonesia (Persero), Tbk [a.k.a : Telkom] - Bandung</v>
          </cell>
        </row>
        <row r="60">
          <cell r="B60">
            <v>124000000000057</v>
          </cell>
          <cell r="C60" t="str">
            <v>PT. Telekomunikasi Selular, Tbk [a.k.a : Telkomsel] - Jakarta</v>
          </cell>
        </row>
        <row r="61">
          <cell r="B61">
            <v>124000000000058</v>
          </cell>
          <cell r="C61" t="str">
            <v>PT. Telkom Akses</v>
          </cell>
        </row>
        <row r="62">
          <cell r="B62">
            <v>124000000000059</v>
          </cell>
          <cell r="C62" t="str">
            <v>PT. Tosan Permai Lestari</v>
          </cell>
        </row>
        <row r="63">
          <cell r="B63">
            <v>124000000000060</v>
          </cell>
          <cell r="C63" t="str">
            <v>PT. Tower Capital Indonesia</v>
          </cell>
        </row>
        <row r="64">
          <cell r="B64">
            <v>124000000000061</v>
          </cell>
          <cell r="C64" t="str">
            <v>PT. Waskita Karya (Persero), Tbk</v>
          </cell>
        </row>
        <row r="65">
          <cell r="B65">
            <v>124000000000062</v>
          </cell>
          <cell r="C65" t="str">
            <v>PT. Widodo Karya Sejahtera</v>
          </cell>
        </row>
        <row r="66">
          <cell r="B66">
            <v>124000000000063</v>
          </cell>
          <cell r="C66" t="str">
            <v>PT. XL Axiata, Tbk [a.k.a : XL]</v>
          </cell>
        </row>
        <row r="67">
          <cell r="B67">
            <v>124000000000064</v>
          </cell>
          <cell r="C67" t="str">
            <v>PT. XL Mitrayasa</v>
          </cell>
        </row>
        <row r="68">
          <cell r="B68">
            <v>124000000000065</v>
          </cell>
          <cell r="C68" t="str">
            <v>PT. ZTE Indonesia</v>
          </cell>
        </row>
        <row r="69">
          <cell r="B69">
            <v>124000000000066</v>
          </cell>
          <cell r="C69" t="str">
            <v>PT. Sansaine Exindo</v>
          </cell>
        </row>
        <row r="70">
          <cell r="B70">
            <v>124000000000067</v>
          </cell>
          <cell r="C70" t="str">
            <v>Indo Jaya Scaffolding</v>
          </cell>
        </row>
        <row r="71">
          <cell r="B71">
            <v>124000000000068</v>
          </cell>
          <cell r="C71" t="str">
            <v>PT. Pembangunan Perumahan (Persero), Tbk [a.k.a : PP]</v>
          </cell>
        </row>
        <row r="72">
          <cell r="B72">
            <v>124000000000069</v>
          </cell>
          <cell r="C72" t="str">
            <v>Linus Nusa Express</v>
          </cell>
        </row>
        <row r="73">
          <cell r="B73">
            <v>124000000000070</v>
          </cell>
          <cell r="C73" t="str">
            <v>PT. Penjaminan Jamkrindo Syariah</v>
          </cell>
        </row>
        <row r="74">
          <cell r="B74">
            <v>124000000000071</v>
          </cell>
          <cell r="C74" t="str">
            <v>PT. Larsen And Tourbo</v>
          </cell>
        </row>
        <row r="75">
          <cell r="B75">
            <v>124000000000072</v>
          </cell>
          <cell r="C75" t="str">
            <v>PT. Pelayanan Listrik Nasional (Persero) [a.k.a : PLN] - Unit Induk Pembangunan (UIP) Kalimantan Bagian Barat</v>
          </cell>
        </row>
        <row r="76">
          <cell r="B76">
            <v>124000000000073</v>
          </cell>
          <cell r="C76" t="str">
            <v>PT. Pelayanan Listrik Nasional (Persero) [a.k.a : PLN] - Unit Induk Pembangunan (UIP) Sumatera Bagian Tengah</v>
          </cell>
        </row>
        <row r="77">
          <cell r="B77">
            <v>124000000000074</v>
          </cell>
          <cell r="C77" t="str">
            <v>PT. Asuransi Sinar Mas</v>
          </cell>
        </row>
        <row r="78">
          <cell r="B78">
            <v>124000000000075</v>
          </cell>
          <cell r="C78" t="str">
            <v>Agung Jaya</v>
          </cell>
        </row>
        <row r="79">
          <cell r="B79">
            <v>124000000000076</v>
          </cell>
          <cell r="C79" t="str">
            <v>Aji Perkasa</v>
          </cell>
        </row>
        <row r="80">
          <cell r="B80">
            <v>124000000000077</v>
          </cell>
          <cell r="C80" t="str">
            <v>Aledro Duta Jaya</v>
          </cell>
        </row>
        <row r="81">
          <cell r="B81">
            <v>124000000000078</v>
          </cell>
          <cell r="C81" t="str">
            <v>Alpine Cool Utama</v>
          </cell>
        </row>
        <row r="82">
          <cell r="B82">
            <v>124000000000079</v>
          </cell>
          <cell r="C82" t="str">
            <v>Alumagada Jaya Mandiri</v>
          </cell>
        </row>
        <row r="83">
          <cell r="B83">
            <v>124000000000080</v>
          </cell>
          <cell r="C83" t="str">
            <v>PT. Karawang Dinamika Lestari</v>
          </cell>
        </row>
        <row r="84">
          <cell r="B84">
            <v>124000000000081</v>
          </cell>
          <cell r="C84" t="str">
            <v>KSO WST-QDC</v>
          </cell>
        </row>
        <row r="85">
          <cell r="B85">
            <v>124000000000082</v>
          </cell>
          <cell r="C85" t="str">
            <v>PT. Adhi Commuter Properti</v>
          </cell>
        </row>
        <row r="86">
          <cell r="B86">
            <v>124000000000083</v>
          </cell>
          <cell r="C86" t="str">
            <v>PT. Pelayanan Listrik Nasional (Persero) [a.k.a : PLN] - Penyaluran dan Pusat Pengaturan (P2B) Jawa Bali</v>
          </cell>
        </row>
        <row r="87">
          <cell r="B87">
            <v>124000000000084</v>
          </cell>
          <cell r="C87" t="str">
            <v>CV. Alfa Link Mandiri</v>
          </cell>
        </row>
        <row r="88">
          <cell r="B88">
            <v>124000000000085</v>
          </cell>
          <cell r="C88" t="str">
            <v>CV. Alodia Makmur Abadi</v>
          </cell>
        </row>
        <row r="89">
          <cell r="B89">
            <v>124000000000086</v>
          </cell>
          <cell r="C89" t="str">
            <v>CV. Anugerah Karya Magantha</v>
          </cell>
        </row>
        <row r="90">
          <cell r="B90">
            <v>124000000000087</v>
          </cell>
          <cell r="C90" t="str">
            <v>CV. Artha Jaya Mulya</v>
          </cell>
        </row>
        <row r="91">
          <cell r="B91">
            <v>124000000000088</v>
          </cell>
          <cell r="C91" t="str">
            <v>CV. Borneo Geotec Engginering</v>
          </cell>
        </row>
        <row r="92">
          <cell r="B92">
            <v>124000000000089</v>
          </cell>
          <cell r="C92" t="str">
            <v>CV. Cipta Aneka Sarana</v>
          </cell>
        </row>
        <row r="93">
          <cell r="B93">
            <v>124000000000090</v>
          </cell>
          <cell r="C93" t="str">
            <v>CV. Didi Dan Darwis Survey</v>
          </cell>
        </row>
        <row r="94">
          <cell r="B94">
            <v>124000000000091</v>
          </cell>
          <cell r="C94" t="str">
            <v>CV. Dinargeo Survey</v>
          </cell>
        </row>
        <row r="95">
          <cell r="B95">
            <v>124000000000092</v>
          </cell>
          <cell r="C95" t="str">
            <v>CV. Direct Linus Logistik</v>
          </cell>
        </row>
        <row r="96">
          <cell r="B96">
            <v>124000000000093</v>
          </cell>
          <cell r="C96" t="str">
            <v>CV. Edi Jaya Bangunan</v>
          </cell>
        </row>
        <row r="97">
          <cell r="B97">
            <v>124000000000094</v>
          </cell>
          <cell r="C97" t="str">
            <v>CV. Elang Sega</v>
          </cell>
        </row>
        <row r="98">
          <cell r="B98">
            <v>124000000000095</v>
          </cell>
          <cell r="C98" t="str">
            <v>CV. Gallazka Teknik</v>
          </cell>
        </row>
        <row r="99">
          <cell r="B99">
            <v>124000000000096</v>
          </cell>
          <cell r="C99" t="str">
            <v>CV. Ghania Mandiri</v>
          </cell>
        </row>
        <row r="100">
          <cell r="B100">
            <v>124000000000097</v>
          </cell>
          <cell r="C100" t="str">
            <v>CV. Istana Gemilang Mandiri</v>
          </cell>
        </row>
        <row r="101">
          <cell r="B101">
            <v>124000000000098</v>
          </cell>
          <cell r="C101" t="str">
            <v>CV. Jember Elektrindo Gemilang</v>
          </cell>
        </row>
        <row r="102">
          <cell r="B102">
            <v>124000000000099</v>
          </cell>
          <cell r="C102" t="str">
            <v>CV. Karya Baru</v>
          </cell>
        </row>
        <row r="103">
          <cell r="B103">
            <v>124000000000100</v>
          </cell>
          <cell r="C103" t="str">
            <v>CV. Kawan Inti Jaya</v>
          </cell>
        </row>
        <row r="104">
          <cell r="B104">
            <v>124000000000101</v>
          </cell>
          <cell r="C104" t="str">
            <v>CV. Laba Mandiri Lapaopao</v>
          </cell>
        </row>
        <row r="105">
          <cell r="B105">
            <v>124000000000102</v>
          </cell>
          <cell r="C105" t="str">
            <v>CV. Mitra Bengawan Trans</v>
          </cell>
        </row>
        <row r="106">
          <cell r="B106">
            <v>124000000000103</v>
          </cell>
          <cell r="C106" t="str">
            <v>CV. Mulia Jaya Steel</v>
          </cell>
        </row>
        <row r="107">
          <cell r="B107">
            <v>124000000000104</v>
          </cell>
          <cell r="C107" t="str">
            <v>CV. Muzima</v>
          </cell>
        </row>
        <row r="108">
          <cell r="B108">
            <v>124000000000105</v>
          </cell>
          <cell r="C108" t="str">
            <v>CV. Punokawan</v>
          </cell>
        </row>
        <row r="109">
          <cell r="B109">
            <v>124000000000106</v>
          </cell>
          <cell r="C109" t="str">
            <v>CV. Putra Bintang Api</v>
          </cell>
        </row>
        <row r="110">
          <cell r="B110">
            <v>124000000000107</v>
          </cell>
          <cell r="C110" t="str">
            <v>CV. Sangiang Teknik Perkasa</v>
          </cell>
        </row>
        <row r="111">
          <cell r="B111">
            <v>124000000000108</v>
          </cell>
          <cell r="C111" t="str">
            <v>CV. Siliwangi jaya</v>
          </cell>
        </row>
        <row r="112">
          <cell r="B112">
            <v>124000000000109</v>
          </cell>
          <cell r="C112" t="str">
            <v>CV. Sukses Indo Pratama</v>
          </cell>
        </row>
        <row r="113">
          <cell r="B113">
            <v>124000000000110</v>
          </cell>
          <cell r="C113" t="str">
            <v>CV. Sumber Rezeki</v>
          </cell>
        </row>
        <row r="114">
          <cell r="B114">
            <v>124000000000111</v>
          </cell>
          <cell r="C114" t="str">
            <v>CV. Sumber Sarana Karya</v>
          </cell>
        </row>
        <row r="115">
          <cell r="B115">
            <v>124000000000112</v>
          </cell>
          <cell r="C115" t="str">
            <v>CV. Surya Pandawa Nusa</v>
          </cell>
        </row>
        <row r="116">
          <cell r="B116">
            <v>124000000000113</v>
          </cell>
          <cell r="C116" t="str">
            <v>PT. Abadi Rajawali Semesta</v>
          </cell>
        </row>
        <row r="117">
          <cell r="B117">
            <v>124000000000114</v>
          </cell>
          <cell r="C117" t="str">
            <v>PT. Adibrata Graha</v>
          </cell>
        </row>
        <row r="118">
          <cell r="B118">
            <v>124000000000115</v>
          </cell>
          <cell r="C118" t="str">
            <v>PT. Aegisindo Mitra Sejati</v>
          </cell>
        </row>
        <row r="119">
          <cell r="B119">
            <v>124000000000116</v>
          </cell>
          <cell r="C119" t="str">
            <v>PT. Agape Biomedi Investama</v>
          </cell>
        </row>
        <row r="120">
          <cell r="B120">
            <v>124000000000117</v>
          </cell>
          <cell r="C120" t="str">
            <v>PT. Ali Sejahtera</v>
          </cell>
        </row>
        <row r="121">
          <cell r="B121">
            <v>124000000000118</v>
          </cell>
          <cell r="C121" t="str">
            <v>PT. Andalan Dinamika Konstrukindo</v>
          </cell>
        </row>
        <row r="122">
          <cell r="B122">
            <v>124000000000119</v>
          </cell>
          <cell r="C122" t="str">
            <v>PT. Aneza Persada Abadi</v>
          </cell>
        </row>
        <row r="123">
          <cell r="B123">
            <v>124000000000120</v>
          </cell>
          <cell r="C123" t="str">
            <v>PT. Asiatronic Indo Makmur</v>
          </cell>
        </row>
        <row r="124">
          <cell r="B124">
            <v>124000000000121</v>
          </cell>
          <cell r="C124" t="str">
            <v>PT. Asuransi Asei Indonesia</v>
          </cell>
        </row>
        <row r="125">
          <cell r="B125">
            <v>124000000000122</v>
          </cell>
          <cell r="C125" t="str">
            <v>PT. Asuransi Multi Artha Guna</v>
          </cell>
        </row>
        <row r="126">
          <cell r="B126">
            <v>124000000000123</v>
          </cell>
          <cell r="C126" t="str">
            <v>PT. Asuransi Perisai Listrik Nasional</v>
          </cell>
        </row>
        <row r="127">
          <cell r="B127">
            <v>124000000000124</v>
          </cell>
          <cell r="C127" t="str">
            <v>PT. Bangun Rancang Indonesia Kita</v>
          </cell>
        </row>
        <row r="128">
          <cell r="B128">
            <v>124000000000125</v>
          </cell>
          <cell r="C128" t="str">
            <v>PT. Beringin Floratama Megah</v>
          </cell>
        </row>
        <row r="129">
          <cell r="B129">
            <v>124000000000126</v>
          </cell>
          <cell r="C129" t="str">
            <v>PT. Berkah Tirta Wahana</v>
          </cell>
        </row>
        <row r="130">
          <cell r="B130">
            <v>124000000000127</v>
          </cell>
          <cell r="C130" t="str">
            <v>PT. Berkat Sahabat Sejati</v>
          </cell>
        </row>
        <row r="131">
          <cell r="B131">
            <v>124000000000128</v>
          </cell>
          <cell r="C131" t="str">
            <v>PT. Best Energy System</v>
          </cell>
        </row>
        <row r="132">
          <cell r="B132">
            <v>124000000000129</v>
          </cell>
          <cell r="C132" t="str">
            <v>PT. Beton Perkasa Wijaksana</v>
          </cell>
        </row>
        <row r="133">
          <cell r="B133">
            <v>124000000000130</v>
          </cell>
          <cell r="C133" t="str">
            <v>PT. Bhirawa Metal Mandiri</v>
          </cell>
        </row>
        <row r="134">
          <cell r="B134">
            <v>124000000000131</v>
          </cell>
          <cell r="C134" t="str">
            <v>PT. Bigi Multi Internasional</v>
          </cell>
        </row>
        <row r="135">
          <cell r="B135">
            <v>124000000000132</v>
          </cell>
          <cell r="C135" t="str">
            <v>PT. Bintang Indah Persada</v>
          </cell>
        </row>
        <row r="136">
          <cell r="B136">
            <v>124000000000133</v>
          </cell>
          <cell r="C136" t="str">
            <v>PT. Bintang Virgo Utama</v>
          </cell>
        </row>
        <row r="137">
          <cell r="B137">
            <v>124000000000134</v>
          </cell>
          <cell r="C137" t="str">
            <v>PT. Biro Klasifikasi Indonesia</v>
          </cell>
        </row>
        <row r="138">
          <cell r="B138">
            <v>124000000000135</v>
          </cell>
          <cell r="C138" t="str">
            <v>PT. Blue Power International</v>
          </cell>
        </row>
        <row r="139">
          <cell r="B139">
            <v>124000000000136</v>
          </cell>
          <cell r="C139" t="str">
            <v>PT. Bosowa Asuransi</v>
          </cell>
        </row>
        <row r="140">
          <cell r="B140">
            <v>124000000000137</v>
          </cell>
          <cell r="C140" t="str">
            <v>PT. Buana Tirta Semesta</v>
          </cell>
        </row>
        <row r="141">
          <cell r="B141">
            <v>124000000000138</v>
          </cell>
          <cell r="C141" t="str">
            <v>PT. Cahaya Mentari Cemerlang</v>
          </cell>
        </row>
        <row r="142">
          <cell r="B142">
            <v>124000000000139</v>
          </cell>
          <cell r="C142" t="str">
            <v>PT. Cakrawala Persada Internasional</v>
          </cell>
        </row>
        <row r="143">
          <cell r="B143">
            <v>124000000000140</v>
          </cell>
          <cell r="C143" t="str">
            <v>PT. Caroline Trans Mandiri</v>
          </cell>
        </row>
        <row r="144">
          <cell r="B144">
            <v>124000000000141</v>
          </cell>
          <cell r="C144" t="str">
            <v>PT. Cita Baja</v>
          </cell>
        </row>
        <row r="145">
          <cell r="B145">
            <v>124000000000142</v>
          </cell>
          <cell r="C145" t="str">
            <v>PT. Citra Banjar Abadi</v>
          </cell>
        </row>
        <row r="146">
          <cell r="B146">
            <v>124000000000143</v>
          </cell>
          <cell r="C146" t="str">
            <v>PT. Datascrip</v>
          </cell>
        </row>
        <row r="147">
          <cell r="B147">
            <v>124000000000144</v>
          </cell>
          <cell r="C147" t="str">
            <v>PT. Denko Wahana Sakti</v>
          </cell>
        </row>
        <row r="148">
          <cell r="B148">
            <v>124000000000145</v>
          </cell>
          <cell r="C148" t="str">
            <v>PT. Detech Profesional Indonesia</v>
          </cell>
        </row>
        <row r="149">
          <cell r="B149">
            <v>124000000000146</v>
          </cell>
          <cell r="C149" t="str">
            <v>PT. Dharma Lautan Utama</v>
          </cell>
        </row>
        <row r="150">
          <cell r="B150">
            <v>124000000000147</v>
          </cell>
          <cell r="C150" t="str">
            <v>PT. Dinar Energi Utama</v>
          </cell>
        </row>
        <row r="151">
          <cell r="B151">
            <v>124000000000148</v>
          </cell>
          <cell r="C151" t="str">
            <v>PT. Dirgatz Indonesia</v>
          </cell>
        </row>
        <row r="152">
          <cell r="B152">
            <v>124000000000149</v>
          </cell>
          <cell r="C152" t="str">
            <v>PT. Dwimitra Sejahtera Bersama</v>
          </cell>
        </row>
        <row r="153">
          <cell r="B153">
            <v>124000000000150</v>
          </cell>
          <cell r="C153" t="str">
            <v>PT. Elbion Karya Solusi</v>
          </cell>
        </row>
        <row r="154">
          <cell r="B154">
            <v>124000000000151</v>
          </cell>
          <cell r="C154" t="str">
            <v>PT. Fortindo Maju Bersama</v>
          </cell>
        </row>
        <row r="155">
          <cell r="B155">
            <v>124000000000152</v>
          </cell>
          <cell r="C155" t="str">
            <v>PT. Gateway Container Line Indonesia</v>
          </cell>
        </row>
        <row r="156">
          <cell r="B156">
            <v>124000000000153</v>
          </cell>
          <cell r="C156" t="str">
            <v>PT. Geo Cipta Bangun</v>
          </cell>
        </row>
        <row r="157">
          <cell r="B157">
            <v>124000000000154</v>
          </cell>
          <cell r="C157" t="str">
            <v>PT. Geo Metri Indonesia</v>
          </cell>
        </row>
        <row r="158">
          <cell r="B158">
            <v>124000000000155</v>
          </cell>
          <cell r="C158" t="str">
            <v>PT. Geotechnical Systemindo</v>
          </cell>
        </row>
        <row r="159">
          <cell r="B159">
            <v>124000000000156</v>
          </cell>
          <cell r="C159" t="str">
            <v>PT. Gerindo Tehnik</v>
          </cell>
        </row>
        <row r="160">
          <cell r="B160">
            <v>124000000000157</v>
          </cell>
          <cell r="C160" t="str">
            <v>PT. Giapindo King Stone</v>
          </cell>
        </row>
        <row r="161">
          <cell r="B161">
            <v>124000000000158</v>
          </cell>
          <cell r="C161" t="str">
            <v>PT. Givro Multi Teknik Perkasa</v>
          </cell>
        </row>
        <row r="162">
          <cell r="B162">
            <v>124000000000159</v>
          </cell>
          <cell r="C162" t="str">
            <v>PT. Globalindo Energi Perkasa</v>
          </cell>
        </row>
        <row r="163">
          <cell r="B163">
            <v>124000000000160</v>
          </cell>
          <cell r="C163" t="str">
            <v>PT. Harapan Mitra Pengusaha Nusantara</v>
          </cell>
        </row>
        <row r="164">
          <cell r="B164">
            <v>124000000000161</v>
          </cell>
          <cell r="C164" t="str">
            <v>PT. Hartelindo Telco Utama</v>
          </cell>
        </row>
        <row r="165">
          <cell r="B165">
            <v>124000000000162</v>
          </cell>
          <cell r="C165" t="str">
            <v>PT. Hesindo Karya Pratama</v>
          </cell>
        </row>
        <row r="166">
          <cell r="B166">
            <v>124000000000163</v>
          </cell>
          <cell r="C166" t="str">
            <v>PT. Hijrah Insan Karima</v>
          </cell>
        </row>
        <row r="167">
          <cell r="B167">
            <v>124000000000164</v>
          </cell>
          <cell r="C167" t="str">
            <v>PT. Hitachi Sakti Energy Indonesia</v>
          </cell>
        </row>
        <row r="168">
          <cell r="B168">
            <v>124000000000165</v>
          </cell>
          <cell r="C168" t="str">
            <v>PT. Indah Logistik Cargo</v>
          </cell>
        </row>
        <row r="169">
          <cell r="B169">
            <v>124000000000166</v>
          </cell>
          <cell r="C169" t="str">
            <v>PT. Infracoo Pengadaan Indonesia</v>
          </cell>
        </row>
        <row r="170">
          <cell r="B170">
            <v>124000000000167</v>
          </cell>
          <cell r="C170" t="str">
            <v>PT. Inti Teknologi Indonesia Utama</v>
          </cell>
        </row>
        <row r="171">
          <cell r="B171">
            <v>124000000000168</v>
          </cell>
          <cell r="C171" t="str">
            <v>PT. Iradat Aman Globalindo</v>
          </cell>
        </row>
        <row r="172">
          <cell r="B172">
            <v>124000000000169</v>
          </cell>
          <cell r="C172" t="str">
            <v>PT. Jaring Permata Samudra</v>
          </cell>
        </row>
        <row r="173">
          <cell r="B173">
            <v>124000000000170</v>
          </cell>
          <cell r="C173" t="str">
            <v>PT. Jaring Telekomunikasi Indonesia</v>
          </cell>
        </row>
        <row r="174">
          <cell r="B174">
            <v>124000000000171</v>
          </cell>
          <cell r="C174" t="str">
            <v>PT. Jaya Beton Indonesia</v>
          </cell>
        </row>
        <row r="175">
          <cell r="B175">
            <v>124000000000172</v>
          </cell>
          <cell r="C175" t="str">
            <v>PT. Jogatama Mandauputra</v>
          </cell>
        </row>
        <row r="176">
          <cell r="B176">
            <v>124000000000173</v>
          </cell>
          <cell r="C176" t="str">
            <v>PT. Joko Mas Pancang</v>
          </cell>
        </row>
        <row r="177">
          <cell r="B177">
            <v>124000000000174</v>
          </cell>
          <cell r="C177" t="str">
            <v>PT. Kalimantan Beton Perkasa</v>
          </cell>
        </row>
        <row r="178">
          <cell r="B178">
            <v>124000000000175</v>
          </cell>
          <cell r="C178" t="str">
            <v>PT. Kalimantan Prakarsa Mandiri</v>
          </cell>
        </row>
        <row r="179">
          <cell r="B179">
            <v>124000000000176</v>
          </cell>
          <cell r="C179" t="str">
            <v>PT. Karya Mega Sarana</v>
          </cell>
        </row>
        <row r="180">
          <cell r="B180">
            <v>124000000000177</v>
          </cell>
          <cell r="C180" t="str">
            <v>PT. Kawan Kita Anugerah Makmur</v>
          </cell>
        </row>
        <row r="181">
          <cell r="B181">
            <v>124000000000178</v>
          </cell>
          <cell r="C181" t="str">
            <v>PT. Kesuma</v>
          </cell>
        </row>
        <row r="182">
          <cell r="B182">
            <v>124000000000179</v>
          </cell>
          <cell r="C182" t="str">
            <v>PT. Kirana Purnama</v>
          </cell>
        </row>
        <row r="183">
          <cell r="B183">
            <v>124000000000180</v>
          </cell>
          <cell r="C183" t="str">
            <v>PT. Macika Indo Sarana Transport</v>
          </cell>
        </row>
        <row r="184">
          <cell r="B184">
            <v>124000000000181</v>
          </cell>
          <cell r="C184" t="str">
            <v>PT. Magna Beton Indonesia</v>
          </cell>
        </row>
        <row r="185">
          <cell r="B185">
            <v>124000000000182</v>
          </cell>
          <cell r="C185" t="str">
            <v>PT. Mandiri Maha Daya</v>
          </cell>
        </row>
        <row r="186">
          <cell r="B186">
            <v>124000000000183</v>
          </cell>
          <cell r="C186" t="str">
            <v>PT. Markoen Engineering Indonesia</v>
          </cell>
        </row>
        <row r="187">
          <cell r="B187">
            <v>124000000000184</v>
          </cell>
          <cell r="C187" t="str">
            <v>PT. Mediantara General Sistemindo</v>
          </cell>
        </row>
        <row r="188">
          <cell r="B188">
            <v>124000000000185</v>
          </cell>
          <cell r="C188" t="str">
            <v>PT. Mega Perkakas Abadi</v>
          </cell>
        </row>
        <row r="189">
          <cell r="B189">
            <v>124000000000186</v>
          </cell>
          <cell r="C189" t="str">
            <v>PT. Meratus Line</v>
          </cell>
        </row>
        <row r="190">
          <cell r="B190">
            <v>124000000000187</v>
          </cell>
          <cell r="C190" t="str">
            <v>PT. Mitra Abadi Hanafindo</v>
          </cell>
        </row>
        <row r="191">
          <cell r="B191">
            <v>124000000000188</v>
          </cell>
          <cell r="C191" t="str">
            <v>PT. Mitra Putra Profitamas</v>
          </cell>
        </row>
        <row r="192">
          <cell r="B192">
            <v>124000000000189</v>
          </cell>
          <cell r="C192" t="str">
            <v>PT. Mixindo Abadi Karya</v>
          </cell>
        </row>
        <row r="193">
          <cell r="B193">
            <v>124000000000190</v>
          </cell>
          <cell r="C193" t="str">
            <v>PT. Mollindo Cipta Mandiri</v>
          </cell>
        </row>
        <row r="194">
          <cell r="B194">
            <v>124000000000191</v>
          </cell>
          <cell r="C194" t="str">
            <v>PT. Multi Guna Trans Energi</v>
          </cell>
        </row>
        <row r="195">
          <cell r="B195">
            <v>124000000000192</v>
          </cell>
          <cell r="C195" t="str">
            <v>PT. Multi Kencana Niagatama [a.k.a : Multi Kabel]</v>
          </cell>
        </row>
        <row r="196">
          <cell r="B196">
            <v>124000000000193</v>
          </cell>
          <cell r="C196" t="str">
            <v>PT. Mutiara Timur Truss</v>
          </cell>
        </row>
        <row r="197">
          <cell r="B197">
            <v>124000000000194</v>
          </cell>
          <cell r="C197" t="str">
            <v>PT. Nariza Teknik Inspeksi</v>
          </cell>
        </row>
        <row r="198">
          <cell r="B198">
            <v>124000000000195</v>
          </cell>
          <cell r="C198" t="str">
            <v>PT. Netcom Technology</v>
          </cell>
        </row>
        <row r="199">
          <cell r="B199">
            <v>124000000000196</v>
          </cell>
          <cell r="C199" t="str">
            <v>PT. NR Electric Jakarta</v>
          </cell>
        </row>
        <row r="200">
          <cell r="B200">
            <v>124000000000197</v>
          </cell>
          <cell r="C200" t="str">
            <v>PT. Nuansa Dharma Cipta</v>
          </cell>
        </row>
        <row r="201">
          <cell r="B201">
            <v>124000000000198</v>
          </cell>
          <cell r="C201" t="str">
            <v>PT. Orion Teknik Solusindo</v>
          </cell>
        </row>
        <row r="202">
          <cell r="B202">
            <v>124000000000199</v>
          </cell>
          <cell r="C202" t="str">
            <v>PT. Orix Indonesia Finance</v>
          </cell>
        </row>
        <row r="203">
          <cell r="B203">
            <v>124000000000200</v>
          </cell>
          <cell r="C203" t="str">
            <v>PT. Pacific Prestress Indonesia</v>
          </cell>
        </row>
        <row r="204">
          <cell r="B204">
            <v>124000000000201</v>
          </cell>
          <cell r="C204" t="str">
            <v>PT. Panah Perdana Logisindo</v>
          </cell>
        </row>
        <row r="205">
          <cell r="B205">
            <v>124000000000202</v>
          </cell>
          <cell r="C205" t="str">
            <v>PT. Panca Infosoft Pionir Indonesia</v>
          </cell>
        </row>
        <row r="206">
          <cell r="B206">
            <v>124000000000203</v>
          </cell>
          <cell r="C206" t="str">
            <v>PT. Panca Logam Sukses Mandiri</v>
          </cell>
        </row>
        <row r="207">
          <cell r="B207">
            <v>124000000000204</v>
          </cell>
          <cell r="C207" t="str">
            <v>PT. Panca Utama Selaras</v>
          </cell>
        </row>
        <row r="208">
          <cell r="B208">
            <v>124000000000205</v>
          </cell>
          <cell r="C208" t="str">
            <v>PT. Panghegar Mitra Utama</v>
          </cell>
        </row>
        <row r="209">
          <cell r="B209">
            <v>124000000000206</v>
          </cell>
          <cell r="C209" t="str">
            <v>PT. Pas Jaya Mandiri</v>
          </cell>
        </row>
        <row r="210">
          <cell r="B210">
            <v>124000000000207</v>
          </cell>
          <cell r="C210" t="str">
            <v>PT. Pelangi Teknik Indonesia</v>
          </cell>
        </row>
        <row r="211">
          <cell r="B211">
            <v>124000000000208</v>
          </cell>
          <cell r="C211" t="str">
            <v>PT. Perusahaan Bongkar Muatadi Purusa</v>
          </cell>
        </row>
        <row r="212">
          <cell r="B212">
            <v>124000000000209</v>
          </cell>
          <cell r="C212" t="str">
            <v>PT. Petromas Kencana (Ottoban Indonesia)</v>
          </cell>
        </row>
        <row r="213">
          <cell r="B213">
            <v>124000000000210</v>
          </cell>
          <cell r="C213" t="str">
            <v>PT. Ponti Suri Group</v>
          </cell>
        </row>
        <row r="214">
          <cell r="B214">
            <v>124000000000211</v>
          </cell>
          <cell r="C214" t="str">
            <v>PT. Powerindo Prima Perkasa</v>
          </cell>
        </row>
        <row r="215">
          <cell r="B215">
            <v>124000000000212</v>
          </cell>
          <cell r="C215" t="str">
            <v>PT. Pratama Prima Bajatama</v>
          </cell>
        </row>
        <row r="216">
          <cell r="B216">
            <v>124000000000213</v>
          </cell>
          <cell r="C216" t="str">
            <v>PT. PRI Indonesia</v>
          </cell>
        </row>
        <row r="217">
          <cell r="B217">
            <v>124000000000214</v>
          </cell>
          <cell r="C217" t="str">
            <v>PT. Prima Indah Lestari</v>
          </cell>
        </row>
        <row r="218">
          <cell r="B218">
            <v>124000000000215</v>
          </cell>
          <cell r="C218" t="str">
            <v>PT. Prima Mitra Elektrindo</v>
          </cell>
        </row>
        <row r="219">
          <cell r="B219">
            <v>124000000000216</v>
          </cell>
          <cell r="C219" t="str">
            <v>PT. Primatech Jaya Abadi</v>
          </cell>
        </row>
        <row r="220">
          <cell r="B220">
            <v>124000000000217</v>
          </cell>
          <cell r="C220" t="str">
            <v>PT. Putra Langgeng Anugerah</v>
          </cell>
        </row>
        <row r="221">
          <cell r="B221">
            <v>124000000000218</v>
          </cell>
          <cell r="C221" t="str">
            <v>PT. Putraguna Jayamulia</v>
          </cell>
        </row>
        <row r="222">
          <cell r="B222">
            <v>124000000000219</v>
          </cell>
          <cell r="C222" t="str">
            <v>PT. Putratel Andalan Sukses</v>
          </cell>
        </row>
        <row r="223">
          <cell r="B223">
            <v>124000000000220</v>
          </cell>
          <cell r="C223" t="str">
            <v>PT. Radian Sarana Elektrika</v>
          </cell>
        </row>
        <row r="224">
          <cell r="B224">
            <v>124000000000221</v>
          </cell>
          <cell r="C224" t="str">
            <v>PT. Raj Prima</v>
          </cell>
        </row>
        <row r="225">
          <cell r="B225">
            <v>124000000000222</v>
          </cell>
          <cell r="C225" t="str">
            <v>PT. Rangka Raya</v>
          </cell>
        </row>
        <row r="226">
          <cell r="B226">
            <v>124000000000223</v>
          </cell>
          <cell r="C226" t="str">
            <v>PT. Riau Crane Perkasa</v>
          </cell>
        </row>
        <row r="227">
          <cell r="B227">
            <v>124000000000224</v>
          </cell>
          <cell r="C227" t="str">
            <v>PT. Royal Madani Persada</v>
          </cell>
        </row>
        <row r="228">
          <cell r="B228">
            <v>124000000000225</v>
          </cell>
          <cell r="C228" t="str">
            <v>PT. Salaeurih Muda Perkasa</v>
          </cell>
        </row>
        <row r="229">
          <cell r="B229">
            <v>124000000000226</v>
          </cell>
          <cell r="C229" t="str">
            <v>PT. Salam Pacific Indonesia Lines</v>
          </cell>
        </row>
        <row r="230">
          <cell r="B230">
            <v>124000000000227</v>
          </cell>
          <cell r="C230" t="str">
            <v>PT. Schneider Indonesia</v>
          </cell>
        </row>
        <row r="231">
          <cell r="B231">
            <v>124000000000228</v>
          </cell>
          <cell r="C231" t="str">
            <v>PT. Sentosa Prima Mandiri</v>
          </cell>
        </row>
        <row r="232">
          <cell r="B232">
            <v>124000000000229</v>
          </cell>
          <cell r="C232" t="str">
            <v>PT. Siemens Indonesia</v>
          </cell>
        </row>
        <row r="233">
          <cell r="B233">
            <v>124000000000230</v>
          </cell>
          <cell r="C233" t="str">
            <v>PT. Siemon Damai Jaya Abadi</v>
          </cell>
        </row>
        <row r="234">
          <cell r="B234">
            <v>124000000000231</v>
          </cell>
          <cell r="C234" t="str">
            <v>PT. Silica Central Asia</v>
          </cell>
        </row>
        <row r="235">
          <cell r="B235">
            <v>124000000000232</v>
          </cell>
          <cell r="C235" t="str">
            <v>PT. Simetrik Integrasi</v>
          </cell>
        </row>
        <row r="236">
          <cell r="B236">
            <v>124000000000233</v>
          </cell>
          <cell r="C236" t="str">
            <v>PT. Sinar Laut Mandiri</v>
          </cell>
        </row>
        <row r="237">
          <cell r="B237">
            <v>124000000000234</v>
          </cell>
          <cell r="C237" t="str">
            <v>PT. Sinergi Garuda Nusantara</v>
          </cell>
        </row>
        <row r="238">
          <cell r="B238">
            <v>124000000000235</v>
          </cell>
          <cell r="C238" t="str">
            <v>PT. Sinergi Karsa Utama</v>
          </cell>
        </row>
        <row r="239">
          <cell r="B239">
            <v>124000000000236</v>
          </cell>
          <cell r="C239" t="str">
            <v>PT. Sintra Sinarindo Elektrik</v>
          </cell>
        </row>
        <row r="240">
          <cell r="B240">
            <v>124000000000237</v>
          </cell>
          <cell r="C240" t="str">
            <v>PT. Siscom Technologies</v>
          </cell>
        </row>
        <row r="241">
          <cell r="B241">
            <v>124000000000238</v>
          </cell>
          <cell r="C241" t="str">
            <v>PT. Subur Buana Raya</v>
          </cell>
        </row>
        <row r="242">
          <cell r="B242">
            <v>124000000000239</v>
          </cell>
          <cell r="C242" t="str">
            <v>PT. Sukses Perkasa Forestama</v>
          </cell>
        </row>
        <row r="243">
          <cell r="B243">
            <v>124000000000240</v>
          </cell>
          <cell r="C243" t="str">
            <v>PT. Suryamas Elsindo Primatama</v>
          </cell>
        </row>
        <row r="244">
          <cell r="B244">
            <v>124000000000241</v>
          </cell>
          <cell r="C244" t="str">
            <v>PT. Temas Tbk</v>
          </cell>
        </row>
        <row r="245">
          <cell r="B245">
            <v>124000000000242</v>
          </cell>
          <cell r="C245" t="str">
            <v>PT. Tirtakencana Tatawarna</v>
          </cell>
        </row>
        <row r="246">
          <cell r="B246">
            <v>124000000000243</v>
          </cell>
          <cell r="C246" t="str">
            <v>PT. Tri Artha Manunggal</v>
          </cell>
        </row>
        <row r="247">
          <cell r="B247">
            <v>124000000000244</v>
          </cell>
          <cell r="C247" t="str">
            <v>PT. Tri Karya Teslatama</v>
          </cell>
        </row>
        <row r="248">
          <cell r="B248">
            <v>124000000000245</v>
          </cell>
          <cell r="C248" t="str">
            <v>PT. Tribaja Karya Sejahtera</v>
          </cell>
        </row>
        <row r="249">
          <cell r="B249">
            <v>124000000000246</v>
          </cell>
          <cell r="C249" t="str">
            <v>PT. Triotama Toya Energi</v>
          </cell>
        </row>
        <row r="250">
          <cell r="B250">
            <v>124000000000247</v>
          </cell>
          <cell r="C250" t="str">
            <v>PT. Twink Indonesia</v>
          </cell>
        </row>
        <row r="251">
          <cell r="B251">
            <v>124000000000248</v>
          </cell>
          <cell r="C251" t="str">
            <v>PT. Vector Info Technologies</v>
          </cell>
        </row>
        <row r="252">
          <cell r="B252">
            <v>124000000000249</v>
          </cell>
          <cell r="C252" t="str">
            <v>PT. Vins Teknik Internusa</v>
          </cell>
        </row>
        <row r="253">
          <cell r="B253">
            <v>124000000000250</v>
          </cell>
          <cell r="C253" t="str">
            <v>PT. Voksel Electric Tbk</v>
          </cell>
        </row>
        <row r="254">
          <cell r="B254">
            <v>124000000000251</v>
          </cell>
          <cell r="C254" t="str">
            <v>PT. Widya Prima Utama</v>
          </cell>
        </row>
        <row r="255">
          <cell r="B255">
            <v>124000000000252</v>
          </cell>
          <cell r="C255" t="str">
            <v>PT. Yanmarindo Perkasa</v>
          </cell>
        </row>
        <row r="256">
          <cell r="B256">
            <v>124000000000253</v>
          </cell>
          <cell r="C256" t="str">
            <v>PT. Yudha Berkat Layana</v>
          </cell>
        </row>
        <row r="257">
          <cell r="B257">
            <v>124000000000254</v>
          </cell>
          <cell r="C257" t="str">
            <v>PT. ZTT Cable Indonesia</v>
          </cell>
        </row>
        <row r="258">
          <cell r="B258">
            <v>124000000000255</v>
          </cell>
          <cell r="C258" t="str">
            <v>PT. KMI Wire and Cable, Tbk [a.k.a : Kabel Metal Indonesia]</v>
          </cell>
        </row>
        <row r="259">
          <cell r="B259">
            <v>124000000000256</v>
          </cell>
          <cell r="C259" t="str">
            <v>PT. Kokoh Inti Arebama, Tbk</v>
          </cell>
        </row>
        <row r="260">
          <cell r="B260">
            <v>124000000000257</v>
          </cell>
          <cell r="C260" t="str">
            <v>BPJS Ketenagakerjaan [a.k.a : Jamsostek]</v>
          </cell>
        </row>
        <row r="261">
          <cell r="B261">
            <v>124000000000258</v>
          </cell>
          <cell r="C261" t="str">
            <v>BPJS Kesehatan [a.k.a : Askes]</v>
          </cell>
        </row>
        <row r="262">
          <cell r="B262">
            <v>124000000000259</v>
          </cell>
          <cell r="C262" t="str">
            <v>PT. Bank Rakyat Indonesia (Persero), Tbk - Kantor Cabang Pembantu PLN Pusat</v>
          </cell>
        </row>
        <row r="263">
          <cell r="B263">
            <v>124000000000260</v>
          </cell>
          <cell r="C263" t="str">
            <v>Koperasi Mekar</v>
          </cell>
        </row>
        <row r="264">
          <cell r="B264">
            <v>124000000000261</v>
          </cell>
          <cell r="C264" t="str">
            <v>UD. Athar Marzuki Plywood</v>
          </cell>
        </row>
        <row r="265">
          <cell r="B265">
            <v>124000000000262</v>
          </cell>
          <cell r="C265" t="str">
            <v xml:space="preserve">UD. Gajah Mungkur - Jakarta Selatan </v>
          </cell>
        </row>
        <row r="266">
          <cell r="B266">
            <v>124000000000263</v>
          </cell>
          <cell r="C266" t="str">
            <v>PT. Pelayanan Listrik Nasional (Persero) [a.k.a : PLN] - Pusat Sertifikasi</v>
          </cell>
        </row>
        <row r="267">
          <cell r="B267">
            <v>124000000000264</v>
          </cell>
          <cell r="C267" t="str">
            <v>UD. Kalam Hidup kendari</v>
          </cell>
        </row>
        <row r="268">
          <cell r="B268">
            <v>124000000000265</v>
          </cell>
          <cell r="C268" t="str">
            <v>UD. Mandiri Jaya</v>
          </cell>
        </row>
        <row r="269">
          <cell r="B269">
            <v>124000000000266</v>
          </cell>
          <cell r="C269" t="str">
            <v>UD. Subur</v>
          </cell>
        </row>
        <row r="270">
          <cell r="B270">
            <v>124000000000267</v>
          </cell>
          <cell r="C270" t="str">
            <v>UD. Thufail</v>
          </cell>
        </row>
        <row r="271">
          <cell r="B271">
            <v>124000000000268</v>
          </cell>
          <cell r="C271" t="str">
            <v>TB. Asep Saprudin</v>
          </cell>
        </row>
        <row r="272">
          <cell r="B272">
            <v>124000000000269</v>
          </cell>
          <cell r="C272" t="str">
            <v>TB. Berkah Sentosa</v>
          </cell>
        </row>
        <row r="273">
          <cell r="B273">
            <v>124000000000270</v>
          </cell>
          <cell r="C273" t="str">
            <v>TB. Berkat Orang Tua</v>
          </cell>
        </row>
        <row r="274">
          <cell r="B274">
            <v>124000000000271</v>
          </cell>
          <cell r="C274" t="str">
            <v>TB. Cipta Bangun</v>
          </cell>
        </row>
        <row r="275">
          <cell r="B275">
            <v>124000000000272</v>
          </cell>
          <cell r="C275" t="str">
            <v>TB. Karta Jaya</v>
          </cell>
        </row>
        <row r="276">
          <cell r="B276">
            <v>124000000000273</v>
          </cell>
          <cell r="C276" t="str">
            <v>TB. Roma Bangunan</v>
          </cell>
        </row>
        <row r="277">
          <cell r="B277">
            <v>124000000000274</v>
          </cell>
          <cell r="C277" t="str">
            <v>TB. Sumber Jaya Bangunan</v>
          </cell>
        </row>
        <row r="278">
          <cell r="B278">
            <v>124000000000275</v>
          </cell>
          <cell r="C278" t="str">
            <v>Toko Agen Kaca Kita Yakin</v>
          </cell>
        </row>
        <row r="279">
          <cell r="B279">
            <v>124000000000276</v>
          </cell>
          <cell r="C279" t="str">
            <v>Toko Akbar Seng</v>
          </cell>
        </row>
        <row r="280">
          <cell r="B280">
            <v>124000000000277</v>
          </cell>
          <cell r="C280" t="str">
            <v>Toko Berkah</v>
          </cell>
        </row>
        <row r="281">
          <cell r="B281">
            <v>124000000000278</v>
          </cell>
          <cell r="C281" t="str">
            <v>Toko Buana Tunggal</v>
          </cell>
        </row>
        <row r="282">
          <cell r="B282">
            <v>124000000000279</v>
          </cell>
          <cell r="C282" t="str">
            <v>Toko Dunia Elektronik</v>
          </cell>
        </row>
        <row r="283">
          <cell r="B283">
            <v>124000000000280</v>
          </cell>
          <cell r="C283" t="str">
            <v>Toko Fajar Timur Motor</v>
          </cell>
        </row>
        <row r="284">
          <cell r="B284">
            <v>124000000000281</v>
          </cell>
          <cell r="C284" t="str">
            <v>Toko Global Teknik</v>
          </cell>
        </row>
        <row r="285">
          <cell r="B285">
            <v>124000000000282</v>
          </cell>
          <cell r="C285" t="str">
            <v>Toko Glodok Teknik Diesel</v>
          </cell>
        </row>
        <row r="286">
          <cell r="B286">
            <v>124000000000283</v>
          </cell>
          <cell r="C286" t="str">
            <v>Toko GLX - Ariyati</v>
          </cell>
        </row>
        <row r="287">
          <cell r="B287">
            <v>124000000000284</v>
          </cell>
          <cell r="C287" t="str">
            <v>Toko Inpaco</v>
          </cell>
        </row>
        <row r="288">
          <cell r="B288">
            <v>124000000000285</v>
          </cell>
          <cell r="C288" t="str">
            <v>Toko Intan Bangunan</v>
          </cell>
        </row>
        <row r="289">
          <cell r="B289">
            <v>124000000000286</v>
          </cell>
          <cell r="C289" t="str">
            <v>Toko Intan Motor</v>
          </cell>
        </row>
        <row r="290">
          <cell r="B290">
            <v>124000000000287</v>
          </cell>
          <cell r="C290" t="str">
            <v>Toko Jalajah Karya Teknik</v>
          </cell>
        </row>
        <row r="291">
          <cell r="B291">
            <v>124000000000288</v>
          </cell>
          <cell r="C291" t="str">
            <v>Toko JualWaterStop.NET</v>
          </cell>
        </row>
        <row r="292">
          <cell r="B292">
            <v>124000000000289</v>
          </cell>
          <cell r="C292" t="str">
            <v>Toko Marpoyan Teknik Diesel</v>
          </cell>
        </row>
        <row r="293">
          <cell r="B293">
            <v>124000000000290</v>
          </cell>
          <cell r="C293" t="str">
            <v>Toko Mega Diesel</v>
          </cell>
        </row>
        <row r="294">
          <cell r="B294">
            <v>124000000000291</v>
          </cell>
          <cell r="C294" t="str">
            <v>Toko Mega Jaya</v>
          </cell>
        </row>
        <row r="295">
          <cell r="B295">
            <v>124000000000292</v>
          </cell>
          <cell r="C295" t="str">
            <v>Toko Meubel Dani</v>
          </cell>
        </row>
        <row r="296">
          <cell r="B296">
            <v>124000000000293</v>
          </cell>
          <cell r="C296" t="str">
            <v>Toko Murah Rezeki</v>
          </cell>
        </row>
        <row r="297">
          <cell r="B297">
            <v>124000000000294</v>
          </cell>
          <cell r="C297" t="str">
            <v>Toko Ocu Intan</v>
          </cell>
        </row>
        <row r="298">
          <cell r="B298">
            <v>124000000000295</v>
          </cell>
          <cell r="C298" t="str">
            <v>Toko Pasar Minggu Tehnik</v>
          </cell>
        </row>
        <row r="299">
          <cell r="B299">
            <v>124000000000296</v>
          </cell>
          <cell r="C299" t="str">
            <v>Toko Restia</v>
          </cell>
        </row>
        <row r="300">
          <cell r="B300">
            <v>124000000000297</v>
          </cell>
          <cell r="C300" t="str">
            <v>Toko S Three Sane Security System</v>
          </cell>
        </row>
        <row r="301">
          <cell r="B301">
            <v>124000000000298</v>
          </cell>
          <cell r="C301" t="str">
            <v>Toko Sarana Jaya Abadi</v>
          </cell>
        </row>
        <row r="302">
          <cell r="B302">
            <v>124000000000299</v>
          </cell>
          <cell r="C302" t="str">
            <v>Toko Sekawan Jaya Safety</v>
          </cell>
        </row>
        <row r="303">
          <cell r="B303">
            <v>124000000000300</v>
          </cell>
          <cell r="C303" t="str">
            <v>Toko Sentral Elektronik</v>
          </cell>
        </row>
        <row r="304">
          <cell r="B304">
            <v>124000000000301</v>
          </cell>
          <cell r="C304" t="str">
            <v>Toko Sinar Baja</v>
          </cell>
        </row>
        <row r="305">
          <cell r="B305">
            <v>124000000000302</v>
          </cell>
          <cell r="C305" t="str">
            <v>Toko Sinar Baut</v>
          </cell>
        </row>
        <row r="306">
          <cell r="B306">
            <v>124000000000303</v>
          </cell>
          <cell r="C306" t="str">
            <v>Toko Sinar Listrik</v>
          </cell>
        </row>
        <row r="307">
          <cell r="B307">
            <v>124000000000304</v>
          </cell>
          <cell r="C307" t="str">
            <v>Toko SKCR</v>
          </cell>
        </row>
        <row r="308">
          <cell r="B308">
            <v>124000000000305</v>
          </cell>
          <cell r="C308" t="str">
            <v>Toko Sumber Makmur</v>
          </cell>
        </row>
        <row r="309">
          <cell r="B309">
            <v>124000000000306</v>
          </cell>
          <cell r="C309" t="str">
            <v>Toko Sumber Terang</v>
          </cell>
        </row>
        <row r="310">
          <cell r="B310">
            <v>124000000000307</v>
          </cell>
          <cell r="C310" t="str">
            <v>Toko Suroto Motor</v>
          </cell>
        </row>
        <row r="311">
          <cell r="B311">
            <v>124000000000308</v>
          </cell>
          <cell r="C311" t="str">
            <v>Toko Surya Electrical</v>
          </cell>
        </row>
        <row r="312">
          <cell r="B312">
            <v>124000000000309</v>
          </cell>
          <cell r="C312" t="str">
            <v>Toko Top Listrik</v>
          </cell>
        </row>
        <row r="313">
          <cell r="B313">
            <v>124000000000310</v>
          </cell>
          <cell r="C313" t="str">
            <v>Toko Top Swalayan</v>
          </cell>
        </row>
        <row r="314">
          <cell r="B314">
            <v>124000000000311</v>
          </cell>
          <cell r="C314" t="str">
            <v>Toko Usaha Teknik Bersama</v>
          </cell>
        </row>
        <row r="315">
          <cell r="B315">
            <v>124000000000312</v>
          </cell>
          <cell r="C315" t="str">
            <v>Toko Online Tokopedia - Aji jaya tehnik</v>
          </cell>
        </row>
        <row r="316">
          <cell r="B316">
            <v>124000000000313</v>
          </cell>
          <cell r="C316" t="str">
            <v>Toko Online Tokopedia - Aksesmandiri</v>
          </cell>
        </row>
        <row r="317">
          <cell r="B317">
            <v>124000000000314</v>
          </cell>
          <cell r="C317" t="str">
            <v>Toko Online Tokopedia - aprofficialjkt</v>
          </cell>
        </row>
        <row r="318">
          <cell r="B318">
            <v>124000000000315</v>
          </cell>
          <cell r="C318" t="str">
            <v>Toko Online Tokopedia - Aurorae World</v>
          </cell>
        </row>
        <row r="319">
          <cell r="B319">
            <v>124000000000316</v>
          </cell>
          <cell r="C319" t="str">
            <v>Toko Online Tokopedia - Automa-88</v>
          </cell>
        </row>
        <row r="320">
          <cell r="B320">
            <v>124000000000317</v>
          </cell>
          <cell r="C320" t="str">
            <v>Toko Online Tokopedia - Baja Besi Perkasa</v>
          </cell>
        </row>
        <row r="321">
          <cell r="B321">
            <v>124000000000318</v>
          </cell>
          <cell r="C321" t="str">
            <v>Toko Online Tokopedia - BB Wing</v>
          </cell>
        </row>
        <row r="322">
          <cell r="B322">
            <v>124000000000319</v>
          </cell>
          <cell r="C322" t="str">
            <v>Toko Online Tokopedia - Best Electric 168</v>
          </cell>
        </row>
        <row r="323">
          <cell r="B323">
            <v>124000000000320</v>
          </cell>
          <cell r="C323" t="str">
            <v>Toko Online Tokopedia - Bina Electric</v>
          </cell>
        </row>
        <row r="324">
          <cell r="B324">
            <v>124000000000321</v>
          </cell>
          <cell r="C324" t="str">
            <v>Toko Online Tokopedia - Bintang-Electric</v>
          </cell>
        </row>
        <row r="325">
          <cell r="B325">
            <v>124000000000322</v>
          </cell>
          <cell r="C325" t="str">
            <v>Toko Online Tokopedia - BJ Telecom</v>
          </cell>
        </row>
        <row r="326">
          <cell r="B326">
            <v>124000000000323</v>
          </cell>
          <cell r="C326" t="str">
            <v>Toko Online Tokopedia - Budget Technology</v>
          </cell>
        </row>
        <row r="327">
          <cell r="B327">
            <v>124000000000324</v>
          </cell>
          <cell r="C327" t="str">
            <v>Toko Online Tokopedia - Cahaya Mitra Electrical</v>
          </cell>
        </row>
        <row r="328">
          <cell r="B328">
            <v>124000000000325</v>
          </cell>
          <cell r="C328" t="str">
            <v>Toko Online Tokopedia - Central Electrindo</v>
          </cell>
        </row>
        <row r="329">
          <cell r="B329">
            <v>124000000000326</v>
          </cell>
          <cell r="C329" t="str">
            <v>Toko Online Tokopedia - Damarstore01</v>
          </cell>
        </row>
        <row r="330">
          <cell r="B330">
            <v>124000000000327</v>
          </cell>
          <cell r="C330" t="str">
            <v>Toko Online Tokopedia - Dewa Listrik</v>
          </cell>
        </row>
        <row r="331">
          <cell r="B331">
            <v>124000000000328</v>
          </cell>
          <cell r="C331" t="str">
            <v>Toko Online Tokopedia - Distributor Kabel</v>
          </cell>
        </row>
        <row r="332">
          <cell r="B332">
            <v>124000000000329</v>
          </cell>
          <cell r="C332" t="str">
            <v>Toko Online Tokopedia - Doctor Electrical</v>
          </cell>
        </row>
        <row r="333">
          <cell r="B333">
            <v>124000000000330</v>
          </cell>
          <cell r="C333" t="str">
            <v>Toko Online Tokopedia - Dunia Ban Indonesia</v>
          </cell>
        </row>
        <row r="334">
          <cell r="B334">
            <v>124000000000331</v>
          </cell>
          <cell r="C334" t="str">
            <v>Toko Online Tokopedia - Eddy variasi motor</v>
          </cell>
        </row>
        <row r="335">
          <cell r="B335">
            <v>124000000000332</v>
          </cell>
          <cell r="C335" t="str">
            <v>Toko Online Tokopedia - Fixprint Plus</v>
          </cell>
        </row>
        <row r="336">
          <cell r="B336">
            <v>124000000000333</v>
          </cell>
          <cell r="C336" t="str">
            <v>Toko Online Tokopedia - Glodok Diesel</v>
          </cell>
        </row>
        <row r="337">
          <cell r="B337">
            <v>124000000000334</v>
          </cell>
          <cell r="C337" t="str">
            <v>Toko Online Tokopedia - GSC-CHEMTECH</v>
          </cell>
        </row>
        <row r="338">
          <cell r="B338">
            <v>124000000000335</v>
          </cell>
          <cell r="C338" t="str">
            <v>Toko Online Tokopedia - Gudang Listrik</v>
          </cell>
        </row>
        <row r="339">
          <cell r="B339">
            <v>124000000000336</v>
          </cell>
          <cell r="C339" t="str">
            <v>Toko Online Tokopedia - Gudang Power Tools</v>
          </cell>
        </row>
        <row r="340">
          <cell r="B340">
            <v>124000000000337</v>
          </cell>
          <cell r="C340" t="str">
            <v>Toko Online Tokopedia - Indah Jaya Tools</v>
          </cell>
        </row>
        <row r="341">
          <cell r="B341">
            <v>124000000000338</v>
          </cell>
          <cell r="C341" t="str">
            <v>Toko Online Tokopedia - Indo_Security</v>
          </cell>
        </row>
        <row r="342">
          <cell r="B342">
            <v>124000000000339</v>
          </cell>
          <cell r="C342" t="str">
            <v>Toko Online Tokopedia - Indotara Persada</v>
          </cell>
        </row>
        <row r="343">
          <cell r="B343">
            <v>124000000000340</v>
          </cell>
          <cell r="C343" t="str">
            <v>Toko Online Tokopedia - Iterno Listrik</v>
          </cell>
        </row>
        <row r="344">
          <cell r="B344">
            <v>124000000000341</v>
          </cell>
          <cell r="C344" t="str">
            <v>Toko Online Tokopedia - Jakarta.Gudang.Indonesia</v>
          </cell>
        </row>
        <row r="345">
          <cell r="B345">
            <v>124000000000342</v>
          </cell>
          <cell r="C345" t="str">
            <v>Toko Online Tokopedia - Kembar Makmur Abadi</v>
          </cell>
        </row>
        <row r="346">
          <cell r="B346">
            <v>124000000000343</v>
          </cell>
          <cell r="C346" t="str">
            <v>Toko Online Tokopedia - Kevin Electrical</v>
          </cell>
        </row>
        <row r="347">
          <cell r="B347">
            <v>124000000000344</v>
          </cell>
          <cell r="C347" t="str">
            <v>Toko Online Tokopedia - lapakcablegland</v>
          </cell>
        </row>
        <row r="348">
          <cell r="B348">
            <v>124000000000345</v>
          </cell>
          <cell r="C348" t="str">
            <v>Toko Online Tokopedia - LED Lighting Store</v>
          </cell>
        </row>
        <row r="349">
          <cell r="B349">
            <v>124000000000346</v>
          </cell>
          <cell r="C349" t="str">
            <v>Toko Online Tokopedia - Lima Kencana Utama</v>
          </cell>
        </row>
        <row r="350">
          <cell r="B350">
            <v>124000000000347</v>
          </cell>
          <cell r="C350" t="str">
            <v>Toko Online Tokopedia - Macro Panel Elektrik</v>
          </cell>
        </row>
        <row r="351">
          <cell r="B351">
            <v>124000000000348</v>
          </cell>
          <cell r="C351" t="str">
            <v>Toko Online Tokopedia - Megalistrik2</v>
          </cell>
        </row>
        <row r="352">
          <cell r="B352">
            <v>124000000000349</v>
          </cell>
          <cell r="C352" t="str">
            <v>Toko Online Tokopedia - MM Teknindo</v>
          </cell>
        </row>
        <row r="353">
          <cell r="B353">
            <v>124000000000350</v>
          </cell>
          <cell r="C353" t="str">
            <v>Toko Online Tokopedia - MMJ Tools</v>
          </cell>
        </row>
        <row r="354">
          <cell r="B354">
            <v>124000000000351</v>
          </cell>
          <cell r="C354" t="str">
            <v>Toko Online Tokopedia - Morning Star 1</v>
          </cell>
        </row>
        <row r="355">
          <cell r="B355">
            <v>124000000000352</v>
          </cell>
          <cell r="C355" t="str">
            <v>Toko Online Tokopedia - Multifungsi Online</v>
          </cell>
        </row>
        <row r="356">
          <cell r="B356">
            <v>124000000000353</v>
          </cell>
          <cell r="C356" t="str">
            <v>Toko Online Tokopedia - Niaga Abadi Kenari</v>
          </cell>
        </row>
        <row r="357">
          <cell r="B357">
            <v>124000000000354</v>
          </cell>
          <cell r="C357" t="str">
            <v>Toko Online Tokopedia - NVIDIA GeForce</v>
          </cell>
        </row>
        <row r="358">
          <cell r="B358">
            <v>124000000000355</v>
          </cell>
          <cell r="C358" t="str">
            <v>Toko Online Tokopedia - panelmas electric</v>
          </cell>
        </row>
        <row r="359">
          <cell r="B359">
            <v>124000000000356</v>
          </cell>
          <cell r="C359" t="str">
            <v>Toko Online Tokopedia - Protech Computer</v>
          </cell>
        </row>
        <row r="360">
          <cell r="B360">
            <v>124000000000357</v>
          </cell>
          <cell r="C360" t="str">
            <v>Toko Online Tokopedia - Puma Elektrik Niaga</v>
          </cell>
        </row>
        <row r="361">
          <cell r="B361">
            <v>124000000000358</v>
          </cell>
          <cell r="C361" t="str">
            <v>Toko Online Tokopedia - Raspberry Pi Distributor</v>
          </cell>
        </row>
        <row r="362">
          <cell r="B362">
            <v>124000000000359</v>
          </cell>
          <cell r="C362" t="str">
            <v>Toko Online Tokopedia - RFelektrik</v>
          </cell>
        </row>
        <row r="363">
          <cell r="B363">
            <v>124000000000360</v>
          </cell>
          <cell r="C363" t="str">
            <v>Toko Online Tokopedia - Riv ID</v>
          </cell>
        </row>
        <row r="364">
          <cell r="B364">
            <v>124000000000361</v>
          </cell>
          <cell r="C364" t="str">
            <v>Toko Online Tokopedia - Rizqiana Berkah</v>
          </cell>
        </row>
        <row r="365">
          <cell r="B365">
            <v>124000000000362</v>
          </cell>
          <cell r="C365" t="str">
            <v>Toko Online Tokopedia - Sarana Elektrik</v>
          </cell>
        </row>
        <row r="366">
          <cell r="B366">
            <v>124000000000363</v>
          </cell>
          <cell r="C366" t="str">
            <v>Toko Online Tokopedia - Sochi Smart Shop</v>
          </cell>
        </row>
        <row r="367">
          <cell r="B367">
            <v>124000000000364</v>
          </cell>
          <cell r="C367" t="str">
            <v>Toko Online Tokopedia - Solusi Material Bangunan Pondok Pinang</v>
          </cell>
        </row>
        <row r="368">
          <cell r="B368">
            <v>124000000000365</v>
          </cell>
          <cell r="C368" t="str">
            <v>Toko Online Tokopedia - Sumber Lighting Jaya</v>
          </cell>
        </row>
        <row r="369">
          <cell r="B369">
            <v>124000000000366</v>
          </cell>
          <cell r="C369" t="str">
            <v>Toko Online Tokopedia - Sumber Listrik Abadi</v>
          </cell>
        </row>
        <row r="370">
          <cell r="B370">
            <v>124000000000367</v>
          </cell>
          <cell r="C370" t="str">
            <v>Toko Online Tokopedia - Syafiqah Adv</v>
          </cell>
        </row>
        <row r="371">
          <cell r="B371">
            <v>124000000000368</v>
          </cell>
          <cell r="C371" t="str">
            <v>Toko Online Tokopedia - Tanelec</v>
          </cell>
        </row>
        <row r="372">
          <cell r="B372">
            <v>124000000000369</v>
          </cell>
          <cell r="C372" t="str">
            <v>Toko Online Tokopedia - Teknik Supplier.</v>
          </cell>
        </row>
        <row r="373">
          <cell r="B373">
            <v>124000000000370</v>
          </cell>
          <cell r="C373" t="str">
            <v>Toko Online Tokopedia - Toko Laris82</v>
          </cell>
        </row>
        <row r="374">
          <cell r="B374">
            <v>124000000000371</v>
          </cell>
          <cell r="C374" t="str">
            <v>Toko Online Tokopedia - Toko Listrik 68</v>
          </cell>
        </row>
        <row r="375">
          <cell r="B375">
            <v>124000000000372</v>
          </cell>
          <cell r="C375" t="str">
            <v>Toko Online Tokopedia - Tristar Teknik</v>
          </cell>
        </row>
        <row r="376">
          <cell r="B376">
            <v>124000000000373</v>
          </cell>
          <cell r="C376" t="str">
            <v>Toko Online Tokopedia - Uno Living Furniture</v>
          </cell>
        </row>
        <row r="377">
          <cell r="B377">
            <v>124000000000374</v>
          </cell>
          <cell r="C377" t="str">
            <v>Toko Online Tokopedia - US_Electronic</v>
          </cell>
        </row>
        <row r="378">
          <cell r="B378">
            <v>124000000000375</v>
          </cell>
          <cell r="C378" t="str">
            <v>Toko Online Tokopedia - VINS TEKNIK</v>
          </cell>
        </row>
        <row r="379">
          <cell r="B379">
            <v>124000000000376</v>
          </cell>
          <cell r="C379" t="str">
            <v>Toko Online Tokopedia - vsdpedia</v>
          </cell>
        </row>
        <row r="380">
          <cell r="B380">
            <v>124000000000377</v>
          </cell>
          <cell r="C380" t="str">
            <v>Mandor Abd Karim</v>
          </cell>
        </row>
        <row r="381">
          <cell r="B381">
            <v>124000000000378</v>
          </cell>
          <cell r="C381" t="str">
            <v>Mandor Ade Gunawan</v>
          </cell>
        </row>
        <row r="382">
          <cell r="B382">
            <v>124000000000379</v>
          </cell>
          <cell r="C382" t="str">
            <v>Mandor Adi Sutrisno</v>
          </cell>
        </row>
        <row r="383">
          <cell r="B383">
            <v>124000000000380</v>
          </cell>
          <cell r="C383" t="str">
            <v>Mandor Afrizal</v>
          </cell>
        </row>
        <row r="384">
          <cell r="B384">
            <v>124000000000381</v>
          </cell>
          <cell r="C384" t="str">
            <v>Mandor Ahmad Sholeh</v>
          </cell>
        </row>
        <row r="385">
          <cell r="B385">
            <v>124000000000382</v>
          </cell>
          <cell r="C385" t="str">
            <v>Mandor Ahmad Syamsudin</v>
          </cell>
        </row>
        <row r="386">
          <cell r="B386">
            <v>124000000000383</v>
          </cell>
          <cell r="C386" t="str">
            <v>Mandor Ajay</v>
          </cell>
        </row>
        <row r="387">
          <cell r="B387">
            <v>124000000000384</v>
          </cell>
          <cell r="C387" t="str">
            <v>Mandor Alfian Dani</v>
          </cell>
        </row>
        <row r="388">
          <cell r="B388">
            <v>124000000000385</v>
          </cell>
          <cell r="C388" t="str">
            <v>Mandor Alimuddin</v>
          </cell>
        </row>
        <row r="389">
          <cell r="B389">
            <v>124000000000386</v>
          </cell>
          <cell r="C389" t="str">
            <v>Mandor Ari Setiawan</v>
          </cell>
        </row>
        <row r="390">
          <cell r="B390">
            <v>124000000000387</v>
          </cell>
          <cell r="C390" t="str">
            <v>Mandor Baharuddin</v>
          </cell>
        </row>
        <row r="391">
          <cell r="B391">
            <v>124000000000388</v>
          </cell>
          <cell r="C391" t="str">
            <v>Mandor Balduin Situmorang</v>
          </cell>
        </row>
        <row r="392">
          <cell r="B392">
            <v>124000000000389</v>
          </cell>
          <cell r="C392" t="str">
            <v>Mandor Budi Prihatin</v>
          </cell>
        </row>
        <row r="393">
          <cell r="B393">
            <v>124000000000390</v>
          </cell>
          <cell r="C393" t="str">
            <v>Mandor Burhanudin</v>
          </cell>
        </row>
        <row r="394">
          <cell r="B394">
            <v>124000000000391</v>
          </cell>
          <cell r="C394" t="str">
            <v>Mandor Dian Effendi</v>
          </cell>
        </row>
        <row r="395">
          <cell r="B395">
            <v>124000000000392</v>
          </cell>
          <cell r="C395" t="str">
            <v>Mandor Dwi Trisno Utomo</v>
          </cell>
        </row>
        <row r="396">
          <cell r="B396">
            <v>124000000000393</v>
          </cell>
          <cell r="C396" t="str">
            <v>Mandor Erizal</v>
          </cell>
        </row>
        <row r="397">
          <cell r="B397">
            <v>124000000000394</v>
          </cell>
          <cell r="C397" t="str">
            <v>Mandor Galih Ramadhan</v>
          </cell>
        </row>
        <row r="398">
          <cell r="B398">
            <v>124000000000395</v>
          </cell>
          <cell r="C398" t="str">
            <v>Mandor Haerul Gunawan</v>
          </cell>
        </row>
        <row r="399">
          <cell r="B399">
            <v>124000000000396</v>
          </cell>
          <cell r="C399" t="str">
            <v>Mandor Harno</v>
          </cell>
        </row>
        <row r="400">
          <cell r="B400">
            <v>124000000000397</v>
          </cell>
          <cell r="C400" t="str">
            <v>Mandor Haswanuddin</v>
          </cell>
        </row>
        <row r="401">
          <cell r="B401">
            <v>124000000000398</v>
          </cell>
          <cell r="C401" t="str">
            <v>Mandor Heryanto Tanjong</v>
          </cell>
        </row>
        <row r="402">
          <cell r="B402">
            <v>124000000000399</v>
          </cell>
          <cell r="C402" t="str">
            <v>Mandor Iwan Risnawan</v>
          </cell>
        </row>
        <row r="403">
          <cell r="B403">
            <v>124000000000400</v>
          </cell>
          <cell r="C403" t="str">
            <v>Mandor Jaelani W</v>
          </cell>
        </row>
        <row r="404">
          <cell r="B404">
            <v>124000000000401</v>
          </cell>
          <cell r="C404" t="str">
            <v>Mandor Jusrial</v>
          </cell>
        </row>
        <row r="405">
          <cell r="B405">
            <v>124000000000402</v>
          </cell>
          <cell r="C405" t="str">
            <v>Mandor Kasiyono</v>
          </cell>
        </row>
        <row r="406">
          <cell r="B406">
            <v>124000000000403</v>
          </cell>
          <cell r="C406" t="str">
            <v>Mandor Lulus Pastiono</v>
          </cell>
        </row>
        <row r="407">
          <cell r="B407">
            <v>124000000000404</v>
          </cell>
          <cell r="C407" t="str">
            <v>Mandor M. Nasir</v>
          </cell>
        </row>
        <row r="408">
          <cell r="B408">
            <v>124000000000405</v>
          </cell>
          <cell r="C408" t="str">
            <v>Mandor Maikel</v>
          </cell>
        </row>
        <row r="409">
          <cell r="B409">
            <v>124000000000406</v>
          </cell>
          <cell r="C409" t="str">
            <v>Mandor Moh Agus Muslimin</v>
          </cell>
        </row>
        <row r="410">
          <cell r="B410">
            <v>124000000000407</v>
          </cell>
          <cell r="C410" t="str">
            <v>Mandor Muchribian Novianto</v>
          </cell>
        </row>
        <row r="411">
          <cell r="B411">
            <v>124000000000408</v>
          </cell>
          <cell r="C411" t="str">
            <v>Mandor Muh Amir Pasang</v>
          </cell>
        </row>
        <row r="412">
          <cell r="B412">
            <v>124000000000409</v>
          </cell>
          <cell r="C412" t="str">
            <v>Mandor Muntaji</v>
          </cell>
        </row>
        <row r="413">
          <cell r="B413">
            <v>124000000000410</v>
          </cell>
          <cell r="C413" t="str">
            <v>Mandor Nanda Arista</v>
          </cell>
        </row>
        <row r="414">
          <cell r="B414">
            <v>124000000000411</v>
          </cell>
          <cell r="C414" t="str">
            <v>Mandor Nardi Bin Suwirto</v>
          </cell>
        </row>
        <row r="415">
          <cell r="B415">
            <v>124000000000412</v>
          </cell>
          <cell r="C415" t="str">
            <v>Mandor Pirmansyah</v>
          </cell>
        </row>
        <row r="416">
          <cell r="B416">
            <v>124000000000413</v>
          </cell>
          <cell r="C416" t="str">
            <v>Mandor Pristianda Erwin Pauzi</v>
          </cell>
        </row>
        <row r="417">
          <cell r="B417">
            <v>124000000000414</v>
          </cell>
          <cell r="C417" t="str">
            <v>Mandor Priyo Handoko</v>
          </cell>
        </row>
        <row r="418">
          <cell r="B418">
            <v>124000000000415</v>
          </cell>
          <cell r="C418" t="str">
            <v>Mandor Ricardo Manurung</v>
          </cell>
        </row>
        <row r="419">
          <cell r="B419">
            <v>124000000000416</v>
          </cell>
          <cell r="C419" t="str">
            <v>Mandor Ryan Prasetyo</v>
          </cell>
        </row>
        <row r="420">
          <cell r="B420">
            <v>124000000000417</v>
          </cell>
          <cell r="C420" t="str">
            <v>Mandor Sattria</v>
          </cell>
        </row>
        <row r="421">
          <cell r="B421">
            <v>124000000000418</v>
          </cell>
          <cell r="C421" t="str">
            <v>Mandor Solikhin</v>
          </cell>
        </row>
        <row r="422">
          <cell r="B422">
            <v>124000000000419</v>
          </cell>
          <cell r="C422" t="str">
            <v>Mandor Suhendri</v>
          </cell>
        </row>
        <row r="423">
          <cell r="B423">
            <v>124000000000420</v>
          </cell>
          <cell r="C423" t="str">
            <v>Mandor Sunanda</v>
          </cell>
        </row>
        <row r="424">
          <cell r="B424">
            <v>124000000000421</v>
          </cell>
          <cell r="C424" t="str">
            <v>Mandor Sunardi</v>
          </cell>
        </row>
        <row r="425">
          <cell r="B425">
            <v>124000000000422</v>
          </cell>
          <cell r="C425" t="str">
            <v>Mandor Suprianto</v>
          </cell>
        </row>
        <row r="426">
          <cell r="B426">
            <v>124000000000423</v>
          </cell>
          <cell r="C426" t="str">
            <v>Mandor Susanto</v>
          </cell>
        </row>
        <row r="427">
          <cell r="B427">
            <v>124000000000424</v>
          </cell>
          <cell r="C427" t="str">
            <v>Mandor Sutikno</v>
          </cell>
        </row>
        <row r="428">
          <cell r="B428">
            <v>124000000000425</v>
          </cell>
          <cell r="C428" t="str">
            <v>Mandor Sutoyo Bin Durajak</v>
          </cell>
        </row>
        <row r="429">
          <cell r="B429">
            <v>124000000000426</v>
          </cell>
          <cell r="C429" t="str">
            <v>Mandor Suwarjono</v>
          </cell>
        </row>
        <row r="430">
          <cell r="B430">
            <v>124000000000427</v>
          </cell>
          <cell r="C430" t="str">
            <v>Mandor Suyoto</v>
          </cell>
        </row>
        <row r="431">
          <cell r="B431">
            <v>124000000000428</v>
          </cell>
          <cell r="C431" t="str">
            <v>Mandor Tajudin</v>
          </cell>
        </row>
        <row r="432">
          <cell r="B432">
            <v>124000000000429</v>
          </cell>
          <cell r="C432" t="str">
            <v>Mandor Teguh Ari Wibowo</v>
          </cell>
        </row>
        <row r="433">
          <cell r="B433">
            <v>124000000000430</v>
          </cell>
          <cell r="C433" t="str">
            <v>Mandor Tengku Wahyudi</v>
          </cell>
        </row>
        <row r="434">
          <cell r="B434">
            <v>124000000000431</v>
          </cell>
          <cell r="C434" t="str">
            <v>Mandor Usman</v>
          </cell>
        </row>
        <row r="435">
          <cell r="B435">
            <v>124000000000432</v>
          </cell>
          <cell r="C435" t="str">
            <v>Mandor Yeyet Abdulrahman</v>
          </cell>
        </row>
        <row r="436">
          <cell r="B436">
            <v>124000000000433</v>
          </cell>
          <cell r="C436" t="str">
            <v>Mandor Yosefa Trisna Aroma Furi</v>
          </cell>
        </row>
        <row r="437">
          <cell r="B437">
            <v>124000000000434</v>
          </cell>
          <cell r="C437" t="str">
            <v>Mandor Zepridani M K</v>
          </cell>
        </row>
        <row r="438">
          <cell r="B438">
            <v>124000000000435</v>
          </cell>
          <cell r="C438" t="str">
            <v>Ade Saputra</v>
          </cell>
        </row>
        <row r="439">
          <cell r="B439">
            <v>124000000000436</v>
          </cell>
          <cell r="C439" t="str">
            <v>Aef Sugihartono</v>
          </cell>
        </row>
        <row r="440">
          <cell r="B440">
            <v>124000000000437</v>
          </cell>
          <cell r="C440" t="str">
            <v>Agung Pranata</v>
          </cell>
        </row>
        <row r="441">
          <cell r="B441">
            <v>124000000000438</v>
          </cell>
          <cell r="C441" t="str">
            <v>Ahmad Hamidi</v>
          </cell>
        </row>
        <row r="442">
          <cell r="B442">
            <v>124000000000439</v>
          </cell>
          <cell r="C442" t="str">
            <v>Ahmad Suhadi</v>
          </cell>
        </row>
        <row r="443">
          <cell r="B443">
            <v>124000000000440</v>
          </cell>
          <cell r="C443" t="str">
            <v>Ali Mufti Wardhani</v>
          </cell>
        </row>
        <row r="444">
          <cell r="B444">
            <v>124000000000441</v>
          </cell>
          <cell r="C444" t="str">
            <v>Ali Sopandi</v>
          </cell>
        </row>
        <row r="445">
          <cell r="B445">
            <v>124000000000442</v>
          </cell>
          <cell r="C445" t="str">
            <v>Ardhis Collection</v>
          </cell>
        </row>
        <row r="446">
          <cell r="B446">
            <v>124000000000443</v>
          </cell>
          <cell r="C446" t="str">
            <v>Arsyad</v>
          </cell>
        </row>
        <row r="447">
          <cell r="B447">
            <v>124000000000444</v>
          </cell>
          <cell r="C447" t="str">
            <v>Asuransi Ramayana</v>
          </cell>
        </row>
        <row r="448">
          <cell r="B448">
            <v>124000000000445</v>
          </cell>
          <cell r="C448" t="str">
            <v>Barokah Bengkel Las</v>
          </cell>
        </row>
        <row r="449">
          <cell r="B449">
            <v>124000000000446</v>
          </cell>
          <cell r="C449" t="str">
            <v>Batik Air Cargo</v>
          </cell>
        </row>
        <row r="450">
          <cell r="B450">
            <v>124000000000447</v>
          </cell>
          <cell r="C450" t="str">
            <v>Bengkel Mobil dan Las Heri</v>
          </cell>
        </row>
        <row r="451">
          <cell r="B451">
            <v>124000000000448</v>
          </cell>
          <cell r="C451" t="str">
            <v>Bunyamin Majid</v>
          </cell>
        </row>
        <row r="452">
          <cell r="B452">
            <v>124000000000449</v>
          </cell>
          <cell r="C452" t="str">
            <v>Bustami</v>
          </cell>
        </row>
        <row r="453">
          <cell r="B453">
            <v>124000000000450</v>
          </cell>
          <cell r="C453" t="str">
            <v>Cargo Nusantara Express</v>
          </cell>
        </row>
        <row r="454">
          <cell r="B454">
            <v>124000000000451</v>
          </cell>
          <cell r="C454" t="str">
            <v>Damarra Rezza</v>
          </cell>
        </row>
        <row r="455">
          <cell r="B455">
            <v>124000000000452</v>
          </cell>
          <cell r="C455" t="str">
            <v>Darmawan Dwi Sanjaya</v>
          </cell>
        </row>
        <row r="456">
          <cell r="B456">
            <v>124000000000453</v>
          </cell>
          <cell r="C456" t="str">
            <v>Devit Kustianto</v>
          </cell>
        </row>
        <row r="457">
          <cell r="B457">
            <v>124000000000454</v>
          </cell>
          <cell r="C457" t="str">
            <v>Didik Haryadi</v>
          </cell>
        </row>
        <row r="458">
          <cell r="B458">
            <v>124000000000455</v>
          </cell>
          <cell r="C458" t="str">
            <v>Didin</v>
          </cell>
        </row>
        <row r="459">
          <cell r="B459">
            <v>124000000000456</v>
          </cell>
          <cell r="C459" t="str">
            <v>Djumsadi</v>
          </cell>
        </row>
        <row r="460">
          <cell r="B460">
            <v>124000000000457</v>
          </cell>
          <cell r="C460" t="str">
            <v>Dodi Tri Prasetyo</v>
          </cell>
        </row>
        <row r="461">
          <cell r="B461">
            <v>124000000000458</v>
          </cell>
          <cell r="C461" t="str">
            <v>Dwi Hariyanto</v>
          </cell>
        </row>
        <row r="462">
          <cell r="B462">
            <v>124000000000459</v>
          </cell>
          <cell r="C462" t="str">
            <v>Eda Hartini</v>
          </cell>
        </row>
        <row r="463">
          <cell r="B463">
            <v>124000000000460</v>
          </cell>
          <cell r="C463" t="str">
            <v>Efo Akmal</v>
          </cell>
        </row>
        <row r="464">
          <cell r="B464">
            <v>124000000000461</v>
          </cell>
          <cell r="C464" t="str">
            <v>Erie Herliana</v>
          </cell>
        </row>
        <row r="465">
          <cell r="B465">
            <v>124000000000462</v>
          </cell>
          <cell r="C465" t="str">
            <v>Etty Irawaty</v>
          </cell>
        </row>
        <row r="466">
          <cell r="B466">
            <v>124000000000463</v>
          </cell>
          <cell r="C466" t="str">
            <v>Finus Arifin</v>
          </cell>
        </row>
        <row r="467">
          <cell r="B467">
            <v>124000000000464</v>
          </cell>
          <cell r="C467" t="str">
            <v>H. Juhriyanto</v>
          </cell>
        </row>
        <row r="468">
          <cell r="B468">
            <v>124000000000465</v>
          </cell>
          <cell r="C468" t="str">
            <v>Haerudin</v>
          </cell>
        </row>
        <row r="469">
          <cell r="B469">
            <v>124000000000466</v>
          </cell>
          <cell r="C469" t="str">
            <v>Hajaratul Aswad</v>
          </cell>
        </row>
        <row r="470">
          <cell r="B470">
            <v>124000000000467</v>
          </cell>
          <cell r="C470" t="str">
            <v>Hajrawati</v>
          </cell>
        </row>
        <row r="471">
          <cell r="B471">
            <v>124000000000468</v>
          </cell>
          <cell r="C471" t="str">
            <v>Hanafi Surya</v>
          </cell>
        </row>
        <row r="472">
          <cell r="B472">
            <v>124000000000469</v>
          </cell>
          <cell r="C472" t="str">
            <v>Harun Nur Rasyid</v>
          </cell>
        </row>
        <row r="473">
          <cell r="B473">
            <v>124000000000470</v>
          </cell>
          <cell r="C473" t="str">
            <v>Hasnida</v>
          </cell>
        </row>
        <row r="474">
          <cell r="B474">
            <v>124000000000471</v>
          </cell>
          <cell r="C474" t="str">
            <v>Hendri Rahmat - Kepala Lab. Univ. Lancang Kuning</v>
          </cell>
        </row>
        <row r="475">
          <cell r="B475">
            <v>124000000000472</v>
          </cell>
          <cell r="C475" t="str">
            <v>Herdi Riawan</v>
          </cell>
        </row>
        <row r="476">
          <cell r="B476">
            <v>124000000000473</v>
          </cell>
          <cell r="C476" t="str">
            <v>Holid Gilpani</v>
          </cell>
        </row>
        <row r="477">
          <cell r="B477">
            <v>124000000000474</v>
          </cell>
          <cell r="C477" t="str">
            <v>Hunan Lingte Technology Co., Ltd</v>
          </cell>
        </row>
        <row r="478">
          <cell r="B478">
            <v>124000000000475</v>
          </cell>
          <cell r="C478" t="str">
            <v>Ikhwan Nauli Lubis</v>
          </cell>
        </row>
        <row r="479">
          <cell r="B479">
            <v>124000000000476</v>
          </cell>
          <cell r="C479" t="str">
            <v>Irhamsyah Purba</v>
          </cell>
        </row>
        <row r="480">
          <cell r="B480">
            <v>124000000000477</v>
          </cell>
          <cell r="C480" t="str">
            <v>Irma</v>
          </cell>
        </row>
        <row r="481">
          <cell r="B481">
            <v>124000000000478</v>
          </cell>
          <cell r="C481" t="str">
            <v>Istanto</v>
          </cell>
        </row>
        <row r="482">
          <cell r="B482">
            <v>124000000000479</v>
          </cell>
          <cell r="C482" t="str">
            <v>Kamil</v>
          </cell>
        </row>
        <row r="483">
          <cell r="B483">
            <v>124000000000480</v>
          </cell>
          <cell r="C483" t="str">
            <v>Klinik Pratama Simpang Lima Husada</v>
          </cell>
        </row>
        <row r="484">
          <cell r="B484">
            <v>124000000000481</v>
          </cell>
          <cell r="C484" t="str">
            <v>KSO.Sucofindo-Surveyor Indonesia</v>
          </cell>
        </row>
        <row r="485">
          <cell r="B485">
            <v>124000000000482</v>
          </cell>
          <cell r="C485" t="str">
            <v>Laboratorium Unit Pengelola Penilaian Kesesuaian Bahan dan Barang Teknik</v>
          </cell>
        </row>
        <row r="486">
          <cell r="B486">
            <v>124000000000483</v>
          </cell>
          <cell r="C486" t="str">
            <v>Marhaeni</v>
          </cell>
        </row>
        <row r="487">
          <cell r="B487">
            <v>124000000000484</v>
          </cell>
          <cell r="C487" t="str">
            <v>Mudji Irmawan Arkani</v>
          </cell>
        </row>
        <row r="488">
          <cell r="B488">
            <v>124000000000485</v>
          </cell>
          <cell r="C488" t="str">
            <v>Mukhlas. A</v>
          </cell>
        </row>
        <row r="489">
          <cell r="B489">
            <v>124000000000486</v>
          </cell>
          <cell r="C489" t="str">
            <v>Musdawaty</v>
          </cell>
        </row>
        <row r="490">
          <cell r="B490">
            <v>124000000000487</v>
          </cell>
          <cell r="C490" t="str">
            <v>Mustakim</v>
          </cell>
        </row>
        <row r="491">
          <cell r="B491">
            <v>124000000000488</v>
          </cell>
          <cell r="C491" t="str">
            <v>Mustari</v>
          </cell>
        </row>
        <row r="492">
          <cell r="B492">
            <v>124000000000489</v>
          </cell>
          <cell r="C492" t="str">
            <v>Narkum</v>
          </cell>
        </row>
        <row r="493">
          <cell r="B493">
            <v>124000000000490</v>
          </cell>
          <cell r="C493" t="str">
            <v>Toko Toba Raya Konstruksi</v>
          </cell>
        </row>
        <row r="494">
          <cell r="B494">
            <v>124000000000491</v>
          </cell>
          <cell r="C494" t="str">
            <v>Oscar</v>
          </cell>
        </row>
        <row r="495">
          <cell r="B495">
            <v>124000000000492</v>
          </cell>
          <cell r="C495" t="str">
            <v>Pardi</v>
          </cell>
        </row>
        <row r="496">
          <cell r="B496">
            <v>124000000000493</v>
          </cell>
          <cell r="C496" t="str">
            <v>Raminto</v>
          </cell>
        </row>
        <row r="497">
          <cell r="B497">
            <v>124000000000494</v>
          </cell>
          <cell r="C497" t="str">
            <v>Rocki Sitepu</v>
          </cell>
        </row>
        <row r="498">
          <cell r="B498">
            <v>124000000000495</v>
          </cell>
          <cell r="C498" t="str">
            <v>RS Benyamin Guluh</v>
          </cell>
        </row>
        <row r="499">
          <cell r="B499">
            <v>124000000000496</v>
          </cell>
          <cell r="C499" t="str">
            <v>RS Keluarga Husada</v>
          </cell>
        </row>
        <row r="500">
          <cell r="B500">
            <v>124000000000497</v>
          </cell>
          <cell r="C500" t="str">
            <v>RSUD Dr. R. Soedjati</v>
          </cell>
        </row>
        <row r="501">
          <cell r="B501">
            <v>124000000000498</v>
          </cell>
          <cell r="C501" t="str">
            <v>Rudi Hardianto</v>
          </cell>
        </row>
        <row r="502">
          <cell r="B502">
            <v>124000000000499</v>
          </cell>
          <cell r="C502" t="str">
            <v>Siemens Energy Global GmbH &amp; Co. KG - SE GT S TSE AR Departement</v>
          </cell>
        </row>
        <row r="503">
          <cell r="B503">
            <v>124000000000500</v>
          </cell>
          <cell r="C503" t="str">
            <v>Suci Nurul Utami Putri</v>
          </cell>
        </row>
        <row r="504">
          <cell r="B504">
            <v>124000000000501</v>
          </cell>
          <cell r="C504" t="str">
            <v>Suparno</v>
          </cell>
        </row>
        <row r="505">
          <cell r="B505">
            <v>124000000000502</v>
          </cell>
          <cell r="C505" t="str">
            <v>Surnadi</v>
          </cell>
        </row>
        <row r="506">
          <cell r="B506">
            <v>124000000000503</v>
          </cell>
          <cell r="C506" t="str">
            <v>Suroto</v>
          </cell>
        </row>
        <row r="507">
          <cell r="B507">
            <v>124000000000504</v>
          </cell>
          <cell r="C507" t="str">
            <v>Syahrian</v>
          </cell>
        </row>
        <row r="508">
          <cell r="B508">
            <v>124000000000505</v>
          </cell>
          <cell r="C508" t="str">
            <v>Tjoe Tjhoen Song</v>
          </cell>
        </row>
        <row r="509">
          <cell r="B509">
            <v>124000000000506</v>
          </cell>
          <cell r="C509" t="str">
            <v>Wilda Trans</v>
          </cell>
        </row>
        <row r="510">
          <cell r="B510">
            <v>124000000000507</v>
          </cell>
          <cell r="C510" t="str">
            <v>PT. Pelayanan Listrik Nasional (Persero) [a.k.a : PLN] - Unit Induk Distribusi (UID) Jakarta Raya dan Tangerang</v>
          </cell>
        </row>
        <row r="511">
          <cell r="B511">
            <v>124000000000508</v>
          </cell>
          <cell r="C511" t="str">
            <v xml:space="preserve">PT. Pelayanan Listrik Nasional (Persero) [a.k.a : PLN] - Unit Pelaksana Pelayanan Pelanggan (UP3) Klaten </v>
          </cell>
        </row>
        <row r="512">
          <cell r="B512">
            <v>124000000000509</v>
          </cell>
          <cell r="C512" t="str">
            <v>PT. Pelayanan Listrik Nasional (Persero) [a.k.a : PLN] - Unit Pelaksana Pelayanan Pelanggan (UP3) Lhokseumawe</v>
          </cell>
        </row>
        <row r="513">
          <cell r="B513">
            <v>124000000000510</v>
          </cell>
          <cell r="C513" t="str">
            <v xml:space="preserve">PT. Pelayanan Listrik Nasional (Persero) [a.k.a : PLN] - Unit Pelaksana Pelayanan Pelanggan (UP3) Salatiga </v>
          </cell>
        </row>
        <row r="514">
          <cell r="B514">
            <v>124000000000511</v>
          </cell>
          <cell r="C514" t="str">
            <v>PT. Pelayanan Listrik Nasional (Persero) [a.k.a : PLN] - Unit Pelaksana Pelayanan Pelanggan (UP3) Pacitan</v>
          </cell>
        </row>
        <row r="515">
          <cell r="B515">
            <v>124000000000512</v>
          </cell>
          <cell r="C515" t="str">
            <v>PT. Pelayanan Listrik Nasional (Persero) [a.k.a : PLN] - Unit Pelaksana Pelayanan Pelanggan (UP3) Pondok Kopi</v>
          </cell>
        </row>
        <row r="516">
          <cell r="B516">
            <v>124000000000513</v>
          </cell>
          <cell r="C516" t="str">
            <v xml:space="preserve">PT. Pelayanan Listrik Nasional (Persero) [a.k.a : PLN] - Unit Pelaksana Pelayanan Pelanggan (UP3) Surabaya </v>
          </cell>
        </row>
        <row r="517">
          <cell r="B517">
            <v>124000000000514</v>
          </cell>
          <cell r="C517" t="str">
            <v>PT. Pelayanan Listrik Nasional (Persero) [a.k.a : PLN] - Unit Pelaksana Pelayanan Pelanggan (UP3) Tanjung Pinang</v>
          </cell>
        </row>
        <row r="518">
          <cell r="B518">
            <v>124000000000515</v>
          </cell>
          <cell r="C518" t="str">
            <v>PT. Pelayanan Listrik Nasional (Persero) [a.k.a : PLN] - Unit Layanan Pelanggan (ULP) Batam</v>
          </cell>
        </row>
        <row r="519">
          <cell r="B519">
            <v>124000000000516</v>
          </cell>
          <cell r="C519" t="str">
            <v>PT. Pelayanan Listrik Nasional (Persero) [a.k.a : PLN] - Unit Layanan Pelanggan (ULP) Cimanggis</v>
          </cell>
        </row>
        <row r="520">
          <cell r="B520">
            <v>124000000000517</v>
          </cell>
          <cell r="C520" t="str">
            <v>PT. Pelayanan Listrik Nasional (Persero) [a.k.a : PLN] - Unit Layanan Pelanggan (ULP) Garut Leles</v>
          </cell>
        </row>
        <row r="521">
          <cell r="B521">
            <v>124000000000518</v>
          </cell>
          <cell r="C521" t="str">
            <v>PT. Pelayanan Listrik Nasional (Persero) [a.k.a : PLN] - Unit Layanan Pelanggan (ULP) Majalaya</v>
          </cell>
        </row>
        <row r="522">
          <cell r="B522">
            <v>124000000000519</v>
          </cell>
          <cell r="C522" t="str">
            <v>PT. Pelayanan Listrik Nasional (Persero) [a.k.a : PLN] - Unit Layanan Pelanggan (ULP) Panam</v>
          </cell>
        </row>
        <row r="523">
          <cell r="B523">
            <v>124000000000520</v>
          </cell>
          <cell r="C523" t="str">
            <v xml:space="preserve">PT. Pelayanan Listrik Nasional (Persero) [a.k.a : PLN] - Unit Layanan Pelanggan (ULP) Salatiga Kota </v>
          </cell>
        </row>
        <row r="524">
          <cell r="B524">
            <v>124000000000521</v>
          </cell>
          <cell r="C524" t="str">
            <v>PT. Pelayanan Listrik Nasional (Persero) [a.k.a : PLN] - Unit Layanan Pelanggan (ULP) Tanjung Balai</v>
          </cell>
        </row>
        <row r="525">
          <cell r="B525">
            <v>124000000000522</v>
          </cell>
          <cell r="C525" t="str">
            <v>PT. Pelayanan Listrik Nasional (Persero) [a.k.a : PLN] - Unit Pelaksana Transmisi (UPT) Cianjur</v>
          </cell>
        </row>
        <row r="526">
          <cell r="B526">
            <v>124000000000523</v>
          </cell>
          <cell r="C526" t="str">
            <v>PT. Pelayanan Listrik Nasional (Persero) [a.k.a : PLN] - Jasa Pendidikan dan Pelatihan</v>
          </cell>
        </row>
        <row r="527">
          <cell r="B527">
            <v>124000000000524</v>
          </cell>
          <cell r="C527" t="str">
            <v>PT. Pelayanan Listrik Nasional (Persero) [a.k.a : PLN] - Medan</v>
          </cell>
        </row>
        <row r="528">
          <cell r="B528">
            <v>124000000000525</v>
          </cell>
          <cell r="C528" t="str">
            <v>Koperasi Pegawai PLN Pusat</v>
          </cell>
        </row>
        <row r="529">
          <cell r="B529">
            <v>124000000000526</v>
          </cell>
          <cell r="C529" t="str">
            <v>Dewan Pimpinan Pusat Serikat PT PLN</v>
          </cell>
        </row>
        <row r="530">
          <cell r="B530">
            <v>124000000000527</v>
          </cell>
          <cell r="C530" t="str">
            <v>PT. Abadi Gondola Perkasa</v>
          </cell>
        </row>
        <row r="531">
          <cell r="B531">
            <v>124000000000528</v>
          </cell>
          <cell r="C531" t="str">
            <v>PT. ABC Power</v>
          </cell>
        </row>
        <row r="532">
          <cell r="B532">
            <v>124000000000529</v>
          </cell>
          <cell r="C532" t="str">
            <v>PT. Abdi Electra</v>
          </cell>
        </row>
        <row r="533">
          <cell r="B533">
            <v>124000000000530</v>
          </cell>
          <cell r="C533" t="str">
            <v>PT. ACE Hardware Indonesia, Tbk</v>
          </cell>
        </row>
        <row r="534">
          <cell r="B534">
            <v>124000000000531</v>
          </cell>
          <cell r="C534" t="str">
            <v>PT. Acommerce Jaya Abadi</v>
          </cell>
        </row>
        <row r="535">
          <cell r="B535">
            <v>124000000000532</v>
          </cell>
          <cell r="C535" t="str">
            <v>PT. Adhi Gana Nusantara</v>
          </cell>
        </row>
        <row r="536">
          <cell r="B536">
            <v>124000000000533</v>
          </cell>
          <cell r="C536" t="str">
            <v>PT. Adhimix PCI Indonesia</v>
          </cell>
        </row>
        <row r="537">
          <cell r="B537">
            <v>124000000000534</v>
          </cell>
          <cell r="C537" t="str">
            <v>PT. Adhimix RMC Indonesia</v>
          </cell>
        </row>
        <row r="538">
          <cell r="B538">
            <v>124000000000535</v>
          </cell>
          <cell r="C538" t="str">
            <v>PT. Adici Crane Pratama</v>
          </cell>
        </row>
        <row r="539">
          <cell r="B539">
            <v>124000000000536</v>
          </cell>
          <cell r="C539" t="str">
            <v>PT. Adimitra Karunia</v>
          </cell>
        </row>
        <row r="540">
          <cell r="B540">
            <v>124000000000537</v>
          </cell>
          <cell r="C540" t="str">
            <v>PT. Adinaga Distribution Jakarta</v>
          </cell>
        </row>
        <row r="541">
          <cell r="B541">
            <v>124000000000538</v>
          </cell>
          <cell r="C541" t="str">
            <v>PT. Advancednet Indonesia</v>
          </cell>
        </row>
        <row r="542">
          <cell r="B542">
            <v>124000000000539</v>
          </cell>
          <cell r="C542" t="str">
            <v>PT. Adyawansa Dinamika</v>
          </cell>
        </row>
        <row r="543">
          <cell r="B543">
            <v>124000000000540</v>
          </cell>
          <cell r="C543" t="str">
            <v>PT. Aerotrans Metropolitan Express</v>
          </cell>
        </row>
        <row r="544">
          <cell r="B544">
            <v>124000000000541</v>
          </cell>
          <cell r="C544" t="str">
            <v>PT. Agape Sukses Abadi</v>
          </cell>
        </row>
        <row r="545">
          <cell r="B545">
            <v>124000000000542</v>
          </cell>
          <cell r="C545" t="str">
            <v>PT. Agung Bersama Indonesia</v>
          </cell>
        </row>
        <row r="546">
          <cell r="B546">
            <v>124000000000543</v>
          </cell>
          <cell r="C546" t="str">
            <v>PT. Agung Karunia Utama</v>
          </cell>
        </row>
        <row r="547">
          <cell r="B547">
            <v>124000000000544</v>
          </cell>
          <cell r="C547" t="str">
            <v>PT. Agusta Mitra Sukses</v>
          </cell>
        </row>
        <row r="548">
          <cell r="B548">
            <v>124000000000545</v>
          </cell>
          <cell r="C548" t="str">
            <v>PT. AIA Financial</v>
          </cell>
        </row>
        <row r="549">
          <cell r="B549">
            <v>124000000000546</v>
          </cell>
          <cell r="C549" t="str">
            <v>PT. Akira Data Pratama</v>
          </cell>
        </row>
        <row r="550">
          <cell r="B550">
            <v>124000000000547</v>
          </cell>
          <cell r="C550" t="str">
            <v>PT. Alam Insektindo</v>
          </cell>
        </row>
        <row r="551">
          <cell r="B551">
            <v>124000000000548</v>
          </cell>
          <cell r="C551" t="str">
            <v>PT. Alam Loka Bersama</v>
          </cell>
        </row>
        <row r="552">
          <cell r="B552">
            <v>124000000000549</v>
          </cell>
          <cell r="C552" t="str">
            <v>PT. Aldina Krida Tama</v>
          </cell>
        </row>
        <row r="553">
          <cell r="B553">
            <v>124000000000550</v>
          </cell>
          <cell r="C553" t="str">
            <v>PT. Aledro Duta Jaya</v>
          </cell>
        </row>
        <row r="554">
          <cell r="B554">
            <v>124000000000551</v>
          </cell>
          <cell r="C554" t="str">
            <v>PT. Alhadi Berkah Sukses</v>
          </cell>
        </row>
        <row r="555">
          <cell r="B555">
            <v>124000000000552</v>
          </cell>
          <cell r="C555" t="str">
            <v>PT. Allysa Puteri Mandiri</v>
          </cell>
        </row>
        <row r="556">
          <cell r="B556">
            <v>124000000000553</v>
          </cell>
          <cell r="C556" t="str">
            <v>PT. Alma Cipta Mandiri</v>
          </cell>
        </row>
        <row r="557">
          <cell r="B557">
            <v>124000000000554</v>
          </cell>
          <cell r="C557" t="str">
            <v>PT. Alpha Cikupa Makmur</v>
          </cell>
        </row>
        <row r="558">
          <cell r="B558">
            <v>124000000000555</v>
          </cell>
          <cell r="C558" t="str">
            <v>PT. Alstom Grid Indonesia</v>
          </cell>
        </row>
        <row r="559">
          <cell r="B559">
            <v>124000000000556</v>
          </cell>
          <cell r="C559" t="str">
            <v>PT. Alvasta Teknologi</v>
          </cell>
        </row>
        <row r="560">
          <cell r="B560">
            <v>124000000000557</v>
          </cell>
          <cell r="C560" t="str">
            <v>PT. Alvinta Yoga Pratama</v>
          </cell>
        </row>
        <row r="561">
          <cell r="B561">
            <v>124000000000558</v>
          </cell>
          <cell r="C561" t="str">
            <v>PT. Amerika Sistem Registrasi Internasional Indonesia</v>
          </cell>
        </row>
        <row r="562">
          <cell r="B562">
            <v>124000000000559</v>
          </cell>
          <cell r="C562" t="str">
            <v>PT. Amptron Instrumindo</v>
          </cell>
        </row>
        <row r="563">
          <cell r="B563">
            <v>124000000000560</v>
          </cell>
          <cell r="C563" t="str">
            <v>PT. Andal Prima Adhitama Perkasa</v>
          </cell>
        </row>
        <row r="564">
          <cell r="B564">
            <v>124000000000561</v>
          </cell>
          <cell r="C564" t="str">
            <v>PT. Andira Jasa Semesta</v>
          </cell>
        </row>
        <row r="565">
          <cell r="B565">
            <v>124000000000562</v>
          </cell>
          <cell r="C565" t="str">
            <v>PT. Andira Pratama</v>
          </cell>
        </row>
        <row r="566">
          <cell r="B566">
            <v>124000000000563</v>
          </cell>
          <cell r="C566" t="str">
            <v>PT. Aneka Alam Jaya Bersama</v>
          </cell>
        </row>
        <row r="567">
          <cell r="B567">
            <v>124000000000564</v>
          </cell>
          <cell r="C567" t="str">
            <v>PT. Aneka Maju Terus</v>
          </cell>
        </row>
        <row r="568">
          <cell r="B568">
            <v>124000000000565</v>
          </cell>
          <cell r="C568" t="str">
            <v>PT. Anggun Jaya Wisata Bersama</v>
          </cell>
        </row>
        <row r="569">
          <cell r="B569">
            <v>124000000000566</v>
          </cell>
          <cell r="C569" t="str">
            <v>PT. Angkasa Telekomindo</v>
          </cell>
        </row>
        <row r="570">
          <cell r="B570">
            <v>124000000000567</v>
          </cell>
          <cell r="C570" t="str">
            <v>PT. Anifah Groups</v>
          </cell>
        </row>
        <row r="571">
          <cell r="B571">
            <v>124000000000568</v>
          </cell>
          <cell r="C571" t="str">
            <v>PT. Anugerah Dua Persada</v>
          </cell>
        </row>
        <row r="572">
          <cell r="B572">
            <v>124000000000569</v>
          </cell>
          <cell r="C572" t="str">
            <v>PT. Anugerah Restu Bumi</v>
          </cell>
        </row>
        <row r="573">
          <cell r="B573">
            <v>124000000000570</v>
          </cell>
          <cell r="C573" t="str">
            <v>PT. Anugrah Ilahi Persada</v>
          </cell>
        </row>
        <row r="574">
          <cell r="B574">
            <v>124000000000571</v>
          </cell>
          <cell r="C574" t="str">
            <v>PT. Anugrah Jaya Agung</v>
          </cell>
        </row>
        <row r="575">
          <cell r="B575">
            <v>124000000000572</v>
          </cell>
          <cell r="C575" t="str">
            <v>PT. Anugrah Sukses Metal Indonesia</v>
          </cell>
        </row>
        <row r="576">
          <cell r="B576">
            <v>124000000000573</v>
          </cell>
          <cell r="C576" t="str">
            <v>PT. Ardata Cipta Ekasarana</v>
          </cell>
        </row>
        <row r="577">
          <cell r="B577">
            <v>124000000000574</v>
          </cell>
          <cell r="C577" t="str">
            <v>PT. Arian</v>
          </cell>
        </row>
        <row r="578">
          <cell r="B578">
            <v>124000000000575</v>
          </cell>
          <cell r="C578" t="str">
            <v>PT. Ariatama Duta Nusa</v>
          </cell>
        </row>
        <row r="579">
          <cell r="B579">
            <v>124000000000576</v>
          </cell>
          <cell r="C579" t="str">
            <v>PT. Arista Karya Abadi</v>
          </cell>
        </row>
        <row r="580">
          <cell r="B580">
            <v>124000000000577</v>
          </cell>
          <cell r="C580" t="str">
            <v>PT. Arta Madyafam</v>
          </cell>
        </row>
        <row r="581">
          <cell r="B581">
            <v>124000000000578</v>
          </cell>
          <cell r="C581" t="str">
            <v>PT. Arta Global Anugerah</v>
          </cell>
        </row>
        <row r="582">
          <cell r="B582">
            <v>124000000000579</v>
          </cell>
          <cell r="C582" t="str">
            <v>PT. Arthanindo Cemerlang</v>
          </cell>
        </row>
        <row r="583">
          <cell r="B583">
            <v>124000000000580</v>
          </cell>
          <cell r="C583" t="str">
            <v>PT. Arybro Nusa</v>
          </cell>
        </row>
        <row r="584">
          <cell r="B584">
            <v>124000000000581</v>
          </cell>
          <cell r="C584" t="str">
            <v>PT. Asa Globalindo Pratama</v>
          </cell>
        </row>
        <row r="585">
          <cell r="B585">
            <v>124000000000582</v>
          </cell>
          <cell r="C585" t="str">
            <v>PT. Aseza Bumi Konsultan</v>
          </cell>
        </row>
        <row r="586">
          <cell r="B586">
            <v>124000000000583</v>
          </cell>
          <cell r="C586" t="str">
            <v>PT. Astra Aviva Life</v>
          </cell>
        </row>
        <row r="587">
          <cell r="B587">
            <v>124000000000584</v>
          </cell>
          <cell r="C587" t="str">
            <v>PT. Asuransi Central Asia</v>
          </cell>
        </row>
        <row r="588">
          <cell r="B588">
            <v>124000000000585</v>
          </cell>
          <cell r="C588" t="str">
            <v>PT. Asuransi Jasa Indonesia</v>
          </cell>
        </row>
        <row r="589">
          <cell r="B589">
            <v>124000000000586</v>
          </cell>
          <cell r="C589" t="str">
            <v>PT. Asuransi Tugu Kresna Pratama</v>
          </cell>
        </row>
        <row r="590">
          <cell r="B590">
            <v>124000000000587</v>
          </cell>
          <cell r="C590" t="str">
            <v>PT. Asuransi Umum Mega</v>
          </cell>
        </row>
        <row r="591">
          <cell r="B591">
            <v>124000000000588</v>
          </cell>
          <cell r="C591" t="str">
            <v>PT. Autoland Artha Cipta</v>
          </cell>
        </row>
        <row r="592">
          <cell r="B592">
            <v>124000000000589</v>
          </cell>
          <cell r="C592" t="str">
            <v>PT. AXA Mandiri Financial Service</v>
          </cell>
        </row>
        <row r="593">
          <cell r="B593">
            <v>124000000000590</v>
          </cell>
          <cell r="C593" t="str">
            <v>PT. Ayu Septa Perdana</v>
          </cell>
        </row>
        <row r="594">
          <cell r="B594">
            <v>124000000000591</v>
          </cell>
          <cell r="C594" t="str">
            <v>PT. Baja Ang Putrasukses</v>
          </cell>
        </row>
        <row r="595">
          <cell r="B595">
            <v>124000000000592</v>
          </cell>
          <cell r="C595" t="str">
            <v>PT. Bajau Escorindo</v>
          </cell>
        </row>
        <row r="596">
          <cell r="B596">
            <v>124000000000593</v>
          </cell>
          <cell r="C596" t="str">
            <v>PT. Balindo Central Abadi</v>
          </cell>
        </row>
        <row r="597">
          <cell r="B597">
            <v>124000000000594</v>
          </cell>
          <cell r="C597" t="str">
            <v>PT. Bangun Anugerah Jaya Perkasa</v>
          </cell>
        </row>
        <row r="598">
          <cell r="B598">
            <v>124000000000595</v>
          </cell>
          <cell r="C598" t="str">
            <v>PT. Bangun Sarana Baja</v>
          </cell>
        </row>
        <row r="599">
          <cell r="B599">
            <v>124000000000596</v>
          </cell>
          <cell r="C599" t="str">
            <v>PT. Batam General Supplier</v>
          </cell>
        </row>
        <row r="600">
          <cell r="B600">
            <v>124000000000597</v>
          </cell>
          <cell r="C600" t="str">
            <v>PT. Batraja Wirenindo Utama</v>
          </cell>
        </row>
        <row r="601">
          <cell r="B601">
            <v>124000000000598</v>
          </cell>
          <cell r="C601" t="str">
            <v>PT. BCI Central Indonesia</v>
          </cell>
        </row>
        <row r="602">
          <cell r="B602">
            <v>124000000000599</v>
          </cell>
          <cell r="C602" t="str">
            <v>PT. Belawan Indah</v>
          </cell>
        </row>
        <row r="603">
          <cell r="B603">
            <v>124000000000600</v>
          </cell>
          <cell r="C603" t="str">
            <v>PT. Bentala sakti Globalindo</v>
          </cell>
        </row>
        <row r="604">
          <cell r="B604">
            <v>124000000000601</v>
          </cell>
          <cell r="C604" t="str">
            <v>PT. Benteng Anugerah Sejahtera</v>
          </cell>
        </row>
        <row r="605">
          <cell r="B605">
            <v>124000000000602</v>
          </cell>
          <cell r="C605" t="str">
            <v>PT. Berathi</v>
          </cell>
        </row>
        <row r="606">
          <cell r="B606">
            <v>124000000000603</v>
          </cell>
          <cell r="C606" t="str">
            <v>PT. Berkah Emas Sejahtera Takwa</v>
          </cell>
        </row>
        <row r="607">
          <cell r="B607">
            <v>124000000000604</v>
          </cell>
          <cell r="C607" t="str">
            <v>PT. Berkah Tiga Raksa</v>
          </cell>
        </row>
        <row r="608">
          <cell r="B608">
            <v>124000000000605</v>
          </cell>
          <cell r="C608" t="str">
            <v>PT. Berkah Tujuh Sinar</v>
          </cell>
        </row>
        <row r="609">
          <cell r="B609">
            <v>124000000000606</v>
          </cell>
          <cell r="C609" t="str">
            <v>PT. Berlian Tangguh Sejahtera</v>
          </cell>
        </row>
        <row r="610">
          <cell r="B610">
            <v>124000000000607</v>
          </cell>
          <cell r="C610" t="str">
            <v>PT. Berlindo Perkasa</v>
          </cell>
        </row>
        <row r="611">
          <cell r="B611">
            <v>124000000000608</v>
          </cell>
          <cell r="C611" t="str">
            <v>PT. Bersaudara Express Cargo [a.k.a : Best Cargo]</v>
          </cell>
        </row>
        <row r="612">
          <cell r="B612">
            <v>124000000000609</v>
          </cell>
          <cell r="C612" t="str">
            <v>PT. Bhaskara Puspa Alam</v>
          </cell>
        </row>
        <row r="613">
          <cell r="B613">
            <v>124000000000610</v>
          </cell>
          <cell r="C613" t="str">
            <v>PT. Bhikarya Santosa</v>
          </cell>
        </row>
        <row r="614">
          <cell r="B614">
            <v>124000000000611</v>
          </cell>
          <cell r="C614" t="str">
            <v>PT. Bhinneka Mentaridimensi [a.k.a : Bhinneka.com]</v>
          </cell>
        </row>
        <row r="615">
          <cell r="B615">
            <v>124000000000612</v>
          </cell>
          <cell r="C615" t="str">
            <v>PT. BICC BERCA Cables</v>
          </cell>
        </row>
        <row r="616">
          <cell r="B616">
            <v>124000000000613</v>
          </cell>
          <cell r="C616" t="str">
            <v>PT. Bilah Baja Makmur Abadi</v>
          </cell>
        </row>
        <row r="617">
          <cell r="B617">
            <v>124000000000614</v>
          </cell>
          <cell r="C617" t="str">
            <v>PT. Bina Pertiwi</v>
          </cell>
        </row>
        <row r="618">
          <cell r="B618">
            <v>124000000000615</v>
          </cell>
          <cell r="C618" t="str">
            <v>PT. Binajasa Abadikarya</v>
          </cell>
        </row>
        <row r="619">
          <cell r="B619">
            <v>124000000000616</v>
          </cell>
          <cell r="C619" t="str">
            <v>PT. Binayasa Putrabatara</v>
          </cell>
        </row>
        <row r="620">
          <cell r="B620">
            <v>124000000000617</v>
          </cell>
          <cell r="C620" t="str">
            <v>PT. Bintang Abestaton Mahesa</v>
          </cell>
        </row>
        <row r="621">
          <cell r="B621">
            <v>124000000000618</v>
          </cell>
          <cell r="C621" t="str">
            <v>PT. Bintang Barlean Logistik</v>
          </cell>
        </row>
        <row r="622">
          <cell r="B622">
            <v>124000000000619</v>
          </cell>
          <cell r="C622" t="str">
            <v>PT. Bintang Elektrik Semesta</v>
          </cell>
        </row>
        <row r="623">
          <cell r="B623">
            <v>124000000000620</v>
          </cell>
          <cell r="C623" t="str">
            <v>PT. Bintang Harapan Bersama</v>
          </cell>
        </row>
        <row r="624">
          <cell r="B624">
            <v>124000000000621</v>
          </cell>
          <cell r="C624" t="str">
            <v>PT. Bintang Logistik Indonusa</v>
          </cell>
        </row>
        <row r="625">
          <cell r="B625">
            <v>124000000000622</v>
          </cell>
          <cell r="C625" t="str">
            <v>PT. Bintang Pratama Mix</v>
          </cell>
        </row>
        <row r="626">
          <cell r="B626">
            <v>124000000000623</v>
          </cell>
          <cell r="C626" t="str">
            <v>PT. Bintang Putra Ajibata</v>
          </cell>
        </row>
        <row r="627">
          <cell r="B627">
            <v>124000000000624</v>
          </cell>
          <cell r="C627" t="str">
            <v>PT. Bintang Timur Persada</v>
          </cell>
        </row>
        <row r="628">
          <cell r="B628">
            <v>124000000000625</v>
          </cell>
          <cell r="C628" t="str">
            <v>PT. Biofit Fiberglass Indonesia</v>
          </cell>
        </row>
        <row r="629">
          <cell r="B629">
            <v>124000000000626</v>
          </cell>
          <cell r="C629" t="str">
            <v>PT. Birotika Semesta</v>
          </cell>
        </row>
        <row r="630">
          <cell r="B630">
            <v>124000000000627</v>
          </cell>
          <cell r="C630" t="str">
            <v>PT. Biru Sakti</v>
          </cell>
        </row>
        <row r="631">
          <cell r="B631">
            <v>124000000000628</v>
          </cell>
          <cell r="C631" t="str">
            <v>PT. Bisa Mandiri Strategi Investasi</v>
          </cell>
        </row>
        <row r="632">
          <cell r="B632">
            <v>124000000000629</v>
          </cell>
          <cell r="C632" t="str">
            <v>PT. Bismacindo Putra Mandiri</v>
          </cell>
        </row>
        <row r="633">
          <cell r="B633">
            <v>124000000000630</v>
          </cell>
          <cell r="C633" t="str">
            <v>PT. Blue Marlin Persada</v>
          </cell>
        </row>
        <row r="634">
          <cell r="B634">
            <v>124000000000631</v>
          </cell>
          <cell r="C634" t="str">
            <v>PT. Brilliant Citra Mandiri</v>
          </cell>
        </row>
        <row r="635">
          <cell r="B635">
            <v>124000000000632</v>
          </cell>
          <cell r="C635" t="str">
            <v>PT. Buana Finance</v>
          </cell>
        </row>
        <row r="636">
          <cell r="B636">
            <v>124000000000633</v>
          </cell>
          <cell r="C636" t="str">
            <v>PT. Buana Prima Mulia</v>
          </cell>
        </row>
        <row r="637">
          <cell r="B637">
            <v>124000000000634</v>
          </cell>
          <cell r="C637" t="str">
            <v>PT. Buana Selaras Globalindo</v>
          </cell>
        </row>
        <row r="638">
          <cell r="B638">
            <v>124000000000635</v>
          </cell>
          <cell r="C638" t="str">
            <v>PT. Buitenzorg Multi Solusindo</v>
          </cell>
        </row>
        <row r="639">
          <cell r="B639">
            <v>124000000000636</v>
          </cell>
          <cell r="C639" t="str">
            <v>PT. Bumen Redja Abadi</v>
          </cell>
        </row>
        <row r="640">
          <cell r="B640">
            <v>124000000000637</v>
          </cell>
          <cell r="C640" t="str">
            <v>PT. Bumi Cikeupeulabadi</v>
          </cell>
        </row>
        <row r="641">
          <cell r="B641">
            <v>124000000000638</v>
          </cell>
          <cell r="C641" t="str">
            <v>PT. Bumi Jasa Utama</v>
          </cell>
        </row>
        <row r="642">
          <cell r="B642">
            <v>124000000000639</v>
          </cell>
          <cell r="C642" t="str">
            <v>PT. Bumi Lestari suskses</v>
          </cell>
        </row>
        <row r="643">
          <cell r="B643">
            <v>124000000000640</v>
          </cell>
          <cell r="C643" t="str">
            <v>PT. Bumi Kaya Steel Industries</v>
          </cell>
        </row>
        <row r="644">
          <cell r="B644">
            <v>124000000000641</v>
          </cell>
          <cell r="C644" t="str">
            <v>PT. Cahaya Abadi Bersama</v>
          </cell>
        </row>
        <row r="645">
          <cell r="B645">
            <v>124000000000642</v>
          </cell>
          <cell r="C645" t="str">
            <v>PT. Cahaya Agung Bumirizki</v>
          </cell>
        </row>
        <row r="646">
          <cell r="B646">
            <v>124000000000643</v>
          </cell>
          <cell r="C646" t="str">
            <v>PT. Cahaya Bekasi Bajatama</v>
          </cell>
        </row>
        <row r="647">
          <cell r="B647">
            <v>124000000000644</v>
          </cell>
          <cell r="C647" t="str">
            <v>PT. Cahaya Beringin Sejahtera</v>
          </cell>
        </row>
        <row r="648">
          <cell r="B648">
            <v>124000000000645</v>
          </cell>
          <cell r="C648" t="str">
            <v>PT. Cahaya Lentera Perkasa</v>
          </cell>
        </row>
        <row r="649">
          <cell r="B649">
            <v>124000000000646</v>
          </cell>
          <cell r="C649" t="str">
            <v>PT. Cahaya Mutiara Mandiri</v>
          </cell>
        </row>
        <row r="650">
          <cell r="B650">
            <v>124000000000647</v>
          </cell>
          <cell r="C650" t="str">
            <v>PT. Cakra Adji Gunung</v>
          </cell>
        </row>
        <row r="651">
          <cell r="B651">
            <v>124000000000648</v>
          </cell>
          <cell r="C651" t="str">
            <v>PT. Cardig Express Nusantara</v>
          </cell>
        </row>
        <row r="652">
          <cell r="B652">
            <v>124000000000649</v>
          </cell>
          <cell r="C652" t="str">
            <v>PT. Carrefour Indonesia</v>
          </cell>
        </row>
        <row r="653">
          <cell r="B653">
            <v>124000000000650</v>
          </cell>
          <cell r="C653" t="str">
            <v>PT. Catur Mukti</v>
          </cell>
        </row>
        <row r="654">
          <cell r="B654">
            <v>124000000000651</v>
          </cell>
          <cell r="C654" t="str">
            <v>PT. Catur Panca Mandiri</v>
          </cell>
        </row>
        <row r="655">
          <cell r="B655">
            <v>124000000000652</v>
          </cell>
          <cell r="C655" t="str">
            <v>PT. Catur Sentosa Adiprana</v>
          </cell>
        </row>
        <row r="656">
          <cell r="B656">
            <v>124000000000653</v>
          </cell>
          <cell r="C656" t="str">
            <v>PT. Cedric Cemerlang Perkasa Express</v>
          </cell>
        </row>
        <row r="657">
          <cell r="B657">
            <v>124000000000654</v>
          </cell>
          <cell r="C657" t="str">
            <v>PT. Centielindo Daya Utama</v>
          </cell>
        </row>
        <row r="658">
          <cell r="B658">
            <v>124000000000655</v>
          </cell>
          <cell r="C658" t="str">
            <v>PT. Central Cipta Kemakmuran</v>
          </cell>
        </row>
        <row r="659">
          <cell r="B659">
            <v>124000000000656</v>
          </cell>
          <cell r="C659" t="str">
            <v>PT. Central Plotter Indonesia</v>
          </cell>
        </row>
        <row r="660">
          <cell r="B660">
            <v>124000000000657</v>
          </cell>
          <cell r="C660" t="str">
            <v>PT. Centralindo Mandiri Perkasa</v>
          </cell>
        </row>
        <row r="661">
          <cell r="B661">
            <v>124000000000658</v>
          </cell>
          <cell r="C661" t="str">
            <v>PT. CG Power Systems Indonesia</v>
          </cell>
        </row>
        <row r="662">
          <cell r="B662">
            <v>124000000000659</v>
          </cell>
          <cell r="C662" t="str">
            <v>PT. Chandra Karya Pramuka</v>
          </cell>
        </row>
        <row r="663">
          <cell r="B663">
            <v>124000000000660</v>
          </cell>
          <cell r="C663" t="str">
            <v>PT. Cibubur Raya Indosteel</v>
          </cell>
        </row>
        <row r="664">
          <cell r="B664">
            <v>124000000000661</v>
          </cell>
          <cell r="C664" t="str">
            <v>PT. Cigading Habeam Centre</v>
          </cell>
        </row>
        <row r="665">
          <cell r="B665">
            <v>124000000000662</v>
          </cell>
          <cell r="C665" t="str">
            <v>PT. Cikampek Baja Makmur [a.k.a : Mega Baja Purwakarta]</v>
          </cell>
        </row>
        <row r="666">
          <cell r="B666">
            <v>124000000000663</v>
          </cell>
          <cell r="C666" t="str">
            <v>PT. Cinta Karya Membangun</v>
          </cell>
        </row>
        <row r="667">
          <cell r="B667">
            <v>124000000000664</v>
          </cell>
          <cell r="C667" t="str">
            <v>PT. Cipta Karya Estetika</v>
          </cell>
        </row>
        <row r="668">
          <cell r="B668">
            <v>124000000000665</v>
          </cell>
          <cell r="C668" t="str">
            <v>PT. Cipta Karya Presisi</v>
          </cell>
        </row>
        <row r="669">
          <cell r="B669">
            <v>124000000000666</v>
          </cell>
          <cell r="C669" t="str">
            <v>PT. Cipta Pesona</v>
          </cell>
        </row>
        <row r="670">
          <cell r="B670">
            <v>124000000000667</v>
          </cell>
          <cell r="C670" t="str">
            <v>PT. Cipta Primaguna</v>
          </cell>
        </row>
        <row r="671">
          <cell r="B671">
            <v>124000000000668</v>
          </cell>
          <cell r="C671" t="str">
            <v>PT. Cita Baja Jayaindo</v>
          </cell>
        </row>
        <row r="672">
          <cell r="B672">
            <v>124000000000669</v>
          </cell>
          <cell r="C672" t="str">
            <v>PT. Citra Dwipapura</v>
          </cell>
        </row>
        <row r="673">
          <cell r="B673">
            <v>124000000000670</v>
          </cell>
          <cell r="C673" t="str">
            <v>PT. Citra Mandiri Elektrik</v>
          </cell>
        </row>
        <row r="674">
          <cell r="B674">
            <v>124000000000671</v>
          </cell>
          <cell r="C674" t="str">
            <v>PT. Citra Murni Semesta</v>
          </cell>
        </row>
        <row r="675">
          <cell r="B675">
            <v>124000000000672</v>
          </cell>
          <cell r="C675" t="str">
            <v>PT. Citra Nuansa Cemerlang</v>
          </cell>
        </row>
        <row r="676">
          <cell r="B676">
            <v>124000000000673</v>
          </cell>
          <cell r="C676" t="str">
            <v>PT. Citra Trinindo Indonesia</v>
          </cell>
        </row>
        <row r="677">
          <cell r="B677">
            <v>124000000000674</v>
          </cell>
          <cell r="C677" t="str">
            <v>PT. Citra Van Titipan Kilat [a.k.a : TIKI]</v>
          </cell>
        </row>
        <row r="678">
          <cell r="B678">
            <v>124000000000675</v>
          </cell>
          <cell r="C678" t="str">
            <v>PT. Citramas Heavy Industries</v>
          </cell>
        </row>
        <row r="679">
          <cell r="B679">
            <v>124000000000676</v>
          </cell>
          <cell r="C679" t="str">
            <v>PT. Comba Telecom</v>
          </cell>
        </row>
        <row r="680">
          <cell r="B680">
            <v>124000000000677</v>
          </cell>
          <cell r="C680" t="str">
            <v>PT. Communication Cable Systems Indonesia</v>
          </cell>
        </row>
        <row r="681">
          <cell r="B681">
            <v>124000000000678</v>
          </cell>
          <cell r="C681" t="str">
            <v>PT. Corea System Indonesia</v>
          </cell>
        </row>
        <row r="682">
          <cell r="B682">
            <v>124000000000679</v>
          </cell>
          <cell r="C682" t="str">
            <v>PT. Cyberquote Indonesia</v>
          </cell>
        </row>
        <row r="683">
          <cell r="B683">
            <v>124000000000680</v>
          </cell>
          <cell r="C683" t="str">
            <v>PT. D &amp; B Indonesia</v>
          </cell>
        </row>
        <row r="684">
          <cell r="B684">
            <v>124000000000681</v>
          </cell>
          <cell r="C684" t="str">
            <v>PT. Dachtraco Raya</v>
          </cell>
        </row>
        <row r="685">
          <cell r="B685">
            <v>124000000000682</v>
          </cell>
          <cell r="C685" t="str">
            <v>PT. Danusari Mitra Sejahtera</v>
          </cell>
        </row>
        <row r="686">
          <cell r="B686">
            <v>124000000000683</v>
          </cell>
          <cell r="C686" t="str">
            <v>PT. Darun Raynor Istafajar</v>
          </cell>
        </row>
        <row r="687">
          <cell r="B687">
            <v>124000000000684</v>
          </cell>
          <cell r="C687" t="str">
            <v>PT. Daun Mas Ventura</v>
          </cell>
        </row>
        <row r="688">
          <cell r="B688">
            <v>124000000000685</v>
          </cell>
          <cell r="C688" t="str">
            <v>PT. Denka Lintas Indonesia</v>
          </cell>
        </row>
        <row r="689">
          <cell r="B689">
            <v>124000000000686</v>
          </cell>
          <cell r="C689" t="str">
            <v>PT. Depoteknik Duta Perkakas</v>
          </cell>
        </row>
        <row r="690">
          <cell r="B690">
            <v>124000000000687</v>
          </cell>
          <cell r="C690" t="str">
            <v>PT. Dera jaya Abadi</v>
          </cell>
        </row>
        <row r="691">
          <cell r="B691">
            <v>124000000000688</v>
          </cell>
          <cell r="C691" t="str">
            <v>PT. Deteksi Instalasi Nasional</v>
          </cell>
        </row>
        <row r="692">
          <cell r="B692">
            <v>124000000000689</v>
          </cell>
          <cell r="C692" t="str">
            <v>PT. Dewantara Indotama Group</v>
          </cell>
        </row>
        <row r="693">
          <cell r="B693">
            <v>124000000000690</v>
          </cell>
          <cell r="C693" t="str">
            <v>PT. Dewata Freightinternational</v>
          </cell>
        </row>
        <row r="694">
          <cell r="B694">
            <v>124000000000691</v>
          </cell>
          <cell r="C694" t="str">
            <v>PT. Dexter Ekspressindo</v>
          </cell>
        </row>
        <row r="695">
          <cell r="B695">
            <v>124000000000692</v>
          </cell>
          <cell r="C695" t="str">
            <v>PT. Dhanijaya Putra Cemerlang</v>
          </cell>
        </row>
        <row r="696">
          <cell r="B696">
            <v>124000000000693</v>
          </cell>
          <cell r="C696" t="str">
            <v>PT. Dharma Budhi Lestari</v>
          </cell>
        </row>
        <row r="697">
          <cell r="B697">
            <v>124000000000694</v>
          </cell>
          <cell r="C697" t="str">
            <v>PT. Dhecyber Flow Indonesia</v>
          </cell>
        </row>
        <row r="698">
          <cell r="B698">
            <v>124000000000695</v>
          </cell>
          <cell r="C698" t="str">
            <v>PT. DHL Global Forwarding Indonesia</v>
          </cell>
        </row>
        <row r="699">
          <cell r="B699">
            <v>124000000000696</v>
          </cell>
          <cell r="C699" t="str">
            <v>PT. Diamond Jack Indonesia</v>
          </cell>
        </row>
        <row r="700">
          <cell r="B700">
            <v>124000000000697</v>
          </cell>
          <cell r="C700" t="str">
            <v>PT. Dian Artha Tama</v>
          </cell>
        </row>
        <row r="701">
          <cell r="B701">
            <v>124000000000698</v>
          </cell>
          <cell r="C701" t="str">
            <v>PT. Dian Intan Lestari</v>
          </cell>
        </row>
        <row r="702">
          <cell r="B702">
            <v>124000000000699</v>
          </cell>
          <cell r="C702" t="str">
            <v>PT. Dian Prima Nugraha</v>
          </cell>
        </row>
        <row r="703">
          <cell r="B703">
            <v>124000000000700</v>
          </cell>
          <cell r="C703" t="str">
            <v>PT. Dinamika Elektra Mandiri</v>
          </cell>
        </row>
        <row r="704">
          <cell r="B704">
            <v>124000000000701</v>
          </cell>
          <cell r="C704" t="str">
            <v>PT. Dinamika Pratama Teknindo</v>
          </cell>
        </row>
        <row r="705">
          <cell r="B705">
            <v>124000000000702</v>
          </cell>
          <cell r="C705" t="str">
            <v>PT. Dolatrass Jaya</v>
          </cell>
        </row>
        <row r="706">
          <cell r="B706">
            <v>124000000000703</v>
          </cell>
          <cell r="C706" t="str">
            <v>PT. Draya Triputra</v>
          </cell>
        </row>
        <row r="707">
          <cell r="B707">
            <v>124000000000704</v>
          </cell>
          <cell r="C707" t="str">
            <v>PT. Dua Cahaya Gemilang</v>
          </cell>
        </row>
        <row r="708">
          <cell r="B708">
            <v>124000000000705</v>
          </cell>
          <cell r="C708" t="str">
            <v>PT. Dunia Saftindo</v>
          </cell>
        </row>
        <row r="709">
          <cell r="B709">
            <v>124000000000706</v>
          </cell>
          <cell r="C709" t="str">
            <v>PT. Duta Oto Raya</v>
          </cell>
        </row>
        <row r="710">
          <cell r="B710">
            <v>124000000000707</v>
          </cell>
          <cell r="C710" t="str">
            <v>PT. Duta Solusi Metalindo</v>
          </cell>
        </row>
        <row r="711">
          <cell r="B711">
            <v>124000000000708</v>
          </cell>
          <cell r="C711" t="str">
            <v>PT. Dutacipta Pakarperkasa</v>
          </cell>
        </row>
        <row r="712">
          <cell r="B712">
            <v>124000000000709</v>
          </cell>
          <cell r="C712" t="str">
            <v>PT. Dwi Inti Putra</v>
          </cell>
        </row>
        <row r="713">
          <cell r="B713">
            <v>124000000000710</v>
          </cell>
          <cell r="C713" t="str">
            <v>PT. Dwi Kusuma Perkasa</v>
          </cell>
        </row>
        <row r="714">
          <cell r="B714">
            <v>124000000000711</v>
          </cell>
          <cell r="C714" t="str">
            <v>PT. Dwikarya Cipta Utama</v>
          </cell>
        </row>
        <row r="715">
          <cell r="B715">
            <v>124000000000712</v>
          </cell>
          <cell r="C715" t="str">
            <v>PT. Dynami Perkasa Indonesia</v>
          </cell>
        </row>
        <row r="716">
          <cell r="B716">
            <v>124000000000713</v>
          </cell>
          <cell r="C716" t="str">
            <v>PT. Dzikra Karya Beton</v>
          </cell>
        </row>
        <row r="717">
          <cell r="B717">
            <v>124000000000714</v>
          </cell>
          <cell r="C717" t="str">
            <v>PT. Eddi Batam Logistik</v>
          </cell>
        </row>
        <row r="718">
          <cell r="B718">
            <v>124000000000715</v>
          </cell>
          <cell r="C718" t="str">
            <v>PT. Eduka Pratama</v>
          </cell>
        </row>
        <row r="719">
          <cell r="B719">
            <v>124000000000716</v>
          </cell>
          <cell r="C719" t="str">
            <v>PT. Elanta Mireka</v>
          </cell>
        </row>
        <row r="720">
          <cell r="B720">
            <v>124000000000717</v>
          </cell>
          <cell r="C720" t="str">
            <v>PT. Electrindo Jaya Sakti</v>
          </cell>
        </row>
        <row r="721">
          <cell r="B721">
            <v>124000000000718</v>
          </cell>
          <cell r="C721" t="str">
            <v>PT. Elindo Mega Jaya</v>
          </cell>
        </row>
        <row r="722">
          <cell r="B722">
            <v>124000000000719</v>
          </cell>
          <cell r="C722" t="str">
            <v>PT. Elkanusa Sanggadata</v>
          </cell>
        </row>
        <row r="723">
          <cell r="B723">
            <v>124000000000720</v>
          </cell>
          <cell r="C723" t="str">
            <v>PT. Elmecon Multikencana</v>
          </cell>
        </row>
        <row r="724">
          <cell r="B724">
            <v>124000000000721</v>
          </cell>
          <cell r="C724" t="str">
            <v>PT. Emar Sejahtera Abadi</v>
          </cell>
        </row>
        <row r="725">
          <cell r="B725">
            <v>124000000000722</v>
          </cell>
          <cell r="C725" t="str">
            <v>PT. Enertelindo Kencana</v>
          </cell>
        </row>
        <row r="726">
          <cell r="B726">
            <v>124000000000723</v>
          </cell>
          <cell r="C726" t="str">
            <v>PT. Era Teknik Abadi</v>
          </cell>
        </row>
        <row r="727">
          <cell r="B727">
            <v>124000000000724</v>
          </cell>
          <cell r="C727" t="str">
            <v>PT. Ericcon BHG Rekacipta Beton</v>
          </cell>
        </row>
        <row r="728">
          <cell r="B728">
            <v>124000000000725</v>
          </cell>
          <cell r="C728" t="str">
            <v>PT. Ero Suryapratama</v>
          </cell>
        </row>
        <row r="729">
          <cell r="B729">
            <v>124000000000726</v>
          </cell>
          <cell r="C729" t="str">
            <v>PT. Eurokars Surya Utama</v>
          </cell>
        </row>
        <row r="730">
          <cell r="B730">
            <v>124000000000727</v>
          </cell>
          <cell r="C730" t="str">
            <v>PT. Evergreen Shipping Agency Indonesia [a.k.a : Evergreen Marine]</v>
          </cell>
        </row>
        <row r="731">
          <cell r="B731">
            <v>124000000000728</v>
          </cell>
          <cell r="C731" t="str">
            <v>PT. Exeed Indo Jaya</v>
          </cell>
        </row>
        <row r="732">
          <cell r="B732">
            <v>124000000000729</v>
          </cell>
          <cell r="C732" t="str">
            <v>PT. Expressindo System Network</v>
          </cell>
        </row>
        <row r="733">
          <cell r="B733">
            <v>124000000000730</v>
          </cell>
          <cell r="C733" t="str">
            <v>PT. Exxa</v>
          </cell>
        </row>
        <row r="734">
          <cell r="B734">
            <v>124000000000731</v>
          </cell>
          <cell r="C734" t="str">
            <v>PT. Fajar Dinamika Indonesia</v>
          </cell>
        </row>
        <row r="735">
          <cell r="B735">
            <v>124000000000732</v>
          </cell>
          <cell r="C735" t="str">
            <v>PT. Farika Riau Perkasa</v>
          </cell>
        </row>
        <row r="736">
          <cell r="B736">
            <v>124000000000733</v>
          </cell>
          <cell r="C736" t="str">
            <v>PT. Faris Rachman</v>
          </cell>
        </row>
        <row r="737">
          <cell r="B737">
            <v>124000000000734</v>
          </cell>
          <cell r="C737" t="str">
            <v>PT. Farrasindo Perkasa</v>
          </cell>
        </row>
        <row r="738">
          <cell r="B738">
            <v>124000000000735</v>
          </cell>
          <cell r="C738" t="str">
            <v>PT. Fasto Mandiri Solusindo</v>
          </cell>
        </row>
        <row r="739">
          <cell r="B739">
            <v>124000000000736</v>
          </cell>
          <cell r="C739" t="str">
            <v>PT. Finaco Indonesia</v>
          </cell>
        </row>
        <row r="740">
          <cell r="B740">
            <v>124000000000737</v>
          </cell>
          <cell r="C740" t="str">
            <v>PT. Focus Cory Cargo [a.k.a : Focus Cargo]</v>
          </cell>
        </row>
        <row r="741">
          <cell r="B741">
            <v>124000000000738</v>
          </cell>
          <cell r="C741" t="str">
            <v>PT. Formasi Sistem Internasional</v>
          </cell>
        </row>
        <row r="742">
          <cell r="B742">
            <v>124000000000739</v>
          </cell>
          <cell r="C742" t="str">
            <v>PT. Fortuna Senjaya Abadi</v>
          </cell>
        </row>
        <row r="743">
          <cell r="B743">
            <v>124000000000740</v>
          </cell>
          <cell r="C743" t="str">
            <v>PT. Frijaya Perkasa Abadi</v>
          </cell>
        </row>
        <row r="744">
          <cell r="B744">
            <v>124000000000741</v>
          </cell>
          <cell r="C744" t="str">
            <v>PT. Fumira</v>
          </cell>
        </row>
        <row r="745">
          <cell r="B745">
            <v>124000000000742</v>
          </cell>
          <cell r="C745" t="str">
            <v>PT. Furukawa Optical Solutions Indonesia</v>
          </cell>
        </row>
        <row r="746">
          <cell r="B746">
            <v>124000000000743</v>
          </cell>
          <cell r="C746" t="str">
            <v>PT. Gaia Kencana</v>
          </cell>
        </row>
        <row r="747">
          <cell r="B747">
            <v>124000000000744</v>
          </cell>
          <cell r="C747" t="str">
            <v>PT. Gajah Nugraha Cakrawala</v>
          </cell>
        </row>
        <row r="748">
          <cell r="B748">
            <v>124000000000745</v>
          </cell>
          <cell r="C748" t="str">
            <v>PT. Galvindo Ampuh</v>
          </cell>
        </row>
        <row r="749">
          <cell r="B749">
            <v>124000000000746</v>
          </cell>
          <cell r="C749" t="str">
            <v>PT. Galvindo Intiselaras</v>
          </cell>
        </row>
        <row r="750">
          <cell r="B750">
            <v>124000000000747</v>
          </cell>
          <cell r="C750" t="str">
            <v>PT. Gateway Container Line [a.k.a : GCL Indonesia]</v>
          </cell>
        </row>
        <row r="751">
          <cell r="B751">
            <v>124000000000748</v>
          </cell>
          <cell r="C751" t="str">
            <v>PT. GED Lintas Indonesia [a.k.a : Garuda Express Delivery]</v>
          </cell>
        </row>
        <row r="752">
          <cell r="B752">
            <v>124000000000749</v>
          </cell>
          <cell r="C752" t="str">
            <v>PT. Gedung Bank EXIM</v>
          </cell>
        </row>
        <row r="753">
          <cell r="B753">
            <v>124000000000750</v>
          </cell>
          <cell r="C753" t="str">
            <v>PT. Gema Bangun Prona Perkasa</v>
          </cell>
        </row>
        <row r="754">
          <cell r="B754">
            <v>124000000000751</v>
          </cell>
          <cell r="C754" t="str">
            <v>PT. Gema Persada Indoteknik</v>
          </cell>
        </row>
        <row r="755">
          <cell r="B755">
            <v>124000000000752</v>
          </cell>
          <cell r="C755" t="str">
            <v>PT. Gemilang Sinar Transport</v>
          </cell>
        </row>
        <row r="756">
          <cell r="B756">
            <v>124000000000753</v>
          </cell>
          <cell r="C756" t="str">
            <v>PT. Geo Sarana Guna</v>
          </cell>
        </row>
        <row r="757">
          <cell r="B757">
            <v>124000000000754</v>
          </cell>
          <cell r="C757" t="str">
            <v>PT. Geodis Wilson Indonesia</v>
          </cell>
        </row>
        <row r="758">
          <cell r="B758">
            <v>124000000000755</v>
          </cell>
          <cell r="C758" t="str">
            <v>PT. Geohas Utama Indonesia</v>
          </cell>
        </row>
        <row r="759">
          <cell r="B759">
            <v>124000000000756</v>
          </cell>
          <cell r="C759" t="str">
            <v>PT. Gerak Puncaklancar</v>
          </cell>
        </row>
        <row r="760">
          <cell r="B760">
            <v>124000000000757</v>
          </cell>
          <cell r="C760" t="str">
            <v>PT. Gerbang Winas Utama</v>
          </cell>
        </row>
        <row r="761">
          <cell r="B761">
            <v>124000000000758</v>
          </cell>
          <cell r="C761" t="str">
            <v>PT. Ghaniy Ekspres Trans</v>
          </cell>
        </row>
        <row r="762">
          <cell r="B762">
            <v>124000000000759</v>
          </cell>
          <cell r="C762" t="str">
            <v>PT. GIS Global</v>
          </cell>
        </row>
        <row r="763">
          <cell r="B763">
            <v>124000000000760</v>
          </cell>
          <cell r="C763" t="str">
            <v>PT. Gitareksa Dinamika</v>
          </cell>
        </row>
        <row r="764">
          <cell r="B764">
            <v>124000000000761</v>
          </cell>
          <cell r="C764" t="str">
            <v>PT. Global Cakrawala Teknik</v>
          </cell>
        </row>
        <row r="765">
          <cell r="B765">
            <v>124000000000762</v>
          </cell>
          <cell r="C765" t="str">
            <v>PT. Global Optima Abadi</v>
          </cell>
        </row>
        <row r="766">
          <cell r="B766">
            <v>124000000000763</v>
          </cell>
          <cell r="C766" t="str">
            <v>PT. Global Twin Star</v>
          </cell>
        </row>
        <row r="767">
          <cell r="B767">
            <v>124000000000764</v>
          </cell>
          <cell r="C767" t="str">
            <v>PT. Gobel Dharma Nusantara</v>
          </cell>
        </row>
        <row r="768">
          <cell r="B768">
            <v>124000000000765</v>
          </cell>
          <cell r="C768" t="str">
            <v>PT. Golden Roof Polymer</v>
          </cell>
        </row>
        <row r="769">
          <cell r="B769">
            <v>124000000000766</v>
          </cell>
          <cell r="C769" t="str">
            <v>PT. Graha Andrasentra Propertindo</v>
          </cell>
        </row>
        <row r="770">
          <cell r="B770">
            <v>124000000000767</v>
          </cell>
          <cell r="C770" t="str">
            <v>PT. Graha Sarana Duta</v>
          </cell>
        </row>
        <row r="771">
          <cell r="B771">
            <v>124000000000768</v>
          </cell>
          <cell r="C771" t="str">
            <v>PT. Gridtech Indonesia</v>
          </cell>
        </row>
        <row r="772">
          <cell r="B772">
            <v>124000000000769</v>
          </cell>
          <cell r="C772" t="str">
            <v>PT. Guna Elektro</v>
          </cell>
        </row>
        <row r="773">
          <cell r="B773">
            <v>124000000000770</v>
          </cell>
          <cell r="C773" t="str">
            <v>PT. Gunung Baja Kontruksi</v>
          </cell>
        </row>
        <row r="774">
          <cell r="B774">
            <v>124000000000771</v>
          </cell>
          <cell r="C774" t="str">
            <v>PT. Halilintar Lintas Semesta</v>
          </cell>
        </row>
        <row r="775">
          <cell r="B775">
            <v>124000000000772</v>
          </cell>
          <cell r="C775" t="str">
            <v>PT. Hamasa Steelcentre</v>
          </cell>
        </row>
        <row r="776">
          <cell r="B776">
            <v>124000000000773</v>
          </cell>
          <cell r="C776" t="str">
            <v>PT. Hamparan Anugrah Sejahtera</v>
          </cell>
        </row>
        <row r="777">
          <cell r="B777">
            <v>124000000000774</v>
          </cell>
          <cell r="C777" t="str">
            <v>PT. Hanan Karya Wijaya</v>
          </cell>
        </row>
        <row r="778">
          <cell r="B778">
            <v>124000000000775</v>
          </cell>
          <cell r="C778" t="str">
            <v>PT. Hansulindo</v>
          </cell>
        </row>
        <row r="779">
          <cell r="B779">
            <v>124000000000776</v>
          </cell>
          <cell r="C779" t="str">
            <v>PT. Hanwa Indonesia</v>
          </cell>
        </row>
        <row r="780">
          <cell r="B780">
            <v>124000000000777</v>
          </cell>
          <cell r="C780" t="str">
            <v>PT. Harapan Mitra Kreasi</v>
          </cell>
        </row>
        <row r="781">
          <cell r="B781">
            <v>124000000000778</v>
          </cell>
          <cell r="C781" t="str">
            <v>PT. Harapan Mitra Sejati</v>
          </cell>
        </row>
        <row r="782">
          <cell r="B782">
            <v>124000000000779</v>
          </cell>
          <cell r="C782" t="str">
            <v>PT. Harapan Widyatama Pertiwi</v>
          </cell>
        </row>
        <row r="783">
          <cell r="B783">
            <v>124000000000780</v>
          </cell>
          <cell r="C783" t="str">
            <v>PT. Haspul Internasional Indonesia</v>
          </cell>
        </row>
        <row r="784">
          <cell r="B784">
            <v>124000000000781</v>
          </cell>
          <cell r="C784" t="str">
            <v>PT. Hatsonsurya Electric</v>
          </cell>
        </row>
        <row r="785">
          <cell r="B785">
            <v>124000000000782</v>
          </cell>
          <cell r="C785" t="str">
            <v>PT. Hengtraco Protecsindo</v>
          </cell>
        </row>
        <row r="786">
          <cell r="B786">
            <v>124000000000783</v>
          </cell>
          <cell r="C786" t="str">
            <v>PT. Hero Supermarket</v>
          </cell>
        </row>
        <row r="787">
          <cell r="B787">
            <v>124000000000784</v>
          </cell>
          <cell r="C787" t="str">
            <v>PT. Hesa Laras Cemerlang - Bintaro</v>
          </cell>
        </row>
        <row r="788">
          <cell r="B788">
            <v>124000000000785</v>
          </cell>
          <cell r="C788" t="str">
            <v>PT. Hesa Laras Cemerlang - Sentul</v>
          </cell>
        </row>
        <row r="789">
          <cell r="B789">
            <v>124000000000786</v>
          </cell>
          <cell r="C789" t="str">
            <v>PT. Hibaindo Armada Motor</v>
          </cell>
        </row>
        <row r="790">
          <cell r="B790">
            <v>124000000000787</v>
          </cell>
          <cell r="C790" t="str">
            <v>PT. Hilti Nusantara</v>
          </cell>
        </row>
        <row r="791">
          <cell r="B791">
            <v>124000000000788</v>
          </cell>
          <cell r="C791" t="str">
            <v>PT. Hokkindo Jaya Mandiri</v>
          </cell>
        </row>
        <row r="792">
          <cell r="B792">
            <v>124000000000789</v>
          </cell>
          <cell r="C792" t="str">
            <v>PT. Home Center Indonesia</v>
          </cell>
        </row>
        <row r="793">
          <cell r="B793">
            <v>124000000000790</v>
          </cell>
          <cell r="C793" t="str">
            <v>PT. Hotel Dago Pakar</v>
          </cell>
        </row>
        <row r="794">
          <cell r="B794">
            <v>124000000000791</v>
          </cell>
          <cell r="C794" t="str">
            <v>PT. Hudaya Maju Mandiri</v>
          </cell>
        </row>
        <row r="795">
          <cell r="B795">
            <v>124000000000792</v>
          </cell>
          <cell r="C795" t="str">
            <v>PT. Huhanda Mitrapersada</v>
          </cell>
        </row>
        <row r="796">
          <cell r="B796">
            <v>124000000000793</v>
          </cell>
          <cell r="C796" t="str">
            <v>PT. Hume Sakti Indonesia</v>
          </cell>
        </row>
        <row r="797">
          <cell r="B797">
            <v>124000000000794</v>
          </cell>
          <cell r="C797" t="str">
            <v>PT. Hutama Maju Sukses - Surabaya</v>
          </cell>
        </row>
        <row r="798">
          <cell r="B798">
            <v>124000000000795</v>
          </cell>
          <cell r="C798" t="str">
            <v>PT. Hutama Maju Sukses - Jakarta</v>
          </cell>
        </row>
        <row r="799">
          <cell r="B799">
            <v>124000000000796</v>
          </cell>
          <cell r="C799" t="str">
            <v>PT. Ihsan Wisata</v>
          </cell>
        </row>
        <row r="800">
          <cell r="B800">
            <v>124000000000797</v>
          </cell>
          <cell r="C800" t="str">
            <v>PT. Indonesia Media Services [a.k.a : IMS Samba Tour Travel]</v>
          </cell>
        </row>
        <row r="801">
          <cell r="B801">
            <v>124000000000798</v>
          </cell>
          <cell r="C801" t="str">
            <v>PT. Indo Efti</v>
          </cell>
        </row>
        <row r="802">
          <cell r="B802">
            <v>124000000000799</v>
          </cell>
          <cell r="C802" t="str">
            <v>PT. Indo Global Cahaya</v>
          </cell>
        </row>
        <row r="803">
          <cell r="B803">
            <v>124000000000800</v>
          </cell>
          <cell r="C803" t="str">
            <v>PT. Indo Putra Selaras</v>
          </cell>
        </row>
        <row r="804">
          <cell r="B804">
            <v>124000000000801</v>
          </cell>
          <cell r="C804" t="str">
            <v>PT. Indo Qualita Aradinamis - Surabaya</v>
          </cell>
        </row>
        <row r="805">
          <cell r="B805">
            <v>124000000000802</v>
          </cell>
          <cell r="C805" t="str">
            <v>PT. Indo Surya Logistik - Jakarta</v>
          </cell>
        </row>
        <row r="806">
          <cell r="B806">
            <v>124000000000803</v>
          </cell>
          <cell r="C806" t="str">
            <v>PT. Indo Tangguh Utama</v>
          </cell>
        </row>
        <row r="807">
          <cell r="B807">
            <v>124000000000804</v>
          </cell>
          <cell r="C807" t="str">
            <v>PT. Indo-nanshin Express</v>
          </cell>
        </row>
        <row r="808">
          <cell r="B808">
            <v>124000000000805</v>
          </cell>
          <cell r="C808" t="str">
            <v>PT. Indoaustra Utama</v>
          </cell>
        </row>
        <row r="809">
          <cell r="B809">
            <v>124000000000806</v>
          </cell>
          <cell r="C809" t="str">
            <v>PT. Indodaya Ciptalestari</v>
          </cell>
        </row>
        <row r="810">
          <cell r="B810">
            <v>124000000000807</v>
          </cell>
          <cell r="C810" t="str">
            <v>PT. Indojaya Gemilang Sentosa</v>
          </cell>
        </row>
        <row r="811">
          <cell r="B811">
            <v>124000000000808</v>
          </cell>
          <cell r="C811" t="str">
            <v>PT. Indomitra Global</v>
          </cell>
        </row>
        <row r="812">
          <cell r="B812">
            <v>124000000000809</v>
          </cell>
          <cell r="C812" t="str">
            <v>PT. Indomobil Prima Niaga</v>
          </cell>
        </row>
        <row r="813">
          <cell r="B813">
            <v>124000000000810</v>
          </cell>
          <cell r="C813" t="str">
            <v>PT. Indonesia Optic Technology</v>
          </cell>
        </row>
        <row r="814">
          <cell r="B814">
            <v>124000000000811</v>
          </cell>
          <cell r="C814" t="str">
            <v>PT. Indopro Media Piranti</v>
          </cell>
        </row>
        <row r="815">
          <cell r="B815">
            <v>124000000000812</v>
          </cell>
          <cell r="C815" t="str">
            <v>PT. Indosetya Pratama</v>
          </cell>
        </row>
        <row r="816">
          <cell r="B816">
            <v>124000000000813</v>
          </cell>
          <cell r="C816" t="str">
            <v>PT. Indosat, Tbk [a.k.a : Indosat] - Regional Medan</v>
          </cell>
        </row>
        <row r="817">
          <cell r="B817">
            <v>124000000000814</v>
          </cell>
          <cell r="C817" t="str">
            <v>PT. Indoteknik Dotcom Gemilang</v>
          </cell>
        </row>
        <row r="818">
          <cell r="B818">
            <v>124000000000815</v>
          </cell>
          <cell r="C818" t="str">
            <v>PT. Indoutama Metal Works</v>
          </cell>
        </row>
        <row r="819">
          <cell r="B819">
            <v>124000000000816</v>
          </cell>
          <cell r="C819" t="str">
            <v>PT. Induk Sulmapa Kekar</v>
          </cell>
        </row>
        <row r="820">
          <cell r="B820">
            <v>124000000000817</v>
          </cell>
          <cell r="C820" t="str">
            <v>PT. Industira</v>
          </cell>
        </row>
        <row r="821">
          <cell r="B821">
            <v>124000000000818</v>
          </cell>
          <cell r="C821" t="str">
            <v>PT. Industrade Prima Elektrik</v>
          </cell>
        </row>
        <row r="822">
          <cell r="B822">
            <v>124000000000819</v>
          </cell>
          <cell r="C822" t="str">
            <v>PT. Industri Telekomunikasi Indonesia</v>
          </cell>
        </row>
        <row r="823">
          <cell r="B823">
            <v>124000000000820</v>
          </cell>
          <cell r="C823" t="str">
            <v>PT. Industrial Multi Fan</v>
          </cell>
        </row>
        <row r="824">
          <cell r="B824">
            <v>124000000000821</v>
          </cell>
          <cell r="C824" t="str">
            <v>PT. Infarco Pondok Wisata</v>
          </cell>
        </row>
        <row r="825">
          <cell r="B825">
            <v>124000000000822</v>
          </cell>
          <cell r="C825" t="str">
            <v>PT. Infinia Park Pratama</v>
          </cell>
        </row>
        <row r="826">
          <cell r="B826">
            <v>124000000000823</v>
          </cell>
          <cell r="C826" t="str">
            <v>PT. Infinite Asia</v>
          </cell>
        </row>
        <row r="827">
          <cell r="B827">
            <v>124000000000824</v>
          </cell>
          <cell r="C827" t="str">
            <v>PT. Infrastructure Asia</v>
          </cell>
        </row>
        <row r="828">
          <cell r="B828">
            <v>124000000000825</v>
          </cell>
          <cell r="C828" t="str">
            <v>PT. Innikor Golden Mix</v>
          </cell>
        </row>
        <row r="829">
          <cell r="B829">
            <v>124000000000826</v>
          </cell>
          <cell r="C829" t="str">
            <v>PT. Insan Jaya</v>
          </cell>
        </row>
        <row r="830">
          <cell r="B830">
            <v>124000000000827</v>
          </cell>
          <cell r="C830" t="str">
            <v>PT. Intama Central Makmur Lestari</v>
          </cell>
        </row>
        <row r="831">
          <cell r="B831">
            <v>124000000000828</v>
          </cell>
          <cell r="C831" t="str">
            <v>PT. Intan Permata Jaya</v>
          </cell>
        </row>
        <row r="832">
          <cell r="B832">
            <v>124000000000829</v>
          </cell>
          <cell r="C832" t="str">
            <v>PT. Intan Prima Sejahtera</v>
          </cell>
        </row>
        <row r="833">
          <cell r="B833">
            <v>124000000000830</v>
          </cell>
          <cell r="C833" t="str">
            <v>PT. Inten Cipta Sejati</v>
          </cell>
        </row>
        <row r="834">
          <cell r="B834">
            <v>124000000000831</v>
          </cell>
          <cell r="C834" t="str">
            <v>PT. Inter Link Indonesia</v>
          </cell>
        </row>
        <row r="835">
          <cell r="B835">
            <v>124000000000832</v>
          </cell>
          <cell r="C835" t="str">
            <v>PT. Inter Orient Logistics</v>
          </cell>
        </row>
        <row r="836">
          <cell r="B836">
            <v>124000000000833</v>
          </cell>
          <cell r="C836" t="str">
            <v>PT. Interpirma Indocom</v>
          </cell>
        </row>
        <row r="837">
          <cell r="B837">
            <v>124000000000834</v>
          </cell>
          <cell r="C837" t="str">
            <v>PT. Inti Makmur</v>
          </cell>
        </row>
        <row r="838">
          <cell r="B838">
            <v>124000000000835</v>
          </cell>
          <cell r="C838" t="str">
            <v>PT. Intisumber Bajasakti</v>
          </cell>
        </row>
        <row r="839">
          <cell r="B839">
            <v>124000000000836</v>
          </cell>
          <cell r="C839" t="str">
            <v>PT. Intim Jaya Konstruksi</v>
          </cell>
        </row>
        <row r="840">
          <cell r="B840">
            <v>124000000000837</v>
          </cell>
          <cell r="C840" t="str">
            <v>PT. Intisar Soluzindo</v>
          </cell>
        </row>
        <row r="841">
          <cell r="B841">
            <v>124000000000838</v>
          </cell>
          <cell r="C841" t="str">
            <v>PT. Iron Hutama Wijaya</v>
          </cell>
        </row>
        <row r="842">
          <cell r="B842">
            <v>124000000000839</v>
          </cell>
          <cell r="C842" t="str">
            <v>PT. Sinar Indo Pratama [a.k.a : Sindo Express]</v>
          </cell>
        </row>
        <row r="843">
          <cell r="B843">
            <v>124000000000840</v>
          </cell>
          <cell r="C843" t="str">
            <v>PT. Ismadi Salam</v>
          </cell>
        </row>
        <row r="844">
          <cell r="B844">
            <v>124000000000841</v>
          </cell>
          <cell r="C844" t="str">
            <v>PT. Isopanel Dunia</v>
          </cell>
        </row>
        <row r="845">
          <cell r="B845">
            <v>124000000000842</v>
          </cell>
          <cell r="C845" t="str">
            <v>PT. Izzati Hasanah</v>
          </cell>
        </row>
        <row r="846">
          <cell r="B846">
            <v>124000000000843</v>
          </cell>
          <cell r="C846" t="str">
            <v>PT. Jaga Karya Mandiri</v>
          </cell>
        </row>
        <row r="847">
          <cell r="B847">
            <v>124000000000844</v>
          </cell>
          <cell r="C847" t="str">
            <v>PT. Jakarta Bisnis Cemerlang</v>
          </cell>
        </row>
        <row r="848">
          <cell r="B848">
            <v>124000000000845</v>
          </cell>
          <cell r="C848" t="str">
            <v>PT. Jakarta Infrasturktur Propertindo</v>
          </cell>
        </row>
        <row r="849">
          <cell r="B849">
            <v>124000000000846</v>
          </cell>
          <cell r="C849" t="str">
            <v>PT. Jakarta Land</v>
          </cell>
        </row>
        <row r="850">
          <cell r="B850">
            <v>124000000000847</v>
          </cell>
          <cell r="C850" t="str">
            <v>PT. Jakarta Realty</v>
          </cell>
        </row>
        <row r="851">
          <cell r="B851">
            <v>124000000000848</v>
          </cell>
          <cell r="C851" t="str">
            <v>PT. Jakarta Sentra Medika Sejahtera</v>
          </cell>
        </row>
        <row r="852">
          <cell r="B852">
            <v>124000000000849</v>
          </cell>
          <cell r="C852" t="str">
            <v>PT. Jaminan Kredit Indonesia [a.k.a : Jamkrindo]</v>
          </cell>
        </row>
        <row r="853">
          <cell r="B853">
            <v>124000000000850</v>
          </cell>
          <cell r="C853" t="str">
            <v>PT. Jasa Sukses Sejahtera</v>
          </cell>
        </row>
        <row r="854">
          <cell r="B854">
            <v>124000000000851</v>
          </cell>
          <cell r="C854" t="str">
            <v>PT. Jaya Abadi Karya Utama</v>
          </cell>
        </row>
        <row r="855">
          <cell r="B855">
            <v>124000000000852</v>
          </cell>
          <cell r="C855" t="str">
            <v>PT. Jaya Mulia Perkasa</v>
          </cell>
        </row>
        <row r="856">
          <cell r="B856">
            <v>124000000000853</v>
          </cell>
          <cell r="C856" t="str">
            <v>PT. Jaya Readymix</v>
          </cell>
        </row>
        <row r="857">
          <cell r="B857">
            <v>124000000000854</v>
          </cell>
          <cell r="C857" t="str">
            <v>PT. Jayarain Xpress - Area Sukabumi &amp; Cianjur</v>
          </cell>
        </row>
        <row r="858">
          <cell r="B858">
            <v>124000000000855</v>
          </cell>
          <cell r="C858" t="str">
            <v>PT. Jayarain Xpress - Area Ciawi &amp; Bogor</v>
          </cell>
        </row>
        <row r="859">
          <cell r="B859">
            <v>124000000000856</v>
          </cell>
          <cell r="C859" t="str">
            <v>PT. Jayarain Xpress - Area Bandung</v>
          </cell>
        </row>
        <row r="860">
          <cell r="B860">
            <v>124000000000857</v>
          </cell>
          <cell r="C860" t="str">
            <v>PT. Jayarain Xpress - Area Cirebon</v>
          </cell>
        </row>
        <row r="861">
          <cell r="B861">
            <v>124000000000858</v>
          </cell>
          <cell r="C861" t="str">
            <v>PT. Jembo cable Company, Tbk</v>
          </cell>
        </row>
        <row r="862">
          <cell r="B862">
            <v>124000000000859</v>
          </cell>
          <cell r="C862" t="str">
            <v>PT. Jobs DB Indonesia</v>
          </cell>
        </row>
        <row r="863">
          <cell r="B863">
            <v>124000000000860</v>
          </cell>
          <cell r="C863" t="str">
            <v>PT. JobStreet Indonesia</v>
          </cell>
        </row>
        <row r="864">
          <cell r="B864">
            <v>124000000000861</v>
          </cell>
          <cell r="C864" t="str">
            <v>PT. Jotun Indonesia</v>
          </cell>
        </row>
        <row r="865">
          <cell r="B865">
            <v>124000000000862</v>
          </cell>
          <cell r="C865" t="str">
            <v>PT. Kabelindo Murni, Tbk</v>
          </cell>
        </row>
        <row r="866">
          <cell r="B866">
            <v>124000000000863</v>
          </cell>
          <cell r="C866" t="str">
            <v>PT. Kadeharapan Utama</v>
          </cell>
        </row>
        <row r="867">
          <cell r="B867">
            <v>124000000000864</v>
          </cell>
          <cell r="C867" t="str">
            <v>PT. Kaiser Steel Indonesia</v>
          </cell>
        </row>
        <row r="868">
          <cell r="B868">
            <v>124000000000865</v>
          </cell>
          <cell r="C868" t="str">
            <v>PT. Kalibesar Raya Utama</v>
          </cell>
        </row>
        <row r="869">
          <cell r="B869">
            <v>124000000000866</v>
          </cell>
          <cell r="C869" t="str">
            <v>PT. Kalla Inti Karsa</v>
          </cell>
        </row>
        <row r="870">
          <cell r="B870">
            <v>124000000000867</v>
          </cell>
          <cell r="C870" t="str">
            <v>PT. Kamesa Putra Pratama</v>
          </cell>
        </row>
        <row r="871">
          <cell r="B871">
            <v>124000000000868</v>
          </cell>
          <cell r="C871" t="str">
            <v>PT. Kapuk Mas Agung Abadi</v>
          </cell>
        </row>
        <row r="872">
          <cell r="B872">
            <v>124000000000869</v>
          </cell>
          <cell r="C872" t="str">
            <v>PT. Karir Komunika Pratama</v>
          </cell>
        </row>
        <row r="873">
          <cell r="B873">
            <v>124000000000870</v>
          </cell>
          <cell r="C873" t="str">
            <v>PT. Karjasan Andal International</v>
          </cell>
        </row>
        <row r="874">
          <cell r="B874">
            <v>124000000000871</v>
          </cell>
          <cell r="C874" t="str">
            <v>PT. Kartika Alas Utama</v>
          </cell>
        </row>
        <row r="875">
          <cell r="B875">
            <v>124000000000872</v>
          </cell>
          <cell r="C875" t="str">
            <v>PT. Karuna Agra Loka</v>
          </cell>
        </row>
        <row r="876">
          <cell r="B876">
            <v>124000000000873</v>
          </cell>
          <cell r="C876" t="str">
            <v>PT. Karya Beton Sudhira</v>
          </cell>
        </row>
        <row r="877">
          <cell r="B877">
            <v>124000000000874</v>
          </cell>
          <cell r="C877" t="str">
            <v>PT. Karya Hidup Sentosa</v>
          </cell>
        </row>
        <row r="878">
          <cell r="B878">
            <v>124000000000875</v>
          </cell>
          <cell r="C878" t="str">
            <v>PT. Karya Jenisto Putera</v>
          </cell>
        </row>
        <row r="879">
          <cell r="B879">
            <v>124000000000876</v>
          </cell>
          <cell r="C879" t="str">
            <v>PT. Karya Kencana Komputindo</v>
          </cell>
        </row>
        <row r="880">
          <cell r="B880">
            <v>124000000000877</v>
          </cell>
          <cell r="C880" t="str">
            <v>PT. Karya Satria Putra</v>
          </cell>
        </row>
        <row r="881">
          <cell r="B881">
            <v>124000000000878</v>
          </cell>
          <cell r="C881" t="str">
            <v>PT. Karya Tama Waskita</v>
          </cell>
        </row>
        <row r="882">
          <cell r="B882">
            <v>124000000000879</v>
          </cell>
          <cell r="C882" t="str">
            <v>PT. Karya Utama Globalindo</v>
          </cell>
        </row>
        <row r="883">
          <cell r="B883">
            <v>124000000000880</v>
          </cell>
          <cell r="C883" t="str">
            <v>PT. Karyabaja Sukses</v>
          </cell>
        </row>
        <row r="884">
          <cell r="B884">
            <v>124000000000881</v>
          </cell>
          <cell r="C884" t="str">
            <v>PT. Karyacitra Cemerlang</v>
          </cell>
        </row>
        <row r="885">
          <cell r="B885">
            <v>124000000000882</v>
          </cell>
          <cell r="C885" t="str">
            <v>PT. Kashera Amanah Penjaminan</v>
          </cell>
        </row>
        <row r="886">
          <cell r="B886">
            <v>124000000000883</v>
          </cell>
          <cell r="C886" t="str">
            <v>PT. Kawan Kita Anugrah Makmur</v>
          </cell>
        </row>
        <row r="887">
          <cell r="B887">
            <v>124000000000884</v>
          </cell>
          <cell r="C887" t="str">
            <v>PT. Kawan Lama Sejahtera</v>
          </cell>
        </row>
        <row r="888">
          <cell r="B888">
            <v>124000000000885</v>
          </cell>
          <cell r="C888" t="str">
            <v>PT. Kawanni Ridho Mandiri</v>
          </cell>
        </row>
        <row r="889">
          <cell r="B889">
            <v>124000000000886</v>
          </cell>
          <cell r="C889" t="str">
            <v>PT. Kayu Raya Indonesia</v>
          </cell>
        </row>
        <row r="890">
          <cell r="B890">
            <v>124000000000887</v>
          </cell>
          <cell r="C890" t="str">
            <v>PT. Kembar Maju Bersama</v>
          </cell>
        </row>
        <row r="891">
          <cell r="B891">
            <v>124000000000888</v>
          </cell>
          <cell r="C891" t="str">
            <v>PT. Kenari Djaja Prima</v>
          </cell>
        </row>
        <row r="892">
          <cell r="B892">
            <v>124000000000889</v>
          </cell>
          <cell r="C892" t="str">
            <v>PT. Kencana Maju Bersama</v>
          </cell>
        </row>
        <row r="893">
          <cell r="B893">
            <v>124000000000890</v>
          </cell>
          <cell r="C893" t="str">
            <v>PT. Kepuh Kencana Arum</v>
          </cell>
        </row>
        <row r="894">
          <cell r="B894">
            <v>124000000000891</v>
          </cell>
          <cell r="C894" t="str">
            <v>PT. Kersen Informatika</v>
          </cell>
        </row>
        <row r="895">
          <cell r="B895">
            <v>124000000000892</v>
          </cell>
          <cell r="C895" t="str">
            <v>PT. Khalim Kharisma Kencana</v>
          </cell>
        </row>
        <row r="896">
          <cell r="B896">
            <v>124000000000893</v>
          </cell>
          <cell r="C896" t="str">
            <v>PT. Kharisma Mulia Abadijaya</v>
          </cell>
        </row>
        <row r="897">
          <cell r="B897">
            <v>124000000000894</v>
          </cell>
          <cell r="C897" t="str">
            <v>PT. Kharisma Selaras Indotama</v>
          </cell>
        </row>
        <row r="898">
          <cell r="B898">
            <v>124000000000895</v>
          </cell>
          <cell r="C898" t="str">
            <v>PT. Kharisma Tekindo Persada</v>
          </cell>
        </row>
        <row r="899">
          <cell r="B899">
            <v>124000000000896</v>
          </cell>
          <cell r="C899" t="str">
            <v>PT. Klik Logistics Putera Harmas</v>
          </cell>
        </row>
        <row r="900">
          <cell r="B900">
            <v>124000000000897</v>
          </cell>
          <cell r="C900" t="str">
            <v>PT. Klopmart Berkat Bersama</v>
          </cell>
        </row>
        <row r="901">
          <cell r="B901">
            <v>124000000000898</v>
          </cell>
          <cell r="C901" t="str">
            <v>PT. KMI Electric Solution</v>
          </cell>
        </row>
        <row r="902">
          <cell r="B902">
            <v>124000000000899</v>
          </cell>
          <cell r="C902" t="str">
            <v>PT. Kompas Media Nusantara</v>
          </cell>
        </row>
        <row r="903">
          <cell r="B903">
            <v>124000000000900</v>
          </cell>
          <cell r="C903" t="str">
            <v>PT. Konet Indonesia</v>
          </cell>
        </row>
        <row r="904">
          <cell r="B904">
            <v>124000000000901</v>
          </cell>
          <cell r="C904" t="str">
            <v>PT. Kruger Ventilation Indonesia</v>
          </cell>
        </row>
        <row r="905">
          <cell r="B905">
            <v>124000000000902</v>
          </cell>
          <cell r="C905" t="str">
            <v>PT. Kualita Citra Sertifikasi</v>
          </cell>
        </row>
        <row r="906">
          <cell r="B906">
            <v>124000000000903</v>
          </cell>
          <cell r="C906" t="str">
            <v>PT. Kudus Unggul Aman Trengginas</v>
          </cell>
        </row>
        <row r="907">
          <cell r="B907">
            <v>124000000000904</v>
          </cell>
          <cell r="C907" t="str">
            <v>PT. Laboratorium Medio Pratama</v>
          </cell>
        </row>
        <row r="908">
          <cell r="B908">
            <v>124000000000905</v>
          </cell>
          <cell r="C908" t="str">
            <v>PT. Lamda Teknologi Indonesia</v>
          </cell>
        </row>
        <row r="909">
          <cell r="B909">
            <v>124000000000906</v>
          </cell>
          <cell r="C909" t="str">
            <v>PT. Lautan Berlian Utama Motor</v>
          </cell>
        </row>
        <row r="910">
          <cell r="B910">
            <v>124000000000907</v>
          </cell>
          <cell r="C910" t="str">
            <v>PT. Lautan Biru Logistik</v>
          </cell>
        </row>
        <row r="911">
          <cell r="B911">
            <v>124000000000908</v>
          </cell>
          <cell r="C911" t="str">
            <v>PT. Lazuardi Rukun Perkasa</v>
          </cell>
        </row>
        <row r="912">
          <cell r="B912">
            <v>124000000000909</v>
          </cell>
          <cell r="C912" t="str">
            <v>PT. Lima Prima Solusindo</v>
          </cell>
        </row>
        <row r="913">
          <cell r="B913">
            <v>124000000000910</v>
          </cell>
          <cell r="C913" t="str">
            <v>PT. Limadaya Multi Cipta</v>
          </cell>
        </row>
        <row r="914">
          <cell r="B914">
            <v>124000000000911</v>
          </cell>
          <cell r="C914" t="str">
            <v>PT. Link Net, Tbk</v>
          </cell>
        </row>
        <row r="915">
          <cell r="B915">
            <v>124000000000912</v>
          </cell>
          <cell r="C915" t="str">
            <v>PT. Lintang Mas Jaya Abadi</v>
          </cell>
        </row>
        <row r="916">
          <cell r="B916">
            <v>124000000000913</v>
          </cell>
          <cell r="C916" t="str">
            <v>PT. Lintas Abadi Sejahtera</v>
          </cell>
        </row>
        <row r="917">
          <cell r="B917">
            <v>124000000000914</v>
          </cell>
          <cell r="C917" t="str">
            <v>PT. Lintas Alam Persada</v>
          </cell>
        </row>
        <row r="918">
          <cell r="B918">
            <v>124000000000915</v>
          </cell>
          <cell r="C918" t="str">
            <v>PT. Lintas Cakra Cipta</v>
          </cell>
        </row>
        <row r="919">
          <cell r="B919">
            <v>124000000000916</v>
          </cell>
          <cell r="C919" t="str">
            <v>PT. Lintas Media Solution</v>
          </cell>
        </row>
        <row r="920">
          <cell r="B920">
            <v>124000000000917</v>
          </cell>
          <cell r="C920" t="str">
            <v>PT. Lintas Sekawan Mandiri</v>
          </cell>
        </row>
        <row r="921">
          <cell r="B921">
            <v>124000000000918</v>
          </cell>
          <cell r="C921" t="str">
            <v>PT. Lion Express</v>
          </cell>
        </row>
        <row r="922">
          <cell r="B922">
            <v>124000000000919</v>
          </cell>
          <cell r="C922" t="str">
            <v>PT. Lionmesh Prima, Tbk - Mampang</v>
          </cell>
        </row>
        <row r="923">
          <cell r="B923">
            <v>124000000000920</v>
          </cell>
          <cell r="C923" t="str">
            <v>PT. Lotus SG Lestari</v>
          </cell>
        </row>
        <row r="924">
          <cell r="B924">
            <v>124000000000921</v>
          </cell>
          <cell r="C924" t="str">
            <v>PT. LS Cable &amp; System Indonesia</v>
          </cell>
        </row>
        <row r="925">
          <cell r="B925">
            <v>124000000000922</v>
          </cell>
          <cell r="C925" t="str">
            <v>PT. Macika Indosarana Transpor</v>
          </cell>
        </row>
        <row r="926">
          <cell r="B926">
            <v>124000000000923</v>
          </cell>
          <cell r="C926" t="str">
            <v>PT. Mafati Inovasi Teknologi Jaya</v>
          </cell>
        </row>
        <row r="927">
          <cell r="B927">
            <v>124000000000924</v>
          </cell>
          <cell r="C927" t="str">
            <v>PT. Magnate Premier</v>
          </cell>
        </row>
        <row r="928">
          <cell r="B928">
            <v>124000000000925</v>
          </cell>
          <cell r="C928" t="str">
            <v>PT. Mahesa Seluler Raya</v>
          </cell>
        </row>
        <row r="929">
          <cell r="B929">
            <v>124000000000926</v>
          </cell>
          <cell r="C929" t="str">
            <v>PT. Maheswari Mulia Surya</v>
          </cell>
        </row>
        <row r="930">
          <cell r="B930">
            <v>124000000000927</v>
          </cell>
          <cell r="C930" t="str">
            <v>PT. Mahkota Berlian Teknika Utama</v>
          </cell>
        </row>
        <row r="931">
          <cell r="B931">
            <v>124000000000928</v>
          </cell>
          <cell r="C931" t="str">
            <v>PT. Mahkota Logistik Indoraya</v>
          </cell>
        </row>
        <row r="932">
          <cell r="B932">
            <v>124000000000929</v>
          </cell>
          <cell r="C932" t="str">
            <v>PT. Majamakmur Suksesmandiri</v>
          </cell>
        </row>
        <row r="933">
          <cell r="B933">
            <v>124000000000930</v>
          </cell>
          <cell r="C933" t="str">
            <v>PT. Majatera</v>
          </cell>
        </row>
        <row r="934">
          <cell r="B934">
            <v>124000000000931</v>
          </cell>
          <cell r="C934" t="str">
            <v>PT. Maju Abadi Lestari</v>
          </cell>
        </row>
        <row r="935">
          <cell r="B935">
            <v>124000000000932</v>
          </cell>
          <cell r="C935" t="str">
            <v>PT. Makasar Phinisi Seaside Hotel</v>
          </cell>
        </row>
        <row r="936">
          <cell r="B936">
            <v>124000000000933</v>
          </cell>
          <cell r="C936" t="str">
            <v>PT. Manajemen Teknologi Bandung</v>
          </cell>
        </row>
        <row r="937">
          <cell r="B937">
            <v>124000000000934</v>
          </cell>
          <cell r="C937" t="str">
            <v>PT. Mandariny Mitra Kencana</v>
          </cell>
        </row>
        <row r="938">
          <cell r="B938">
            <v>124000000000935</v>
          </cell>
          <cell r="C938" t="str">
            <v>PT. Mandiri Bangun Sejahtera</v>
          </cell>
        </row>
        <row r="939">
          <cell r="B939">
            <v>124000000000936</v>
          </cell>
          <cell r="C939" t="str">
            <v>PT. Mandiri Sejahtera Sentra</v>
          </cell>
        </row>
        <row r="940">
          <cell r="B940">
            <v>124000000000937</v>
          </cell>
          <cell r="C940" t="str">
            <v>PT. Mandiri Sukses Teknindotama</v>
          </cell>
        </row>
        <row r="941">
          <cell r="B941">
            <v>124000000000938</v>
          </cell>
          <cell r="C941" t="str">
            <v>PT. Manfaat Agung</v>
          </cell>
        </row>
        <row r="942">
          <cell r="B942">
            <v>124000000000939</v>
          </cell>
          <cell r="C942" t="str">
            <v>PT. Maondang Massindo</v>
          </cell>
        </row>
        <row r="943">
          <cell r="B943">
            <v>124000000000940</v>
          </cell>
          <cell r="C943" t="str">
            <v>PT. Marcos Trans Indonesia</v>
          </cell>
        </row>
        <row r="944">
          <cell r="B944">
            <v>124000000000941</v>
          </cell>
          <cell r="C944" t="str">
            <v>PT. Markoen Enginering Indonesia</v>
          </cell>
        </row>
        <row r="945">
          <cell r="B945">
            <v>124000000000942</v>
          </cell>
          <cell r="C945" t="str">
            <v>PT. Marunda Jaya Inti</v>
          </cell>
        </row>
        <row r="946">
          <cell r="B946">
            <v>124000000000943</v>
          </cell>
          <cell r="C946" t="str">
            <v>PT. Mas Mustika Anugrah Sejahtera</v>
          </cell>
        </row>
        <row r="947">
          <cell r="B947">
            <v>124000000000944</v>
          </cell>
          <cell r="C947" t="str">
            <v>PT. Maura Anugrah Arya</v>
          </cell>
        </row>
        <row r="948">
          <cell r="B948">
            <v>124000000000945</v>
          </cell>
          <cell r="C948" t="str">
            <v>PT. Mawarsari Subekti</v>
          </cell>
        </row>
        <row r="949">
          <cell r="B949">
            <v>124000000000946</v>
          </cell>
          <cell r="C949" t="str">
            <v>PT. Maxima Performa Indonesia [a.k.a : MPI Consultant]</v>
          </cell>
        </row>
        <row r="950">
          <cell r="B950">
            <v>124000000000947</v>
          </cell>
          <cell r="C950" t="str">
            <v>PT. Maya Graha Indah</v>
          </cell>
        </row>
        <row r="951">
          <cell r="B951">
            <v>124000000000948</v>
          </cell>
          <cell r="C951" t="str">
            <v>PT. Medan Deli Sejahtera</v>
          </cell>
        </row>
        <row r="952">
          <cell r="B952">
            <v>124000000000949</v>
          </cell>
          <cell r="C952" t="str">
            <v>PT. Media Warna Gemilang</v>
          </cell>
        </row>
        <row r="953">
          <cell r="B953">
            <v>124000000000950</v>
          </cell>
          <cell r="C953" t="str">
            <v>PT. Mega Baja</v>
          </cell>
        </row>
        <row r="954">
          <cell r="B954">
            <v>124000000000951</v>
          </cell>
          <cell r="C954" t="str">
            <v>PT. Mega Energy Indonesia</v>
          </cell>
        </row>
        <row r="955">
          <cell r="B955">
            <v>124000000000952</v>
          </cell>
          <cell r="C955" t="str">
            <v>PT. Mega Eltra - Rawasari Jakarta</v>
          </cell>
        </row>
        <row r="956">
          <cell r="B956">
            <v>124000000000953</v>
          </cell>
          <cell r="C956" t="str">
            <v>PT. Mega Eltra - Surabaya</v>
          </cell>
        </row>
        <row r="957">
          <cell r="B957">
            <v>124000000000954</v>
          </cell>
          <cell r="C957" t="str">
            <v>PT. Mega Mitra Sejati</v>
          </cell>
        </row>
        <row r="958">
          <cell r="B958">
            <v>124000000000955</v>
          </cell>
          <cell r="C958" t="str">
            <v>PT. Megaplaza</v>
          </cell>
        </row>
        <row r="959">
          <cell r="B959">
            <v>124000000000956</v>
          </cell>
          <cell r="C959" t="str">
            <v>PT. Menara Agung Sejahtera</v>
          </cell>
        </row>
        <row r="960">
          <cell r="B960">
            <v>124000000000957</v>
          </cell>
          <cell r="C960" t="str">
            <v>PT. Menara Indra Utama</v>
          </cell>
        </row>
        <row r="961">
          <cell r="B961">
            <v>124000000000958</v>
          </cell>
          <cell r="C961" t="str">
            <v>PT. Mentari Gemilang Perdana Sentosa</v>
          </cell>
        </row>
        <row r="962">
          <cell r="B962">
            <v>124000000000959</v>
          </cell>
          <cell r="C962" t="str">
            <v>PT. Metacom Karunia Lestari</v>
          </cell>
        </row>
        <row r="963">
          <cell r="B963">
            <v>124000000000960</v>
          </cell>
          <cell r="C963" t="str">
            <v>PT. Metaplas Citra Cemerlang</v>
          </cell>
        </row>
        <row r="964">
          <cell r="B964">
            <v>124000000000961</v>
          </cell>
          <cell r="C964" t="str">
            <v>PT. Metaplas Harmoni</v>
          </cell>
        </row>
        <row r="965">
          <cell r="B965">
            <v>124000000000962</v>
          </cell>
          <cell r="C965" t="str">
            <v>PT. Metro Tiga Berlian Motors</v>
          </cell>
        </row>
        <row r="966">
          <cell r="B966">
            <v>124000000000963</v>
          </cell>
          <cell r="C966" t="str">
            <v>PT. Mex International</v>
          </cell>
        </row>
        <row r="967">
          <cell r="B967">
            <v>124000000000964</v>
          </cell>
          <cell r="C967" t="str">
            <v>PT. MH Maritime Services</v>
          </cell>
        </row>
        <row r="968">
          <cell r="B968">
            <v>124000000000965</v>
          </cell>
          <cell r="C968" t="str">
            <v>PT. Minds Indo Survey</v>
          </cell>
        </row>
        <row r="969">
          <cell r="B969">
            <v>124000000000966</v>
          </cell>
          <cell r="C969" t="str">
            <v>PT. Mita Sukses Mandiri</v>
          </cell>
        </row>
        <row r="970">
          <cell r="B970">
            <v>124000000000967</v>
          </cell>
          <cell r="C970" t="str">
            <v>PT. Mitra Abadi Dwi Perkasa</v>
          </cell>
        </row>
        <row r="971">
          <cell r="B971">
            <v>124000000000968</v>
          </cell>
          <cell r="C971" t="str">
            <v>PT. Mitra Aditanto Pratama</v>
          </cell>
        </row>
        <row r="972">
          <cell r="B972">
            <v>124000000000969</v>
          </cell>
          <cell r="C972" t="str">
            <v>PT. Mitra Artha Wisesa</v>
          </cell>
        </row>
        <row r="973">
          <cell r="B973">
            <v>124000000000970</v>
          </cell>
          <cell r="C973" t="str">
            <v>PT. Mitra Beton Mandiri</v>
          </cell>
        </row>
        <row r="974">
          <cell r="B974">
            <v>124000000000971</v>
          </cell>
          <cell r="C974" t="str">
            <v>PT. Mitra Buana Express</v>
          </cell>
        </row>
        <row r="975">
          <cell r="B975">
            <v>124000000000972</v>
          </cell>
          <cell r="C975" t="str">
            <v>PT. Mitra Cable Sejahtera</v>
          </cell>
        </row>
        <row r="976">
          <cell r="B976">
            <v>124000000000973</v>
          </cell>
          <cell r="C976" t="str">
            <v>PT. Mitra Citrajasa Konstruksi</v>
          </cell>
        </row>
        <row r="977">
          <cell r="B977">
            <v>124000000000974</v>
          </cell>
          <cell r="C977" t="str">
            <v>PT. Mitra Karya Anugerah Gemilang</v>
          </cell>
        </row>
        <row r="978">
          <cell r="B978">
            <v>124000000000975</v>
          </cell>
          <cell r="C978" t="str">
            <v>PT. Mitra Lintas Technology</v>
          </cell>
        </row>
        <row r="979">
          <cell r="B979">
            <v>124000000000976</v>
          </cell>
          <cell r="C979" t="str">
            <v>PT. Mitra Mardika Multijasa</v>
          </cell>
        </row>
        <row r="980">
          <cell r="B980">
            <v>124000000000977</v>
          </cell>
          <cell r="C980" t="str">
            <v>PT. Mitra Persada Indonusa</v>
          </cell>
        </row>
        <row r="981">
          <cell r="B981">
            <v>124000000000978</v>
          </cell>
          <cell r="C981" t="str">
            <v>PT. Mitra Tiara Abadi</v>
          </cell>
        </row>
        <row r="982">
          <cell r="B982">
            <v>124000000000979</v>
          </cell>
          <cell r="C982" t="str">
            <v>PT. Mitra Usaha Bersama Sejahtera</v>
          </cell>
        </row>
        <row r="983">
          <cell r="B983">
            <v>124000000000980</v>
          </cell>
          <cell r="C983" t="str">
            <v>PT. Mitra Yudha Logistic</v>
          </cell>
        </row>
        <row r="984">
          <cell r="B984">
            <v>124000000000981</v>
          </cell>
          <cell r="C984" t="str">
            <v>PT. Mitracon Jaya</v>
          </cell>
        </row>
        <row r="985">
          <cell r="B985">
            <v>124000000000982</v>
          </cell>
          <cell r="C985" t="str">
            <v>PT. Mitramandiri Pialang Asuransi</v>
          </cell>
        </row>
        <row r="986">
          <cell r="B986">
            <v>124000000000983</v>
          </cell>
          <cell r="C986" t="str">
            <v>PT. Moga Tradeco</v>
          </cell>
        </row>
        <row r="987">
          <cell r="B987">
            <v>124000000000984</v>
          </cell>
          <cell r="C987" t="str">
            <v>PT. Monotaro Indonesia</v>
          </cell>
        </row>
        <row r="988">
          <cell r="B988">
            <v>124000000000985</v>
          </cell>
          <cell r="C988" t="str">
            <v>PT. Montash Universal</v>
          </cell>
        </row>
        <row r="989">
          <cell r="B989">
            <v>124000000000986</v>
          </cell>
          <cell r="C989" t="str">
            <v>PT. Mora Advertising Contents</v>
          </cell>
        </row>
        <row r="990">
          <cell r="B990">
            <v>124000000000987</v>
          </cell>
          <cell r="C990" t="str">
            <v>PT. Mora Mitra Logistik [a.k.a : Mora Cargo]</v>
          </cell>
        </row>
        <row r="991">
          <cell r="B991">
            <v>124000000000988</v>
          </cell>
          <cell r="C991" t="str">
            <v>PT. Muara Gabe Mahita</v>
          </cell>
        </row>
        <row r="992">
          <cell r="B992">
            <v>124000000000989</v>
          </cell>
          <cell r="C992" t="str">
            <v>PT. Mudja Mukara</v>
          </cell>
        </row>
        <row r="993">
          <cell r="B993">
            <v>124000000000990</v>
          </cell>
          <cell r="C993" t="str">
            <v>PT. Mulia Colliman International</v>
          </cell>
        </row>
        <row r="994">
          <cell r="B994">
            <v>124000000000991</v>
          </cell>
          <cell r="C994" t="str">
            <v>PT. Mulia Saktiperkasa</v>
          </cell>
        </row>
        <row r="995">
          <cell r="B995">
            <v>124000000000992</v>
          </cell>
          <cell r="C995" t="str">
            <v>PT. Mulia Utama Transindo</v>
          </cell>
        </row>
        <row r="996">
          <cell r="B996">
            <v>124000000000993</v>
          </cell>
          <cell r="C996" t="str">
            <v>PT. Multi Anugrah Utama</v>
          </cell>
        </row>
        <row r="997">
          <cell r="B997">
            <v>124000000000994</v>
          </cell>
          <cell r="C997" t="str">
            <v>PT. Multi Artha Sarana Solusi</v>
          </cell>
        </row>
        <row r="998">
          <cell r="B998">
            <v>124000000000995</v>
          </cell>
          <cell r="C998" t="str">
            <v>PT. Multi Baja Fastindo</v>
          </cell>
        </row>
        <row r="999">
          <cell r="B999">
            <v>124000000000996</v>
          </cell>
          <cell r="C999" t="str">
            <v>PT. Multi Daya Indonesia</v>
          </cell>
        </row>
        <row r="1000">
          <cell r="B1000">
            <v>124000000000997</v>
          </cell>
          <cell r="C1000" t="str">
            <v>PT. Multi Fabrindo Gemilang</v>
          </cell>
        </row>
        <row r="1001">
          <cell r="B1001">
            <v>124000000000998</v>
          </cell>
          <cell r="C1001" t="str">
            <v>PT. Multi Kontrol Nusantara</v>
          </cell>
        </row>
        <row r="1002">
          <cell r="B1002">
            <v>124000000000999</v>
          </cell>
          <cell r="C1002" t="str">
            <v>PT. Multibrata Anugerah Utama</v>
          </cell>
        </row>
        <row r="1003">
          <cell r="B1003">
            <v>124000000001000</v>
          </cell>
          <cell r="C1003" t="str">
            <v>PT. Multico Millenium Persada</v>
          </cell>
        </row>
        <row r="1004">
          <cell r="B1004">
            <v>124000000001001</v>
          </cell>
          <cell r="C1004" t="str">
            <v>PT. Multidaya Eka Sarana</v>
          </cell>
        </row>
        <row r="1005">
          <cell r="B1005">
            <v>124000000001002</v>
          </cell>
          <cell r="C1005" t="str">
            <v>PT. Multimedia Network Solution</v>
          </cell>
        </row>
        <row r="1006">
          <cell r="B1006">
            <v>124000000001003</v>
          </cell>
          <cell r="C1006" t="str">
            <v>PT. Multipro Jaya Prima</v>
          </cell>
        </row>
        <row r="1007">
          <cell r="B1007">
            <v>124000000001004</v>
          </cell>
          <cell r="C1007" t="str">
            <v>PT. Mulya Perkasa Anugerah</v>
          </cell>
        </row>
        <row r="1008">
          <cell r="B1008">
            <v>124000000001005</v>
          </cell>
          <cell r="C1008" t="str">
            <v>PT. Murtila Promosindo</v>
          </cell>
        </row>
        <row r="1009">
          <cell r="B1009">
            <v>124000000001006</v>
          </cell>
          <cell r="C1009" t="str">
            <v>PT. Mutiara Roda Kencana</v>
          </cell>
        </row>
        <row r="1010">
          <cell r="B1010">
            <v>124000000001007</v>
          </cell>
          <cell r="C1010" t="str">
            <v>PT. Naer Tunas Indonesia</v>
          </cell>
        </row>
        <row r="1011">
          <cell r="B1011">
            <v>124000000001008</v>
          </cell>
          <cell r="C1011" t="str">
            <v>PT. Nasiotama Karya Bersama</v>
          </cell>
        </row>
        <row r="1012">
          <cell r="B1012">
            <v>124000000001009</v>
          </cell>
          <cell r="C1012" t="str">
            <v>PT. Nata Envinusa Supervisi</v>
          </cell>
        </row>
        <row r="1013">
          <cell r="B1013">
            <v>124000000001010</v>
          </cell>
          <cell r="C1013" t="str">
            <v>PT. Nay Logistik Indonesia</v>
          </cell>
        </row>
        <row r="1014">
          <cell r="B1014">
            <v>124000000001011</v>
          </cell>
          <cell r="C1014" t="str">
            <v>PT. Nayana Mata Dunia</v>
          </cell>
        </row>
        <row r="1015">
          <cell r="B1015">
            <v>124000000001012</v>
          </cell>
          <cell r="C1015" t="str">
            <v>PT. Neksusindo Cahaya Gemilang</v>
          </cell>
        </row>
        <row r="1016">
          <cell r="B1016">
            <v>124000000001013</v>
          </cell>
          <cell r="C1016" t="str">
            <v>PT. Netralindo Jaya Mandiri</v>
          </cell>
        </row>
        <row r="1017">
          <cell r="B1017">
            <v>124000000001014</v>
          </cell>
          <cell r="C1017" t="str">
            <v>PT. Netway Indonesia</v>
          </cell>
        </row>
        <row r="1018">
          <cell r="B1018">
            <v>124000000001015</v>
          </cell>
          <cell r="C1018" t="str">
            <v>PT. Nexwave</v>
          </cell>
        </row>
        <row r="1019">
          <cell r="B1019">
            <v>124000000001016</v>
          </cell>
          <cell r="C1019" t="str">
            <v>PT. Nusa Makmur Perdana</v>
          </cell>
        </row>
        <row r="1020">
          <cell r="B1020">
            <v>124000000001017</v>
          </cell>
          <cell r="C1020" t="str">
            <v>PT. Nusa Raya Cipta</v>
          </cell>
        </row>
        <row r="1021">
          <cell r="B1021">
            <v>124000000001018</v>
          </cell>
          <cell r="C1021" t="str">
            <v>PT. Nusantara Konstruksi Perkasa</v>
          </cell>
        </row>
        <row r="1022">
          <cell r="B1022">
            <v>124000000001019</v>
          </cell>
          <cell r="C1022" t="str">
            <v>PT. Nusantaratama Multi Media</v>
          </cell>
        </row>
        <row r="1023">
          <cell r="B1023">
            <v>124000000001020</v>
          </cell>
          <cell r="C1023" t="str">
            <v>PT. Oaktech Nusantara</v>
          </cell>
        </row>
        <row r="1024">
          <cell r="B1024">
            <v>124000000001021</v>
          </cell>
          <cell r="C1024" t="str">
            <v>PT. Oasis Waters International</v>
          </cell>
        </row>
        <row r="1025">
          <cell r="B1025">
            <v>124000000001022</v>
          </cell>
          <cell r="C1025" t="str">
            <v>PT. Omni Cakrawala Komunikasi</v>
          </cell>
        </row>
        <row r="1026">
          <cell r="B1026">
            <v>124000000001023</v>
          </cell>
          <cell r="C1026" t="str">
            <v>PT. Omnia Supplindo Nusantara</v>
          </cell>
        </row>
        <row r="1027">
          <cell r="B1027">
            <v>124000000001024</v>
          </cell>
          <cell r="C1027" t="str">
            <v>PT. OSHA Indonesia [a.k.a : Dr. OSHA Safety Shoes Indonesia]</v>
          </cell>
        </row>
        <row r="1028">
          <cell r="B1028">
            <v>124000000001025</v>
          </cell>
          <cell r="C1028" t="str">
            <v>PT. Pacific Wave Telecommunication</v>
          </cell>
        </row>
        <row r="1029">
          <cell r="B1029">
            <v>124000000001026</v>
          </cell>
          <cell r="C1029" t="str">
            <v>PT. Pahala Kencana</v>
          </cell>
        </row>
        <row r="1030">
          <cell r="B1030">
            <v>124000000001027</v>
          </cell>
          <cell r="C1030" t="str">
            <v>PT. Pakuwon Sentosa Abadi</v>
          </cell>
        </row>
        <row r="1031">
          <cell r="B1031">
            <v>124000000001028</v>
          </cell>
          <cell r="C1031" t="str">
            <v>PT. Panca Wahyu Mandiri</v>
          </cell>
        </row>
        <row r="1032">
          <cell r="B1032">
            <v>124000000001029</v>
          </cell>
          <cell r="C1032" t="str">
            <v>PT. Pandu Equator Prima</v>
          </cell>
        </row>
        <row r="1033">
          <cell r="B1033">
            <v>124000000001030</v>
          </cell>
          <cell r="C1033" t="str">
            <v>PT. Panorama JTB Tours Indonesia</v>
          </cell>
        </row>
        <row r="1034">
          <cell r="B1034">
            <v>124000000001031</v>
          </cell>
          <cell r="C1034" t="str">
            <v>PT. Pastindo Jasa Express</v>
          </cell>
        </row>
        <row r="1035">
          <cell r="B1035">
            <v>124000000001032</v>
          </cell>
          <cell r="C1035" t="str">
            <v>PT. Pembangunan Jaya Ancol Tbk</v>
          </cell>
        </row>
        <row r="1036">
          <cell r="B1036">
            <v>124000000001033</v>
          </cell>
          <cell r="C1036" t="str">
            <v>PT. Perkasa Crane</v>
          </cell>
        </row>
        <row r="1037">
          <cell r="B1037">
            <v>124000000001034</v>
          </cell>
          <cell r="C1037" t="str">
            <v>PT. Perkasa Jaya Abadi Nusantara</v>
          </cell>
        </row>
        <row r="1038">
          <cell r="B1038">
            <v>124000000001035</v>
          </cell>
          <cell r="C1038" t="str">
            <v>PT. Perkasa Jaya Utama</v>
          </cell>
        </row>
        <row r="1039">
          <cell r="B1039">
            <v>124000000001036</v>
          </cell>
          <cell r="C1039" t="str">
            <v>PT. Persada Nusantara Steel</v>
          </cell>
        </row>
        <row r="1040">
          <cell r="B1040">
            <v>124000000001037</v>
          </cell>
          <cell r="C1040" t="str">
            <v>PT. Perusahaan Bongkar Muat Adi Purusa</v>
          </cell>
        </row>
        <row r="1041">
          <cell r="B1041">
            <v>124000000001038</v>
          </cell>
          <cell r="C1041" t="str">
            <v>PT. Perwira Milenium Engindo</v>
          </cell>
        </row>
        <row r="1042">
          <cell r="B1042">
            <v>124000000001039</v>
          </cell>
          <cell r="C1042" t="str">
            <v>PT. Petra Panca Putra</v>
          </cell>
        </row>
        <row r="1043">
          <cell r="B1043">
            <v>124000000001040</v>
          </cell>
          <cell r="C1043" t="str">
            <v>PT. Petromas Kencana [a.k.a : Ottoban Indonesia]</v>
          </cell>
        </row>
        <row r="1044">
          <cell r="B1044">
            <v>124000000001041</v>
          </cell>
          <cell r="C1044" t="str">
            <v>PT. Phanindo Mitra Abadi</v>
          </cell>
        </row>
        <row r="1045">
          <cell r="B1045">
            <v>124000000001042</v>
          </cell>
          <cell r="C1045" t="str">
            <v>PT. Picotel Nusantara</v>
          </cell>
        </row>
        <row r="1046">
          <cell r="B1046">
            <v>124000000001043</v>
          </cell>
          <cell r="C1046" t="str">
            <v>PT. Piesta Dinamika Consult [a.k.a : Piesta Consulting]</v>
          </cell>
        </row>
        <row r="1047">
          <cell r="B1047">
            <v>124000000001044</v>
          </cell>
          <cell r="C1047" t="str">
            <v>PT. Pino Module Perkasa</v>
          </cell>
        </row>
        <row r="1048">
          <cell r="B1048">
            <v>124000000001045</v>
          </cell>
          <cell r="C1048" t="str">
            <v>PT. Pionirbeton Industri</v>
          </cell>
        </row>
        <row r="1049">
          <cell r="B1049">
            <v>124000000001046</v>
          </cell>
          <cell r="C1049" t="str">
            <v>PT. Piton Prospek Teknologi</v>
          </cell>
        </row>
        <row r="1050">
          <cell r="B1050">
            <v>124000000001047</v>
          </cell>
          <cell r="C1050" t="str">
            <v>PT. Platinum Internasional</v>
          </cell>
        </row>
        <row r="1051">
          <cell r="B1051">
            <v>124000000001048</v>
          </cell>
          <cell r="C1051" t="str">
            <v>PT. Plaza Auto Prima</v>
          </cell>
        </row>
        <row r="1052">
          <cell r="B1052">
            <v>124000000001049</v>
          </cell>
          <cell r="C1052" t="str">
            <v>PT. Power Elektrika Nusantara</v>
          </cell>
        </row>
        <row r="1053">
          <cell r="B1053">
            <v>124000000001050</v>
          </cell>
          <cell r="C1053" t="str">
            <v>PT. Prana Inti Karya</v>
          </cell>
        </row>
        <row r="1054">
          <cell r="B1054">
            <v>124000000001051</v>
          </cell>
          <cell r="C1054" t="str">
            <v>PT. Prasasti Adyadma Sentosa</v>
          </cell>
        </row>
        <row r="1055">
          <cell r="B1055">
            <v>124000000001052</v>
          </cell>
          <cell r="C1055" t="str">
            <v>PT. Prastiwahyu Tunas Engineering</v>
          </cell>
        </row>
        <row r="1056">
          <cell r="B1056">
            <v>124000000001053</v>
          </cell>
          <cell r="C1056" t="str">
            <v>PT. Pratama Perkasa Utama</v>
          </cell>
        </row>
        <row r="1057">
          <cell r="B1057">
            <v>124000000001054</v>
          </cell>
          <cell r="C1057" t="str">
            <v>PT. Pratama Setia Mandiri</v>
          </cell>
        </row>
        <row r="1058">
          <cell r="B1058">
            <v>124000000001055</v>
          </cell>
          <cell r="C1058" t="str">
            <v>PT. Pratiwi Asia Sejati</v>
          </cell>
        </row>
        <row r="1059">
          <cell r="B1059">
            <v>124000000001056</v>
          </cell>
          <cell r="C1059" t="str">
            <v>PT. Prayoga Mandiri Sukses</v>
          </cell>
        </row>
        <row r="1060">
          <cell r="B1060">
            <v>124000000001057</v>
          </cell>
          <cell r="C1060" t="str">
            <v>PT. Prima Intek Abadi</v>
          </cell>
        </row>
        <row r="1061">
          <cell r="B1061">
            <v>124000000001058</v>
          </cell>
          <cell r="C1061" t="str">
            <v>PT. Prima Mitratama Sejati</v>
          </cell>
        </row>
        <row r="1062">
          <cell r="B1062">
            <v>124000000001059</v>
          </cell>
          <cell r="C1062" t="str">
            <v>PT. Prima Wahana Auto Mobil</v>
          </cell>
        </row>
        <row r="1063">
          <cell r="B1063">
            <v>124000000001060</v>
          </cell>
          <cell r="C1063" t="str">
            <v>PT. Primadaya Citra Mandiri</v>
          </cell>
        </row>
        <row r="1064">
          <cell r="B1064">
            <v>124000000001061</v>
          </cell>
          <cell r="C1064" t="str">
            <v>PT. Primasentosa Alamlestari</v>
          </cell>
        </row>
        <row r="1065">
          <cell r="B1065">
            <v>124000000001062</v>
          </cell>
          <cell r="C1065" t="str">
            <v>PT. Prisma Abadi Sejahtera</v>
          </cell>
        </row>
        <row r="1066">
          <cell r="B1066">
            <v>124000000001063</v>
          </cell>
          <cell r="C1066" t="str">
            <v>PT. Prisma Sarana Utama</v>
          </cell>
        </row>
        <row r="1067">
          <cell r="B1067">
            <v>124000000001064</v>
          </cell>
          <cell r="C1067" t="str">
            <v>PT. Surganya Motor Indonesia - (Jambi) [a.k.a : Planet Ban]</v>
          </cell>
        </row>
        <row r="1068">
          <cell r="B1068">
            <v>124000000001065</v>
          </cell>
          <cell r="C1068" t="str">
            <v>PT. Produk Sawitindo Jambi - Jambi</v>
          </cell>
        </row>
        <row r="1069">
          <cell r="B1069">
            <v>124000000001066</v>
          </cell>
          <cell r="C1069" t="str">
            <v>PT. Project Management Academy</v>
          </cell>
        </row>
        <row r="1070">
          <cell r="B1070">
            <v>124000000001067</v>
          </cell>
          <cell r="C1070" t="str">
            <v>PT. Prosyd Bina Solusindo</v>
          </cell>
        </row>
        <row r="1071">
          <cell r="B1071">
            <v>124000000001068</v>
          </cell>
          <cell r="C1071" t="str">
            <v>PT. Prysmian Cables Indonesia</v>
          </cell>
        </row>
        <row r="1072">
          <cell r="B1072">
            <v>124000000001069</v>
          </cell>
          <cell r="C1072" t="str">
            <v>PT. Sico International</v>
          </cell>
        </row>
        <row r="1073">
          <cell r="B1073">
            <v>124000000001070</v>
          </cell>
          <cell r="C1073" t="str">
            <v>PT. Zyrexindo Mandiri Buana</v>
          </cell>
        </row>
        <row r="1074">
          <cell r="B1074">
            <v>124000000001071</v>
          </cell>
          <cell r="C1074" t="str">
            <v>PT. Abadi Baru Teknikatama</v>
          </cell>
        </row>
        <row r="1075">
          <cell r="B1075">
            <v>124000000001072</v>
          </cell>
          <cell r="C1075" t="str">
            <v>PT. AGN Indonesia</v>
          </cell>
        </row>
        <row r="1076">
          <cell r="B1076">
            <v>124000000001073</v>
          </cell>
          <cell r="C1076" t="str">
            <v>PT. Alba Unggul Metal</v>
          </cell>
        </row>
        <row r="1077">
          <cell r="B1077">
            <v>124000000001074</v>
          </cell>
          <cell r="C1077" t="str">
            <v>PT. Antareja Prima Antaran [a.k.a : RPX]</v>
          </cell>
        </row>
        <row r="1078">
          <cell r="B1078">
            <v>124000000001075</v>
          </cell>
          <cell r="C1078" t="str">
            <v>PT. Arkananta Hazardtek Integratama</v>
          </cell>
        </row>
        <row r="1079">
          <cell r="B1079">
            <v>124000000001076</v>
          </cell>
          <cell r="C1079" t="str">
            <v>PT. Armindo Caturpratama</v>
          </cell>
        </row>
        <row r="1080">
          <cell r="B1080">
            <v>124000000001077</v>
          </cell>
          <cell r="C1080" t="str">
            <v>PT. Asuransi Kredit Indonesia</v>
          </cell>
        </row>
        <row r="1081">
          <cell r="B1081">
            <v>124000000001078</v>
          </cell>
          <cell r="C1081" t="str">
            <v>PT. Bintang Timur Baru</v>
          </cell>
        </row>
        <row r="1082">
          <cell r="B1082">
            <v>124000000001079</v>
          </cell>
          <cell r="C1082" t="str">
            <v>PT. Bismark Solusi Konsultan</v>
          </cell>
        </row>
        <row r="1083">
          <cell r="B1083">
            <v>124000000001080</v>
          </cell>
          <cell r="C1083" t="str">
            <v>PT. Central Santosa Finance</v>
          </cell>
        </row>
        <row r="1084">
          <cell r="B1084">
            <v>124000000001081</v>
          </cell>
          <cell r="C1084" t="str">
            <v>PT. Delta Instrumentasi</v>
          </cell>
        </row>
        <row r="1085">
          <cell r="B1085">
            <v>124000000001082</v>
          </cell>
          <cell r="C1085" t="str">
            <v>PT. Evrando Sukses Bersama</v>
          </cell>
        </row>
        <row r="1086">
          <cell r="B1086">
            <v>124000000001083</v>
          </cell>
          <cell r="C1086" t="str">
            <v>PT. Fariz Jaya Persada</v>
          </cell>
        </row>
        <row r="1087">
          <cell r="B1087">
            <v>124000000001084</v>
          </cell>
          <cell r="C1087" t="str">
            <v>PT. Global Digital Niaga [a.k.a : Blibli.com]</v>
          </cell>
        </row>
        <row r="1088">
          <cell r="B1088">
            <v>124000000001085</v>
          </cell>
          <cell r="C1088" t="str">
            <v>PT. Hariff Daya Tunggal Engineering</v>
          </cell>
        </row>
        <row r="1089">
          <cell r="B1089">
            <v>124000000001086</v>
          </cell>
          <cell r="C1089" t="str">
            <v>PT. Horizon Bandar Bahru [a.k.a : Batam View Batch Resort]</v>
          </cell>
        </row>
        <row r="1090">
          <cell r="B1090">
            <v>124000000001087</v>
          </cell>
          <cell r="C1090" t="str">
            <v>PT. Indo Makmur Mandiri</v>
          </cell>
        </row>
        <row r="1091">
          <cell r="B1091">
            <v>124000000001088</v>
          </cell>
          <cell r="C1091" t="str">
            <v>PT. Indotech Inti Persada</v>
          </cell>
        </row>
        <row r="1092">
          <cell r="B1092">
            <v>124000000001089</v>
          </cell>
          <cell r="C1092" t="str">
            <v>PT. Jasa Pratama Transindo</v>
          </cell>
        </row>
        <row r="1093">
          <cell r="B1093">
            <v>124000000001090</v>
          </cell>
          <cell r="C1093" t="str">
            <v>PT. Kalea Tekno Pratama</v>
          </cell>
        </row>
        <row r="1094">
          <cell r="B1094">
            <v>124000000001091</v>
          </cell>
          <cell r="C1094" t="str">
            <v>PT. Karisma Trans Express</v>
          </cell>
        </row>
        <row r="1095">
          <cell r="B1095">
            <v>124000000001092</v>
          </cell>
          <cell r="C1095" t="str">
            <v>PT. Kenko Elektrik Indonesia</v>
          </cell>
        </row>
        <row r="1096">
          <cell r="B1096">
            <v>124000000001093</v>
          </cell>
          <cell r="C1096" t="str">
            <v>PT. Kharisma Berkah Nusantara</v>
          </cell>
        </row>
        <row r="1097">
          <cell r="B1097">
            <v>124000000001094</v>
          </cell>
          <cell r="C1097" t="str">
            <v>PT. Kuda Baja Perkasa</v>
          </cell>
        </row>
        <row r="1098">
          <cell r="B1098">
            <v>124000000001095</v>
          </cell>
          <cell r="C1098" t="str">
            <v>PT. Kurhanz Trans</v>
          </cell>
        </row>
        <row r="1099">
          <cell r="B1099">
            <v>124000000001096</v>
          </cell>
          <cell r="C1099" t="str">
            <v>PT. Lidosarana Prima</v>
          </cell>
        </row>
        <row r="1100">
          <cell r="B1100">
            <v>124000000001097</v>
          </cell>
          <cell r="C1100" t="str">
            <v>PT. Lintas Expressindo Nusantara</v>
          </cell>
        </row>
        <row r="1101">
          <cell r="B1101">
            <v>124000000001098</v>
          </cell>
          <cell r="C1101" t="str">
            <v>PT. Makmur Alam Seiwampu</v>
          </cell>
        </row>
        <row r="1102">
          <cell r="B1102">
            <v>124000000001099</v>
          </cell>
          <cell r="C1102" t="str">
            <v>PT. Makro Sentral Perdana Enterprise</v>
          </cell>
        </row>
        <row r="1103">
          <cell r="B1103">
            <v>124000000001100</v>
          </cell>
          <cell r="C1103" t="str">
            <v>PT. Masindo Buana Wisata</v>
          </cell>
        </row>
        <row r="1104">
          <cell r="B1104">
            <v>124000000001101</v>
          </cell>
          <cell r="C1104" t="str">
            <v>PT. Megah World Holiday</v>
          </cell>
        </row>
        <row r="1105">
          <cell r="B1105">
            <v>124000000001102</v>
          </cell>
          <cell r="C1105" t="str">
            <v>PT. Metrology Kalibrasi Indonesia</v>
          </cell>
        </row>
        <row r="1106">
          <cell r="B1106">
            <v>124000000001103</v>
          </cell>
          <cell r="C1106" t="str">
            <v>PT. Mitra Menara Mandiri</v>
          </cell>
        </row>
        <row r="1107">
          <cell r="B1107">
            <v>124000000001104</v>
          </cell>
          <cell r="C1107" t="str">
            <v>PT. Multi Prima Mandiri Sukses</v>
          </cell>
        </row>
        <row r="1108">
          <cell r="B1108">
            <v>124000000001105</v>
          </cell>
          <cell r="C1108" t="str">
            <v>PT. Mutiara Forklift</v>
          </cell>
        </row>
        <row r="1109">
          <cell r="B1109">
            <v>124000000001106</v>
          </cell>
          <cell r="C1109" t="str">
            <v>PT. Perkasa Beton Batam</v>
          </cell>
        </row>
        <row r="1110">
          <cell r="B1110">
            <v>124000000001107</v>
          </cell>
          <cell r="C1110" t="str">
            <v>PT. Plasa Intermedia</v>
          </cell>
        </row>
        <row r="1111">
          <cell r="B1111">
            <v>124000000001108</v>
          </cell>
          <cell r="C1111" t="str">
            <v>PT. Pratama Widya, Tbk</v>
          </cell>
        </row>
        <row r="1112">
          <cell r="B1112">
            <v>124000000001109</v>
          </cell>
          <cell r="C1112" t="str">
            <v>PT. Prima Sapta Utama</v>
          </cell>
        </row>
        <row r="1113">
          <cell r="B1113">
            <v>124000000001110</v>
          </cell>
          <cell r="C1113" t="str">
            <v>PT. Rimbun Sentosa Abadi</v>
          </cell>
        </row>
        <row r="1114">
          <cell r="B1114">
            <v>124000000001111</v>
          </cell>
          <cell r="C1114" t="str">
            <v>PT. Sarana Sentral Steelindo</v>
          </cell>
        </row>
        <row r="1115">
          <cell r="B1115">
            <v>124000000001112</v>
          </cell>
          <cell r="C1115" t="str">
            <v>PT. Satria Garuda Sakti</v>
          </cell>
        </row>
        <row r="1116">
          <cell r="B1116">
            <v>124000000001113</v>
          </cell>
          <cell r="C1116" t="str">
            <v>PT. Sempurna Ready Mix Concrete</v>
          </cell>
        </row>
        <row r="1117">
          <cell r="B1117">
            <v>124000000001114</v>
          </cell>
          <cell r="C1117" t="str">
            <v>PT. Sentra Indologis Utama</v>
          </cell>
        </row>
        <row r="1118">
          <cell r="B1118">
            <v>124000000001115</v>
          </cell>
          <cell r="C1118" t="str">
            <v>PT. Sentra Tatacahaya Persada</v>
          </cell>
        </row>
        <row r="1119">
          <cell r="B1119">
            <v>124000000001116</v>
          </cell>
          <cell r="C1119" t="str">
            <v>PT. Serasi Autoraya</v>
          </cell>
        </row>
        <row r="1120">
          <cell r="B1120">
            <v>124000000001117</v>
          </cell>
          <cell r="C1120" t="str">
            <v>PT. Sima Artha Nauli - Jakarta</v>
          </cell>
        </row>
        <row r="1121">
          <cell r="B1121">
            <v>124000000001118</v>
          </cell>
          <cell r="C1121" t="str">
            <v>PT. Sima Artha Nauli - Bali</v>
          </cell>
        </row>
        <row r="1122">
          <cell r="B1122">
            <v>124000000001119</v>
          </cell>
          <cell r="C1122" t="str">
            <v>PT. Sima Artha Nauli - Medan</v>
          </cell>
        </row>
        <row r="1123">
          <cell r="B1123">
            <v>124000000001120</v>
          </cell>
          <cell r="C1123" t="str">
            <v>PT. Soonlee Metalindo Perkasa</v>
          </cell>
        </row>
        <row r="1124">
          <cell r="B1124">
            <v>124000000001121</v>
          </cell>
          <cell r="C1124" t="str">
            <v>PT. Spanset Indonesia</v>
          </cell>
        </row>
        <row r="1125">
          <cell r="B1125">
            <v>124000000001122</v>
          </cell>
          <cell r="C1125" t="str">
            <v>PT. Spectra Duta Karya</v>
          </cell>
        </row>
        <row r="1126">
          <cell r="B1126">
            <v>124000000001123</v>
          </cell>
          <cell r="C1126" t="str">
            <v>PT. Supra Talindo</v>
          </cell>
        </row>
        <row r="1127">
          <cell r="B1127">
            <v>124000000001124</v>
          </cell>
          <cell r="C1127" t="str">
            <v>PT. Supreme Cable Manufacturing &amp; Commerce [a.k.a : Sucaco]</v>
          </cell>
        </row>
        <row r="1128">
          <cell r="B1128">
            <v>124000000001125</v>
          </cell>
          <cell r="C1128" t="str">
            <v>PT. Tiki Jalur Nugraha Ekakurir [a.k.a : JNE]</v>
          </cell>
        </row>
        <row r="1129">
          <cell r="B1129">
            <v>124000000001126</v>
          </cell>
          <cell r="C1129" t="str">
            <v>PT. Trans Electric</v>
          </cell>
        </row>
        <row r="1130">
          <cell r="B1130">
            <v>124000000001127</v>
          </cell>
          <cell r="C1130" t="str">
            <v>PT. Tri Mitra Elektrik</v>
          </cell>
        </row>
        <row r="1131">
          <cell r="B1131">
            <v>124000000001128</v>
          </cell>
          <cell r="C1131" t="str">
            <v>PT. Upaya Reksatama Putra</v>
          </cell>
        </row>
        <row r="1132">
          <cell r="B1132">
            <v>124000000001129</v>
          </cell>
          <cell r="C1132" t="str">
            <v>PT. Wahana Hantaran Yantra [a.k.a : WHY Logistic]</v>
          </cell>
        </row>
        <row r="1133">
          <cell r="B1133">
            <v>124000000001130</v>
          </cell>
          <cell r="C1133" t="str">
            <v>PT. ABB Sakti Industri</v>
          </cell>
        </row>
        <row r="1134">
          <cell r="B1134">
            <v>124000000001131</v>
          </cell>
          <cell r="C1134" t="str">
            <v>PT. Abdi Pertiwi Persada</v>
          </cell>
        </row>
        <row r="1135">
          <cell r="B1135">
            <v>124000000001132</v>
          </cell>
          <cell r="C1135" t="str">
            <v>PT. Abetama Sempurna</v>
          </cell>
        </row>
        <row r="1136">
          <cell r="B1136">
            <v>124000000001133</v>
          </cell>
          <cell r="C1136" t="str">
            <v>PT. Adhigana Perkasa Mandiri</v>
          </cell>
        </row>
        <row r="1137">
          <cell r="B1137">
            <v>124000000001134</v>
          </cell>
          <cell r="C1137" t="str">
            <v>PT. Adikita Cipta Sarana</v>
          </cell>
        </row>
        <row r="1138">
          <cell r="B1138">
            <v>124000000001135</v>
          </cell>
          <cell r="C1138" t="str">
            <v>PT. Analisa Media [a.k.a : Harian Analisa Medan]</v>
          </cell>
        </row>
        <row r="1139">
          <cell r="B1139">
            <v>124000000001136</v>
          </cell>
          <cell r="C1139" t="str">
            <v>PT. Andalan Mutu Energi</v>
          </cell>
        </row>
        <row r="1140">
          <cell r="B1140">
            <v>124000000001137</v>
          </cell>
          <cell r="C1140" t="str">
            <v>PT. Andika Jana Bhumi Sejahtera</v>
          </cell>
        </row>
        <row r="1141">
          <cell r="B1141">
            <v>124000000001138</v>
          </cell>
          <cell r="C1141" t="str">
            <v>PT. Anugrah Sukses Marine</v>
          </cell>
        </row>
        <row r="1142">
          <cell r="B1142">
            <v>124000000001139</v>
          </cell>
          <cell r="C1142" t="str">
            <v>PT. Arjuna Wiwaha Persada</v>
          </cell>
        </row>
        <row r="1143">
          <cell r="B1143">
            <v>124000000001140</v>
          </cell>
          <cell r="C1143" t="str">
            <v>PT. Arkananta Albani</v>
          </cell>
        </row>
        <row r="1144">
          <cell r="B1144">
            <v>124000000001141</v>
          </cell>
          <cell r="C1144" t="str">
            <v>PT. Arkanindoplast Utama</v>
          </cell>
        </row>
        <row r="1145">
          <cell r="B1145">
            <v>124000000001142</v>
          </cell>
          <cell r="C1145" t="str">
            <v>PT. Arta Amarta Indonesia</v>
          </cell>
        </row>
        <row r="1146">
          <cell r="B1146">
            <v>124000000001143</v>
          </cell>
          <cell r="C1146" t="str">
            <v>PT. Asarengga Mandiri Perkasa</v>
          </cell>
        </row>
        <row r="1147">
          <cell r="B1147">
            <v>124000000001144</v>
          </cell>
          <cell r="C1147" t="str">
            <v>PT. Astra International, Tbk</v>
          </cell>
        </row>
        <row r="1148">
          <cell r="B1148">
            <v>124000000001145</v>
          </cell>
          <cell r="C1148" t="str">
            <v>PT. Asuransi Astra Buana</v>
          </cell>
        </row>
        <row r="1149">
          <cell r="B1149">
            <v>124000000001146</v>
          </cell>
          <cell r="C1149" t="str">
            <v>PT. Asuransi AVIVA Indonesia</v>
          </cell>
        </row>
        <row r="1150">
          <cell r="B1150">
            <v>124000000001147</v>
          </cell>
          <cell r="C1150" t="str">
            <v>PT. Asuransi Jasa Tania, Tbk</v>
          </cell>
        </row>
        <row r="1151">
          <cell r="B1151">
            <v>124000000001148</v>
          </cell>
          <cell r="C1151" t="str">
            <v>PT. Asuransi Jasaraharja Putera - Medan</v>
          </cell>
        </row>
        <row r="1152">
          <cell r="B1152">
            <v>124000000001149</v>
          </cell>
          <cell r="C1152" t="str">
            <v>PT. Asuransi Mega Pratama</v>
          </cell>
        </row>
        <row r="1153">
          <cell r="B1153">
            <v>124000000001150</v>
          </cell>
          <cell r="C1153" t="str">
            <v>PT. Asuransi Wahana Tata - Jakarta</v>
          </cell>
        </row>
        <row r="1154">
          <cell r="B1154">
            <v>124000000001151</v>
          </cell>
          <cell r="C1154" t="str">
            <v>PT. Aswindo Fikri Mandiri</v>
          </cell>
        </row>
        <row r="1155">
          <cell r="B1155">
            <v>124000000001152</v>
          </cell>
          <cell r="C1155" t="str">
            <v>PT. Atlas Copco Indonesia</v>
          </cell>
        </row>
        <row r="1156">
          <cell r="B1156">
            <v>124000000001153</v>
          </cell>
          <cell r="C1156" t="str">
            <v>PT. Avindo Global Pratama</v>
          </cell>
        </row>
        <row r="1157">
          <cell r="B1157">
            <v>124000000001154</v>
          </cell>
          <cell r="C1157" t="str">
            <v>PT. Bakrie Pipe Industries</v>
          </cell>
        </row>
        <row r="1158">
          <cell r="B1158">
            <v>124000000001155</v>
          </cell>
          <cell r="C1158" t="str">
            <v>PT. Bangun Anugerah Hanjaya</v>
          </cell>
        </row>
        <row r="1159">
          <cell r="B1159">
            <v>124000000001156</v>
          </cell>
          <cell r="C1159" t="str">
            <v>PT. Bangun Eranta</v>
          </cell>
        </row>
        <row r="1160">
          <cell r="B1160">
            <v>124000000001157</v>
          </cell>
          <cell r="C1160" t="str">
            <v>PT. Bangun Guna Indonesia</v>
          </cell>
        </row>
        <row r="1161">
          <cell r="B1161">
            <v>124000000001158</v>
          </cell>
          <cell r="C1161" t="str">
            <v>PT. Belani Global Persada</v>
          </cell>
        </row>
        <row r="1162">
          <cell r="B1162">
            <v>124000000001159</v>
          </cell>
          <cell r="C1162" t="str">
            <v>PT. Bhagawadgita Swadaya Pratama</v>
          </cell>
        </row>
        <row r="1163">
          <cell r="B1163">
            <v>124000000001160</v>
          </cell>
          <cell r="C1163" t="str">
            <v>PT. Bima Surya Mandiri</v>
          </cell>
        </row>
        <row r="1164">
          <cell r="B1164">
            <v>124000000001161</v>
          </cell>
          <cell r="C1164" t="str">
            <v>PT. Bina Cipta Mandiri Consultant</v>
          </cell>
        </row>
        <row r="1165">
          <cell r="B1165">
            <v>124000000001162</v>
          </cell>
          <cell r="C1165" t="str">
            <v>PT. Binamitra Mandiri Solusion</v>
          </cell>
        </row>
        <row r="1166">
          <cell r="B1166">
            <v>124000000001163</v>
          </cell>
          <cell r="C1166" t="str">
            <v>PT. Bintang Agung</v>
          </cell>
        </row>
        <row r="1167">
          <cell r="B1167">
            <v>124000000001164</v>
          </cell>
          <cell r="C1167" t="str">
            <v>PT. Bintang Bandung Sejati</v>
          </cell>
        </row>
        <row r="1168">
          <cell r="B1168">
            <v>124000000001165</v>
          </cell>
          <cell r="C1168" t="str">
            <v>PT. Biosung Fibertek Indonesia</v>
          </cell>
        </row>
        <row r="1169">
          <cell r="B1169">
            <v>124000000001166</v>
          </cell>
          <cell r="C1169" t="str">
            <v>PT. Bumi Mandiri Pratama</v>
          </cell>
        </row>
        <row r="1170">
          <cell r="B1170">
            <v>124000000001167</v>
          </cell>
          <cell r="C1170" t="str">
            <v>PT. Bumi Teknik Utama</v>
          </cell>
        </row>
        <row r="1171">
          <cell r="B1171">
            <v>124000000001168</v>
          </cell>
          <cell r="C1171" t="str">
            <v>PT. C-Five</v>
          </cell>
        </row>
        <row r="1172">
          <cell r="B1172">
            <v>124000000001169</v>
          </cell>
          <cell r="C1172" t="str">
            <v>PT. Catur Mitra Cahaya</v>
          </cell>
        </row>
        <row r="1173">
          <cell r="B1173">
            <v>124000000001170</v>
          </cell>
          <cell r="C1173" t="str">
            <v>PT. Central Cargo Express</v>
          </cell>
        </row>
        <row r="1174">
          <cell r="B1174">
            <v>124000000001171</v>
          </cell>
          <cell r="C1174" t="str">
            <v>PT. CFS Logistics</v>
          </cell>
        </row>
        <row r="1175">
          <cell r="B1175">
            <v>124000000001172</v>
          </cell>
          <cell r="C1175" t="str">
            <v>PT. Cipta Nusa Sekawan</v>
          </cell>
        </row>
        <row r="1176">
          <cell r="B1176">
            <v>124000000001173</v>
          </cell>
          <cell r="C1176" t="str">
            <v>PT. Ciptosadar Pratama</v>
          </cell>
        </row>
        <row r="1177">
          <cell r="B1177">
            <v>124000000001174</v>
          </cell>
          <cell r="C1177" t="str">
            <v>PT. CURA Indonesia</v>
          </cell>
        </row>
        <row r="1178">
          <cell r="B1178">
            <v>124000000001175</v>
          </cell>
          <cell r="C1178" t="str">
            <v>PT. Daikin Airconditioning Indonesia</v>
          </cell>
        </row>
        <row r="1179">
          <cell r="B1179">
            <v>124000000001176</v>
          </cell>
          <cell r="C1179" t="str">
            <v>PT. Daya Kobelco Construction Machinery Indonesia</v>
          </cell>
        </row>
        <row r="1180">
          <cell r="B1180">
            <v>124000000001177</v>
          </cell>
          <cell r="C1180" t="str">
            <v>PT. Deras Express Cargo</v>
          </cell>
        </row>
        <row r="1181">
          <cell r="B1181">
            <v>124000000001178</v>
          </cell>
          <cell r="C1181" t="str">
            <v>PT. Derka</v>
          </cell>
        </row>
        <row r="1182">
          <cell r="B1182">
            <v>124000000001179</v>
          </cell>
          <cell r="C1182" t="str">
            <v>PT. Dewandaru Indonesia</v>
          </cell>
        </row>
        <row r="1183">
          <cell r="B1183">
            <v>124000000001180</v>
          </cell>
          <cell r="C1183" t="str">
            <v>PT. Dinamika Jaya Sejahtera Abadi</v>
          </cell>
        </row>
        <row r="1184">
          <cell r="B1184">
            <v>124000000001181</v>
          </cell>
          <cell r="C1184" t="str">
            <v>PT. Diva Yudha Mandiri</v>
          </cell>
        </row>
        <row r="1185">
          <cell r="B1185">
            <v>124000000001182</v>
          </cell>
          <cell r="C1185" t="str">
            <v>PT. Dunamis Intermaster</v>
          </cell>
        </row>
        <row r="1186">
          <cell r="B1186">
            <v>124000000001183</v>
          </cell>
          <cell r="C1186" t="str">
            <v>PT. Duta Mitra Sarana</v>
          </cell>
        </row>
        <row r="1187">
          <cell r="B1187">
            <v>124000000001184</v>
          </cell>
          <cell r="C1187" t="str">
            <v>PT. Duta Pertiwi</v>
          </cell>
        </row>
        <row r="1188">
          <cell r="B1188">
            <v>124000000001185</v>
          </cell>
          <cell r="C1188" t="str">
            <v>PT. Duta Rangka Rekayasa Indonesia</v>
          </cell>
        </row>
        <row r="1189">
          <cell r="B1189">
            <v>124000000001186</v>
          </cell>
          <cell r="C1189" t="str">
            <v>PT. EMKL Bakti Putra</v>
          </cell>
        </row>
        <row r="1190">
          <cell r="B1190">
            <v>124000000001187</v>
          </cell>
          <cell r="C1190" t="str">
            <v>PT. Enggal Family Construction</v>
          </cell>
        </row>
        <row r="1191">
          <cell r="B1191">
            <v>124000000001188</v>
          </cell>
          <cell r="C1191" t="str">
            <v>PT. Estu Adimore</v>
          </cell>
        </row>
        <row r="1192">
          <cell r="B1192">
            <v>124000000001189</v>
          </cell>
          <cell r="C1192" t="str">
            <v>PT. Fastindo Piranti Kabel</v>
          </cell>
        </row>
        <row r="1193">
          <cell r="B1193">
            <v>124000000001190</v>
          </cell>
          <cell r="C1193" t="str">
            <v>PT. Felixindo Hirzi Utama</v>
          </cell>
        </row>
        <row r="1194">
          <cell r="B1194">
            <v>124000000001191</v>
          </cell>
          <cell r="C1194" t="str">
            <v>PT. Gateway Container Line</v>
          </cell>
        </row>
        <row r="1195">
          <cell r="B1195">
            <v>124000000001192</v>
          </cell>
          <cell r="C1195" t="str">
            <v>PT. General Supply &amp; Services Indonesia</v>
          </cell>
        </row>
        <row r="1196">
          <cell r="B1196">
            <v>124000000001193</v>
          </cell>
          <cell r="C1196" t="str">
            <v>PT. Globalnine Indonesia</v>
          </cell>
        </row>
        <row r="1197">
          <cell r="B1197">
            <v>124000000001194</v>
          </cell>
          <cell r="C1197" t="str">
            <v>PT. Globe Indonesia Internasional</v>
          </cell>
        </row>
        <row r="1198">
          <cell r="B1198">
            <v>124000000001195</v>
          </cell>
          <cell r="C1198" t="str">
            <v>PT. Golden Gate Mandiri</v>
          </cell>
        </row>
        <row r="1199">
          <cell r="B1199">
            <v>124000000001196</v>
          </cell>
          <cell r="C1199" t="str">
            <v>PT. Golden Piping Indonesia</v>
          </cell>
        </row>
        <row r="1200">
          <cell r="B1200">
            <v>124000000001197</v>
          </cell>
          <cell r="C1200" t="str">
            <v>PT. Graha Cipta Mosaic</v>
          </cell>
        </row>
        <row r="1201">
          <cell r="B1201">
            <v>124000000001198</v>
          </cell>
          <cell r="C1201" t="str">
            <v>PT. Graha Multi Kreasi</v>
          </cell>
        </row>
        <row r="1202">
          <cell r="B1202">
            <v>124000000001199</v>
          </cell>
          <cell r="C1202" t="str">
            <v>PT. Graha Padi Megah</v>
          </cell>
        </row>
        <row r="1203">
          <cell r="B1203">
            <v>124000000001200</v>
          </cell>
          <cell r="C1203" t="str">
            <v>PT. Gumay Tama Bersaudara</v>
          </cell>
        </row>
        <row r="1204">
          <cell r="B1204">
            <v>124000000001201</v>
          </cell>
          <cell r="C1204" t="str">
            <v>PT. Helori Grahasarana</v>
          </cell>
        </row>
        <row r="1205">
          <cell r="B1205">
            <v>124000000001202</v>
          </cell>
          <cell r="C1205" t="str">
            <v>PT. Hexindo Adiperkasa</v>
          </cell>
        </row>
        <row r="1206">
          <cell r="B1206">
            <v>124000000001203</v>
          </cell>
          <cell r="C1206" t="str">
            <v>PT. Indomac Bhakti Karya - Makassar</v>
          </cell>
        </row>
        <row r="1207">
          <cell r="B1207">
            <v>124000000001204</v>
          </cell>
          <cell r="C1207" t="str">
            <v>PT. Infoduta Computindo Perkasa</v>
          </cell>
        </row>
        <row r="1208">
          <cell r="B1208">
            <v>124000000001205</v>
          </cell>
          <cell r="C1208" t="str">
            <v>PT. Intan Komunikasi Indonesia</v>
          </cell>
        </row>
        <row r="1209">
          <cell r="B1209">
            <v>124000000001206</v>
          </cell>
          <cell r="C1209" t="str">
            <v>PT. Istana Kebayoran Raya Motor</v>
          </cell>
        </row>
        <row r="1210">
          <cell r="B1210">
            <v>124000000001207</v>
          </cell>
          <cell r="C1210" t="str">
            <v>PT. Java Multi Solusi</v>
          </cell>
        </row>
        <row r="1211">
          <cell r="B1211">
            <v>124000000001208</v>
          </cell>
          <cell r="C1211" t="str">
            <v>PT. Jaya Kencana</v>
          </cell>
        </row>
        <row r="1212">
          <cell r="B1212">
            <v>124000000001209</v>
          </cell>
          <cell r="C1212" t="str">
            <v>PT. Jayakarta Global Pratama</v>
          </cell>
        </row>
        <row r="1213">
          <cell r="B1213">
            <v>124000000001210</v>
          </cell>
          <cell r="C1213" t="str">
            <v>PT. Jutam Readymix Concrete</v>
          </cell>
        </row>
        <row r="1214">
          <cell r="B1214">
            <v>124000000001211</v>
          </cell>
          <cell r="C1214" t="str">
            <v>PT. Karlita Emas</v>
          </cell>
        </row>
        <row r="1215">
          <cell r="B1215">
            <v>124000000001212</v>
          </cell>
          <cell r="C1215" t="str">
            <v>PT. Karunia Indah Bersama</v>
          </cell>
        </row>
        <row r="1216">
          <cell r="B1216">
            <v>124000000001213</v>
          </cell>
          <cell r="C1216" t="str">
            <v>PT. Kezia Kasih Anugrah</v>
          </cell>
        </row>
        <row r="1217">
          <cell r="B1217">
            <v>124000000001214</v>
          </cell>
          <cell r="C1217" t="str">
            <v>PT. Khatulistiwa Mandiri Logistik</v>
          </cell>
        </row>
        <row r="1218">
          <cell r="B1218">
            <v>124000000001215</v>
          </cell>
          <cell r="C1218" t="str">
            <v>PT. Kualasagi Prima Perkasa</v>
          </cell>
        </row>
        <row r="1219">
          <cell r="B1219">
            <v>124000000001216</v>
          </cell>
          <cell r="C1219" t="str">
            <v>PT. Kuripasai Intrada</v>
          </cell>
        </row>
        <row r="1220">
          <cell r="B1220">
            <v>124000000001217</v>
          </cell>
          <cell r="C1220" t="str">
            <v>PT. Lentera Agung Kencana</v>
          </cell>
        </row>
        <row r="1221">
          <cell r="B1221">
            <v>124000000001218</v>
          </cell>
          <cell r="C1221" t="str">
            <v>PT. Lintas Media Protama</v>
          </cell>
        </row>
        <row r="1222">
          <cell r="B1222">
            <v>124000000001219</v>
          </cell>
          <cell r="C1222" t="str">
            <v>PT. Lintas Nusa Ekspress</v>
          </cell>
        </row>
        <row r="1223">
          <cell r="B1223">
            <v>124000000001220</v>
          </cell>
          <cell r="C1223" t="str">
            <v>PT. Luminary Auto Prima</v>
          </cell>
        </row>
        <row r="1224">
          <cell r="B1224">
            <v>124000000001221</v>
          </cell>
          <cell r="C1224" t="str">
            <v>PT. Mafati Cargo Express</v>
          </cell>
        </row>
        <row r="1225">
          <cell r="B1225">
            <v>124000000001222</v>
          </cell>
          <cell r="C1225" t="str">
            <v>PT. Maktal</v>
          </cell>
        </row>
        <row r="1226">
          <cell r="B1226">
            <v>124000000001223</v>
          </cell>
          <cell r="C1226" t="str">
            <v>PT. Mandiri Anugerah Corporindo</v>
          </cell>
        </row>
        <row r="1227">
          <cell r="B1227">
            <v>124000000001224</v>
          </cell>
          <cell r="C1227" t="str">
            <v>PT. Massada Komunikasi</v>
          </cell>
        </row>
        <row r="1228">
          <cell r="B1228">
            <v>124000000001225</v>
          </cell>
          <cell r="C1228" t="str">
            <v>PT. Merapi Merbabu</v>
          </cell>
        </row>
        <row r="1229">
          <cell r="B1229">
            <v>124000000001226</v>
          </cell>
          <cell r="C1229" t="str">
            <v>PT. Mitra Dinamis Yang Utama</v>
          </cell>
        </row>
        <row r="1230">
          <cell r="B1230">
            <v>124000000001227</v>
          </cell>
          <cell r="C1230" t="str">
            <v>PT. Mitra Intertrans Forwarding</v>
          </cell>
        </row>
        <row r="1231">
          <cell r="B1231">
            <v>124000000001228</v>
          </cell>
          <cell r="C1231" t="str">
            <v>PT. Mitrakarya Teknologi Sejahtera</v>
          </cell>
        </row>
        <row r="1232">
          <cell r="B1232">
            <v>124000000001229</v>
          </cell>
          <cell r="C1232" t="str">
            <v>PT. Motive Mulia</v>
          </cell>
        </row>
        <row r="1233">
          <cell r="B1233">
            <v>124000000001230</v>
          </cell>
          <cell r="C1233" t="str">
            <v>PT. Muesakarya Utama</v>
          </cell>
        </row>
        <row r="1234">
          <cell r="B1234">
            <v>124000000001231</v>
          </cell>
          <cell r="C1234" t="str">
            <v>PT. Mulia Andalan Gemilang</v>
          </cell>
        </row>
        <row r="1235">
          <cell r="B1235">
            <v>124000000001232</v>
          </cell>
          <cell r="C1235" t="str">
            <v>PT. Multi Andalan Sejahtera</v>
          </cell>
        </row>
        <row r="1236">
          <cell r="B1236">
            <v>124000000001233</v>
          </cell>
          <cell r="C1236" t="str">
            <v>PT. Multi Angkasa Solusi - (klik transport)</v>
          </cell>
        </row>
        <row r="1237">
          <cell r="B1237">
            <v>124000000001234</v>
          </cell>
          <cell r="C1237" t="str">
            <v>PT. Multi Energytama Nusantara</v>
          </cell>
        </row>
        <row r="1238">
          <cell r="B1238">
            <v>124000000001235</v>
          </cell>
          <cell r="C1238" t="str">
            <v>PT. Multi Sarana Engineering</v>
          </cell>
        </row>
        <row r="1239">
          <cell r="B1239">
            <v>124000000001236</v>
          </cell>
          <cell r="C1239" t="str">
            <v>PT. Multi Usaha Sempurna</v>
          </cell>
        </row>
        <row r="1240">
          <cell r="B1240">
            <v>124000000001237</v>
          </cell>
          <cell r="C1240" t="str">
            <v>PT. Musi Indah Persada</v>
          </cell>
        </row>
        <row r="1241">
          <cell r="B1241">
            <v>124000000001238</v>
          </cell>
          <cell r="C1241" t="str">
            <v>PT. Mustika Memadata</v>
          </cell>
        </row>
        <row r="1242">
          <cell r="B1242">
            <v>124000000001239</v>
          </cell>
          <cell r="C1242" t="str">
            <v>PT. Mutiara Persada</v>
          </cell>
        </row>
        <row r="1243">
          <cell r="B1243">
            <v>124000000001240</v>
          </cell>
          <cell r="C1243" t="str">
            <v>PT. Net21Plus</v>
          </cell>
        </row>
        <row r="1244">
          <cell r="B1244">
            <v>124000000001241</v>
          </cell>
          <cell r="C1244" t="str">
            <v>PT. Neutral Era Tritama</v>
          </cell>
        </row>
        <row r="1245">
          <cell r="B1245">
            <v>124000000001242</v>
          </cell>
          <cell r="C1245" t="str">
            <v>PT. Panah Perdana Logisindo [a.k.a : Hartrodt]</v>
          </cell>
        </row>
        <row r="1246">
          <cell r="B1246">
            <v>124000000001243</v>
          </cell>
          <cell r="C1246" t="str">
            <v>PT. Panca Sutji Gemilang</v>
          </cell>
        </row>
        <row r="1247">
          <cell r="B1247">
            <v>124000000001244</v>
          </cell>
          <cell r="C1247" t="str">
            <v>PT. Pancamitra Perkasa Engineering</v>
          </cell>
        </row>
        <row r="1248">
          <cell r="B1248">
            <v>124000000001245</v>
          </cell>
          <cell r="C1248" t="str">
            <v>PT. Panghegar Mitra Abadi</v>
          </cell>
        </row>
        <row r="1249">
          <cell r="B1249">
            <v>124000000001246</v>
          </cell>
          <cell r="C1249" t="str">
            <v>PT. Pantravel</v>
          </cell>
        </row>
        <row r="1250">
          <cell r="B1250">
            <v>124000000001247</v>
          </cell>
          <cell r="C1250" t="str">
            <v>PT. Pelayaran Nasional Indonesia (Persero) [a.k.a : Pelni]</v>
          </cell>
        </row>
        <row r="1251">
          <cell r="B1251">
            <v>124000000001248</v>
          </cell>
          <cell r="C1251" t="str">
            <v>PT. Perkasa Maju Pole</v>
          </cell>
        </row>
        <row r="1252">
          <cell r="B1252">
            <v>124000000001249</v>
          </cell>
          <cell r="C1252" t="str">
            <v>PT. Pertamina Retail</v>
          </cell>
        </row>
        <row r="1253">
          <cell r="B1253">
            <v>124000000001250</v>
          </cell>
          <cell r="C1253" t="str">
            <v>PT. Pralon</v>
          </cell>
        </row>
        <row r="1254">
          <cell r="B1254">
            <v>124000000001251</v>
          </cell>
          <cell r="C1254" t="str">
            <v>PT. Pramita [a.k.a : Laboratorium Klinik Pramita]</v>
          </cell>
        </row>
        <row r="1255">
          <cell r="B1255">
            <v>124000000001252</v>
          </cell>
          <cell r="C1255" t="str">
            <v>PT. Prasasti Cikarang</v>
          </cell>
        </row>
        <row r="1256">
          <cell r="B1256">
            <v>124000000001253</v>
          </cell>
          <cell r="C1256" t="str">
            <v>PT. Pratama Graha Semesta</v>
          </cell>
        </row>
        <row r="1257">
          <cell r="B1257">
            <v>124000000001254</v>
          </cell>
          <cell r="C1257" t="str">
            <v>PT. Prima Bara Energi</v>
          </cell>
        </row>
        <row r="1258">
          <cell r="B1258">
            <v>124000000001255</v>
          </cell>
          <cell r="C1258" t="str">
            <v>PT. Prima Energy Nasional [a.k.a : Industira Group]</v>
          </cell>
        </row>
        <row r="1259">
          <cell r="B1259">
            <v>124000000001256</v>
          </cell>
          <cell r="C1259" t="str">
            <v>PT. Prosys Bangun Persada</v>
          </cell>
        </row>
        <row r="1260">
          <cell r="B1260">
            <v>124000000001257</v>
          </cell>
          <cell r="C1260" t="str">
            <v>PT. Pura Mayungan</v>
          </cell>
        </row>
        <row r="1261">
          <cell r="B1261">
            <v>124000000001258</v>
          </cell>
          <cell r="C1261" t="str">
            <v>PT. Qerja Manfaat Bangsa</v>
          </cell>
        </row>
        <row r="1262">
          <cell r="B1262">
            <v>124000000001259</v>
          </cell>
          <cell r="C1262" t="str">
            <v>PT. Radikom Pratama</v>
          </cell>
        </row>
        <row r="1263">
          <cell r="B1263">
            <v>124000000001260</v>
          </cell>
          <cell r="C1263" t="str">
            <v>PT. Raffa Citra Berkah</v>
          </cell>
        </row>
        <row r="1264">
          <cell r="B1264">
            <v>124000000001261</v>
          </cell>
          <cell r="C1264" t="str">
            <v>PT. Rajawali Menara Abadi</v>
          </cell>
        </row>
        <row r="1265">
          <cell r="B1265">
            <v>124000000001262</v>
          </cell>
          <cell r="C1265" t="str">
            <v>PT. Ralif Indo Cemerlang</v>
          </cell>
        </row>
        <row r="1266">
          <cell r="B1266">
            <v>124000000001263</v>
          </cell>
          <cell r="C1266" t="str">
            <v>PT. Raspek Kargo Indonesia</v>
          </cell>
        </row>
        <row r="1267">
          <cell r="B1267">
            <v>124000000001264</v>
          </cell>
          <cell r="C1267" t="str">
            <v>PT. Ratu Megah Utama</v>
          </cell>
        </row>
        <row r="1268">
          <cell r="B1268">
            <v>124000000001265</v>
          </cell>
          <cell r="C1268" t="str">
            <v>PT. Rizkon Jaya Teknik</v>
          </cell>
        </row>
        <row r="1269">
          <cell r="B1269">
            <v>124000000001266</v>
          </cell>
          <cell r="C1269" t="str">
            <v>PT. Saga Prima Mandiri [a.k.a : Saga Logistik]</v>
          </cell>
        </row>
        <row r="1270">
          <cell r="B1270">
            <v>124000000001267</v>
          </cell>
          <cell r="C1270" t="str">
            <v>PT. Sangkan Jaya</v>
          </cell>
        </row>
        <row r="1271">
          <cell r="B1271">
            <v>124000000001268</v>
          </cell>
          <cell r="C1271" t="str">
            <v>PT. Santosa Adi Perkasa</v>
          </cell>
        </row>
        <row r="1272">
          <cell r="B1272">
            <v>124000000001269</v>
          </cell>
          <cell r="C1272" t="str">
            <v>PT. Sarana Andalan Elektrika</v>
          </cell>
        </row>
        <row r="1273">
          <cell r="B1273">
            <v>124000000001270</v>
          </cell>
          <cell r="C1273" t="str">
            <v>PT. Selogiri Sampurna Putra</v>
          </cell>
        </row>
        <row r="1274">
          <cell r="B1274">
            <v>124000000001271</v>
          </cell>
          <cell r="C1274" t="str">
            <v>PT. Semen Indogreen Sentosa</v>
          </cell>
        </row>
        <row r="1275">
          <cell r="B1275">
            <v>124000000001272</v>
          </cell>
          <cell r="C1275" t="str">
            <v>PT. Sentratek Metalindo</v>
          </cell>
        </row>
        <row r="1276">
          <cell r="B1276">
            <v>124000000001273</v>
          </cell>
          <cell r="C1276" t="str">
            <v>PT. Setia Gemilang Jaya</v>
          </cell>
        </row>
        <row r="1277">
          <cell r="B1277">
            <v>124000000001274</v>
          </cell>
          <cell r="C1277" t="str">
            <v>PT. Sibalec</v>
          </cell>
        </row>
        <row r="1278">
          <cell r="B1278">
            <v>124000000001275</v>
          </cell>
          <cell r="C1278" t="str">
            <v>PT. Sinar Laut Fastindo</v>
          </cell>
        </row>
        <row r="1279">
          <cell r="B1279">
            <v>124000000001276</v>
          </cell>
          <cell r="C1279" t="str">
            <v>PT. Sinar Mulia Makmur</v>
          </cell>
        </row>
        <row r="1280">
          <cell r="B1280">
            <v>124000000001277</v>
          </cell>
          <cell r="C1280" t="str">
            <v>PT. Sukses Bajaraya Abadi</v>
          </cell>
        </row>
        <row r="1281">
          <cell r="B1281">
            <v>124000000001278</v>
          </cell>
          <cell r="C1281" t="str">
            <v>PT. Suluh Dwipantara - Apartment Batavia Jakarta</v>
          </cell>
        </row>
        <row r="1282">
          <cell r="B1282">
            <v>124000000001279</v>
          </cell>
          <cell r="C1282" t="str">
            <v>PT. Sumber Instrumindo</v>
          </cell>
        </row>
        <row r="1283">
          <cell r="B1283">
            <v>124000000001280</v>
          </cell>
          <cell r="C1283" t="str">
            <v>PT. Sumber Mega Baja</v>
          </cell>
        </row>
        <row r="1284">
          <cell r="B1284">
            <v>124000000001281</v>
          </cell>
          <cell r="C1284" t="str">
            <v>PT. Perusahaan Pelayaran Nasional Suntraco Intim Transport</v>
          </cell>
        </row>
        <row r="1285">
          <cell r="B1285">
            <v>124000000001282</v>
          </cell>
          <cell r="C1285" t="str">
            <v>PT. Supratama Makmur Sejahtera</v>
          </cell>
        </row>
        <row r="1286">
          <cell r="B1286">
            <v>124000000001283</v>
          </cell>
          <cell r="C1286" t="str">
            <v>PT. Surveyor Indonesia (Persero)</v>
          </cell>
        </row>
        <row r="1287">
          <cell r="B1287">
            <v>124000000001284</v>
          </cell>
          <cell r="C1287" t="str">
            <v>PT. Surya Timur</v>
          </cell>
        </row>
        <row r="1288">
          <cell r="B1288">
            <v>124000000001285</v>
          </cell>
          <cell r="C1288" t="str">
            <v>PT. Sutindo Surya Sejahtera</v>
          </cell>
        </row>
        <row r="1289">
          <cell r="B1289">
            <v>124000000001286</v>
          </cell>
          <cell r="C1289" t="str">
            <v>PT. Swakarya Kencana Logistik [a.k.a : Skalog]</v>
          </cell>
        </row>
        <row r="1290">
          <cell r="B1290">
            <v>124000000001287</v>
          </cell>
          <cell r="C1290" t="str">
            <v>PT. Tangguh Muda Transport</v>
          </cell>
        </row>
        <row r="1291">
          <cell r="B1291">
            <v>124000000001288</v>
          </cell>
          <cell r="C1291" t="str">
            <v>PT. Tata Sekar Mulia</v>
          </cell>
        </row>
        <row r="1292">
          <cell r="B1292">
            <v>124000000001289</v>
          </cell>
          <cell r="C1292" t="str">
            <v>PT. Tegas Nusantara</v>
          </cell>
        </row>
        <row r="1293">
          <cell r="B1293">
            <v>124000000001290</v>
          </cell>
          <cell r="C1293" t="str">
            <v>PT. Telemedia Mitra Erajaya</v>
          </cell>
        </row>
        <row r="1294">
          <cell r="B1294">
            <v>124000000001291</v>
          </cell>
          <cell r="C1294" t="str">
            <v>PT. Telindo Semesta Abadi</v>
          </cell>
        </row>
        <row r="1295">
          <cell r="B1295">
            <v>124000000001292</v>
          </cell>
          <cell r="C1295" t="str">
            <v>PT. Tembong Son Digdaya</v>
          </cell>
        </row>
        <row r="1296">
          <cell r="B1296">
            <v>124000000001293</v>
          </cell>
          <cell r="C1296" t="str">
            <v>PT. Terra Nova Informatika</v>
          </cell>
        </row>
        <row r="1297">
          <cell r="B1297">
            <v>124000000001294</v>
          </cell>
          <cell r="C1297" t="str">
            <v>PT. Tiga Jala Lestari</v>
          </cell>
        </row>
        <row r="1298">
          <cell r="B1298">
            <v>124000000001295</v>
          </cell>
          <cell r="C1298" t="str">
            <v>PT. Tirta Karya Anugerah</v>
          </cell>
        </row>
        <row r="1299">
          <cell r="B1299">
            <v>124000000001296</v>
          </cell>
          <cell r="C1299" t="str">
            <v>PT. Trafoindo Prima Perkasa</v>
          </cell>
        </row>
        <row r="1300">
          <cell r="B1300">
            <v>124000000001297</v>
          </cell>
          <cell r="C1300" t="str">
            <v>PT. Triguna Garda Sejahtera</v>
          </cell>
        </row>
        <row r="1301">
          <cell r="B1301">
            <v>124000000001298</v>
          </cell>
          <cell r="C1301" t="str">
            <v>PT. Trimitra Konsultan Manajemen</v>
          </cell>
        </row>
        <row r="1302">
          <cell r="B1302">
            <v>124000000001299</v>
          </cell>
          <cell r="C1302" t="str">
            <v>PT. Trimitz Sinergy Mandala</v>
          </cell>
        </row>
        <row r="1303">
          <cell r="B1303">
            <v>124000000001300</v>
          </cell>
          <cell r="C1303" t="str">
            <v>PT. Trio Mitra Asri</v>
          </cell>
        </row>
        <row r="1304">
          <cell r="B1304">
            <v>124000000001301</v>
          </cell>
          <cell r="C1304" t="str">
            <v>PT. Triputra Andalan</v>
          </cell>
        </row>
        <row r="1305">
          <cell r="B1305">
            <v>124000000001302</v>
          </cell>
          <cell r="C1305" t="str">
            <v>PT. Tunasindo Karya Perkasa</v>
          </cell>
        </row>
        <row r="1306">
          <cell r="B1306">
            <v>124000000001303</v>
          </cell>
          <cell r="C1306" t="str">
            <v>PT. Unelec Indonesia [a.k.a : Unindo]</v>
          </cell>
        </row>
        <row r="1307">
          <cell r="B1307">
            <v>124000000001304</v>
          </cell>
          <cell r="C1307" t="str">
            <v>PT. Unggul Sejati Indonesia</v>
          </cell>
        </row>
        <row r="1308">
          <cell r="B1308">
            <v>124000000001305</v>
          </cell>
          <cell r="C1308" t="str">
            <v>PT. Usaha Saparakanca</v>
          </cell>
        </row>
        <row r="1309">
          <cell r="B1309">
            <v>124000000001306</v>
          </cell>
          <cell r="C1309" t="str">
            <v>PT. Vitta Manggala</v>
          </cell>
        </row>
        <row r="1310">
          <cell r="B1310">
            <v>124000000001307</v>
          </cell>
          <cell r="C1310" t="str">
            <v>PT. Widia Perkasa Kreasi</v>
          </cell>
        </row>
        <row r="1311">
          <cell r="B1311">
            <v>124000000001308</v>
          </cell>
          <cell r="C1311" t="str">
            <v>PT. Win Transport</v>
          </cell>
        </row>
        <row r="1312">
          <cell r="B1312">
            <v>124000000001309</v>
          </cell>
          <cell r="C1312" t="str">
            <v>PT. Wina Perdana Jaya</v>
          </cell>
        </row>
        <row r="1313">
          <cell r="B1313">
            <v>124000000001310</v>
          </cell>
          <cell r="C1313" t="str">
            <v>PT. Zinkpower Austrindo</v>
          </cell>
        </row>
        <row r="1314">
          <cell r="B1314">
            <v>124000000001311</v>
          </cell>
          <cell r="C1314" t="str">
            <v>PT. Alat Ukur Indosurta</v>
          </cell>
        </row>
        <row r="1315">
          <cell r="B1315">
            <v>124000000001312</v>
          </cell>
          <cell r="C1315" t="str">
            <v>PT. Andalas Mitra Utama</v>
          </cell>
        </row>
        <row r="1316">
          <cell r="B1316">
            <v>124000000001313</v>
          </cell>
          <cell r="C1316" t="str">
            <v>PT. Anugerah Kasih Setia</v>
          </cell>
        </row>
        <row r="1317">
          <cell r="B1317">
            <v>124000000001314</v>
          </cell>
          <cell r="C1317" t="str">
            <v>PT. Baruna Sejahtera Logistik</v>
          </cell>
        </row>
        <row r="1318">
          <cell r="B1318">
            <v>124000000001315</v>
          </cell>
          <cell r="C1318" t="str">
            <v>PT. Asuransi Wahana Tata - Medan</v>
          </cell>
        </row>
        <row r="1319">
          <cell r="B1319">
            <v>124000000001316</v>
          </cell>
          <cell r="C1319" t="str">
            <v>PT. Binasahabat Jayatama</v>
          </cell>
        </row>
        <row r="1320">
          <cell r="B1320">
            <v>124000000001317</v>
          </cell>
          <cell r="C1320" t="str">
            <v>PT. Columbia Chrome Indonesia</v>
          </cell>
        </row>
        <row r="1321">
          <cell r="B1321">
            <v>124000000001318</v>
          </cell>
          <cell r="C1321" t="str">
            <v>PT. Covenant Technology Indonesia</v>
          </cell>
        </row>
        <row r="1322">
          <cell r="B1322">
            <v>124000000001319</v>
          </cell>
          <cell r="C1322" t="str">
            <v>PT. Eko Jaya Cipta Mandiri</v>
          </cell>
        </row>
        <row r="1323">
          <cell r="B1323">
            <v>124000000001320</v>
          </cell>
          <cell r="C1323" t="str">
            <v>PT. Gajah Mulia Sentosa</v>
          </cell>
        </row>
        <row r="1324">
          <cell r="B1324">
            <v>124000000001321</v>
          </cell>
          <cell r="C1324" t="str">
            <v>PT. Global Perkasa Investindo</v>
          </cell>
        </row>
        <row r="1325">
          <cell r="B1325">
            <v>124000000001322</v>
          </cell>
          <cell r="C1325" t="str">
            <v>PT. Indodacin Presisi Utama</v>
          </cell>
        </row>
        <row r="1326">
          <cell r="B1326">
            <v>124000000001323</v>
          </cell>
          <cell r="C1326" t="str">
            <v>PT. Indomarine Internusa Group</v>
          </cell>
        </row>
        <row r="1327">
          <cell r="B1327">
            <v>124000000001324</v>
          </cell>
          <cell r="C1327" t="str">
            <v>PT. Karyawaja Ekamulia</v>
          </cell>
        </row>
        <row r="1328">
          <cell r="B1328">
            <v>124000000001325</v>
          </cell>
          <cell r="C1328" t="str">
            <v>PT. Kunango Jantan</v>
          </cell>
        </row>
        <row r="1329">
          <cell r="B1329">
            <v>124000000001326</v>
          </cell>
          <cell r="C1329" t="str">
            <v>PT. Makro Sentral Perdana</v>
          </cell>
        </row>
        <row r="1330">
          <cell r="B1330">
            <v>124000000001327</v>
          </cell>
          <cell r="C1330" t="str">
            <v>PT. Moran Jaya Lestari</v>
          </cell>
        </row>
        <row r="1331">
          <cell r="B1331">
            <v>124000000001328</v>
          </cell>
          <cell r="C1331" t="str">
            <v>PT. Mora Telematika Indonesia [a.k.a : Moratelindo]</v>
          </cell>
        </row>
        <row r="1332">
          <cell r="B1332">
            <v>124000000001329</v>
          </cell>
          <cell r="C1332" t="str">
            <v>PT. Roseka Asia Logistics</v>
          </cell>
        </row>
        <row r="1333">
          <cell r="B1333">
            <v>124000000001330</v>
          </cell>
          <cell r="C1333" t="str">
            <v>PT. Sentosa Karsa Mulia</v>
          </cell>
        </row>
        <row r="1334">
          <cell r="B1334">
            <v>124000000001331</v>
          </cell>
          <cell r="C1334" t="str">
            <v>PT. Tiga Pilar Sakato</v>
          </cell>
        </row>
        <row r="1335">
          <cell r="B1335">
            <v>124000000001332</v>
          </cell>
          <cell r="C1335" t="str">
            <v>PT. Sima Artha Nauli - Nusa Tenggara Timur</v>
          </cell>
        </row>
        <row r="1336">
          <cell r="B1336">
            <v>124000000001333</v>
          </cell>
          <cell r="C1336" t="str">
            <v>PT. Sima Artha Nauli - Makassar</v>
          </cell>
        </row>
        <row r="1337">
          <cell r="B1337">
            <v>124000000001334</v>
          </cell>
          <cell r="C1337" t="str">
            <v>PT. Sima Artha Nauli - Palu</v>
          </cell>
        </row>
        <row r="1338">
          <cell r="B1338">
            <v>124000000001335</v>
          </cell>
          <cell r="C1338" t="str">
            <v>PT. Sima Artha Nauli - Medan</v>
          </cell>
        </row>
        <row r="1339">
          <cell r="B1339">
            <v>124000000001336</v>
          </cell>
          <cell r="C1339" t="str">
            <v>PT. Sima Artha Nauli - Balikpapan</v>
          </cell>
        </row>
        <row r="1340">
          <cell r="B1340">
            <v>124000000001337</v>
          </cell>
          <cell r="C1340" t="str">
            <v>PT. Sima Artha Nauli - Banjarmasin</v>
          </cell>
        </row>
        <row r="1341">
          <cell r="B1341">
            <v>124000000001338</v>
          </cell>
          <cell r="C1341" t="str">
            <v>PT. Sima Artha Nauli - Batam</v>
          </cell>
        </row>
        <row r="1342">
          <cell r="B1342">
            <v>124000000001339</v>
          </cell>
          <cell r="C1342" t="str">
            <v>PT. Sima Artha Nauli - Bandung</v>
          </cell>
        </row>
        <row r="1343">
          <cell r="B1343">
            <v>124000000001340</v>
          </cell>
          <cell r="C1343" t="str">
            <v>PT. Sima Artha Nauli - Jakarta Condet</v>
          </cell>
        </row>
        <row r="1344">
          <cell r="B1344">
            <v>124000000001341</v>
          </cell>
          <cell r="C1344" t="str">
            <v>PT. Sima Artha Nauli - Manado</v>
          </cell>
        </row>
        <row r="1345">
          <cell r="B1345">
            <v>124000000001342</v>
          </cell>
          <cell r="C1345" t="str">
            <v>PT. Sima Artha Nauli - Pekanbaru</v>
          </cell>
        </row>
        <row r="1346">
          <cell r="B1346">
            <v>124000000001343</v>
          </cell>
          <cell r="C1346" t="str">
            <v>PT. Puri Giri Sentosa</v>
          </cell>
        </row>
        <row r="1347">
          <cell r="B1347">
            <v>124000000001344</v>
          </cell>
          <cell r="C1347" t="str">
            <v>PT. Puri Teknik Mandiri</v>
          </cell>
        </row>
        <row r="1348">
          <cell r="B1348">
            <v>124000000001345</v>
          </cell>
          <cell r="C1348" t="str">
            <v>PT. Pusaka Lintas Samudra</v>
          </cell>
        </row>
        <row r="1349">
          <cell r="B1349">
            <v>124000000001346</v>
          </cell>
          <cell r="C1349" t="str">
            <v>PT. Putra Baja Deli</v>
          </cell>
        </row>
        <row r="1350">
          <cell r="B1350">
            <v>124000000001347</v>
          </cell>
          <cell r="C1350" t="str">
            <v>PT. Putra Batam Jasa Mandiri Utama</v>
          </cell>
        </row>
        <row r="1351">
          <cell r="B1351">
            <v>124000000001348</v>
          </cell>
          <cell r="C1351" t="str">
            <v>PT. Putra Maulana Electric</v>
          </cell>
        </row>
        <row r="1352">
          <cell r="B1352">
            <v>124000000001349</v>
          </cell>
          <cell r="C1352" t="str">
            <v>PT. Putra Nagita Pratama</v>
          </cell>
        </row>
        <row r="1353">
          <cell r="B1353">
            <v>124000000001350</v>
          </cell>
          <cell r="C1353" t="str">
            <v>PT. Putra Trans Utama</v>
          </cell>
        </row>
        <row r="1354">
          <cell r="B1354">
            <v>124000000001351</v>
          </cell>
          <cell r="C1354" t="str">
            <v>PT. Putra Bangun Persada Baru</v>
          </cell>
        </row>
        <row r="1355">
          <cell r="B1355">
            <v>124000000001352</v>
          </cell>
          <cell r="C1355" t="str">
            <v>PT. Puteratel Andalan Sukses</v>
          </cell>
        </row>
        <row r="1356">
          <cell r="B1356">
            <v>124000000001353</v>
          </cell>
          <cell r="C1356" t="str">
            <v>PT. Qanarba Harifuni Energy</v>
          </cell>
        </row>
        <row r="1357">
          <cell r="B1357">
            <v>124000000001354</v>
          </cell>
          <cell r="C1357" t="str">
            <v>PT. Qualita Manajemen Sertifikasi</v>
          </cell>
        </row>
        <row r="1358">
          <cell r="B1358">
            <v>124000000001355</v>
          </cell>
          <cell r="C1358" t="str">
            <v>PT. Radcom Solusindo Informatika</v>
          </cell>
        </row>
        <row r="1359">
          <cell r="B1359">
            <v>124000000001356</v>
          </cell>
          <cell r="C1359" t="str">
            <v>PT. Rajawali Mas Tehnik</v>
          </cell>
        </row>
        <row r="1360">
          <cell r="B1360">
            <v>124000000001357</v>
          </cell>
          <cell r="C1360" t="str">
            <v>PT. Rakida Karya Mandiri Utama</v>
          </cell>
        </row>
        <row r="1361">
          <cell r="B1361">
            <v>124000000001358</v>
          </cell>
          <cell r="C1361" t="str">
            <v>PT. Ramida Jaya Mandiri</v>
          </cell>
        </row>
        <row r="1362">
          <cell r="B1362">
            <v>124000000001359</v>
          </cell>
          <cell r="C1362" t="str">
            <v>PT. Rangga Dinamika</v>
          </cell>
        </row>
        <row r="1363">
          <cell r="B1363">
            <v>124000000001360</v>
          </cell>
          <cell r="C1363" t="str">
            <v>PT. Refconindo Bintang Sejahtera</v>
          </cell>
        </row>
        <row r="1364">
          <cell r="B1364">
            <v>124000000001361</v>
          </cell>
          <cell r="C1364" t="str">
            <v>PT. Rembo Sukses Jaya</v>
          </cell>
        </row>
        <row r="1365">
          <cell r="B1365">
            <v>124000000001362</v>
          </cell>
          <cell r="C1365" t="str">
            <v>PT. Rental Crane Indonesia</v>
          </cell>
        </row>
        <row r="1366">
          <cell r="B1366">
            <v>124000000001363</v>
          </cell>
          <cell r="C1366" t="str">
            <v>PT. Rilin Perdana Mandiri</v>
          </cell>
        </row>
        <row r="1367">
          <cell r="B1367">
            <v>124000000001364</v>
          </cell>
          <cell r="C1367" t="str">
            <v>PT. Roda Rollen Indonesia</v>
          </cell>
        </row>
        <row r="1368">
          <cell r="B1368">
            <v>124000000001365</v>
          </cell>
          <cell r="C1368" t="str">
            <v>PT. Rusli Vinilon Sakti</v>
          </cell>
        </row>
        <row r="1369">
          <cell r="B1369">
            <v>124000000001366</v>
          </cell>
          <cell r="C1369" t="str">
            <v>PT. Sabena Gasindo Bersaudara</v>
          </cell>
        </row>
        <row r="1370">
          <cell r="B1370">
            <v>124000000001367</v>
          </cell>
          <cell r="C1370" t="str">
            <v>PT. Sadikun Niagamas Raya</v>
          </cell>
        </row>
        <row r="1371">
          <cell r="B1371">
            <v>124000000001368</v>
          </cell>
          <cell r="C1371" t="str">
            <v>PT. Saeti Concretindo Wahana</v>
          </cell>
        </row>
        <row r="1372">
          <cell r="B1372">
            <v>124000000001369</v>
          </cell>
          <cell r="C1372" t="str">
            <v>PT. Safakarya Indah Sejahtera</v>
          </cell>
        </row>
        <row r="1373">
          <cell r="B1373">
            <v>124000000001370</v>
          </cell>
          <cell r="C1373" t="str">
            <v>PT. Sahabat Mitra Logistindo</v>
          </cell>
        </row>
        <row r="1374">
          <cell r="B1374">
            <v>124000000001371</v>
          </cell>
          <cell r="C1374" t="str">
            <v>PT. Sahabat Indonesia Inti Mandiri</v>
          </cell>
        </row>
        <row r="1375">
          <cell r="B1375">
            <v>124000000001372</v>
          </cell>
          <cell r="C1375" t="str">
            <v>PT. Sai Global Indonesia</v>
          </cell>
        </row>
        <row r="1376">
          <cell r="B1376">
            <v>124000000001373</v>
          </cell>
          <cell r="C1376" t="str">
            <v>PT. Sakabaja Panelindo</v>
          </cell>
        </row>
        <row r="1377">
          <cell r="B1377">
            <v>124000000001374</v>
          </cell>
          <cell r="C1377" t="str">
            <v>PT. Samafitro</v>
          </cell>
        </row>
        <row r="1378">
          <cell r="B1378">
            <v>124000000001375</v>
          </cell>
          <cell r="C1378" t="str">
            <v>PT. Samudera Power Nusantara</v>
          </cell>
        </row>
        <row r="1379">
          <cell r="B1379">
            <v>124000000001376</v>
          </cell>
          <cell r="C1379" t="str">
            <v>PT. Samudera Tunggal Utama</v>
          </cell>
        </row>
        <row r="1380">
          <cell r="B1380">
            <v>124000000001377</v>
          </cell>
          <cell r="C1380" t="str">
            <v>PT. Sanggar Jaya Abadi</v>
          </cell>
        </row>
        <row r="1381">
          <cell r="B1381">
            <v>124000000001378</v>
          </cell>
          <cell r="C1381" t="str">
            <v>PT. Sankeindo</v>
          </cell>
        </row>
        <row r="1382">
          <cell r="B1382">
            <v>124000000001379</v>
          </cell>
          <cell r="C1382" t="str">
            <v>PT. Santa Fe Indonusa</v>
          </cell>
        </row>
        <row r="1383">
          <cell r="B1383">
            <v>124000000001380</v>
          </cell>
          <cell r="C1383" t="str">
            <v>PT. Sapta AsienMidEast</v>
          </cell>
        </row>
        <row r="1384">
          <cell r="B1384">
            <v>124000000001381</v>
          </cell>
          <cell r="C1384" t="str">
            <v>PT. Sapta Tunas Teknologi</v>
          </cell>
        </row>
        <row r="1385">
          <cell r="B1385">
            <v>124000000001382</v>
          </cell>
          <cell r="C1385" t="str">
            <v>PT. Saran Mitra Mulia</v>
          </cell>
        </row>
        <row r="1386">
          <cell r="B1386">
            <v>124000000001383</v>
          </cell>
          <cell r="C1386" t="str">
            <v>PT. Sarana Jaringan Mas</v>
          </cell>
        </row>
        <row r="1387">
          <cell r="B1387">
            <v>124000000001384</v>
          </cell>
          <cell r="C1387" t="str">
            <v>PT. Sarana Metal Indah</v>
          </cell>
        </row>
        <row r="1388">
          <cell r="B1388">
            <v>124000000001385</v>
          </cell>
          <cell r="C1388" t="str">
            <v>PT. Sarana Sukses Bersama</v>
          </cell>
        </row>
        <row r="1389">
          <cell r="B1389">
            <v>124000000001386</v>
          </cell>
          <cell r="C1389" t="str">
            <v>PT. Sarana Yakin Trans</v>
          </cell>
        </row>
        <row r="1390">
          <cell r="B1390">
            <v>124000000001387</v>
          </cell>
          <cell r="C1390" t="str">
            <v>PT. Satria Matranindo Kargo</v>
          </cell>
        </row>
        <row r="1391">
          <cell r="B1391">
            <v>124000000001388</v>
          </cell>
          <cell r="C1391" t="str">
            <v>PT. Satria Prawira Negara</v>
          </cell>
        </row>
        <row r="1392">
          <cell r="B1392">
            <v>124000000001389</v>
          </cell>
          <cell r="C1392" t="str">
            <v>PT. Satrira Solusi Indonesia</v>
          </cell>
        </row>
        <row r="1393">
          <cell r="B1393">
            <v>124000000001390</v>
          </cell>
          <cell r="C1393" t="str">
            <v>PT. Saudara Abadi Selaras Makmur</v>
          </cell>
        </row>
        <row r="1394">
          <cell r="B1394">
            <v>124000000001391</v>
          </cell>
          <cell r="C1394" t="str">
            <v>PT. Sekasa Mitra Utama</v>
          </cell>
        </row>
        <row r="1395">
          <cell r="B1395">
            <v>124000000001392</v>
          </cell>
          <cell r="C1395" t="str">
            <v>PT. Seluti Karya Mandiri</v>
          </cell>
        </row>
        <row r="1396">
          <cell r="B1396">
            <v>124000000001393</v>
          </cell>
          <cell r="C1396" t="str">
            <v>PT. Semangat Rahmat Garansi</v>
          </cell>
        </row>
        <row r="1397">
          <cell r="B1397">
            <v>124000000001394</v>
          </cell>
          <cell r="C1397" t="str">
            <v>PT. Semen Indonesia Beton</v>
          </cell>
        </row>
        <row r="1398">
          <cell r="B1398">
            <v>124000000001395</v>
          </cell>
          <cell r="C1398" t="str">
            <v>PT. Semeru Teknik</v>
          </cell>
        </row>
        <row r="1399">
          <cell r="B1399">
            <v>124000000001396</v>
          </cell>
          <cell r="C1399" t="str">
            <v>PT. Senayan Trikarya Sempana</v>
          </cell>
        </row>
        <row r="1400">
          <cell r="B1400">
            <v>124000000001397</v>
          </cell>
          <cell r="C1400" t="str">
            <v>PT. Seneca Indonesia</v>
          </cell>
        </row>
        <row r="1401">
          <cell r="B1401">
            <v>124000000001398</v>
          </cell>
          <cell r="C1401" t="str">
            <v>PT. Senjaya Solusi Sekurindo</v>
          </cell>
        </row>
        <row r="1402">
          <cell r="B1402">
            <v>124000000001399</v>
          </cell>
          <cell r="C1402" t="str">
            <v>PT. Sentra Jaminan</v>
          </cell>
        </row>
        <row r="1403">
          <cell r="B1403">
            <v>124000000001400</v>
          </cell>
          <cell r="C1403" t="str">
            <v>PT. Sentradaya Citra Lestari</v>
          </cell>
        </row>
        <row r="1404">
          <cell r="B1404">
            <v>124000000001401</v>
          </cell>
          <cell r="C1404" t="str">
            <v>PT. Seragam Serasi Perkasa</v>
          </cell>
        </row>
        <row r="1405">
          <cell r="B1405">
            <v>124000000001402</v>
          </cell>
          <cell r="C1405" t="str">
            <v>PT. Shana Utama Mandiri</v>
          </cell>
        </row>
        <row r="1406">
          <cell r="B1406">
            <v>124000000001403</v>
          </cell>
          <cell r="C1406" t="str">
            <v>PT. Shellindo Jaya</v>
          </cell>
        </row>
        <row r="1407">
          <cell r="B1407">
            <v>124000000001404</v>
          </cell>
          <cell r="C1407" t="str">
            <v>PT. Shengli Industry Indonesia</v>
          </cell>
        </row>
        <row r="1408">
          <cell r="B1408">
            <v>124000000001405</v>
          </cell>
          <cell r="C1408" t="str">
            <v>PT. Astra Otoparts [a.k.a : Shop &amp; Drive]</v>
          </cell>
        </row>
        <row r="1409">
          <cell r="B1409">
            <v>124000000001406</v>
          </cell>
          <cell r="C1409" t="str">
            <v>PT. Siba Surya - Surabaya - Jakarta Wolter Monginsidi</v>
          </cell>
        </row>
        <row r="1410">
          <cell r="B1410">
            <v>124000000001407</v>
          </cell>
          <cell r="C1410" t="str">
            <v>PT. Siba Surya - Surabaya - Medan Wileam Iskandar</v>
          </cell>
        </row>
        <row r="1411">
          <cell r="B1411">
            <v>124000000001408</v>
          </cell>
          <cell r="C1411" t="str">
            <v>PT. Sicamindo</v>
          </cell>
        </row>
        <row r="1412">
          <cell r="B1412">
            <v>124000000001409</v>
          </cell>
          <cell r="C1412" t="str">
            <v>PT. Sidajaya Sampurna Raharja</v>
          </cell>
        </row>
        <row r="1413">
          <cell r="B1413">
            <v>124000000001410</v>
          </cell>
          <cell r="C1413" t="str">
            <v>PT. Sido Agung Mandiri</v>
          </cell>
        </row>
        <row r="1414">
          <cell r="B1414">
            <v>124000000001411</v>
          </cell>
          <cell r="C1414" t="str">
            <v>PT. Sido Mulur Logistik Mandiri</v>
          </cell>
        </row>
        <row r="1415">
          <cell r="B1415">
            <v>124000000001412</v>
          </cell>
          <cell r="C1415" t="str">
            <v>PT. SIEM Lestari</v>
          </cell>
        </row>
        <row r="1416">
          <cell r="B1416">
            <v>124000000001413</v>
          </cell>
          <cell r="C1416" t="str">
            <v>PT. Sigma Niaga Gas</v>
          </cell>
        </row>
        <row r="1417">
          <cell r="B1417">
            <v>124000000001414</v>
          </cell>
          <cell r="C1417" t="str">
            <v>PT. Silar Rancang Bangun</v>
          </cell>
        </row>
        <row r="1418">
          <cell r="B1418">
            <v>124000000001415</v>
          </cell>
          <cell r="C1418" t="str">
            <v>PT. Silkargo Indonesia</v>
          </cell>
        </row>
        <row r="1419">
          <cell r="B1419">
            <v>124000000001416</v>
          </cell>
          <cell r="C1419" t="str">
            <v>PT. Sinar Hokindo Jaya</v>
          </cell>
        </row>
        <row r="1420">
          <cell r="B1420">
            <v>124000000001417</v>
          </cell>
          <cell r="C1420" t="str">
            <v>PT. Sinar Inti Electrindo Raya</v>
          </cell>
        </row>
        <row r="1421">
          <cell r="B1421">
            <v>124000000001418</v>
          </cell>
          <cell r="C1421" t="str">
            <v>PT. Sinarlaut Mandiri</v>
          </cell>
        </row>
        <row r="1422">
          <cell r="B1422">
            <v>124000000001419</v>
          </cell>
          <cell r="C1422" t="str">
            <v>PT. Sinar Multi Proteksindo</v>
          </cell>
        </row>
        <row r="1423">
          <cell r="B1423">
            <v>124000000001420</v>
          </cell>
          <cell r="C1423" t="str">
            <v>PT. Sinar Niaga Gemilang</v>
          </cell>
        </row>
        <row r="1424">
          <cell r="B1424">
            <v>124000000001421</v>
          </cell>
          <cell r="C1424" t="str">
            <v>PT. Sinar Utama Grounding</v>
          </cell>
        </row>
        <row r="1425">
          <cell r="B1425">
            <v>124000000001422</v>
          </cell>
          <cell r="C1425" t="str">
            <v>PT. Sinarindo Megah Perkasa</v>
          </cell>
        </row>
        <row r="1426">
          <cell r="B1426">
            <v>124000000001423</v>
          </cell>
          <cell r="C1426" t="str">
            <v>PT. Sinartech Multi Perkasa</v>
          </cell>
        </row>
        <row r="1427">
          <cell r="B1427">
            <v>124000000001424</v>
          </cell>
          <cell r="C1427" t="str">
            <v>PT. Sinergi Cipta Karunia</v>
          </cell>
        </row>
        <row r="1428">
          <cell r="B1428">
            <v>124000000001425</v>
          </cell>
          <cell r="C1428" t="str">
            <v>PT. Sinergi Pelita Makmur</v>
          </cell>
        </row>
        <row r="1429">
          <cell r="B1429">
            <v>124000000001426</v>
          </cell>
          <cell r="C1429" t="str">
            <v>PT. Sentra Karya Cahaya Raya</v>
          </cell>
        </row>
        <row r="1430">
          <cell r="B1430">
            <v>124000000001427</v>
          </cell>
          <cell r="C1430" t="str">
            <v>PT. Sokka Mulia Abadi</v>
          </cell>
        </row>
        <row r="1431">
          <cell r="B1431">
            <v>124000000001428</v>
          </cell>
          <cell r="C1431" t="str">
            <v>PT. Solo Indah Dinamika [a.k.a : Solo Square Mall]</v>
          </cell>
        </row>
        <row r="1432">
          <cell r="B1432">
            <v>124000000001429</v>
          </cell>
          <cell r="C1432" t="str">
            <v>PT. Solusi Cemerlang Teknologi</v>
          </cell>
        </row>
        <row r="1433">
          <cell r="B1433">
            <v>124000000001430</v>
          </cell>
          <cell r="C1433" t="str">
            <v>PT. Solusi Citra Teknologi</v>
          </cell>
        </row>
        <row r="1434">
          <cell r="B1434">
            <v>124000000001431</v>
          </cell>
          <cell r="C1434" t="str">
            <v>PT. Spotelindo Mitra Utama</v>
          </cell>
        </row>
        <row r="1435">
          <cell r="B1435">
            <v>124000000001432</v>
          </cell>
          <cell r="C1435" t="str">
            <v>PT. Sree Logistics Indonesia</v>
          </cell>
        </row>
        <row r="1436">
          <cell r="B1436">
            <v>124000000001433</v>
          </cell>
          <cell r="C1436" t="str">
            <v>PT. Sri Batam Raya</v>
          </cell>
        </row>
        <row r="1437">
          <cell r="B1437">
            <v>124000000001434</v>
          </cell>
          <cell r="C1437" t="str">
            <v>PT. Srikandidiamond Motors</v>
          </cell>
        </row>
        <row r="1438">
          <cell r="B1438">
            <v>124000000001435</v>
          </cell>
          <cell r="C1438" t="str">
            <v>PT. Star Global Indonesia</v>
          </cell>
        </row>
        <row r="1439">
          <cell r="B1439">
            <v>124000000001436</v>
          </cell>
          <cell r="C1439" t="str">
            <v>PT. Sukses Batam Mandiri</v>
          </cell>
        </row>
        <row r="1440">
          <cell r="B1440">
            <v>124000000001437</v>
          </cell>
          <cell r="C1440" t="str">
            <v>PT. Sukses Berkat Mandiri</v>
          </cell>
        </row>
        <row r="1441">
          <cell r="B1441">
            <v>124000000001438</v>
          </cell>
          <cell r="C1441" t="str">
            <v>PT. Sukses Jasa Utama [a.k.a : SUJU Indonesia]</v>
          </cell>
        </row>
        <row r="1442">
          <cell r="B1442">
            <v>124000000001439</v>
          </cell>
          <cell r="C1442" t="str">
            <v>PT. Sukses Mekar Abadi</v>
          </cell>
        </row>
        <row r="1443">
          <cell r="B1443">
            <v>124000000001440</v>
          </cell>
          <cell r="C1443" t="str">
            <v>PT. Sumber Abadi Sukses</v>
          </cell>
        </row>
        <row r="1444">
          <cell r="B1444">
            <v>124000000001441</v>
          </cell>
          <cell r="C1444" t="str">
            <v>PT. Sumber Anugerah Metal</v>
          </cell>
        </row>
        <row r="1445">
          <cell r="B1445">
            <v>124000000001442</v>
          </cell>
          <cell r="C1445" t="str">
            <v>PT. Permata Antar Nusa Medan [a.k.a : Makaro Cargo]</v>
          </cell>
        </row>
        <row r="1446">
          <cell r="B1446">
            <v>124000000001443</v>
          </cell>
          <cell r="C1446" t="str">
            <v>PT. Sumber Ganda Mekar</v>
          </cell>
        </row>
        <row r="1447">
          <cell r="B1447">
            <v>124000000001444</v>
          </cell>
          <cell r="C1447" t="str">
            <v>PT. Sumber Karya Anugerah</v>
          </cell>
        </row>
        <row r="1448">
          <cell r="B1448">
            <v>124000000001445</v>
          </cell>
          <cell r="C1448" t="str">
            <v>PT. Sumber Metal Specialist</v>
          </cell>
        </row>
        <row r="1449">
          <cell r="B1449">
            <v>124000000001446</v>
          </cell>
          <cell r="C1449" t="str">
            <v>PT. Sumber Penikarya</v>
          </cell>
        </row>
        <row r="1450">
          <cell r="B1450">
            <v>124000000001447</v>
          </cell>
          <cell r="C1450" t="str">
            <v>PT. Sumber Selang Sejahtera</v>
          </cell>
        </row>
        <row r="1451">
          <cell r="B1451">
            <v>124000000001448</v>
          </cell>
          <cell r="C1451" t="str">
            <v>PT. Sumber Setamurni</v>
          </cell>
        </row>
        <row r="1452">
          <cell r="B1452">
            <v>124000000001449</v>
          </cell>
          <cell r="C1452" t="str">
            <v>PT. Sumber Setia Abadi</v>
          </cell>
        </row>
        <row r="1453">
          <cell r="B1453">
            <v>124000000001450</v>
          </cell>
          <cell r="C1453" t="str">
            <v>PT. Sumberraya Pasada Usaha</v>
          </cell>
        </row>
        <row r="1454">
          <cell r="B1454">
            <v>124000000001451</v>
          </cell>
          <cell r="C1454" t="str">
            <v>PT. Summit Niaga</v>
          </cell>
        </row>
        <row r="1455">
          <cell r="B1455">
            <v>124000000001452</v>
          </cell>
          <cell r="C1455" t="str">
            <v>PT. Sunin Construction Indonesia</v>
          </cell>
        </row>
        <row r="1456">
          <cell r="B1456">
            <v>124000000001453</v>
          </cell>
          <cell r="C1456" t="str">
            <v>PT. Sunmotor Buana Trada</v>
          </cell>
        </row>
        <row r="1457">
          <cell r="B1457">
            <v>124000000001454</v>
          </cell>
          <cell r="C1457" t="str">
            <v>PT. Supra Primatama Nusantara</v>
          </cell>
        </row>
        <row r="1458">
          <cell r="B1458">
            <v>124000000001455</v>
          </cell>
          <cell r="C1458" t="str">
            <v>PT. Supra Raga Transport</v>
          </cell>
        </row>
        <row r="1459">
          <cell r="B1459">
            <v>124000000001456</v>
          </cell>
          <cell r="C1459" t="str">
            <v>PT. Suprajaya Mitra Persada</v>
          </cell>
        </row>
        <row r="1460">
          <cell r="B1460">
            <v>124000000001457</v>
          </cell>
          <cell r="C1460" t="str">
            <v>PT. Supreme Power</v>
          </cell>
        </row>
        <row r="1461">
          <cell r="B1461">
            <v>124000000001458</v>
          </cell>
          <cell r="C1461" t="str">
            <v>PT. Surya Cemerlang Logistik</v>
          </cell>
        </row>
        <row r="1462">
          <cell r="B1462">
            <v>124000000001459</v>
          </cell>
          <cell r="C1462" t="str">
            <v>PT. Surya Jenar Mandhiri</v>
          </cell>
        </row>
        <row r="1463">
          <cell r="B1463">
            <v>124000000001460</v>
          </cell>
          <cell r="C1463" t="str">
            <v>PT. Surya Kencana Gemilang</v>
          </cell>
        </row>
        <row r="1464">
          <cell r="B1464">
            <v>124000000001461</v>
          </cell>
          <cell r="C1464" t="str">
            <v>PT. Surya Tionet</v>
          </cell>
        </row>
        <row r="1465">
          <cell r="B1465">
            <v>124000000001462</v>
          </cell>
          <cell r="C1465" t="str">
            <v>PT. Suryagita Nusaraya</v>
          </cell>
        </row>
        <row r="1466">
          <cell r="B1466">
            <v>124000000001463</v>
          </cell>
          <cell r="C1466" t="str">
            <v>PT. Suryajaya Teknotama</v>
          </cell>
        </row>
        <row r="1467">
          <cell r="B1467">
            <v>124000000001464</v>
          </cell>
          <cell r="C1467" t="str">
            <v>PT. Suryaniaga Lokalestari</v>
          </cell>
        </row>
        <row r="1468">
          <cell r="B1468">
            <v>124000000001465</v>
          </cell>
          <cell r="C1468" t="str">
            <v>PT. Sutavi Daud</v>
          </cell>
        </row>
        <row r="1469">
          <cell r="B1469">
            <v>124000000001466</v>
          </cell>
          <cell r="C1469" t="str">
            <v>PT. Sutrakabel Intimandiri</v>
          </cell>
        </row>
        <row r="1470">
          <cell r="B1470">
            <v>124000000001467</v>
          </cell>
          <cell r="C1470" t="str">
            <v>PT. Tama Reka Paramuda</v>
          </cell>
        </row>
        <row r="1471">
          <cell r="B1471">
            <v>124000000001468</v>
          </cell>
          <cell r="C1471" t="str">
            <v>PT. Tan Energy Indonesia</v>
          </cell>
        </row>
        <row r="1472">
          <cell r="B1472">
            <v>124000000001469</v>
          </cell>
          <cell r="C1472" t="str">
            <v>PT. Tata Logam Lestari</v>
          </cell>
        </row>
        <row r="1473">
          <cell r="B1473">
            <v>124000000001470</v>
          </cell>
          <cell r="C1473" t="str">
            <v>PT. Tatalogam Jaya Perkasa</v>
          </cell>
        </row>
        <row r="1474">
          <cell r="B1474">
            <v>124000000001471</v>
          </cell>
          <cell r="C1474" t="str">
            <v>PT. Teknik Diesel Indonesia</v>
          </cell>
        </row>
        <row r="1475">
          <cell r="B1475">
            <v>124000000001472</v>
          </cell>
          <cell r="C1475" t="str">
            <v>PT. Telco Abadi Jaya</v>
          </cell>
        </row>
        <row r="1476">
          <cell r="B1476">
            <v>124000000001473</v>
          </cell>
          <cell r="C1476" t="str">
            <v>PT. Teledesa Indonesia</v>
          </cell>
        </row>
        <row r="1477">
          <cell r="B1477">
            <v>124000000001474</v>
          </cell>
          <cell r="C1477" t="str">
            <v>PT. Telehouse Engineering</v>
          </cell>
        </row>
        <row r="1478">
          <cell r="B1478">
            <v>124000000001475</v>
          </cell>
          <cell r="C1478" t="str">
            <v>PT. Temas, Tbk</v>
          </cell>
        </row>
        <row r="1479">
          <cell r="B1479">
            <v>124000000001476</v>
          </cell>
          <cell r="C1479" t="str">
            <v>PT. Telekomunikasi Indonesia (Persero), Tbk [a.k.a : Telkom]</v>
          </cell>
        </row>
        <row r="1480">
          <cell r="B1480">
            <v>124000000001477</v>
          </cell>
          <cell r="C1480" t="str">
            <v>PT. Telekomunikasi Indonesia (Persero), Tbk [a.k.a : Telkom] - Telkom Infra Maintenance Divre 2</v>
          </cell>
        </row>
        <row r="1481">
          <cell r="B1481">
            <v>124000000001478</v>
          </cell>
          <cell r="C1481" t="str">
            <v>PT. Tera Tropical Indotama</v>
          </cell>
        </row>
        <row r="1482">
          <cell r="B1482">
            <v>124000000001479</v>
          </cell>
          <cell r="C1482" t="str">
            <v>PT. The Djakarta Logistic Center</v>
          </cell>
        </row>
        <row r="1483">
          <cell r="B1483">
            <v>124000000001480</v>
          </cell>
          <cell r="C1483" t="str">
            <v>PT. Thea Theo Stationary</v>
          </cell>
        </row>
        <row r="1484">
          <cell r="B1484">
            <v>124000000001481</v>
          </cell>
          <cell r="C1484" t="str">
            <v>PT. Tiga Sinar Utama</v>
          </cell>
        </row>
        <row r="1485">
          <cell r="B1485">
            <v>124000000001482</v>
          </cell>
          <cell r="C1485" t="str">
            <v>PT. Tiki Indonesia [a.k.a : Tikindo]</v>
          </cell>
        </row>
        <row r="1486">
          <cell r="B1486">
            <v>124000000001483</v>
          </cell>
          <cell r="C1486" t="str">
            <v>PT. Tims Magnet Kreasi</v>
          </cell>
        </row>
        <row r="1487">
          <cell r="B1487">
            <v>124000000001484</v>
          </cell>
          <cell r="C1487" t="str">
            <v>PT. Timurindo Jayatama</v>
          </cell>
        </row>
        <row r="1488">
          <cell r="B1488">
            <v>124000000001485</v>
          </cell>
          <cell r="C1488" t="str">
            <v>PT. Tirta Indoraya Logistics</v>
          </cell>
        </row>
        <row r="1489">
          <cell r="B1489">
            <v>124000000001486</v>
          </cell>
          <cell r="C1489" t="str">
            <v>PT. Tirta Investama</v>
          </cell>
        </row>
        <row r="1490">
          <cell r="B1490">
            <v>124000000001487</v>
          </cell>
          <cell r="C1490" t="str">
            <v>PT. Tirta Jaya Samudra</v>
          </cell>
        </row>
        <row r="1491">
          <cell r="B1491">
            <v>124000000001488</v>
          </cell>
          <cell r="C1491" t="str">
            <v>PT. Tisa Diamanta Kusuma</v>
          </cell>
        </row>
        <row r="1492">
          <cell r="B1492">
            <v>124000000001489</v>
          </cell>
          <cell r="C1492" t="str">
            <v>PT. Titipan Antar Nusa Logistics [a.k.a : TAN Logistik]</v>
          </cell>
        </row>
        <row r="1493">
          <cell r="B1493">
            <v>124000000001490</v>
          </cell>
          <cell r="C1493" t="str">
            <v>PT. Tjokro Bersaudara Batamindo</v>
          </cell>
        </row>
        <row r="1494">
          <cell r="B1494">
            <v>124000000001491</v>
          </cell>
          <cell r="C1494" t="str">
            <v>PT. TNT Skypak International Express [a.k.a : TNT]</v>
          </cell>
        </row>
        <row r="1495">
          <cell r="B1495">
            <v>124000000001492</v>
          </cell>
          <cell r="C1495" t="str">
            <v>PT. Top Trans Indonesia</v>
          </cell>
        </row>
        <row r="1496">
          <cell r="B1496">
            <v>124000000001493</v>
          </cell>
          <cell r="C1496" t="str">
            <v>PT. Transporindo Agung Sejahtera</v>
          </cell>
        </row>
        <row r="1497">
          <cell r="B1497">
            <v>124000000001494</v>
          </cell>
          <cell r="C1497" t="str">
            <v>PT. Travelbee Antar Nusa</v>
          </cell>
        </row>
        <row r="1498">
          <cell r="B1498">
            <v>124000000001495</v>
          </cell>
          <cell r="C1498" t="str">
            <v>PT. Tricon Mitra Utama Konsultan</v>
          </cell>
        </row>
        <row r="1499">
          <cell r="B1499">
            <v>124000000001496</v>
          </cell>
          <cell r="C1499" t="str">
            <v>PT. Tricor Lintas Benua</v>
          </cell>
        </row>
        <row r="1500">
          <cell r="B1500">
            <v>124000000001497</v>
          </cell>
          <cell r="C1500" t="str">
            <v>PT. Tridasa Eka Makmur</v>
          </cell>
        </row>
        <row r="1501">
          <cell r="B1501">
            <v>124000000001498</v>
          </cell>
          <cell r="C1501" t="str">
            <v>PT. Trigana Putra Mandiri</v>
          </cell>
        </row>
        <row r="1502">
          <cell r="B1502">
            <v>124000000001499</v>
          </cell>
          <cell r="C1502" t="str">
            <v>PT. Triguna Karya Nusa</v>
          </cell>
        </row>
        <row r="1503">
          <cell r="B1503">
            <v>124000000001500</v>
          </cell>
          <cell r="C1503" t="str">
            <v>PT. Trikomindo karunia Utama</v>
          </cell>
        </row>
        <row r="1504">
          <cell r="B1504">
            <v>124000000001501</v>
          </cell>
          <cell r="C1504" t="str">
            <v>PT. Trilistrindo Pratama</v>
          </cell>
        </row>
        <row r="1505">
          <cell r="B1505">
            <v>124000000001502</v>
          </cell>
          <cell r="C1505" t="str">
            <v>PT. Tripindo Sejahtera Makmur</v>
          </cell>
        </row>
        <row r="1506">
          <cell r="B1506">
            <v>124000000001503</v>
          </cell>
          <cell r="C1506" t="str">
            <v>PT. Triputra Tunggal Mandiri</v>
          </cell>
        </row>
        <row r="1507">
          <cell r="B1507">
            <v>124000000001504</v>
          </cell>
          <cell r="C1507" t="str">
            <v>PT. Trisatya Binamandiri</v>
          </cell>
        </row>
        <row r="1508">
          <cell r="B1508">
            <v>124000000001505</v>
          </cell>
          <cell r="C1508" t="str">
            <v>PT. Trisha Jaya Elektrindo</v>
          </cell>
        </row>
        <row r="1509">
          <cell r="B1509">
            <v>124000000001506</v>
          </cell>
          <cell r="C1509" t="str">
            <v>PT. Tritunggal Citra Mulia Abadi</v>
          </cell>
        </row>
        <row r="1510">
          <cell r="B1510">
            <v>124000000001507</v>
          </cell>
          <cell r="C1510" t="str">
            <v>PT. Tuah Timur</v>
          </cell>
        </row>
        <row r="1511">
          <cell r="B1511">
            <v>124000000001508</v>
          </cell>
          <cell r="C1511" t="str">
            <v>PT. Tunas Core Drill</v>
          </cell>
        </row>
        <row r="1512">
          <cell r="B1512">
            <v>124000000001509</v>
          </cell>
          <cell r="C1512" t="str">
            <v>PT. Tunas Engineering</v>
          </cell>
        </row>
        <row r="1513">
          <cell r="B1513">
            <v>124000000001510</v>
          </cell>
          <cell r="C1513" t="str">
            <v>PT. Tunas Lima Warna</v>
          </cell>
        </row>
        <row r="1514">
          <cell r="B1514">
            <v>124000000001511</v>
          </cell>
          <cell r="C1514" t="str">
            <v>PT. Tunas Muda Berdikari</v>
          </cell>
        </row>
        <row r="1515">
          <cell r="B1515">
            <v>124000000001512</v>
          </cell>
          <cell r="C1515" t="str">
            <v>PT. Tunas Ridean</v>
          </cell>
        </row>
        <row r="1516">
          <cell r="B1516">
            <v>124000000001513</v>
          </cell>
          <cell r="C1516" t="str">
            <v>PT. United Tractors - Medan</v>
          </cell>
        </row>
        <row r="1517">
          <cell r="B1517">
            <v>124000000001514</v>
          </cell>
          <cell r="C1517" t="str">
            <v>PT. Utama Beton Raya</v>
          </cell>
        </row>
        <row r="1518">
          <cell r="B1518">
            <v>124000000001515</v>
          </cell>
          <cell r="C1518" t="str">
            <v>PT. Utama Indah Mitrasetia</v>
          </cell>
        </row>
        <row r="1519">
          <cell r="B1519">
            <v>124000000001516</v>
          </cell>
          <cell r="C1519" t="str">
            <v>PT. Vali Diesel Utama</v>
          </cell>
        </row>
        <row r="1520">
          <cell r="B1520">
            <v>124000000001517</v>
          </cell>
          <cell r="C1520" t="str">
            <v>PT. Veneta Nusantara - Jakarta</v>
          </cell>
        </row>
        <row r="1521">
          <cell r="B1521">
            <v>124000000001518</v>
          </cell>
          <cell r="C1521" t="str">
            <v>PT. Veneta Nusantara - Medan</v>
          </cell>
        </row>
        <row r="1522">
          <cell r="B1522">
            <v>124000000001519</v>
          </cell>
          <cell r="C1522" t="str">
            <v>PT. Vertus Optima Bisnis</v>
          </cell>
        </row>
        <row r="1523">
          <cell r="B1523">
            <v>124000000001520</v>
          </cell>
          <cell r="C1523" t="str">
            <v>PT. Victory Inter Pratama</v>
          </cell>
        </row>
        <row r="1524">
          <cell r="B1524">
            <v>124000000001521</v>
          </cell>
          <cell r="C1524" t="str">
            <v>PT. Victori Saka Jaya</v>
          </cell>
        </row>
        <row r="1525">
          <cell r="B1525">
            <v>124000000001522</v>
          </cell>
          <cell r="C1525" t="str">
            <v>PT. Voksel Electric, Tbk</v>
          </cell>
        </row>
        <row r="1526">
          <cell r="B1526">
            <v>124000000001523</v>
          </cell>
          <cell r="C1526" t="str">
            <v>PT. Wahana Widya Pratama</v>
          </cell>
        </row>
        <row r="1527">
          <cell r="B1527">
            <v>124000000001524</v>
          </cell>
          <cell r="C1527" t="str">
            <v>PT. Wahana Artha Telesindo</v>
          </cell>
        </row>
        <row r="1528">
          <cell r="B1528">
            <v>124000000001525</v>
          </cell>
          <cell r="C1528" t="str">
            <v>PT. Wahana Bangun Sukses</v>
          </cell>
        </row>
        <row r="1529">
          <cell r="B1529">
            <v>124000000001526</v>
          </cell>
          <cell r="C1529" t="str">
            <v>PT. Wahana Inti Logam</v>
          </cell>
        </row>
        <row r="1530">
          <cell r="B1530">
            <v>124000000001527</v>
          </cell>
          <cell r="C1530" t="str">
            <v>PT. Wahana Inti Selaras</v>
          </cell>
        </row>
        <row r="1531">
          <cell r="B1531">
            <v>124000000001528</v>
          </cell>
          <cell r="C1531" t="str">
            <v>PT. Wahana Orient Gemilang</v>
          </cell>
        </row>
        <row r="1532">
          <cell r="B1532">
            <v>124000000001529</v>
          </cell>
          <cell r="C1532" t="str">
            <v>PT. Wahana Safety Indonesia</v>
          </cell>
        </row>
        <row r="1533">
          <cell r="B1533">
            <v>124000000001530</v>
          </cell>
          <cell r="C1533" t="str">
            <v>PT. Wahanaartha Motorental</v>
          </cell>
        </row>
        <row r="1534">
          <cell r="B1534">
            <v>124000000001531</v>
          </cell>
          <cell r="C1534" t="str">
            <v>PT. Wahana Duta Jaya Rucika</v>
          </cell>
        </row>
        <row r="1535">
          <cell r="B1535">
            <v>124000000001532</v>
          </cell>
          <cell r="C1535" t="str">
            <v>PT. Wellen Brothers</v>
          </cell>
        </row>
        <row r="1536">
          <cell r="B1536">
            <v>124000000001533</v>
          </cell>
          <cell r="C1536" t="str">
            <v>PT. Whidia Bharaya</v>
          </cell>
        </row>
        <row r="1537">
          <cell r="B1537">
            <v>124000000001534</v>
          </cell>
          <cell r="C1537" t="str">
            <v>PT. Widatama Setia Gemilang</v>
          </cell>
        </row>
        <row r="1538">
          <cell r="B1538">
            <v>124000000001535</v>
          </cell>
          <cell r="C1538" t="str">
            <v>PT. Wijaya Karya Intrade</v>
          </cell>
        </row>
        <row r="1539">
          <cell r="B1539">
            <v>124000000001536</v>
          </cell>
          <cell r="C1539" t="str">
            <v>PT. Wijaya Kombos Indah</v>
          </cell>
        </row>
        <row r="1540">
          <cell r="B1540">
            <v>124000000001537</v>
          </cell>
          <cell r="C1540" t="str">
            <v>PT. Wiratama Mitra Abadi</v>
          </cell>
        </row>
        <row r="1541">
          <cell r="B1541">
            <v>124000000001538</v>
          </cell>
          <cell r="C1541" t="str">
            <v>PT. Wiratama Superintending</v>
          </cell>
        </row>
        <row r="1542">
          <cell r="B1542">
            <v>124000000001539</v>
          </cell>
          <cell r="C1542" t="str">
            <v>PT. Wiratara Prima</v>
          </cell>
        </row>
        <row r="1543">
          <cell r="B1543">
            <v>124000000001540</v>
          </cell>
          <cell r="C1543" t="str">
            <v>PT. Wisata Sumber Berkat</v>
          </cell>
        </row>
        <row r="1544">
          <cell r="B1544">
            <v>124000000001541</v>
          </cell>
          <cell r="C1544" t="str">
            <v>PT. Wisma Sarana Teknik</v>
          </cell>
        </row>
        <row r="1545">
          <cell r="B1545">
            <v>124000000001542</v>
          </cell>
          <cell r="C1545" t="str">
            <v>PT. XDC INDONESIA</v>
          </cell>
        </row>
        <row r="1546">
          <cell r="B1546">
            <v>124000000001543</v>
          </cell>
          <cell r="C1546" t="str">
            <v>PT. Xerography Indonesia</v>
          </cell>
        </row>
        <row r="1547">
          <cell r="B1547">
            <v>124000000001544</v>
          </cell>
          <cell r="C1547" t="str">
            <v>PT. Yakinmaju Sentosa</v>
          </cell>
        </row>
        <row r="1548">
          <cell r="B1548">
            <v>124000000001545</v>
          </cell>
          <cell r="C1548" t="str">
            <v>PT. Yandiapratama Gemilang</v>
          </cell>
        </row>
        <row r="1549">
          <cell r="B1549">
            <v>124000000001546</v>
          </cell>
          <cell r="C1549" t="str">
            <v>PT. Yoda Multi Perdana</v>
          </cell>
        </row>
        <row r="1550">
          <cell r="B1550">
            <v>124000000001547</v>
          </cell>
          <cell r="C1550" t="str">
            <v>PT. Yupiter Baru Jaya</v>
          </cell>
        </row>
        <row r="1551">
          <cell r="B1551">
            <v>124000000001548</v>
          </cell>
          <cell r="C1551" t="str">
            <v>PT. Zenna Jaya Abadi</v>
          </cell>
        </row>
        <row r="1552">
          <cell r="B1552">
            <v>124000000001549</v>
          </cell>
          <cell r="C1552" t="str">
            <v>Agoda Company Pte, Ltd</v>
          </cell>
        </row>
        <row r="1553">
          <cell r="B1553">
            <v>124000000001550</v>
          </cell>
          <cell r="C1553" t="str">
            <v>Allied Bolt Products, LLC</v>
          </cell>
        </row>
        <row r="1554">
          <cell r="B1554">
            <v>124000000001551</v>
          </cell>
          <cell r="C1554" t="str">
            <v>Andrew Hongkong Ltd</v>
          </cell>
        </row>
        <row r="1555">
          <cell r="B1555">
            <v>124000000001552</v>
          </cell>
          <cell r="C1555" t="str">
            <v>Anritsu Pte, Ltd</v>
          </cell>
        </row>
        <row r="1556">
          <cell r="B1556">
            <v>124000000001553</v>
          </cell>
          <cell r="C1556" t="str">
            <v>Asian Business Software Solutions Pte, Ltd</v>
          </cell>
        </row>
        <row r="1557">
          <cell r="B1557">
            <v>124000000001554</v>
          </cell>
          <cell r="C1557" t="str">
            <v>Brunner &amp; Lay</v>
          </cell>
        </row>
        <row r="1558">
          <cell r="B1558">
            <v>124000000001555</v>
          </cell>
          <cell r="C1558" t="str">
            <v>CG Power &amp; Industrial Solutions Limited</v>
          </cell>
        </row>
        <row r="1559">
          <cell r="B1559">
            <v>124000000001556</v>
          </cell>
          <cell r="C1559" t="str">
            <v>Dalian Euse Tool High-Tech Group Ltd.</v>
          </cell>
        </row>
        <row r="1560">
          <cell r="B1560">
            <v>124000000001557</v>
          </cell>
          <cell r="C1560" t="str">
            <v>Dongguan Sanchuang FRP Products Factory Co., Ltd</v>
          </cell>
        </row>
        <row r="1561">
          <cell r="B1561">
            <v>124000000001558</v>
          </cell>
          <cell r="C1561" t="str">
            <v>Dulhunty Yangzhou Trading Co., Ltd</v>
          </cell>
        </row>
        <row r="1562">
          <cell r="B1562">
            <v>124000000001559</v>
          </cell>
          <cell r="C1562" t="str">
            <v>GE T&amp;D India Limited</v>
          </cell>
        </row>
        <row r="1563">
          <cell r="B1563">
            <v>124000000001560</v>
          </cell>
          <cell r="C1563" t="str">
            <v>Harmer+Simmons Sdn.</v>
          </cell>
        </row>
        <row r="1564">
          <cell r="B1564">
            <v>124000000001561</v>
          </cell>
          <cell r="C1564" t="str">
            <v>HTC Ltd</v>
          </cell>
        </row>
        <row r="1565">
          <cell r="B1565">
            <v>124000000001562</v>
          </cell>
          <cell r="C1565" t="str">
            <v>Hunan Chengdong Technology Co., Ltd</v>
          </cell>
        </row>
        <row r="1566">
          <cell r="B1566">
            <v>124000000001563</v>
          </cell>
          <cell r="C1566" t="str">
            <v>Jiaxing Jinnaike Hardware Products Co., Ltd</v>
          </cell>
        </row>
        <row r="1567">
          <cell r="B1567">
            <v>124000000001564</v>
          </cell>
          <cell r="C1567" t="str">
            <v>Kathrein Indochina Co. Ltd.</v>
          </cell>
        </row>
        <row r="1568">
          <cell r="B1568">
            <v>124000000001565</v>
          </cell>
          <cell r="C1568" t="str">
            <v>Lineage Power Pte, Ltd</v>
          </cell>
        </row>
        <row r="1569">
          <cell r="B1569">
            <v>124000000001566</v>
          </cell>
          <cell r="C1569" t="str">
            <v>MacLean Power Systems</v>
          </cell>
        </row>
        <row r="1570">
          <cell r="B1570">
            <v>124000000001567</v>
          </cell>
          <cell r="C1570" t="str">
            <v>Maser Technology Group Pty Ltd</v>
          </cell>
        </row>
        <row r="1571">
          <cell r="B1571">
            <v>124000000001568</v>
          </cell>
          <cell r="C1571" t="str">
            <v>Mosdorfer MRP Co. Ltd.</v>
          </cell>
        </row>
        <row r="1572">
          <cell r="B1572">
            <v>124000000001569</v>
          </cell>
          <cell r="C1572" t="str">
            <v>Nantong Hengyun Commercial Trading Co., Ltd</v>
          </cell>
        </row>
        <row r="1573">
          <cell r="B1573">
            <v>124000000001570</v>
          </cell>
          <cell r="C1573" t="str">
            <v>Novas QC Inspection Service Co.,Ltd Co., Ltd</v>
          </cell>
        </row>
        <row r="1574">
          <cell r="B1574">
            <v>124000000001571</v>
          </cell>
          <cell r="C1574" t="str">
            <v>Plusafe Solutions Ltd.</v>
          </cell>
        </row>
        <row r="1575">
          <cell r="B1575">
            <v>124000000001572</v>
          </cell>
          <cell r="C1575" t="str">
            <v>Sangdong Industries Co. Ltd.</v>
          </cell>
        </row>
        <row r="1576">
          <cell r="B1576">
            <v>124000000001573</v>
          </cell>
          <cell r="C1576" t="str">
            <v>Sociedad Anónima de Preformados Metálicos [a.k.a : SAPREM]</v>
          </cell>
        </row>
        <row r="1577">
          <cell r="B1577">
            <v>124000000001574</v>
          </cell>
          <cell r="C1577" t="str">
            <v>Shanghai N&amp;L Industrial Co., Ltd</v>
          </cell>
        </row>
        <row r="1578">
          <cell r="B1578">
            <v>124000000001575</v>
          </cell>
          <cell r="C1578" t="str">
            <v>Shanghai Nanhua Electronics Co., Ltd</v>
          </cell>
        </row>
        <row r="1579">
          <cell r="B1579">
            <v>124000000001576</v>
          </cell>
          <cell r="C1579" t="str">
            <v>Shenzhen Hope Technology Holding Co., Ltd</v>
          </cell>
        </row>
        <row r="1580">
          <cell r="B1580">
            <v>124000000001577</v>
          </cell>
          <cell r="C1580" t="str">
            <v>Shijiazhuang Yongrui Electrical Equipment Co., Ltd</v>
          </cell>
        </row>
        <row r="1581">
          <cell r="B1581">
            <v>124000000001578</v>
          </cell>
          <cell r="C1581" t="str">
            <v>Shyam Industries</v>
          </cell>
        </row>
        <row r="1582">
          <cell r="B1582">
            <v>124000000001579</v>
          </cell>
          <cell r="C1582" t="str">
            <v>Sicamex Asia Pte, Ltd</v>
          </cell>
        </row>
        <row r="1583">
          <cell r="B1583">
            <v>124000000001580</v>
          </cell>
          <cell r="C1583" t="str">
            <v>Siemens Aktiengesellschaft - SE GT S TSE AR Departement</v>
          </cell>
        </row>
        <row r="1584">
          <cell r="B1584">
            <v>124000000001581</v>
          </cell>
          <cell r="C1584" t="str">
            <v>Siemens Energy Global GmbH &amp; Co. KG</v>
          </cell>
        </row>
        <row r="1585">
          <cell r="B1585">
            <v>124000000001582</v>
          </cell>
          <cell r="C1585" t="str">
            <v>Sinoma Jiangxi Insulator and Electricity Co., Ltd</v>
          </cell>
        </row>
        <row r="1586">
          <cell r="B1586">
            <v>124000000001583</v>
          </cell>
          <cell r="C1586" t="str">
            <v>Spark Electronic Technology Wuxi Co., Ltd</v>
          </cell>
        </row>
        <row r="1587">
          <cell r="B1587">
            <v>124000000001584</v>
          </cell>
          <cell r="C1587" t="str">
            <v>Suzhou Porcelain Insulator Works Co., Ltd</v>
          </cell>
        </row>
        <row r="1588">
          <cell r="B1588">
            <v>124000000001585</v>
          </cell>
          <cell r="C1588" t="str">
            <v>Shaanxi Taporel Electrical Insulation Technology Co., Ltd</v>
          </cell>
        </row>
        <row r="1589">
          <cell r="B1589">
            <v>124000000001586</v>
          </cell>
          <cell r="C1589" t="str">
            <v>Techwin Industry Co., Ltd</v>
          </cell>
        </row>
        <row r="1590">
          <cell r="B1590">
            <v>124000000001587</v>
          </cell>
          <cell r="C1590" t="str">
            <v>Tecnologia Oleodinamica S.R.L</v>
          </cell>
        </row>
        <row r="1591">
          <cell r="B1591">
            <v>124000000001588</v>
          </cell>
          <cell r="C1591" t="str">
            <v>TID Power System Co., Ltd</v>
          </cell>
        </row>
        <row r="1592">
          <cell r="B1592">
            <v>124000000001589</v>
          </cell>
          <cell r="C1592" t="str">
            <v>Trench France SAS</v>
          </cell>
        </row>
        <row r="1593">
          <cell r="B1593">
            <v>124000000001590</v>
          </cell>
          <cell r="C1593" t="str">
            <v>Trench Italia S.R.L</v>
          </cell>
        </row>
        <row r="1594">
          <cell r="B1594">
            <v>124000000001591</v>
          </cell>
          <cell r="C1594" t="str">
            <v>Wirop Industrial Co., Ltd</v>
          </cell>
        </row>
        <row r="1595">
          <cell r="B1595">
            <v>124000000001592</v>
          </cell>
          <cell r="C1595" t="str">
            <v>Wish Composite Insulator Co., Ltd [a.k.a : Wishpower]</v>
          </cell>
        </row>
        <row r="1596">
          <cell r="B1596">
            <v>124000000001593</v>
          </cell>
          <cell r="C1596" t="str">
            <v>Zaoqiang Longtime FRP Product Co., Ltd</v>
          </cell>
        </row>
        <row r="1597">
          <cell r="B1597">
            <v>124000000001594</v>
          </cell>
          <cell r="C1597" t="str">
            <v>Zoom Video Communications Inc. [a.k.a : Zoom]</v>
          </cell>
        </row>
        <row r="1598">
          <cell r="B1598">
            <v>124000000001595</v>
          </cell>
          <cell r="C1598" t="str">
            <v>Mandor A. Facrurozi</v>
          </cell>
        </row>
        <row r="1599">
          <cell r="B1599">
            <v>124000000001596</v>
          </cell>
          <cell r="C1599" t="str">
            <v>Mandor Abd. Karim</v>
          </cell>
        </row>
        <row r="1600">
          <cell r="B1600">
            <v>124000000001597</v>
          </cell>
          <cell r="C1600" t="str">
            <v>Mandor Abdal</v>
          </cell>
        </row>
        <row r="1601">
          <cell r="B1601">
            <v>124000000001598</v>
          </cell>
          <cell r="C1601" t="str">
            <v>Mandor Abdul Apit</v>
          </cell>
        </row>
        <row r="1602">
          <cell r="B1602">
            <v>124000000001599</v>
          </cell>
          <cell r="C1602" t="str">
            <v>Mandor Abdul Kadir</v>
          </cell>
        </row>
        <row r="1603">
          <cell r="B1603">
            <v>124000000001600</v>
          </cell>
          <cell r="C1603" t="str">
            <v>Mandor Abdul Latif</v>
          </cell>
        </row>
        <row r="1604">
          <cell r="B1604">
            <v>124000000001601</v>
          </cell>
          <cell r="C1604" t="str">
            <v>Mandor Abdul Sujana</v>
          </cell>
        </row>
        <row r="1605">
          <cell r="B1605">
            <v>124000000001602</v>
          </cell>
          <cell r="C1605" t="str">
            <v>Mandor Abdul Umar</v>
          </cell>
        </row>
        <row r="1606">
          <cell r="B1606">
            <v>124000000001603</v>
          </cell>
          <cell r="C1606" t="str">
            <v>Mandor Abu Bakar Sidik</v>
          </cell>
        </row>
        <row r="1607">
          <cell r="B1607">
            <v>124000000001604</v>
          </cell>
          <cell r="C1607" t="str">
            <v>Mandor Achmad Ajid</v>
          </cell>
        </row>
        <row r="1608">
          <cell r="B1608">
            <v>124000000001605</v>
          </cell>
          <cell r="C1608" t="str">
            <v>Mandor Achmad Djamaludin</v>
          </cell>
        </row>
        <row r="1609">
          <cell r="B1609">
            <v>124000000001606</v>
          </cell>
          <cell r="C1609" t="str">
            <v>Mandor Achmad Fakhriy</v>
          </cell>
        </row>
        <row r="1610">
          <cell r="B1610">
            <v>124000000001607</v>
          </cell>
          <cell r="C1610" t="str">
            <v>Mandor Achmadi</v>
          </cell>
        </row>
        <row r="1611">
          <cell r="B1611">
            <v>124000000001608</v>
          </cell>
          <cell r="C1611" t="str">
            <v>Mandor Achiruddin (Ucok/Roni)</v>
          </cell>
        </row>
        <row r="1612">
          <cell r="B1612">
            <v>124000000001609</v>
          </cell>
          <cell r="C1612" t="str">
            <v>Mandor Acim</v>
          </cell>
        </row>
        <row r="1613">
          <cell r="B1613">
            <v>124000000001610</v>
          </cell>
          <cell r="C1613" t="str">
            <v>Mandor Ade Gunawan</v>
          </cell>
        </row>
        <row r="1614">
          <cell r="B1614">
            <v>124000000001611</v>
          </cell>
          <cell r="C1614" t="str">
            <v>Mandor Ade Mustofa</v>
          </cell>
        </row>
        <row r="1615">
          <cell r="B1615">
            <v>124000000001612</v>
          </cell>
          <cell r="C1615" t="str">
            <v>Mandor Ade Sutrisna</v>
          </cell>
        </row>
        <row r="1616">
          <cell r="B1616">
            <v>124000000001613</v>
          </cell>
          <cell r="C1616" t="str">
            <v>Mandor Adi Aripin</v>
          </cell>
        </row>
        <row r="1617">
          <cell r="B1617">
            <v>124000000001614</v>
          </cell>
          <cell r="C1617" t="str">
            <v>Mandor Adi Justianto Sitorus</v>
          </cell>
        </row>
        <row r="1618">
          <cell r="B1618">
            <v>124000000001615</v>
          </cell>
          <cell r="C1618" t="str">
            <v>Mandor Adi Kurniawan</v>
          </cell>
        </row>
        <row r="1619">
          <cell r="B1619">
            <v>124000000001616</v>
          </cell>
          <cell r="C1619" t="str">
            <v>Mandor Adi Parwito</v>
          </cell>
        </row>
        <row r="1620">
          <cell r="B1620">
            <v>124000000001617</v>
          </cell>
          <cell r="C1620" t="str">
            <v>Mandor Adi Pranoto</v>
          </cell>
        </row>
        <row r="1621">
          <cell r="B1621">
            <v>124000000001618</v>
          </cell>
          <cell r="C1621" t="str">
            <v>Mandor Adi Sutrisno</v>
          </cell>
        </row>
        <row r="1622">
          <cell r="B1622">
            <v>124000000001619</v>
          </cell>
          <cell r="C1622" t="str">
            <v>Mandor Adi Yulianto (Adong)</v>
          </cell>
        </row>
        <row r="1623">
          <cell r="B1623">
            <v>124000000001620</v>
          </cell>
          <cell r="C1623" t="str">
            <v>Mandor Adin</v>
          </cell>
        </row>
        <row r="1624">
          <cell r="B1624">
            <v>124000000001621</v>
          </cell>
          <cell r="C1624" t="str">
            <v>Mandor Adri Nasril</v>
          </cell>
        </row>
        <row r="1625">
          <cell r="B1625">
            <v>124000000001622</v>
          </cell>
          <cell r="C1625" t="str">
            <v>Mandor Adri Purwo A.</v>
          </cell>
        </row>
        <row r="1626">
          <cell r="B1626">
            <v>124000000001623</v>
          </cell>
          <cell r="C1626" t="str">
            <v>Mandor Afrik Kurnia Firmansyah</v>
          </cell>
        </row>
        <row r="1627">
          <cell r="B1627">
            <v>124000000001624</v>
          </cell>
          <cell r="C1627" t="str">
            <v>Mandor Afrizal</v>
          </cell>
        </row>
        <row r="1628">
          <cell r="B1628">
            <v>124000000001625</v>
          </cell>
          <cell r="C1628" t="str">
            <v>Mandor Aguk</v>
          </cell>
        </row>
        <row r="1629">
          <cell r="B1629">
            <v>124000000001626</v>
          </cell>
          <cell r="C1629" t="str">
            <v>Mandor Agus Dwi Sugianto</v>
          </cell>
        </row>
        <row r="1630">
          <cell r="B1630">
            <v>124000000001627</v>
          </cell>
          <cell r="C1630" t="str">
            <v>Mandor Agus Hendra</v>
          </cell>
        </row>
        <row r="1631">
          <cell r="B1631">
            <v>124000000001628</v>
          </cell>
          <cell r="C1631" t="str">
            <v>Mandor Agus Hermawadi</v>
          </cell>
        </row>
        <row r="1632">
          <cell r="B1632">
            <v>124000000001629</v>
          </cell>
          <cell r="C1632" t="str">
            <v>Mandor Agus Komara</v>
          </cell>
        </row>
        <row r="1633">
          <cell r="B1633">
            <v>124000000001630</v>
          </cell>
          <cell r="C1633" t="str">
            <v>Mandor Agus Maulidin</v>
          </cell>
        </row>
        <row r="1634">
          <cell r="B1634">
            <v>124000000001631</v>
          </cell>
          <cell r="C1634" t="str">
            <v>Mandor Agus P.</v>
          </cell>
        </row>
        <row r="1635">
          <cell r="B1635">
            <v>124000000001632</v>
          </cell>
          <cell r="C1635" t="str">
            <v>Mandor Agus Santoso</v>
          </cell>
        </row>
        <row r="1636">
          <cell r="B1636">
            <v>124000000001633</v>
          </cell>
          <cell r="C1636" t="str">
            <v>Mandor Agus Sarjono</v>
          </cell>
        </row>
        <row r="1637">
          <cell r="B1637">
            <v>124000000001634</v>
          </cell>
          <cell r="C1637" t="str">
            <v>Mandor Agus Surono</v>
          </cell>
        </row>
        <row r="1638">
          <cell r="B1638">
            <v>124000000001635</v>
          </cell>
          <cell r="C1638" t="str">
            <v>Mandor Agus Susanto</v>
          </cell>
        </row>
        <row r="1639">
          <cell r="B1639">
            <v>124000000001636</v>
          </cell>
          <cell r="C1639" t="str">
            <v>Mandor Ahmad Aminudin</v>
          </cell>
        </row>
        <row r="1640">
          <cell r="B1640">
            <v>124000000001637</v>
          </cell>
          <cell r="C1640" t="str">
            <v>Mandor Ahmad Arif Sofiyani</v>
          </cell>
        </row>
        <row r="1641">
          <cell r="B1641">
            <v>124000000001638</v>
          </cell>
          <cell r="C1641" t="str">
            <v>Mandor Ahmad Khoirul Badillah</v>
          </cell>
        </row>
        <row r="1642">
          <cell r="B1642">
            <v>124000000001639</v>
          </cell>
          <cell r="C1642" t="str">
            <v>Mandor Ahmad H. Basrun</v>
          </cell>
        </row>
        <row r="1643">
          <cell r="B1643">
            <v>124000000001640</v>
          </cell>
          <cell r="C1643" t="str">
            <v>Mandor Ahmad Nurul Huda</v>
          </cell>
        </row>
        <row r="1644">
          <cell r="B1644">
            <v>124000000001641</v>
          </cell>
          <cell r="C1644" t="str">
            <v>Mandor Ahmad Rahmawi</v>
          </cell>
        </row>
        <row r="1645">
          <cell r="B1645">
            <v>124000000001642</v>
          </cell>
          <cell r="C1645" t="str">
            <v>Mandor Ahmad Rusnali</v>
          </cell>
        </row>
        <row r="1646">
          <cell r="B1646">
            <v>124000000001643</v>
          </cell>
          <cell r="C1646" t="str">
            <v>Mandor Ahmad Sarnubi</v>
          </cell>
        </row>
        <row r="1647">
          <cell r="B1647">
            <v>124000000001644</v>
          </cell>
          <cell r="C1647" t="str">
            <v>Mandor Ahmad Sholeh</v>
          </cell>
        </row>
        <row r="1648">
          <cell r="B1648">
            <v>124000000001645</v>
          </cell>
          <cell r="C1648" t="str">
            <v>Mandor Ahmad Sofian</v>
          </cell>
        </row>
        <row r="1649">
          <cell r="B1649">
            <v>124000000001646</v>
          </cell>
          <cell r="C1649" t="str">
            <v>Mandor Ahmad Suhadi</v>
          </cell>
        </row>
        <row r="1650">
          <cell r="B1650">
            <v>124000000001647</v>
          </cell>
          <cell r="C1650" t="str">
            <v>Mandor Ahmad Syamsudin</v>
          </cell>
        </row>
        <row r="1651">
          <cell r="B1651">
            <v>124000000001648</v>
          </cell>
          <cell r="C1651" t="str">
            <v>Mandor Ahmad Zarkasi</v>
          </cell>
        </row>
        <row r="1652">
          <cell r="B1652">
            <v>124000000001649</v>
          </cell>
          <cell r="C1652" t="str">
            <v>Mandor Ahmedi</v>
          </cell>
        </row>
        <row r="1653">
          <cell r="B1653">
            <v>124000000001650</v>
          </cell>
          <cell r="C1653" t="str">
            <v>Mandor Aijet S. Siahaan</v>
          </cell>
        </row>
        <row r="1654">
          <cell r="B1654">
            <v>124000000001651</v>
          </cell>
          <cell r="C1654" t="str">
            <v>Mandor Ajahar Panigfat</v>
          </cell>
        </row>
        <row r="1655">
          <cell r="B1655">
            <v>124000000001652</v>
          </cell>
          <cell r="C1655" t="str">
            <v>Mandor Ajang</v>
          </cell>
        </row>
        <row r="1656">
          <cell r="B1656">
            <v>124000000001653</v>
          </cell>
          <cell r="C1656" t="str">
            <v>Mandor Ajat</v>
          </cell>
        </row>
        <row r="1657">
          <cell r="B1657">
            <v>124000000001654</v>
          </cell>
          <cell r="C1657" t="str">
            <v>Mandor Ajat</v>
          </cell>
        </row>
        <row r="1658">
          <cell r="B1658">
            <v>124000000001655</v>
          </cell>
          <cell r="C1658" t="str">
            <v>Mandor Ajay</v>
          </cell>
        </row>
        <row r="1659">
          <cell r="B1659">
            <v>124000000001656</v>
          </cell>
          <cell r="C1659" t="str">
            <v>Mandor Albertus L. D. Botha</v>
          </cell>
        </row>
        <row r="1660">
          <cell r="B1660">
            <v>124000000001657</v>
          </cell>
          <cell r="C1660" t="str">
            <v>Mandor Aldi Wambes</v>
          </cell>
        </row>
        <row r="1661">
          <cell r="B1661">
            <v>124000000001658</v>
          </cell>
          <cell r="C1661" t="str">
            <v>Mandor Alexander Dawaola</v>
          </cell>
        </row>
        <row r="1662">
          <cell r="B1662">
            <v>124000000001659</v>
          </cell>
          <cell r="C1662" t="str">
            <v>Mandor Alfian Dani</v>
          </cell>
        </row>
        <row r="1663">
          <cell r="B1663">
            <v>124000000001660</v>
          </cell>
          <cell r="C1663" t="str">
            <v>Mandor Ali Agus</v>
          </cell>
        </row>
        <row r="1664">
          <cell r="B1664">
            <v>124000000001661</v>
          </cell>
          <cell r="C1664" t="str">
            <v>Mandor Ali Alwi</v>
          </cell>
        </row>
        <row r="1665">
          <cell r="B1665">
            <v>124000000001662</v>
          </cell>
          <cell r="C1665" t="str">
            <v>Mandor Ali Burhan</v>
          </cell>
        </row>
        <row r="1666">
          <cell r="B1666">
            <v>124000000001663</v>
          </cell>
          <cell r="C1666" t="str">
            <v>Mandor Alimuddin</v>
          </cell>
        </row>
        <row r="1667">
          <cell r="B1667">
            <v>124000000001664</v>
          </cell>
          <cell r="C1667" t="str">
            <v>Mandor Aliudin Bin H. Sakam</v>
          </cell>
        </row>
        <row r="1668">
          <cell r="B1668">
            <v>124000000001665</v>
          </cell>
          <cell r="C1668" t="str">
            <v>Mandor Alvin Firsada</v>
          </cell>
        </row>
        <row r="1669">
          <cell r="B1669">
            <v>124000000001666</v>
          </cell>
          <cell r="C1669" t="str">
            <v>Mandor Alvita Tialen</v>
          </cell>
        </row>
        <row r="1670">
          <cell r="B1670">
            <v>124000000001667</v>
          </cell>
          <cell r="C1670" t="str">
            <v>Mandor Alwi</v>
          </cell>
        </row>
        <row r="1671">
          <cell r="B1671">
            <v>124000000001668</v>
          </cell>
          <cell r="C1671" t="str">
            <v>Mandor Amagra</v>
          </cell>
        </row>
        <row r="1672">
          <cell r="B1672">
            <v>124000000001669</v>
          </cell>
          <cell r="C1672" t="str">
            <v>Mandor Aming Haerudin</v>
          </cell>
        </row>
        <row r="1673">
          <cell r="B1673">
            <v>124000000001670</v>
          </cell>
          <cell r="C1673" t="str">
            <v>Mandor Amir Foang</v>
          </cell>
        </row>
        <row r="1674">
          <cell r="B1674">
            <v>124000000001671</v>
          </cell>
          <cell r="C1674" t="str">
            <v>Mandor Amran</v>
          </cell>
        </row>
        <row r="1675">
          <cell r="B1675">
            <v>124000000001672</v>
          </cell>
          <cell r="C1675" t="str">
            <v>Mandor Amrizal bin Imam Aziz</v>
          </cell>
        </row>
        <row r="1676">
          <cell r="B1676">
            <v>124000000001673</v>
          </cell>
          <cell r="C1676" t="str">
            <v>Mandor Anand Murthi</v>
          </cell>
        </row>
        <row r="1677">
          <cell r="B1677">
            <v>124000000001674</v>
          </cell>
          <cell r="C1677" t="str">
            <v>Mandor Andi</v>
          </cell>
        </row>
        <row r="1678">
          <cell r="B1678">
            <v>124000000001675</v>
          </cell>
          <cell r="C1678" t="str">
            <v>Mandor Andi Karsa</v>
          </cell>
        </row>
        <row r="1679">
          <cell r="B1679">
            <v>124000000001676</v>
          </cell>
          <cell r="C1679" t="str">
            <v>Mandor Andi Rifai</v>
          </cell>
        </row>
        <row r="1680">
          <cell r="B1680">
            <v>124000000001677</v>
          </cell>
          <cell r="C1680" t="str">
            <v>Mandor Andra Sunariaman</v>
          </cell>
        </row>
        <row r="1681">
          <cell r="B1681">
            <v>124000000001678</v>
          </cell>
          <cell r="C1681" t="str">
            <v>Mandor Andri bin Jaja</v>
          </cell>
        </row>
        <row r="1682">
          <cell r="B1682">
            <v>124000000001679</v>
          </cell>
          <cell r="C1682" t="str">
            <v>Mandor Andri Wijaya Kusuma</v>
          </cell>
        </row>
        <row r="1683">
          <cell r="B1683">
            <v>124000000001680</v>
          </cell>
          <cell r="C1683" t="str">
            <v>Mandor Anto Suanto</v>
          </cell>
        </row>
        <row r="1684">
          <cell r="B1684">
            <v>124000000001681</v>
          </cell>
          <cell r="C1684" t="str">
            <v>Mandor Antono Basuki</v>
          </cell>
        </row>
        <row r="1685">
          <cell r="B1685">
            <v>124000000001682</v>
          </cell>
          <cell r="C1685" t="str">
            <v>Mandor Apendi</v>
          </cell>
        </row>
        <row r="1686">
          <cell r="B1686">
            <v>124000000001683</v>
          </cell>
          <cell r="C1686" t="str">
            <v>Mandor Apipudin</v>
          </cell>
        </row>
        <row r="1687">
          <cell r="B1687">
            <v>124000000001684</v>
          </cell>
          <cell r="C1687" t="str">
            <v>Mandor Apner Manduapessy</v>
          </cell>
        </row>
        <row r="1688">
          <cell r="B1688">
            <v>124000000001685</v>
          </cell>
          <cell r="C1688" t="str">
            <v>Mandor Arden Manik</v>
          </cell>
        </row>
        <row r="1689">
          <cell r="B1689">
            <v>124000000001686</v>
          </cell>
          <cell r="C1689" t="str">
            <v>Mandor Ardi</v>
          </cell>
        </row>
        <row r="1690">
          <cell r="B1690">
            <v>124000000001687</v>
          </cell>
          <cell r="C1690" t="str">
            <v>Mandor Ardinov</v>
          </cell>
        </row>
        <row r="1691">
          <cell r="B1691">
            <v>124000000001688</v>
          </cell>
          <cell r="C1691" t="str">
            <v>Mandor Arfan</v>
          </cell>
        </row>
        <row r="1692">
          <cell r="B1692">
            <v>124000000001689</v>
          </cell>
          <cell r="C1692" t="str">
            <v>Mandor Ari Setiawan</v>
          </cell>
        </row>
        <row r="1693">
          <cell r="B1693">
            <v>124000000001690</v>
          </cell>
          <cell r="C1693" t="str">
            <v>Mandor Arif Febriansyah</v>
          </cell>
        </row>
        <row r="1694">
          <cell r="B1694">
            <v>124000000001691</v>
          </cell>
          <cell r="C1694" t="str">
            <v>Mandor Arif Purnomo</v>
          </cell>
        </row>
        <row r="1695">
          <cell r="B1695">
            <v>124000000001692</v>
          </cell>
          <cell r="C1695" t="str">
            <v>Mandor Arif Tantowi</v>
          </cell>
        </row>
        <row r="1696">
          <cell r="B1696">
            <v>124000000001693</v>
          </cell>
          <cell r="C1696" t="str">
            <v>Mandor Arifin</v>
          </cell>
        </row>
        <row r="1697">
          <cell r="B1697">
            <v>124000000001694</v>
          </cell>
          <cell r="C1697" t="str">
            <v>Mandor Arifin</v>
          </cell>
        </row>
        <row r="1698">
          <cell r="B1698">
            <v>124000000001695</v>
          </cell>
          <cell r="C1698" t="str">
            <v>Mandor Arifin Maba (Kades Malbufa)</v>
          </cell>
        </row>
        <row r="1699">
          <cell r="B1699">
            <v>124000000001696</v>
          </cell>
          <cell r="C1699" t="str">
            <v>Mandor Aris Gunawan</v>
          </cell>
        </row>
        <row r="1700">
          <cell r="B1700">
            <v>124000000001697</v>
          </cell>
          <cell r="C1700" t="str">
            <v>Mandor Armain Ali</v>
          </cell>
        </row>
        <row r="1701">
          <cell r="B1701">
            <v>124000000001698</v>
          </cell>
          <cell r="C1701" t="str">
            <v>Mandor Arya Danang Anggoro</v>
          </cell>
        </row>
        <row r="1702">
          <cell r="B1702">
            <v>124000000001699</v>
          </cell>
          <cell r="C1702" t="str">
            <v>Mandor Aryoso Winubroto</v>
          </cell>
        </row>
        <row r="1703">
          <cell r="B1703">
            <v>124000000001700</v>
          </cell>
          <cell r="C1703" t="str">
            <v>Mandor Asep</v>
          </cell>
        </row>
        <row r="1704">
          <cell r="B1704">
            <v>124000000001701</v>
          </cell>
          <cell r="C1704" t="str">
            <v>Mandor Asep Abdul Rahman, SH</v>
          </cell>
        </row>
        <row r="1705">
          <cell r="B1705">
            <v>124000000001702</v>
          </cell>
          <cell r="C1705" t="str">
            <v>Mandor Asep Basarah</v>
          </cell>
        </row>
        <row r="1706">
          <cell r="B1706">
            <v>124000000001703</v>
          </cell>
          <cell r="C1706" t="str">
            <v>Mandor Asep Muedih</v>
          </cell>
        </row>
        <row r="1707">
          <cell r="B1707">
            <v>124000000001704</v>
          </cell>
          <cell r="C1707" t="str">
            <v>Mandor Asep Nurhayat</v>
          </cell>
        </row>
        <row r="1708">
          <cell r="B1708">
            <v>124000000001705</v>
          </cell>
          <cell r="C1708" t="str">
            <v>Mandor Asep Sanjaya</v>
          </cell>
        </row>
        <row r="1709">
          <cell r="B1709">
            <v>124000000001706</v>
          </cell>
          <cell r="C1709" t="str">
            <v>Mandor Asep Supriatna</v>
          </cell>
        </row>
        <row r="1710">
          <cell r="B1710">
            <v>124000000001707</v>
          </cell>
          <cell r="C1710" t="str">
            <v>Mandor Asikin</v>
          </cell>
        </row>
        <row r="1711">
          <cell r="B1711">
            <v>124000000001708</v>
          </cell>
          <cell r="C1711" t="str">
            <v>Mandor Asnil</v>
          </cell>
        </row>
        <row r="1712">
          <cell r="B1712">
            <v>124000000001709</v>
          </cell>
          <cell r="C1712" t="str">
            <v>Mandor Asri Darwis, ST</v>
          </cell>
        </row>
        <row r="1713">
          <cell r="B1713">
            <v>124000000001710</v>
          </cell>
          <cell r="C1713" t="str">
            <v>Mandor Astira Utama</v>
          </cell>
        </row>
        <row r="1714">
          <cell r="B1714">
            <v>124000000001711</v>
          </cell>
          <cell r="C1714" t="str">
            <v>Mandor Aswin Bustaman</v>
          </cell>
        </row>
        <row r="1715">
          <cell r="B1715">
            <v>124000000001712</v>
          </cell>
          <cell r="C1715" t="str">
            <v>Mandor Aswin Efendi</v>
          </cell>
        </row>
        <row r="1716">
          <cell r="B1716">
            <v>124000000001713</v>
          </cell>
          <cell r="C1716" t="str">
            <v>Mandor Atis Sonjaya</v>
          </cell>
        </row>
        <row r="1717">
          <cell r="B1717">
            <v>124000000001714</v>
          </cell>
          <cell r="C1717" t="str">
            <v>Mandor Azhar Sudi</v>
          </cell>
        </row>
        <row r="1718">
          <cell r="B1718">
            <v>124000000001715</v>
          </cell>
          <cell r="C1718" t="str">
            <v>Mandor Azis</v>
          </cell>
        </row>
        <row r="1719">
          <cell r="B1719">
            <v>124000000001716</v>
          </cell>
          <cell r="C1719" t="str">
            <v>Mandor Aziz Luthfie</v>
          </cell>
        </row>
        <row r="1720">
          <cell r="B1720">
            <v>124000000001717</v>
          </cell>
          <cell r="C1720" t="str">
            <v>Mandor Azwir</v>
          </cell>
        </row>
        <row r="1721">
          <cell r="B1721">
            <v>124000000001718</v>
          </cell>
          <cell r="C1721" t="str">
            <v>Mandor Bachtiar</v>
          </cell>
        </row>
        <row r="1722">
          <cell r="B1722">
            <v>124000000001719</v>
          </cell>
          <cell r="C1722" t="str">
            <v>Mandor Bagus A. Hartono</v>
          </cell>
        </row>
        <row r="1723">
          <cell r="B1723">
            <v>124000000001720</v>
          </cell>
          <cell r="C1723" t="str">
            <v>Mandor Baharuddin</v>
          </cell>
        </row>
        <row r="1724">
          <cell r="B1724">
            <v>124000000001721</v>
          </cell>
          <cell r="C1724" t="str">
            <v>Mandor Bahri Utmona</v>
          </cell>
        </row>
        <row r="1725">
          <cell r="B1725">
            <v>124000000001722</v>
          </cell>
          <cell r="C1725" t="str">
            <v>Mandor Balduin Situmorang</v>
          </cell>
        </row>
        <row r="1726">
          <cell r="B1726">
            <v>124000000001723</v>
          </cell>
          <cell r="C1726" t="str">
            <v>Mandor Bambang Budijanto</v>
          </cell>
        </row>
        <row r="1727">
          <cell r="B1727">
            <v>124000000001724</v>
          </cell>
          <cell r="C1727" t="str">
            <v>Mandor Bambang Heryanto</v>
          </cell>
        </row>
        <row r="1728">
          <cell r="B1728">
            <v>124000000001725</v>
          </cell>
          <cell r="C1728" t="str">
            <v>Mandor Bambang Prihantoro</v>
          </cell>
        </row>
        <row r="1729">
          <cell r="B1729">
            <v>124000000001726</v>
          </cell>
          <cell r="C1729" t="str">
            <v>Mandor Bambang Slamet Riyadi</v>
          </cell>
        </row>
        <row r="1730">
          <cell r="B1730">
            <v>124000000001727</v>
          </cell>
          <cell r="C1730" t="str">
            <v>Mandor Bambang Trihono</v>
          </cell>
        </row>
        <row r="1731">
          <cell r="B1731">
            <v>124000000001728</v>
          </cell>
          <cell r="C1731" t="str">
            <v>Mandor Bambang Wahyudi</v>
          </cell>
        </row>
        <row r="1732">
          <cell r="B1732">
            <v>124000000001729</v>
          </cell>
          <cell r="C1732" t="str">
            <v>Mandor Baydowi</v>
          </cell>
        </row>
        <row r="1733">
          <cell r="B1733">
            <v>124000000001730</v>
          </cell>
          <cell r="C1733" t="str">
            <v>Mandor Bayu Sukaton</v>
          </cell>
        </row>
        <row r="1734">
          <cell r="B1734">
            <v>124000000001731</v>
          </cell>
          <cell r="C1734" t="str">
            <v>Mandor Beny Hendra</v>
          </cell>
        </row>
        <row r="1735">
          <cell r="B1735">
            <v>124000000001732</v>
          </cell>
          <cell r="C1735" t="str">
            <v>Mandor Betman Hendri</v>
          </cell>
        </row>
        <row r="1736">
          <cell r="B1736">
            <v>124000000001733</v>
          </cell>
          <cell r="C1736" t="str">
            <v>Mandor Boiman</v>
          </cell>
        </row>
        <row r="1737">
          <cell r="B1737">
            <v>124000000001734</v>
          </cell>
          <cell r="C1737" t="str">
            <v>Mandor Budi Prihatin</v>
          </cell>
        </row>
        <row r="1738">
          <cell r="B1738">
            <v>124000000001735</v>
          </cell>
          <cell r="C1738" t="str">
            <v>Mandor Budi Setiawan</v>
          </cell>
        </row>
        <row r="1739">
          <cell r="B1739">
            <v>124000000001736</v>
          </cell>
          <cell r="C1739" t="str">
            <v>Mandor Budi Setiono</v>
          </cell>
        </row>
        <row r="1740">
          <cell r="B1740">
            <v>124000000001737</v>
          </cell>
          <cell r="C1740" t="str">
            <v>Mandor Budi Suhairy</v>
          </cell>
        </row>
        <row r="1741">
          <cell r="B1741">
            <v>124000000001738</v>
          </cell>
          <cell r="C1741" t="str">
            <v>Mandor Budi Sutarwoko</v>
          </cell>
        </row>
        <row r="1742">
          <cell r="B1742">
            <v>124000000001739</v>
          </cell>
          <cell r="C1742" t="str">
            <v>Mandor Budiman</v>
          </cell>
        </row>
        <row r="1743">
          <cell r="B1743">
            <v>124000000001740</v>
          </cell>
          <cell r="C1743" t="str">
            <v>Mandor Budiman Sinulingga, Ir</v>
          </cell>
        </row>
        <row r="1744">
          <cell r="B1744">
            <v>124000000001741</v>
          </cell>
          <cell r="C1744" t="str">
            <v>Mandor Burhanudin</v>
          </cell>
        </row>
        <row r="1745">
          <cell r="B1745">
            <v>124000000001742</v>
          </cell>
          <cell r="C1745" t="str">
            <v>Mandor Bustanil</v>
          </cell>
        </row>
        <row r="1746">
          <cell r="B1746">
            <v>124000000001743</v>
          </cell>
          <cell r="C1746" t="str">
            <v>Mandor Candra Adi Jaya</v>
          </cell>
        </row>
        <row r="1747">
          <cell r="B1747">
            <v>124000000001744</v>
          </cell>
          <cell r="C1747" t="str">
            <v>Mandor Candra Martito</v>
          </cell>
        </row>
        <row r="1748">
          <cell r="B1748">
            <v>124000000001745</v>
          </cell>
          <cell r="C1748" t="str">
            <v>Mandor Caris</v>
          </cell>
        </row>
        <row r="1749">
          <cell r="B1749">
            <v>124000000001746</v>
          </cell>
          <cell r="C1749" t="str">
            <v>Mandor Casda</v>
          </cell>
        </row>
        <row r="1750">
          <cell r="B1750">
            <v>124000000001747</v>
          </cell>
          <cell r="C1750" t="str">
            <v>Mandor Catur Harianto</v>
          </cell>
        </row>
        <row r="1751">
          <cell r="B1751">
            <v>124000000001748</v>
          </cell>
          <cell r="C1751" t="str">
            <v>Mandor Chairil Arif</v>
          </cell>
        </row>
        <row r="1752">
          <cell r="B1752">
            <v>124000000001749</v>
          </cell>
          <cell r="C1752" t="str">
            <v>Mandor Chairuddin srg</v>
          </cell>
        </row>
        <row r="1753">
          <cell r="B1753">
            <v>124000000001750</v>
          </cell>
          <cell r="C1753" t="str">
            <v>Mandor Chandra Irawan</v>
          </cell>
        </row>
        <row r="1754">
          <cell r="B1754">
            <v>124000000001751</v>
          </cell>
          <cell r="C1754" t="str">
            <v>Mandor Chepi Awaludin</v>
          </cell>
        </row>
        <row r="1755">
          <cell r="B1755">
            <v>124000000001752</v>
          </cell>
          <cell r="C1755" t="str">
            <v>Mandor Dadang Rudi</v>
          </cell>
        </row>
        <row r="1756">
          <cell r="B1756">
            <v>124000000001753</v>
          </cell>
          <cell r="C1756" t="str">
            <v>Mandor Dadi Rahadi</v>
          </cell>
        </row>
        <row r="1757">
          <cell r="B1757">
            <v>124000000001754</v>
          </cell>
          <cell r="C1757" t="str">
            <v>Mandor Dani Hermawan</v>
          </cell>
        </row>
        <row r="1758">
          <cell r="B1758">
            <v>124000000001755</v>
          </cell>
          <cell r="C1758" t="str">
            <v>Mandor Dani Mardani</v>
          </cell>
        </row>
        <row r="1759">
          <cell r="B1759">
            <v>124000000001756</v>
          </cell>
          <cell r="C1759" t="str">
            <v>Mandor Darma Darwis</v>
          </cell>
        </row>
        <row r="1760">
          <cell r="B1760">
            <v>124000000001757</v>
          </cell>
          <cell r="C1760" t="str">
            <v>Mandor Darmanto</v>
          </cell>
        </row>
        <row r="1761">
          <cell r="B1761">
            <v>124000000001758</v>
          </cell>
          <cell r="C1761" t="str">
            <v>Mandor Darmen</v>
          </cell>
        </row>
        <row r="1762">
          <cell r="B1762">
            <v>124000000001759</v>
          </cell>
          <cell r="C1762" t="str">
            <v>Mandor Darsono</v>
          </cell>
        </row>
        <row r="1763">
          <cell r="B1763">
            <v>124000000001760</v>
          </cell>
          <cell r="C1763" t="str">
            <v>Mandor Darya</v>
          </cell>
        </row>
        <row r="1764">
          <cell r="B1764">
            <v>124000000001761</v>
          </cell>
          <cell r="C1764" t="str">
            <v>Mandor Daryanto</v>
          </cell>
        </row>
        <row r="1765">
          <cell r="B1765">
            <v>124000000001762</v>
          </cell>
          <cell r="C1765" t="str">
            <v>Mandor Daud Rianto</v>
          </cell>
        </row>
        <row r="1766">
          <cell r="B1766">
            <v>124000000001763</v>
          </cell>
          <cell r="C1766" t="str">
            <v>Mandor Dayat</v>
          </cell>
        </row>
        <row r="1767">
          <cell r="B1767">
            <v>124000000001764</v>
          </cell>
          <cell r="C1767" t="str">
            <v>Mandor Dayim Ucu Pamungkas</v>
          </cell>
        </row>
        <row r="1768">
          <cell r="B1768">
            <v>124000000001765</v>
          </cell>
          <cell r="C1768" t="str">
            <v>Mandor Dede Ardian Safutra</v>
          </cell>
        </row>
        <row r="1769">
          <cell r="B1769">
            <v>124000000001766</v>
          </cell>
          <cell r="C1769" t="str">
            <v>Mandor Dede Rustandi</v>
          </cell>
        </row>
        <row r="1770">
          <cell r="B1770">
            <v>124000000001767</v>
          </cell>
          <cell r="C1770" t="str">
            <v>Mandor Dede Setiawan</v>
          </cell>
        </row>
        <row r="1771">
          <cell r="B1771">
            <v>124000000001768</v>
          </cell>
          <cell r="C1771" t="str">
            <v>Mandor Dede Toni</v>
          </cell>
        </row>
        <row r="1772">
          <cell r="B1772">
            <v>124000000001769</v>
          </cell>
          <cell r="C1772" t="str">
            <v>Mandor Deden Ilman Nugraha</v>
          </cell>
        </row>
        <row r="1773">
          <cell r="B1773">
            <v>124000000001770</v>
          </cell>
          <cell r="C1773" t="str">
            <v>Mandor Dedi Djuhaedi</v>
          </cell>
        </row>
        <row r="1774">
          <cell r="B1774">
            <v>124000000001771</v>
          </cell>
          <cell r="C1774" t="str">
            <v>Mandor Deni Saputra</v>
          </cell>
        </row>
        <row r="1775">
          <cell r="B1775">
            <v>124000000001772</v>
          </cell>
          <cell r="C1775" t="str">
            <v>Mandor Deni Yuliansyah</v>
          </cell>
        </row>
        <row r="1776">
          <cell r="B1776">
            <v>124000000001773</v>
          </cell>
          <cell r="C1776" t="str">
            <v>Mandor Devis Suwoko</v>
          </cell>
        </row>
        <row r="1777">
          <cell r="B1777">
            <v>124000000001774</v>
          </cell>
          <cell r="C1777" t="str">
            <v>Mandor Dhana Aprianda Pane</v>
          </cell>
        </row>
        <row r="1778">
          <cell r="B1778">
            <v>124000000001775</v>
          </cell>
          <cell r="C1778" t="str">
            <v>Mandor Diah Oktavia</v>
          </cell>
        </row>
        <row r="1779">
          <cell r="B1779">
            <v>124000000001776</v>
          </cell>
          <cell r="C1779" t="str">
            <v>Mandor Dian Effendi</v>
          </cell>
        </row>
        <row r="1780">
          <cell r="B1780">
            <v>124000000001777</v>
          </cell>
          <cell r="C1780" t="str">
            <v>Mandor Dian Yunianto</v>
          </cell>
        </row>
        <row r="1781">
          <cell r="B1781">
            <v>124000000001778</v>
          </cell>
          <cell r="C1781" t="str">
            <v>Mandor Dicki Martians</v>
          </cell>
        </row>
        <row r="1782">
          <cell r="B1782">
            <v>124000000001779</v>
          </cell>
          <cell r="C1782" t="str">
            <v>Mandor Dicky</v>
          </cell>
        </row>
        <row r="1783">
          <cell r="B1783">
            <v>124000000001780</v>
          </cell>
          <cell r="C1783" t="str">
            <v>Mandor Dicky Dermawan</v>
          </cell>
        </row>
        <row r="1784">
          <cell r="B1784">
            <v>124000000001781</v>
          </cell>
          <cell r="C1784" t="str">
            <v>Mandor Dicky Nurdiansyah</v>
          </cell>
        </row>
        <row r="1785">
          <cell r="B1785">
            <v>124000000001782</v>
          </cell>
          <cell r="C1785" t="str">
            <v>Mandor Didi Kusumawanto</v>
          </cell>
        </row>
        <row r="1786">
          <cell r="B1786">
            <v>124000000001783</v>
          </cell>
          <cell r="C1786" t="str">
            <v>Mandor Didik Gunawan</v>
          </cell>
        </row>
        <row r="1787">
          <cell r="B1787">
            <v>124000000001784</v>
          </cell>
          <cell r="C1787" t="str">
            <v>Mandor Didin</v>
          </cell>
        </row>
        <row r="1788">
          <cell r="B1788">
            <v>124000000001785</v>
          </cell>
          <cell r="C1788" t="str">
            <v>Mandor Diky Iskandar Zulkarnaen</v>
          </cell>
        </row>
        <row r="1789">
          <cell r="B1789">
            <v>124000000001786</v>
          </cell>
          <cell r="C1789" t="str">
            <v>Mandor Diman</v>
          </cell>
        </row>
        <row r="1790">
          <cell r="B1790">
            <v>124000000001787</v>
          </cell>
          <cell r="C1790" t="str">
            <v>Mandor Djoni Purwoto</v>
          </cell>
        </row>
        <row r="1791">
          <cell r="B1791">
            <v>124000000001788</v>
          </cell>
          <cell r="C1791" t="str">
            <v>Mandor Djuli Hariyanto</v>
          </cell>
        </row>
        <row r="1792">
          <cell r="B1792">
            <v>124000000001789</v>
          </cell>
          <cell r="C1792" t="str">
            <v>Mandor Djupri</v>
          </cell>
        </row>
        <row r="1793">
          <cell r="B1793">
            <v>124000000001790</v>
          </cell>
          <cell r="C1793" t="str">
            <v>Mandor Doan Latupeirissa</v>
          </cell>
        </row>
        <row r="1794">
          <cell r="B1794">
            <v>124000000001791</v>
          </cell>
          <cell r="C1794" t="str">
            <v>Mandor Doddy</v>
          </cell>
        </row>
        <row r="1795">
          <cell r="B1795">
            <v>124000000001792</v>
          </cell>
          <cell r="C1795" t="str">
            <v>Mandor Donald</v>
          </cell>
        </row>
        <row r="1796">
          <cell r="B1796">
            <v>124000000001793</v>
          </cell>
          <cell r="C1796" t="str">
            <v>Mandor Donald Togatorop</v>
          </cell>
        </row>
        <row r="1797">
          <cell r="B1797">
            <v>124000000001794</v>
          </cell>
          <cell r="C1797" t="str">
            <v>Mandor Drajat</v>
          </cell>
        </row>
        <row r="1798">
          <cell r="B1798">
            <v>124000000001795</v>
          </cell>
          <cell r="C1798" t="str">
            <v>Mandor Dudung Syafrudin</v>
          </cell>
        </row>
        <row r="1799">
          <cell r="B1799">
            <v>124000000001796</v>
          </cell>
          <cell r="C1799" t="str">
            <v>Mandor Dul Hadi</v>
          </cell>
        </row>
        <row r="1800">
          <cell r="B1800">
            <v>124000000001797</v>
          </cell>
          <cell r="C1800" t="str">
            <v>Mandor Dwi Rachmanto</v>
          </cell>
        </row>
        <row r="1801">
          <cell r="B1801">
            <v>124000000001798</v>
          </cell>
          <cell r="C1801" t="str">
            <v>Mandor Dwi Trisno Utomo</v>
          </cell>
        </row>
        <row r="1802">
          <cell r="B1802">
            <v>124000000001799</v>
          </cell>
          <cell r="C1802" t="str">
            <v>Mandor Dwi Wanhardi</v>
          </cell>
        </row>
        <row r="1803">
          <cell r="B1803">
            <v>124000000001800</v>
          </cell>
          <cell r="C1803" t="str">
            <v>Mandor Edi Nurokhman</v>
          </cell>
        </row>
        <row r="1804">
          <cell r="B1804">
            <v>124000000001801</v>
          </cell>
          <cell r="C1804" t="str">
            <v>Mandor Edi Rosya</v>
          </cell>
        </row>
        <row r="1805">
          <cell r="B1805">
            <v>124000000001802</v>
          </cell>
          <cell r="C1805" t="str">
            <v>Mandor Edi Sunarya</v>
          </cell>
        </row>
        <row r="1806">
          <cell r="B1806">
            <v>124000000001803</v>
          </cell>
          <cell r="C1806" t="str">
            <v>Mandor Edi Tugiyanto</v>
          </cell>
        </row>
        <row r="1807">
          <cell r="B1807">
            <v>124000000001804</v>
          </cell>
          <cell r="C1807" t="str">
            <v>Mandor Edy Ardiansyah</v>
          </cell>
        </row>
        <row r="1808">
          <cell r="B1808">
            <v>124000000001805</v>
          </cell>
          <cell r="C1808" t="str">
            <v>Mandor Edy Sulistianto</v>
          </cell>
        </row>
        <row r="1809">
          <cell r="B1809">
            <v>124000000001806</v>
          </cell>
          <cell r="C1809" t="str">
            <v>Mandor Edy Supriyanto</v>
          </cell>
        </row>
        <row r="1810">
          <cell r="B1810">
            <v>124000000001807</v>
          </cell>
          <cell r="C1810" t="str">
            <v>Mandor Edy Thomson</v>
          </cell>
        </row>
        <row r="1811">
          <cell r="B1811">
            <v>124000000001808</v>
          </cell>
          <cell r="C1811" t="str">
            <v>Mandor Een Efriadi</v>
          </cell>
        </row>
        <row r="1812">
          <cell r="B1812">
            <v>124000000001809</v>
          </cell>
          <cell r="C1812" t="str">
            <v>Mandor Eeng Sukardi</v>
          </cell>
        </row>
        <row r="1813">
          <cell r="B1813">
            <v>124000000001810</v>
          </cell>
          <cell r="C1813" t="str">
            <v>Mandor Eka Setiawati Masykura</v>
          </cell>
        </row>
        <row r="1814">
          <cell r="B1814">
            <v>124000000001811</v>
          </cell>
          <cell r="C1814" t="str">
            <v>Mandor Eka Wirabuana</v>
          </cell>
        </row>
        <row r="1815">
          <cell r="B1815">
            <v>124000000001812</v>
          </cell>
          <cell r="C1815" t="str">
            <v>Mandor Elieser Ferdy Patadungan</v>
          </cell>
        </row>
        <row r="1816">
          <cell r="B1816">
            <v>124000000001813</v>
          </cell>
          <cell r="C1816" t="str">
            <v>Mandor Elsi Defiar</v>
          </cell>
        </row>
        <row r="1817">
          <cell r="B1817">
            <v>124000000001814</v>
          </cell>
          <cell r="C1817" t="str">
            <v>Mandor Endang Priatna</v>
          </cell>
        </row>
        <row r="1818">
          <cell r="B1818">
            <v>124000000001815</v>
          </cell>
          <cell r="C1818" t="str">
            <v>Mandor Engkus</v>
          </cell>
        </row>
        <row r="1819">
          <cell r="B1819">
            <v>124000000001816</v>
          </cell>
          <cell r="C1819" t="str">
            <v>Mandor Enrick Timbul Nadapdap</v>
          </cell>
        </row>
        <row r="1820">
          <cell r="B1820">
            <v>124000000001817</v>
          </cell>
          <cell r="C1820" t="str">
            <v>Mandor Erdi yatim</v>
          </cell>
        </row>
        <row r="1821">
          <cell r="B1821">
            <v>124000000001818</v>
          </cell>
          <cell r="C1821" t="str">
            <v>Mandor Erizal</v>
          </cell>
        </row>
        <row r="1822">
          <cell r="B1822">
            <v>124000000001819</v>
          </cell>
          <cell r="C1822" t="str">
            <v>Mandor Ervan</v>
          </cell>
        </row>
        <row r="1823">
          <cell r="B1823">
            <v>124000000001820</v>
          </cell>
          <cell r="C1823" t="str">
            <v>Mandor Ester Hasudungan</v>
          </cell>
        </row>
        <row r="1824">
          <cell r="B1824">
            <v>124000000001821</v>
          </cell>
          <cell r="C1824" t="str">
            <v>Mandor Etty Irawaty</v>
          </cell>
        </row>
        <row r="1825">
          <cell r="B1825">
            <v>124000000001822</v>
          </cell>
          <cell r="C1825" t="str">
            <v>Mandor Fahrul Zulya Chandra</v>
          </cell>
        </row>
        <row r="1826">
          <cell r="B1826">
            <v>124000000001823</v>
          </cell>
          <cell r="C1826" t="str">
            <v>Mandor Faisal Hadi</v>
          </cell>
        </row>
        <row r="1827">
          <cell r="B1827">
            <v>124000000001824</v>
          </cell>
          <cell r="C1827" t="str">
            <v>Mandor Faisal Kamaruddin</v>
          </cell>
        </row>
        <row r="1828">
          <cell r="B1828">
            <v>124000000001825</v>
          </cell>
          <cell r="C1828" t="str">
            <v>Mandor Faisal Rahman</v>
          </cell>
        </row>
        <row r="1829">
          <cell r="B1829">
            <v>124000000001826</v>
          </cell>
          <cell r="C1829" t="str">
            <v>Mandor Farida</v>
          </cell>
        </row>
        <row r="1830">
          <cell r="B1830">
            <v>124000000001827</v>
          </cell>
          <cell r="C1830" t="str">
            <v>Mandor Fathulloh Hakim</v>
          </cell>
        </row>
        <row r="1831">
          <cell r="B1831">
            <v>124000000001828</v>
          </cell>
          <cell r="C1831" t="str">
            <v>Mandor Fauqurahman</v>
          </cell>
        </row>
        <row r="1832">
          <cell r="B1832">
            <v>124000000001829</v>
          </cell>
          <cell r="C1832" t="str">
            <v>Mandor Fauzi</v>
          </cell>
        </row>
        <row r="1833">
          <cell r="B1833">
            <v>124000000001830</v>
          </cell>
          <cell r="C1833" t="str">
            <v>Mandor Fauzih</v>
          </cell>
        </row>
        <row r="1834">
          <cell r="B1834">
            <v>124000000001831</v>
          </cell>
          <cell r="C1834" t="str">
            <v>Mandor Febriadi, ST</v>
          </cell>
        </row>
        <row r="1835">
          <cell r="B1835">
            <v>124000000001832</v>
          </cell>
          <cell r="C1835" t="str">
            <v>Mandor Fersy Pelupessy</v>
          </cell>
        </row>
        <row r="1836">
          <cell r="B1836">
            <v>124000000001833</v>
          </cell>
          <cell r="C1836" t="str">
            <v>Mandor Findi Supriatna</v>
          </cell>
        </row>
        <row r="1837">
          <cell r="B1837">
            <v>124000000001834</v>
          </cell>
          <cell r="C1837" t="str">
            <v>Mandor Frans Herman</v>
          </cell>
        </row>
        <row r="1838">
          <cell r="B1838">
            <v>124000000001835</v>
          </cell>
          <cell r="C1838" t="str">
            <v>Mandor Frans Idrus</v>
          </cell>
        </row>
        <row r="1839">
          <cell r="B1839">
            <v>124000000001836</v>
          </cell>
          <cell r="C1839" t="str">
            <v>Mandor Fransiskus Hosea</v>
          </cell>
        </row>
        <row r="1840">
          <cell r="B1840">
            <v>124000000001837</v>
          </cell>
          <cell r="C1840" t="str">
            <v>Mandor Frenky.M.Mayer</v>
          </cell>
        </row>
        <row r="1841">
          <cell r="B1841">
            <v>124000000001838</v>
          </cell>
          <cell r="C1841" t="str">
            <v>Mandor Fuad Delivansyah Siagian</v>
          </cell>
        </row>
        <row r="1842">
          <cell r="B1842">
            <v>124000000001839</v>
          </cell>
          <cell r="C1842" t="str">
            <v>Mandor Galih Purnama</v>
          </cell>
        </row>
        <row r="1843">
          <cell r="B1843">
            <v>124000000001840</v>
          </cell>
          <cell r="C1843" t="str">
            <v>Mandor Galih Ramadhan</v>
          </cell>
        </row>
        <row r="1844">
          <cell r="B1844">
            <v>124000000001841</v>
          </cell>
          <cell r="C1844" t="str">
            <v>Mandor Ganjar Supriatna</v>
          </cell>
        </row>
        <row r="1845">
          <cell r="B1845">
            <v>124000000001842</v>
          </cell>
          <cell r="C1845" t="str">
            <v>Mandor Gatot Soni Semeon</v>
          </cell>
        </row>
        <row r="1846">
          <cell r="B1846">
            <v>124000000001843</v>
          </cell>
          <cell r="C1846" t="str">
            <v>Mandor Gatot Subroto</v>
          </cell>
        </row>
        <row r="1847">
          <cell r="B1847">
            <v>124000000001844</v>
          </cell>
          <cell r="C1847" t="str">
            <v>Mandor Gatot Suryadi</v>
          </cell>
        </row>
        <row r="1848">
          <cell r="B1848">
            <v>124000000001845</v>
          </cell>
          <cell r="C1848" t="str">
            <v>Mandor Gofar</v>
          </cell>
        </row>
        <row r="1849">
          <cell r="B1849">
            <v>124000000001846</v>
          </cell>
          <cell r="C1849" t="str">
            <v>Mandor Gordon Manalu</v>
          </cell>
        </row>
        <row r="1850">
          <cell r="B1850">
            <v>124000000001847</v>
          </cell>
          <cell r="C1850" t="str">
            <v>Mandor Gunawan</v>
          </cell>
        </row>
        <row r="1851">
          <cell r="B1851">
            <v>124000000001848</v>
          </cell>
          <cell r="C1851" t="str">
            <v>Mandor H. Jaya Laksana</v>
          </cell>
        </row>
        <row r="1852">
          <cell r="B1852">
            <v>124000000001849</v>
          </cell>
          <cell r="C1852" t="str">
            <v>Mandor H. Nasirun</v>
          </cell>
        </row>
        <row r="1853">
          <cell r="B1853">
            <v>124000000001850</v>
          </cell>
          <cell r="C1853" t="str">
            <v>Mandor H. Nawawi Burhan</v>
          </cell>
        </row>
        <row r="1854">
          <cell r="B1854">
            <v>124000000001851</v>
          </cell>
          <cell r="C1854" t="str">
            <v>Mandor H. A. Ardian Asyraq R.</v>
          </cell>
        </row>
        <row r="1855">
          <cell r="B1855">
            <v>124000000001852</v>
          </cell>
          <cell r="C1855" t="str">
            <v>Mandor H. Saepudin</v>
          </cell>
        </row>
        <row r="1856">
          <cell r="B1856">
            <v>124000000001853</v>
          </cell>
          <cell r="C1856" t="str">
            <v>Mandor H. Samsudin</v>
          </cell>
        </row>
        <row r="1857">
          <cell r="B1857">
            <v>124000000001854</v>
          </cell>
          <cell r="C1857" t="str">
            <v>Mandor Hj. Ramlah</v>
          </cell>
        </row>
        <row r="1858">
          <cell r="B1858">
            <v>124000000001855</v>
          </cell>
          <cell r="C1858" t="str">
            <v>Mandor Hadi</v>
          </cell>
        </row>
        <row r="1859">
          <cell r="B1859">
            <v>124000000001856</v>
          </cell>
          <cell r="C1859" t="str">
            <v>Mandor Hadi</v>
          </cell>
        </row>
        <row r="1860">
          <cell r="B1860">
            <v>124000000001857</v>
          </cell>
          <cell r="C1860" t="str">
            <v>Mandor Hadiman</v>
          </cell>
        </row>
        <row r="1861">
          <cell r="B1861">
            <v>124000000001858</v>
          </cell>
          <cell r="C1861" t="str">
            <v>Mandor Haerul Gunawan</v>
          </cell>
        </row>
        <row r="1862">
          <cell r="B1862">
            <v>124000000001859</v>
          </cell>
          <cell r="C1862" t="str">
            <v>Mandor Hairuddin Sijaya</v>
          </cell>
        </row>
        <row r="1863">
          <cell r="B1863">
            <v>124000000001860</v>
          </cell>
          <cell r="C1863" t="str">
            <v>Mandor Hairul Nasution</v>
          </cell>
        </row>
        <row r="1864">
          <cell r="B1864">
            <v>124000000001861</v>
          </cell>
          <cell r="C1864" t="str">
            <v>Mandor Hajan</v>
          </cell>
        </row>
        <row r="1865">
          <cell r="B1865">
            <v>124000000001862</v>
          </cell>
          <cell r="C1865" t="str">
            <v>Mandor Hakim</v>
          </cell>
        </row>
        <row r="1866">
          <cell r="B1866">
            <v>124000000001863</v>
          </cell>
          <cell r="C1866" t="str">
            <v>Mandor Hakim Budianto</v>
          </cell>
        </row>
        <row r="1867">
          <cell r="B1867">
            <v>124000000001864</v>
          </cell>
          <cell r="C1867" t="str">
            <v>Mandor Hamam</v>
          </cell>
        </row>
        <row r="1868">
          <cell r="B1868">
            <v>124000000001865</v>
          </cell>
          <cell r="C1868" t="str">
            <v>Mandor Hamdani</v>
          </cell>
        </row>
        <row r="1869">
          <cell r="B1869">
            <v>124000000001866</v>
          </cell>
          <cell r="C1869" t="str">
            <v>Mandor Hamzah</v>
          </cell>
        </row>
        <row r="1870">
          <cell r="B1870">
            <v>124000000001867</v>
          </cell>
          <cell r="C1870" t="str">
            <v>Mandor Hanafi Yuddin</v>
          </cell>
        </row>
        <row r="1871">
          <cell r="B1871">
            <v>124000000001868</v>
          </cell>
          <cell r="C1871" t="str">
            <v>Mandor Handi Lala</v>
          </cell>
        </row>
        <row r="1872">
          <cell r="B1872">
            <v>124000000001869</v>
          </cell>
          <cell r="C1872" t="str">
            <v>Mandor Hang Ding</v>
          </cell>
        </row>
        <row r="1873">
          <cell r="B1873">
            <v>124000000001870</v>
          </cell>
          <cell r="C1873" t="str">
            <v>Mandor Hanif</v>
          </cell>
        </row>
        <row r="1874">
          <cell r="B1874">
            <v>124000000001871</v>
          </cell>
          <cell r="C1874" t="str">
            <v>Mandor Hanung Sumardiyono</v>
          </cell>
        </row>
        <row r="1875">
          <cell r="B1875">
            <v>124000000001872</v>
          </cell>
          <cell r="C1875" t="str">
            <v>Mandor Harno</v>
          </cell>
        </row>
        <row r="1876">
          <cell r="B1876">
            <v>124000000001873</v>
          </cell>
          <cell r="C1876" t="str">
            <v>Mandor Harry Muharram</v>
          </cell>
        </row>
        <row r="1877">
          <cell r="B1877">
            <v>124000000001874</v>
          </cell>
          <cell r="C1877" t="str">
            <v>Mandor Hasan</v>
          </cell>
        </row>
        <row r="1878">
          <cell r="B1878">
            <v>124000000001875</v>
          </cell>
          <cell r="C1878" t="str">
            <v>Mandor Hasani Bega</v>
          </cell>
        </row>
        <row r="1879">
          <cell r="B1879">
            <v>124000000001876</v>
          </cell>
          <cell r="C1879" t="str">
            <v>Mandor Hasannuddin</v>
          </cell>
        </row>
        <row r="1880">
          <cell r="B1880">
            <v>124000000001877</v>
          </cell>
          <cell r="C1880" t="str">
            <v>Mandor Haswanuddin</v>
          </cell>
        </row>
        <row r="1881">
          <cell r="B1881">
            <v>124000000001878</v>
          </cell>
          <cell r="C1881" t="str">
            <v>Mandor Hendrik Parlindungan</v>
          </cell>
        </row>
        <row r="1882">
          <cell r="B1882">
            <v>124000000001879</v>
          </cell>
          <cell r="C1882" t="str">
            <v>Mandor Heri Hermawan</v>
          </cell>
        </row>
        <row r="1883">
          <cell r="B1883">
            <v>124000000001880</v>
          </cell>
          <cell r="C1883" t="str">
            <v>Mandor Heri Mustika, ST</v>
          </cell>
        </row>
        <row r="1884">
          <cell r="B1884">
            <v>124000000001881</v>
          </cell>
          <cell r="C1884" t="str">
            <v>Mandor Hari Susanto</v>
          </cell>
        </row>
        <row r="1885">
          <cell r="B1885">
            <v>124000000001882</v>
          </cell>
          <cell r="C1885" t="str">
            <v>Mandor Heri Susanto</v>
          </cell>
        </row>
        <row r="1886">
          <cell r="B1886">
            <v>124000000001883</v>
          </cell>
          <cell r="C1886" t="str">
            <v>Mandor Herman</v>
          </cell>
        </row>
        <row r="1887">
          <cell r="B1887">
            <v>124000000001884</v>
          </cell>
          <cell r="C1887" t="str">
            <v>Mandor Herman Suparman</v>
          </cell>
        </row>
        <row r="1888">
          <cell r="B1888">
            <v>124000000001885</v>
          </cell>
          <cell r="C1888" t="str">
            <v>Mandor Herman Wijaya</v>
          </cell>
        </row>
        <row r="1889">
          <cell r="B1889">
            <v>124000000001886</v>
          </cell>
          <cell r="C1889" t="str">
            <v>Mandor Heryanto Tanjong</v>
          </cell>
        </row>
        <row r="1890">
          <cell r="B1890">
            <v>124000000001887</v>
          </cell>
          <cell r="C1890" t="str">
            <v>Mandor Hidayat</v>
          </cell>
        </row>
        <row r="1891">
          <cell r="B1891">
            <v>124000000001888</v>
          </cell>
          <cell r="C1891" t="str">
            <v>Mandor Hidayat Wahyudi</v>
          </cell>
        </row>
        <row r="1892">
          <cell r="B1892">
            <v>124000000001889</v>
          </cell>
          <cell r="C1892" t="str">
            <v>Mandor Holong Erixon Manurung</v>
          </cell>
        </row>
        <row r="1893">
          <cell r="B1893">
            <v>124000000001890</v>
          </cell>
          <cell r="C1893" t="str">
            <v>Mandor Hotma Simamora</v>
          </cell>
        </row>
        <row r="1894">
          <cell r="B1894">
            <v>124000000001891</v>
          </cell>
          <cell r="C1894" t="str">
            <v>Mandor I. Putu Astawa</v>
          </cell>
        </row>
        <row r="1895">
          <cell r="B1895">
            <v>124000000001892</v>
          </cell>
          <cell r="C1895" t="str">
            <v>Mandor Ibnu Rezeki</v>
          </cell>
        </row>
        <row r="1896">
          <cell r="B1896">
            <v>124000000001893</v>
          </cell>
          <cell r="C1896" t="str">
            <v>Mandor Idhar</v>
          </cell>
        </row>
        <row r="1897">
          <cell r="B1897">
            <v>124000000001894</v>
          </cell>
          <cell r="C1897" t="str">
            <v>Mandor Iim Halim</v>
          </cell>
        </row>
        <row r="1898">
          <cell r="B1898">
            <v>124000000001895</v>
          </cell>
          <cell r="C1898" t="str">
            <v>Mandor Imam Afriliyanto Suparno</v>
          </cell>
        </row>
        <row r="1899">
          <cell r="B1899">
            <v>124000000001896</v>
          </cell>
          <cell r="C1899" t="str">
            <v>Mandor Imam Basrowi</v>
          </cell>
        </row>
        <row r="1900">
          <cell r="B1900">
            <v>124000000001897</v>
          </cell>
          <cell r="C1900" t="str">
            <v>Mandor Imam Munawir</v>
          </cell>
        </row>
        <row r="1901">
          <cell r="B1901">
            <v>124000000001898</v>
          </cell>
          <cell r="C1901" t="str">
            <v>Mandor Imanuel Jayatman Tjakra</v>
          </cell>
        </row>
        <row r="1902">
          <cell r="B1902">
            <v>124000000001899</v>
          </cell>
          <cell r="C1902" t="str">
            <v>Mandor Indra Adi Saputra</v>
          </cell>
        </row>
        <row r="1903">
          <cell r="B1903">
            <v>124000000001900</v>
          </cell>
          <cell r="C1903" t="str">
            <v>Mandor Indra Budianto Sianipar</v>
          </cell>
        </row>
        <row r="1904">
          <cell r="B1904">
            <v>124000000001901</v>
          </cell>
          <cell r="C1904" t="str">
            <v>Mandor Indra Gunawan</v>
          </cell>
        </row>
        <row r="1905">
          <cell r="B1905">
            <v>124000000001902</v>
          </cell>
          <cell r="C1905" t="str">
            <v>Mandor Ir. A. Rudy Dunia Wuwuh</v>
          </cell>
        </row>
        <row r="1906">
          <cell r="B1906">
            <v>124000000001903</v>
          </cell>
          <cell r="C1906" t="str">
            <v>Mandor Ir. Muh Usman</v>
          </cell>
        </row>
        <row r="1907">
          <cell r="B1907">
            <v>124000000001904</v>
          </cell>
          <cell r="C1907" t="str">
            <v>Mandor Ir. Mustika Indra Kusuma</v>
          </cell>
        </row>
        <row r="1908">
          <cell r="B1908">
            <v>124000000001905</v>
          </cell>
          <cell r="C1908" t="str">
            <v>Mandor Ir. Sargito</v>
          </cell>
        </row>
        <row r="1909">
          <cell r="B1909">
            <v>124000000001906</v>
          </cell>
          <cell r="C1909" t="str">
            <v>Mandor Irfan</v>
          </cell>
        </row>
        <row r="1910">
          <cell r="B1910">
            <v>124000000001907</v>
          </cell>
          <cell r="C1910" t="str">
            <v>Mandor Irfan Tussadikin</v>
          </cell>
        </row>
        <row r="1911">
          <cell r="B1911">
            <v>124000000001908</v>
          </cell>
          <cell r="C1911" t="str">
            <v>Mandor Isdamel</v>
          </cell>
        </row>
        <row r="1912">
          <cell r="B1912">
            <v>124000000001909</v>
          </cell>
          <cell r="C1912" t="str">
            <v>Mandor Iskandar</v>
          </cell>
        </row>
        <row r="1913">
          <cell r="B1913">
            <v>124000000001910</v>
          </cell>
          <cell r="C1913" t="str">
            <v>Mandor Iskandar</v>
          </cell>
        </row>
        <row r="1914">
          <cell r="B1914">
            <v>124000000001911</v>
          </cell>
          <cell r="C1914" t="str">
            <v>Mandor Iskandar</v>
          </cell>
        </row>
        <row r="1915">
          <cell r="B1915">
            <v>124000000001912</v>
          </cell>
          <cell r="C1915" t="str">
            <v>Mandor Iskandar yunus</v>
          </cell>
        </row>
        <row r="1916">
          <cell r="B1916">
            <v>124000000001913</v>
          </cell>
          <cell r="C1916" t="str">
            <v>Mandor Iswandi</v>
          </cell>
        </row>
        <row r="1917">
          <cell r="B1917">
            <v>124000000001914</v>
          </cell>
          <cell r="C1917" t="str">
            <v>Mandor Iswanto</v>
          </cell>
        </row>
        <row r="1918">
          <cell r="B1918">
            <v>124000000001915</v>
          </cell>
          <cell r="C1918" t="str">
            <v>Mandor Iwan Kurniawan</v>
          </cell>
        </row>
        <row r="1919">
          <cell r="B1919">
            <v>124000000001916</v>
          </cell>
          <cell r="C1919" t="str">
            <v>Mandor Iwan Kuswana</v>
          </cell>
        </row>
        <row r="1920">
          <cell r="B1920">
            <v>124000000001917</v>
          </cell>
          <cell r="C1920" t="str">
            <v>Mandor Iwan Risnawan</v>
          </cell>
        </row>
        <row r="1921">
          <cell r="B1921">
            <v>124000000001918</v>
          </cell>
          <cell r="C1921" t="str">
            <v>Mandor Iwan Sutisna</v>
          </cell>
        </row>
        <row r="1922">
          <cell r="B1922">
            <v>124000000001919</v>
          </cell>
          <cell r="C1922" t="str">
            <v>Mandor Jaelani W</v>
          </cell>
        </row>
        <row r="1923">
          <cell r="B1923">
            <v>124000000001920</v>
          </cell>
          <cell r="C1923" t="str">
            <v>Mandor Jagar Joni Harli Harianja</v>
          </cell>
        </row>
        <row r="1924">
          <cell r="B1924">
            <v>124000000001921</v>
          </cell>
          <cell r="C1924" t="str">
            <v>Mandor Jaisan Aufat</v>
          </cell>
        </row>
        <row r="1925">
          <cell r="B1925">
            <v>124000000001922</v>
          </cell>
          <cell r="C1925" t="str">
            <v>Mandor Jalalluddin Karim</v>
          </cell>
        </row>
        <row r="1926">
          <cell r="B1926">
            <v>124000000001923</v>
          </cell>
          <cell r="C1926" t="str">
            <v>Mandor Jarot Cahyo Nugroho</v>
          </cell>
        </row>
        <row r="1927">
          <cell r="B1927">
            <v>124000000001924</v>
          </cell>
          <cell r="C1927" t="str">
            <v>Mandor Jayus Supriyadi</v>
          </cell>
        </row>
        <row r="1928">
          <cell r="B1928">
            <v>124000000001925</v>
          </cell>
          <cell r="C1928" t="str">
            <v>Mandor Jefri Montolalu</v>
          </cell>
        </row>
        <row r="1929">
          <cell r="B1929">
            <v>124000000001926</v>
          </cell>
          <cell r="C1929" t="str">
            <v>Mandor Jefri Syhailatua</v>
          </cell>
        </row>
        <row r="1930">
          <cell r="B1930">
            <v>124000000001927</v>
          </cell>
          <cell r="C1930" t="str">
            <v>Mandor Jejen</v>
          </cell>
        </row>
        <row r="1931">
          <cell r="B1931">
            <v>124000000001928</v>
          </cell>
          <cell r="C1931" t="str">
            <v>Mandor Jenal Mustopa</v>
          </cell>
        </row>
        <row r="1932">
          <cell r="B1932">
            <v>124000000001929</v>
          </cell>
          <cell r="C1932" t="str">
            <v>Mandor Jimin Ahmad Royyan</v>
          </cell>
        </row>
        <row r="1933">
          <cell r="B1933">
            <v>124000000001930</v>
          </cell>
          <cell r="C1933" t="str">
            <v>Mandor J. N. K. Purba</v>
          </cell>
        </row>
        <row r="1934">
          <cell r="B1934">
            <v>124000000001931</v>
          </cell>
          <cell r="C1934" t="str">
            <v>Mandor Johan</v>
          </cell>
        </row>
        <row r="1935">
          <cell r="B1935">
            <v>124000000001932</v>
          </cell>
          <cell r="C1935" t="str">
            <v>Mandor Johan S. Mansur</v>
          </cell>
        </row>
        <row r="1936">
          <cell r="B1936">
            <v>124000000001933</v>
          </cell>
          <cell r="C1936" t="str">
            <v>Mandor Johannes Teti</v>
          </cell>
        </row>
        <row r="1937">
          <cell r="B1937">
            <v>124000000001934</v>
          </cell>
          <cell r="C1937" t="str">
            <v>Mandor Joko M.</v>
          </cell>
        </row>
        <row r="1938">
          <cell r="B1938">
            <v>124000000001935</v>
          </cell>
          <cell r="C1938" t="str">
            <v>Mandor Joko Supriyadi</v>
          </cell>
        </row>
        <row r="1939">
          <cell r="B1939">
            <v>124000000001936</v>
          </cell>
          <cell r="C1939" t="str">
            <v>Mandor Juanda</v>
          </cell>
        </row>
        <row r="1940">
          <cell r="B1940">
            <v>124000000001937</v>
          </cell>
          <cell r="C1940" t="str">
            <v>Mandor Julius</v>
          </cell>
        </row>
        <row r="1941">
          <cell r="B1941">
            <v>124000000001938</v>
          </cell>
          <cell r="C1941" t="str">
            <v>Mandor Jumadi Panigfat (Kades Waitamua)</v>
          </cell>
        </row>
        <row r="1942">
          <cell r="B1942">
            <v>124000000001939</v>
          </cell>
          <cell r="C1942" t="str">
            <v>Mandor Jumeldi Gunawan</v>
          </cell>
        </row>
        <row r="1943">
          <cell r="B1943">
            <v>124000000001940</v>
          </cell>
          <cell r="C1943" t="str">
            <v>Mandor Jumingin / Dogol</v>
          </cell>
        </row>
        <row r="1944">
          <cell r="B1944">
            <v>124000000001941</v>
          </cell>
          <cell r="C1944" t="str">
            <v>Mandor Junaidi</v>
          </cell>
        </row>
        <row r="1945">
          <cell r="B1945">
            <v>124000000001942</v>
          </cell>
          <cell r="C1945" t="str">
            <v>Mandor Juned</v>
          </cell>
        </row>
        <row r="1946">
          <cell r="B1946">
            <v>124000000001943</v>
          </cell>
          <cell r="C1946" t="str">
            <v>Mandor Jupri</v>
          </cell>
        </row>
        <row r="1947">
          <cell r="B1947">
            <v>124000000001944</v>
          </cell>
          <cell r="C1947" t="str">
            <v>Mandor Jusener Nababan</v>
          </cell>
        </row>
        <row r="1948">
          <cell r="B1948">
            <v>124000000001945</v>
          </cell>
          <cell r="C1948" t="str">
            <v>Mandor Jusrial</v>
          </cell>
        </row>
        <row r="1949">
          <cell r="B1949">
            <v>124000000001946</v>
          </cell>
          <cell r="C1949" t="str">
            <v>Mandor Juniarso Gunawan Hadi</v>
          </cell>
        </row>
        <row r="1950">
          <cell r="B1950">
            <v>124000000001947</v>
          </cell>
          <cell r="C1950" t="str">
            <v>Mandor Kaderi P.</v>
          </cell>
        </row>
        <row r="1951">
          <cell r="B1951">
            <v>124000000001948</v>
          </cell>
          <cell r="C1951" t="str">
            <v>Mandor Kahar</v>
          </cell>
        </row>
        <row r="1952">
          <cell r="B1952">
            <v>124000000001949</v>
          </cell>
          <cell r="C1952" t="str">
            <v>Mandor Kasiyono</v>
          </cell>
        </row>
        <row r="1953">
          <cell r="B1953">
            <v>124000000001950</v>
          </cell>
          <cell r="C1953" t="str">
            <v>Mandor Kasmari</v>
          </cell>
        </row>
        <row r="1954">
          <cell r="B1954">
            <v>124000000001951</v>
          </cell>
          <cell r="C1954" t="str">
            <v>Mandor Khamim Fauzi</v>
          </cell>
        </row>
        <row r="1955">
          <cell r="B1955">
            <v>124000000001952</v>
          </cell>
          <cell r="C1955" t="str">
            <v>Mandor Komarudin</v>
          </cell>
        </row>
        <row r="1956">
          <cell r="B1956">
            <v>124000000001953</v>
          </cell>
          <cell r="C1956" t="str">
            <v>Mandor Krisnadi</v>
          </cell>
        </row>
        <row r="1957">
          <cell r="B1957">
            <v>124000000001954</v>
          </cell>
          <cell r="C1957" t="str">
            <v>Mandor Kumaedi</v>
          </cell>
        </row>
        <row r="1958">
          <cell r="B1958">
            <v>124000000001955</v>
          </cell>
          <cell r="C1958" t="str">
            <v>Mandor Kusaini</v>
          </cell>
        </row>
        <row r="1959">
          <cell r="B1959">
            <v>124000000001956</v>
          </cell>
          <cell r="C1959" t="str">
            <v>Mandor Kuswanto</v>
          </cell>
        </row>
        <row r="1960">
          <cell r="B1960">
            <v>124000000001957</v>
          </cell>
          <cell r="C1960" t="str">
            <v>Mandor Kuswoyo</v>
          </cell>
        </row>
        <row r="1961">
          <cell r="B1961">
            <v>124000000001958</v>
          </cell>
          <cell r="C1961" t="str">
            <v>Mandor Kuwu Edi</v>
          </cell>
        </row>
        <row r="1962">
          <cell r="B1962">
            <v>124000000001959</v>
          </cell>
          <cell r="C1962" t="str">
            <v>Mandor La Anda Buton</v>
          </cell>
        </row>
        <row r="1963">
          <cell r="B1963">
            <v>124000000001960</v>
          </cell>
          <cell r="C1963" t="str">
            <v>Mandor La Usaha</v>
          </cell>
        </row>
        <row r="1964">
          <cell r="B1964">
            <v>124000000001961</v>
          </cell>
          <cell r="C1964" t="str">
            <v>Mandor Lambertus Ngenget</v>
          </cell>
        </row>
        <row r="1965">
          <cell r="B1965">
            <v>124000000001962</v>
          </cell>
          <cell r="C1965" t="str">
            <v>Mandor Lambon Ritonga/ Ibu Hotna Sipahutar</v>
          </cell>
        </row>
        <row r="1966">
          <cell r="B1966">
            <v>124000000001963</v>
          </cell>
          <cell r="C1966" t="str">
            <v>Mandor Lasron</v>
          </cell>
        </row>
        <row r="1967">
          <cell r="B1967">
            <v>124000000001964</v>
          </cell>
          <cell r="C1967" t="str">
            <v>Mandor Lasron Marbun</v>
          </cell>
        </row>
        <row r="1968">
          <cell r="B1968">
            <v>124000000001965</v>
          </cell>
          <cell r="C1968" t="str">
            <v>Mandor Leo</v>
          </cell>
        </row>
        <row r="1969">
          <cell r="B1969">
            <v>124000000001966</v>
          </cell>
          <cell r="C1969" t="str">
            <v>Mandor Leo</v>
          </cell>
        </row>
        <row r="1970">
          <cell r="B1970">
            <v>124000000001967</v>
          </cell>
          <cell r="C1970" t="str">
            <v>Mandor Leo Volt Sianturi</v>
          </cell>
        </row>
        <row r="1971">
          <cell r="B1971">
            <v>124000000001968</v>
          </cell>
          <cell r="C1971" t="str">
            <v>Mandor Leonardus Wahyudi</v>
          </cell>
        </row>
        <row r="1972">
          <cell r="B1972">
            <v>124000000001969</v>
          </cell>
          <cell r="C1972" t="str">
            <v>Mandor Londo</v>
          </cell>
        </row>
        <row r="1973">
          <cell r="B1973">
            <v>124000000001970</v>
          </cell>
          <cell r="C1973" t="str">
            <v>Mandor Lukman Wihardi</v>
          </cell>
        </row>
        <row r="1974">
          <cell r="B1974">
            <v>124000000001971</v>
          </cell>
          <cell r="C1974" t="str">
            <v>Mandor Lulus Pastiono</v>
          </cell>
        </row>
        <row r="1975">
          <cell r="B1975">
            <v>124000000001972</v>
          </cell>
          <cell r="C1975" t="str">
            <v>Mandor M. Nur Galela</v>
          </cell>
        </row>
        <row r="1976">
          <cell r="B1976">
            <v>124000000001973</v>
          </cell>
          <cell r="C1976" t="str">
            <v>Mandor M. Suyuti hamid</v>
          </cell>
        </row>
        <row r="1977">
          <cell r="B1977">
            <v>124000000001974</v>
          </cell>
          <cell r="C1977" t="str">
            <v>Mandor M. Agus Syawal</v>
          </cell>
        </row>
        <row r="1978">
          <cell r="B1978">
            <v>124000000001975</v>
          </cell>
          <cell r="C1978" t="str">
            <v>Mandor M. Alim</v>
          </cell>
        </row>
        <row r="1979">
          <cell r="B1979">
            <v>124000000001976</v>
          </cell>
          <cell r="C1979" t="str">
            <v>Mandor M. Hajirin</v>
          </cell>
        </row>
        <row r="1980">
          <cell r="B1980">
            <v>124000000001977</v>
          </cell>
          <cell r="C1980" t="str">
            <v>Mandor M. Nasir</v>
          </cell>
        </row>
        <row r="1981">
          <cell r="B1981">
            <v>124000000001978</v>
          </cell>
          <cell r="C1981" t="str">
            <v>Mandor Madtoha</v>
          </cell>
        </row>
        <row r="1982">
          <cell r="B1982">
            <v>124000000001979</v>
          </cell>
          <cell r="C1982" t="str">
            <v>Mandor Mahda Umanuha</v>
          </cell>
        </row>
        <row r="1983">
          <cell r="B1983">
            <v>124000000001980</v>
          </cell>
          <cell r="C1983" t="str">
            <v>Mandor Mahfudin</v>
          </cell>
        </row>
        <row r="1984">
          <cell r="B1984">
            <v>124000000001981</v>
          </cell>
          <cell r="C1984" t="str">
            <v>Mandor Mahmudi</v>
          </cell>
        </row>
        <row r="1985">
          <cell r="B1985">
            <v>124000000001982</v>
          </cell>
          <cell r="C1985" t="str">
            <v>Mandor Maikel</v>
          </cell>
        </row>
        <row r="1986">
          <cell r="B1986">
            <v>124000000001983</v>
          </cell>
          <cell r="C1986" t="str">
            <v>Mandor Maman</v>
          </cell>
        </row>
        <row r="1987">
          <cell r="B1987">
            <v>124000000001984</v>
          </cell>
          <cell r="C1987" t="str">
            <v>Mandor Maman Paryaman</v>
          </cell>
        </row>
        <row r="1988">
          <cell r="B1988">
            <v>124000000001985</v>
          </cell>
          <cell r="C1988" t="str">
            <v>Mandor Maradona Manurung</v>
          </cell>
        </row>
        <row r="1989">
          <cell r="B1989">
            <v>124000000001986</v>
          </cell>
          <cell r="C1989" t="str">
            <v>Mandor Mardi Yanto</v>
          </cell>
        </row>
        <row r="1990">
          <cell r="B1990">
            <v>124000000001987</v>
          </cell>
          <cell r="C1990" t="str">
            <v>Mandor Mariono</v>
          </cell>
        </row>
        <row r="1991">
          <cell r="B1991">
            <v>124000000001988</v>
          </cell>
          <cell r="C1991" t="str">
            <v>Mandor Marjianto</v>
          </cell>
        </row>
        <row r="1992">
          <cell r="B1992">
            <v>124000000001989</v>
          </cell>
          <cell r="C1992" t="str">
            <v>Mandor Marjoko</v>
          </cell>
        </row>
        <row r="1993">
          <cell r="B1993">
            <v>124000000001990</v>
          </cell>
          <cell r="C1993" t="str">
            <v>Mandor Markus M. Kondo</v>
          </cell>
        </row>
        <row r="1994">
          <cell r="B1994">
            <v>124000000001991</v>
          </cell>
          <cell r="C1994" t="str">
            <v>Mandor Martinus Putirulan</v>
          </cell>
        </row>
        <row r="1995">
          <cell r="B1995">
            <v>124000000001992</v>
          </cell>
          <cell r="C1995" t="str">
            <v>Mandor Maryadi</v>
          </cell>
        </row>
        <row r="1996">
          <cell r="B1996">
            <v>124000000001993</v>
          </cell>
          <cell r="C1996" t="str">
            <v>Mandor Maryadi Widodo</v>
          </cell>
        </row>
        <row r="1997">
          <cell r="B1997">
            <v>124000000001994</v>
          </cell>
          <cell r="C1997" t="str">
            <v>Mandor Mashudi</v>
          </cell>
        </row>
        <row r="1998">
          <cell r="B1998">
            <v>124000000001995</v>
          </cell>
          <cell r="C1998" t="str">
            <v>Mandor Masyul</v>
          </cell>
        </row>
        <row r="1999">
          <cell r="B1999">
            <v>124000000001996</v>
          </cell>
          <cell r="C1999" t="str">
            <v>Mandor Mhd Juanda Lubis</v>
          </cell>
        </row>
        <row r="2000">
          <cell r="B2000">
            <v>124000000001997</v>
          </cell>
          <cell r="C2000" t="str">
            <v>Mandor Mhd Syahputra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  <cell r="D4" t="str">
            <v/>
          </cell>
        </row>
        <row r="5">
          <cell r="B5">
            <v>25000000000002</v>
          </cell>
          <cell r="C5" t="str">
            <v>Abdul Karim</v>
          </cell>
          <cell r="D5" t="str">
            <v/>
          </cell>
        </row>
        <row r="6">
          <cell r="B6">
            <v>25000000000003</v>
          </cell>
          <cell r="C6" t="str">
            <v>Abdul Rahman Sitompul</v>
          </cell>
          <cell r="D6" t="str">
            <v/>
          </cell>
        </row>
        <row r="7">
          <cell r="B7">
            <v>25000000000004</v>
          </cell>
          <cell r="C7" t="str">
            <v>Abdul Risan</v>
          </cell>
          <cell r="D7" t="str">
            <v/>
          </cell>
        </row>
        <row r="8">
          <cell r="B8">
            <v>25000000000005</v>
          </cell>
          <cell r="C8" t="str">
            <v>Abdullah Nabil</v>
          </cell>
          <cell r="D8" t="str">
            <v/>
          </cell>
        </row>
        <row r="9">
          <cell r="B9">
            <v>25000000000006</v>
          </cell>
          <cell r="C9" t="str">
            <v>Adhitya Danar</v>
          </cell>
          <cell r="D9" t="str">
            <v/>
          </cell>
        </row>
        <row r="10">
          <cell r="B10">
            <v>25000000000007</v>
          </cell>
          <cell r="C10" t="str">
            <v>Adi Ruswandi</v>
          </cell>
          <cell r="D10" t="str">
            <v/>
          </cell>
        </row>
        <row r="11">
          <cell r="B11">
            <v>25000000000008</v>
          </cell>
          <cell r="C11" t="str">
            <v>Adietya Dharmawan</v>
          </cell>
          <cell r="D11" t="str">
            <v/>
          </cell>
        </row>
        <row r="12">
          <cell r="B12">
            <v>25000000000009</v>
          </cell>
          <cell r="C12" t="str">
            <v>Aditya Yudha Prawira</v>
          </cell>
          <cell r="D12" t="str">
            <v/>
          </cell>
        </row>
        <row r="13">
          <cell r="B13">
            <v>25000000000010</v>
          </cell>
          <cell r="C13" t="str">
            <v>Adli Margie</v>
          </cell>
          <cell r="D13" t="str">
            <v/>
          </cell>
        </row>
        <row r="14">
          <cell r="B14">
            <v>25000000000011</v>
          </cell>
          <cell r="C14" t="str">
            <v>Afrida Eka Putri</v>
          </cell>
          <cell r="D14" t="str">
            <v/>
          </cell>
        </row>
        <row r="15">
          <cell r="B15">
            <v>25000000000012</v>
          </cell>
          <cell r="C15" t="str">
            <v>Agnes Sutedja</v>
          </cell>
          <cell r="D15" t="str">
            <v>3173054608700001</v>
          </cell>
        </row>
        <row r="16">
          <cell r="B16">
            <v>25000000000013</v>
          </cell>
          <cell r="C16" t="str">
            <v>Agung Hendarto</v>
          </cell>
          <cell r="D16" t="str">
            <v/>
          </cell>
        </row>
        <row r="17">
          <cell r="B17">
            <v>25000000000014</v>
          </cell>
          <cell r="C17" t="str">
            <v>Agus Priyatno Mahmudo</v>
          </cell>
          <cell r="D17" t="str">
            <v/>
          </cell>
        </row>
        <row r="18">
          <cell r="B18">
            <v>25000000000015</v>
          </cell>
          <cell r="C18" t="str">
            <v>Agus Salim</v>
          </cell>
          <cell r="D18" t="str">
            <v/>
          </cell>
        </row>
        <row r="19">
          <cell r="B19">
            <v>25000000000016</v>
          </cell>
          <cell r="C19" t="str">
            <v>Agus Tanto</v>
          </cell>
          <cell r="D19" t="str">
            <v/>
          </cell>
        </row>
        <row r="20">
          <cell r="B20">
            <v>25000000000017</v>
          </cell>
          <cell r="C20" t="str">
            <v>Ahmad Faiz Haems Muda</v>
          </cell>
          <cell r="D20" t="str">
            <v>3171041801820004</v>
          </cell>
        </row>
        <row r="21">
          <cell r="B21">
            <v>25000000000018</v>
          </cell>
          <cell r="C21" t="str">
            <v>Ahmad Faza</v>
          </cell>
          <cell r="D21" t="str">
            <v/>
          </cell>
        </row>
        <row r="22">
          <cell r="B22">
            <v>25000000000019</v>
          </cell>
          <cell r="C22" t="str">
            <v>Ahmad Syaifulloh</v>
          </cell>
          <cell r="D22" t="str">
            <v/>
          </cell>
        </row>
        <row r="23">
          <cell r="B23">
            <v>25000000000020</v>
          </cell>
          <cell r="C23" t="str">
            <v>Ahmad Zulkarnaen</v>
          </cell>
          <cell r="D23" t="str">
            <v/>
          </cell>
        </row>
        <row r="24">
          <cell r="B24">
            <v>25000000000021</v>
          </cell>
          <cell r="C24" t="str">
            <v>Ajan</v>
          </cell>
          <cell r="D24" t="str">
            <v/>
          </cell>
        </row>
        <row r="25">
          <cell r="B25">
            <v>25000000000022</v>
          </cell>
          <cell r="C25" t="str">
            <v>Al Amin</v>
          </cell>
          <cell r="D25" t="str">
            <v/>
          </cell>
        </row>
        <row r="26">
          <cell r="B26">
            <v>25000000000023</v>
          </cell>
          <cell r="C26" t="str">
            <v>Aldi Mulyadi</v>
          </cell>
          <cell r="D26" t="str">
            <v/>
          </cell>
        </row>
        <row r="27">
          <cell r="B27">
            <v>25000000000024</v>
          </cell>
          <cell r="C27" t="str">
            <v>Alexandri</v>
          </cell>
          <cell r="D27" t="str">
            <v/>
          </cell>
        </row>
        <row r="28">
          <cell r="B28">
            <v>25000000000025</v>
          </cell>
          <cell r="C28" t="str">
            <v>Alfaedi</v>
          </cell>
          <cell r="D28" t="str">
            <v/>
          </cell>
        </row>
        <row r="29">
          <cell r="B29">
            <v>25000000000026</v>
          </cell>
          <cell r="C29" t="str">
            <v>Ali Wahono</v>
          </cell>
          <cell r="D29" t="str">
            <v/>
          </cell>
        </row>
        <row r="30">
          <cell r="B30">
            <v>25000000000027</v>
          </cell>
          <cell r="C30" t="str">
            <v>Alphaliyanri Lasria</v>
          </cell>
          <cell r="D30" t="str">
            <v/>
          </cell>
        </row>
        <row r="31">
          <cell r="B31">
            <v>25000000000028</v>
          </cell>
          <cell r="C31" t="str">
            <v>Ambon Rumalean</v>
          </cell>
          <cell r="D31" t="str">
            <v/>
          </cell>
        </row>
        <row r="32">
          <cell r="B32">
            <v>25000000000029</v>
          </cell>
          <cell r="C32" t="str">
            <v>Amir Sofyan Hadi</v>
          </cell>
          <cell r="D32" t="str">
            <v/>
          </cell>
        </row>
        <row r="33">
          <cell r="B33">
            <v>25000000000030</v>
          </cell>
          <cell r="C33" t="str">
            <v>Anak Agung Netti Ariani</v>
          </cell>
          <cell r="D33" t="str">
            <v/>
          </cell>
        </row>
        <row r="34">
          <cell r="B34">
            <v>25000000000031</v>
          </cell>
          <cell r="C34" t="str">
            <v>Andri Gunawan</v>
          </cell>
          <cell r="D34" t="str">
            <v/>
          </cell>
        </row>
        <row r="35">
          <cell r="B35">
            <v>25000000000032</v>
          </cell>
          <cell r="C35" t="str">
            <v>Andri Herdiansyah</v>
          </cell>
          <cell r="D35" t="str">
            <v/>
          </cell>
        </row>
        <row r="36">
          <cell r="B36">
            <v>25000000000033</v>
          </cell>
          <cell r="C36" t="str">
            <v>Andrie</v>
          </cell>
          <cell r="D36" t="str">
            <v/>
          </cell>
        </row>
        <row r="37">
          <cell r="B37">
            <v>25000000000034</v>
          </cell>
          <cell r="C37" t="str">
            <v>Anggina Tri Yudandi</v>
          </cell>
          <cell r="D37" t="str">
            <v/>
          </cell>
        </row>
        <row r="38">
          <cell r="B38">
            <v>25000000000035</v>
          </cell>
          <cell r="C38" t="str">
            <v>Anggit Ismiyanto</v>
          </cell>
          <cell r="D38" t="str">
            <v/>
          </cell>
        </row>
        <row r="39">
          <cell r="B39">
            <v>25000000000036</v>
          </cell>
          <cell r="C39" t="str">
            <v>Anika Setyowati</v>
          </cell>
          <cell r="D39" t="str">
            <v/>
          </cell>
        </row>
        <row r="40">
          <cell r="B40">
            <v>25000000000037</v>
          </cell>
          <cell r="C40" t="str">
            <v>Anisah</v>
          </cell>
          <cell r="D40" t="str">
            <v/>
          </cell>
        </row>
        <row r="41">
          <cell r="B41">
            <v>25000000000038</v>
          </cell>
          <cell r="C41" t="str">
            <v>Anna Savitrie</v>
          </cell>
          <cell r="D41" t="str">
            <v/>
          </cell>
        </row>
        <row r="42">
          <cell r="B42">
            <v>25000000000039</v>
          </cell>
          <cell r="C42" t="str">
            <v>Annisa Dewi Arumsari</v>
          </cell>
          <cell r="D42" t="str">
            <v/>
          </cell>
        </row>
        <row r="43">
          <cell r="B43">
            <v>25000000000040</v>
          </cell>
          <cell r="C43" t="str">
            <v>Annyes Sri Maristi</v>
          </cell>
          <cell r="D43" t="str">
            <v/>
          </cell>
        </row>
        <row r="44">
          <cell r="B44">
            <v>25000000000041</v>
          </cell>
          <cell r="C44" t="str">
            <v>Antok</v>
          </cell>
          <cell r="D44" t="str">
            <v/>
          </cell>
        </row>
        <row r="45">
          <cell r="B45">
            <v>25000000000042</v>
          </cell>
          <cell r="C45" t="str">
            <v>Anton Iryanto</v>
          </cell>
          <cell r="D45" t="str">
            <v/>
          </cell>
        </row>
        <row r="46">
          <cell r="B46">
            <v>25000000000043</v>
          </cell>
          <cell r="C46" t="str">
            <v>Antony Pakpahan</v>
          </cell>
          <cell r="D46" t="str">
            <v/>
          </cell>
        </row>
        <row r="47">
          <cell r="B47">
            <v>25000000000044</v>
          </cell>
          <cell r="C47" t="str">
            <v>Anugerah Januariansyah</v>
          </cell>
          <cell r="D47" t="str">
            <v/>
          </cell>
        </row>
        <row r="48">
          <cell r="B48">
            <v>25000000000045</v>
          </cell>
          <cell r="C48" t="str">
            <v>Anwar Purnomo</v>
          </cell>
          <cell r="D48" t="str">
            <v/>
          </cell>
        </row>
        <row r="49">
          <cell r="B49">
            <v>25000000000046</v>
          </cell>
          <cell r="C49" t="str">
            <v>Ardhi Swasono</v>
          </cell>
          <cell r="D49" t="str">
            <v/>
          </cell>
        </row>
        <row r="50">
          <cell r="B50">
            <v>25000000000047</v>
          </cell>
          <cell r="C50" t="str">
            <v>Ardi</v>
          </cell>
          <cell r="D50" t="str">
            <v/>
          </cell>
        </row>
        <row r="51">
          <cell r="B51">
            <v>25000000000048</v>
          </cell>
          <cell r="C51" t="str">
            <v>Ardiansyah</v>
          </cell>
          <cell r="D51" t="str">
            <v/>
          </cell>
        </row>
        <row r="52">
          <cell r="B52">
            <v>25000000000049</v>
          </cell>
          <cell r="C52" t="str">
            <v>Ardisam</v>
          </cell>
          <cell r="D52" t="str">
            <v/>
          </cell>
        </row>
        <row r="53">
          <cell r="B53">
            <v>25000000000050</v>
          </cell>
          <cell r="C53" t="str">
            <v>Ardita</v>
          </cell>
          <cell r="D53" t="str">
            <v/>
          </cell>
        </row>
        <row r="54">
          <cell r="B54">
            <v>25000000000051</v>
          </cell>
          <cell r="C54" t="str">
            <v>Ares S. Mauboi</v>
          </cell>
          <cell r="D54" t="str">
            <v>3175081108800013</v>
          </cell>
        </row>
        <row r="55">
          <cell r="B55">
            <v>25000000000052</v>
          </cell>
          <cell r="C55" t="str">
            <v>Arfah Hanum</v>
          </cell>
          <cell r="D55" t="str">
            <v/>
          </cell>
        </row>
        <row r="56">
          <cell r="B56">
            <v>25000000000053</v>
          </cell>
          <cell r="C56" t="str">
            <v>Arfianti Haryani</v>
          </cell>
          <cell r="D56" t="str">
            <v/>
          </cell>
        </row>
        <row r="57">
          <cell r="B57">
            <v>25000000000054</v>
          </cell>
          <cell r="C57" t="str">
            <v>Ari Priwarsono</v>
          </cell>
          <cell r="D57" t="str">
            <v/>
          </cell>
        </row>
        <row r="58">
          <cell r="B58">
            <v>25000000000055</v>
          </cell>
          <cell r="C58" t="str">
            <v>Ari Yuniasmono</v>
          </cell>
          <cell r="D58" t="str">
            <v/>
          </cell>
        </row>
        <row r="59">
          <cell r="B59">
            <v>25000000000056</v>
          </cell>
          <cell r="C59" t="str">
            <v>Arif Gunawan</v>
          </cell>
          <cell r="D59" t="str">
            <v/>
          </cell>
        </row>
        <row r="60">
          <cell r="B60">
            <v>25000000000057</v>
          </cell>
          <cell r="C60" t="str">
            <v>Arif Prasetyo</v>
          </cell>
          <cell r="D60" t="str">
            <v/>
          </cell>
        </row>
        <row r="61">
          <cell r="B61">
            <v>25000000000058</v>
          </cell>
          <cell r="C61" t="str">
            <v>Arini</v>
          </cell>
          <cell r="D61" t="str">
            <v/>
          </cell>
        </row>
        <row r="62">
          <cell r="B62">
            <v>25000000000059</v>
          </cell>
          <cell r="C62" t="str">
            <v>Ario Setyo Gunawan</v>
          </cell>
          <cell r="D62" t="str">
            <v/>
          </cell>
        </row>
        <row r="63">
          <cell r="B63">
            <v>25000000000060</v>
          </cell>
          <cell r="C63" t="str">
            <v>Ario Yulianto Wibowo</v>
          </cell>
          <cell r="D63" t="str">
            <v/>
          </cell>
        </row>
        <row r="64">
          <cell r="B64">
            <v>25000000000061</v>
          </cell>
          <cell r="C64" t="str">
            <v>Aris Widodo Pamungkas</v>
          </cell>
          <cell r="D64" t="str">
            <v/>
          </cell>
        </row>
        <row r="65">
          <cell r="B65">
            <v>25000000000062</v>
          </cell>
          <cell r="C65" t="str">
            <v>Arjiyanto</v>
          </cell>
          <cell r="D65" t="str">
            <v/>
          </cell>
        </row>
        <row r="66">
          <cell r="B66">
            <v>25000000000063</v>
          </cell>
          <cell r="C66" t="str">
            <v>Arman</v>
          </cell>
          <cell r="D66" t="str">
            <v/>
          </cell>
        </row>
        <row r="67">
          <cell r="B67">
            <v>25000000000064</v>
          </cell>
          <cell r="C67" t="str">
            <v>Aryoko Sudiro</v>
          </cell>
          <cell r="D67" t="str">
            <v/>
          </cell>
        </row>
        <row r="68">
          <cell r="B68">
            <v>25000000000065</v>
          </cell>
          <cell r="C68" t="str">
            <v>Astamyugo</v>
          </cell>
          <cell r="D68" t="str">
            <v/>
          </cell>
        </row>
        <row r="69">
          <cell r="B69">
            <v>25000000000066</v>
          </cell>
          <cell r="C69" t="str">
            <v>Atmo Sastro Dinoto</v>
          </cell>
          <cell r="D69" t="str">
            <v/>
          </cell>
        </row>
        <row r="70">
          <cell r="B70">
            <v>25000000000067</v>
          </cell>
          <cell r="C70" t="str">
            <v>Awaludin</v>
          </cell>
          <cell r="D70" t="str">
            <v/>
          </cell>
        </row>
        <row r="71">
          <cell r="B71">
            <v>25000000000068</v>
          </cell>
          <cell r="C71" t="str">
            <v>Bachtiar</v>
          </cell>
          <cell r="D71" t="str">
            <v/>
          </cell>
        </row>
        <row r="72">
          <cell r="B72">
            <v>25000000000069</v>
          </cell>
          <cell r="C72" t="str">
            <v>Bambang Irawan</v>
          </cell>
          <cell r="D72" t="str">
            <v/>
          </cell>
        </row>
        <row r="73">
          <cell r="B73">
            <v>25000000000070</v>
          </cell>
          <cell r="C73" t="str">
            <v>Bambang Prihatin</v>
          </cell>
          <cell r="D73" t="str">
            <v/>
          </cell>
        </row>
        <row r="74">
          <cell r="B74">
            <v>25000000000071</v>
          </cell>
          <cell r="C74" t="str">
            <v>Bani Mustazeni</v>
          </cell>
          <cell r="D74" t="str">
            <v/>
          </cell>
        </row>
        <row r="75">
          <cell r="B75">
            <v>25000000000072</v>
          </cell>
          <cell r="C75" t="str">
            <v>Bardai</v>
          </cell>
          <cell r="D75" t="str">
            <v/>
          </cell>
        </row>
        <row r="76">
          <cell r="B76">
            <v>25000000000073</v>
          </cell>
          <cell r="C76" t="str">
            <v>Barika</v>
          </cell>
          <cell r="D76" t="str">
            <v/>
          </cell>
        </row>
        <row r="77">
          <cell r="B77">
            <v>25000000000074</v>
          </cell>
          <cell r="C77" t="str">
            <v>Bela Retmalantika</v>
          </cell>
          <cell r="D77" t="str">
            <v/>
          </cell>
        </row>
        <row r="78">
          <cell r="B78">
            <v>25000000000075</v>
          </cell>
          <cell r="C78" t="str">
            <v>Belina Lindarwani</v>
          </cell>
          <cell r="D78" t="str">
            <v>3276045103940005</v>
          </cell>
        </row>
        <row r="79">
          <cell r="B79">
            <v>25000000000076</v>
          </cell>
          <cell r="C79" t="str">
            <v>Benita Sofia</v>
          </cell>
          <cell r="D79" t="str">
            <v/>
          </cell>
        </row>
        <row r="80">
          <cell r="B80">
            <v>25000000000077</v>
          </cell>
          <cell r="C80" t="str">
            <v>Bherly Novrandy</v>
          </cell>
          <cell r="D80" t="str">
            <v/>
          </cell>
        </row>
        <row r="81">
          <cell r="B81">
            <v>25000000000078</v>
          </cell>
          <cell r="C81" t="str">
            <v>Binsar</v>
          </cell>
          <cell r="D81" t="str">
            <v/>
          </cell>
        </row>
        <row r="82">
          <cell r="B82">
            <v>25000000000079</v>
          </cell>
          <cell r="C82" t="str">
            <v>Bondhan Sosiarta</v>
          </cell>
          <cell r="D82" t="str">
            <v/>
          </cell>
        </row>
        <row r="83">
          <cell r="B83">
            <v>25000000000080</v>
          </cell>
          <cell r="C83" t="str">
            <v>Budi Pranata Sinaga</v>
          </cell>
          <cell r="D83" t="str">
            <v/>
          </cell>
        </row>
        <row r="84">
          <cell r="B84">
            <v>25000000000081</v>
          </cell>
          <cell r="C84" t="str">
            <v>Budi Satrio</v>
          </cell>
          <cell r="D84" t="str">
            <v/>
          </cell>
        </row>
        <row r="85">
          <cell r="B85">
            <v>25000000000082</v>
          </cell>
          <cell r="C85" t="str">
            <v>Budianto</v>
          </cell>
          <cell r="D85" t="str">
            <v>3174040705860015</v>
          </cell>
        </row>
        <row r="86">
          <cell r="B86">
            <v>25000000000083</v>
          </cell>
          <cell r="C86" t="str">
            <v>Budiman</v>
          </cell>
          <cell r="D86" t="str">
            <v/>
          </cell>
        </row>
        <row r="87">
          <cell r="B87">
            <v>25000000000084</v>
          </cell>
          <cell r="C87" t="str">
            <v>Cahyaning Annisa</v>
          </cell>
          <cell r="D87" t="str">
            <v/>
          </cell>
        </row>
        <row r="88">
          <cell r="B88">
            <v>25000000000085</v>
          </cell>
          <cell r="C88" t="str">
            <v>Cahyaningrum Widiastuti</v>
          </cell>
          <cell r="D88" t="str">
            <v/>
          </cell>
        </row>
        <row r="89">
          <cell r="B89">
            <v>25000000000086</v>
          </cell>
          <cell r="C89" t="str">
            <v>Cecep Maulana</v>
          </cell>
          <cell r="D89" t="str">
            <v/>
          </cell>
        </row>
        <row r="90">
          <cell r="B90">
            <v>25000000000087</v>
          </cell>
          <cell r="C90" t="str">
            <v>Chairul Musaddat</v>
          </cell>
          <cell r="D90" t="str">
            <v/>
          </cell>
        </row>
        <row r="91">
          <cell r="B91">
            <v>25000000000088</v>
          </cell>
          <cell r="C91" t="str">
            <v>Christianto</v>
          </cell>
          <cell r="D91" t="str">
            <v/>
          </cell>
        </row>
        <row r="92">
          <cell r="B92">
            <v>25000000000089</v>
          </cell>
          <cell r="C92" t="str">
            <v>Dadan Hermawan</v>
          </cell>
          <cell r="D92" t="str">
            <v/>
          </cell>
        </row>
        <row r="93">
          <cell r="B93">
            <v>25000000000090</v>
          </cell>
          <cell r="C93" t="str">
            <v>Dadan Suhendar</v>
          </cell>
          <cell r="D93" t="str">
            <v/>
          </cell>
        </row>
        <row r="94">
          <cell r="B94">
            <v>25000000000091</v>
          </cell>
          <cell r="C94" t="str">
            <v>Dadi Anda Zuchradi</v>
          </cell>
          <cell r="D94" t="str">
            <v/>
          </cell>
        </row>
        <row r="95">
          <cell r="B95">
            <v>25000000000092</v>
          </cell>
          <cell r="C95" t="str">
            <v>Darsito</v>
          </cell>
          <cell r="D95" t="str">
            <v>3313141612730001</v>
          </cell>
        </row>
        <row r="96">
          <cell r="B96">
            <v>25000000000093</v>
          </cell>
          <cell r="C96" t="str">
            <v>Davit Lumban Gaol</v>
          </cell>
          <cell r="D96" t="str">
            <v>1408102502900001</v>
          </cell>
        </row>
        <row r="97">
          <cell r="B97">
            <v>25000000000094</v>
          </cell>
          <cell r="C97" t="str">
            <v>Deddy Rochman</v>
          </cell>
          <cell r="D97" t="str">
            <v/>
          </cell>
        </row>
        <row r="98">
          <cell r="B98">
            <v>25000000000095</v>
          </cell>
          <cell r="C98" t="str">
            <v>Dedi Kusnadi</v>
          </cell>
          <cell r="D98" t="str">
            <v/>
          </cell>
        </row>
        <row r="99">
          <cell r="B99">
            <v>25000000000096</v>
          </cell>
          <cell r="C99" t="str">
            <v>Dedi Marciano Rizanur</v>
          </cell>
          <cell r="D99" t="str">
            <v/>
          </cell>
        </row>
        <row r="100">
          <cell r="B100">
            <v>25000000000097</v>
          </cell>
          <cell r="C100" t="str">
            <v>Dedi Rianto</v>
          </cell>
          <cell r="D100" t="str">
            <v/>
          </cell>
        </row>
        <row r="101">
          <cell r="B101">
            <v>25000000000098</v>
          </cell>
          <cell r="C101" t="str">
            <v>Dedi Syahputra</v>
          </cell>
          <cell r="D101" t="str">
            <v/>
          </cell>
        </row>
        <row r="102">
          <cell r="B102">
            <v>25000000000099</v>
          </cell>
          <cell r="C102" t="str">
            <v>Deni Setiawan</v>
          </cell>
          <cell r="D102" t="str">
            <v/>
          </cell>
        </row>
        <row r="103">
          <cell r="B103">
            <v>25000000000100</v>
          </cell>
          <cell r="C103" t="str">
            <v>Deny Adi Purnama</v>
          </cell>
          <cell r="D103" t="str">
            <v/>
          </cell>
        </row>
        <row r="104">
          <cell r="B104">
            <v>25000000000101</v>
          </cell>
          <cell r="C104" t="str">
            <v>Desi Herawati</v>
          </cell>
          <cell r="D104" t="str">
            <v/>
          </cell>
        </row>
        <row r="105">
          <cell r="B105">
            <v>25000000000102</v>
          </cell>
          <cell r="C105" t="str">
            <v>Desi Setiowati</v>
          </cell>
          <cell r="D105" t="str">
            <v/>
          </cell>
        </row>
        <row r="106">
          <cell r="B106">
            <v>25000000000103</v>
          </cell>
          <cell r="C106" t="str">
            <v>Dian Firdaus</v>
          </cell>
          <cell r="D106" t="str">
            <v/>
          </cell>
        </row>
        <row r="107">
          <cell r="B107">
            <v>25000000000104</v>
          </cell>
          <cell r="C107" t="str">
            <v>Dian Hariyana</v>
          </cell>
          <cell r="D107" t="str">
            <v/>
          </cell>
        </row>
        <row r="108">
          <cell r="B108">
            <v>25000000000105</v>
          </cell>
          <cell r="C108" t="str">
            <v>Dinnar Budiarti</v>
          </cell>
          <cell r="D108" t="str">
            <v/>
          </cell>
        </row>
        <row r="109">
          <cell r="B109">
            <v>25000000000106</v>
          </cell>
          <cell r="C109" t="str">
            <v>Dionesius Sostenist Duka</v>
          </cell>
          <cell r="D109" t="str">
            <v>3175102908760008</v>
          </cell>
        </row>
        <row r="110">
          <cell r="B110">
            <v>25000000000107</v>
          </cell>
          <cell r="C110" t="str">
            <v>Diyah Martina</v>
          </cell>
          <cell r="D110" t="str">
            <v/>
          </cell>
        </row>
        <row r="111">
          <cell r="B111">
            <v>25000000000108</v>
          </cell>
          <cell r="C111" t="str">
            <v>Djuang Tampubolon</v>
          </cell>
          <cell r="D111" t="str">
            <v/>
          </cell>
        </row>
        <row r="112">
          <cell r="B112">
            <v>25000000000109</v>
          </cell>
          <cell r="C112" t="str">
            <v>Dodit Widiarto</v>
          </cell>
          <cell r="D112" t="str">
            <v/>
          </cell>
        </row>
        <row r="113">
          <cell r="B113">
            <v>25000000000110</v>
          </cell>
          <cell r="C113" t="str">
            <v>Dony Darmawan</v>
          </cell>
          <cell r="D113" t="str">
            <v/>
          </cell>
        </row>
        <row r="114">
          <cell r="B114">
            <v>25000000000111</v>
          </cell>
          <cell r="C114" t="str">
            <v>Dony Setiawan</v>
          </cell>
          <cell r="D114" t="str">
            <v/>
          </cell>
        </row>
        <row r="115">
          <cell r="B115">
            <v>25000000000112</v>
          </cell>
          <cell r="C115" t="str">
            <v>Dudi Rustandi</v>
          </cell>
          <cell r="D115" t="str">
            <v/>
          </cell>
        </row>
        <row r="116">
          <cell r="B116">
            <v>25000000000113</v>
          </cell>
          <cell r="C116" t="str">
            <v>Dudung</v>
          </cell>
          <cell r="D116" t="str">
            <v/>
          </cell>
        </row>
        <row r="117">
          <cell r="B117">
            <v>25000000000114</v>
          </cell>
          <cell r="C117" t="str">
            <v>Dwi Joko Setio Tjaroko</v>
          </cell>
          <cell r="D117" t="str">
            <v/>
          </cell>
        </row>
        <row r="118">
          <cell r="B118">
            <v>25000000000115</v>
          </cell>
          <cell r="C118" t="str">
            <v>Dwinanto Prabowo</v>
          </cell>
          <cell r="D118" t="str">
            <v/>
          </cell>
        </row>
        <row r="119">
          <cell r="B119">
            <v>25000000000116</v>
          </cell>
          <cell r="C119" t="str">
            <v>Edi Waluyo</v>
          </cell>
          <cell r="D119" t="str">
            <v>3173012409690006</v>
          </cell>
        </row>
        <row r="120">
          <cell r="B120">
            <v>25000000000117</v>
          </cell>
          <cell r="C120" t="str">
            <v>Edi Siswanto</v>
          </cell>
          <cell r="D120" t="str">
            <v/>
          </cell>
        </row>
        <row r="121">
          <cell r="B121">
            <v>25000000000118</v>
          </cell>
          <cell r="C121" t="str">
            <v>Edi Turnip</v>
          </cell>
          <cell r="D121" t="str">
            <v/>
          </cell>
        </row>
        <row r="122">
          <cell r="B122">
            <v>25000000000119</v>
          </cell>
          <cell r="C122" t="str">
            <v>Edy Putra Waskita</v>
          </cell>
          <cell r="D122" t="str">
            <v/>
          </cell>
        </row>
        <row r="123">
          <cell r="B123">
            <v>25000000000120</v>
          </cell>
          <cell r="C123" t="str">
            <v>Edy Syahputra Situmeang</v>
          </cell>
          <cell r="D123" t="str">
            <v>1208301611900003</v>
          </cell>
        </row>
        <row r="124">
          <cell r="B124">
            <v>25000000000121</v>
          </cell>
          <cell r="C124" t="str">
            <v>Effendi fendi</v>
          </cell>
          <cell r="D124" t="str">
            <v/>
          </cell>
        </row>
        <row r="125">
          <cell r="B125">
            <v>25000000000122</v>
          </cell>
          <cell r="C125" t="str">
            <v>Efrina Dwililia</v>
          </cell>
          <cell r="D125" t="str">
            <v/>
          </cell>
        </row>
        <row r="126">
          <cell r="B126">
            <v>25000000000123</v>
          </cell>
          <cell r="C126" t="str">
            <v>Eka Bagus Dwi Putra</v>
          </cell>
          <cell r="D126" t="str">
            <v>3275030108950030</v>
          </cell>
        </row>
        <row r="127">
          <cell r="B127">
            <v>25000000000124</v>
          </cell>
          <cell r="C127" t="str">
            <v>Eka Hamidah</v>
          </cell>
          <cell r="D127" t="str">
            <v/>
          </cell>
        </row>
        <row r="128">
          <cell r="B128">
            <v>25000000000125</v>
          </cell>
          <cell r="C128" t="str">
            <v>Eka Purwanti</v>
          </cell>
          <cell r="D128" t="str">
            <v>3171076608940003</v>
          </cell>
        </row>
        <row r="129">
          <cell r="B129">
            <v>25000000000126</v>
          </cell>
          <cell r="C129" t="str">
            <v>Eka Kurniawan Hidayatullah</v>
          </cell>
          <cell r="D129" t="str">
            <v>3276051707880004</v>
          </cell>
        </row>
        <row r="130">
          <cell r="B130">
            <v>25000000000127</v>
          </cell>
          <cell r="C130" t="str">
            <v>Eko Laksono</v>
          </cell>
          <cell r="D130" t="str">
            <v/>
          </cell>
        </row>
        <row r="131">
          <cell r="B131">
            <v>25000000000128</v>
          </cell>
          <cell r="C131" t="str">
            <v>Eko Syambudi</v>
          </cell>
          <cell r="D131" t="str">
            <v/>
          </cell>
        </row>
        <row r="132">
          <cell r="B132">
            <v>25000000000129</v>
          </cell>
          <cell r="C132" t="str">
            <v>Elieser Ferdy P.</v>
          </cell>
          <cell r="D132" t="str">
            <v/>
          </cell>
        </row>
        <row r="133">
          <cell r="B133">
            <v>25000000000130</v>
          </cell>
          <cell r="C133" t="str">
            <v>Elisa</v>
          </cell>
          <cell r="D133" t="str">
            <v/>
          </cell>
        </row>
        <row r="134">
          <cell r="B134">
            <v>25000000000131</v>
          </cell>
          <cell r="C134" t="str">
            <v>Elsa Jayanti</v>
          </cell>
          <cell r="D134" t="str">
            <v/>
          </cell>
        </row>
        <row r="135">
          <cell r="B135">
            <v>25000000000132</v>
          </cell>
          <cell r="C135" t="str">
            <v>Elsa Mardian</v>
          </cell>
          <cell r="D135" t="str">
            <v/>
          </cell>
        </row>
        <row r="136">
          <cell r="B136">
            <v>25000000000133</v>
          </cell>
          <cell r="C136" t="str">
            <v>Emir Paranita Nasution</v>
          </cell>
          <cell r="D136" t="str">
            <v/>
          </cell>
        </row>
        <row r="137">
          <cell r="B137">
            <v>25000000000134</v>
          </cell>
          <cell r="C137" t="str">
            <v>Enceng Hemawan</v>
          </cell>
          <cell r="D137" t="str">
            <v/>
          </cell>
        </row>
        <row r="138">
          <cell r="B138">
            <v>25000000000135</v>
          </cell>
          <cell r="C138" t="str">
            <v>Endang</v>
          </cell>
          <cell r="D138" t="str">
            <v/>
          </cell>
        </row>
        <row r="139">
          <cell r="B139">
            <v>25000000000136</v>
          </cell>
          <cell r="C139" t="str">
            <v>Endang Lestari</v>
          </cell>
          <cell r="D139" t="str">
            <v/>
          </cell>
        </row>
        <row r="140">
          <cell r="B140">
            <v>25000000000137</v>
          </cell>
          <cell r="C140" t="str">
            <v>Endang Sobari</v>
          </cell>
          <cell r="D140" t="str">
            <v/>
          </cell>
        </row>
        <row r="141">
          <cell r="B141">
            <v>25000000000138</v>
          </cell>
          <cell r="C141" t="str">
            <v>Endang Sutrisna</v>
          </cell>
          <cell r="D141" t="str">
            <v>3173063012700005</v>
          </cell>
        </row>
        <row r="142">
          <cell r="B142">
            <v>25000000000139</v>
          </cell>
          <cell r="C142" t="str">
            <v>Erfananda Rasyid</v>
          </cell>
          <cell r="D142" t="str">
            <v/>
          </cell>
        </row>
        <row r="143">
          <cell r="B143">
            <v>25000000000140</v>
          </cell>
          <cell r="C143" t="str">
            <v>Ernawati</v>
          </cell>
          <cell r="D143" t="str">
            <v/>
          </cell>
        </row>
        <row r="144">
          <cell r="B144">
            <v>25000000000141</v>
          </cell>
          <cell r="C144" t="str">
            <v>Erwin Firmansyah</v>
          </cell>
          <cell r="D144" t="str">
            <v/>
          </cell>
        </row>
        <row r="145">
          <cell r="B145">
            <v>25000000000142</v>
          </cell>
          <cell r="C145" t="str">
            <v>Erwin Said</v>
          </cell>
          <cell r="D145" t="str">
            <v/>
          </cell>
        </row>
        <row r="146">
          <cell r="B146">
            <v>25000000000143</v>
          </cell>
          <cell r="C146" t="str">
            <v>Esa Annahar</v>
          </cell>
          <cell r="D146" t="str">
            <v/>
          </cell>
        </row>
        <row r="147">
          <cell r="B147">
            <v>25000000000144</v>
          </cell>
          <cell r="C147" t="str">
            <v>Faiz Horifal</v>
          </cell>
          <cell r="D147" t="str">
            <v/>
          </cell>
        </row>
        <row r="148">
          <cell r="B148">
            <v>25000000000145</v>
          </cell>
          <cell r="C148" t="str">
            <v>Fani Dwi Astutik</v>
          </cell>
          <cell r="D148" t="str">
            <v/>
          </cell>
        </row>
        <row r="149">
          <cell r="B149">
            <v>25000000000146</v>
          </cell>
          <cell r="C149" t="str">
            <v>Fardi Nauli R</v>
          </cell>
          <cell r="D149" t="str">
            <v/>
          </cell>
        </row>
        <row r="150">
          <cell r="B150">
            <v>25000000000147</v>
          </cell>
          <cell r="C150" t="str">
            <v>Farekh Huzair</v>
          </cell>
          <cell r="D150" t="str">
            <v/>
          </cell>
        </row>
        <row r="151">
          <cell r="B151">
            <v>25000000000148</v>
          </cell>
          <cell r="C151" t="str">
            <v>Farhana</v>
          </cell>
          <cell r="D151" t="str">
            <v/>
          </cell>
        </row>
        <row r="152">
          <cell r="B152">
            <v>25000000000149</v>
          </cell>
          <cell r="C152" t="str">
            <v>Febriyanto Ahdiat</v>
          </cell>
          <cell r="D152" t="str">
            <v/>
          </cell>
        </row>
        <row r="153">
          <cell r="B153">
            <v>25000000000150</v>
          </cell>
          <cell r="C153" t="str">
            <v>Febryan Mahsyar</v>
          </cell>
          <cell r="D153" t="str">
            <v/>
          </cell>
        </row>
        <row r="154">
          <cell r="B154">
            <v>25000000000151</v>
          </cell>
          <cell r="C154" t="str">
            <v>Felpy</v>
          </cell>
          <cell r="D154" t="str">
            <v/>
          </cell>
        </row>
        <row r="155">
          <cell r="B155">
            <v>25000000000152</v>
          </cell>
          <cell r="C155" t="str">
            <v>Feri Priyanto</v>
          </cell>
          <cell r="D155" t="str">
            <v/>
          </cell>
        </row>
        <row r="156">
          <cell r="B156">
            <v>25000000000153</v>
          </cell>
          <cell r="C156" t="str">
            <v>Ferry P Simanjuntak</v>
          </cell>
          <cell r="D156" t="str">
            <v/>
          </cell>
        </row>
        <row r="157">
          <cell r="B157">
            <v>25000000000154</v>
          </cell>
          <cell r="C157" t="str">
            <v>Fikri</v>
          </cell>
          <cell r="D157" t="str">
            <v/>
          </cell>
        </row>
        <row r="158">
          <cell r="B158">
            <v>25000000000155</v>
          </cell>
          <cell r="C158" t="str">
            <v>M. Fikri Caesarandi Hasibuan</v>
          </cell>
          <cell r="D158" t="str">
            <v>1271050107980002</v>
          </cell>
        </row>
        <row r="159">
          <cell r="B159">
            <v>25000000000156</v>
          </cell>
          <cell r="C159" t="str">
            <v>Firman Akbar</v>
          </cell>
          <cell r="D159" t="str">
            <v/>
          </cell>
        </row>
        <row r="160">
          <cell r="B160">
            <v>25000000000157</v>
          </cell>
          <cell r="C160" t="str">
            <v>Fitriastuti Kurnia</v>
          </cell>
          <cell r="D160" t="str">
            <v/>
          </cell>
        </row>
        <row r="161">
          <cell r="B161">
            <v>25000000000158</v>
          </cell>
          <cell r="C161" t="str">
            <v>Francis Imanuel</v>
          </cell>
          <cell r="D161" t="str">
            <v/>
          </cell>
        </row>
        <row r="162">
          <cell r="B162">
            <v>25000000000159</v>
          </cell>
          <cell r="C162" t="str">
            <v>Frando Judi Siahaan</v>
          </cell>
          <cell r="D162" t="str">
            <v/>
          </cell>
        </row>
        <row r="163">
          <cell r="B163">
            <v>25000000000160</v>
          </cell>
          <cell r="C163" t="str">
            <v>Frederika Intan</v>
          </cell>
          <cell r="D163" t="str">
            <v/>
          </cell>
        </row>
        <row r="164">
          <cell r="B164">
            <v>25000000000161</v>
          </cell>
          <cell r="C164" t="str">
            <v>Fuad Febrian</v>
          </cell>
          <cell r="D164" t="str">
            <v/>
          </cell>
        </row>
        <row r="165">
          <cell r="B165">
            <v>25000000000162</v>
          </cell>
          <cell r="C165" t="str">
            <v>Wiyadianto</v>
          </cell>
          <cell r="D165" t="str">
            <v/>
          </cell>
        </row>
        <row r="166">
          <cell r="B166">
            <v>25000000000163</v>
          </cell>
          <cell r="C166" t="str">
            <v>Galuh Swastika</v>
          </cell>
          <cell r="D166" t="str">
            <v/>
          </cell>
        </row>
        <row r="167">
          <cell r="B167">
            <v>25000000000164</v>
          </cell>
          <cell r="C167" t="str">
            <v>Ganda Yuharis R.</v>
          </cell>
          <cell r="D167" t="str">
            <v/>
          </cell>
        </row>
        <row r="168">
          <cell r="B168">
            <v>25000000000165</v>
          </cell>
          <cell r="C168" t="str">
            <v>Gatot Harsono</v>
          </cell>
          <cell r="D168" t="str">
            <v/>
          </cell>
        </row>
        <row r="169">
          <cell r="B169">
            <v>25000000000166</v>
          </cell>
          <cell r="C169" t="str">
            <v>Gina Septa</v>
          </cell>
          <cell r="D169" t="str">
            <v/>
          </cell>
        </row>
        <row r="170">
          <cell r="B170">
            <v>25000000000167</v>
          </cell>
          <cell r="C170" t="str">
            <v>Grace Kurniawan</v>
          </cell>
          <cell r="D170" t="str">
            <v>3271026603650001</v>
          </cell>
        </row>
        <row r="171">
          <cell r="B171">
            <v>25000000000168</v>
          </cell>
          <cell r="C171" t="str">
            <v>Gunawan</v>
          </cell>
          <cell r="D171" t="str">
            <v>3275122807710004</v>
          </cell>
        </row>
        <row r="172">
          <cell r="B172">
            <v>25000000000169</v>
          </cell>
          <cell r="C172" t="str">
            <v>Gustia Rakhmanita</v>
          </cell>
          <cell r="D172" t="str">
            <v/>
          </cell>
        </row>
        <row r="173">
          <cell r="B173">
            <v>25000000000170</v>
          </cell>
          <cell r="C173" t="str">
            <v>Habib Abdullah</v>
          </cell>
          <cell r="D173" t="str">
            <v/>
          </cell>
        </row>
        <row r="174">
          <cell r="B174">
            <v>25000000000171</v>
          </cell>
          <cell r="C174" t="str">
            <v>Hadi Kasmuri</v>
          </cell>
          <cell r="D174" t="str">
            <v/>
          </cell>
        </row>
        <row r="175">
          <cell r="B175">
            <v>25000000000172</v>
          </cell>
          <cell r="C175" t="str">
            <v>Haikal</v>
          </cell>
          <cell r="D175" t="str">
            <v/>
          </cell>
        </row>
        <row r="176">
          <cell r="B176">
            <v>25000000000173</v>
          </cell>
          <cell r="C176" t="str">
            <v>Hanantowiryo Tamtama</v>
          </cell>
          <cell r="D176" t="str">
            <v/>
          </cell>
        </row>
        <row r="177">
          <cell r="B177">
            <v>25000000000174</v>
          </cell>
          <cell r="C177" t="str">
            <v>Handoko</v>
          </cell>
          <cell r="D177" t="str">
            <v/>
          </cell>
        </row>
        <row r="178">
          <cell r="B178">
            <v>25000000000175</v>
          </cell>
          <cell r="C178" t="str">
            <v>Hanif Ashari</v>
          </cell>
          <cell r="D178" t="str">
            <v/>
          </cell>
        </row>
        <row r="179">
          <cell r="B179">
            <v>25000000000176</v>
          </cell>
          <cell r="C179" t="str">
            <v>Hanif Eko Saputro</v>
          </cell>
          <cell r="D179" t="str">
            <v/>
          </cell>
        </row>
        <row r="180">
          <cell r="B180">
            <v>25000000000177</v>
          </cell>
          <cell r="C180" t="str">
            <v>Hardianto</v>
          </cell>
          <cell r="D180" t="str">
            <v/>
          </cell>
        </row>
        <row r="181">
          <cell r="B181">
            <v>25000000000178</v>
          </cell>
          <cell r="C181" t="str">
            <v>Harlen Amudi Purba</v>
          </cell>
          <cell r="D181" t="str">
            <v/>
          </cell>
        </row>
        <row r="182">
          <cell r="B182">
            <v>25000000000179</v>
          </cell>
          <cell r="C182" t="str">
            <v>Harry Isnaeni</v>
          </cell>
          <cell r="D182" t="str">
            <v/>
          </cell>
        </row>
        <row r="183">
          <cell r="B183">
            <v>25000000000180</v>
          </cell>
          <cell r="C183" t="str">
            <v>Hasan Gani</v>
          </cell>
          <cell r="D183" t="str">
            <v/>
          </cell>
        </row>
        <row r="184">
          <cell r="B184">
            <v>25000000000181</v>
          </cell>
          <cell r="C184" t="str">
            <v>Hasrul</v>
          </cell>
          <cell r="D184" t="str">
            <v/>
          </cell>
        </row>
        <row r="185">
          <cell r="B185">
            <v>25000000000182</v>
          </cell>
          <cell r="C185" t="str">
            <v>Hendar Pambudi</v>
          </cell>
          <cell r="D185" t="str">
            <v/>
          </cell>
        </row>
        <row r="186">
          <cell r="B186">
            <v>25000000000183</v>
          </cell>
          <cell r="C186" t="str">
            <v>Hendri Kustian</v>
          </cell>
          <cell r="D186" t="str">
            <v/>
          </cell>
        </row>
        <row r="187">
          <cell r="B187">
            <v>25000000000184</v>
          </cell>
          <cell r="C187" t="str">
            <v>Hendrik</v>
          </cell>
          <cell r="D187" t="str">
            <v/>
          </cell>
        </row>
        <row r="188">
          <cell r="B188">
            <v>25000000000185</v>
          </cell>
          <cell r="C188" t="str">
            <v>Herdi Yulia Rohmana</v>
          </cell>
          <cell r="D188" t="str">
            <v/>
          </cell>
        </row>
        <row r="189">
          <cell r="B189">
            <v>25000000000186</v>
          </cell>
          <cell r="C189" t="str">
            <v>Heri Susanto</v>
          </cell>
          <cell r="D189" t="str">
            <v/>
          </cell>
        </row>
        <row r="190">
          <cell r="B190">
            <v>25000000000187</v>
          </cell>
          <cell r="C190" t="str">
            <v>Herlin Juli Asri</v>
          </cell>
          <cell r="D190" t="str">
            <v/>
          </cell>
        </row>
        <row r="191">
          <cell r="B191">
            <v>25000000000188</v>
          </cell>
          <cell r="C191" t="str">
            <v>Herman Budoyo</v>
          </cell>
          <cell r="D191" t="str">
            <v/>
          </cell>
        </row>
        <row r="192">
          <cell r="B192">
            <v>25000000000189</v>
          </cell>
          <cell r="C192" t="str">
            <v>Herni Yuliati</v>
          </cell>
          <cell r="D192" t="str">
            <v/>
          </cell>
        </row>
        <row r="193">
          <cell r="B193">
            <v>25000000000190</v>
          </cell>
          <cell r="C193" t="str">
            <v>Hernita Dwi</v>
          </cell>
          <cell r="D193" t="str">
            <v/>
          </cell>
        </row>
        <row r="194">
          <cell r="B194">
            <v>25000000000191</v>
          </cell>
          <cell r="C194" t="str">
            <v>Herri Setyawan</v>
          </cell>
          <cell r="D194" t="str">
            <v/>
          </cell>
        </row>
        <row r="195">
          <cell r="B195">
            <v>25000000000192</v>
          </cell>
          <cell r="C195" t="str">
            <v>Heru Sugiri</v>
          </cell>
          <cell r="D195" t="str">
            <v/>
          </cell>
        </row>
        <row r="196">
          <cell r="B196">
            <v>25000000000193</v>
          </cell>
          <cell r="C196" t="str">
            <v>Hervian Bagus Saputra</v>
          </cell>
          <cell r="D196" t="str">
            <v/>
          </cell>
        </row>
        <row r="197">
          <cell r="B197">
            <v>25000000000194</v>
          </cell>
          <cell r="C197" t="str">
            <v>H.R. Marlina S. T. R.</v>
          </cell>
          <cell r="D197" t="str">
            <v/>
          </cell>
        </row>
        <row r="198">
          <cell r="B198">
            <v>25000000000195</v>
          </cell>
          <cell r="C198" t="str">
            <v>Ibrahim Soukani</v>
          </cell>
          <cell r="D198" t="str">
            <v/>
          </cell>
        </row>
        <row r="199">
          <cell r="B199">
            <v>25000000000196</v>
          </cell>
          <cell r="C199" t="str">
            <v>Icha Mailinda Syamsoedin</v>
          </cell>
          <cell r="D199" t="str">
            <v>3305134603960002</v>
          </cell>
        </row>
        <row r="200">
          <cell r="B200">
            <v>25000000000197</v>
          </cell>
          <cell r="C200" t="str">
            <v>Ichsanudin</v>
          </cell>
          <cell r="D200" t="str">
            <v/>
          </cell>
        </row>
        <row r="201">
          <cell r="B201">
            <v>25000000000198</v>
          </cell>
          <cell r="C201" t="str">
            <v>Ida Tri Wulaningsih</v>
          </cell>
          <cell r="D201" t="str">
            <v/>
          </cell>
        </row>
        <row r="202">
          <cell r="B202">
            <v>25000000000199</v>
          </cell>
          <cell r="C202" t="str">
            <v>Idham</v>
          </cell>
          <cell r="D202" t="str">
            <v/>
          </cell>
        </row>
        <row r="203">
          <cell r="B203">
            <v>25000000000200</v>
          </cell>
          <cell r="C203" t="str">
            <v>Idham Nasution</v>
          </cell>
          <cell r="D203" t="str">
            <v/>
          </cell>
        </row>
        <row r="204">
          <cell r="B204">
            <v>25000000000201</v>
          </cell>
          <cell r="C204" t="str">
            <v>Idian</v>
          </cell>
          <cell r="D204" t="str">
            <v/>
          </cell>
        </row>
        <row r="205">
          <cell r="B205">
            <v>25000000000202</v>
          </cell>
          <cell r="C205" t="str">
            <v>Ikun M. Soedrajat</v>
          </cell>
          <cell r="D205" t="str">
            <v/>
          </cell>
        </row>
        <row r="206">
          <cell r="B206">
            <v>25000000000203</v>
          </cell>
          <cell r="C206" t="str">
            <v>Ilham Arisyandy</v>
          </cell>
          <cell r="D206" t="str">
            <v/>
          </cell>
        </row>
        <row r="207">
          <cell r="B207">
            <v>25000000000204</v>
          </cell>
          <cell r="C207" t="str">
            <v>Ilham Akbar</v>
          </cell>
          <cell r="D207" t="str">
            <v/>
          </cell>
        </row>
        <row r="208">
          <cell r="B208">
            <v>25000000000205</v>
          </cell>
          <cell r="C208" t="str">
            <v>Imam Basuki</v>
          </cell>
          <cell r="D208" t="str">
            <v/>
          </cell>
        </row>
        <row r="209">
          <cell r="B209">
            <v>25000000000206</v>
          </cell>
          <cell r="C209" t="str">
            <v>Imam Mustofa</v>
          </cell>
          <cell r="D209" t="str">
            <v/>
          </cell>
        </row>
        <row r="210">
          <cell r="B210">
            <v>25000000000207</v>
          </cell>
          <cell r="C210" t="str">
            <v>Imam Safiiy</v>
          </cell>
          <cell r="D210" t="str">
            <v/>
          </cell>
        </row>
        <row r="211">
          <cell r="B211">
            <v>25000000000208</v>
          </cell>
          <cell r="C211" t="str">
            <v>Iman Hakiki</v>
          </cell>
          <cell r="D211" t="str">
            <v/>
          </cell>
        </row>
        <row r="212">
          <cell r="B212">
            <v>25000000000209</v>
          </cell>
          <cell r="C212" t="str">
            <v>Imelda Claudia</v>
          </cell>
          <cell r="D212" t="str">
            <v/>
          </cell>
        </row>
        <row r="213">
          <cell r="B213">
            <v>25000000000210</v>
          </cell>
          <cell r="C213" t="str">
            <v>Indawan Haryadi</v>
          </cell>
          <cell r="D213" t="str">
            <v/>
          </cell>
        </row>
        <row r="214">
          <cell r="B214">
            <v>25000000000211</v>
          </cell>
          <cell r="C214" t="str">
            <v>Indra Jaya</v>
          </cell>
          <cell r="D214" t="str">
            <v/>
          </cell>
        </row>
        <row r="215">
          <cell r="B215">
            <v>25000000000212</v>
          </cell>
          <cell r="C215" t="str">
            <v>Indra Muchtar</v>
          </cell>
          <cell r="D215" t="str">
            <v/>
          </cell>
        </row>
        <row r="216">
          <cell r="B216">
            <v>25000000000213</v>
          </cell>
          <cell r="C216" t="str">
            <v>Irvan</v>
          </cell>
          <cell r="D216" t="str">
            <v/>
          </cell>
        </row>
        <row r="217">
          <cell r="B217">
            <v>25000000000214</v>
          </cell>
          <cell r="C217" t="str">
            <v>Irvan Agus Dharma Eka Putra</v>
          </cell>
          <cell r="D217" t="str">
            <v/>
          </cell>
        </row>
        <row r="218">
          <cell r="B218">
            <v>25000000000215</v>
          </cell>
          <cell r="C218" t="str">
            <v>Irwan</v>
          </cell>
          <cell r="D218" t="str">
            <v/>
          </cell>
        </row>
        <row r="219">
          <cell r="B219">
            <v>25000000000216</v>
          </cell>
          <cell r="C219" t="str">
            <v>Isa Anshori</v>
          </cell>
          <cell r="D219" t="str">
            <v/>
          </cell>
        </row>
        <row r="220">
          <cell r="B220">
            <v>25000000000217</v>
          </cell>
          <cell r="C220" t="str">
            <v>Isa Taufiq</v>
          </cell>
          <cell r="D220" t="str">
            <v/>
          </cell>
        </row>
        <row r="221">
          <cell r="B221">
            <v>25000000000218</v>
          </cell>
          <cell r="C221" t="str">
            <v>Iskandarsyah</v>
          </cell>
          <cell r="D221" t="str">
            <v/>
          </cell>
        </row>
        <row r="222">
          <cell r="B222">
            <v>25000000000219</v>
          </cell>
          <cell r="C222" t="str">
            <v>Istanto Istanto</v>
          </cell>
          <cell r="D222" t="str">
            <v/>
          </cell>
        </row>
        <row r="223">
          <cell r="B223">
            <v>25000000000220</v>
          </cell>
          <cell r="C223" t="str">
            <v>Iswahyuni</v>
          </cell>
          <cell r="D223" t="str">
            <v/>
          </cell>
        </row>
        <row r="224">
          <cell r="B224">
            <v>25000000000221</v>
          </cell>
          <cell r="C224" t="str">
            <v>Iva Nurvahayati</v>
          </cell>
          <cell r="D224" t="str">
            <v/>
          </cell>
        </row>
        <row r="225">
          <cell r="B225">
            <v>25000000000222</v>
          </cell>
          <cell r="C225" t="str">
            <v>Iwan Setiawan</v>
          </cell>
          <cell r="D225" t="str">
            <v/>
          </cell>
        </row>
        <row r="226">
          <cell r="B226">
            <v>25000000000223</v>
          </cell>
          <cell r="C226" t="str">
            <v>Iwan Sumantri</v>
          </cell>
          <cell r="D226" t="str">
            <v/>
          </cell>
        </row>
        <row r="227">
          <cell r="B227">
            <v>25000000000224</v>
          </cell>
          <cell r="C227" t="str">
            <v>Iwan Wibawa</v>
          </cell>
          <cell r="D227" t="str">
            <v/>
          </cell>
        </row>
        <row r="228">
          <cell r="B228">
            <v>25000000000225</v>
          </cell>
          <cell r="C228" t="str">
            <v>Iyus Darwin</v>
          </cell>
          <cell r="D228" t="str">
            <v/>
          </cell>
        </row>
        <row r="229">
          <cell r="B229">
            <v>25000000000226</v>
          </cell>
          <cell r="C229" t="str">
            <v>Jaenudin</v>
          </cell>
          <cell r="D229" t="str">
            <v/>
          </cell>
        </row>
        <row r="230">
          <cell r="B230">
            <v>25000000000227</v>
          </cell>
          <cell r="C230" t="str">
            <v>Jaruli Samosir</v>
          </cell>
          <cell r="D230" t="str">
            <v/>
          </cell>
        </row>
        <row r="231">
          <cell r="B231">
            <v>25000000000228</v>
          </cell>
          <cell r="C231" t="str">
            <v>Jaya Ganef</v>
          </cell>
          <cell r="D231" t="str">
            <v/>
          </cell>
        </row>
        <row r="232">
          <cell r="B232">
            <v>25000000000229</v>
          </cell>
          <cell r="C232" t="str">
            <v>Jaya Sitepu</v>
          </cell>
          <cell r="D232" t="str">
            <v/>
          </cell>
        </row>
        <row r="233">
          <cell r="B233">
            <v>25000000000230</v>
          </cell>
          <cell r="C233" t="str">
            <v>Jeefrianda H. P. Sigalingging</v>
          </cell>
          <cell r="D233" t="str">
            <v/>
          </cell>
        </row>
        <row r="234">
          <cell r="B234">
            <v>25000000000231</v>
          </cell>
          <cell r="C234" t="str">
            <v>Jerry Djajasaputra</v>
          </cell>
          <cell r="D234" t="str">
            <v/>
          </cell>
        </row>
        <row r="235">
          <cell r="B235">
            <v>25000000000232</v>
          </cell>
          <cell r="C235" t="str">
            <v>Jimmywal</v>
          </cell>
          <cell r="D235" t="str">
            <v>3201042302780003</v>
          </cell>
        </row>
        <row r="236">
          <cell r="B236">
            <v>25000000000233</v>
          </cell>
          <cell r="C236" t="str">
            <v>Jodie Satria</v>
          </cell>
          <cell r="D236" t="str">
            <v/>
          </cell>
        </row>
        <row r="237">
          <cell r="B237">
            <v>25000000000234</v>
          </cell>
          <cell r="C237" t="str">
            <v>Johannes Silalahi</v>
          </cell>
          <cell r="D237" t="str">
            <v/>
          </cell>
        </row>
        <row r="238">
          <cell r="B238">
            <v>25000000000235</v>
          </cell>
          <cell r="C238" t="str">
            <v>Joko Wiyono</v>
          </cell>
          <cell r="D238" t="str">
            <v/>
          </cell>
        </row>
        <row r="239">
          <cell r="B239">
            <v>25000000000236</v>
          </cell>
          <cell r="C239" t="str">
            <v>Jondril Hantoni</v>
          </cell>
          <cell r="D239" t="str">
            <v/>
          </cell>
        </row>
        <row r="240">
          <cell r="B240">
            <v>25000000000237</v>
          </cell>
          <cell r="C240" t="str">
            <v>Jonhar Aziz</v>
          </cell>
          <cell r="D240" t="str">
            <v/>
          </cell>
        </row>
        <row r="241">
          <cell r="B241">
            <v>25000000000238</v>
          </cell>
          <cell r="C241" t="str">
            <v>Juan Talitha</v>
          </cell>
          <cell r="D241" t="str">
            <v/>
          </cell>
        </row>
        <row r="242">
          <cell r="B242">
            <v>25000000000239</v>
          </cell>
          <cell r="C242" t="str">
            <v>Juharja Juharja</v>
          </cell>
          <cell r="D242" t="str">
            <v/>
          </cell>
        </row>
        <row r="243">
          <cell r="B243">
            <v>25000000000240</v>
          </cell>
          <cell r="C243" t="str">
            <v>Juminar</v>
          </cell>
          <cell r="D243" t="str">
            <v/>
          </cell>
        </row>
        <row r="244">
          <cell r="B244">
            <v>25000000000241</v>
          </cell>
          <cell r="C244" t="str">
            <v>Jumino</v>
          </cell>
          <cell r="D244" t="str">
            <v/>
          </cell>
        </row>
        <row r="245">
          <cell r="B245">
            <v>25000000000242</v>
          </cell>
          <cell r="C245" t="str">
            <v>Junaedi</v>
          </cell>
          <cell r="D245" t="str">
            <v/>
          </cell>
        </row>
        <row r="246">
          <cell r="B246">
            <v>25000000000243</v>
          </cell>
          <cell r="C246" t="str">
            <v>Junaidi</v>
          </cell>
          <cell r="D246" t="str">
            <v/>
          </cell>
        </row>
        <row r="247">
          <cell r="B247">
            <v>25000000000244</v>
          </cell>
          <cell r="C247" t="str">
            <v>Jusuf Bobby Putra</v>
          </cell>
          <cell r="D247" t="str">
            <v/>
          </cell>
        </row>
        <row r="248">
          <cell r="B248">
            <v>25000000000245</v>
          </cell>
          <cell r="C248" t="str">
            <v>Jusuf Gandi</v>
          </cell>
          <cell r="D248" t="str">
            <v/>
          </cell>
        </row>
        <row r="249">
          <cell r="B249">
            <v>25000000000246</v>
          </cell>
          <cell r="C249" t="str">
            <v>Kahar Triyono</v>
          </cell>
          <cell r="D249" t="str">
            <v/>
          </cell>
        </row>
        <row r="250">
          <cell r="B250">
            <v>25000000000247</v>
          </cell>
          <cell r="C250" t="str">
            <v>Keila</v>
          </cell>
          <cell r="D250" t="str">
            <v/>
          </cell>
        </row>
        <row r="251">
          <cell r="B251">
            <v>25000000000248</v>
          </cell>
          <cell r="C251" t="str">
            <v>Kendra Daniswara</v>
          </cell>
          <cell r="D251" t="str">
            <v/>
          </cell>
        </row>
        <row r="252">
          <cell r="B252">
            <v>25000000000249</v>
          </cell>
          <cell r="C252" t="str">
            <v>Kevin Henokh Tambunan</v>
          </cell>
          <cell r="D252" t="str">
            <v/>
          </cell>
        </row>
        <row r="253">
          <cell r="B253">
            <v>25000000000250</v>
          </cell>
          <cell r="C253" t="str">
            <v>Khafid Fahrurrozi</v>
          </cell>
          <cell r="D253" t="str">
            <v/>
          </cell>
        </row>
        <row r="254">
          <cell r="B254">
            <v>25000000000251</v>
          </cell>
          <cell r="C254" t="str">
            <v>Kholik</v>
          </cell>
          <cell r="D254" t="str">
            <v/>
          </cell>
        </row>
        <row r="255">
          <cell r="B255">
            <v>25000000000252</v>
          </cell>
          <cell r="C255" t="str">
            <v>Kiki Mustikawati</v>
          </cell>
          <cell r="D255" t="str">
            <v/>
          </cell>
        </row>
        <row r="256">
          <cell r="B256">
            <v>25000000000253</v>
          </cell>
          <cell r="C256" t="str">
            <v>Kornelius Sakan</v>
          </cell>
          <cell r="D256" t="str">
            <v>3671130303690004</v>
          </cell>
        </row>
        <row r="257">
          <cell r="B257">
            <v>25000000000254</v>
          </cell>
          <cell r="C257" t="str">
            <v>Kosasih</v>
          </cell>
          <cell r="D257" t="str">
            <v/>
          </cell>
        </row>
        <row r="258">
          <cell r="B258">
            <v>25000000000255</v>
          </cell>
          <cell r="C258" t="str">
            <v>Krisnawan</v>
          </cell>
          <cell r="D258" t="str">
            <v/>
          </cell>
        </row>
        <row r="259">
          <cell r="B259">
            <v>25000000000256</v>
          </cell>
          <cell r="C259" t="str">
            <v>Kurniadi</v>
          </cell>
          <cell r="D259" t="str">
            <v/>
          </cell>
        </row>
        <row r="260">
          <cell r="B260">
            <v>25000000000257</v>
          </cell>
          <cell r="C260" t="str">
            <v>Kurniawan</v>
          </cell>
          <cell r="D260" t="str">
            <v/>
          </cell>
        </row>
        <row r="261">
          <cell r="B261">
            <v>25000000000258</v>
          </cell>
          <cell r="C261" t="str">
            <v>Laode</v>
          </cell>
          <cell r="D261" t="str">
            <v/>
          </cell>
        </row>
        <row r="262">
          <cell r="B262">
            <v>25000000000259</v>
          </cell>
          <cell r="C262" t="str">
            <v>Leo Nababan</v>
          </cell>
          <cell r="D262" t="str">
            <v/>
          </cell>
        </row>
        <row r="263">
          <cell r="B263">
            <v>25000000000260</v>
          </cell>
          <cell r="C263" t="str">
            <v>Liani Atmaningrum</v>
          </cell>
          <cell r="D263" t="str">
            <v/>
          </cell>
        </row>
        <row r="264">
          <cell r="B264">
            <v>25000000000261</v>
          </cell>
          <cell r="C264" t="str">
            <v>Liaseptriani Liaseptriani</v>
          </cell>
          <cell r="D264" t="str">
            <v/>
          </cell>
        </row>
        <row r="265">
          <cell r="B265">
            <v>25000000000262</v>
          </cell>
          <cell r="C265" t="str">
            <v>Lisma Natalia</v>
          </cell>
          <cell r="D265" t="str">
            <v>3175085112800001</v>
          </cell>
        </row>
        <row r="266">
          <cell r="B266">
            <v>25000000000263</v>
          </cell>
          <cell r="C266" t="str">
            <v>Listyo Hartanto</v>
          </cell>
          <cell r="D266" t="str">
            <v/>
          </cell>
        </row>
        <row r="267">
          <cell r="B267">
            <v>25000000000264</v>
          </cell>
          <cell r="C267" t="str">
            <v>M. Ari Ardizah Nasution</v>
          </cell>
          <cell r="D267" t="str">
            <v/>
          </cell>
        </row>
        <row r="268">
          <cell r="B268">
            <v>25000000000265</v>
          </cell>
          <cell r="C268" t="str">
            <v>M. Denny  Micrazudin</v>
          </cell>
          <cell r="D268" t="str">
            <v/>
          </cell>
        </row>
        <row r="269">
          <cell r="B269">
            <v>25000000000266</v>
          </cell>
          <cell r="C269" t="str">
            <v>M. Ridho Pramudia</v>
          </cell>
          <cell r="D269" t="str">
            <v/>
          </cell>
        </row>
        <row r="270">
          <cell r="B270">
            <v>25000000000267</v>
          </cell>
          <cell r="C270" t="str">
            <v>M. Rusdi</v>
          </cell>
          <cell r="D270" t="str">
            <v/>
          </cell>
        </row>
        <row r="271">
          <cell r="B271">
            <v>25000000000268</v>
          </cell>
          <cell r="C271" t="str">
            <v>M. Ervan Isyawal Akbar</v>
          </cell>
          <cell r="D271" t="str">
            <v/>
          </cell>
        </row>
        <row r="272">
          <cell r="B272">
            <v>25000000000269</v>
          </cell>
          <cell r="C272" t="str">
            <v>Maharani Tanjungsari</v>
          </cell>
          <cell r="D272" t="str">
            <v/>
          </cell>
        </row>
        <row r="273">
          <cell r="B273">
            <v>25000000000270</v>
          </cell>
          <cell r="C273" t="str">
            <v>Maharani Uthmaniah</v>
          </cell>
          <cell r="D273" t="str">
            <v/>
          </cell>
        </row>
        <row r="274">
          <cell r="B274">
            <v>25000000000271</v>
          </cell>
          <cell r="C274" t="str">
            <v>Manotar Tamba</v>
          </cell>
          <cell r="D274" t="str">
            <v/>
          </cell>
        </row>
        <row r="275">
          <cell r="B275">
            <v>25000000000272</v>
          </cell>
          <cell r="C275" t="str">
            <v>Maradona Manurung</v>
          </cell>
          <cell r="D275" t="str">
            <v/>
          </cell>
        </row>
        <row r="276">
          <cell r="B276">
            <v>25000000000273</v>
          </cell>
          <cell r="C276" t="str">
            <v>Pantas Banjarnahor Marbun</v>
          </cell>
          <cell r="D276" t="str">
            <v/>
          </cell>
        </row>
        <row r="277">
          <cell r="B277">
            <v>25000000000274</v>
          </cell>
          <cell r="C277" t="str">
            <v>Marcella Avia Ramadhinaningrum</v>
          </cell>
          <cell r="D277" t="str">
            <v/>
          </cell>
        </row>
        <row r="278">
          <cell r="B278">
            <v>25000000000275</v>
          </cell>
          <cell r="C278" t="str">
            <v>Marissa Watak</v>
          </cell>
          <cell r="D278" t="str">
            <v/>
          </cell>
        </row>
        <row r="279">
          <cell r="B279">
            <v>25000000000276</v>
          </cell>
          <cell r="C279" t="str">
            <v>Marten Tabun</v>
          </cell>
          <cell r="D279" t="str">
            <v>3603121210820014</v>
          </cell>
        </row>
        <row r="280">
          <cell r="B280">
            <v>25000000000277</v>
          </cell>
          <cell r="C280" t="str">
            <v>Martimbul Rahman</v>
          </cell>
          <cell r="D280" t="str">
            <v/>
          </cell>
        </row>
        <row r="281">
          <cell r="B281">
            <v>25000000000278</v>
          </cell>
          <cell r="C281" t="str">
            <v>T. Marungkil U. S. Sagala</v>
          </cell>
          <cell r="D281" t="str">
            <v>3175101206750016</v>
          </cell>
        </row>
        <row r="282">
          <cell r="B282">
            <v>25000000000279</v>
          </cell>
          <cell r="C282" t="str">
            <v>Marzuki</v>
          </cell>
          <cell r="D282" t="str">
            <v/>
          </cell>
        </row>
        <row r="283">
          <cell r="B283">
            <v>25000000000280</v>
          </cell>
          <cell r="C283" t="str">
            <v>Mashuri Mashuri</v>
          </cell>
          <cell r="D283" t="str">
            <v/>
          </cell>
        </row>
        <row r="284">
          <cell r="B284">
            <v>25000000000281</v>
          </cell>
          <cell r="C284" t="str">
            <v>Mat Soleh</v>
          </cell>
          <cell r="D284" t="str">
            <v/>
          </cell>
        </row>
        <row r="285">
          <cell r="B285">
            <v>25000000000282</v>
          </cell>
          <cell r="C285" t="str">
            <v>Mhd Syahputra</v>
          </cell>
          <cell r="D285" t="str">
            <v/>
          </cell>
        </row>
        <row r="286">
          <cell r="B286">
            <v>25000000000283</v>
          </cell>
          <cell r="C286" t="str">
            <v>Mia Puspitasari</v>
          </cell>
          <cell r="D286" t="str">
            <v/>
          </cell>
        </row>
        <row r="287">
          <cell r="B287">
            <v>25000000000284</v>
          </cell>
          <cell r="C287" t="str">
            <v>Midin Ena</v>
          </cell>
          <cell r="D287" t="str">
            <v/>
          </cell>
        </row>
        <row r="288">
          <cell r="B288">
            <v>25000000000285</v>
          </cell>
          <cell r="C288" t="str">
            <v>Miftakhul Muzakky</v>
          </cell>
          <cell r="D288" t="str">
            <v/>
          </cell>
        </row>
        <row r="289">
          <cell r="B289">
            <v>25000000000286</v>
          </cell>
          <cell r="C289" t="str">
            <v>Mista</v>
          </cell>
          <cell r="D289" t="str">
            <v/>
          </cell>
        </row>
        <row r="290">
          <cell r="B290">
            <v>25000000000287</v>
          </cell>
          <cell r="C290" t="str">
            <v>Mochamad Samman</v>
          </cell>
          <cell r="D290" t="str">
            <v/>
          </cell>
        </row>
        <row r="291">
          <cell r="B291">
            <v>25000000000288</v>
          </cell>
          <cell r="C291" t="str">
            <v>Moh. Afif</v>
          </cell>
          <cell r="D291" t="str">
            <v/>
          </cell>
        </row>
        <row r="292">
          <cell r="B292">
            <v>25000000000289</v>
          </cell>
          <cell r="C292" t="str">
            <v>Mohammad Arman Tompo</v>
          </cell>
          <cell r="D292" t="str">
            <v/>
          </cell>
        </row>
        <row r="293">
          <cell r="B293">
            <v>25000000000290</v>
          </cell>
          <cell r="C293" t="str">
            <v>Mohd. Elfan Pratama</v>
          </cell>
          <cell r="D293" t="str">
            <v/>
          </cell>
        </row>
        <row r="294">
          <cell r="B294">
            <v>25000000000291</v>
          </cell>
          <cell r="C294" t="str">
            <v>Monang Simarmata</v>
          </cell>
          <cell r="D294" t="str">
            <v/>
          </cell>
        </row>
        <row r="295">
          <cell r="B295">
            <v>25000000000292</v>
          </cell>
          <cell r="C295" t="str">
            <v>Moritz Thomsen Marbun</v>
          </cell>
          <cell r="D295" t="str">
            <v/>
          </cell>
        </row>
        <row r="296">
          <cell r="B296">
            <v>25000000000293</v>
          </cell>
          <cell r="C296" t="str">
            <v>Muhamad Hamdan Rifai</v>
          </cell>
          <cell r="D296" t="str">
            <v/>
          </cell>
        </row>
        <row r="297">
          <cell r="B297">
            <v>25000000000294</v>
          </cell>
          <cell r="C297" t="str">
            <v>Muhamad Ikhsan</v>
          </cell>
          <cell r="D297" t="str">
            <v/>
          </cell>
        </row>
        <row r="298">
          <cell r="B298">
            <v>25000000000295</v>
          </cell>
          <cell r="C298" t="str">
            <v>Muhamad Nurhamsach</v>
          </cell>
          <cell r="D298" t="str">
            <v/>
          </cell>
        </row>
        <row r="299">
          <cell r="B299">
            <v>25000000000296</v>
          </cell>
          <cell r="C299" t="str">
            <v>Muhammad Ardiansyah</v>
          </cell>
          <cell r="D299" t="str">
            <v/>
          </cell>
        </row>
        <row r="300">
          <cell r="B300">
            <v>25000000000297</v>
          </cell>
          <cell r="C300" t="str">
            <v>Muhammad Khadafy</v>
          </cell>
          <cell r="D300" t="str">
            <v/>
          </cell>
        </row>
        <row r="301">
          <cell r="B301">
            <v>25000000000298</v>
          </cell>
          <cell r="C301" t="str">
            <v>Muhammad Taufan</v>
          </cell>
          <cell r="D301" t="str">
            <v/>
          </cell>
        </row>
        <row r="302">
          <cell r="B302">
            <v>25000000000299</v>
          </cell>
          <cell r="C302" t="str">
            <v>Muklis</v>
          </cell>
          <cell r="D302" t="str">
            <v/>
          </cell>
        </row>
        <row r="303">
          <cell r="B303">
            <v>25000000000300</v>
          </cell>
          <cell r="C303" t="str">
            <v>Mulia Rohanson Harahap</v>
          </cell>
          <cell r="D303" t="str">
            <v/>
          </cell>
        </row>
        <row r="304">
          <cell r="B304">
            <v>25000000000301</v>
          </cell>
          <cell r="C304" t="str">
            <v>Mullan Tresna</v>
          </cell>
          <cell r="D304" t="str">
            <v>3271046502760003</v>
          </cell>
        </row>
        <row r="305">
          <cell r="B305">
            <v>25000000000302</v>
          </cell>
          <cell r="C305" t="str">
            <v>Mulyadi</v>
          </cell>
          <cell r="D305" t="str">
            <v/>
          </cell>
        </row>
        <row r="306">
          <cell r="B306">
            <v>25000000000303</v>
          </cell>
          <cell r="C306" t="str">
            <v>Mulyono</v>
          </cell>
          <cell r="D306" t="str">
            <v/>
          </cell>
        </row>
        <row r="307">
          <cell r="B307">
            <v>25000000000304</v>
          </cell>
          <cell r="C307" t="str">
            <v>Murdiansyah</v>
          </cell>
          <cell r="D307" t="str">
            <v/>
          </cell>
        </row>
        <row r="308">
          <cell r="B308">
            <v>25000000000305</v>
          </cell>
          <cell r="C308" t="str">
            <v>Mursalim</v>
          </cell>
          <cell r="D308" t="str">
            <v/>
          </cell>
        </row>
        <row r="309">
          <cell r="B309">
            <v>25000000000306</v>
          </cell>
          <cell r="C309" t="str">
            <v>Nancy Meriana Sinaga</v>
          </cell>
          <cell r="D309" t="str">
            <v/>
          </cell>
        </row>
        <row r="310">
          <cell r="B310">
            <v>25000000000307</v>
          </cell>
          <cell r="C310" t="str">
            <v>Nandang Effendi</v>
          </cell>
          <cell r="D310" t="str">
            <v>3604131405710001</v>
          </cell>
        </row>
        <row r="311">
          <cell r="B311">
            <v>25000000000308</v>
          </cell>
          <cell r="C311" t="str">
            <v>Narno</v>
          </cell>
          <cell r="D311" t="str">
            <v/>
          </cell>
        </row>
        <row r="312">
          <cell r="B312">
            <v>25000000000309</v>
          </cell>
          <cell r="C312" t="str">
            <v>Nasrul Anwar P.</v>
          </cell>
          <cell r="D312" t="str">
            <v/>
          </cell>
        </row>
        <row r="313">
          <cell r="B313">
            <v>25000000000310</v>
          </cell>
          <cell r="C313" t="str">
            <v>Nawal</v>
          </cell>
          <cell r="D313" t="str">
            <v/>
          </cell>
        </row>
        <row r="314">
          <cell r="B314">
            <v>25000000000311</v>
          </cell>
          <cell r="C314" t="str">
            <v>Nawir Lahamutu</v>
          </cell>
          <cell r="D314" t="str">
            <v/>
          </cell>
        </row>
        <row r="315">
          <cell r="B315">
            <v>25000000000312</v>
          </cell>
          <cell r="C315" t="str">
            <v>Nicky Kurnia</v>
          </cell>
          <cell r="D315" t="str">
            <v/>
          </cell>
        </row>
        <row r="316">
          <cell r="B316">
            <v>25000000000313</v>
          </cell>
          <cell r="C316" t="str">
            <v>Noercholis Firmansyah</v>
          </cell>
          <cell r="D316" t="str">
            <v/>
          </cell>
        </row>
        <row r="317">
          <cell r="B317">
            <v>25000000000314</v>
          </cell>
          <cell r="C317" t="str">
            <v>Nopitasari</v>
          </cell>
          <cell r="D317" t="str">
            <v/>
          </cell>
        </row>
        <row r="318">
          <cell r="B318">
            <v>25000000000315</v>
          </cell>
          <cell r="C318" t="str">
            <v>Nora Meilissa</v>
          </cell>
          <cell r="D318" t="str">
            <v/>
          </cell>
        </row>
        <row r="319">
          <cell r="B319">
            <v>25000000000316</v>
          </cell>
          <cell r="C319" t="str">
            <v>Novalia</v>
          </cell>
          <cell r="D319" t="str">
            <v/>
          </cell>
        </row>
        <row r="320">
          <cell r="B320">
            <v>25000000000317</v>
          </cell>
          <cell r="C320" t="str">
            <v>Novan Nugraha</v>
          </cell>
          <cell r="D320" t="str">
            <v/>
          </cell>
        </row>
        <row r="321">
          <cell r="B321">
            <v>25000000000318</v>
          </cell>
          <cell r="C321" t="str">
            <v>Nugraha</v>
          </cell>
          <cell r="D321" t="str">
            <v/>
          </cell>
        </row>
        <row r="322">
          <cell r="B322">
            <v>25000000000319</v>
          </cell>
          <cell r="C322" t="str">
            <v>Nugroho Putranto</v>
          </cell>
          <cell r="D322" t="str">
            <v/>
          </cell>
        </row>
        <row r="323">
          <cell r="B323">
            <v>25000000000320</v>
          </cell>
          <cell r="C323" t="str">
            <v>Nur Indra Sri Melati</v>
          </cell>
          <cell r="D323" t="str">
            <v/>
          </cell>
        </row>
        <row r="324">
          <cell r="B324">
            <v>25000000000321</v>
          </cell>
          <cell r="C324" t="str">
            <v>Nur Kusumowati</v>
          </cell>
          <cell r="D324" t="str">
            <v/>
          </cell>
        </row>
        <row r="325">
          <cell r="B325">
            <v>25000000000322</v>
          </cell>
          <cell r="C325" t="str">
            <v>Nurhidayat</v>
          </cell>
          <cell r="D325" t="str">
            <v/>
          </cell>
        </row>
        <row r="326">
          <cell r="B326">
            <v>25000000000323</v>
          </cell>
          <cell r="C326" t="str">
            <v>Otong Bustori</v>
          </cell>
          <cell r="D326" t="str">
            <v/>
          </cell>
        </row>
        <row r="327">
          <cell r="B327">
            <v>25000000000324</v>
          </cell>
          <cell r="C327" t="str">
            <v>Paino Suprayinto</v>
          </cell>
          <cell r="D327" t="str">
            <v/>
          </cell>
        </row>
        <row r="328">
          <cell r="B328">
            <v>25000000000325</v>
          </cell>
          <cell r="C328" t="str">
            <v>Panca Yudi Baskoro</v>
          </cell>
          <cell r="D328" t="str">
            <v/>
          </cell>
        </row>
        <row r="329">
          <cell r="B329">
            <v>25000000000326</v>
          </cell>
          <cell r="C329" t="str">
            <v>Panji Bima Santri</v>
          </cell>
          <cell r="D329" t="str">
            <v/>
          </cell>
        </row>
        <row r="330">
          <cell r="B330">
            <v>25000000000327</v>
          </cell>
          <cell r="C330" t="str">
            <v>Parulian Napitupulu</v>
          </cell>
          <cell r="D330" t="str">
            <v/>
          </cell>
        </row>
        <row r="331">
          <cell r="B331">
            <v>25000000000328</v>
          </cell>
          <cell r="C331" t="str">
            <v>Paryanto</v>
          </cell>
          <cell r="D331" t="str">
            <v/>
          </cell>
        </row>
        <row r="332">
          <cell r="B332">
            <v>25000000000329</v>
          </cell>
          <cell r="C332" t="str">
            <v>Pikri Hidayat</v>
          </cell>
          <cell r="D332" t="str">
            <v/>
          </cell>
        </row>
        <row r="333">
          <cell r="B333">
            <v>25000000000330</v>
          </cell>
          <cell r="C333" t="str">
            <v>Prayanti Dewi Anggraini</v>
          </cell>
          <cell r="D333" t="str">
            <v/>
          </cell>
        </row>
        <row r="334">
          <cell r="B334">
            <v>25000000000331</v>
          </cell>
          <cell r="C334" t="str">
            <v>Prayati Zai</v>
          </cell>
          <cell r="D334" t="str">
            <v/>
          </cell>
        </row>
        <row r="335">
          <cell r="B335">
            <v>25000000000332</v>
          </cell>
          <cell r="C335" t="str">
            <v>Pristu Andonoto</v>
          </cell>
          <cell r="D335" t="str">
            <v/>
          </cell>
        </row>
        <row r="336">
          <cell r="B336">
            <v>25000000000333</v>
          </cell>
          <cell r="C336" t="str">
            <v>Putra Perdana Tirtomoyo</v>
          </cell>
          <cell r="D336" t="str">
            <v/>
          </cell>
        </row>
        <row r="337">
          <cell r="B337">
            <v>25000000000334</v>
          </cell>
          <cell r="C337" t="str">
            <v>R. Lar Kumalaning Tresno</v>
          </cell>
          <cell r="D337" t="str">
            <v/>
          </cell>
        </row>
        <row r="338">
          <cell r="B338">
            <v>25000000000335</v>
          </cell>
          <cell r="C338" t="str">
            <v>Rachmad</v>
          </cell>
          <cell r="D338" t="str">
            <v/>
          </cell>
        </row>
        <row r="339">
          <cell r="B339">
            <v>25000000000336</v>
          </cell>
          <cell r="C339" t="str">
            <v>Radjiman</v>
          </cell>
          <cell r="D339" t="str">
            <v/>
          </cell>
        </row>
        <row r="340">
          <cell r="B340">
            <v>25000000000337</v>
          </cell>
          <cell r="C340" t="str">
            <v>Rafi Firman Saputra</v>
          </cell>
          <cell r="D340" t="str">
            <v/>
          </cell>
        </row>
        <row r="341">
          <cell r="B341">
            <v>25000000000338</v>
          </cell>
          <cell r="C341" t="str">
            <v>Rahmat Riyadi</v>
          </cell>
          <cell r="D341" t="str">
            <v/>
          </cell>
        </row>
        <row r="342">
          <cell r="B342">
            <v>25000000000339</v>
          </cell>
          <cell r="C342" t="str">
            <v>Rahmat Sirfano</v>
          </cell>
          <cell r="D342" t="str">
            <v/>
          </cell>
        </row>
        <row r="343">
          <cell r="B343">
            <v>25000000000340</v>
          </cell>
          <cell r="C343" t="str">
            <v>Rais Indra Noor</v>
          </cell>
          <cell r="D343" t="str">
            <v/>
          </cell>
        </row>
        <row r="344">
          <cell r="B344">
            <v>25000000000341</v>
          </cell>
          <cell r="C344" t="str">
            <v>Rakman A. Hadi</v>
          </cell>
          <cell r="D344" t="str">
            <v/>
          </cell>
        </row>
        <row r="345">
          <cell r="B345">
            <v>25000000000342</v>
          </cell>
          <cell r="C345" t="str">
            <v>Ramaizon</v>
          </cell>
          <cell r="D345" t="str">
            <v/>
          </cell>
        </row>
        <row r="346">
          <cell r="B346">
            <v>25000000000343</v>
          </cell>
          <cell r="C346" t="str">
            <v>Rangga Darmawan</v>
          </cell>
          <cell r="D346" t="str">
            <v/>
          </cell>
        </row>
        <row r="347">
          <cell r="B347">
            <v>25000000000344</v>
          </cell>
          <cell r="C347" t="str">
            <v>Raoli Nainggolan</v>
          </cell>
          <cell r="D347" t="str">
            <v/>
          </cell>
        </row>
        <row r="348">
          <cell r="B348">
            <v>25000000000345</v>
          </cell>
          <cell r="C348" t="str">
            <v>Rayan Suryadikara</v>
          </cell>
          <cell r="D348" t="str">
            <v/>
          </cell>
        </row>
        <row r="349">
          <cell r="B349">
            <v>25000000000346</v>
          </cell>
          <cell r="C349" t="str">
            <v>Redi Setiadi</v>
          </cell>
          <cell r="D349" t="str">
            <v/>
          </cell>
        </row>
        <row r="350">
          <cell r="B350">
            <v>25000000000347</v>
          </cell>
          <cell r="C350" t="str">
            <v>Redi Subekti</v>
          </cell>
          <cell r="D350" t="str">
            <v>3275050308620012</v>
          </cell>
        </row>
        <row r="351">
          <cell r="B351">
            <v>25000000000348</v>
          </cell>
          <cell r="C351" t="str">
            <v>Rendy Prananta Purba</v>
          </cell>
          <cell r="D351" t="str">
            <v/>
          </cell>
        </row>
        <row r="352">
          <cell r="B352">
            <v>25000000000349</v>
          </cell>
          <cell r="C352" t="str">
            <v>Reni Septiana</v>
          </cell>
          <cell r="D352" t="str">
            <v/>
          </cell>
        </row>
        <row r="353">
          <cell r="B353">
            <v>25000000000350</v>
          </cell>
          <cell r="C353" t="str">
            <v>Rere Ronggolawe</v>
          </cell>
          <cell r="D353" t="str">
            <v/>
          </cell>
        </row>
        <row r="354">
          <cell r="B354">
            <v>25000000000351</v>
          </cell>
          <cell r="C354" t="str">
            <v>Retnasha Gameswari</v>
          </cell>
          <cell r="D354" t="str">
            <v/>
          </cell>
        </row>
        <row r="355">
          <cell r="B355">
            <v>25000000000352</v>
          </cell>
          <cell r="C355" t="str">
            <v>Rhino Priawan</v>
          </cell>
          <cell r="D355" t="str">
            <v>7371101110870009</v>
          </cell>
        </row>
        <row r="356">
          <cell r="B356">
            <v>25000000000353</v>
          </cell>
          <cell r="C356" t="str">
            <v>Rian Yushak</v>
          </cell>
          <cell r="D356" t="str">
            <v/>
          </cell>
        </row>
        <row r="357">
          <cell r="B357">
            <v>25000000000354</v>
          </cell>
          <cell r="C357" t="str">
            <v>Riandi</v>
          </cell>
          <cell r="D357" t="str">
            <v/>
          </cell>
        </row>
        <row r="358">
          <cell r="B358">
            <v>25000000000355</v>
          </cell>
          <cell r="C358" t="str">
            <v>Ricky Samuel</v>
          </cell>
          <cell r="D358" t="str">
            <v/>
          </cell>
        </row>
        <row r="359">
          <cell r="B359">
            <v>25000000000356</v>
          </cell>
          <cell r="C359" t="str">
            <v>Ridwan Nurhadi</v>
          </cell>
          <cell r="D359" t="str">
            <v/>
          </cell>
        </row>
        <row r="360">
          <cell r="B360">
            <v>25000000000357</v>
          </cell>
          <cell r="C360" t="str">
            <v>Rifki</v>
          </cell>
          <cell r="D360" t="str">
            <v/>
          </cell>
        </row>
        <row r="361">
          <cell r="B361">
            <v>25000000000358</v>
          </cell>
          <cell r="C361" t="str">
            <v>Rika Ginting</v>
          </cell>
          <cell r="D361" t="str">
            <v/>
          </cell>
        </row>
        <row r="362">
          <cell r="B362">
            <v>25000000000359</v>
          </cell>
          <cell r="C362" t="str">
            <v>Riki Chairul Anwar</v>
          </cell>
          <cell r="D362" t="str">
            <v/>
          </cell>
        </row>
        <row r="363">
          <cell r="B363">
            <v>25000000000360</v>
          </cell>
          <cell r="C363" t="str">
            <v>Riki Evindra</v>
          </cell>
          <cell r="D363" t="str">
            <v/>
          </cell>
        </row>
        <row r="364">
          <cell r="B364">
            <v>25000000000361</v>
          </cell>
          <cell r="C364" t="str">
            <v>Rinaldi Asrin</v>
          </cell>
          <cell r="D364" t="str">
            <v/>
          </cell>
        </row>
        <row r="365">
          <cell r="B365">
            <v>25000000000362</v>
          </cell>
          <cell r="C365" t="str">
            <v>Rio Hakim</v>
          </cell>
          <cell r="D365" t="str">
            <v/>
          </cell>
        </row>
        <row r="366">
          <cell r="B366">
            <v>25000000000363</v>
          </cell>
          <cell r="C366" t="str">
            <v>Rio Martha</v>
          </cell>
          <cell r="D366" t="str">
            <v/>
          </cell>
        </row>
        <row r="367">
          <cell r="B367">
            <v>25000000000364</v>
          </cell>
          <cell r="C367" t="str">
            <v>Risdyanto Risdyanto</v>
          </cell>
          <cell r="D367" t="str">
            <v/>
          </cell>
        </row>
        <row r="368">
          <cell r="B368">
            <v>25000000000365</v>
          </cell>
          <cell r="C368" t="str">
            <v>Rizak Tri Septian</v>
          </cell>
          <cell r="D368" t="str">
            <v/>
          </cell>
        </row>
        <row r="369">
          <cell r="B369">
            <v>25000000000366</v>
          </cell>
          <cell r="C369" t="str">
            <v>Rizki Akbar</v>
          </cell>
          <cell r="D369" t="str">
            <v/>
          </cell>
        </row>
        <row r="370">
          <cell r="B370">
            <v>25000000000367</v>
          </cell>
          <cell r="C370" t="str">
            <v>Rizky Fauzy</v>
          </cell>
          <cell r="D370" t="str">
            <v/>
          </cell>
        </row>
        <row r="371">
          <cell r="B371">
            <v>25000000000368</v>
          </cell>
          <cell r="C371" t="str">
            <v>Rizky Reza Pradipta</v>
          </cell>
          <cell r="D371" t="str">
            <v/>
          </cell>
        </row>
        <row r="372">
          <cell r="B372">
            <v>25000000000369</v>
          </cell>
          <cell r="C372" t="str">
            <v>Rohendi Rohendi</v>
          </cell>
          <cell r="D372" t="str">
            <v/>
          </cell>
        </row>
        <row r="373">
          <cell r="B373">
            <v>25000000000370</v>
          </cell>
          <cell r="C373" t="str">
            <v>Rohmani</v>
          </cell>
          <cell r="D373" t="str">
            <v/>
          </cell>
        </row>
        <row r="374">
          <cell r="B374">
            <v>25000000000371</v>
          </cell>
          <cell r="C374" t="str">
            <v>Rommel Hutapea</v>
          </cell>
          <cell r="D374" t="str">
            <v/>
          </cell>
        </row>
        <row r="375">
          <cell r="B375">
            <v>25000000000372</v>
          </cell>
          <cell r="C375" t="str">
            <v>Roy Aditya</v>
          </cell>
          <cell r="D375" t="str">
            <v>3175042308790007</v>
          </cell>
        </row>
        <row r="376">
          <cell r="B376">
            <v>25000000000373</v>
          </cell>
          <cell r="C376" t="str">
            <v>Rubah</v>
          </cell>
          <cell r="D376" t="str">
            <v/>
          </cell>
        </row>
        <row r="377">
          <cell r="B377">
            <v>25000000000374</v>
          </cell>
          <cell r="C377" t="str">
            <v>Rudi Junaedi</v>
          </cell>
          <cell r="D377" t="str">
            <v/>
          </cell>
        </row>
        <row r="378">
          <cell r="B378">
            <v>25000000000375</v>
          </cell>
          <cell r="C378" t="str">
            <v>Ruswandi</v>
          </cell>
          <cell r="D378" t="str">
            <v/>
          </cell>
        </row>
        <row r="379">
          <cell r="B379">
            <v>25000000000376</v>
          </cell>
          <cell r="C379" t="str">
            <v>Ryan Bagus Sasminta</v>
          </cell>
          <cell r="D379" t="str">
            <v/>
          </cell>
        </row>
        <row r="380">
          <cell r="B380">
            <v>25000000000377</v>
          </cell>
          <cell r="C380" t="str">
            <v>Saarah Andriani</v>
          </cell>
          <cell r="D380" t="str">
            <v/>
          </cell>
        </row>
        <row r="381">
          <cell r="B381">
            <v>25000000000378</v>
          </cell>
          <cell r="C381" t="str">
            <v>Safira Nurbaiti</v>
          </cell>
          <cell r="D381" t="str">
            <v/>
          </cell>
        </row>
        <row r="382">
          <cell r="B382">
            <v>25000000000379</v>
          </cell>
          <cell r="C382" t="str">
            <v>Saifulloh</v>
          </cell>
          <cell r="D382" t="str">
            <v/>
          </cell>
        </row>
        <row r="383">
          <cell r="B383">
            <v>25000000000380</v>
          </cell>
          <cell r="C383" t="str">
            <v>Saifuloh</v>
          </cell>
          <cell r="D383" t="str">
            <v/>
          </cell>
        </row>
        <row r="384">
          <cell r="B384">
            <v>25000000000381</v>
          </cell>
          <cell r="C384" t="str">
            <v>Sakinah Tantriani Lubis</v>
          </cell>
          <cell r="D384" t="str">
            <v/>
          </cell>
        </row>
        <row r="385">
          <cell r="B385">
            <v>25000000000382</v>
          </cell>
          <cell r="C385" t="str">
            <v>Abdul Samad</v>
          </cell>
          <cell r="D385" t="str">
            <v/>
          </cell>
        </row>
        <row r="386">
          <cell r="B386">
            <v>25000000000383</v>
          </cell>
          <cell r="C386" t="str">
            <v>Samsul Hadi</v>
          </cell>
          <cell r="D386" t="str">
            <v/>
          </cell>
        </row>
        <row r="387">
          <cell r="B387">
            <v>25000000000384</v>
          </cell>
          <cell r="C387" t="str">
            <v>Sandika</v>
          </cell>
          <cell r="D387" t="str">
            <v/>
          </cell>
        </row>
        <row r="388">
          <cell r="B388">
            <v>25000000000385</v>
          </cell>
          <cell r="C388" t="str">
            <v>Sang Toga Sitompul</v>
          </cell>
          <cell r="D388" t="str">
            <v/>
          </cell>
        </row>
        <row r="389">
          <cell r="B389">
            <v>25000000000386</v>
          </cell>
          <cell r="C389" t="str">
            <v>Santi Dewi R. W.</v>
          </cell>
          <cell r="D389" t="str">
            <v/>
          </cell>
        </row>
        <row r="390">
          <cell r="B390">
            <v>25000000000387</v>
          </cell>
          <cell r="C390" t="str">
            <v>Sarah Sibarani</v>
          </cell>
          <cell r="D390" t="str">
            <v/>
          </cell>
        </row>
        <row r="391">
          <cell r="B391">
            <v>25000000000388</v>
          </cell>
          <cell r="C391" t="str">
            <v>Sarif Hidayatul Umah</v>
          </cell>
          <cell r="D391" t="str">
            <v/>
          </cell>
        </row>
        <row r="392">
          <cell r="B392">
            <v>25000000000389</v>
          </cell>
          <cell r="C392" t="str">
            <v>Satria Budi Raharja</v>
          </cell>
          <cell r="D392" t="str">
            <v/>
          </cell>
        </row>
        <row r="393">
          <cell r="B393">
            <v>25000000000390</v>
          </cell>
          <cell r="C393" t="str">
            <v>Saut M. P. L. Tobing</v>
          </cell>
          <cell r="D393" t="str">
            <v/>
          </cell>
        </row>
        <row r="394">
          <cell r="B394">
            <v>25000000000391</v>
          </cell>
          <cell r="C394" t="str">
            <v>Seftiyan Hadi Maulana</v>
          </cell>
          <cell r="D394" t="str">
            <v>3276022909900017</v>
          </cell>
        </row>
        <row r="395">
          <cell r="B395">
            <v>25000000000392</v>
          </cell>
          <cell r="C395" t="str">
            <v>Sena Andi Satria</v>
          </cell>
          <cell r="D395" t="str">
            <v/>
          </cell>
        </row>
        <row r="396">
          <cell r="B396">
            <v>25000000000393</v>
          </cell>
          <cell r="C396" t="str">
            <v>Setiadi</v>
          </cell>
          <cell r="D396" t="str">
            <v>3174030112750005</v>
          </cell>
        </row>
        <row r="397">
          <cell r="B397">
            <v>25000000000394</v>
          </cell>
          <cell r="C397" t="str">
            <v>Sherly Tamira</v>
          </cell>
          <cell r="D397" t="str">
            <v/>
          </cell>
        </row>
        <row r="398">
          <cell r="B398">
            <v>25000000000395</v>
          </cell>
          <cell r="C398" t="str">
            <v>Shihab</v>
          </cell>
          <cell r="D398" t="str">
            <v/>
          </cell>
        </row>
        <row r="399">
          <cell r="B399">
            <v>25000000000396</v>
          </cell>
          <cell r="C399" t="str">
            <v>Shobarin Jabar</v>
          </cell>
          <cell r="D399" t="str">
            <v/>
          </cell>
        </row>
        <row r="400">
          <cell r="B400">
            <v>25000000000397</v>
          </cell>
          <cell r="C400" t="str">
            <v>Sholehah</v>
          </cell>
          <cell r="D400" t="str">
            <v>3674056205940005</v>
          </cell>
        </row>
        <row r="401">
          <cell r="B401">
            <v>25000000000398</v>
          </cell>
          <cell r="C401" t="str">
            <v>Sigit Rudiantono</v>
          </cell>
          <cell r="D401" t="str">
            <v/>
          </cell>
        </row>
        <row r="402">
          <cell r="B402">
            <v>25000000000399</v>
          </cell>
          <cell r="C402" t="str">
            <v>Silvia Putri</v>
          </cell>
          <cell r="D402" t="str">
            <v/>
          </cell>
        </row>
        <row r="403">
          <cell r="B403">
            <v>25000000000400</v>
          </cell>
          <cell r="C403" t="str">
            <v>Simron Ronaldi Nasution</v>
          </cell>
          <cell r="D403" t="str">
            <v/>
          </cell>
        </row>
        <row r="404">
          <cell r="B404">
            <v>25000000000401</v>
          </cell>
          <cell r="C404" t="str">
            <v>Sinta Vera Trikawati</v>
          </cell>
          <cell r="D404" t="str">
            <v/>
          </cell>
        </row>
        <row r="405">
          <cell r="B405">
            <v>25000000000402</v>
          </cell>
          <cell r="C405" t="str">
            <v>Sir Muhammad Zafrulloh Khan</v>
          </cell>
          <cell r="D405" t="str">
            <v/>
          </cell>
        </row>
        <row r="406">
          <cell r="B406">
            <v>25000000000403</v>
          </cell>
          <cell r="C406" t="str">
            <v>Siska Marlina</v>
          </cell>
          <cell r="D406" t="str">
            <v/>
          </cell>
        </row>
        <row r="407">
          <cell r="B407">
            <v>25000000000404</v>
          </cell>
          <cell r="C407" t="str">
            <v>Siswanto</v>
          </cell>
          <cell r="D407" t="str">
            <v/>
          </cell>
        </row>
        <row r="408">
          <cell r="B408">
            <v>25000000000405</v>
          </cell>
          <cell r="C408" t="str">
            <v>Siti Mulyani</v>
          </cell>
          <cell r="D408" t="str">
            <v/>
          </cell>
        </row>
        <row r="409">
          <cell r="B409">
            <v>25000000000406</v>
          </cell>
          <cell r="C409" t="str">
            <v>Sjanti Devi</v>
          </cell>
          <cell r="D409" t="str">
            <v/>
          </cell>
        </row>
        <row r="410">
          <cell r="B410">
            <v>25000000000407</v>
          </cell>
          <cell r="C410" t="str">
            <v>Slamet Budi Setiawan</v>
          </cell>
          <cell r="D410" t="str">
            <v/>
          </cell>
        </row>
        <row r="411">
          <cell r="B411">
            <v>25000000000408</v>
          </cell>
          <cell r="C411" t="str">
            <v>Sofyan Maulana</v>
          </cell>
          <cell r="D411" t="str">
            <v/>
          </cell>
        </row>
        <row r="412">
          <cell r="B412">
            <v>25000000000409</v>
          </cell>
          <cell r="C412" t="str">
            <v>Subagio</v>
          </cell>
          <cell r="D412" t="str">
            <v/>
          </cell>
        </row>
        <row r="413">
          <cell r="B413">
            <v>25000000000410</v>
          </cell>
          <cell r="C413" t="str">
            <v>Suci Mardiana</v>
          </cell>
          <cell r="D413" t="str">
            <v/>
          </cell>
        </row>
        <row r="414">
          <cell r="B414">
            <v>25000000000411</v>
          </cell>
          <cell r="C414" t="str">
            <v>Suci Rachma Sari</v>
          </cell>
          <cell r="D414" t="str">
            <v/>
          </cell>
        </row>
        <row r="415">
          <cell r="B415">
            <v>25000000000412</v>
          </cell>
          <cell r="C415" t="str">
            <v>Sudarlan</v>
          </cell>
          <cell r="D415" t="str">
            <v>3173061206730012</v>
          </cell>
        </row>
        <row r="416">
          <cell r="B416">
            <v>25000000000413</v>
          </cell>
          <cell r="C416" t="str">
            <v>Sufie Amalia</v>
          </cell>
          <cell r="D416" t="str">
            <v/>
          </cell>
        </row>
        <row r="417">
          <cell r="B417">
            <v>25000000000414</v>
          </cell>
          <cell r="C417" t="str">
            <v>Sugeng Ismanto</v>
          </cell>
          <cell r="D417" t="str">
            <v/>
          </cell>
        </row>
        <row r="418">
          <cell r="B418">
            <v>25000000000415</v>
          </cell>
          <cell r="C418" t="str">
            <v>Sugiarto</v>
          </cell>
          <cell r="D418" t="str">
            <v>3174071006860011</v>
          </cell>
        </row>
        <row r="419">
          <cell r="B419">
            <v>25000000000416</v>
          </cell>
          <cell r="C419" t="str">
            <v>Sulih</v>
          </cell>
          <cell r="D419" t="str">
            <v/>
          </cell>
        </row>
        <row r="420">
          <cell r="B420">
            <v>25000000000417</v>
          </cell>
          <cell r="C420" t="str">
            <v>Sumadi</v>
          </cell>
          <cell r="D420" t="str">
            <v/>
          </cell>
        </row>
        <row r="421">
          <cell r="B421">
            <v>25000000000418</v>
          </cell>
          <cell r="C421" t="str">
            <v>Sumirat</v>
          </cell>
          <cell r="D421" t="str">
            <v/>
          </cell>
        </row>
        <row r="422">
          <cell r="B422">
            <v>25000000000419</v>
          </cell>
          <cell r="C422" t="str">
            <v>Sunaryati</v>
          </cell>
          <cell r="D422" t="str">
            <v/>
          </cell>
        </row>
        <row r="423">
          <cell r="B423">
            <v>25000000000420</v>
          </cell>
          <cell r="C423" t="str">
            <v>Supriyadi</v>
          </cell>
          <cell r="D423" t="str">
            <v/>
          </cell>
        </row>
        <row r="424">
          <cell r="B424">
            <v>25000000000421</v>
          </cell>
          <cell r="C424" t="str">
            <v>Suriono Suriono</v>
          </cell>
          <cell r="D424" t="str">
            <v/>
          </cell>
        </row>
        <row r="425">
          <cell r="B425">
            <v>25000000000422</v>
          </cell>
          <cell r="C425" t="str">
            <v>Surono</v>
          </cell>
          <cell r="D425" t="str">
            <v/>
          </cell>
        </row>
        <row r="426">
          <cell r="B426">
            <v>25000000000423</v>
          </cell>
          <cell r="C426" t="str">
            <v>Surtoyo Syukri</v>
          </cell>
          <cell r="D426" t="str">
            <v/>
          </cell>
        </row>
        <row r="427">
          <cell r="B427">
            <v>25000000000424</v>
          </cell>
          <cell r="C427" t="str">
            <v>Suryadi</v>
          </cell>
          <cell r="D427" t="str">
            <v/>
          </cell>
        </row>
        <row r="428">
          <cell r="B428">
            <v>25000000000425</v>
          </cell>
          <cell r="C428" t="str">
            <v>Susilawati</v>
          </cell>
          <cell r="D428" t="str">
            <v/>
          </cell>
        </row>
        <row r="429">
          <cell r="B429">
            <v>25000000000426</v>
          </cell>
          <cell r="C429" t="str">
            <v>Sutarno</v>
          </cell>
          <cell r="D429" t="str">
            <v/>
          </cell>
        </row>
        <row r="430">
          <cell r="B430">
            <v>25000000000427</v>
          </cell>
          <cell r="C430" t="str">
            <v>Sutra Riandi</v>
          </cell>
          <cell r="D430" t="str">
            <v/>
          </cell>
        </row>
        <row r="431">
          <cell r="B431">
            <v>25000000000428</v>
          </cell>
          <cell r="C431" t="str">
            <v>Suyanto</v>
          </cell>
          <cell r="D431" t="str">
            <v/>
          </cell>
        </row>
        <row r="432">
          <cell r="B432">
            <v>25000000000429</v>
          </cell>
          <cell r="C432" t="str">
            <v>Swar Jono</v>
          </cell>
          <cell r="D432" t="str">
            <v/>
          </cell>
        </row>
        <row r="433">
          <cell r="B433">
            <v>25000000000430</v>
          </cell>
          <cell r="C433" t="str">
            <v>Syafruddin</v>
          </cell>
          <cell r="D433" t="str">
            <v/>
          </cell>
        </row>
        <row r="434">
          <cell r="B434">
            <v>25000000000431</v>
          </cell>
          <cell r="C434" t="str">
            <v>Syafrudin Machmud</v>
          </cell>
          <cell r="D434" t="str">
            <v/>
          </cell>
        </row>
        <row r="435">
          <cell r="B435">
            <v>25000000000432</v>
          </cell>
          <cell r="C435" t="str">
            <v>Syahrizal</v>
          </cell>
          <cell r="D435" t="str">
            <v/>
          </cell>
        </row>
        <row r="436">
          <cell r="B436">
            <v>25000000000433</v>
          </cell>
          <cell r="C436" t="str">
            <v>Syaiful Idjam</v>
          </cell>
          <cell r="D436" t="str">
            <v/>
          </cell>
        </row>
        <row r="437">
          <cell r="B437">
            <v>25000000000434</v>
          </cell>
          <cell r="C437" t="str">
            <v>Tajuddin Assubki Ismail</v>
          </cell>
          <cell r="D437" t="str">
            <v/>
          </cell>
        </row>
        <row r="438">
          <cell r="B438">
            <v>25000000000435</v>
          </cell>
          <cell r="C438" t="str">
            <v>Taslim</v>
          </cell>
          <cell r="D438" t="str">
            <v/>
          </cell>
        </row>
        <row r="439">
          <cell r="B439">
            <v>25000000000436</v>
          </cell>
          <cell r="C439" t="str">
            <v>Taufik Mulia Pane</v>
          </cell>
          <cell r="D439" t="str">
            <v/>
          </cell>
        </row>
        <row r="440">
          <cell r="B440">
            <v>25000000000437</v>
          </cell>
          <cell r="C440" t="str">
            <v>Tedy Harseno</v>
          </cell>
          <cell r="D440" t="str">
            <v/>
          </cell>
        </row>
        <row r="441">
          <cell r="B441">
            <v>25000000000438</v>
          </cell>
          <cell r="C441" t="str">
            <v>Teguh Joko Pamuji</v>
          </cell>
          <cell r="D441" t="str">
            <v/>
          </cell>
        </row>
        <row r="442">
          <cell r="B442">
            <v>25000000000439</v>
          </cell>
          <cell r="C442" t="str">
            <v>Teguh Pratama Januzir Sukin</v>
          </cell>
          <cell r="D442" t="str">
            <v>3174092710810006</v>
          </cell>
        </row>
        <row r="443">
          <cell r="B443">
            <v>25000000000440</v>
          </cell>
          <cell r="C443" t="str">
            <v>Teguh Susanto</v>
          </cell>
          <cell r="D443" t="str">
            <v/>
          </cell>
        </row>
        <row r="444">
          <cell r="B444">
            <v>25000000000441</v>
          </cell>
          <cell r="C444" t="str">
            <v>Tenri Sumange</v>
          </cell>
          <cell r="D444" t="str">
            <v/>
          </cell>
        </row>
        <row r="445">
          <cell r="B445">
            <v>25000000000442</v>
          </cell>
          <cell r="C445" t="str">
            <v>Teuku Zulkifli</v>
          </cell>
          <cell r="D445" t="str">
            <v/>
          </cell>
        </row>
        <row r="446">
          <cell r="B446">
            <v>25000000000443</v>
          </cell>
          <cell r="C446" t="str">
            <v>Tiara Kemalasari</v>
          </cell>
          <cell r="D446" t="str">
            <v/>
          </cell>
        </row>
        <row r="447">
          <cell r="B447">
            <v>25000000000444</v>
          </cell>
          <cell r="C447" t="str">
            <v>Tjhang Linawati</v>
          </cell>
          <cell r="D447" t="str">
            <v/>
          </cell>
        </row>
        <row r="448">
          <cell r="B448">
            <v>25000000000445</v>
          </cell>
          <cell r="C448" t="str">
            <v>Totok Kristianto</v>
          </cell>
          <cell r="D448" t="str">
            <v/>
          </cell>
        </row>
        <row r="449">
          <cell r="B449">
            <v>25000000000446</v>
          </cell>
          <cell r="C449" t="str">
            <v>Tri Aji</v>
          </cell>
          <cell r="D449" t="str">
            <v/>
          </cell>
        </row>
        <row r="450">
          <cell r="B450">
            <v>25000000000447</v>
          </cell>
          <cell r="C450" t="str">
            <v>Tri M. Saputra</v>
          </cell>
          <cell r="D450" t="str">
            <v/>
          </cell>
        </row>
        <row r="451">
          <cell r="B451">
            <v>25000000000448</v>
          </cell>
          <cell r="C451" t="str">
            <v>Triani Irma</v>
          </cell>
          <cell r="D451" t="str">
            <v/>
          </cell>
        </row>
        <row r="452">
          <cell r="B452">
            <v>25000000000449</v>
          </cell>
          <cell r="C452" t="str">
            <v>Trisyanto</v>
          </cell>
          <cell r="D452" t="str">
            <v/>
          </cell>
        </row>
        <row r="453">
          <cell r="B453">
            <v>25000000000450</v>
          </cell>
          <cell r="C453" t="str">
            <v>Triwiarti Dibya</v>
          </cell>
          <cell r="D453" t="str">
            <v/>
          </cell>
        </row>
        <row r="454">
          <cell r="B454">
            <v>25000000000451</v>
          </cell>
          <cell r="C454" t="str">
            <v>Triyono</v>
          </cell>
          <cell r="D454" t="str">
            <v/>
          </cell>
        </row>
        <row r="455">
          <cell r="B455">
            <v>25000000000452</v>
          </cell>
          <cell r="C455" t="str">
            <v>Turita Pramuning Marantina</v>
          </cell>
          <cell r="D455" t="str">
            <v>3174074303660008</v>
          </cell>
        </row>
        <row r="456">
          <cell r="B456">
            <v>25000000000453</v>
          </cell>
          <cell r="C456" t="str">
            <v>Tutus Ary</v>
          </cell>
          <cell r="D456" t="str">
            <v/>
          </cell>
        </row>
        <row r="457">
          <cell r="B457">
            <v>25000000000454</v>
          </cell>
          <cell r="C457" t="str">
            <v>Ubaidillah</v>
          </cell>
          <cell r="D457" t="str">
            <v/>
          </cell>
        </row>
        <row r="458">
          <cell r="B458">
            <v>25000000000455</v>
          </cell>
          <cell r="C458" t="str">
            <v>Ujang Barma</v>
          </cell>
          <cell r="D458" t="str">
            <v/>
          </cell>
        </row>
        <row r="459">
          <cell r="B459">
            <v>25000000000456</v>
          </cell>
          <cell r="C459" t="str">
            <v>Ujang Suryana</v>
          </cell>
          <cell r="D459" t="str">
            <v/>
          </cell>
        </row>
        <row r="460">
          <cell r="B460">
            <v>25000000000457</v>
          </cell>
          <cell r="C460" t="str">
            <v>Ulman Juanda</v>
          </cell>
          <cell r="D460" t="str">
            <v/>
          </cell>
        </row>
        <row r="461">
          <cell r="B461">
            <v>25000000000458</v>
          </cell>
          <cell r="C461" t="str">
            <v>Urbanus Boimau</v>
          </cell>
          <cell r="D461" t="str">
            <v>3175022605760013</v>
          </cell>
        </row>
        <row r="462">
          <cell r="B462">
            <v>25000000000459</v>
          </cell>
          <cell r="C462" t="str">
            <v>Uswatun Hasamah</v>
          </cell>
          <cell r="D462" t="str">
            <v/>
          </cell>
        </row>
        <row r="463">
          <cell r="B463">
            <v>25000000000460</v>
          </cell>
          <cell r="C463" t="str">
            <v>Uswatun Khasanah</v>
          </cell>
          <cell r="D463" t="str">
            <v/>
          </cell>
        </row>
        <row r="464">
          <cell r="B464">
            <v>25000000000461</v>
          </cell>
          <cell r="C464" t="str">
            <v>Utami Dewi</v>
          </cell>
          <cell r="D464" t="str">
            <v/>
          </cell>
        </row>
        <row r="465">
          <cell r="B465">
            <v>25000000000462</v>
          </cell>
          <cell r="C465" t="str">
            <v>Utanto</v>
          </cell>
          <cell r="D465" t="str">
            <v/>
          </cell>
        </row>
        <row r="466">
          <cell r="B466">
            <v>25000000000463</v>
          </cell>
          <cell r="C466" t="str">
            <v>Veradita Yulanda</v>
          </cell>
          <cell r="D466" t="str">
            <v/>
          </cell>
        </row>
        <row r="467">
          <cell r="B467">
            <v>25000000000464</v>
          </cell>
          <cell r="C467" t="str">
            <v>Vidhy Kartika Putri</v>
          </cell>
          <cell r="D467" t="str">
            <v/>
          </cell>
        </row>
        <row r="468">
          <cell r="B468">
            <v>25000000000465</v>
          </cell>
          <cell r="C468" t="str">
            <v>Vonny Agram</v>
          </cell>
          <cell r="D468" t="str">
            <v/>
          </cell>
        </row>
        <row r="469">
          <cell r="B469">
            <v>25000000000466</v>
          </cell>
          <cell r="C469" t="str">
            <v>Wahyu</v>
          </cell>
          <cell r="D469" t="str">
            <v/>
          </cell>
        </row>
        <row r="470">
          <cell r="B470">
            <v>25000000000467</v>
          </cell>
          <cell r="C470" t="str">
            <v>Wahyu Ramadhani</v>
          </cell>
          <cell r="D470" t="str">
            <v/>
          </cell>
        </row>
        <row r="471">
          <cell r="B471">
            <v>25000000000468</v>
          </cell>
          <cell r="C471" t="str">
            <v>Wahyu Widodo</v>
          </cell>
          <cell r="D471" t="str">
            <v/>
          </cell>
        </row>
        <row r="472">
          <cell r="B472">
            <v>25000000000469</v>
          </cell>
          <cell r="C472" t="str">
            <v>Warsito Edy Saputra</v>
          </cell>
          <cell r="D472" t="str">
            <v/>
          </cell>
        </row>
        <row r="473">
          <cell r="B473">
            <v>25000000000470</v>
          </cell>
          <cell r="C473" t="str">
            <v>Weldi Wimar</v>
          </cell>
          <cell r="D473" t="str">
            <v/>
          </cell>
        </row>
        <row r="474">
          <cell r="B474">
            <v>25000000000471</v>
          </cell>
          <cell r="C474" t="str">
            <v>Wendy Septiyan</v>
          </cell>
          <cell r="D474" t="str">
            <v/>
          </cell>
        </row>
        <row r="475">
          <cell r="B475">
            <v>25000000000472</v>
          </cell>
          <cell r="C475" t="str">
            <v>Willy Indarto</v>
          </cell>
          <cell r="D475" t="str">
            <v/>
          </cell>
        </row>
        <row r="476">
          <cell r="B476">
            <v>25000000000473</v>
          </cell>
          <cell r="C476" t="str">
            <v>Winda Suherman</v>
          </cell>
          <cell r="D476" t="str">
            <v/>
          </cell>
        </row>
        <row r="477">
          <cell r="B477">
            <v>25000000000474</v>
          </cell>
          <cell r="C477" t="str">
            <v>Wisnu Ardian</v>
          </cell>
          <cell r="D477" t="str">
            <v/>
          </cell>
        </row>
        <row r="478">
          <cell r="B478">
            <v>25000000000475</v>
          </cell>
          <cell r="C478" t="str">
            <v>Wisudanto C. Suntoyo</v>
          </cell>
          <cell r="D478" t="str">
            <v/>
          </cell>
        </row>
        <row r="479">
          <cell r="B479">
            <v>25000000000476</v>
          </cell>
          <cell r="C479" t="str">
            <v>Yahya Adyasa Febriansyah</v>
          </cell>
          <cell r="D479" t="str">
            <v/>
          </cell>
        </row>
        <row r="480">
          <cell r="B480">
            <v>25000000000477</v>
          </cell>
          <cell r="C480" t="str">
            <v>Yakup Sunaryo</v>
          </cell>
          <cell r="D480" t="str">
            <v/>
          </cell>
        </row>
        <row r="481">
          <cell r="B481">
            <v>25000000000478</v>
          </cell>
          <cell r="C481" t="str">
            <v>Yanuar Tri Ananda</v>
          </cell>
          <cell r="D481" t="str">
            <v/>
          </cell>
        </row>
        <row r="482">
          <cell r="B482">
            <v>25000000000479</v>
          </cell>
          <cell r="C482" t="str">
            <v>Yasir Liem</v>
          </cell>
          <cell r="D482" t="str">
            <v/>
          </cell>
        </row>
        <row r="483">
          <cell r="B483">
            <v>25000000000480</v>
          </cell>
          <cell r="C483" t="str">
            <v>Yefri Hendrayani</v>
          </cell>
          <cell r="D483" t="str">
            <v/>
          </cell>
        </row>
        <row r="484">
          <cell r="B484">
            <v>25000000000481</v>
          </cell>
          <cell r="C484" t="str">
            <v>Yessi Setiarini</v>
          </cell>
          <cell r="D484" t="str">
            <v/>
          </cell>
        </row>
        <row r="485">
          <cell r="B485">
            <v>25000000000482</v>
          </cell>
          <cell r="C485" t="str">
            <v>Yorid Fae</v>
          </cell>
          <cell r="D485" t="str">
            <v/>
          </cell>
        </row>
        <row r="486">
          <cell r="B486">
            <v>25000000000483</v>
          </cell>
          <cell r="C486" t="str">
            <v>Yosef Hang Wan</v>
          </cell>
          <cell r="D486" t="str">
            <v/>
          </cell>
        </row>
        <row r="487">
          <cell r="B487">
            <v>25000000000484</v>
          </cell>
          <cell r="C487" t="str">
            <v>Yossie Deliana</v>
          </cell>
          <cell r="D487" t="str">
            <v/>
          </cell>
        </row>
        <row r="488">
          <cell r="B488">
            <v>25000000000485</v>
          </cell>
          <cell r="C488" t="str">
            <v>Yudi Rahmadi</v>
          </cell>
          <cell r="D488" t="str">
            <v/>
          </cell>
        </row>
        <row r="489">
          <cell r="B489">
            <v>25000000000486</v>
          </cell>
          <cell r="C489" t="str">
            <v>Yudo Jati Rahmat Satrio</v>
          </cell>
          <cell r="D489" t="str">
            <v/>
          </cell>
        </row>
        <row r="490">
          <cell r="B490">
            <v>25000000000487</v>
          </cell>
          <cell r="C490" t="str">
            <v>Yuliandaru Suryoatmodjo</v>
          </cell>
          <cell r="D490" t="str">
            <v>3275090407740011</v>
          </cell>
        </row>
        <row r="491">
          <cell r="B491">
            <v>25000000000488</v>
          </cell>
          <cell r="C491" t="str">
            <v>Yulianta</v>
          </cell>
          <cell r="D491" t="str">
            <v/>
          </cell>
        </row>
        <row r="492">
          <cell r="B492">
            <v>25000000000489</v>
          </cell>
          <cell r="C492" t="str">
            <v>Yulianti</v>
          </cell>
          <cell r="D492" t="str">
            <v/>
          </cell>
        </row>
        <row r="493">
          <cell r="B493">
            <v>25000000000490</v>
          </cell>
          <cell r="C493" t="str">
            <v>Yulius</v>
          </cell>
          <cell r="D493" t="str">
            <v/>
          </cell>
        </row>
        <row r="494">
          <cell r="B494">
            <v>25000000000491</v>
          </cell>
          <cell r="C494" t="str">
            <v>Yunni Sazili</v>
          </cell>
          <cell r="D494" t="str">
            <v/>
          </cell>
        </row>
        <row r="495">
          <cell r="B495">
            <v>25000000000492</v>
          </cell>
          <cell r="C495" t="str">
            <v>Yusman</v>
          </cell>
          <cell r="D495" t="str">
            <v/>
          </cell>
        </row>
        <row r="496">
          <cell r="B496">
            <v>25000000000493</v>
          </cell>
          <cell r="C496" t="str">
            <v>Yusri Azhar</v>
          </cell>
          <cell r="D496" t="str">
            <v/>
          </cell>
        </row>
        <row r="497">
          <cell r="B497">
            <v>25000000000494</v>
          </cell>
          <cell r="C497" t="str">
            <v>Zafrizal</v>
          </cell>
          <cell r="D497" t="str">
            <v/>
          </cell>
        </row>
        <row r="498">
          <cell r="B498">
            <v>25000000000495</v>
          </cell>
          <cell r="C498" t="str">
            <v>Zafrizal Rifla (Ucok)</v>
          </cell>
          <cell r="D498" t="str">
            <v/>
          </cell>
        </row>
        <row r="499">
          <cell r="B499">
            <v>25000000000496</v>
          </cell>
          <cell r="C499" t="str">
            <v>Zainuddin</v>
          </cell>
          <cell r="D499" t="str">
            <v/>
          </cell>
        </row>
        <row r="500">
          <cell r="B500">
            <v>25000000000497</v>
          </cell>
          <cell r="C500" t="str">
            <v>Zainudin Anwar</v>
          </cell>
          <cell r="D500" t="str">
            <v>3174090601960003</v>
          </cell>
        </row>
        <row r="501">
          <cell r="B501">
            <v>25000000000498</v>
          </cell>
          <cell r="C501" t="str">
            <v>Zaire Dite Biscaya</v>
          </cell>
          <cell r="D501" t="str">
            <v/>
          </cell>
        </row>
        <row r="502">
          <cell r="B502">
            <v>25000000000499</v>
          </cell>
          <cell r="C502" t="str">
            <v>Zalfi Yandri</v>
          </cell>
          <cell r="D502" t="str">
            <v/>
          </cell>
        </row>
        <row r="503">
          <cell r="B503">
            <v>25000000000500</v>
          </cell>
          <cell r="C503" t="str">
            <v>Zam Roji</v>
          </cell>
          <cell r="D503" t="str">
            <v/>
          </cell>
        </row>
        <row r="504">
          <cell r="B504">
            <v>25000000000501</v>
          </cell>
          <cell r="C504" t="str">
            <v>Zulfikar K. Siregar</v>
          </cell>
          <cell r="D504" t="str">
            <v>1271201607700004</v>
          </cell>
        </row>
        <row r="505">
          <cell r="B505">
            <v>25000000000502</v>
          </cell>
          <cell r="C505" t="str">
            <v>Adythia Adikara</v>
          </cell>
          <cell r="D505" t="str">
            <v/>
          </cell>
        </row>
        <row r="506">
          <cell r="B506">
            <v>25000000000503</v>
          </cell>
          <cell r="C506" t="str">
            <v>Agus Sopyan Hadi</v>
          </cell>
          <cell r="D506" t="str">
            <v/>
          </cell>
        </row>
        <row r="507">
          <cell r="B507">
            <v>25000000000504</v>
          </cell>
          <cell r="C507" t="str">
            <v>Azis Purwandana</v>
          </cell>
          <cell r="D507" t="str">
            <v/>
          </cell>
        </row>
        <row r="508">
          <cell r="B508">
            <v>25000000000505</v>
          </cell>
          <cell r="C508" t="str">
            <v>Heryanto</v>
          </cell>
          <cell r="D508" t="str">
            <v/>
          </cell>
        </row>
        <row r="509">
          <cell r="B509">
            <v>25000000000506</v>
          </cell>
          <cell r="C509" t="str">
            <v>Imran</v>
          </cell>
          <cell r="D509" t="str">
            <v/>
          </cell>
        </row>
        <row r="510">
          <cell r="B510">
            <v>25000000000507</v>
          </cell>
          <cell r="C510" t="str">
            <v>Khamim Taryono</v>
          </cell>
          <cell r="D510" t="str">
            <v/>
          </cell>
        </row>
        <row r="511">
          <cell r="B511">
            <v>25000000000508</v>
          </cell>
          <cell r="C511" t="str">
            <v>Rafi Artman Siddiq</v>
          </cell>
          <cell r="D511" t="str">
            <v/>
          </cell>
        </row>
        <row r="512">
          <cell r="B512">
            <v>25000000000509</v>
          </cell>
          <cell r="C512" t="str">
            <v>Riza Emir Subekti</v>
          </cell>
          <cell r="D512" t="str">
            <v>3275053003920010</v>
          </cell>
        </row>
        <row r="513">
          <cell r="B513">
            <v>25000000000510</v>
          </cell>
          <cell r="C513" t="str">
            <v>Slamet Riadi</v>
          </cell>
          <cell r="D513" t="str">
            <v/>
          </cell>
        </row>
        <row r="514">
          <cell r="B514">
            <v>25000000000511</v>
          </cell>
          <cell r="C514" t="str">
            <v>Wisnu Andra Isdianto</v>
          </cell>
          <cell r="D514" t="str">
            <v/>
          </cell>
        </row>
        <row r="515">
          <cell r="B515">
            <v>25000000000512</v>
          </cell>
          <cell r="C515" t="str">
            <v>Agus Budi Setiawan</v>
          </cell>
          <cell r="D515" t="str">
            <v/>
          </cell>
        </row>
        <row r="516">
          <cell r="B516">
            <v>25000000000513</v>
          </cell>
          <cell r="C516" t="str">
            <v>Ahmad Choerul</v>
          </cell>
          <cell r="D516" t="str">
            <v>3175101105950001</v>
          </cell>
        </row>
        <row r="517">
          <cell r="B517">
            <v>25000000000514</v>
          </cell>
          <cell r="C517" t="str">
            <v>Achmad Yunadi</v>
          </cell>
          <cell r="D517" t="str">
            <v/>
          </cell>
        </row>
        <row r="518">
          <cell r="B518">
            <v>25000000000515</v>
          </cell>
          <cell r="C518" t="str">
            <v>Asep mulyana</v>
          </cell>
          <cell r="D518" t="str">
            <v/>
          </cell>
        </row>
        <row r="519">
          <cell r="B519">
            <v>25000000000516</v>
          </cell>
          <cell r="C519" t="str">
            <v>Bagus Isdiantara</v>
          </cell>
          <cell r="D519" t="str">
            <v/>
          </cell>
        </row>
        <row r="520">
          <cell r="B520">
            <v>25000000000517</v>
          </cell>
          <cell r="C520" t="str">
            <v>Cahyana</v>
          </cell>
          <cell r="D520" t="str">
            <v>3273250505830006</v>
          </cell>
        </row>
        <row r="521">
          <cell r="B521">
            <v>25000000000518</v>
          </cell>
          <cell r="C521" t="str">
            <v>Dede Hartanto</v>
          </cell>
          <cell r="D521" t="str">
            <v/>
          </cell>
        </row>
        <row r="522">
          <cell r="B522">
            <v>25000000000519</v>
          </cell>
          <cell r="C522" t="str">
            <v>Denny Achmad Ferlando</v>
          </cell>
          <cell r="D522" t="str">
            <v/>
          </cell>
        </row>
        <row r="523">
          <cell r="B523">
            <v>25000000000520</v>
          </cell>
          <cell r="C523" t="str">
            <v>Dian Setiawan</v>
          </cell>
          <cell r="D523" t="str">
            <v/>
          </cell>
        </row>
        <row r="524">
          <cell r="B524">
            <v>25000000000521</v>
          </cell>
          <cell r="C524" t="str">
            <v>Fabrian Danang Destiyara</v>
          </cell>
          <cell r="D524" t="str">
            <v>3174030112980003</v>
          </cell>
        </row>
        <row r="525">
          <cell r="B525">
            <v>25000000000522</v>
          </cell>
          <cell r="C525" t="str">
            <v>Ferdian Kriswantoro</v>
          </cell>
          <cell r="D525" t="str">
            <v/>
          </cell>
        </row>
        <row r="526">
          <cell r="B526">
            <v>25000000000523</v>
          </cell>
          <cell r="C526" t="str">
            <v>Fuzi Mafrozi</v>
          </cell>
          <cell r="D526" t="str">
            <v/>
          </cell>
        </row>
        <row r="527">
          <cell r="B527">
            <v>25000000000524</v>
          </cell>
          <cell r="C527" t="str">
            <v>Gilang Setiawan</v>
          </cell>
          <cell r="D527" t="str">
            <v/>
          </cell>
        </row>
        <row r="528">
          <cell r="B528">
            <v>25000000000525</v>
          </cell>
          <cell r="C528" t="str">
            <v>Idris Affandi</v>
          </cell>
          <cell r="D528" t="str">
            <v/>
          </cell>
        </row>
        <row r="529">
          <cell r="B529">
            <v>25000000000526</v>
          </cell>
          <cell r="C529" t="str">
            <v>Indra Wijaya</v>
          </cell>
          <cell r="D529" t="str">
            <v/>
          </cell>
        </row>
        <row r="530">
          <cell r="B530">
            <v>25000000000527</v>
          </cell>
          <cell r="C530" t="str">
            <v>Irma Maulidawati</v>
          </cell>
          <cell r="D530" t="str">
            <v>3174096508970001</v>
          </cell>
        </row>
        <row r="531">
          <cell r="B531">
            <v>25000000000528</v>
          </cell>
          <cell r="C531" t="str">
            <v>Istikaro Fauziah</v>
          </cell>
          <cell r="D531" t="str">
            <v>3174054210980004</v>
          </cell>
        </row>
        <row r="532">
          <cell r="B532">
            <v>25000000000529</v>
          </cell>
          <cell r="C532" t="str">
            <v>Muhammad Lukbani</v>
          </cell>
          <cell r="D532" t="str">
            <v/>
          </cell>
        </row>
        <row r="533">
          <cell r="B533">
            <v>25000000000530</v>
          </cell>
          <cell r="C533" t="str">
            <v>Muhammad Sholikhun</v>
          </cell>
          <cell r="D533" t="str">
            <v/>
          </cell>
        </row>
        <row r="534">
          <cell r="B534">
            <v>25000000000531</v>
          </cell>
          <cell r="C534" t="str">
            <v>Muhammad Syarifudin</v>
          </cell>
          <cell r="D534" t="str">
            <v/>
          </cell>
        </row>
        <row r="535">
          <cell r="B535">
            <v>25000000000532</v>
          </cell>
          <cell r="C535" t="str">
            <v>Nadia Rizkiah</v>
          </cell>
          <cell r="D535" t="str">
            <v/>
          </cell>
        </row>
        <row r="536">
          <cell r="B536">
            <v>25000000000533</v>
          </cell>
          <cell r="C536" t="str">
            <v>Nikko Septian</v>
          </cell>
          <cell r="D536" t="str">
            <v/>
          </cell>
        </row>
        <row r="537">
          <cell r="B537">
            <v>25000000000534</v>
          </cell>
          <cell r="C537" t="str">
            <v>Novizan</v>
          </cell>
          <cell r="D537" t="str">
            <v/>
          </cell>
        </row>
        <row r="538">
          <cell r="B538">
            <v>25000000000535</v>
          </cell>
          <cell r="C538" t="str">
            <v>Oqi Suhaqi Yunus</v>
          </cell>
          <cell r="D538" t="str">
            <v/>
          </cell>
        </row>
        <row r="539">
          <cell r="B539">
            <v>25000000000536</v>
          </cell>
          <cell r="C539" t="str">
            <v>Restu Dwi Anjayani</v>
          </cell>
          <cell r="D539" t="str">
            <v>3216085507950007</v>
          </cell>
        </row>
        <row r="540">
          <cell r="B540">
            <v>25000000000537</v>
          </cell>
          <cell r="C540" t="str">
            <v>Rizal Amri</v>
          </cell>
          <cell r="D540" t="str">
            <v/>
          </cell>
        </row>
        <row r="541">
          <cell r="B541">
            <v>25000000000538</v>
          </cell>
          <cell r="C541" t="str">
            <v>Ronny Anindika Arnold</v>
          </cell>
          <cell r="D541" t="str">
            <v/>
          </cell>
        </row>
        <row r="542">
          <cell r="B542">
            <v>25000000000539</v>
          </cell>
          <cell r="C542" t="str">
            <v>Samta Harahap</v>
          </cell>
          <cell r="D542" t="str">
            <v/>
          </cell>
        </row>
        <row r="543">
          <cell r="B543">
            <v>25000000000540</v>
          </cell>
          <cell r="C543" t="str">
            <v>Vingky Hendriek Yomerlin</v>
          </cell>
          <cell r="D543" t="str">
            <v/>
          </cell>
        </row>
        <row r="544">
          <cell r="B544">
            <v>25000000000541</v>
          </cell>
          <cell r="C544" t="str">
            <v>Wahyu Teluk Naga</v>
          </cell>
          <cell r="D544" t="str">
            <v/>
          </cell>
        </row>
        <row r="545">
          <cell r="B545">
            <v>25000000000542</v>
          </cell>
          <cell r="C545" t="str">
            <v>Wardah Laily Khoiriyah</v>
          </cell>
          <cell r="D545" t="str">
            <v>3671065910970003</v>
          </cell>
        </row>
        <row r="546">
          <cell r="B546">
            <v>25000000000543</v>
          </cell>
          <cell r="C546" t="str">
            <v>Wawan Kusworo</v>
          </cell>
          <cell r="D546" t="str">
            <v/>
          </cell>
        </row>
        <row r="547">
          <cell r="B547">
            <v>25000000000544</v>
          </cell>
          <cell r="C547" t="str">
            <v>Wulanraniasih</v>
          </cell>
          <cell r="D547" t="str">
            <v/>
          </cell>
        </row>
        <row r="548">
          <cell r="B548">
            <v>25000000000545</v>
          </cell>
          <cell r="C548" t="str">
            <v>Yogi Perbangkara</v>
          </cell>
          <cell r="D548" t="str">
            <v>3201290804850007</v>
          </cell>
        </row>
        <row r="549">
          <cell r="B549">
            <v>25000000000546</v>
          </cell>
          <cell r="C549" t="str">
            <v>Yusuf Fathurahman</v>
          </cell>
          <cell r="D549" t="str">
            <v/>
          </cell>
        </row>
        <row r="550">
          <cell r="B550">
            <v>25000000000547</v>
          </cell>
          <cell r="C550" t="str">
            <v>Zeinurani</v>
          </cell>
          <cell r="D550" t="str">
            <v/>
          </cell>
        </row>
        <row r="551">
          <cell r="B551">
            <v>25000000000548</v>
          </cell>
          <cell r="C551" t="str">
            <v>Sulaeman</v>
          </cell>
          <cell r="D551" t="str">
            <v>3201301508830001</v>
          </cell>
        </row>
        <row r="552">
          <cell r="B552">
            <v>25000000000549</v>
          </cell>
          <cell r="C552" t="str">
            <v>Agus Nuryadi</v>
          </cell>
          <cell r="D552" t="str">
            <v/>
          </cell>
        </row>
        <row r="553">
          <cell r="B553">
            <v>25000000000550</v>
          </cell>
          <cell r="C553" t="str">
            <v>Dian Tri Rahmawati</v>
          </cell>
          <cell r="D553" t="str">
            <v>3172046605010007</v>
          </cell>
        </row>
        <row r="554">
          <cell r="B554">
            <v>25000000000551</v>
          </cell>
          <cell r="C554" t="str">
            <v>Langgeng Eko Dwiantoro</v>
          </cell>
          <cell r="D554" t="str">
            <v>3173081411840012</v>
          </cell>
        </row>
        <row r="555">
          <cell r="B555">
            <v>25000000000552</v>
          </cell>
          <cell r="C555" t="str">
            <v>Aldi Rizaldi</v>
          </cell>
          <cell r="D555" t="str">
            <v/>
          </cell>
        </row>
        <row r="556">
          <cell r="B556">
            <v>25000000000553</v>
          </cell>
          <cell r="C556" t="str">
            <v>Masimin</v>
          </cell>
          <cell r="D556" t="str">
            <v/>
          </cell>
        </row>
        <row r="557">
          <cell r="B557">
            <v>25000000000554</v>
          </cell>
          <cell r="C557" t="str">
            <v>Santoso Dwi Cahyo</v>
          </cell>
          <cell r="D557" t="str">
            <v/>
          </cell>
        </row>
        <row r="558">
          <cell r="B558">
            <v>25000000000555</v>
          </cell>
          <cell r="C558" t="str">
            <v>Wartono</v>
          </cell>
          <cell r="D558" t="str">
            <v/>
          </cell>
        </row>
        <row r="559">
          <cell r="B559">
            <v>25000000000556</v>
          </cell>
          <cell r="C559" t="str">
            <v>Yusarman</v>
          </cell>
          <cell r="D559" t="str">
            <v/>
          </cell>
        </row>
        <row r="560">
          <cell r="B560">
            <v>25000000000557</v>
          </cell>
          <cell r="C560" t="str">
            <v>Abdul Rachman</v>
          </cell>
          <cell r="D560" t="str">
            <v/>
          </cell>
        </row>
        <row r="561">
          <cell r="B561">
            <v>25000000000558</v>
          </cell>
          <cell r="C561" t="str">
            <v>Aden Bagus</v>
          </cell>
          <cell r="D561" t="str">
            <v/>
          </cell>
        </row>
        <row r="562">
          <cell r="B562">
            <v>25000000000559</v>
          </cell>
          <cell r="C562" t="str">
            <v>Adhe Kurniawan</v>
          </cell>
          <cell r="D562" t="str">
            <v>3216050912800006</v>
          </cell>
        </row>
        <row r="563">
          <cell r="B563">
            <v>25000000000560</v>
          </cell>
          <cell r="C563" t="str">
            <v>Ahmad Fauzi</v>
          </cell>
          <cell r="D563" t="str">
            <v/>
          </cell>
        </row>
        <row r="564">
          <cell r="B564">
            <v>25000000000561</v>
          </cell>
          <cell r="C564" t="str">
            <v>Ahmad Gunawan</v>
          </cell>
          <cell r="D564" t="str">
            <v/>
          </cell>
        </row>
        <row r="565">
          <cell r="B565">
            <v>25000000000562</v>
          </cell>
          <cell r="C565" t="str">
            <v>Andri Andriyan</v>
          </cell>
          <cell r="D565" t="str">
            <v/>
          </cell>
        </row>
        <row r="566">
          <cell r="B566">
            <v>25000000000563</v>
          </cell>
          <cell r="C566" t="str">
            <v>Budi Sulistianto</v>
          </cell>
          <cell r="D566" t="str">
            <v/>
          </cell>
        </row>
        <row r="567">
          <cell r="B567">
            <v>25000000000564</v>
          </cell>
          <cell r="C567" t="str">
            <v>Eka Budi</v>
          </cell>
          <cell r="D567" t="str">
            <v/>
          </cell>
        </row>
        <row r="568">
          <cell r="B568">
            <v>25000000000565</v>
          </cell>
          <cell r="C568" t="str">
            <v>Haerul Gunawan</v>
          </cell>
          <cell r="D568" t="str">
            <v/>
          </cell>
        </row>
        <row r="569">
          <cell r="B569">
            <v>25000000000566</v>
          </cell>
          <cell r="C569" t="str">
            <v>Irvan Agus</v>
          </cell>
          <cell r="D569" t="str">
            <v/>
          </cell>
        </row>
        <row r="570">
          <cell r="B570">
            <v>25000000000567</v>
          </cell>
          <cell r="C570" t="str">
            <v>Joshika Pradirga</v>
          </cell>
          <cell r="D570" t="str">
            <v/>
          </cell>
        </row>
        <row r="571">
          <cell r="B571">
            <v>25000000000568</v>
          </cell>
          <cell r="C571" t="str">
            <v>Khaidir</v>
          </cell>
          <cell r="D571" t="str">
            <v/>
          </cell>
        </row>
        <row r="572">
          <cell r="B572">
            <v>25000000000569</v>
          </cell>
          <cell r="C572" t="str">
            <v>Latip Muhlanto</v>
          </cell>
          <cell r="D572" t="str">
            <v/>
          </cell>
        </row>
        <row r="573">
          <cell r="B573">
            <v>25000000000570</v>
          </cell>
          <cell r="C573" t="str">
            <v>Leonardo Putra</v>
          </cell>
          <cell r="D573" t="str">
            <v/>
          </cell>
        </row>
        <row r="574">
          <cell r="B574">
            <v>25000000000571</v>
          </cell>
          <cell r="C574" t="str">
            <v>Muhammad Ramadani</v>
          </cell>
          <cell r="D574" t="str">
            <v/>
          </cell>
        </row>
        <row r="575">
          <cell r="B575">
            <v>25000000000572</v>
          </cell>
          <cell r="C575" t="str">
            <v>Musdalipa</v>
          </cell>
          <cell r="D575" t="str">
            <v/>
          </cell>
        </row>
        <row r="576">
          <cell r="B576">
            <v>25000000000573</v>
          </cell>
          <cell r="C576" t="str">
            <v>Nico Melky</v>
          </cell>
          <cell r="D576" t="str">
            <v/>
          </cell>
        </row>
        <row r="577">
          <cell r="B577">
            <v>25000000000574</v>
          </cell>
          <cell r="C577" t="str">
            <v>Rahmata Novanisa</v>
          </cell>
          <cell r="D577" t="str">
            <v>3404026711900001</v>
          </cell>
        </row>
        <row r="578">
          <cell r="B578">
            <v>25000000000575</v>
          </cell>
          <cell r="C578" t="str">
            <v>Satrio Dhiaputra</v>
          </cell>
          <cell r="D578" t="str">
            <v/>
          </cell>
        </row>
        <row r="579">
          <cell r="B579">
            <v>25000000000576</v>
          </cell>
          <cell r="C579" t="str">
            <v>Sudirman</v>
          </cell>
          <cell r="D579" t="str">
            <v/>
          </cell>
        </row>
        <row r="580">
          <cell r="B580">
            <v>25000000000577</v>
          </cell>
          <cell r="C580" t="str">
            <v>Suparji</v>
          </cell>
          <cell r="D580" t="str">
            <v/>
          </cell>
        </row>
        <row r="581">
          <cell r="B581">
            <v>25000000000578</v>
          </cell>
          <cell r="C581" t="str">
            <v>Taufik Iskandar</v>
          </cell>
          <cell r="D581" t="str">
            <v/>
          </cell>
        </row>
        <row r="582">
          <cell r="B582">
            <v>25000000000579</v>
          </cell>
          <cell r="C582" t="str">
            <v>Tegar Hersaputra</v>
          </cell>
          <cell r="D582" t="str">
            <v>3578032706850002</v>
          </cell>
        </row>
        <row r="583">
          <cell r="B583">
            <v>25000000000580</v>
          </cell>
          <cell r="C583" t="str">
            <v>Togar Sihombing</v>
          </cell>
          <cell r="D583" t="str">
            <v/>
          </cell>
        </row>
        <row r="584">
          <cell r="B584">
            <v>25000000000581</v>
          </cell>
          <cell r="C584" t="str">
            <v>Wisnu Trenggono Wirayuda</v>
          </cell>
          <cell r="D584" t="str">
            <v>3175042505000006</v>
          </cell>
        </row>
        <row r="585">
          <cell r="B585">
            <v>25000000000582</v>
          </cell>
          <cell r="C585" t="str">
            <v>Yogo</v>
          </cell>
          <cell r="D585" t="str">
            <v/>
          </cell>
        </row>
        <row r="586">
          <cell r="B586">
            <v>25000000000583</v>
          </cell>
          <cell r="C586" t="str">
            <v>Yustiana Firda</v>
          </cell>
          <cell r="D586" t="str">
            <v/>
          </cell>
        </row>
        <row r="587">
          <cell r="B587">
            <v>25000000000584</v>
          </cell>
          <cell r="C587" t="str">
            <v>Zainal Abidin</v>
          </cell>
          <cell r="D587" t="str">
            <v/>
          </cell>
        </row>
        <row r="588">
          <cell r="B588">
            <v>25000000000585</v>
          </cell>
          <cell r="C588" t="str">
            <v>Budi Sandika</v>
          </cell>
          <cell r="D588" t="str">
            <v/>
          </cell>
        </row>
        <row r="589">
          <cell r="B589">
            <v>25000000000586</v>
          </cell>
          <cell r="C589" t="str">
            <v>Fachri Azhar</v>
          </cell>
          <cell r="D589" t="str">
            <v/>
          </cell>
        </row>
        <row r="590">
          <cell r="B590">
            <v>25000000000587</v>
          </cell>
          <cell r="C590" t="str">
            <v>Firmansyah Awaludin</v>
          </cell>
          <cell r="D590" t="str">
            <v/>
          </cell>
        </row>
        <row r="591">
          <cell r="B591">
            <v>25000000000588</v>
          </cell>
          <cell r="C591" t="str">
            <v>Iman Faisal Abdurahman</v>
          </cell>
          <cell r="D591" t="str">
            <v>3201070101760014</v>
          </cell>
        </row>
        <row r="592">
          <cell r="B592">
            <v>25000000000589</v>
          </cell>
          <cell r="C592" t="str">
            <v>Muhammad Irfan Alfikri Rayana</v>
          </cell>
          <cell r="D592" t="str">
            <v/>
          </cell>
        </row>
        <row r="593">
          <cell r="B593">
            <v>25000000000590</v>
          </cell>
          <cell r="C593" t="str">
            <v>Syafri Johansah</v>
          </cell>
          <cell r="D593" t="str">
            <v/>
          </cell>
        </row>
        <row r="594">
          <cell r="B594">
            <v>25000000000591</v>
          </cell>
          <cell r="C594" t="str">
            <v>Agus Sobar</v>
          </cell>
          <cell r="D594" t="str">
            <v/>
          </cell>
        </row>
        <row r="595">
          <cell r="B595">
            <v>25000000000592</v>
          </cell>
          <cell r="C595" t="str">
            <v>Ahmad Sandi Asyuri</v>
          </cell>
          <cell r="D595" t="str">
            <v>3275063007960011</v>
          </cell>
        </row>
        <row r="596">
          <cell r="B596">
            <v>25000000000593</v>
          </cell>
          <cell r="C596" t="str">
            <v>Andi Mapasoro</v>
          </cell>
          <cell r="D596" t="str">
            <v>3172030304730004</v>
          </cell>
        </row>
        <row r="597">
          <cell r="B597">
            <v>25000000000594</v>
          </cell>
          <cell r="C597" t="str">
            <v>Arie Gustaman</v>
          </cell>
          <cell r="D597" t="str">
            <v/>
          </cell>
        </row>
        <row r="598">
          <cell r="B598">
            <v>25000000000595</v>
          </cell>
          <cell r="C598" t="str">
            <v>Arief Yulianto</v>
          </cell>
          <cell r="D598" t="str">
            <v>3305170207940005</v>
          </cell>
        </row>
        <row r="599">
          <cell r="B599">
            <v>25000000000596</v>
          </cell>
          <cell r="C599" t="str">
            <v>Burhan</v>
          </cell>
          <cell r="D599" t="str">
            <v>3174031404610002</v>
          </cell>
        </row>
        <row r="600">
          <cell r="B600">
            <v>25000000000597</v>
          </cell>
          <cell r="C600" t="str">
            <v>Deby Syahputa</v>
          </cell>
          <cell r="D600" t="str">
            <v/>
          </cell>
        </row>
        <row r="601">
          <cell r="B601">
            <v>25000000000598</v>
          </cell>
          <cell r="C601" t="str">
            <v>Ibrahim Arya Yuda</v>
          </cell>
          <cell r="D601" t="str">
            <v/>
          </cell>
        </row>
        <row r="602">
          <cell r="B602">
            <v>25000000000599</v>
          </cell>
          <cell r="C602" t="str">
            <v>Jamil</v>
          </cell>
          <cell r="D602" t="str">
            <v/>
          </cell>
        </row>
        <row r="603">
          <cell r="B603">
            <v>25000000000600</v>
          </cell>
          <cell r="C603" t="str">
            <v>Kiki Prasetyo</v>
          </cell>
          <cell r="D603" t="str">
            <v/>
          </cell>
        </row>
        <row r="604">
          <cell r="B604">
            <v>25000000000601</v>
          </cell>
          <cell r="C604" t="str">
            <v>Mochamad Ulul Azmi Wira Utama</v>
          </cell>
          <cell r="D604" t="str">
            <v>3201022807940001</v>
          </cell>
        </row>
        <row r="605">
          <cell r="B605">
            <v>25000000000602</v>
          </cell>
          <cell r="C605" t="str">
            <v>Muhammad Bilal Sharony</v>
          </cell>
          <cell r="D605" t="str">
            <v/>
          </cell>
        </row>
        <row r="606">
          <cell r="B606">
            <v>25000000000603</v>
          </cell>
          <cell r="C606" t="str">
            <v>Muhammad Hairul</v>
          </cell>
          <cell r="D606" t="str">
            <v/>
          </cell>
        </row>
        <row r="607">
          <cell r="B607">
            <v>25000000000604</v>
          </cell>
          <cell r="C607" t="str">
            <v>Muhammad Rizal</v>
          </cell>
          <cell r="D607" t="str">
            <v>3173070507890002</v>
          </cell>
        </row>
        <row r="608">
          <cell r="B608">
            <v>25000000000605</v>
          </cell>
          <cell r="C608" t="str">
            <v>Rahmad Dwifar</v>
          </cell>
          <cell r="D608" t="str">
            <v>1371102805980004</v>
          </cell>
        </row>
        <row r="609">
          <cell r="B609">
            <v>25000000000606</v>
          </cell>
          <cell r="C609" t="str">
            <v>Reza Sanjaya</v>
          </cell>
          <cell r="D609" t="str">
            <v/>
          </cell>
        </row>
        <row r="610">
          <cell r="B610">
            <v>25000000000607</v>
          </cell>
          <cell r="C610" t="str">
            <v>Ridwan Nur Muttaqin</v>
          </cell>
          <cell r="D610" t="str">
            <v>3308102707940002</v>
          </cell>
        </row>
        <row r="611">
          <cell r="B611">
            <v>25000000000608</v>
          </cell>
          <cell r="C611" t="str">
            <v xml:space="preserve">Risaldi </v>
          </cell>
          <cell r="D611" t="str">
            <v/>
          </cell>
        </row>
        <row r="612">
          <cell r="B612">
            <v>25000000000609</v>
          </cell>
          <cell r="C612" t="str">
            <v>Risty Alawiyah</v>
          </cell>
          <cell r="D612" t="str">
            <v>3201305605900001</v>
          </cell>
        </row>
        <row r="613">
          <cell r="B613">
            <v>25000000000610</v>
          </cell>
          <cell r="C613" t="str">
            <v>Rustono</v>
          </cell>
          <cell r="D613" t="str">
            <v>3174032511700006</v>
          </cell>
        </row>
        <row r="614">
          <cell r="B614">
            <v>25000000000611</v>
          </cell>
          <cell r="C614" t="str">
            <v>Solihin</v>
          </cell>
          <cell r="D614" t="str">
            <v>3174030307740005</v>
          </cell>
        </row>
        <row r="615">
          <cell r="B615">
            <v>25000000000612</v>
          </cell>
          <cell r="C615" t="str">
            <v>Supriatna</v>
          </cell>
          <cell r="D615" t="str">
            <v>3276062106750003</v>
          </cell>
        </row>
        <row r="616">
          <cell r="B616">
            <v>25000000000613</v>
          </cell>
          <cell r="C616" t="str">
            <v>Taufik Aminudin</v>
          </cell>
          <cell r="D616" t="str">
            <v/>
          </cell>
        </row>
        <row r="617">
          <cell r="B617">
            <v>25000000000614</v>
          </cell>
          <cell r="C617" t="str">
            <v>Timotius Tabun</v>
          </cell>
          <cell r="D617" t="str">
            <v>3603121805810006</v>
          </cell>
        </row>
        <row r="618">
          <cell r="B618">
            <v>25000000000615</v>
          </cell>
          <cell r="C618" t="str">
            <v>Adi</v>
          </cell>
          <cell r="D618" t="str">
            <v>3171060503000001</v>
          </cell>
        </row>
        <row r="619">
          <cell r="B619">
            <v>25000000000616</v>
          </cell>
          <cell r="C619" t="str">
            <v>Andrean Fahrizi</v>
          </cell>
          <cell r="D619" t="str">
            <v/>
          </cell>
        </row>
        <row r="620">
          <cell r="B620">
            <v>25000000000617</v>
          </cell>
          <cell r="C620" t="str">
            <v>Amar Abdilah</v>
          </cell>
          <cell r="D620" t="str">
            <v/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2"/>
      <sheetName val="DataLookUp"/>
      <sheetName val="Sheet2 (2)"/>
    </sheetNames>
    <sheetDataSet>
      <sheetData sheetId="0">
        <row r="2">
          <cell r="B2" t="str">
            <v>Bank Name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  <sheetName val="MAIN - OrgJobsPos"/>
      <sheetName val="MAIN - OrgDepartment"/>
      <sheetName val="Internal Career (Last Position)"/>
      <sheetName val="DataLookUp - InternalCareer(LP)"/>
      <sheetName val="Internal Career (Previous Pos)"/>
      <sheetName val="Sheet2"/>
    </sheetNames>
    <sheetDataSet>
      <sheetData sheetId="0"/>
      <sheetData sheetId="1">
        <row r="4">
          <cell r="C4">
            <v>25000000000001</v>
          </cell>
          <cell r="D4" t="str">
            <v>Abdollah Syani Siregar</v>
          </cell>
          <cell r="E4" t="str">
            <v/>
          </cell>
          <cell r="G4">
            <v>25000000000001</v>
          </cell>
        </row>
        <row r="5">
          <cell r="C5">
            <v>25000000000002</v>
          </cell>
          <cell r="D5" t="str">
            <v>Abdul Karim</v>
          </cell>
          <cell r="E5" t="str">
            <v/>
          </cell>
          <cell r="G5">
            <v>25000000000002</v>
          </cell>
        </row>
        <row r="6">
          <cell r="C6">
            <v>25000000000003</v>
          </cell>
          <cell r="D6" t="str">
            <v>Abdul Rahman Sitompul</v>
          </cell>
          <cell r="E6" t="str">
            <v/>
          </cell>
          <cell r="G6">
            <v>25000000000003</v>
          </cell>
        </row>
        <row r="7">
          <cell r="C7">
            <v>25000000000004</v>
          </cell>
          <cell r="D7" t="str">
            <v>Abdul Risan</v>
          </cell>
          <cell r="E7" t="str">
            <v/>
          </cell>
          <cell r="G7">
            <v>25000000000004</v>
          </cell>
        </row>
        <row r="8">
          <cell r="C8">
            <v>25000000000005</v>
          </cell>
          <cell r="D8" t="str">
            <v>Abdullah Nabil</v>
          </cell>
          <cell r="E8" t="str">
            <v/>
          </cell>
          <cell r="G8">
            <v>25000000000005</v>
          </cell>
        </row>
        <row r="9">
          <cell r="C9">
            <v>25000000000006</v>
          </cell>
          <cell r="D9" t="str">
            <v>Adhitya Danar</v>
          </cell>
          <cell r="E9" t="str">
            <v/>
          </cell>
          <cell r="G9">
            <v>25000000000006</v>
          </cell>
        </row>
        <row r="10">
          <cell r="C10">
            <v>25000000000007</v>
          </cell>
          <cell r="D10" t="str">
            <v>Adi Ruswandi</v>
          </cell>
          <cell r="E10" t="str">
            <v>0209251009</v>
          </cell>
          <cell r="G10">
            <v>25000000000007</v>
          </cell>
        </row>
        <row r="11">
          <cell r="C11">
            <v>25000000000008</v>
          </cell>
          <cell r="D11" t="str">
            <v>Adietya Dharmawan</v>
          </cell>
          <cell r="E11" t="str">
            <v>050321947</v>
          </cell>
          <cell r="G11">
            <v>25000000000008</v>
          </cell>
        </row>
        <row r="12">
          <cell r="C12">
            <v>25000000000009</v>
          </cell>
          <cell r="D12" t="str">
            <v>Aditya Yudha Prawira</v>
          </cell>
          <cell r="E12" t="str">
            <v/>
          </cell>
          <cell r="G12">
            <v>25000000000009</v>
          </cell>
        </row>
        <row r="13">
          <cell r="C13">
            <v>25000000000010</v>
          </cell>
          <cell r="D13" t="str">
            <v>Adli Margie</v>
          </cell>
          <cell r="E13" t="str">
            <v/>
          </cell>
          <cell r="G13">
            <v>25000000000010</v>
          </cell>
        </row>
        <row r="14">
          <cell r="C14">
            <v>25000000000011</v>
          </cell>
          <cell r="D14" t="str">
            <v>Afrida Eka Putri</v>
          </cell>
          <cell r="E14" t="str">
            <v/>
          </cell>
          <cell r="G14">
            <v>25000000000011</v>
          </cell>
        </row>
        <row r="15">
          <cell r="C15">
            <v>25000000000012</v>
          </cell>
          <cell r="D15" t="str">
            <v>Agnes Sutedja</v>
          </cell>
          <cell r="E15" t="str">
            <v>010703020</v>
          </cell>
          <cell r="G15">
            <v>25000000000012</v>
          </cell>
        </row>
        <row r="16">
          <cell r="C16">
            <v>25000000000013</v>
          </cell>
          <cell r="D16" t="str">
            <v>Agung Hendarto</v>
          </cell>
          <cell r="E16" t="str">
            <v/>
          </cell>
          <cell r="G16">
            <v>25000000000013</v>
          </cell>
        </row>
        <row r="17">
          <cell r="C17">
            <v>25000000000014</v>
          </cell>
          <cell r="D17" t="str">
            <v>Agus Priyatno Mahmudo</v>
          </cell>
          <cell r="E17" t="str">
            <v/>
          </cell>
          <cell r="G17">
            <v>25000000000014</v>
          </cell>
        </row>
        <row r="18">
          <cell r="C18">
            <v>25000000000015</v>
          </cell>
          <cell r="D18" t="str">
            <v>Agus Salim</v>
          </cell>
          <cell r="E18" t="str">
            <v>130223978</v>
          </cell>
          <cell r="G18">
            <v>25000000000015</v>
          </cell>
        </row>
        <row r="19">
          <cell r="C19">
            <v>25000000000016</v>
          </cell>
          <cell r="D19" t="str">
            <v>Agus Tanto</v>
          </cell>
          <cell r="E19" t="str">
            <v/>
          </cell>
          <cell r="G19">
            <v>25000000000016</v>
          </cell>
        </row>
        <row r="20">
          <cell r="C20">
            <v>25000000000017</v>
          </cell>
          <cell r="D20" t="str">
            <v>Ahmad Faiz Haems Muda</v>
          </cell>
          <cell r="E20" t="str">
            <v>280314716</v>
          </cell>
          <cell r="G20">
            <v>25000000000017</v>
          </cell>
        </row>
        <row r="21">
          <cell r="C21">
            <v>25000000000018</v>
          </cell>
          <cell r="D21" t="str">
            <v>Ahmad Faza</v>
          </cell>
          <cell r="E21" t="str">
            <v/>
          </cell>
          <cell r="G21">
            <v>25000000000018</v>
          </cell>
        </row>
        <row r="22">
          <cell r="C22">
            <v>25000000000019</v>
          </cell>
          <cell r="D22" t="str">
            <v>Ahmad Syaifulloh</v>
          </cell>
          <cell r="E22" t="str">
            <v>150506222</v>
          </cell>
          <cell r="G22">
            <v>25000000000019</v>
          </cell>
        </row>
        <row r="23">
          <cell r="C23">
            <v>25000000000020</v>
          </cell>
          <cell r="D23" t="str">
            <v>Ahmad Zulkarnaen</v>
          </cell>
          <cell r="E23" t="str">
            <v/>
          </cell>
          <cell r="G23">
            <v>25000000000020</v>
          </cell>
        </row>
        <row r="24">
          <cell r="C24">
            <v>25000000000021</v>
          </cell>
          <cell r="D24" t="str">
            <v>Ajan</v>
          </cell>
          <cell r="E24" t="str">
            <v/>
          </cell>
          <cell r="G24">
            <v>25000000000021</v>
          </cell>
        </row>
        <row r="25">
          <cell r="C25">
            <v>25000000000022</v>
          </cell>
          <cell r="D25" t="str">
            <v>Al Amin</v>
          </cell>
          <cell r="E25" t="str">
            <v/>
          </cell>
          <cell r="G25">
            <v>25000000000022</v>
          </cell>
        </row>
        <row r="26">
          <cell r="C26">
            <v>25000000000023</v>
          </cell>
          <cell r="D26" t="str">
            <v>Aldi Mulyadi</v>
          </cell>
          <cell r="E26" t="str">
            <v>141020935</v>
          </cell>
          <cell r="G26">
            <v>25000000000023</v>
          </cell>
        </row>
        <row r="27">
          <cell r="C27">
            <v>25000000000024</v>
          </cell>
          <cell r="D27" t="str">
            <v>Alexandri</v>
          </cell>
          <cell r="E27" t="str">
            <v/>
          </cell>
          <cell r="G27">
            <v>25000000000024</v>
          </cell>
        </row>
        <row r="28">
          <cell r="C28">
            <v>25000000000025</v>
          </cell>
          <cell r="D28" t="str">
            <v>Alfaedi</v>
          </cell>
          <cell r="E28" t="str">
            <v/>
          </cell>
          <cell r="G28">
            <v>25000000000025</v>
          </cell>
        </row>
        <row r="29">
          <cell r="C29">
            <v>25000000000026</v>
          </cell>
          <cell r="D29" t="str">
            <v>Ali Wahono</v>
          </cell>
          <cell r="E29" t="str">
            <v/>
          </cell>
          <cell r="G29">
            <v>25000000000026</v>
          </cell>
        </row>
        <row r="30">
          <cell r="C30">
            <v>25000000000027</v>
          </cell>
          <cell r="D30" t="str">
            <v>Alphaliyanri Lasria</v>
          </cell>
          <cell r="E30" t="str">
            <v/>
          </cell>
          <cell r="G30">
            <v>25000000000027</v>
          </cell>
        </row>
        <row r="31">
          <cell r="C31">
            <v>25000000000028</v>
          </cell>
          <cell r="D31" t="str">
            <v>Ambon Rumalean</v>
          </cell>
          <cell r="E31" t="str">
            <v/>
          </cell>
          <cell r="G31">
            <v>25000000000028</v>
          </cell>
        </row>
        <row r="32">
          <cell r="C32">
            <v>25000000000029</v>
          </cell>
          <cell r="D32" t="str">
            <v>Amir Sofyan Hadi</v>
          </cell>
          <cell r="E32" t="str">
            <v/>
          </cell>
          <cell r="G32">
            <v>25000000000029</v>
          </cell>
        </row>
        <row r="33">
          <cell r="C33">
            <v>25000000000030</v>
          </cell>
          <cell r="D33" t="str">
            <v>Anak Agung Netti Ariani</v>
          </cell>
          <cell r="E33" t="str">
            <v/>
          </cell>
          <cell r="G33">
            <v>25000000000030</v>
          </cell>
        </row>
        <row r="34">
          <cell r="C34">
            <v>25000000000031</v>
          </cell>
          <cell r="D34" t="str">
            <v>Andri Gunawan</v>
          </cell>
          <cell r="E34" t="str">
            <v/>
          </cell>
          <cell r="G34">
            <v>25000000000031</v>
          </cell>
        </row>
        <row r="35">
          <cell r="C35">
            <v>25000000000032</v>
          </cell>
          <cell r="D35" t="str">
            <v>Andri Herdiansyah</v>
          </cell>
          <cell r="E35" t="str">
            <v/>
          </cell>
          <cell r="G35">
            <v>25000000000032</v>
          </cell>
        </row>
        <row r="36">
          <cell r="C36">
            <v>25000000000033</v>
          </cell>
          <cell r="D36" t="str">
            <v>Andrie</v>
          </cell>
          <cell r="E36" t="str">
            <v/>
          </cell>
          <cell r="G36">
            <v>25000000000033</v>
          </cell>
        </row>
        <row r="37">
          <cell r="C37">
            <v>25000000000034</v>
          </cell>
          <cell r="D37" t="str">
            <v>Anggina Tri Yudandi</v>
          </cell>
          <cell r="E37" t="str">
            <v/>
          </cell>
          <cell r="G37">
            <v>25000000000034</v>
          </cell>
        </row>
        <row r="38">
          <cell r="C38">
            <v>25000000000035</v>
          </cell>
          <cell r="D38" t="str">
            <v>Anggit Ismiyanto</v>
          </cell>
          <cell r="E38" t="str">
            <v/>
          </cell>
          <cell r="G38">
            <v>25000000000035</v>
          </cell>
        </row>
        <row r="39">
          <cell r="C39">
            <v>25000000000036</v>
          </cell>
          <cell r="D39" t="str">
            <v>Anika Setyowati</v>
          </cell>
          <cell r="E39" t="str">
            <v/>
          </cell>
          <cell r="G39">
            <v>25000000000036</v>
          </cell>
        </row>
        <row r="40">
          <cell r="C40">
            <v>25000000000037</v>
          </cell>
          <cell r="D40" t="str">
            <v>Anisah</v>
          </cell>
          <cell r="E40" t="str">
            <v/>
          </cell>
          <cell r="G40">
            <v>25000000000037</v>
          </cell>
        </row>
        <row r="41">
          <cell r="C41">
            <v>25000000000038</v>
          </cell>
          <cell r="D41" t="str">
            <v>Anna Savitrie</v>
          </cell>
          <cell r="E41" t="str">
            <v/>
          </cell>
          <cell r="G41">
            <v>25000000000038</v>
          </cell>
        </row>
        <row r="42">
          <cell r="C42">
            <v>25000000000039</v>
          </cell>
          <cell r="D42" t="str">
            <v>Annisa Dewi Arumsari</v>
          </cell>
          <cell r="E42" t="str">
            <v>100419903</v>
          </cell>
          <cell r="G42">
            <v>25000000000039</v>
          </cell>
        </row>
        <row r="43">
          <cell r="C43">
            <v>25000000000040</v>
          </cell>
          <cell r="D43" t="str">
            <v>Annyes Sri Maristi</v>
          </cell>
          <cell r="E43" t="str">
            <v/>
          </cell>
          <cell r="G43">
            <v>25000000000040</v>
          </cell>
        </row>
        <row r="44">
          <cell r="C44">
            <v>25000000000041</v>
          </cell>
          <cell r="D44" t="str">
            <v>Antok</v>
          </cell>
          <cell r="E44" t="str">
            <v/>
          </cell>
          <cell r="G44">
            <v>25000000000041</v>
          </cell>
        </row>
        <row r="45">
          <cell r="C45">
            <v>25000000000042</v>
          </cell>
          <cell r="D45" t="str">
            <v>Anton Iryanto</v>
          </cell>
          <cell r="E45" t="str">
            <v/>
          </cell>
          <cell r="G45">
            <v>25000000000042</v>
          </cell>
        </row>
        <row r="46">
          <cell r="C46">
            <v>25000000000043</v>
          </cell>
          <cell r="D46" t="str">
            <v>Antony Pakpahan</v>
          </cell>
          <cell r="E46" t="str">
            <v/>
          </cell>
          <cell r="G46">
            <v>25000000000043</v>
          </cell>
        </row>
        <row r="47">
          <cell r="C47">
            <v>25000000000044</v>
          </cell>
          <cell r="D47" t="str">
            <v>Anugerah Januariansyah</v>
          </cell>
          <cell r="E47" t="str">
            <v>310821007</v>
          </cell>
          <cell r="G47">
            <v>25000000000044</v>
          </cell>
        </row>
        <row r="48">
          <cell r="C48">
            <v>25000000000045</v>
          </cell>
          <cell r="D48" t="str">
            <v>Anwar Purnomo</v>
          </cell>
          <cell r="E48" t="str">
            <v/>
          </cell>
          <cell r="G48">
            <v>25000000000045</v>
          </cell>
        </row>
        <row r="49">
          <cell r="C49">
            <v>25000000000046</v>
          </cell>
          <cell r="D49" t="str">
            <v>Ardhi Swasono</v>
          </cell>
          <cell r="E49" t="str">
            <v/>
          </cell>
          <cell r="G49">
            <v>25000000000046</v>
          </cell>
        </row>
        <row r="50">
          <cell r="C50">
            <v>25000000000047</v>
          </cell>
          <cell r="D50" t="str">
            <v>Ardi</v>
          </cell>
          <cell r="E50" t="str">
            <v/>
          </cell>
          <cell r="G50">
            <v>25000000000047</v>
          </cell>
        </row>
        <row r="51">
          <cell r="C51">
            <v>25000000000048</v>
          </cell>
          <cell r="D51" t="str">
            <v>Ardiansyah</v>
          </cell>
          <cell r="E51" t="str">
            <v/>
          </cell>
          <cell r="G51">
            <v>25000000000048</v>
          </cell>
        </row>
        <row r="52">
          <cell r="C52">
            <v>25000000000049</v>
          </cell>
          <cell r="D52" t="str">
            <v>Ardisam</v>
          </cell>
          <cell r="E52" t="str">
            <v/>
          </cell>
          <cell r="G52">
            <v>25000000000049</v>
          </cell>
        </row>
        <row r="53">
          <cell r="C53">
            <v>25000000000050</v>
          </cell>
          <cell r="D53" t="str">
            <v>Ardita</v>
          </cell>
          <cell r="E53" t="str">
            <v/>
          </cell>
          <cell r="G53">
            <v>25000000000050</v>
          </cell>
        </row>
        <row r="54">
          <cell r="C54">
            <v>25000000000051</v>
          </cell>
          <cell r="D54" t="str">
            <v>Ares S. Mauboi</v>
          </cell>
          <cell r="E54" t="str">
            <v>160313008</v>
          </cell>
          <cell r="G54">
            <v>25000000000051</v>
          </cell>
        </row>
        <row r="55">
          <cell r="C55">
            <v>25000000000052</v>
          </cell>
          <cell r="D55" t="str">
            <v>Arfah Hanum</v>
          </cell>
          <cell r="E55" t="str">
            <v/>
          </cell>
          <cell r="G55">
            <v>25000000000052</v>
          </cell>
        </row>
        <row r="56">
          <cell r="C56">
            <v>25000000000053</v>
          </cell>
          <cell r="D56" t="str">
            <v>Arfianti Haryani</v>
          </cell>
          <cell r="E56" t="str">
            <v/>
          </cell>
          <cell r="G56">
            <v>25000000000053</v>
          </cell>
        </row>
        <row r="57">
          <cell r="C57">
            <v>25000000000054</v>
          </cell>
          <cell r="D57" t="str">
            <v>Ari Priwarsono</v>
          </cell>
          <cell r="E57" t="str">
            <v/>
          </cell>
          <cell r="G57">
            <v>25000000000054</v>
          </cell>
        </row>
        <row r="58">
          <cell r="C58">
            <v>25000000000055</v>
          </cell>
          <cell r="D58" t="str">
            <v>Ari Yuniasmono</v>
          </cell>
          <cell r="E58" t="str">
            <v/>
          </cell>
          <cell r="G58">
            <v>25000000000055</v>
          </cell>
        </row>
        <row r="59">
          <cell r="C59">
            <v>25000000000056</v>
          </cell>
          <cell r="D59" t="str">
            <v>Arif Gunawan</v>
          </cell>
          <cell r="E59" t="str">
            <v/>
          </cell>
          <cell r="G59">
            <v>25000000000056</v>
          </cell>
        </row>
        <row r="60">
          <cell r="C60">
            <v>25000000000057</v>
          </cell>
          <cell r="D60" t="str">
            <v>Arif Prasetyo</v>
          </cell>
          <cell r="E60" t="str">
            <v/>
          </cell>
          <cell r="G60">
            <v>25000000000057</v>
          </cell>
        </row>
        <row r="61">
          <cell r="C61">
            <v>25000000000058</v>
          </cell>
          <cell r="D61" t="str">
            <v>Arini</v>
          </cell>
          <cell r="E61" t="str">
            <v/>
          </cell>
          <cell r="G61">
            <v>25000000000058</v>
          </cell>
        </row>
        <row r="62">
          <cell r="C62">
            <v>25000000000059</v>
          </cell>
          <cell r="D62" t="str">
            <v>Ario Setyo Gunawan</v>
          </cell>
          <cell r="E62" t="str">
            <v/>
          </cell>
          <cell r="G62">
            <v>25000000000059</v>
          </cell>
        </row>
        <row r="63">
          <cell r="C63">
            <v>25000000000060</v>
          </cell>
          <cell r="D63" t="str">
            <v>Ario Yulianto Wibowo</v>
          </cell>
          <cell r="E63" t="str">
            <v/>
          </cell>
          <cell r="G63">
            <v>25000000000060</v>
          </cell>
        </row>
        <row r="64">
          <cell r="C64">
            <v>25000000000061</v>
          </cell>
          <cell r="D64" t="str">
            <v>Aris Widodo Pamungkas</v>
          </cell>
          <cell r="E64" t="str">
            <v/>
          </cell>
          <cell r="G64">
            <v>25000000000061</v>
          </cell>
        </row>
        <row r="65">
          <cell r="C65">
            <v>25000000000062</v>
          </cell>
          <cell r="D65" t="str">
            <v>Arjiyanto</v>
          </cell>
          <cell r="E65" t="str">
            <v/>
          </cell>
          <cell r="G65">
            <v>25000000000062</v>
          </cell>
        </row>
        <row r="66">
          <cell r="C66">
            <v>25000000000063</v>
          </cell>
          <cell r="D66" t="str">
            <v>Arman</v>
          </cell>
          <cell r="E66" t="str">
            <v/>
          </cell>
          <cell r="G66">
            <v>25000000000063</v>
          </cell>
        </row>
        <row r="67">
          <cell r="C67">
            <v>25000000000064</v>
          </cell>
          <cell r="D67" t="str">
            <v>Aryoko Sudiro</v>
          </cell>
          <cell r="E67" t="str">
            <v/>
          </cell>
          <cell r="G67">
            <v>25000000000064</v>
          </cell>
        </row>
        <row r="68">
          <cell r="C68">
            <v>25000000000065</v>
          </cell>
          <cell r="D68" t="str">
            <v>Astamyugo</v>
          </cell>
          <cell r="E68" t="str">
            <v/>
          </cell>
          <cell r="G68">
            <v>25000000000065</v>
          </cell>
        </row>
        <row r="69">
          <cell r="C69">
            <v>25000000000066</v>
          </cell>
          <cell r="D69" t="str">
            <v>Atmo Sastro Dinoto</v>
          </cell>
          <cell r="E69" t="str">
            <v/>
          </cell>
          <cell r="G69">
            <v>25000000000066</v>
          </cell>
        </row>
        <row r="70">
          <cell r="C70">
            <v>25000000000067</v>
          </cell>
          <cell r="D70" t="str">
            <v>Awaludin</v>
          </cell>
          <cell r="E70" t="str">
            <v/>
          </cell>
          <cell r="G70">
            <v>25000000000067</v>
          </cell>
        </row>
        <row r="71">
          <cell r="C71">
            <v>25000000000068</v>
          </cell>
          <cell r="D71" t="str">
            <v>Bachtiar</v>
          </cell>
          <cell r="E71" t="str">
            <v/>
          </cell>
          <cell r="G71">
            <v>25000000000068</v>
          </cell>
        </row>
        <row r="72">
          <cell r="C72">
            <v>25000000000069</v>
          </cell>
          <cell r="D72" t="str">
            <v>Bambang Irawan</v>
          </cell>
          <cell r="E72" t="str">
            <v/>
          </cell>
          <cell r="G72">
            <v>25000000000069</v>
          </cell>
        </row>
        <row r="73">
          <cell r="C73">
            <v>25000000000070</v>
          </cell>
          <cell r="D73" t="str">
            <v>Bambang Prihatin</v>
          </cell>
          <cell r="E73" t="str">
            <v/>
          </cell>
          <cell r="G73">
            <v>25000000000070</v>
          </cell>
        </row>
        <row r="74">
          <cell r="C74">
            <v>25000000000071</v>
          </cell>
          <cell r="D74" t="str">
            <v>Bani Mustazeni</v>
          </cell>
          <cell r="E74" t="str">
            <v/>
          </cell>
          <cell r="G74">
            <v>25000000000071</v>
          </cell>
        </row>
        <row r="75">
          <cell r="C75">
            <v>25000000000072</v>
          </cell>
          <cell r="D75" t="str">
            <v>Bardai</v>
          </cell>
          <cell r="E75" t="str">
            <v/>
          </cell>
          <cell r="G75">
            <v>25000000000072</v>
          </cell>
        </row>
        <row r="76">
          <cell r="C76">
            <v>25000000000073</v>
          </cell>
          <cell r="D76" t="str">
            <v>Barika</v>
          </cell>
          <cell r="E76" t="str">
            <v/>
          </cell>
          <cell r="G76">
            <v>25000000000073</v>
          </cell>
        </row>
        <row r="77">
          <cell r="C77">
            <v>25000000000074</v>
          </cell>
          <cell r="D77" t="str">
            <v>Bela Retmalantika</v>
          </cell>
          <cell r="E77" t="str">
            <v/>
          </cell>
          <cell r="G77">
            <v>25000000000074</v>
          </cell>
        </row>
        <row r="78">
          <cell r="C78">
            <v>25000000000075</v>
          </cell>
          <cell r="D78" t="str">
            <v>Belina Lindarwani</v>
          </cell>
          <cell r="E78" t="str">
            <v>100920934</v>
          </cell>
          <cell r="G78">
            <v>25000000000075</v>
          </cell>
        </row>
        <row r="79">
          <cell r="C79">
            <v>25000000000076</v>
          </cell>
          <cell r="D79" t="str">
            <v>Benita Sofia</v>
          </cell>
          <cell r="E79" t="str">
            <v/>
          </cell>
          <cell r="G79">
            <v>25000000000076</v>
          </cell>
        </row>
        <row r="80">
          <cell r="C80">
            <v>25000000000077</v>
          </cell>
          <cell r="D80" t="str">
            <v>Bherly Novrandy</v>
          </cell>
          <cell r="E80" t="str">
            <v/>
          </cell>
          <cell r="G80">
            <v>25000000000077</v>
          </cell>
        </row>
        <row r="81">
          <cell r="C81">
            <v>25000000000078</v>
          </cell>
          <cell r="D81" t="str">
            <v>Binsar</v>
          </cell>
          <cell r="E81" t="str">
            <v/>
          </cell>
          <cell r="G81">
            <v>25000000000078</v>
          </cell>
        </row>
        <row r="82">
          <cell r="C82">
            <v>25000000000079</v>
          </cell>
          <cell r="D82" t="str">
            <v>Bondhan Sosiarta</v>
          </cell>
          <cell r="E82" t="str">
            <v/>
          </cell>
          <cell r="G82">
            <v>25000000000079</v>
          </cell>
        </row>
        <row r="83">
          <cell r="C83">
            <v>25000000000080</v>
          </cell>
          <cell r="D83" t="str">
            <v>Budi Pranata Sinaga</v>
          </cell>
          <cell r="E83" t="str">
            <v/>
          </cell>
          <cell r="G83">
            <v>25000000000080</v>
          </cell>
        </row>
        <row r="84">
          <cell r="C84">
            <v>25000000000081</v>
          </cell>
          <cell r="D84" t="str">
            <v>Budi Satrio</v>
          </cell>
          <cell r="E84" t="str">
            <v/>
          </cell>
          <cell r="G84">
            <v>25000000000081</v>
          </cell>
        </row>
        <row r="85">
          <cell r="C85">
            <v>25000000000082</v>
          </cell>
          <cell r="D85" t="str">
            <v>Budianto</v>
          </cell>
          <cell r="E85" t="str">
            <v>060515769</v>
          </cell>
          <cell r="G85">
            <v>25000000000082</v>
          </cell>
        </row>
        <row r="86">
          <cell r="C86">
            <v>25000000000083</v>
          </cell>
          <cell r="D86" t="str">
            <v>Budiman</v>
          </cell>
          <cell r="E86" t="str">
            <v/>
          </cell>
          <cell r="G86">
            <v>25000000000083</v>
          </cell>
        </row>
        <row r="87">
          <cell r="C87">
            <v>25000000000084</v>
          </cell>
          <cell r="D87" t="str">
            <v>Cahyaning Annisa</v>
          </cell>
          <cell r="E87" t="str">
            <v/>
          </cell>
          <cell r="G87">
            <v>25000000000084</v>
          </cell>
        </row>
        <row r="88">
          <cell r="C88">
            <v>25000000000085</v>
          </cell>
          <cell r="D88" t="str">
            <v>Cahyaningrum Widiastuti</v>
          </cell>
          <cell r="E88" t="str">
            <v/>
          </cell>
          <cell r="G88">
            <v>25000000000085</v>
          </cell>
        </row>
        <row r="89">
          <cell r="C89">
            <v>25000000000086</v>
          </cell>
          <cell r="D89" t="str">
            <v>Cecep Maulana</v>
          </cell>
          <cell r="E89" t="str">
            <v/>
          </cell>
          <cell r="G89">
            <v>25000000000086</v>
          </cell>
        </row>
        <row r="90">
          <cell r="C90">
            <v>25000000000087</v>
          </cell>
          <cell r="D90" t="str">
            <v>Chairul Musaddat</v>
          </cell>
          <cell r="E90" t="str">
            <v/>
          </cell>
          <cell r="G90">
            <v>25000000000087</v>
          </cell>
        </row>
        <row r="91">
          <cell r="C91">
            <v>25000000000088</v>
          </cell>
          <cell r="D91" t="str">
            <v>Christianto</v>
          </cell>
          <cell r="E91" t="str">
            <v/>
          </cell>
          <cell r="G91">
            <v>25000000000088</v>
          </cell>
        </row>
        <row r="92">
          <cell r="C92">
            <v>25000000000089</v>
          </cell>
          <cell r="D92" t="str">
            <v>Dadan Hermawan</v>
          </cell>
          <cell r="E92" t="str">
            <v/>
          </cell>
          <cell r="G92">
            <v>25000000000089</v>
          </cell>
        </row>
        <row r="93">
          <cell r="C93">
            <v>25000000000090</v>
          </cell>
          <cell r="D93" t="str">
            <v>Dadan Suhendar</v>
          </cell>
          <cell r="E93" t="str">
            <v/>
          </cell>
          <cell r="G93">
            <v>25000000000090</v>
          </cell>
        </row>
        <row r="94">
          <cell r="C94">
            <v>25000000000091</v>
          </cell>
          <cell r="D94" t="str">
            <v>Dadi Anda Zuchradi</v>
          </cell>
          <cell r="E94" t="str">
            <v/>
          </cell>
          <cell r="G94">
            <v>25000000000091</v>
          </cell>
        </row>
        <row r="95">
          <cell r="C95">
            <v>25000000000092</v>
          </cell>
          <cell r="D95" t="str">
            <v>Darsito</v>
          </cell>
          <cell r="E95" t="str">
            <v>031212631</v>
          </cell>
          <cell r="G95">
            <v>25000000000092</v>
          </cell>
        </row>
        <row r="96">
          <cell r="C96">
            <v>25000000000093</v>
          </cell>
          <cell r="D96" t="str">
            <v>Davit Lumban Gaol</v>
          </cell>
          <cell r="E96" t="str">
            <v>170417832</v>
          </cell>
          <cell r="G96">
            <v>25000000000093</v>
          </cell>
        </row>
        <row r="97">
          <cell r="C97">
            <v>25000000000094</v>
          </cell>
          <cell r="D97" t="str">
            <v>Deddy Rochman</v>
          </cell>
          <cell r="E97" t="str">
            <v>171215791</v>
          </cell>
          <cell r="G97">
            <v>25000000000094</v>
          </cell>
        </row>
        <row r="98">
          <cell r="C98">
            <v>25000000000095</v>
          </cell>
          <cell r="D98" t="str">
            <v>Dedi Kusnadi</v>
          </cell>
          <cell r="E98" t="str">
            <v/>
          </cell>
          <cell r="G98">
            <v>25000000000095</v>
          </cell>
        </row>
        <row r="99">
          <cell r="C99">
            <v>25000000000096</v>
          </cell>
          <cell r="D99" t="str">
            <v>Dedi Marciano Rizanur</v>
          </cell>
          <cell r="E99" t="str">
            <v/>
          </cell>
          <cell r="G99">
            <v>25000000000096</v>
          </cell>
        </row>
        <row r="100">
          <cell r="C100">
            <v>25000000000097</v>
          </cell>
          <cell r="D100" t="str">
            <v>Dedi Rianto</v>
          </cell>
          <cell r="E100" t="str">
            <v/>
          </cell>
          <cell r="G100">
            <v>25000000000097</v>
          </cell>
        </row>
        <row r="101">
          <cell r="C101">
            <v>25000000000098</v>
          </cell>
          <cell r="D101" t="str">
            <v>Dedi Syahputra</v>
          </cell>
          <cell r="E101" t="str">
            <v/>
          </cell>
          <cell r="G101">
            <v>25000000000098</v>
          </cell>
        </row>
        <row r="102">
          <cell r="C102">
            <v>25000000000099</v>
          </cell>
          <cell r="D102" t="str">
            <v>Deni Setiawan</v>
          </cell>
          <cell r="E102" t="str">
            <v/>
          </cell>
          <cell r="G102">
            <v>25000000000099</v>
          </cell>
        </row>
        <row r="103">
          <cell r="C103">
            <v>25000000000100</v>
          </cell>
          <cell r="D103" t="str">
            <v>Deny Adi Purnama</v>
          </cell>
          <cell r="E103" t="str">
            <v>050123975</v>
          </cell>
          <cell r="G103">
            <v>25000000000100</v>
          </cell>
        </row>
        <row r="104">
          <cell r="C104">
            <v>25000000000101</v>
          </cell>
          <cell r="D104" t="str">
            <v>Desi Herawati</v>
          </cell>
          <cell r="E104" t="str">
            <v/>
          </cell>
          <cell r="G104">
            <v>25000000000101</v>
          </cell>
        </row>
        <row r="105">
          <cell r="C105">
            <v>25000000000102</v>
          </cell>
          <cell r="D105" t="str">
            <v>Desi Setiowati</v>
          </cell>
          <cell r="E105" t="str">
            <v/>
          </cell>
          <cell r="G105">
            <v>25000000000102</v>
          </cell>
        </row>
        <row r="106">
          <cell r="C106">
            <v>25000000000103</v>
          </cell>
          <cell r="D106" t="str">
            <v>Dian Firdaus</v>
          </cell>
          <cell r="E106" t="str">
            <v/>
          </cell>
          <cell r="G106">
            <v>25000000000103</v>
          </cell>
        </row>
        <row r="107">
          <cell r="C107">
            <v>25000000000104</v>
          </cell>
          <cell r="D107" t="str">
            <v>Dian Hariyana</v>
          </cell>
          <cell r="E107" t="str">
            <v/>
          </cell>
          <cell r="G107">
            <v>25000000000104</v>
          </cell>
        </row>
        <row r="108">
          <cell r="C108">
            <v>25000000000105</v>
          </cell>
          <cell r="D108" t="str">
            <v>Dinnar Budiarti</v>
          </cell>
          <cell r="E108" t="str">
            <v/>
          </cell>
          <cell r="G108">
            <v>25000000000105</v>
          </cell>
        </row>
        <row r="109">
          <cell r="C109">
            <v>25000000000106</v>
          </cell>
          <cell r="D109" t="str">
            <v>Dionesius Sostenist Duka</v>
          </cell>
          <cell r="E109" t="str">
            <v>010605133</v>
          </cell>
          <cell r="G109">
            <v>25000000000106</v>
          </cell>
        </row>
        <row r="110">
          <cell r="C110">
            <v>25000000000107</v>
          </cell>
          <cell r="D110" t="str">
            <v>Diyah Martina</v>
          </cell>
          <cell r="E110" t="str">
            <v/>
          </cell>
          <cell r="G110">
            <v>25000000000107</v>
          </cell>
        </row>
        <row r="111">
          <cell r="C111">
            <v>25000000000108</v>
          </cell>
          <cell r="D111" t="str">
            <v>Djuang Tampubolon</v>
          </cell>
          <cell r="E111" t="str">
            <v/>
          </cell>
          <cell r="G111">
            <v>25000000000108</v>
          </cell>
        </row>
        <row r="112">
          <cell r="C112">
            <v>25000000000109</v>
          </cell>
          <cell r="D112" t="str">
            <v>Dodit Widiarto</v>
          </cell>
          <cell r="E112" t="str">
            <v/>
          </cell>
          <cell r="G112">
            <v>25000000000109</v>
          </cell>
        </row>
        <row r="113">
          <cell r="C113">
            <v>25000000000110</v>
          </cell>
          <cell r="D113" t="str">
            <v>Dony Darmawan</v>
          </cell>
          <cell r="E113" t="str">
            <v/>
          </cell>
          <cell r="G113">
            <v>25000000000110</v>
          </cell>
        </row>
        <row r="114">
          <cell r="C114">
            <v>25000000000111</v>
          </cell>
          <cell r="D114" t="str">
            <v>Dony Setiawan</v>
          </cell>
          <cell r="E114" t="str">
            <v/>
          </cell>
          <cell r="G114">
            <v>25000000000111</v>
          </cell>
        </row>
        <row r="115">
          <cell r="C115">
            <v>25000000000112</v>
          </cell>
          <cell r="D115" t="str">
            <v>Dudi Rustandi</v>
          </cell>
          <cell r="E115" t="str">
            <v/>
          </cell>
          <cell r="G115">
            <v>25000000000112</v>
          </cell>
        </row>
        <row r="116">
          <cell r="C116">
            <v>25000000000113</v>
          </cell>
          <cell r="D116" t="str">
            <v>Dudung</v>
          </cell>
          <cell r="E116" t="str">
            <v/>
          </cell>
          <cell r="G116">
            <v>25000000000113</v>
          </cell>
        </row>
        <row r="117">
          <cell r="C117">
            <v>25000000000114</v>
          </cell>
          <cell r="D117" t="str">
            <v>Dwi Joko Setio Tjaroko</v>
          </cell>
          <cell r="E117" t="str">
            <v/>
          </cell>
          <cell r="G117">
            <v>25000000000114</v>
          </cell>
        </row>
        <row r="118">
          <cell r="C118">
            <v>25000000000115</v>
          </cell>
          <cell r="D118" t="str">
            <v>Dwinanto Prabowo</v>
          </cell>
          <cell r="E118" t="str">
            <v/>
          </cell>
          <cell r="G118">
            <v>25000000000115</v>
          </cell>
        </row>
        <row r="119">
          <cell r="C119">
            <v>25000000000116</v>
          </cell>
          <cell r="D119" t="str">
            <v>Edi Waluyo</v>
          </cell>
          <cell r="E119" t="str">
            <v>040803040</v>
          </cell>
          <cell r="G119">
            <v>25000000000116</v>
          </cell>
        </row>
        <row r="120">
          <cell r="C120">
            <v>25000000000117</v>
          </cell>
          <cell r="D120" t="str">
            <v>Edi Siswanto</v>
          </cell>
          <cell r="E120" t="str">
            <v/>
          </cell>
          <cell r="G120">
            <v>25000000000117</v>
          </cell>
        </row>
        <row r="121">
          <cell r="C121">
            <v>25000000000118</v>
          </cell>
          <cell r="D121" t="str">
            <v>Edi Turnip</v>
          </cell>
          <cell r="E121" t="str">
            <v/>
          </cell>
          <cell r="G121">
            <v>25000000000118</v>
          </cell>
        </row>
        <row r="122">
          <cell r="C122">
            <v>25000000000119</v>
          </cell>
          <cell r="D122" t="str">
            <v>Edy Putra Waskita</v>
          </cell>
          <cell r="E122" t="str">
            <v/>
          </cell>
          <cell r="G122">
            <v>25000000000119</v>
          </cell>
        </row>
        <row r="123">
          <cell r="C123">
            <v>25000000000120</v>
          </cell>
          <cell r="D123" t="str">
            <v>Edy Syahputra Situmeang</v>
          </cell>
          <cell r="E123" t="str">
            <v>0701251000</v>
          </cell>
          <cell r="G123">
            <v>25000000000120</v>
          </cell>
        </row>
        <row r="124">
          <cell r="C124">
            <v>25000000000121</v>
          </cell>
          <cell r="D124" t="str">
            <v>Effendi fendi</v>
          </cell>
          <cell r="E124" t="str">
            <v/>
          </cell>
          <cell r="G124">
            <v>25000000000121</v>
          </cell>
        </row>
        <row r="125">
          <cell r="C125">
            <v>25000000000122</v>
          </cell>
          <cell r="D125" t="str">
            <v>Efrina Dwililia</v>
          </cell>
          <cell r="E125" t="str">
            <v/>
          </cell>
          <cell r="G125">
            <v>25000000000122</v>
          </cell>
        </row>
        <row r="126">
          <cell r="C126">
            <v>25000000000123</v>
          </cell>
          <cell r="D126" t="str">
            <v>Eka Bagus Dwi Putra</v>
          </cell>
          <cell r="E126" t="str">
            <v>200420932</v>
          </cell>
          <cell r="G126">
            <v>25000000000123</v>
          </cell>
        </row>
        <row r="127">
          <cell r="C127">
            <v>25000000000124</v>
          </cell>
          <cell r="D127" t="str">
            <v>Eka Hamidah</v>
          </cell>
          <cell r="E127" t="str">
            <v/>
          </cell>
          <cell r="G127">
            <v>25000000000124</v>
          </cell>
        </row>
        <row r="128">
          <cell r="C128">
            <v>25000000000125</v>
          </cell>
          <cell r="D128" t="str">
            <v>Eka Purwanti</v>
          </cell>
          <cell r="E128" t="str">
            <v>060121944</v>
          </cell>
          <cell r="G128">
            <v>25000000000125</v>
          </cell>
        </row>
        <row r="129">
          <cell r="C129">
            <v>25000000000126</v>
          </cell>
          <cell r="D129" t="str">
            <v>Eka Kurniawan Hidayatullah</v>
          </cell>
          <cell r="E129" t="str">
            <v>120324987</v>
          </cell>
          <cell r="G129">
            <v>25000000000126</v>
          </cell>
        </row>
        <row r="130">
          <cell r="C130">
            <v>25000000000127</v>
          </cell>
          <cell r="D130" t="str">
            <v>Eko Laksono</v>
          </cell>
          <cell r="E130" t="str">
            <v/>
          </cell>
          <cell r="G130">
            <v>25000000000127</v>
          </cell>
        </row>
        <row r="131">
          <cell r="C131">
            <v>25000000000128</v>
          </cell>
          <cell r="D131" t="str">
            <v>Eko Syambudi</v>
          </cell>
          <cell r="E131" t="str">
            <v/>
          </cell>
          <cell r="G131">
            <v>25000000000128</v>
          </cell>
        </row>
        <row r="132">
          <cell r="C132">
            <v>25000000000129</v>
          </cell>
          <cell r="D132" t="str">
            <v>Elieser Ferdy P.</v>
          </cell>
          <cell r="E132" t="str">
            <v/>
          </cell>
          <cell r="G132">
            <v>25000000000129</v>
          </cell>
        </row>
        <row r="133">
          <cell r="C133">
            <v>25000000000130</v>
          </cell>
          <cell r="D133" t="str">
            <v>Elisa</v>
          </cell>
          <cell r="E133" t="str">
            <v/>
          </cell>
          <cell r="G133">
            <v>25000000000130</v>
          </cell>
        </row>
        <row r="134">
          <cell r="C134">
            <v>25000000000131</v>
          </cell>
          <cell r="D134" t="str">
            <v>Elsa Jayanti</v>
          </cell>
          <cell r="E134" t="str">
            <v/>
          </cell>
          <cell r="G134">
            <v>25000000000131</v>
          </cell>
        </row>
        <row r="135">
          <cell r="C135">
            <v>25000000000132</v>
          </cell>
          <cell r="D135" t="str">
            <v>Elsa Mardian</v>
          </cell>
          <cell r="E135" t="str">
            <v/>
          </cell>
          <cell r="G135">
            <v>25000000000132</v>
          </cell>
        </row>
        <row r="136">
          <cell r="C136">
            <v>25000000000133</v>
          </cell>
          <cell r="D136" t="str">
            <v>Emir Paranita Nasution</v>
          </cell>
          <cell r="E136" t="str">
            <v/>
          </cell>
          <cell r="G136">
            <v>25000000000133</v>
          </cell>
        </row>
        <row r="137">
          <cell r="C137">
            <v>25000000000134</v>
          </cell>
          <cell r="D137" t="str">
            <v>Enceng Hemawan</v>
          </cell>
          <cell r="E137" t="str">
            <v/>
          </cell>
          <cell r="G137">
            <v>25000000000134</v>
          </cell>
        </row>
        <row r="138">
          <cell r="C138">
            <v>25000000000135</v>
          </cell>
          <cell r="D138" t="str">
            <v>Endang</v>
          </cell>
          <cell r="E138" t="str">
            <v/>
          </cell>
          <cell r="G138">
            <v>25000000000135</v>
          </cell>
        </row>
        <row r="139">
          <cell r="C139">
            <v>25000000000136</v>
          </cell>
          <cell r="D139" t="str">
            <v>Endang Lestari</v>
          </cell>
          <cell r="E139" t="str">
            <v/>
          </cell>
          <cell r="G139">
            <v>25000000000136</v>
          </cell>
        </row>
        <row r="140">
          <cell r="C140">
            <v>25000000000137</v>
          </cell>
          <cell r="D140" t="str">
            <v>Endang Sobari</v>
          </cell>
          <cell r="E140" t="str">
            <v/>
          </cell>
          <cell r="G140">
            <v>25000000000137</v>
          </cell>
        </row>
        <row r="141">
          <cell r="C141">
            <v>25000000000138</v>
          </cell>
          <cell r="D141" t="str">
            <v>Endang Sutrisna</v>
          </cell>
          <cell r="E141" t="str">
            <v>010806250</v>
          </cell>
          <cell r="G141">
            <v>25000000000138</v>
          </cell>
        </row>
        <row r="142">
          <cell r="C142">
            <v>25000000000139</v>
          </cell>
          <cell r="D142" t="str">
            <v>Erfananda Rasyid</v>
          </cell>
          <cell r="E142" t="str">
            <v/>
          </cell>
          <cell r="G142">
            <v>25000000000139</v>
          </cell>
        </row>
        <row r="143">
          <cell r="C143">
            <v>25000000000140</v>
          </cell>
          <cell r="D143" t="str">
            <v>Ernawati</v>
          </cell>
          <cell r="E143" t="str">
            <v/>
          </cell>
          <cell r="G143">
            <v>25000000000140</v>
          </cell>
        </row>
        <row r="144">
          <cell r="C144">
            <v>25000000000141</v>
          </cell>
          <cell r="D144" t="str">
            <v>Erwin Firmansyah</v>
          </cell>
          <cell r="E144" t="str">
            <v/>
          </cell>
          <cell r="G144">
            <v>25000000000141</v>
          </cell>
        </row>
        <row r="145">
          <cell r="C145">
            <v>25000000000142</v>
          </cell>
          <cell r="D145" t="str">
            <v>Erwin Said</v>
          </cell>
          <cell r="E145" t="str">
            <v/>
          </cell>
          <cell r="G145">
            <v>25000000000142</v>
          </cell>
        </row>
        <row r="146">
          <cell r="C146">
            <v>25000000000143</v>
          </cell>
          <cell r="D146" t="str">
            <v>Esa Annahar</v>
          </cell>
          <cell r="E146" t="str">
            <v/>
          </cell>
          <cell r="G146">
            <v>25000000000143</v>
          </cell>
        </row>
        <row r="147">
          <cell r="C147">
            <v>25000000000144</v>
          </cell>
          <cell r="D147" t="str">
            <v>Faiz Horifal</v>
          </cell>
          <cell r="E147" t="str">
            <v/>
          </cell>
          <cell r="G147">
            <v>25000000000144</v>
          </cell>
        </row>
        <row r="148">
          <cell r="C148">
            <v>25000000000145</v>
          </cell>
          <cell r="D148" t="str">
            <v>Fani Dwi Astutik</v>
          </cell>
          <cell r="E148" t="str">
            <v/>
          </cell>
          <cell r="G148">
            <v>25000000000145</v>
          </cell>
        </row>
        <row r="149">
          <cell r="C149">
            <v>25000000000146</v>
          </cell>
          <cell r="D149" t="str">
            <v>Fardi Nauli R</v>
          </cell>
          <cell r="E149" t="str">
            <v/>
          </cell>
          <cell r="G149">
            <v>25000000000146</v>
          </cell>
        </row>
        <row r="150">
          <cell r="C150">
            <v>25000000000147</v>
          </cell>
          <cell r="D150" t="str">
            <v>Farekh Huzair</v>
          </cell>
          <cell r="E150" t="str">
            <v/>
          </cell>
          <cell r="G150">
            <v>25000000000147</v>
          </cell>
        </row>
        <row r="151">
          <cell r="C151">
            <v>25000000000148</v>
          </cell>
          <cell r="D151" t="str">
            <v>Farhana</v>
          </cell>
          <cell r="E151" t="str">
            <v/>
          </cell>
          <cell r="G151">
            <v>25000000000148</v>
          </cell>
        </row>
        <row r="152">
          <cell r="C152">
            <v>25000000000149</v>
          </cell>
          <cell r="D152" t="str">
            <v>Febriyanto Ahdiat</v>
          </cell>
          <cell r="E152" t="str">
            <v/>
          </cell>
          <cell r="G152">
            <v>25000000000149</v>
          </cell>
        </row>
        <row r="153">
          <cell r="C153">
            <v>25000000000150</v>
          </cell>
          <cell r="D153" t="str">
            <v>Febryan Mahsyar</v>
          </cell>
          <cell r="E153" t="str">
            <v/>
          </cell>
          <cell r="G153">
            <v>25000000000150</v>
          </cell>
        </row>
        <row r="154">
          <cell r="C154">
            <v>25000000000151</v>
          </cell>
          <cell r="D154" t="str">
            <v>Felpy</v>
          </cell>
          <cell r="E154" t="str">
            <v/>
          </cell>
          <cell r="G154">
            <v>25000000000151</v>
          </cell>
        </row>
        <row r="155">
          <cell r="C155">
            <v>25000000000152</v>
          </cell>
          <cell r="D155" t="str">
            <v>Feri Priyanto</v>
          </cell>
          <cell r="E155" t="str">
            <v/>
          </cell>
          <cell r="G155">
            <v>25000000000152</v>
          </cell>
        </row>
        <row r="156">
          <cell r="C156">
            <v>25000000000153</v>
          </cell>
          <cell r="D156" t="str">
            <v>Ferry P Simanjuntak</v>
          </cell>
          <cell r="E156" t="str">
            <v/>
          </cell>
          <cell r="G156">
            <v>25000000000153</v>
          </cell>
        </row>
        <row r="157">
          <cell r="C157">
            <v>25000000000154</v>
          </cell>
          <cell r="D157" t="str">
            <v>Fikri</v>
          </cell>
          <cell r="E157" t="str">
            <v/>
          </cell>
          <cell r="G157">
            <v>25000000000154</v>
          </cell>
        </row>
        <row r="158">
          <cell r="C158">
            <v>25000000000155</v>
          </cell>
          <cell r="D158" t="str">
            <v>M. Fikri Caesarandi Hasibuan</v>
          </cell>
          <cell r="E158" t="str">
            <v>160916799</v>
          </cell>
          <cell r="G158">
            <v>25000000000155</v>
          </cell>
        </row>
        <row r="159">
          <cell r="C159">
            <v>25000000000156</v>
          </cell>
          <cell r="D159" t="str">
            <v>Firman Akbar</v>
          </cell>
          <cell r="E159" t="str">
            <v/>
          </cell>
          <cell r="G159">
            <v>25000000000156</v>
          </cell>
        </row>
        <row r="160">
          <cell r="C160">
            <v>25000000000157</v>
          </cell>
          <cell r="D160" t="str">
            <v>Fitriastuti Kurnia</v>
          </cell>
          <cell r="E160" t="str">
            <v>070305123</v>
          </cell>
          <cell r="G160">
            <v>25000000000157</v>
          </cell>
        </row>
        <row r="161">
          <cell r="C161">
            <v>25000000000158</v>
          </cell>
          <cell r="D161" t="str">
            <v>Francis Imanuel</v>
          </cell>
          <cell r="E161" t="str">
            <v/>
          </cell>
          <cell r="G161">
            <v>25000000000158</v>
          </cell>
        </row>
        <row r="162">
          <cell r="C162">
            <v>25000000000159</v>
          </cell>
          <cell r="D162" t="str">
            <v>Frando Judi Siahaan</v>
          </cell>
          <cell r="E162" t="str">
            <v>181114748</v>
          </cell>
          <cell r="G162">
            <v>25000000000159</v>
          </cell>
        </row>
        <row r="163">
          <cell r="C163">
            <v>25000000000160</v>
          </cell>
          <cell r="D163" t="str">
            <v>Frederika Intan</v>
          </cell>
          <cell r="E163" t="str">
            <v/>
          </cell>
          <cell r="G163">
            <v>25000000000160</v>
          </cell>
        </row>
        <row r="164">
          <cell r="C164">
            <v>25000000000161</v>
          </cell>
          <cell r="D164" t="str">
            <v>Fuad Febrian</v>
          </cell>
          <cell r="E164" t="str">
            <v/>
          </cell>
          <cell r="G164">
            <v>25000000000161</v>
          </cell>
        </row>
        <row r="165">
          <cell r="C165">
            <v>25000000000162</v>
          </cell>
          <cell r="D165" t="str">
            <v>Wiyadianto</v>
          </cell>
          <cell r="E165" t="str">
            <v/>
          </cell>
          <cell r="G165">
            <v>25000000000162</v>
          </cell>
        </row>
        <row r="166">
          <cell r="C166">
            <v>25000000000163</v>
          </cell>
          <cell r="D166" t="str">
            <v>Galuh Swastika</v>
          </cell>
          <cell r="E166" t="str">
            <v/>
          </cell>
          <cell r="G166">
            <v>25000000000163</v>
          </cell>
        </row>
        <row r="167">
          <cell r="C167">
            <v>25000000000164</v>
          </cell>
          <cell r="D167" t="str">
            <v>Ganda Yuharis R.</v>
          </cell>
          <cell r="E167" t="str">
            <v/>
          </cell>
          <cell r="G167">
            <v>25000000000164</v>
          </cell>
        </row>
        <row r="168">
          <cell r="C168">
            <v>25000000000165</v>
          </cell>
          <cell r="D168" t="str">
            <v>Gatot Harsono</v>
          </cell>
          <cell r="E168" t="str">
            <v/>
          </cell>
          <cell r="G168">
            <v>25000000000165</v>
          </cell>
        </row>
        <row r="169">
          <cell r="C169">
            <v>25000000000166</v>
          </cell>
          <cell r="D169" t="str">
            <v>Gina Septa</v>
          </cell>
          <cell r="E169" t="str">
            <v/>
          </cell>
          <cell r="G169">
            <v>25000000000166</v>
          </cell>
        </row>
        <row r="170">
          <cell r="C170">
            <v>25000000000167</v>
          </cell>
          <cell r="D170" t="str">
            <v>Grace Kurniawan</v>
          </cell>
          <cell r="E170" t="str">
            <v>010218858</v>
          </cell>
          <cell r="G170">
            <v>25000000000167</v>
          </cell>
        </row>
        <row r="171">
          <cell r="C171">
            <v>25000000000168</v>
          </cell>
          <cell r="D171" t="str">
            <v>Gunawan</v>
          </cell>
          <cell r="E171" t="str">
            <v>070806256</v>
          </cell>
          <cell r="G171">
            <v>25000000000168</v>
          </cell>
        </row>
        <row r="172">
          <cell r="C172">
            <v>25000000000169</v>
          </cell>
          <cell r="D172" t="str">
            <v>Gustia Rakhmanita</v>
          </cell>
          <cell r="E172" t="str">
            <v/>
          </cell>
          <cell r="G172">
            <v>25000000000169</v>
          </cell>
        </row>
        <row r="173">
          <cell r="C173">
            <v>25000000000170</v>
          </cell>
          <cell r="D173" t="str">
            <v>Habib Abdullah</v>
          </cell>
          <cell r="E173" t="str">
            <v/>
          </cell>
          <cell r="G173">
            <v>25000000000170</v>
          </cell>
        </row>
        <row r="174">
          <cell r="C174">
            <v>25000000000171</v>
          </cell>
          <cell r="D174" t="str">
            <v>Hadi Kasmuri</v>
          </cell>
          <cell r="E174" t="str">
            <v/>
          </cell>
          <cell r="G174">
            <v>25000000000171</v>
          </cell>
        </row>
        <row r="175">
          <cell r="C175">
            <v>25000000000172</v>
          </cell>
          <cell r="D175" t="str">
            <v>Haikal</v>
          </cell>
          <cell r="E175" t="str">
            <v/>
          </cell>
          <cell r="G175">
            <v>25000000000172</v>
          </cell>
        </row>
        <row r="176">
          <cell r="C176">
            <v>25000000000173</v>
          </cell>
          <cell r="D176" t="str">
            <v>Hanantowiryo Tamtama</v>
          </cell>
          <cell r="E176" t="str">
            <v/>
          </cell>
          <cell r="G176">
            <v>25000000000173</v>
          </cell>
        </row>
        <row r="177">
          <cell r="C177">
            <v>25000000000174</v>
          </cell>
          <cell r="D177" t="str">
            <v>Handoko</v>
          </cell>
          <cell r="E177" t="str">
            <v/>
          </cell>
          <cell r="G177">
            <v>25000000000174</v>
          </cell>
        </row>
        <row r="178">
          <cell r="C178">
            <v>25000000000175</v>
          </cell>
          <cell r="D178" t="str">
            <v>Hanif Ashari</v>
          </cell>
          <cell r="E178" t="str">
            <v/>
          </cell>
          <cell r="G178">
            <v>25000000000175</v>
          </cell>
        </row>
        <row r="179">
          <cell r="C179">
            <v>25000000000176</v>
          </cell>
          <cell r="D179" t="str">
            <v>Hanif Eko Saputro</v>
          </cell>
          <cell r="E179" t="str">
            <v/>
          </cell>
          <cell r="G179">
            <v>25000000000176</v>
          </cell>
        </row>
        <row r="180">
          <cell r="C180">
            <v>25000000000177</v>
          </cell>
          <cell r="D180" t="str">
            <v>Hardianto</v>
          </cell>
          <cell r="E180" t="str">
            <v/>
          </cell>
          <cell r="G180">
            <v>25000000000177</v>
          </cell>
        </row>
        <row r="181">
          <cell r="C181">
            <v>25000000000178</v>
          </cell>
          <cell r="D181" t="str">
            <v>Harlen Amudi Purba</v>
          </cell>
          <cell r="E181" t="str">
            <v/>
          </cell>
          <cell r="G181">
            <v>25000000000178</v>
          </cell>
        </row>
        <row r="182">
          <cell r="C182">
            <v>25000000000179</v>
          </cell>
          <cell r="D182" t="str">
            <v>Harry Isnaeni</v>
          </cell>
          <cell r="E182" t="str">
            <v/>
          </cell>
          <cell r="G182">
            <v>25000000000179</v>
          </cell>
        </row>
        <row r="183">
          <cell r="C183">
            <v>25000000000180</v>
          </cell>
          <cell r="D183" t="str">
            <v>Hasan Gani</v>
          </cell>
          <cell r="E183" t="str">
            <v/>
          </cell>
          <cell r="G183">
            <v>25000000000180</v>
          </cell>
        </row>
        <row r="184">
          <cell r="C184">
            <v>25000000000181</v>
          </cell>
          <cell r="D184" t="str">
            <v>Hasrul</v>
          </cell>
          <cell r="E184" t="str">
            <v/>
          </cell>
          <cell r="G184">
            <v>25000000000181</v>
          </cell>
        </row>
        <row r="185">
          <cell r="C185">
            <v>25000000000182</v>
          </cell>
          <cell r="D185" t="str">
            <v>Hendar Pambudi</v>
          </cell>
          <cell r="E185" t="str">
            <v/>
          </cell>
          <cell r="G185">
            <v>25000000000182</v>
          </cell>
        </row>
        <row r="186">
          <cell r="C186">
            <v>25000000000183</v>
          </cell>
          <cell r="D186" t="str">
            <v>Hendri Kustian</v>
          </cell>
          <cell r="E186" t="str">
            <v/>
          </cell>
          <cell r="G186">
            <v>25000000000183</v>
          </cell>
        </row>
        <row r="187">
          <cell r="C187">
            <v>25000000000184</v>
          </cell>
          <cell r="D187" t="str">
            <v>Hendrik</v>
          </cell>
          <cell r="E187" t="str">
            <v/>
          </cell>
          <cell r="G187">
            <v>25000000000184</v>
          </cell>
        </row>
        <row r="188">
          <cell r="C188">
            <v>25000000000185</v>
          </cell>
          <cell r="D188" t="str">
            <v>Herdi Yulia Rohmana</v>
          </cell>
          <cell r="E188" t="str">
            <v/>
          </cell>
          <cell r="G188">
            <v>25000000000185</v>
          </cell>
        </row>
        <row r="189">
          <cell r="C189">
            <v>25000000000186</v>
          </cell>
          <cell r="D189" t="str">
            <v>Heri Susanto</v>
          </cell>
          <cell r="E189" t="str">
            <v/>
          </cell>
          <cell r="G189">
            <v>25000000000186</v>
          </cell>
        </row>
        <row r="190">
          <cell r="C190">
            <v>25000000000187</v>
          </cell>
          <cell r="D190" t="str">
            <v>Herlin Juli Asri</v>
          </cell>
          <cell r="E190" t="str">
            <v/>
          </cell>
          <cell r="G190">
            <v>25000000000187</v>
          </cell>
        </row>
        <row r="191">
          <cell r="C191">
            <v>25000000000188</v>
          </cell>
          <cell r="D191" t="str">
            <v>Herman Budoyo</v>
          </cell>
          <cell r="E191" t="str">
            <v/>
          </cell>
          <cell r="G191">
            <v>25000000000188</v>
          </cell>
        </row>
        <row r="192">
          <cell r="C192">
            <v>25000000000189</v>
          </cell>
          <cell r="D192" t="str">
            <v>Herni Yuliati</v>
          </cell>
          <cell r="E192" t="str">
            <v/>
          </cell>
          <cell r="G192">
            <v>25000000000189</v>
          </cell>
        </row>
        <row r="193">
          <cell r="C193">
            <v>25000000000190</v>
          </cell>
          <cell r="D193" t="str">
            <v>Hernita Dwi</v>
          </cell>
          <cell r="E193" t="str">
            <v/>
          </cell>
          <cell r="G193">
            <v>25000000000190</v>
          </cell>
        </row>
        <row r="194">
          <cell r="C194">
            <v>25000000000191</v>
          </cell>
          <cell r="D194" t="str">
            <v>Herri Setyawan</v>
          </cell>
          <cell r="E194" t="str">
            <v/>
          </cell>
          <cell r="G194">
            <v>25000000000191</v>
          </cell>
        </row>
        <row r="195">
          <cell r="C195">
            <v>25000000000192</v>
          </cell>
          <cell r="D195" t="str">
            <v>Heru Sugiri</v>
          </cell>
          <cell r="E195" t="str">
            <v/>
          </cell>
          <cell r="G195">
            <v>25000000000192</v>
          </cell>
        </row>
        <row r="196">
          <cell r="C196">
            <v>25000000000193</v>
          </cell>
          <cell r="D196" t="str">
            <v>Hervian Bagus Saputra</v>
          </cell>
          <cell r="E196" t="str">
            <v/>
          </cell>
          <cell r="G196">
            <v>25000000000193</v>
          </cell>
        </row>
        <row r="197">
          <cell r="C197">
            <v>25000000000194</v>
          </cell>
          <cell r="D197" t="str">
            <v>H.R. Marlina S. T. R.</v>
          </cell>
          <cell r="E197" t="str">
            <v/>
          </cell>
          <cell r="G197">
            <v>25000000000194</v>
          </cell>
        </row>
        <row r="198">
          <cell r="C198">
            <v>25000000000195</v>
          </cell>
          <cell r="D198" t="str">
            <v>Ibrahim Soukani</v>
          </cell>
          <cell r="E198" t="str">
            <v/>
          </cell>
          <cell r="G198">
            <v>25000000000195</v>
          </cell>
        </row>
        <row r="199">
          <cell r="C199">
            <v>25000000000196</v>
          </cell>
          <cell r="D199" t="str">
            <v>Icha Mailinda Syamsoedin</v>
          </cell>
          <cell r="E199" t="str">
            <v>191015786</v>
          </cell>
          <cell r="G199">
            <v>25000000000196</v>
          </cell>
        </row>
        <row r="200">
          <cell r="C200">
            <v>25000000000197</v>
          </cell>
          <cell r="D200" t="str">
            <v>Ichsanudin</v>
          </cell>
          <cell r="E200" t="str">
            <v/>
          </cell>
          <cell r="G200">
            <v>25000000000197</v>
          </cell>
        </row>
        <row r="201">
          <cell r="C201">
            <v>25000000000198</v>
          </cell>
          <cell r="D201" t="str">
            <v>Ida Tri Wulaningsih</v>
          </cell>
          <cell r="E201" t="str">
            <v/>
          </cell>
          <cell r="G201">
            <v>25000000000198</v>
          </cell>
        </row>
        <row r="202">
          <cell r="C202">
            <v>25000000000199</v>
          </cell>
          <cell r="D202" t="str">
            <v>Idham</v>
          </cell>
          <cell r="E202" t="str">
            <v/>
          </cell>
          <cell r="G202">
            <v>25000000000199</v>
          </cell>
        </row>
        <row r="203">
          <cell r="C203">
            <v>25000000000200</v>
          </cell>
          <cell r="D203" t="str">
            <v>Idham Nasution</v>
          </cell>
          <cell r="E203" t="str">
            <v/>
          </cell>
          <cell r="G203">
            <v>25000000000200</v>
          </cell>
        </row>
        <row r="204">
          <cell r="C204">
            <v>25000000000201</v>
          </cell>
          <cell r="D204" t="str">
            <v>Idian</v>
          </cell>
          <cell r="E204" t="str">
            <v/>
          </cell>
          <cell r="G204">
            <v>25000000000201</v>
          </cell>
        </row>
        <row r="205">
          <cell r="C205">
            <v>25000000000202</v>
          </cell>
          <cell r="D205" t="str">
            <v>Ikun M. Soedrajat</v>
          </cell>
          <cell r="E205" t="str">
            <v/>
          </cell>
          <cell r="G205">
            <v>25000000000202</v>
          </cell>
        </row>
        <row r="206">
          <cell r="C206">
            <v>25000000000203</v>
          </cell>
          <cell r="D206" t="str">
            <v>Ilham Arisyandy</v>
          </cell>
          <cell r="E206" t="str">
            <v/>
          </cell>
          <cell r="G206">
            <v>25000000000203</v>
          </cell>
        </row>
        <row r="207">
          <cell r="C207">
            <v>25000000000204</v>
          </cell>
          <cell r="D207" t="str">
            <v>Ilham Akbar</v>
          </cell>
          <cell r="E207" t="str">
            <v>170217825</v>
          </cell>
          <cell r="G207">
            <v>25000000000204</v>
          </cell>
        </row>
        <row r="208">
          <cell r="C208">
            <v>25000000000205</v>
          </cell>
          <cell r="D208" t="str">
            <v>Imam Basuki</v>
          </cell>
          <cell r="E208" t="str">
            <v/>
          </cell>
          <cell r="G208">
            <v>25000000000205</v>
          </cell>
        </row>
        <row r="209">
          <cell r="C209">
            <v>25000000000206</v>
          </cell>
          <cell r="D209" t="str">
            <v>Imam Mustofa</v>
          </cell>
          <cell r="E209" t="str">
            <v/>
          </cell>
          <cell r="G209">
            <v>25000000000206</v>
          </cell>
        </row>
        <row r="210">
          <cell r="C210">
            <v>25000000000207</v>
          </cell>
          <cell r="D210" t="str">
            <v>Imam Safiiy</v>
          </cell>
          <cell r="E210" t="str">
            <v/>
          </cell>
          <cell r="G210">
            <v>25000000000207</v>
          </cell>
        </row>
        <row r="211">
          <cell r="C211">
            <v>25000000000208</v>
          </cell>
          <cell r="D211" t="str">
            <v>Iman Hakiki</v>
          </cell>
          <cell r="E211" t="str">
            <v/>
          </cell>
          <cell r="G211">
            <v>25000000000208</v>
          </cell>
        </row>
        <row r="212">
          <cell r="C212">
            <v>25000000000209</v>
          </cell>
          <cell r="D212" t="str">
            <v>Imelda Claudia</v>
          </cell>
          <cell r="E212" t="str">
            <v/>
          </cell>
          <cell r="G212">
            <v>25000000000209</v>
          </cell>
        </row>
        <row r="213">
          <cell r="C213">
            <v>25000000000210</v>
          </cell>
          <cell r="D213" t="str">
            <v>Indawan Haryadi</v>
          </cell>
          <cell r="E213" t="str">
            <v/>
          </cell>
          <cell r="G213">
            <v>25000000000210</v>
          </cell>
        </row>
        <row r="214">
          <cell r="C214">
            <v>25000000000211</v>
          </cell>
          <cell r="D214" t="str">
            <v>Indra Jaya</v>
          </cell>
          <cell r="E214" t="str">
            <v/>
          </cell>
          <cell r="G214">
            <v>25000000000211</v>
          </cell>
        </row>
        <row r="215">
          <cell r="C215">
            <v>25000000000212</v>
          </cell>
          <cell r="D215" t="str">
            <v>Indra Muchtar</v>
          </cell>
          <cell r="E215" t="str">
            <v/>
          </cell>
          <cell r="G215">
            <v>25000000000212</v>
          </cell>
        </row>
        <row r="216">
          <cell r="C216">
            <v>25000000000213</v>
          </cell>
          <cell r="D216" t="str">
            <v>Irvan</v>
          </cell>
          <cell r="E216" t="str">
            <v/>
          </cell>
          <cell r="G216">
            <v>25000000000213</v>
          </cell>
        </row>
        <row r="217">
          <cell r="C217">
            <v>25000000000214</v>
          </cell>
          <cell r="D217" t="str">
            <v>Irvan Agus Dharma Eka Putra</v>
          </cell>
          <cell r="E217" t="str">
            <v>220221946</v>
          </cell>
          <cell r="G217">
            <v>25000000000214</v>
          </cell>
        </row>
        <row r="218">
          <cell r="C218">
            <v>25000000000215</v>
          </cell>
          <cell r="D218" t="str">
            <v>Irwan</v>
          </cell>
          <cell r="E218" t="str">
            <v/>
          </cell>
          <cell r="G218">
            <v>25000000000215</v>
          </cell>
        </row>
        <row r="219">
          <cell r="C219">
            <v>25000000000216</v>
          </cell>
          <cell r="D219" t="str">
            <v>Isa Anshori</v>
          </cell>
          <cell r="E219" t="str">
            <v/>
          </cell>
          <cell r="G219">
            <v>25000000000216</v>
          </cell>
        </row>
        <row r="220">
          <cell r="C220">
            <v>25000000000217</v>
          </cell>
          <cell r="D220" t="str">
            <v>Isa Taufiq</v>
          </cell>
          <cell r="E220" t="str">
            <v>150805153</v>
          </cell>
          <cell r="G220">
            <v>25000000000217</v>
          </cell>
        </row>
        <row r="221">
          <cell r="C221">
            <v>25000000000218</v>
          </cell>
          <cell r="D221" t="str">
            <v>Iskandarsyah</v>
          </cell>
          <cell r="E221" t="str">
            <v/>
          </cell>
          <cell r="G221">
            <v>25000000000218</v>
          </cell>
        </row>
        <row r="222">
          <cell r="C222">
            <v>25000000000219</v>
          </cell>
          <cell r="D222" t="str">
            <v>Istanto Istanto</v>
          </cell>
          <cell r="E222" t="str">
            <v/>
          </cell>
          <cell r="G222">
            <v>25000000000219</v>
          </cell>
        </row>
        <row r="223">
          <cell r="C223">
            <v>25000000000220</v>
          </cell>
          <cell r="D223" t="str">
            <v>Iswahyuni</v>
          </cell>
          <cell r="E223" t="str">
            <v/>
          </cell>
          <cell r="G223">
            <v>25000000000220</v>
          </cell>
        </row>
        <row r="224">
          <cell r="C224">
            <v>25000000000221</v>
          </cell>
          <cell r="D224" t="str">
            <v>Iva Nurvahayati</v>
          </cell>
          <cell r="E224" t="str">
            <v/>
          </cell>
          <cell r="G224">
            <v>25000000000221</v>
          </cell>
        </row>
        <row r="225">
          <cell r="C225">
            <v>25000000000222</v>
          </cell>
          <cell r="D225" t="str">
            <v>Iwan Setiawan</v>
          </cell>
          <cell r="E225" t="str">
            <v/>
          </cell>
          <cell r="G225">
            <v>25000000000222</v>
          </cell>
        </row>
        <row r="226">
          <cell r="C226">
            <v>25000000000223</v>
          </cell>
          <cell r="D226" t="str">
            <v>Iwan Sumantri</v>
          </cell>
          <cell r="E226" t="str">
            <v/>
          </cell>
          <cell r="G226">
            <v>25000000000223</v>
          </cell>
        </row>
        <row r="227">
          <cell r="C227">
            <v>25000000000224</v>
          </cell>
          <cell r="D227" t="str">
            <v>Iwan Wibawa</v>
          </cell>
          <cell r="E227" t="str">
            <v/>
          </cell>
          <cell r="G227">
            <v>25000000000224</v>
          </cell>
        </row>
        <row r="228">
          <cell r="C228">
            <v>25000000000225</v>
          </cell>
          <cell r="D228" t="str">
            <v>Iyus Darwin</v>
          </cell>
          <cell r="E228" t="str">
            <v/>
          </cell>
          <cell r="G228">
            <v>25000000000225</v>
          </cell>
        </row>
        <row r="229">
          <cell r="C229">
            <v>25000000000226</v>
          </cell>
          <cell r="D229" t="str">
            <v>Jaenudin</v>
          </cell>
          <cell r="E229" t="str">
            <v/>
          </cell>
          <cell r="G229">
            <v>25000000000226</v>
          </cell>
        </row>
        <row r="230">
          <cell r="C230">
            <v>25000000000227</v>
          </cell>
          <cell r="D230" t="str">
            <v>Jaruli Samosir</v>
          </cell>
          <cell r="E230" t="str">
            <v/>
          </cell>
          <cell r="G230">
            <v>25000000000227</v>
          </cell>
        </row>
        <row r="231">
          <cell r="C231">
            <v>25000000000228</v>
          </cell>
          <cell r="D231" t="str">
            <v>Jaya Ganef</v>
          </cell>
          <cell r="E231" t="str">
            <v/>
          </cell>
          <cell r="G231">
            <v>25000000000228</v>
          </cell>
        </row>
        <row r="232">
          <cell r="C232">
            <v>25000000000229</v>
          </cell>
          <cell r="D232" t="str">
            <v>Jaya Sitepu</v>
          </cell>
          <cell r="E232" t="str">
            <v/>
          </cell>
          <cell r="G232">
            <v>25000000000229</v>
          </cell>
        </row>
        <row r="233">
          <cell r="C233">
            <v>25000000000230</v>
          </cell>
          <cell r="D233" t="str">
            <v>Jeefrianda H. P. Sigalingging</v>
          </cell>
          <cell r="E233" t="str">
            <v/>
          </cell>
          <cell r="G233">
            <v>25000000000230</v>
          </cell>
        </row>
        <row r="234">
          <cell r="C234">
            <v>25000000000231</v>
          </cell>
          <cell r="D234" t="str">
            <v>Jerry Djajasaputra</v>
          </cell>
          <cell r="E234" t="str">
            <v/>
          </cell>
          <cell r="G234">
            <v>25000000000231</v>
          </cell>
        </row>
        <row r="235">
          <cell r="C235">
            <v>25000000000232</v>
          </cell>
          <cell r="D235" t="str">
            <v>Jimmywal</v>
          </cell>
          <cell r="E235" t="str">
            <v>040515767</v>
          </cell>
          <cell r="G235">
            <v>25000000000232</v>
          </cell>
        </row>
        <row r="236">
          <cell r="C236">
            <v>25000000000233</v>
          </cell>
          <cell r="D236" t="str">
            <v>Jodie Satria</v>
          </cell>
          <cell r="E236" t="str">
            <v/>
          </cell>
          <cell r="G236">
            <v>25000000000233</v>
          </cell>
        </row>
        <row r="237">
          <cell r="C237">
            <v>25000000000234</v>
          </cell>
          <cell r="D237" t="str">
            <v>Johannes Silalahi</v>
          </cell>
          <cell r="E237" t="str">
            <v/>
          </cell>
          <cell r="G237">
            <v>25000000000234</v>
          </cell>
        </row>
        <row r="238">
          <cell r="C238">
            <v>25000000000235</v>
          </cell>
          <cell r="D238" t="str">
            <v>Joko Wiyono</v>
          </cell>
          <cell r="E238" t="str">
            <v/>
          </cell>
          <cell r="G238">
            <v>25000000000235</v>
          </cell>
        </row>
        <row r="239">
          <cell r="C239">
            <v>25000000000236</v>
          </cell>
          <cell r="D239" t="str">
            <v>Jondril Hantoni</v>
          </cell>
          <cell r="E239" t="str">
            <v/>
          </cell>
          <cell r="G239">
            <v>25000000000236</v>
          </cell>
        </row>
        <row r="240">
          <cell r="C240">
            <v>25000000000237</v>
          </cell>
          <cell r="D240" t="str">
            <v>Jonhar Aziz</v>
          </cell>
          <cell r="E240" t="str">
            <v/>
          </cell>
          <cell r="G240">
            <v>25000000000237</v>
          </cell>
        </row>
        <row r="241">
          <cell r="C241">
            <v>25000000000238</v>
          </cell>
          <cell r="D241" t="str">
            <v>Juan Talitha</v>
          </cell>
          <cell r="E241" t="str">
            <v/>
          </cell>
          <cell r="G241">
            <v>25000000000238</v>
          </cell>
        </row>
        <row r="242">
          <cell r="C242">
            <v>25000000000239</v>
          </cell>
          <cell r="D242" t="str">
            <v>Juharja Juharja</v>
          </cell>
          <cell r="E242" t="str">
            <v/>
          </cell>
          <cell r="G242">
            <v>25000000000239</v>
          </cell>
        </row>
        <row r="243">
          <cell r="C243">
            <v>25000000000240</v>
          </cell>
          <cell r="D243" t="str">
            <v>Juminar</v>
          </cell>
          <cell r="E243" t="str">
            <v/>
          </cell>
          <cell r="G243">
            <v>25000000000240</v>
          </cell>
        </row>
        <row r="244">
          <cell r="C244">
            <v>25000000000241</v>
          </cell>
          <cell r="D244" t="str">
            <v>Jumino</v>
          </cell>
          <cell r="E244" t="str">
            <v/>
          </cell>
          <cell r="G244">
            <v>25000000000241</v>
          </cell>
        </row>
        <row r="245">
          <cell r="C245">
            <v>25000000000242</v>
          </cell>
          <cell r="D245" t="str">
            <v>Junaedi</v>
          </cell>
          <cell r="E245" t="str">
            <v/>
          </cell>
          <cell r="G245">
            <v>25000000000242</v>
          </cell>
        </row>
        <row r="246">
          <cell r="C246">
            <v>25000000000243</v>
          </cell>
          <cell r="D246" t="str">
            <v>Junaidi</v>
          </cell>
          <cell r="E246" t="str">
            <v/>
          </cell>
          <cell r="G246">
            <v>25000000000243</v>
          </cell>
        </row>
        <row r="247">
          <cell r="C247">
            <v>25000000000244</v>
          </cell>
          <cell r="D247" t="str">
            <v>Jusuf Bobby Putra</v>
          </cell>
          <cell r="E247" t="str">
            <v/>
          </cell>
          <cell r="G247">
            <v>25000000000244</v>
          </cell>
        </row>
        <row r="248">
          <cell r="C248">
            <v>25000000000245</v>
          </cell>
          <cell r="D248" t="str">
            <v>Jusuf Gandi</v>
          </cell>
          <cell r="E248" t="str">
            <v/>
          </cell>
          <cell r="G248">
            <v>25000000000245</v>
          </cell>
        </row>
        <row r="249">
          <cell r="C249">
            <v>25000000000246</v>
          </cell>
          <cell r="D249" t="str">
            <v>Kahar Triyono</v>
          </cell>
          <cell r="E249" t="str">
            <v/>
          </cell>
          <cell r="G249">
            <v>25000000000246</v>
          </cell>
        </row>
        <row r="250">
          <cell r="C250">
            <v>25000000000247</v>
          </cell>
          <cell r="D250" t="str">
            <v>Keila</v>
          </cell>
          <cell r="E250" t="str">
            <v/>
          </cell>
          <cell r="G250">
            <v>25000000000247</v>
          </cell>
        </row>
        <row r="251">
          <cell r="C251">
            <v>25000000000248</v>
          </cell>
          <cell r="D251" t="str">
            <v>Kendra Daniswara</v>
          </cell>
          <cell r="E251" t="str">
            <v/>
          </cell>
          <cell r="G251">
            <v>25000000000248</v>
          </cell>
        </row>
        <row r="252">
          <cell r="C252">
            <v>25000000000249</v>
          </cell>
          <cell r="D252" t="str">
            <v>Kevin Henokh Tambunan</v>
          </cell>
          <cell r="E252" t="str">
            <v/>
          </cell>
          <cell r="G252">
            <v>25000000000249</v>
          </cell>
        </row>
        <row r="253">
          <cell r="C253">
            <v>25000000000250</v>
          </cell>
          <cell r="D253" t="str">
            <v>Khafid Fahrurrozi</v>
          </cell>
          <cell r="E253" t="str">
            <v/>
          </cell>
          <cell r="G253">
            <v>25000000000250</v>
          </cell>
        </row>
        <row r="254">
          <cell r="C254">
            <v>25000000000251</v>
          </cell>
          <cell r="D254" t="str">
            <v>Kholik</v>
          </cell>
          <cell r="E254" t="str">
            <v/>
          </cell>
          <cell r="G254">
            <v>25000000000251</v>
          </cell>
        </row>
        <row r="255">
          <cell r="C255">
            <v>25000000000252</v>
          </cell>
          <cell r="D255" t="str">
            <v>Kiki Mustikawati</v>
          </cell>
          <cell r="E255" t="str">
            <v/>
          </cell>
          <cell r="G255">
            <v>25000000000252</v>
          </cell>
        </row>
        <row r="256">
          <cell r="C256">
            <v>25000000000253</v>
          </cell>
          <cell r="D256" t="str">
            <v>Kornelius Sakan</v>
          </cell>
          <cell r="E256" t="str">
            <v>190803044</v>
          </cell>
          <cell r="G256">
            <v>25000000000253</v>
          </cell>
        </row>
        <row r="257">
          <cell r="C257">
            <v>25000000000254</v>
          </cell>
          <cell r="D257" t="str">
            <v>Kosasih</v>
          </cell>
          <cell r="E257" t="str">
            <v/>
          </cell>
          <cell r="G257">
            <v>25000000000254</v>
          </cell>
        </row>
        <row r="258">
          <cell r="C258">
            <v>25000000000255</v>
          </cell>
          <cell r="D258" t="str">
            <v>Krisnawan</v>
          </cell>
          <cell r="E258" t="str">
            <v/>
          </cell>
          <cell r="G258">
            <v>25000000000255</v>
          </cell>
        </row>
        <row r="259">
          <cell r="C259">
            <v>25000000000256</v>
          </cell>
          <cell r="D259" t="str">
            <v>Kurniadi</v>
          </cell>
          <cell r="E259" t="str">
            <v/>
          </cell>
          <cell r="G259">
            <v>25000000000256</v>
          </cell>
        </row>
        <row r="260">
          <cell r="C260">
            <v>25000000000257</v>
          </cell>
          <cell r="D260" t="str">
            <v>Kurniawan</v>
          </cell>
          <cell r="E260" t="str">
            <v/>
          </cell>
          <cell r="G260">
            <v>25000000000257</v>
          </cell>
        </row>
        <row r="261">
          <cell r="C261">
            <v>25000000000258</v>
          </cell>
          <cell r="D261" t="str">
            <v>Laode</v>
          </cell>
          <cell r="E261" t="str">
            <v/>
          </cell>
          <cell r="G261">
            <v>25000000000258</v>
          </cell>
        </row>
        <row r="262">
          <cell r="C262">
            <v>25000000000259</v>
          </cell>
          <cell r="D262" t="str">
            <v>Leo Nababan</v>
          </cell>
          <cell r="E262" t="str">
            <v/>
          </cell>
          <cell r="G262">
            <v>25000000000259</v>
          </cell>
        </row>
        <row r="263">
          <cell r="C263">
            <v>25000000000260</v>
          </cell>
          <cell r="D263" t="str">
            <v>Liani Atmaningrum</v>
          </cell>
          <cell r="E263" t="str">
            <v/>
          </cell>
          <cell r="G263">
            <v>25000000000260</v>
          </cell>
        </row>
        <row r="264">
          <cell r="C264">
            <v>25000000000261</v>
          </cell>
          <cell r="D264" t="str">
            <v>Liaseptriani Liaseptriani</v>
          </cell>
          <cell r="E264" t="str">
            <v/>
          </cell>
          <cell r="G264">
            <v>25000000000261</v>
          </cell>
        </row>
        <row r="265">
          <cell r="C265">
            <v>25000000000262</v>
          </cell>
          <cell r="D265" t="str">
            <v>Lisma Natalia</v>
          </cell>
          <cell r="E265" t="str">
            <v>170918883</v>
          </cell>
          <cell r="G265">
            <v>25000000000262</v>
          </cell>
        </row>
        <row r="266">
          <cell r="C266">
            <v>25000000000263</v>
          </cell>
          <cell r="D266" t="str">
            <v>Listyo Hartanto</v>
          </cell>
          <cell r="E266" t="str">
            <v/>
          </cell>
          <cell r="G266">
            <v>25000000000263</v>
          </cell>
        </row>
        <row r="267">
          <cell r="C267">
            <v>25000000000264</v>
          </cell>
          <cell r="D267" t="str">
            <v>M. Ari Ardizah Nasution</v>
          </cell>
          <cell r="E267" t="str">
            <v/>
          </cell>
          <cell r="G267">
            <v>25000000000264</v>
          </cell>
        </row>
        <row r="268">
          <cell r="C268">
            <v>25000000000265</v>
          </cell>
          <cell r="D268" t="str">
            <v>M. Denny  Micrazudin</v>
          </cell>
          <cell r="E268" t="str">
            <v/>
          </cell>
          <cell r="G268">
            <v>25000000000265</v>
          </cell>
        </row>
        <row r="269">
          <cell r="C269">
            <v>25000000000266</v>
          </cell>
          <cell r="D269" t="str">
            <v>M. Ridho Pramudia</v>
          </cell>
          <cell r="E269" t="str">
            <v/>
          </cell>
          <cell r="G269">
            <v>25000000000266</v>
          </cell>
        </row>
        <row r="270">
          <cell r="C270">
            <v>25000000000267</v>
          </cell>
          <cell r="D270" t="str">
            <v>M. Rusdi</v>
          </cell>
          <cell r="E270" t="str">
            <v/>
          </cell>
          <cell r="G270">
            <v>25000000000267</v>
          </cell>
        </row>
        <row r="271">
          <cell r="C271">
            <v>25000000000268</v>
          </cell>
          <cell r="D271" t="str">
            <v>M. Ervan Isyawal Akbar</v>
          </cell>
          <cell r="E271" t="str">
            <v/>
          </cell>
          <cell r="G271">
            <v>25000000000268</v>
          </cell>
        </row>
        <row r="272">
          <cell r="C272">
            <v>25000000000269</v>
          </cell>
          <cell r="D272" t="str">
            <v>Maharani Tanjungsari</v>
          </cell>
          <cell r="E272" t="str">
            <v/>
          </cell>
          <cell r="G272">
            <v>25000000000269</v>
          </cell>
        </row>
        <row r="273">
          <cell r="C273">
            <v>25000000000270</v>
          </cell>
          <cell r="D273" t="str">
            <v>Maharani Uthmaniah</v>
          </cell>
          <cell r="E273" t="str">
            <v/>
          </cell>
          <cell r="G273">
            <v>25000000000270</v>
          </cell>
        </row>
        <row r="274">
          <cell r="C274">
            <v>25000000000271</v>
          </cell>
          <cell r="D274" t="str">
            <v>Manotar Tamba</v>
          </cell>
          <cell r="E274" t="str">
            <v/>
          </cell>
          <cell r="G274">
            <v>25000000000271</v>
          </cell>
        </row>
        <row r="275">
          <cell r="C275">
            <v>25000000000272</v>
          </cell>
          <cell r="D275" t="str">
            <v>Maradona Manurung</v>
          </cell>
          <cell r="E275" t="str">
            <v/>
          </cell>
          <cell r="G275">
            <v>25000000000272</v>
          </cell>
        </row>
        <row r="276">
          <cell r="C276">
            <v>25000000000273</v>
          </cell>
          <cell r="D276" t="str">
            <v>Pantas Banjarnahor Marbun</v>
          </cell>
          <cell r="E276" t="str">
            <v>160603011</v>
          </cell>
          <cell r="G276">
            <v>25000000000273</v>
          </cell>
        </row>
        <row r="277">
          <cell r="C277">
            <v>25000000000274</v>
          </cell>
          <cell r="D277" t="str">
            <v>Marcella Avia Ramadhinaningrum</v>
          </cell>
          <cell r="E277" t="str">
            <v/>
          </cell>
          <cell r="G277">
            <v>25000000000274</v>
          </cell>
        </row>
        <row r="278">
          <cell r="C278">
            <v>25000000000275</v>
          </cell>
          <cell r="D278" t="str">
            <v>Marissa Watak</v>
          </cell>
          <cell r="E278" t="str">
            <v/>
          </cell>
          <cell r="G278">
            <v>25000000000275</v>
          </cell>
        </row>
        <row r="279">
          <cell r="C279">
            <v>25000000000276</v>
          </cell>
          <cell r="D279" t="str">
            <v>Marten Tabun</v>
          </cell>
          <cell r="E279" t="str">
            <v>010513665</v>
          </cell>
          <cell r="G279">
            <v>25000000000276</v>
          </cell>
        </row>
        <row r="280">
          <cell r="C280">
            <v>25000000000277</v>
          </cell>
          <cell r="D280" t="str">
            <v>Martimbul Rahman</v>
          </cell>
          <cell r="E280" t="str">
            <v>110621951</v>
          </cell>
          <cell r="G280">
            <v>25000000000277</v>
          </cell>
        </row>
        <row r="281">
          <cell r="C281">
            <v>25000000000278</v>
          </cell>
          <cell r="D281" t="str">
            <v>T. Marungkil U. S. Sagala</v>
          </cell>
          <cell r="E281" t="str">
            <v>010210516</v>
          </cell>
          <cell r="G281">
            <v>25000000000278</v>
          </cell>
        </row>
        <row r="282">
          <cell r="C282">
            <v>25000000000279</v>
          </cell>
          <cell r="D282" t="str">
            <v>Marzuki</v>
          </cell>
          <cell r="E282" t="str">
            <v/>
          </cell>
          <cell r="G282">
            <v>25000000000279</v>
          </cell>
        </row>
        <row r="283">
          <cell r="C283">
            <v>25000000000280</v>
          </cell>
          <cell r="D283" t="str">
            <v>Mashuri Mashuri</v>
          </cell>
          <cell r="E283" t="str">
            <v/>
          </cell>
          <cell r="G283">
            <v>25000000000280</v>
          </cell>
        </row>
        <row r="284">
          <cell r="C284">
            <v>25000000000281</v>
          </cell>
          <cell r="D284" t="str">
            <v>Mat Soleh</v>
          </cell>
          <cell r="E284" t="str">
            <v/>
          </cell>
          <cell r="G284">
            <v>25000000000281</v>
          </cell>
        </row>
        <row r="285">
          <cell r="C285">
            <v>25000000000282</v>
          </cell>
          <cell r="D285" t="str">
            <v>Mhd Syahputra</v>
          </cell>
          <cell r="E285" t="str">
            <v/>
          </cell>
          <cell r="G285">
            <v>25000000000282</v>
          </cell>
        </row>
        <row r="286">
          <cell r="C286">
            <v>25000000000283</v>
          </cell>
          <cell r="D286" t="str">
            <v>Mia Puspitasari</v>
          </cell>
          <cell r="E286" t="str">
            <v/>
          </cell>
          <cell r="G286">
            <v>25000000000283</v>
          </cell>
        </row>
        <row r="287">
          <cell r="C287">
            <v>25000000000284</v>
          </cell>
          <cell r="D287" t="str">
            <v>Midin Ena</v>
          </cell>
          <cell r="E287" t="str">
            <v/>
          </cell>
          <cell r="G287">
            <v>25000000000284</v>
          </cell>
        </row>
        <row r="288">
          <cell r="C288">
            <v>25000000000285</v>
          </cell>
          <cell r="D288" t="str">
            <v>Miftakhul Muzakky</v>
          </cell>
          <cell r="E288" t="str">
            <v/>
          </cell>
          <cell r="G288">
            <v>25000000000285</v>
          </cell>
        </row>
        <row r="289">
          <cell r="C289">
            <v>25000000000286</v>
          </cell>
          <cell r="D289" t="str">
            <v>Mista</v>
          </cell>
          <cell r="E289" t="str">
            <v/>
          </cell>
          <cell r="G289">
            <v>25000000000286</v>
          </cell>
        </row>
        <row r="290">
          <cell r="C290">
            <v>25000000000287</v>
          </cell>
          <cell r="D290" t="str">
            <v>Mochamad Samman</v>
          </cell>
          <cell r="E290" t="str">
            <v/>
          </cell>
          <cell r="G290">
            <v>25000000000287</v>
          </cell>
        </row>
        <row r="291">
          <cell r="C291">
            <v>25000000000288</v>
          </cell>
          <cell r="D291" t="str">
            <v>Moh. Afif</v>
          </cell>
          <cell r="E291" t="str">
            <v/>
          </cell>
          <cell r="G291">
            <v>25000000000288</v>
          </cell>
        </row>
        <row r="292">
          <cell r="C292">
            <v>25000000000289</v>
          </cell>
          <cell r="D292" t="str">
            <v>Mohammad Arman Tompo</v>
          </cell>
          <cell r="E292" t="str">
            <v/>
          </cell>
          <cell r="G292">
            <v>25000000000289</v>
          </cell>
        </row>
        <row r="293">
          <cell r="C293">
            <v>25000000000290</v>
          </cell>
          <cell r="D293" t="str">
            <v>Mohd. Elfan Pratama</v>
          </cell>
          <cell r="E293" t="str">
            <v/>
          </cell>
          <cell r="G293">
            <v>25000000000290</v>
          </cell>
        </row>
        <row r="294">
          <cell r="C294">
            <v>25000000000291</v>
          </cell>
          <cell r="D294" t="str">
            <v>Monang Simarmata</v>
          </cell>
          <cell r="E294" t="str">
            <v/>
          </cell>
          <cell r="G294">
            <v>25000000000291</v>
          </cell>
        </row>
        <row r="295">
          <cell r="C295">
            <v>25000000000292</v>
          </cell>
          <cell r="D295" t="str">
            <v>Moritz Thomsen Marbun</v>
          </cell>
          <cell r="E295" t="str">
            <v/>
          </cell>
          <cell r="G295">
            <v>25000000000292</v>
          </cell>
        </row>
        <row r="296">
          <cell r="C296">
            <v>25000000000293</v>
          </cell>
          <cell r="D296" t="str">
            <v>Muhamad Hamdan Rifai</v>
          </cell>
          <cell r="E296" t="str">
            <v/>
          </cell>
          <cell r="G296">
            <v>25000000000293</v>
          </cell>
        </row>
        <row r="297">
          <cell r="C297">
            <v>25000000000294</v>
          </cell>
          <cell r="D297" t="str">
            <v>Muhamad Ikhsan</v>
          </cell>
          <cell r="E297" t="str">
            <v/>
          </cell>
          <cell r="G297">
            <v>25000000000294</v>
          </cell>
        </row>
        <row r="298">
          <cell r="C298">
            <v>25000000000295</v>
          </cell>
          <cell r="D298" t="str">
            <v>Muhamad Nurhamsach</v>
          </cell>
          <cell r="E298" t="str">
            <v/>
          </cell>
          <cell r="G298">
            <v>25000000000295</v>
          </cell>
        </row>
        <row r="299">
          <cell r="C299">
            <v>25000000000296</v>
          </cell>
          <cell r="D299" t="str">
            <v>Muhammad Ardiansyah</v>
          </cell>
          <cell r="E299" t="str">
            <v/>
          </cell>
          <cell r="G299">
            <v>25000000000296</v>
          </cell>
        </row>
        <row r="300">
          <cell r="C300">
            <v>25000000000297</v>
          </cell>
          <cell r="D300" t="str">
            <v>Muhammad Khadafy</v>
          </cell>
          <cell r="E300" t="str">
            <v/>
          </cell>
          <cell r="G300">
            <v>25000000000297</v>
          </cell>
        </row>
        <row r="301">
          <cell r="C301">
            <v>25000000000298</v>
          </cell>
          <cell r="D301" t="str">
            <v>Muhammad Taufan</v>
          </cell>
          <cell r="E301" t="str">
            <v/>
          </cell>
          <cell r="G301">
            <v>25000000000298</v>
          </cell>
        </row>
        <row r="302">
          <cell r="C302">
            <v>25000000000299</v>
          </cell>
          <cell r="D302" t="str">
            <v>Muklis</v>
          </cell>
          <cell r="E302" t="str">
            <v/>
          </cell>
          <cell r="G302">
            <v>25000000000299</v>
          </cell>
        </row>
        <row r="303">
          <cell r="C303">
            <v>25000000000300</v>
          </cell>
          <cell r="D303" t="str">
            <v>Mulia Rohanson Harahap</v>
          </cell>
          <cell r="E303" t="str">
            <v/>
          </cell>
          <cell r="G303">
            <v>25000000000300</v>
          </cell>
        </row>
        <row r="304">
          <cell r="C304">
            <v>25000000000301</v>
          </cell>
          <cell r="D304" t="str">
            <v>Mullan Tresna</v>
          </cell>
          <cell r="E304" t="str">
            <v>030105116</v>
          </cell>
          <cell r="G304">
            <v>25000000000301</v>
          </cell>
        </row>
        <row r="305">
          <cell r="C305">
            <v>25000000000302</v>
          </cell>
          <cell r="D305" t="str">
            <v>Mulyadi</v>
          </cell>
          <cell r="E305" t="str">
            <v/>
          </cell>
          <cell r="G305">
            <v>25000000000302</v>
          </cell>
        </row>
        <row r="306">
          <cell r="C306">
            <v>25000000000303</v>
          </cell>
          <cell r="D306" t="str">
            <v>Mulyono</v>
          </cell>
          <cell r="E306" t="str">
            <v/>
          </cell>
          <cell r="G306">
            <v>25000000000303</v>
          </cell>
        </row>
        <row r="307">
          <cell r="C307">
            <v>25000000000304</v>
          </cell>
          <cell r="D307" t="str">
            <v>Murdiansyah</v>
          </cell>
          <cell r="E307" t="str">
            <v/>
          </cell>
          <cell r="G307">
            <v>25000000000304</v>
          </cell>
        </row>
        <row r="308">
          <cell r="C308">
            <v>25000000000305</v>
          </cell>
          <cell r="D308" t="str">
            <v>Mursalim</v>
          </cell>
          <cell r="E308" t="str">
            <v/>
          </cell>
          <cell r="G308">
            <v>25000000000305</v>
          </cell>
        </row>
        <row r="309">
          <cell r="C309">
            <v>25000000000306</v>
          </cell>
          <cell r="D309" t="str">
            <v>Nancy Meriana Sinaga</v>
          </cell>
          <cell r="E309" t="str">
            <v/>
          </cell>
          <cell r="G309">
            <v>25000000000306</v>
          </cell>
        </row>
        <row r="310">
          <cell r="C310">
            <v>25000000000307</v>
          </cell>
          <cell r="D310" t="str">
            <v>Nandang Effendi</v>
          </cell>
          <cell r="E310" t="str">
            <v>061106279</v>
          </cell>
          <cell r="G310">
            <v>25000000000307</v>
          </cell>
        </row>
        <row r="311">
          <cell r="C311">
            <v>25000000000308</v>
          </cell>
          <cell r="D311" t="str">
            <v>Narno</v>
          </cell>
          <cell r="E311" t="str">
            <v/>
          </cell>
          <cell r="G311">
            <v>25000000000308</v>
          </cell>
        </row>
        <row r="312">
          <cell r="C312">
            <v>25000000000309</v>
          </cell>
          <cell r="D312" t="str">
            <v>Nasrul Anwar P.</v>
          </cell>
          <cell r="E312" t="str">
            <v/>
          </cell>
          <cell r="G312">
            <v>25000000000309</v>
          </cell>
        </row>
        <row r="313">
          <cell r="C313">
            <v>25000000000310</v>
          </cell>
          <cell r="D313" t="str">
            <v>Nawal</v>
          </cell>
          <cell r="E313" t="str">
            <v/>
          </cell>
          <cell r="G313">
            <v>25000000000310</v>
          </cell>
        </row>
        <row r="314">
          <cell r="C314">
            <v>25000000000311</v>
          </cell>
          <cell r="D314" t="str">
            <v>Nawir Lahamutu</v>
          </cell>
          <cell r="E314" t="str">
            <v/>
          </cell>
          <cell r="G314">
            <v>25000000000311</v>
          </cell>
        </row>
        <row r="315">
          <cell r="C315">
            <v>25000000000312</v>
          </cell>
          <cell r="D315" t="str">
            <v>Nicky Kurnia</v>
          </cell>
          <cell r="E315" t="str">
            <v/>
          </cell>
          <cell r="G315">
            <v>25000000000312</v>
          </cell>
        </row>
        <row r="316">
          <cell r="C316">
            <v>25000000000313</v>
          </cell>
          <cell r="D316" t="str">
            <v>Noercholis Firmansyah</v>
          </cell>
          <cell r="E316" t="str">
            <v/>
          </cell>
          <cell r="G316">
            <v>25000000000313</v>
          </cell>
        </row>
        <row r="317">
          <cell r="C317">
            <v>25000000000314</v>
          </cell>
          <cell r="D317" t="str">
            <v>Nopitasari</v>
          </cell>
          <cell r="E317" t="str">
            <v/>
          </cell>
          <cell r="G317">
            <v>25000000000314</v>
          </cell>
        </row>
        <row r="318">
          <cell r="C318">
            <v>25000000000315</v>
          </cell>
          <cell r="D318" t="str">
            <v>Nora Meilissa</v>
          </cell>
          <cell r="E318" t="str">
            <v/>
          </cell>
          <cell r="G318">
            <v>25000000000315</v>
          </cell>
        </row>
        <row r="319">
          <cell r="C319">
            <v>25000000000316</v>
          </cell>
          <cell r="D319" t="str">
            <v>Novalia</v>
          </cell>
          <cell r="E319" t="str">
            <v/>
          </cell>
          <cell r="G319">
            <v>25000000000316</v>
          </cell>
        </row>
        <row r="320">
          <cell r="C320">
            <v>25000000000317</v>
          </cell>
          <cell r="D320" t="str">
            <v>Novan Nugraha</v>
          </cell>
          <cell r="E320" t="str">
            <v/>
          </cell>
          <cell r="G320">
            <v>25000000000317</v>
          </cell>
        </row>
        <row r="321">
          <cell r="C321">
            <v>25000000000318</v>
          </cell>
          <cell r="D321" t="str">
            <v>Nugraha</v>
          </cell>
          <cell r="E321" t="str">
            <v/>
          </cell>
          <cell r="G321">
            <v>25000000000318</v>
          </cell>
        </row>
        <row r="322">
          <cell r="C322">
            <v>25000000000319</v>
          </cell>
          <cell r="D322" t="str">
            <v>Nugroho Putranto</v>
          </cell>
          <cell r="E322" t="str">
            <v/>
          </cell>
          <cell r="G322">
            <v>25000000000319</v>
          </cell>
        </row>
        <row r="323">
          <cell r="C323">
            <v>25000000000320</v>
          </cell>
          <cell r="D323" t="str">
            <v>Nur Indra Sri Melati</v>
          </cell>
          <cell r="E323" t="str">
            <v/>
          </cell>
          <cell r="G323">
            <v>25000000000320</v>
          </cell>
        </row>
        <row r="324">
          <cell r="C324">
            <v>25000000000321</v>
          </cell>
          <cell r="D324" t="str">
            <v>Nur Kusumowati</v>
          </cell>
          <cell r="E324" t="str">
            <v/>
          </cell>
          <cell r="G324">
            <v>25000000000321</v>
          </cell>
        </row>
        <row r="325">
          <cell r="C325">
            <v>25000000000322</v>
          </cell>
          <cell r="D325" t="str">
            <v>Nurhidayat</v>
          </cell>
          <cell r="E325" t="str">
            <v/>
          </cell>
          <cell r="G325">
            <v>25000000000322</v>
          </cell>
        </row>
        <row r="326">
          <cell r="C326">
            <v>25000000000323</v>
          </cell>
          <cell r="D326" t="str">
            <v>Otong Bustori</v>
          </cell>
          <cell r="E326" t="str">
            <v/>
          </cell>
          <cell r="G326">
            <v>25000000000323</v>
          </cell>
        </row>
        <row r="327">
          <cell r="C327">
            <v>25000000000324</v>
          </cell>
          <cell r="D327" t="str">
            <v>Paino Suprayinto</v>
          </cell>
          <cell r="E327" t="str">
            <v/>
          </cell>
          <cell r="G327">
            <v>25000000000324</v>
          </cell>
        </row>
        <row r="328">
          <cell r="C328">
            <v>25000000000325</v>
          </cell>
          <cell r="D328" t="str">
            <v>Panca Yudi Baskoro</v>
          </cell>
          <cell r="E328" t="str">
            <v>070518868</v>
          </cell>
          <cell r="G328">
            <v>25000000000325</v>
          </cell>
        </row>
        <row r="329">
          <cell r="C329">
            <v>25000000000326</v>
          </cell>
          <cell r="D329" t="str">
            <v>Panji Bima Santri</v>
          </cell>
          <cell r="E329" t="str">
            <v/>
          </cell>
          <cell r="G329">
            <v>25000000000326</v>
          </cell>
        </row>
        <row r="330">
          <cell r="C330">
            <v>25000000000327</v>
          </cell>
          <cell r="D330" t="str">
            <v>Parulian Napitupulu</v>
          </cell>
          <cell r="E330" t="str">
            <v/>
          </cell>
          <cell r="G330">
            <v>25000000000327</v>
          </cell>
        </row>
        <row r="331">
          <cell r="C331">
            <v>25000000000328</v>
          </cell>
          <cell r="D331" t="str">
            <v>Paryanto</v>
          </cell>
          <cell r="E331" t="str">
            <v/>
          </cell>
          <cell r="G331">
            <v>25000000000328</v>
          </cell>
        </row>
        <row r="332">
          <cell r="C332">
            <v>25000000000329</v>
          </cell>
          <cell r="D332" t="str">
            <v>Pikri Hidayat</v>
          </cell>
          <cell r="E332" t="str">
            <v/>
          </cell>
          <cell r="G332">
            <v>25000000000329</v>
          </cell>
        </row>
        <row r="333">
          <cell r="C333">
            <v>25000000000330</v>
          </cell>
          <cell r="D333" t="str">
            <v>Prayanti Dewi Anggraini</v>
          </cell>
          <cell r="E333" t="str">
            <v>260115754</v>
          </cell>
          <cell r="G333">
            <v>25000000000330</v>
          </cell>
        </row>
        <row r="334">
          <cell r="C334">
            <v>25000000000331</v>
          </cell>
          <cell r="D334" t="str">
            <v>Prayati Zai</v>
          </cell>
          <cell r="E334" t="str">
            <v/>
          </cell>
          <cell r="G334">
            <v>25000000000331</v>
          </cell>
        </row>
        <row r="335">
          <cell r="C335">
            <v>25000000000332</v>
          </cell>
          <cell r="D335" t="str">
            <v>Pristu Andonoto</v>
          </cell>
          <cell r="E335" t="str">
            <v/>
          </cell>
          <cell r="G335">
            <v>25000000000332</v>
          </cell>
        </row>
        <row r="336">
          <cell r="C336">
            <v>25000000000333</v>
          </cell>
          <cell r="D336" t="str">
            <v>Putra Perdana Tirtomoyo</v>
          </cell>
          <cell r="E336" t="str">
            <v/>
          </cell>
          <cell r="G336">
            <v>25000000000333</v>
          </cell>
        </row>
        <row r="337">
          <cell r="C337">
            <v>25000000000334</v>
          </cell>
          <cell r="D337" t="str">
            <v>R. Lar Kumalaning Tresno</v>
          </cell>
          <cell r="E337" t="str">
            <v/>
          </cell>
          <cell r="G337">
            <v>25000000000334</v>
          </cell>
        </row>
        <row r="338">
          <cell r="C338">
            <v>25000000000335</v>
          </cell>
          <cell r="D338" t="str">
            <v>Rachmad</v>
          </cell>
          <cell r="E338" t="str">
            <v/>
          </cell>
          <cell r="G338">
            <v>25000000000335</v>
          </cell>
        </row>
        <row r="339">
          <cell r="C339">
            <v>25000000000336</v>
          </cell>
          <cell r="D339" t="str">
            <v>Radjiman</v>
          </cell>
          <cell r="E339" t="str">
            <v/>
          </cell>
          <cell r="G339">
            <v>25000000000336</v>
          </cell>
        </row>
        <row r="340">
          <cell r="C340">
            <v>25000000000337</v>
          </cell>
          <cell r="D340" t="str">
            <v>Rafi Firman Saputra</v>
          </cell>
          <cell r="E340" t="str">
            <v/>
          </cell>
          <cell r="G340">
            <v>25000000000337</v>
          </cell>
        </row>
        <row r="341">
          <cell r="C341">
            <v>25000000000338</v>
          </cell>
          <cell r="D341" t="str">
            <v>Rahmat Riyadi</v>
          </cell>
          <cell r="E341" t="str">
            <v/>
          </cell>
          <cell r="G341">
            <v>25000000000338</v>
          </cell>
        </row>
        <row r="342">
          <cell r="C342">
            <v>25000000000339</v>
          </cell>
          <cell r="D342" t="str">
            <v>Rahmat Sirfano</v>
          </cell>
          <cell r="E342" t="str">
            <v/>
          </cell>
          <cell r="G342">
            <v>25000000000339</v>
          </cell>
        </row>
        <row r="343">
          <cell r="C343">
            <v>25000000000340</v>
          </cell>
          <cell r="D343" t="str">
            <v>Rais Indra Noor</v>
          </cell>
          <cell r="E343" t="str">
            <v/>
          </cell>
          <cell r="G343">
            <v>25000000000340</v>
          </cell>
        </row>
        <row r="344">
          <cell r="C344">
            <v>25000000000341</v>
          </cell>
          <cell r="D344" t="str">
            <v>Rakman A. Hadi</v>
          </cell>
          <cell r="E344" t="str">
            <v/>
          </cell>
          <cell r="G344">
            <v>25000000000341</v>
          </cell>
        </row>
        <row r="345">
          <cell r="C345">
            <v>25000000000342</v>
          </cell>
          <cell r="D345" t="str">
            <v>Ramaizon</v>
          </cell>
          <cell r="E345" t="str">
            <v/>
          </cell>
          <cell r="G345">
            <v>25000000000342</v>
          </cell>
        </row>
        <row r="346">
          <cell r="C346">
            <v>25000000000343</v>
          </cell>
          <cell r="D346" t="str">
            <v>Rangga Darmawan</v>
          </cell>
          <cell r="E346" t="str">
            <v/>
          </cell>
          <cell r="G346">
            <v>25000000000343</v>
          </cell>
        </row>
        <row r="347">
          <cell r="C347">
            <v>25000000000344</v>
          </cell>
          <cell r="D347" t="str">
            <v>Raoli Nainggolan</v>
          </cell>
          <cell r="E347" t="str">
            <v/>
          </cell>
          <cell r="G347">
            <v>25000000000344</v>
          </cell>
        </row>
        <row r="348">
          <cell r="C348">
            <v>25000000000345</v>
          </cell>
          <cell r="D348" t="str">
            <v>Rayan Suryadikara</v>
          </cell>
          <cell r="E348" t="str">
            <v/>
          </cell>
          <cell r="G348">
            <v>25000000000345</v>
          </cell>
        </row>
        <row r="349">
          <cell r="C349">
            <v>25000000000346</v>
          </cell>
          <cell r="D349" t="str">
            <v>Redi Setiadi</v>
          </cell>
          <cell r="E349" t="str">
            <v/>
          </cell>
          <cell r="G349">
            <v>25000000000346</v>
          </cell>
        </row>
        <row r="350">
          <cell r="C350">
            <v>25000000000347</v>
          </cell>
          <cell r="D350" t="str">
            <v>Redi Subekti</v>
          </cell>
          <cell r="E350" t="str">
            <v>160603000</v>
          </cell>
          <cell r="G350">
            <v>25000000000347</v>
          </cell>
        </row>
        <row r="351">
          <cell r="C351">
            <v>25000000000348</v>
          </cell>
          <cell r="D351" t="str">
            <v>Rendy Prananta Purba</v>
          </cell>
          <cell r="E351" t="str">
            <v/>
          </cell>
          <cell r="G351">
            <v>25000000000348</v>
          </cell>
        </row>
        <row r="352">
          <cell r="C352">
            <v>25000000000349</v>
          </cell>
          <cell r="D352" t="str">
            <v>Reni Septiana</v>
          </cell>
          <cell r="E352" t="str">
            <v/>
          </cell>
          <cell r="G352">
            <v>25000000000349</v>
          </cell>
        </row>
        <row r="353">
          <cell r="C353">
            <v>25000000000350</v>
          </cell>
          <cell r="D353" t="str">
            <v>Rere Ronggolawe</v>
          </cell>
          <cell r="E353" t="str">
            <v/>
          </cell>
          <cell r="G353">
            <v>25000000000350</v>
          </cell>
        </row>
        <row r="354">
          <cell r="C354">
            <v>25000000000351</v>
          </cell>
          <cell r="D354" t="str">
            <v>Retnasha Gameswari</v>
          </cell>
          <cell r="E354" t="str">
            <v/>
          </cell>
          <cell r="G354">
            <v>25000000000351</v>
          </cell>
        </row>
        <row r="355">
          <cell r="C355">
            <v>25000000000352</v>
          </cell>
          <cell r="D355" t="str">
            <v>Rhino Priawan</v>
          </cell>
          <cell r="E355" t="str">
            <v>221110557</v>
          </cell>
          <cell r="G355">
            <v>25000000000352</v>
          </cell>
        </row>
        <row r="356">
          <cell r="C356">
            <v>25000000000353</v>
          </cell>
          <cell r="D356" t="str">
            <v>Rian Yushak</v>
          </cell>
          <cell r="E356" t="str">
            <v/>
          </cell>
          <cell r="G356">
            <v>25000000000353</v>
          </cell>
        </row>
        <row r="357">
          <cell r="C357">
            <v>25000000000354</v>
          </cell>
          <cell r="D357" t="str">
            <v>Riandi</v>
          </cell>
          <cell r="E357" t="str">
            <v/>
          </cell>
          <cell r="G357">
            <v>25000000000354</v>
          </cell>
        </row>
        <row r="358">
          <cell r="C358">
            <v>25000000000355</v>
          </cell>
          <cell r="D358" t="str">
            <v>Ricky Samuel</v>
          </cell>
          <cell r="E358" t="str">
            <v/>
          </cell>
          <cell r="G358">
            <v>25000000000355</v>
          </cell>
        </row>
        <row r="359">
          <cell r="C359">
            <v>25000000000356</v>
          </cell>
          <cell r="D359" t="str">
            <v>Ridwan Nurhadi</v>
          </cell>
          <cell r="E359" t="str">
            <v/>
          </cell>
          <cell r="G359">
            <v>25000000000356</v>
          </cell>
        </row>
        <row r="360">
          <cell r="C360">
            <v>25000000000357</v>
          </cell>
          <cell r="D360" t="str">
            <v>Rifki</v>
          </cell>
          <cell r="E360" t="str">
            <v/>
          </cell>
          <cell r="G360">
            <v>25000000000357</v>
          </cell>
        </row>
        <row r="361">
          <cell r="C361">
            <v>25000000000358</v>
          </cell>
          <cell r="D361" t="str">
            <v>Rika Ginting</v>
          </cell>
          <cell r="E361" t="str">
            <v/>
          </cell>
          <cell r="G361">
            <v>25000000000358</v>
          </cell>
        </row>
        <row r="362">
          <cell r="C362">
            <v>25000000000359</v>
          </cell>
          <cell r="D362" t="str">
            <v>Riki Chairul Anwar</v>
          </cell>
          <cell r="E362" t="str">
            <v/>
          </cell>
          <cell r="G362">
            <v>25000000000359</v>
          </cell>
        </row>
        <row r="363">
          <cell r="C363">
            <v>25000000000360</v>
          </cell>
          <cell r="D363" t="str">
            <v>Riki Evindra</v>
          </cell>
          <cell r="E363" t="str">
            <v/>
          </cell>
          <cell r="G363">
            <v>25000000000360</v>
          </cell>
        </row>
        <row r="364">
          <cell r="C364">
            <v>25000000000361</v>
          </cell>
          <cell r="D364" t="str">
            <v>Rinaldi Asrin</v>
          </cell>
          <cell r="E364" t="str">
            <v/>
          </cell>
          <cell r="G364">
            <v>25000000000361</v>
          </cell>
        </row>
        <row r="365">
          <cell r="C365">
            <v>25000000000362</v>
          </cell>
          <cell r="D365" t="str">
            <v>Rio Hakim</v>
          </cell>
          <cell r="E365" t="str">
            <v/>
          </cell>
          <cell r="G365">
            <v>25000000000362</v>
          </cell>
        </row>
        <row r="366">
          <cell r="C366">
            <v>25000000000363</v>
          </cell>
          <cell r="D366" t="str">
            <v>Rio Martha</v>
          </cell>
          <cell r="E366" t="str">
            <v/>
          </cell>
          <cell r="G366">
            <v>25000000000363</v>
          </cell>
        </row>
        <row r="367">
          <cell r="C367">
            <v>25000000000364</v>
          </cell>
          <cell r="D367" t="str">
            <v>Risdyanto Risdyanto</v>
          </cell>
          <cell r="E367" t="str">
            <v/>
          </cell>
          <cell r="G367">
            <v>25000000000364</v>
          </cell>
        </row>
        <row r="368">
          <cell r="C368">
            <v>25000000000365</v>
          </cell>
          <cell r="D368" t="str">
            <v>Rizak Tri Septian</v>
          </cell>
          <cell r="E368" t="str">
            <v/>
          </cell>
          <cell r="G368">
            <v>25000000000365</v>
          </cell>
        </row>
        <row r="369">
          <cell r="C369">
            <v>25000000000366</v>
          </cell>
          <cell r="D369" t="str">
            <v>Rizki Akbar</v>
          </cell>
          <cell r="E369" t="str">
            <v/>
          </cell>
          <cell r="G369">
            <v>25000000000366</v>
          </cell>
        </row>
        <row r="370">
          <cell r="C370">
            <v>25000000000367</v>
          </cell>
          <cell r="D370" t="str">
            <v>Rizky Fauzy</v>
          </cell>
          <cell r="E370" t="str">
            <v/>
          </cell>
          <cell r="G370">
            <v>25000000000367</v>
          </cell>
        </row>
        <row r="371">
          <cell r="C371">
            <v>25000000000368</v>
          </cell>
          <cell r="D371" t="str">
            <v>Rizky Reza Pradipta</v>
          </cell>
          <cell r="E371" t="str">
            <v/>
          </cell>
          <cell r="G371">
            <v>25000000000368</v>
          </cell>
        </row>
        <row r="372">
          <cell r="C372">
            <v>25000000000369</v>
          </cell>
          <cell r="D372" t="str">
            <v>Rohendi Rohendi</v>
          </cell>
          <cell r="E372" t="str">
            <v/>
          </cell>
          <cell r="G372">
            <v>25000000000369</v>
          </cell>
        </row>
        <row r="373">
          <cell r="C373">
            <v>25000000000370</v>
          </cell>
          <cell r="D373" t="str">
            <v>Rohmani</v>
          </cell>
          <cell r="E373" t="str">
            <v/>
          </cell>
          <cell r="G373">
            <v>25000000000370</v>
          </cell>
        </row>
        <row r="374">
          <cell r="C374">
            <v>25000000000371</v>
          </cell>
          <cell r="D374" t="str">
            <v>Rommel Hutapea</v>
          </cell>
          <cell r="E374" t="str">
            <v/>
          </cell>
          <cell r="G374">
            <v>25000000000371</v>
          </cell>
        </row>
        <row r="375">
          <cell r="C375">
            <v>25000000000372</v>
          </cell>
          <cell r="D375" t="str">
            <v>Roy Aditya</v>
          </cell>
          <cell r="E375" t="str">
            <v>160921954</v>
          </cell>
          <cell r="G375">
            <v>25000000000372</v>
          </cell>
        </row>
        <row r="376">
          <cell r="C376">
            <v>25000000000373</v>
          </cell>
          <cell r="D376" t="str">
            <v>Rubah</v>
          </cell>
          <cell r="E376" t="str">
            <v/>
          </cell>
          <cell r="G376">
            <v>25000000000373</v>
          </cell>
        </row>
        <row r="377">
          <cell r="C377">
            <v>25000000000374</v>
          </cell>
          <cell r="D377" t="str">
            <v>Rudi Junaedi</v>
          </cell>
          <cell r="E377" t="str">
            <v/>
          </cell>
          <cell r="G377">
            <v>25000000000374</v>
          </cell>
        </row>
        <row r="378">
          <cell r="C378">
            <v>25000000000375</v>
          </cell>
          <cell r="D378" t="str">
            <v>Ruswandi</v>
          </cell>
          <cell r="E378" t="str">
            <v/>
          </cell>
          <cell r="G378">
            <v>25000000000375</v>
          </cell>
        </row>
        <row r="379">
          <cell r="C379">
            <v>25000000000376</v>
          </cell>
          <cell r="D379" t="str">
            <v>Ryan Bagus Sasminta</v>
          </cell>
          <cell r="E379" t="str">
            <v/>
          </cell>
          <cell r="G379">
            <v>25000000000376</v>
          </cell>
        </row>
        <row r="380">
          <cell r="C380">
            <v>25000000000377</v>
          </cell>
          <cell r="D380" t="str">
            <v>Saarah Andriani</v>
          </cell>
          <cell r="E380" t="str">
            <v/>
          </cell>
          <cell r="G380">
            <v>25000000000377</v>
          </cell>
        </row>
        <row r="381">
          <cell r="C381">
            <v>25000000000378</v>
          </cell>
          <cell r="D381" t="str">
            <v>Safira Nurbaiti</v>
          </cell>
          <cell r="E381" t="str">
            <v>030221945</v>
          </cell>
          <cell r="G381">
            <v>25000000000378</v>
          </cell>
        </row>
        <row r="382">
          <cell r="C382">
            <v>25000000000379</v>
          </cell>
          <cell r="D382" t="str">
            <v>Saifulloh</v>
          </cell>
          <cell r="E382" t="str">
            <v/>
          </cell>
          <cell r="G382">
            <v>25000000000379</v>
          </cell>
        </row>
        <row r="383">
          <cell r="C383">
            <v>25000000000380</v>
          </cell>
          <cell r="D383" t="str">
            <v>Saifuloh</v>
          </cell>
          <cell r="E383" t="str">
            <v/>
          </cell>
          <cell r="G383">
            <v>25000000000380</v>
          </cell>
        </row>
        <row r="384">
          <cell r="C384">
            <v>25000000000381</v>
          </cell>
          <cell r="D384" t="str">
            <v>Sakinah Tantriani Lubis</v>
          </cell>
          <cell r="E384" t="str">
            <v>161220941</v>
          </cell>
          <cell r="G384">
            <v>25000000000381</v>
          </cell>
        </row>
        <row r="385">
          <cell r="C385">
            <v>25000000000382</v>
          </cell>
          <cell r="D385" t="str">
            <v>Abdul Samad</v>
          </cell>
          <cell r="E385" t="str">
            <v>210904088</v>
          </cell>
          <cell r="G385">
            <v>25000000000382</v>
          </cell>
        </row>
        <row r="386">
          <cell r="C386">
            <v>25000000000383</v>
          </cell>
          <cell r="D386" t="str">
            <v>Samsul Hadi</v>
          </cell>
          <cell r="E386" t="str">
            <v/>
          </cell>
          <cell r="G386">
            <v>25000000000383</v>
          </cell>
        </row>
        <row r="387">
          <cell r="C387">
            <v>25000000000384</v>
          </cell>
          <cell r="D387" t="str">
            <v>Sandika</v>
          </cell>
          <cell r="E387" t="str">
            <v/>
          </cell>
          <cell r="G387">
            <v>25000000000384</v>
          </cell>
        </row>
        <row r="388">
          <cell r="C388">
            <v>25000000000385</v>
          </cell>
          <cell r="D388" t="str">
            <v>Sang Toga Sitompul</v>
          </cell>
          <cell r="E388" t="str">
            <v/>
          </cell>
          <cell r="G388">
            <v>25000000000385</v>
          </cell>
        </row>
        <row r="389">
          <cell r="C389">
            <v>25000000000386</v>
          </cell>
          <cell r="D389" t="str">
            <v>Santi Dewi R. W.</v>
          </cell>
          <cell r="E389" t="str">
            <v/>
          </cell>
          <cell r="G389">
            <v>25000000000386</v>
          </cell>
        </row>
        <row r="390">
          <cell r="C390">
            <v>25000000000387</v>
          </cell>
          <cell r="D390" t="str">
            <v>Sarah Sibarani</v>
          </cell>
          <cell r="E390" t="str">
            <v/>
          </cell>
          <cell r="G390">
            <v>25000000000387</v>
          </cell>
        </row>
        <row r="391">
          <cell r="C391">
            <v>25000000000388</v>
          </cell>
          <cell r="D391" t="str">
            <v>Sarif Hidayatul Umah</v>
          </cell>
          <cell r="E391" t="str">
            <v/>
          </cell>
          <cell r="G391">
            <v>25000000000388</v>
          </cell>
        </row>
        <row r="392">
          <cell r="C392">
            <v>25000000000389</v>
          </cell>
          <cell r="D392" t="str">
            <v>Satria Budi Raharja</v>
          </cell>
          <cell r="E392" t="str">
            <v/>
          </cell>
          <cell r="G392">
            <v>25000000000389</v>
          </cell>
        </row>
        <row r="393">
          <cell r="C393">
            <v>25000000000390</v>
          </cell>
          <cell r="D393" t="str">
            <v>Saut M. P. L. Tobing</v>
          </cell>
          <cell r="E393" t="str">
            <v/>
          </cell>
          <cell r="G393">
            <v>25000000000390</v>
          </cell>
        </row>
        <row r="394">
          <cell r="C394">
            <v>25000000000391</v>
          </cell>
          <cell r="D394" t="str">
            <v>Seftiyan Hadi Maulana</v>
          </cell>
          <cell r="E394" t="str">
            <v>141118892</v>
          </cell>
          <cell r="G394">
            <v>25000000000391</v>
          </cell>
        </row>
        <row r="395">
          <cell r="C395">
            <v>25000000000392</v>
          </cell>
          <cell r="D395" t="str">
            <v>Sena Andi Satria</v>
          </cell>
          <cell r="E395" t="str">
            <v/>
          </cell>
          <cell r="G395">
            <v>25000000000392</v>
          </cell>
        </row>
        <row r="396">
          <cell r="C396">
            <v>25000000000393</v>
          </cell>
          <cell r="D396" t="str">
            <v>Setiadi</v>
          </cell>
          <cell r="E396" t="str">
            <v>130906272</v>
          </cell>
          <cell r="G396">
            <v>25000000000393</v>
          </cell>
        </row>
        <row r="397">
          <cell r="C397">
            <v>25000000000394</v>
          </cell>
          <cell r="D397" t="str">
            <v>Sherly Tamira</v>
          </cell>
          <cell r="E397" t="str">
            <v/>
          </cell>
          <cell r="G397">
            <v>25000000000394</v>
          </cell>
        </row>
        <row r="398">
          <cell r="C398">
            <v>25000000000395</v>
          </cell>
          <cell r="D398" t="str">
            <v>Shihab</v>
          </cell>
          <cell r="E398" t="str">
            <v/>
          </cell>
          <cell r="G398">
            <v>25000000000395</v>
          </cell>
        </row>
        <row r="399">
          <cell r="C399">
            <v>25000000000396</v>
          </cell>
          <cell r="D399" t="str">
            <v>Shobarin Jabar</v>
          </cell>
          <cell r="E399" t="str">
            <v/>
          </cell>
          <cell r="G399">
            <v>25000000000396</v>
          </cell>
        </row>
        <row r="400">
          <cell r="C400">
            <v>25000000000397</v>
          </cell>
          <cell r="D400" t="str">
            <v>Sholehah</v>
          </cell>
          <cell r="E400" t="str">
            <v>240518874</v>
          </cell>
          <cell r="G400">
            <v>25000000000397</v>
          </cell>
        </row>
        <row r="401">
          <cell r="C401">
            <v>25000000000398</v>
          </cell>
          <cell r="D401" t="str">
            <v>Sigit Rudiantono</v>
          </cell>
          <cell r="E401" t="str">
            <v/>
          </cell>
          <cell r="G401">
            <v>25000000000398</v>
          </cell>
        </row>
        <row r="402">
          <cell r="C402">
            <v>25000000000399</v>
          </cell>
          <cell r="D402" t="str">
            <v>Silvia Putri</v>
          </cell>
          <cell r="E402" t="str">
            <v/>
          </cell>
          <cell r="G402">
            <v>25000000000399</v>
          </cell>
        </row>
        <row r="403">
          <cell r="C403">
            <v>25000000000400</v>
          </cell>
          <cell r="D403" t="str">
            <v>Simron Ronaldi Nasution</v>
          </cell>
          <cell r="E403" t="str">
            <v/>
          </cell>
          <cell r="G403">
            <v>25000000000400</v>
          </cell>
        </row>
        <row r="404">
          <cell r="C404">
            <v>25000000000401</v>
          </cell>
          <cell r="D404" t="str">
            <v>Sinta Vera Trikawati</v>
          </cell>
          <cell r="E404" t="str">
            <v/>
          </cell>
          <cell r="G404">
            <v>25000000000401</v>
          </cell>
        </row>
        <row r="405">
          <cell r="C405">
            <v>25000000000402</v>
          </cell>
          <cell r="D405" t="str">
            <v>Sir Muhammad Zafrulloh Khan</v>
          </cell>
          <cell r="E405" t="str">
            <v/>
          </cell>
          <cell r="G405">
            <v>25000000000402</v>
          </cell>
        </row>
        <row r="406">
          <cell r="C406">
            <v>25000000000403</v>
          </cell>
          <cell r="D406" t="str">
            <v>Siska Marlina</v>
          </cell>
          <cell r="E406" t="str">
            <v/>
          </cell>
          <cell r="G406">
            <v>25000000000403</v>
          </cell>
        </row>
        <row r="407">
          <cell r="C407">
            <v>25000000000404</v>
          </cell>
          <cell r="D407" t="str">
            <v>Siswanto</v>
          </cell>
          <cell r="E407" t="str">
            <v/>
          </cell>
          <cell r="G407">
            <v>25000000000404</v>
          </cell>
        </row>
        <row r="408">
          <cell r="C408">
            <v>25000000000405</v>
          </cell>
          <cell r="D408" t="str">
            <v>Siti Mulyani</v>
          </cell>
          <cell r="E408" t="str">
            <v/>
          </cell>
          <cell r="G408">
            <v>25000000000405</v>
          </cell>
        </row>
        <row r="409">
          <cell r="C409">
            <v>25000000000406</v>
          </cell>
          <cell r="D409" t="str">
            <v>Sjanti Devi</v>
          </cell>
          <cell r="E409" t="str">
            <v/>
          </cell>
          <cell r="G409">
            <v>25000000000406</v>
          </cell>
        </row>
        <row r="410">
          <cell r="C410">
            <v>25000000000407</v>
          </cell>
          <cell r="D410" t="str">
            <v>Slamet Budi Setiawan</v>
          </cell>
          <cell r="E410" t="str">
            <v/>
          </cell>
          <cell r="G410">
            <v>25000000000407</v>
          </cell>
        </row>
        <row r="411">
          <cell r="C411">
            <v>25000000000408</v>
          </cell>
          <cell r="D411" t="str">
            <v>Sofyan Maulana</v>
          </cell>
          <cell r="E411" t="str">
            <v/>
          </cell>
          <cell r="G411">
            <v>25000000000408</v>
          </cell>
        </row>
        <row r="412">
          <cell r="C412">
            <v>25000000000409</v>
          </cell>
          <cell r="D412" t="str">
            <v>Subagio</v>
          </cell>
          <cell r="E412" t="str">
            <v/>
          </cell>
          <cell r="G412">
            <v>25000000000409</v>
          </cell>
        </row>
        <row r="413">
          <cell r="C413">
            <v>25000000000410</v>
          </cell>
          <cell r="D413" t="str">
            <v>Suci Mardiana</v>
          </cell>
          <cell r="E413" t="str">
            <v/>
          </cell>
          <cell r="G413">
            <v>25000000000410</v>
          </cell>
        </row>
        <row r="414">
          <cell r="C414">
            <v>25000000000411</v>
          </cell>
          <cell r="D414" t="str">
            <v>Suci Rachma Sari</v>
          </cell>
          <cell r="E414" t="str">
            <v/>
          </cell>
          <cell r="G414">
            <v>25000000000411</v>
          </cell>
        </row>
        <row r="415">
          <cell r="C415">
            <v>25000000000412</v>
          </cell>
          <cell r="D415" t="str">
            <v>Sudarlan</v>
          </cell>
          <cell r="E415" t="str">
            <v>010507354</v>
          </cell>
          <cell r="G415">
            <v>25000000000412</v>
          </cell>
        </row>
        <row r="416">
          <cell r="C416">
            <v>25000000000413</v>
          </cell>
          <cell r="D416" t="str">
            <v>Sufie Amalia</v>
          </cell>
          <cell r="E416" t="str">
            <v>140421948</v>
          </cell>
          <cell r="G416">
            <v>25000000000413</v>
          </cell>
        </row>
        <row r="417">
          <cell r="C417">
            <v>25000000000414</v>
          </cell>
          <cell r="D417" t="str">
            <v>Sugeng Ismanto</v>
          </cell>
          <cell r="E417" t="str">
            <v/>
          </cell>
          <cell r="G417">
            <v>25000000000414</v>
          </cell>
        </row>
        <row r="418">
          <cell r="C418">
            <v>25000000000415</v>
          </cell>
          <cell r="D418" t="str">
            <v>Sugiarto</v>
          </cell>
          <cell r="E418" t="str">
            <v>080822967</v>
          </cell>
          <cell r="G418">
            <v>25000000000415</v>
          </cell>
        </row>
        <row r="419">
          <cell r="C419">
            <v>25000000000416</v>
          </cell>
          <cell r="D419" t="str">
            <v>Sulih</v>
          </cell>
          <cell r="E419" t="str">
            <v/>
          </cell>
          <cell r="G419">
            <v>25000000000416</v>
          </cell>
        </row>
        <row r="420">
          <cell r="C420">
            <v>25000000000417</v>
          </cell>
          <cell r="D420" t="str">
            <v>Sumadi</v>
          </cell>
          <cell r="E420" t="str">
            <v/>
          </cell>
          <cell r="G420">
            <v>25000000000417</v>
          </cell>
        </row>
        <row r="421">
          <cell r="C421">
            <v>25000000000418</v>
          </cell>
          <cell r="D421" t="str">
            <v>Sumirat</v>
          </cell>
          <cell r="E421" t="str">
            <v/>
          </cell>
          <cell r="G421">
            <v>25000000000418</v>
          </cell>
        </row>
        <row r="422">
          <cell r="C422">
            <v>25000000000419</v>
          </cell>
          <cell r="D422" t="str">
            <v>Sunaryati</v>
          </cell>
          <cell r="E422" t="str">
            <v/>
          </cell>
          <cell r="G422">
            <v>25000000000419</v>
          </cell>
        </row>
        <row r="423">
          <cell r="C423">
            <v>25000000000420</v>
          </cell>
          <cell r="D423" t="str">
            <v>Supriyadi</v>
          </cell>
          <cell r="E423" t="str">
            <v/>
          </cell>
          <cell r="G423">
            <v>25000000000420</v>
          </cell>
        </row>
        <row r="424">
          <cell r="C424">
            <v>25000000000421</v>
          </cell>
          <cell r="D424" t="str">
            <v>Suriono Suriono</v>
          </cell>
          <cell r="E424" t="str">
            <v/>
          </cell>
          <cell r="G424">
            <v>25000000000421</v>
          </cell>
        </row>
        <row r="425">
          <cell r="C425">
            <v>25000000000422</v>
          </cell>
          <cell r="D425" t="str">
            <v>Surono</v>
          </cell>
          <cell r="E425" t="str">
            <v/>
          </cell>
          <cell r="G425">
            <v>25000000000422</v>
          </cell>
        </row>
        <row r="426">
          <cell r="C426">
            <v>25000000000423</v>
          </cell>
          <cell r="D426" t="str">
            <v>Surtoyo Syukri</v>
          </cell>
          <cell r="E426" t="str">
            <v/>
          </cell>
          <cell r="G426">
            <v>25000000000423</v>
          </cell>
        </row>
        <row r="427">
          <cell r="C427">
            <v>25000000000424</v>
          </cell>
          <cell r="D427" t="str">
            <v>Suryadi</v>
          </cell>
          <cell r="E427" t="str">
            <v/>
          </cell>
          <cell r="G427">
            <v>25000000000424</v>
          </cell>
        </row>
        <row r="428">
          <cell r="C428">
            <v>25000000000425</v>
          </cell>
          <cell r="D428" t="str">
            <v>Susilawati</v>
          </cell>
          <cell r="E428" t="str">
            <v/>
          </cell>
          <cell r="G428">
            <v>25000000000425</v>
          </cell>
        </row>
        <row r="429">
          <cell r="C429">
            <v>25000000000426</v>
          </cell>
          <cell r="D429" t="str">
            <v>Sutarno</v>
          </cell>
          <cell r="E429" t="str">
            <v/>
          </cell>
          <cell r="G429">
            <v>25000000000426</v>
          </cell>
        </row>
        <row r="430">
          <cell r="C430">
            <v>25000000000427</v>
          </cell>
          <cell r="D430" t="str">
            <v>Sutra Riandi</v>
          </cell>
          <cell r="E430" t="str">
            <v/>
          </cell>
          <cell r="G430">
            <v>25000000000427</v>
          </cell>
        </row>
        <row r="431">
          <cell r="C431">
            <v>25000000000428</v>
          </cell>
          <cell r="D431" t="str">
            <v>Suyanto</v>
          </cell>
          <cell r="E431" t="str">
            <v>261219925</v>
          </cell>
          <cell r="G431">
            <v>25000000000428</v>
          </cell>
        </row>
        <row r="432">
          <cell r="C432">
            <v>25000000000429</v>
          </cell>
          <cell r="D432" t="str">
            <v>Swar Jono</v>
          </cell>
          <cell r="E432" t="str">
            <v/>
          </cell>
          <cell r="G432">
            <v>25000000000429</v>
          </cell>
        </row>
        <row r="433">
          <cell r="C433">
            <v>25000000000430</v>
          </cell>
          <cell r="D433" t="str">
            <v>Syafruddin</v>
          </cell>
          <cell r="E433" t="str">
            <v/>
          </cell>
          <cell r="G433">
            <v>25000000000430</v>
          </cell>
        </row>
        <row r="434">
          <cell r="C434">
            <v>25000000000431</v>
          </cell>
          <cell r="D434" t="str">
            <v>Syafrudin Machmud</v>
          </cell>
          <cell r="E434" t="str">
            <v/>
          </cell>
          <cell r="G434">
            <v>25000000000431</v>
          </cell>
        </row>
        <row r="435">
          <cell r="C435">
            <v>25000000000432</v>
          </cell>
          <cell r="D435" t="str">
            <v>Syahrizal</v>
          </cell>
          <cell r="E435" t="str">
            <v/>
          </cell>
          <cell r="G435">
            <v>25000000000432</v>
          </cell>
        </row>
        <row r="436">
          <cell r="C436">
            <v>25000000000433</v>
          </cell>
          <cell r="D436" t="str">
            <v>Syaiful Idjam</v>
          </cell>
          <cell r="E436" t="str">
            <v/>
          </cell>
          <cell r="G436">
            <v>25000000000433</v>
          </cell>
        </row>
        <row r="437">
          <cell r="C437">
            <v>25000000000434</v>
          </cell>
          <cell r="D437" t="str">
            <v>Tajuddin Assubki Ismail</v>
          </cell>
          <cell r="E437" t="str">
            <v>070703034</v>
          </cell>
          <cell r="G437">
            <v>25000000000434</v>
          </cell>
        </row>
        <row r="438">
          <cell r="C438">
            <v>25000000000435</v>
          </cell>
          <cell r="D438" t="str">
            <v>Taslim</v>
          </cell>
          <cell r="E438" t="str">
            <v/>
          </cell>
          <cell r="G438">
            <v>25000000000435</v>
          </cell>
        </row>
        <row r="439">
          <cell r="C439">
            <v>25000000000436</v>
          </cell>
          <cell r="D439" t="str">
            <v>Taufik Mulia Pane</v>
          </cell>
          <cell r="E439" t="str">
            <v/>
          </cell>
          <cell r="G439">
            <v>25000000000436</v>
          </cell>
        </row>
        <row r="440">
          <cell r="C440">
            <v>25000000000437</v>
          </cell>
          <cell r="D440" t="str">
            <v>Tedy Harseno</v>
          </cell>
          <cell r="E440" t="str">
            <v/>
          </cell>
          <cell r="G440">
            <v>25000000000437</v>
          </cell>
        </row>
        <row r="441">
          <cell r="C441">
            <v>25000000000438</v>
          </cell>
          <cell r="D441" t="str">
            <v>Teguh Joko Pamuji</v>
          </cell>
          <cell r="E441" t="str">
            <v/>
          </cell>
          <cell r="G441">
            <v>25000000000438</v>
          </cell>
        </row>
        <row r="442">
          <cell r="C442">
            <v>25000000000439</v>
          </cell>
          <cell r="D442" t="str">
            <v>Teguh Pratama Januzir Sukin</v>
          </cell>
          <cell r="E442" t="str">
            <v>030717839</v>
          </cell>
          <cell r="G442">
            <v>25000000000439</v>
          </cell>
        </row>
        <row r="443">
          <cell r="C443">
            <v>25000000000440</v>
          </cell>
          <cell r="D443" t="str">
            <v>Teguh Susanto</v>
          </cell>
          <cell r="E443" t="str">
            <v/>
          </cell>
          <cell r="G443">
            <v>25000000000440</v>
          </cell>
        </row>
        <row r="444">
          <cell r="C444">
            <v>25000000000441</v>
          </cell>
          <cell r="D444" t="str">
            <v>Tenri Sumange</v>
          </cell>
          <cell r="E444" t="str">
            <v/>
          </cell>
          <cell r="G444">
            <v>25000000000441</v>
          </cell>
        </row>
        <row r="445">
          <cell r="C445">
            <v>25000000000442</v>
          </cell>
          <cell r="D445" t="str">
            <v>Teuku Zulkifli</v>
          </cell>
          <cell r="E445" t="str">
            <v/>
          </cell>
          <cell r="G445">
            <v>25000000000442</v>
          </cell>
        </row>
        <row r="446">
          <cell r="C446">
            <v>25000000000443</v>
          </cell>
          <cell r="D446" t="str">
            <v>Tiara Kemalasari</v>
          </cell>
          <cell r="E446" t="str">
            <v/>
          </cell>
          <cell r="G446">
            <v>25000000000443</v>
          </cell>
        </row>
        <row r="447">
          <cell r="C447">
            <v>25000000000444</v>
          </cell>
          <cell r="D447" t="str">
            <v>Tjhang Linawati</v>
          </cell>
          <cell r="E447" t="str">
            <v/>
          </cell>
          <cell r="G447">
            <v>25000000000444</v>
          </cell>
        </row>
        <row r="448">
          <cell r="C448">
            <v>25000000000445</v>
          </cell>
          <cell r="D448" t="str">
            <v>Totok Kristianto</v>
          </cell>
          <cell r="E448" t="str">
            <v/>
          </cell>
          <cell r="G448">
            <v>25000000000445</v>
          </cell>
        </row>
        <row r="449">
          <cell r="C449">
            <v>25000000000446</v>
          </cell>
          <cell r="D449" t="str">
            <v>Tri Aji</v>
          </cell>
          <cell r="E449" t="str">
            <v/>
          </cell>
          <cell r="G449">
            <v>25000000000446</v>
          </cell>
        </row>
        <row r="450">
          <cell r="C450">
            <v>25000000000447</v>
          </cell>
          <cell r="D450" t="str">
            <v>Tri M. Saputra</v>
          </cell>
          <cell r="E450" t="str">
            <v/>
          </cell>
          <cell r="G450">
            <v>25000000000447</v>
          </cell>
        </row>
        <row r="451">
          <cell r="C451">
            <v>25000000000448</v>
          </cell>
          <cell r="D451" t="str">
            <v>Triani Irma</v>
          </cell>
          <cell r="E451" t="str">
            <v/>
          </cell>
          <cell r="G451">
            <v>25000000000448</v>
          </cell>
        </row>
        <row r="452">
          <cell r="C452">
            <v>25000000000449</v>
          </cell>
          <cell r="D452" t="str">
            <v>Trisyanto</v>
          </cell>
          <cell r="E452" t="str">
            <v/>
          </cell>
          <cell r="G452">
            <v>25000000000449</v>
          </cell>
        </row>
        <row r="453">
          <cell r="C453">
            <v>25000000000450</v>
          </cell>
          <cell r="D453" t="str">
            <v>Triwiarti Dibya</v>
          </cell>
          <cell r="E453" t="str">
            <v/>
          </cell>
          <cell r="G453">
            <v>25000000000450</v>
          </cell>
        </row>
        <row r="454">
          <cell r="C454">
            <v>25000000000451</v>
          </cell>
          <cell r="D454" t="str">
            <v>Triyono</v>
          </cell>
          <cell r="E454" t="str">
            <v/>
          </cell>
          <cell r="G454">
            <v>25000000000451</v>
          </cell>
        </row>
        <row r="455">
          <cell r="C455">
            <v>25000000000452</v>
          </cell>
          <cell r="D455" t="str">
            <v>Turita Pramuning Marantina</v>
          </cell>
          <cell r="E455" t="str">
            <v>090818879</v>
          </cell>
          <cell r="G455">
            <v>25000000000452</v>
          </cell>
        </row>
        <row r="456">
          <cell r="C456">
            <v>25000000000453</v>
          </cell>
          <cell r="D456" t="str">
            <v>Tutus Ary</v>
          </cell>
          <cell r="E456" t="str">
            <v/>
          </cell>
          <cell r="G456">
            <v>25000000000453</v>
          </cell>
        </row>
        <row r="457">
          <cell r="C457">
            <v>25000000000454</v>
          </cell>
          <cell r="D457" t="str">
            <v>Ubaidillah</v>
          </cell>
          <cell r="E457" t="str">
            <v/>
          </cell>
          <cell r="G457">
            <v>25000000000454</v>
          </cell>
        </row>
        <row r="458">
          <cell r="C458">
            <v>25000000000455</v>
          </cell>
          <cell r="D458" t="str">
            <v>Ujang Barma</v>
          </cell>
          <cell r="E458" t="str">
            <v/>
          </cell>
          <cell r="G458">
            <v>25000000000455</v>
          </cell>
        </row>
        <row r="459">
          <cell r="C459">
            <v>25000000000456</v>
          </cell>
          <cell r="D459" t="str">
            <v>Ujang Suryana</v>
          </cell>
          <cell r="E459" t="str">
            <v/>
          </cell>
          <cell r="G459">
            <v>25000000000456</v>
          </cell>
        </row>
        <row r="460">
          <cell r="C460">
            <v>25000000000457</v>
          </cell>
          <cell r="D460" t="str">
            <v>Ulman Juanda</v>
          </cell>
          <cell r="E460" t="str">
            <v/>
          </cell>
          <cell r="G460">
            <v>25000000000457</v>
          </cell>
        </row>
        <row r="461">
          <cell r="C461">
            <v>25000000000458</v>
          </cell>
          <cell r="D461" t="str">
            <v>Urbanus Boimau</v>
          </cell>
          <cell r="E461" t="str">
            <v>010906267</v>
          </cell>
          <cell r="G461">
            <v>25000000000458</v>
          </cell>
        </row>
        <row r="462">
          <cell r="C462">
            <v>25000000000459</v>
          </cell>
          <cell r="D462" t="str">
            <v>Uswatun Hasamah</v>
          </cell>
          <cell r="E462" t="str">
            <v/>
          </cell>
          <cell r="G462">
            <v>25000000000459</v>
          </cell>
        </row>
        <row r="463">
          <cell r="C463">
            <v>25000000000460</v>
          </cell>
          <cell r="D463" t="str">
            <v>Uswatun Khasanah</v>
          </cell>
          <cell r="E463" t="str">
            <v/>
          </cell>
          <cell r="G463">
            <v>25000000000460</v>
          </cell>
        </row>
        <row r="464">
          <cell r="C464">
            <v>25000000000461</v>
          </cell>
          <cell r="D464" t="str">
            <v>Utami Dewi</v>
          </cell>
          <cell r="E464" t="str">
            <v/>
          </cell>
          <cell r="G464">
            <v>25000000000461</v>
          </cell>
        </row>
        <row r="465">
          <cell r="C465">
            <v>25000000000462</v>
          </cell>
          <cell r="D465" t="str">
            <v>Utanto</v>
          </cell>
          <cell r="E465" t="str">
            <v/>
          </cell>
          <cell r="G465">
            <v>25000000000462</v>
          </cell>
        </row>
        <row r="466">
          <cell r="C466">
            <v>25000000000463</v>
          </cell>
          <cell r="D466" t="str">
            <v>Veradita Yulanda</v>
          </cell>
          <cell r="E466" t="str">
            <v/>
          </cell>
          <cell r="G466">
            <v>25000000000463</v>
          </cell>
        </row>
        <row r="467">
          <cell r="C467">
            <v>25000000000464</v>
          </cell>
          <cell r="D467" t="str">
            <v>Vidhy Kartika Putri</v>
          </cell>
          <cell r="E467" t="str">
            <v/>
          </cell>
          <cell r="G467">
            <v>25000000000464</v>
          </cell>
        </row>
        <row r="468">
          <cell r="C468">
            <v>25000000000465</v>
          </cell>
          <cell r="D468" t="str">
            <v>Vonny Agram</v>
          </cell>
          <cell r="E468" t="str">
            <v/>
          </cell>
          <cell r="G468">
            <v>25000000000465</v>
          </cell>
        </row>
        <row r="469">
          <cell r="C469">
            <v>25000000000466</v>
          </cell>
          <cell r="D469" t="str">
            <v>Wahyu</v>
          </cell>
          <cell r="E469" t="str">
            <v/>
          </cell>
          <cell r="G469">
            <v>25000000000466</v>
          </cell>
        </row>
        <row r="470">
          <cell r="C470">
            <v>25000000000467</v>
          </cell>
          <cell r="D470" t="str">
            <v>Wahyu Ramadhani</v>
          </cell>
          <cell r="E470" t="str">
            <v>040219900</v>
          </cell>
          <cell r="G470">
            <v>25000000000467</v>
          </cell>
        </row>
        <row r="471">
          <cell r="C471">
            <v>25000000000468</v>
          </cell>
          <cell r="D471" t="str">
            <v>Wahyu Widodo</v>
          </cell>
          <cell r="E471" t="str">
            <v/>
          </cell>
          <cell r="G471">
            <v>25000000000468</v>
          </cell>
        </row>
        <row r="472">
          <cell r="C472">
            <v>25000000000469</v>
          </cell>
          <cell r="D472" t="str">
            <v>Warsito Edy Saputra</v>
          </cell>
          <cell r="E472" t="str">
            <v/>
          </cell>
          <cell r="G472">
            <v>25000000000469</v>
          </cell>
        </row>
        <row r="473">
          <cell r="C473">
            <v>25000000000470</v>
          </cell>
          <cell r="D473" t="str">
            <v>Weldi Wimar</v>
          </cell>
          <cell r="E473" t="str">
            <v/>
          </cell>
          <cell r="G473">
            <v>25000000000470</v>
          </cell>
        </row>
        <row r="474">
          <cell r="C474">
            <v>25000000000471</v>
          </cell>
          <cell r="D474" t="str">
            <v>Wendy Septiyan</v>
          </cell>
          <cell r="E474" t="str">
            <v/>
          </cell>
          <cell r="G474">
            <v>25000000000471</v>
          </cell>
        </row>
        <row r="475">
          <cell r="C475">
            <v>25000000000472</v>
          </cell>
          <cell r="D475" t="str">
            <v>Willy Indarto</v>
          </cell>
          <cell r="E475" t="str">
            <v/>
          </cell>
          <cell r="G475">
            <v>25000000000472</v>
          </cell>
        </row>
        <row r="476">
          <cell r="C476">
            <v>25000000000473</v>
          </cell>
          <cell r="D476" t="str">
            <v>Winda Suherman</v>
          </cell>
          <cell r="E476" t="str">
            <v/>
          </cell>
          <cell r="G476">
            <v>25000000000473</v>
          </cell>
        </row>
        <row r="477">
          <cell r="C477">
            <v>25000000000474</v>
          </cell>
          <cell r="D477" t="str">
            <v>Wisnu Ardian</v>
          </cell>
          <cell r="E477" t="str">
            <v>280618877</v>
          </cell>
          <cell r="G477">
            <v>25000000000474</v>
          </cell>
        </row>
        <row r="478">
          <cell r="C478">
            <v>25000000000475</v>
          </cell>
          <cell r="D478" t="str">
            <v>Wisudanto C. Suntoyo</v>
          </cell>
          <cell r="E478" t="str">
            <v/>
          </cell>
          <cell r="G478">
            <v>25000000000475</v>
          </cell>
        </row>
        <row r="479">
          <cell r="C479">
            <v>25000000000476</v>
          </cell>
          <cell r="D479" t="str">
            <v>Yahya Adyasa Febriansyah</v>
          </cell>
          <cell r="E479" t="str">
            <v/>
          </cell>
          <cell r="G479">
            <v>25000000000476</v>
          </cell>
        </row>
        <row r="480">
          <cell r="C480">
            <v>25000000000477</v>
          </cell>
          <cell r="D480" t="str">
            <v>Yakup Sunaryo</v>
          </cell>
          <cell r="E480" t="str">
            <v/>
          </cell>
          <cell r="G480">
            <v>25000000000477</v>
          </cell>
        </row>
        <row r="481">
          <cell r="C481">
            <v>25000000000478</v>
          </cell>
          <cell r="D481" t="str">
            <v>Yanuar Tri Ananda</v>
          </cell>
          <cell r="E481" t="str">
            <v/>
          </cell>
          <cell r="G481">
            <v>25000000000478</v>
          </cell>
        </row>
        <row r="482">
          <cell r="C482">
            <v>25000000000479</v>
          </cell>
          <cell r="D482" t="str">
            <v>Yasir Liem</v>
          </cell>
          <cell r="E482" t="str">
            <v/>
          </cell>
          <cell r="G482">
            <v>25000000000479</v>
          </cell>
        </row>
        <row r="483">
          <cell r="C483">
            <v>25000000000480</v>
          </cell>
          <cell r="D483" t="str">
            <v>Yefri Hendrayani</v>
          </cell>
          <cell r="E483" t="str">
            <v/>
          </cell>
          <cell r="G483">
            <v>25000000000480</v>
          </cell>
        </row>
        <row r="484">
          <cell r="C484">
            <v>25000000000481</v>
          </cell>
          <cell r="D484" t="str">
            <v>Yessi Setiarini</v>
          </cell>
          <cell r="E484" t="str">
            <v/>
          </cell>
          <cell r="G484">
            <v>25000000000481</v>
          </cell>
        </row>
        <row r="485">
          <cell r="C485">
            <v>25000000000482</v>
          </cell>
          <cell r="D485" t="str">
            <v>Yorid Fae</v>
          </cell>
          <cell r="E485" t="str">
            <v/>
          </cell>
          <cell r="G485">
            <v>25000000000482</v>
          </cell>
        </row>
        <row r="486">
          <cell r="C486">
            <v>25000000000483</v>
          </cell>
          <cell r="D486" t="str">
            <v>Yosef Hang Wan</v>
          </cell>
          <cell r="E486" t="str">
            <v/>
          </cell>
          <cell r="G486">
            <v>25000000000483</v>
          </cell>
        </row>
        <row r="487">
          <cell r="C487">
            <v>25000000000484</v>
          </cell>
          <cell r="D487" t="str">
            <v>Yossie Deliana</v>
          </cell>
          <cell r="E487" t="str">
            <v/>
          </cell>
          <cell r="G487">
            <v>25000000000484</v>
          </cell>
        </row>
        <row r="488">
          <cell r="C488">
            <v>25000000000485</v>
          </cell>
          <cell r="D488" t="str">
            <v>Yudi Rahmadi</v>
          </cell>
          <cell r="E488" t="str">
            <v/>
          </cell>
          <cell r="G488">
            <v>25000000000485</v>
          </cell>
        </row>
        <row r="489">
          <cell r="C489">
            <v>25000000000486</v>
          </cell>
          <cell r="D489" t="str">
            <v>Yudo Jati Rahmat Satrio</v>
          </cell>
          <cell r="E489" t="str">
            <v/>
          </cell>
          <cell r="G489">
            <v>25000000000486</v>
          </cell>
        </row>
        <row r="490">
          <cell r="C490">
            <v>25000000000487</v>
          </cell>
          <cell r="D490" t="str">
            <v>Yuliandaru Suryoatmodjo</v>
          </cell>
          <cell r="E490" t="str">
            <v>160714734</v>
          </cell>
          <cell r="G490">
            <v>25000000000487</v>
          </cell>
        </row>
        <row r="491">
          <cell r="C491">
            <v>25000000000488</v>
          </cell>
          <cell r="D491" t="str">
            <v>Yulianta</v>
          </cell>
          <cell r="E491" t="str">
            <v/>
          </cell>
          <cell r="G491">
            <v>25000000000488</v>
          </cell>
        </row>
        <row r="492">
          <cell r="C492">
            <v>25000000000489</v>
          </cell>
          <cell r="D492" t="str">
            <v>Yulianti</v>
          </cell>
          <cell r="E492" t="str">
            <v/>
          </cell>
          <cell r="G492">
            <v>25000000000489</v>
          </cell>
        </row>
        <row r="493">
          <cell r="C493">
            <v>25000000000490</v>
          </cell>
          <cell r="D493" t="str">
            <v>Yulius</v>
          </cell>
          <cell r="E493" t="str">
            <v/>
          </cell>
          <cell r="G493">
            <v>25000000000490</v>
          </cell>
        </row>
        <row r="494">
          <cell r="C494">
            <v>25000000000491</v>
          </cell>
          <cell r="D494" t="str">
            <v>Yunni Sazili</v>
          </cell>
          <cell r="E494" t="str">
            <v/>
          </cell>
          <cell r="G494">
            <v>25000000000491</v>
          </cell>
        </row>
        <row r="495">
          <cell r="C495">
            <v>25000000000492</v>
          </cell>
          <cell r="D495" t="str">
            <v>Yusman</v>
          </cell>
          <cell r="E495" t="str">
            <v/>
          </cell>
          <cell r="G495">
            <v>25000000000492</v>
          </cell>
        </row>
        <row r="496">
          <cell r="C496">
            <v>25000000000493</v>
          </cell>
          <cell r="D496" t="str">
            <v>Yusri Azhar</v>
          </cell>
          <cell r="E496" t="str">
            <v/>
          </cell>
          <cell r="G496">
            <v>25000000000493</v>
          </cell>
        </row>
        <row r="497">
          <cell r="C497">
            <v>25000000000494</v>
          </cell>
          <cell r="D497" t="str">
            <v>Zafrizal</v>
          </cell>
          <cell r="E497" t="str">
            <v/>
          </cell>
          <cell r="G497">
            <v>25000000000494</v>
          </cell>
        </row>
        <row r="498">
          <cell r="C498">
            <v>25000000000495</v>
          </cell>
          <cell r="D498" t="str">
            <v>Zafrizal Rifla (Ucok)</v>
          </cell>
          <cell r="E498" t="str">
            <v/>
          </cell>
          <cell r="G498">
            <v>25000000000495</v>
          </cell>
        </row>
        <row r="499">
          <cell r="C499">
            <v>25000000000496</v>
          </cell>
          <cell r="D499" t="str">
            <v>Zainuddin</v>
          </cell>
          <cell r="E499" t="str">
            <v/>
          </cell>
          <cell r="G499">
            <v>25000000000496</v>
          </cell>
        </row>
        <row r="500">
          <cell r="C500">
            <v>25000000000497</v>
          </cell>
          <cell r="D500" t="str">
            <v>Zainudin Anwar</v>
          </cell>
          <cell r="E500" t="str">
            <v>090819915</v>
          </cell>
          <cell r="G500">
            <v>25000000000497</v>
          </cell>
        </row>
        <row r="501">
          <cell r="C501">
            <v>25000000000498</v>
          </cell>
          <cell r="D501" t="str">
            <v>Zaire Dite Biscaya</v>
          </cell>
          <cell r="E501" t="str">
            <v/>
          </cell>
          <cell r="G501">
            <v>25000000000498</v>
          </cell>
        </row>
        <row r="502">
          <cell r="C502">
            <v>25000000000499</v>
          </cell>
          <cell r="D502" t="str">
            <v>Zalfi Yandri</v>
          </cell>
          <cell r="E502" t="str">
            <v/>
          </cell>
          <cell r="G502">
            <v>25000000000499</v>
          </cell>
        </row>
        <row r="503">
          <cell r="C503">
            <v>25000000000500</v>
          </cell>
          <cell r="D503" t="str">
            <v>Zam Roji</v>
          </cell>
          <cell r="E503" t="str">
            <v/>
          </cell>
          <cell r="G503">
            <v>25000000000500</v>
          </cell>
        </row>
        <row r="504">
          <cell r="C504">
            <v>25000000000501</v>
          </cell>
          <cell r="D504" t="str">
            <v>Zulfikar K. Siregar</v>
          </cell>
          <cell r="E504" t="str">
            <v>3107251008</v>
          </cell>
          <cell r="G504">
            <v>25000000000501</v>
          </cell>
        </row>
        <row r="505">
          <cell r="C505">
            <v>25000000000502</v>
          </cell>
          <cell r="D505" t="str">
            <v>Adythia Adikara</v>
          </cell>
          <cell r="E505" t="str">
            <v/>
          </cell>
          <cell r="G505">
            <v>25000000000502</v>
          </cell>
        </row>
        <row r="506">
          <cell r="C506">
            <v>25000000000503</v>
          </cell>
          <cell r="D506" t="str">
            <v>Agus Sopyan Hadi</v>
          </cell>
          <cell r="E506" t="str">
            <v/>
          </cell>
          <cell r="G506">
            <v>25000000000503</v>
          </cell>
        </row>
        <row r="507">
          <cell r="C507">
            <v>25000000000504</v>
          </cell>
          <cell r="D507" t="str">
            <v>Azis Purwandana</v>
          </cell>
          <cell r="E507" t="str">
            <v/>
          </cell>
          <cell r="G507">
            <v>25000000000504</v>
          </cell>
        </row>
        <row r="508">
          <cell r="C508">
            <v>25000000000505</v>
          </cell>
          <cell r="D508" t="str">
            <v>Heryanto</v>
          </cell>
          <cell r="E508" t="str">
            <v/>
          </cell>
          <cell r="G508">
            <v>25000000000505</v>
          </cell>
        </row>
        <row r="509">
          <cell r="C509">
            <v>25000000000506</v>
          </cell>
          <cell r="D509" t="str">
            <v>Imran</v>
          </cell>
          <cell r="E509" t="str">
            <v/>
          </cell>
          <cell r="G509">
            <v>25000000000506</v>
          </cell>
        </row>
        <row r="510">
          <cell r="C510">
            <v>25000000000507</v>
          </cell>
          <cell r="D510" t="str">
            <v>Khamim Taryono</v>
          </cell>
          <cell r="E510" t="str">
            <v>280621950</v>
          </cell>
          <cell r="G510">
            <v>25000000000507</v>
          </cell>
        </row>
        <row r="511">
          <cell r="C511">
            <v>25000000000508</v>
          </cell>
          <cell r="D511" t="str">
            <v>Rafi Artman Siddiq</v>
          </cell>
          <cell r="E511" t="str">
            <v>130921953</v>
          </cell>
          <cell r="G511">
            <v>25000000000508</v>
          </cell>
        </row>
        <row r="512">
          <cell r="C512">
            <v>25000000000509</v>
          </cell>
          <cell r="D512" t="str">
            <v>Riza Emir Subekti</v>
          </cell>
          <cell r="E512" t="str">
            <v>260716795</v>
          </cell>
          <cell r="G512">
            <v>25000000000509</v>
          </cell>
        </row>
        <row r="513">
          <cell r="C513">
            <v>25000000000510</v>
          </cell>
          <cell r="D513" t="str">
            <v>Slamet Riadi</v>
          </cell>
          <cell r="E513" t="str">
            <v/>
          </cell>
          <cell r="G513">
            <v>25000000000510</v>
          </cell>
        </row>
        <row r="514">
          <cell r="C514">
            <v>25000000000511</v>
          </cell>
          <cell r="D514" t="str">
            <v>Wisnu Andra Isdianto</v>
          </cell>
          <cell r="E514" t="str">
            <v>150721949</v>
          </cell>
          <cell r="G514">
            <v>25000000000511</v>
          </cell>
        </row>
        <row r="515">
          <cell r="C515">
            <v>25000000000512</v>
          </cell>
          <cell r="D515" t="str">
            <v>Agus Budi Setiawan</v>
          </cell>
          <cell r="E515" t="str">
            <v>171121955</v>
          </cell>
          <cell r="G515">
            <v>25000000000512</v>
          </cell>
        </row>
        <row r="516">
          <cell r="C516">
            <v>25000000000513</v>
          </cell>
          <cell r="D516" t="str">
            <v>Ahmad Choerul</v>
          </cell>
          <cell r="E516" t="str">
            <v>191022969</v>
          </cell>
          <cell r="G516">
            <v>25000000000513</v>
          </cell>
        </row>
        <row r="517">
          <cell r="C517">
            <v>25000000000514</v>
          </cell>
          <cell r="D517" t="str">
            <v>Achmad Yunadi</v>
          </cell>
          <cell r="E517" t="str">
            <v>110422962</v>
          </cell>
          <cell r="G517">
            <v>25000000000514</v>
          </cell>
        </row>
        <row r="518">
          <cell r="C518">
            <v>25000000000515</v>
          </cell>
          <cell r="D518" t="str">
            <v>Asep mulyana</v>
          </cell>
          <cell r="E518" t="str">
            <v/>
          </cell>
          <cell r="G518">
            <v>25000000000515</v>
          </cell>
        </row>
        <row r="519">
          <cell r="C519">
            <v>25000000000516</v>
          </cell>
          <cell r="D519" t="str">
            <v>Bagus Isdiantara</v>
          </cell>
          <cell r="E519" t="str">
            <v/>
          </cell>
          <cell r="G519">
            <v>25000000000516</v>
          </cell>
        </row>
        <row r="520">
          <cell r="C520">
            <v>25000000000517</v>
          </cell>
          <cell r="D520" t="str">
            <v>Cahyana</v>
          </cell>
          <cell r="E520" t="str">
            <v>090821952</v>
          </cell>
          <cell r="G520">
            <v>25000000000517</v>
          </cell>
        </row>
        <row r="521">
          <cell r="C521">
            <v>25000000000518</v>
          </cell>
          <cell r="D521" t="str">
            <v>Dede Hartanto</v>
          </cell>
          <cell r="E521" t="str">
            <v/>
          </cell>
          <cell r="G521">
            <v>25000000000518</v>
          </cell>
        </row>
        <row r="522">
          <cell r="C522">
            <v>25000000000519</v>
          </cell>
          <cell r="D522" t="str">
            <v>Denny Achmad Ferlando</v>
          </cell>
          <cell r="E522" t="str">
            <v>170522963</v>
          </cell>
          <cell r="G522">
            <v>25000000000519</v>
          </cell>
        </row>
        <row r="523">
          <cell r="C523">
            <v>25000000000520</v>
          </cell>
          <cell r="D523" t="str">
            <v>Dian Setiawan</v>
          </cell>
          <cell r="E523" t="str">
            <v/>
          </cell>
          <cell r="G523">
            <v>25000000000520</v>
          </cell>
        </row>
        <row r="524">
          <cell r="C524">
            <v>25000000000521</v>
          </cell>
          <cell r="D524" t="str">
            <v>Fabrian Danang Destiyara</v>
          </cell>
          <cell r="E524" t="str">
            <v>110523979</v>
          </cell>
          <cell r="G524">
            <v>25000000000521</v>
          </cell>
        </row>
        <row r="525">
          <cell r="C525">
            <v>25000000000522</v>
          </cell>
          <cell r="D525" t="str">
            <v>Ferdian Kriswantoro</v>
          </cell>
          <cell r="E525" t="str">
            <v>191022968</v>
          </cell>
          <cell r="G525">
            <v>25000000000522</v>
          </cell>
        </row>
        <row r="526">
          <cell r="C526">
            <v>25000000000523</v>
          </cell>
          <cell r="D526" t="str">
            <v>Fuzi Mafrozi</v>
          </cell>
          <cell r="E526" t="str">
            <v>040722964</v>
          </cell>
          <cell r="G526">
            <v>25000000000523</v>
          </cell>
        </row>
        <row r="527">
          <cell r="C527">
            <v>25000000000524</v>
          </cell>
          <cell r="D527" t="str">
            <v>Gilang Setiawan</v>
          </cell>
          <cell r="E527" t="str">
            <v/>
          </cell>
          <cell r="G527">
            <v>25000000000524</v>
          </cell>
        </row>
        <row r="528">
          <cell r="C528">
            <v>25000000000525</v>
          </cell>
          <cell r="D528" t="str">
            <v>Idris Affandi</v>
          </cell>
          <cell r="E528" t="str">
            <v/>
          </cell>
          <cell r="G528">
            <v>25000000000525</v>
          </cell>
        </row>
        <row r="529">
          <cell r="C529">
            <v>25000000000526</v>
          </cell>
          <cell r="D529" t="str">
            <v>Indra Wijaya</v>
          </cell>
          <cell r="E529" t="str">
            <v/>
          </cell>
          <cell r="G529">
            <v>25000000000526</v>
          </cell>
        </row>
        <row r="530">
          <cell r="C530">
            <v>25000000000527</v>
          </cell>
          <cell r="D530" t="str">
            <v>Irma Maulidawati</v>
          </cell>
          <cell r="E530" t="str">
            <v>040822965</v>
          </cell>
          <cell r="G530">
            <v>25000000000527</v>
          </cell>
        </row>
        <row r="531">
          <cell r="C531">
            <v>25000000000528</v>
          </cell>
          <cell r="D531" t="str">
            <v>Istikaro Fauziah</v>
          </cell>
          <cell r="E531" t="str">
            <v>170322960</v>
          </cell>
          <cell r="G531">
            <v>25000000000528</v>
          </cell>
        </row>
        <row r="532">
          <cell r="C532">
            <v>25000000000529</v>
          </cell>
          <cell r="D532" t="str">
            <v>Muhammad Lukbani</v>
          </cell>
          <cell r="E532" t="str">
            <v/>
          </cell>
          <cell r="G532">
            <v>25000000000529</v>
          </cell>
        </row>
        <row r="533">
          <cell r="C533">
            <v>25000000000530</v>
          </cell>
          <cell r="D533" t="str">
            <v>Muhammad Sholikhun</v>
          </cell>
          <cell r="E533" t="str">
            <v/>
          </cell>
          <cell r="G533">
            <v>25000000000530</v>
          </cell>
        </row>
        <row r="534">
          <cell r="C534">
            <v>25000000000531</v>
          </cell>
          <cell r="D534" t="str">
            <v>Muhammad Syarifudin</v>
          </cell>
          <cell r="E534" t="str">
            <v/>
          </cell>
          <cell r="G534">
            <v>25000000000531</v>
          </cell>
        </row>
        <row r="535">
          <cell r="C535">
            <v>25000000000532</v>
          </cell>
          <cell r="D535" t="str">
            <v>Nadia Rizkiah</v>
          </cell>
          <cell r="E535" t="str">
            <v>170222959</v>
          </cell>
          <cell r="G535">
            <v>25000000000532</v>
          </cell>
        </row>
        <row r="536">
          <cell r="C536">
            <v>25000000000533</v>
          </cell>
          <cell r="D536" t="str">
            <v>Nikko Septian</v>
          </cell>
          <cell r="E536" t="str">
            <v/>
          </cell>
          <cell r="G536">
            <v>25000000000533</v>
          </cell>
        </row>
        <row r="537">
          <cell r="C537">
            <v>25000000000534</v>
          </cell>
          <cell r="D537" t="str">
            <v>Novizan</v>
          </cell>
          <cell r="E537" t="str">
            <v>291121956</v>
          </cell>
          <cell r="G537">
            <v>25000000000534</v>
          </cell>
        </row>
        <row r="538">
          <cell r="C538">
            <v>25000000000535</v>
          </cell>
          <cell r="D538" t="str">
            <v>Oqi Suhaqi Yunus</v>
          </cell>
          <cell r="E538" t="str">
            <v/>
          </cell>
          <cell r="G538">
            <v>25000000000535</v>
          </cell>
        </row>
        <row r="539">
          <cell r="C539">
            <v>25000000000536</v>
          </cell>
          <cell r="D539" t="str">
            <v>Restu Dwi Anjayani</v>
          </cell>
          <cell r="E539" t="str">
            <v>051023981</v>
          </cell>
          <cell r="G539">
            <v>25000000000536</v>
          </cell>
        </row>
        <row r="540">
          <cell r="C540">
            <v>25000000000537</v>
          </cell>
          <cell r="D540" t="str">
            <v>Rizal Amri</v>
          </cell>
          <cell r="E540" t="str">
            <v>211222971</v>
          </cell>
          <cell r="G540">
            <v>25000000000537</v>
          </cell>
        </row>
        <row r="541">
          <cell r="C541">
            <v>25000000000538</v>
          </cell>
          <cell r="D541" t="str">
            <v>Ronny Anindika Arnold</v>
          </cell>
          <cell r="E541" t="str">
            <v/>
          </cell>
          <cell r="G541">
            <v>25000000000538</v>
          </cell>
        </row>
        <row r="542">
          <cell r="C542">
            <v>25000000000539</v>
          </cell>
          <cell r="D542" t="str">
            <v>Samta Harahap</v>
          </cell>
          <cell r="E542" t="str">
            <v/>
          </cell>
          <cell r="G542">
            <v>25000000000539</v>
          </cell>
        </row>
        <row r="543">
          <cell r="C543">
            <v>25000000000540</v>
          </cell>
          <cell r="D543" t="str">
            <v>Vingky Hendriek Yomerlin</v>
          </cell>
          <cell r="E543" t="str">
            <v>131221957</v>
          </cell>
          <cell r="G543">
            <v>25000000000540</v>
          </cell>
        </row>
        <row r="544">
          <cell r="C544">
            <v>25000000000541</v>
          </cell>
          <cell r="D544" t="str">
            <v>Wahyu Teluk Naga</v>
          </cell>
          <cell r="E544" t="str">
            <v/>
          </cell>
          <cell r="G544">
            <v>25000000000541</v>
          </cell>
        </row>
        <row r="545">
          <cell r="C545">
            <v>25000000000542</v>
          </cell>
          <cell r="D545" t="str">
            <v>Wardah Laily Khoiriyah</v>
          </cell>
          <cell r="E545" t="str">
            <v>240122958</v>
          </cell>
          <cell r="G545">
            <v>25000000000542</v>
          </cell>
        </row>
        <row r="546">
          <cell r="C546">
            <v>25000000000543</v>
          </cell>
          <cell r="D546" t="str">
            <v>Wawan Kusworo</v>
          </cell>
          <cell r="E546" t="str">
            <v/>
          </cell>
          <cell r="G546">
            <v>25000000000543</v>
          </cell>
        </row>
        <row r="547">
          <cell r="C547">
            <v>25000000000544</v>
          </cell>
          <cell r="D547" t="str">
            <v>Wulanraniasih</v>
          </cell>
          <cell r="E547" t="str">
            <v>180822966</v>
          </cell>
          <cell r="G547">
            <v>25000000000544</v>
          </cell>
        </row>
        <row r="548">
          <cell r="C548">
            <v>25000000000545</v>
          </cell>
          <cell r="D548" t="str">
            <v>Yogi Perbangkara</v>
          </cell>
          <cell r="E548" t="str">
            <v>260123977</v>
          </cell>
          <cell r="G548">
            <v>25000000000545</v>
          </cell>
        </row>
        <row r="549">
          <cell r="C549">
            <v>25000000000546</v>
          </cell>
          <cell r="D549" t="str">
            <v>Yusuf Fathurahman</v>
          </cell>
          <cell r="E549" t="str">
            <v/>
          </cell>
          <cell r="G549">
            <v>25000000000546</v>
          </cell>
        </row>
        <row r="550">
          <cell r="C550">
            <v>25000000000547</v>
          </cell>
          <cell r="D550" t="str">
            <v>Zeinurani</v>
          </cell>
          <cell r="E550" t="str">
            <v>271222973</v>
          </cell>
          <cell r="G550">
            <v>25000000000547</v>
          </cell>
        </row>
        <row r="551">
          <cell r="C551">
            <v>25000000000548</v>
          </cell>
          <cell r="D551" t="str">
            <v>Sulaeman</v>
          </cell>
          <cell r="E551" t="str">
            <v>020123976</v>
          </cell>
          <cell r="G551">
            <v>25000000000548</v>
          </cell>
        </row>
        <row r="552">
          <cell r="C552">
            <v>25000000000549</v>
          </cell>
          <cell r="D552" t="str">
            <v>Agus Nuryadi</v>
          </cell>
          <cell r="E552" t="str">
            <v>311022972</v>
          </cell>
          <cell r="G552">
            <v>25000000000549</v>
          </cell>
        </row>
        <row r="553">
          <cell r="C553">
            <v>25000000000550</v>
          </cell>
          <cell r="D553" t="str">
            <v>Dian Tri Rahmawati</v>
          </cell>
          <cell r="E553" t="str">
            <v>031022970</v>
          </cell>
          <cell r="G553">
            <v>25000000000550</v>
          </cell>
        </row>
        <row r="554">
          <cell r="C554">
            <v>25000000000551</v>
          </cell>
          <cell r="D554" t="str">
            <v>Langgeng Eko Dwiantoro</v>
          </cell>
          <cell r="E554" t="str">
            <v>050422961</v>
          </cell>
          <cell r="G554">
            <v>25000000000551</v>
          </cell>
        </row>
        <row r="555">
          <cell r="C555">
            <v>25000000000552</v>
          </cell>
          <cell r="D555" t="str">
            <v>Aldi Rizaldi</v>
          </cell>
          <cell r="E555" t="str">
            <v>110121943</v>
          </cell>
          <cell r="G555">
            <v>25000000000552</v>
          </cell>
        </row>
        <row r="556">
          <cell r="C556">
            <v>25000000000553</v>
          </cell>
          <cell r="D556" t="str">
            <v>Masimin</v>
          </cell>
          <cell r="E556" t="str">
            <v>010803042</v>
          </cell>
          <cell r="G556">
            <v>25000000000553</v>
          </cell>
        </row>
        <row r="557">
          <cell r="C557">
            <v>25000000000554</v>
          </cell>
          <cell r="D557" t="str">
            <v>Santoso Dwi Cahyo</v>
          </cell>
          <cell r="E557" t="str">
            <v/>
          </cell>
          <cell r="G557">
            <v>25000000000554</v>
          </cell>
        </row>
        <row r="558">
          <cell r="C558">
            <v>25000000000555</v>
          </cell>
          <cell r="D558" t="str">
            <v>Wartono</v>
          </cell>
          <cell r="E558" t="str">
            <v/>
          </cell>
          <cell r="G558">
            <v>25000000000555</v>
          </cell>
        </row>
        <row r="559">
          <cell r="C559">
            <v>25000000000556</v>
          </cell>
          <cell r="D559" t="str">
            <v>Yusarman</v>
          </cell>
          <cell r="E559" t="str">
            <v/>
          </cell>
          <cell r="G559">
            <v>25000000000556</v>
          </cell>
        </row>
        <row r="560">
          <cell r="C560">
            <v>25000000000557</v>
          </cell>
          <cell r="D560" t="str">
            <v>Abdul Rachman</v>
          </cell>
          <cell r="E560" t="str">
            <v/>
          </cell>
          <cell r="G560">
            <v>25000000000557</v>
          </cell>
        </row>
        <row r="561">
          <cell r="C561">
            <v>25000000000558</v>
          </cell>
          <cell r="D561" t="str">
            <v>Aden Bagus</v>
          </cell>
          <cell r="E561" t="str">
            <v/>
          </cell>
          <cell r="G561">
            <v>25000000000558</v>
          </cell>
        </row>
        <row r="562">
          <cell r="C562">
            <v>25000000000559</v>
          </cell>
          <cell r="D562" t="str">
            <v>Adhe Kurniawan</v>
          </cell>
          <cell r="E562" t="str">
            <v>010224985</v>
          </cell>
          <cell r="G562">
            <v>25000000000559</v>
          </cell>
        </row>
        <row r="563">
          <cell r="C563">
            <v>25000000000560</v>
          </cell>
          <cell r="D563" t="str">
            <v>Ahmad Fauzi</v>
          </cell>
          <cell r="E563" t="str">
            <v/>
          </cell>
          <cell r="G563">
            <v>25000000000560</v>
          </cell>
        </row>
        <row r="564">
          <cell r="C564">
            <v>25000000000561</v>
          </cell>
          <cell r="D564" t="str">
            <v>Ahmad Gunawan</v>
          </cell>
          <cell r="E564" t="str">
            <v/>
          </cell>
          <cell r="G564">
            <v>25000000000561</v>
          </cell>
        </row>
        <row r="565">
          <cell r="C565">
            <v>25000000000562</v>
          </cell>
          <cell r="D565" t="str">
            <v>Andri Andriyan</v>
          </cell>
          <cell r="E565" t="str">
            <v/>
          </cell>
          <cell r="G565">
            <v>25000000000562</v>
          </cell>
        </row>
        <row r="566">
          <cell r="C566">
            <v>25000000000563</v>
          </cell>
          <cell r="D566" t="str">
            <v>Budi Sulistianto</v>
          </cell>
          <cell r="E566" t="str">
            <v/>
          </cell>
          <cell r="G566">
            <v>25000000000563</v>
          </cell>
        </row>
        <row r="567">
          <cell r="C567">
            <v>25000000000564</v>
          </cell>
          <cell r="D567" t="str">
            <v>Eka Budi</v>
          </cell>
          <cell r="E567" t="str">
            <v/>
          </cell>
          <cell r="G567">
            <v>25000000000564</v>
          </cell>
        </row>
        <row r="568">
          <cell r="C568">
            <v>25000000000565</v>
          </cell>
          <cell r="D568" t="str">
            <v>Haerul Gunawan</v>
          </cell>
          <cell r="E568" t="str">
            <v/>
          </cell>
          <cell r="G568">
            <v>25000000000565</v>
          </cell>
        </row>
        <row r="569">
          <cell r="C569">
            <v>25000000000566</v>
          </cell>
          <cell r="D569" t="str">
            <v>Irvan Agus</v>
          </cell>
          <cell r="E569" t="str">
            <v/>
          </cell>
          <cell r="G569">
            <v>25000000000566</v>
          </cell>
        </row>
        <row r="570">
          <cell r="C570">
            <v>25000000000567</v>
          </cell>
          <cell r="D570" t="str">
            <v>Joshika Pradirga</v>
          </cell>
          <cell r="E570" t="str">
            <v/>
          </cell>
          <cell r="G570">
            <v>25000000000567</v>
          </cell>
        </row>
        <row r="571">
          <cell r="C571">
            <v>25000000000568</v>
          </cell>
          <cell r="D571" t="str">
            <v>Khaidir</v>
          </cell>
          <cell r="E571" t="str">
            <v/>
          </cell>
          <cell r="G571">
            <v>25000000000568</v>
          </cell>
        </row>
        <row r="572">
          <cell r="C572">
            <v>25000000000569</v>
          </cell>
          <cell r="D572" t="str">
            <v>Latip Muhlanto</v>
          </cell>
          <cell r="E572" t="str">
            <v/>
          </cell>
          <cell r="G572">
            <v>25000000000569</v>
          </cell>
        </row>
        <row r="573">
          <cell r="C573">
            <v>25000000000570</v>
          </cell>
          <cell r="D573" t="str">
            <v>Leonardo Putra</v>
          </cell>
          <cell r="E573" t="str">
            <v/>
          </cell>
          <cell r="G573">
            <v>25000000000570</v>
          </cell>
        </row>
        <row r="574">
          <cell r="C574">
            <v>25000000000571</v>
          </cell>
          <cell r="D574" t="str">
            <v>Muhammad Ramadani</v>
          </cell>
          <cell r="E574" t="str">
            <v/>
          </cell>
          <cell r="G574">
            <v>25000000000571</v>
          </cell>
        </row>
        <row r="575">
          <cell r="C575">
            <v>25000000000572</v>
          </cell>
          <cell r="D575" t="str">
            <v>Musdalipa</v>
          </cell>
          <cell r="E575" t="str">
            <v/>
          </cell>
          <cell r="G575">
            <v>25000000000572</v>
          </cell>
        </row>
        <row r="576">
          <cell r="C576">
            <v>25000000000573</v>
          </cell>
          <cell r="D576" t="str">
            <v>Nico Melky</v>
          </cell>
          <cell r="E576" t="str">
            <v/>
          </cell>
          <cell r="G576">
            <v>25000000000573</v>
          </cell>
        </row>
        <row r="577">
          <cell r="C577">
            <v>25000000000574</v>
          </cell>
          <cell r="D577" t="str">
            <v>Rahmata Novanisa</v>
          </cell>
          <cell r="E577" t="str">
            <v>230924993</v>
          </cell>
          <cell r="G577">
            <v>25000000000574</v>
          </cell>
        </row>
        <row r="578">
          <cell r="C578">
            <v>25000000000575</v>
          </cell>
          <cell r="D578" t="str">
            <v>Satrio Dhiaputra</v>
          </cell>
          <cell r="E578" t="str">
            <v/>
          </cell>
          <cell r="G578">
            <v>25000000000575</v>
          </cell>
        </row>
        <row r="579">
          <cell r="C579">
            <v>25000000000576</v>
          </cell>
          <cell r="D579" t="str">
            <v>Sudirman</v>
          </cell>
          <cell r="E579" t="str">
            <v/>
          </cell>
          <cell r="G579">
            <v>25000000000576</v>
          </cell>
        </row>
        <row r="580">
          <cell r="C580">
            <v>25000000000577</v>
          </cell>
          <cell r="D580" t="str">
            <v>Suparji</v>
          </cell>
          <cell r="E580" t="str">
            <v/>
          </cell>
          <cell r="G580">
            <v>25000000000577</v>
          </cell>
        </row>
        <row r="581">
          <cell r="C581">
            <v>25000000000578</v>
          </cell>
          <cell r="D581" t="str">
            <v>Taufik Iskandar</v>
          </cell>
          <cell r="E581" t="str">
            <v/>
          </cell>
          <cell r="G581">
            <v>25000000000578</v>
          </cell>
        </row>
        <row r="582">
          <cell r="C582">
            <v>25000000000579</v>
          </cell>
          <cell r="D582" t="str">
            <v>Tegar Hersaputra</v>
          </cell>
          <cell r="E582" t="str">
            <v>280324989</v>
          </cell>
          <cell r="G582">
            <v>25000000000579</v>
          </cell>
        </row>
        <row r="583">
          <cell r="C583">
            <v>25000000000580</v>
          </cell>
          <cell r="D583" t="str">
            <v>Togar Sihombing</v>
          </cell>
          <cell r="E583" t="str">
            <v/>
          </cell>
          <cell r="G583">
            <v>25000000000580</v>
          </cell>
        </row>
        <row r="584">
          <cell r="C584">
            <v>25000000000581</v>
          </cell>
          <cell r="D584" t="str">
            <v>Wisnu Trenggono Wirayuda</v>
          </cell>
          <cell r="E584" t="str">
            <v>150724991</v>
          </cell>
          <cell r="G584">
            <v>25000000000581</v>
          </cell>
        </row>
        <row r="585">
          <cell r="C585">
            <v>25000000000582</v>
          </cell>
          <cell r="D585" t="str">
            <v>Yogo</v>
          </cell>
          <cell r="E585" t="str">
            <v/>
          </cell>
          <cell r="G585">
            <v>25000000000582</v>
          </cell>
        </row>
        <row r="586">
          <cell r="C586">
            <v>25000000000583</v>
          </cell>
          <cell r="D586" t="str">
            <v>Yustiana Firda</v>
          </cell>
          <cell r="E586" t="str">
            <v/>
          </cell>
          <cell r="G586">
            <v>25000000000583</v>
          </cell>
        </row>
        <row r="587">
          <cell r="C587">
            <v>25000000000584</v>
          </cell>
          <cell r="D587" t="str">
            <v>Zainal Abidin</v>
          </cell>
          <cell r="E587" t="str">
            <v/>
          </cell>
          <cell r="G587">
            <v>25000000000584</v>
          </cell>
        </row>
        <row r="588">
          <cell r="C588">
            <v>25000000000585</v>
          </cell>
          <cell r="D588" t="str">
            <v>Budi Sandika</v>
          </cell>
          <cell r="E588" t="str">
            <v/>
          </cell>
          <cell r="G588">
            <v>25000000000585</v>
          </cell>
        </row>
        <row r="589">
          <cell r="C589">
            <v>25000000000586</v>
          </cell>
          <cell r="D589" t="str">
            <v>Fachri Azhar</v>
          </cell>
          <cell r="E589" t="str">
            <v/>
          </cell>
          <cell r="G589">
            <v>25000000000586</v>
          </cell>
        </row>
        <row r="590">
          <cell r="C590">
            <v>25000000000587</v>
          </cell>
          <cell r="D590" t="str">
            <v>Firmansyah Awaludin</v>
          </cell>
          <cell r="E590" t="str">
            <v/>
          </cell>
          <cell r="G590">
            <v>25000000000587</v>
          </cell>
        </row>
        <row r="591">
          <cell r="C591">
            <v>25000000000588</v>
          </cell>
          <cell r="D591" t="str">
            <v>Iman Faisal Abdurahman</v>
          </cell>
          <cell r="E591" t="str">
            <v>030225999</v>
          </cell>
          <cell r="G591">
            <v>25000000000588</v>
          </cell>
        </row>
        <row r="592">
          <cell r="C592">
            <v>25000000000589</v>
          </cell>
          <cell r="D592" t="str">
            <v>Muhammad Irfan Alfikri Rayana</v>
          </cell>
          <cell r="E592" t="str">
            <v/>
          </cell>
          <cell r="G592">
            <v>25000000000589</v>
          </cell>
        </row>
        <row r="593">
          <cell r="C593">
            <v>25000000000590</v>
          </cell>
          <cell r="D593" t="str">
            <v>Syafri Johansah</v>
          </cell>
          <cell r="E593" t="str">
            <v/>
          </cell>
          <cell r="G593">
            <v>25000000000590</v>
          </cell>
        </row>
        <row r="594">
          <cell r="C594">
            <v>25000000000591</v>
          </cell>
          <cell r="D594" t="str">
            <v>Agus Sobar</v>
          </cell>
          <cell r="E594" t="str">
            <v/>
          </cell>
          <cell r="G594">
            <v>25000000000591</v>
          </cell>
        </row>
        <row r="595">
          <cell r="C595">
            <v>25000000000592</v>
          </cell>
          <cell r="D595" t="str">
            <v>Ahmad Sandi Asyuri</v>
          </cell>
          <cell r="E595" t="str">
            <v>181124994</v>
          </cell>
          <cell r="G595">
            <v>25000000000592</v>
          </cell>
        </row>
        <row r="596">
          <cell r="C596">
            <v>25000000000593</v>
          </cell>
          <cell r="D596" t="str">
            <v>Andi Mapasoro</v>
          </cell>
          <cell r="E596" t="str">
            <v>0403251002</v>
          </cell>
          <cell r="G596">
            <v>25000000000593</v>
          </cell>
        </row>
        <row r="597">
          <cell r="C597">
            <v>25000000000594</v>
          </cell>
          <cell r="D597" t="str">
            <v>Arie Gustaman</v>
          </cell>
          <cell r="E597" t="str">
            <v/>
          </cell>
          <cell r="G597">
            <v>25000000000594</v>
          </cell>
        </row>
        <row r="598">
          <cell r="C598">
            <v>25000000000595</v>
          </cell>
          <cell r="D598" t="str">
            <v>Arief Yulianto</v>
          </cell>
          <cell r="E598" t="str">
            <v>120124984</v>
          </cell>
          <cell r="G598">
            <v>25000000000595</v>
          </cell>
        </row>
        <row r="599">
          <cell r="C599">
            <v>25000000000596</v>
          </cell>
          <cell r="D599" t="str">
            <v>Burhan</v>
          </cell>
          <cell r="E599" t="str">
            <v>010413650</v>
          </cell>
          <cell r="G599">
            <v>25000000000596</v>
          </cell>
        </row>
        <row r="600">
          <cell r="C600">
            <v>25000000000597</v>
          </cell>
          <cell r="D600" t="str">
            <v>Deby Syahputa</v>
          </cell>
          <cell r="E600" t="str">
            <v/>
          </cell>
          <cell r="G600">
            <v>25000000000597</v>
          </cell>
        </row>
        <row r="601">
          <cell r="C601">
            <v>25000000000598</v>
          </cell>
          <cell r="D601" t="str">
            <v>Ibrahim Arya Yuda</v>
          </cell>
          <cell r="E601" t="str">
            <v/>
          </cell>
          <cell r="G601">
            <v>25000000000598</v>
          </cell>
        </row>
        <row r="602">
          <cell r="C602">
            <v>25000000000599</v>
          </cell>
          <cell r="D602" t="str">
            <v>Jamil</v>
          </cell>
          <cell r="E602" t="str">
            <v/>
          </cell>
          <cell r="G602">
            <v>25000000000599</v>
          </cell>
        </row>
        <row r="603">
          <cell r="C603">
            <v>25000000000600</v>
          </cell>
          <cell r="D603" t="str">
            <v>Kiki Prasetyo</v>
          </cell>
          <cell r="E603" t="str">
            <v/>
          </cell>
          <cell r="G603">
            <v>25000000000600</v>
          </cell>
        </row>
        <row r="604">
          <cell r="C604">
            <v>25000000000601</v>
          </cell>
          <cell r="D604" t="str">
            <v>Mochamad Ulul Azmi Wira Utama</v>
          </cell>
          <cell r="E604" t="str">
            <v>1206251007</v>
          </cell>
          <cell r="G604">
            <v>25000000000601</v>
          </cell>
        </row>
        <row r="605">
          <cell r="C605">
            <v>25000000000602</v>
          </cell>
          <cell r="D605" t="str">
            <v>Muhammad Bilal Sharony</v>
          </cell>
          <cell r="E605" t="str">
            <v/>
          </cell>
          <cell r="G605">
            <v>25000000000602</v>
          </cell>
        </row>
        <row r="606">
          <cell r="C606">
            <v>25000000000603</v>
          </cell>
          <cell r="D606" t="str">
            <v>Muhammad Hairul</v>
          </cell>
          <cell r="E606" t="str">
            <v/>
          </cell>
          <cell r="G606">
            <v>25000000000603</v>
          </cell>
        </row>
        <row r="607">
          <cell r="C607">
            <v>25000000000604</v>
          </cell>
          <cell r="D607" t="str">
            <v>Muhammad Rizal</v>
          </cell>
          <cell r="E607" t="str">
            <v>230125998</v>
          </cell>
          <cell r="G607">
            <v>25000000000604</v>
          </cell>
        </row>
        <row r="608">
          <cell r="C608">
            <v>25000000000605</v>
          </cell>
          <cell r="D608" t="str">
            <v>Rahmad Dwifar</v>
          </cell>
          <cell r="E608" t="str">
            <v>2011251012</v>
          </cell>
          <cell r="G608">
            <v>25000000000605</v>
          </cell>
        </row>
        <row r="609">
          <cell r="C609">
            <v>25000000000606</v>
          </cell>
          <cell r="D609" t="str">
            <v>Reza Sanjaya</v>
          </cell>
          <cell r="E609" t="str">
            <v/>
          </cell>
          <cell r="G609">
            <v>25000000000606</v>
          </cell>
        </row>
        <row r="610">
          <cell r="C610">
            <v>25000000000607</v>
          </cell>
          <cell r="D610" t="str">
            <v>Ridwan Nur Muttaqin</v>
          </cell>
          <cell r="E610" t="str">
            <v>0603251003</v>
          </cell>
          <cell r="G610">
            <v>25000000000607</v>
          </cell>
        </row>
        <row r="611">
          <cell r="C611">
            <v>25000000000608</v>
          </cell>
          <cell r="D611" t="str">
            <v xml:space="preserve">Risaldi </v>
          </cell>
          <cell r="E611" t="str">
            <v/>
          </cell>
          <cell r="G611">
            <v>25000000000608</v>
          </cell>
        </row>
        <row r="612">
          <cell r="C612">
            <v>25000000000609</v>
          </cell>
          <cell r="D612" t="str">
            <v>Risty Alawiyah</v>
          </cell>
          <cell r="E612" t="str">
            <v>2703251004</v>
          </cell>
          <cell r="G612">
            <v>25000000000609</v>
          </cell>
        </row>
        <row r="613">
          <cell r="C613">
            <v>25000000000610</v>
          </cell>
          <cell r="D613" t="str">
            <v>Rustono</v>
          </cell>
          <cell r="E613" t="str">
            <v>010413649</v>
          </cell>
          <cell r="G613">
            <v>25000000000610</v>
          </cell>
        </row>
        <row r="614">
          <cell r="C614">
            <v>25000000000611</v>
          </cell>
          <cell r="D614" t="str">
            <v>Solihin</v>
          </cell>
          <cell r="E614" t="str">
            <v>020916798</v>
          </cell>
          <cell r="G614">
            <v>25000000000611</v>
          </cell>
        </row>
        <row r="615">
          <cell r="C615">
            <v>25000000000612</v>
          </cell>
          <cell r="D615" t="str">
            <v>Supriatna</v>
          </cell>
          <cell r="E615" t="str">
            <v>010413653</v>
          </cell>
          <cell r="G615">
            <v>25000000000612</v>
          </cell>
        </row>
        <row r="616">
          <cell r="C616">
            <v>25000000000613</v>
          </cell>
          <cell r="D616" t="str">
            <v>Taufik Aminudin</v>
          </cell>
          <cell r="E616" t="str">
            <v/>
          </cell>
          <cell r="G616">
            <v>25000000000613</v>
          </cell>
        </row>
        <row r="617">
          <cell r="C617">
            <v>25000000000614</v>
          </cell>
          <cell r="D617" t="str">
            <v>Timotius Tabun</v>
          </cell>
          <cell r="E617" t="str">
            <v>300913696</v>
          </cell>
          <cell r="G617">
            <v>25000000000614</v>
          </cell>
        </row>
        <row r="618">
          <cell r="C618">
            <v>25000000000615</v>
          </cell>
          <cell r="D618" t="str">
            <v>Adi</v>
          </cell>
          <cell r="E618" t="str">
            <v>0209251009</v>
          </cell>
        </row>
        <row r="619">
          <cell r="C619">
            <v>25000000000616</v>
          </cell>
          <cell r="D619" t="str">
            <v>Andrean Fahrizi</v>
          </cell>
          <cell r="E619" t="str">
            <v/>
          </cell>
        </row>
        <row r="620">
          <cell r="C620">
            <v>25000000000617</v>
          </cell>
          <cell r="D620" t="str">
            <v>Amar Abdilah</v>
          </cell>
          <cell r="E620" t="str">
            <v/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215"/>
  <sheetViews>
    <sheetView tabSelected="1" workbookViewId="0">
      <pane xSplit="2" ySplit="3" topLeftCell="F120" activePane="bottomRight" state="frozen"/>
      <selection pane="topRight" activeCell="C1" sqref="C1"/>
      <selection pane="bottomLeft" activeCell="A4" sqref="A4"/>
      <selection pane="bottomRight" activeCell="B133" sqref="B133"/>
    </sheetView>
  </sheetViews>
  <sheetFormatPr defaultRowHeight="12.75" x14ac:dyDescent="0.2"/>
  <cols>
    <col min="1" max="1" width="2.85546875" style="8" customWidth="1"/>
    <col min="2" max="2" width="14.5703125" style="22" customWidth="1"/>
    <col min="3" max="3" width="10.42578125" style="3" bestFit="1" customWidth="1"/>
    <col min="4" max="4" width="23.5703125" style="1" bestFit="1" customWidth="1"/>
    <col min="5" max="5" width="23" style="1" customWidth="1"/>
    <col min="6" max="6" width="14" style="49" customWidth="1"/>
    <col min="7" max="7" width="16.28515625" style="20" bestFit="1" customWidth="1"/>
    <col min="8" max="8" width="23" style="1" customWidth="1"/>
    <col min="9" max="9" width="13.140625" style="20" customWidth="1"/>
    <col min="10" max="10" width="20.42578125" style="4" bestFit="1" customWidth="1"/>
    <col min="11" max="11" width="50.85546875" style="1" bestFit="1" customWidth="1"/>
    <col min="12" max="12" width="2.85546875" style="1" customWidth="1"/>
    <col min="13" max="13" width="14" style="30" bestFit="1" customWidth="1"/>
    <col min="14" max="14" width="9.140625" style="6"/>
    <col min="15" max="16384" width="9.140625" style="1"/>
  </cols>
  <sheetData>
    <row r="1" spans="2:14" ht="13.5" thickBot="1" x14ac:dyDescent="0.25">
      <c r="D1" s="8"/>
    </row>
    <row r="2" spans="2:14" ht="26.25" thickBot="1" x14ac:dyDescent="0.25">
      <c r="B2" s="44" t="s">
        <v>367</v>
      </c>
      <c r="C2" s="45" t="s">
        <v>84</v>
      </c>
      <c r="D2" s="45" t="s">
        <v>446</v>
      </c>
      <c r="E2" s="45" t="s">
        <v>444</v>
      </c>
      <c r="F2" s="45" t="s">
        <v>445</v>
      </c>
      <c r="G2" s="45" t="s">
        <v>85</v>
      </c>
      <c r="H2" s="45" t="s">
        <v>86</v>
      </c>
      <c r="I2" s="45" t="s">
        <v>364</v>
      </c>
      <c r="J2" s="46" t="s">
        <v>368</v>
      </c>
      <c r="K2" s="13" t="s">
        <v>369</v>
      </c>
      <c r="M2" s="27" t="s">
        <v>447</v>
      </c>
      <c r="N2" s="28" t="s">
        <v>448</v>
      </c>
    </row>
    <row r="3" spans="2:14" ht="13.5" thickBot="1" x14ac:dyDescent="0.25">
      <c r="B3" s="23"/>
      <c r="C3" s="12"/>
      <c r="D3" s="12"/>
      <c r="E3" s="12"/>
      <c r="F3" s="21"/>
      <c r="G3" s="21"/>
      <c r="H3" s="12"/>
      <c r="I3" s="21"/>
      <c r="J3" s="14"/>
      <c r="K3" s="11"/>
      <c r="M3" s="31">
        <v>167000000000000</v>
      </c>
      <c r="N3" s="29"/>
    </row>
    <row r="4" spans="2:14" x14ac:dyDescent="0.2">
      <c r="B4" s="24">
        <v>124000000000001</v>
      </c>
      <c r="C4" s="18"/>
      <c r="D4" s="15" t="str">
        <f>IF(EXACT($B4, ""), "", IF((FLOOR($B4/1000000000000, 1) = 124), VLOOKUP($B4, '[1]DataLookUp - InstitutionBranch'!$B$4:$C$2000, 2, FALSE), IF((FLOOR($B4/1000000000000, 1) = 25), VLOOKUP($B4, [2]DataLookUp!$B$4:$D$2000, 2, FALSE), "xx")))</f>
        <v>PT. QDC Technologies</v>
      </c>
      <c r="E4" s="39" t="s">
        <v>197</v>
      </c>
      <c r="F4" s="62">
        <f ca="1">VLOOKUP($E4, OFFSET([3]MAIN!$B$2, 0, 0, 100, 6), 5, FALSE)</f>
        <v>166000000000005</v>
      </c>
      <c r="G4" s="40" t="s">
        <v>147</v>
      </c>
      <c r="H4" s="39" t="s">
        <v>209</v>
      </c>
      <c r="I4" s="40" t="s">
        <v>366</v>
      </c>
      <c r="J4" s="66"/>
      <c r="K4" s="39"/>
      <c r="M4" s="32">
        <f ca="1" xml:space="preserve"> M3 + IF(EXACT(N4, ""), 0, 1)</f>
        <v>167000000000001</v>
      </c>
      <c r="N4" s="6" t="str">
        <f t="shared" ref="N4:N67" ca="1" si="0">IF(OR(EXACT(B4, ""), EXACT(G4, "")), "", CONCATENATE("PERFORM ""SchData-OLTP-Master"".""Func_TblBankAccount_SET""(varSystemLoginSession, null, null, null, null, null, varInstitutionBranchID, varBaseCurrencyID, ", F4, ", '", G4, "', '", H4, "', ", I4, ", ", B4, ");"))</f>
        <v>PERFORM "SchData-OLTP-Master"."Func_TblBankAccount_SET"(varSystemLoginSession, null, null, null, null, null, varInstitutionBranchID, varBaseCurrencyID, 166000000000005, '0063032911', 'PT QDC Technologies', 62000000000001, 124000000000001);</v>
      </c>
    </row>
    <row r="5" spans="2:14" x14ac:dyDescent="0.2">
      <c r="B5" s="25">
        <v>124000000000001</v>
      </c>
      <c r="C5" s="19"/>
      <c r="D5" s="17" t="str">
        <f>IF(EXACT($B5, ""), "", IF((FLOOR($B5/1000000000000, 1) = 124), VLOOKUP($B5, '[1]DataLookUp - InstitutionBranch'!$B$4:$C$2000, 2, FALSE), IF((FLOOR($B5/1000000000000, 1) = 25), VLOOKUP($B5, [2]DataLookUp!$B$4:$D$2000, 2, FALSE), "xx")))</f>
        <v>PT. QDC Technologies</v>
      </c>
      <c r="E5" s="39" t="s">
        <v>197</v>
      </c>
      <c r="F5" s="51">
        <f ca="1">VLOOKUP($E5, OFFSET([3]MAIN!$B$2, 0, 0, 100, 6), 5, FALSE)</f>
        <v>166000000000005</v>
      </c>
      <c r="G5" s="40" t="s">
        <v>335</v>
      </c>
      <c r="H5" s="39" t="s">
        <v>209</v>
      </c>
      <c r="I5" s="40" t="s">
        <v>366</v>
      </c>
      <c r="J5" s="66"/>
      <c r="K5" s="39"/>
      <c r="M5" s="32">
        <f t="shared" ref="M5:M68" ca="1" si="1" xml:space="preserve"> M4 + IF(EXACT(N5, ""), 0, 1)</f>
        <v>167000000000002</v>
      </c>
      <c r="N5" s="6" t="str">
        <f t="shared" ca="1" si="0"/>
        <v>PERFORM "SchData-OLTP-Master"."Func_TblBankAccount_SET"(varSystemLoginSession, null, null, null, null, null, varInstitutionBranchID, varBaseCurrencyID, 166000000000005, '0065557750', 'PT QDC Technologies', 62000000000001, 124000000000001);</v>
      </c>
    </row>
    <row r="6" spans="2:14" x14ac:dyDescent="0.2">
      <c r="B6" s="25">
        <v>124000000000001</v>
      </c>
      <c r="C6" s="19"/>
      <c r="D6" s="17" t="str">
        <f>IF(EXACT($B6, ""), "", IF((FLOOR($B6/1000000000000, 1) = 124), VLOOKUP($B6, '[1]DataLookUp - InstitutionBranch'!$B$4:$C$2000, 2, FALSE), IF((FLOOR($B6/1000000000000, 1) = 25), VLOOKUP($B6, [2]DataLookUp!$B$4:$D$2000, 2, FALSE), "xx")))</f>
        <v>PT. QDC Technologies</v>
      </c>
      <c r="E6" s="39" t="s">
        <v>197</v>
      </c>
      <c r="F6" s="51">
        <f ca="1">VLOOKUP($E6, OFFSET([3]MAIN!$B$2, 0, 0, 100, 6), 5, FALSE)</f>
        <v>166000000000005</v>
      </c>
      <c r="G6" s="40" t="s">
        <v>362</v>
      </c>
      <c r="H6" s="39" t="s">
        <v>209</v>
      </c>
      <c r="I6" s="40" t="s">
        <v>366</v>
      </c>
      <c r="J6" s="66"/>
      <c r="K6" s="39"/>
      <c r="M6" s="32">
        <f t="shared" ref="M6:M60" ca="1" si="2" xml:space="preserve"> M5 + IF(EXACT(N6, ""), 0, 1)</f>
        <v>167000000000003</v>
      </c>
      <c r="N6" s="6" t="str">
        <f t="shared" ca="1" si="0"/>
        <v>PERFORM "SchData-OLTP-Master"."Func_TblBankAccount_SET"(varSystemLoginSession, null, null, null, null, null, varInstitutionBranchID, varBaseCurrencyID, 166000000000005, '0068502911', 'PT QDC Technologies', 62000000000001, 124000000000001);</v>
      </c>
    </row>
    <row r="7" spans="2:14" x14ac:dyDescent="0.2">
      <c r="B7" s="25">
        <v>124000000000001</v>
      </c>
      <c r="C7" s="19"/>
      <c r="D7" s="17" t="str">
        <f>IF(EXACT($B7, ""), "", IF((FLOOR($B7/1000000000000, 1) = 124), VLOOKUP($B7, '[1]DataLookUp - InstitutionBranch'!$B$4:$C$2000, 2, FALSE), IF((FLOOR($B7/1000000000000, 1) = 25), VLOOKUP($B7, [2]DataLookUp!$B$4:$D$2000, 2, FALSE), "xx")))</f>
        <v>PT. QDC Technologies</v>
      </c>
      <c r="E7" s="39" t="s">
        <v>197</v>
      </c>
      <c r="F7" s="51">
        <f ca="1">VLOOKUP($E7, OFFSET([3]MAIN!$B$2, 0, 0, 100, 6), 5, FALSE)</f>
        <v>166000000000005</v>
      </c>
      <c r="G7" s="40" t="s">
        <v>212</v>
      </c>
      <c r="H7" s="39" t="s">
        <v>209</v>
      </c>
      <c r="I7" s="40" t="s">
        <v>366</v>
      </c>
      <c r="J7" s="66"/>
      <c r="K7" s="39"/>
      <c r="M7" s="32">
        <f t="shared" ca="1" si="2"/>
        <v>167000000000004</v>
      </c>
      <c r="N7" s="6" t="str">
        <f t="shared" ca="1" si="0"/>
        <v>PERFORM "SchData-OLTP-Master"."Func_TblBankAccount_SET"(varSystemLoginSession, null, null, null, null, null, varInstitutionBranchID, varBaseCurrencyID, 166000000000005, '2173050101', 'PT QDC Technologies', 62000000000001, 124000000000001);</v>
      </c>
    </row>
    <row r="8" spans="2:14" x14ac:dyDescent="0.2">
      <c r="B8" s="25">
        <v>124000000000001</v>
      </c>
      <c r="C8" s="19"/>
      <c r="D8" s="17" t="str">
        <f>IF(EXACT($B8, ""), "", IF((FLOOR($B8/1000000000000, 1) = 124), VLOOKUP($B8, '[1]DataLookUp - InstitutionBranch'!$B$4:$C$2000, 2, FALSE), IF((FLOOR($B8/1000000000000, 1) = 25), VLOOKUP($B8, [2]DataLookUp!$B$4:$D$2000, 2, FALSE), "xx")))</f>
        <v>PT. QDC Technologies</v>
      </c>
      <c r="E8" s="39" t="s">
        <v>197</v>
      </c>
      <c r="F8" s="51">
        <f ca="1">VLOOKUP($E8, OFFSET([3]MAIN!$B$2, 0, 0, 100, 6), 5, FALSE)</f>
        <v>166000000000005</v>
      </c>
      <c r="G8" s="40" t="s">
        <v>214</v>
      </c>
      <c r="H8" s="39" t="s">
        <v>209</v>
      </c>
      <c r="I8" s="40" t="s">
        <v>366</v>
      </c>
      <c r="J8" s="66"/>
      <c r="K8" s="39"/>
      <c r="M8" s="32">
        <f t="shared" ca="1" si="2"/>
        <v>167000000000005</v>
      </c>
      <c r="N8" s="6" t="str">
        <f t="shared" ca="1" si="0"/>
        <v>PERFORM "SchData-OLTP-Master"."Func_TblBankAccount_SET"(varSystemLoginSession, null, null, null, null, null, varInstitutionBranchID, varBaseCurrencyID, 166000000000005, '2173108214', 'PT QDC Technologies', 62000000000001, 124000000000001);</v>
      </c>
    </row>
    <row r="9" spans="2:14" x14ac:dyDescent="0.2">
      <c r="B9" s="25">
        <v>124000000000001</v>
      </c>
      <c r="C9" s="19"/>
      <c r="D9" s="17" t="str">
        <f>IF(EXACT($B9, ""), "", IF((FLOOR($B9/1000000000000, 1) = 124), VLOOKUP($B9, '[1]DataLookUp - InstitutionBranch'!$B$4:$C$2000, 2, FALSE), IF((FLOOR($B9/1000000000000, 1) = 25), VLOOKUP($B9, [2]DataLookUp!$B$4:$D$2000, 2, FALSE), "xx")))</f>
        <v>PT. QDC Technologies</v>
      </c>
      <c r="E9" s="39" t="s">
        <v>357</v>
      </c>
      <c r="F9" s="51">
        <f ca="1">VLOOKUP($E9, OFFSET([3]MAIN!$B$2, 0, 0, 100, 6), 5, FALSE)</f>
        <v>166000000000017</v>
      </c>
      <c r="G9" s="40" t="s">
        <v>303</v>
      </c>
      <c r="H9" s="39" t="s">
        <v>209</v>
      </c>
      <c r="I9" s="40" t="s">
        <v>366</v>
      </c>
      <c r="J9" s="39"/>
      <c r="K9" s="39"/>
      <c r="M9" s="32">
        <f t="shared" ca="1" si="2"/>
        <v>167000000000006</v>
      </c>
      <c r="N9" s="6" t="str">
        <f t="shared" ca="1" si="0"/>
        <v>PERFORM "SchData-OLTP-Master"."Func_TblBankAccount_SET"(varSystemLoginSession, null, null, null, null, null, varInstitutionBranchID, varBaseCurrencyID, 166000000000017, '762375277200', 'PT QDC Technologies', 62000000000001, 124000000000001);</v>
      </c>
    </row>
    <row r="10" spans="2:14" x14ac:dyDescent="0.2">
      <c r="B10" s="25">
        <v>124000000000001</v>
      </c>
      <c r="C10" s="19"/>
      <c r="D10" s="17" t="str">
        <f>IF(EXACT($B10, ""), "", IF((FLOOR($B10/1000000000000, 1) = 124), VLOOKUP($B10, '[1]DataLookUp - InstitutionBranch'!$B$4:$C$2000, 2, FALSE), IF((FLOOR($B10/1000000000000, 1) = 25), VLOOKUP($B10, [2]DataLookUp!$B$4:$D$2000, 2, FALSE), "xx")))</f>
        <v>PT. QDC Technologies</v>
      </c>
      <c r="E10" s="39" t="s">
        <v>357</v>
      </c>
      <c r="F10" s="51">
        <f ca="1">VLOOKUP($E10, OFFSET([3]MAIN!$B$2, 0, 0, 100, 6), 5, FALSE)</f>
        <v>166000000000017</v>
      </c>
      <c r="G10" s="40" t="s">
        <v>248</v>
      </c>
      <c r="H10" s="39" t="s">
        <v>209</v>
      </c>
      <c r="I10" s="40" t="s">
        <v>366</v>
      </c>
      <c r="J10" s="39"/>
      <c r="K10" s="39"/>
      <c r="M10" s="32">
        <f t="shared" ca="1" si="2"/>
        <v>167000000000007</v>
      </c>
      <c r="N10" s="6" t="str">
        <f t="shared" ca="1" si="0"/>
        <v>PERFORM "SchData-OLTP-Master"."Func_TblBankAccount_SET"(varSystemLoginSession, null, null, null, null, null, varInstitutionBranchID, varBaseCurrencyID, 166000000000017, '800039839400', 'PT QDC Technologies', 62000000000001, 124000000000001);</v>
      </c>
    </row>
    <row r="11" spans="2:14" x14ac:dyDescent="0.2">
      <c r="B11" s="25">
        <v>124000000000001</v>
      </c>
      <c r="C11" s="19"/>
      <c r="D11" s="17" t="str">
        <f>IF(EXACT($B11, ""), "", IF((FLOOR($B11/1000000000000, 1) = 124), VLOOKUP($B11, '[1]DataLookUp - InstitutionBranch'!$B$4:$C$2000, 2, FALSE), IF((FLOOR($B11/1000000000000, 1) = 25), VLOOKUP($B11, [2]DataLookUp!$B$4:$D$2000, 2, FALSE), "xx")))</f>
        <v>PT. QDC Technologies</v>
      </c>
      <c r="E11" s="39" t="s">
        <v>357</v>
      </c>
      <c r="F11" s="51">
        <f ca="1">VLOOKUP($E11, OFFSET([3]MAIN!$B$2, 0, 0, 100, 6), 5, FALSE)</f>
        <v>166000000000017</v>
      </c>
      <c r="G11" s="40" t="s">
        <v>266</v>
      </c>
      <c r="H11" s="39" t="s">
        <v>209</v>
      </c>
      <c r="I11" s="40" t="s">
        <v>366</v>
      </c>
      <c r="J11" s="66"/>
      <c r="K11" s="39"/>
      <c r="M11" s="32">
        <f t="shared" ca="1" si="2"/>
        <v>167000000000008</v>
      </c>
      <c r="N11" s="6" t="str">
        <f t="shared" ca="1" si="0"/>
        <v>PERFORM "SchData-OLTP-Master"."Func_TblBankAccount_SET"(varSystemLoginSession, null, null, null, null, null, varInstitutionBranchID, varBaseCurrencyID, 166000000000017, '800039840100', 'PT QDC Technologies', 62000000000001, 124000000000001);</v>
      </c>
    </row>
    <row r="12" spans="2:14" x14ac:dyDescent="0.2">
      <c r="B12" s="25">
        <v>124000000000001</v>
      </c>
      <c r="C12" s="19"/>
      <c r="D12" s="17" t="str">
        <f>IF(EXACT($B12, ""), "", IF((FLOOR($B12/1000000000000, 1) = 124), VLOOKUP($B12, '[1]DataLookUp - InstitutionBranch'!$B$4:$C$2000, 2, FALSE), IF((FLOOR($B12/1000000000000, 1) = 25), VLOOKUP($B12, [2]DataLookUp!$B$4:$D$2000, 2, FALSE), "xx")))</f>
        <v>PT. QDC Technologies</v>
      </c>
      <c r="E12" s="39" t="s">
        <v>357</v>
      </c>
      <c r="F12" s="51">
        <f ca="1">VLOOKUP($E12, OFFSET([3]MAIN!$B$2, 0, 0, 100, 6), 5, FALSE)</f>
        <v>166000000000017</v>
      </c>
      <c r="G12" s="40" t="s">
        <v>323</v>
      </c>
      <c r="H12" s="39" t="s">
        <v>209</v>
      </c>
      <c r="I12" s="40" t="s">
        <v>366</v>
      </c>
      <c r="J12" s="66"/>
      <c r="K12" s="39"/>
      <c r="M12" s="32">
        <f t="shared" ca="1" si="2"/>
        <v>167000000000009</v>
      </c>
      <c r="N12" s="6" t="str">
        <f t="shared" ca="1" si="0"/>
        <v>PERFORM "SchData-OLTP-Master"."Func_TblBankAccount_SET"(varSystemLoginSession, null, null, null, null, null, varInstitutionBranchID, varBaseCurrencyID, 166000000000017, '860012900500', 'PT QDC Technologies', 62000000000001, 124000000000001);</v>
      </c>
    </row>
    <row r="13" spans="2:14" x14ac:dyDescent="0.2">
      <c r="B13" s="25">
        <v>124000000000001</v>
      </c>
      <c r="C13" s="19"/>
      <c r="D13" s="17" t="str">
        <f>IF(EXACT($B13, ""), "", IF((FLOOR($B13/1000000000000, 1) = 124), VLOOKUP($B13, '[1]DataLookUp - InstitutionBranch'!$B$4:$C$2000, 2, FALSE), IF((FLOOR($B13/1000000000000, 1) = 25), VLOOKUP($B13, [2]DataLookUp!$B$4:$D$2000, 2, FALSE), "xx")))</f>
        <v>PT. QDC Technologies</v>
      </c>
      <c r="E13" s="39" t="s">
        <v>353</v>
      </c>
      <c r="F13" s="51">
        <f ca="1">VLOOKUP($E13, OFFSET([3]MAIN!$B$2, 0, 0, 100, 6), 5, FALSE)</f>
        <v>166000000000015</v>
      </c>
      <c r="G13" s="40" t="s">
        <v>245</v>
      </c>
      <c r="H13" s="39" t="s">
        <v>209</v>
      </c>
      <c r="I13" s="40" t="s">
        <v>366</v>
      </c>
      <c r="J13" s="66"/>
      <c r="K13" s="39"/>
      <c r="M13" s="32">
        <f t="shared" ca="1" si="2"/>
        <v>167000000000010</v>
      </c>
      <c r="N13" s="6" t="str">
        <f t="shared" ca="1" si="0"/>
        <v>PERFORM "SchData-OLTP-Master"."Func_TblBankAccount_SET"(varSystemLoginSession, null, null, null, null, null, varInstitutionBranchID, varBaseCurrencyID, 166000000000015, '1051189606', 'PT QDC Technologies', 62000000000001, 124000000000001);</v>
      </c>
    </row>
    <row r="14" spans="2:14" x14ac:dyDescent="0.2">
      <c r="B14" s="25">
        <v>124000000000001</v>
      </c>
      <c r="C14" s="19"/>
      <c r="D14" s="17" t="str">
        <f>IF(EXACT($B14, ""), "", IF((FLOOR($B14/1000000000000, 1) = 124), VLOOKUP($B14, '[1]DataLookUp - InstitutionBranch'!$B$4:$C$2000, 2, FALSE), IF((FLOOR($B14/1000000000000, 1) = 25), VLOOKUP($B14, [2]DataLookUp!$B$4:$D$2000, 2, FALSE), "xx")))</f>
        <v>PT. QDC Technologies</v>
      </c>
      <c r="E14" s="39" t="s">
        <v>353</v>
      </c>
      <c r="F14" s="51">
        <f ca="1">VLOOKUP($E14, OFFSET([3]MAIN!$B$2, 0, 0, 100, 6), 5, FALSE)</f>
        <v>166000000000015</v>
      </c>
      <c r="G14" s="40" t="s">
        <v>294</v>
      </c>
      <c r="H14" s="39" t="s">
        <v>209</v>
      </c>
      <c r="I14" s="40" t="s">
        <v>365</v>
      </c>
      <c r="J14" s="66"/>
      <c r="K14" s="39"/>
      <c r="M14" s="32">
        <f t="shared" ca="1" si="2"/>
        <v>167000000000011</v>
      </c>
      <c r="N14" s="6" t="str">
        <f t="shared" ca="1" si="0"/>
        <v>PERFORM "SchData-OLTP-Master"."Func_TblBankAccount_SET"(varSystemLoginSession, null, null, null, null, null, varInstitutionBranchID, varBaseCurrencyID, 166000000000015, '1051189707', 'PT QDC Technologies', 62000000000002, 124000000000001);</v>
      </c>
    </row>
    <row r="15" spans="2:14" x14ac:dyDescent="0.2">
      <c r="B15" s="25">
        <v>124000000000001</v>
      </c>
      <c r="C15" s="19"/>
      <c r="D15" s="17" t="str">
        <f>IF(EXACT($B15, ""), "", IF((FLOOR($B15/1000000000000, 1) = 124), VLOOKUP($B15, '[1]DataLookUp - InstitutionBranch'!$B$4:$C$2000, 2, FALSE), IF((FLOOR($B15/1000000000000, 1) = 25), VLOOKUP($B15, [2]DataLookUp!$B$4:$D$2000, 2, FALSE), "xx")))</f>
        <v>PT. QDC Technologies</v>
      </c>
      <c r="E15" s="39" t="s">
        <v>351</v>
      </c>
      <c r="F15" s="51">
        <f ca="1">VLOOKUP($E15, OFFSET([3]MAIN!$B$2, 0, 0, 100, 6), 5, FALSE)</f>
        <v>166000000000009</v>
      </c>
      <c r="G15" s="40" t="s">
        <v>273</v>
      </c>
      <c r="H15" s="39" t="s">
        <v>209</v>
      </c>
      <c r="I15" s="40" t="s">
        <v>366</v>
      </c>
      <c r="J15" s="66"/>
      <c r="K15" s="39"/>
      <c r="M15" s="32">
        <f t="shared" ca="1" si="2"/>
        <v>167000000000012</v>
      </c>
      <c r="N15" s="6" t="str">
        <f t="shared" ca="1" si="0"/>
        <v>PERFORM "SchData-OLTP-Master"."Func_TblBankAccount_SET"(varSystemLoginSession, null, null, null, null, null, varInstitutionBranchID, varBaseCurrencyID, 166000000000009, '1001327468', 'PT QDC Technologies', 62000000000001, 124000000000001);</v>
      </c>
    </row>
    <row r="16" spans="2:14" x14ac:dyDescent="0.2">
      <c r="B16" s="25">
        <v>124000000000001</v>
      </c>
      <c r="C16" s="19"/>
      <c r="D16" s="17" t="str">
        <f>IF(EXACT($B16, ""), "", IF((FLOOR($B16/1000000000000, 1) = 124), VLOOKUP($B16, '[1]DataLookUp - InstitutionBranch'!$B$4:$C$2000, 2, FALSE), IF((FLOOR($B16/1000000000000, 1) = 25), VLOOKUP($B16, [2]DataLookUp!$B$4:$D$2000, 2, FALSE), "xx")))</f>
        <v>PT. QDC Technologies</v>
      </c>
      <c r="E16" s="39" t="s">
        <v>351</v>
      </c>
      <c r="F16" s="51">
        <f ca="1">VLOOKUP($E16, OFFSET([3]MAIN!$B$2, 0, 0, 100, 6), 5, FALSE)</f>
        <v>166000000000009</v>
      </c>
      <c r="G16" s="40" t="s">
        <v>288</v>
      </c>
      <c r="H16" s="39" t="s">
        <v>209</v>
      </c>
      <c r="I16" s="40" t="s">
        <v>366</v>
      </c>
      <c r="J16" s="66"/>
      <c r="K16" s="39"/>
      <c r="M16" s="32">
        <f t="shared" ca="1" si="2"/>
        <v>167000000000013</v>
      </c>
      <c r="N16" s="6" t="str">
        <f t="shared" ca="1" si="0"/>
        <v>PERFORM "SchData-OLTP-Master"."Func_TblBankAccount_SET"(varSystemLoginSession, null, null, null, null, null, varInstitutionBranchID, varBaseCurrencyID, 166000000000009, '1001374466', 'PT QDC Technologies', 62000000000001, 124000000000001);</v>
      </c>
    </row>
    <row r="17" spans="2:14" x14ac:dyDescent="0.2">
      <c r="B17" s="25">
        <v>124000000000001</v>
      </c>
      <c r="C17" s="19"/>
      <c r="D17" s="17" t="str">
        <f>IF(EXACT($B17, ""), "", IF((FLOOR($B17/1000000000000, 1) = 124), VLOOKUP($B17, '[1]DataLookUp - InstitutionBranch'!$B$4:$C$2000, 2, FALSE), IF((FLOOR($B17/1000000000000, 1) = 25), VLOOKUP($B17, [2]DataLookUp!$B$4:$D$2000, 2, FALSE), "xx")))</f>
        <v>PT. QDC Technologies</v>
      </c>
      <c r="E17" s="39" t="s">
        <v>351</v>
      </c>
      <c r="F17" s="51">
        <f ca="1">VLOOKUP($E17, OFFSET([3]MAIN!$B$2, 0, 0, 100, 6), 5, FALSE)</f>
        <v>166000000000009</v>
      </c>
      <c r="G17" s="40" t="s">
        <v>267</v>
      </c>
      <c r="H17" s="39" t="s">
        <v>209</v>
      </c>
      <c r="I17" s="40" t="s">
        <v>366</v>
      </c>
      <c r="J17" s="66"/>
      <c r="K17" s="39"/>
      <c r="M17" s="32">
        <f t="shared" ca="1" si="2"/>
        <v>167000000000014</v>
      </c>
      <c r="N17" s="6" t="str">
        <f t="shared" ca="1" si="0"/>
        <v>PERFORM "SchData-OLTP-Master"."Func_TblBankAccount_SET"(varSystemLoginSession, null, null, null, null, null, varInstitutionBranchID, varBaseCurrencyID, 166000000000009, '1002405420', 'PT QDC Technologies', 62000000000001, 124000000000001);</v>
      </c>
    </row>
    <row r="18" spans="2:14" x14ac:dyDescent="0.2">
      <c r="B18" s="25">
        <v>124000000000001</v>
      </c>
      <c r="C18" s="19"/>
      <c r="D18" s="17" t="str">
        <f>IF(EXACT($B18, ""), "", IF((FLOOR($B18/1000000000000, 1) = 124), VLOOKUP($B18, '[1]DataLookUp - InstitutionBranch'!$B$4:$C$2000, 2, FALSE), IF((FLOOR($B18/1000000000000, 1) = 25), VLOOKUP($B18, [2]DataLookUp!$B$4:$D$2000, 2, FALSE), "xx")))</f>
        <v>PT. QDC Technologies</v>
      </c>
      <c r="E18" s="39" t="s">
        <v>198</v>
      </c>
      <c r="F18" s="51">
        <f ca="1">VLOOKUP($E18, OFFSET([3]MAIN!$B$2, 0, 0, 100, 6), 5, FALSE)</f>
        <v>166000000000001</v>
      </c>
      <c r="G18" s="40" t="s">
        <v>297</v>
      </c>
      <c r="H18" s="39" t="s">
        <v>209</v>
      </c>
      <c r="I18" s="40" t="s">
        <v>366</v>
      </c>
      <c r="J18" s="66"/>
      <c r="K18" s="39"/>
      <c r="M18" s="32">
        <f t="shared" ca="1" si="2"/>
        <v>167000000000015</v>
      </c>
      <c r="N18" s="6" t="str">
        <f t="shared" ca="1" si="0"/>
        <v>PERFORM "SchData-OLTP-Master"."Func_TblBankAccount_SET"(varSystemLoginSession, null, null, null, null, null, varInstitutionBranchID, varBaseCurrencyID, 166000000000001, '0700009986097', 'PT QDC Technologies', 62000000000001, 124000000000001);</v>
      </c>
    </row>
    <row r="19" spans="2:14" x14ac:dyDescent="0.2">
      <c r="B19" s="25">
        <v>124000000000001</v>
      </c>
      <c r="C19" s="19"/>
      <c r="D19" s="17" t="str">
        <f>IF(EXACT($B19, ""), "", IF((FLOOR($B19/1000000000000, 1) = 124), VLOOKUP($B19, '[1]DataLookUp - InstitutionBranch'!$B$4:$C$2000, 2, FALSE), IF((FLOOR($B19/1000000000000, 1) = 25), VLOOKUP($B19, [2]DataLookUp!$B$4:$D$2000, 2, FALSE), "xx")))</f>
        <v>PT. QDC Technologies</v>
      </c>
      <c r="E19" s="39" t="s">
        <v>198</v>
      </c>
      <c r="F19" s="51">
        <f ca="1">VLOOKUP($E19, OFFSET([3]MAIN!$B$2, 0, 0, 100, 6), 5, FALSE)</f>
        <v>166000000000001</v>
      </c>
      <c r="G19" s="40" t="s">
        <v>329</v>
      </c>
      <c r="H19" s="39" t="s">
        <v>209</v>
      </c>
      <c r="I19" s="40" t="s">
        <v>366</v>
      </c>
      <c r="J19" s="66"/>
      <c r="K19" s="39"/>
      <c r="M19" s="32">
        <f t="shared" ca="1" si="2"/>
        <v>167000000000016</v>
      </c>
      <c r="N19" s="6" t="str">
        <f t="shared" ca="1" si="0"/>
        <v>PERFORM "SchData-OLTP-Master"."Func_TblBankAccount_SET"(varSystemLoginSession, null, null, null, null, null, varInstitutionBranchID, varBaseCurrencyID, 166000000000001, '0700010933104', 'PT QDC Technologies', 62000000000001, 124000000000001);</v>
      </c>
    </row>
    <row r="20" spans="2:14" x14ac:dyDescent="0.2">
      <c r="B20" s="25">
        <v>124000000000001</v>
      </c>
      <c r="C20" s="19"/>
      <c r="D20" s="17" t="str">
        <f>IF(EXACT($B20, ""), "", IF((FLOOR($B20/1000000000000, 1) = 124), VLOOKUP($B20, '[1]DataLookUp - InstitutionBranch'!$B$4:$C$2000, 2, FALSE), IF((FLOOR($B20/1000000000000, 1) = 25), VLOOKUP($B20, [2]DataLookUp!$B$4:$D$2000, 2, FALSE), "xx")))</f>
        <v>PT. QDC Technologies</v>
      </c>
      <c r="E20" s="39" t="s">
        <v>352</v>
      </c>
      <c r="F20" s="51">
        <f ca="1">VLOOKUP($E20, OFFSET([3]MAIN!$B$2, 0, 0, 100, 6), 5, FALSE)</f>
        <v>166000000000003</v>
      </c>
      <c r="G20" s="40" t="s">
        <v>382</v>
      </c>
      <c r="H20" s="39" t="s">
        <v>209</v>
      </c>
      <c r="I20" s="40" t="s">
        <v>366</v>
      </c>
      <c r="J20" s="66"/>
      <c r="K20" s="39"/>
      <c r="M20" s="32">
        <f t="shared" ca="1" si="2"/>
        <v>167000000000017</v>
      </c>
      <c r="N20" s="6" t="str">
        <f t="shared" ca="1" si="0"/>
        <v>PERFORM "SchData-OLTP-Master"."Func_TblBankAccount_SET"(varSystemLoginSession, null, null, null, null, null, varInstitutionBranchID, varBaseCurrencyID, 166000000000003, '1999998082', 'PT QDC Technologies', 62000000000001, 124000000000001);</v>
      </c>
    </row>
    <row r="21" spans="2:14" x14ac:dyDescent="0.2">
      <c r="B21" s="25">
        <v>124000000000001</v>
      </c>
      <c r="C21" s="19"/>
      <c r="D21" s="17" t="str">
        <f>IF(EXACT($B21, ""), "", IF((FLOOR($B21/1000000000000, 1) = 124), VLOOKUP($B21, '[1]DataLookUp - InstitutionBranch'!$B$4:$C$2000, 2, FALSE), IF((FLOOR($B21/1000000000000, 1) = 25), VLOOKUP($B21, [2]DataLookUp!$B$4:$D$2000, 2, FALSE), "xx")))</f>
        <v>PT. QDC Technologies</v>
      </c>
      <c r="E21" s="39" t="s">
        <v>352</v>
      </c>
      <c r="F21" s="51">
        <f ca="1">VLOOKUP($E21, OFFSET([3]MAIN!$B$2, 0, 0, 100, 6), 5, FALSE)</f>
        <v>166000000000003</v>
      </c>
      <c r="G21" s="40" t="s">
        <v>282</v>
      </c>
      <c r="H21" s="39" t="s">
        <v>209</v>
      </c>
      <c r="I21" s="40" t="s">
        <v>366</v>
      </c>
      <c r="J21" s="66"/>
      <c r="K21" s="39"/>
      <c r="M21" s="32">
        <f t="shared" ca="1" si="2"/>
        <v>167000000000018</v>
      </c>
      <c r="N21" s="6" t="str">
        <f t="shared" ca="1" si="0"/>
        <v>PERFORM "SchData-OLTP-Master"."Func_TblBankAccount_SET"(varSystemLoginSession, null, null, null, null, null, varInstitutionBranchID, varBaseCurrencyID, 166000000000003, '779207704', 'PT QDC Technologies', 62000000000001, 124000000000001);</v>
      </c>
    </row>
    <row r="22" spans="2:14" x14ac:dyDescent="0.2">
      <c r="B22" s="25">
        <v>124000000000001</v>
      </c>
      <c r="C22" s="19"/>
      <c r="D22" s="17" t="str">
        <f>IF(EXACT($B22, ""), "", IF((FLOOR($B22/1000000000000, 1) = 124), VLOOKUP($B22, '[1]DataLookUp - InstitutionBranch'!$B$4:$C$2000, 2, FALSE), IF((FLOOR($B22/1000000000000, 1) = 25), VLOOKUP($B22, [2]DataLookUp!$B$4:$D$2000, 2, FALSE), "xx")))</f>
        <v>PT. QDC Technologies</v>
      </c>
      <c r="E22" s="39" t="s">
        <v>352</v>
      </c>
      <c r="F22" s="51">
        <f ca="1">VLOOKUP($E22, OFFSET([3]MAIN!$B$2, 0, 0, 100, 6), 5, FALSE)</f>
        <v>166000000000003</v>
      </c>
      <c r="G22" s="40" t="s">
        <v>285</v>
      </c>
      <c r="H22" s="39" t="s">
        <v>209</v>
      </c>
      <c r="I22" s="40" t="s">
        <v>366</v>
      </c>
      <c r="J22" s="66"/>
      <c r="K22" s="39"/>
      <c r="M22" s="32">
        <f t="shared" ca="1" si="2"/>
        <v>167000000000019</v>
      </c>
      <c r="N22" s="6" t="str">
        <f t="shared" ca="1" si="0"/>
        <v>PERFORM "SchData-OLTP-Master"."Func_TblBankAccount_SET"(varSystemLoginSession, null, null, null, null, null, varInstitutionBranchID, varBaseCurrencyID, 166000000000003, '779207715', 'PT QDC Technologies', 62000000000001, 124000000000001);</v>
      </c>
    </row>
    <row r="23" spans="2:14" x14ac:dyDescent="0.2">
      <c r="B23" s="25">
        <v>124000000000001</v>
      </c>
      <c r="C23" s="19"/>
      <c r="D23" s="17" t="str">
        <f>IF(EXACT($B23, ""), "", IF((FLOOR($B23/1000000000000, 1) = 124), VLOOKUP($B23, '[1]DataLookUp - InstitutionBranch'!$B$4:$C$2000, 2, FALSE), IF((FLOOR($B23/1000000000000, 1) = 25), VLOOKUP($B23, [2]DataLookUp!$B$4:$D$2000, 2, FALSE), "xx")))</f>
        <v>PT. QDC Technologies</v>
      </c>
      <c r="E23" s="39" t="s">
        <v>352</v>
      </c>
      <c r="F23" s="51">
        <f ca="1">VLOOKUP($E23, OFFSET([3]MAIN!$B$2, 0, 0, 100, 6), 5, FALSE)</f>
        <v>166000000000003</v>
      </c>
      <c r="G23" s="40" t="s">
        <v>279</v>
      </c>
      <c r="H23" s="39" t="s">
        <v>209</v>
      </c>
      <c r="I23" s="40" t="s">
        <v>366</v>
      </c>
      <c r="J23" s="66"/>
      <c r="K23" s="39"/>
      <c r="M23" s="32">
        <f t="shared" ca="1" si="2"/>
        <v>167000000000020</v>
      </c>
      <c r="N23" s="6" t="str">
        <f t="shared" ca="1" si="0"/>
        <v>PERFORM "SchData-OLTP-Master"."Func_TblBankAccount_SET"(varSystemLoginSession, null, null, null, null, null, varInstitutionBranchID, varBaseCurrencyID, 166000000000003, '8995885888', 'PT QDC Technologies', 62000000000001, 124000000000001);</v>
      </c>
    </row>
    <row r="24" spans="2:14" x14ac:dyDescent="0.2">
      <c r="B24" s="25">
        <v>124000000000001</v>
      </c>
      <c r="C24" s="19"/>
      <c r="D24" s="17" t="str">
        <f>IF(EXACT($B24, ""), "", IF((FLOOR($B24/1000000000000, 1) = 124), VLOOKUP($B24, '[1]DataLookUp - InstitutionBranch'!$B$4:$C$2000, 2, FALSE), IF((FLOOR($B24/1000000000000, 1) = 25), VLOOKUP($B24, [2]DataLookUp!$B$4:$D$2000, 2, FALSE), "xx")))</f>
        <v>PT. QDC Technologies</v>
      </c>
      <c r="E24" s="39" t="s">
        <v>352</v>
      </c>
      <c r="F24" s="51">
        <f ca="1">VLOOKUP($E24, OFFSET([3]MAIN!$B$2, 0, 0, 100, 6), 5, FALSE)</f>
        <v>166000000000003</v>
      </c>
      <c r="G24" s="40" t="s">
        <v>300</v>
      </c>
      <c r="H24" s="39" t="s">
        <v>209</v>
      </c>
      <c r="I24" s="40" t="s">
        <v>366</v>
      </c>
      <c r="J24" s="66"/>
      <c r="K24" s="39"/>
      <c r="M24" s="32">
        <f t="shared" ca="1" si="2"/>
        <v>167000000000021</v>
      </c>
      <c r="N24" s="6" t="str">
        <f t="shared" ca="1" si="0"/>
        <v>PERFORM "SchData-OLTP-Master"."Func_TblBankAccount_SET"(varSystemLoginSession, null, null, null, null, null, varInstitutionBranchID, varBaseCurrencyID, 166000000000003, '907670396', 'PT QDC Technologies', 62000000000001, 124000000000001);</v>
      </c>
    </row>
    <row r="25" spans="2:14" x14ac:dyDescent="0.2">
      <c r="B25" s="25">
        <v>124000000000001</v>
      </c>
      <c r="C25" s="19"/>
      <c r="D25" s="17" t="str">
        <f>IF(EXACT($B25, ""), "", IF((FLOOR($B25/1000000000000, 1) = 124), VLOOKUP($B25, '[1]DataLookUp - InstitutionBranch'!$B$4:$C$2000, 2, FALSE), IF((FLOOR($B25/1000000000000, 1) = 25), VLOOKUP($B25, [2]DataLookUp!$B$4:$D$2000, 2, FALSE), "xx")))</f>
        <v>PT. QDC Technologies</v>
      </c>
      <c r="E25" s="39" t="s">
        <v>354</v>
      </c>
      <c r="F25" s="51">
        <f ca="1">VLOOKUP($E25, OFFSET([3]MAIN!$B$2, 0, 0, 100, 6), 5, FALSE)</f>
        <v>166000000000011</v>
      </c>
      <c r="G25" s="40" t="s">
        <v>325</v>
      </c>
      <c r="H25" s="39" t="s">
        <v>209</v>
      </c>
      <c r="I25" s="40" t="s">
        <v>366</v>
      </c>
      <c r="J25" s="66"/>
      <c r="K25" s="39"/>
      <c r="M25" s="32">
        <f t="shared" ca="1" si="2"/>
        <v>167000000000022</v>
      </c>
      <c r="N25" s="6" t="str">
        <f t="shared" ca="1" si="0"/>
        <v>PERFORM "SchData-OLTP-Master"."Func_TblBankAccount_SET"(varSystemLoginSession, null, null, null, null, null, varInstitutionBranchID, varBaseCurrencyID, 166000000000011, '020800017913', 'PT QDC Technologies', 62000000000001, 124000000000001);</v>
      </c>
    </row>
    <row r="26" spans="2:14" x14ac:dyDescent="0.2">
      <c r="B26" s="25">
        <v>124000000000001</v>
      </c>
      <c r="C26" s="19"/>
      <c r="D26" s="17" t="str">
        <f>IF(EXACT($B26, ""), "", IF((FLOOR($B26/1000000000000, 1) = 124), VLOOKUP($B26, '[1]DataLookUp - InstitutionBranch'!$B$4:$C$2000, 2, FALSE), IF((FLOOR($B26/1000000000000, 1) = 25), VLOOKUP($B26, [2]DataLookUp!$B$4:$D$2000, 2, FALSE), "xx")))</f>
        <v>PT. QDC Technologies</v>
      </c>
      <c r="E26" s="39" t="s">
        <v>350</v>
      </c>
      <c r="F26" s="51">
        <f ca="1">VLOOKUP($E26, OFFSET([3]MAIN!$B$2, 0, 0, 100, 6), 5, FALSE)</f>
        <v>166000000000019</v>
      </c>
      <c r="G26" s="40" t="s">
        <v>264</v>
      </c>
      <c r="H26" s="39" t="s">
        <v>209</v>
      </c>
      <c r="I26" s="40" t="s">
        <v>366</v>
      </c>
      <c r="J26" s="66"/>
      <c r="K26" s="39"/>
      <c r="M26" s="32">
        <f t="shared" ca="1" si="2"/>
        <v>167000000000023</v>
      </c>
      <c r="N26" s="6" t="str">
        <f t="shared" ca="1" si="0"/>
        <v>PERFORM "SchData-OLTP-Master"."Func_TblBankAccount_SET"(varSystemLoginSession, null, null, null, null, null, varInstitutionBranchID, varBaseCurrencyID, 166000000000019, '0080107000764', 'PT QDC Technologies', 62000000000001, 124000000000001);</v>
      </c>
    </row>
    <row r="27" spans="2:14" x14ac:dyDescent="0.2">
      <c r="B27" s="25">
        <v>124000000000001</v>
      </c>
      <c r="C27" s="19"/>
      <c r="D27" s="17" t="str">
        <f>IF(EXACT($B27, ""), "", IF((FLOOR($B27/1000000000000, 1) = 124), VLOOKUP($B27, '[1]DataLookUp - InstitutionBranch'!$B$4:$C$2000, 2, FALSE), IF((FLOOR($B27/1000000000000, 1) = 25), VLOOKUP($B27, [2]DataLookUp!$B$4:$D$2000, 2, FALSE), "xx")))</f>
        <v>PT. QDC Technologies</v>
      </c>
      <c r="E27" s="39" t="s">
        <v>359</v>
      </c>
      <c r="F27" s="51">
        <f ca="1">VLOOKUP($E27, OFFSET([3]MAIN!$B$2, 0, 0, 100, 6), 5, FALSE)</f>
        <v>166000000000020</v>
      </c>
      <c r="G27" s="40" t="s">
        <v>311</v>
      </c>
      <c r="H27" s="39" t="s">
        <v>209</v>
      </c>
      <c r="I27" s="40" t="s">
        <v>366</v>
      </c>
      <c r="J27" s="66"/>
      <c r="K27" s="39"/>
      <c r="M27" s="32">
        <f t="shared" ca="1" si="2"/>
        <v>167000000000024</v>
      </c>
      <c r="N27" s="6" t="str">
        <f t="shared" ca="1" si="0"/>
        <v>PERFORM "SchData-OLTP-Master"."Func_TblBankAccount_SET"(varSystemLoginSession, null, null, null, null, null, varInstitutionBranchID, varBaseCurrencyID, 166000000000020, '8880888880888', 'PT QDC Technologies', 62000000000001, 124000000000001);</v>
      </c>
    </row>
    <row r="28" spans="2:14" x14ac:dyDescent="0.2">
      <c r="B28" s="25">
        <v>124000000000001</v>
      </c>
      <c r="C28" s="19"/>
      <c r="D28" s="17" t="str">
        <f>IF(EXACT($B28, ""), "", IF((FLOOR($B28/1000000000000, 1) = 124), VLOOKUP($B28, '[1]DataLookUp - InstitutionBranch'!$B$4:$C$2000, 2, FALSE), IF((FLOOR($B28/1000000000000, 1) = 25), VLOOKUP($B28, [2]DataLookUp!$B$4:$D$2000, 2, FALSE), "xx")))</f>
        <v>PT. QDC Technologies</v>
      </c>
      <c r="E28" s="39" t="s">
        <v>349</v>
      </c>
      <c r="F28" s="51">
        <f ca="1">VLOOKUP($E28, OFFSET([3]MAIN!$B$2, 0, 0, 100, 6), 5, FALSE)</f>
        <v>166000000000021</v>
      </c>
      <c r="G28" s="40" t="s">
        <v>337</v>
      </c>
      <c r="H28" s="39" t="s">
        <v>209</v>
      </c>
      <c r="I28" s="40" t="s">
        <v>366</v>
      </c>
      <c r="J28" s="66"/>
      <c r="K28" s="39"/>
      <c r="M28" s="32">
        <f t="shared" ca="1" si="2"/>
        <v>167000000000025</v>
      </c>
      <c r="N28" s="6" t="str">
        <f t="shared" ca="1" si="0"/>
        <v>PERFORM "SchData-OLTP-Master"."Func_TblBankAccount_SET"(varSystemLoginSession, null, null, null, null, null, varInstitutionBranchID, varBaseCurrencyID, 166000000000021, '035101616', 'PT QDC Technologies', 62000000000001, 124000000000001);</v>
      </c>
    </row>
    <row r="29" spans="2:14" x14ac:dyDescent="0.2">
      <c r="B29" s="25">
        <v>124000000000001</v>
      </c>
      <c r="C29" s="19"/>
      <c r="D29" s="17" t="str">
        <f>IF(EXACT($B29, ""), "", IF((FLOOR($B29/1000000000000, 1) = 124), VLOOKUP($B29, '[1]DataLookUp - InstitutionBranch'!$B$4:$C$2000, 2, FALSE), IF((FLOOR($B29/1000000000000, 1) = 25), VLOOKUP($B29, [2]DataLookUp!$B$4:$D$2000, 2, FALSE), "xx")))</f>
        <v>PT. QDC Technologies</v>
      </c>
      <c r="E29" s="39" t="s">
        <v>349</v>
      </c>
      <c r="F29" s="51">
        <f ca="1">VLOOKUP($E29, OFFSET([3]MAIN!$B$2, 0, 0, 100, 6), 5, FALSE)</f>
        <v>166000000000021</v>
      </c>
      <c r="G29" s="40" t="s">
        <v>291</v>
      </c>
      <c r="H29" s="39" t="s">
        <v>209</v>
      </c>
      <c r="I29" s="40" t="s">
        <v>366</v>
      </c>
      <c r="J29" s="66"/>
      <c r="K29" s="39"/>
      <c r="M29" s="32">
        <f t="shared" ca="1" si="2"/>
        <v>167000000000026</v>
      </c>
      <c r="N29" s="6" t="str">
        <f t="shared" ca="1" si="0"/>
        <v>PERFORM "SchData-OLTP-Master"."Func_TblBankAccount_SET"(varSystemLoginSession, null, null, null, null, null, varInstitutionBranchID, varBaseCurrencyID, 166000000000021, '1221001121', 'PT QDC Technologies', 62000000000001, 124000000000001);</v>
      </c>
    </row>
    <row r="30" spans="2:14" x14ac:dyDescent="0.2">
      <c r="B30" s="25">
        <v>124000000000001</v>
      </c>
      <c r="C30" s="19"/>
      <c r="D30" s="17" t="str">
        <f>IF(EXACT($B30, ""), "", IF((FLOOR($B30/1000000000000, 1) = 124), VLOOKUP($B30, '[1]DataLookUp - InstitutionBranch'!$B$4:$C$2000, 2, FALSE), IF((FLOOR($B30/1000000000000, 1) = 25), VLOOKUP($B30, [2]DataLookUp!$B$4:$D$2000, 2, FALSE), "xx")))</f>
        <v>PT. QDC Technologies</v>
      </c>
      <c r="E30" s="39" t="s">
        <v>349</v>
      </c>
      <c r="F30" s="51">
        <f ca="1">VLOOKUP($E30, OFFSET([3]MAIN!$B$2, 0, 0, 100, 6), 5, FALSE)</f>
        <v>166000000000021</v>
      </c>
      <c r="G30" s="40" t="s">
        <v>276</v>
      </c>
      <c r="H30" s="39" t="s">
        <v>209</v>
      </c>
      <c r="I30" s="40" t="s">
        <v>366</v>
      </c>
      <c r="J30" s="66"/>
      <c r="K30" s="39"/>
      <c r="M30" s="32">
        <f t="shared" ca="1" si="2"/>
        <v>167000000000027</v>
      </c>
      <c r="N30" s="6" t="str">
        <f t="shared" ca="1" si="0"/>
        <v>PERFORM "SchData-OLTP-Master"."Func_TblBankAccount_SET"(varSystemLoginSession, null, null, null, null, null, varInstitutionBranchID, varBaseCurrencyID, 166000000000021, '1231001251', 'PT QDC Technologies', 62000000000001, 124000000000001);</v>
      </c>
    </row>
    <row r="31" spans="2:14" x14ac:dyDescent="0.2">
      <c r="B31" s="25">
        <v>124000000000001</v>
      </c>
      <c r="C31" s="19"/>
      <c r="D31" s="17" t="str">
        <f>IF(EXACT($B31, ""), "", IF((FLOOR($B31/1000000000000, 1) = 124), VLOOKUP($B31, '[1]DataLookUp - InstitutionBranch'!$B$4:$C$2000, 2, FALSE), IF((FLOOR($B31/1000000000000, 1) = 25), VLOOKUP($B31, [2]DataLookUp!$B$4:$D$2000, 2, FALSE), "xx")))</f>
        <v>PT. QDC Technologies</v>
      </c>
      <c r="E31" s="39" t="s">
        <v>355</v>
      </c>
      <c r="F31" s="51">
        <f ca="1">VLOOKUP($E31, OFFSET([3]MAIN!$B$2, 0, 0, 100, 6), 5, FALSE)</f>
        <v>166000000000022</v>
      </c>
      <c r="G31" s="40" t="s">
        <v>254</v>
      </c>
      <c r="H31" s="39" t="s">
        <v>209</v>
      </c>
      <c r="I31" s="40" t="s">
        <v>366</v>
      </c>
      <c r="J31" s="66"/>
      <c r="K31" s="39"/>
      <c r="M31" s="32">
        <f t="shared" ca="1" si="2"/>
        <v>167000000000028</v>
      </c>
      <c r="N31" s="6" t="str">
        <f t="shared" ca="1" si="0"/>
        <v>PERFORM "SchData-OLTP-Master"."Func_TblBankAccount_SET"(varSystemLoginSession, null, null, null, null, null, varInstitutionBranchID, varBaseCurrencyID, 166000000000022, '0400007001223', 'PT QDC Technologies', 62000000000001, 124000000000001);</v>
      </c>
    </row>
    <row r="32" spans="2:14" x14ac:dyDescent="0.2">
      <c r="B32" s="25">
        <v>124000000000001</v>
      </c>
      <c r="C32" s="19"/>
      <c r="D32" s="17" t="str">
        <f>IF(EXACT($B32, ""), "", IF((FLOOR($B32/1000000000000, 1) = 124), VLOOKUP($B32, '[1]DataLookUp - InstitutionBranch'!$B$4:$C$2000, 2, FALSE), IF((FLOOR($B32/1000000000000, 1) = 25), VLOOKUP($B32, [2]DataLookUp!$B$4:$D$2000, 2, FALSE), "xx")))</f>
        <v>PT. QDC Technologies</v>
      </c>
      <c r="E32" s="39" t="s">
        <v>163</v>
      </c>
      <c r="F32" s="51">
        <f ca="1">VLOOKUP($E32, OFFSET([3]MAIN!$B$2, 0, 0, 100, 6), 5, FALSE)</f>
        <v>166000000000007</v>
      </c>
      <c r="G32" s="40" t="s">
        <v>221</v>
      </c>
      <c r="H32" s="39" t="s">
        <v>209</v>
      </c>
      <c r="I32" s="40" t="s">
        <v>365</v>
      </c>
      <c r="J32" s="66"/>
      <c r="K32" s="39"/>
      <c r="M32" s="32">
        <f t="shared" ca="1" si="2"/>
        <v>167000000000029</v>
      </c>
      <c r="N32" s="6" t="str">
        <f t="shared" ca="1" si="0"/>
        <v>PERFORM "SchData-OLTP-Master"."Func_TblBankAccount_SET"(varSystemLoginSession, null, null, null, null, null, varInstitutionBranchID, varBaseCurrencyID, 166000000000007, '0701393414', 'PT QDC Technologies', 62000000000002, 124000000000001);</v>
      </c>
    </row>
    <row r="33" spans="2:14" x14ac:dyDescent="0.2">
      <c r="B33" s="25">
        <v>124000000000001</v>
      </c>
      <c r="C33" s="19"/>
      <c r="D33" s="17" t="str">
        <f>IF(EXACT($B33, ""), "", IF((FLOOR($B33/1000000000000, 1) = 124), VLOOKUP($B33, '[1]DataLookUp - InstitutionBranch'!$B$4:$C$2000, 2, FALSE), IF((FLOOR($B33/1000000000000, 1) = 25), VLOOKUP($B33, [2]DataLookUp!$B$4:$D$2000, 2, FALSE), "xx")))</f>
        <v>PT. QDC Technologies</v>
      </c>
      <c r="E33" s="39" t="s">
        <v>163</v>
      </c>
      <c r="F33" s="51">
        <f ca="1">VLOOKUP($E33, OFFSET([3]MAIN!$B$2, 0, 0, 100, 6), 5, FALSE)</f>
        <v>166000000000007</v>
      </c>
      <c r="G33" s="40" t="s">
        <v>228</v>
      </c>
      <c r="H33" s="39" t="s">
        <v>209</v>
      </c>
      <c r="I33" s="40" t="s">
        <v>365</v>
      </c>
      <c r="J33" s="66"/>
      <c r="K33" s="39"/>
      <c r="M33" s="32">
        <f t="shared" ca="1" si="2"/>
        <v>167000000000030</v>
      </c>
      <c r="N33" s="6" t="str">
        <f t="shared" ca="1" si="0"/>
        <v>PERFORM "SchData-OLTP-Master"."Func_TblBankAccount_SET"(varSystemLoginSession, null, null, null, null, null, varInstitutionBranchID, varBaseCurrencyID, 166000000000007, '0701393481', 'PT QDC Technologies', 62000000000002, 124000000000001);</v>
      </c>
    </row>
    <row r="34" spans="2:14" x14ac:dyDescent="0.2">
      <c r="B34" s="25">
        <v>124000000000001</v>
      </c>
      <c r="C34" s="19"/>
      <c r="D34" s="17" t="str">
        <f>IF(EXACT($B34, ""), "", IF((FLOOR($B34/1000000000000, 1) = 124), VLOOKUP($B34, '[1]DataLookUp - InstitutionBranch'!$B$4:$C$2000, 2, FALSE), IF((FLOOR($B34/1000000000000, 1) = 25), VLOOKUP($B34, [2]DataLookUp!$B$4:$D$2000, 2, FALSE), "xx")))</f>
        <v>PT. QDC Technologies</v>
      </c>
      <c r="E34" s="39" t="s">
        <v>163</v>
      </c>
      <c r="F34" s="51">
        <f ca="1">VLOOKUP($E34, OFFSET([3]MAIN!$B$2, 0, 0, 100, 6), 5, FALSE)</f>
        <v>166000000000007</v>
      </c>
      <c r="G34" s="40" t="s">
        <v>232</v>
      </c>
      <c r="H34" s="39" t="s">
        <v>209</v>
      </c>
      <c r="I34" s="40" t="s">
        <v>366</v>
      </c>
      <c r="J34" s="66"/>
      <c r="K34" s="39"/>
      <c r="M34" s="32">
        <f t="shared" ca="1" si="2"/>
        <v>167000000000031</v>
      </c>
      <c r="N34" s="6" t="str">
        <f t="shared" ca="1" si="0"/>
        <v>PERFORM "SchData-OLTP-Master"."Func_TblBankAccount_SET"(varSystemLoginSession, null, null, null, null, null, varInstitutionBranchID, varBaseCurrencyID, 166000000000007, '0701393570', 'PT QDC Technologies', 62000000000001, 124000000000001);</v>
      </c>
    </row>
    <row r="35" spans="2:14" x14ac:dyDescent="0.2">
      <c r="B35" s="25">
        <v>124000000000001</v>
      </c>
      <c r="C35" s="19"/>
      <c r="D35" s="17" t="str">
        <f>IF(EXACT($B35, ""), "", IF((FLOOR($B35/1000000000000, 1) = 124), VLOOKUP($B35, '[1]DataLookUp - InstitutionBranch'!$B$4:$C$2000, 2, FALSE), IF((FLOOR($B35/1000000000000, 1) = 25), VLOOKUP($B35, [2]DataLookUp!$B$4:$D$2000, 2, FALSE), "xx")))</f>
        <v>PT. QDC Technologies</v>
      </c>
      <c r="E35" s="39" t="s">
        <v>163</v>
      </c>
      <c r="F35" s="51">
        <f ca="1">VLOOKUP($E35, OFFSET([3]MAIN!$B$2, 0, 0, 100, 6), 5, FALSE)</f>
        <v>166000000000007</v>
      </c>
      <c r="G35" s="40" t="s">
        <v>231</v>
      </c>
      <c r="H35" s="39" t="s">
        <v>209</v>
      </c>
      <c r="I35" s="40" t="s">
        <v>366</v>
      </c>
      <c r="J35" s="66"/>
      <c r="K35" s="39"/>
      <c r="M35" s="32">
        <f t="shared" ca="1" si="2"/>
        <v>167000000000032</v>
      </c>
      <c r="N35" s="6" t="str">
        <f t="shared" ca="1" si="0"/>
        <v>PERFORM "SchData-OLTP-Master"."Func_TblBankAccount_SET"(varSystemLoginSession, null, null, null, null, null, varInstitutionBranchID, varBaseCurrencyID, 166000000000007, '0701393643', 'PT QDC Technologies', 62000000000001, 124000000000001);</v>
      </c>
    </row>
    <row r="36" spans="2:14" x14ac:dyDescent="0.2">
      <c r="B36" s="25">
        <v>124000000000001</v>
      </c>
      <c r="C36" s="19"/>
      <c r="D36" s="17" t="str">
        <f>IF(EXACT($B36, ""), "", IF((FLOOR($B36/1000000000000, 1) = 124), VLOOKUP($B36, '[1]DataLookUp - InstitutionBranch'!$B$4:$C$2000, 2, FALSE), IF((FLOOR($B36/1000000000000, 1) = 25), VLOOKUP($B36, [2]DataLookUp!$B$4:$D$2000, 2, FALSE), "xx")))</f>
        <v>PT. QDC Technologies</v>
      </c>
      <c r="E36" s="39" t="s">
        <v>199</v>
      </c>
      <c r="F36" s="51">
        <f ca="1">VLOOKUP($E36, OFFSET([3]MAIN!$B$2, 0, 0, 100, 6), 5, FALSE)</f>
        <v>166000000000002</v>
      </c>
      <c r="G36" s="40" t="s">
        <v>269</v>
      </c>
      <c r="H36" s="39" t="s">
        <v>209</v>
      </c>
      <c r="I36" s="40" t="s">
        <v>366</v>
      </c>
      <c r="J36" s="66"/>
      <c r="K36" s="39"/>
      <c r="M36" s="32">
        <f t="shared" ca="1" si="2"/>
        <v>167000000000033</v>
      </c>
      <c r="N36" s="6" t="str">
        <f t="shared" ca="1" si="0"/>
        <v>PERFORM "SchData-OLTP-Master"."Func_TblBankAccount_SET"(varSystemLoginSession, null, null, null, null, null, varInstitutionBranchID, varBaseCurrencyID, 166000000000002, '005301004453305', 'PT QDC Technologies', 62000000000001, 124000000000001);</v>
      </c>
    </row>
    <row r="37" spans="2:14" x14ac:dyDescent="0.2">
      <c r="B37" s="25">
        <v>124000000000001</v>
      </c>
      <c r="C37" s="19"/>
      <c r="D37" s="17" t="str">
        <f>IF(EXACT($B37, ""), "", IF((FLOOR($B37/1000000000000, 1) = 124), VLOOKUP($B37, '[1]DataLookUp - InstitutionBranch'!$B$4:$C$2000, 2, FALSE), IF((FLOOR($B37/1000000000000, 1) = 25), VLOOKUP($B37, [2]DataLookUp!$B$4:$D$2000, 2, FALSE), "xx")))</f>
        <v>PT. QDC Technologies</v>
      </c>
      <c r="E37" s="39" t="s">
        <v>199</v>
      </c>
      <c r="F37" s="51">
        <f ca="1">VLOOKUP($E37, OFFSET([3]MAIN!$B$2, 0, 0, 100, 6), 5, FALSE)</f>
        <v>166000000000002</v>
      </c>
      <c r="G37" s="40" t="s">
        <v>238</v>
      </c>
      <c r="H37" s="39" t="s">
        <v>209</v>
      </c>
      <c r="I37" s="40" t="s">
        <v>366</v>
      </c>
      <c r="J37" s="66"/>
      <c r="K37" s="39"/>
      <c r="M37" s="32">
        <f t="shared" ca="1" si="2"/>
        <v>167000000000034</v>
      </c>
      <c r="N37" s="6" t="str">
        <f t="shared" ca="1" si="0"/>
        <v>PERFORM "SchData-OLTP-Master"."Func_TblBankAccount_SET"(varSystemLoginSession, null, null, null, null, null, varInstitutionBranchID, varBaseCurrencyID, 166000000000002, '019301001230300', 'PT QDC Technologies', 62000000000001, 124000000000001);</v>
      </c>
    </row>
    <row r="38" spans="2:14" x14ac:dyDescent="0.2">
      <c r="B38" s="25">
        <v>124000000000001</v>
      </c>
      <c r="C38" s="19"/>
      <c r="D38" s="17" t="str">
        <f>IF(EXACT($B38, ""), "", IF((FLOOR($B38/1000000000000, 1) = 124), VLOOKUP($B38, '[1]DataLookUp - InstitutionBranch'!$B$4:$C$2000, 2, FALSE), IF((FLOOR($B38/1000000000000, 1) = 25), VLOOKUP($B38, [2]DataLookUp!$B$4:$D$2000, 2, FALSE), "xx")))</f>
        <v>PT. QDC Technologies</v>
      </c>
      <c r="E38" s="39" t="s">
        <v>199</v>
      </c>
      <c r="F38" s="51">
        <f ca="1">VLOOKUP($E38, OFFSET([3]MAIN!$B$2, 0, 0, 100, 6), 5, FALSE)</f>
        <v>166000000000002</v>
      </c>
      <c r="G38" s="40" t="s">
        <v>270</v>
      </c>
      <c r="H38" s="39" t="s">
        <v>209</v>
      </c>
      <c r="I38" s="40" t="s">
        <v>366</v>
      </c>
      <c r="J38" s="66"/>
      <c r="K38" s="39"/>
      <c r="M38" s="32">
        <f t="shared" ca="1" si="2"/>
        <v>167000000000035</v>
      </c>
      <c r="N38" s="6" t="str">
        <f t="shared" ca="1" si="0"/>
        <v>PERFORM "SchData-OLTP-Master"."Func_TblBankAccount_SET"(varSystemLoginSession, null, null, null, null, null, varInstitutionBranchID, varBaseCurrencyID, 166000000000002, '019301003214300', 'PT QDC Technologies', 62000000000001, 124000000000001);</v>
      </c>
    </row>
    <row r="39" spans="2:14" x14ac:dyDescent="0.2">
      <c r="B39" s="25">
        <v>124000000000001</v>
      </c>
      <c r="C39" s="19"/>
      <c r="D39" s="17" t="str">
        <f>IF(EXACT($B39, ""), "", IF((FLOOR($B39/1000000000000, 1) = 124), VLOOKUP($B39, '[1]DataLookUp - InstitutionBranch'!$B$4:$C$2000, 2, FALSE), IF((FLOOR($B39/1000000000000, 1) = 25), VLOOKUP($B39, [2]DataLookUp!$B$4:$D$2000, 2, FALSE), "xx")))</f>
        <v>PT. QDC Technologies</v>
      </c>
      <c r="E39" s="39" t="s">
        <v>199</v>
      </c>
      <c r="F39" s="51">
        <f ca="1">VLOOKUP($E39, OFFSET([3]MAIN!$B$2, 0, 0, 100, 6), 5, FALSE)</f>
        <v>166000000000002</v>
      </c>
      <c r="G39" s="40" t="s">
        <v>309</v>
      </c>
      <c r="H39" s="39" t="s">
        <v>209</v>
      </c>
      <c r="I39" s="40" t="s">
        <v>366</v>
      </c>
      <c r="J39" s="66"/>
      <c r="K39" s="39"/>
      <c r="M39" s="32">
        <f t="shared" ca="1" si="2"/>
        <v>167000000000036</v>
      </c>
      <c r="N39" s="6" t="str">
        <f t="shared" ca="1" si="0"/>
        <v>PERFORM "SchData-OLTP-Master"."Func_TblBankAccount_SET"(varSystemLoginSession, null, null, null, null, null, varInstitutionBranchID, varBaseCurrencyID, 166000000000002, '019301003667309', 'PT QDC Technologies', 62000000000001, 124000000000001);</v>
      </c>
    </row>
    <row r="40" spans="2:14" x14ac:dyDescent="0.2">
      <c r="B40" s="25">
        <v>124000000000001</v>
      </c>
      <c r="C40" s="19"/>
      <c r="D40" s="17" t="str">
        <f>IF(EXACT($B40, ""), "", IF((FLOOR($B40/1000000000000, 1) = 124), VLOOKUP($B40, '[1]DataLookUp - InstitutionBranch'!$B$4:$C$2000, 2, FALSE), IF((FLOOR($B40/1000000000000, 1) = 25), VLOOKUP($B40, [2]DataLookUp!$B$4:$D$2000, 2, FALSE), "xx")))</f>
        <v>PT. QDC Technologies</v>
      </c>
      <c r="E40" s="39" t="s">
        <v>199</v>
      </c>
      <c r="F40" s="51">
        <f ca="1">VLOOKUP($E40, OFFSET([3]MAIN!$B$2, 0, 0, 100, 6), 5, FALSE)</f>
        <v>166000000000002</v>
      </c>
      <c r="G40" s="40" t="s">
        <v>314</v>
      </c>
      <c r="H40" s="39" t="s">
        <v>209</v>
      </c>
      <c r="I40" s="40" t="s">
        <v>366</v>
      </c>
      <c r="J40" s="66"/>
      <c r="K40" s="39"/>
      <c r="M40" s="32">
        <f t="shared" ca="1" si="2"/>
        <v>167000000000037</v>
      </c>
      <c r="N40" s="6" t="str">
        <f t="shared" ca="1" si="0"/>
        <v>PERFORM "SchData-OLTP-Master"."Func_TblBankAccount_SET"(varSystemLoginSession, null, null, null, null, null, varInstitutionBranchID, varBaseCurrencyID, 166000000000002, '019301003718304', 'PT QDC Technologies', 62000000000001, 124000000000001);</v>
      </c>
    </row>
    <row r="41" spans="2:14" x14ac:dyDescent="0.2">
      <c r="B41" s="25">
        <v>124000000000001</v>
      </c>
      <c r="C41" s="19"/>
      <c r="D41" s="17" t="str">
        <f>IF(EXACT($B41, ""), "", IF((FLOOR($B41/1000000000000, 1) = 124), VLOOKUP($B41, '[1]DataLookUp - InstitutionBranch'!$B$4:$C$2000, 2, FALSE), IF((FLOOR($B41/1000000000000, 1) = 25), VLOOKUP($B41, [2]DataLookUp!$B$4:$D$2000, 2, FALSE), "xx")))</f>
        <v>PT. QDC Technologies</v>
      </c>
      <c r="E41" s="39" t="s">
        <v>199</v>
      </c>
      <c r="F41" s="51">
        <f ca="1">VLOOKUP($E41, OFFSET([3]MAIN!$B$2, 0, 0, 100, 6), 5, FALSE)</f>
        <v>166000000000002</v>
      </c>
      <c r="G41" s="40" t="s">
        <v>315</v>
      </c>
      <c r="H41" s="39" t="s">
        <v>209</v>
      </c>
      <c r="I41" s="40" t="s">
        <v>366</v>
      </c>
      <c r="J41" s="66"/>
      <c r="K41" s="39"/>
      <c r="M41" s="32">
        <f t="shared" ca="1" si="2"/>
        <v>167000000000038</v>
      </c>
      <c r="N41" s="6" t="str">
        <f t="shared" ca="1" si="0"/>
        <v>PERFORM "SchData-OLTP-Master"."Func_TblBankAccount_SET"(varSystemLoginSession, null, null, null, null, null, varInstitutionBranchID, varBaseCurrencyID, 166000000000002, '019301003719300', 'PT QDC Technologies', 62000000000001, 124000000000001);</v>
      </c>
    </row>
    <row r="42" spans="2:14" x14ac:dyDescent="0.2">
      <c r="B42" s="25">
        <v>124000000000001</v>
      </c>
      <c r="C42" s="19"/>
      <c r="D42" s="17" t="str">
        <f>IF(EXACT($B42, ""), "", IF((FLOOR($B42/1000000000000, 1) = 124), VLOOKUP($B42, '[1]DataLookUp - InstitutionBranch'!$B$4:$C$2000, 2, FALSE), IF((FLOOR($B42/1000000000000, 1) = 25), VLOOKUP($B42, [2]DataLookUp!$B$4:$D$2000, 2, FALSE), "xx")))</f>
        <v>PT. QDC Technologies</v>
      </c>
      <c r="E42" s="39" t="s">
        <v>199</v>
      </c>
      <c r="F42" s="51">
        <f ca="1">VLOOKUP($E42, OFFSET([3]MAIN!$B$2, 0, 0, 100, 6), 5, FALSE)</f>
        <v>166000000000002</v>
      </c>
      <c r="G42" s="40" t="s">
        <v>316</v>
      </c>
      <c r="H42" s="39" t="s">
        <v>209</v>
      </c>
      <c r="I42" s="40" t="s">
        <v>366</v>
      </c>
      <c r="J42" s="66"/>
      <c r="K42" s="39"/>
      <c r="M42" s="32">
        <f t="shared" ca="1" si="2"/>
        <v>167000000000039</v>
      </c>
      <c r="N42" s="6" t="str">
        <f t="shared" ca="1" si="0"/>
        <v>PERFORM "SchData-OLTP-Master"."Func_TblBankAccount_SET"(varSystemLoginSession, null, null, null, null, null, varInstitutionBranchID, varBaseCurrencyID, 166000000000002, '019301003720301', 'PT QDC Technologies', 62000000000001, 124000000000001);</v>
      </c>
    </row>
    <row r="43" spans="2:14" x14ac:dyDescent="0.2">
      <c r="B43" s="25">
        <v>124000000000001</v>
      </c>
      <c r="C43" s="19"/>
      <c r="D43" s="17" t="str">
        <f>IF(EXACT($B43, ""), "", IF((FLOOR($B43/1000000000000, 1) = 124), VLOOKUP($B43, '[1]DataLookUp - InstitutionBranch'!$B$4:$C$2000, 2, FALSE), IF((FLOOR($B43/1000000000000, 1) = 25), VLOOKUP($B43, [2]DataLookUp!$B$4:$D$2000, 2, FALSE), "xx")))</f>
        <v>PT. QDC Technologies</v>
      </c>
      <c r="E43" s="39" t="s">
        <v>199</v>
      </c>
      <c r="F43" s="51">
        <f ca="1">VLOOKUP($E43, OFFSET([3]MAIN!$B$2, 0, 0, 100, 6), 5, FALSE)</f>
        <v>166000000000002</v>
      </c>
      <c r="G43" s="40" t="s">
        <v>317</v>
      </c>
      <c r="H43" s="39" t="s">
        <v>209</v>
      </c>
      <c r="I43" s="40" t="s">
        <v>366</v>
      </c>
      <c r="J43" s="66"/>
      <c r="K43" s="39"/>
      <c r="M43" s="32">
        <f t="shared" ca="1" si="2"/>
        <v>167000000000040</v>
      </c>
      <c r="N43" s="6" t="str">
        <f t="shared" ca="1" si="0"/>
        <v>PERFORM "SchData-OLTP-Master"."Func_TblBankAccount_SET"(varSystemLoginSession, null, null, null, null, null, varInstitutionBranchID, varBaseCurrencyID, 166000000000002, '019301003881301', 'PT QDC Technologies', 62000000000001, 124000000000001);</v>
      </c>
    </row>
    <row r="44" spans="2:14" x14ac:dyDescent="0.2">
      <c r="B44" s="25">
        <v>124000000000001</v>
      </c>
      <c r="C44" s="19"/>
      <c r="D44" s="17" t="str">
        <f>IF(EXACT($B44, ""), "", IF((FLOOR($B44/1000000000000, 1) = 124), VLOOKUP($B44, '[1]DataLookUp - InstitutionBranch'!$B$4:$C$2000, 2, FALSE), IF((FLOOR($B44/1000000000000, 1) = 25), VLOOKUP($B44, [2]DataLookUp!$B$4:$D$2000, 2, FALSE), "xx")))</f>
        <v>PT. QDC Technologies</v>
      </c>
      <c r="E44" s="39" t="s">
        <v>199</v>
      </c>
      <c r="F44" s="51">
        <f ca="1">VLOOKUP($E44, OFFSET([3]MAIN!$B$2, 0, 0, 100, 6), 5, FALSE)</f>
        <v>166000000000002</v>
      </c>
      <c r="G44" s="40" t="s">
        <v>306</v>
      </c>
      <c r="H44" s="39" t="s">
        <v>209</v>
      </c>
      <c r="I44" s="40" t="s">
        <v>366</v>
      </c>
      <c r="J44" s="66"/>
      <c r="K44" s="39"/>
      <c r="M44" s="32">
        <f t="shared" ca="1" si="2"/>
        <v>167000000000041</v>
      </c>
      <c r="N44" s="6" t="str">
        <f t="shared" ca="1" si="0"/>
        <v>PERFORM "SchData-OLTP-Master"."Func_TblBankAccount_SET"(varSystemLoginSession, null, null, null, null, null, varInstitutionBranchID, varBaseCurrencyID, 166000000000002, '035901002067300', 'PT QDC Technologies', 62000000000001, 124000000000001);</v>
      </c>
    </row>
    <row r="45" spans="2:14" x14ac:dyDescent="0.2">
      <c r="B45" s="25">
        <v>124000000000001</v>
      </c>
      <c r="C45" s="19"/>
      <c r="D45" s="17" t="str">
        <f>IF(EXACT($B45, ""), "", IF((FLOOR($B45/1000000000000, 1) = 124), VLOOKUP($B45, '[1]DataLookUp - InstitutionBranch'!$B$4:$C$2000, 2, FALSE), IF((FLOOR($B45/1000000000000, 1) = 25), VLOOKUP($B45, [2]DataLookUp!$B$4:$D$2000, 2, FALSE), "xx")))</f>
        <v>PT. QDC Technologies</v>
      </c>
      <c r="E45" s="39" t="s">
        <v>199</v>
      </c>
      <c r="F45" s="51">
        <f ca="1">VLOOKUP($E45, OFFSET([3]MAIN!$B$2, 0, 0, 100, 6), 5, FALSE)</f>
        <v>166000000000002</v>
      </c>
      <c r="G45" s="40" t="s">
        <v>384</v>
      </c>
      <c r="H45" s="39" t="s">
        <v>209</v>
      </c>
      <c r="I45" s="40" t="s">
        <v>366</v>
      </c>
      <c r="J45" s="66"/>
      <c r="K45" s="39"/>
      <c r="M45" s="32">
        <f t="shared" ca="1" si="2"/>
        <v>167000000000042</v>
      </c>
      <c r="N45" s="6" t="str">
        <f t="shared" ca="1" si="0"/>
        <v>PERFORM "SchData-OLTP-Master"."Func_TblBankAccount_SET"(varSystemLoginSession, null, null, null, null, null, varInstitutionBranchID, varBaseCurrencyID, 166000000000002, '035901002951305', 'PT QDC Technologies', 62000000000001, 124000000000001);</v>
      </c>
    </row>
    <row r="46" spans="2:14" x14ac:dyDescent="0.2">
      <c r="B46" s="25">
        <v>124000000000001</v>
      </c>
      <c r="C46" s="19"/>
      <c r="D46" s="17" t="str">
        <f>IF(EXACT($B46, ""), "", IF((FLOOR($B46/1000000000000, 1) = 124), VLOOKUP($B46, '[1]DataLookUp - InstitutionBranch'!$B$4:$C$2000, 2, FALSE), IF((FLOOR($B46/1000000000000, 1) = 25), VLOOKUP($B46, [2]DataLookUp!$B$4:$D$2000, 2, FALSE), "xx")))</f>
        <v>PT. QDC Technologies</v>
      </c>
      <c r="E46" s="39" t="s">
        <v>199</v>
      </c>
      <c r="F46" s="51">
        <f ca="1">VLOOKUP($E46, OFFSET([3]MAIN!$B$2, 0, 0, 100, 6), 5, FALSE)</f>
        <v>166000000000002</v>
      </c>
      <c r="G46" s="40" t="s">
        <v>386</v>
      </c>
      <c r="H46" s="39" t="s">
        <v>209</v>
      </c>
      <c r="I46" s="40" t="s">
        <v>366</v>
      </c>
      <c r="J46" s="66"/>
      <c r="K46" s="39"/>
      <c r="M46" s="32">
        <f t="shared" ca="1" si="2"/>
        <v>167000000000043</v>
      </c>
      <c r="N46" s="6" t="str">
        <f t="shared" ca="1" si="0"/>
        <v>PERFORM "SchData-OLTP-Master"."Func_TblBankAccount_SET"(varSystemLoginSession, null, null, null, null, null, varInstitutionBranchID, varBaseCurrencyID, 166000000000002, '035901002958307', 'PT QDC Technologies', 62000000000001, 124000000000001);</v>
      </c>
    </row>
    <row r="47" spans="2:14" x14ac:dyDescent="0.2">
      <c r="B47" s="25">
        <v>124000000000001</v>
      </c>
      <c r="C47" s="19"/>
      <c r="D47" s="17" t="str">
        <f>IF(EXACT($B47, ""), "", IF((FLOOR($B47/1000000000000, 1) = 124), VLOOKUP($B47, '[1]DataLookUp - InstitutionBranch'!$B$4:$C$2000, 2, FALSE), IF((FLOOR($B47/1000000000000, 1) = 25), VLOOKUP($B47, [2]DataLookUp!$B$4:$D$2000, 2, FALSE), "xx")))</f>
        <v>PT. QDC Technologies</v>
      </c>
      <c r="E47" s="39" t="s">
        <v>199</v>
      </c>
      <c r="F47" s="51">
        <f ca="1">VLOOKUP($E47, OFFSET([3]MAIN!$B$2, 0, 0, 100, 6), 5, FALSE)</f>
        <v>166000000000002</v>
      </c>
      <c r="G47" s="40" t="s">
        <v>319</v>
      </c>
      <c r="H47" s="39" t="s">
        <v>209</v>
      </c>
      <c r="I47" s="40" t="s">
        <v>366</v>
      </c>
      <c r="J47" s="66"/>
      <c r="K47" s="39"/>
      <c r="M47" s="32">
        <f t="shared" ca="1" si="2"/>
        <v>167000000000044</v>
      </c>
      <c r="N47" s="6" t="str">
        <f t="shared" ca="1" si="0"/>
        <v>PERFORM "SchData-OLTP-Master"."Func_TblBankAccount_SET"(varSystemLoginSession, null, null, null, null, null, varInstitutionBranchID, varBaseCurrencyID, 166000000000002, '044101001553563', 'PT QDC Technologies', 62000000000001, 124000000000001);</v>
      </c>
    </row>
    <row r="48" spans="2:14" x14ac:dyDescent="0.2">
      <c r="B48" s="25">
        <v>124000000000001</v>
      </c>
      <c r="C48" s="19"/>
      <c r="D48" s="17" t="str">
        <f>IF(EXACT($B48, ""), "", IF((FLOOR($B48/1000000000000, 1) = 124), VLOOKUP($B48, '[1]DataLookUp - InstitutionBranch'!$B$4:$C$2000, 2, FALSE), IF((FLOOR($B48/1000000000000, 1) = 25), VLOOKUP($B48, [2]DataLookUp!$B$4:$D$2000, 2, FALSE), "xx")))</f>
        <v>PT. QDC Technologies</v>
      </c>
      <c r="E48" s="39" t="s">
        <v>199</v>
      </c>
      <c r="F48" s="51">
        <f ca="1">VLOOKUP($E48, OFFSET([3]MAIN!$B$2, 0, 0, 100, 6), 5, FALSE)</f>
        <v>166000000000002</v>
      </c>
      <c r="G48" s="40" t="s">
        <v>327</v>
      </c>
      <c r="H48" s="39" t="s">
        <v>209</v>
      </c>
      <c r="I48" s="40" t="s">
        <v>366</v>
      </c>
      <c r="J48" s="66"/>
      <c r="K48" s="39"/>
      <c r="M48" s="32">
        <f t="shared" ca="1" si="2"/>
        <v>167000000000045</v>
      </c>
      <c r="N48" s="6" t="str">
        <f t="shared" ca="1" si="0"/>
        <v>PERFORM "SchData-OLTP-Master"."Func_TblBankAccount_SET"(varSystemLoginSession, null, null, null, null, null, varInstitutionBranchID, varBaseCurrencyID, 166000000000002, '044101002094300', 'PT QDC Technologies', 62000000000001, 124000000000001);</v>
      </c>
    </row>
    <row r="49" spans="2:15" x14ac:dyDescent="0.2">
      <c r="B49" s="25">
        <v>124000000000001</v>
      </c>
      <c r="C49" s="19"/>
      <c r="D49" s="17" t="str">
        <f>IF(EXACT($B49, ""), "", IF((FLOOR($B49/1000000000000, 1) = 124), VLOOKUP($B49, '[1]DataLookUp - InstitutionBranch'!$B$4:$C$2000, 2, FALSE), IF((FLOOR($B49/1000000000000, 1) = 25), VLOOKUP($B49, [2]DataLookUp!$B$4:$D$2000, 2, FALSE), "xx")))</f>
        <v>PT. QDC Technologies</v>
      </c>
      <c r="E49" s="39" t="s">
        <v>199</v>
      </c>
      <c r="F49" s="51">
        <f ca="1">VLOOKUP($E49, OFFSET([3]MAIN!$B$2, 0, 0, 100, 6), 5, FALSE)</f>
        <v>166000000000002</v>
      </c>
      <c r="G49" s="40" t="s">
        <v>242</v>
      </c>
      <c r="H49" s="39" t="s">
        <v>209</v>
      </c>
      <c r="I49" s="40" t="s">
        <v>366</v>
      </c>
      <c r="J49" s="66"/>
      <c r="K49" s="39"/>
      <c r="M49" s="32">
        <f t="shared" ca="1" si="2"/>
        <v>167000000000046</v>
      </c>
      <c r="N49" s="6" t="str">
        <f t="shared" ca="1" si="0"/>
        <v>PERFORM "SchData-OLTP-Master"."Func_TblBankAccount_SET"(varSystemLoginSession, null, null, null, null, null, varInstitutionBranchID, varBaseCurrencyID, 166000000000002, '053801000258309', 'PT QDC Technologies', 62000000000001, 124000000000001);</v>
      </c>
    </row>
    <row r="50" spans="2:15" x14ac:dyDescent="0.2">
      <c r="B50" s="25">
        <v>124000000000001</v>
      </c>
      <c r="C50" s="19"/>
      <c r="D50" s="17" t="str">
        <f>IF(EXACT($B50, ""), "", IF((FLOOR($B50/1000000000000, 1) = 124), VLOOKUP($B50, '[1]DataLookUp - InstitutionBranch'!$B$4:$C$2000, 2, FALSE), IF((FLOOR($B50/1000000000000, 1) = 25), VLOOKUP($B50, [2]DataLookUp!$B$4:$D$2000, 2, FALSE), "xx")))</f>
        <v>PT. QDC Technologies</v>
      </c>
      <c r="E50" s="39" t="s">
        <v>199</v>
      </c>
      <c r="F50" s="51">
        <f ca="1">VLOOKUP($E50, OFFSET([3]MAIN!$B$2, 0, 0, 100, 6), 5, FALSE)</f>
        <v>166000000000002</v>
      </c>
      <c r="G50" s="40" t="s">
        <v>340</v>
      </c>
      <c r="H50" s="39" t="s">
        <v>209</v>
      </c>
      <c r="I50" s="40" t="s">
        <v>366</v>
      </c>
      <c r="J50" s="66"/>
      <c r="K50" s="39"/>
      <c r="M50" s="32">
        <f t="shared" ca="1" si="2"/>
        <v>167000000000047</v>
      </c>
      <c r="N50" s="6" t="str">
        <f t="shared" ca="1" si="0"/>
        <v>PERFORM "SchData-OLTP-Master"."Func_TblBankAccount_SET"(varSystemLoginSession, null, null, null, null, null, varInstitutionBranchID, varBaseCurrencyID, 166000000000002, '34101002394304', 'PT QDC Technologies', 62000000000001, 124000000000001);</v>
      </c>
    </row>
    <row r="51" spans="2:15" x14ac:dyDescent="0.2">
      <c r="B51" s="25">
        <v>124000000000001</v>
      </c>
      <c r="C51" s="19"/>
      <c r="D51" s="17" t="str">
        <f>IF(EXACT($B51, ""), "", IF((FLOOR($B51/1000000000000, 1) = 124), VLOOKUP($B51, '[1]DataLookUp - InstitutionBranch'!$B$4:$C$2000, 2, FALSE), IF((FLOOR($B51/1000000000000, 1) = 25), VLOOKUP($B51, [2]DataLookUp!$B$4:$D$2000, 2, FALSE), "xx")))</f>
        <v>PT. QDC Technologies</v>
      </c>
      <c r="E51" s="39" t="s">
        <v>199</v>
      </c>
      <c r="F51" s="51">
        <f ca="1">VLOOKUP($E51, OFFSET([3]MAIN!$B$2, 0, 0, 100, 6), 5, FALSE)</f>
        <v>166000000000002</v>
      </c>
      <c r="G51" s="40" t="s">
        <v>343</v>
      </c>
      <c r="H51" s="39" t="s">
        <v>209</v>
      </c>
      <c r="I51" s="40" t="s">
        <v>365</v>
      </c>
      <c r="J51" s="66"/>
      <c r="K51" s="39"/>
      <c r="M51" s="32">
        <f t="shared" ca="1" si="2"/>
        <v>167000000000048</v>
      </c>
      <c r="N51" s="6" t="str">
        <f t="shared" ca="1" si="0"/>
        <v>PERFORM "SchData-OLTP-Master"."Func_TblBankAccount_SET"(varSystemLoginSession, null, null, null, null, null, varInstitutionBranchID, varBaseCurrencyID, 166000000000002, '34101002395300', 'PT QDC Technologies', 62000000000002, 124000000000001);</v>
      </c>
    </row>
    <row r="52" spans="2:15" x14ac:dyDescent="0.2">
      <c r="B52" s="25">
        <v>124000000000001</v>
      </c>
      <c r="C52" s="19"/>
      <c r="D52" s="17" t="str">
        <f>IF(EXACT($B52, ""), "", IF((FLOOR($B52/1000000000000, 1) = 124), VLOOKUP($B52, '[1]DataLookUp - InstitutionBranch'!$B$4:$C$2000, 2, FALSE), IF((FLOOR($B52/1000000000000, 1) = 25), VLOOKUP($B52, [2]DataLookUp!$B$4:$D$2000, 2, FALSE), "xx")))</f>
        <v>PT. QDC Technologies</v>
      </c>
      <c r="E52" s="39" t="s">
        <v>348</v>
      </c>
      <c r="F52" s="51">
        <f ca="1">VLOOKUP($E52, OFFSET([3]MAIN!$B$2, 0, 0, 100, 6), 5, FALSE)</f>
        <v>166000000000016</v>
      </c>
      <c r="G52" s="40" t="s">
        <v>233</v>
      </c>
      <c r="H52" s="39" t="s">
        <v>209</v>
      </c>
      <c r="I52" s="40" t="s">
        <v>365</v>
      </c>
      <c r="J52" s="66"/>
      <c r="K52" s="39"/>
      <c r="M52" s="32">
        <f t="shared" ca="1" si="2"/>
        <v>167000000000049</v>
      </c>
      <c r="N52" s="6" t="str">
        <f t="shared" ca="1" si="0"/>
        <v>PERFORM "SchData-OLTP-Master"."Func_TblBankAccount_SET"(varSystemLoginSession, null, null, null, null, null, varInstitutionBranchID, varBaseCurrencyID, 166000000000016, '30601430287', 'PT QDC Technologies', 62000000000002, 124000000000001);</v>
      </c>
    </row>
    <row r="53" spans="2:15" x14ac:dyDescent="0.2">
      <c r="B53" s="25">
        <v>124000000000001</v>
      </c>
      <c r="C53" s="19"/>
      <c r="D53" s="17" t="str">
        <f>IF(EXACT($B53, ""), "", IF((FLOOR($B53/1000000000000, 1) = 124), VLOOKUP($B53, '[1]DataLookUp - InstitutionBranch'!$B$4:$C$2000, 2, FALSE), IF((FLOOR($B53/1000000000000, 1) = 25), VLOOKUP($B53, [2]DataLookUp!$B$4:$D$2000, 2, FALSE), "xx")))</f>
        <v>PT. QDC Technologies</v>
      </c>
      <c r="E53" s="39" t="s">
        <v>348</v>
      </c>
      <c r="F53" s="51">
        <f ca="1">VLOOKUP($E53, OFFSET([3]MAIN!$B$2, 0, 0, 100, 6), 5, FALSE)</f>
        <v>166000000000016</v>
      </c>
      <c r="G53" s="40" t="s">
        <v>234</v>
      </c>
      <c r="H53" s="39" t="s">
        <v>209</v>
      </c>
      <c r="I53" s="40" t="s">
        <v>366</v>
      </c>
      <c r="J53" s="66"/>
      <c r="K53" s="39"/>
      <c r="M53" s="32">
        <f t="shared" ca="1" si="2"/>
        <v>167000000000050</v>
      </c>
      <c r="N53" s="6" t="str">
        <f t="shared" ca="1" si="0"/>
        <v>PERFORM "SchData-OLTP-Master"."Func_TblBankAccount_SET"(varSystemLoginSession, null, null, null, null, null, varInstitutionBranchID, varBaseCurrencyID, 166000000000016, '30601430325', 'PT QDC Technologies', 62000000000001, 124000000000001);</v>
      </c>
    </row>
    <row r="54" spans="2:15" x14ac:dyDescent="0.2">
      <c r="B54" s="25">
        <v>124000000000001</v>
      </c>
      <c r="C54" s="19"/>
      <c r="D54" s="17" t="str">
        <f>IF(EXACT($B54, ""), "", IF((FLOOR($B54/1000000000000, 1) = 124), VLOOKUP($B54, '[1]DataLookUp - InstitutionBranch'!$B$4:$C$2000, 2, FALSE), IF((FLOOR($B54/1000000000000, 1) = 25), VLOOKUP($B54, [2]DataLookUp!$B$4:$D$2000, 2, FALSE), "xx")))</f>
        <v>PT. QDC Technologies</v>
      </c>
      <c r="E54" s="39" t="s">
        <v>348</v>
      </c>
      <c r="F54" s="51">
        <f ca="1">VLOOKUP($E54, OFFSET([3]MAIN!$B$2, 0, 0, 100, 6), 5, FALSE)</f>
        <v>166000000000016</v>
      </c>
      <c r="G54" s="40" t="s">
        <v>225</v>
      </c>
      <c r="H54" s="39" t="s">
        <v>209</v>
      </c>
      <c r="I54" s="40" t="s">
        <v>366</v>
      </c>
      <c r="J54" s="66"/>
      <c r="K54" s="39"/>
      <c r="M54" s="32">
        <f t="shared" ca="1" si="2"/>
        <v>167000000000051</v>
      </c>
      <c r="N54" s="6" t="str">
        <f t="shared" ca="1" si="0"/>
        <v>PERFORM "SchData-OLTP-Master"."Func_TblBankAccount_SET"(varSystemLoginSession, null, null, null, null, null, varInstitutionBranchID, varBaseCurrencyID, 166000000000016, '30601430376', 'PT QDC Technologies', 62000000000001, 124000000000001);</v>
      </c>
    </row>
    <row r="55" spans="2:15" x14ac:dyDescent="0.2">
      <c r="B55" s="25">
        <v>124000000000001</v>
      </c>
      <c r="C55" s="19"/>
      <c r="D55" s="17" t="str">
        <f>IF(EXACT($B55, ""), "", IF((FLOOR($B55/1000000000000, 1) = 124), VLOOKUP($B55, '[1]DataLookUp - InstitutionBranch'!$B$4:$C$2000, 2, FALSE), IF((FLOOR($B55/1000000000000, 1) = 25), VLOOKUP($B55, [2]DataLookUp!$B$4:$D$2000, 2, FALSE), "xx")))</f>
        <v>PT. QDC Technologies</v>
      </c>
      <c r="E55" s="39" t="s">
        <v>348</v>
      </c>
      <c r="F55" s="51">
        <f ca="1">VLOOKUP($E55, OFFSET([3]MAIN!$B$2, 0, 0, 100, 6), 5, FALSE)</f>
        <v>166000000000016</v>
      </c>
      <c r="G55" s="40" t="s">
        <v>235</v>
      </c>
      <c r="H55" s="39" t="s">
        <v>209</v>
      </c>
      <c r="I55" s="40" t="s">
        <v>366</v>
      </c>
      <c r="J55" s="66"/>
      <c r="K55" s="39"/>
      <c r="M55" s="32">
        <f t="shared" ca="1" si="2"/>
        <v>167000000000052</v>
      </c>
      <c r="N55" s="6" t="str">
        <f t="shared" ca="1" si="0"/>
        <v>PERFORM "SchData-OLTP-Master"."Func_TblBankAccount_SET"(varSystemLoginSession, null, null, null, null, null, varInstitutionBranchID, varBaseCurrencyID, 166000000000016, '30601430414', 'PT QDC Technologies', 62000000000001, 124000000000001);</v>
      </c>
    </row>
    <row r="56" spans="2:15" x14ac:dyDescent="0.2">
      <c r="B56" s="25">
        <v>124000000000001</v>
      </c>
      <c r="C56" s="19"/>
      <c r="D56" s="17" t="str">
        <f>IF(EXACT($B56, ""), "", IF((FLOOR($B56/1000000000000, 1) = 124), VLOOKUP($B56, '[1]DataLookUp - InstitutionBranch'!$B$4:$C$2000, 2, FALSE), IF((FLOOR($B56/1000000000000, 1) = 25), VLOOKUP($B56, [2]DataLookUp!$B$4:$D$2000, 2, FALSE), "xx")))</f>
        <v>PT. QDC Technologies</v>
      </c>
      <c r="E56" s="39" t="s">
        <v>347</v>
      </c>
      <c r="F56" s="51">
        <f ca="1">VLOOKUP($E56, OFFSET([3]MAIN!$B$2, 0, 0, 100, 6), 5, FALSE)</f>
        <v>166000000000010</v>
      </c>
      <c r="G56" s="40" t="s">
        <v>250</v>
      </c>
      <c r="H56" s="39" t="s">
        <v>209</v>
      </c>
      <c r="I56" s="40" t="s">
        <v>366</v>
      </c>
      <c r="J56" s="66"/>
      <c r="K56" s="39"/>
      <c r="M56" s="32">
        <f t="shared" ca="1" si="2"/>
        <v>167000000000053</v>
      </c>
      <c r="N56" s="6" t="str">
        <f t="shared" ca="1" si="0"/>
        <v>PERFORM "SchData-OLTP-Master"."Func_TblBankAccount_SET"(varSystemLoginSession, null, null, null, null, null, varInstitutionBranchID, varBaseCurrencyID, 166000000000010, '1006777593', 'PT QDC Technologies', 62000000000001, 124000000000001);</v>
      </c>
    </row>
    <row r="57" spans="2:15" x14ac:dyDescent="0.2">
      <c r="B57" s="25">
        <v>124000000000001</v>
      </c>
      <c r="C57" s="19"/>
      <c r="D57" s="17" t="str">
        <f>IF(EXACT($B57, ""), "", IF((FLOOR($B57/1000000000000, 1) = 124), VLOOKUP($B57, '[1]DataLookUp - InstitutionBranch'!$B$4:$C$2000, 2, FALSE), IF((FLOOR($B57/1000000000000, 1) = 25), VLOOKUP($B57, [2]DataLookUp!$B$4:$D$2000, 2, FALSE), "xx")))</f>
        <v>PT. QDC Technologies</v>
      </c>
      <c r="E57" s="39" t="s">
        <v>347</v>
      </c>
      <c r="F57" s="51">
        <f ca="1">VLOOKUP($E57, OFFSET([3]MAIN!$B$2, 0, 0, 100, 6), 5, FALSE)</f>
        <v>166000000000010</v>
      </c>
      <c r="G57" s="40" t="s">
        <v>344</v>
      </c>
      <c r="H57" s="39" t="s">
        <v>209</v>
      </c>
      <c r="I57" s="40" t="s">
        <v>366</v>
      </c>
      <c r="J57" s="66"/>
      <c r="K57" s="39"/>
      <c r="M57" s="32">
        <f t="shared" ca="1" si="2"/>
        <v>167000000000054</v>
      </c>
      <c r="N57" s="6" t="str">
        <f t="shared" ca="1" si="0"/>
        <v>PERFORM "SchData-OLTP-Master"."Func_TblBankAccount_SET"(varSystemLoginSession, null, null, null, null, null, varInstitutionBranchID, varBaseCurrencyID, 166000000000010, '7240736928', 'PT QDC Technologies', 62000000000001, 124000000000001);</v>
      </c>
    </row>
    <row r="58" spans="2:15" x14ac:dyDescent="0.2">
      <c r="B58" s="25">
        <v>124000000000001</v>
      </c>
      <c r="C58" s="19"/>
      <c r="D58" s="17" t="str">
        <f>IF(EXACT($B58, ""), "", IF((FLOOR($B58/1000000000000, 1) = 124), VLOOKUP($B58, '[1]DataLookUp - InstitutionBranch'!$B$4:$C$2000, 2, FALSE), IF((FLOOR($B58/1000000000000, 1) = 25), VLOOKUP($B58, [2]DataLookUp!$B$4:$D$2000, 2, FALSE), "xx")))</f>
        <v>PT. QDC Technologies</v>
      </c>
      <c r="E58" s="39" t="s">
        <v>347</v>
      </c>
      <c r="F58" s="51">
        <f ca="1">VLOOKUP($E58, OFFSET([3]MAIN!$B$2, 0, 0, 100, 6), 5, FALSE)</f>
        <v>166000000000010</v>
      </c>
      <c r="G58" s="40" t="s">
        <v>332</v>
      </c>
      <c r="H58" s="39" t="s">
        <v>209</v>
      </c>
      <c r="I58" s="40" t="s">
        <v>366</v>
      </c>
      <c r="J58" s="66"/>
      <c r="K58" s="39"/>
      <c r="M58" s="32">
        <f t="shared" ca="1" si="2"/>
        <v>167000000000055</v>
      </c>
      <c r="N58" s="6" t="str">
        <f t="shared" ca="1" si="0"/>
        <v>PERFORM "SchData-OLTP-Master"."Func_TblBankAccount_SET"(varSystemLoginSession, null, null, null, null, null, varInstitutionBranchID, varBaseCurrencyID, 166000000000010, '7240741347', 'PT QDC Technologies', 62000000000001, 124000000000001);</v>
      </c>
    </row>
    <row r="59" spans="2:15" x14ac:dyDescent="0.2">
      <c r="B59" s="25">
        <v>124000000000001</v>
      </c>
      <c r="C59" s="19"/>
      <c r="D59" s="17" t="str">
        <f>IF(EXACT($B59, ""), "", IF((FLOOR($B59/1000000000000, 1) = 124), VLOOKUP($B59, '[1]DataLookUp - InstitutionBranch'!$B$4:$C$2000, 2, FALSE), IF((FLOOR($B59/1000000000000, 1) = 25), VLOOKUP($B59, [2]DataLookUp!$B$4:$D$2000, 2, FALSE), "xx")))</f>
        <v>PT. QDC Technologies</v>
      </c>
      <c r="E59" s="39" t="s">
        <v>356</v>
      </c>
      <c r="F59" s="63">
        <f ca="1">VLOOKUP($E59, OFFSET([3]MAIN!$B$2, 0, 0, 100, 6), 5, FALSE)</f>
        <v>166000000000004</v>
      </c>
      <c r="G59" s="40" t="s">
        <v>261</v>
      </c>
      <c r="H59" s="39" t="s">
        <v>209</v>
      </c>
      <c r="I59" s="40" t="s">
        <v>366</v>
      </c>
      <c r="J59" s="66"/>
      <c r="K59" s="39"/>
      <c r="M59" s="32">
        <f t="shared" ca="1" si="2"/>
        <v>167000000000056</v>
      </c>
      <c r="N59" s="6" t="str">
        <f t="shared" ca="1" si="0"/>
        <v>PERFORM "SchData-OLTP-Master"."Func_TblBankAccount_SET"(varSystemLoginSession, null, null, null, null, null, varInstitutionBranchID, varBaseCurrencyID, 166000000000004, '0100201300000052', 'PT QDC Technologies', 62000000000001, 124000000000001);</v>
      </c>
    </row>
    <row r="60" spans="2:15" ht="6" customHeight="1" x14ac:dyDescent="0.2">
      <c r="B60" s="26"/>
      <c r="C60" s="67"/>
      <c r="D60" s="68"/>
      <c r="E60" s="68"/>
      <c r="F60" s="26"/>
      <c r="G60" s="26"/>
      <c r="H60" s="68"/>
      <c r="I60" s="69"/>
      <c r="J60" s="70"/>
      <c r="K60" s="68"/>
      <c r="L60" s="2"/>
      <c r="M60" s="32">
        <f t="shared" ca="1" si="2"/>
        <v>167000000000056</v>
      </c>
      <c r="N60" s="7" t="str">
        <f t="shared" si="0"/>
        <v/>
      </c>
      <c r="O60" s="2"/>
    </row>
    <row r="61" spans="2:15" x14ac:dyDescent="0.2">
      <c r="B61" s="72">
        <v>25000000000439</v>
      </c>
      <c r="C61" s="33" t="str">
        <f>_xlfn.IFNA(IF(EXACT($B61, ""), "", VLOOKUP($B61, [4]DataLookUp!$C$4:$G$999, 3, FALSE )), "")</f>
        <v>030717839</v>
      </c>
      <c r="D61" s="34" t="str">
        <f>IF(EXACT($B61, ""), "", IF((FLOOR($B61/1000000000000, 1) = 124), VLOOKUP($B61, '[1]DataLookUp - InstitutionBranch'!$B$4:$C$97, 2, FALSE), IF((FLOOR($B61/1000000000000, 1) = 25), VLOOKUP($B61, [2]DataLookUp!$B$4:$D$632, 2, FALSE), "xx")))</f>
        <v>Teguh Pratama Januzir Sukin</v>
      </c>
      <c r="E61" s="35" t="s">
        <v>197</v>
      </c>
      <c r="F61" s="50">
        <f ca="1">IF(EXACT(E61, ""), "", VLOOKUP($E61, OFFSET([3]MAIN!$B$2, 0, 0, 100, 6), 5, FALSE))</f>
        <v>166000000000005</v>
      </c>
      <c r="G61" s="36" t="s">
        <v>78</v>
      </c>
      <c r="H61" s="35" t="s">
        <v>81</v>
      </c>
      <c r="I61" s="36" t="s">
        <v>366</v>
      </c>
      <c r="J61" s="66"/>
      <c r="K61" s="39"/>
      <c r="M61" s="32">
        <f t="shared" ref="M61" ca="1" si="3" xml:space="preserve"> M60 + IF(EXACT(N61, ""), 0, 1)</f>
        <v>167000000000057</v>
      </c>
      <c r="N61" s="6" t="str">
        <f t="shared" ca="1" si="0"/>
        <v>PERFORM "SchData-OLTP-Master"."Func_TblBankAccount_SET"(varSystemLoginSession, null, null, null, null, null, varInstitutionBranchID, varBaseCurrencyID, 166000000000005, '6550289791', 'Teguh Pratama Januzir S', 62000000000001, 25000000000439);</v>
      </c>
    </row>
    <row r="62" spans="2:15" x14ac:dyDescent="0.2">
      <c r="B62" s="73">
        <v>25000000000439</v>
      </c>
      <c r="C62" s="37" t="str">
        <f>_xlfn.IFNA(IF(EXACT($B62, ""), "", VLOOKUP($B62, [4]DataLookUp!$C$4:$G$999, 3, FALSE )), "")</f>
        <v>030717839</v>
      </c>
      <c r="D62" s="38" t="str">
        <f>IF(EXACT($B62, ""), "", IF((FLOOR($B62/1000000000000, 1) = 124), VLOOKUP($B62, '[1]DataLookUp - InstitutionBranch'!$B$4:$C$97, 2, FALSE), IF((FLOOR($B62/1000000000000, 1) = 25), VLOOKUP($B62, [2]DataLookUp!$B$4:$D$632, 2, FALSE), "xx")))</f>
        <v>Teguh Pratama Januzir Sukin</v>
      </c>
      <c r="E62" s="39" t="s">
        <v>198</v>
      </c>
      <c r="F62" s="51">
        <f ca="1">IF(EXACT(E62, ""), "", VLOOKUP($E62, OFFSET([3]MAIN!$B$2, 0, 0, 100, 6), 5, FALSE))</f>
        <v>166000000000001</v>
      </c>
      <c r="G62" s="40" t="s">
        <v>79</v>
      </c>
      <c r="H62" s="39" t="s">
        <v>82</v>
      </c>
      <c r="I62" s="40" t="s">
        <v>366</v>
      </c>
      <c r="J62" s="66"/>
      <c r="K62" s="39"/>
      <c r="M62" s="32">
        <f t="shared" ref="M62:M125" ca="1" si="4" xml:space="preserve"> M61 + IF(EXACT(N62, ""), 0, 1)</f>
        <v>167000000000058</v>
      </c>
      <c r="N62" s="6" t="str">
        <f t="shared" ca="1" si="0"/>
        <v>PERFORM "SchData-OLTP-Master"."Func_TblBankAccount_SET"(varSystemLoginSession, null, null, null, null, null, varInstitutionBranchID, varBaseCurrencyID, 166000000000001, '121-00-0599441-7', 'Teguh Pratama Januzi', 62000000000001, 25000000000439);</v>
      </c>
    </row>
    <row r="63" spans="2:15" x14ac:dyDescent="0.2">
      <c r="B63" s="73">
        <v>25000000000439</v>
      </c>
      <c r="C63" s="37" t="str">
        <f>_xlfn.IFNA(IF(EXACT($B63, ""), "", VLOOKUP($B63, [4]DataLookUp!$C$4:$G$999, 3, FALSE )), "")</f>
        <v>030717839</v>
      </c>
      <c r="D63" s="38" t="str">
        <f>IF(EXACT($B63, ""), "", IF((FLOOR($B63/1000000000000, 1) = 124), VLOOKUP($B63, '[1]DataLookUp - InstitutionBranch'!$B$4:$C$97, 2, FALSE), IF((FLOOR($B63/1000000000000, 1) = 25), VLOOKUP($B63, [2]DataLookUp!$B$4:$D$632, 2, FALSE), "xx")))</f>
        <v>Teguh Pratama Januzir Sukin</v>
      </c>
      <c r="E63" s="39" t="s">
        <v>199</v>
      </c>
      <c r="F63" s="51">
        <f ca="1">IF(EXACT(E63, ""), "", VLOOKUP($E63, OFFSET([3]MAIN!$B$2, 0, 0, 100, 6), 5, FALSE))</f>
        <v>166000000000002</v>
      </c>
      <c r="G63" s="40" t="s">
        <v>80</v>
      </c>
      <c r="H63" s="39" t="s">
        <v>82</v>
      </c>
      <c r="I63" s="40" t="s">
        <v>366</v>
      </c>
      <c r="J63" s="66"/>
      <c r="K63" s="39"/>
      <c r="M63" s="32">
        <f t="shared" ca="1" si="4"/>
        <v>167000000000059</v>
      </c>
      <c r="N63" s="6" t="str">
        <f t="shared" ca="1" si="0"/>
        <v>PERFORM "SchData-OLTP-Master"."Func_TblBankAccount_SET"(varSystemLoginSession, null, null, null, null, null, varInstitutionBranchID, varBaseCurrencyID, 166000000000002, '0206-01-095647-50-4', 'Teguh Pratama Januzi', 62000000000001, 25000000000439);</v>
      </c>
    </row>
    <row r="64" spans="2:15" x14ac:dyDescent="0.2">
      <c r="B64" s="64">
        <v>25000000000382</v>
      </c>
      <c r="C64" s="37" t="str">
        <f>_xlfn.IFNA(IF(EXACT($B64, ""), "", VLOOKUP($B64, [4]DataLookUp!$C$4:$G$999, 3, FALSE )), "")</f>
        <v>210904088</v>
      </c>
      <c r="D64" s="38" t="str">
        <f>IF(EXACT($B64, ""), "", IF((FLOOR($B64/1000000000000, 1) = 124), VLOOKUP($B64, '[1]DataLookUp - InstitutionBranch'!$B$4:$C$97, 2, FALSE), IF((FLOOR($B64/1000000000000, 1) = 25), VLOOKUP($B64, [2]DataLookUp!$B$4:$D$632, 2, FALSE), "xx")))</f>
        <v>Abdul Samad</v>
      </c>
      <c r="E64" s="39" t="s">
        <v>197</v>
      </c>
      <c r="F64" s="51">
        <f ca="1">IF(EXACT(E64, ""), "", VLOOKUP($E64, OFFSET([3]MAIN!$B$2, 0, 0, 100, 6), 5, FALSE))</f>
        <v>166000000000005</v>
      </c>
      <c r="G64" s="40" t="s">
        <v>0</v>
      </c>
      <c r="H64" s="39" t="s">
        <v>74</v>
      </c>
      <c r="I64" s="40" t="s">
        <v>366</v>
      </c>
      <c r="J64" s="66"/>
      <c r="K64" s="39"/>
      <c r="M64" s="32">
        <f t="shared" ca="1" si="4"/>
        <v>167000000000060</v>
      </c>
      <c r="N64" s="6" t="str">
        <f t="shared" ca="1" si="0"/>
        <v>PERFORM "SchData-OLTP-Master"."Func_TblBankAccount_SET"(varSystemLoginSession, null, null, null, null, null, varInstitutionBranchID, varBaseCurrencyID, 166000000000005, '0060262641', 'Abd Samad', 62000000000001, 25000000000382);</v>
      </c>
    </row>
    <row r="65" spans="2:14" x14ac:dyDescent="0.2">
      <c r="B65" s="64">
        <v>25000000000514</v>
      </c>
      <c r="C65" s="37" t="str">
        <f>_xlfn.IFNA(IF(EXACT($B65, ""), "", VLOOKUP($B65, [4]DataLookUp!$C$4:$G$999, 3, FALSE )), "")</f>
        <v>110422962</v>
      </c>
      <c r="D65" s="38" t="str">
        <f>IF(EXACT($B65, ""), "", IF((FLOOR($B65/1000000000000, 1) = 124), VLOOKUP($B65, '[1]DataLookUp - InstitutionBranch'!$B$4:$C$97, 2, FALSE), IF((FLOOR($B65/1000000000000, 1) = 25), VLOOKUP($B65, [2]DataLookUp!$B$4:$D$632, 2, FALSE), "xx")))</f>
        <v>Achmad Yunadi</v>
      </c>
      <c r="E65" s="39" t="s">
        <v>197</v>
      </c>
      <c r="F65" s="51">
        <f ca="1">IF(EXACT(E65, ""), "", VLOOKUP($E65, OFFSET([3]MAIN!$B$2, 0, 0, 100, 6), 5, FALSE))</f>
        <v>166000000000005</v>
      </c>
      <c r="G65" s="40">
        <v>2040089643</v>
      </c>
      <c r="H65" s="39" t="s">
        <v>148</v>
      </c>
      <c r="I65" s="40" t="s">
        <v>366</v>
      </c>
      <c r="J65" s="66"/>
      <c r="K65" s="39"/>
      <c r="M65" s="32">
        <f t="shared" ca="1" si="4"/>
        <v>167000000000061</v>
      </c>
      <c r="N65" s="6" t="str">
        <f t="shared" ca="1" si="0"/>
        <v>PERFORM "SchData-OLTP-Master"."Func_TblBankAccount_SET"(varSystemLoginSession, null, null, null, null, null, varInstitutionBranchID, varBaseCurrencyID, 166000000000005, '2040089643', 'Achmad Yunadi', 62000000000001, 25000000000514);</v>
      </c>
    </row>
    <row r="66" spans="2:14" x14ac:dyDescent="0.2">
      <c r="B66" s="64">
        <v>25000000000012</v>
      </c>
      <c r="C66" s="37" t="str">
        <f>_xlfn.IFNA(IF(EXACT($B66, ""), "", VLOOKUP($B66, [4]DataLookUp!$C$4:$G$999, 3, FALSE )), "")</f>
        <v>010703020</v>
      </c>
      <c r="D66" s="38" t="str">
        <f>IF(EXACT($B66, ""), "", IF((FLOOR($B66/1000000000000, 1) = 124), VLOOKUP($B66, '[1]DataLookUp - InstitutionBranch'!$B$4:$C$97, 2, FALSE), IF((FLOOR($B66/1000000000000, 1) = 25), VLOOKUP($B66, [2]DataLookUp!$B$4:$D$632, 2, FALSE), "xx")))</f>
        <v>Agnes Sutedja</v>
      </c>
      <c r="E66" s="39" t="s">
        <v>197</v>
      </c>
      <c r="F66" s="51">
        <f ca="1">IF(EXACT(E66, ""), "", VLOOKUP($E66, OFFSET([3]MAIN!$B$2, 0, 0, 100, 6), 5, FALSE))</f>
        <v>166000000000005</v>
      </c>
      <c r="G66" s="40" t="s">
        <v>83</v>
      </c>
      <c r="H66" s="39" t="s">
        <v>149</v>
      </c>
      <c r="I66" s="40" t="s">
        <v>366</v>
      </c>
      <c r="J66" s="66"/>
      <c r="K66" s="39"/>
      <c r="M66" s="32">
        <f t="shared" ca="1" si="4"/>
        <v>167000000000062</v>
      </c>
      <c r="N66" s="6" t="str">
        <f t="shared" ca="1" si="0"/>
        <v>PERFORM "SchData-OLTP-Master"."Func_TblBankAccount_SET"(varSystemLoginSession, null, null, null, null, null, varInstitutionBranchID, varBaseCurrencyID, 166000000000005, '0350780718', 'The Giok Ing Agnes Suted', 62000000000001, 25000000000012);</v>
      </c>
    </row>
    <row r="67" spans="2:14" x14ac:dyDescent="0.2">
      <c r="B67" s="64">
        <v>25000000000549</v>
      </c>
      <c r="C67" s="37" t="str">
        <f>_xlfn.IFNA(IF(EXACT($B67, ""), "", VLOOKUP($B67, [4]DataLookUp!$C$4:$G$999, 3, FALSE )), "")</f>
        <v>311022972</v>
      </c>
      <c r="D67" s="38" t="str">
        <f>IF(EXACT($B67, ""), "", IF((FLOOR($B67/1000000000000, 1) = 124), VLOOKUP($B67, '[1]DataLookUp - InstitutionBranch'!$B$4:$C$97, 2, FALSE), IF((FLOOR($B67/1000000000000, 1) = 25), VLOOKUP($B67, [2]DataLookUp!$B$4:$D$632, 2, FALSE), "xx")))</f>
        <v>Agus Nuryadi</v>
      </c>
      <c r="E67" s="39" t="s">
        <v>197</v>
      </c>
      <c r="F67" s="51">
        <f ca="1">IF(EXACT(E67, ""), "", VLOOKUP($E67, OFFSET([3]MAIN!$B$2, 0, 0, 100, 6), 5, FALSE))</f>
        <v>166000000000005</v>
      </c>
      <c r="G67" s="40">
        <v>6821221339</v>
      </c>
      <c r="H67" s="39" t="s">
        <v>150</v>
      </c>
      <c r="I67" s="40" t="s">
        <v>366</v>
      </c>
      <c r="J67" s="66"/>
      <c r="K67" s="39"/>
      <c r="M67" s="32">
        <f t="shared" ca="1" si="4"/>
        <v>167000000000063</v>
      </c>
      <c r="N67" s="6" t="str">
        <f t="shared" ca="1" si="0"/>
        <v>PERFORM "SchData-OLTP-Master"."Func_TblBankAccount_SET"(varSystemLoginSession, null, null, null, null, null, varInstitutionBranchID, varBaseCurrencyID, 166000000000005, '6821221339', 'Agus Nuryadi', 62000000000001, 25000000000549);</v>
      </c>
    </row>
    <row r="68" spans="2:14" x14ac:dyDescent="0.2">
      <c r="B68" s="64">
        <v>25000000000015</v>
      </c>
      <c r="C68" s="37" t="str">
        <f>_xlfn.IFNA(IF(EXACT($B68, ""), "", VLOOKUP($B68, [4]DataLookUp!$C$4:$G$999, 3, FALSE )), "")</f>
        <v>130223978</v>
      </c>
      <c r="D68" s="38" t="str">
        <f>IF(EXACT($B68, ""), "", IF((FLOOR($B68/1000000000000, 1) = 124), VLOOKUP($B68, '[1]DataLookUp - InstitutionBranch'!$B$4:$C$97, 2, FALSE), IF((FLOOR($B68/1000000000000, 1) = 25), VLOOKUP($B68, [2]DataLookUp!$B$4:$D$632, 2, FALSE), "xx")))</f>
        <v>Agus Salim</v>
      </c>
      <c r="E68" s="39" t="s">
        <v>197</v>
      </c>
      <c r="F68" s="51">
        <f ca="1">IF(EXACT(E68, ""), "", VLOOKUP($E68, OFFSET([3]MAIN!$B$2, 0, 0, 100, 6), 5, FALSE))</f>
        <v>166000000000005</v>
      </c>
      <c r="G68" s="40">
        <v>5750423347</v>
      </c>
      <c r="H68" s="39" t="s">
        <v>87</v>
      </c>
      <c r="I68" s="40" t="s">
        <v>366</v>
      </c>
      <c r="J68" s="66"/>
      <c r="K68" s="39"/>
      <c r="M68" s="32">
        <f t="shared" ca="1" si="4"/>
        <v>167000000000064</v>
      </c>
      <c r="N68" s="6" t="str">
        <f t="shared" ref="N68:N131" ca="1" si="5">IF(OR(EXACT(B68, ""), EXACT(G68, "")), "", CONCATENATE("PERFORM ""SchData-OLTP-Master"".""Func_TblBankAccount_SET""(varSystemLoginSession, null, null, null, null, null, varInstitutionBranchID, varBaseCurrencyID, ", F68, ", '", G68, "', '", H68, "', ", I68, ", ", B68, ");"))</f>
        <v>PERFORM "SchData-OLTP-Master"."Func_TblBankAccount_SET"(varSystemLoginSession, null, null, null, null, null, varInstitutionBranchID, varBaseCurrencyID, 166000000000005, '5750423347', 'Agus Salim', 62000000000001, 25000000000015);</v>
      </c>
    </row>
    <row r="69" spans="2:14" x14ac:dyDescent="0.2">
      <c r="B69" s="64">
        <v>25000000000019</v>
      </c>
      <c r="C69" s="37" t="str">
        <f>_xlfn.IFNA(IF(EXACT($B69, ""), "", VLOOKUP($B69, [4]DataLookUp!$C$4:$G$999, 3, FALSE )), "")</f>
        <v>150506222</v>
      </c>
      <c r="D69" s="38" t="str">
        <f>IF(EXACT($B69, ""), "", IF((FLOOR($B69/1000000000000, 1) = 124), VLOOKUP($B69, '[1]DataLookUp - InstitutionBranch'!$B$4:$C$97, 2, FALSE), IF((FLOOR($B69/1000000000000, 1) = 25), VLOOKUP($B69, [2]DataLookUp!$B$4:$D$632, 2, FALSE), "xx")))</f>
        <v>Ahmad Syaifulloh</v>
      </c>
      <c r="E69" s="39" t="s">
        <v>197</v>
      </c>
      <c r="F69" s="51">
        <f ca="1">IF(EXACT(E69, ""), "", VLOOKUP($E69, OFFSET([3]MAIN!$B$2, 0, 0, 100, 6), 5, FALSE))</f>
        <v>166000000000005</v>
      </c>
      <c r="G69" s="40">
        <v>7150306269</v>
      </c>
      <c r="H69" s="39" t="s">
        <v>88</v>
      </c>
      <c r="I69" s="40" t="s">
        <v>366</v>
      </c>
      <c r="J69" s="66"/>
      <c r="K69" s="39"/>
      <c r="M69" s="32">
        <f t="shared" ca="1" si="4"/>
        <v>167000000000065</v>
      </c>
      <c r="N69" s="6" t="str">
        <f t="shared" ca="1" si="5"/>
        <v>PERFORM "SchData-OLTP-Master"."Func_TblBankAccount_SET"(varSystemLoginSession, null, null, null, null, null, varInstitutionBranchID, varBaseCurrencyID, 166000000000005, '7150306269', 'Ahmad Syaifulloh', 62000000000001, 25000000000019);</v>
      </c>
    </row>
    <row r="70" spans="2:14" x14ac:dyDescent="0.2">
      <c r="B70" s="64">
        <v>25000000000513</v>
      </c>
      <c r="C70" s="37" t="str">
        <f>_xlfn.IFNA(IF(EXACT($B70, ""), "", VLOOKUP($B70, [4]DataLookUp!$C$4:$G$999, 3, FALSE )), "")</f>
        <v>191022969</v>
      </c>
      <c r="D70" s="38" t="str">
        <f>IF(EXACT($B70, ""), "", IF((FLOOR($B70/1000000000000, 1) = 124), VLOOKUP($B70, '[1]DataLookUp - InstitutionBranch'!$B$4:$C$97, 2, FALSE), IF((FLOOR($B70/1000000000000, 1) = 25), VLOOKUP($B70, [2]DataLookUp!$B$4:$D$632, 2, FALSE), "xx")))</f>
        <v>Ahmad Choerul</v>
      </c>
      <c r="E70" s="39" t="s">
        <v>197</v>
      </c>
      <c r="F70" s="51">
        <f ca="1">IF(EXACT(E70, ""), "", VLOOKUP($E70, OFFSET([3]MAIN!$B$2, 0, 0, 100, 6), 5, FALSE))</f>
        <v>166000000000005</v>
      </c>
      <c r="G70" s="40">
        <v>2670159496</v>
      </c>
      <c r="H70" s="39" t="s">
        <v>89</v>
      </c>
      <c r="I70" s="40" t="s">
        <v>366</v>
      </c>
      <c r="J70" s="66"/>
      <c r="K70" s="39"/>
      <c r="M70" s="32">
        <f t="shared" ca="1" si="4"/>
        <v>167000000000066</v>
      </c>
      <c r="N70" s="6" t="str">
        <f t="shared" ca="1" si="5"/>
        <v>PERFORM "SchData-OLTP-Master"."Func_TblBankAccount_SET"(varSystemLoginSession, null, null, null, null, null, varInstitutionBranchID, varBaseCurrencyID, 166000000000005, '2670159496', 'Ahmad Choerul', 62000000000001, 25000000000513);</v>
      </c>
    </row>
    <row r="71" spans="2:14" x14ac:dyDescent="0.2">
      <c r="B71" s="64">
        <v>25000000000023</v>
      </c>
      <c r="C71" s="37" t="str">
        <f>_xlfn.IFNA(IF(EXACT($B71, ""), "", VLOOKUP($B71, [4]DataLookUp!$C$4:$G$999, 3, FALSE )), "")</f>
        <v>141020935</v>
      </c>
      <c r="D71" s="38" t="str">
        <f>IF(EXACT($B71, ""), "", IF((FLOOR($B71/1000000000000, 1) = 124), VLOOKUP($B71, '[1]DataLookUp - InstitutionBranch'!$B$4:$C$97, 2, FALSE), IF((FLOOR($B71/1000000000000, 1) = 25), VLOOKUP($B71, [2]DataLookUp!$B$4:$D$632, 2, FALSE), "xx")))</f>
        <v>Aldi Mulyadi</v>
      </c>
      <c r="E71" s="39" t="s">
        <v>197</v>
      </c>
      <c r="F71" s="51">
        <f ca="1">IF(EXACT(E71, ""), "", VLOOKUP($E71, OFFSET([3]MAIN!$B$2, 0, 0, 100, 6), 5, FALSE))</f>
        <v>166000000000005</v>
      </c>
      <c r="G71" s="40">
        <v>5520607058</v>
      </c>
      <c r="H71" s="39" t="s">
        <v>90</v>
      </c>
      <c r="I71" s="40" t="s">
        <v>366</v>
      </c>
      <c r="J71" s="66"/>
      <c r="K71" s="39"/>
      <c r="M71" s="32">
        <f t="shared" ca="1" si="4"/>
        <v>167000000000067</v>
      </c>
      <c r="N71" s="6" t="str">
        <f t="shared" ca="1" si="5"/>
        <v>PERFORM "SchData-OLTP-Master"."Func_TblBankAccount_SET"(varSystemLoginSession, null, null, null, null, null, varInstitutionBranchID, varBaseCurrencyID, 166000000000005, '5520607058', 'Aldi Mulyadi', 62000000000001, 25000000000023);</v>
      </c>
    </row>
    <row r="72" spans="2:14" x14ac:dyDescent="0.2">
      <c r="B72" s="64">
        <v>25000000000039</v>
      </c>
      <c r="C72" s="37" t="str">
        <f>_xlfn.IFNA(IF(EXACT($B72, ""), "", VLOOKUP($B72, [4]DataLookUp!$C$4:$G$999, 3, FALSE )), "")</f>
        <v>100419903</v>
      </c>
      <c r="D72" s="38" t="str">
        <f>IF(EXACT($B72, ""), "", IF((FLOOR($B72/1000000000000, 1) = 124), VLOOKUP($B72, '[1]DataLookUp - InstitutionBranch'!$B$4:$C$97, 2, FALSE), IF((FLOOR($B72/1000000000000, 1) = 25), VLOOKUP($B72, [2]DataLookUp!$B$4:$D$632, 2, FALSE), "xx")))</f>
        <v>Annisa Dewi Arumsari</v>
      </c>
      <c r="E72" s="39" t="s">
        <v>197</v>
      </c>
      <c r="F72" s="51">
        <f ca="1">IF(EXACT(E72, ""), "", VLOOKUP($E72, OFFSET([3]MAIN!$B$2, 0, 0, 100, 6), 5, FALSE))</f>
        <v>166000000000005</v>
      </c>
      <c r="G72" s="40">
        <v>5520537742</v>
      </c>
      <c r="H72" s="39" t="s">
        <v>91</v>
      </c>
      <c r="I72" s="40" t="s">
        <v>366</v>
      </c>
      <c r="J72" s="66"/>
      <c r="K72" s="39"/>
      <c r="M72" s="32">
        <f t="shared" ca="1" si="4"/>
        <v>167000000000068</v>
      </c>
      <c r="N72" s="6" t="str">
        <f t="shared" ca="1" si="5"/>
        <v>PERFORM "SchData-OLTP-Master"."Func_TblBankAccount_SET"(varSystemLoginSession, null, null, null, null, null, varInstitutionBranchID, varBaseCurrencyID, 166000000000005, '5520537742', 'Annisa Dewi Arumsari', 62000000000001, 25000000000039);</v>
      </c>
    </row>
    <row r="73" spans="2:14" x14ac:dyDescent="0.2">
      <c r="B73" s="64">
        <v>25000000000044</v>
      </c>
      <c r="C73" s="37" t="str">
        <f>_xlfn.IFNA(IF(EXACT($B73, ""), "", VLOOKUP($B73, [4]DataLookUp!$C$4:$G$999, 3, FALSE )), "")</f>
        <v>310821007</v>
      </c>
      <c r="D73" s="38" t="str">
        <f>IF(EXACT($B73, ""), "", IF((FLOOR($B73/1000000000000, 1) = 124), VLOOKUP($B73, '[1]DataLookUp - InstitutionBranch'!$B$4:$C$97, 2, FALSE), IF((FLOOR($B73/1000000000000, 1) = 25), VLOOKUP($B73, [2]DataLookUp!$B$4:$D$632, 2, FALSE), "xx")))</f>
        <v>Anugerah Januariansyah</v>
      </c>
      <c r="E73" s="39" t="s">
        <v>197</v>
      </c>
      <c r="F73" s="51">
        <f ca="1">IF(EXACT(E73, ""), "", VLOOKUP($E73, OFFSET([3]MAIN!$B$2, 0, 0, 100, 6), 5, FALSE))</f>
        <v>166000000000005</v>
      </c>
      <c r="G73" s="40" t="s">
        <v>137</v>
      </c>
      <c r="H73" s="39" t="s">
        <v>92</v>
      </c>
      <c r="I73" s="40" t="s">
        <v>366</v>
      </c>
      <c r="J73" s="66"/>
      <c r="K73" s="39"/>
      <c r="M73" s="32">
        <f t="shared" ca="1" si="4"/>
        <v>167000000000069</v>
      </c>
      <c r="N73" s="6" t="str">
        <f t="shared" ca="1" si="5"/>
        <v>PERFORM "SchData-OLTP-Master"."Func_TblBankAccount_SET"(varSystemLoginSession, null, null, null, null, null, varInstitutionBranchID, varBaseCurrencyID, 166000000000005, '4565061969', 'Anugerah Januariansyah', 62000000000001, 25000000000044);</v>
      </c>
    </row>
    <row r="74" spans="2:14" x14ac:dyDescent="0.2">
      <c r="B74" s="64">
        <v>25000000000075</v>
      </c>
      <c r="C74" s="37" t="str">
        <f>_xlfn.IFNA(IF(EXACT($B74, ""), "", VLOOKUP($B74, [4]DataLookUp!$C$4:$G$999, 3, FALSE )), "")</f>
        <v>100920934</v>
      </c>
      <c r="D74" s="38" t="str">
        <f>IF(EXACT($B74, ""), "", IF((FLOOR($B74/1000000000000, 1) = 124), VLOOKUP($B74, '[1]DataLookUp - InstitutionBranch'!$B$4:$C$97, 2, FALSE), IF((FLOOR($B74/1000000000000, 1) = 25), VLOOKUP($B74, [2]DataLookUp!$B$4:$D$632, 2, FALSE), "xx")))</f>
        <v>Belina Lindarwani</v>
      </c>
      <c r="E74" s="39" t="s">
        <v>197</v>
      </c>
      <c r="F74" s="51">
        <f ca="1">IF(EXACT(E74, ""), "", VLOOKUP($E74, OFFSET([3]MAIN!$B$2, 0, 0, 100, 6), 5, FALSE))</f>
        <v>166000000000005</v>
      </c>
      <c r="G74" s="40">
        <v>5520579321</v>
      </c>
      <c r="H74" s="39" t="s">
        <v>93</v>
      </c>
      <c r="I74" s="40" t="s">
        <v>366</v>
      </c>
      <c r="J74" s="66"/>
      <c r="K74" s="39"/>
      <c r="M74" s="32">
        <f t="shared" ca="1" si="4"/>
        <v>167000000000070</v>
      </c>
      <c r="N74" s="6" t="str">
        <f t="shared" ca="1" si="5"/>
        <v>PERFORM "SchData-OLTP-Master"."Func_TblBankAccount_SET"(varSystemLoginSession, null, null, null, null, null, varInstitutionBranchID, varBaseCurrencyID, 166000000000005, '5520579321', 'Belina Lindarwani', 62000000000001, 25000000000075);</v>
      </c>
    </row>
    <row r="75" spans="2:14" x14ac:dyDescent="0.2">
      <c r="B75" s="64">
        <v>25000000000082</v>
      </c>
      <c r="C75" s="37" t="str">
        <f>_xlfn.IFNA(IF(EXACT($B75, ""), "", VLOOKUP($B75, [4]DataLookUp!$C$4:$G$999, 3, FALSE )), "")</f>
        <v>060515769</v>
      </c>
      <c r="D75" s="38" t="str">
        <f>IF(EXACT($B75, ""), "", IF((FLOOR($B75/1000000000000, 1) = 124), VLOOKUP($B75, '[1]DataLookUp - InstitutionBranch'!$B$4:$C$97, 2, FALSE), IF((FLOOR($B75/1000000000000, 1) = 25), VLOOKUP($B75, [2]DataLookUp!$B$4:$D$632, 2, FALSE), "xx")))</f>
        <v>Budianto</v>
      </c>
      <c r="E75" s="39" t="s">
        <v>197</v>
      </c>
      <c r="F75" s="51">
        <f ca="1">IF(EXACT(E75, ""), "", VLOOKUP($E75, OFFSET([3]MAIN!$B$2, 0, 0, 100, 6), 5, FALSE))</f>
        <v>166000000000005</v>
      </c>
      <c r="G75" s="40">
        <v>1280247568</v>
      </c>
      <c r="H75" s="39" t="s">
        <v>94</v>
      </c>
      <c r="I75" s="40" t="s">
        <v>366</v>
      </c>
      <c r="J75" s="66"/>
      <c r="K75" s="39"/>
      <c r="M75" s="32">
        <f t="shared" ca="1" si="4"/>
        <v>167000000000071</v>
      </c>
      <c r="N75" s="6" t="str">
        <f t="shared" ca="1" si="5"/>
        <v>PERFORM "SchData-OLTP-Master"."Func_TblBankAccount_SET"(varSystemLoginSession, null, null, null, null, null, varInstitutionBranchID, varBaseCurrencyID, 166000000000005, '1280247568', 'Budianto', 62000000000001, 25000000000082);</v>
      </c>
    </row>
    <row r="76" spans="2:14" x14ac:dyDescent="0.2">
      <c r="B76" s="64">
        <v>25000000000092</v>
      </c>
      <c r="C76" s="37" t="str">
        <f>_xlfn.IFNA(IF(EXACT($B76, ""), "", VLOOKUP($B76, [4]DataLookUp!$C$4:$G$999, 3, FALSE )), "")</f>
        <v>031212631</v>
      </c>
      <c r="D76" s="38" t="str">
        <f>IF(EXACT($B76, ""), "", IF((FLOOR($B76/1000000000000, 1) = 124), VLOOKUP($B76, '[1]DataLookUp - InstitutionBranch'!$B$4:$C$97, 2, FALSE), IF((FLOOR($B76/1000000000000, 1) = 25), VLOOKUP($B76, [2]DataLookUp!$B$4:$D$632, 2, FALSE), "xx")))</f>
        <v>Darsito</v>
      </c>
      <c r="E76" s="39" t="s">
        <v>197</v>
      </c>
      <c r="F76" s="51">
        <f ca="1">IF(EXACT(E76, ""), "", VLOOKUP($E76, OFFSET([3]MAIN!$B$2, 0, 0, 100, 6), 5, FALSE))</f>
        <v>166000000000005</v>
      </c>
      <c r="G76" s="40">
        <v>2211206120</v>
      </c>
      <c r="H76" s="39" t="s">
        <v>151</v>
      </c>
      <c r="I76" s="40" t="s">
        <v>366</v>
      </c>
      <c r="J76" s="66"/>
      <c r="K76" s="39"/>
      <c r="M76" s="32">
        <f t="shared" ca="1" si="4"/>
        <v>167000000000072</v>
      </c>
      <c r="N76" s="6" t="str">
        <f t="shared" ca="1" si="5"/>
        <v>PERFORM "SchData-OLTP-Master"."Func_TblBankAccount_SET"(varSystemLoginSession, null, null, null, null, null, varInstitutionBranchID, varBaseCurrencyID, 166000000000005, '2211206120', 'Darsito S Pd', 62000000000001, 25000000000092);</v>
      </c>
    </row>
    <row r="77" spans="2:14" x14ac:dyDescent="0.2">
      <c r="B77" s="64">
        <v>25000000000094</v>
      </c>
      <c r="C77" s="37" t="str">
        <f>_xlfn.IFNA(IF(EXACT($B77, ""), "", VLOOKUP($B77, [4]DataLookUp!$C$4:$G$999, 3, FALSE )), "")</f>
        <v>171215791</v>
      </c>
      <c r="D77" s="38" t="str">
        <f>IF(EXACT($B77, ""), "", IF((FLOOR($B77/1000000000000, 1) = 124), VLOOKUP($B77, '[1]DataLookUp - InstitutionBranch'!$B$4:$C$97, 2, FALSE), IF((FLOOR($B77/1000000000000, 1) = 25), VLOOKUP($B77, [2]DataLookUp!$B$4:$D$632, 2, FALSE), "xx")))</f>
        <v>Deddy Rochman</v>
      </c>
      <c r="E77" s="39" t="s">
        <v>197</v>
      </c>
      <c r="F77" s="51">
        <f ca="1">IF(EXACT(E77, ""), "", VLOOKUP($E77, OFFSET([3]MAIN!$B$2, 0, 0, 100, 6), 5, FALSE))</f>
        <v>166000000000005</v>
      </c>
      <c r="G77" s="40">
        <v>2839669733</v>
      </c>
      <c r="H77" s="39" t="s">
        <v>95</v>
      </c>
      <c r="I77" s="40" t="s">
        <v>366</v>
      </c>
      <c r="J77" s="66"/>
      <c r="K77" s="39"/>
      <c r="M77" s="32">
        <f t="shared" ca="1" si="4"/>
        <v>167000000000073</v>
      </c>
      <c r="N77" s="6" t="str">
        <f t="shared" ca="1" si="5"/>
        <v>PERFORM "SchData-OLTP-Master"."Func_TblBankAccount_SET"(varSystemLoginSession, null, null, null, null, null, varInstitutionBranchID, varBaseCurrencyID, 166000000000005, '2839669733', 'Dedi Rohman', 62000000000001, 25000000000094);</v>
      </c>
    </row>
    <row r="78" spans="2:14" x14ac:dyDescent="0.2">
      <c r="B78" s="64">
        <v>25000000000106</v>
      </c>
      <c r="C78" s="37" t="str">
        <f>_xlfn.IFNA(IF(EXACT($B78, ""), "", VLOOKUP($B78, [4]DataLookUp!$C$4:$G$999, 3, FALSE )), "")</f>
        <v>010605133</v>
      </c>
      <c r="D78" s="38" t="str">
        <f>IF(EXACT($B78, ""), "", IF((FLOOR($B78/1000000000000, 1) = 124), VLOOKUP($B78, '[1]DataLookUp - InstitutionBranch'!$B$4:$C$97, 2, FALSE), IF((FLOOR($B78/1000000000000, 1) = 25), VLOOKUP($B78, [2]DataLookUp!$B$4:$D$632, 2, FALSE), "xx")))</f>
        <v>Dionesius Sostenist Duka</v>
      </c>
      <c r="E78" s="39" t="s">
        <v>197</v>
      </c>
      <c r="F78" s="51">
        <f ca="1">IF(EXACT(E78, ""), "", VLOOKUP($E78, OFFSET([3]MAIN!$B$2, 0, 0, 100, 6), 5, FALSE))</f>
        <v>166000000000005</v>
      </c>
      <c r="G78" s="40">
        <v>2731371123</v>
      </c>
      <c r="H78" s="39" t="s">
        <v>96</v>
      </c>
      <c r="I78" s="40" t="s">
        <v>366</v>
      </c>
      <c r="J78" s="66"/>
      <c r="K78" s="39"/>
      <c r="M78" s="32">
        <f t="shared" ca="1" si="4"/>
        <v>167000000000074</v>
      </c>
      <c r="N78" s="6" t="str">
        <f t="shared" ca="1" si="5"/>
        <v>PERFORM "SchData-OLTP-Master"."Func_TblBankAccount_SET"(varSystemLoginSession, null, null, null, null, null, varInstitutionBranchID, varBaseCurrencyID, 166000000000005, '2731371123', 'Dionesius Sostenist Duka', 62000000000001, 25000000000106);</v>
      </c>
    </row>
    <row r="79" spans="2:14" x14ac:dyDescent="0.2">
      <c r="B79" s="64">
        <v>25000000000116</v>
      </c>
      <c r="C79" s="37" t="str">
        <f>_xlfn.IFNA(IF(EXACT($B79, ""), "", VLOOKUP($B79, [4]DataLookUp!$C$4:$G$999, 3, FALSE )), "")</f>
        <v>040803040</v>
      </c>
      <c r="D79" s="38" t="str">
        <f>IF(EXACT($B79, ""), "", IF((FLOOR($B79/1000000000000, 1) = 124), VLOOKUP($B79, '[1]DataLookUp - InstitutionBranch'!$B$4:$C$97, 2, FALSE), IF((FLOOR($B79/1000000000000, 1) = 25), VLOOKUP($B79, [2]DataLookUp!$B$4:$D$632, 2, FALSE), "xx")))</f>
        <v>Edi Waluyo</v>
      </c>
      <c r="E79" s="39" t="s">
        <v>197</v>
      </c>
      <c r="F79" s="51">
        <f ca="1">IF(EXACT(E79, ""), "", VLOOKUP($E79, OFFSET([3]MAIN!$B$2, 0, 0, 100, 6), 5, FALSE))</f>
        <v>166000000000005</v>
      </c>
      <c r="G79" s="40" t="s">
        <v>138</v>
      </c>
      <c r="H79" s="39" t="s">
        <v>97</v>
      </c>
      <c r="I79" s="40" t="s">
        <v>366</v>
      </c>
      <c r="J79" s="66"/>
      <c r="K79" s="39"/>
      <c r="M79" s="32">
        <f t="shared" ca="1" si="4"/>
        <v>167000000000075</v>
      </c>
      <c r="N79" s="6" t="str">
        <f t="shared" ca="1" si="5"/>
        <v>PERFORM "SchData-OLTP-Master"."Func_TblBankAccount_SET"(varSystemLoginSession, null, null, null, null, null, varInstitutionBranchID, varBaseCurrencyID, 166000000000005, '0060185646', 'Edi Waluyo', 62000000000001, 25000000000116);</v>
      </c>
    </row>
    <row r="80" spans="2:14" x14ac:dyDescent="0.2">
      <c r="B80" s="64">
        <v>25000000000123</v>
      </c>
      <c r="C80" s="37" t="str">
        <f>_xlfn.IFNA(IF(EXACT($B80, ""), "", VLOOKUP($B80, [4]DataLookUp!$C$4:$G$999, 3, FALSE )), "")</f>
        <v>200420932</v>
      </c>
      <c r="D80" s="38" t="str">
        <f>IF(EXACT($B80, ""), "", IF((FLOOR($B80/1000000000000, 1) = 124), VLOOKUP($B80, '[1]DataLookUp - InstitutionBranch'!$B$4:$C$97, 2, FALSE), IF((FLOOR($B80/1000000000000, 1) = 25), VLOOKUP($B80, [2]DataLookUp!$B$4:$D$632, 2, FALSE), "xx")))</f>
        <v>Eka Bagus Dwi Putra</v>
      </c>
      <c r="E80" s="39" t="s">
        <v>197</v>
      </c>
      <c r="F80" s="51">
        <f ca="1">IF(EXACT(E80, ""), "", VLOOKUP($E80, OFFSET([3]MAIN!$B$2, 0, 0, 100, 6), 5, FALSE))</f>
        <v>166000000000005</v>
      </c>
      <c r="G80" s="47">
        <v>5211078091</v>
      </c>
      <c r="H80" s="39" t="s">
        <v>98</v>
      </c>
      <c r="I80" s="40" t="s">
        <v>366</v>
      </c>
      <c r="J80" s="66"/>
      <c r="K80" s="39"/>
      <c r="M80" s="32">
        <f t="shared" ca="1" si="4"/>
        <v>167000000000076</v>
      </c>
      <c r="N80" s="6" t="str">
        <f t="shared" ca="1" si="5"/>
        <v>PERFORM "SchData-OLTP-Master"."Func_TblBankAccount_SET"(varSystemLoginSession, null, null, null, null, null, varInstitutionBranchID, varBaseCurrencyID, 166000000000005, '5211078091', 'Eka Bagus Dwi Putra', 62000000000001, 25000000000123);</v>
      </c>
    </row>
    <row r="81" spans="1:14" x14ac:dyDescent="0.2">
      <c r="B81" s="64">
        <v>25000000000125</v>
      </c>
      <c r="C81" s="37" t="str">
        <f>_xlfn.IFNA(IF(EXACT($B81, ""), "", VLOOKUP($B81, [4]DataLookUp!$C$4:$G$999, 3, FALSE )), "")</f>
        <v>060121944</v>
      </c>
      <c r="D81" s="38" t="str">
        <f>IF(EXACT($B81, ""), "", IF((FLOOR($B81/1000000000000, 1) = 124), VLOOKUP($B81, '[1]DataLookUp - InstitutionBranch'!$B$4:$C$97, 2, FALSE), IF((FLOOR($B81/1000000000000, 1) = 25), VLOOKUP($B81, [2]DataLookUp!$B$4:$D$632, 2, FALSE), "xx")))</f>
        <v>Eka Purwanti</v>
      </c>
      <c r="E81" s="39" t="s">
        <v>197</v>
      </c>
      <c r="F81" s="51">
        <f ca="1">IF(EXACT(E81, ""), "", VLOOKUP($E81, OFFSET([3]MAIN!$B$2, 0, 0, 100, 6), 5, FALSE))</f>
        <v>166000000000005</v>
      </c>
      <c r="G81" s="47">
        <v>5855178874</v>
      </c>
      <c r="H81" s="39" t="s">
        <v>99</v>
      </c>
      <c r="I81" s="40" t="s">
        <v>366</v>
      </c>
      <c r="J81" s="66"/>
      <c r="K81" s="39"/>
      <c r="M81" s="32">
        <f t="shared" ca="1" si="4"/>
        <v>167000000000077</v>
      </c>
      <c r="N81" s="6" t="str">
        <f t="shared" ca="1" si="5"/>
        <v>PERFORM "SchData-OLTP-Master"."Func_TblBankAccount_SET"(varSystemLoginSession, null, null, null, null, null, varInstitutionBranchID, varBaseCurrencyID, 166000000000005, '5855178874', 'Eka Purwanti', 62000000000001, 25000000000125);</v>
      </c>
    </row>
    <row r="82" spans="1:14" x14ac:dyDescent="0.2">
      <c r="B82" s="64">
        <v>25000000000138</v>
      </c>
      <c r="C82" s="37" t="str">
        <f>_xlfn.IFNA(IF(EXACT($B82, ""), "", VLOOKUP($B82, [4]DataLookUp!$C$4:$G$999, 3, FALSE )), "")</f>
        <v>010806250</v>
      </c>
      <c r="D82" s="38" t="str">
        <f>IF(EXACT($B82, ""), "", IF((FLOOR($B82/1000000000000, 1) = 124), VLOOKUP($B82, '[1]DataLookUp - InstitutionBranch'!$B$4:$C$97, 2, FALSE), IF((FLOOR($B82/1000000000000, 1) = 25), VLOOKUP($B82, [2]DataLookUp!$B$4:$D$632, 2, FALSE), "xx")))</f>
        <v>Endang Sutrisna</v>
      </c>
      <c r="E82" s="39" t="s">
        <v>197</v>
      </c>
      <c r="F82" s="51">
        <f ca="1">IF(EXACT(E82, ""), "", VLOOKUP($E82, OFFSET([3]MAIN!$B$2, 0, 0, 100, 6), 5, FALSE))</f>
        <v>166000000000005</v>
      </c>
      <c r="G82" s="47">
        <v>5750226541</v>
      </c>
      <c r="H82" s="39" t="s">
        <v>100</v>
      </c>
      <c r="I82" s="40" t="s">
        <v>366</v>
      </c>
      <c r="J82" s="66"/>
      <c r="K82" s="39"/>
      <c r="M82" s="32">
        <f t="shared" ca="1" si="4"/>
        <v>167000000000078</v>
      </c>
      <c r="N82" s="6" t="str">
        <f t="shared" ca="1" si="5"/>
        <v>PERFORM "SchData-OLTP-Master"."Func_TblBankAccount_SET"(varSystemLoginSession, null, null, null, null, null, varInstitutionBranchID, varBaseCurrencyID, 166000000000005, '5750226541', 'Endang Sutrisno', 62000000000001, 25000000000138);</v>
      </c>
    </row>
    <row r="83" spans="1:14" x14ac:dyDescent="0.2">
      <c r="A83" s="9"/>
      <c r="B83" s="64">
        <v>25000000000522</v>
      </c>
      <c r="C83" s="37" t="str">
        <f>_xlfn.IFNA(IF(EXACT($B83, ""), "", VLOOKUP($B83, [4]DataLookUp!$C$4:$G$999, 3, FALSE )), "")</f>
        <v>191022968</v>
      </c>
      <c r="D83" s="38" t="str">
        <f>IF(EXACT($B83, ""), "", IF((FLOOR($B83/1000000000000, 1) = 124), VLOOKUP($B83, '[1]DataLookUp - InstitutionBranch'!$B$4:$C$97, 2, FALSE), IF((FLOOR($B83/1000000000000, 1) = 25), VLOOKUP($B83, [2]DataLookUp!$B$4:$D$632, 2, FALSE), "xx")))</f>
        <v>Ferdian Kriswantoro</v>
      </c>
      <c r="E83" s="39" t="s">
        <v>197</v>
      </c>
      <c r="F83" s="51">
        <f ca="1">IF(EXACT(E83, ""), "", VLOOKUP($E83, OFFSET([3]MAIN!$B$2, 0, 0, 100, 6), 5, FALSE))</f>
        <v>166000000000005</v>
      </c>
      <c r="G83" s="47">
        <v>8760378217</v>
      </c>
      <c r="H83" s="39" t="s">
        <v>101</v>
      </c>
      <c r="I83" s="40" t="s">
        <v>366</v>
      </c>
      <c r="J83" s="66"/>
      <c r="K83" s="39"/>
      <c r="M83" s="32">
        <f t="shared" ca="1" si="4"/>
        <v>167000000000079</v>
      </c>
      <c r="N83" s="6" t="str">
        <f t="shared" ca="1" si="5"/>
        <v>PERFORM "SchData-OLTP-Master"."Func_TblBankAccount_SET"(varSystemLoginSession, null, null, null, null, null, varInstitutionBranchID, varBaseCurrencyID, 166000000000005, '8760378217', 'Ferdian Kriswantoro', 62000000000001, 25000000000522);</v>
      </c>
    </row>
    <row r="84" spans="1:14" x14ac:dyDescent="0.2">
      <c r="B84" s="64">
        <v>25000000000159</v>
      </c>
      <c r="C84" s="37" t="str">
        <f>_xlfn.IFNA(IF(EXACT($B84, ""), "", VLOOKUP($B84, [4]DataLookUp!$C$4:$G$999, 3, FALSE )), "")</f>
        <v>181114748</v>
      </c>
      <c r="D84" s="38" t="str">
        <f>IF(EXACT($B84, ""), "", IF((FLOOR($B84/1000000000000, 1) = 124), VLOOKUP($B84, '[1]DataLookUp - InstitutionBranch'!$B$4:$C$97, 2, FALSE), IF((FLOOR($B84/1000000000000, 1) = 25), VLOOKUP($B84, [2]DataLookUp!$B$4:$D$632, 2, FALSE), "xx")))</f>
        <v>Frando Judi Siahaan</v>
      </c>
      <c r="E84" s="39" t="s">
        <v>197</v>
      </c>
      <c r="F84" s="51">
        <f ca="1">IF(EXACT(E84, ""), "", VLOOKUP($E84, OFFSET([3]MAIN!$B$2, 0, 0, 100, 6), 5, FALSE))</f>
        <v>166000000000005</v>
      </c>
      <c r="G84" s="47">
        <v>8200472447</v>
      </c>
      <c r="H84" s="39" t="s">
        <v>102</v>
      </c>
      <c r="I84" s="40" t="s">
        <v>366</v>
      </c>
      <c r="J84" s="66"/>
      <c r="K84" s="39"/>
      <c r="M84" s="32">
        <f t="shared" ca="1" si="4"/>
        <v>167000000000080</v>
      </c>
      <c r="N84" s="6" t="str">
        <f t="shared" ca="1" si="5"/>
        <v>PERFORM "SchData-OLTP-Master"."Func_TblBankAccount_SET"(varSystemLoginSession, null, null, null, null, null, varInstitutionBranchID, varBaseCurrencyID, 166000000000005, '8200472447', 'Frando Judi Siahaan', 62000000000001, 25000000000159);</v>
      </c>
    </row>
    <row r="85" spans="1:14" x14ac:dyDescent="0.2">
      <c r="B85" s="64">
        <v>25000000000168</v>
      </c>
      <c r="C85" s="37" t="str">
        <f>_xlfn.IFNA(IF(EXACT($B85, ""), "", VLOOKUP($B85, [4]DataLookUp!$C$4:$G$999, 3, FALSE )), "")</f>
        <v>070806256</v>
      </c>
      <c r="D85" s="38" t="str">
        <f>IF(EXACT($B85, ""), "", IF((FLOOR($B85/1000000000000, 1) = 124), VLOOKUP($B85, '[1]DataLookUp - InstitutionBranch'!$B$4:$C$97, 2, FALSE), IF((FLOOR($B85/1000000000000, 1) = 25), VLOOKUP($B85, [2]DataLookUp!$B$4:$D$632, 2, FALSE), "xx")))</f>
        <v>Gunawan</v>
      </c>
      <c r="E85" s="39" t="s">
        <v>197</v>
      </c>
      <c r="F85" s="51">
        <f ca="1">IF(EXACT(E85, ""), "", VLOOKUP($E85, OFFSET([3]MAIN!$B$2, 0, 0, 100, 6), 5, FALSE))</f>
        <v>166000000000005</v>
      </c>
      <c r="G85" s="47">
        <v>1281467889</v>
      </c>
      <c r="H85" s="39" t="s">
        <v>152</v>
      </c>
      <c r="I85" s="40" t="s">
        <v>366</v>
      </c>
      <c r="J85" s="66"/>
      <c r="K85" s="39"/>
      <c r="M85" s="32">
        <f t="shared" ca="1" si="4"/>
        <v>167000000000081</v>
      </c>
      <c r="N85" s="6" t="str">
        <f t="shared" ca="1" si="5"/>
        <v>PERFORM "SchData-OLTP-Master"."Func_TblBankAccount_SET"(varSystemLoginSession, null, null, null, null, null, varInstitutionBranchID, varBaseCurrencyID, 166000000000005, '1281467889', 'Gunawan Ir', 62000000000001, 25000000000168);</v>
      </c>
    </row>
    <row r="86" spans="1:14" x14ac:dyDescent="0.2">
      <c r="B86" s="64">
        <v>25000000000434</v>
      </c>
      <c r="C86" s="37" t="str">
        <f>_xlfn.IFNA(IF(EXACT($B86, ""), "", VLOOKUP($B86, [4]DataLookUp!$C$4:$G$999, 3, FALSE )), "")</f>
        <v>070703034</v>
      </c>
      <c r="D86" s="38" t="str">
        <f>IF(EXACT($B86, ""), "", IF((FLOOR($B86/1000000000000, 1) = 124), VLOOKUP($B86, '[1]DataLookUp - InstitutionBranch'!$B$4:$C$97, 2, FALSE), IF((FLOOR($B86/1000000000000, 1) = 25), VLOOKUP($B86, [2]DataLookUp!$B$4:$D$632, 2, FALSE), "xx")))</f>
        <v>Tajuddin Assubki Ismail</v>
      </c>
      <c r="E86" s="39" t="s">
        <v>197</v>
      </c>
      <c r="F86" s="51">
        <f ca="1">IF(EXACT(E86, ""), "", VLOOKUP($E86, OFFSET([3]MAIN!$B$2, 0, 0, 100, 6), 5, FALSE))</f>
        <v>166000000000005</v>
      </c>
      <c r="G86" s="47">
        <v>3191643869</v>
      </c>
      <c r="H86" s="39" t="s">
        <v>153</v>
      </c>
      <c r="I86" s="40" t="s">
        <v>366</v>
      </c>
      <c r="J86" s="66"/>
      <c r="K86" s="39"/>
      <c r="M86" s="32">
        <f t="shared" ca="1" si="4"/>
        <v>167000000000082</v>
      </c>
      <c r="N86" s="6" t="str">
        <f t="shared" ca="1" si="5"/>
        <v>PERFORM "SchData-OLTP-Master"."Func_TblBankAccount_SET"(varSystemLoginSession, null, null, null, null, null, varInstitutionBranchID, varBaseCurrencyID, 166000000000005, '3191643869', 'H T Assubki Ismail Ir', 62000000000001, 25000000000434);</v>
      </c>
    </row>
    <row r="87" spans="1:14" x14ac:dyDescent="0.2">
      <c r="B87" s="64">
        <v>25000000000196</v>
      </c>
      <c r="C87" s="37" t="str">
        <f>_xlfn.IFNA(IF(EXACT($B87, ""), "", VLOOKUP($B87, [4]DataLookUp!$C$4:$G$999, 3, FALSE )), "")</f>
        <v>191015786</v>
      </c>
      <c r="D87" s="38" t="str">
        <f>IF(EXACT($B87, ""), "", IF((FLOOR($B87/1000000000000, 1) = 124), VLOOKUP($B87, '[1]DataLookUp - InstitutionBranch'!$B$4:$C$97, 2, FALSE), IF((FLOOR($B87/1000000000000, 1) = 25), VLOOKUP($B87, [2]DataLookUp!$B$4:$D$632, 2, FALSE), "xx")))</f>
        <v>Icha Mailinda Syamsoedin</v>
      </c>
      <c r="E87" s="39" t="s">
        <v>197</v>
      </c>
      <c r="F87" s="51">
        <f ca="1">IF(EXACT(E87, ""), "", VLOOKUP($E87, OFFSET([3]MAIN!$B$2, 0, 0, 100, 6), 5, FALSE))</f>
        <v>166000000000005</v>
      </c>
      <c r="G87" s="47">
        <v>5520226500</v>
      </c>
      <c r="H87" s="39" t="s">
        <v>103</v>
      </c>
      <c r="I87" s="40" t="s">
        <v>366</v>
      </c>
      <c r="J87" s="66"/>
      <c r="K87" s="39"/>
      <c r="M87" s="32">
        <f t="shared" ca="1" si="4"/>
        <v>167000000000083</v>
      </c>
      <c r="N87" s="6" t="str">
        <f t="shared" ca="1" si="5"/>
        <v>PERFORM "SchData-OLTP-Master"."Func_TblBankAccount_SET"(varSystemLoginSession, null, null, null, null, null, varInstitutionBranchID, varBaseCurrencyID, 166000000000005, '5520226500', 'Icha Mailinda', 62000000000001, 25000000000196);</v>
      </c>
    </row>
    <row r="88" spans="1:14" x14ac:dyDescent="0.2">
      <c r="B88" s="64">
        <v>25000000000204</v>
      </c>
      <c r="C88" s="37" t="str">
        <f>_xlfn.IFNA(IF(EXACT($B88, ""), "", VLOOKUP($B88, [4]DataLookUp!$C$4:$G$999, 3, FALSE )), "")</f>
        <v>170217825</v>
      </c>
      <c r="D88" s="38" t="str">
        <f>IF(EXACT($B88, ""), "", IF((FLOOR($B88/1000000000000, 1) = 124), VLOOKUP($B88, '[1]DataLookUp - InstitutionBranch'!$B$4:$C$97, 2, FALSE), IF((FLOOR($B88/1000000000000, 1) = 25), VLOOKUP($B88, [2]DataLookUp!$B$4:$D$632, 2, FALSE), "xx")))</f>
        <v>Ilham Akbar</v>
      </c>
      <c r="E88" s="39" t="s">
        <v>197</v>
      </c>
      <c r="F88" s="51">
        <f ca="1">IF(EXACT(E88, ""), "", VLOOKUP($E88, OFFSET([3]MAIN!$B$2, 0, 0, 100, 6), 5, FALSE))</f>
        <v>166000000000005</v>
      </c>
      <c r="G88" s="47">
        <v>5520464753</v>
      </c>
      <c r="H88" s="39" t="s">
        <v>104</v>
      </c>
      <c r="I88" s="40" t="s">
        <v>366</v>
      </c>
      <c r="J88" s="66"/>
      <c r="K88" s="39"/>
      <c r="M88" s="32">
        <f t="shared" ca="1" si="4"/>
        <v>167000000000084</v>
      </c>
      <c r="N88" s="6" t="str">
        <f t="shared" ca="1" si="5"/>
        <v>PERFORM "SchData-OLTP-Master"."Func_TblBankAccount_SET"(varSystemLoginSession, null, null, null, null, null, varInstitutionBranchID, varBaseCurrencyID, 166000000000005, '5520464753', 'Ilham', 62000000000001, 25000000000204);</v>
      </c>
    </row>
    <row r="89" spans="1:14" x14ac:dyDescent="0.2">
      <c r="B89" s="64">
        <v>25000000000527</v>
      </c>
      <c r="C89" s="37" t="str">
        <f>_xlfn.IFNA(IF(EXACT($B89, ""), "", VLOOKUP($B89, [4]DataLookUp!$C$4:$G$999, 3, FALSE )), "")</f>
        <v>040822965</v>
      </c>
      <c r="D89" s="38" t="str">
        <f>IF(EXACT($B89, ""), "", IF((FLOOR($B89/1000000000000, 1) = 124), VLOOKUP($B89, '[1]DataLookUp - InstitutionBranch'!$B$4:$C$97, 2, FALSE), IF((FLOOR($B89/1000000000000, 1) = 25), VLOOKUP($B89, [2]DataLookUp!$B$4:$D$632, 2, FALSE), "xx")))</f>
        <v>Irma Maulidawati</v>
      </c>
      <c r="E89" s="39" t="s">
        <v>197</v>
      </c>
      <c r="F89" s="51">
        <f ca="1">IF(EXACT(E89, ""), "", VLOOKUP($E89, OFFSET([3]MAIN!$B$2, 0, 0, 100, 6), 5, FALSE))</f>
        <v>166000000000005</v>
      </c>
      <c r="G89" s="47">
        <v>5520696425</v>
      </c>
      <c r="H89" s="39" t="s">
        <v>105</v>
      </c>
      <c r="I89" s="40" t="s">
        <v>366</v>
      </c>
      <c r="J89" s="66"/>
      <c r="K89" s="39"/>
      <c r="M89" s="32">
        <f t="shared" ca="1" si="4"/>
        <v>167000000000085</v>
      </c>
      <c r="N89" s="6" t="str">
        <f t="shared" ca="1" si="5"/>
        <v>PERFORM "SchData-OLTP-Master"."Func_TblBankAccount_SET"(varSystemLoginSession, null, null, null, null, null, varInstitutionBranchID, varBaseCurrencyID, 166000000000005, '5520696425', 'Irma Maulidawati', 62000000000001, 25000000000527);</v>
      </c>
    </row>
    <row r="90" spans="1:14" x14ac:dyDescent="0.2">
      <c r="B90" s="64">
        <v>25000000000217</v>
      </c>
      <c r="C90" s="37" t="str">
        <f>_xlfn.IFNA(IF(EXACT($B90, ""), "", VLOOKUP($B90, [4]DataLookUp!$C$4:$G$999, 3, FALSE )), "")</f>
        <v>150805153</v>
      </c>
      <c r="D90" s="38" t="str">
        <f>IF(EXACT($B90, ""), "", IF((FLOOR($B90/1000000000000, 1) = 124), VLOOKUP($B90, '[1]DataLookUp - InstitutionBranch'!$B$4:$C$97, 2, FALSE), IF((FLOOR($B90/1000000000000, 1) = 25), VLOOKUP($B90, [2]DataLookUp!$B$4:$D$632, 2, FALSE), "xx")))</f>
        <v>Isa Taufiq</v>
      </c>
      <c r="E90" s="39" t="s">
        <v>197</v>
      </c>
      <c r="F90" s="51">
        <f ca="1">IF(EXACT(E90, ""), "", VLOOKUP($E90, OFFSET([3]MAIN!$B$2, 0, 0, 100, 6), 5, FALSE))</f>
        <v>166000000000005</v>
      </c>
      <c r="G90" s="47">
        <v>7660328771</v>
      </c>
      <c r="H90" s="39" t="s">
        <v>154</v>
      </c>
      <c r="I90" s="40" t="s">
        <v>366</v>
      </c>
      <c r="J90" s="66"/>
      <c r="K90" s="39"/>
      <c r="M90" s="32">
        <f t="shared" ca="1" si="4"/>
        <v>167000000000086</v>
      </c>
      <c r="N90" s="6" t="str">
        <f t="shared" ca="1" si="5"/>
        <v>PERFORM "SchData-OLTP-Master"."Func_TblBankAccount_SET"(varSystemLoginSession, null, null, null, null, null, varInstitutionBranchID, varBaseCurrencyID, 166000000000005, '7660328771', 'Isa Taufiq', 62000000000001, 25000000000217);</v>
      </c>
    </row>
    <row r="91" spans="1:14" x14ac:dyDescent="0.2">
      <c r="B91" s="64">
        <v>25000000000528</v>
      </c>
      <c r="C91" s="37" t="str">
        <f>_xlfn.IFNA(IF(EXACT($B91, ""), "", VLOOKUP($B91, [4]DataLookUp!$C$4:$G$999, 3, FALSE )), "")</f>
        <v>170322960</v>
      </c>
      <c r="D91" s="38" t="str">
        <f>IF(EXACT($B91, ""), "", IF((FLOOR($B91/1000000000000, 1) = 124), VLOOKUP($B91, '[1]DataLookUp - InstitutionBranch'!$B$4:$C$97, 2, FALSE), IF((FLOOR($B91/1000000000000, 1) = 25), VLOOKUP($B91, [2]DataLookUp!$B$4:$D$632, 2, FALSE), "xx")))</f>
        <v>Istikaro Fauziah</v>
      </c>
      <c r="E91" s="39" t="s">
        <v>197</v>
      </c>
      <c r="F91" s="51">
        <f ca="1">IF(EXACT(E91, ""), "", VLOOKUP($E91, OFFSET([3]MAIN!$B$2, 0, 0, 100, 6), 5, FALSE))</f>
        <v>166000000000005</v>
      </c>
      <c r="G91" s="47">
        <v>4980153300</v>
      </c>
      <c r="H91" s="39" t="s">
        <v>106</v>
      </c>
      <c r="I91" s="40" t="s">
        <v>366</v>
      </c>
      <c r="J91" s="66"/>
      <c r="K91" s="39"/>
      <c r="M91" s="32">
        <f t="shared" ca="1" si="4"/>
        <v>167000000000087</v>
      </c>
      <c r="N91" s="6" t="str">
        <f t="shared" ca="1" si="5"/>
        <v>PERFORM "SchData-OLTP-Master"."Func_TblBankAccount_SET"(varSystemLoginSession, null, null, null, null, null, varInstitutionBranchID, varBaseCurrencyID, 166000000000005, '4980153300', 'Istikaro Fauziah', 62000000000001, 25000000000528);</v>
      </c>
    </row>
    <row r="92" spans="1:14" x14ac:dyDescent="0.2">
      <c r="B92" s="64">
        <v>25000000000232</v>
      </c>
      <c r="C92" s="37" t="str">
        <f>_xlfn.IFNA(IF(EXACT($B92, ""), "", VLOOKUP($B92, [4]DataLookUp!$C$4:$G$999, 3, FALSE )), "")</f>
        <v>040515767</v>
      </c>
      <c r="D92" s="38" t="str">
        <f>IF(EXACT($B92, ""), "", IF((FLOOR($B92/1000000000000, 1) = 124), VLOOKUP($B92, '[1]DataLookUp - InstitutionBranch'!$B$4:$C$97, 2, FALSE), IF((FLOOR($B92/1000000000000, 1) = 25), VLOOKUP($B92, [2]DataLookUp!$B$4:$D$632, 2, FALSE), "xx")))</f>
        <v>Jimmywal</v>
      </c>
      <c r="E92" s="39" t="s">
        <v>197</v>
      </c>
      <c r="F92" s="51">
        <f ca="1">IF(EXACT(E92, ""), "", VLOOKUP($E92, OFFSET([3]MAIN!$B$2, 0, 0, 100, 6), 5, FALSE))</f>
        <v>166000000000005</v>
      </c>
      <c r="G92" s="47">
        <v>5520190068</v>
      </c>
      <c r="H92" s="39" t="s">
        <v>155</v>
      </c>
      <c r="I92" s="40" t="s">
        <v>366</v>
      </c>
      <c r="J92" s="66"/>
      <c r="K92" s="39"/>
      <c r="M92" s="32">
        <f t="shared" ca="1" si="4"/>
        <v>167000000000088</v>
      </c>
      <c r="N92" s="6" t="str">
        <f t="shared" ca="1" si="5"/>
        <v>PERFORM "SchData-OLTP-Master"."Func_TblBankAccount_SET"(varSystemLoginSession, null, null, null, null, null, varInstitutionBranchID, varBaseCurrencyID, 166000000000005, '5520190068', 'Jimmywal Amd', 62000000000001, 25000000000232);</v>
      </c>
    </row>
    <row r="93" spans="1:14" x14ac:dyDescent="0.2">
      <c r="B93" s="64">
        <v>25000000000253</v>
      </c>
      <c r="C93" s="37" t="str">
        <f>_xlfn.IFNA(IF(EXACT($B93, ""), "", VLOOKUP($B93, [4]DataLookUp!$C$4:$G$999, 3, FALSE )), "")</f>
        <v>190803044</v>
      </c>
      <c r="D93" s="38" t="str">
        <f>IF(EXACT($B93, ""), "", IF((FLOOR($B93/1000000000000, 1) = 124), VLOOKUP($B93, '[1]DataLookUp - InstitutionBranch'!$B$4:$C$97, 2, FALSE), IF((FLOOR($B93/1000000000000, 1) = 25), VLOOKUP($B93, [2]DataLookUp!$B$4:$D$632, 2, FALSE), "xx")))</f>
        <v>Kornelius Sakan</v>
      </c>
      <c r="E93" s="39" t="s">
        <v>197</v>
      </c>
      <c r="F93" s="51">
        <f ca="1">IF(EXACT(E93, ""), "", VLOOKUP($E93, OFFSET([3]MAIN!$B$2, 0, 0, 100, 6), 5, FALSE))</f>
        <v>166000000000005</v>
      </c>
      <c r="G93" s="47" t="s">
        <v>139</v>
      </c>
      <c r="H93" s="39" t="s">
        <v>107</v>
      </c>
      <c r="I93" s="40" t="s">
        <v>366</v>
      </c>
      <c r="J93" s="66"/>
      <c r="K93" s="39"/>
      <c r="M93" s="32">
        <f t="shared" ca="1" si="4"/>
        <v>167000000000089</v>
      </c>
      <c r="N93" s="6" t="str">
        <f t="shared" ca="1" si="5"/>
        <v>PERFORM "SchData-OLTP-Master"."Func_TblBankAccount_SET"(varSystemLoginSession, null, null, null, null, null, varInstitutionBranchID, varBaseCurrencyID, 166000000000005, '0060238634', 'Kornelius Sakan', 62000000000001, 25000000000253);</v>
      </c>
    </row>
    <row r="94" spans="1:14" x14ac:dyDescent="0.2">
      <c r="B94" s="64">
        <v>25000000000157</v>
      </c>
      <c r="C94" s="37" t="str">
        <f>_xlfn.IFNA(IF(EXACT($B94, ""), "", VLOOKUP($B94, [4]DataLookUp!$C$4:$G$999, 3, FALSE )), "")</f>
        <v>070305123</v>
      </c>
      <c r="D94" s="38" t="str">
        <f>IF(EXACT($B94, ""), "", IF((FLOOR($B94/1000000000000, 1) = 124), VLOOKUP($B94, '[1]DataLookUp - InstitutionBranch'!$B$4:$C$97, 2, FALSE), IF((FLOOR($B94/1000000000000, 1) = 25), VLOOKUP($B94, [2]DataLookUp!$B$4:$D$632, 2, FALSE), "xx")))</f>
        <v>Fitriastuti Kurnia</v>
      </c>
      <c r="E94" s="39" t="s">
        <v>197</v>
      </c>
      <c r="F94" s="51">
        <f ca="1">IF(EXACT(E94, ""), "", VLOOKUP($E94, OFFSET([3]MAIN!$B$2, 0, 0, 100, 6), 5, FALSE))</f>
        <v>166000000000005</v>
      </c>
      <c r="G94" s="47" t="s">
        <v>140</v>
      </c>
      <c r="H94" s="39" t="s">
        <v>108</v>
      </c>
      <c r="I94" s="40" t="s">
        <v>366</v>
      </c>
      <c r="J94" s="66"/>
      <c r="K94" s="39"/>
      <c r="M94" s="32">
        <f t="shared" ca="1" si="4"/>
        <v>167000000000090</v>
      </c>
      <c r="N94" s="6" t="str">
        <f t="shared" ca="1" si="5"/>
        <v>PERFORM "SchData-OLTP-Master"."Func_TblBankAccount_SET"(varSystemLoginSession, null, null, null, null, null, varInstitutionBranchID, varBaseCurrencyID, 166000000000005, '0060202915', 'Kurnia Fitriastuti', 62000000000001, 25000000000157);</v>
      </c>
    </row>
    <row r="95" spans="1:14" x14ac:dyDescent="0.2">
      <c r="B95" s="64">
        <v>25000000000262</v>
      </c>
      <c r="C95" s="37" t="str">
        <f>_xlfn.IFNA(IF(EXACT($B95, ""), "", VLOOKUP($B95, [4]DataLookUp!$C$4:$G$999, 3, FALSE )), "")</f>
        <v>170918883</v>
      </c>
      <c r="D95" s="38" t="str">
        <f>IF(EXACT($B95, ""), "", IF((FLOOR($B95/1000000000000, 1) = 124), VLOOKUP($B95, '[1]DataLookUp - InstitutionBranch'!$B$4:$C$97, 2, FALSE), IF((FLOOR($B95/1000000000000, 1) = 25), VLOOKUP($B95, [2]DataLookUp!$B$4:$D$632, 2, FALSE), "xx")))</f>
        <v>Lisma Natalia</v>
      </c>
      <c r="E95" s="39" t="s">
        <v>197</v>
      </c>
      <c r="F95" s="51">
        <f ca="1">IF(EXACT(E95, ""), "", VLOOKUP($E95, OFFSET([3]MAIN!$B$2, 0, 0, 100, 6), 5, FALSE))</f>
        <v>166000000000005</v>
      </c>
      <c r="G95" s="47" t="s">
        <v>141</v>
      </c>
      <c r="H95" s="39" t="s">
        <v>109</v>
      </c>
      <c r="I95" s="40" t="s">
        <v>366</v>
      </c>
      <c r="J95" s="66"/>
      <c r="K95" s="39"/>
      <c r="M95" s="32">
        <f t="shared" ca="1" si="4"/>
        <v>167000000000091</v>
      </c>
      <c r="N95" s="6" t="str">
        <f t="shared" ca="1" si="5"/>
        <v>PERFORM "SchData-OLTP-Master"."Func_TblBankAccount_SET"(varSystemLoginSession, null, null, null, null, null, varInstitutionBranchID, varBaseCurrencyID, 166000000000005, '5520514947', 'Lisma Natalia', 62000000000001, 25000000000262);</v>
      </c>
    </row>
    <row r="96" spans="1:14" x14ac:dyDescent="0.2">
      <c r="B96" s="64">
        <v>25000000000155</v>
      </c>
      <c r="C96" s="37" t="str">
        <f>_xlfn.IFNA(IF(EXACT($B96, ""), "", VLOOKUP($B96, [4]DataLookUp!$C$4:$G$999, 3, FALSE )), "")</f>
        <v>160916799</v>
      </c>
      <c r="D96" s="38" t="str">
        <f>IF(EXACT($B96, ""), "", IF((FLOOR($B96/1000000000000, 1) = 124), VLOOKUP($B96, '[1]DataLookUp - InstitutionBranch'!$B$4:$C$97, 2, FALSE), IF((FLOOR($B96/1000000000000, 1) = 25), VLOOKUP($B96, [2]DataLookUp!$B$4:$D$632, 2, FALSE), "xx")))</f>
        <v>M. Fikri Caesarandi Hasibuan</v>
      </c>
      <c r="E96" s="39" t="s">
        <v>197</v>
      </c>
      <c r="F96" s="51">
        <f ca="1">IF(EXACT(E96, ""), "", VLOOKUP($E96, OFFSET([3]MAIN!$B$2, 0, 0, 100, 6), 5, FALSE))</f>
        <v>166000000000005</v>
      </c>
      <c r="G96" s="47">
        <v>7865198493</v>
      </c>
      <c r="H96" s="39" t="s">
        <v>156</v>
      </c>
      <c r="I96" s="40" t="s">
        <v>366</v>
      </c>
      <c r="J96" s="66"/>
      <c r="K96" s="39"/>
      <c r="M96" s="32">
        <f t="shared" ca="1" si="4"/>
        <v>167000000000092</v>
      </c>
      <c r="N96" s="6" t="str">
        <f t="shared" ca="1" si="5"/>
        <v>PERFORM "SchData-OLTP-Master"."Func_TblBankAccount_SET"(varSystemLoginSession, null, null, null, null, null, varInstitutionBranchID, varBaseCurrencyID, 166000000000005, '7865198493', 'M Fikri Caesarandi Hasib', 62000000000001, 25000000000155);</v>
      </c>
    </row>
    <row r="97" spans="1:14" x14ac:dyDescent="0.2">
      <c r="B97" s="64">
        <v>25000000000276</v>
      </c>
      <c r="C97" s="37" t="str">
        <f>_xlfn.IFNA(IF(EXACT($B97, ""), "", VLOOKUP($B97, [4]DataLookUp!$C$4:$G$999, 3, FALSE )), "")</f>
        <v>010513665</v>
      </c>
      <c r="D97" s="38" t="str">
        <f>IF(EXACT($B97, ""), "", IF((FLOOR($B97/1000000000000, 1) = 124), VLOOKUP($B97, '[1]DataLookUp - InstitutionBranch'!$B$4:$C$97, 2, FALSE), IF((FLOOR($B97/1000000000000, 1) = 25), VLOOKUP($B97, [2]DataLookUp!$B$4:$D$632, 2, FALSE), "xx")))</f>
        <v>Marten Tabun</v>
      </c>
      <c r="E97" s="39" t="s">
        <v>197</v>
      </c>
      <c r="F97" s="51">
        <f ca="1">IF(EXACT(E97, ""), "", VLOOKUP($E97, OFFSET([3]MAIN!$B$2, 0, 0, 100, 6), 5, FALSE))</f>
        <v>166000000000005</v>
      </c>
      <c r="G97" s="47">
        <v>5750336223</v>
      </c>
      <c r="H97" s="39" t="s">
        <v>110</v>
      </c>
      <c r="I97" s="40" t="s">
        <v>366</v>
      </c>
      <c r="J97" s="66"/>
      <c r="K97" s="39"/>
      <c r="M97" s="32">
        <f t="shared" ca="1" si="4"/>
        <v>167000000000093</v>
      </c>
      <c r="N97" s="6" t="str">
        <f t="shared" ca="1" si="5"/>
        <v>PERFORM "SchData-OLTP-Master"."Func_TblBankAccount_SET"(varSystemLoginSession, null, null, null, null, null, varInstitutionBranchID, varBaseCurrencyID, 166000000000005, '5750336223', 'Marthen Tabun', 62000000000001, 25000000000276);</v>
      </c>
    </row>
    <row r="98" spans="1:14" x14ac:dyDescent="0.2">
      <c r="A98" s="10"/>
      <c r="B98" s="64">
        <v>25000000000553</v>
      </c>
      <c r="C98" s="37" t="str">
        <f>_xlfn.IFNA(IF(EXACT($B98, ""), "", VLOOKUP($B98, [4]DataLookUp!$C$4:$G$999, 3, FALSE )), "")</f>
        <v>010803042</v>
      </c>
      <c r="D98" s="38" t="str">
        <f>IF(EXACT($B98, ""), "", IF((FLOOR($B98/1000000000000, 1) = 124), VLOOKUP($B98, '[1]DataLookUp - InstitutionBranch'!$B$4:$C$97, 2, FALSE), IF((FLOOR($B98/1000000000000, 1) = 25), VLOOKUP($B98, [2]DataLookUp!$B$4:$D$632, 2, FALSE), "xx")))</f>
        <v>Masimin</v>
      </c>
      <c r="E98" s="39" t="s">
        <v>197</v>
      </c>
      <c r="F98" s="51">
        <f ca="1">IF(EXACT(E98, ""), "", VLOOKUP($E98, OFFSET([3]MAIN!$B$2, 0, 0, 100, 6), 5, FALSE))</f>
        <v>166000000000005</v>
      </c>
      <c r="G98" s="47" t="s">
        <v>142</v>
      </c>
      <c r="H98" s="39" t="s">
        <v>111</v>
      </c>
      <c r="I98" s="40" t="s">
        <v>366</v>
      </c>
      <c r="J98" s="66"/>
      <c r="K98" s="39"/>
      <c r="M98" s="32">
        <f t="shared" ca="1" si="4"/>
        <v>167000000000094</v>
      </c>
      <c r="N98" s="6" t="str">
        <f t="shared" ca="1" si="5"/>
        <v>PERFORM "SchData-OLTP-Master"."Func_TblBankAccount_SET"(varSystemLoginSession, null, null, null, null, null, varInstitutionBranchID, varBaseCurrencyID, 166000000000005, '0350189041', 'Masimin', 62000000000001, 25000000000553);</v>
      </c>
    </row>
    <row r="99" spans="1:14" x14ac:dyDescent="0.2">
      <c r="B99" s="64">
        <v>25000000000301</v>
      </c>
      <c r="C99" s="37" t="str">
        <f>_xlfn.IFNA(IF(EXACT($B99, ""), "", VLOOKUP($B99, [4]DataLookUp!$C$4:$G$999, 3, FALSE )), "")</f>
        <v>030105116</v>
      </c>
      <c r="D99" s="38" t="str">
        <f>IF(EXACT($B99, ""), "", IF((FLOOR($B99/1000000000000, 1) = 124), VLOOKUP($B99, '[1]DataLookUp - InstitutionBranch'!$B$4:$C$97, 2, FALSE), IF((FLOOR($B99/1000000000000, 1) = 25), VLOOKUP($B99, [2]DataLookUp!$B$4:$D$632, 2, FALSE), "xx")))</f>
        <v>Mullan Tresna</v>
      </c>
      <c r="E99" s="39" t="s">
        <v>197</v>
      </c>
      <c r="F99" s="51">
        <f ca="1">IF(EXACT(E99, ""), "", VLOOKUP($E99, OFFSET([3]MAIN!$B$2, 0, 0, 100, 6), 5, FALSE))</f>
        <v>166000000000005</v>
      </c>
      <c r="G99" s="47">
        <v>7660282321</v>
      </c>
      <c r="H99" s="39" t="s">
        <v>112</v>
      </c>
      <c r="I99" s="40" t="s">
        <v>366</v>
      </c>
      <c r="J99" s="66"/>
      <c r="K99" s="39"/>
      <c r="M99" s="32">
        <f t="shared" ca="1" si="4"/>
        <v>167000000000095</v>
      </c>
      <c r="N99" s="6" t="str">
        <f t="shared" ca="1" si="5"/>
        <v>PERFORM "SchData-OLTP-Master"."Func_TblBankAccount_SET"(varSystemLoginSession, null, null, null, null, null, varInstitutionBranchID, varBaseCurrencyID, 166000000000005, '7660282321', 'Mullan Tresna', 62000000000001, 25000000000301);</v>
      </c>
    </row>
    <row r="100" spans="1:14" x14ac:dyDescent="0.2">
      <c r="B100" s="64">
        <v>25000000000307</v>
      </c>
      <c r="C100" s="37" t="str">
        <f>_xlfn.IFNA(IF(EXACT($B100, ""), "", VLOOKUP($B100, [4]DataLookUp!$C$4:$G$999, 3, FALSE )), "")</f>
        <v>061106279</v>
      </c>
      <c r="D100" s="38" t="str">
        <f>IF(EXACT($B100, ""), "", IF((FLOOR($B100/1000000000000, 1) = 124), VLOOKUP($B100, '[1]DataLookUp - InstitutionBranch'!$B$4:$C$97, 2, FALSE), IF((FLOOR($B100/1000000000000, 1) = 25), VLOOKUP($B100, [2]DataLookUp!$B$4:$D$632, 2, FALSE), "xx")))</f>
        <v>Nandang Effendi</v>
      </c>
      <c r="E100" s="39" t="s">
        <v>197</v>
      </c>
      <c r="F100" s="51">
        <f ca="1">IF(EXACT(E100, ""), "", VLOOKUP($E100, OFFSET([3]MAIN!$B$2, 0, 0, 100, 6), 5, FALSE))</f>
        <v>166000000000005</v>
      </c>
      <c r="G100" s="47">
        <v>7000245156</v>
      </c>
      <c r="H100" s="39" t="s">
        <v>157</v>
      </c>
      <c r="I100" s="40" t="s">
        <v>366</v>
      </c>
      <c r="J100" s="66"/>
      <c r="K100" s="39"/>
      <c r="M100" s="32">
        <f t="shared" ca="1" si="4"/>
        <v>167000000000096</v>
      </c>
      <c r="N100" s="6" t="str">
        <f t="shared" ca="1" si="5"/>
        <v>PERFORM "SchData-OLTP-Master"."Func_TblBankAccount_SET"(varSystemLoginSession, null, null, null, null, null, varInstitutionBranchID, varBaseCurrencyID, 166000000000005, '7000245156', 'H Nandang Effendi', 62000000000001, 25000000000307);</v>
      </c>
    </row>
    <row r="101" spans="1:14" x14ac:dyDescent="0.2">
      <c r="B101" s="64">
        <v>25000000000325</v>
      </c>
      <c r="C101" s="37" t="str">
        <f>_xlfn.IFNA(IF(EXACT($B101, ""), "", VLOOKUP($B101, [4]DataLookUp!$C$4:$G$999, 3, FALSE )), "")</f>
        <v>070518868</v>
      </c>
      <c r="D101" s="38" t="str">
        <f>IF(EXACT($B101, ""), "", IF((FLOOR($B101/1000000000000, 1) = 124), VLOOKUP($B101, '[1]DataLookUp - InstitutionBranch'!$B$4:$C$97, 2, FALSE), IF((FLOOR($B101/1000000000000, 1) = 25), VLOOKUP($B101, [2]DataLookUp!$B$4:$D$632, 2, FALSE), "xx")))</f>
        <v>Panca Yudi Baskoro</v>
      </c>
      <c r="E101" s="39" t="s">
        <v>197</v>
      </c>
      <c r="F101" s="51">
        <f ca="1">IF(EXACT(E101, ""), "", VLOOKUP($E101, OFFSET([3]MAIN!$B$2, 0, 0, 100, 6), 5, FALSE))</f>
        <v>166000000000005</v>
      </c>
      <c r="G101" s="47">
        <v>8760571998</v>
      </c>
      <c r="H101" s="39" t="s">
        <v>113</v>
      </c>
      <c r="I101" s="40" t="s">
        <v>366</v>
      </c>
      <c r="J101" s="66"/>
      <c r="K101" s="39"/>
      <c r="M101" s="32">
        <f t="shared" ca="1" si="4"/>
        <v>167000000000097</v>
      </c>
      <c r="N101" s="6" t="str">
        <f t="shared" ca="1" si="5"/>
        <v>PERFORM "SchData-OLTP-Master"."Func_TblBankAccount_SET"(varSystemLoginSession, null, null, null, null, null, varInstitutionBranchID, varBaseCurrencyID, 166000000000005, '8760571998', 'Panca Yudi Baskoro', 62000000000001, 25000000000325);</v>
      </c>
    </row>
    <row r="102" spans="1:14" x14ac:dyDescent="0.2">
      <c r="B102" s="64">
        <v>25000000000273</v>
      </c>
      <c r="C102" s="37" t="str">
        <f>_xlfn.IFNA(IF(EXACT($B102, ""), "", VLOOKUP($B102, [4]DataLookUp!$C$4:$G$999, 3, FALSE )), "")</f>
        <v>160603011</v>
      </c>
      <c r="D102" s="38" t="str">
        <f>IF(EXACT($B102, ""), "", IF((FLOOR($B102/1000000000000, 1) = 124), VLOOKUP($B102, '[1]DataLookUp - InstitutionBranch'!$B$4:$C$97, 2, FALSE), IF((FLOOR($B102/1000000000000, 1) = 25), VLOOKUP($B102, [2]DataLookUp!$B$4:$D$632, 2, FALSE), "xx")))</f>
        <v>Pantas Banjarnahor Marbun</v>
      </c>
      <c r="E102" s="39" t="s">
        <v>197</v>
      </c>
      <c r="F102" s="51">
        <f ca="1">IF(EXACT(E102, ""), "", VLOOKUP($E102, OFFSET([3]MAIN!$B$2, 0, 0, 100, 6), 5, FALSE))</f>
        <v>166000000000005</v>
      </c>
      <c r="G102" s="47" t="s">
        <v>143</v>
      </c>
      <c r="H102" s="39" t="s">
        <v>158</v>
      </c>
      <c r="I102" s="40" t="s">
        <v>366</v>
      </c>
      <c r="J102" s="66"/>
      <c r="K102" s="39"/>
      <c r="M102" s="32">
        <f t="shared" ca="1" si="4"/>
        <v>167000000000098</v>
      </c>
      <c r="N102" s="6" t="str">
        <f t="shared" ca="1" si="5"/>
        <v>PERFORM "SchData-OLTP-Master"."Func_TblBankAccount_SET"(varSystemLoginSession, null, null, null, null, null, varInstitutionBranchID, varBaseCurrencyID, 166000000000005, '0060098298', 'Pantas Banjar Nahor', 62000000000001, 25000000000273);</v>
      </c>
    </row>
    <row r="103" spans="1:14" x14ac:dyDescent="0.2">
      <c r="B103" s="64">
        <v>25000000000330</v>
      </c>
      <c r="C103" s="37" t="str">
        <f>_xlfn.IFNA(IF(EXACT($B103, ""), "", VLOOKUP($B103, [4]DataLookUp!$C$4:$G$999, 3, FALSE )), "")</f>
        <v>260115754</v>
      </c>
      <c r="D103" s="38" t="str">
        <f>IF(EXACT($B103, ""), "", IF((FLOOR($B103/1000000000000, 1) = 124), VLOOKUP($B103, '[1]DataLookUp - InstitutionBranch'!$B$4:$C$97, 2, FALSE), IF((FLOOR($B103/1000000000000, 1) = 25), VLOOKUP($B103, [2]DataLookUp!$B$4:$D$632, 2, FALSE), "xx")))</f>
        <v>Prayanti Dewi Anggraini</v>
      </c>
      <c r="E103" s="39" t="s">
        <v>197</v>
      </c>
      <c r="F103" s="51">
        <f ca="1">IF(EXACT(E103, ""), "", VLOOKUP($E103, OFFSET([3]MAIN!$B$2, 0, 0, 100, 6), 5, FALSE))</f>
        <v>166000000000005</v>
      </c>
      <c r="G103" s="47">
        <v>3831252381</v>
      </c>
      <c r="H103" s="39" t="s">
        <v>114</v>
      </c>
      <c r="I103" s="40" t="s">
        <v>366</v>
      </c>
      <c r="J103" s="66"/>
      <c r="K103" s="39"/>
      <c r="M103" s="32">
        <f t="shared" ca="1" si="4"/>
        <v>167000000000099</v>
      </c>
      <c r="N103" s="6" t="str">
        <f t="shared" ca="1" si="5"/>
        <v>PERFORM "SchData-OLTP-Master"."Func_TblBankAccount_SET"(varSystemLoginSession, null, null, null, null, null, varInstitutionBranchID, varBaseCurrencyID, 166000000000005, '3831252381', 'Prayanti Dewi Anggraini', 62000000000001, 25000000000330);</v>
      </c>
    </row>
    <row r="104" spans="1:14" x14ac:dyDescent="0.2">
      <c r="B104" s="64">
        <v>25000000000352</v>
      </c>
      <c r="C104" s="37" t="str">
        <f>_xlfn.IFNA(IF(EXACT($B104, ""), "", VLOOKUP($B104, [4]DataLookUp!$C$4:$G$999, 3, FALSE )), "")</f>
        <v>221110557</v>
      </c>
      <c r="D104" s="38" t="str">
        <f>IF(EXACT($B104, ""), "", IF((FLOOR($B104/1000000000000, 1) = 124), VLOOKUP($B104, '[1]DataLookUp - InstitutionBranch'!$B$4:$C$97, 2, FALSE), IF((FLOOR($B104/1000000000000, 1) = 25), VLOOKUP($B104, [2]DataLookUp!$B$4:$D$632, 2, FALSE), "xx")))</f>
        <v>Rhino Priawan</v>
      </c>
      <c r="E104" s="39" t="s">
        <v>197</v>
      </c>
      <c r="F104" s="51">
        <f ca="1">IF(EXACT(E104, ""), "", VLOOKUP($E104, OFFSET([3]MAIN!$B$2, 0, 0, 100, 6), 5, FALSE))</f>
        <v>166000000000005</v>
      </c>
      <c r="G104" s="47">
        <v>7660268949</v>
      </c>
      <c r="H104" s="39" t="s">
        <v>115</v>
      </c>
      <c r="I104" s="40" t="s">
        <v>366</v>
      </c>
      <c r="J104" s="66"/>
      <c r="K104" s="39"/>
      <c r="M104" s="32">
        <f t="shared" ca="1" si="4"/>
        <v>167000000000100</v>
      </c>
      <c r="N104" s="6" t="str">
        <f t="shared" ca="1" si="5"/>
        <v>PERFORM "SchData-OLTP-Master"."Func_TblBankAccount_SET"(varSystemLoginSession, null, null, null, null, null, varInstitutionBranchID, varBaseCurrencyID, 166000000000005, '7660268949', 'Rhino Priawan', 62000000000001, 25000000000352);</v>
      </c>
    </row>
    <row r="105" spans="1:14" x14ac:dyDescent="0.2">
      <c r="B105" s="64">
        <v>25000000000509</v>
      </c>
      <c r="C105" s="37" t="str">
        <f>_xlfn.IFNA(IF(EXACT($B105, ""), "", VLOOKUP($B105, [4]DataLookUp!$C$4:$G$999, 3, FALSE )), "")</f>
        <v>260716795</v>
      </c>
      <c r="D105" s="38" t="str">
        <f>IF(EXACT($B105, ""), "", IF((FLOOR($B105/1000000000000, 1) = 124), VLOOKUP($B105, '[1]DataLookUp - InstitutionBranch'!$B$4:$C$97, 2, FALSE), IF((FLOOR($B105/1000000000000, 1) = 25), VLOOKUP($B105, [2]DataLookUp!$B$4:$D$632, 2, FALSE), "xx")))</f>
        <v>Riza Emir Subekti</v>
      </c>
      <c r="E105" s="39" t="s">
        <v>197</v>
      </c>
      <c r="F105" s="51">
        <f ca="1">IF(EXACT(E105, ""), "", VLOOKUP($E105, OFFSET([3]MAIN!$B$2, 0, 0, 100, 6), 5, FALSE))</f>
        <v>166000000000005</v>
      </c>
      <c r="G105" s="47">
        <v>2170088924</v>
      </c>
      <c r="H105" s="39" t="s">
        <v>116</v>
      </c>
      <c r="I105" s="40" t="s">
        <v>366</v>
      </c>
      <c r="J105" s="66"/>
      <c r="K105" s="39"/>
      <c r="M105" s="32">
        <f t="shared" ca="1" si="4"/>
        <v>167000000000101</v>
      </c>
      <c r="N105" s="6" t="str">
        <f t="shared" ca="1" si="5"/>
        <v>PERFORM "SchData-OLTP-Master"."Func_TblBankAccount_SET"(varSystemLoginSession, null, null, null, null, null, varInstitutionBranchID, varBaseCurrencyID, 166000000000005, '2170088924', 'Riza Emir Subekti', 62000000000001, 25000000000509);</v>
      </c>
    </row>
    <row r="106" spans="1:14" x14ac:dyDescent="0.2">
      <c r="B106" s="64">
        <v>25000000000381</v>
      </c>
      <c r="C106" s="37" t="str">
        <f>_xlfn.IFNA(IF(EXACT($B106, ""), "", VLOOKUP($B106, [4]DataLookUp!$C$4:$G$999, 3, FALSE )), "")</f>
        <v>161220941</v>
      </c>
      <c r="D106" s="38" t="str">
        <f>IF(EXACT($B106, ""), "", IF((FLOOR($B106/1000000000000, 1) = 124), VLOOKUP($B106, '[1]DataLookUp - InstitutionBranch'!$B$4:$C$97, 2, FALSE), IF((FLOOR($B106/1000000000000, 1) = 25), VLOOKUP($B106, [2]DataLookUp!$B$4:$D$632, 2, FALSE), "xx")))</f>
        <v>Sakinah Tantriani Lubis</v>
      </c>
      <c r="E106" s="39" t="s">
        <v>197</v>
      </c>
      <c r="F106" s="51">
        <f ca="1">IF(EXACT(E106, ""), "", VLOOKUP($E106, OFFSET([3]MAIN!$B$2, 0, 0, 100, 6), 5, FALSE))</f>
        <v>166000000000005</v>
      </c>
      <c r="G106" s="47">
        <v>5025005331</v>
      </c>
      <c r="H106" s="39" t="s">
        <v>159</v>
      </c>
      <c r="I106" s="40" t="s">
        <v>366</v>
      </c>
      <c r="J106" s="66"/>
      <c r="K106" s="39"/>
      <c r="M106" s="32">
        <f t="shared" ca="1" si="4"/>
        <v>167000000000102</v>
      </c>
      <c r="N106" s="6" t="str">
        <f t="shared" ca="1" si="5"/>
        <v>PERFORM "SchData-OLTP-Master"."Func_TblBankAccount_SET"(varSystemLoginSession, null, null, null, null, null, varInstitutionBranchID, varBaseCurrencyID, 166000000000005, '5025005331', 'Sakinah Tantriani', 62000000000001, 25000000000381);</v>
      </c>
    </row>
    <row r="107" spans="1:14" x14ac:dyDescent="0.2">
      <c r="B107" s="64">
        <v>25000000000391</v>
      </c>
      <c r="C107" s="37" t="str">
        <f>_xlfn.IFNA(IF(EXACT($B107, ""), "", VLOOKUP($B107, [4]DataLookUp!$C$4:$G$999, 3, FALSE )), "")</f>
        <v>141118892</v>
      </c>
      <c r="D107" s="38" t="str">
        <f>IF(EXACT($B107, ""), "", IF((FLOOR($B107/1000000000000, 1) = 124), VLOOKUP($B107, '[1]DataLookUp - InstitutionBranch'!$B$4:$C$97, 2, FALSE), IF((FLOOR($B107/1000000000000, 1) = 25), VLOOKUP($B107, [2]DataLookUp!$B$4:$D$632, 2, FALSE), "xx")))</f>
        <v>Seftiyan Hadi Maulana</v>
      </c>
      <c r="E107" s="39" t="s">
        <v>197</v>
      </c>
      <c r="F107" s="51">
        <f ca="1">IF(EXACT(E107, ""), "", VLOOKUP($E107, OFFSET([3]MAIN!$B$2, 0, 0, 100, 6), 5, FALSE))</f>
        <v>166000000000005</v>
      </c>
      <c r="G107" s="47" t="s">
        <v>144</v>
      </c>
      <c r="H107" s="39" t="s">
        <v>117</v>
      </c>
      <c r="I107" s="40" t="s">
        <v>366</v>
      </c>
      <c r="J107" s="66"/>
      <c r="K107" s="39"/>
      <c r="M107" s="32">
        <f t="shared" ca="1" si="4"/>
        <v>167000000000103</v>
      </c>
      <c r="N107" s="6" t="str">
        <f t="shared" ca="1" si="5"/>
        <v>PERFORM "SchData-OLTP-Master"."Func_TblBankAccount_SET"(varSystemLoginSession, null, null, null, null, null, varInstitutionBranchID, varBaseCurrencyID, 166000000000005, '5325315714', 'Seftiyan Hadi Maulana', 62000000000001, 25000000000391);</v>
      </c>
    </row>
    <row r="108" spans="1:14" x14ac:dyDescent="0.2">
      <c r="B108" s="64">
        <v>25000000000393</v>
      </c>
      <c r="C108" s="37" t="str">
        <f>_xlfn.IFNA(IF(EXACT($B108, ""), "", VLOOKUP($B108, [4]DataLookUp!$C$4:$G$999, 3, FALSE )), "")</f>
        <v>130906272</v>
      </c>
      <c r="D108" s="38" t="str">
        <f>IF(EXACT($B108, ""), "", IF((FLOOR($B108/1000000000000, 1) = 124), VLOOKUP($B108, '[1]DataLookUp - InstitutionBranch'!$B$4:$C$97, 2, FALSE), IF((FLOOR($B108/1000000000000, 1) = 25), VLOOKUP($B108, [2]DataLookUp!$B$4:$D$632, 2, FALSE), "xx")))</f>
        <v>Setiadi</v>
      </c>
      <c r="E108" s="39" t="s">
        <v>197</v>
      </c>
      <c r="F108" s="51">
        <f ca="1">IF(EXACT(E108, ""), "", VLOOKUP($E108, OFFSET([3]MAIN!$B$2, 0, 0, 100, 6), 5, FALSE))</f>
        <v>166000000000005</v>
      </c>
      <c r="G108" s="47">
        <v>2101238654</v>
      </c>
      <c r="H108" s="39" t="s">
        <v>118</v>
      </c>
      <c r="I108" s="40" t="s">
        <v>366</v>
      </c>
      <c r="J108" s="66"/>
      <c r="K108" s="39"/>
      <c r="M108" s="32">
        <f t="shared" ca="1" si="4"/>
        <v>167000000000104</v>
      </c>
      <c r="N108" s="6" t="str">
        <f t="shared" ca="1" si="5"/>
        <v>PERFORM "SchData-OLTP-Master"."Func_TblBankAccount_SET"(varSystemLoginSession, null, null, null, null, null, varInstitutionBranchID, varBaseCurrencyID, 166000000000005, '2101238654', 'Setiadi', 62000000000001, 25000000000393);</v>
      </c>
    </row>
    <row r="109" spans="1:14" x14ac:dyDescent="0.2">
      <c r="B109" s="64">
        <v>25000000000397</v>
      </c>
      <c r="C109" s="37" t="str">
        <f>_xlfn.IFNA(IF(EXACT($B109, ""), "", VLOOKUP($B109, [4]DataLookUp!$C$4:$G$999, 3, FALSE )), "")</f>
        <v>240518874</v>
      </c>
      <c r="D109" s="38" t="str">
        <f>IF(EXACT($B109, ""), "", IF((FLOOR($B109/1000000000000, 1) = 124), VLOOKUP($B109, '[1]DataLookUp - InstitutionBranch'!$B$4:$C$97, 2, FALSE), IF((FLOOR($B109/1000000000000, 1) = 25), VLOOKUP($B109, [2]DataLookUp!$B$4:$D$632, 2, FALSE), "xx")))</f>
        <v>Sholehah</v>
      </c>
      <c r="E109" s="39" t="s">
        <v>197</v>
      </c>
      <c r="F109" s="51">
        <f ca="1">IF(EXACT(E109, ""), "", VLOOKUP($E109, OFFSET([3]MAIN!$B$2, 0, 0, 100, 6), 5, FALSE))</f>
        <v>166000000000005</v>
      </c>
      <c r="G109" s="47" t="s">
        <v>72</v>
      </c>
      <c r="H109" s="39" t="s">
        <v>73</v>
      </c>
      <c r="I109" s="40" t="s">
        <v>366</v>
      </c>
      <c r="J109" s="66"/>
      <c r="K109" s="39"/>
      <c r="M109" s="32">
        <f t="shared" ca="1" si="4"/>
        <v>167000000000105</v>
      </c>
      <c r="N109" s="6" t="str">
        <f t="shared" ca="1" si="5"/>
        <v>PERFORM "SchData-OLTP-Master"."Func_TblBankAccount_SET"(varSystemLoginSession, null, null, null, null, null, varInstitutionBranchID, varBaseCurrencyID, 166000000000005, '0670059618', 'Sholehah', 62000000000001, 25000000000397);</v>
      </c>
    </row>
    <row r="110" spans="1:14" x14ac:dyDescent="0.2">
      <c r="B110" s="64">
        <v>25000000000412</v>
      </c>
      <c r="C110" s="37" t="str">
        <f>_xlfn.IFNA(IF(EXACT($B110, ""), "", VLOOKUP($B110, [4]DataLookUp!$C$4:$G$999, 3, FALSE )), "")</f>
        <v>010507354</v>
      </c>
      <c r="D110" s="38" t="str">
        <f>IF(EXACT($B110, ""), "", IF((FLOOR($B110/1000000000000, 1) = 124), VLOOKUP($B110, '[1]DataLookUp - InstitutionBranch'!$B$4:$C$97, 2, FALSE), IF((FLOOR($B110/1000000000000, 1) = 25), VLOOKUP($B110, [2]DataLookUp!$B$4:$D$632, 2, FALSE), "xx")))</f>
        <v>Sudarlan</v>
      </c>
      <c r="E110" s="39" t="s">
        <v>197</v>
      </c>
      <c r="F110" s="51">
        <f ca="1">IF(EXACT(E110, ""), "", VLOOKUP($E110, OFFSET([3]MAIN!$B$2, 0, 0, 100, 6), 5, FALSE))</f>
        <v>166000000000005</v>
      </c>
      <c r="G110" s="47">
        <v>5750223151</v>
      </c>
      <c r="H110" s="39" t="s">
        <v>119</v>
      </c>
      <c r="I110" s="40" t="s">
        <v>366</v>
      </c>
      <c r="J110" s="66"/>
      <c r="K110" s="39"/>
      <c r="M110" s="32">
        <f t="shared" ca="1" si="4"/>
        <v>167000000000106</v>
      </c>
      <c r="N110" s="6" t="str">
        <f t="shared" ca="1" si="5"/>
        <v>PERFORM "SchData-OLTP-Master"."Func_TblBankAccount_SET"(varSystemLoginSession, null, null, null, null, null, varInstitutionBranchID, varBaseCurrencyID, 166000000000005, '5750223151', 'Sudarlan', 62000000000001, 25000000000412);</v>
      </c>
    </row>
    <row r="111" spans="1:14" x14ac:dyDescent="0.2">
      <c r="B111" s="64">
        <v>25000000000413</v>
      </c>
      <c r="C111" s="37" t="str">
        <f>_xlfn.IFNA(IF(EXACT($B111, ""), "", VLOOKUP($B111, [4]DataLookUp!$C$4:$G$999, 3, FALSE )), "")</f>
        <v>140421948</v>
      </c>
      <c r="D111" s="38" t="str">
        <f>IF(EXACT($B111, ""), "", IF((FLOOR($B111/1000000000000, 1) = 124), VLOOKUP($B111, '[1]DataLookUp - InstitutionBranch'!$B$4:$C$97, 2, FALSE), IF((FLOOR($B111/1000000000000, 1) = 25), VLOOKUP($B111, [2]DataLookUp!$B$4:$D$632, 2, FALSE), "xx")))</f>
        <v>Sufie Amalia</v>
      </c>
      <c r="E111" s="39" t="s">
        <v>197</v>
      </c>
      <c r="F111" s="51">
        <f ca="1">IF(EXACT(E111, ""), "", VLOOKUP($E111, OFFSET([3]MAIN!$B$2, 0, 0, 100, 6), 5, FALSE))</f>
        <v>166000000000005</v>
      </c>
      <c r="G111" s="47">
        <v>5490332288</v>
      </c>
      <c r="H111" s="39" t="s">
        <v>120</v>
      </c>
      <c r="I111" s="40" t="s">
        <v>366</v>
      </c>
      <c r="J111" s="66"/>
      <c r="K111" s="39"/>
      <c r="M111" s="32">
        <f t="shared" ca="1" si="4"/>
        <v>167000000000107</v>
      </c>
      <c r="N111" s="6" t="str">
        <f t="shared" ca="1" si="5"/>
        <v>PERFORM "SchData-OLTP-Master"."Func_TblBankAccount_SET"(varSystemLoginSession, null, null, null, null, null, varInstitutionBranchID, varBaseCurrencyID, 166000000000005, '5490332288', 'Sufie Amalia', 62000000000001, 25000000000413);</v>
      </c>
    </row>
    <row r="112" spans="1:14" x14ac:dyDescent="0.2">
      <c r="B112" s="64">
        <v>25000000000428</v>
      </c>
      <c r="C112" s="37" t="str">
        <f>_xlfn.IFNA(IF(EXACT($B112, ""), "", VLOOKUP($B112, [4]DataLookUp!$C$4:$G$999, 3, FALSE )), "")</f>
        <v>261219925</v>
      </c>
      <c r="D112" s="38" t="str">
        <f>IF(EXACT($B112, ""), "", IF((FLOOR($B112/1000000000000, 1) = 124), VLOOKUP($B112, '[1]DataLookUp - InstitutionBranch'!$B$4:$C$97, 2, FALSE), IF((FLOOR($B112/1000000000000, 1) = 25), VLOOKUP($B112, [2]DataLookUp!$B$4:$D$632, 2, FALSE), "xx")))</f>
        <v>Suyanto</v>
      </c>
      <c r="E112" s="39" t="s">
        <v>197</v>
      </c>
      <c r="F112" s="51">
        <f ca="1">IF(EXACT(E112, ""), "", VLOOKUP($E112, OFFSET([3]MAIN!$B$2, 0, 0, 100, 6), 5, FALSE))</f>
        <v>166000000000005</v>
      </c>
      <c r="G112" s="47">
        <v>1280421665</v>
      </c>
      <c r="H112" s="39" t="s">
        <v>121</v>
      </c>
      <c r="I112" s="40" t="s">
        <v>366</v>
      </c>
      <c r="J112" s="66"/>
      <c r="K112" s="39"/>
      <c r="M112" s="32">
        <f t="shared" ca="1" si="4"/>
        <v>167000000000108</v>
      </c>
      <c r="N112" s="6" t="str">
        <f t="shared" ca="1" si="5"/>
        <v>PERFORM "SchData-OLTP-Master"."Func_TblBankAccount_SET"(varSystemLoginSession, null, null, null, null, null, varInstitutionBranchID, varBaseCurrencyID, 166000000000005, '1280421665', 'Suyanto', 62000000000001, 25000000000428);</v>
      </c>
    </row>
    <row r="113" spans="2:14" x14ac:dyDescent="0.2">
      <c r="B113" s="64">
        <v>25000000000278</v>
      </c>
      <c r="C113" s="37" t="str">
        <f>_xlfn.IFNA(IF(EXACT($B113, ""), "", VLOOKUP($B113, [4]DataLookUp!$C$4:$G$999, 3, FALSE )), "")</f>
        <v>010210516</v>
      </c>
      <c r="D113" s="38" t="str">
        <f>IF(EXACT($B113, ""), "", IF((FLOOR($B113/1000000000000, 1) = 124), VLOOKUP($B113, '[1]DataLookUp - InstitutionBranch'!$B$4:$C$97, 2, FALSE), IF((FLOOR($B113/1000000000000, 1) = 25), VLOOKUP($B113, [2]DataLookUp!$B$4:$D$632, 2, FALSE), "xx")))</f>
        <v>T. Marungkil U. S. Sagala</v>
      </c>
      <c r="E113" s="39" t="s">
        <v>197</v>
      </c>
      <c r="F113" s="51">
        <f ca="1">IF(EXACT(E113, ""), "", VLOOKUP($E113, OFFSET([3]MAIN!$B$2, 0, 0, 100, 6), 5, FALSE))</f>
        <v>166000000000005</v>
      </c>
      <c r="G113" s="47">
        <v>7660251671</v>
      </c>
      <c r="H113" s="39" t="s">
        <v>160</v>
      </c>
      <c r="I113" s="40" t="s">
        <v>366</v>
      </c>
      <c r="J113" s="66"/>
      <c r="K113" s="39"/>
      <c r="M113" s="32">
        <f t="shared" ca="1" si="4"/>
        <v>167000000000109</v>
      </c>
      <c r="N113" s="6" t="str">
        <f t="shared" ca="1" si="5"/>
        <v>PERFORM "SchData-OLTP-Master"."Func_TblBankAccount_SET"(varSystemLoginSession, null, null, null, null, null, varInstitutionBranchID, varBaseCurrencyID, 166000000000005, '7660251671', 'T Marungkil U S Sagala', 62000000000001, 25000000000278);</v>
      </c>
    </row>
    <row r="114" spans="2:14" x14ac:dyDescent="0.2">
      <c r="B114" s="64">
        <v>25000000000452</v>
      </c>
      <c r="C114" s="37" t="str">
        <f>_xlfn.IFNA(IF(EXACT($B114, ""), "", VLOOKUP($B114, [4]DataLookUp!$C$4:$G$999, 3, FALSE )), "")</f>
        <v>090818879</v>
      </c>
      <c r="D114" s="38" t="str">
        <f>IF(EXACT($B114, ""), "", IF((FLOOR($B114/1000000000000, 1) = 124), VLOOKUP($B114, '[1]DataLookUp - InstitutionBranch'!$B$4:$C$97, 2, FALSE), IF((FLOOR($B114/1000000000000, 1) = 25), VLOOKUP($B114, [2]DataLookUp!$B$4:$D$632, 2, FALSE), "xx")))</f>
        <v>Turita Pramuning Marantina</v>
      </c>
      <c r="E114" s="39" t="s">
        <v>197</v>
      </c>
      <c r="F114" s="51">
        <f ca="1">IF(EXACT(E114, ""), "", VLOOKUP($E114, OFFSET([3]MAIN!$B$2, 0, 0, 100, 6), 5, FALSE))</f>
        <v>166000000000005</v>
      </c>
      <c r="G114" s="47" t="s">
        <v>145</v>
      </c>
      <c r="H114" s="39" t="s">
        <v>161</v>
      </c>
      <c r="I114" s="40" t="s">
        <v>366</v>
      </c>
      <c r="J114" s="66"/>
      <c r="K114" s="39"/>
      <c r="M114" s="32">
        <f t="shared" ca="1" si="4"/>
        <v>167000000000110</v>
      </c>
      <c r="N114" s="6" t="str">
        <f t="shared" ca="1" si="5"/>
        <v>PERFORM "SchData-OLTP-Master"."Func_TblBankAccount_SET"(varSystemLoginSession, null, null, null, null, null, varInstitutionBranchID, varBaseCurrencyID, 166000000000005, '3751363751', 'Turita Pramuning M Ir', 62000000000001, 25000000000452);</v>
      </c>
    </row>
    <row r="115" spans="2:14" x14ac:dyDescent="0.2">
      <c r="B115" s="64">
        <v>25000000000467</v>
      </c>
      <c r="C115" s="37" t="str">
        <f>_xlfn.IFNA(IF(EXACT($B115, ""), "", VLOOKUP($B115, [4]DataLookUp!$C$4:$G$999, 3, FALSE )), "")</f>
        <v>040219900</v>
      </c>
      <c r="D115" s="38" t="str">
        <f>IF(EXACT($B115, ""), "", IF((FLOOR($B115/1000000000000, 1) = 124), VLOOKUP($B115, '[1]DataLookUp - InstitutionBranch'!$B$4:$C$97, 2, FALSE), IF((FLOOR($B115/1000000000000, 1) = 25), VLOOKUP($B115, [2]DataLookUp!$B$4:$D$632, 2, FALSE), "xx")))</f>
        <v>Wahyu Ramadhani</v>
      </c>
      <c r="E115" s="39" t="s">
        <v>197</v>
      </c>
      <c r="F115" s="51">
        <f ca="1">IF(EXACT(E115, ""), "", VLOOKUP($E115, OFFSET([3]MAIN!$B$2, 0, 0, 100, 6), 5, FALSE))</f>
        <v>166000000000005</v>
      </c>
      <c r="G115" s="47">
        <v>5520532155</v>
      </c>
      <c r="H115" s="39" t="s">
        <v>122</v>
      </c>
      <c r="I115" s="40" t="s">
        <v>366</v>
      </c>
      <c r="J115" s="66"/>
      <c r="K115" s="39"/>
      <c r="M115" s="32">
        <f t="shared" ca="1" si="4"/>
        <v>167000000000111</v>
      </c>
      <c r="N115" s="6" t="str">
        <f t="shared" ca="1" si="5"/>
        <v>PERFORM "SchData-OLTP-Master"."Func_TblBankAccount_SET"(varSystemLoginSession, null, null, null, null, null, varInstitutionBranchID, varBaseCurrencyID, 166000000000005, '5520532155', 'Wahyu Ramadhani', 62000000000001, 25000000000467);</v>
      </c>
    </row>
    <row r="116" spans="2:14" x14ac:dyDescent="0.2">
      <c r="B116" s="64">
        <v>25000000000542</v>
      </c>
      <c r="C116" s="37" t="str">
        <f>_xlfn.IFNA(IF(EXACT($B116, ""), "", VLOOKUP($B116, [4]DataLookUp!$C$4:$G$999, 3, FALSE )), "")</f>
        <v>240122958</v>
      </c>
      <c r="D116" s="38" t="str">
        <f>IF(EXACT($B116, ""), "", IF((FLOOR($B116/1000000000000, 1) = 124), VLOOKUP($B116, '[1]DataLookUp - InstitutionBranch'!$B$4:$C$97, 2, FALSE), IF((FLOOR($B116/1000000000000, 1) = 25), VLOOKUP($B116, [2]DataLookUp!$B$4:$D$632, 2, FALSE), "xx")))</f>
        <v>Wardah Laily Khoiriyah</v>
      </c>
      <c r="E116" s="39" t="s">
        <v>197</v>
      </c>
      <c r="F116" s="51">
        <f ca="1">IF(EXACT(E116, ""), "", VLOOKUP($E116, OFFSET([3]MAIN!$B$2, 0, 0, 100, 6), 5, FALSE))</f>
        <v>166000000000005</v>
      </c>
      <c r="G116" s="47">
        <v>8670430678</v>
      </c>
      <c r="H116" s="39" t="s">
        <v>123</v>
      </c>
      <c r="I116" s="40" t="s">
        <v>366</v>
      </c>
      <c r="J116" s="66"/>
      <c r="K116" s="39"/>
      <c r="M116" s="32">
        <f t="shared" ca="1" si="4"/>
        <v>167000000000112</v>
      </c>
      <c r="N116" s="6" t="str">
        <f t="shared" ca="1" si="5"/>
        <v>PERFORM "SchData-OLTP-Master"."Func_TblBankAccount_SET"(varSystemLoginSession, null, null, null, null, null, varInstitutionBranchID, varBaseCurrencyID, 166000000000005, '8670430678', 'Wardah Laily Khoiriyah', 62000000000001, 25000000000542);</v>
      </c>
    </row>
    <row r="117" spans="2:14" x14ac:dyDescent="0.2">
      <c r="B117" s="64">
        <v>25000000000474</v>
      </c>
      <c r="C117" s="37" t="str">
        <f>_xlfn.IFNA(IF(EXACT($B117, ""), "", VLOOKUP($B117, [4]DataLookUp!$C$4:$G$999, 3, FALSE )), "")</f>
        <v>280618877</v>
      </c>
      <c r="D117" s="38" t="str">
        <f>IF(EXACT($B117, ""), "", IF((FLOOR($B117/1000000000000, 1) = 124), VLOOKUP($B117, '[1]DataLookUp - InstitutionBranch'!$B$4:$C$97, 2, FALSE), IF((FLOOR($B117/1000000000000, 1) = 25), VLOOKUP($B117, [2]DataLookUp!$B$4:$D$632, 2, FALSE), "xx")))</f>
        <v>Wisnu Ardian</v>
      </c>
      <c r="E117" s="39" t="s">
        <v>197</v>
      </c>
      <c r="F117" s="51">
        <f ca="1">IF(EXACT(E117, ""), "", VLOOKUP($E117, OFFSET([3]MAIN!$B$2, 0, 0, 100, 6), 5, FALSE))</f>
        <v>166000000000005</v>
      </c>
      <c r="G117" s="47">
        <v>2910590742</v>
      </c>
      <c r="H117" s="39" t="s">
        <v>124</v>
      </c>
      <c r="I117" s="40" t="s">
        <v>366</v>
      </c>
      <c r="J117" s="66"/>
      <c r="K117" s="39"/>
      <c r="M117" s="32">
        <f t="shared" ca="1" si="4"/>
        <v>167000000000113</v>
      </c>
      <c r="N117" s="6" t="str">
        <f t="shared" ca="1" si="5"/>
        <v>PERFORM "SchData-OLTP-Master"."Func_TblBankAccount_SET"(varSystemLoginSession, null, null, null, null, null, varInstitutionBranchID, varBaseCurrencyID, 166000000000005, '2910590742', 'Wisnu Ardian', 62000000000001, 25000000000474);</v>
      </c>
    </row>
    <row r="118" spans="2:14" x14ac:dyDescent="0.2">
      <c r="B118" s="64">
        <v>25000000000544</v>
      </c>
      <c r="C118" s="37" t="str">
        <f>_xlfn.IFNA(IF(EXACT($B118, ""), "", VLOOKUP($B118, [4]DataLookUp!$C$4:$G$999, 3, FALSE )), "")</f>
        <v>180822966</v>
      </c>
      <c r="D118" s="38" t="str">
        <f>IF(EXACT($B118, ""), "", IF((FLOOR($B118/1000000000000, 1) = 124), VLOOKUP($B118, '[1]DataLookUp - InstitutionBranch'!$B$4:$C$97, 2, FALSE), IF((FLOOR($B118/1000000000000, 1) = 25), VLOOKUP($B118, [2]DataLookUp!$B$4:$D$632, 2, FALSE), "xx")))</f>
        <v>Wulanraniasih</v>
      </c>
      <c r="E118" s="39" t="s">
        <v>197</v>
      </c>
      <c r="F118" s="51">
        <f ca="1">IF(EXACT(E118, ""), "", VLOOKUP($E118, OFFSET([3]MAIN!$B$2, 0, 0, 100, 6), 5, FALSE))</f>
        <v>166000000000005</v>
      </c>
      <c r="G118" s="47">
        <v>6860316941</v>
      </c>
      <c r="H118" s="39" t="s">
        <v>125</v>
      </c>
      <c r="I118" s="40" t="s">
        <v>366</v>
      </c>
      <c r="J118" s="66"/>
      <c r="K118" s="39"/>
      <c r="M118" s="32">
        <f t="shared" ca="1" si="4"/>
        <v>167000000000114</v>
      </c>
      <c r="N118" s="6" t="str">
        <f t="shared" ca="1" si="5"/>
        <v>PERFORM "SchData-OLTP-Master"."Func_TblBankAccount_SET"(varSystemLoginSession, null, null, null, null, null, varInstitutionBranchID, varBaseCurrencyID, 166000000000005, '6860316941', 'Wulanraniasih', 62000000000001, 25000000000544);</v>
      </c>
    </row>
    <row r="119" spans="2:14" x14ac:dyDescent="0.2">
      <c r="B119" s="64">
        <v>25000000000487</v>
      </c>
      <c r="C119" s="37" t="str">
        <f>_xlfn.IFNA(IF(EXACT($B119, ""), "", VLOOKUP($B119, [4]DataLookUp!$C$4:$G$999, 3, FALSE )), "")</f>
        <v>160714734</v>
      </c>
      <c r="D119" s="38" t="str">
        <f>IF(EXACT($B119, ""), "", IF((FLOOR($B119/1000000000000, 1) = 124), VLOOKUP($B119, '[1]DataLookUp - InstitutionBranch'!$B$4:$C$97, 2, FALSE), IF((FLOOR($B119/1000000000000, 1) = 25), VLOOKUP($B119, [2]DataLookUp!$B$4:$D$632, 2, FALSE), "xx")))</f>
        <v>Yuliandaru Suryoatmodjo</v>
      </c>
      <c r="E119" s="39" t="s">
        <v>197</v>
      </c>
      <c r="F119" s="51">
        <f ca="1">IF(EXACT(E119, ""), "", VLOOKUP($E119, OFFSET([3]MAIN!$B$2, 0, 0, 100, 6), 5, FALSE))</f>
        <v>166000000000005</v>
      </c>
      <c r="G119" s="47">
        <v>3721127379</v>
      </c>
      <c r="H119" s="39" t="s">
        <v>126</v>
      </c>
      <c r="I119" s="40" t="s">
        <v>366</v>
      </c>
      <c r="J119" s="66"/>
      <c r="K119" s="39"/>
      <c r="M119" s="32">
        <f t="shared" ca="1" si="4"/>
        <v>167000000000115</v>
      </c>
      <c r="N119" s="6" t="str">
        <f t="shared" ca="1" si="5"/>
        <v>PERFORM "SchData-OLTP-Master"."Func_TblBankAccount_SET"(varSystemLoginSession, null, null, null, null, null, varInstitutionBranchID, varBaseCurrencyID, 166000000000005, '3721127379', 'Yuliandaru Suryoatmodjo', 62000000000001, 25000000000487);</v>
      </c>
    </row>
    <row r="120" spans="2:14" x14ac:dyDescent="0.2">
      <c r="B120" s="64">
        <v>25000000000497</v>
      </c>
      <c r="C120" s="37" t="str">
        <f>_xlfn.IFNA(IF(EXACT($B120, ""), "", VLOOKUP($B120, [4]DataLookUp!$C$4:$G$999, 3, FALSE )), "")</f>
        <v>090819915</v>
      </c>
      <c r="D120" s="38" t="str">
        <f>IF(EXACT($B120, ""), "", IF((FLOOR($B120/1000000000000, 1) = 124), VLOOKUP($B120, '[1]DataLookUp - InstitutionBranch'!$B$4:$C$97, 2, FALSE), IF((FLOOR($B120/1000000000000, 1) = 25), VLOOKUP($B120, [2]DataLookUp!$B$4:$D$632, 2, FALSE), "xx")))</f>
        <v>Zainudin Anwar</v>
      </c>
      <c r="E120" s="39" t="s">
        <v>197</v>
      </c>
      <c r="F120" s="51">
        <f ca="1">IF(EXACT(E120, ""), "", VLOOKUP($E120, OFFSET([3]MAIN!$B$2, 0, 0, 100, 6), 5, FALSE))</f>
        <v>166000000000005</v>
      </c>
      <c r="G120" s="47">
        <v>5520552261</v>
      </c>
      <c r="H120" s="39" t="s">
        <v>127</v>
      </c>
      <c r="I120" s="40" t="s">
        <v>366</v>
      </c>
      <c r="J120" s="66"/>
      <c r="K120" s="39"/>
      <c r="M120" s="32">
        <f t="shared" ca="1" si="4"/>
        <v>167000000000116</v>
      </c>
      <c r="N120" s="6" t="str">
        <f t="shared" ca="1" si="5"/>
        <v>PERFORM "SchData-OLTP-Master"."Func_TblBankAccount_SET"(varSystemLoginSession, null, null, null, null, null, varInstitutionBranchID, varBaseCurrencyID, 166000000000005, '5520552261', 'Zainudin Anwar', 62000000000001, 25000000000497);</v>
      </c>
    </row>
    <row r="121" spans="2:14" x14ac:dyDescent="0.2">
      <c r="B121" s="64">
        <v>25000000000556</v>
      </c>
      <c r="C121" s="37" t="str">
        <f>_xlfn.IFNA(IF(EXACT($B121, ""), "", VLOOKUP($B121, [4]DataLookUp!$C$4:$G$999, 3, FALSE )), "")</f>
        <v/>
      </c>
      <c r="D121" s="38" t="str">
        <f>IF(EXACT($B121, ""), "", IF((FLOOR($B121/1000000000000, 1) = 124), VLOOKUP($B121, '[1]DataLookUp - InstitutionBranch'!$B$4:$C$97, 2, FALSE), IF((FLOOR($B121/1000000000000, 1) = 25), VLOOKUP($B121, [2]DataLookUp!$B$4:$D$632, 2, FALSE), "xx")))</f>
        <v>Yusarman</v>
      </c>
      <c r="E121" s="39" t="s">
        <v>197</v>
      </c>
      <c r="F121" s="51">
        <f ca="1">IF(EXACT(E121, ""), "", VLOOKUP($E121, OFFSET([3]MAIN!$B$2, 0, 0, 100, 6), 5, FALSE))</f>
        <v>166000000000005</v>
      </c>
      <c r="G121" s="47" t="s">
        <v>146</v>
      </c>
      <c r="H121" s="39" t="s">
        <v>128</v>
      </c>
      <c r="I121" s="40" t="s">
        <v>366</v>
      </c>
      <c r="J121" s="66"/>
      <c r="K121" s="39"/>
      <c r="M121" s="32">
        <f t="shared" ca="1" si="4"/>
        <v>167000000000117</v>
      </c>
      <c r="N121" s="6" t="str">
        <f t="shared" ca="1" si="5"/>
        <v>PERFORM "SchData-OLTP-Master"."Func_TblBankAccount_SET"(varSystemLoginSession, null, null, null, null, null, varInstitutionBranchID, varBaseCurrencyID, 166000000000005, '0011754723', 'Yusarman SH', 62000000000001, 25000000000556);</v>
      </c>
    </row>
    <row r="122" spans="2:14" x14ac:dyDescent="0.2">
      <c r="B122" s="64">
        <v>25000000000237</v>
      </c>
      <c r="C122" s="37" t="str">
        <f>_xlfn.IFNA(IF(EXACT($B122, ""), "", VLOOKUP($B122, [4]DataLookUp!$C$4:$G$999, 3, FALSE )), "")</f>
        <v/>
      </c>
      <c r="D122" s="38" t="str">
        <f>IF(EXACT($B122, ""), "", IF((FLOOR($B122/1000000000000, 1) = 124), VLOOKUP($B122, '[1]DataLookUp - InstitutionBranch'!$B$4:$C$97, 2, FALSE), IF((FLOOR($B122/1000000000000, 1) = 25), VLOOKUP($B122, [2]DataLookUp!$B$4:$D$632, 2, FALSE), "xx")))</f>
        <v>Jonhar Aziz</v>
      </c>
      <c r="E122" s="39" t="s">
        <v>197</v>
      </c>
      <c r="F122" s="51">
        <f ca="1">IF(EXACT(E122, ""), "", VLOOKUP($E122, OFFSET([3]MAIN!$B$2, 0, 0, 100, 6), 5, FALSE))</f>
        <v>166000000000005</v>
      </c>
      <c r="G122" s="47">
        <v>2821395781</v>
      </c>
      <c r="H122" s="39" t="s">
        <v>129</v>
      </c>
      <c r="I122" s="40" t="s">
        <v>366</v>
      </c>
      <c r="J122" s="66"/>
      <c r="K122" s="39"/>
      <c r="M122" s="32">
        <f t="shared" ca="1" si="4"/>
        <v>167000000000118</v>
      </c>
      <c r="N122" s="6" t="str">
        <f t="shared" ca="1" si="5"/>
        <v>PERFORM "SchData-OLTP-Master"."Func_TblBankAccount_SET"(varSystemLoginSession, null, null, null, null, null, varInstitutionBranchID, varBaseCurrencyID, 166000000000005, '2821395781', 'Jonhar Aziz', 62000000000001, 25000000000237);</v>
      </c>
    </row>
    <row r="123" spans="2:14" x14ac:dyDescent="0.2">
      <c r="B123" s="64">
        <v>25000000000555</v>
      </c>
      <c r="C123" s="37" t="str">
        <f>_xlfn.IFNA(IF(EXACT($B123, ""), "", VLOOKUP($B123, [4]DataLookUp!$C$4:$G$999, 3, FALSE )), "")</f>
        <v/>
      </c>
      <c r="D123" s="38" t="str">
        <f>IF(EXACT($B123, ""), "", IF((FLOOR($B123/1000000000000, 1) = 124), VLOOKUP($B123, '[1]DataLookUp - InstitutionBranch'!$B$4:$C$97, 2, FALSE), IF((FLOOR($B123/1000000000000, 1) = 25), VLOOKUP($B123, [2]DataLookUp!$B$4:$D$632, 2, FALSE), "xx")))</f>
        <v>Wartono</v>
      </c>
      <c r="E123" s="39" t="s">
        <v>197</v>
      </c>
      <c r="F123" s="51">
        <f ca="1">IF(EXACT(E123, ""), "", VLOOKUP($E123, OFFSET([3]MAIN!$B$2, 0, 0, 100, 6), 5, FALSE))</f>
        <v>166000000000005</v>
      </c>
      <c r="G123" s="47">
        <v>2281429789</v>
      </c>
      <c r="H123" s="39" t="s">
        <v>130</v>
      </c>
      <c r="I123" s="40" t="s">
        <v>366</v>
      </c>
      <c r="J123" s="66"/>
      <c r="K123" s="39"/>
      <c r="M123" s="32">
        <f t="shared" ca="1" si="4"/>
        <v>167000000000119</v>
      </c>
      <c r="N123" s="6" t="str">
        <f t="shared" ca="1" si="5"/>
        <v>PERFORM "SchData-OLTP-Master"."Func_TblBankAccount_SET"(varSystemLoginSession, null, null, null, null, null, varInstitutionBranchID, varBaseCurrencyID, 166000000000005, '2281429789', 'Wartono', 62000000000001, 25000000000555);</v>
      </c>
    </row>
    <row r="124" spans="2:14" x14ac:dyDescent="0.2">
      <c r="B124" s="64">
        <v>25000000000554</v>
      </c>
      <c r="C124" s="37" t="str">
        <f>_xlfn.IFNA(IF(EXACT($B124, ""), "", VLOOKUP($B124, [4]DataLookUp!$C$4:$G$999, 3, FALSE )), "")</f>
        <v/>
      </c>
      <c r="D124" s="38" t="str">
        <f>IF(EXACT($B124, ""), "", IF((FLOOR($B124/1000000000000, 1) = 124), VLOOKUP($B124, '[1]DataLookUp - InstitutionBranch'!$B$4:$C$97, 2, FALSE), IF((FLOOR($B124/1000000000000, 1) = 25), VLOOKUP($B124, [2]DataLookUp!$B$4:$D$632, 2, FALSE), "xx")))</f>
        <v>Santoso Dwi Cahyo</v>
      </c>
      <c r="E124" s="39" t="s">
        <v>197</v>
      </c>
      <c r="F124" s="51">
        <f ca="1">IF(EXACT(E124, ""), "", VLOOKUP($E124, OFFSET([3]MAIN!$B$2, 0, 0, 100, 6), 5, FALSE))</f>
        <v>166000000000005</v>
      </c>
      <c r="G124" s="47">
        <v>5750622536</v>
      </c>
      <c r="H124" s="39" t="s">
        <v>162</v>
      </c>
      <c r="I124" s="40" t="s">
        <v>366</v>
      </c>
      <c r="J124" s="66"/>
      <c r="K124" s="39"/>
      <c r="M124" s="32">
        <f t="shared" ca="1" si="4"/>
        <v>167000000000120</v>
      </c>
      <c r="N124" s="6" t="str">
        <f t="shared" ca="1" si="5"/>
        <v>PERFORM "SchData-OLTP-Master"."Func_TblBankAccount_SET"(varSystemLoginSession, null, null, null, null, null, varInstitutionBranchID, varBaseCurrencyID, 166000000000005, '5750622536', 'Santoso Dwi Cahyo', 62000000000001, 25000000000554);</v>
      </c>
    </row>
    <row r="125" spans="2:14" x14ac:dyDescent="0.2">
      <c r="B125" s="64">
        <v>25000000000536</v>
      </c>
      <c r="C125" s="37" t="str">
        <f>_xlfn.IFNA(IF(EXACT($B125, ""), "", VLOOKUP($B125, [4]DataLookUp!$C$4:$G$999, 3, FALSE )), "")</f>
        <v>051023981</v>
      </c>
      <c r="D125" s="38" t="str">
        <f>IF(EXACT($B125, ""), "", IF((FLOOR($B125/1000000000000, 1) = 124), VLOOKUP($B125, '[1]DataLookUp - InstitutionBranch'!$B$4:$C$97, 2, FALSE), IF((FLOOR($B125/1000000000000, 1) = 25), VLOOKUP($B125, [2]DataLookUp!$B$4:$D$632, 2, FALSE), "xx")))</f>
        <v>Restu Dwi Anjayani</v>
      </c>
      <c r="E125" s="39" t="s">
        <v>197</v>
      </c>
      <c r="F125" s="51">
        <f ca="1">IF(EXACT(E125, ""), "", VLOOKUP($E125, OFFSET([3]MAIN!$B$2, 0, 0, 100, 6), 5, FALSE))</f>
        <v>166000000000005</v>
      </c>
      <c r="G125" s="47">
        <v>4860276548</v>
      </c>
      <c r="H125" s="39" t="s">
        <v>131</v>
      </c>
      <c r="I125" s="40" t="s">
        <v>366</v>
      </c>
      <c r="J125" s="66"/>
      <c r="K125" s="39"/>
      <c r="M125" s="32">
        <f t="shared" ca="1" si="4"/>
        <v>167000000000121</v>
      </c>
      <c r="N125" s="6" t="str">
        <f t="shared" ca="1" si="5"/>
        <v>PERFORM "SchData-OLTP-Master"."Func_TblBankAccount_SET"(varSystemLoginSession, null, null, null, null, null, varInstitutionBranchID, varBaseCurrencyID, 166000000000005, '4860276548', 'Restu Dwi Anjayani', 62000000000001, 25000000000536);</v>
      </c>
    </row>
    <row r="126" spans="2:14" x14ac:dyDescent="0.2">
      <c r="B126" s="64">
        <v>25000000000535</v>
      </c>
      <c r="C126" s="37" t="str">
        <f>_xlfn.IFNA(IF(EXACT($B126, ""), "", VLOOKUP($B126, [4]DataLookUp!$C$4:$G$999, 3, FALSE )), "")</f>
        <v/>
      </c>
      <c r="D126" s="38" t="str">
        <f>IF(EXACT($B126, ""), "", IF((FLOOR($B126/1000000000000, 1) = 124), VLOOKUP($B126, '[1]DataLookUp - InstitutionBranch'!$B$4:$C$97, 2, FALSE), IF((FLOOR($B126/1000000000000, 1) = 25), VLOOKUP($B126, [2]DataLookUp!$B$4:$D$632, 2, FALSE), "xx")))</f>
        <v>Oqi Suhaqi Yunus</v>
      </c>
      <c r="E126" s="39" t="s">
        <v>197</v>
      </c>
      <c r="F126" s="51">
        <f ca="1">IF(EXACT(E126, ""), "", VLOOKUP($E126, OFFSET([3]MAIN!$B$2, 0, 0, 100, 6), 5, FALSE))</f>
        <v>166000000000005</v>
      </c>
      <c r="G126" s="47">
        <v>6540386232</v>
      </c>
      <c r="H126" s="39" t="s">
        <v>132</v>
      </c>
      <c r="I126" s="40" t="s">
        <v>366</v>
      </c>
      <c r="J126" s="66"/>
      <c r="K126" s="39"/>
      <c r="M126" s="32">
        <f t="shared" ref="M126:M189" ca="1" si="6" xml:space="preserve"> M125 + IF(EXACT(N126, ""), 0, 1)</f>
        <v>167000000000122</v>
      </c>
      <c r="N126" s="6" t="str">
        <f t="shared" ca="1" si="5"/>
        <v>PERFORM "SchData-OLTP-Master"."Func_TblBankAccount_SET"(varSystemLoginSession, null, null, null, null, null, varInstitutionBranchID, varBaseCurrencyID, 166000000000005, '6540386232', 'Oqi Suhaqi Yunus', 62000000000001, 25000000000535);</v>
      </c>
    </row>
    <row r="127" spans="2:14" x14ac:dyDescent="0.2">
      <c r="B127" s="64">
        <v>25000000000546</v>
      </c>
      <c r="C127" s="37" t="str">
        <f>_xlfn.IFNA(IF(EXACT($B127, ""), "", VLOOKUP($B127, [4]DataLookUp!$C$4:$G$999, 3, FALSE )), "")</f>
        <v/>
      </c>
      <c r="D127" s="38" t="str">
        <f>IF(EXACT($B127, ""), "", IF((FLOOR($B127/1000000000000, 1) = 124), VLOOKUP($B127, '[1]DataLookUp - InstitutionBranch'!$B$4:$C$97, 2, FALSE), IF((FLOOR($B127/1000000000000, 1) = 25), VLOOKUP($B127, [2]DataLookUp!$B$4:$D$632, 2, FALSE), "xx")))</f>
        <v>Yusuf Fathurahman</v>
      </c>
      <c r="E127" s="39" t="s">
        <v>197</v>
      </c>
      <c r="F127" s="51">
        <f ca="1">IF(EXACT(E127, ""), "", VLOOKUP($E127, OFFSET([3]MAIN!$B$2, 0, 0, 100, 6), 5, FALSE))</f>
        <v>166000000000005</v>
      </c>
      <c r="G127" s="48" t="s">
        <v>72</v>
      </c>
      <c r="H127" s="39" t="s">
        <v>201</v>
      </c>
      <c r="I127" s="40" t="s">
        <v>366</v>
      </c>
      <c r="J127" s="66"/>
      <c r="K127" s="39"/>
      <c r="M127" s="32">
        <f t="shared" ca="1" si="6"/>
        <v>167000000000123</v>
      </c>
      <c r="N127" s="6" t="str">
        <f t="shared" ca="1" si="5"/>
        <v>PERFORM "SchData-OLTP-Master"."Func_TblBankAccount_SET"(varSystemLoginSession, null, null, null, null, null, varInstitutionBranchID, varBaseCurrencyID, 166000000000005, '0670059618', 'Yusuf Fathurahman-sho', 62000000000001, 25000000000546);</v>
      </c>
    </row>
    <row r="128" spans="2:14" x14ac:dyDescent="0.2">
      <c r="B128" s="64">
        <v>25000000000531</v>
      </c>
      <c r="C128" s="37" t="str">
        <f>_xlfn.IFNA(IF(EXACT($B128, ""), "", VLOOKUP($B128, [4]DataLookUp!$C$4:$G$999, 3, FALSE )), "")</f>
        <v/>
      </c>
      <c r="D128" s="38" t="str">
        <f>IF(EXACT($B128, ""), "", IF((FLOOR($B128/1000000000000, 1) = 124), VLOOKUP($B128, '[1]DataLookUp - InstitutionBranch'!$B$4:$C$97, 2, FALSE), IF((FLOOR($B128/1000000000000, 1) = 25), VLOOKUP($B128, [2]DataLookUp!$B$4:$D$632, 2, FALSE), "xx")))</f>
        <v>Muhammad Syarifudin</v>
      </c>
      <c r="E128" s="39" t="s">
        <v>197</v>
      </c>
      <c r="F128" s="51">
        <f ca="1">IF(EXACT(E128, ""), "", VLOOKUP($E128, OFFSET([3]MAIN!$B$2, 0, 0, 100, 6), 5, FALSE))</f>
        <v>166000000000005</v>
      </c>
      <c r="G128" s="48" t="s">
        <v>72</v>
      </c>
      <c r="H128" s="39" t="s">
        <v>133</v>
      </c>
      <c r="I128" s="40" t="s">
        <v>366</v>
      </c>
      <c r="J128" s="66"/>
      <c r="K128" s="39"/>
      <c r="M128" s="32">
        <f t="shared" ca="1" si="6"/>
        <v>167000000000124</v>
      </c>
      <c r="N128" s="6" t="str">
        <f t="shared" ca="1" si="5"/>
        <v>PERFORM "SchData-OLTP-Master"."Func_TblBankAccount_SET"(varSystemLoginSession, null, null, null, null, null, varInstitutionBranchID, varBaseCurrencyID, 166000000000005, '0670059618', 'Muhammad Syarifudin', 62000000000001, 25000000000531);</v>
      </c>
    </row>
    <row r="129" spans="2:14" x14ac:dyDescent="0.2">
      <c r="B129" s="64">
        <v>25000000000520</v>
      </c>
      <c r="C129" s="37" t="str">
        <f>_xlfn.IFNA(IF(EXACT($B129, ""), "", VLOOKUP($B129, [4]DataLookUp!$C$4:$G$999, 3, FALSE )), "")</f>
        <v/>
      </c>
      <c r="D129" s="38" t="str">
        <f>IF(EXACT($B129, ""), "", IF((FLOOR($B129/1000000000000, 1) = 124), VLOOKUP($B129, '[1]DataLookUp - InstitutionBranch'!$B$4:$C$97, 2, FALSE), IF((FLOOR($B129/1000000000000, 1) = 25), VLOOKUP($B129, [2]DataLookUp!$B$4:$D$632, 2, FALSE), "xx")))</f>
        <v>Dian Setiawan</v>
      </c>
      <c r="E129" s="39" t="s">
        <v>197</v>
      </c>
      <c r="F129" s="51">
        <f ca="1">IF(EXACT(E129, ""), "", VLOOKUP($E129, OFFSET([3]MAIN!$B$2, 0, 0, 100, 6), 5, FALSE))</f>
        <v>166000000000005</v>
      </c>
      <c r="G129" s="48" t="s">
        <v>72</v>
      </c>
      <c r="H129" s="39" t="s">
        <v>134</v>
      </c>
      <c r="I129" s="40" t="s">
        <v>366</v>
      </c>
      <c r="J129" s="66"/>
      <c r="K129" s="39"/>
      <c r="M129" s="32">
        <f t="shared" ca="1" si="6"/>
        <v>167000000000125</v>
      </c>
      <c r="N129" s="6" t="str">
        <f t="shared" ca="1" si="5"/>
        <v>PERFORM "SchData-OLTP-Master"."Func_TblBankAccount_SET"(varSystemLoginSession, null, null, null, null, null, varInstitutionBranchID, varBaseCurrencyID, 166000000000005, '0670059618', 'Dian Setiawan', 62000000000001, 25000000000520);</v>
      </c>
    </row>
    <row r="130" spans="2:14" x14ac:dyDescent="0.2">
      <c r="B130" s="64">
        <v>25000000000530</v>
      </c>
      <c r="C130" s="37" t="str">
        <f>_xlfn.IFNA(IF(EXACT($B130, ""), "", VLOOKUP($B130, [4]DataLookUp!$C$4:$G$999, 3, FALSE )), "")</f>
        <v/>
      </c>
      <c r="D130" s="38" t="str">
        <f>IF(EXACT($B130, ""), "", IF((FLOOR($B130/1000000000000, 1) = 124), VLOOKUP($B130, '[1]DataLookUp - InstitutionBranch'!$B$4:$C$97, 2, FALSE), IF((FLOOR($B130/1000000000000, 1) = 25), VLOOKUP($B130, [2]DataLookUp!$B$4:$D$632, 2, FALSE), "xx")))</f>
        <v>Muhammad Sholikhun</v>
      </c>
      <c r="E130" s="39" t="s">
        <v>197</v>
      </c>
      <c r="F130" s="51">
        <f ca="1">IF(EXACT(E130, ""), "", VLOOKUP($E130, OFFSET([3]MAIN!$B$2, 0, 0, 100, 6), 5, FALSE))</f>
        <v>166000000000005</v>
      </c>
      <c r="G130" s="48" t="s">
        <v>72</v>
      </c>
      <c r="H130" s="39" t="s">
        <v>200</v>
      </c>
      <c r="I130" s="40" t="s">
        <v>366</v>
      </c>
      <c r="J130" s="66"/>
      <c r="K130" s="39"/>
      <c r="M130" s="32">
        <f t="shared" ca="1" si="6"/>
        <v>167000000000126</v>
      </c>
      <c r="N130" s="6" t="str">
        <f t="shared" ca="1" si="5"/>
        <v>PERFORM "SchData-OLTP-Master"."Func_TblBankAccount_SET"(varSystemLoginSession, null, null, null, null, null, varInstitutionBranchID, varBaseCurrencyID, 166000000000005, '0670059618', 'Muhammad Sholikun', 62000000000001, 25000000000530);</v>
      </c>
    </row>
    <row r="131" spans="2:14" x14ac:dyDescent="0.2">
      <c r="B131" s="64">
        <v>25000000000539</v>
      </c>
      <c r="C131" s="37" t="str">
        <f>_xlfn.IFNA(IF(EXACT($B131, ""), "", VLOOKUP($B131, [4]DataLookUp!$C$4:$G$999, 3, FALSE )), "")</f>
        <v/>
      </c>
      <c r="D131" s="38" t="str">
        <f>IF(EXACT($B131, ""), "", IF((FLOOR($B131/1000000000000, 1) = 124), VLOOKUP($B131, '[1]DataLookUp - InstitutionBranch'!$B$4:$C$97, 2, FALSE), IF((FLOOR($B131/1000000000000, 1) = 25), VLOOKUP($B131, [2]DataLookUp!$B$4:$D$632, 2, FALSE), "xx")))</f>
        <v>Samta Harahap</v>
      </c>
      <c r="E131" s="39" t="s">
        <v>197</v>
      </c>
      <c r="F131" s="51">
        <f ca="1">IF(EXACT(E131, ""), "", VLOOKUP($E131, OFFSET([3]MAIN!$B$2, 0, 0, 100, 6), 5, FALSE))</f>
        <v>166000000000005</v>
      </c>
      <c r="G131" s="47">
        <v>8681161864</v>
      </c>
      <c r="H131" s="39" t="s">
        <v>135</v>
      </c>
      <c r="I131" s="40" t="s">
        <v>366</v>
      </c>
      <c r="J131" s="66"/>
      <c r="K131" s="39"/>
      <c r="M131" s="32">
        <f t="shared" ca="1" si="6"/>
        <v>167000000000127</v>
      </c>
      <c r="N131" s="6" t="str">
        <f t="shared" ca="1" si="5"/>
        <v>PERFORM "SchData-OLTP-Master"."Func_TblBankAccount_SET"(varSystemLoginSession, null, null, null, null, null, varInstitutionBranchID, varBaseCurrencyID, 166000000000005, '8681161864', 'Samta Harahap', 62000000000001, 25000000000539);</v>
      </c>
    </row>
    <row r="132" spans="2:14" x14ac:dyDescent="0.2">
      <c r="B132" s="64">
        <v>25000000000529</v>
      </c>
      <c r="C132" s="37" t="str">
        <f>_xlfn.IFNA(IF(EXACT($B132, ""), "", VLOOKUP($B132, [4]DataLookUp!$C$4:$G$999, 3, FALSE )), "")</f>
        <v/>
      </c>
      <c r="D132" s="38" t="str">
        <f>IF(EXACT($B132, ""), "", IF((FLOOR($B132/1000000000000, 1) = 124), VLOOKUP($B132, '[1]DataLookUp - InstitutionBranch'!$B$4:$C$97, 2, FALSE), IF((FLOOR($B132/1000000000000, 1) = 25), VLOOKUP($B132, [2]DataLookUp!$B$4:$D$632, 2, FALSE), "xx")))</f>
        <v>Muhammad Lukbani</v>
      </c>
      <c r="E132" s="39" t="s">
        <v>197</v>
      </c>
      <c r="F132" s="51">
        <f ca="1">IF(EXACT(E132, ""), "", VLOOKUP($E132, OFFSET([3]MAIN!$B$2, 0, 0, 100, 6), 5, FALSE))</f>
        <v>166000000000005</v>
      </c>
      <c r="G132" s="47">
        <v>7125461581</v>
      </c>
      <c r="H132" s="39" t="s">
        <v>136</v>
      </c>
      <c r="I132" s="40" t="s">
        <v>366</v>
      </c>
      <c r="J132" s="66"/>
      <c r="K132" s="39"/>
      <c r="M132" s="32">
        <f t="shared" ca="1" si="6"/>
        <v>167000000000128</v>
      </c>
      <c r="N132" s="6" t="str">
        <f t="shared" ref="N132:N134" ca="1" si="7">IF(OR(EXACT(B132, ""), EXACT(G132, "")), "", CONCATENATE("PERFORM ""SchData-OLTP-Master"".""Func_TblBankAccount_SET""(varSystemLoginSession, null, null, null, null, null, varInstitutionBranchID, varBaseCurrencyID, ", F132, ", '", G132, "', '", H132, "', ", I132, ", ", B132, ");"))</f>
        <v>PERFORM "SchData-OLTP-Master"."Func_TblBankAccount_SET"(varSystemLoginSession, null, null, null, null, null, varInstitutionBranchID, varBaseCurrencyID, 166000000000005, '7125461581', 'Muhammad Lukbani', 62000000000001, 25000000000529);</v>
      </c>
    </row>
    <row r="133" spans="2:14" x14ac:dyDescent="0.2">
      <c r="B133" s="64">
        <v>25000000000557</v>
      </c>
      <c r="C133" s="37" t="str">
        <f>_xlfn.IFNA(IF(EXACT($B133, ""), "", VLOOKUP($B133, [4]DataLookUp!$C$4:$G$999, 3, FALSE )), "")</f>
        <v/>
      </c>
      <c r="D133" s="38" t="str">
        <f>IF(EXACT($B133, ""), "", IF((FLOOR($B133/1000000000000, 1) = 124), VLOOKUP($B133, '[1]DataLookUp - InstitutionBranch'!$B$4:$C$97, 2, FALSE), IF((FLOOR($B133/1000000000000, 1) = 25), VLOOKUP($B133, [2]DataLookUp!$B$4:$D$632, 2, FALSE), "xx")))</f>
        <v>Abdul Rachman</v>
      </c>
      <c r="E133" s="39"/>
      <c r="F133" s="51" t="str">
        <f ca="1">IF(EXACT(E133, ""), "", VLOOKUP($E133, OFFSET([3]MAIN!$B$2, 0, 0, 100, 6), 5, FALSE))</f>
        <v/>
      </c>
      <c r="G133" s="40"/>
      <c r="H133" s="39"/>
      <c r="I133" s="40" t="s">
        <v>366</v>
      </c>
      <c r="J133" s="66"/>
      <c r="K133" s="39"/>
      <c r="M133" s="32">
        <f t="shared" ca="1" si="6"/>
        <v>167000000000128</v>
      </c>
      <c r="N133" s="6" t="str">
        <f t="shared" si="7"/>
        <v/>
      </c>
    </row>
    <row r="134" spans="2:14" x14ac:dyDescent="0.2">
      <c r="B134" s="64">
        <v>25000000000558</v>
      </c>
      <c r="C134" s="37" t="str">
        <f>_xlfn.IFNA(IF(EXACT($B134, ""), "", VLOOKUP($B134, [4]DataLookUp!$C$4:$G$999, 3, FALSE )), "")</f>
        <v/>
      </c>
      <c r="D134" s="38" t="str">
        <f>IF(EXACT($B134, ""), "", IF((FLOOR($B134/1000000000000, 1) = 124), VLOOKUP($B134, '[1]DataLookUp - InstitutionBranch'!$B$4:$C$97, 2, FALSE), IF((FLOOR($B134/1000000000000, 1) = 25), VLOOKUP($B134, [2]DataLookUp!$B$4:$D$632, 2, FALSE), "xx")))</f>
        <v>Aden Bagus</v>
      </c>
      <c r="E134" s="39"/>
      <c r="F134" s="51" t="str">
        <f ca="1">IF(EXACT(E134, ""), "", VLOOKUP($E134, OFFSET([3]MAIN!$B$2, 0, 0, 100, 6), 5, FALSE))</f>
        <v/>
      </c>
      <c r="G134" s="40"/>
      <c r="H134" s="39"/>
      <c r="I134" s="40" t="s">
        <v>366</v>
      </c>
      <c r="J134" s="66"/>
      <c r="K134" s="39"/>
      <c r="M134" s="32">
        <f t="shared" ca="1" si="6"/>
        <v>167000000000128</v>
      </c>
      <c r="N134" s="6" t="str">
        <f t="shared" ref="N134:N197" si="8">IF(OR(EXACT(B134, ""), EXACT(G134, "")), "", CONCATENATE("PERFORM ""SchData-OLTP-Master"".""Func_TblBankAccount_SET""(varSystemLoginSession, null, null, null, null, null, varInstitutionBranchID, varBaseCurrencyID, ", F134, ", '", G134, "', '", H134, "', ", I134, ", ", B134, ");"))</f>
        <v/>
      </c>
    </row>
    <row r="135" spans="2:14" x14ac:dyDescent="0.2">
      <c r="B135" s="64">
        <v>25000000000017</v>
      </c>
      <c r="C135" s="37" t="str">
        <f>_xlfn.IFNA(IF(EXACT($B135, ""), "", VLOOKUP($B135, [4]DataLookUp!$C$4:$G$999, 3, FALSE )), "")</f>
        <v>280314716</v>
      </c>
      <c r="D135" s="38" t="str">
        <f>IF(EXACT($B135, ""), "", IF((FLOOR($B135/1000000000000, 1) = 124), VLOOKUP($B135, '[1]DataLookUp - InstitutionBranch'!$B$4:$C$97, 2, FALSE), IF((FLOOR($B135/1000000000000, 1) = 25), VLOOKUP($B135, [2]DataLookUp!$B$4:$D$632, 2, FALSE), "xx")))</f>
        <v>Ahmad Faiz Haems Muda</v>
      </c>
      <c r="E135" s="39" t="s">
        <v>197</v>
      </c>
      <c r="F135" s="51">
        <f ca="1">IF(EXACT(E135, ""), "", VLOOKUP($E135, OFFSET([3]MAIN!$B$2, 0, 0, 100, 6), 5, FALSE))</f>
        <v>166000000000005</v>
      </c>
      <c r="G135" s="40" t="s">
        <v>420</v>
      </c>
      <c r="H135" s="39" t="s">
        <v>419</v>
      </c>
      <c r="I135" s="40" t="s">
        <v>366</v>
      </c>
      <c r="J135" s="66"/>
      <c r="K135" s="39"/>
      <c r="M135" s="32">
        <f t="shared" ca="1" si="6"/>
        <v>167000000000129</v>
      </c>
      <c r="N135" s="6" t="str">
        <f t="shared" ca="1" si="8"/>
        <v>PERFORM "SchData-OLTP-Master"."Func_TblBankAccount_SET"(varSystemLoginSession, null, null, null, null, null, varInstitutionBranchID, varBaseCurrencyID, 166000000000005, '2302269280', 'Ahmad Faiz Haems Muda', 62000000000001, 25000000000017);</v>
      </c>
    </row>
    <row r="136" spans="2:14" x14ac:dyDescent="0.2">
      <c r="B136" s="64">
        <v>25000000000167</v>
      </c>
      <c r="C136" s="37" t="str">
        <f>_xlfn.IFNA(IF(EXACT($B136, ""), "", VLOOKUP($B136, [4]DataLookUp!$C$4:$G$999, 3, FALSE )), "")</f>
        <v>010218858</v>
      </c>
      <c r="D136" s="38" t="str">
        <f>IF(EXACT($B136, ""), "", IF((FLOOR($B136/1000000000000, 1) = 124), VLOOKUP($B136, '[1]DataLookUp - InstitutionBranch'!$B$4:$C$97, 2, FALSE), IF((FLOOR($B136/1000000000000, 1) = 25), VLOOKUP($B136, [2]DataLookUp!$B$4:$D$632, 2, FALSE), "xx")))</f>
        <v>Grace Kurniawan</v>
      </c>
      <c r="E136" s="39" t="s">
        <v>197</v>
      </c>
      <c r="F136" s="51">
        <f ca="1">IF(EXACT(E136, ""), "", VLOOKUP($E136, OFFSET([3]MAIN!$B$2, 0, 0, 100, 6), 5, FALSE))</f>
        <v>166000000000005</v>
      </c>
      <c r="G136" s="40" t="s">
        <v>425</v>
      </c>
      <c r="H136" s="39" t="s">
        <v>424</v>
      </c>
      <c r="I136" s="40" t="s">
        <v>366</v>
      </c>
      <c r="J136" s="66"/>
      <c r="K136" s="39"/>
      <c r="M136" s="32">
        <f t="shared" ca="1" si="6"/>
        <v>167000000000130</v>
      </c>
      <c r="N136" s="6" t="str">
        <f t="shared" ca="1" si="8"/>
        <v>PERFORM "SchData-OLTP-Master"."Func_TblBankAccount_SET"(varSystemLoginSession, null, null, null, null, null, varInstitutionBranchID, varBaseCurrencyID, 166000000000005, '4271122556', 'Grace Kurniawan', 62000000000001, 25000000000167);</v>
      </c>
    </row>
    <row r="137" spans="2:14" x14ac:dyDescent="0.2">
      <c r="B137" s="64">
        <v>25000000000051</v>
      </c>
      <c r="C137" s="37" t="str">
        <f>_xlfn.IFNA(IF(EXACT($B137, ""), "", VLOOKUP($B137, [4]DataLookUp!$C$4:$G$999, 3, FALSE )), "")</f>
        <v>160313008</v>
      </c>
      <c r="D137" s="38" t="str">
        <f>IF(EXACT($B137, ""), "", IF((FLOOR($B137/1000000000000, 1) = 124), VLOOKUP($B137, '[1]DataLookUp - InstitutionBranch'!$B$4:$C$97, 2, FALSE), IF((FLOOR($B137/1000000000000, 1) = 25), VLOOKUP($B137, [2]DataLookUp!$B$4:$D$632, 2, FALSE), "xx")))</f>
        <v>Ares S. Mauboi</v>
      </c>
      <c r="E137" s="39" t="s">
        <v>199</v>
      </c>
      <c r="F137" s="51">
        <f ca="1">IF(EXACT(E137, ""), "", VLOOKUP($E137, OFFSET([3]MAIN!$B$2, 0, 0, 100, 6), 5, FALSE))</f>
        <v>166000000000002</v>
      </c>
      <c r="G137" s="40" t="s">
        <v>417</v>
      </c>
      <c r="H137" s="39" t="s">
        <v>418</v>
      </c>
      <c r="I137" s="40" t="s">
        <v>366</v>
      </c>
      <c r="J137" s="66"/>
      <c r="K137" s="39"/>
      <c r="M137" s="32">
        <f t="shared" ca="1" si="6"/>
        <v>167000000000131</v>
      </c>
      <c r="N137" s="6" t="str">
        <f t="shared" ca="1" si="8"/>
        <v>PERFORM "SchData-OLTP-Master"."Func_TblBankAccount_SET"(varSystemLoginSession, null, null, null, null, null, varInstitutionBranchID, varBaseCurrencyID, 166000000000002, '034101074863509', 'Ares S. Mauboi', 62000000000001, 25000000000051);</v>
      </c>
    </row>
    <row r="138" spans="2:14" x14ac:dyDescent="0.2">
      <c r="B138" s="64">
        <v>25000000000517</v>
      </c>
      <c r="C138" s="37" t="str">
        <f>_xlfn.IFNA(IF(EXACT($B138, ""), "", VLOOKUP($B138, [4]DataLookUp!$C$4:$G$999, 3, FALSE )), "")</f>
        <v>090821952</v>
      </c>
      <c r="D138" s="38" t="str">
        <f>IF(EXACT($B138, ""), "", IF((FLOOR($B138/1000000000000, 1) = 124), VLOOKUP($B138, '[1]DataLookUp - InstitutionBranch'!$B$4:$C$97, 2, FALSE), IF((FLOOR($B138/1000000000000, 1) = 25), VLOOKUP($B138, [2]DataLookUp!$B$4:$D$632, 2, FALSE), "xx")))</f>
        <v>Cahyana</v>
      </c>
      <c r="E138" s="39" t="s">
        <v>199</v>
      </c>
      <c r="F138" s="51">
        <f ca="1">IF(EXACT(E138, ""), "", VLOOKUP($E138, OFFSET([3]MAIN!$B$2, 0, 0, 100, 6), 5, FALSE))</f>
        <v>166000000000002</v>
      </c>
      <c r="G138" s="40" t="s">
        <v>412</v>
      </c>
      <c r="H138" s="39" t="str">
        <f>_xlfn.IFNA(IF(EXACT($B138, ""), "", VLOOKUP($B138, [2]DataLookUp!$B$4:$D$999, 2, FALSE )), "")</f>
        <v>Cahyana</v>
      </c>
      <c r="I138" s="40" t="s">
        <v>366</v>
      </c>
      <c r="J138" s="66"/>
      <c r="K138" s="39"/>
      <c r="M138" s="32">
        <f t="shared" ca="1" si="6"/>
        <v>167000000000132</v>
      </c>
      <c r="N138" s="6" t="str">
        <f t="shared" ca="1" si="8"/>
        <v>PERFORM "SchData-OLTP-Master"."Func_TblBankAccount_SET"(varSystemLoginSession, null, null, null, null, null, varInstitutionBranchID, varBaseCurrencyID, 166000000000002, '727401009580534', 'Cahyana', 62000000000001, 25000000000517);</v>
      </c>
    </row>
    <row r="139" spans="2:14" x14ac:dyDescent="0.2">
      <c r="B139" s="64">
        <v>25000000000093</v>
      </c>
      <c r="C139" s="37" t="str">
        <f>_xlfn.IFNA(IF(EXACT($B139, ""), "", VLOOKUP($B139, [4]DataLookUp!$C$4:$G$999, 3, FALSE )), "")</f>
        <v>170417832</v>
      </c>
      <c r="D139" s="38" t="str">
        <f>IF(EXACT($B139, ""), "", IF((FLOOR($B139/1000000000000, 1) = 124), VLOOKUP($B139, '[1]DataLookUp - InstitutionBranch'!$B$4:$C$97, 2, FALSE), IF((FLOOR($B139/1000000000000, 1) = 25), VLOOKUP($B139, [2]DataLookUp!$B$4:$D$632, 2, FALSE), "xx")))</f>
        <v>Davit Lumban Gaol</v>
      </c>
      <c r="E139" s="39" t="s">
        <v>199</v>
      </c>
      <c r="F139" s="51">
        <f ca="1">IF(EXACT(E139, ""), "", VLOOKUP($E139, OFFSET([3]MAIN!$B$2, 0, 0, 100, 6), 5, FALSE))</f>
        <v>166000000000002</v>
      </c>
      <c r="G139" s="40" t="s">
        <v>410</v>
      </c>
      <c r="H139" s="39" t="s">
        <v>411</v>
      </c>
      <c r="I139" s="40" t="s">
        <v>366</v>
      </c>
      <c r="J139" s="66"/>
      <c r="K139" s="39"/>
      <c r="M139" s="32">
        <f t="shared" ca="1" si="6"/>
        <v>167000000000133</v>
      </c>
      <c r="N139" s="6" t="str">
        <f t="shared" ca="1" si="8"/>
        <v>PERFORM "SchData-OLTP-Master"."Func_TblBankAccount_SET"(varSystemLoginSession, null, null, null, null, null, varInstitutionBranchID, varBaseCurrencyID, 166000000000002, '033601013930530', 'Davit Lumban Gaol', 62000000000001, 25000000000093);</v>
      </c>
    </row>
    <row r="140" spans="2:14" x14ac:dyDescent="0.2">
      <c r="B140" s="64">
        <v>25000000000550</v>
      </c>
      <c r="C140" s="37" t="str">
        <f>_xlfn.IFNA(IF(EXACT($B140, ""), "", VLOOKUP($B140, [4]DataLookUp!$C$4:$G$999, 3, FALSE )), "")</f>
        <v>031022970</v>
      </c>
      <c r="D140" s="38" t="str">
        <f>IF(EXACT($B140, ""), "", IF((FLOOR($B140/1000000000000, 1) = 124), VLOOKUP($B140, '[1]DataLookUp - InstitutionBranch'!$B$4:$C$97, 2, FALSE), IF((FLOOR($B140/1000000000000, 1) = 25), VLOOKUP($B140, [2]DataLookUp!$B$4:$D$632, 2, FALSE), "xx")))</f>
        <v>Dian Tri Rahmawati</v>
      </c>
      <c r="E140" s="39" t="s">
        <v>199</v>
      </c>
      <c r="F140" s="51">
        <f ca="1">IF(EXACT(E140, ""), "", VLOOKUP($E140, OFFSET([3]MAIN!$B$2, 0, 0, 100, 6), 5, FALSE))</f>
        <v>166000000000002</v>
      </c>
      <c r="G140" s="40" t="s">
        <v>408</v>
      </c>
      <c r="H140" s="39" t="s">
        <v>409</v>
      </c>
      <c r="I140" s="40" t="s">
        <v>366</v>
      </c>
      <c r="J140" s="66"/>
      <c r="K140" s="39"/>
      <c r="M140" s="32">
        <f t="shared" ca="1" si="6"/>
        <v>167000000000134</v>
      </c>
      <c r="N140" s="6" t="str">
        <f t="shared" ca="1" si="8"/>
        <v>PERFORM "SchData-OLTP-Master"."Func_TblBankAccount_SET"(varSystemLoginSession, null, null, null, null, null, varInstitutionBranchID, varBaseCurrencyID, 166000000000002, '212401007578533 ', 'Dian Tri Rahmawati', 62000000000001, 25000000000550);</v>
      </c>
    </row>
    <row r="141" spans="2:14" x14ac:dyDescent="0.2">
      <c r="B141" s="64">
        <v>25000000000120</v>
      </c>
      <c r="C141" s="37" t="str">
        <f>_xlfn.IFNA(IF(EXACT($B141, ""), "", VLOOKUP($B141, [4]DataLookUp!$C$4:$G$999, 3, FALSE )), "")</f>
        <v>0701251000</v>
      </c>
      <c r="D141" s="38" t="str">
        <f>IF(EXACT($B141, ""), "", IF((FLOOR($B141/1000000000000, 1) = 124), VLOOKUP($B141, '[1]DataLookUp - InstitutionBranch'!$B$4:$C$97, 2, FALSE), IF((FLOOR($B141/1000000000000, 1) = 25), VLOOKUP($B141, [2]DataLookUp!$B$4:$D$632, 2, FALSE), "xx")))</f>
        <v>Edy Syahputra Situmeang</v>
      </c>
      <c r="E141" s="39" t="s">
        <v>199</v>
      </c>
      <c r="F141" s="51">
        <f ca="1">IF(EXACT(E141, ""), "", VLOOKUP($E141, OFFSET([3]MAIN!$B$2, 0, 0, 100, 6), 5, FALSE))</f>
        <v>166000000000002</v>
      </c>
      <c r="G141" s="40" t="s">
        <v>407</v>
      </c>
      <c r="H141" s="39" t="s">
        <v>406</v>
      </c>
      <c r="I141" s="40" t="s">
        <v>366</v>
      </c>
      <c r="J141" s="66"/>
      <c r="K141" s="39"/>
      <c r="M141" s="32">
        <f t="shared" ca="1" si="6"/>
        <v>167000000000135</v>
      </c>
      <c r="N141" s="6" t="str">
        <f t="shared" ca="1" si="8"/>
        <v>PERFORM "SchData-OLTP-Master"."Func_TblBankAccount_SET"(varSystemLoginSession, null, null, null, null, null, varInstitutionBranchID, varBaseCurrencyID, 166000000000002, '353201013523538', 'Edy Syahputra Situmeang', 62000000000001, 25000000000120);</v>
      </c>
    </row>
    <row r="142" spans="2:14" x14ac:dyDescent="0.2">
      <c r="B142" s="64">
        <v>25000000000521</v>
      </c>
      <c r="C142" s="37" t="str">
        <f>_xlfn.IFNA(IF(EXACT($B142, ""), "", VLOOKUP($B142, [4]DataLookUp!$C$4:$G$999, 3, FALSE )), "")</f>
        <v>110523979</v>
      </c>
      <c r="D142" s="38" t="str">
        <f>IF(EXACT($B142, ""), "", IF((FLOOR($B142/1000000000000, 1) = 124), VLOOKUP($B142, '[1]DataLookUp - InstitutionBranch'!$B$4:$C$97, 2, FALSE), IF((FLOOR($B142/1000000000000, 1) = 25), VLOOKUP($B142, [2]DataLookUp!$B$4:$D$632, 2, FALSE), "xx")))</f>
        <v>Fabrian Danang Destiyara</v>
      </c>
      <c r="E142" s="39" t="s">
        <v>199</v>
      </c>
      <c r="F142" s="51">
        <f ca="1">IF(EXACT(E142, ""), "", VLOOKUP($E142, OFFSET([3]MAIN!$B$2, 0, 0, 100, 6), 5, FALSE))</f>
        <v>166000000000002</v>
      </c>
      <c r="G142" s="40" t="s">
        <v>405</v>
      </c>
      <c r="H142" s="39" t="s">
        <v>404</v>
      </c>
      <c r="I142" s="40" t="s">
        <v>366</v>
      </c>
      <c r="J142" s="66"/>
      <c r="K142" s="39"/>
      <c r="M142" s="32">
        <f t="shared" ca="1" si="6"/>
        <v>167000000000136</v>
      </c>
      <c r="N142" s="6" t="str">
        <f t="shared" ca="1" si="8"/>
        <v>PERFORM "SchData-OLTP-Master"."Func_TblBankAccount_SET"(varSystemLoginSession, null, null, null, null, null, varInstitutionBranchID, varBaseCurrencyID, 166000000000002, '122301024676505', 'Fabrian Danang Destiyara', 62000000000001, 25000000000521);</v>
      </c>
    </row>
    <row r="143" spans="2:14" x14ac:dyDescent="0.2">
      <c r="B143" s="73">
        <v>25000000000551</v>
      </c>
      <c r="C143" s="37" t="str">
        <f>_xlfn.IFNA(IF(EXACT($B143, ""), "", VLOOKUP($B143, [4]DataLookUp!$C$4:$G$999, 3, FALSE )), "")</f>
        <v>050422961</v>
      </c>
      <c r="D143" s="38" t="str">
        <f>IF(EXACT($B143, ""), "", IF((FLOOR($B143/1000000000000, 1) = 124), VLOOKUP($B143, '[1]DataLookUp - InstitutionBranch'!$B$4:$C$97, 2, FALSE), IF((FLOOR($B143/1000000000000, 1) = 25), VLOOKUP($B143, [2]DataLookUp!$B$4:$D$632, 2, FALSE), "xx")))</f>
        <v>Langgeng Eko Dwiantoro</v>
      </c>
      <c r="E143" s="39" t="s">
        <v>197</v>
      </c>
      <c r="F143" s="51">
        <f ca="1">IF(EXACT(E143, ""), "", VLOOKUP($E143, OFFSET([3]MAIN!$B$2, 0, 0, 100, 6), 5, FALSE))</f>
        <v>166000000000005</v>
      </c>
      <c r="G143" s="40" t="s">
        <v>400</v>
      </c>
      <c r="H143" s="39" t="s">
        <v>399</v>
      </c>
      <c r="I143" s="40" t="s">
        <v>366</v>
      </c>
      <c r="J143" s="66"/>
      <c r="K143" s="39"/>
      <c r="M143" s="32">
        <f t="shared" ca="1" si="6"/>
        <v>167000000000137</v>
      </c>
      <c r="N143" s="6" t="str">
        <f t="shared" ca="1" si="8"/>
        <v>PERFORM "SchData-OLTP-Master"."Func_TblBankAccount_SET"(varSystemLoginSession, null, null, null, null, null, varInstitutionBranchID, varBaseCurrencyID, 166000000000005, '0021817308', 'Langgeng Eko Dwiantoro', 62000000000001, 25000000000551);</v>
      </c>
    </row>
    <row r="144" spans="2:14" x14ac:dyDescent="0.2">
      <c r="B144" s="73">
        <v>25000000000551</v>
      </c>
      <c r="C144" s="37" t="str">
        <f>_xlfn.IFNA(IF(EXACT($B144, ""), "", VLOOKUP($B144, [4]DataLookUp!$C$4:$G$999, 3, FALSE )), "")</f>
        <v>050422961</v>
      </c>
      <c r="D144" s="38" t="str">
        <f>IF(EXACT($B144, ""), "", IF((FLOOR($B144/1000000000000, 1) = 124), VLOOKUP($B144, '[1]DataLookUp - InstitutionBranch'!$B$4:$C$97, 2, FALSE), IF((FLOOR($B144/1000000000000, 1) = 25), VLOOKUP($B144, [2]DataLookUp!$B$4:$D$632, 2, FALSE), "xx")))</f>
        <v>Langgeng Eko Dwiantoro</v>
      </c>
      <c r="E144" s="39" t="s">
        <v>199</v>
      </c>
      <c r="F144" s="51">
        <f ca="1">IF(EXACT(E144, ""), "", VLOOKUP($E144, OFFSET([3]MAIN!$B$2, 0, 0, 100, 6), 5, FALSE))</f>
        <v>166000000000002</v>
      </c>
      <c r="G144" s="40" t="s">
        <v>401</v>
      </c>
      <c r="H144" s="39" t="s">
        <v>399</v>
      </c>
      <c r="I144" s="40" t="s">
        <v>366</v>
      </c>
      <c r="J144" s="66"/>
      <c r="K144" s="39"/>
      <c r="M144" s="32">
        <f t="shared" ca="1" si="6"/>
        <v>167000000000138</v>
      </c>
      <c r="N144" s="6" t="str">
        <f t="shared" ca="1" si="8"/>
        <v>PERFORM "SchData-OLTP-Master"."Func_TblBankAccount_SET"(varSystemLoginSession, null, null, null, null, null, varInstitutionBranchID, varBaseCurrencyID, 166000000000002, '034101013725530', 'Langgeng Eko Dwiantoro', 62000000000001, 25000000000551);</v>
      </c>
    </row>
    <row r="145" spans="2:14" x14ac:dyDescent="0.2">
      <c r="B145" s="64">
        <v>25000000000372</v>
      </c>
      <c r="C145" s="37" t="str">
        <f>_xlfn.IFNA(IF(EXACT($B145, ""), "", VLOOKUP($B145, [4]DataLookUp!$C$4:$G$999, 3, FALSE )), "")</f>
        <v>160921954</v>
      </c>
      <c r="D145" s="38" t="str">
        <f>IF(EXACT($B145, ""), "", IF((FLOOR($B145/1000000000000, 1) = 124), VLOOKUP($B145, '[1]DataLookUp - InstitutionBranch'!$B$4:$C$97, 2, FALSE), IF((FLOOR($B145/1000000000000, 1) = 25), VLOOKUP($B145, [2]DataLookUp!$B$4:$D$632, 2, FALSE), "xx")))</f>
        <v>Roy Aditya</v>
      </c>
      <c r="E145" s="39" t="s">
        <v>199</v>
      </c>
      <c r="F145" s="51">
        <f ca="1">IF(EXACT(E145, ""), "", VLOOKUP($E145, OFFSET([3]MAIN!$B$2, 0, 0, 100, 6), 5, FALSE))</f>
        <v>166000000000002</v>
      </c>
      <c r="G145" s="40" t="s">
        <v>398</v>
      </c>
      <c r="H145" s="39" t="s">
        <v>397</v>
      </c>
      <c r="I145" s="40" t="s">
        <v>366</v>
      </c>
      <c r="J145" s="66"/>
      <c r="K145" s="39"/>
      <c r="M145" s="32">
        <f t="shared" ca="1" si="6"/>
        <v>167000000000139</v>
      </c>
      <c r="N145" s="6" t="str">
        <f t="shared" ca="1" si="8"/>
        <v>PERFORM "SchData-OLTP-Master"."Func_TblBankAccount_SET"(varSystemLoginSession, null, null, null, null, null, varInstitutionBranchID, varBaseCurrencyID, 166000000000002, '034101085528508', 'Roy Aditya', 62000000000001, 25000000000372);</v>
      </c>
    </row>
    <row r="146" spans="2:14" x14ac:dyDescent="0.2">
      <c r="B146" s="64">
        <v>25000000000415</v>
      </c>
      <c r="C146" s="37" t="str">
        <f>_xlfn.IFNA(IF(EXACT($B146, ""), "", VLOOKUP($B146, [4]DataLookUp!$C$4:$G$999, 3, FALSE )), "")</f>
        <v>080822967</v>
      </c>
      <c r="D146" s="38" t="str">
        <f>IF(EXACT($B146, ""), "", IF((FLOOR($B146/1000000000000, 1) = 124), VLOOKUP($B146, '[1]DataLookUp - InstitutionBranch'!$B$4:$C$97, 2, FALSE), IF((FLOOR($B146/1000000000000, 1) = 25), VLOOKUP($B146, [2]DataLookUp!$B$4:$D$632, 2, FALSE), "xx")))</f>
        <v>Sugiarto</v>
      </c>
      <c r="E146" s="39" t="s">
        <v>199</v>
      </c>
      <c r="F146" s="51">
        <f ca="1">IF(EXACT(E146, ""), "", VLOOKUP($E146, OFFSET([3]MAIN!$B$2, 0, 0, 100, 6), 5, FALSE))</f>
        <v>166000000000002</v>
      </c>
      <c r="G146" s="40" t="s">
        <v>451</v>
      </c>
      <c r="H146" s="39" t="s">
        <v>452</v>
      </c>
      <c r="I146" s="40" t="s">
        <v>366</v>
      </c>
      <c r="J146" s="66"/>
      <c r="K146" s="39"/>
      <c r="M146" s="32">
        <f t="shared" ca="1" si="6"/>
        <v>167000000000140</v>
      </c>
      <c r="N146" s="6" t="str">
        <f t="shared" ca="1" si="8"/>
        <v>PERFORM "SchData-OLTP-Master"."Func_TblBankAccount_SET"(varSystemLoginSession, null, null, null, null, null, varInstitutionBranchID, varBaseCurrencyID, 166000000000002, '034101074864505', 'Sugiarto', 62000000000001, 25000000000415);</v>
      </c>
    </row>
    <row r="147" spans="2:14" x14ac:dyDescent="0.2">
      <c r="B147" s="64">
        <v>25000000000548</v>
      </c>
      <c r="C147" s="37" t="str">
        <f>_xlfn.IFNA(IF(EXACT($B147, ""), "", VLOOKUP($B147, [4]DataLookUp!$C$4:$G$999, 3, FALSE )), "")</f>
        <v>020123976</v>
      </c>
      <c r="D147" s="38" t="str">
        <f>IF(EXACT($B147, ""), "", IF((FLOOR($B147/1000000000000, 1) = 124), VLOOKUP($B147, '[1]DataLookUp - InstitutionBranch'!$B$4:$C$97, 2, FALSE), IF((FLOOR($B147/1000000000000, 1) = 25), VLOOKUP($B147, [2]DataLookUp!$B$4:$D$632, 2, FALSE), "xx")))</f>
        <v>Sulaeman</v>
      </c>
      <c r="E147" s="39" t="s">
        <v>199</v>
      </c>
      <c r="F147" s="51">
        <f ca="1">IF(EXACT(E147, ""), "", VLOOKUP($E147, OFFSET([3]MAIN!$B$2, 0, 0, 100, 6), 5, FALSE))</f>
        <v>166000000000002</v>
      </c>
      <c r="G147" s="40" t="s">
        <v>450</v>
      </c>
      <c r="H147" s="39" t="s">
        <v>449</v>
      </c>
      <c r="I147" s="40" t="s">
        <v>366</v>
      </c>
      <c r="J147" s="66"/>
      <c r="K147" s="39"/>
      <c r="M147" s="32">
        <f t="shared" ca="1" si="6"/>
        <v>167000000000141</v>
      </c>
      <c r="N147" s="6" t="str">
        <f t="shared" ca="1" si="8"/>
        <v>PERFORM "SchData-OLTP-Master"."Func_TblBankAccount_SET"(varSystemLoginSession, null, null, null, null, null, varInstitutionBranchID, varBaseCurrencyID, 166000000000002, '034101082539500', 'Sulaeman', 62000000000001, 25000000000548);</v>
      </c>
    </row>
    <row r="148" spans="2:14" x14ac:dyDescent="0.2">
      <c r="B148" s="64">
        <v>25000000000458</v>
      </c>
      <c r="C148" s="37" t="str">
        <f>_xlfn.IFNA(IF(EXACT($B148, ""), "", VLOOKUP($B148, [4]DataLookUp!$C$4:$G$999, 3, FALSE )), "")</f>
        <v>010906267</v>
      </c>
      <c r="D148" s="38" t="str">
        <f>IF(EXACT($B148, ""), "", IF((FLOOR($B148/1000000000000, 1) = 124), VLOOKUP($B148, '[1]DataLookUp - InstitutionBranch'!$B$4:$C$97, 2, FALSE), IF((FLOOR($B148/1000000000000, 1) = 25), VLOOKUP($B148, [2]DataLookUp!$B$4:$D$632, 2, FALSE), "xx")))</f>
        <v>Urbanus Boimau</v>
      </c>
      <c r="E148" s="39" t="s">
        <v>199</v>
      </c>
      <c r="F148" s="51">
        <f ca="1">IF(EXACT(E148, ""), "", VLOOKUP($E148, OFFSET([3]MAIN!$B$2, 0, 0, 100, 6), 5, FALSE))</f>
        <v>166000000000002</v>
      </c>
      <c r="G148" s="40" t="s">
        <v>387</v>
      </c>
      <c r="H148" s="39" t="s">
        <v>388</v>
      </c>
      <c r="I148" s="40" t="s">
        <v>366</v>
      </c>
      <c r="J148" s="66"/>
      <c r="K148" s="39"/>
      <c r="M148" s="32">
        <f t="shared" ca="1" si="6"/>
        <v>167000000000142</v>
      </c>
      <c r="N148" s="6" t="str">
        <f t="shared" ca="1" si="8"/>
        <v>PERFORM "SchData-OLTP-Master"."Func_TblBankAccount_SET"(varSystemLoginSession, null, null, null, null, null, varInstitutionBranchID, varBaseCurrencyID, 166000000000002, '026901024911506', 'Urbanus Boimau', 62000000000001, 25000000000458);</v>
      </c>
    </row>
    <row r="149" spans="2:14" x14ac:dyDescent="0.2">
      <c r="B149" s="73">
        <v>25000000000559</v>
      </c>
      <c r="C149" s="37" t="str">
        <f>_xlfn.IFNA(IF(EXACT($B149, ""), "", VLOOKUP($B149, [4]DataLookUp!$C$4:$G$999, 3, FALSE )), "")</f>
        <v>010224985</v>
      </c>
      <c r="D149" s="38" t="str">
        <f>IF(EXACT($B149, ""), "", IF((FLOOR($B149/1000000000000, 1) = 124), VLOOKUP($B149, '[1]DataLookUp - InstitutionBranch'!$B$4:$C$97, 2, FALSE), IF((FLOOR($B149/1000000000000, 1) = 25), VLOOKUP($B149, [2]DataLookUp!$B$4:$D$632, 2, FALSE), "xx")))</f>
        <v>Adhe Kurniawan</v>
      </c>
      <c r="E149" s="39" t="s">
        <v>197</v>
      </c>
      <c r="F149" s="51">
        <f ca="1">IF(EXACT(E149, ""), "", VLOOKUP($E149, OFFSET([3]MAIN!$B$2, 0, 0, 100, 6), 5, FALSE))</f>
        <v>166000000000005</v>
      </c>
      <c r="G149" s="40" t="s">
        <v>422</v>
      </c>
      <c r="H149" s="39" t="s">
        <v>421</v>
      </c>
      <c r="I149" s="40" t="s">
        <v>366</v>
      </c>
      <c r="J149" s="66"/>
      <c r="K149" s="39"/>
      <c r="M149" s="32">
        <f t="shared" ca="1" si="6"/>
        <v>167000000000143</v>
      </c>
      <c r="N149" s="6" t="str">
        <f t="shared" ca="1" si="8"/>
        <v>PERFORM "SchData-OLTP-Master"."Func_TblBankAccount_SET"(varSystemLoginSession, null, null, null, null, null, varInstitutionBranchID, varBaseCurrencyID, 166000000000005, '5520769236', 'Adhe Kurniawan', 62000000000001, 25000000000559);</v>
      </c>
    </row>
    <row r="150" spans="2:14" x14ac:dyDescent="0.2">
      <c r="B150" s="73">
        <v>25000000000559</v>
      </c>
      <c r="C150" s="37" t="str">
        <f>_xlfn.IFNA(IF(EXACT($B150, ""), "", VLOOKUP($B150, [4]DataLookUp!$C$4:$G$999, 3, FALSE )), "")</f>
        <v>010224985</v>
      </c>
      <c r="D150" s="38" t="str">
        <f>IF(EXACT($B150, ""), "", IF((FLOOR($B150/1000000000000, 1) = 124), VLOOKUP($B150, '[1]DataLookUp - InstitutionBranch'!$B$4:$C$97, 2, FALSE), IF((FLOOR($B150/1000000000000, 1) = 25), VLOOKUP($B150, [2]DataLookUp!$B$4:$D$632, 2, FALSE), "xx")))</f>
        <v>Adhe Kurniawan</v>
      </c>
      <c r="E150" s="39" t="s">
        <v>199</v>
      </c>
      <c r="F150" s="51">
        <f ca="1">IF(EXACT(E150, ""), "", VLOOKUP($E150, OFFSET([3]MAIN!$B$2, 0, 0, 100, 6), 5, FALSE))</f>
        <v>166000000000002</v>
      </c>
      <c r="G150" s="40" t="s">
        <v>423</v>
      </c>
      <c r="H150" s="39" t="s">
        <v>421</v>
      </c>
      <c r="I150" s="40" t="s">
        <v>366</v>
      </c>
      <c r="J150" s="66"/>
      <c r="K150" s="39"/>
      <c r="M150" s="32">
        <f t="shared" ca="1" si="6"/>
        <v>167000000000144</v>
      </c>
      <c r="N150" s="6" t="str">
        <f t="shared" ca="1" si="8"/>
        <v>PERFORM "SchData-OLTP-Master"."Func_TblBankAccount_SET"(varSystemLoginSession, null, null, null, null, null, varInstitutionBranchID, varBaseCurrencyID, 166000000000002, '069501008650509', 'Adhe Kurniawan', 62000000000001, 25000000000559);</v>
      </c>
    </row>
    <row r="151" spans="2:14" x14ac:dyDescent="0.2">
      <c r="B151" s="64">
        <v>25000000000560</v>
      </c>
      <c r="C151" s="37" t="str">
        <f>_xlfn.IFNA(IF(EXACT($B151, ""), "", VLOOKUP($B151, [4]DataLookUp!$C$4:$G$999, 3, FALSE )), "")</f>
        <v/>
      </c>
      <c r="D151" s="38" t="str">
        <f>IF(EXACT($B151, ""), "", IF((FLOOR($B151/1000000000000, 1) = 124), VLOOKUP($B151, '[1]DataLookUp - InstitutionBranch'!$B$4:$C$97, 2, FALSE), IF((FLOOR($B151/1000000000000, 1) = 25), VLOOKUP($B151, [2]DataLookUp!$B$4:$D$632, 2, FALSE), "xx")))</f>
        <v>Ahmad Fauzi</v>
      </c>
      <c r="E151" s="39"/>
      <c r="F151" s="51" t="str">
        <f ca="1">IF(EXACT(E151, ""), "", VLOOKUP($E151, OFFSET([3]MAIN!$B$2, 0, 0, 100, 6), 5, FALSE))</f>
        <v/>
      </c>
      <c r="G151" s="40"/>
      <c r="H151" s="39"/>
      <c r="I151" s="40"/>
      <c r="J151" s="66"/>
      <c r="K151" s="39"/>
      <c r="M151" s="32">
        <f t="shared" ca="1" si="6"/>
        <v>167000000000144</v>
      </c>
      <c r="N151" s="6" t="str">
        <f t="shared" si="8"/>
        <v/>
      </c>
    </row>
    <row r="152" spans="2:14" x14ac:dyDescent="0.2">
      <c r="B152" s="64">
        <v>25000000000561</v>
      </c>
      <c r="C152" s="37" t="str">
        <f>_xlfn.IFNA(IF(EXACT($B152, ""), "", VLOOKUP($B152, [4]DataLookUp!$C$4:$G$999, 3, FALSE )), "")</f>
        <v/>
      </c>
      <c r="D152" s="38" t="str">
        <f>IF(EXACT($B152, ""), "", IF((FLOOR($B152/1000000000000, 1) = 124), VLOOKUP($B152, '[1]DataLookUp - InstitutionBranch'!$B$4:$C$97, 2, FALSE), IF((FLOOR($B152/1000000000000, 1) = 25), VLOOKUP($B152, [2]DataLookUp!$B$4:$D$632, 2, FALSE), "xx")))</f>
        <v>Ahmad Gunawan</v>
      </c>
      <c r="E152" s="39"/>
      <c r="F152" s="51" t="str">
        <f ca="1">IF(EXACT(E152, ""), "", VLOOKUP($E152, OFFSET([3]MAIN!$B$2, 0, 0, 100, 6), 5, FALSE))</f>
        <v/>
      </c>
      <c r="G152" s="40"/>
      <c r="H152" s="39"/>
      <c r="I152" s="40"/>
      <c r="J152" s="66"/>
      <c r="K152" s="39"/>
      <c r="M152" s="32">
        <f t="shared" ca="1" si="6"/>
        <v>167000000000144</v>
      </c>
      <c r="N152" s="6" t="str">
        <f t="shared" si="8"/>
        <v/>
      </c>
    </row>
    <row r="153" spans="2:14" x14ac:dyDescent="0.2">
      <c r="B153" s="64">
        <v>25000000000562</v>
      </c>
      <c r="C153" s="37" t="str">
        <f>_xlfn.IFNA(IF(EXACT($B153, ""), "", VLOOKUP($B153, [4]DataLookUp!$C$4:$G$999, 3, FALSE )), "")</f>
        <v/>
      </c>
      <c r="D153" s="38" t="str">
        <f>IF(EXACT($B153, ""), "", IF((FLOOR($B153/1000000000000, 1) = 124), VLOOKUP($B153, '[1]DataLookUp - InstitutionBranch'!$B$4:$C$97, 2, FALSE), IF((FLOOR($B153/1000000000000, 1) = 25), VLOOKUP($B153, [2]DataLookUp!$B$4:$D$632, 2, FALSE), "xx")))</f>
        <v>Andri Andriyan</v>
      </c>
      <c r="E153" s="39"/>
      <c r="F153" s="51" t="str">
        <f ca="1">IF(EXACT(E153, ""), "", VLOOKUP($E153, OFFSET([3]MAIN!$B$2, 0, 0, 100, 6), 5, FALSE))</f>
        <v/>
      </c>
      <c r="G153" s="40"/>
      <c r="H153" s="39"/>
      <c r="I153" s="40"/>
      <c r="J153" s="66"/>
      <c r="K153" s="39"/>
      <c r="M153" s="32">
        <f t="shared" ca="1" si="6"/>
        <v>167000000000144</v>
      </c>
      <c r="N153" s="6" t="str">
        <f t="shared" si="8"/>
        <v/>
      </c>
    </row>
    <row r="154" spans="2:14" x14ac:dyDescent="0.2">
      <c r="B154" s="64">
        <v>25000000000563</v>
      </c>
      <c r="C154" s="37" t="str">
        <f>_xlfn.IFNA(IF(EXACT($B154, ""), "", VLOOKUP($B154, [4]DataLookUp!$C$4:$G$999, 3, FALSE )), "")</f>
        <v/>
      </c>
      <c r="D154" s="38" t="str">
        <f>IF(EXACT($B154, ""), "", IF((FLOOR($B154/1000000000000, 1) = 124), VLOOKUP($B154, '[1]DataLookUp - InstitutionBranch'!$B$4:$C$97, 2, FALSE), IF((FLOOR($B154/1000000000000, 1) = 25), VLOOKUP($B154, [2]DataLookUp!$B$4:$D$632, 2, FALSE), "xx")))</f>
        <v>Budi Sulistianto</v>
      </c>
      <c r="E154" s="39"/>
      <c r="F154" s="51" t="str">
        <f ca="1">IF(EXACT(E154, ""), "", VLOOKUP($E154, OFFSET([3]MAIN!$B$2, 0, 0, 100, 6), 5, FALSE))</f>
        <v/>
      </c>
      <c r="G154" s="40"/>
      <c r="H154" s="39"/>
      <c r="I154" s="40"/>
      <c r="J154" s="66"/>
      <c r="K154" s="39"/>
      <c r="M154" s="32">
        <f t="shared" ca="1" si="6"/>
        <v>167000000000144</v>
      </c>
      <c r="N154" s="6" t="str">
        <f t="shared" si="8"/>
        <v/>
      </c>
    </row>
    <row r="155" spans="2:14" x14ac:dyDescent="0.2">
      <c r="B155" s="64">
        <v>25000000000564</v>
      </c>
      <c r="C155" s="37" t="str">
        <f>_xlfn.IFNA(IF(EXACT($B155, ""), "", VLOOKUP($B155, [4]DataLookUp!$C$4:$G$999, 3, FALSE )), "")</f>
        <v/>
      </c>
      <c r="D155" s="38" t="str">
        <f>IF(EXACT($B155, ""), "", IF((FLOOR($B155/1000000000000, 1) = 124), VLOOKUP($B155, '[1]DataLookUp - InstitutionBranch'!$B$4:$C$97, 2, FALSE), IF((FLOOR($B155/1000000000000, 1) = 25), VLOOKUP($B155, [2]DataLookUp!$B$4:$D$632, 2, FALSE), "xx")))</f>
        <v>Eka Budi</v>
      </c>
      <c r="E155" s="39"/>
      <c r="F155" s="51" t="str">
        <f ca="1">IF(EXACT(E155, ""), "", VLOOKUP($E155, OFFSET([3]MAIN!$B$2, 0, 0, 100, 6), 5, FALSE))</f>
        <v/>
      </c>
      <c r="G155" s="40"/>
      <c r="H155" s="39"/>
      <c r="I155" s="40"/>
      <c r="J155" s="66"/>
      <c r="K155" s="39"/>
      <c r="M155" s="32">
        <f t="shared" ca="1" si="6"/>
        <v>167000000000144</v>
      </c>
      <c r="N155" s="6" t="str">
        <f t="shared" si="8"/>
        <v/>
      </c>
    </row>
    <row r="156" spans="2:14" x14ac:dyDescent="0.2">
      <c r="B156" s="64">
        <v>25000000000126</v>
      </c>
      <c r="C156" s="37" t="str">
        <f>_xlfn.IFNA(IF(EXACT($B156, ""), "", VLOOKUP($B156, [4]DataLookUp!$C$4:$G$999, 3, FALSE )), "")</f>
        <v>120324987</v>
      </c>
      <c r="D156" s="38" t="str">
        <f>IF(EXACT($B156, ""), "", IF((FLOOR($B156/1000000000000, 1) = 124), VLOOKUP($B156, '[1]DataLookUp - InstitutionBranch'!$B$4:$C$97, 2, FALSE), IF((FLOOR($B156/1000000000000, 1) = 25), VLOOKUP($B156, [2]DataLookUp!$B$4:$D$632, 2, FALSE), "xx")))</f>
        <v>Eka Kurniawan Hidayatullah</v>
      </c>
      <c r="E156" s="39" t="s">
        <v>197</v>
      </c>
      <c r="F156" s="51">
        <f ca="1">IF(EXACT(E156, ""), "", VLOOKUP($E156, OFFSET([3]MAIN!$B$2, 0, 0, 100, 6), 5, FALSE))</f>
        <v>166000000000005</v>
      </c>
      <c r="G156" s="40" t="s">
        <v>438</v>
      </c>
      <c r="H156" s="39" t="s">
        <v>439</v>
      </c>
      <c r="I156" s="40" t="s">
        <v>366</v>
      </c>
      <c r="J156" s="66"/>
      <c r="K156" s="39"/>
      <c r="M156" s="32">
        <f t="shared" ca="1" si="6"/>
        <v>167000000000145</v>
      </c>
      <c r="N156" s="6" t="str">
        <f t="shared" ca="1" si="8"/>
        <v>PERFORM "SchData-OLTP-Master"."Func_TblBankAccount_SET"(varSystemLoginSession, null, null, null, null, null, varInstitutionBranchID, varBaseCurrencyID, 166000000000005, '5520776887', 'Eka Kurniawan Hidayatullah', 62000000000001, 25000000000126);</v>
      </c>
    </row>
    <row r="157" spans="2:14" x14ac:dyDescent="0.2">
      <c r="B157" s="64">
        <v>25000000000501</v>
      </c>
      <c r="C157" s="37" t="str">
        <f>_xlfn.IFNA(IF(EXACT($B157, ""), "", VLOOKUP($B157, [4]DataLookUp!$C$4:$G$999, 3, FALSE )), "")</f>
        <v>3107251008</v>
      </c>
      <c r="D157" s="38" t="str">
        <f>IF(EXACT($B157, ""), "", IF((FLOOR($B157/1000000000000, 1) = 124), VLOOKUP($B157, '[1]DataLookUp - InstitutionBranch'!$B$4:$C$97, 2, FALSE), IF((FLOOR($B157/1000000000000, 1) = 25), VLOOKUP($B157, [2]DataLookUp!$B$4:$D$632, 2, FALSE), "xx")))</f>
        <v>Zulfikar K. Siregar</v>
      </c>
      <c r="E157" s="39" t="s">
        <v>197</v>
      </c>
      <c r="F157" s="51">
        <f ca="1">IF(EXACT(E157, ""), "", VLOOKUP($E157, OFFSET([3]MAIN!$B$2, 0, 0, 100, 6), 5, FALSE))</f>
        <v>166000000000005</v>
      </c>
      <c r="G157" s="40">
        <v>2420807867</v>
      </c>
      <c r="H157" s="39"/>
      <c r="I157" s="40" t="s">
        <v>366</v>
      </c>
      <c r="J157" s="66"/>
      <c r="K157" s="39"/>
      <c r="M157" s="32">
        <f t="shared" ca="1" si="6"/>
        <v>167000000000146</v>
      </c>
      <c r="N157" s="6" t="str">
        <f t="shared" ca="1" si="8"/>
        <v>PERFORM "SchData-OLTP-Master"."Func_TblBankAccount_SET"(varSystemLoginSession, null, null, null, null, null, varInstitutionBranchID, varBaseCurrencyID, 166000000000005, '2420807867', '', 62000000000001, 25000000000501);</v>
      </c>
    </row>
    <row r="158" spans="2:14" x14ac:dyDescent="0.2">
      <c r="B158" s="74">
        <v>25000000000565</v>
      </c>
      <c r="C158" s="37" t="str">
        <f>_xlfn.IFNA(IF(EXACT($B158, ""), "", VLOOKUP($B158, [4]DataLookUp!$C$4:$G$999, 3, FALSE )), "")</f>
        <v/>
      </c>
      <c r="D158" s="38" t="str">
        <f>IF(EXACT($B158, ""), "", IF((FLOOR($B158/1000000000000, 1) = 124), VLOOKUP($B158, '[1]DataLookUp - InstitutionBranch'!$B$4:$C$97, 2, FALSE), IF((FLOOR($B158/1000000000000, 1) = 25), VLOOKUP($B158, [2]DataLookUp!$B$4:$D$632, 2, FALSE), "xx")))</f>
        <v>Haerul Gunawan</v>
      </c>
      <c r="E158" s="39"/>
      <c r="F158" s="51" t="str">
        <f ca="1">IF(EXACT(E158, ""), "", VLOOKUP($E158, OFFSET([3]MAIN!$B$2, 0, 0, 100, 6), 5, FALSE))</f>
        <v/>
      </c>
      <c r="G158" s="40"/>
      <c r="H158" s="39"/>
      <c r="I158" s="40"/>
      <c r="J158" s="66"/>
      <c r="K158" s="39"/>
      <c r="M158" s="32">
        <f t="shared" ca="1" si="6"/>
        <v>167000000000146</v>
      </c>
      <c r="N158" s="6" t="str">
        <f t="shared" si="8"/>
        <v/>
      </c>
    </row>
    <row r="159" spans="2:14" x14ac:dyDescent="0.2">
      <c r="B159" s="74">
        <v>25000000000566</v>
      </c>
      <c r="C159" s="37" t="str">
        <f>_xlfn.IFNA(IF(EXACT($B159, ""), "", VLOOKUP($B159, [4]DataLookUp!$C$4:$G$999, 3, FALSE )), "")</f>
        <v/>
      </c>
      <c r="D159" s="38" t="str">
        <f>IF(EXACT($B159, ""), "", IF((FLOOR($B159/1000000000000, 1) = 124), VLOOKUP($B159, '[1]DataLookUp - InstitutionBranch'!$B$4:$C$97, 2, FALSE), IF((FLOOR($B159/1000000000000, 1) = 25), VLOOKUP($B159, [2]DataLookUp!$B$4:$D$632, 2, FALSE), "xx")))</f>
        <v>Irvan Agus</v>
      </c>
      <c r="E159" s="39"/>
      <c r="F159" s="51" t="str">
        <f ca="1">IF(EXACT(E159, ""), "", VLOOKUP($E159, OFFSET([3]MAIN!$B$2, 0, 0, 100, 6), 5, FALSE))</f>
        <v/>
      </c>
      <c r="G159" s="40"/>
      <c r="H159" s="39"/>
      <c r="I159" s="40"/>
      <c r="J159" s="66"/>
      <c r="K159" s="39"/>
      <c r="M159" s="32">
        <f t="shared" ca="1" si="6"/>
        <v>167000000000146</v>
      </c>
      <c r="N159" s="6" t="str">
        <f t="shared" si="8"/>
        <v/>
      </c>
    </row>
    <row r="160" spans="2:14" x14ac:dyDescent="0.2">
      <c r="B160" s="74">
        <v>25000000000567</v>
      </c>
      <c r="C160" s="37" t="str">
        <f>_xlfn.IFNA(IF(EXACT($B160, ""), "", VLOOKUP($B160, [4]DataLookUp!$C$4:$G$999, 3, FALSE )), "")</f>
        <v/>
      </c>
      <c r="D160" s="38" t="str">
        <f>IF(EXACT($B160, ""), "", IF((FLOOR($B160/1000000000000, 1) = 124), VLOOKUP($B160, '[1]DataLookUp - InstitutionBranch'!$B$4:$C$97, 2, FALSE), IF((FLOOR($B160/1000000000000, 1) = 25), VLOOKUP($B160, [2]DataLookUp!$B$4:$D$632, 2, FALSE), "xx")))</f>
        <v>Joshika Pradirga</v>
      </c>
      <c r="E160" s="39"/>
      <c r="F160" s="51" t="str">
        <f ca="1">IF(EXACT(E160, ""), "", VLOOKUP($E160, OFFSET([3]MAIN!$B$2, 0, 0, 100, 6), 5, FALSE))</f>
        <v/>
      </c>
      <c r="G160" s="40"/>
      <c r="H160" s="39"/>
      <c r="I160" s="40"/>
      <c r="J160" s="66"/>
      <c r="K160" s="39"/>
      <c r="M160" s="32">
        <f t="shared" ca="1" si="6"/>
        <v>167000000000146</v>
      </c>
      <c r="N160" s="6" t="str">
        <f t="shared" si="8"/>
        <v/>
      </c>
    </row>
    <row r="161" spans="2:14" x14ac:dyDescent="0.2">
      <c r="B161" s="74">
        <v>25000000000568</v>
      </c>
      <c r="C161" s="37" t="str">
        <f>_xlfn.IFNA(IF(EXACT($B161, ""), "", VLOOKUP($B161, [4]DataLookUp!$C$4:$G$999, 3, FALSE )), "")</f>
        <v/>
      </c>
      <c r="D161" s="38" t="str">
        <f>IF(EXACT($B161, ""), "", IF((FLOOR($B161/1000000000000, 1) = 124), VLOOKUP($B161, '[1]DataLookUp - InstitutionBranch'!$B$4:$C$97, 2, FALSE), IF((FLOOR($B161/1000000000000, 1) = 25), VLOOKUP($B161, [2]DataLookUp!$B$4:$D$632, 2, FALSE), "xx")))</f>
        <v>Khaidir</v>
      </c>
      <c r="E161" s="39"/>
      <c r="F161" s="51" t="str">
        <f ca="1">IF(EXACT(E161, ""), "", VLOOKUP($E161, OFFSET([3]MAIN!$B$2, 0, 0, 100, 6), 5, FALSE))</f>
        <v/>
      </c>
      <c r="G161" s="40"/>
      <c r="H161" s="39"/>
      <c r="I161" s="40"/>
      <c r="J161" s="66"/>
      <c r="K161" s="39"/>
      <c r="M161" s="32">
        <f t="shared" ca="1" si="6"/>
        <v>167000000000146</v>
      </c>
      <c r="N161" s="6" t="str">
        <f t="shared" si="8"/>
        <v/>
      </c>
    </row>
    <row r="162" spans="2:14" x14ac:dyDescent="0.2">
      <c r="B162" s="74">
        <v>25000000000569</v>
      </c>
      <c r="C162" s="37" t="str">
        <f>_xlfn.IFNA(IF(EXACT($B162, ""), "", VLOOKUP($B162, [4]DataLookUp!$C$4:$G$999, 3, FALSE )), "")</f>
        <v/>
      </c>
      <c r="D162" s="38" t="str">
        <f>IF(EXACT($B162, ""), "", IF((FLOOR($B162/1000000000000, 1) = 124), VLOOKUP($B162, '[1]DataLookUp - InstitutionBranch'!$B$4:$C$97, 2, FALSE), IF((FLOOR($B162/1000000000000, 1) = 25), VLOOKUP($B162, [2]DataLookUp!$B$4:$D$632, 2, FALSE), "xx")))</f>
        <v>Latip Muhlanto</v>
      </c>
      <c r="E162" s="39"/>
      <c r="F162" s="51" t="str">
        <f ca="1">IF(EXACT(E162, ""), "", VLOOKUP($E162, OFFSET([3]MAIN!$B$2, 0, 0, 100, 6), 5, FALSE))</f>
        <v/>
      </c>
      <c r="G162" s="40"/>
      <c r="H162" s="39"/>
      <c r="I162" s="40"/>
      <c r="J162" s="66"/>
      <c r="K162" s="39"/>
      <c r="M162" s="32">
        <f t="shared" ca="1" si="6"/>
        <v>167000000000146</v>
      </c>
      <c r="N162" s="6" t="str">
        <f t="shared" si="8"/>
        <v/>
      </c>
    </row>
    <row r="163" spans="2:14" x14ac:dyDescent="0.2">
      <c r="B163" s="74">
        <v>25000000000570</v>
      </c>
      <c r="C163" s="37" t="str">
        <f>_xlfn.IFNA(IF(EXACT($B163, ""), "", VLOOKUP($B163, [4]DataLookUp!$C$4:$G$999, 3, FALSE )), "")</f>
        <v/>
      </c>
      <c r="D163" s="38" t="str">
        <f>IF(EXACT($B163, ""), "", IF((FLOOR($B163/1000000000000, 1) = 124), VLOOKUP($B163, '[1]DataLookUp - InstitutionBranch'!$B$4:$C$97, 2, FALSE), IF((FLOOR($B163/1000000000000, 1) = 25), VLOOKUP($B163, [2]DataLookUp!$B$4:$D$632, 2, FALSE), "xx")))</f>
        <v>Leonardo Putra</v>
      </c>
      <c r="E163" s="39"/>
      <c r="F163" s="51" t="str">
        <f ca="1">IF(EXACT(E163, ""), "", VLOOKUP($E163, OFFSET([3]MAIN!$B$2, 0, 0, 100, 6), 5, FALSE))</f>
        <v/>
      </c>
      <c r="G163" s="40"/>
      <c r="H163" s="39"/>
      <c r="I163" s="40"/>
      <c r="J163" s="66"/>
      <c r="K163" s="39"/>
      <c r="M163" s="32">
        <f t="shared" ca="1" si="6"/>
        <v>167000000000146</v>
      </c>
      <c r="N163" s="6" t="str">
        <f t="shared" si="8"/>
        <v/>
      </c>
    </row>
    <row r="164" spans="2:14" x14ac:dyDescent="0.2">
      <c r="B164" s="74">
        <v>25000000000571</v>
      </c>
      <c r="C164" s="37" t="str">
        <f>_xlfn.IFNA(IF(EXACT($B164, ""), "", VLOOKUP($B164, [4]DataLookUp!$C$4:$G$999, 3, FALSE )), "")</f>
        <v/>
      </c>
      <c r="D164" s="38" t="str">
        <f>IF(EXACT($B164, ""), "", IF((FLOOR($B164/1000000000000, 1) = 124), VLOOKUP($B164, '[1]DataLookUp - InstitutionBranch'!$B$4:$C$97, 2, FALSE), IF((FLOOR($B164/1000000000000, 1) = 25), VLOOKUP($B164, [2]DataLookUp!$B$4:$D$632, 2, FALSE), "xx")))</f>
        <v>Muhammad Ramadani</v>
      </c>
      <c r="E164" s="39"/>
      <c r="F164" s="51" t="str">
        <f ca="1">IF(EXACT(E164, ""), "", VLOOKUP($E164, OFFSET([3]MAIN!$B$2, 0, 0, 100, 6), 5, FALSE))</f>
        <v/>
      </c>
      <c r="G164" s="40"/>
      <c r="H164" s="39"/>
      <c r="I164" s="40"/>
      <c r="J164" s="66"/>
      <c r="K164" s="39"/>
      <c r="M164" s="32">
        <f t="shared" ca="1" si="6"/>
        <v>167000000000146</v>
      </c>
      <c r="N164" s="6" t="str">
        <f t="shared" si="8"/>
        <v/>
      </c>
    </row>
    <row r="165" spans="2:14" x14ac:dyDescent="0.2">
      <c r="B165" s="74">
        <v>25000000000572</v>
      </c>
      <c r="C165" s="37" t="str">
        <f>_xlfn.IFNA(IF(EXACT($B165, ""), "", VLOOKUP($B165, [4]DataLookUp!$C$4:$G$999, 3, FALSE )), "")</f>
        <v/>
      </c>
      <c r="D165" s="38" t="str">
        <f>IF(EXACT($B165, ""), "", IF((FLOOR($B165/1000000000000, 1) = 124), VLOOKUP($B165, '[1]DataLookUp - InstitutionBranch'!$B$4:$C$97, 2, FALSE), IF((FLOOR($B165/1000000000000, 1) = 25), VLOOKUP($B165, [2]DataLookUp!$B$4:$D$632, 2, FALSE), "xx")))</f>
        <v>Musdalipa</v>
      </c>
      <c r="E165" s="39"/>
      <c r="F165" s="51" t="str">
        <f ca="1">IF(EXACT(E165, ""), "", VLOOKUP($E165, OFFSET([3]MAIN!$B$2, 0, 0, 100, 6), 5, FALSE))</f>
        <v/>
      </c>
      <c r="G165" s="40"/>
      <c r="H165" s="39"/>
      <c r="I165" s="40"/>
      <c r="J165" s="66"/>
      <c r="K165" s="39"/>
      <c r="M165" s="32">
        <f t="shared" ca="1" si="6"/>
        <v>167000000000146</v>
      </c>
      <c r="N165" s="6" t="str">
        <f t="shared" si="8"/>
        <v/>
      </c>
    </row>
    <row r="166" spans="2:14" x14ac:dyDescent="0.2">
      <c r="B166" s="74">
        <v>25000000000573</v>
      </c>
      <c r="C166" s="37" t="str">
        <f>_xlfn.IFNA(IF(EXACT($B166, ""), "", VLOOKUP($B166, [4]DataLookUp!$C$4:$G$999, 3, FALSE )), "")</f>
        <v/>
      </c>
      <c r="D166" s="38" t="str">
        <f>IF(EXACT($B166, ""), "", IF((FLOOR($B166/1000000000000, 1) = 124), VLOOKUP($B166, '[1]DataLookUp - InstitutionBranch'!$B$4:$C$97, 2, FALSE), IF((FLOOR($B166/1000000000000, 1) = 25), VLOOKUP($B166, [2]DataLookUp!$B$4:$D$632, 2, FALSE), "xx")))</f>
        <v>Nico Melky</v>
      </c>
      <c r="E166" s="39"/>
      <c r="F166" s="51" t="str">
        <f ca="1">IF(EXACT(E166, ""), "", VLOOKUP($E166, OFFSET([3]MAIN!$B$2, 0, 0, 100, 6), 5, FALSE))</f>
        <v/>
      </c>
      <c r="G166" s="40"/>
      <c r="H166" s="39"/>
      <c r="I166" s="40"/>
      <c r="J166" s="66"/>
      <c r="K166" s="39"/>
      <c r="M166" s="32">
        <f t="shared" ca="1" si="6"/>
        <v>167000000000146</v>
      </c>
      <c r="N166" s="6" t="str">
        <f t="shared" si="8"/>
        <v/>
      </c>
    </row>
    <row r="167" spans="2:14" x14ac:dyDescent="0.2">
      <c r="B167" s="74">
        <v>25000000000574</v>
      </c>
      <c r="C167" s="37" t="str">
        <f>_xlfn.IFNA(IF(EXACT($B167, ""), "", VLOOKUP($B167, [4]DataLookUp!$C$4:$G$999, 3, FALSE )), "")</f>
        <v>230924993</v>
      </c>
      <c r="D167" s="38" t="str">
        <f>IF(EXACT($B167, ""), "", IF((FLOOR($B167/1000000000000, 1) = 124), VLOOKUP($B167, '[1]DataLookUp - InstitutionBranch'!$B$4:$C$97, 2, FALSE), IF((FLOOR($B167/1000000000000, 1) = 25), VLOOKUP($B167, [2]DataLookUp!$B$4:$D$632, 2, FALSE), "xx")))</f>
        <v>Rahmata Novanisa</v>
      </c>
      <c r="E167" s="39" t="s">
        <v>197</v>
      </c>
      <c r="F167" s="51">
        <f ca="1">IF(EXACT(E167, ""), "", VLOOKUP($E167, OFFSET([3]MAIN!$B$2, 0, 0, 100, 6), 5, FALSE))</f>
        <v>166000000000005</v>
      </c>
      <c r="G167" s="40" t="s">
        <v>426</v>
      </c>
      <c r="H167" s="39" t="s">
        <v>427</v>
      </c>
      <c r="I167" s="40" t="s">
        <v>366</v>
      </c>
      <c r="J167" s="66"/>
      <c r="K167" s="39"/>
      <c r="M167" s="32">
        <f t="shared" ca="1" si="6"/>
        <v>167000000000147</v>
      </c>
      <c r="N167" s="6" t="str">
        <f t="shared" ca="1" si="8"/>
        <v>PERFORM "SchData-OLTP-Master"."Func_TblBankAccount_SET"(varSystemLoginSession, null, null, null, null, null, varInstitutionBranchID, varBaseCurrencyID, 166000000000005, '8020227444', 'Rahmata Novanisa', 62000000000001, 25000000000574);</v>
      </c>
    </row>
    <row r="168" spans="2:14" x14ac:dyDescent="0.2">
      <c r="B168" s="74">
        <v>25000000000575</v>
      </c>
      <c r="C168" s="37" t="str">
        <f>_xlfn.IFNA(IF(EXACT($B168, ""), "", VLOOKUP($B168, [4]DataLookUp!$C$4:$G$999, 3, FALSE )), "")</f>
        <v/>
      </c>
      <c r="D168" s="38" t="str">
        <f>IF(EXACT($B168, ""), "", IF((FLOOR($B168/1000000000000, 1) = 124), VLOOKUP($B168, '[1]DataLookUp - InstitutionBranch'!$B$4:$C$97, 2, FALSE), IF((FLOOR($B168/1000000000000, 1) = 25), VLOOKUP($B168, [2]DataLookUp!$B$4:$D$632, 2, FALSE), "xx")))</f>
        <v>Satrio Dhiaputra</v>
      </c>
      <c r="E168" s="39" t="s">
        <v>197</v>
      </c>
      <c r="F168" s="51">
        <f ca="1">IF(EXACT(E168, ""), "", VLOOKUP($E168, OFFSET([3]MAIN!$B$2, 0, 0, 100, 6), 5, FALSE))</f>
        <v>166000000000005</v>
      </c>
      <c r="G168" s="40" t="s">
        <v>428</v>
      </c>
      <c r="H168" s="39" t="s">
        <v>429</v>
      </c>
      <c r="I168" s="40" t="s">
        <v>366</v>
      </c>
      <c r="J168" s="66"/>
      <c r="K168" s="39"/>
      <c r="M168" s="32">
        <f t="shared" ca="1" si="6"/>
        <v>167000000000148</v>
      </c>
      <c r="N168" s="6" t="str">
        <f t="shared" ca="1" si="8"/>
        <v>PERFORM "SchData-OLTP-Master"."Func_TblBankAccount_SET"(varSystemLoginSession, null, null, null, null, null, varInstitutionBranchID, varBaseCurrencyID, 166000000000005, '0886361747', 'Satrio Dhiaputra', 62000000000001, 25000000000575);</v>
      </c>
    </row>
    <row r="169" spans="2:14" x14ac:dyDescent="0.2">
      <c r="B169" s="74">
        <v>25000000000576</v>
      </c>
      <c r="C169" s="37" t="str">
        <f>_xlfn.IFNA(IF(EXACT($B169, ""), "", VLOOKUP($B169, [4]DataLookUp!$C$4:$G$999, 3, FALSE )), "")</f>
        <v/>
      </c>
      <c r="D169" s="38" t="str">
        <f>IF(EXACT($B169, ""), "", IF((FLOOR($B169/1000000000000, 1) = 124), VLOOKUP($B169, '[1]DataLookUp - InstitutionBranch'!$B$4:$C$97, 2, FALSE), IF((FLOOR($B169/1000000000000, 1) = 25), VLOOKUP($B169, [2]DataLookUp!$B$4:$D$632, 2, FALSE), "xx")))</f>
        <v>Sudirman</v>
      </c>
      <c r="E169" s="39"/>
      <c r="F169" s="51" t="str">
        <f ca="1">IF(EXACT(E169, ""), "", VLOOKUP($E169, OFFSET([3]MAIN!$B$2, 0, 0, 100, 6), 5, FALSE))</f>
        <v/>
      </c>
      <c r="G169" s="40"/>
      <c r="H169" s="39"/>
      <c r="I169" s="40"/>
      <c r="J169" s="66"/>
      <c r="K169" s="39"/>
      <c r="M169" s="32">
        <f t="shared" ca="1" si="6"/>
        <v>167000000000148</v>
      </c>
      <c r="N169" s="6" t="str">
        <f t="shared" si="8"/>
        <v/>
      </c>
    </row>
    <row r="170" spans="2:14" x14ac:dyDescent="0.2">
      <c r="B170" s="74">
        <v>25000000000577</v>
      </c>
      <c r="C170" s="37" t="str">
        <f>_xlfn.IFNA(IF(EXACT($B170, ""), "", VLOOKUP($B170, [4]DataLookUp!$C$4:$G$999, 3, FALSE )), "")</f>
        <v/>
      </c>
      <c r="D170" s="38" t="str">
        <f>IF(EXACT($B170, ""), "", IF((FLOOR($B170/1000000000000, 1) = 124), VLOOKUP($B170, '[1]DataLookUp - InstitutionBranch'!$B$4:$C$97, 2, FALSE), IF((FLOOR($B170/1000000000000, 1) = 25), VLOOKUP($B170, [2]DataLookUp!$B$4:$D$632, 2, FALSE), "xx")))</f>
        <v>Suparji</v>
      </c>
      <c r="E170" s="39"/>
      <c r="F170" s="51" t="str">
        <f ca="1">IF(EXACT(E170, ""), "", VLOOKUP($E170, OFFSET([3]MAIN!$B$2, 0, 0, 100, 6), 5, FALSE))</f>
        <v/>
      </c>
      <c r="G170" s="40"/>
      <c r="H170" s="39"/>
      <c r="I170" s="40"/>
      <c r="J170" s="66"/>
      <c r="K170" s="39"/>
      <c r="M170" s="32">
        <f t="shared" ca="1" si="6"/>
        <v>167000000000148</v>
      </c>
      <c r="N170" s="6" t="str">
        <f t="shared" si="8"/>
        <v/>
      </c>
    </row>
    <row r="171" spans="2:14" x14ac:dyDescent="0.2">
      <c r="B171" s="74">
        <v>25000000000578</v>
      </c>
      <c r="C171" s="37" t="str">
        <f>_xlfn.IFNA(IF(EXACT($B171, ""), "", VLOOKUP($B171, [4]DataLookUp!$C$4:$G$999, 3, FALSE )), "")</f>
        <v/>
      </c>
      <c r="D171" s="38" t="str">
        <f>IF(EXACT($B171, ""), "", IF((FLOOR($B171/1000000000000, 1) = 124), VLOOKUP($B171, '[1]DataLookUp - InstitutionBranch'!$B$4:$C$97, 2, FALSE), IF((FLOOR($B171/1000000000000, 1) = 25), VLOOKUP($B171, [2]DataLookUp!$B$4:$D$632, 2, FALSE), "xx")))</f>
        <v>Taufik Iskandar</v>
      </c>
      <c r="E171" s="39"/>
      <c r="F171" s="51" t="str">
        <f ca="1">IF(EXACT(E171, ""), "", VLOOKUP($E171, OFFSET([3]MAIN!$B$2, 0, 0, 100, 6), 5, FALSE))</f>
        <v/>
      </c>
      <c r="G171" s="40"/>
      <c r="H171" s="39"/>
      <c r="I171" s="40"/>
      <c r="J171" s="66"/>
      <c r="K171" s="39"/>
      <c r="M171" s="32">
        <f t="shared" ca="1" si="6"/>
        <v>167000000000148</v>
      </c>
      <c r="N171" s="6" t="str">
        <f t="shared" si="8"/>
        <v/>
      </c>
    </row>
    <row r="172" spans="2:14" x14ac:dyDescent="0.2">
      <c r="B172" s="74">
        <v>25000000000579</v>
      </c>
      <c r="C172" s="37" t="str">
        <f>_xlfn.IFNA(IF(EXACT($B172, ""), "", VLOOKUP($B172, [4]DataLookUp!$C$4:$G$999, 3, FALSE )), "")</f>
        <v>280324989</v>
      </c>
      <c r="D172" s="38" t="str">
        <f>IF(EXACT($B172, ""), "", IF((FLOOR($B172/1000000000000, 1) = 124), VLOOKUP($B172, '[1]DataLookUp - InstitutionBranch'!$B$4:$C$97, 2, FALSE), IF((FLOOR($B172/1000000000000, 1) = 25), VLOOKUP($B172, [2]DataLookUp!$B$4:$D$632, 2, FALSE), "xx")))</f>
        <v>Tegar Hersaputra</v>
      </c>
      <c r="E172" s="39" t="s">
        <v>197</v>
      </c>
      <c r="F172" s="51">
        <f ca="1">IF(EXACT(E172, ""), "", VLOOKUP($E172, OFFSET([3]MAIN!$B$2, 0, 0, 100, 6), 5, FALSE))</f>
        <v>166000000000005</v>
      </c>
      <c r="G172" s="40" t="s">
        <v>440</v>
      </c>
      <c r="H172" s="39" t="s">
        <v>441</v>
      </c>
      <c r="I172" s="40" t="s">
        <v>366</v>
      </c>
      <c r="J172" s="66"/>
      <c r="K172" s="39"/>
      <c r="M172" s="32">
        <f t="shared" ca="1" si="6"/>
        <v>167000000000149</v>
      </c>
      <c r="N172" s="6" t="str">
        <f t="shared" ca="1" si="8"/>
        <v>PERFORM "SchData-OLTP-Master"."Func_TblBankAccount_SET"(varSystemLoginSession, null, null, null, null, null, varInstitutionBranchID, varBaseCurrencyID, 166000000000005, '8801497411', 'Tegar Hersaputra', 62000000000001, 25000000000579);</v>
      </c>
    </row>
    <row r="173" spans="2:14" x14ac:dyDescent="0.2">
      <c r="B173" s="74">
        <v>25000000000580</v>
      </c>
      <c r="C173" s="37" t="str">
        <f>_xlfn.IFNA(IF(EXACT($B173, ""), "", VLOOKUP($B173, [4]DataLookUp!$C$4:$G$999, 3, FALSE )), "")</f>
        <v/>
      </c>
      <c r="D173" s="38" t="str">
        <f>IF(EXACT($B173, ""), "", IF((FLOOR($B173/1000000000000, 1) = 124), VLOOKUP($B173, '[1]DataLookUp - InstitutionBranch'!$B$4:$C$97, 2, FALSE), IF((FLOOR($B173/1000000000000, 1) = 25), VLOOKUP($B173, [2]DataLookUp!$B$4:$D$632, 2, FALSE), "xx")))</f>
        <v>Togar Sihombing</v>
      </c>
      <c r="E173" s="39"/>
      <c r="F173" s="51" t="str">
        <f ca="1">IF(EXACT(E173, ""), "", VLOOKUP($E173, OFFSET([3]MAIN!$B$2, 0, 0, 100, 6), 5, FALSE))</f>
        <v/>
      </c>
      <c r="G173" s="40"/>
      <c r="H173" s="39"/>
      <c r="I173" s="40"/>
      <c r="J173" s="66"/>
      <c r="K173" s="39"/>
      <c r="M173" s="32">
        <f t="shared" ca="1" si="6"/>
        <v>167000000000149</v>
      </c>
      <c r="N173" s="6" t="str">
        <f t="shared" si="8"/>
        <v/>
      </c>
    </row>
    <row r="174" spans="2:14" x14ac:dyDescent="0.2">
      <c r="B174" s="74">
        <v>25000000000581</v>
      </c>
      <c r="C174" s="37" t="str">
        <f>_xlfn.IFNA(IF(EXACT($B174, ""), "", VLOOKUP($B174, [4]DataLookUp!$C$4:$G$999, 3, FALSE )), "")</f>
        <v>150724991</v>
      </c>
      <c r="D174" s="38" t="str">
        <f>IF(EXACT($B174, ""), "", IF((FLOOR($B174/1000000000000, 1) = 124), VLOOKUP($B174, '[1]DataLookUp - InstitutionBranch'!$B$4:$C$97, 2, FALSE), IF((FLOOR($B174/1000000000000, 1) = 25), VLOOKUP($B174, [2]DataLookUp!$B$4:$D$632, 2, FALSE), "xx")))</f>
        <v>Wisnu Trenggono Wirayuda</v>
      </c>
      <c r="E174" s="39" t="s">
        <v>197</v>
      </c>
      <c r="F174" s="51">
        <f ca="1">IF(EXACT(E174, ""), "", VLOOKUP($E174, OFFSET([3]MAIN!$B$2, 0, 0, 100, 6), 5, FALSE))</f>
        <v>166000000000005</v>
      </c>
      <c r="G174" s="40" t="s">
        <v>442</v>
      </c>
      <c r="H174" s="39" t="s">
        <v>443</v>
      </c>
      <c r="I174" s="40" t="s">
        <v>366</v>
      </c>
      <c r="J174" s="66"/>
      <c r="K174" s="39"/>
      <c r="M174" s="32">
        <f t="shared" ca="1" si="6"/>
        <v>167000000000150</v>
      </c>
      <c r="N174" s="6" t="str">
        <f t="shared" ca="1" si="8"/>
        <v>PERFORM "SchData-OLTP-Master"."Func_TblBankAccount_SET"(varSystemLoginSession, null, null, null, null, null, varInstitutionBranchID, varBaseCurrencyID, 166000000000005, ' 2730511712', 'Wisnu Trenggono Wirayuda', 62000000000001, 25000000000581);</v>
      </c>
    </row>
    <row r="175" spans="2:14" x14ac:dyDescent="0.2">
      <c r="B175" s="74">
        <v>25000000000582</v>
      </c>
      <c r="C175" s="37" t="str">
        <f>_xlfn.IFNA(IF(EXACT($B175, ""), "", VLOOKUP($B175, [4]DataLookUp!$C$4:$G$999, 3, FALSE )), "")</f>
        <v/>
      </c>
      <c r="D175" s="38" t="str">
        <f>IF(EXACT($B175, ""), "", IF((FLOOR($B175/1000000000000, 1) = 124), VLOOKUP($B175, '[1]DataLookUp - InstitutionBranch'!$B$4:$C$97, 2, FALSE), IF((FLOOR($B175/1000000000000, 1) = 25), VLOOKUP($B175, [2]DataLookUp!$B$4:$D$632, 2, FALSE), "xx")))</f>
        <v>Yogo</v>
      </c>
      <c r="E175" s="39"/>
      <c r="F175" s="51" t="str">
        <f ca="1">IF(EXACT(E175, ""), "", VLOOKUP($E175, OFFSET([3]MAIN!$B$2, 0, 0, 100, 6), 5, FALSE))</f>
        <v/>
      </c>
      <c r="G175" s="40"/>
      <c r="H175" s="39"/>
      <c r="I175" s="40"/>
      <c r="J175" s="66"/>
      <c r="K175" s="39"/>
      <c r="M175" s="32">
        <f t="shared" ca="1" si="6"/>
        <v>167000000000150</v>
      </c>
      <c r="N175" s="6" t="str">
        <f t="shared" si="8"/>
        <v/>
      </c>
    </row>
    <row r="176" spans="2:14" x14ac:dyDescent="0.2">
      <c r="B176" s="74">
        <v>25000000000583</v>
      </c>
      <c r="C176" s="37" t="str">
        <f>_xlfn.IFNA(IF(EXACT($B176, ""), "", VLOOKUP($B176, [4]DataLookUp!$C$4:$G$999, 3, FALSE )), "")</f>
        <v/>
      </c>
      <c r="D176" s="38" t="str">
        <f>IF(EXACT($B176, ""), "", IF((FLOOR($B176/1000000000000, 1) = 124), VLOOKUP($B176, '[1]DataLookUp - InstitutionBranch'!$B$4:$C$97, 2, FALSE), IF((FLOOR($B176/1000000000000, 1) = 25), VLOOKUP($B176, [2]DataLookUp!$B$4:$D$632, 2, FALSE), "xx")))</f>
        <v>Yustiana Firda</v>
      </c>
      <c r="E176" s="39"/>
      <c r="F176" s="51" t="str">
        <f ca="1">IF(EXACT(E176, ""), "", VLOOKUP($E176, OFFSET([3]MAIN!$B$2, 0, 0, 100, 6), 5, FALSE))</f>
        <v/>
      </c>
      <c r="G176" s="40"/>
      <c r="H176" s="39"/>
      <c r="I176" s="40"/>
      <c r="J176" s="66"/>
      <c r="K176" s="39"/>
      <c r="M176" s="32">
        <f t="shared" ca="1" si="6"/>
        <v>167000000000150</v>
      </c>
      <c r="N176" s="6" t="str">
        <f t="shared" si="8"/>
        <v/>
      </c>
    </row>
    <row r="177" spans="2:14" x14ac:dyDescent="0.2">
      <c r="B177" s="74">
        <v>25000000000584</v>
      </c>
      <c r="C177" s="37" t="str">
        <f>_xlfn.IFNA(IF(EXACT($B177, ""), "", VLOOKUP($B177, [4]DataLookUp!$C$4:$G$999, 3, FALSE )), "")</f>
        <v/>
      </c>
      <c r="D177" s="38" t="str">
        <f>IF(EXACT($B177, ""), "", IF((FLOOR($B177/1000000000000, 1) = 124), VLOOKUP($B177, '[1]DataLookUp - InstitutionBranch'!$B$4:$C$97, 2, FALSE), IF((FLOOR($B177/1000000000000, 1) = 25), VLOOKUP($B177, [2]DataLookUp!$B$4:$D$632, 2, FALSE), "xx")))</f>
        <v>Zainal Abidin</v>
      </c>
      <c r="E177" s="39"/>
      <c r="F177" s="51" t="str">
        <f ca="1">IF(EXACT(E177, ""), "", VLOOKUP($E177, OFFSET([3]MAIN!$B$2, 0, 0, 100, 6), 5, FALSE))</f>
        <v/>
      </c>
      <c r="G177" s="40"/>
      <c r="H177" s="39"/>
      <c r="I177" s="40"/>
      <c r="J177" s="66"/>
      <c r="K177" s="39"/>
      <c r="M177" s="32">
        <f t="shared" ca="1" si="6"/>
        <v>167000000000150</v>
      </c>
      <c r="N177" s="6" t="str">
        <f t="shared" si="8"/>
        <v/>
      </c>
    </row>
    <row r="178" spans="2:14" x14ac:dyDescent="0.2">
      <c r="B178" s="74">
        <v>25000000000585</v>
      </c>
      <c r="C178" s="37" t="str">
        <f>_xlfn.IFNA(IF(EXACT($B178, ""), "", VLOOKUP($B178, [4]DataLookUp!$C$4:$G$999, 3, FALSE )), "")</f>
        <v/>
      </c>
      <c r="D178" s="38" t="str">
        <f>IF(EXACT($B178, ""), "", IF((FLOOR($B178/1000000000000, 1) = 124), VLOOKUP($B178, '[1]DataLookUp - InstitutionBranch'!$B$4:$C$97, 2, FALSE), IF((FLOOR($B178/1000000000000, 1) = 25), VLOOKUP($B178, [2]DataLookUp!$B$4:$D$632, 2, FALSE), "xx")))</f>
        <v>Budi Sandika</v>
      </c>
      <c r="E178" s="39"/>
      <c r="F178" s="51" t="str">
        <f ca="1">IF(EXACT(E178, ""), "", VLOOKUP($E178, OFFSET([3]MAIN!$B$2, 0, 0, 100, 6), 5, FALSE))</f>
        <v/>
      </c>
      <c r="G178" s="40"/>
      <c r="H178" s="39"/>
      <c r="I178" s="40"/>
      <c r="J178" s="66"/>
      <c r="K178" s="39"/>
      <c r="M178" s="32">
        <f t="shared" ca="1" si="6"/>
        <v>167000000000150</v>
      </c>
      <c r="N178" s="6" t="str">
        <f t="shared" si="8"/>
        <v/>
      </c>
    </row>
    <row r="179" spans="2:14" x14ac:dyDescent="0.2">
      <c r="B179" s="74">
        <v>25000000000586</v>
      </c>
      <c r="C179" s="37" t="str">
        <f>_xlfn.IFNA(IF(EXACT($B179, ""), "", VLOOKUP($B179, [4]DataLookUp!$C$4:$G$999, 3, FALSE )), "")</f>
        <v/>
      </c>
      <c r="D179" s="38" t="str">
        <f>IF(EXACT($B179, ""), "", IF((FLOOR($B179/1000000000000, 1) = 124), VLOOKUP($B179, '[1]DataLookUp - InstitutionBranch'!$B$4:$C$97, 2, FALSE), IF((FLOOR($B179/1000000000000, 1) = 25), VLOOKUP($B179, [2]DataLookUp!$B$4:$D$632, 2, FALSE), "xx")))</f>
        <v>Fachri Azhar</v>
      </c>
      <c r="E179" s="39"/>
      <c r="F179" s="51" t="str">
        <f ca="1">IF(EXACT(E179, ""), "", VLOOKUP($E179, OFFSET([3]MAIN!$B$2, 0, 0, 100, 6), 5, FALSE))</f>
        <v/>
      </c>
      <c r="G179" s="40"/>
      <c r="H179" s="39"/>
      <c r="I179" s="40"/>
      <c r="J179" s="66"/>
      <c r="K179" s="39"/>
      <c r="M179" s="32">
        <f t="shared" ca="1" si="6"/>
        <v>167000000000150</v>
      </c>
      <c r="N179" s="6" t="str">
        <f t="shared" si="8"/>
        <v/>
      </c>
    </row>
    <row r="180" spans="2:14" x14ac:dyDescent="0.2">
      <c r="B180" s="74">
        <v>25000000000587</v>
      </c>
      <c r="C180" s="37" t="str">
        <f>_xlfn.IFNA(IF(EXACT($B180, ""), "", VLOOKUP($B180, [4]DataLookUp!$C$4:$G$999, 3, FALSE )), "")</f>
        <v/>
      </c>
      <c r="D180" s="38" t="str">
        <f>IF(EXACT($B180, ""), "", IF((FLOOR($B180/1000000000000, 1) = 124), VLOOKUP($B180, '[1]DataLookUp - InstitutionBranch'!$B$4:$C$97, 2, FALSE), IF((FLOOR($B180/1000000000000, 1) = 25), VLOOKUP($B180, [2]DataLookUp!$B$4:$D$632, 2, FALSE), "xx")))</f>
        <v>Firmansyah Awaludin</v>
      </c>
      <c r="E180" s="39"/>
      <c r="F180" s="51" t="str">
        <f ca="1">IF(EXACT(E180, ""), "", VLOOKUP($E180, OFFSET([3]MAIN!$B$2, 0, 0, 100, 6), 5, FALSE))</f>
        <v/>
      </c>
      <c r="G180" s="40"/>
      <c r="H180" s="39"/>
      <c r="I180" s="40"/>
      <c r="J180" s="66"/>
      <c r="K180" s="39"/>
      <c r="M180" s="32">
        <f t="shared" ca="1" si="6"/>
        <v>167000000000150</v>
      </c>
      <c r="N180" s="6" t="str">
        <f t="shared" si="8"/>
        <v/>
      </c>
    </row>
    <row r="181" spans="2:14" x14ac:dyDescent="0.2">
      <c r="B181" s="74">
        <v>25000000000588</v>
      </c>
      <c r="C181" s="37" t="str">
        <f>_xlfn.IFNA(IF(EXACT($B181, ""), "", VLOOKUP($B181, [4]DataLookUp!$C$4:$G$999, 3, FALSE )), "")</f>
        <v>030225999</v>
      </c>
      <c r="D181" s="38" t="str">
        <f>IF(EXACT($B181, ""), "", IF((FLOOR($B181/1000000000000, 1) = 124), VLOOKUP($B181, '[1]DataLookUp - InstitutionBranch'!$B$4:$C$97, 2, FALSE), IF((FLOOR($B181/1000000000000, 1) = 25), VLOOKUP($B181, [2]DataLookUp!$B$4:$D$632, 2, FALSE), "xx")))</f>
        <v>Iman Faisal Abdurahman</v>
      </c>
      <c r="E181" s="39" t="s">
        <v>199</v>
      </c>
      <c r="F181" s="51">
        <f ca="1">IF(EXACT(E181, ""), "", VLOOKUP($E181, OFFSET([3]MAIN!$B$2, 0, 0, 100, 6), 5, FALSE))</f>
        <v>166000000000002</v>
      </c>
      <c r="G181" s="40" t="s">
        <v>402</v>
      </c>
      <c r="H181" s="39" t="s">
        <v>403</v>
      </c>
      <c r="I181" s="40" t="s">
        <v>366</v>
      </c>
      <c r="J181" s="66"/>
      <c r="K181" s="39"/>
      <c r="M181" s="32">
        <f t="shared" ca="1" si="6"/>
        <v>167000000000151</v>
      </c>
      <c r="N181" s="6" t="str">
        <f t="shared" ca="1" si="8"/>
        <v>PERFORM "SchData-OLTP-Master"."Func_TblBankAccount_SET"(varSystemLoginSession, null, null, null, null, null, varInstitutionBranchID, varBaseCurrencyID, 166000000000002, '038401073431507', 'Iman Faisal Abdurahman', 62000000000001, 25000000000588);</v>
      </c>
    </row>
    <row r="182" spans="2:14" x14ac:dyDescent="0.2">
      <c r="B182" s="74">
        <v>25000000000589</v>
      </c>
      <c r="C182" s="37" t="str">
        <f>_xlfn.IFNA(IF(EXACT($B182, ""), "", VLOOKUP($B182, [4]DataLookUp!$C$4:$G$999, 3, FALSE )), "")</f>
        <v/>
      </c>
      <c r="D182" s="38" t="str">
        <f>IF(EXACT($B182, ""), "", IF((FLOOR($B182/1000000000000, 1) = 124), VLOOKUP($B182, '[1]DataLookUp - InstitutionBranch'!$B$4:$C$97, 2, FALSE), IF((FLOOR($B182/1000000000000, 1) = 25), VLOOKUP($B182, [2]DataLookUp!$B$4:$D$632, 2, FALSE), "xx")))</f>
        <v>Muhammad Irfan Alfikri Rayana</v>
      </c>
      <c r="E182" s="39"/>
      <c r="F182" s="51" t="str">
        <f ca="1">IF(EXACT(E182, ""), "", VLOOKUP($E182, OFFSET([3]MAIN!$B$2, 0, 0, 100, 6), 5, FALSE))</f>
        <v/>
      </c>
      <c r="G182" s="40"/>
      <c r="H182" s="39"/>
      <c r="I182" s="40"/>
      <c r="J182" s="66"/>
      <c r="K182" s="39"/>
      <c r="M182" s="32">
        <f t="shared" ca="1" si="6"/>
        <v>167000000000151</v>
      </c>
      <c r="N182" s="6" t="str">
        <f t="shared" si="8"/>
        <v/>
      </c>
    </row>
    <row r="183" spans="2:14" x14ac:dyDescent="0.2">
      <c r="B183" s="74">
        <v>25000000000590</v>
      </c>
      <c r="C183" s="37" t="str">
        <f>_xlfn.IFNA(IF(EXACT($B183, ""), "", VLOOKUP($B183, [4]DataLookUp!$C$4:$G$999, 3, FALSE )), "")</f>
        <v/>
      </c>
      <c r="D183" s="38" t="str">
        <f>IF(EXACT($B183, ""), "", IF((FLOOR($B183/1000000000000, 1) = 124), VLOOKUP($B183, '[1]DataLookUp - InstitutionBranch'!$B$4:$C$97, 2, FALSE), IF((FLOOR($B183/1000000000000, 1) = 25), VLOOKUP($B183, [2]DataLookUp!$B$4:$D$632, 2, FALSE), "xx")))</f>
        <v>Syafri Johansah</v>
      </c>
      <c r="E183" s="39"/>
      <c r="F183" s="51" t="str">
        <f ca="1">IF(EXACT(E183, ""), "", VLOOKUP($E183, OFFSET([3]MAIN!$B$2, 0, 0, 100, 6), 5, FALSE))</f>
        <v/>
      </c>
      <c r="G183" s="40"/>
      <c r="H183" s="39"/>
      <c r="I183" s="40"/>
      <c r="J183" s="66"/>
      <c r="K183" s="39"/>
      <c r="M183" s="32">
        <f t="shared" ca="1" si="6"/>
        <v>167000000000151</v>
      </c>
      <c r="N183" s="6" t="str">
        <f t="shared" si="8"/>
        <v/>
      </c>
    </row>
    <row r="184" spans="2:14" x14ac:dyDescent="0.2">
      <c r="B184" s="74">
        <v>25000000000591</v>
      </c>
      <c r="C184" s="37" t="str">
        <f>_xlfn.IFNA(IF(EXACT($B184, ""), "", VLOOKUP($B184, [4]DataLookUp!$C$4:$G$999, 3, FALSE )), "")</f>
        <v/>
      </c>
      <c r="D184" s="38" t="str">
        <f>IF(EXACT($B184, ""), "", IF((FLOOR($B184/1000000000000, 1) = 124), VLOOKUP($B184, '[1]DataLookUp - InstitutionBranch'!$B$4:$C$97, 2, FALSE), IF((FLOOR($B184/1000000000000, 1) = 25), VLOOKUP($B184, [2]DataLookUp!$B$4:$D$632, 2, FALSE), "xx")))</f>
        <v>Agus Sobar</v>
      </c>
      <c r="E184" s="39"/>
      <c r="F184" s="51" t="str">
        <f ca="1">IF(EXACT(E184, ""), "", VLOOKUP($E184, OFFSET([3]MAIN!$B$2, 0, 0, 100, 6), 5, FALSE))</f>
        <v/>
      </c>
      <c r="G184" s="40"/>
      <c r="H184" s="39"/>
      <c r="I184" s="40"/>
      <c r="J184" s="66"/>
      <c r="K184" s="39"/>
      <c r="M184" s="32">
        <f t="shared" ca="1" si="6"/>
        <v>167000000000151</v>
      </c>
      <c r="N184" s="6" t="str">
        <f t="shared" si="8"/>
        <v/>
      </c>
    </row>
    <row r="185" spans="2:14" x14ac:dyDescent="0.2">
      <c r="B185" s="74">
        <v>25000000000592</v>
      </c>
      <c r="C185" s="37" t="str">
        <f>_xlfn.IFNA(IF(EXACT($B185, ""), "", VLOOKUP($B185, [4]DataLookUp!$C$4:$G$999, 3, FALSE )), "")</f>
        <v>181124994</v>
      </c>
      <c r="D185" s="38" t="str">
        <f>IF(EXACT($B185, ""), "", IF((FLOOR($B185/1000000000000, 1) = 124), VLOOKUP($B185, '[1]DataLookUp - InstitutionBranch'!$B$4:$C$97, 2, FALSE), IF((FLOOR($B185/1000000000000, 1) = 25), VLOOKUP($B185, [2]DataLookUp!$B$4:$D$632, 2, FALSE), "xx")))</f>
        <v>Ahmad Sandi Asyuri</v>
      </c>
      <c r="E185" s="39" t="s">
        <v>197</v>
      </c>
      <c r="F185" s="51">
        <f ca="1">IF(EXACT(E185, ""), "", VLOOKUP($E185, OFFSET([3]MAIN!$B$2, 0, 0, 100, 6), 5, FALSE))</f>
        <v>166000000000005</v>
      </c>
      <c r="G185" s="40" t="s">
        <v>436</v>
      </c>
      <c r="H185" s="39" t="s">
        <v>437</v>
      </c>
      <c r="I185" s="40" t="s">
        <v>366</v>
      </c>
      <c r="J185" s="66"/>
      <c r="K185" s="39"/>
      <c r="M185" s="32">
        <f t="shared" ca="1" si="6"/>
        <v>167000000000152</v>
      </c>
      <c r="N185" s="6" t="str">
        <f t="shared" ca="1" si="8"/>
        <v>PERFORM "SchData-OLTP-Master"."Func_TblBankAccount_SET"(varSystemLoginSession, null, null, null, null, null, varInstitutionBranchID, varBaseCurrencyID, 166000000000005, '0354409671', 'Ahmad Sandi Asyuri', 62000000000001, 25000000000592);</v>
      </c>
    </row>
    <row r="186" spans="2:14" x14ac:dyDescent="0.2">
      <c r="B186" s="74">
        <v>25000000000593</v>
      </c>
      <c r="C186" s="37" t="str">
        <f>_xlfn.IFNA(IF(EXACT($B186, ""), "", VLOOKUP($B186, [4]DataLookUp!$C$4:$G$999, 3, FALSE )), "")</f>
        <v>0403251002</v>
      </c>
      <c r="D186" s="38" t="str">
        <f>IF(EXACT($B186, ""), "", IF((FLOOR($B186/1000000000000, 1) = 124), VLOOKUP($B186, '[1]DataLookUp - InstitutionBranch'!$B$4:$C$97, 2, FALSE), IF((FLOOR($B186/1000000000000, 1) = 25), VLOOKUP($B186, [2]DataLookUp!$B$4:$D$632, 2, FALSE), "xx")))</f>
        <v>Andi Mapasoro</v>
      </c>
      <c r="E186" s="39" t="s">
        <v>197</v>
      </c>
      <c r="F186" s="51">
        <f ca="1">IF(EXACT(E186, ""), "", VLOOKUP($E186, OFFSET([3]MAIN!$B$2, 0, 0, 100, 6), 5, FALSE))</f>
        <v>166000000000005</v>
      </c>
      <c r="G186" s="40" t="s">
        <v>434</v>
      </c>
      <c r="H186" s="39" t="s">
        <v>435</v>
      </c>
      <c r="I186" s="40" t="s">
        <v>366</v>
      </c>
      <c r="J186" s="66"/>
      <c r="K186" s="39"/>
      <c r="M186" s="32">
        <f t="shared" ca="1" si="6"/>
        <v>167000000000153</v>
      </c>
      <c r="N186" s="6" t="str">
        <f t="shared" ca="1" si="8"/>
        <v>PERFORM "SchData-OLTP-Master"."Func_TblBankAccount_SET"(varSystemLoginSession, null, null, null, null, null, varInstitutionBranchID, varBaseCurrencyID, 166000000000005, '7025035526', 'Andi Mapasoro', 62000000000001, 25000000000593);</v>
      </c>
    </row>
    <row r="187" spans="2:14" x14ac:dyDescent="0.2">
      <c r="B187" s="74">
        <v>25000000000594</v>
      </c>
      <c r="C187" s="37" t="str">
        <f>_xlfn.IFNA(IF(EXACT($B187, ""), "", VLOOKUP($B187, [4]DataLookUp!$C$4:$G$999, 3, FALSE )), "")</f>
        <v/>
      </c>
      <c r="D187" s="38" t="str">
        <f>IF(EXACT($B187, ""), "", IF((FLOOR($B187/1000000000000, 1) = 124), VLOOKUP($B187, '[1]DataLookUp - InstitutionBranch'!$B$4:$C$97, 2, FALSE), IF((FLOOR($B187/1000000000000, 1) = 25), VLOOKUP($B187, [2]DataLookUp!$B$4:$D$632, 2, FALSE), "xx")))</f>
        <v>Arie Gustaman</v>
      </c>
      <c r="E187" s="39"/>
      <c r="F187" s="51" t="str">
        <f ca="1">IF(EXACT(E187, ""), "", VLOOKUP($E187, OFFSET([3]MAIN!$B$2, 0, 0, 100, 6), 5, FALSE))</f>
        <v/>
      </c>
      <c r="G187" s="40"/>
      <c r="H187" s="39"/>
      <c r="I187" s="40"/>
      <c r="J187" s="66"/>
      <c r="K187" s="39"/>
      <c r="M187" s="32">
        <f t="shared" ca="1" si="6"/>
        <v>167000000000153</v>
      </c>
      <c r="N187" s="6" t="str">
        <f t="shared" si="8"/>
        <v/>
      </c>
    </row>
    <row r="188" spans="2:14" x14ac:dyDescent="0.2">
      <c r="B188" s="74">
        <v>25000000000595</v>
      </c>
      <c r="C188" s="37" t="str">
        <f>_xlfn.IFNA(IF(EXACT($B188, ""), "", VLOOKUP($B188, [4]DataLookUp!$C$4:$G$999, 3, FALSE )), "")</f>
        <v>120124984</v>
      </c>
      <c r="D188" s="38" t="str">
        <f>IF(EXACT($B188, ""), "", IF((FLOOR($B188/1000000000000, 1) = 124), VLOOKUP($B188, '[1]DataLookUp - InstitutionBranch'!$B$4:$C$97, 2, FALSE), IF((FLOOR($B188/1000000000000, 1) = 25), VLOOKUP($B188, [2]DataLookUp!$B$4:$D$632, 2, FALSE), "xx")))</f>
        <v>Arief Yulianto</v>
      </c>
      <c r="E188" s="39" t="s">
        <v>199</v>
      </c>
      <c r="F188" s="51">
        <f ca="1">IF(EXACT(E188, ""), "", VLOOKUP($E188, OFFSET([3]MAIN!$B$2, 0, 0, 100, 6), 5, FALSE))</f>
        <v>166000000000002</v>
      </c>
      <c r="G188" s="40" t="s">
        <v>415</v>
      </c>
      <c r="H188" s="39" t="s">
        <v>416</v>
      </c>
      <c r="I188" s="40" t="s">
        <v>366</v>
      </c>
      <c r="J188" s="66"/>
      <c r="K188" s="39"/>
      <c r="M188" s="32">
        <f t="shared" ca="1" si="6"/>
        <v>167000000000154</v>
      </c>
      <c r="N188" s="6" t="str">
        <f t="shared" ca="1" si="8"/>
        <v>PERFORM "SchData-OLTP-Master"."Func_TblBankAccount_SET"(varSystemLoginSession, null, null, null, null, null, varInstitutionBranchID, varBaseCurrencyID, 166000000000002, '669501015343535', 'Arief Yulianto', 62000000000001, 25000000000595);</v>
      </c>
    </row>
    <row r="189" spans="2:14" x14ac:dyDescent="0.2">
      <c r="B189" s="74">
        <v>25000000000596</v>
      </c>
      <c r="C189" s="37" t="str">
        <f>_xlfn.IFNA(IF(EXACT($B189, ""), "", VLOOKUP($B189, [4]DataLookUp!$C$4:$G$999, 3, FALSE )), "")</f>
        <v>010413650</v>
      </c>
      <c r="D189" s="38" t="str">
        <f>IF(EXACT($B189, ""), "", IF((FLOOR($B189/1000000000000, 1) = 124), VLOOKUP($B189, '[1]DataLookUp - InstitutionBranch'!$B$4:$C$97, 2, FALSE), IF((FLOOR($B189/1000000000000, 1) = 25), VLOOKUP($B189, [2]DataLookUp!$B$4:$D$632, 2, FALSE), "xx")))</f>
        <v>Burhan</v>
      </c>
      <c r="E189" s="39" t="s">
        <v>199</v>
      </c>
      <c r="F189" s="51">
        <f ca="1">IF(EXACT(E189, ""), "", VLOOKUP($E189, OFFSET([3]MAIN!$B$2, 0, 0, 100, 6), 5, FALSE))</f>
        <v>166000000000002</v>
      </c>
      <c r="G189" s="40" t="s">
        <v>413</v>
      </c>
      <c r="H189" s="39" t="s">
        <v>414</v>
      </c>
      <c r="I189" s="40" t="s">
        <v>366</v>
      </c>
      <c r="J189" s="66"/>
      <c r="K189" s="39"/>
      <c r="M189" s="32">
        <f t="shared" ca="1" si="6"/>
        <v>167000000000155</v>
      </c>
      <c r="N189" s="6" t="str">
        <f t="shared" ca="1" si="8"/>
        <v>PERFORM "SchData-OLTP-Master"."Func_TblBankAccount_SET"(varSystemLoginSession, null, null, null, null, null, varInstitutionBranchID, varBaseCurrencyID, 166000000000002, '034101074857508', 'Burhan', 62000000000001, 25000000000596);</v>
      </c>
    </row>
    <row r="190" spans="2:14" x14ac:dyDescent="0.2">
      <c r="B190" s="74">
        <v>25000000000597</v>
      </c>
      <c r="C190" s="37" t="str">
        <f>_xlfn.IFNA(IF(EXACT($B190, ""), "", VLOOKUP($B190, [4]DataLookUp!$C$4:$G$999, 3, FALSE )), "")</f>
        <v/>
      </c>
      <c r="D190" s="38" t="str">
        <f>IF(EXACT($B190, ""), "", IF((FLOOR($B190/1000000000000, 1) = 124), VLOOKUP($B190, '[1]DataLookUp - InstitutionBranch'!$B$4:$C$97, 2, FALSE), IF((FLOOR($B190/1000000000000, 1) = 25), VLOOKUP($B190, [2]DataLookUp!$B$4:$D$632, 2, FALSE), "xx")))</f>
        <v>Deby Syahputa</v>
      </c>
      <c r="E190" s="39"/>
      <c r="F190" s="51" t="str">
        <f ca="1">IF(EXACT(E190, ""), "", VLOOKUP($E190, OFFSET([3]MAIN!$B$2, 0, 0, 100, 6), 5, FALSE))</f>
        <v/>
      </c>
      <c r="G190" s="40"/>
      <c r="H190" s="39"/>
      <c r="I190" s="40"/>
      <c r="J190" s="66"/>
      <c r="K190" s="39"/>
      <c r="M190" s="32">
        <f t="shared" ref="M190:M209" ca="1" si="9" xml:space="preserve"> M189 + IF(EXACT(N190, ""), 0, 1)</f>
        <v>167000000000155</v>
      </c>
      <c r="N190" s="6" t="str">
        <f t="shared" si="8"/>
        <v/>
      </c>
    </row>
    <row r="191" spans="2:14" x14ac:dyDescent="0.2">
      <c r="B191" s="74">
        <v>25000000000598</v>
      </c>
      <c r="C191" s="37" t="str">
        <f>_xlfn.IFNA(IF(EXACT($B191, ""), "", VLOOKUP($B191, [4]DataLookUp!$C$4:$G$999, 3, FALSE )), "")</f>
        <v/>
      </c>
      <c r="D191" s="38" t="str">
        <f>IF(EXACT($B191, ""), "", IF((FLOOR($B191/1000000000000, 1) = 124), VLOOKUP($B191, '[1]DataLookUp - InstitutionBranch'!$B$4:$C$97, 2, FALSE), IF((FLOOR($B191/1000000000000, 1) = 25), VLOOKUP($B191, [2]DataLookUp!$B$4:$D$632, 2, FALSE), "xx")))</f>
        <v>Ibrahim Arya Yuda</v>
      </c>
      <c r="E191" s="39"/>
      <c r="F191" s="51" t="str">
        <f ca="1">IF(EXACT(E191, ""), "", VLOOKUP($E191, OFFSET([3]MAIN!$B$2, 0, 0, 100, 6), 5, FALSE))</f>
        <v/>
      </c>
      <c r="G191" s="40"/>
      <c r="H191" s="39"/>
      <c r="I191" s="40"/>
      <c r="J191" s="66"/>
      <c r="K191" s="39"/>
      <c r="M191" s="32">
        <f t="shared" ca="1" si="9"/>
        <v>167000000000155</v>
      </c>
      <c r="N191" s="6" t="str">
        <f t="shared" si="8"/>
        <v/>
      </c>
    </row>
    <row r="192" spans="2:14" x14ac:dyDescent="0.2">
      <c r="B192" s="74">
        <v>25000000000599</v>
      </c>
      <c r="C192" s="37" t="str">
        <f>_xlfn.IFNA(IF(EXACT($B192, ""), "", VLOOKUP($B192, [4]DataLookUp!$C$4:$G$999, 3, FALSE )), "")</f>
        <v/>
      </c>
      <c r="D192" s="38" t="str">
        <f>IF(EXACT($B192, ""), "", IF((FLOOR($B192/1000000000000, 1) = 124), VLOOKUP($B192, '[1]DataLookUp - InstitutionBranch'!$B$4:$C$97, 2, FALSE), IF((FLOOR($B192/1000000000000, 1) = 25), VLOOKUP($B192, [2]DataLookUp!$B$4:$D$632, 2, FALSE), "xx")))</f>
        <v>Jamil</v>
      </c>
      <c r="E192" s="39"/>
      <c r="F192" s="51" t="str">
        <f ca="1">IF(EXACT(E192, ""), "", VLOOKUP($E192, OFFSET([3]MAIN!$B$2, 0, 0, 100, 6), 5, FALSE))</f>
        <v/>
      </c>
      <c r="G192" s="40"/>
      <c r="H192" s="39"/>
      <c r="I192" s="40"/>
      <c r="J192" s="66"/>
      <c r="K192" s="39"/>
      <c r="M192" s="32">
        <f t="shared" ca="1" si="9"/>
        <v>167000000000155</v>
      </c>
      <c r="N192" s="6" t="str">
        <f t="shared" si="8"/>
        <v/>
      </c>
    </row>
    <row r="193" spans="2:14" x14ac:dyDescent="0.2">
      <c r="B193" s="74">
        <v>25000000000600</v>
      </c>
      <c r="C193" s="37" t="str">
        <f>_xlfn.IFNA(IF(EXACT($B193, ""), "", VLOOKUP($B193, [4]DataLookUp!$C$4:$G$999, 3, FALSE )), "")</f>
        <v/>
      </c>
      <c r="D193" s="38" t="str">
        <f>IF(EXACT($B193, ""), "", IF((FLOOR($B193/1000000000000, 1) = 124), VLOOKUP($B193, '[1]DataLookUp - InstitutionBranch'!$B$4:$C$97, 2, FALSE), IF((FLOOR($B193/1000000000000, 1) = 25), VLOOKUP($B193, [2]DataLookUp!$B$4:$D$632, 2, FALSE), "xx")))</f>
        <v>Kiki Prasetyo</v>
      </c>
      <c r="E193" s="39"/>
      <c r="F193" s="51" t="str">
        <f ca="1">IF(EXACT(E193, ""), "", VLOOKUP($E193, OFFSET([3]MAIN!$B$2, 0, 0, 100, 6), 5, FALSE))</f>
        <v/>
      </c>
      <c r="G193" s="40"/>
      <c r="H193" s="39"/>
      <c r="I193" s="40"/>
      <c r="J193" s="66"/>
      <c r="K193" s="39"/>
      <c r="M193" s="32">
        <f t="shared" ca="1" si="9"/>
        <v>167000000000155</v>
      </c>
      <c r="N193" s="6" t="str">
        <f t="shared" si="8"/>
        <v/>
      </c>
    </row>
    <row r="194" spans="2:14" x14ac:dyDescent="0.2">
      <c r="B194" s="74">
        <v>25000000000601</v>
      </c>
      <c r="C194" s="37" t="str">
        <f>_xlfn.IFNA(IF(EXACT($B194, ""), "", VLOOKUP($B194, [4]DataLookUp!$C$4:$G$999, 3, FALSE )), "")</f>
        <v>1206251007</v>
      </c>
      <c r="D194" s="38" t="str">
        <f>IF(EXACT($B194, ""), "", IF((FLOOR($B194/1000000000000, 1) = 124), VLOOKUP($B194, '[1]DataLookUp - InstitutionBranch'!$B$4:$C$97, 2, FALSE), IF((FLOOR($B194/1000000000000, 1) = 25), VLOOKUP($B194, [2]DataLookUp!$B$4:$D$632, 2, FALSE), "xx")))</f>
        <v>Mochamad Ulul Azmi Wira Utama</v>
      </c>
      <c r="E194" s="39" t="s">
        <v>197</v>
      </c>
      <c r="F194" s="51">
        <f ca="1">IF(EXACT(E194, ""), "", VLOOKUP($E194, OFFSET([3]MAIN!$B$2, 0, 0, 100, 6), 5, FALSE))</f>
        <v>166000000000005</v>
      </c>
      <c r="G194" s="40" t="s">
        <v>457</v>
      </c>
      <c r="H194" s="39"/>
      <c r="I194" s="40" t="s">
        <v>366</v>
      </c>
      <c r="J194" s="66"/>
      <c r="K194" s="39"/>
      <c r="M194" s="32">
        <f t="shared" ca="1" si="9"/>
        <v>167000000000156</v>
      </c>
      <c r="N194" s="6" t="str">
        <f t="shared" ca="1" si="8"/>
        <v>PERFORM "SchData-OLTP-Master"."Func_TblBankAccount_SET"(varSystemLoginSession, null, null, null, null, null, varInstitutionBranchID, varBaseCurrencyID, 166000000000005, '7635680946', '', 62000000000001, 25000000000601);</v>
      </c>
    </row>
    <row r="195" spans="2:14" x14ac:dyDescent="0.2">
      <c r="B195" s="74">
        <v>25000000000602</v>
      </c>
      <c r="C195" s="37" t="str">
        <f>_xlfn.IFNA(IF(EXACT($B195, ""), "", VLOOKUP($B195, [4]DataLookUp!$C$4:$G$999, 3, FALSE )), "")</f>
        <v/>
      </c>
      <c r="D195" s="38" t="str">
        <f>IF(EXACT($B195, ""), "", IF((FLOOR($B195/1000000000000, 1) = 124), VLOOKUP($B195, '[1]DataLookUp - InstitutionBranch'!$B$4:$C$97, 2, FALSE), IF((FLOOR($B195/1000000000000, 1) = 25), VLOOKUP($B195, [2]DataLookUp!$B$4:$D$632, 2, FALSE), "xx")))</f>
        <v>Muhammad Bilal Sharony</v>
      </c>
      <c r="E195" s="39"/>
      <c r="F195" s="51" t="str">
        <f ca="1">IF(EXACT(E195, ""), "", VLOOKUP($E195, OFFSET([3]MAIN!$B$2, 0, 0, 100, 6), 5, FALSE))</f>
        <v/>
      </c>
      <c r="G195" s="40"/>
      <c r="H195" s="39"/>
      <c r="I195" s="40"/>
      <c r="J195" s="66"/>
      <c r="K195" s="39"/>
      <c r="M195" s="32">
        <f t="shared" ca="1" si="9"/>
        <v>167000000000156</v>
      </c>
      <c r="N195" s="6" t="str">
        <f t="shared" si="8"/>
        <v/>
      </c>
    </row>
    <row r="196" spans="2:14" x14ac:dyDescent="0.2">
      <c r="B196" s="74">
        <v>25000000000603</v>
      </c>
      <c r="C196" s="37" t="str">
        <f>_xlfn.IFNA(IF(EXACT($B196, ""), "", VLOOKUP($B196, [4]DataLookUp!$C$4:$G$999, 3, FALSE )), "")</f>
        <v/>
      </c>
      <c r="D196" s="38" t="str">
        <f>IF(EXACT($B196, ""), "", IF((FLOOR($B196/1000000000000, 1) = 124), VLOOKUP($B196, '[1]DataLookUp - InstitutionBranch'!$B$4:$C$97, 2, FALSE), IF((FLOOR($B196/1000000000000, 1) = 25), VLOOKUP($B196, [2]DataLookUp!$B$4:$D$632, 2, FALSE), "xx")))</f>
        <v>Muhammad Hairul</v>
      </c>
      <c r="E196" s="39"/>
      <c r="F196" s="51" t="str">
        <f ca="1">IF(EXACT(E196, ""), "", VLOOKUP($E196, OFFSET([3]MAIN!$B$2, 0, 0, 100, 6), 5, FALSE))</f>
        <v/>
      </c>
      <c r="G196" s="40"/>
      <c r="H196" s="39"/>
      <c r="I196" s="40"/>
      <c r="J196" s="66"/>
      <c r="K196" s="39"/>
      <c r="M196" s="32">
        <f t="shared" ca="1" si="9"/>
        <v>167000000000156</v>
      </c>
      <c r="N196" s="6" t="str">
        <f t="shared" si="8"/>
        <v/>
      </c>
    </row>
    <row r="197" spans="2:14" x14ac:dyDescent="0.2">
      <c r="B197" s="74">
        <v>25000000000604</v>
      </c>
      <c r="C197" s="37" t="str">
        <f>_xlfn.IFNA(IF(EXACT($B197, ""), "", VLOOKUP($B197, [4]DataLookUp!$C$4:$G$999, 3, FALSE )), "")</f>
        <v>230125998</v>
      </c>
      <c r="D197" s="38" t="str">
        <f>IF(EXACT($B197, ""), "", IF((FLOOR($B197/1000000000000, 1) = 124), VLOOKUP($B197, '[1]DataLookUp - InstitutionBranch'!$B$4:$C$97, 2, FALSE), IF((FLOOR($B197/1000000000000, 1) = 25), VLOOKUP($B197, [2]DataLookUp!$B$4:$D$632, 2, FALSE), "xx")))</f>
        <v>Muhammad Rizal</v>
      </c>
      <c r="E197" s="39" t="s">
        <v>197</v>
      </c>
      <c r="F197" s="51">
        <f ca="1">IF(EXACT(E197, ""), "", VLOOKUP($E197, OFFSET([3]MAIN!$B$2, 0, 0, 100, 6), 5, FALSE))</f>
        <v>166000000000005</v>
      </c>
      <c r="G197" s="40">
        <v>2290191010</v>
      </c>
      <c r="H197" s="39"/>
      <c r="I197" s="40" t="s">
        <v>366</v>
      </c>
      <c r="J197" s="66"/>
      <c r="K197" s="39"/>
      <c r="M197" s="32">
        <f t="shared" ca="1" si="9"/>
        <v>167000000000157</v>
      </c>
      <c r="N197" s="6" t="str">
        <f t="shared" ca="1" si="8"/>
        <v>PERFORM "SchData-OLTP-Master"."Func_TblBankAccount_SET"(varSystemLoginSession, null, null, null, null, null, varInstitutionBranchID, varBaseCurrencyID, 166000000000005, '2290191010', '', 62000000000001, 25000000000604);</v>
      </c>
    </row>
    <row r="198" spans="2:14" x14ac:dyDescent="0.2">
      <c r="B198" s="74">
        <v>25000000000605</v>
      </c>
      <c r="C198" s="37" t="str">
        <f>_xlfn.IFNA(IF(EXACT($B198, ""), "", VLOOKUP($B198, [4]DataLookUp!$C$4:$G$999, 3, FALSE )), "")</f>
        <v>2011251012</v>
      </c>
      <c r="D198" s="38" t="str">
        <f>IF(EXACT($B198, ""), "", IF((FLOOR($B198/1000000000000, 1) = 124), VLOOKUP($B198, '[1]DataLookUp - InstitutionBranch'!$B$4:$C$97, 2, FALSE), IF((FLOOR($B198/1000000000000, 1) = 25), VLOOKUP($B198, [2]DataLookUp!$B$4:$D$632, 2, FALSE), "xx")))</f>
        <v>Rahmad Dwifar</v>
      </c>
      <c r="E198" s="39" t="s">
        <v>197</v>
      </c>
      <c r="F198" s="51">
        <f ca="1">IF(EXACT(E198, ""), "", VLOOKUP($E198, OFFSET([3]MAIN!$B$2, 0, 0, 100, 6), 5, FALSE))</f>
        <v>166000000000005</v>
      </c>
      <c r="G198" s="40">
        <v>1630519922</v>
      </c>
      <c r="H198" s="39"/>
      <c r="I198" s="40" t="s">
        <v>366</v>
      </c>
      <c r="J198" s="66"/>
      <c r="K198" s="39"/>
      <c r="M198" s="32">
        <f t="shared" ca="1" si="9"/>
        <v>167000000000158</v>
      </c>
      <c r="N198" s="6" t="str">
        <f t="shared" ref="N198:N209" ca="1" si="10">IF(OR(EXACT(B198, ""), EXACT(G198, "")), "", CONCATENATE("PERFORM ""SchData-OLTP-Master"".""Func_TblBankAccount_SET""(varSystemLoginSession, null, null, null, null, null, varInstitutionBranchID, varBaseCurrencyID, ", F198, ", '", G198, "', '", H198, "', ", I198, ", ", B198, ");"))</f>
        <v>PERFORM "SchData-OLTP-Master"."Func_TblBankAccount_SET"(varSystemLoginSession, null, null, null, null, null, varInstitutionBranchID, varBaseCurrencyID, 166000000000005, '1630519922', '', 62000000000001, 25000000000605);</v>
      </c>
    </row>
    <row r="199" spans="2:14" x14ac:dyDescent="0.2">
      <c r="B199" s="74">
        <v>25000000000606</v>
      </c>
      <c r="C199" s="37" t="str">
        <f>_xlfn.IFNA(IF(EXACT($B199, ""), "", VLOOKUP($B199, [4]DataLookUp!$C$4:$G$999, 3, FALSE )), "")</f>
        <v/>
      </c>
      <c r="D199" s="38" t="str">
        <f>IF(EXACT($B199, ""), "", IF((FLOOR($B199/1000000000000, 1) = 124), VLOOKUP($B199, '[1]DataLookUp - InstitutionBranch'!$B$4:$C$97, 2, FALSE), IF((FLOOR($B199/1000000000000, 1) = 25), VLOOKUP($B199, [2]DataLookUp!$B$4:$D$632, 2, FALSE), "xx")))</f>
        <v>Reza Sanjaya</v>
      </c>
      <c r="E199" s="39"/>
      <c r="F199" s="51" t="str">
        <f ca="1">IF(EXACT(E199, ""), "", VLOOKUP($E199, OFFSET([3]MAIN!$B$2, 0, 0, 100, 6), 5, FALSE))</f>
        <v/>
      </c>
      <c r="G199" s="40"/>
      <c r="H199" s="39"/>
      <c r="I199" s="40"/>
      <c r="J199" s="66"/>
      <c r="K199" s="39"/>
      <c r="M199" s="32">
        <f t="shared" ca="1" si="9"/>
        <v>167000000000158</v>
      </c>
      <c r="N199" s="6" t="str">
        <f t="shared" si="10"/>
        <v/>
      </c>
    </row>
    <row r="200" spans="2:14" x14ac:dyDescent="0.2">
      <c r="B200" s="74">
        <v>25000000000607</v>
      </c>
      <c r="C200" s="37" t="str">
        <f>_xlfn.IFNA(IF(EXACT($B200, ""), "", VLOOKUP($B200, [4]DataLookUp!$C$4:$G$999, 3, FALSE )), "")</f>
        <v>0603251003</v>
      </c>
      <c r="D200" s="38" t="str">
        <f>IF(EXACT($B200, ""), "", IF((FLOOR($B200/1000000000000, 1) = 124), VLOOKUP($B200, '[1]DataLookUp - InstitutionBranch'!$B$4:$C$97, 2, FALSE), IF((FLOOR($B200/1000000000000, 1) = 25), VLOOKUP($B200, [2]DataLookUp!$B$4:$D$632, 2, FALSE), "xx")))</f>
        <v>Ridwan Nur Muttaqin</v>
      </c>
      <c r="E200" s="39" t="s">
        <v>197</v>
      </c>
      <c r="F200" s="51">
        <f ca="1">IF(EXACT(E200, ""), "", VLOOKUP($E200, OFFSET([3]MAIN!$B$2, 0, 0, 100, 6), 5, FALSE))</f>
        <v>166000000000005</v>
      </c>
      <c r="G200" s="40" t="s">
        <v>430</v>
      </c>
      <c r="H200" s="39" t="s">
        <v>431</v>
      </c>
      <c r="I200" s="40" t="s">
        <v>366</v>
      </c>
      <c r="J200" s="66"/>
      <c r="K200" s="39"/>
      <c r="M200" s="32">
        <f t="shared" ca="1" si="9"/>
        <v>167000000000159</v>
      </c>
      <c r="N200" s="6" t="str">
        <f t="shared" ca="1" si="10"/>
        <v>PERFORM "SchData-OLTP-Master"."Func_TblBankAccount_SET"(varSystemLoginSession, null, null, null, null, null, varInstitutionBranchID, varBaseCurrencyID, 166000000000005, '7485341129', 'Ridwan Nur Muttaqin', 62000000000001, 25000000000607);</v>
      </c>
    </row>
    <row r="201" spans="2:14" x14ac:dyDescent="0.2">
      <c r="B201" s="74">
        <v>25000000000608</v>
      </c>
      <c r="C201" s="37" t="str">
        <f>_xlfn.IFNA(IF(EXACT($B201, ""), "", VLOOKUP($B201, [4]DataLookUp!$C$4:$G$999, 3, FALSE )), "")</f>
        <v/>
      </c>
      <c r="D201" s="38" t="str">
        <f>IF(EXACT($B201, ""), "", IF((FLOOR($B201/1000000000000, 1) = 124), VLOOKUP($B201, '[1]DataLookUp - InstitutionBranch'!$B$4:$C$97, 2, FALSE), IF((FLOOR($B201/1000000000000, 1) = 25), VLOOKUP($B201, [2]DataLookUp!$B$4:$D$632, 2, FALSE), "xx")))</f>
        <v xml:space="preserve">Risaldi </v>
      </c>
      <c r="E201" s="39"/>
      <c r="F201" s="51" t="str">
        <f ca="1">IF(EXACT(E201, ""), "", VLOOKUP($E201, OFFSET([3]MAIN!$B$2, 0, 0, 100, 6), 5, FALSE))</f>
        <v/>
      </c>
      <c r="G201" s="40"/>
      <c r="H201" s="39"/>
      <c r="I201" s="40"/>
      <c r="J201" s="66"/>
      <c r="K201" s="39"/>
      <c r="M201" s="32">
        <f t="shared" ca="1" si="9"/>
        <v>167000000000159</v>
      </c>
      <c r="N201" s="6" t="str">
        <f t="shared" si="10"/>
        <v/>
      </c>
    </row>
    <row r="202" spans="2:14" x14ac:dyDescent="0.2">
      <c r="B202" s="74">
        <v>25000000000609</v>
      </c>
      <c r="C202" s="37" t="str">
        <f>_xlfn.IFNA(IF(EXACT($B202, ""), "", VLOOKUP($B202, [4]DataLookUp!$C$4:$G$999, 3, FALSE )), "")</f>
        <v>2703251004</v>
      </c>
      <c r="D202" s="38" t="str">
        <f>IF(EXACT($B202, ""), "", IF((FLOOR($B202/1000000000000, 1) = 124), VLOOKUP($B202, '[1]DataLookUp - InstitutionBranch'!$B$4:$C$97, 2, FALSE), IF((FLOOR($B202/1000000000000, 1) = 25), VLOOKUP($B202, [2]DataLookUp!$B$4:$D$632, 2, FALSE), "xx")))</f>
        <v>Risty Alawiyah</v>
      </c>
      <c r="E202" s="39" t="s">
        <v>197</v>
      </c>
      <c r="F202" s="51">
        <f ca="1">IF(EXACT(E202, ""), "", VLOOKUP($E202, OFFSET([3]MAIN!$B$2, 0, 0, 100, 6), 5, FALSE))</f>
        <v>166000000000005</v>
      </c>
      <c r="G202" s="40">
        <v>6290416262</v>
      </c>
      <c r="H202" s="39"/>
      <c r="I202" s="40" t="s">
        <v>366</v>
      </c>
      <c r="J202" s="66"/>
      <c r="K202" s="39"/>
      <c r="M202" s="32">
        <f t="shared" ca="1" si="9"/>
        <v>167000000000160</v>
      </c>
      <c r="N202" s="6" t="str">
        <f t="shared" ca="1" si="10"/>
        <v>PERFORM "SchData-OLTP-Master"."Func_TblBankAccount_SET"(varSystemLoginSession, null, null, null, null, null, varInstitutionBranchID, varBaseCurrencyID, 166000000000005, '6290416262', '', 62000000000001, 25000000000609);</v>
      </c>
    </row>
    <row r="203" spans="2:14" x14ac:dyDescent="0.2">
      <c r="B203" s="74">
        <v>25000000000610</v>
      </c>
      <c r="C203" s="37" t="str">
        <f>_xlfn.IFNA(IF(EXACT($B203, ""), "", VLOOKUP($B203, [4]DataLookUp!$C$4:$G$999, 3, FALSE )), "")</f>
        <v>010413649</v>
      </c>
      <c r="D203" s="38" t="str">
        <f>IF(EXACT($B203, ""), "", IF((FLOOR($B203/1000000000000, 1) = 124), VLOOKUP($B203, '[1]DataLookUp - InstitutionBranch'!$B$4:$C$97, 2, FALSE), IF((FLOOR($B203/1000000000000, 1) = 25), VLOOKUP($B203, [2]DataLookUp!$B$4:$D$632, 2, FALSE), "xx")))</f>
        <v>Rustono</v>
      </c>
      <c r="E203" s="39" t="s">
        <v>199</v>
      </c>
      <c r="F203" s="51">
        <f ca="1">IF(EXACT(E203, ""), "", VLOOKUP($E203, OFFSET([3]MAIN!$B$2, 0, 0, 100, 6), 5, FALSE))</f>
        <v>166000000000002</v>
      </c>
      <c r="G203" s="40" t="s">
        <v>395</v>
      </c>
      <c r="H203" s="39" t="s">
        <v>396</v>
      </c>
      <c r="I203" s="40" t="s">
        <v>366</v>
      </c>
      <c r="J203" s="66"/>
      <c r="K203" s="39"/>
      <c r="M203" s="32">
        <f t="shared" ca="1" si="9"/>
        <v>167000000000161</v>
      </c>
      <c r="N203" s="6" t="str">
        <f t="shared" ca="1" si="10"/>
        <v>PERFORM "SchData-OLTP-Master"."Func_TblBankAccount_SET"(varSystemLoginSession, null, null, null, null, null, varInstitutionBranchID, varBaseCurrencyID, 166000000000002, '034101074859500', 'Rustono', 62000000000001, 25000000000610);</v>
      </c>
    </row>
    <row r="204" spans="2:14" x14ac:dyDescent="0.2">
      <c r="B204" s="74">
        <v>25000000000611</v>
      </c>
      <c r="C204" s="37" t="str">
        <f>_xlfn.IFNA(IF(EXACT($B204, ""), "", VLOOKUP($B204, [4]DataLookUp!$C$4:$G$999, 3, FALSE )), "")</f>
        <v>020916798</v>
      </c>
      <c r="D204" s="38" t="str">
        <f>IF(EXACT($B204, ""), "", IF((FLOOR($B204/1000000000000, 1) = 124), VLOOKUP($B204, '[1]DataLookUp - InstitutionBranch'!$B$4:$C$97, 2, FALSE), IF((FLOOR($B204/1000000000000, 1) = 25), VLOOKUP($B204, [2]DataLookUp!$B$4:$D$632, 2, FALSE), "xx")))</f>
        <v>Solihin</v>
      </c>
      <c r="E204" s="39" t="s">
        <v>199</v>
      </c>
      <c r="F204" s="51">
        <f ca="1">IF(EXACT(E204, ""), "", VLOOKUP($E204, OFFSET([3]MAIN!$B$2, 0, 0, 100, 6), 5, FALSE))</f>
        <v>166000000000002</v>
      </c>
      <c r="G204" s="40" t="s">
        <v>393</v>
      </c>
      <c r="H204" s="39" t="s">
        <v>394</v>
      </c>
      <c r="I204" s="40" t="s">
        <v>366</v>
      </c>
      <c r="J204" s="66"/>
      <c r="K204" s="39"/>
      <c r="M204" s="32">
        <f t="shared" ca="1" si="9"/>
        <v>167000000000162</v>
      </c>
      <c r="N204" s="6" t="str">
        <f t="shared" ca="1" si="10"/>
        <v>PERFORM "SchData-OLTP-Master"."Func_TblBankAccount_SET"(varSystemLoginSession, null, null, null, null, null, varInstitutionBranchID, varBaseCurrencyID, 166000000000002, '034101074862503', 'Solihin', 62000000000001, 25000000000611);</v>
      </c>
    </row>
    <row r="205" spans="2:14" x14ac:dyDescent="0.2">
      <c r="B205" s="74">
        <v>25000000000612</v>
      </c>
      <c r="C205" s="37" t="str">
        <f>_xlfn.IFNA(IF(EXACT($B205, ""), "", VLOOKUP($B205, [4]DataLookUp!$C$4:$G$999, 3, FALSE )), "")</f>
        <v>010413653</v>
      </c>
      <c r="D205" s="38" t="str">
        <f>IF(EXACT($B205, ""), "", IF((FLOOR($B205/1000000000000, 1) = 124), VLOOKUP($B205, '[1]DataLookUp - InstitutionBranch'!$B$4:$C$97, 2, FALSE), IF((FLOOR($B205/1000000000000, 1) = 25), VLOOKUP($B205, [2]DataLookUp!$B$4:$D$632, 2, FALSE), "xx")))</f>
        <v>Supriatna</v>
      </c>
      <c r="E205" s="39" t="s">
        <v>199</v>
      </c>
      <c r="F205" s="51">
        <f ca="1">IF(EXACT(E205, ""), "", VLOOKUP($E205, OFFSET([3]MAIN!$B$2, 0, 0, 100, 6), 5, FALSE))</f>
        <v>166000000000002</v>
      </c>
      <c r="G205" s="40" t="s">
        <v>391</v>
      </c>
      <c r="H205" s="39" t="s">
        <v>392</v>
      </c>
      <c r="I205" s="40" t="s">
        <v>366</v>
      </c>
      <c r="J205" s="66"/>
      <c r="K205" s="39"/>
      <c r="M205" s="32">
        <f t="shared" ca="1" si="9"/>
        <v>167000000000163</v>
      </c>
      <c r="N205" s="6" t="str">
        <f t="shared" ca="1" si="10"/>
        <v>PERFORM "SchData-OLTP-Master"."Func_TblBankAccount_SET"(varSystemLoginSession, null, null, null, null, null, varInstitutionBranchID, varBaseCurrencyID, 166000000000002, '034101074867503', 'Supriatna', 62000000000001, 25000000000612);</v>
      </c>
    </row>
    <row r="206" spans="2:14" x14ac:dyDescent="0.2">
      <c r="B206" s="74">
        <v>25000000000613</v>
      </c>
      <c r="C206" s="37" t="str">
        <f>_xlfn.IFNA(IF(EXACT($B206, ""), "", VLOOKUP($B206, [4]DataLookUp!$C$4:$G$999, 3, FALSE )), "")</f>
        <v/>
      </c>
      <c r="D206" s="38" t="str">
        <f>IF(EXACT($B206, ""), "", IF((FLOOR($B206/1000000000000, 1) = 124), VLOOKUP($B206, '[1]DataLookUp - InstitutionBranch'!$B$4:$C$97, 2, FALSE), IF((FLOOR($B206/1000000000000, 1) = 25), VLOOKUP($B206, [2]DataLookUp!$B$4:$D$632, 2, FALSE), "xx")))</f>
        <v>Taufik Aminudin</v>
      </c>
      <c r="E206" s="39" t="s">
        <v>199</v>
      </c>
      <c r="F206" s="51">
        <f ca="1">IF(EXACT(E206, ""), "", VLOOKUP($E206, OFFSET([3]MAIN!$B$2, 0, 0, 100, 6), 5, FALSE))</f>
        <v>166000000000002</v>
      </c>
      <c r="G206" s="40" t="s">
        <v>432</v>
      </c>
      <c r="H206" s="39" t="s">
        <v>433</v>
      </c>
      <c r="I206" s="40" t="s">
        <v>366</v>
      </c>
      <c r="J206" s="66"/>
      <c r="K206" s="39"/>
      <c r="M206" s="32">
        <f t="shared" ca="1" si="9"/>
        <v>167000000000164</v>
      </c>
      <c r="N206" s="6" t="str">
        <f t="shared" ca="1" si="10"/>
        <v>PERFORM "SchData-OLTP-Master"."Func_TblBankAccount_SET"(varSystemLoginSession, null, null, null, null, null, varInstitutionBranchID, varBaseCurrencyID, 166000000000002, '010201029577531', 'Taufik Aminudin', 62000000000001, 25000000000613);</v>
      </c>
    </row>
    <row r="207" spans="2:14" x14ac:dyDescent="0.2">
      <c r="B207" s="74">
        <v>25000000000614</v>
      </c>
      <c r="C207" s="37" t="str">
        <f>_xlfn.IFNA(IF(EXACT($B207, ""), "", VLOOKUP($B207, [4]DataLookUp!$C$4:$G$999, 3, FALSE )), "")</f>
        <v>300913696</v>
      </c>
      <c r="D207" s="38" t="str">
        <f>IF(EXACT($B207, ""), "", IF((FLOOR($B207/1000000000000, 1) = 124), VLOOKUP($B207, '[1]DataLookUp - InstitutionBranch'!$B$4:$C$97, 2, FALSE), IF((FLOOR($B207/1000000000000, 1) = 25), VLOOKUP($B207, [2]DataLookUp!$B$4:$D$632, 2, FALSE), "xx")))</f>
        <v>Timotius Tabun</v>
      </c>
      <c r="E207" s="39" t="s">
        <v>199</v>
      </c>
      <c r="F207" s="51">
        <f ca="1">IF(EXACT(E207, ""), "", VLOOKUP($E207, OFFSET([3]MAIN!$B$2, 0, 0, 100, 6), 5, FALSE))</f>
        <v>166000000000002</v>
      </c>
      <c r="G207" s="40" t="s">
        <v>389</v>
      </c>
      <c r="H207" s="39" t="s">
        <v>390</v>
      </c>
      <c r="I207" s="40" t="s">
        <v>366</v>
      </c>
      <c r="J207" s="66"/>
      <c r="K207" s="39"/>
      <c r="M207" s="32">
        <f t="shared" ca="1" si="9"/>
        <v>167000000000165</v>
      </c>
      <c r="N207" s="6" t="str">
        <f t="shared" ca="1" si="10"/>
        <v>PERFORM "SchData-OLTP-Master"."Func_TblBankAccount_SET"(varSystemLoginSession, null, null, null, null, null, varInstitutionBranchID, varBaseCurrencyID, 166000000000002, '034101074865501', 'Timotius Tabun', 62000000000001, 25000000000614);</v>
      </c>
    </row>
    <row r="208" spans="2:14" x14ac:dyDescent="0.2">
      <c r="B208" s="74">
        <v>25000000000615</v>
      </c>
      <c r="C208" s="37" t="str">
        <f>_xlfn.IFNA(IF(EXACT($B208, ""), "", VLOOKUP($B208, [4]DataLookUp!$C$4:$G$999, 3, FALSE )), "")</f>
        <v>0209251009</v>
      </c>
      <c r="D208" s="38" t="str">
        <f>IF(EXACT($B208, ""), "", IF((FLOOR($B208/1000000000000, 1) = 124), VLOOKUP($B208, '[1]DataLookUp - InstitutionBranch'!$B$4:$C$97, 2, FALSE), IF((FLOOR($B208/1000000000000, 1) = 25), VLOOKUP($B208, [2]DataLookUp!$B$4:$D$632, 2, FALSE), "xx")))</f>
        <v>Adi</v>
      </c>
      <c r="E208" s="39" t="s">
        <v>199</v>
      </c>
      <c r="F208" s="51">
        <f ca="1">IF(EXACT(E208, ""), "", VLOOKUP($E208, OFFSET([3]MAIN!$B$2, 0, 0, 100, 6), 5, FALSE))</f>
        <v>166000000000002</v>
      </c>
      <c r="G208" s="40"/>
      <c r="H208" s="39"/>
      <c r="I208" s="40"/>
      <c r="J208" s="66"/>
      <c r="K208" s="39"/>
      <c r="M208" s="32">
        <f t="shared" ca="1" si="9"/>
        <v>167000000000165</v>
      </c>
      <c r="N208" s="6" t="str">
        <f t="shared" si="10"/>
        <v/>
      </c>
    </row>
    <row r="209" spans="2:14" x14ac:dyDescent="0.2">
      <c r="B209" s="64"/>
      <c r="C209" s="16"/>
      <c r="D209" s="39"/>
      <c r="E209" s="39"/>
      <c r="F209" s="52"/>
      <c r="G209" s="40"/>
      <c r="H209" s="39"/>
      <c r="I209" s="40"/>
      <c r="J209" s="66"/>
      <c r="K209" s="39"/>
      <c r="M209" s="32">
        <f t="shared" ca="1" si="9"/>
        <v>167000000000165</v>
      </c>
      <c r="N209" s="6" t="str">
        <f t="shared" si="10"/>
        <v/>
      </c>
    </row>
    <row r="210" spans="2:14" x14ac:dyDescent="0.2">
      <c r="B210" s="64"/>
      <c r="C210" s="16"/>
      <c r="D210" s="39"/>
      <c r="E210" s="39"/>
      <c r="F210" s="52"/>
      <c r="G210" s="40"/>
      <c r="H210" s="39"/>
      <c r="I210" s="40"/>
      <c r="J210" s="66"/>
      <c r="K210" s="39"/>
    </row>
    <row r="211" spans="2:14" x14ac:dyDescent="0.2">
      <c r="B211" s="64"/>
      <c r="C211" s="16"/>
      <c r="D211" s="39"/>
      <c r="E211" s="39"/>
      <c r="F211" s="52"/>
      <c r="G211" s="40"/>
      <c r="H211" s="39"/>
      <c r="I211" s="40"/>
      <c r="J211" s="66"/>
      <c r="K211" s="39"/>
    </row>
    <row r="212" spans="2:14" x14ac:dyDescent="0.2">
      <c r="B212" s="64"/>
      <c r="C212" s="16"/>
      <c r="D212" s="39"/>
      <c r="E212" s="39"/>
      <c r="F212" s="52"/>
      <c r="G212" s="40"/>
      <c r="H212" s="39"/>
      <c r="I212" s="40"/>
      <c r="J212" s="66"/>
      <c r="K212" s="39"/>
    </row>
    <row r="213" spans="2:14" x14ac:dyDescent="0.2">
      <c r="B213" s="64"/>
      <c r="C213" s="16"/>
      <c r="D213" s="39"/>
      <c r="E213" s="39"/>
      <c r="F213" s="52"/>
      <c r="G213" s="40"/>
      <c r="H213" s="39"/>
      <c r="I213" s="40"/>
      <c r="J213" s="66"/>
      <c r="K213" s="39"/>
    </row>
    <row r="214" spans="2:14" x14ac:dyDescent="0.2">
      <c r="B214" s="64"/>
      <c r="C214" s="16"/>
      <c r="D214" s="39"/>
      <c r="E214" s="39"/>
      <c r="F214" s="52"/>
      <c r="G214" s="40"/>
      <c r="H214" s="39"/>
      <c r="I214" s="40"/>
      <c r="J214" s="66"/>
      <c r="K214" s="39"/>
    </row>
    <row r="215" spans="2:14" x14ac:dyDescent="0.2">
      <c r="B215" s="65"/>
      <c r="C215" s="41"/>
      <c r="D215" s="42"/>
      <c r="E215" s="42"/>
      <c r="F215" s="53"/>
      <c r="G215" s="43"/>
      <c r="H215" s="42"/>
      <c r="I215" s="43"/>
      <c r="J215" s="71"/>
      <c r="K215" s="42"/>
    </row>
  </sheetData>
  <conditionalFormatting sqref="M4:M59">
    <cfRule type="expression" dxfId="2" priority="6">
      <formula>EXACT(M3, M4)</formula>
    </cfRule>
  </conditionalFormatting>
  <conditionalFormatting sqref="M60">
    <cfRule type="expression" dxfId="1" priority="2">
      <formula>EXACT(M59, M60)</formula>
    </cfRule>
  </conditionalFormatting>
  <conditionalFormatting sqref="M61:M209">
    <cfRule type="expression" dxfId="0" priority="1">
      <formula>EXACT(M60, M61)</formula>
    </cfRule>
  </conditionalFormatting>
  <pageMargins left="0.7" right="0.7" top="0.75" bottom="0.75" header="0.3" footer="0.3"/>
  <pageSetup orientation="portrait" horizontalDpi="300" verticalDpi="0" r:id="rId1"/>
  <ignoredErrors>
    <ignoredError sqref="G61 G66:G73 I61:I132 G64 I4:I55 G4:G59 H140 G167:G168 G135 G149:G150 G136:G139 G140 G141:G143 G146:G147 G151:G156 G169:G172 I167:I168 I135 I149:I150 I137:I139 I140 I141:I143 I146:I148 I151:I157 I136 I169:I172 I200:I202 G187:G194 I187:I189 G186 I186 G158:G166 I158:I166 G173:G174 I173:I174 G175:G185 I175:I185 I56:I59 I133:I134 G75:G130 I144:I145 G144:G145 G195:G196 I194 G199:G201 I197:I198 G203:G207 I203:I207 G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281"/>
  <sheetViews>
    <sheetView topLeftCell="A181" workbookViewId="0">
      <selection activeCell="B132" sqref="B132"/>
    </sheetView>
  </sheetViews>
  <sheetFormatPr defaultRowHeight="12.75" x14ac:dyDescent="0.2"/>
  <cols>
    <col min="1" max="1" width="2.85546875" style="1" customWidth="1"/>
    <col min="2" max="2" width="14" style="56" bestFit="1" customWidth="1"/>
    <col min="3" max="3" width="47.28515625" style="1" bestFit="1" customWidth="1"/>
    <col min="4" max="4" width="9.140625" style="1"/>
    <col min="5" max="5" width="30.140625" style="1" bestFit="1" customWidth="1"/>
    <col min="6" max="6" width="9.140625" style="1"/>
    <col min="7" max="7" width="14" style="1" bestFit="1" customWidth="1"/>
    <col min="8" max="16384" width="9.140625" style="1"/>
  </cols>
  <sheetData>
    <row r="1" spans="2:7" ht="13.5" thickBot="1" x14ac:dyDescent="0.25"/>
    <row r="2" spans="2:7" x14ac:dyDescent="0.2">
      <c r="B2" s="59" t="s">
        <v>453</v>
      </c>
      <c r="C2" s="60" t="s">
        <v>454</v>
      </c>
      <c r="D2" s="60" t="s">
        <v>455</v>
      </c>
      <c r="E2" s="61" t="s">
        <v>456</v>
      </c>
    </row>
    <row r="3" spans="2:7" ht="13.5" thickBot="1" x14ac:dyDescent="0.25">
      <c r="B3" s="55"/>
      <c r="C3" s="12"/>
      <c r="D3" s="12"/>
      <c r="E3" s="14"/>
    </row>
    <row r="4" spans="2:7" x14ac:dyDescent="0.2">
      <c r="B4" s="75">
        <f ca="1">IF(EXACT(SEED!$N4, ""), "", SEED!$M4)</f>
        <v>167000000000001</v>
      </c>
      <c r="C4" s="15" t="str">
        <f ca="1">IF(EXACT($B4, ""), "", SEED!$E4&amp;" - "&amp;SEED!$G4)</f>
        <v>Bank Central Asia - 0063032911</v>
      </c>
      <c r="D4" s="57" t="str">
        <f ca="1">IF(EXACT($B4, ""), "", IF((SEED!I4*1)=62000000000001, "IDR", IF((SEED!I4*1)=62000000000002, "USD", IF((SEED!I4*1)=62000000000003, "AUD", "Others"))))</f>
        <v>IDR</v>
      </c>
      <c r="E4" s="15" t="str">
        <f ca="1">IF(EXACT($B4, ""), "", IF(FLOOR(SEED!$B4/1000000000000, 1)=124, "Institution - "&amp;VLOOKUP(SEED!$B4, '[1]DataLookUp - InstitutionBranch'!$B$4:$C$1000, 2, FALSE), "Person - "&amp;VLOOKUP(SEED!$B4, [2]DataLookUp!$B$4:$D$1000, 2, FALSE)))</f>
        <v>Institution - PT. QDC Technologies</v>
      </c>
      <c r="G4" s="54"/>
    </row>
    <row r="5" spans="2:7" x14ac:dyDescent="0.2">
      <c r="B5" s="76">
        <f ca="1">IF(EXACT(SEED!$N5, ""), "", SEED!$M5)</f>
        <v>167000000000002</v>
      </c>
      <c r="C5" s="17" t="str">
        <f ca="1">IF(EXACT($B5, ""), "", SEED!$E5&amp;" - "&amp;SEED!$G5)</f>
        <v>Bank Central Asia - 0065557750</v>
      </c>
      <c r="D5" s="58" t="str">
        <f ca="1">IF(EXACT($B5, ""), "", IF((SEED!I5*1)=62000000000001, "IDR", IF((SEED!I5*1)=62000000000002, "USD", IF((SEED!I5*1)=62000000000003, "AUD", "Others"))))</f>
        <v>IDR</v>
      </c>
      <c r="E5" s="17" t="str">
        <f ca="1">IF(EXACT($B5, ""), "", IF(FLOOR(SEED!$B5/1000000000000, 1)=124, "Institution - "&amp;VLOOKUP(SEED!$B5, '[1]DataLookUp - InstitutionBranch'!$B$4:$C$1000, 2, FALSE), "Person - "&amp;VLOOKUP(SEED!$B5, [2]DataLookUp!$B$4:$D$1000, 2, FALSE)))</f>
        <v>Institution - PT. QDC Technologies</v>
      </c>
    </row>
    <row r="6" spans="2:7" x14ac:dyDescent="0.2">
      <c r="B6" s="76">
        <f ca="1">IF(EXACT(SEED!$N6, ""), "", SEED!$M6)</f>
        <v>167000000000003</v>
      </c>
      <c r="C6" s="17" t="str">
        <f ca="1">IF(EXACT($B6, ""), "", SEED!$E6&amp;" - "&amp;SEED!$G6)</f>
        <v>Bank Central Asia - 0068502911</v>
      </c>
      <c r="D6" s="58" t="str">
        <f ca="1">IF(EXACT($B6, ""), "", IF((SEED!I6*1)=62000000000001, "IDR", IF((SEED!I6*1)=62000000000002, "USD", IF((SEED!I6*1)=62000000000003, "AUD", "Others"))))</f>
        <v>IDR</v>
      </c>
      <c r="E6" s="17" t="str">
        <f ca="1">IF(EXACT($B6, ""), "", IF(FLOOR(SEED!$B6/1000000000000, 1)=124, "Institution - "&amp;VLOOKUP(SEED!$B6, '[1]DataLookUp - InstitutionBranch'!$B$4:$C$1000, 2, FALSE), "Person - "&amp;VLOOKUP(SEED!$B6, [2]DataLookUp!$B$4:$D$1000, 2, FALSE)))</f>
        <v>Institution - PT. QDC Technologies</v>
      </c>
    </row>
    <row r="7" spans="2:7" x14ac:dyDescent="0.2">
      <c r="B7" s="76">
        <f ca="1">IF(EXACT(SEED!$N7, ""), "", SEED!$M7)</f>
        <v>167000000000004</v>
      </c>
      <c r="C7" s="17" t="str">
        <f ca="1">IF(EXACT($B7, ""), "", SEED!$E7&amp;" - "&amp;SEED!$G7)</f>
        <v>Bank Central Asia - 2173050101</v>
      </c>
      <c r="D7" s="58" t="str">
        <f ca="1">IF(EXACT($B7, ""), "", IF((SEED!I7*1)=62000000000001, "IDR", IF((SEED!I7*1)=62000000000002, "USD", IF((SEED!I7*1)=62000000000003, "AUD", "Others"))))</f>
        <v>IDR</v>
      </c>
      <c r="E7" s="17" t="str">
        <f ca="1">IF(EXACT($B7, ""), "", IF(FLOOR(SEED!$B7/1000000000000, 1)=124, "Institution - "&amp;VLOOKUP(SEED!$B7, '[1]DataLookUp - InstitutionBranch'!$B$4:$C$1000, 2, FALSE), "Person - "&amp;VLOOKUP(SEED!$B7, [2]DataLookUp!$B$4:$D$1000, 2, FALSE)))</f>
        <v>Institution - PT. QDC Technologies</v>
      </c>
    </row>
    <row r="8" spans="2:7" x14ac:dyDescent="0.2">
      <c r="B8" s="76">
        <f ca="1">IF(EXACT(SEED!$N8, ""), "", SEED!$M8)</f>
        <v>167000000000005</v>
      </c>
      <c r="C8" s="17" t="str">
        <f ca="1">IF(EXACT($B8, ""), "", SEED!$E8&amp;" - "&amp;SEED!$G8)</f>
        <v>Bank Central Asia - 2173108214</v>
      </c>
      <c r="D8" s="58" t="str">
        <f ca="1">IF(EXACT($B8, ""), "", IF((SEED!I8*1)=62000000000001, "IDR", IF((SEED!I8*1)=62000000000002, "USD", IF((SEED!I8*1)=62000000000003, "AUD", "Others"))))</f>
        <v>IDR</v>
      </c>
      <c r="E8" s="17" t="str">
        <f ca="1">IF(EXACT($B8, ""), "", IF(FLOOR(SEED!$B8/1000000000000, 1)=124, "Institution - "&amp;VLOOKUP(SEED!$B8, '[1]DataLookUp - InstitutionBranch'!$B$4:$C$1000, 2, FALSE), "Person - "&amp;VLOOKUP(SEED!$B8, [2]DataLookUp!$B$4:$D$1000, 2, FALSE)))</f>
        <v>Institution - PT. QDC Technologies</v>
      </c>
    </row>
    <row r="9" spans="2:7" x14ac:dyDescent="0.2">
      <c r="B9" s="76">
        <f ca="1">IF(EXACT(SEED!$N9, ""), "", SEED!$M9)</f>
        <v>167000000000006</v>
      </c>
      <c r="C9" s="17" t="str">
        <f ca="1">IF(EXACT($B9, ""), "", SEED!$E9&amp;" - "&amp;SEED!$G9)</f>
        <v>Bank CIMB Niaga - 762375277200</v>
      </c>
      <c r="D9" s="58" t="str">
        <f ca="1">IF(EXACT($B9, ""), "", IF((SEED!I9*1)=62000000000001, "IDR", IF((SEED!I9*1)=62000000000002, "USD", IF((SEED!I9*1)=62000000000003, "AUD", "Others"))))</f>
        <v>IDR</v>
      </c>
      <c r="E9" s="17" t="str">
        <f ca="1">IF(EXACT($B9, ""), "", IF(FLOOR(SEED!$B9/1000000000000, 1)=124, "Institution - "&amp;VLOOKUP(SEED!$B9, '[1]DataLookUp - InstitutionBranch'!$B$4:$C$1000, 2, FALSE), "Person - "&amp;VLOOKUP(SEED!$B9, [2]DataLookUp!$B$4:$D$1000, 2, FALSE)))</f>
        <v>Institution - PT. QDC Technologies</v>
      </c>
    </row>
    <row r="10" spans="2:7" x14ac:dyDescent="0.2">
      <c r="B10" s="76">
        <f ca="1">IF(EXACT(SEED!$N10, ""), "", SEED!$M10)</f>
        <v>167000000000007</v>
      </c>
      <c r="C10" s="17" t="str">
        <f ca="1">IF(EXACT($B10, ""), "", SEED!$E10&amp;" - "&amp;SEED!$G10)</f>
        <v>Bank CIMB Niaga - 800039839400</v>
      </c>
      <c r="D10" s="58" t="str">
        <f ca="1">IF(EXACT($B10, ""), "", IF((SEED!I10*1)=62000000000001, "IDR", IF((SEED!I10*1)=62000000000002, "USD", IF((SEED!I10*1)=62000000000003, "AUD", "Others"))))</f>
        <v>IDR</v>
      </c>
      <c r="E10" s="17" t="str">
        <f ca="1">IF(EXACT($B10, ""), "", IF(FLOOR(SEED!$B10/1000000000000, 1)=124, "Institution - "&amp;VLOOKUP(SEED!$B10, '[1]DataLookUp - InstitutionBranch'!$B$4:$C$1000, 2, FALSE), "Person - "&amp;VLOOKUP(SEED!$B10, [2]DataLookUp!$B$4:$D$1000, 2, FALSE)))</f>
        <v>Institution - PT. QDC Technologies</v>
      </c>
    </row>
    <row r="11" spans="2:7" x14ac:dyDescent="0.2">
      <c r="B11" s="76">
        <f ca="1">IF(EXACT(SEED!$N11, ""), "", SEED!$M11)</f>
        <v>167000000000008</v>
      </c>
      <c r="C11" s="17" t="str">
        <f ca="1">IF(EXACT($B11, ""), "", SEED!$E11&amp;" - "&amp;SEED!$G11)</f>
        <v>Bank CIMB Niaga - 800039840100</v>
      </c>
      <c r="D11" s="58" t="str">
        <f ca="1">IF(EXACT($B11, ""), "", IF((SEED!I11*1)=62000000000001, "IDR", IF((SEED!I11*1)=62000000000002, "USD", IF((SEED!I11*1)=62000000000003, "AUD", "Others"))))</f>
        <v>IDR</v>
      </c>
      <c r="E11" s="17" t="str">
        <f ca="1">IF(EXACT($B11, ""), "", IF(FLOOR(SEED!$B11/1000000000000, 1)=124, "Institution - "&amp;VLOOKUP(SEED!$B11, '[1]DataLookUp - InstitutionBranch'!$B$4:$C$1000, 2, FALSE), "Person - "&amp;VLOOKUP(SEED!$B11, [2]DataLookUp!$B$4:$D$1000, 2, FALSE)))</f>
        <v>Institution - PT. QDC Technologies</v>
      </c>
    </row>
    <row r="12" spans="2:7" x14ac:dyDescent="0.2">
      <c r="B12" s="76">
        <f ca="1">IF(EXACT(SEED!$N12, ""), "", SEED!$M12)</f>
        <v>167000000000009</v>
      </c>
      <c r="C12" s="17" t="str">
        <f ca="1">IF(EXACT($B12, ""), "", SEED!$E12&amp;" - "&amp;SEED!$G12)</f>
        <v>Bank CIMB Niaga - 860012900500</v>
      </c>
      <c r="D12" s="58" t="str">
        <f ca="1">IF(EXACT($B12, ""), "", IF((SEED!I12*1)=62000000000001, "IDR", IF((SEED!I12*1)=62000000000002, "USD", IF((SEED!I12*1)=62000000000003, "AUD", "Others"))))</f>
        <v>IDR</v>
      </c>
      <c r="E12" s="17" t="str">
        <f ca="1">IF(EXACT($B12, ""), "", IF(FLOOR(SEED!$B12/1000000000000, 1)=124, "Institution - "&amp;VLOOKUP(SEED!$B12, '[1]DataLookUp - InstitutionBranch'!$B$4:$C$1000, 2, FALSE), "Person - "&amp;VLOOKUP(SEED!$B12, [2]DataLookUp!$B$4:$D$1000, 2, FALSE)))</f>
        <v>Institution - PT. QDC Technologies</v>
      </c>
    </row>
    <row r="13" spans="2:7" x14ac:dyDescent="0.2">
      <c r="B13" s="76">
        <f ca="1">IF(EXACT(SEED!$N13, ""), "", SEED!$M13)</f>
        <v>167000000000010</v>
      </c>
      <c r="C13" s="17" t="str">
        <f ca="1">IF(EXACT($B13, ""), "", SEED!$E13&amp;" - "&amp;SEED!$G13)</f>
        <v>Bank Commonwealth - 1051189606</v>
      </c>
      <c r="D13" s="58" t="str">
        <f ca="1">IF(EXACT($B13, ""), "", IF((SEED!I13*1)=62000000000001, "IDR", IF((SEED!I13*1)=62000000000002, "USD", IF((SEED!I13*1)=62000000000003, "AUD", "Others"))))</f>
        <v>IDR</v>
      </c>
      <c r="E13" s="17" t="str">
        <f ca="1">IF(EXACT($B13, ""), "", IF(FLOOR(SEED!$B13/1000000000000, 1)=124, "Institution - "&amp;VLOOKUP(SEED!$B13, '[1]DataLookUp - InstitutionBranch'!$B$4:$C$1000, 2, FALSE), "Person - "&amp;VLOOKUP(SEED!$B13, [2]DataLookUp!$B$4:$D$1000, 2, FALSE)))</f>
        <v>Institution - PT. QDC Technologies</v>
      </c>
    </row>
    <row r="14" spans="2:7" x14ac:dyDescent="0.2">
      <c r="B14" s="76">
        <f ca="1">IF(EXACT(SEED!$N14, ""), "", SEED!$M14)</f>
        <v>167000000000011</v>
      </c>
      <c r="C14" s="17" t="str">
        <f ca="1">IF(EXACT($B14, ""), "", SEED!$E14&amp;" - "&amp;SEED!$G14)</f>
        <v>Bank Commonwealth - 1051189707</v>
      </c>
      <c r="D14" s="48" t="str">
        <f ca="1">IF(EXACT($B14, ""), "", IF((SEED!I14*1)=62000000000001, "IDR", IF((SEED!I14*1)=62000000000002, "USD", IF((SEED!I14*1)=62000000000003, "AUD", "Others"))))</f>
        <v>USD</v>
      </c>
      <c r="E14" s="17" t="str">
        <f ca="1">IF(EXACT($B14, ""), "", IF(FLOOR(SEED!$B14/1000000000000, 1)=124, "Institution - "&amp;VLOOKUP(SEED!$B14, '[1]DataLookUp - InstitutionBranch'!$B$4:$C$1000, 2, FALSE), "Person - "&amp;VLOOKUP(SEED!$B14, [2]DataLookUp!$B$4:$D$1000, 2, FALSE)))</f>
        <v>Institution - PT. QDC Technologies</v>
      </c>
    </row>
    <row r="15" spans="2:7" x14ac:dyDescent="0.2">
      <c r="B15" s="76">
        <f ca="1">IF(EXACT(SEED!$N15, ""), "", SEED!$M15)</f>
        <v>167000000000012</v>
      </c>
      <c r="C15" s="17" t="str">
        <f ca="1">IF(EXACT($B15, ""), "", SEED!$E15&amp;" - "&amp;SEED!$G15)</f>
        <v>Bank KB Bukopin - 1001327468</v>
      </c>
      <c r="D15" s="58" t="str">
        <f ca="1">IF(EXACT($B15, ""), "", IF((SEED!I15*1)=62000000000001, "IDR", IF((SEED!I15*1)=62000000000002, "USD", IF((SEED!I15*1)=62000000000003, "AUD", "Others"))))</f>
        <v>IDR</v>
      </c>
      <c r="E15" s="17" t="str">
        <f ca="1">IF(EXACT($B15, ""), "", IF(FLOOR(SEED!$B15/1000000000000, 1)=124, "Institution - "&amp;VLOOKUP(SEED!$B15, '[1]DataLookUp - InstitutionBranch'!$B$4:$C$1000, 2, FALSE), "Person - "&amp;VLOOKUP(SEED!$B15, [2]DataLookUp!$B$4:$D$1000, 2, FALSE)))</f>
        <v>Institution - PT. QDC Technologies</v>
      </c>
    </row>
    <row r="16" spans="2:7" x14ac:dyDescent="0.2">
      <c r="B16" s="76">
        <f ca="1">IF(EXACT(SEED!$N16, ""), "", SEED!$M16)</f>
        <v>167000000000013</v>
      </c>
      <c r="C16" s="17" t="str">
        <f ca="1">IF(EXACT($B16, ""), "", SEED!$E16&amp;" - "&amp;SEED!$G16)</f>
        <v>Bank KB Bukopin - 1001374466</v>
      </c>
      <c r="D16" s="58" t="str">
        <f ca="1">IF(EXACT($B16, ""), "", IF((SEED!I16*1)=62000000000001, "IDR", IF((SEED!I16*1)=62000000000002, "USD", IF((SEED!I16*1)=62000000000003, "AUD", "Others"))))</f>
        <v>IDR</v>
      </c>
      <c r="E16" s="17" t="str">
        <f ca="1">IF(EXACT($B16, ""), "", IF(FLOOR(SEED!$B16/1000000000000, 1)=124, "Institution - "&amp;VLOOKUP(SEED!$B16, '[1]DataLookUp - InstitutionBranch'!$B$4:$C$1000, 2, FALSE), "Person - "&amp;VLOOKUP(SEED!$B16, [2]DataLookUp!$B$4:$D$1000, 2, FALSE)))</f>
        <v>Institution - PT. QDC Technologies</v>
      </c>
    </row>
    <row r="17" spans="2:5" x14ac:dyDescent="0.2">
      <c r="B17" s="76">
        <f ca="1">IF(EXACT(SEED!$N17, ""), "", SEED!$M17)</f>
        <v>167000000000014</v>
      </c>
      <c r="C17" s="17" t="str">
        <f ca="1">IF(EXACT($B17, ""), "", SEED!$E17&amp;" - "&amp;SEED!$G17)</f>
        <v>Bank KB Bukopin - 1002405420</v>
      </c>
      <c r="D17" s="58" t="str">
        <f ca="1">IF(EXACT($B17, ""), "", IF((SEED!I17*1)=62000000000001, "IDR", IF((SEED!I17*1)=62000000000002, "USD", IF((SEED!I17*1)=62000000000003, "AUD", "Others"))))</f>
        <v>IDR</v>
      </c>
      <c r="E17" s="17" t="str">
        <f ca="1">IF(EXACT($B17, ""), "", IF(FLOOR(SEED!$B17/1000000000000, 1)=124, "Institution - "&amp;VLOOKUP(SEED!$B17, '[1]DataLookUp - InstitutionBranch'!$B$4:$C$1000, 2, FALSE), "Person - "&amp;VLOOKUP(SEED!$B17, [2]DataLookUp!$B$4:$D$1000, 2, FALSE)))</f>
        <v>Institution - PT. QDC Technologies</v>
      </c>
    </row>
    <row r="18" spans="2:5" x14ac:dyDescent="0.2">
      <c r="B18" s="76">
        <f ca="1">IF(EXACT(SEED!$N18, ""), "", SEED!$M18)</f>
        <v>167000000000015</v>
      </c>
      <c r="C18" s="17" t="str">
        <f ca="1">IF(EXACT($B18, ""), "", SEED!$E18&amp;" - "&amp;SEED!$G18)</f>
        <v>Bank Mandiri - 0700009986097</v>
      </c>
      <c r="D18" s="58" t="str">
        <f ca="1">IF(EXACT($B18, ""), "", IF((SEED!I18*1)=62000000000001, "IDR", IF((SEED!I18*1)=62000000000002, "USD", IF((SEED!I18*1)=62000000000003, "AUD", "Others"))))</f>
        <v>IDR</v>
      </c>
      <c r="E18" s="17" t="str">
        <f ca="1">IF(EXACT($B18, ""), "", IF(FLOOR(SEED!$B18/1000000000000, 1)=124, "Institution - "&amp;VLOOKUP(SEED!$B18, '[1]DataLookUp - InstitutionBranch'!$B$4:$C$1000, 2, FALSE), "Person - "&amp;VLOOKUP(SEED!$B18, [2]DataLookUp!$B$4:$D$1000, 2, FALSE)))</f>
        <v>Institution - PT. QDC Technologies</v>
      </c>
    </row>
    <row r="19" spans="2:5" x14ac:dyDescent="0.2">
      <c r="B19" s="76">
        <f ca="1">IF(EXACT(SEED!$N19, ""), "", SEED!$M19)</f>
        <v>167000000000016</v>
      </c>
      <c r="C19" s="17" t="str">
        <f ca="1">IF(EXACT($B19, ""), "", SEED!$E19&amp;" - "&amp;SEED!$G19)</f>
        <v>Bank Mandiri - 0700010933104</v>
      </c>
      <c r="D19" s="58" t="str">
        <f ca="1">IF(EXACT($B19, ""), "", IF((SEED!I19*1)=62000000000001, "IDR", IF((SEED!I19*1)=62000000000002, "USD", IF((SEED!I19*1)=62000000000003, "AUD", "Others"))))</f>
        <v>IDR</v>
      </c>
      <c r="E19" s="17" t="str">
        <f ca="1">IF(EXACT($B19, ""), "", IF(FLOOR(SEED!$B19/1000000000000, 1)=124, "Institution - "&amp;VLOOKUP(SEED!$B19, '[1]DataLookUp - InstitutionBranch'!$B$4:$C$1000, 2, FALSE), "Person - "&amp;VLOOKUP(SEED!$B19, [2]DataLookUp!$B$4:$D$1000, 2, FALSE)))</f>
        <v>Institution - PT. QDC Technologies</v>
      </c>
    </row>
    <row r="20" spans="2:5" x14ac:dyDescent="0.2">
      <c r="B20" s="76">
        <f ca="1">IF(EXACT(SEED!$N20, ""), "", SEED!$M20)</f>
        <v>167000000000017</v>
      </c>
      <c r="C20" s="17" t="str">
        <f ca="1">IF(EXACT($B20, ""), "", SEED!$E20&amp;" - "&amp;SEED!$G20)</f>
        <v>Bank Negara Indonesia - 1999998082</v>
      </c>
      <c r="D20" s="58" t="str">
        <f ca="1">IF(EXACT($B20, ""), "", IF((SEED!I20*1)=62000000000001, "IDR", IF((SEED!I20*1)=62000000000002, "USD", IF((SEED!I20*1)=62000000000003, "AUD", "Others"))))</f>
        <v>IDR</v>
      </c>
      <c r="E20" s="17" t="str">
        <f ca="1">IF(EXACT($B20, ""), "", IF(FLOOR(SEED!$B20/1000000000000, 1)=124, "Institution - "&amp;VLOOKUP(SEED!$B20, '[1]DataLookUp - InstitutionBranch'!$B$4:$C$1000, 2, FALSE), "Person - "&amp;VLOOKUP(SEED!$B20, [2]DataLookUp!$B$4:$D$1000, 2, FALSE)))</f>
        <v>Institution - PT. QDC Technologies</v>
      </c>
    </row>
    <row r="21" spans="2:5" x14ac:dyDescent="0.2">
      <c r="B21" s="76">
        <f ca="1">IF(EXACT(SEED!$N21, ""), "", SEED!$M21)</f>
        <v>167000000000018</v>
      </c>
      <c r="C21" s="17" t="str">
        <f ca="1">IF(EXACT($B21, ""), "", SEED!$E21&amp;" - "&amp;SEED!$G21)</f>
        <v>Bank Negara Indonesia - 779207704</v>
      </c>
      <c r="D21" s="58" t="str">
        <f ca="1">IF(EXACT($B21, ""), "", IF((SEED!I21*1)=62000000000001, "IDR", IF((SEED!I21*1)=62000000000002, "USD", IF((SEED!I21*1)=62000000000003, "AUD", "Others"))))</f>
        <v>IDR</v>
      </c>
      <c r="E21" s="17" t="str">
        <f ca="1">IF(EXACT($B21, ""), "", IF(FLOOR(SEED!$B21/1000000000000, 1)=124, "Institution - "&amp;VLOOKUP(SEED!$B21, '[1]DataLookUp - InstitutionBranch'!$B$4:$C$1000, 2, FALSE), "Person - "&amp;VLOOKUP(SEED!$B21, [2]DataLookUp!$B$4:$D$1000, 2, FALSE)))</f>
        <v>Institution - PT. QDC Technologies</v>
      </c>
    </row>
    <row r="22" spans="2:5" x14ac:dyDescent="0.2">
      <c r="B22" s="76">
        <f ca="1">IF(EXACT(SEED!$N22, ""), "", SEED!$M22)</f>
        <v>167000000000019</v>
      </c>
      <c r="C22" s="17" t="str">
        <f ca="1">IF(EXACT($B22, ""), "", SEED!$E22&amp;" - "&amp;SEED!$G22)</f>
        <v>Bank Negara Indonesia - 779207715</v>
      </c>
      <c r="D22" s="58" t="str">
        <f ca="1">IF(EXACT($B22, ""), "", IF((SEED!I22*1)=62000000000001, "IDR", IF((SEED!I22*1)=62000000000002, "USD", IF((SEED!I22*1)=62000000000003, "AUD", "Others"))))</f>
        <v>IDR</v>
      </c>
      <c r="E22" s="17" t="str">
        <f ca="1">IF(EXACT($B22, ""), "", IF(FLOOR(SEED!$B22/1000000000000, 1)=124, "Institution - "&amp;VLOOKUP(SEED!$B22, '[1]DataLookUp - InstitutionBranch'!$B$4:$C$1000, 2, FALSE), "Person - "&amp;VLOOKUP(SEED!$B22, [2]DataLookUp!$B$4:$D$1000, 2, FALSE)))</f>
        <v>Institution - PT. QDC Technologies</v>
      </c>
    </row>
    <row r="23" spans="2:5" x14ac:dyDescent="0.2">
      <c r="B23" s="76">
        <f ca="1">IF(EXACT(SEED!$N23, ""), "", SEED!$M23)</f>
        <v>167000000000020</v>
      </c>
      <c r="C23" s="17" t="str">
        <f ca="1">IF(EXACT($B23, ""), "", SEED!$E23&amp;" - "&amp;SEED!$G23)</f>
        <v>Bank Negara Indonesia - 8995885888</v>
      </c>
      <c r="D23" s="58" t="str">
        <f ca="1">IF(EXACT($B23, ""), "", IF((SEED!I23*1)=62000000000001, "IDR", IF((SEED!I23*1)=62000000000002, "USD", IF((SEED!I23*1)=62000000000003, "AUD", "Others"))))</f>
        <v>IDR</v>
      </c>
      <c r="E23" s="17" t="str">
        <f ca="1">IF(EXACT($B23, ""), "", IF(FLOOR(SEED!$B23/1000000000000, 1)=124, "Institution - "&amp;VLOOKUP(SEED!$B23, '[1]DataLookUp - InstitutionBranch'!$B$4:$C$1000, 2, FALSE), "Person - "&amp;VLOOKUP(SEED!$B23, [2]DataLookUp!$B$4:$D$1000, 2, FALSE)))</f>
        <v>Institution - PT. QDC Technologies</v>
      </c>
    </row>
    <row r="24" spans="2:5" x14ac:dyDescent="0.2">
      <c r="B24" s="76">
        <f ca="1">IF(EXACT(SEED!$N24, ""), "", SEED!$M24)</f>
        <v>167000000000021</v>
      </c>
      <c r="C24" s="17" t="str">
        <f ca="1">IF(EXACT($B24, ""), "", SEED!$E24&amp;" - "&amp;SEED!$G24)</f>
        <v>Bank Negara Indonesia - 907670396</v>
      </c>
      <c r="D24" s="58" t="str">
        <f ca="1">IF(EXACT($B24, ""), "", IF((SEED!I24*1)=62000000000001, "IDR", IF((SEED!I24*1)=62000000000002, "USD", IF((SEED!I24*1)=62000000000003, "AUD", "Others"))))</f>
        <v>IDR</v>
      </c>
      <c r="E24" s="17" t="str">
        <f ca="1">IF(EXACT($B24, ""), "", IF(FLOOR(SEED!$B24/1000000000000, 1)=124, "Institution - "&amp;VLOOKUP(SEED!$B24, '[1]DataLookUp - InstitutionBranch'!$B$4:$C$1000, 2, FALSE), "Person - "&amp;VLOOKUP(SEED!$B24, [2]DataLookUp!$B$4:$D$1000, 2, FALSE)))</f>
        <v>Institution - PT. QDC Technologies</v>
      </c>
    </row>
    <row r="25" spans="2:5" x14ac:dyDescent="0.2">
      <c r="B25" s="76">
        <f ca="1">IF(EXACT(SEED!$N25, ""), "", SEED!$M25)</f>
        <v>167000000000022</v>
      </c>
      <c r="C25" s="17" t="str">
        <f ca="1">IF(EXACT($B25, ""), "", SEED!$E25&amp;" - "&amp;SEED!$G25)</f>
        <v>Bank OCBC Nilai Inti Sari Penyimpanan - 020800017913</v>
      </c>
      <c r="D25" s="58" t="str">
        <f ca="1">IF(EXACT($B25, ""), "", IF((SEED!I25*1)=62000000000001, "IDR", IF((SEED!I25*1)=62000000000002, "USD", IF((SEED!I25*1)=62000000000003, "AUD", "Others"))))</f>
        <v>IDR</v>
      </c>
      <c r="E25" s="17" t="str">
        <f ca="1">IF(EXACT($B25, ""), "", IF(FLOOR(SEED!$B25/1000000000000, 1)=124, "Institution - "&amp;VLOOKUP(SEED!$B25, '[1]DataLookUp - InstitutionBranch'!$B$4:$C$1000, 2, FALSE), "Person - "&amp;VLOOKUP(SEED!$B25, [2]DataLookUp!$B$4:$D$1000, 2, FALSE)))</f>
        <v>Institution - PT. QDC Technologies</v>
      </c>
    </row>
    <row r="26" spans="2:5" x14ac:dyDescent="0.2">
      <c r="B26" s="76">
        <f ca="1">IF(EXACT(SEED!$N26, ""), "", SEED!$M26)</f>
        <v>167000000000023</v>
      </c>
      <c r="C26" s="17" t="str">
        <f ca="1">IF(EXACT($B26, ""), "", SEED!$E26&amp;" - "&amp;SEED!$G26)</f>
        <v>Bank Pembangunan Daerah Bengkulu - 0080107000764</v>
      </c>
      <c r="D26" s="58" t="str">
        <f ca="1">IF(EXACT($B26, ""), "", IF((SEED!I26*1)=62000000000001, "IDR", IF((SEED!I26*1)=62000000000002, "USD", IF((SEED!I26*1)=62000000000003, "AUD", "Others"))))</f>
        <v>IDR</v>
      </c>
      <c r="E26" s="17" t="str">
        <f ca="1">IF(EXACT($B26, ""), "", IF(FLOOR(SEED!$B26/1000000000000, 1)=124, "Institution - "&amp;VLOOKUP(SEED!$B26, '[1]DataLookUp - InstitutionBranch'!$B$4:$C$1000, 2, FALSE), "Person - "&amp;VLOOKUP(SEED!$B26, [2]DataLookUp!$B$4:$D$1000, 2, FALSE)))</f>
        <v>Institution - PT. QDC Technologies</v>
      </c>
    </row>
    <row r="27" spans="2:5" x14ac:dyDescent="0.2">
      <c r="B27" s="76">
        <f ca="1">IF(EXACT(SEED!$N27, ""), "", SEED!$M27)</f>
        <v>167000000000024</v>
      </c>
      <c r="C27" s="17" t="str">
        <f ca="1">IF(EXACT($B27, ""), "", SEED!$E27&amp;" - "&amp;SEED!$G27)</f>
        <v>Bank Pembangunan Daerah Jawa Barat Banten - 8880888880888</v>
      </c>
      <c r="D27" s="58" t="str">
        <f ca="1">IF(EXACT($B27, ""), "", IF((SEED!I27*1)=62000000000001, "IDR", IF((SEED!I27*1)=62000000000002, "USD", IF((SEED!I27*1)=62000000000003, "AUD", "Others"))))</f>
        <v>IDR</v>
      </c>
      <c r="E27" s="17" t="str">
        <f ca="1">IF(EXACT($B27, ""), "", IF(FLOOR(SEED!$B27/1000000000000, 1)=124, "Institution - "&amp;VLOOKUP(SEED!$B27, '[1]DataLookUp - InstitutionBranch'!$B$4:$C$1000, 2, FALSE), "Person - "&amp;VLOOKUP(SEED!$B27, [2]DataLookUp!$B$4:$D$1000, 2, FALSE)))</f>
        <v>Institution - PT. QDC Technologies</v>
      </c>
    </row>
    <row r="28" spans="2:5" x14ac:dyDescent="0.2">
      <c r="B28" s="76">
        <f ca="1">IF(EXACT(SEED!$N28, ""), "", SEED!$M28)</f>
        <v>167000000000025</v>
      </c>
      <c r="C28" s="17" t="str">
        <f ca="1">IF(EXACT($B28, ""), "", SEED!$E28&amp;" - "&amp;SEED!$G28)</f>
        <v>Bank Pembangunan Daerah Jawa Timur - 035101616</v>
      </c>
      <c r="D28" s="58" t="str">
        <f ca="1">IF(EXACT($B28, ""), "", IF((SEED!I28*1)=62000000000001, "IDR", IF((SEED!I28*1)=62000000000002, "USD", IF((SEED!I28*1)=62000000000003, "AUD", "Others"))))</f>
        <v>IDR</v>
      </c>
      <c r="E28" s="17" t="str">
        <f ca="1">IF(EXACT($B28, ""), "", IF(FLOOR(SEED!$B28/1000000000000, 1)=124, "Institution - "&amp;VLOOKUP(SEED!$B28, '[1]DataLookUp - InstitutionBranch'!$B$4:$C$1000, 2, FALSE), "Person - "&amp;VLOOKUP(SEED!$B28, [2]DataLookUp!$B$4:$D$1000, 2, FALSE)))</f>
        <v>Institution - PT. QDC Technologies</v>
      </c>
    </row>
    <row r="29" spans="2:5" x14ac:dyDescent="0.2">
      <c r="B29" s="76">
        <f ca="1">IF(EXACT(SEED!$N29, ""), "", SEED!$M29)</f>
        <v>167000000000026</v>
      </c>
      <c r="C29" s="17" t="str">
        <f ca="1">IF(EXACT($B29, ""), "", SEED!$E29&amp;" - "&amp;SEED!$G29)</f>
        <v>Bank Pembangunan Daerah Jawa Timur - 1221001121</v>
      </c>
      <c r="D29" s="58" t="str">
        <f ca="1">IF(EXACT($B29, ""), "", IF((SEED!I29*1)=62000000000001, "IDR", IF((SEED!I29*1)=62000000000002, "USD", IF((SEED!I29*1)=62000000000003, "AUD", "Others"))))</f>
        <v>IDR</v>
      </c>
      <c r="E29" s="17" t="str">
        <f ca="1">IF(EXACT($B29, ""), "", IF(FLOOR(SEED!$B29/1000000000000, 1)=124, "Institution - "&amp;VLOOKUP(SEED!$B29, '[1]DataLookUp - InstitutionBranch'!$B$4:$C$1000, 2, FALSE), "Person - "&amp;VLOOKUP(SEED!$B29, [2]DataLookUp!$B$4:$D$1000, 2, FALSE)))</f>
        <v>Institution - PT. QDC Technologies</v>
      </c>
    </row>
    <row r="30" spans="2:5" x14ac:dyDescent="0.2">
      <c r="B30" s="76">
        <f ca="1">IF(EXACT(SEED!$N30, ""), "", SEED!$M30)</f>
        <v>167000000000027</v>
      </c>
      <c r="C30" s="17" t="str">
        <f ca="1">IF(EXACT($B30, ""), "", SEED!$E30&amp;" - "&amp;SEED!$G30)</f>
        <v>Bank Pembangunan Daerah Jawa Timur - 1231001251</v>
      </c>
      <c r="D30" s="58" t="str">
        <f ca="1">IF(EXACT($B30, ""), "", IF((SEED!I30*1)=62000000000001, "IDR", IF((SEED!I30*1)=62000000000002, "USD", IF((SEED!I30*1)=62000000000003, "AUD", "Others"))))</f>
        <v>IDR</v>
      </c>
      <c r="E30" s="17" t="str">
        <f ca="1">IF(EXACT($B30, ""), "", IF(FLOOR(SEED!$B30/1000000000000, 1)=124, "Institution - "&amp;VLOOKUP(SEED!$B30, '[1]DataLookUp - InstitutionBranch'!$B$4:$C$1000, 2, FALSE), "Person - "&amp;VLOOKUP(SEED!$B30, [2]DataLookUp!$B$4:$D$1000, 2, FALSE)))</f>
        <v>Institution - PT. QDC Technologies</v>
      </c>
    </row>
    <row r="31" spans="2:5" x14ac:dyDescent="0.2">
      <c r="B31" s="76">
        <f ca="1">IF(EXACT(SEED!$N31, ""), "", SEED!$M31)</f>
        <v>167000000000028</v>
      </c>
      <c r="C31" s="17" t="str">
        <f ca="1">IF(EXACT($B31, ""), "", SEED!$E31&amp;" - "&amp;SEED!$G31)</f>
        <v>Bank Pembangunan Daerah Kalimantan Selatan - 0400007001223</v>
      </c>
      <c r="D31" s="58" t="str">
        <f ca="1">IF(EXACT($B31, ""), "", IF((SEED!I31*1)=62000000000001, "IDR", IF((SEED!I31*1)=62000000000002, "USD", IF((SEED!I31*1)=62000000000003, "AUD", "Others"))))</f>
        <v>IDR</v>
      </c>
      <c r="E31" s="17" t="str">
        <f ca="1">IF(EXACT($B31, ""), "", IF(FLOOR(SEED!$B31/1000000000000, 1)=124, "Institution - "&amp;VLOOKUP(SEED!$B31, '[1]DataLookUp - InstitutionBranch'!$B$4:$C$1000, 2, FALSE), "Person - "&amp;VLOOKUP(SEED!$B31, [2]DataLookUp!$B$4:$D$1000, 2, FALSE)))</f>
        <v>Institution - PT. QDC Technologies</v>
      </c>
    </row>
    <row r="32" spans="2:5" x14ac:dyDescent="0.2">
      <c r="B32" s="76">
        <f ca="1">IF(EXACT(SEED!$N32, ""), "", SEED!$M32)</f>
        <v>167000000000029</v>
      </c>
      <c r="C32" s="17" t="str">
        <f ca="1">IF(EXACT($B32, ""), "", SEED!$E32&amp;" - "&amp;SEED!$G32)</f>
        <v>Bank Permata - 0701393414</v>
      </c>
      <c r="D32" s="48" t="str">
        <f ca="1">IF(EXACT($B32, ""), "", IF((SEED!I32*1)=62000000000001, "IDR", IF((SEED!I32*1)=62000000000002, "USD", IF((SEED!I32*1)=62000000000003, "AUD", "Others"))))</f>
        <v>USD</v>
      </c>
      <c r="E32" s="17" t="str">
        <f ca="1">IF(EXACT($B32, ""), "", IF(FLOOR(SEED!$B32/1000000000000, 1)=124, "Institution - "&amp;VLOOKUP(SEED!$B32, '[1]DataLookUp - InstitutionBranch'!$B$4:$C$1000, 2, FALSE), "Person - "&amp;VLOOKUP(SEED!$B32, [2]DataLookUp!$B$4:$D$1000, 2, FALSE)))</f>
        <v>Institution - PT. QDC Technologies</v>
      </c>
    </row>
    <row r="33" spans="2:5" x14ac:dyDescent="0.2">
      <c r="B33" s="76">
        <f ca="1">IF(EXACT(SEED!$N33, ""), "", SEED!$M33)</f>
        <v>167000000000030</v>
      </c>
      <c r="C33" s="17" t="str">
        <f ca="1">IF(EXACT($B33, ""), "", SEED!$E33&amp;" - "&amp;SEED!$G33)</f>
        <v>Bank Permata - 0701393481</v>
      </c>
      <c r="D33" s="48" t="str">
        <f ca="1">IF(EXACT($B33, ""), "", IF((SEED!I33*1)=62000000000001, "IDR", IF((SEED!I33*1)=62000000000002, "USD", IF((SEED!I33*1)=62000000000003, "AUD", "Others"))))</f>
        <v>USD</v>
      </c>
      <c r="E33" s="17" t="str">
        <f ca="1">IF(EXACT($B33, ""), "", IF(FLOOR(SEED!$B33/1000000000000, 1)=124, "Institution - "&amp;VLOOKUP(SEED!$B33, '[1]DataLookUp - InstitutionBranch'!$B$4:$C$1000, 2, FALSE), "Person - "&amp;VLOOKUP(SEED!$B33, [2]DataLookUp!$B$4:$D$1000, 2, FALSE)))</f>
        <v>Institution - PT. QDC Technologies</v>
      </c>
    </row>
    <row r="34" spans="2:5" x14ac:dyDescent="0.2">
      <c r="B34" s="76">
        <f ca="1">IF(EXACT(SEED!$N34, ""), "", SEED!$M34)</f>
        <v>167000000000031</v>
      </c>
      <c r="C34" s="17" t="str">
        <f ca="1">IF(EXACT($B34, ""), "", SEED!$E34&amp;" - "&amp;SEED!$G34)</f>
        <v>Bank Permata - 0701393570</v>
      </c>
      <c r="D34" s="58" t="str">
        <f ca="1">IF(EXACT($B34, ""), "", IF((SEED!I34*1)=62000000000001, "IDR", IF((SEED!I34*1)=62000000000002, "USD", IF((SEED!I34*1)=62000000000003, "AUD", "Others"))))</f>
        <v>IDR</v>
      </c>
      <c r="E34" s="17" t="str">
        <f ca="1">IF(EXACT($B34, ""), "", IF(FLOOR(SEED!$B34/1000000000000, 1)=124, "Institution - "&amp;VLOOKUP(SEED!$B34, '[1]DataLookUp - InstitutionBranch'!$B$4:$C$1000, 2, FALSE), "Person - "&amp;VLOOKUP(SEED!$B34, [2]DataLookUp!$B$4:$D$1000, 2, FALSE)))</f>
        <v>Institution - PT. QDC Technologies</v>
      </c>
    </row>
    <row r="35" spans="2:5" x14ac:dyDescent="0.2">
      <c r="B35" s="76">
        <f ca="1">IF(EXACT(SEED!$N35, ""), "", SEED!$M35)</f>
        <v>167000000000032</v>
      </c>
      <c r="C35" s="17" t="str">
        <f ca="1">IF(EXACT($B35, ""), "", SEED!$E35&amp;" - "&amp;SEED!$G35)</f>
        <v>Bank Permata - 0701393643</v>
      </c>
      <c r="D35" s="58" t="str">
        <f ca="1">IF(EXACT($B35, ""), "", IF((SEED!I35*1)=62000000000001, "IDR", IF((SEED!I35*1)=62000000000002, "USD", IF((SEED!I35*1)=62000000000003, "AUD", "Others"))))</f>
        <v>IDR</v>
      </c>
      <c r="E35" s="17" t="str">
        <f ca="1">IF(EXACT($B35, ""), "", IF(FLOOR(SEED!$B35/1000000000000, 1)=124, "Institution - "&amp;VLOOKUP(SEED!$B35, '[1]DataLookUp - InstitutionBranch'!$B$4:$C$1000, 2, FALSE), "Person - "&amp;VLOOKUP(SEED!$B35, [2]DataLookUp!$B$4:$D$1000, 2, FALSE)))</f>
        <v>Institution - PT. QDC Technologies</v>
      </c>
    </row>
    <row r="36" spans="2:5" x14ac:dyDescent="0.2">
      <c r="B36" s="76">
        <f ca="1">IF(EXACT(SEED!$N36, ""), "", SEED!$M36)</f>
        <v>167000000000033</v>
      </c>
      <c r="C36" s="17" t="str">
        <f ca="1">IF(EXACT($B36, ""), "", SEED!$E36&amp;" - "&amp;SEED!$G36)</f>
        <v>Bank Rakyat Indonesia - 005301004453305</v>
      </c>
      <c r="D36" s="58" t="str">
        <f ca="1">IF(EXACT($B36, ""), "", IF((SEED!I36*1)=62000000000001, "IDR", IF((SEED!I36*1)=62000000000002, "USD", IF((SEED!I36*1)=62000000000003, "AUD", "Others"))))</f>
        <v>IDR</v>
      </c>
      <c r="E36" s="17" t="str">
        <f ca="1">IF(EXACT($B36, ""), "", IF(FLOOR(SEED!$B36/1000000000000, 1)=124, "Institution - "&amp;VLOOKUP(SEED!$B36, '[1]DataLookUp - InstitutionBranch'!$B$4:$C$1000, 2, FALSE), "Person - "&amp;VLOOKUP(SEED!$B36, [2]DataLookUp!$B$4:$D$1000, 2, FALSE)))</f>
        <v>Institution - PT. QDC Technologies</v>
      </c>
    </row>
    <row r="37" spans="2:5" x14ac:dyDescent="0.2">
      <c r="B37" s="76">
        <f ca="1">IF(EXACT(SEED!$N37, ""), "", SEED!$M37)</f>
        <v>167000000000034</v>
      </c>
      <c r="C37" s="17" t="str">
        <f ca="1">IF(EXACT($B37, ""), "", SEED!$E37&amp;" - "&amp;SEED!$G37)</f>
        <v>Bank Rakyat Indonesia - 019301001230300</v>
      </c>
      <c r="D37" s="58" t="str">
        <f ca="1">IF(EXACT($B37, ""), "", IF((SEED!I37*1)=62000000000001, "IDR", IF((SEED!I37*1)=62000000000002, "USD", IF((SEED!I37*1)=62000000000003, "AUD", "Others"))))</f>
        <v>IDR</v>
      </c>
      <c r="E37" s="17" t="str">
        <f ca="1">IF(EXACT($B37, ""), "", IF(FLOOR(SEED!$B37/1000000000000, 1)=124, "Institution - "&amp;VLOOKUP(SEED!$B37, '[1]DataLookUp - InstitutionBranch'!$B$4:$C$1000, 2, FALSE), "Person - "&amp;VLOOKUP(SEED!$B37, [2]DataLookUp!$B$4:$D$1000, 2, FALSE)))</f>
        <v>Institution - PT. QDC Technologies</v>
      </c>
    </row>
    <row r="38" spans="2:5" x14ac:dyDescent="0.2">
      <c r="B38" s="76">
        <f ca="1">IF(EXACT(SEED!$N38, ""), "", SEED!$M38)</f>
        <v>167000000000035</v>
      </c>
      <c r="C38" s="17" t="str">
        <f ca="1">IF(EXACT($B38, ""), "", SEED!$E38&amp;" - "&amp;SEED!$G38)</f>
        <v>Bank Rakyat Indonesia - 019301003214300</v>
      </c>
      <c r="D38" s="58" t="str">
        <f ca="1">IF(EXACT($B38, ""), "", IF((SEED!I38*1)=62000000000001, "IDR", IF((SEED!I38*1)=62000000000002, "USD", IF((SEED!I38*1)=62000000000003, "AUD", "Others"))))</f>
        <v>IDR</v>
      </c>
      <c r="E38" s="17" t="str">
        <f ca="1">IF(EXACT($B38, ""), "", IF(FLOOR(SEED!$B38/1000000000000, 1)=124, "Institution - "&amp;VLOOKUP(SEED!$B38, '[1]DataLookUp - InstitutionBranch'!$B$4:$C$1000, 2, FALSE), "Person - "&amp;VLOOKUP(SEED!$B38, [2]DataLookUp!$B$4:$D$1000, 2, FALSE)))</f>
        <v>Institution - PT. QDC Technologies</v>
      </c>
    </row>
    <row r="39" spans="2:5" x14ac:dyDescent="0.2">
      <c r="B39" s="76">
        <f ca="1">IF(EXACT(SEED!$N39, ""), "", SEED!$M39)</f>
        <v>167000000000036</v>
      </c>
      <c r="C39" s="17" t="str">
        <f ca="1">IF(EXACT($B39, ""), "", SEED!$E39&amp;" - "&amp;SEED!$G39)</f>
        <v>Bank Rakyat Indonesia - 019301003667309</v>
      </c>
      <c r="D39" s="58" t="str">
        <f ca="1">IF(EXACT($B39, ""), "", IF((SEED!I39*1)=62000000000001, "IDR", IF((SEED!I39*1)=62000000000002, "USD", IF((SEED!I39*1)=62000000000003, "AUD", "Others"))))</f>
        <v>IDR</v>
      </c>
      <c r="E39" s="17" t="str">
        <f ca="1">IF(EXACT($B39, ""), "", IF(FLOOR(SEED!$B39/1000000000000, 1)=124, "Institution - "&amp;VLOOKUP(SEED!$B39, '[1]DataLookUp - InstitutionBranch'!$B$4:$C$1000, 2, FALSE), "Person - "&amp;VLOOKUP(SEED!$B39, [2]DataLookUp!$B$4:$D$1000, 2, FALSE)))</f>
        <v>Institution - PT. QDC Technologies</v>
      </c>
    </row>
    <row r="40" spans="2:5" x14ac:dyDescent="0.2">
      <c r="B40" s="76">
        <f ca="1">IF(EXACT(SEED!$N40, ""), "", SEED!$M40)</f>
        <v>167000000000037</v>
      </c>
      <c r="C40" s="17" t="str">
        <f ca="1">IF(EXACT($B40, ""), "", SEED!$E40&amp;" - "&amp;SEED!$G40)</f>
        <v>Bank Rakyat Indonesia - 019301003718304</v>
      </c>
      <c r="D40" s="58" t="str">
        <f ca="1">IF(EXACT($B40, ""), "", IF((SEED!I40*1)=62000000000001, "IDR", IF((SEED!I40*1)=62000000000002, "USD", IF((SEED!I40*1)=62000000000003, "AUD", "Others"))))</f>
        <v>IDR</v>
      </c>
      <c r="E40" s="17" t="str">
        <f ca="1">IF(EXACT($B40, ""), "", IF(FLOOR(SEED!$B40/1000000000000, 1)=124, "Institution - "&amp;VLOOKUP(SEED!$B40, '[1]DataLookUp - InstitutionBranch'!$B$4:$C$1000, 2, FALSE), "Person - "&amp;VLOOKUP(SEED!$B40, [2]DataLookUp!$B$4:$D$1000, 2, FALSE)))</f>
        <v>Institution - PT. QDC Technologies</v>
      </c>
    </row>
    <row r="41" spans="2:5" x14ac:dyDescent="0.2">
      <c r="B41" s="76">
        <f ca="1">IF(EXACT(SEED!$N41, ""), "", SEED!$M41)</f>
        <v>167000000000038</v>
      </c>
      <c r="C41" s="17" t="str">
        <f ca="1">IF(EXACT($B41, ""), "", SEED!$E41&amp;" - "&amp;SEED!$G41)</f>
        <v>Bank Rakyat Indonesia - 019301003719300</v>
      </c>
      <c r="D41" s="58" t="str">
        <f ca="1">IF(EXACT($B41, ""), "", IF((SEED!I41*1)=62000000000001, "IDR", IF((SEED!I41*1)=62000000000002, "USD", IF((SEED!I41*1)=62000000000003, "AUD", "Others"))))</f>
        <v>IDR</v>
      </c>
      <c r="E41" s="17" t="str">
        <f ca="1">IF(EXACT($B41, ""), "", IF(FLOOR(SEED!$B41/1000000000000, 1)=124, "Institution - "&amp;VLOOKUP(SEED!$B41, '[1]DataLookUp - InstitutionBranch'!$B$4:$C$1000, 2, FALSE), "Person - "&amp;VLOOKUP(SEED!$B41, [2]DataLookUp!$B$4:$D$1000, 2, FALSE)))</f>
        <v>Institution - PT. QDC Technologies</v>
      </c>
    </row>
    <row r="42" spans="2:5" x14ac:dyDescent="0.2">
      <c r="B42" s="76">
        <f ca="1">IF(EXACT(SEED!$N42, ""), "", SEED!$M42)</f>
        <v>167000000000039</v>
      </c>
      <c r="C42" s="17" t="str">
        <f ca="1">IF(EXACT($B42, ""), "", SEED!$E42&amp;" - "&amp;SEED!$G42)</f>
        <v>Bank Rakyat Indonesia - 019301003720301</v>
      </c>
      <c r="D42" s="58" t="str">
        <f ca="1">IF(EXACT($B42, ""), "", IF((SEED!I42*1)=62000000000001, "IDR", IF((SEED!I42*1)=62000000000002, "USD", IF((SEED!I42*1)=62000000000003, "AUD", "Others"))))</f>
        <v>IDR</v>
      </c>
      <c r="E42" s="17" t="str">
        <f ca="1">IF(EXACT($B42, ""), "", IF(FLOOR(SEED!$B42/1000000000000, 1)=124, "Institution - "&amp;VLOOKUP(SEED!$B42, '[1]DataLookUp - InstitutionBranch'!$B$4:$C$1000, 2, FALSE), "Person - "&amp;VLOOKUP(SEED!$B42, [2]DataLookUp!$B$4:$D$1000, 2, FALSE)))</f>
        <v>Institution - PT. QDC Technologies</v>
      </c>
    </row>
    <row r="43" spans="2:5" x14ac:dyDescent="0.2">
      <c r="B43" s="76">
        <f ca="1">IF(EXACT(SEED!$N43, ""), "", SEED!$M43)</f>
        <v>167000000000040</v>
      </c>
      <c r="C43" s="17" t="str">
        <f ca="1">IF(EXACT($B43, ""), "", SEED!$E43&amp;" - "&amp;SEED!$G43)</f>
        <v>Bank Rakyat Indonesia - 019301003881301</v>
      </c>
      <c r="D43" s="58" t="str">
        <f ca="1">IF(EXACT($B43, ""), "", IF((SEED!I43*1)=62000000000001, "IDR", IF((SEED!I43*1)=62000000000002, "USD", IF((SEED!I43*1)=62000000000003, "AUD", "Others"))))</f>
        <v>IDR</v>
      </c>
      <c r="E43" s="17" t="str">
        <f ca="1">IF(EXACT($B43, ""), "", IF(FLOOR(SEED!$B43/1000000000000, 1)=124, "Institution - "&amp;VLOOKUP(SEED!$B43, '[1]DataLookUp - InstitutionBranch'!$B$4:$C$1000, 2, FALSE), "Person - "&amp;VLOOKUP(SEED!$B43, [2]DataLookUp!$B$4:$D$1000, 2, FALSE)))</f>
        <v>Institution - PT. QDC Technologies</v>
      </c>
    </row>
    <row r="44" spans="2:5" x14ac:dyDescent="0.2">
      <c r="B44" s="76">
        <f ca="1">IF(EXACT(SEED!$N44, ""), "", SEED!$M44)</f>
        <v>167000000000041</v>
      </c>
      <c r="C44" s="17" t="str">
        <f ca="1">IF(EXACT($B44, ""), "", SEED!$E44&amp;" - "&amp;SEED!$G44)</f>
        <v>Bank Rakyat Indonesia - 035901002067300</v>
      </c>
      <c r="D44" s="58" t="str">
        <f ca="1">IF(EXACT($B44, ""), "", IF((SEED!I44*1)=62000000000001, "IDR", IF((SEED!I44*1)=62000000000002, "USD", IF((SEED!I44*1)=62000000000003, "AUD", "Others"))))</f>
        <v>IDR</v>
      </c>
      <c r="E44" s="17" t="str">
        <f ca="1">IF(EXACT($B44, ""), "", IF(FLOOR(SEED!$B44/1000000000000, 1)=124, "Institution - "&amp;VLOOKUP(SEED!$B44, '[1]DataLookUp - InstitutionBranch'!$B$4:$C$1000, 2, FALSE), "Person - "&amp;VLOOKUP(SEED!$B44, [2]DataLookUp!$B$4:$D$1000, 2, FALSE)))</f>
        <v>Institution - PT. QDC Technologies</v>
      </c>
    </row>
    <row r="45" spans="2:5" x14ac:dyDescent="0.2">
      <c r="B45" s="76">
        <f ca="1">IF(EXACT(SEED!$N45, ""), "", SEED!$M45)</f>
        <v>167000000000042</v>
      </c>
      <c r="C45" s="17" t="str">
        <f ca="1">IF(EXACT($B45, ""), "", SEED!$E45&amp;" - "&amp;SEED!$G45)</f>
        <v>Bank Rakyat Indonesia - 035901002951305</v>
      </c>
      <c r="D45" s="58" t="str">
        <f ca="1">IF(EXACT($B45, ""), "", IF((SEED!I45*1)=62000000000001, "IDR", IF((SEED!I45*1)=62000000000002, "USD", IF((SEED!I45*1)=62000000000003, "AUD", "Others"))))</f>
        <v>IDR</v>
      </c>
      <c r="E45" s="17" t="str">
        <f ca="1">IF(EXACT($B45, ""), "", IF(FLOOR(SEED!$B45/1000000000000, 1)=124, "Institution - "&amp;VLOOKUP(SEED!$B45, '[1]DataLookUp - InstitutionBranch'!$B$4:$C$1000, 2, FALSE), "Person - "&amp;VLOOKUP(SEED!$B45, [2]DataLookUp!$B$4:$D$1000, 2, FALSE)))</f>
        <v>Institution - PT. QDC Technologies</v>
      </c>
    </row>
    <row r="46" spans="2:5" x14ac:dyDescent="0.2">
      <c r="B46" s="76">
        <f ca="1">IF(EXACT(SEED!$N46, ""), "", SEED!$M46)</f>
        <v>167000000000043</v>
      </c>
      <c r="C46" s="17" t="str">
        <f ca="1">IF(EXACT($B46, ""), "", SEED!$E46&amp;" - "&amp;SEED!$G46)</f>
        <v>Bank Rakyat Indonesia - 035901002958307</v>
      </c>
      <c r="D46" s="58" t="str">
        <f ca="1">IF(EXACT($B46, ""), "", IF((SEED!I46*1)=62000000000001, "IDR", IF((SEED!I46*1)=62000000000002, "USD", IF((SEED!I46*1)=62000000000003, "AUD", "Others"))))</f>
        <v>IDR</v>
      </c>
      <c r="E46" s="17" t="str">
        <f ca="1">IF(EXACT($B46, ""), "", IF(FLOOR(SEED!$B46/1000000000000, 1)=124, "Institution - "&amp;VLOOKUP(SEED!$B46, '[1]DataLookUp - InstitutionBranch'!$B$4:$C$1000, 2, FALSE), "Person - "&amp;VLOOKUP(SEED!$B46, [2]DataLookUp!$B$4:$D$1000, 2, FALSE)))</f>
        <v>Institution - PT. QDC Technologies</v>
      </c>
    </row>
    <row r="47" spans="2:5" x14ac:dyDescent="0.2">
      <c r="B47" s="76">
        <f ca="1">IF(EXACT(SEED!$N47, ""), "", SEED!$M47)</f>
        <v>167000000000044</v>
      </c>
      <c r="C47" s="17" t="str">
        <f ca="1">IF(EXACT($B47, ""), "", SEED!$E47&amp;" - "&amp;SEED!$G47)</f>
        <v>Bank Rakyat Indonesia - 044101001553563</v>
      </c>
      <c r="D47" s="58" t="str">
        <f ca="1">IF(EXACT($B47, ""), "", IF((SEED!I47*1)=62000000000001, "IDR", IF((SEED!I47*1)=62000000000002, "USD", IF((SEED!I47*1)=62000000000003, "AUD", "Others"))))</f>
        <v>IDR</v>
      </c>
      <c r="E47" s="17" t="str">
        <f ca="1">IF(EXACT($B47, ""), "", IF(FLOOR(SEED!$B47/1000000000000, 1)=124, "Institution - "&amp;VLOOKUP(SEED!$B47, '[1]DataLookUp - InstitutionBranch'!$B$4:$C$1000, 2, FALSE), "Person - "&amp;VLOOKUP(SEED!$B47, [2]DataLookUp!$B$4:$D$1000, 2, FALSE)))</f>
        <v>Institution - PT. QDC Technologies</v>
      </c>
    </row>
    <row r="48" spans="2:5" x14ac:dyDescent="0.2">
      <c r="B48" s="76">
        <f ca="1">IF(EXACT(SEED!$N48, ""), "", SEED!$M48)</f>
        <v>167000000000045</v>
      </c>
      <c r="C48" s="17" t="str">
        <f ca="1">IF(EXACT($B48, ""), "", SEED!$E48&amp;" - "&amp;SEED!$G48)</f>
        <v>Bank Rakyat Indonesia - 044101002094300</v>
      </c>
      <c r="D48" s="58" t="str">
        <f ca="1">IF(EXACT($B48, ""), "", IF((SEED!I48*1)=62000000000001, "IDR", IF((SEED!I48*1)=62000000000002, "USD", IF((SEED!I48*1)=62000000000003, "AUD", "Others"))))</f>
        <v>IDR</v>
      </c>
      <c r="E48" s="17" t="str">
        <f ca="1">IF(EXACT($B48, ""), "", IF(FLOOR(SEED!$B48/1000000000000, 1)=124, "Institution - "&amp;VLOOKUP(SEED!$B48, '[1]DataLookUp - InstitutionBranch'!$B$4:$C$1000, 2, FALSE), "Person - "&amp;VLOOKUP(SEED!$B48, [2]DataLookUp!$B$4:$D$1000, 2, FALSE)))</f>
        <v>Institution - PT. QDC Technologies</v>
      </c>
    </row>
    <row r="49" spans="2:5" x14ac:dyDescent="0.2">
      <c r="B49" s="76">
        <f ca="1">IF(EXACT(SEED!$N49, ""), "", SEED!$M49)</f>
        <v>167000000000046</v>
      </c>
      <c r="C49" s="17" t="str">
        <f ca="1">IF(EXACT($B49, ""), "", SEED!$E49&amp;" - "&amp;SEED!$G49)</f>
        <v>Bank Rakyat Indonesia - 053801000258309</v>
      </c>
      <c r="D49" s="58" t="str">
        <f ca="1">IF(EXACT($B49, ""), "", IF((SEED!I49*1)=62000000000001, "IDR", IF((SEED!I49*1)=62000000000002, "USD", IF((SEED!I49*1)=62000000000003, "AUD", "Others"))))</f>
        <v>IDR</v>
      </c>
      <c r="E49" s="17" t="str">
        <f ca="1">IF(EXACT($B49, ""), "", IF(FLOOR(SEED!$B49/1000000000000, 1)=124, "Institution - "&amp;VLOOKUP(SEED!$B49, '[1]DataLookUp - InstitutionBranch'!$B$4:$C$1000, 2, FALSE), "Person - "&amp;VLOOKUP(SEED!$B49, [2]DataLookUp!$B$4:$D$1000, 2, FALSE)))</f>
        <v>Institution - PT. QDC Technologies</v>
      </c>
    </row>
    <row r="50" spans="2:5" x14ac:dyDescent="0.2">
      <c r="B50" s="76">
        <f ca="1">IF(EXACT(SEED!$N50, ""), "", SEED!$M50)</f>
        <v>167000000000047</v>
      </c>
      <c r="C50" s="17" t="str">
        <f ca="1">IF(EXACT($B50, ""), "", SEED!$E50&amp;" - "&amp;SEED!$G50)</f>
        <v>Bank Rakyat Indonesia - 34101002394304</v>
      </c>
      <c r="D50" s="58" t="str">
        <f ca="1">IF(EXACT($B50, ""), "", IF((SEED!I50*1)=62000000000001, "IDR", IF((SEED!I50*1)=62000000000002, "USD", IF((SEED!I50*1)=62000000000003, "AUD", "Others"))))</f>
        <v>IDR</v>
      </c>
      <c r="E50" s="17" t="str">
        <f ca="1">IF(EXACT($B50, ""), "", IF(FLOOR(SEED!$B50/1000000000000, 1)=124, "Institution - "&amp;VLOOKUP(SEED!$B50, '[1]DataLookUp - InstitutionBranch'!$B$4:$C$1000, 2, FALSE), "Person - "&amp;VLOOKUP(SEED!$B50, [2]DataLookUp!$B$4:$D$1000, 2, FALSE)))</f>
        <v>Institution - PT. QDC Technologies</v>
      </c>
    </row>
    <row r="51" spans="2:5" x14ac:dyDescent="0.2">
      <c r="B51" s="76">
        <f ca="1">IF(EXACT(SEED!$N51, ""), "", SEED!$M51)</f>
        <v>167000000000048</v>
      </c>
      <c r="C51" s="17" t="str">
        <f ca="1">IF(EXACT($B51, ""), "", SEED!$E51&amp;" - "&amp;SEED!$G51)</f>
        <v>Bank Rakyat Indonesia - 34101002395300</v>
      </c>
      <c r="D51" s="48" t="str">
        <f ca="1">IF(EXACT($B51, ""), "", IF((SEED!I51*1)=62000000000001, "IDR", IF((SEED!I51*1)=62000000000002, "USD", IF((SEED!I51*1)=62000000000003, "AUD", "Others"))))</f>
        <v>USD</v>
      </c>
      <c r="E51" s="17" t="str">
        <f ca="1">IF(EXACT($B51, ""), "", IF(FLOOR(SEED!$B51/1000000000000, 1)=124, "Institution - "&amp;VLOOKUP(SEED!$B51, '[1]DataLookUp - InstitutionBranch'!$B$4:$C$1000, 2, FALSE), "Person - "&amp;VLOOKUP(SEED!$B51, [2]DataLookUp!$B$4:$D$1000, 2, FALSE)))</f>
        <v>Institution - PT. QDC Technologies</v>
      </c>
    </row>
    <row r="52" spans="2:5" x14ac:dyDescent="0.2">
      <c r="B52" s="76">
        <f ca="1">IF(EXACT(SEED!$N52, ""), "", SEED!$M52)</f>
        <v>167000000000049</v>
      </c>
      <c r="C52" s="17" t="str">
        <f ca="1">IF(EXACT($B52, ""), "", SEED!$E52&amp;" - "&amp;SEED!$G52)</f>
        <v>Bank Standard Chartered - 30601430287</v>
      </c>
      <c r="D52" s="48" t="str">
        <f ca="1">IF(EXACT($B52, ""), "", IF((SEED!I52*1)=62000000000001, "IDR", IF((SEED!I52*1)=62000000000002, "USD", IF((SEED!I52*1)=62000000000003, "AUD", "Others"))))</f>
        <v>USD</v>
      </c>
      <c r="E52" s="17" t="str">
        <f ca="1">IF(EXACT($B52, ""), "", IF(FLOOR(SEED!$B52/1000000000000, 1)=124, "Institution - "&amp;VLOOKUP(SEED!$B52, '[1]DataLookUp - InstitutionBranch'!$B$4:$C$1000, 2, FALSE), "Person - "&amp;VLOOKUP(SEED!$B52, [2]DataLookUp!$B$4:$D$1000, 2, FALSE)))</f>
        <v>Institution - PT. QDC Technologies</v>
      </c>
    </row>
    <row r="53" spans="2:5" x14ac:dyDescent="0.2">
      <c r="B53" s="76">
        <f ca="1">IF(EXACT(SEED!$N53, ""), "", SEED!$M53)</f>
        <v>167000000000050</v>
      </c>
      <c r="C53" s="17" t="str">
        <f ca="1">IF(EXACT($B53, ""), "", SEED!$E53&amp;" - "&amp;SEED!$G53)</f>
        <v>Bank Standard Chartered - 30601430325</v>
      </c>
      <c r="D53" s="58" t="str">
        <f ca="1">IF(EXACT($B53, ""), "", IF((SEED!I53*1)=62000000000001, "IDR", IF((SEED!I53*1)=62000000000002, "USD", IF((SEED!I53*1)=62000000000003, "AUD", "Others"))))</f>
        <v>IDR</v>
      </c>
      <c r="E53" s="17" t="str">
        <f ca="1">IF(EXACT($B53, ""), "", IF(FLOOR(SEED!$B53/1000000000000, 1)=124, "Institution - "&amp;VLOOKUP(SEED!$B53, '[1]DataLookUp - InstitutionBranch'!$B$4:$C$1000, 2, FALSE), "Person - "&amp;VLOOKUP(SEED!$B53, [2]DataLookUp!$B$4:$D$1000, 2, FALSE)))</f>
        <v>Institution - PT. QDC Technologies</v>
      </c>
    </row>
    <row r="54" spans="2:5" x14ac:dyDescent="0.2">
      <c r="B54" s="76">
        <f ca="1">IF(EXACT(SEED!$N54, ""), "", SEED!$M54)</f>
        <v>167000000000051</v>
      </c>
      <c r="C54" s="17" t="str">
        <f ca="1">IF(EXACT($B54, ""), "", SEED!$E54&amp;" - "&amp;SEED!$G54)</f>
        <v>Bank Standard Chartered - 30601430376</v>
      </c>
      <c r="D54" s="58" t="str">
        <f ca="1">IF(EXACT($B54, ""), "", IF((SEED!I54*1)=62000000000001, "IDR", IF((SEED!I54*1)=62000000000002, "USD", IF((SEED!I54*1)=62000000000003, "AUD", "Others"))))</f>
        <v>IDR</v>
      </c>
      <c r="E54" s="17" t="str">
        <f ca="1">IF(EXACT($B54, ""), "", IF(FLOOR(SEED!$B54/1000000000000, 1)=124, "Institution - "&amp;VLOOKUP(SEED!$B54, '[1]DataLookUp - InstitutionBranch'!$B$4:$C$1000, 2, FALSE), "Person - "&amp;VLOOKUP(SEED!$B54, [2]DataLookUp!$B$4:$D$1000, 2, FALSE)))</f>
        <v>Institution - PT. QDC Technologies</v>
      </c>
    </row>
    <row r="55" spans="2:5" x14ac:dyDescent="0.2">
      <c r="B55" s="76">
        <f ca="1">IF(EXACT(SEED!$N55, ""), "", SEED!$M55)</f>
        <v>167000000000052</v>
      </c>
      <c r="C55" s="17" t="str">
        <f ca="1">IF(EXACT($B55, ""), "", SEED!$E55&amp;" - "&amp;SEED!$G55)</f>
        <v>Bank Standard Chartered - 30601430414</v>
      </c>
      <c r="D55" s="58" t="str">
        <f ca="1">IF(EXACT($B55, ""), "", IF((SEED!I55*1)=62000000000001, "IDR", IF((SEED!I55*1)=62000000000002, "USD", IF((SEED!I55*1)=62000000000003, "AUD", "Others"))))</f>
        <v>IDR</v>
      </c>
      <c r="E55" s="17" t="str">
        <f ca="1">IF(EXACT($B55, ""), "", IF(FLOOR(SEED!$B55/1000000000000, 1)=124, "Institution - "&amp;VLOOKUP(SEED!$B55, '[1]DataLookUp - InstitutionBranch'!$B$4:$C$1000, 2, FALSE), "Person - "&amp;VLOOKUP(SEED!$B55, [2]DataLookUp!$B$4:$D$1000, 2, FALSE)))</f>
        <v>Institution - PT. QDC Technologies</v>
      </c>
    </row>
    <row r="56" spans="2:5" x14ac:dyDescent="0.2">
      <c r="B56" s="76">
        <f ca="1">IF(EXACT(SEED!$N56, ""), "", SEED!$M56)</f>
        <v>167000000000053</v>
      </c>
      <c r="C56" s="17" t="str">
        <f ca="1">IF(EXACT($B56, ""), "", SEED!$E56&amp;" - "&amp;SEED!$G56)</f>
        <v>Bank Syariah Indonesia - 1006777593</v>
      </c>
      <c r="D56" s="58" t="str">
        <f ca="1">IF(EXACT($B56, ""), "", IF((SEED!I56*1)=62000000000001, "IDR", IF((SEED!I56*1)=62000000000002, "USD", IF((SEED!I56*1)=62000000000003, "AUD", "Others"))))</f>
        <v>IDR</v>
      </c>
      <c r="E56" s="17" t="str">
        <f ca="1">IF(EXACT($B56, ""), "", IF(FLOOR(SEED!$B56/1000000000000, 1)=124, "Institution - "&amp;VLOOKUP(SEED!$B56, '[1]DataLookUp - InstitutionBranch'!$B$4:$C$1000, 2, FALSE), "Person - "&amp;VLOOKUP(SEED!$B56, [2]DataLookUp!$B$4:$D$1000, 2, FALSE)))</f>
        <v>Institution - PT. QDC Technologies</v>
      </c>
    </row>
    <row r="57" spans="2:5" x14ac:dyDescent="0.2">
      <c r="B57" s="76">
        <f ca="1">IF(EXACT(SEED!$N57, ""), "", SEED!$M57)</f>
        <v>167000000000054</v>
      </c>
      <c r="C57" s="17" t="str">
        <f ca="1">IF(EXACT($B57, ""), "", SEED!$E57&amp;" - "&amp;SEED!$G57)</f>
        <v>Bank Syariah Indonesia - 7240736928</v>
      </c>
      <c r="D57" s="58" t="str">
        <f ca="1">IF(EXACT($B57, ""), "", IF((SEED!I57*1)=62000000000001, "IDR", IF((SEED!I57*1)=62000000000002, "USD", IF((SEED!I57*1)=62000000000003, "AUD", "Others"))))</f>
        <v>IDR</v>
      </c>
      <c r="E57" s="17" t="str">
        <f ca="1">IF(EXACT($B57, ""), "", IF(FLOOR(SEED!$B57/1000000000000, 1)=124, "Institution - "&amp;VLOOKUP(SEED!$B57, '[1]DataLookUp - InstitutionBranch'!$B$4:$C$1000, 2, FALSE), "Person - "&amp;VLOOKUP(SEED!$B57, [2]DataLookUp!$B$4:$D$1000, 2, FALSE)))</f>
        <v>Institution - PT. QDC Technologies</v>
      </c>
    </row>
    <row r="58" spans="2:5" x14ac:dyDescent="0.2">
      <c r="B58" s="76">
        <f ca="1">IF(EXACT(SEED!$N58, ""), "", SEED!$M58)</f>
        <v>167000000000055</v>
      </c>
      <c r="C58" s="17" t="str">
        <f ca="1">IF(EXACT($B58, ""), "", SEED!$E58&amp;" - "&amp;SEED!$G58)</f>
        <v>Bank Syariah Indonesia - 7240741347</v>
      </c>
      <c r="D58" s="58" t="str">
        <f ca="1">IF(EXACT($B58, ""), "", IF((SEED!I58*1)=62000000000001, "IDR", IF((SEED!I58*1)=62000000000002, "USD", IF((SEED!I58*1)=62000000000003, "AUD", "Others"))))</f>
        <v>IDR</v>
      </c>
      <c r="E58" s="17" t="str">
        <f ca="1">IF(EXACT($B58, ""), "", IF(FLOOR(SEED!$B58/1000000000000, 1)=124, "Institution - "&amp;VLOOKUP(SEED!$B58, '[1]DataLookUp - InstitutionBranch'!$B$4:$C$1000, 2, FALSE), "Person - "&amp;VLOOKUP(SEED!$B58, [2]DataLookUp!$B$4:$D$1000, 2, FALSE)))</f>
        <v>Institution - PT. QDC Technologies</v>
      </c>
    </row>
    <row r="59" spans="2:5" x14ac:dyDescent="0.2">
      <c r="B59" s="76">
        <f ca="1">IF(EXACT(SEED!$N59, ""), "", SEED!$M59)</f>
        <v>167000000000056</v>
      </c>
      <c r="C59" s="17" t="str">
        <f ca="1">IF(EXACT($B59, ""), "", SEED!$E59&amp;" - "&amp;SEED!$G59)</f>
        <v>Bank Tabungan Negara - 0100201300000052</v>
      </c>
      <c r="D59" s="58" t="str">
        <f ca="1">IF(EXACT($B59, ""), "", IF((SEED!I59*1)=62000000000001, "IDR", IF((SEED!I59*1)=62000000000002, "USD", IF((SEED!I59*1)=62000000000003, "AUD", "Others"))))</f>
        <v>IDR</v>
      </c>
      <c r="E59" s="17" t="str">
        <f ca="1">IF(EXACT($B59, ""), "", IF(FLOOR(SEED!$B59/1000000000000, 1)=124, "Institution - "&amp;VLOOKUP(SEED!$B59, '[1]DataLookUp - InstitutionBranch'!$B$4:$C$1000, 2, FALSE), "Person - "&amp;VLOOKUP(SEED!$B59, [2]DataLookUp!$B$4:$D$1000, 2, FALSE)))</f>
        <v>Institution - PT. QDC Technologies</v>
      </c>
    </row>
    <row r="60" spans="2:5" x14ac:dyDescent="0.2">
      <c r="B60" s="76" t="str">
        <f>IF(EXACT(SEED!$N60, ""), "", SEED!$M60)</f>
        <v/>
      </c>
      <c r="C60" s="17" t="str">
        <f>IF(EXACT($B60, ""), "", SEED!$E60&amp;" - "&amp;SEED!$G60)</f>
        <v/>
      </c>
      <c r="D60" s="58" t="str">
        <f>IF(EXACT($B60, ""), "", IF((SEED!I60*1)=62000000000001, "IDR", IF((SEED!I60*1)=62000000000002, "USD", IF((SEED!I60*1)=62000000000003, "AUD", "Others"))))</f>
        <v/>
      </c>
      <c r="E60" s="17" t="str">
        <f>IF(EXACT($B60, ""), "", IF(FLOOR(SEED!$B60/1000000000000, 1)=124, "Institution - "&amp;VLOOKUP(SEED!$B60, '[1]DataLookUp - InstitutionBranch'!$B$4:$C$1000, 2, FALSE), "Person - "&amp;VLOOKUP(SEED!$B60, [2]DataLookUp!$B$4:$D$1000, 2, FALSE)))</f>
        <v/>
      </c>
    </row>
    <row r="61" spans="2:5" x14ac:dyDescent="0.2">
      <c r="B61" s="76">
        <f ca="1">IF(EXACT(SEED!$N61, ""), "", SEED!$M61)</f>
        <v>167000000000057</v>
      </c>
      <c r="C61" s="17" t="str">
        <f ca="1">IF(EXACT($B61, ""), "", SEED!$E61&amp;" - "&amp;SEED!$G61)</f>
        <v>Bank Central Asia - 6550289791</v>
      </c>
      <c r="D61" s="58" t="str">
        <f ca="1">IF(EXACT($B61, ""), "", IF((SEED!I61*1)=62000000000001, "IDR", IF((SEED!I61*1)=62000000000002, "USD", IF((SEED!I61*1)=62000000000003, "AUD", "Others"))))</f>
        <v>IDR</v>
      </c>
      <c r="E61" s="17" t="str">
        <f ca="1">IF(EXACT($B61, ""), "", IF(FLOOR(SEED!$B61/1000000000000, 1)=124, "Institution - "&amp;VLOOKUP(SEED!$B61, '[1]DataLookUp - InstitutionBranch'!$B$4:$C$1000, 2, FALSE), "Person - "&amp;VLOOKUP(SEED!$B61, [2]DataLookUp!$B$4:$D$1000, 2, FALSE)))</f>
        <v>Person - Teguh Pratama Januzir Sukin</v>
      </c>
    </row>
    <row r="62" spans="2:5" x14ac:dyDescent="0.2">
      <c r="B62" s="76">
        <f ca="1">IF(EXACT(SEED!$N62, ""), "", SEED!$M62)</f>
        <v>167000000000058</v>
      </c>
      <c r="C62" s="17" t="str">
        <f ca="1">IF(EXACT($B62, ""), "", SEED!$E62&amp;" - "&amp;SEED!$G62)</f>
        <v>Bank Mandiri - 121-00-0599441-7</v>
      </c>
      <c r="D62" s="58" t="str">
        <f ca="1">IF(EXACT($B62, ""), "", IF((SEED!I62*1)=62000000000001, "IDR", IF((SEED!I62*1)=62000000000002, "USD", IF((SEED!I62*1)=62000000000003, "AUD", "Others"))))</f>
        <v>IDR</v>
      </c>
      <c r="E62" s="17" t="str">
        <f ca="1">IF(EXACT($B62, ""), "", IF(FLOOR(SEED!$B62/1000000000000, 1)=124, "Institution - "&amp;VLOOKUP(SEED!$B62, '[1]DataLookUp - InstitutionBranch'!$B$4:$C$1000, 2, FALSE), "Person - "&amp;VLOOKUP(SEED!$B62, [2]DataLookUp!$B$4:$D$1000, 2, FALSE)))</f>
        <v>Person - Teguh Pratama Januzir Sukin</v>
      </c>
    </row>
    <row r="63" spans="2:5" x14ac:dyDescent="0.2">
      <c r="B63" s="76">
        <f ca="1">IF(EXACT(SEED!$N63, ""), "", SEED!$M63)</f>
        <v>167000000000059</v>
      </c>
      <c r="C63" s="17" t="str">
        <f ca="1">IF(EXACT($B63, ""), "", SEED!$E63&amp;" - "&amp;SEED!$G63)</f>
        <v>Bank Rakyat Indonesia - 0206-01-095647-50-4</v>
      </c>
      <c r="D63" s="58" t="str">
        <f ca="1">IF(EXACT($B63, ""), "", IF((SEED!I63*1)=62000000000001, "IDR", IF((SEED!I63*1)=62000000000002, "USD", IF((SEED!I63*1)=62000000000003, "AUD", "Others"))))</f>
        <v>IDR</v>
      </c>
      <c r="E63" s="17" t="str">
        <f ca="1">IF(EXACT($B63, ""), "", IF(FLOOR(SEED!$B63/1000000000000, 1)=124, "Institution - "&amp;VLOOKUP(SEED!$B63, '[1]DataLookUp - InstitutionBranch'!$B$4:$C$1000, 2, FALSE), "Person - "&amp;VLOOKUP(SEED!$B63, [2]DataLookUp!$B$4:$D$1000, 2, FALSE)))</f>
        <v>Person - Teguh Pratama Januzir Sukin</v>
      </c>
    </row>
    <row r="64" spans="2:5" x14ac:dyDescent="0.2">
      <c r="B64" s="76">
        <f ca="1">IF(EXACT(SEED!$N64, ""), "", SEED!$M64)</f>
        <v>167000000000060</v>
      </c>
      <c r="C64" s="17" t="str">
        <f ca="1">IF(EXACT($B64, ""), "", SEED!$E64&amp;" - "&amp;SEED!$G64)</f>
        <v>Bank Central Asia - 0060262641</v>
      </c>
      <c r="D64" s="58" t="str">
        <f ca="1">IF(EXACT($B64, ""), "", IF((SEED!I64*1)=62000000000001, "IDR", IF((SEED!I64*1)=62000000000002, "USD", IF((SEED!I64*1)=62000000000003, "AUD", "Others"))))</f>
        <v>IDR</v>
      </c>
      <c r="E64" s="17" t="str">
        <f ca="1">IF(EXACT($B64, ""), "", IF(FLOOR(SEED!$B64/1000000000000, 1)=124, "Institution - "&amp;VLOOKUP(SEED!$B64, '[1]DataLookUp - InstitutionBranch'!$B$4:$C$1000, 2, FALSE), "Person - "&amp;VLOOKUP(SEED!$B64, [2]DataLookUp!$B$4:$D$1000, 2, FALSE)))</f>
        <v>Person - Abdul Samad</v>
      </c>
    </row>
    <row r="65" spans="2:5" x14ac:dyDescent="0.2">
      <c r="B65" s="76">
        <f ca="1">IF(EXACT(SEED!$N65, ""), "", SEED!$M65)</f>
        <v>167000000000061</v>
      </c>
      <c r="C65" s="17" t="str">
        <f ca="1">IF(EXACT($B65, ""), "", SEED!$E65&amp;" - "&amp;SEED!$G65)</f>
        <v>Bank Central Asia - 2040089643</v>
      </c>
      <c r="D65" s="58" t="str">
        <f ca="1">IF(EXACT($B65, ""), "", IF((SEED!I65*1)=62000000000001, "IDR", IF((SEED!I65*1)=62000000000002, "USD", IF((SEED!I65*1)=62000000000003, "AUD", "Others"))))</f>
        <v>IDR</v>
      </c>
      <c r="E65" s="17" t="str">
        <f ca="1">IF(EXACT($B65, ""), "", IF(FLOOR(SEED!$B65/1000000000000, 1)=124, "Institution - "&amp;VLOOKUP(SEED!$B65, '[1]DataLookUp - InstitutionBranch'!$B$4:$C$1000, 2, FALSE), "Person - "&amp;VLOOKUP(SEED!$B65, [2]DataLookUp!$B$4:$D$1000, 2, FALSE)))</f>
        <v>Person - Achmad Yunadi</v>
      </c>
    </row>
    <row r="66" spans="2:5" x14ac:dyDescent="0.2">
      <c r="B66" s="76">
        <f ca="1">IF(EXACT(SEED!$N66, ""), "", SEED!$M66)</f>
        <v>167000000000062</v>
      </c>
      <c r="C66" s="17" t="str">
        <f ca="1">IF(EXACT($B66, ""), "", SEED!$E66&amp;" - "&amp;SEED!$G66)</f>
        <v>Bank Central Asia - 0350780718</v>
      </c>
      <c r="D66" s="58" t="str">
        <f ca="1">IF(EXACT($B66, ""), "", IF((SEED!I66*1)=62000000000001, "IDR", IF((SEED!I66*1)=62000000000002, "USD", IF((SEED!I66*1)=62000000000003, "AUD", "Others"))))</f>
        <v>IDR</v>
      </c>
      <c r="E66" s="17" t="str">
        <f ca="1">IF(EXACT($B66, ""), "", IF(FLOOR(SEED!$B66/1000000000000, 1)=124, "Institution - "&amp;VLOOKUP(SEED!$B66, '[1]DataLookUp - InstitutionBranch'!$B$4:$C$1000, 2, FALSE), "Person - "&amp;VLOOKUP(SEED!$B66, [2]DataLookUp!$B$4:$D$1000, 2, FALSE)))</f>
        <v>Person - Agnes Sutedja</v>
      </c>
    </row>
    <row r="67" spans="2:5" x14ac:dyDescent="0.2">
      <c r="B67" s="76">
        <f ca="1">IF(EXACT(SEED!$N67, ""), "", SEED!$M67)</f>
        <v>167000000000063</v>
      </c>
      <c r="C67" s="17" t="str">
        <f ca="1">IF(EXACT($B67, ""), "", SEED!$E67&amp;" - "&amp;SEED!$G67)</f>
        <v>Bank Central Asia - 6821221339</v>
      </c>
      <c r="D67" s="58" t="str">
        <f ca="1">IF(EXACT($B67, ""), "", IF((SEED!I67*1)=62000000000001, "IDR", IF((SEED!I67*1)=62000000000002, "USD", IF((SEED!I67*1)=62000000000003, "AUD", "Others"))))</f>
        <v>IDR</v>
      </c>
      <c r="E67" s="17" t="str">
        <f ca="1">IF(EXACT($B67, ""), "", IF(FLOOR(SEED!$B67/1000000000000, 1)=124, "Institution - "&amp;VLOOKUP(SEED!$B67, '[1]DataLookUp - InstitutionBranch'!$B$4:$C$1000, 2, FALSE), "Person - "&amp;VLOOKUP(SEED!$B67, [2]DataLookUp!$B$4:$D$1000, 2, FALSE)))</f>
        <v>Person - Agus Nuryadi</v>
      </c>
    </row>
    <row r="68" spans="2:5" x14ac:dyDescent="0.2">
      <c r="B68" s="76">
        <f ca="1">IF(EXACT(SEED!$N68, ""), "", SEED!$M68)</f>
        <v>167000000000064</v>
      </c>
      <c r="C68" s="17" t="str">
        <f ca="1">IF(EXACT($B68, ""), "", SEED!$E68&amp;" - "&amp;SEED!$G68)</f>
        <v>Bank Central Asia - 5750423347</v>
      </c>
      <c r="D68" s="58" t="str">
        <f ca="1">IF(EXACT($B68, ""), "", IF((SEED!I68*1)=62000000000001, "IDR", IF((SEED!I68*1)=62000000000002, "USD", IF((SEED!I68*1)=62000000000003, "AUD", "Others"))))</f>
        <v>IDR</v>
      </c>
      <c r="E68" s="17" t="str">
        <f ca="1">IF(EXACT($B68, ""), "", IF(FLOOR(SEED!$B68/1000000000000, 1)=124, "Institution - "&amp;VLOOKUP(SEED!$B68, '[1]DataLookUp - InstitutionBranch'!$B$4:$C$1000, 2, FALSE), "Person - "&amp;VLOOKUP(SEED!$B68, [2]DataLookUp!$B$4:$D$1000, 2, FALSE)))</f>
        <v>Person - Agus Salim</v>
      </c>
    </row>
    <row r="69" spans="2:5" x14ac:dyDescent="0.2">
      <c r="B69" s="76">
        <f ca="1">IF(EXACT(SEED!$N69, ""), "", SEED!$M69)</f>
        <v>167000000000065</v>
      </c>
      <c r="C69" s="17" t="str">
        <f ca="1">IF(EXACT($B69, ""), "", SEED!$E69&amp;" - "&amp;SEED!$G69)</f>
        <v>Bank Central Asia - 7150306269</v>
      </c>
      <c r="D69" s="58" t="str">
        <f ca="1">IF(EXACT($B69, ""), "", IF((SEED!I69*1)=62000000000001, "IDR", IF((SEED!I69*1)=62000000000002, "USD", IF((SEED!I69*1)=62000000000003, "AUD", "Others"))))</f>
        <v>IDR</v>
      </c>
      <c r="E69" s="17" t="str">
        <f ca="1">IF(EXACT($B69, ""), "", IF(FLOOR(SEED!$B69/1000000000000, 1)=124, "Institution - "&amp;VLOOKUP(SEED!$B69, '[1]DataLookUp - InstitutionBranch'!$B$4:$C$1000, 2, FALSE), "Person - "&amp;VLOOKUP(SEED!$B69, [2]DataLookUp!$B$4:$D$1000, 2, FALSE)))</f>
        <v>Person - Ahmad Syaifulloh</v>
      </c>
    </row>
    <row r="70" spans="2:5" x14ac:dyDescent="0.2">
      <c r="B70" s="76">
        <f ca="1">IF(EXACT(SEED!$N70, ""), "", SEED!$M70)</f>
        <v>167000000000066</v>
      </c>
      <c r="C70" s="17" t="str">
        <f ca="1">IF(EXACT($B70, ""), "", SEED!$E70&amp;" - "&amp;SEED!$G70)</f>
        <v>Bank Central Asia - 2670159496</v>
      </c>
      <c r="D70" s="58" t="str">
        <f ca="1">IF(EXACT($B70, ""), "", IF((SEED!I70*1)=62000000000001, "IDR", IF((SEED!I70*1)=62000000000002, "USD", IF((SEED!I70*1)=62000000000003, "AUD", "Others"))))</f>
        <v>IDR</v>
      </c>
      <c r="E70" s="17" t="str">
        <f ca="1">IF(EXACT($B70, ""), "", IF(FLOOR(SEED!$B70/1000000000000, 1)=124, "Institution - "&amp;VLOOKUP(SEED!$B70, '[1]DataLookUp - InstitutionBranch'!$B$4:$C$1000, 2, FALSE), "Person - "&amp;VLOOKUP(SEED!$B70, [2]DataLookUp!$B$4:$D$1000, 2, FALSE)))</f>
        <v>Person - Ahmad Choerul</v>
      </c>
    </row>
    <row r="71" spans="2:5" x14ac:dyDescent="0.2">
      <c r="B71" s="76">
        <f ca="1">IF(EXACT(SEED!$N71, ""), "", SEED!$M71)</f>
        <v>167000000000067</v>
      </c>
      <c r="C71" s="17" t="str">
        <f ca="1">IF(EXACT($B71, ""), "", SEED!$E71&amp;" - "&amp;SEED!$G71)</f>
        <v>Bank Central Asia - 5520607058</v>
      </c>
      <c r="D71" s="58" t="str">
        <f ca="1">IF(EXACT($B71, ""), "", IF((SEED!I71*1)=62000000000001, "IDR", IF((SEED!I71*1)=62000000000002, "USD", IF((SEED!I71*1)=62000000000003, "AUD", "Others"))))</f>
        <v>IDR</v>
      </c>
      <c r="E71" s="17" t="str">
        <f ca="1">IF(EXACT($B71, ""), "", IF(FLOOR(SEED!$B71/1000000000000, 1)=124, "Institution - "&amp;VLOOKUP(SEED!$B71, '[1]DataLookUp - InstitutionBranch'!$B$4:$C$1000, 2, FALSE), "Person - "&amp;VLOOKUP(SEED!$B71, [2]DataLookUp!$B$4:$D$1000, 2, FALSE)))</f>
        <v>Person - Aldi Mulyadi</v>
      </c>
    </row>
    <row r="72" spans="2:5" x14ac:dyDescent="0.2">
      <c r="B72" s="76">
        <f ca="1">IF(EXACT(SEED!$N72, ""), "", SEED!$M72)</f>
        <v>167000000000068</v>
      </c>
      <c r="C72" s="17" t="str">
        <f ca="1">IF(EXACT($B72, ""), "", SEED!$E72&amp;" - "&amp;SEED!$G72)</f>
        <v>Bank Central Asia - 5520537742</v>
      </c>
      <c r="D72" s="58" t="str">
        <f ca="1">IF(EXACT($B72, ""), "", IF((SEED!I72*1)=62000000000001, "IDR", IF((SEED!I72*1)=62000000000002, "USD", IF((SEED!I72*1)=62000000000003, "AUD", "Others"))))</f>
        <v>IDR</v>
      </c>
      <c r="E72" s="17" t="str">
        <f ca="1">IF(EXACT($B72, ""), "", IF(FLOOR(SEED!$B72/1000000000000, 1)=124, "Institution - "&amp;VLOOKUP(SEED!$B72, '[1]DataLookUp - InstitutionBranch'!$B$4:$C$1000, 2, FALSE), "Person - "&amp;VLOOKUP(SEED!$B72, [2]DataLookUp!$B$4:$D$1000, 2, FALSE)))</f>
        <v>Person - Annisa Dewi Arumsari</v>
      </c>
    </row>
    <row r="73" spans="2:5" x14ac:dyDescent="0.2">
      <c r="B73" s="76">
        <f ca="1">IF(EXACT(SEED!$N73, ""), "", SEED!$M73)</f>
        <v>167000000000069</v>
      </c>
      <c r="C73" s="17" t="str">
        <f ca="1">IF(EXACT($B73, ""), "", SEED!$E73&amp;" - "&amp;SEED!$G73)</f>
        <v>Bank Central Asia - 4565061969</v>
      </c>
      <c r="D73" s="58" t="str">
        <f ca="1">IF(EXACT($B73, ""), "", IF((SEED!I73*1)=62000000000001, "IDR", IF((SEED!I73*1)=62000000000002, "USD", IF((SEED!I73*1)=62000000000003, "AUD", "Others"))))</f>
        <v>IDR</v>
      </c>
      <c r="E73" s="17" t="str">
        <f ca="1">IF(EXACT($B73, ""), "", IF(FLOOR(SEED!$B73/1000000000000, 1)=124, "Institution - "&amp;VLOOKUP(SEED!$B73, '[1]DataLookUp - InstitutionBranch'!$B$4:$C$1000, 2, FALSE), "Person - "&amp;VLOOKUP(SEED!$B73, [2]DataLookUp!$B$4:$D$1000, 2, FALSE)))</f>
        <v>Person - Anugerah Januariansyah</v>
      </c>
    </row>
    <row r="74" spans="2:5" x14ac:dyDescent="0.2">
      <c r="B74" s="76">
        <f ca="1">IF(EXACT(SEED!$N74, ""), "", SEED!$M74)</f>
        <v>167000000000070</v>
      </c>
      <c r="C74" s="17" t="str">
        <f ca="1">IF(EXACT($B74, ""), "", SEED!$E74&amp;" - "&amp;SEED!$G74)</f>
        <v>Bank Central Asia - 5520579321</v>
      </c>
      <c r="D74" s="58" t="str">
        <f ca="1">IF(EXACT($B74, ""), "", IF((SEED!I74*1)=62000000000001, "IDR", IF((SEED!I74*1)=62000000000002, "USD", IF((SEED!I74*1)=62000000000003, "AUD", "Others"))))</f>
        <v>IDR</v>
      </c>
      <c r="E74" s="17" t="str">
        <f ca="1">IF(EXACT($B74, ""), "", IF(FLOOR(SEED!$B74/1000000000000, 1)=124, "Institution - "&amp;VLOOKUP(SEED!$B74, '[1]DataLookUp - InstitutionBranch'!$B$4:$C$1000, 2, FALSE), "Person - "&amp;VLOOKUP(SEED!$B74, [2]DataLookUp!$B$4:$D$1000, 2, FALSE)))</f>
        <v>Person - Belina Lindarwani</v>
      </c>
    </row>
    <row r="75" spans="2:5" x14ac:dyDescent="0.2">
      <c r="B75" s="76">
        <f ca="1">IF(EXACT(SEED!$N75, ""), "", SEED!$M75)</f>
        <v>167000000000071</v>
      </c>
      <c r="C75" s="17" t="str">
        <f ca="1">IF(EXACT($B75, ""), "", SEED!$E75&amp;" - "&amp;SEED!$G75)</f>
        <v>Bank Central Asia - 1280247568</v>
      </c>
      <c r="D75" s="58" t="str">
        <f ca="1">IF(EXACT($B75, ""), "", IF((SEED!I75*1)=62000000000001, "IDR", IF((SEED!I75*1)=62000000000002, "USD", IF((SEED!I75*1)=62000000000003, "AUD", "Others"))))</f>
        <v>IDR</v>
      </c>
      <c r="E75" s="17" t="str">
        <f ca="1">IF(EXACT($B75, ""), "", IF(FLOOR(SEED!$B75/1000000000000, 1)=124, "Institution - "&amp;VLOOKUP(SEED!$B75, '[1]DataLookUp - InstitutionBranch'!$B$4:$C$1000, 2, FALSE), "Person - "&amp;VLOOKUP(SEED!$B75, [2]DataLookUp!$B$4:$D$1000, 2, FALSE)))</f>
        <v>Person - Budianto</v>
      </c>
    </row>
    <row r="76" spans="2:5" x14ac:dyDescent="0.2">
      <c r="B76" s="76">
        <f ca="1">IF(EXACT(SEED!$N76, ""), "", SEED!$M76)</f>
        <v>167000000000072</v>
      </c>
      <c r="C76" s="17" t="str">
        <f ca="1">IF(EXACT($B76, ""), "", SEED!$E76&amp;" - "&amp;SEED!$G76)</f>
        <v>Bank Central Asia - 2211206120</v>
      </c>
      <c r="D76" s="58" t="str">
        <f ca="1">IF(EXACT($B76, ""), "", IF((SEED!I76*1)=62000000000001, "IDR", IF((SEED!I76*1)=62000000000002, "USD", IF((SEED!I76*1)=62000000000003, "AUD", "Others"))))</f>
        <v>IDR</v>
      </c>
      <c r="E76" s="17" t="str">
        <f ca="1">IF(EXACT($B76, ""), "", IF(FLOOR(SEED!$B76/1000000000000, 1)=124, "Institution - "&amp;VLOOKUP(SEED!$B76, '[1]DataLookUp - InstitutionBranch'!$B$4:$C$1000, 2, FALSE), "Person - "&amp;VLOOKUP(SEED!$B76, [2]DataLookUp!$B$4:$D$1000, 2, FALSE)))</f>
        <v>Person - Darsito</v>
      </c>
    </row>
    <row r="77" spans="2:5" x14ac:dyDescent="0.2">
      <c r="B77" s="76">
        <f ca="1">IF(EXACT(SEED!$N77, ""), "", SEED!$M77)</f>
        <v>167000000000073</v>
      </c>
      <c r="C77" s="17" t="str">
        <f ca="1">IF(EXACT($B77, ""), "", SEED!$E77&amp;" - "&amp;SEED!$G77)</f>
        <v>Bank Central Asia - 2839669733</v>
      </c>
      <c r="D77" s="58" t="str">
        <f ca="1">IF(EXACT($B77, ""), "", IF((SEED!I77*1)=62000000000001, "IDR", IF((SEED!I77*1)=62000000000002, "USD", IF((SEED!I77*1)=62000000000003, "AUD", "Others"))))</f>
        <v>IDR</v>
      </c>
      <c r="E77" s="17" t="str">
        <f ca="1">IF(EXACT($B77, ""), "", IF(FLOOR(SEED!$B77/1000000000000, 1)=124, "Institution - "&amp;VLOOKUP(SEED!$B77, '[1]DataLookUp - InstitutionBranch'!$B$4:$C$1000, 2, FALSE), "Person - "&amp;VLOOKUP(SEED!$B77, [2]DataLookUp!$B$4:$D$1000, 2, FALSE)))</f>
        <v>Person - Deddy Rochman</v>
      </c>
    </row>
    <row r="78" spans="2:5" x14ac:dyDescent="0.2">
      <c r="B78" s="76">
        <f ca="1">IF(EXACT(SEED!$N78, ""), "", SEED!$M78)</f>
        <v>167000000000074</v>
      </c>
      <c r="C78" s="17" t="str">
        <f ca="1">IF(EXACT($B78, ""), "", SEED!$E78&amp;" - "&amp;SEED!$G78)</f>
        <v>Bank Central Asia - 2731371123</v>
      </c>
      <c r="D78" s="58" t="str">
        <f ca="1">IF(EXACT($B78, ""), "", IF((SEED!I78*1)=62000000000001, "IDR", IF((SEED!I78*1)=62000000000002, "USD", IF((SEED!I78*1)=62000000000003, "AUD", "Others"))))</f>
        <v>IDR</v>
      </c>
      <c r="E78" s="17" t="str">
        <f ca="1">IF(EXACT($B78, ""), "", IF(FLOOR(SEED!$B78/1000000000000, 1)=124, "Institution - "&amp;VLOOKUP(SEED!$B78, '[1]DataLookUp - InstitutionBranch'!$B$4:$C$1000, 2, FALSE), "Person - "&amp;VLOOKUP(SEED!$B78, [2]DataLookUp!$B$4:$D$1000, 2, FALSE)))</f>
        <v>Person - Dionesius Sostenist Duka</v>
      </c>
    </row>
    <row r="79" spans="2:5" x14ac:dyDescent="0.2">
      <c r="B79" s="76">
        <f ca="1">IF(EXACT(SEED!$N79, ""), "", SEED!$M79)</f>
        <v>167000000000075</v>
      </c>
      <c r="C79" s="17" t="str">
        <f ca="1">IF(EXACT($B79, ""), "", SEED!$E79&amp;" - "&amp;SEED!$G79)</f>
        <v>Bank Central Asia - 0060185646</v>
      </c>
      <c r="D79" s="58" t="str">
        <f ca="1">IF(EXACT($B79, ""), "", IF((SEED!I79*1)=62000000000001, "IDR", IF((SEED!I79*1)=62000000000002, "USD", IF((SEED!I79*1)=62000000000003, "AUD", "Others"))))</f>
        <v>IDR</v>
      </c>
      <c r="E79" s="17" t="str">
        <f ca="1">IF(EXACT($B79, ""), "", IF(FLOOR(SEED!$B79/1000000000000, 1)=124, "Institution - "&amp;VLOOKUP(SEED!$B79, '[1]DataLookUp - InstitutionBranch'!$B$4:$C$1000, 2, FALSE), "Person - "&amp;VLOOKUP(SEED!$B79, [2]DataLookUp!$B$4:$D$1000, 2, FALSE)))</f>
        <v>Person - Edi Waluyo</v>
      </c>
    </row>
    <row r="80" spans="2:5" x14ac:dyDescent="0.2">
      <c r="B80" s="76">
        <f ca="1">IF(EXACT(SEED!$N80, ""), "", SEED!$M80)</f>
        <v>167000000000076</v>
      </c>
      <c r="C80" s="17" t="str">
        <f ca="1">IF(EXACT($B80, ""), "", SEED!$E80&amp;" - "&amp;SEED!$G80)</f>
        <v>Bank Central Asia - 5211078091</v>
      </c>
      <c r="D80" s="58" t="str">
        <f ca="1">IF(EXACT($B80, ""), "", IF((SEED!I80*1)=62000000000001, "IDR", IF((SEED!I80*1)=62000000000002, "USD", IF((SEED!I80*1)=62000000000003, "AUD", "Others"))))</f>
        <v>IDR</v>
      </c>
      <c r="E80" s="17" t="str">
        <f ca="1">IF(EXACT($B80, ""), "", IF(FLOOR(SEED!$B80/1000000000000, 1)=124, "Institution - "&amp;VLOOKUP(SEED!$B80, '[1]DataLookUp - InstitutionBranch'!$B$4:$C$1000, 2, FALSE), "Person - "&amp;VLOOKUP(SEED!$B80, [2]DataLookUp!$B$4:$D$1000, 2, FALSE)))</f>
        <v>Person - Eka Bagus Dwi Putra</v>
      </c>
    </row>
    <row r="81" spans="2:5" x14ac:dyDescent="0.2">
      <c r="B81" s="76">
        <f ca="1">IF(EXACT(SEED!$N81, ""), "", SEED!$M81)</f>
        <v>167000000000077</v>
      </c>
      <c r="C81" s="17" t="str">
        <f ca="1">IF(EXACT($B81, ""), "", SEED!$E81&amp;" - "&amp;SEED!$G81)</f>
        <v>Bank Central Asia - 5855178874</v>
      </c>
      <c r="D81" s="58" t="str">
        <f ca="1">IF(EXACT($B81, ""), "", IF((SEED!I81*1)=62000000000001, "IDR", IF((SEED!I81*1)=62000000000002, "USD", IF((SEED!I81*1)=62000000000003, "AUD", "Others"))))</f>
        <v>IDR</v>
      </c>
      <c r="E81" s="17" t="str">
        <f ca="1">IF(EXACT($B81, ""), "", IF(FLOOR(SEED!$B81/1000000000000, 1)=124, "Institution - "&amp;VLOOKUP(SEED!$B81, '[1]DataLookUp - InstitutionBranch'!$B$4:$C$1000, 2, FALSE), "Person - "&amp;VLOOKUP(SEED!$B81, [2]DataLookUp!$B$4:$D$1000, 2, FALSE)))</f>
        <v>Person - Eka Purwanti</v>
      </c>
    </row>
    <row r="82" spans="2:5" x14ac:dyDescent="0.2">
      <c r="B82" s="76">
        <f ca="1">IF(EXACT(SEED!$N82, ""), "", SEED!$M82)</f>
        <v>167000000000078</v>
      </c>
      <c r="C82" s="17" t="str">
        <f ca="1">IF(EXACT($B82, ""), "", SEED!$E82&amp;" - "&amp;SEED!$G82)</f>
        <v>Bank Central Asia - 5750226541</v>
      </c>
      <c r="D82" s="58" t="str">
        <f ca="1">IF(EXACT($B82, ""), "", IF((SEED!I82*1)=62000000000001, "IDR", IF((SEED!I82*1)=62000000000002, "USD", IF((SEED!I82*1)=62000000000003, "AUD", "Others"))))</f>
        <v>IDR</v>
      </c>
      <c r="E82" s="17" t="str">
        <f ca="1">IF(EXACT($B82, ""), "", IF(FLOOR(SEED!$B82/1000000000000, 1)=124, "Institution - "&amp;VLOOKUP(SEED!$B82, '[1]DataLookUp - InstitutionBranch'!$B$4:$C$1000, 2, FALSE), "Person - "&amp;VLOOKUP(SEED!$B82, [2]DataLookUp!$B$4:$D$1000, 2, FALSE)))</f>
        <v>Person - Endang Sutrisna</v>
      </c>
    </row>
    <row r="83" spans="2:5" x14ac:dyDescent="0.2">
      <c r="B83" s="76">
        <f ca="1">IF(EXACT(SEED!$N83, ""), "", SEED!$M83)</f>
        <v>167000000000079</v>
      </c>
      <c r="C83" s="17" t="str">
        <f ca="1">IF(EXACT($B83, ""), "", SEED!$E83&amp;" - "&amp;SEED!$G83)</f>
        <v>Bank Central Asia - 8760378217</v>
      </c>
      <c r="D83" s="58" t="str">
        <f ca="1">IF(EXACT($B83, ""), "", IF((SEED!I83*1)=62000000000001, "IDR", IF((SEED!I83*1)=62000000000002, "USD", IF((SEED!I83*1)=62000000000003, "AUD", "Others"))))</f>
        <v>IDR</v>
      </c>
      <c r="E83" s="17" t="str">
        <f ca="1">IF(EXACT($B83, ""), "", IF(FLOOR(SEED!$B83/1000000000000, 1)=124, "Institution - "&amp;VLOOKUP(SEED!$B83, '[1]DataLookUp - InstitutionBranch'!$B$4:$C$1000, 2, FALSE), "Person - "&amp;VLOOKUP(SEED!$B83, [2]DataLookUp!$B$4:$D$1000, 2, FALSE)))</f>
        <v>Person - Ferdian Kriswantoro</v>
      </c>
    </row>
    <row r="84" spans="2:5" x14ac:dyDescent="0.2">
      <c r="B84" s="76">
        <f ca="1">IF(EXACT(SEED!$N84, ""), "", SEED!$M84)</f>
        <v>167000000000080</v>
      </c>
      <c r="C84" s="17" t="str">
        <f ca="1">IF(EXACT($B84, ""), "", SEED!$E84&amp;" - "&amp;SEED!$G84)</f>
        <v>Bank Central Asia - 8200472447</v>
      </c>
      <c r="D84" s="58" t="str">
        <f ca="1">IF(EXACT($B84, ""), "", IF((SEED!I84*1)=62000000000001, "IDR", IF((SEED!I84*1)=62000000000002, "USD", IF((SEED!I84*1)=62000000000003, "AUD", "Others"))))</f>
        <v>IDR</v>
      </c>
      <c r="E84" s="17" t="str">
        <f ca="1">IF(EXACT($B84, ""), "", IF(FLOOR(SEED!$B84/1000000000000, 1)=124, "Institution - "&amp;VLOOKUP(SEED!$B84, '[1]DataLookUp - InstitutionBranch'!$B$4:$C$1000, 2, FALSE), "Person - "&amp;VLOOKUP(SEED!$B84, [2]DataLookUp!$B$4:$D$1000, 2, FALSE)))</f>
        <v>Person - Frando Judi Siahaan</v>
      </c>
    </row>
    <row r="85" spans="2:5" x14ac:dyDescent="0.2">
      <c r="B85" s="76">
        <f ca="1">IF(EXACT(SEED!$N85, ""), "", SEED!$M85)</f>
        <v>167000000000081</v>
      </c>
      <c r="C85" s="17" t="str">
        <f ca="1">IF(EXACT($B85, ""), "", SEED!$E85&amp;" - "&amp;SEED!$G85)</f>
        <v>Bank Central Asia - 1281467889</v>
      </c>
      <c r="D85" s="58" t="str">
        <f ca="1">IF(EXACT($B85, ""), "", IF((SEED!I85*1)=62000000000001, "IDR", IF((SEED!I85*1)=62000000000002, "USD", IF((SEED!I85*1)=62000000000003, "AUD", "Others"))))</f>
        <v>IDR</v>
      </c>
      <c r="E85" s="17" t="str">
        <f ca="1">IF(EXACT($B85, ""), "", IF(FLOOR(SEED!$B85/1000000000000, 1)=124, "Institution - "&amp;VLOOKUP(SEED!$B85, '[1]DataLookUp - InstitutionBranch'!$B$4:$C$1000, 2, FALSE), "Person - "&amp;VLOOKUP(SEED!$B85, [2]DataLookUp!$B$4:$D$1000, 2, FALSE)))</f>
        <v>Person - Gunawan</v>
      </c>
    </row>
    <row r="86" spans="2:5" x14ac:dyDescent="0.2">
      <c r="B86" s="76">
        <f ca="1">IF(EXACT(SEED!$N86, ""), "", SEED!$M86)</f>
        <v>167000000000082</v>
      </c>
      <c r="C86" s="17" t="str">
        <f ca="1">IF(EXACT($B86, ""), "", SEED!$E86&amp;" - "&amp;SEED!$G86)</f>
        <v>Bank Central Asia - 3191643869</v>
      </c>
      <c r="D86" s="58" t="str">
        <f ca="1">IF(EXACT($B86, ""), "", IF((SEED!I86*1)=62000000000001, "IDR", IF((SEED!I86*1)=62000000000002, "USD", IF((SEED!I86*1)=62000000000003, "AUD", "Others"))))</f>
        <v>IDR</v>
      </c>
      <c r="E86" s="17" t="str">
        <f ca="1">IF(EXACT($B86, ""), "", IF(FLOOR(SEED!$B86/1000000000000, 1)=124, "Institution - "&amp;VLOOKUP(SEED!$B86, '[1]DataLookUp - InstitutionBranch'!$B$4:$C$1000, 2, FALSE), "Person - "&amp;VLOOKUP(SEED!$B86, [2]DataLookUp!$B$4:$D$1000, 2, FALSE)))</f>
        <v>Person - Tajuddin Assubki Ismail</v>
      </c>
    </row>
    <row r="87" spans="2:5" x14ac:dyDescent="0.2">
      <c r="B87" s="76">
        <f ca="1">IF(EXACT(SEED!$N87, ""), "", SEED!$M87)</f>
        <v>167000000000083</v>
      </c>
      <c r="C87" s="17" t="str">
        <f ca="1">IF(EXACT($B87, ""), "", SEED!$E87&amp;" - "&amp;SEED!$G87)</f>
        <v>Bank Central Asia - 5520226500</v>
      </c>
      <c r="D87" s="58" t="str">
        <f ca="1">IF(EXACT($B87, ""), "", IF((SEED!I87*1)=62000000000001, "IDR", IF((SEED!I87*1)=62000000000002, "USD", IF((SEED!I87*1)=62000000000003, "AUD", "Others"))))</f>
        <v>IDR</v>
      </c>
      <c r="E87" s="17" t="str">
        <f ca="1">IF(EXACT($B87, ""), "", IF(FLOOR(SEED!$B87/1000000000000, 1)=124, "Institution - "&amp;VLOOKUP(SEED!$B87, '[1]DataLookUp - InstitutionBranch'!$B$4:$C$1000, 2, FALSE), "Person - "&amp;VLOOKUP(SEED!$B87, [2]DataLookUp!$B$4:$D$1000, 2, FALSE)))</f>
        <v>Person - Icha Mailinda Syamsoedin</v>
      </c>
    </row>
    <row r="88" spans="2:5" x14ac:dyDescent="0.2">
      <c r="B88" s="76">
        <f ca="1">IF(EXACT(SEED!$N88, ""), "", SEED!$M88)</f>
        <v>167000000000084</v>
      </c>
      <c r="C88" s="17" t="str">
        <f ca="1">IF(EXACT($B88, ""), "", SEED!$E88&amp;" - "&amp;SEED!$G88)</f>
        <v>Bank Central Asia - 5520464753</v>
      </c>
      <c r="D88" s="58" t="str">
        <f ca="1">IF(EXACT($B88, ""), "", IF((SEED!I88*1)=62000000000001, "IDR", IF((SEED!I88*1)=62000000000002, "USD", IF((SEED!I88*1)=62000000000003, "AUD", "Others"))))</f>
        <v>IDR</v>
      </c>
      <c r="E88" s="17" t="str">
        <f ca="1">IF(EXACT($B88, ""), "", IF(FLOOR(SEED!$B88/1000000000000, 1)=124, "Institution - "&amp;VLOOKUP(SEED!$B88, '[1]DataLookUp - InstitutionBranch'!$B$4:$C$1000, 2, FALSE), "Person - "&amp;VLOOKUP(SEED!$B88, [2]DataLookUp!$B$4:$D$1000, 2, FALSE)))</f>
        <v>Person - Ilham Akbar</v>
      </c>
    </row>
    <row r="89" spans="2:5" x14ac:dyDescent="0.2">
      <c r="B89" s="76">
        <f ca="1">IF(EXACT(SEED!$N89, ""), "", SEED!$M89)</f>
        <v>167000000000085</v>
      </c>
      <c r="C89" s="17" t="str">
        <f ca="1">IF(EXACT($B89, ""), "", SEED!$E89&amp;" - "&amp;SEED!$G89)</f>
        <v>Bank Central Asia - 5520696425</v>
      </c>
      <c r="D89" s="58" t="str">
        <f ca="1">IF(EXACT($B89, ""), "", IF((SEED!I89*1)=62000000000001, "IDR", IF((SEED!I89*1)=62000000000002, "USD", IF((SEED!I89*1)=62000000000003, "AUD", "Others"))))</f>
        <v>IDR</v>
      </c>
      <c r="E89" s="17" t="str">
        <f ca="1">IF(EXACT($B89, ""), "", IF(FLOOR(SEED!$B89/1000000000000, 1)=124, "Institution - "&amp;VLOOKUP(SEED!$B89, '[1]DataLookUp - InstitutionBranch'!$B$4:$C$1000, 2, FALSE), "Person - "&amp;VLOOKUP(SEED!$B89, [2]DataLookUp!$B$4:$D$1000, 2, FALSE)))</f>
        <v>Person - Irma Maulidawati</v>
      </c>
    </row>
    <row r="90" spans="2:5" x14ac:dyDescent="0.2">
      <c r="B90" s="76">
        <f ca="1">IF(EXACT(SEED!$N90, ""), "", SEED!$M90)</f>
        <v>167000000000086</v>
      </c>
      <c r="C90" s="17" t="str">
        <f ca="1">IF(EXACT($B90, ""), "", SEED!$E90&amp;" - "&amp;SEED!$G90)</f>
        <v>Bank Central Asia - 7660328771</v>
      </c>
      <c r="D90" s="58" t="str">
        <f ca="1">IF(EXACT($B90, ""), "", IF((SEED!I90*1)=62000000000001, "IDR", IF((SEED!I90*1)=62000000000002, "USD", IF((SEED!I90*1)=62000000000003, "AUD", "Others"))))</f>
        <v>IDR</v>
      </c>
      <c r="E90" s="17" t="str">
        <f ca="1">IF(EXACT($B90, ""), "", IF(FLOOR(SEED!$B90/1000000000000, 1)=124, "Institution - "&amp;VLOOKUP(SEED!$B90, '[1]DataLookUp - InstitutionBranch'!$B$4:$C$1000, 2, FALSE), "Person - "&amp;VLOOKUP(SEED!$B90, [2]DataLookUp!$B$4:$D$1000, 2, FALSE)))</f>
        <v>Person - Isa Taufiq</v>
      </c>
    </row>
    <row r="91" spans="2:5" x14ac:dyDescent="0.2">
      <c r="B91" s="76">
        <f ca="1">IF(EXACT(SEED!$N91, ""), "", SEED!$M91)</f>
        <v>167000000000087</v>
      </c>
      <c r="C91" s="17" t="str">
        <f ca="1">IF(EXACT($B91, ""), "", SEED!$E91&amp;" - "&amp;SEED!$G91)</f>
        <v>Bank Central Asia - 4980153300</v>
      </c>
      <c r="D91" s="58" t="str">
        <f ca="1">IF(EXACT($B91, ""), "", IF((SEED!I91*1)=62000000000001, "IDR", IF((SEED!I91*1)=62000000000002, "USD", IF((SEED!I91*1)=62000000000003, "AUD", "Others"))))</f>
        <v>IDR</v>
      </c>
      <c r="E91" s="17" t="str">
        <f ca="1">IF(EXACT($B91, ""), "", IF(FLOOR(SEED!$B91/1000000000000, 1)=124, "Institution - "&amp;VLOOKUP(SEED!$B91, '[1]DataLookUp - InstitutionBranch'!$B$4:$C$1000, 2, FALSE), "Person - "&amp;VLOOKUP(SEED!$B91, [2]DataLookUp!$B$4:$D$1000, 2, FALSE)))</f>
        <v>Person - Istikaro Fauziah</v>
      </c>
    </row>
    <row r="92" spans="2:5" x14ac:dyDescent="0.2">
      <c r="B92" s="76">
        <f ca="1">IF(EXACT(SEED!$N92, ""), "", SEED!$M92)</f>
        <v>167000000000088</v>
      </c>
      <c r="C92" s="17" t="str">
        <f ca="1">IF(EXACT($B92, ""), "", SEED!$E92&amp;" - "&amp;SEED!$G92)</f>
        <v>Bank Central Asia - 5520190068</v>
      </c>
      <c r="D92" s="58" t="str">
        <f ca="1">IF(EXACT($B92, ""), "", IF((SEED!I92*1)=62000000000001, "IDR", IF((SEED!I92*1)=62000000000002, "USD", IF((SEED!I92*1)=62000000000003, "AUD", "Others"))))</f>
        <v>IDR</v>
      </c>
      <c r="E92" s="17" t="str">
        <f ca="1">IF(EXACT($B92, ""), "", IF(FLOOR(SEED!$B92/1000000000000, 1)=124, "Institution - "&amp;VLOOKUP(SEED!$B92, '[1]DataLookUp - InstitutionBranch'!$B$4:$C$1000, 2, FALSE), "Person - "&amp;VLOOKUP(SEED!$B92, [2]DataLookUp!$B$4:$D$1000, 2, FALSE)))</f>
        <v>Person - Jimmywal</v>
      </c>
    </row>
    <row r="93" spans="2:5" x14ac:dyDescent="0.2">
      <c r="B93" s="76">
        <f ca="1">IF(EXACT(SEED!$N93, ""), "", SEED!$M93)</f>
        <v>167000000000089</v>
      </c>
      <c r="C93" s="17" t="str">
        <f ca="1">IF(EXACT($B93, ""), "", SEED!$E93&amp;" - "&amp;SEED!$G93)</f>
        <v>Bank Central Asia - 0060238634</v>
      </c>
      <c r="D93" s="58" t="str">
        <f ca="1">IF(EXACT($B93, ""), "", IF((SEED!I93*1)=62000000000001, "IDR", IF((SEED!I93*1)=62000000000002, "USD", IF((SEED!I93*1)=62000000000003, "AUD", "Others"))))</f>
        <v>IDR</v>
      </c>
      <c r="E93" s="17" t="str">
        <f ca="1">IF(EXACT($B93, ""), "", IF(FLOOR(SEED!$B93/1000000000000, 1)=124, "Institution - "&amp;VLOOKUP(SEED!$B93, '[1]DataLookUp - InstitutionBranch'!$B$4:$C$1000, 2, FALSE), "Person - "&amp;VLOOKUP(SEED!$B93, [2]DataLookUp!$B$4:$D$1000, 2, FALSE)))</f>
        <v>Person - Kornelius Sakan</v>
      </c>
    </row>
    <row r="94" spans="2:5" x14ac:dyDescent="0.2">
      <c r="B94" s="76">
        <f ca="1">IF(EXACT(SEED!$N94, ""), "", SEED!$M94)</f>
        <v>167000000000090</v>
      </c>
      <c r="C94" s="17" t="str">
        <f ca="1">IF(EXACT($B94, ""), "", SEED!$E94&amp;" - "&amp;SEED!$G94)</f>
        <v>Bank Central Asia - 0060202915</v>
      </c>
      <c r="D94" s="58" t="str">
        <f ca="1">IF(EXACT($B94, ""), "", IF((SEED!I94*1)=62000000000001, "IDR", IF((SEED!I94*1)=62000000000002, "USD", IF((SEED!I94*1)=62000000000003, "AUD", "Others"))))</f>
        <v>IDR</v>
      </c>
      <c r="E94" s="17" t="str">
        <f ca="1">IF(EXACT($B94, ""), "", IF(FLOOR(SEED!$B94/1000000000000, 1)=124, "Institution - "&amp;VLOOKUP(SEED!$B94, '[1]DataLookUp - InstitutionBranch'!$B$4:$C$1000, 2, FALSE), "Person - "&amp;VLOOKUP(SEED!$B94, [2]DataLookUp!$B$4:$D$1000, 2, FALSE)))</f>
        <v>Person - Fitriastuti Kurnia</v>
      </c>
    </row>
    <row r="95" spans="2:5" x14ac:dyDescent="0.2">
      <c r="B95" s="76">
        <f ca="1">IF(EXACT(SEED!$N95, ""), "", SEED!$M95)</f>
        <v>167000000000091</v>
      </c>
      <c r="C95" s="17" t="str">
        <f ca="1">IF(EXACT($B95, ""), "", SEED!$E95&amp;" - "&amp;SEED!$G95)</f>
        <v>Bank Central Asia - 5520514947</v>
      </c>
      <c r="D95" s="58" t="str">
        <f ca="1">IF(EXACT($B95, ""), "", IF((SEED!I95*1)=62000000000001, "IDR", IF((SEED!I95*1)=62000000000002, "USD", IF((SEED!I95*1)=62000000000003, "AUD", "Others"))))</f>
        <v>IDR</v>
      </c>
      <c r="E95" s="17" t="str">
        <f ca="1">IF(EXACT($B95, ""), "", IF(FLOOR(SEED!$B95/1000000000000, 1)=124, "Institution - "&amp;VLOOKUP(SEED!$B95, '[1]DataLookUp - InstitutionBranch'!$B$4:$C$1000, 2, FALSE), "Person - "&amp;VLOOKUP(SEED!$B95, [2]DataLookUp!$B$4:$D$1000, 2, FALSE)))</f>
        <v>Person - Lisma Natalia</v>
      </c>
    </row>
    <row r="96" spans="2:5" x14ac:dyDescent="0.2">
      <c r="B96" s="76">
        <f ca="1">IF(EXACT(SEED!$N96, ""), "", SEED!$M96)</f>
        <v>167000000000092</v>
      </c>
      <c r="C96" s="17" t="str">
        <f ca="1">IF(EXACT($B96, ""), "", SEED!$E96&amp;" - "&amp;SEED!$G96)</f>
        <v>Bank Central Asia - 7865198493</v>
      </c>
      <c r="D96" s="58" t="str">
        <f ca="1">IF(EXACT($B96, ""), "", IF((SEED!I96*1)=62000000000001, "IDR", IF((SEED!I96*1)=62000000000002, "USD", IF((SEED!I96*1)=62000000000003, "AUD", "Others"))))</f>
        <v>IDR</v>
      </c>
      <c r="E96" s="17" t="str">
        <f ca="1">IF(EXACT($B96, ""), "", IF(FLOOR(SEED!$B96/1000000000000, 1)=124, "Institution - "&amp;VLOOKUP(SEED!$B96, '[1]DataLookUp - InstitutionBranch'!$B$4:$C$1000, 2, FALSE), "Person - "&amp;VLOOKUP(SEED!$B96, [2]DataLookUp!$B$4:$D$1000, 2, FALSE)))</f>
        <v>Person - M. Fikri Caesarandi Hasibuan</v>
      </c>
    </row>
    <row r="97" spans="2:5" x14ac:dyDescent="0.2">
      <c r="B97" s="76">
        <f ca="1">IF(EXACT(SEED!$N97, ""), "", SEED!$M97)</f>
        <v>167000000000093</v>
      </c>
      <c r="C97" s="17" t="str">
        <f ca="1">IF(EXACT($B97, ""), "", SEED!$E97&amp;" - "&amp;SEED!$G97)</f>
        <v>Bank Central Asia - 5750336223</v>
      </c>
      <c r="D97" s="58" t="str">
        <f ca="1">IF(EXACT($B97, ""), "", IF((SEED!I97*1)=62000000000001, "IDR", IF((SEED!I97*1)=62000000000002, "USD", IF((SEED!I97*1)=62000000000003, "AUD", "Others"))))</f>
        <v>IDR</v>
      </c>
      <c r="E97" s="17" t="str">
        <f ca="1">IF(EXACT($B97, ""), "", IF(FLOOR(SEED!$B97/1000000000000, 1)=124, "Institution - "&amp;VLOOKUP(SEED!$B97, '[1]DataLookUp - InstitutionBranch'!$B$4:$C$1000, 2, FALSE), "Person - "&amp;VLOOKUP(SEED!$B97, [2]DataLookUp!$B$4:$D$1000, 2, FALSE)))</f>
        <v>Person - Marten Tabun</v>
      </c>
    </row>
    <row r="98" spans="2:5" x14ac:dyDescent="0.2">
      <c r="B98" s="76">
        <f ca="1">IF(EXACT(SEED!$N98, ""), "", SEED!$M98)</f>
        <v>167000000000094</v>
      </c>
      <c r="C98" s="17" t="str">
        <f ca="1">IF(EXACT($B98, ""), "", SEED!$E98&amp;" - "&amp;SEED!$G98)</f>
        <v>Bank Central Asia - 0350189041</v>
      </c>
      <c r="D98" s="58" t="str">
        <f ca="1">IF(EXACT($B98, ""), "", IF((SEED!I98*1)=62000000000001, "IDR", IF((SEED!I98*1)=62000000000002, "USD", IF((SEED!I98*1)=62000000000003, "AUD", "Others"))))</f>
        <v>IDR</v>
      </c>
      <c r="E98" s="17" t="str">
        <f ca="1">IF(EXACT($B98, ""), "", IF(FLOOR(SEED!$B98/1000000000000, 1)=124, "Institution - "&amp;VLOOKUP(SEED!$B98, '[1]DataLookUp - InstitutionBranch'!$B$4:$C$1000, 2, FALSE), "Person - "&amp;VLOOKUP(SEED!$B98, [2]DataLookUp!$B$4:$D$1000, 2, FALSE)))</f>
        <v>Person - Masimin</v>
      </c>
    </row>
    <row r="99" spans="2:5" x14ac:dyDescent="0.2">
      <c r="B99" s="76">
        <f ca="1">IF(EXACT(SEED!$N99, ""), "", SEED!$M99)</f>
        <v>167000000000095</v>
      </c>
      <c r="C99" s="17" t="str">
        <f ca="1">IF(EXACT($B99, ""), "", SEED!$E99&amp;" - "&amp;SEED!$G99)</f>
        <v>Bank Central Asia - 7660282321</v>
      </c>
      <c r="D99" s="58" t="str">
        <f ca="1">IF(EXACT($B99, ""), "", IF((SEED!I99*1)=62000000000001, "IDR", IF((SEED!I99*1)=62000000000002, "USD", IF((SEED!I99*1)=62000000000003, "AUD", "Others"))))</f>
        <v>IDR</v>
      </c>
      <c r="E99" s="17" t="str">
        <f ca="1">IF(EXACT($B99, ""), "", IF(FLOOR(SEED!$B99/1000000000000, 1)=124, "Institution - "&amp;VLOOKUP(SEED!$B99, '[1]DataLookUp - InstitutionBranch'!$B$4:$C$1000, 2, FALSE), "Person - "&amp;VLOOKUP(SEED!$B99, [2]DataLookUp!$B$4:$D$1000, 2, FALSE)))</f>
        <v>Person - Mullan Tresna</v>
      </c>
    </row>
    <row r="100" spans="2:5" x14ac:dyDescent="0.2">
      <c r="B100" s="76">
        <f ca="1">IF(EXACT(SEED!$N100, ""), "", SEED!$M100)</f>
        <v>167000000000096</v>
      </c>
      <c r="C100" s="17" t="str">
        <f ca="1">IF(EXACT($B100, ""), "", SEED!$E100&amp;" - "&amp;SEED!$G100)</f>
        <v>Bank Central Asia - 7000245156</v>
      </c>
      <c r="D100" s="58" t="str">
        <f ca="1">IF(EXACT($B100, ""), "", IF((SEED!I100*1)=62000000000001, "IDR", IF((SEED!I100*1)=62000000000002, "USD", IF((SEED!I100*1)=62000000000003, "AUD", "Others"))))</f>
        <v>IDR</v>
      </c>
      <c r="E100" s="17" t="str">
        <f ca="1">IF(EXACT($B100, ""), "", IF(FLOOR(SEED!$B100/1000000000000, 1)=124, "Institution - "&amp;VLOOKUP(SEED!$B100, '[1]DataLookUp - InstitutionBranch'!$B$4:$C$1000, 2, FALSE), "Person - "&amp;VLOOKUP(SEED!$B100, [2]DataLookUp!$B$4:$D$1000, 2, FALSE)))</f>
        <v>Person - Nandang Effendi</v>
      </c>
    </row>
    <row r="101" spans="2:5" x14ac:dyDescent="0.2">
      <c r="B101" s="76">
        <f ca="1">IF(EXACT(SEED!$N101, ""), "", SEED!$M101)</f>
        <v>167000000000097</v>
      </c>
      <c r="C101" s="17" t="str">
        <f ca="1">IF(EXACT($B101, ""), "", SEED!$E101&amp;" - "&amp;SEED!$G101)</f>
        <v>Bank Central Asia - 8760571998</v>
      </c>
      <c r="D101" s="58" t="str">
        <f ca="1">IF(EXACT($B101, ""), "", IF((SEED!I101*1)=62000000000001, "IDR", IF((SEED!I101*1)=62000000000002, "USD", IF((SEED!I101*1)=62000000000003, "AUD", "Others"))))</f>
        <v>IDR</v>
      </c>
      <c r="E101" s="17" t="str">
        <f ca="1">IF(EXACT($B101, ""), "", IF(FLOOR(SEED!$B101/1000000000000, 1)=124, "Institution - "&amp;VLOOKUP(SEED!$B101, '[1]DataLookUp - InstitutionBranch'!$B$4:$C$1000, 2, FALSE), "Person - "&amp;VLOOKUP(SEED!$B101, [2]DataLookUp!$B$4:$D$1000, 2, FALSE)))</f>
        <v>Person - Panca Yudi Baskoro</v>
      </c>
    </row>
    <row r="102" spans="2:5" x14ac:dyDescent="0.2">
      <c r="B102" s="76">
        <f ca="1">IF(EXACT(SEED!$N102, ""), "", SEED!$M102)</f>
        <v>167000000000098</v>
      </c>
      <c r="C102" s="17" t="str">
        <f ca="1">IF(EXACT($B102, ""), "", SEED!$E102&amp;" - "&amp;SEED!$G102)</f>
        <v>Bank Central Asia - 0060098298</v>
      </c>
      <c r="D102" s="58" t="str">
        <f ca="1">IF(EXACT($B102, ""), "", IF((SEED!I102*1)=62000000000001, "IDR", IF((SEED!I102*1)=62000000000002, "USD", IF((SEED!I102*1)=62000000000003, "AUD", "Others"))))</f>
        <v>IDR</v>
      </c>
      <c r="E102" s="17" t="str">
        <f ca="1">IF(EXACT($B102, ""), "", IF(FLOOR(SEED!$B102/1000000000000, 1)=124, "Institution - "&amp;VLOOKUP(SEED!$B102, '[1]DataLookUp - InstitutionBranch'!$B$4:$C$1000, 2, FALSE), "Person - "&amp;VLOOKUP(SEED!$B102, [2]DataLookUp!$B$4:$D$1000, 2, FALSE)))</f>
        <v>Person - Pantas Banjarnahor Marbun</v>
      </c>
    </row>
    <row r="103" spans="2:5" x14ac:dyDescent="0.2">
      <c r="B103" s="76">
        <f ca="1">IF(EXACT(SEED!$N103, ""), "", SEED!$M103)</f>
        <v>167000000000099</v>
      </c>
      <c r="C103" s="17" t="str">
        <f ca="1">IF(EXACT($B103, ""), "", SEED!$E103&amp;" - "&amp;SEED!$G103)</f>
        <v>Bank Central Asia - 3831252381</v>
      </c>
      <c r="D103" s="58" t="str">
        <f ca="1">IF(EXACT($B103, ""), "", IF((SEED!I103*1)=62000000000001, "IDR", IF((SEED!I103*1)=62000000000002, "USD", IF((SEED!I103*1)=62000000000003, "AUD", "Others"))))</f>
        <v>IDR</v>
      </c>
      <c r="E103" s="17" t="str">
        <f ca="1">IF(EXACT($B103, ""), "", IF(FLOOR(SEED!$B103/1000000000000, 1)=124, "Institution - "&amp;VLOOKUP(SEED!$B103, '[1]DataLookUp - InstitutionBranch'!$B$4:$C$1000, 2, FALSE), "Person - "&amp;VLOOKUP(SEED!$B103, [2]DataLookUp!$B$4:$D$1000, 2, FALSE)))</f>
        <v>Person - Prayanti Dewi Anggraini</v>
      </c>
    </row>
    <row r="104" spans="2:5" x14ac:dyDescent="0.2">
      <c r="B104" s="76">
        <f ca="1">IF(EXACT(SEED!$N104, ""), "", SEED!$M104)</f>
        <v>167000000000100</v>
      </c>
      <c r="C104" s="17" t="str">
        <f ca="1">IF(EXACT($B104, ""), "", SEED!$E104&amp;" - "&amp;SEED!$G104)</f>
        <v>Bank Central Asia - 7660268949</v>
      </c>
      <c r="D104" s="58" t="str">
        <f ca="1">IF(EXACT($B104, ""), "", IF((SEED!I104*1)=62000000000001, "IDR", IF((SEED!I104*1)=62000000000002, "USD", IF((SEED!I104*1)=62000000000003, "AUD", "Others"))))</f>
        <v>IDR</v>
      </c>
      <c r="E104" s="17" t="str">
        <f ca="1">IF(EXACT($B104, ""), "", IF(FLOOR(SEED!$B104/1000000000000, 1)=124, "Institution - "&amp;VLOOKUP(SEED!$B104, '[1]DataLookUp - InstitutionBranch'!$B$4:$C$1000, 2, FALSE), "Person - "&amp;VLOOKUP(SEED!$B104, [2]DataLookUp!$B$4:$D$1000, 2, FALSE)))</f>
        <v>Person - Rhino Priawan</v>
      </c>
    </row>
    <row r="105" spans="2:5" x14ac:dyDescent="0.2">
      <c r="B105" s="76">
        <f ca="1">IF(EXACT(SEED!$N105, ""), "", SEED!$M105)</f>
        <v>167000000000101</v>
      </c>
      <c r="C105" s="17" t="str">
        <f ca="1">IF(EXACT($B105, ""), "", SEED!$E105&amp;" - "&amp;SEED!$G105)</f>
        <v>Bank Central Asia - 2170088924</v>
      </c>
      <c r="D105" s="58" t="str">
        <f ca="1">IF(EXACT($B105, ""), "", IF((SEED!I105*1)=62000000000001, "IDR", IF((SEED!I105*1)=62000000000002, "USD", IF((SEED!I105*1)=62000000000003, "AUD", "Others"))))</f>
        <v>IDR</v>
      </c>
      <c r="E105" s="17" t="str">
        <f ca="1">IF(EXACT($B105, ""), "", IF(FLOOR(SEED!$B105/1000000000000, 1)=124, "Institution - "&amp;VLOOKUP(SEED!$B105, '[1]DataLookUp - InstitutionBranch'!$B$4:$C$1000, 2, FALSE), "Person - "&amp;VLOOKUP(SEED!$B105, [2]DataLookUp!$B$4:$D$1000, 2, FALSE)))</f>
        <v>Person - Riza Emir Subekti</v>
      </c>
    </row>
    <row r="106" spans="2:5" x14ac:dyDescent="0.2">
      <c r="B106" s="76">
        <f ca="1">IF(EXACT(SEED!$N106, ""), "", SEED!$M106)</f>
        <v>167000000000102</v>
      </c>
      <c r="C106" s="17" t="str">
        <f ca="1">IF(EXACT($B106, ""), "", SEED!$E106&amp;" - "&amp;SEED!$G106)</f>
        <v>Bank Central Asia - 5025005331</v>
      </c>
      <c r="D106" s="58" t="str">
        <f ca="1">IF(EXACT($B106, ""), "", IF((SEED!I106*1)=62000000000001, "IDR", IF((SEED!I106*1)=62000000000002, "USD", IF((SEED!I106*1)=62000000000003, "AUD", "Others"))))</f>
        <v>IDR</v>
      </c>
      <c r="E106" s="17" t="str">
        <f ca="1">IF(EXACT($B106, ""), "", IF(FLOOR(SEED!$B106/1000000000000, 1)=124, "Institution - "&amp;VLOOKUP(SEED!$B106, '[1]DataLookUp - InstitutionBranch'!$B$4:$C$1000, 2, FALSE), "Person - "&amp;VLOOKUP(SEED!$B106, [2]DataLookUp!$B$4:$D$1000, 2, FALSE)))</f>
        <v>Person - Sakinah Tantriani Lubis</v>
      </c>
    </row>
    <row r="107" spans="2:5" x14ac:dyDescent="0.2">
      <c r="B107" s="76">
        <f ca="1">IF(EXACT(SEED!$N107, ""), "", SEED!$M107)</f>
        <v>167000000000103</v>
      </c>
      <c r="C107" s="17" t="str">
        <f ca="1">IF(EXACT($B107, ""), "", SEED!$E107&amp;" - "&amp;SEED!$G107)</f>
        <v>Bank Central Asia - 5325315714</v>
      </c>
      <c r="D107" s="58" t="str">
        <f ca="1">IF(EXACT($B107, ""), "", IF((SEED!I107*1)=62000000000001, "IDR", IF((SEED!I107*1)=62000000000002, "USD", IF((SEED!I107*1)=62000000000003, "AUD", "Others"))))</f>
        <v>IDR</v>
      </c>
      <c r="E107" s="17" t="str">
        <f ca="1">IF(EXACT($B107, ""), "", IF(FLOOR(SEED!$B107/1000000000000, 1)=124, "Institution - "&amp;VLOOKUP(SEED!$B107, '[1]DataLookUp - InstitutionBranch'!$B$4:$C$1000, 2, FALSE), "Person - "&amp;VLOOKUP(SEED!$B107, [2]DataLookUp!$B$4:$D$1000, 2, FALSE)))</f>
        <v>Person - Seftiyan Hadi Maulana</v>
      </c>
    </row>
    <row r="108" spans="2:5" x14ac:dyDescent="0.2">
      <c r="B108" s="76">
        <f ca="1">IF(EXACT(SEED!$N108, ""), "", SEED!$M108)</f>
        <v>167000000000104</v>
      </c>
      <c r="C108" s="17" t="str">
        <f ca="1">IF(EXACT($B108, ""), "", SEED!$E108&amp;" - "&amp;SEED!$G108)</f>
        <v>Bank Central Asia - 2101238654</v>
      </c>
      <c r="D108" s="58" t="str">
        <f ca="1">IF(EXACT($B108, ""), "", IF((SEED!I108*1)=62000000000001, "IDR", IF((SEED!I108*1)=62000000000002, "USD", IF((SEED!I108*1)=62000000000003, "AUD", "Others"))))</f>
        <v>IDR</v>
      </c>
      <c r="E108" s="17" t="str">
        <f ca="1">IF(EXACT($B108, ""), "", IF(FLOOR(SEED!$B108/1000000000000, 1)=124, "Institution - "&amp;VLOOKUP(SEED!$B108, '[1]DataLookUp - InstitutionBranch'!$B$4:$C$1000, 2, FALSE), "Person - "&amp;VLOOKUP(SEED!$B108, [2]DataLookUp!$B$4:$D$1000, 2, FALSE)))</f>
        <v>Person - Setiadi</v>
      </c>
    </row>
    <row r="109" spans="2:5" x14ac:dyDescent="0.2">
      <c r="B109" s="76">
        <f ca="1">IF(EXACT(SEED!$N109, ""), "", SEED!$M109)</f>
        <v>167000000000105</v>
      </c>
      <c r="C109" s="17" t="str">
        <f ca="1">IF(EXACT($B109, ""), "", SEED!$E109&amp;" - "&amp;SEED!$G109)</f>
        <v>Bank Central Asia - 0670059618</v>
      </c>
      <c r="D109" s="58" t="str">
        <f ca="1">IF(EXACT($B109, ""), "", IF((SEED!I109*1)=62000000000001, "IDR", IF((SEED!I109*1)=62000000000002, "USD", IF((SEED!I109*1)=62000000000003, "AUD", "Others"))))</f>
        <v>IDR</v>
      </c>
      <c r="E109" s="17" t="str">
        <f ca="1">IF(EXACT($B109, ""), "", IF(FLOOR(SEED!$B109/1000000000000, 1)=124, "Institution - "&amp;VLOOKUP(SEED!$B109, '[1]DataLookUp - InstitutionBranch'!$B$4:$C$1000, 2, FALSE), "Person - "&amp;VLOOKUP(SEED!$B109, [2]DataLookUp!$B$4:$D$1000, 2, FALSE)))</f>
        <v>Person - Sholehah</v>
      </c>
    </row>
    <row r="110" spans="2:5" x14ac:dyDescent="0.2">
      <c r="B110" s="76">
        <f ca="1">IF(EXACT(SEED!$N110, ""), "", SEED!$M110)</f>
        <v>167000000000106</v>
      </c>
      <c r="C110" s="17" t="str">
        <f ca="1">IF(EXACT($B110, ""), "", SEED!$E110&amp;" - "&amp;SEED!$G110)</f>
        <v>Bank Central Asia - 5750223151</v>
      </c>
      <c r="D110" s="58" t="str">
        <f ca="1">IF(EXACT($B110, ""), "", IF((SEED!I110*1)=62000000000001, "IDR", IF((SEED!I110*1)=62000000000002, "USD", IF((SEED!I110*1)=62000000000003, "AUD", "Others"))))</f>
        <v>IDR</v>
      </c>
      <c r="E110" s="17" t="str">
        <f ca="1">IF(EXACT($B110, ""), "", IF(FLOOR(SEED!$B110/1000000000000, 1)=124, "Institution - "&amp;VLOOKUP(SEED!$B110, '[1]DataLookUp - InstitutionBranch'!$B$4:$C$1000, 2, FALSE), "Person - "&amp;VLOOKUP(SEED!$B110, [2]DataLookUp!$B$4:$D$1000, 2, FALSE)))</f>
        <v>Person - Sudarlan</v>
      </c>
    </row>
    <row r="111" spans="2:5" x14ac:dyDescent="0.2">
      <c r="B111" s="76">
        <f ca="1">IF(EXACT(SEED!$N111, ""), "", SEED!$M111)</f>
        <v>167000000000107</v>
      </c>
      <c r="C111" s="17" t="str">
        <f ca="1">IF(EXACT($B111, ""), "", SEED!$E111&amp;" - "&amp;SEED!$G111)</f>
        <v>Bank Central Asia - 5490332288</v>
      </c>
      <c r="D111" s="58" t="str">
        <f ca="1">IF(EXACT($B111, ""), "", IF((SEED!I111*1)=62000000000001, "IDR", IF((SEED!I111*1)=62000000000002, "USD", IF((SEED!I111*1)=62000000000003, "AUD", "Others"))))</f>
        <v>IDR</v>
      </c>
      <c r="E111" s="17" t="str">
        <f ca="1">IF(EXACT($B111, ""), "", IF(FLOOR(SEED!$B111/1000000000000, 1)=124, "Institution - "&amp;VLOOKUP(SEED!$B111, '[1]DataLookUp - InstitutionBranch'!$B$4:$C$1000, 2, FALSE), "Person - "&amp;VLOOKUP(SEED!$B111, [2]DataLookUp!$B$4:$D$1000, 2, FALSE)))</f>
        <v>Person - Sufie Amalia</v>
      </c>
    </row>
    <row r="112" spans="2:5" x14ac:dyDescent="0.2">
      <c r="B112" s="76">
        <f ca="1">IF(EXACT(SEED!$N112, ""), "", SEED!$M112)</f>
        <v>167000000000108</v>
      </c>
      <c r="C112" s="17" t="str">
        <f ca="1">IF(EXACT($B112, ""), "", SEED!$E112&amp;" - "&amp;SEED!$G112)</f>
        <v>Bank Central Asia - 1280421665</v>
      </c>
      <c r="D112" s="58" t="str">
        <f ca="1">IF(EXACT($B112, ""), "", IF((SEED!I112*1)=62000000000001, "IDR", IF((SEED!I112*1)=62000000000002, "USD", IF((SEED!I112*1)=62000000000003, "AUD", "Others"))))</f>
        <v>IDR</v>
      </c>
      <c r="E112" s="17" t="str">
        <f ca="1">IF(EXACT($B112, ""), "", IF(FLOOR(SEED!$B112/1000000000000, 1)=124, "Institution - "&amp;VLOOKUP(SEED!$B112, '[1]DataLookUp - InstitutionBranch'!$B$4:$C$1000, 2, FALSE), "Person - "&amp;VLOOKUP(SEED!$B112, [2]DataLookUp!$B$4:$D$1000, 2, FALSE)))</f>
        <v>Person - Suyanto</v>
      </c>
    </row>
    <row r="113" spans="2:5" x14ac:dyDescent="0.2">
      <c r="B113" s="76">
        <f ca="1">IF(EXACT(SEED!$N113, ""), "", SEED!$M113)</f>
        <v>167000000000109</v>
      </c>
      <c r="C113" s="17" t="str">
        <f ca="1">IF(EXACT($B113, ""), "", SEED!$E113&amp;" - "&amp;SEED!$G113)</f>
        <v>Bank Central Asia - 7660251671</v>
      </c>
      <c r="D113" s="58" t="str">
        <f ca="1">IF(EXACT($B113, ""), "", IF((SEED!I113*1)=62000000000001, "IDR", IF((SEED!I113*1)=62000000000002, "USD", IF((SEED!I113*1)=62000000000003, "AUD", "Others"))))</f>
        <v>IDR</v>
      </c>
      <c r="E113" s="17" t="str">
        <f ca="1">IF(EXACT($B113, ""), "", IF(FLOOR(SEED!$B113/1000000000000, 1)=124, "Institution - "&amp;VLOOKUP(SEED!$B113, '[1]DataLookUp - InstitutionBranch'!$B$4:$C$1000, 2, FALSE), "Person - "&amp;VLOOKUP(SEED!$B113, [2]DataLookUp!$B$4:$D$1000, 2, FALSE)))</f>
        <v>Person - T. Marungkil U. S. Sagala</v>
      </c>
    </row>
    <row r="114" spans="2:5" x14ac:dyDescent="0.2">
      <c r="B114" s="76">
        <f ca="1">IF(EXACT(SEED!$N114, ""), "", SEED!$M114)</f>
        <v>167000000000110</v>
      </c>
      <c r="C114" s="17" t="str">
        <f ca="1">IF(EXACT($B114, ""), "", SEED!$E114&amp;" - "&amp;SEED!$G114)</f>
        <v>Bank Central Asia - 3751363751</v>
      </c>
      <c r="D114" s="58" t="str">
        <f ca="1">IF(EXACT($B114, ""), "", IF((SEED!I114*1)=62000000000001, "IDR", IF((SEED!I114*1)=62000000000002, "USD", IF((SEED!I114*1)=62000000000003, "AUD", "Others"))))</f>
        <v>IDR</v>
      </c>
      <c r="E114" s="17" t="str">
        <f ca="1">IF(EXACT($B114, ""), "", IF(FLOOR(SEED!$B114/1000000000000, 1)=124, "Institution - "&amp;VLOOKUP(SEED!$B114, '[1]DataLookUp - InstitutionBranch'!$B$4:$C$1000, 2, FALSE), "Person - "&amp;VLOOKUP(SEED!$B114, [2]DataLookUp!$B$4:$D$1000, 2, FALSE)))</f>
        <v>Person - Turita Pramuning Marantina</v>
      </c>
    </row>
    <row r="115" spans="2:5" x14ac:dyDescent="0.2">
      <c r="B115" s="76">
        <f ca="1">IF(EXACT(SEED!$N115, ""), "", SEED!$M115)</f>
        <v>167000000000111</v>
      </c>
      <c r="C115" s="17" t="str">
        <f ca="1">IF(EXACT($B115, ""), "", SEED!$E115&amp;" - "&amp;SEED!$G115)</f>
        <v>Bank Central Asia - 5520532155</v>
      </c>
      <c r="D115" s="58" t="str">
        <f ca="1">IF(EXACT($B115, ""), "", IF((SEED!I115*1)=62000000000001, "IDR", IF((SEED!I115*1)=62000000000002, "USD", IF((SEED!I115*1)=62000000000003, "AUD", "Others"))))</f>
        <v>IDR</v>
      </c>
      <c r="E115" s="17" t="str">
        <f ca="1">IF(EXACT($B115, ""), "", IF(FLOOR(SEED!$B115/1000000000000, 1)=124, "Institution - "&amp;VLOOKUP(SEED!$B115, '[1]DataLookUp - InstitutionBranch'!$B$4:$C$1000, 2, FALSE), "Person - "&amp;VLOOKUP(SEED!$B115, [2]DataLookUp!$B$4:$D$1000, 2, FALSE)))</f>
        <v>Person - Wahyu Ramadhani</v>
      </c>
    </row>
    <row r="116" spans="2:5" x14ac:dyDescent="0.2">
      <c r="B116" s="76">
        <f ca="1">IF(EXACT(SEED!$N116, ""), "", SEED!$M116)</f>
        <v>167000000000112</v>
      </c>
      <c r="C116" s="17" t="str">
        <f ca="1">IF(EXACT($B116, ""), "", SEED!$E116&amp;" - "&amp;SEED!$G116)</f>
        <v>Bank Central Asia - 8670430678</v>
      </c>
      <c r="D116" s="58" t="str">
        <f ca="1">IF(EXACT($B116, ""), "", IF((SEED!I116*1)=62000000000001, "IDR", IF((SEED!I116*1)=62000000000002, "USD", IF((SEED!I116*1)=62000000000003, "AUD", "Others"))))</f>
        <v>IDR</v>
      </c>
      <c r="E116" s="17" t="str">
        <f ca="1">IF(EXACT($B116, ""), "", IF(FLOOR(SEED!$B116/1000000000000, 1)=124, "Institution - "&amp;VLOOKUP(SEED!$B116, '[1]DataLookUp - InstitutionBranch'!$B$4:$C$1000, 2, FALSE), "Person - "&amp;VLOOKUP(SEED!$B116, [2]DataLookUp!$B$4:$D$1000, 2, FALSE)))</f>
        <v>Person - Wardah Laily Khoiriyah</v>
      </c>
    </row>
    <row r="117" spans="2:5" x14ac:dyDescent="0.2">
      <c r="B117" s="76">
        <f ca="1">IF(EXACT(SEED!$N117, ""), "", SEED!$M117)</f>
        <v>167000000000113</v>
      </c>
      <c r="C117" s="17" t="str">
        <f ca="1">IF(EXACT($B117, ""), "", SEED!$E117&amp;" - "&amp;SEED!$G117)</f>
        <v>Bank Central Asia - 2910590742</v>
      </c>
      <c r="D117" s="58" t="str">
        <f ca="1">IF(EXACT($B117, ""), "", IF((SEED!I117*1)=62000000000001, "IDR", IF((SEED!I117*1)=62000000000002, "USD", IF((SEED!I117*1)=62000000000003, "AUD", "Others"))))</f>
        <v>IDR</v>
      </c>
      <c r="E117" s="17" t="str">
        <f ca="1">IF(EXACT($B117, ""), "", IF(FLOOR(SEED!$B117/1000000000000, 1)=124, "Institution - "&amp;VLOOKUP(SEED!$B117, '[1]DataLookUp - InstitutionBranch'!$B$4:$C$1000, 2, FALSE), "Person - "&amp;VLOOKUP(SEED!$B117, [2]DataLookUp!$B$4:$D$1000, 2, FALSE)))</f>
        <v>Person - Wisnu Ardian</v>
      </c>
    </row>
    <row r="118" spans="2:5" x14ac:dyDescent="0.2">
      <c r="B118" s="76">
        <f ca="1">IF(EXACT(SEED!$N118, ""), "", SEED!$M118)</f>
        <v>167000000000114</v>
      </c>
      <c r="C118" s="17" t="str">
        <f ca="1">IF(EXACT($B118, ""), "", SEED!$E118&amp;" - "&amp;SEED!$G118)</f>
        <v>Bank Central Asia - 6860316941</v>
      </c>
      <c r="D118" s="58" t="str">
        <f ca="1">IF(EXACT($B118, ""), "", IF((SEED!I118*1)=62000000000001, "IDR", IF((SEED!I118*1)=62000000000002, "USD", IF((SEED!I118*1)=62000000000003, "AUD", "Others"))))</f>
        <v>IDR</v>
      </c>
      <c r="E118" s="17" t="str">
        <f ca="1">IF(EXACT($B118, ""), "", IF(FLOOR(SEED!$B118/1000000000000, 1)=124, "Institution - "&amp;VLOOKUP(SEED!$B118, '[1]DataLookUp - InstitutionBranch'!$B$4:$C$1000, 2, FALSE), "Person - "&amp;VLOOKUP(SEED!$B118, [2]DataLookUp!$B$4:$D$1000, 2, FALSE)))</f>
        <v>Person - Wulanraniasih</v>
      </c>
    </row>
    <row r="119" spans="2:5" x14ac:dyDescent="0.2">
      <c r="B119" s="76">
        <f ca="1">IF(EXACT(SEED!$N119, ""), "", SEED!$M119)</f>
        <v>167000000000115</v>
      </c>
      <c r="C119" s="17" t="str">
        <f ca="1">IF(EXACT($B119, ""), "", SEED!$E119&amp;" - "&amp;SEED!$G119)</f>
        <v>Bank Central Asia - 3721127379</v>
      </c>
      <c r="D119" s="58" t="str">
        <f ca="1">IF(EXACT($B119, ""), "", IF((SEED!I119*1)=62000000000001, "IDR", IF((SEED!I119*1)=62000000000002, "USD", IF((SEED!I119*1)=62000000000003, "AUD", "Others"))))</f>
        <v>IDR</v>
      </c>
      <c r="E119" s="17" t="str">
        <f ca="1">IF(EXACT($B119, ""), "", IF(FLOOR(SEED!$B119/1000000000000, 1)=124, "Institution - "&amp;VLOOKUP(SEED!$B119, '[1]DataLookUp - InstitutionBranch'!$B$4:$C$1000, 2, FALSE), "Person - "&amp;VLOOKUP(SEED!$B119, [2]DataLookUp!$B$4:$D$1000, 2, FALSE)))</f>
        <v>Person - Yuliandaru Suryoatmodjo</v>
      </c>
    </row>
    <row r="120" spans="2:5" x14ac:dyDescent="0.2">
      <c r="B120" s="76">
        <f ca="1">IF(EXACT(SEED!$N120, ""), "", SEED!$M120)</f>
        <v>167000000000116</v>
      </c>
      <c r="C120" s="17" t="str">
        <f ca="1">IF(EXACT($B120, ""), "", SEED!$E120&amp;" - "&amp;SEED!$G120)</f>
        <v>Bank Central Asia - 5520552261</v>
      </c>
      <c r="D120" s="58" t="str">
        <f ca="1">IF(EXACT($B120, ""), "", IF((SEED!I120*1)=62000000000001, "IDR", IF((SEED!I120*1)=62000000000002, "USD", IF((SEED!I120*1)=62000000000003, "AUD", "Others"))))</f>
        <v>IDR</v>
      </c>
      <c r="E120" s="17" t="str">
        <f ca="1">IF(EXACT($B120, ""), "", IF(FLOOR(SEED!$B120/1000000000000, 1)=124, "Institution - "&amp;VLOOKUP(SEED!$B120, '[1]DataLookUp - InstitutionBranch'!$B$4:$C$1000, 2, FALSE), "Person - "&amp;VLOOKUP(SEED!$B120, [2]DataLookUp!$B$4:$D$1000, 2, FALSE)))</f>
        <v>Person - Zainudin Anwar</v>
      </c>
    </row>
    <row r="121" spans="2:5" x14ac:dyDescent="0.2">
      <c r="B121" s="76">
        <f ca="1">IF(EXACT(SEED!$N121, ""), "", SEED!$M121)</f>
        <v>167000000000117</v>
      </c>
      <c r="C121" s="17" t="str">
        <f ca="1">IF(EXACT($B121, ""), "", SEED!$E121&amp;" - "&amp;SEED!$G121)</f>
        <v>Bank Central Asia - 0011754723</v>
      </c>
      <c r="D121" s="58" t="str">
        <f ca="1">IF(EXACT($B121, ""), "", IF((SEED!I121*1)=62000000000001, "IDR", IF((SEED!I121*1)=62000000000002, "USD", IF((SEED!I121*1)=62000000000003, "AUD", "Others"))))</f>
        <v>IDR</v>
      </c>
      <c r="E121" s="17" t="str">
        <f ca="1">IF(EXACT($B121, ""), "", IF(FLOOR(SEED!$B121/1000000000000, 1)=124, "Institution - "&amp;VLOOKUP(SEED!$B121, '[1]DataLookUp - InstitutionBranch'!$B$4:$C$1000, 2, FALSE), "Person - "&amp;VLOOKUP(SEED!$B121, [2]DataLookUp!$B$4:$D$1000, 2, FALSE)))</f>
        <v>Person - Yusarman</v>
      </c>
    </row>
    <row r="122" spans="2:5" x14ac:dyDescent="0.2">
      <c r="B122" s="76">
        <f ca="1">IF(EXACT(SEED!$N122, ""), "", SEED!$M122)</f>
        <v>167000000000118</v>
      </c>
      <c r="C122" s="17" t="str">
        <f ca="1">IF(EXACT($B122, ""), "", SEED!$E122&amp;" - "&amp;SEED!$G122)</f>
        <v>Bank Central Asia - 2821395781</v>
      </c>
      <c r="D122" s="58" t="str">
        <f ca="1">IF(EXACT($B122, ""), "", IF((SEED!I122*1)=62000000000001, "IDR", IF((SEED!I122*1)=62000000000002, "USD", IF((SEED!I122*1)=62000000000003, "AUD", "Others"))))</f>
        <v>IDR</v>
      </c>
      <c r="E122" s="17" t="str">
        <f ca="1">IF(EXACT($B122, ""), "", IF(FLOOR(SEED!$B122/1000000000000, 1)=124, "Institution - "&amp;VLOOKUP(SEED!$B122, '[1]DataLookUp - InstitutionBranch'!$B$4:$C$1000, 2, FALSE), "Person - "&amp;VLOOKUP(SEED!$B122, [2]DataLookUp!$B$4:$D$1000, 2, FALSE)))</f>
        <v>Person - Jonhar Aziz</v>
      </c>
    </row>
    <row r="123" spans="2:5" x14ac:dyDescent="0.2">
      <c r="B123" s="76">
        <f ca="1">IF(EXACT(SEED!$N123, ""), "", SEED!$M123)</f>
        <v>167000000000119</v>
      </c>
      <c r="C123" s="17" t="str">
        <f ca="1">IF(EXACT($B123, ""), "", SEED!$E123&amp;" - "&amp;SEED!$G123)</f>
        <v>Bank Central Asia - 2281429789</v>
      </c>
      <c r="D123" s="58" t="str">
        <f ca="1">IF(EXACT($B123, ""), "", IF((SEED!I123*1)=62000000000001, "IDR", IF((SEED!I123*1)=62000000000002, "USD", IF((SEED!I123*1)=62000000000003, "AUD", "Others"))))</f>
        <v>IDR</v>
      </c>
      <c r="E123" s="17" t="str">
        <f ca="1">IF(EXACT($B123, ""), "", IF(FLOOR(SEED!$B123/1000000000000, 1)=124, "Institution - "&amp;VLOOKUP(SEED!$B123, '[1]DataLookUp - InstitutionBranch'!$B$4:$C$1000, 2, FALSE), "Person - "&amp;VLOOKUP(SEED!$B123, [2]DataLookUp!$B$4:$D$1000, 2, FALSE)))</f>
        <v>Person - Wartono</v>
      </c>
    </row>
    <row r="124" spans="2:5" x14ac:dyDescent="0.2">
      <c r="B124" s="76">
        <f ca="1">IF(EXACT(SEED!$N124, ""), "", SEED!$M124)</f>
        <v>167000000000120</v>
      </c>
      <c r="C124" s="17" t="str">
        <f ca="1">IF(EXACT($B124, ""), "", SEED!$E124&amp;" - "&amp;SEED!$G124)</f>
        <v>Bank Central Asia - 5750622536</v>
      </c>
      <c r="D124" s="58" t="str">
        <f ca="1">IF(EXACT($B124, ""), "", IF((SEED!I124*1)=62000000000001, "IDR", IF((SEED!I124*1)=62000000000002, "USD", IF((SEED!I124*1)=62000000000003, "AUD", "Others"))))</f>
        <v>IDR</v>
      </c>
      <c r="E124" s="17" t="str">
        <f ca="1">IF(EXACT($B124, ""), "", IF(FLOOR(SEED!$B124/1000000000000, 1)=124, "Institution - "&amp;VLOOKUP(SEED!$B124, '[1]DataLookUp - InstitutionBranch'!$B$4:$C$1000, 2, FALSE), "Person - "&amp;VLOOKUP(SEED!$B124, [2]DataLookUp!$B$4:$D$1000, 2, FALSE)))</f>
        <v>Person - Santoso Dwi Cahyo</v>
      </c>
    </row>
    <row r="125" spans="2:5" x14ac:dyDescent="0.2">
      <c r="B125" s="76">
        <f ca="1">IF(EXACT(SEED!$N125, ""), "", SEED!$M125)</f>
        <v>167000000000121</v>
      </c>
      <c r="C125" s="17" t="str">
        <f ca="1">IF(EXACT($B125, ""), "", SEED!$E125&amp;" - "&amp;SEED!$G125)</f>
        <v>Bank Central Asia - 4860276548</v>
      </c>
      <c r="D125" s="58" t="str">
        <f ca="1">IF(EXACT($B125, ""), "", IF((SEED!I125*1)=62000000000001, "IDR", IF((SEED!I125*1)=62000000000002, "USD", IF((SEED!I125*1)=62000000000003, "AUD", "Others"))))</f>
        <v>IDR</v>
      </c>
      <c r="E125" s="17" t="str">
        <f ca="1">IF(EXACT($B125, ""), "", IF(FLOOR(SEED!$B125/1000000000000, 1)=124, "Institution - "&amp;VLOOKUP(SEED!$B125, '[1]DataLookUp - InstitutionBranch'!$B$4:$C$1000, 2, FALSE), "Person - "&amp;VLOOKUP(SEED!$B125, [2]DataLookUp!$B$4:$D$1000, 2, FALSE)))</f>
        <v>Person - Restu Dwi Anjayani</v>
      </c>
    </row>
    <row r="126" spans="2:5" x14ac:dyDescent="0.2">
      <c r="B126" s="76">
        <f ca="1">IF(EXACT(SEED!$N126, ""), "", SEED!$M126)</f>
        <v>167000000000122</v>
      </c>
      <c r="C126" s="17" t="str">
        <f ca="1">IF(EXACT($B126, ""), "", SEED!$E126&amp;" - "&amp;SEED!$G126)</f>
        <v>Bank Central Asia - 6540386232</v>
      </c>
      <c r="D126" s="58" t="str">
        <f ca="1">IF(EXACT($B126, ""), "", IF((SEED!I126*1)=62000000000001, "IDR", IF((SEED!I126*1)=62000000000002, "USD", IF((SEED!I126*1)=62000000000003, "AUD", "Others"))))</f>
        <v>IDR</v>
      </c>
      <c r="E126" s="17" t="str">
        <f ca="1">IF(EXACT($B126, ""), "", IF(FLOOR(SEED!$B126/1000000000000, 1)=124, "Institution - "&amp;VLOOKUP(SEED!$B126, '[1]DataLookUp - InstitutionBranch'!$B$4:$C$1000, 2, FALSE), "Person - "&amp;VLOOKUP(SEED!$B126, [2]DataLookUp!$B$4:$D$1000, 2, FALSE)))</f>
        <v>Person - Oqi Suhaqi Yunus</v>
      </c>
    </row>
    <row r="127" spans="2:5" x14ac:dyDescent="0.2">
      <c r="B127" s="76">
        <f ca="1">IF(EXACT(SEED!$N127, ""), "", SEED!$M127)</f>
        <v>167000000000123</v>
      </c>
      <c r="C127" s="17" t="str">
        <f ca="1">IF(EXACT($B127, ""), "", SEED!$E127&amp;" - "&amp;SEED!$G127)</f>
        <v>Bank Central Asia - 0670059618</v>
      </c>
      <c r="D127" s="58" t="str">
        <f ca="1">IF(EXACT($B127, ""), "", IF((SEED!I127*1)=62000000000001, "IDR", IF((SEED!I127*1)=62000000000002, "USD", IF((SEED!I127*1)=62000000000003, "AUD", "Others"))))</f>
        <v>IDR</v>
      </c>
      <c r="E127" s="17" t="str">
        <f ca="1">IF(EXACT($B127, ""), "", IF(FLOOR(SEED!$B127/1000000000000, 1)=124, "Institution - "&amp;VLOOKUP(SEED!$B127, '[1]DataLookUp - InstitutionBranch'!$B$4:$C$1000, 2, FALSE), "Person - "&amp;VLOOKUP(SEED!$B127, [2]DataLookUp!$B$4:$D$1000, 2, FALSE)))</f>
        <v>Person - Yusuf Fathurahman</v>
      </c>
    </row>
    <row r="128" spans="2:5" x14ac:dyDescent="0.2">
      <c r="B128" s="76">
        <f ca="1">IF(EXACT(SEED!$N128, ""), "", SEED!$M128)</f>
        <v>167000000000124</v>
      </c>
      <c r="C128" s="17" t="str">
        <f ca="1">IF(EXACT($B128, ""), "", SEED!$E128&amp;" - "&amp;SEED!$G128)</f>
        <v>Bank Central Asia - 0670059618</v>
      </c>
      <c r="D128" s="58" t="str">
        <f ca="1">IF(EXACT($B128, ""), "", IF((SEED!I128*1)=62000000000001, "IDR", IF((SEED!I128*1)=62000000000002, "USD", IF((SEED!I128*1)=62000000000003, "AUD", "Others"))))</f>
        <v>IDR</v>
      </c>
      <c r="E128" s="17" t="str">
        <f ca="1">IF(EXACT($B128, ""), "", IF(FLOOR(SEED!$B128/1000000000000, 1)=124, "Institution - "&amp;VLOOKUP(SEED!$B128, '[1]DataLookUp - InstitutionBranch'!$B$4:$C$1000, 2, FALSE), "Person - "&amp;VLOOKUP(SEED!$B128, [2]DataLookUp!$B$4:$D$1000, 2, FALSE)))</f>
        <v>Person - Muhammad Syarifudin</v>
      </c>
    </row>
    <row r="129" spans="2:5" x14ac:dyDescent="0.2">
      <c r="B129" s="76">
        <f ca="1">IF(EXACT(SEED!$N129, ""), "", SEED!$M129)</f>
        <v>167000000000125</v>
      </c>
      <c r="C129" s="17" t="str">
        <f ca="1">IF(EXACT($B129, ""), "", SEED!$E129&amp;" - "&amp;SEED!$G129)</f>
        <v>Bank Central Asia - 0670059618</v>
      </c>
      <c r="D129" s="58" t="str">
        <f ca="1">IF(EXACT($B129, ""), "", IF((SEED!I129*1)=62000000000001, "IDR", IF((SEED!I129*1)=62000000000002, "USD", IF((SEED!I129*1)=62000000000003, "AUD", "Others"))))</f>
        <v>IDR</v>
      </c>
      <c r="E129" s="17" t="str">
        <f ca="1">IF(EXACT($B129, ""), "", IF(FLOOR(SEED!$B129/1000000000000, 1)=124, "Institution - "&amp;VLOOKUP(SEED!$B129, '[1]DataLookUp - InstitutionBranch'!$B$4:$C$1000, 2, FALSE), "Person - "&amp;VLOOKUP(SEED!$B129, [2]DataLookUp!$B$4:$D$1000, 2, FALSE)))</f>
        <v>Person - Dian Setiawan</v>
      </c>
    </row>
    <row r="130" spans="2:5" x14ac:dyDescent="0.2">
      <c r="B130" s="76">
        <f ca="1">IF(EXACT(SEED!$N130, ""), "", SEED!$M130)</f>
        <v>167000000000126</v>
      </c>
      <c r="C130" s="17" t="str">
        <f ca="1">IF(EXACT($B130, ""), "", SEED!$E130&amp;" - "&amp;SEED!$G130)</f>
        <v>Bank Central Asia - 0670059618</v>
      </c>
      <c r="D130" s="58" t="str">
        <f ca="1">IF(EXACT($B130, ""), "", IF((SEED!I130*1)=62000000000001, "IDR", IF((SEED!I130*1)=62000000000002, "USD", IF((SEED!I130*1)=62000000000003, "AUD", "Others"))))</f>
        <v>IDR</v>
      </c>
      <c r="E130" s="17" t="str">
        <f ca="1">IF(EXACT($B130, ""), "", IF(FLOOR(SEED!$B130/1000000000000, 1)=124, "Institution - "&amp;VLOOKUP(SEED!$B130, '[1]DataLookUp - InstitutionBranch'!$B$4:$C$1000, 2, FALSE), "Person - "&amp;VLOOKUP(SEED!$B130, [2]DataLookUp!$B$4:$D$1000, 2, FALSE)))</f>
        <v>Person - Muhammad Sholikhun</v>
      </c>
    </row>
    <row r="131" spans="2:5" x14ac:dyDescent="0.2">
      <c r="B131" s="76">
        <f ca="1">IF(EXACT(SEED!$N131, ""), "", SEED!$M131)</f>
        <v>167000000000127</v>
      </c>
      <c r="C131" s="17" t="str">
        <f ca="1">IF(EXACT($B131, ""), "", SEED!$E131&amp;" - "&amp;SEED!$G131)</f>
        <v>Bank Central Asia - 8681161864</v>
      </c>
      <c r="D131" s="58" t="str">
        <f ca="1">IF(EXACT($B131, ""), "", IF((SEED!I131*1)=62000000000001, "IDR", IF((SEED!I131*1)=62000000000002, "USD", IF((SEED!I131*1)=62000000000003, "AUD", "Others"))))</f>
        <v>IDR</v>
      </c>
      <c r="E131" s="17" t="str">
        <f ca="1">IF(EXACT($B131, ""), "", IF(FLOOR(SEED!$B131/1000000000000, 1)=124, "Institution - "&amp;VLOOKUP(SEED!$B131, '[1]DataLookUp - InstitutionBranch'!$B$4:$C$1000, 2, FALSE), "Person - "&amp;VLOOKUP(SEED!$B131, [2]DataLookUp!$B$4:$D$1000, 2, FALSE)))</f>
        <v>Person - Samta Harahap</v>
      </c>
    </row>
    <row r="132" spans="2:5" x14ac:dyDescent="0.2">
      <c r="B132" s="76">
        <f ca="1">IF(EXACT(SEED!$N132, ""), "", SEED!$M132)</f>
        <v>167000000000128</v>
      </c>
      <c r="C132" s="17" t="str">
        <f ca="1">IF(EXACT($B132, ""), "", SEED!$E132&amp;" - "&amp;SEED!$G132)</f>
        <v>Bank Central Asia - 7125461581</v>
      </c>
      <c r="D132" s="58" t="str">
        <f ca="1">IF(EXACT($B132, ""), "", IF((SEED!I132*1)=62000000000001, "IDR", IF((SEED!I132*1)=62000000000002, "USD", IF((SEED!I132*1)=62000000000003, "AUD", "Others"))))</f>
        <v>IDR</v>
      </c>
      <c r="E132" s="17" t="str">
        <f ca="1">IF(EXACT($B132, ""), "", IF(FLOOR(SEED!$B132/1000000000000, 1)=124, "Institution - "&amp;VLOOKUP(SEED!$B132, '[1]DataLookUp - InstitutionBranch'!$B$4:$C$1000, 2, FALSE), "Person - "&amp;VLOOKUP(SEED!$B132, [2]DataLookUp!$B$4:$D$1000, 2, FALSE)))</f>
        <v>Person - Muhammad Lukbani</v>
      </c>
    </row>
    <row r="133" spans="2:5" x14ac:dyDescent="0.2">
      <c r="B133" s="76" t="str">
        <f>IF(EXACT(SEED!$N133, ""), "", SEED!$M133)</f>
        <v/>
      </c>
      <c r="C133" s="17" t="str">
        <f>IF(EXACT($B133, ""), "", SEED!$E133&amp;" - "&amp;SEED!$G133)</f>
        <v/>
      </c>
      <c r="D133" s="58" t="str">
        <f>IF(EXACT($B133, ""), "", IF((SEED!I133*1)=62000000000001, "IDR", IF((SEED!I133*1)=62000000000002, "USD", IF((SEED!I133*1)=62000000000003, "AUD", "Others"))))</f>
        <v/>
      </c>
      <c r="E133" s="17" t="str">
        <f>IF(EXACT($B133, ""), "", IF(FLOOR(SEED!$B133/1000000000000, 1)=124, "Institution - "&amp;VLOOKUP(SEED!$B133, '[1]DataLookUp - InstitutionBranch'!$B$4:$C$1000, 2, FALSE), "Person - "&amp;VLOOKUP(SEED!$B133, [2]DataLookUp!$B$4:$D$1000, 2, FALSE)))</f>
        <v/>
      </c>
    </row>
    <row r="134" spans="2:5" x14ac:dyDescent="0.2">
      <c r="B134" s="76" t="str">
        <f>IF(EXACT(SEED!$N134, ""), "", SEED!$M134)</f>
        <v/>
      </c>
      <c r="C134" s="17" t="str">
        <f>IF(EXACT($B134, ""), "", SEED!$E134&amp;" - "&amp;SEED!$G134)</f>
        <v/>
      </c>
      <c r="D134" s="58" t="str">
        <f>IF(EXACT($B134, ""), "", IF((SEED!I134*1)=62000000000001, "IDR", IF((SEED!I134*1)=62000000000002, "USD", IF((SEED!I134*1)=62000000000003, "AUD", "Others"))))</f>
        <v/>
      </c>
      <c r="E134" s="17" t="str">
        <f>IF(EXACT($B134, ""), "", IF(FLOOR(SEED!$B134/1000000000000, 1)=124, "Institution - "&amp;VLOOKUP(SEED!$B134, '[1]DataLookUp - InstitutionBranch'!$B$4:$C$1000, 2, FALSE), "Person - "&amp;VLOOKUP(SEED!$B134, [2]DataLookUp!$B$4:$D$1000, 2, FALSE)))</f>
        <v/>
      </c>
    </row>
    <row r="135" spans="2:5" x14ac:dyDescent="0.2">
      <c r="B135" s="76">
        <f ca="1">IF(EXACT(SEED!$N135, ""), "", SEED!$M135)</f>
        <v>167000000000129</v>
      </c>
      <c r="C135" s="17" t="str">
        <f ca="1">IF(EXACT($B135, ""), "", SEED!$E135&amp;" - "&amp;SEED!$G135)</f>
        <v>Bank Central Asia - 2302269280</v>
      </c>
      <c r="D135" s="58" t="str">
        <f ca="1">IF(EXACT($B135, ""), "", IF((SEED!I135*1)=62000000000001, "IDR", IF((SEED!I135*1)=62000000000002, "USD", IF((SEED!I135*1)=62000000000003, "AUD", "Others"))))</f>
        <v>IDR</v>
      </c>
      <c r="E135" s="17" t="str">
        <f ca="1">IF(EXACT($B135, ""), "", IF(FLOOR(SEED!$B135/1000000000000, 1)=124, "Institution - "&amp;VLOOKUP(SEED!$B135, '[1]DataLookUp - InstitutionBranch'!$B$4:$C$1000, 2, FALSE), "Person - "&amp;VLOOKUP(SEED!$B135, [2]DataLookUp!$B$4:$D$1000, 2, FALSE)))</f>
        <v>Person - Ahmad Faiz Haems Muda</v>
      </c>
    </row>
    <row r="136" spans="2:5" x14ac:dyDescent="0.2">
      <c r="B136" s="76">
        <f ca="1">IF(EXACT(SEED!$N136, ""), "", SEED!$M136)</f>
        <v>167000000000130</v>
      </c>
      <c r="C136" s="17" t="str">
        <f ca="1">IF(EXACT($B136, ""), "", SEED!$E136&amp;" - "&amp;SEED!$G136)</f>
        <v>Bank Central Asia - 4271122556</v>
      </c>
      <c r="D136" s="58" t="str">
        <f ca="1">IF(EXACT($B136, ""), "", IF((SEED!I136*1)=62000000000001, "IDR", IF((SEED!I136*1)=62000000000002, "USD", IF((SEED!I136*1)=62000000000003, "AUD", "Others"))))</f>
        <v>IDR</v>
      </c>
      <c r="E136" s="17" t="str">
        <f ca="1">IF(EXACT($B136, ""), "", IF(FLOOR(SEED!$B136/1000000000000, 1)=124, "Institution - "&amp;VLOOKUP(SEED!$B136, '[1]DataLookUp - InstitutionBranch'!$B$4:$C$1000, 2, FALSE), "Person - "&amp;VLOOKUP(SEED!$B136, [2]DataLookUp!$B$4:$D$1000, 2, FALSE)))</f>
        <v>Person - Grace Kurniawan</v>
      </c>
    </row>
    <row r="137" spans="2:5" x14ac:dyDescent="0.2">
      <c r="B137" s="76">
        <f ca="1">IF(EXACT(SEED!$N137, ""), "", SEED!$M137)</f>
        <v>167000000000131</v>
      </c>
      <c r="C137" s="17" t="str">
        <f ca="1">IF(EXACT($B137, ""), "", SEED!$E137&amp;" - "&amp;SEED!$G137)</f>
        <v>Bank Rakyat Indonesia - 034101074863509</v>
      </c>
      <c r="D137" s="58" t="str">
        <f ca="1">IF(EXACT($B137, ""), "", IF((SEED!I137*1)=62000000000001, "IDR", IF((SEED!I137*1)=62000000000002, "USD", IF((SEED!I137*1)=62000000000003, "AUD", "Others"))))</f>
        <v>IDR</v>
      </c>
      <c r="E137" s="17" t="str">
        <f ca="1">IF(EXACT($B137, ""), "", IF(FLOOR(SEED!$B137/1000000000000, 1)=124, "Institution - "&amp;VLOOKUP(SEED!$B137, '[1]DataLookUp - InstitutionBranch'!$B$4:$C$1000, 2, FALSE), "Person - "&amp;VLOOKUP(SEED!$B137, [2]DataLookUp!$B$4:$D$1000, 2, FALSE)))</f>
        <v>Person - Ares S. Mauboi</v>
      </c>
    </row>
    <row r="138" spans="2:5" x14ac:dyDescent="0.2">
      <c r="B138" s="76">
        <f ca="1">IF(EXACT(SEED!$N138, ""), "", SEED!$M138)</f>
        <v>167000000000132</v>
      </c>
      <c r="C138" s="17" t="str">
        <f ca="1">IF(EXACT($B138, ""), "", SEED!$E138&amp;" - "&amp;SEED!$G138)</f>
        <v>Bank Rakyat Indonesia - 727401009580534</v>
      </c>
      <c r="D138" s="58" t="str">
        <f ca="1">IF(EXACT($B138, ""), "", IF((SEED!I138*1)=62000000000001, "IDR", IF((SEED!I138*1)=62000000000002, "USD", IF((SEED!I138*1)=62000000000003, "AUD", "Others"))))</f>
        <v>IDR</v>
      </c>
      <c r="E138" s="17" t="str">
        <f ca="1">IF(EXACT($B138, ""), "", IF(FLOOR(SEED!$B138/1000000000000, 1)=124, "Institution - "&amp;VLOOKUP(SEED!$B138, '[1]DataLookUp - InstitutionBranch'!$B$4:$C$1000, 2, FALSE), "Person - "&amp;VLOOKUP(SEED!$B138, [2]DataLookUp!$B$4:$D$1000, 2, FALSE)))</f>
        <v>Person - Cahyana</v>
      </c>
    </row>
    <row r="139" spans="2:5" x14ac:dyDescent="0.2">
      <c r="B139" s="76">
        <f ca="1">IF(EXACT(SEED!$N139, ""), "", SEED!$M139)</f>
        <v>167000000000133</v>
      </c>
      <c r="C139" s="17" t="str">
        <f ca="1">IF(EXACT($B139, ""), "", SEED!$E139&amp;" - "&amp;SEED!$G139)</f>
        <v>Bank Rakyat Indonesia - 033601013930530</v>
      </c>
      <c r="D139" s="58" t="str">
        <f ca="1">IF(EXACT($B139, ""), "", IF((SEED!I139*1)=62000000000001, "IDR", IF((SEED!I139*1)=62000000000002, "USD", IF((SEED!I139*1)=62000000000003, "AUD", "Others"))))</f>
        <v>IDR</v>
      </c>
      <c r="E139" s="17" t="str">
        <f ca="1">IF(EXACT($B139, ""), "", IF(FLOOR(SEED!$B139/1000000000000, 1)=124, "Institution - "&amp;VLOOKUP(SEED!$B139, '[1]DataLookUp - InstitutionBranch'!$B$4:$C$1000, 2, FALSE), "Person - "&amp;VLOOKUP(SEED!$B139, [2]DataLookUp!$B$4:$D$1000, 2, FALSE)))</f>
        <v>Person - Davit Lumban Gaol</v>
      </c>
    </row>
    <row r="140" spans="2:5" x14ac:dyDescent="0.2">
      <c r="B140" s="76">
        <f ca="1">IF(EXACT(SEED!$N140, ""), "", SEED!$M140)</f>
        <v>167000000000134</v>
      </c>
      <c r="C140" s="17" t="str">
        <f ca="1">IF(EXACT($B140, ""), "", SEED!$E140&amp;" - "&amp;SEED!$G140)</f>
        <v xml:space="preserve">Bank Rakyat Indonesia - 212401007578533 </v>
      </c>
      <c r="D140" s="58" t="str">
        <f ca="1">IF(EXACT($B140, ""), "", IF((SEED!I140*1)=62000000000001, "IDR", IF((SEED!I140*1)=62000000000002, "USD", IF((SEED!I140*1)=62000000000003, "AUD", "Others"))))</f>
        <v>IDR</v>
      </c>
      <c r="E140" s="17" t="str">
        <f ca="1">IF(EXACT($B140, ""), "", IF(FLOOR(SEED!$B140/1000000000000, 1)=124, "Institution - "&amp;VLOOKUP(SEED!$B140, '[1]DataLookUp - InstitutionBranch'!$B$4:$C$1000, 2, FALSE), "Person - "&amp;VLOOKUP(SEED!$B140, [2]DataLookUp!$B$4:$D$1000, 2, FALSE)))</f>
        <v>Person - Dian Tri Rahmawati</v>
      </c>
    </row>
    <row r="141" spans="2:5" x14ac:dyDescent="0.2">
      <c r="B141" s="76">
        <f ca="1">IF(EXACT(SEED!$N141, ""), "", SEED!$M141)</f>
        <v>167000000000135</v>
      </c>
      <c r="C141" s="17" t="str">
        <f ca="1">IF(EXACT($B141, ""), "", SEED!$E141&amp;" - "&amp;SEED!$G141)</f>
        <v>Bank Rakyat Indonesia - 353201013523538</v>
      </c>
      <c r="D141" s="58" t="str">
        <f ca="1">IF(EXACT($B141, ""), "", IF((SEED!I141*1)=62000000000001, "IDR", IF((SEED!I141*1)=62000000000002, "USD", IF((SEED!I141*1)=62000000000003, "AUD", "Others"))))</f>
        <v>IDR</v>
      </c>
      <c r="E141" s="17" t="str">
        <f ca="1">IF(EXACT($B141, ""), "", IF(FLOOR(SEED!$B141/1000000000000, 1)=124, "Institution - "&amp;VLOOKUP(SEED!$B141, '[1]DataLookUp - InstitutionBranch'!$B$4:$C$1000, 2, FALSE), "Person - "&amp;VLOOKUP(SEED!$B141, [2]DataLookUp!$B$4:$D$1000, 2, FALSE)))</f>
        <v>Person - Edy Syahputra Situmeang</v>
      </c>
    </row>
    <row r="142" spans="2:5" x14ac:dyDescent="0.2">
      <c r="B142" s="76">
        <f ca="1">IF(EXACT(SEED!$N142, ""), "", SEED!$M142)</f>
        <v>167000000000136</v>
      </c>
      <c r="C142" s="17" t="str">
        <f ca="1">IF(EXACT($B142, ""), "", SEED!$E142&amp;" - "&amp;SEED!$G142)</f>
        <v>Bank Rakyat Indonesia - 122301024676505</v>
      </c>
      <c r="D142" s="58" t="str">
        <f ca="1">IF(EXACT($B142, ""), "", IF((SEED!I142*1)=62000000000001, "IDR", IF((SEED!I142*1)=62000000000002, "USD", IF((SEED!I142*1)=62000000000003, "AUD", "Others"))))</f>
        <v>IDR</v>
      </c>
      <c r="E142" s="17" t="str">
        <f ca="1">IF(EXACT($B142, ""), "", IF(FLOOR(SEED!$B142/1000000000000, 1)=124, "Institution - "&amp;VLOOKUP(SEED!$B142, '[1]DataLookUp - InstitutionBranch'!$B$4:$C$1000, 2, FALSE), "Person - "&amp;VLOOKUP(SEED!$B142, [2]DataLookUp!$B$4:$D$1000, 2, FALSE)))</f>
        <v>Person - Fabrian Danang Destiyara</v>
      </c>
    </row>
    <row r="143" spans="2:5" x14ac:dyDescent="0.2">
      <c r="B143" s="76">
        <f ca="1">IF(EXACT(SEED!$N143, ""), "", SEED!$M143)</f>
        <v>167000000000137</v>
      </c>
      <c r="C143" s="17" t="str">
        <f ca="1">IF(EXACT($B143, ""), "", SEED!$E143&amp;" - "&amp;SEED!$G143)</f>
        <v>Bank Central Asia - 0021817308</v>
      </c>
      <c r="D143" s="58" t="str">
        <f ca="1">IF(EXACT($B143, ""), "", IF((SEED!I143*1)=62000000000001, "IDR", IF((SEED!I143*1)=62000000000002, "USD", IF((SEED!I143*1)=62000000000003, "AUD", "Others"))))</f>
        <v>IDR</v>
      </c>
      <c r="E143" s="17" t="str">
        <f ca="1">IF(EXACT($B143, ""), "", IF(FLOOR(SEED!$B143/1000000000000, 1)=124, "Institution - "&amp;VLOOKUP(SEED!$B143, '[1]DataLookUp - InstitutionBranch'!$B$4:$C$1000, 2, FALSE), "Person - "&amp;VLOOKUP(SEED!$B143, [2]DataLookUp!$B$4:$D$1000, 2, FALSE)))</f>
        <v>Person - Langgeng Eko Dwiantoro</v>
      </c>
    </row>
    <row r="144" spans="2:5" x14ac:dyDescent="0.2">
      <c r="B144" s="76">
        <f ca="1">IF(EXACT(SEED!$N144, ""), "", SEED!$M144)</f>
        <v>167000000000138</v>
      </c>
      <c r="C144" s="17" t="str">
        <f ca="1">IF(EXACT($B144, ""), "", SEED!$E144&amp;" - "&amp;SEED!$G144)</f>
        <v>Bank Rakyat Indonesia - 034101013725530</v>
      </c>
      <c r="D144" s="58" t="str">
        <f ca="1">IF(EXACT($B144, ""), "", IF((SEED!I144*1)=62000000000001, "IDR", IF((SEED!I144*1)=62000000000002, "USD", IF((SEED!I144*1)=62000000000003, "AUD", "Others"))))</f>
        <v>IDR</v>
      </c>
      <c r="E144" s="17" t="str">
        <f ca="1">IF(EXACT($B144, ""), "", IF(FLOOR(SEED!$B144/1000000000000, 1)=124, "Institution - "&amp;VLOOKUP(SEED!$B144, '[1]DataLookUp - InstitutionBranch'!$B$4:$C$1000, 2, FALSE), "Person - "&amp;VLOOKUP(SEED!$B144, [2]DataLookUp!$B$4:$D$1000, 2, FALSE)))</f>
        <v>Person - Langgeng Eko Dwiantoro</v>
      </c>
    </row>
    <row r="145" spans="2:5" x14ac:dyDescent="0.2">
      <c r="B145" s="76">
        <f ca="1">IF(EXACT(SEED!$N145, ""), "", SEED!$M145)</f>
        <v>167000000000139</v>
      </c>
      <c r="C145" s="17" t="str">
        <f ca="1">IF(EXACT($B145, ""), "", SEED!$E145&amp;" - "&amp;SEED!$G145)</f>
        <v>Bank Rakyat Indonesia - 034101085528508</v>
      </c>
      <c r="D145" s="58" t="str">
        <f ca="1">IF(EXACT($B145, ""), "", IF((SEED!I145*1)=62000000000001, "IDR", IF((SEED!I145*1)=62000000000002, "USD", IF((SEED!I145*1)=62000000000003, "AUD", "Others"))))</f>
        <v>IDR</v>
      </c>
      <c r="E145" s="17" t="str">
        <f ca="1">IF(EXACT($B145, ""), "", IF(FLOOR(SEED!$B145/1000000000000, 1)=124, "Institution - "&amp;VLOOKUP(SEED!$B145, '[1]DataLookUp - InstitutionBranch'!$B$4:$C$1000, 2, FALSE), "Person - "&amp;VLOOKUP(SEED!$B145, [2]DataLookUp!$B$4:$D$1000, 2, FALSE)))</f>
        <v>Person - Roy Aditya</v>
      </c>
    </row>
    <row r="146" spans="2:5" x14ac:dyDescent="0.2">
      <c r="B146" s="76">
        <f ca="1">IF(EXACT(SEED!$N146, ""), "", SEED!$M146)</f>
        <v>167000000000140</v>
      </c>
      <c r="C146" s="17" t="str">
        <f ca="1">IF(EXACT($B146, ""), "", SEED!$E146&amp;" - "&amp;SEED!$G146)</f>
        <v>Bank Rakyat Indonesia - 034101074864505</v>
      </c>
      <c r="D146" s="58" t="str">
        <f ca="1">IF(EXACT($B146, ""), "", IF((SEED!I146*1)=62000000000001, "IDR", IF((SEED!I146*1)=62000000000002, "USD", IF((SEED!I146*1)=62000000000003, "AUD", "Others"))))</f>
        <v>IDR</v>
      </c>
      <c r="E146" s="17" t="str">
        <f ca="1">IF(EXACT($B146, ""), "", IF(FLOOR(SEED!$B146/1000000000000, 1)=124, "Institution - "&amp;VLOOKUP(SEED!$B146, '[1]DataLookUp - InstitutionBranch'!$B$4:$C$1000, 2, FALSE), "Person - "&amp;VLOOKUP(SEED!$B146, [2]DataLookUp!$B$4:$D$1000, 2, FALSE)))</f>
        <v>Person - Sugiarto</v>
      </c>
    </row>
    <row r="147" spans="2:5" x14ac:dyDescent="0.2">
      <c r="B147" s="76">
        <f ca="1">IF(EXACT(SEED!$N147, ""), "", SEED!$M147)</f>
        <v>167000000000141</v>
      </c>
      <c r="C147" s="17" t="str">
        <f ca="1">IF(EXACT($B147, ""), "", SEED!$E147&amp;" - "&amp;SEED!$G147)</f>
        <v>Bank Rakyat Indonesia - 034101082539500</v>
      </c>
      <c r="D147" s="58" t="str">
        <f ca="1">IF(EXACT($B147, ""), "", IF((SEED!I147*1)=62000000000001, "IDR", IF((SEED!I147*1)=62000000000002, "USD", IF((SEED!I147*1)=62000000000003, "AUD", "Others"))))</f>
        <v>IDR</v>
      </c>
      <c r="E147" s="17" t="str">
        <f ca="1">IF(EXACT($B147, ""), "", IF(FLOOR(SEED!$B147/1000000000000, 1)=124, "Institution - "&amp;VLOOKUP(SEED!$B147, '[1]DataLookUp - InstitutionBranch'!$B$4:$C$1000, 2, FALSE), "Person - "&amp;VLOOKUP(SEED!$B147, [2]DataLookUp!$B$4:$D$1000, 2, FALSE)))</f>
        <v>Person - Sulaeman</v>
      </c>
    </row>
    <row r="148" spans="2:5" x14ac:dyDescent="0.2">
      <c r="B148" s="76">
        <f ca="1">IF(EXACT(SEED!$N148, ""), "", SEED!$M148)</f>
        <v>167000000000142</v>
      </c>
      <c r="C148" s="17" t="str">
        <f ca="1">IF(EXACT($B148, ""), "", SEED!$E148&amp;" - "&amp;SEED!$G148)</f>
        <v>Bank Rakyat Indonesia - 026901024911506</v>
      </c>
      <c r="D148" s="58" t="str">
        <f ca="1">IF(EXACT($B148, ""), "", IF((SEED!I148*1)=62000000000001, "IDR", IF((SEED!I148*1)=62000000000002, "USD", IF((SEED!I148*1)=62000000000003, "AUD", "Others"))))</f>
        <v>IDR</v>
      </c>
      <c r="E148" s="17" t="str">
        <f ca="1">IF(EXACT($B148, ""), "", IF(FLOOR(SEED!$B148/1000000000000, 1)=124, "Institution - "&amp;VLOOKUP(SEED!$B148, '[1]DataLookUp - InstitutionBranch'!$B$4:$C$1000, 2, FALSE), "Person - "&amp;VLOOKUP(SEED!$B148, [2]DataLookUp!$B$4:$D$1000, 2, FALSE)))</f>
        <v>Person - Urbanus Boimau</v>
      </c>
    </row>
    <row r="149" spans="2:5" x14ac:dyDescent="0.2">
      <c r="B149" s="76">
        <f ca="1">IF(EXACT(SEED!$N149, ""), "", SEED!$M149)</f>
        <v>167000000000143</v>
      </c>
      <c r="C149" s="17" t="str">
        <f ca="1">IF(EXACT($B149, ""), "", SEED!$E149&amp;" - "&amp;SEED!$G149)</f>
        <v>Bank Central Asia - 5520769236</v>
      </c>
      <c r="D149" s="58" t="str">
        <f ca="1">IF(EXACT($B149, ""), "", IF((SEED!I149*1)=62000000000001, "IDR", IF((SEED!I149*1)=62000000000002, "USD", IF((SEED!I149*1)=62000000000003, "AUD", "Others"))))</f>
        <v>IDR</v>
      </c>
      <c r="E149" s="17" t="str">
        <f ca="1">IF(EXACT($B149, ""), "", IF(FLOOR(SEED!$B149/1000000000000, 1)=124, "Institution - "&amp;VLOOKUP(SEED!$B149, '[1]DataLookUp - InstitutionBranch'!$B$4:$C$1000, 2, FALSE), "Person - "&amp;VLOOKUP(SEED!$B149, [2]DataLookUp!$B$4:$D$1000, 2, FALSE)))</f>
        <v>Person - Adhe Kurniawan</v>
      </c>
    </row>
    <row r="150" spans="2:5" x14ac:dyDescent="0.2">
      <c r="B150" s="76">
        <f ca="1">IF(EXACT(SEED!$N150, ""), "", SEED!$M150)</f>
        <v>167000000000144</v>
      </c>
      <c r="C150" s="17" t="str">
        <f ca="1">IF(EXACT($B150, ""), "", SEED!$E150&amp;" - "&amp;SEED!$G150)</f>
        <v>Bank Rakyat Indonesia - 069501008650509</v>
      </c>
      <c r="D150" s="58" t="str">
        <f ca="1">IF(EXACT($B150, ""), "", IF((SEED!I150*1)=62000000000001, "IDR", IF((SEED!I150*1)=62000000000002, "USD", IF((SEED!I150*1)=62000000000003, "AUD", "Others"))))</f>
        <v>IDR</v>
      </c>
      <c r="E150" s="17" t="str">
        <f ca="1">IF(EXACT($B150, ""), "", IF(FLOOR(SEED!$B150/1000000000000, 1)=124, "Institution - "&amp;VLOOKUP(SEED!$B150, '[1]DataLookUp - InstitutionBranch'!$B$4:$C$1000, 2, FALSE), "Person - "&amp;VLOOKUP(SEED!$B150, [2]DataLookUp!$B$4:$D$1000, 2, FALSE)))</f>
        <v>Person - Adhe Kurniawan</v>
      </c>
    </row>
    <row r="151" spans="2:5" x14ac:dyDescent="0.2">
      <c r="B151" s="76" t="str">
        <f>IF(EXACT(SEED!$N151, ""), "", SEED!$M151)</f>
        <v/>
      </c>
      <c r="C151" s="17" t="str">
        <f>IF(EXACT($B151, ""), "", SEED!$E151&amp;" - "&amp;SEED!$G151)</f>
        <v/>
      </c>
      <c r="D151" s="58" t="str">
        <f>IF(EXACT($B151, ""), "", IF((SEED!I151*1)=62000000000001, "IDR", IF((SEED!I151*1)=62000000000002, "USD", IF((SEED!I151*1)=62000000000003, "AUD", "Others"))))</f>
        <v/>
      </c>
      <c r="E151" s="17" t="str">
        <f>IF(EXACT($B151, ""), "", IF(FLOOR(SEED!$B151/1000000000000, 1)=124, "Institution - "&amp;VLOOKUP(SEED!$B151, '[1]DataLookUp - InstitutionBranch'!$B$4:$C$1000, 2, FALSE), "Person - "&amp;VLOOKUP(SEED!$B151, [2]DataLookUp!$B$4:$D$1000, 2, FALSE)))</f>
        <v/>
      </c>
    </row>
    <row r="152" spans="2:5" x14ac:dyDescent="0.2">
      <c r="B152" s="76" t="str">
        <f>IF(EXACT(SEED!$N152, ""), "", SEED!$M152)</f>
        <v/>
      </c>
      <c r="C152" s="17" t="str">
        <f>IF(EXACT($B152, ""), "", SEED!$E152&amp;" - "&amp;SEED!$G152)</f>
        <v/>
      </c>
      <c r="D152" s="58" t="str">
        <f>IF(EXACT($B152, ""), "", IF((SEED!I152*1)=62000000000001, "IDR", IF((SEED!I152*1)=62000000000002, "USD", IF((SEED!I152*1)=62000000000003, "AUD", "Others"))))</f>
        <v/>
      </c>
      <c r="E152" s="17" t="str">
        <f>IF(EXACT($B152, ""), "", IF(FLOOR(SEED!$B152/1000000000000, 1)=124, "Institution - "&amp;VLOOKUP(SEED!$B152, '[1]DataLookUp - InstitutionBranch'!$B$4:$C$1000, 2, FALSE), "Person - "&amp;VLOOKUP(SEED!$B152, [2]DataLookUp!$B$4:$D$1000, 2, FALSE)))</f>
        <v/>
      </c>
    </row>
    <row r="153" spans="2:5" x14ac:dyDescent="0.2">
      <c r="B153" s="76" t="str">
        <f>IF(EXACT(SEED!$N153, ""), "", SEED!$M153)</f>
        <v/>
      </c>
      <c r="C153" s="17" t="str">
        <f>IF(EXACT($B153, ""), "", SEED!$E153&amp;" - "&amp;SEED!$G153)</f>
        <v/>
      </c>
      <c r="D153" s="58" t="str">
        <f>IF(EXACT($B153, ""), "", IF((SEED!I153*1)=62000000000001, "IDR", IF((SEED!I153*1)=62000000000002, "USD", IF((SEED!I153*1)=62000000000003, "AUD", "Others"))))</f>
        <v/>
      </c>
      <c r="E153" s="17" t="str">
        <f>IF(EXACT($B153, ""), "", IF(FLOOR(SEED!$B153/1000000000000, 1)=124, "Institution - "&amp;VLOOKUP(SEED!$B153, '[1]DataLookUp - InstitutionBranch'!$B$4:$C$1000, 2, FALSE), "Person - "&amp;VLOOKUP(SEED!$B153, [2]DataLookUp!$B$4:$D$1000, 2, FALSE)))</f>
        <v/>
      </c>
    </row>
    <row r="154" spans="2:5" x14ac:dyDescent="0.2">
      <c r="B154" s="76" t="str">
        <f>IF(EXACT(SEED!$N154, ""), "", SEED!$M154)</f>
        <v/>
      </c>
      <c r="C154" s="17" t="str">
        <f>IF(EXACT($B154, ""), "", SEED!$E154&amp;" - "&amp;SEED!$G154)</f>
        <v/>
      </c>
      <c r="D154" s="58" t="str">
        <f>IF(EXACT($B154, ""), "", IF((SEED!I154*1)=62000000000001, "IDR", IF((SEED!I154*1)=62000000000002, "USD", IF((SEED!I154*1)=62000000000003, "AUD", "Others"))))</f>
        <v/>
      </c>
      <c r="E154" s="17" t="str">
        <f>IF(EXACT($B154, ""), "", IF(FLOOR(SEED!$B154/1000000000000, 1)=124, "Institution - "&amp;VLOOKUP(SEED!$B154, '[1]DataLookUp - InstitutionBranch'!$B$4:$C$1000, 2, FALSE), "Person - "&amp;VLOOKUP(SEED!$B154, [2]DataLookUp!$B$4:$D$1000, 2, FALSE)))</f>
        <v/>
      </c>
    </row>
    <row r="155" spans="2:5" x14ac:dyDescent="0.2">
      <c r="B155" s="76" t="str">
        <f>IF(EXACT(SEED!$N155, ""), "", SEED!$M155)</f>
        <v/>
      </c>
      <c r="C155" s="17" t="str">
        <f>IF(EXACT($B155, ""), "", SEED!$E155&amp;" - "&amp;SEED!$G155)</f>
        <v/>
      </c>
      <c r="D155" s="58" t="str">
        <f>IF(EXACT($B155, ""), "", IF((SEED!I155*1)=62000000000001, "IDR", IF((SEED!I155*1)=62000000000002, "USD", IF((SEED!I155*1)=62000000000003, "AUD", "Others"))))</f>
        <v/>
      </c>
      <c r="E155" s="17" t="str">
        <f>IF(EXACT($B155, ""), "", IF(FLOOR(SEED!$B155/1000000000000, 1)=124, "Institution - "&amp;VLOOKUP(SEED!$B155, '[1]DataLookUp - InstitutionBranch'!$B$4:$C$1000, 2, FALSE), "Person - "&amp;VLOOKUP(SEED!$B155, [2]DataLookUp!$B$4:$D$1000, 2, FALSE)))</f>
        <v/>
      </c>
    </row>
    <row r="156" spans="2:5" x14ac:dyDescent="0.2">
      <c r="B156" s="76">
        <f ca="1">IF(EXACT(SEED!$N156, ""), "", SEED!$M156)</f>
        <v>167000000000145</v>
      </c>
      <c r="C156" s="17" t="str">
        <f ca="1">IF(EXACT($B156, ""), "", SEED!$E156&amp;" - "&amp;SEED!$G156)</f>
        <v>Bank Central Asia - 5520776887</v>
      </c>
      <c r="D156" s="58" t="str">
        <f ca="1">IF(EXACT($B156, ""), "", IF((SEED!I156*1)=62000000000001, "IDR", IF((SEED!I156*1)=62000000000002, "USD", IF((SEED!I156*1)=62000000000003, "AUD", "Others"))))</f>
        <v>IDR</v>
      </c>
      <c r="E156" s="17" t="str">
        <f ca="1">IF(EXACT($B156, ""), "", IF(FLOOR(SEED!$B156/1000000000000, 1)=124, "Institution - "&amp;VLOOKUP(SEED!$B156, '[1]DataLookUp - InstitutionBranch'!$B$4:$C$1000, 2, FALSE), "Person - "&amp;VLOOKUP(SEED!$B156, [2]DataLookUp!$B$4:$D$1000, 2, FALSE)))</f>
        <v>Person - Eka Kurniawan Hidayatullah</v>
      </c>
    </row>
    <row r="157" spans="2:5" x14ac:dyDescent="0.2">
      <c r="B157" s="76">
        <f ca="1">IF(EXACT(SEED!$N157, ""), "", SEED!$M157)</f>
        <v>167000000000146</v>
      </c>
      <c r="C157" s="17" t="str">
        <f ca="1">IF(EXACT($B157, ""), "", SEED!$E157&amp;" - "&amp;SEED!$G157)</f>
        <v>Bank Central Asia - 2420807867</v>
      </c>
      <c r="D157" s="58" t="str">
        <f ca="1">IF(EXACT($B157, ""), "", IF((SEED!I157*1)=62000000000001, "IDR", IF((SEED!I157*1)=62000000000002, "USD", IF((SEED!I157*1)=62000000000003, "AUD", "Others"))))</f>
        <v>IDR</v>
      </c>
      <c r="E157" s="17" t="str">
        <f ca="1">IF(EXACT($B157, ""), "", IF(FLOOR(SEED!$B157/1000000000000, 1)=124, "Institution - "&amp;VLOOKUP(SEED!$B157, '[1]DataLookUp - InstitutionBranch'!$B$4:$C$1000, 2, FALSE), "Person - "&amp;VLOOKUP(SEED!$B157, [2]DataLookUp!$B$4:$D$1000, 2, FALSE)))</f>
        <v>Person - Zulfikar K. Siregar</v>
      </c>
    </row>
    <row r="158" spans="2:5" x14ac:dyDescent="0.2">
      <c r="B158" s="76" t="str">
        <f>IF(EXACT(SEED!$N158, ""), "", SEED!$M158)</f>
        <v/>
      </c>
      <c r="C158" s="17" t="str">
        <f>IF(EXACT($B158, ""), "", SEED!$E158&amp;" - "&amp;SEED!$G158)</f>
        <v/>
      </c>
      <c r="D158" s="58" t="str">
        <f>IF(EXACT($B158, ""), "", IF((SEED!I158*1)=62000000000001, "IDR", IF((SEED!I158*1)=62000000000002, "USD", IF((SEED!I158*1)=62000000000003, "AUD", "Others"))))</f>
        <v/>
      </c>
      <c r="E158" s="17" t="str">
        <f>IF(EXACT($B158, ""), "", IF(FLOOR(SEED!$B158/1000000000000, 1)=124, "Institution - "&amp;VLOOKUP(SEED!$B158, '[1]DataLookUp - InstitutionBranch'!$B$4:$C$1000, 2, FALSE), "Person - "&amp;VLOOKUP(SEED!$B158, [2]DataLookUp!$B$4:$D$1000, 2, FALSE)))</f>
        <v/>
      </c>
    </row>
    <row r="159" spans="2:5" x14ac:dyDescent="0.2">
      <c r="B159" s="76" t="str">
        <f>IF(EXACT(SEED!$N159, ""), "", SEED!$M159)</f>
        <v/>
      </c>
      <c r="C159" s="17" t="str">
        <f>IF(EXACT($B159, ""), "", SEED!$E159&amp;" - "&amp;SEED!$G159)</f>
        <v/>
      </c>
      <c r="D159" s="58" t="str">
        <f>IF(EXACT($B159, ""), "", IF((SEED!I159*1)=62000000000001, "IDR", IF((SEED!I159*1)=62000000000002, "USD", IF((SEED!I159*1)=62000000000003, "AUD", "Others"))))</f>
        <v/>
      </c>
      <c r="E159" s="17" t="str">
        <f>IF(EXACT($B159, ""), "", IF(FLOOR(SEED!$B159/1000000000000, 1)=124, "Institution - "&amp;VLOOKUP(SEED!$B159, '[1]DataLookUp - InstitutionBranch'!$B$4:$C$1000, 2, FALSE), "Person - "&amp;VLOOKUP(SEED!$B159, [2]DataLookUp!$B$4:$D$1000, 2, FALSE)))</f>
        <v/>
      </c>
    </row>
    <row r="160" spans="2:5" x14ac:dyDescent="0.2">
      <c r="B160" s="76" t="str">
        <f>IF(EXACT(SEED!$N160, ""), "", SEED!$M160)</f>
        <v/>
      </c>
      <c r="C160" s="17" t="str">
        <f>IF(EXACT($B160, ""), "", SEED!$E160&amp;" - "&amp;SEED!$G160)</f>
        <v/>
      </c>
      <c r="D160" s="58" t="str">
        <f>IF(EXACT($B160, ""), "", IF((SEED!I160*1)=62000000000001, "IDR", IF((SEED!I160*1)=62000000000002, "USD", IF((SEED!I160*1)=62000000000003, "AUD", "Others"))))</f>
        <v/>
      </c>
      <c r="E160" s="17" t="str">
        <f>IF(EXACT($B160, ""), "", IF(FLOOR(SEED!$B160/1000000000000, 1)=124, "Institution - "&amp;VLOOKUP(SEED!$B160, '[1]DataLookUp - InstitutionBranch'!$B$4:$C$1000, 2, FALSE), "Person - "&amp;VLOOKUP(SEED!$B160, [2]DataLookUp!$B$4:$D$1000, 2, FALSE)))</f>
        <v/>
      </c>
    </row>
    <row r="161" spans="2:5" x14ac:dyDescent="0.2">
      <c r="B161" s="76" t="str">
        <f>IF(EXACT(SEED!$N161, ""), "", SEED!$M161)</f>
        <v/>
      </c>
      <c r="C161" s="17" t="str">
        <f>IF(EXACT($B161, ""), "", SEED!$E161&amp;" - "&amp;SEED!$G161)</f>
        <v/>
      </c>
      <c r="D161" s="58" t="str">
        <f>IF(EXACT($B161, ""), "", IF((SEED!I161*1)=62000000000001, "IDR", IF((SEED!I161*1)=62000000000002, "USD", IF((SEED!I161*1)=62000000000003, "AUD", "Others"))))</f>
        <v/>
      </c>
      <c r="E161" s="17" t="str">
        <f>IF(EXACT($B161, ""), "", IF(FLOOR(SEED!$B161/1000000000000, 1)=124, "Institution - "&amp;VLOOKUP(SEED!$B161, '[1]DataLookUp - InstitutionBranch'!$B$4:$C$1000, 2, FALSE), "Person - "&amp;VLOOKUP(SEED!$B161, [2]DataLookUp!$B$4:$D$1000, 2, FALSE)))</f>
        <v/>
      </c>
    </row>
    <row r="162" spans="2:5" x14ac:dyDescent="0.2">
      <c r="B162" s="76" t="str">
        <f>IF(EXACT(SEED!$N162, ""), "", SEED!$M162)</f>
        <v/>
      </c>
      <c r="C162" s="17" t="str">
        <f>IF(EXACT($B162, ""), "", SEED!$E162&amp;" - "&amp;SEED!$G162)</f>
        <v/>
      </c>
      <c r="D162" s="58" t="str">
        <f>IF(EXACT($B162, ""), "", IF((SEED!I162*1)=62000000000001, "IDR", IF((SEED!I162*1)=62000000000002, "USD", IF((SEED!I162*1)=62000000000003, "AUD", "Others"))))</f>
        <v/>
      </c>
      <c r="E162" s="17" t="str">
        <f>IF(EXACT($B162, ""), "", IF(FLOOR(SEED!$B162/1000000000000, 1)=124, "Institution - "&amp;VLOOKUP(SEED!$B162, '[1]DataLookUp - InstitutionBranch'!$B$4:$C$1000, 2, FALSE), "Person - "&amp;VLOOKUP(SEED!$B162, [2]DataLookUp!$B$4:$D$1000, 2, FALSE)))</f>
        <v/>
      </c>
    </row>
    <row r="163" spans="2:5" x14ac:dyDescent="0.2">
      <c r="B163" s="76" t="str">
        <f>IF(EXACT(SEED!$N163, ""), "", SEED!$M163)</f>
        <v/>
      </c>
      <c r="C163" s="17" t="str">
        <f>IF(EXACT($B163, ""), "", SEED!$E163&amp;" - "&amp;SEED!$G163)</f>
        <v/>
      </c>
      <c r="D163" s="58" t="str">
        <f>IF(EXACT($B163, ""), "", IF((SEED!I163*1)=62000000000001, "IDR", IF((SEED!I163*1)=62000000000002, "USD", IF((SEED!I163*1)=62000000000003, "AUD", "Others"))))</f>
        <v/>
      </c>
      <c r="E163" s="17" t="str">
        <f>IF(EXACT($B163, ""), "", IF(FLOOR(SEED!$B163/1000000000000, 1)=124, "Institution - "&amp;VLOOKUP(SEED!$B163, '[1]DataLookUp - InstitutionBranch'!$B$4:$C$1000, 2, FALSE), "Person - "&amp;VLOOKUP(SEED!$B163, [2]DataLookUp!$B$4:$D$1000, 2, FALSE)))</f>
        <v/>
      </c>
    </row>
    <row r="164" spans="2:5" x14ac:dyDescent="0.2">
      <c r="B164" s="76" t="str">
        <f>IF(EXACT(SEED!$N164, ""), "", SEED!$M164)</f>
        <v/>
      </c>
      <c r="C164" s="17" t="str">
        <f>IF(EXACT($B164, ""), "", SEED!$E164&amp;" - "&amp;SEED!$G164)</f>
        <v/>
      </c>
      <c r="D164" s="58" t="str">
        <f>IF(EXACT($B164, ""), "", IF((SEED!I164*1)=62000000000001, "IDR", IF((SEED!I164*1)=62000000000002, "USD", IF((SEED!I164*1)=62000000000003, "AUD", "Others"))))</f>
        <v/>
      </c>
      <c r="E164" s="17" t="str">
        <f>IF(EXACT($B164, ""), "", IF(FLOOR(SEED!$B164/1000000000000, 1)=124, "Institution - "&amp;VLOOKUP(SEED!$B164, '[1]DataLookUp - InstitutionBranch'!$B$4:$C$1000, 2, FALSE), "Person - "&amp;VLOOKUP(SEED!$B164, [2]DataLookUp!$B$4:$D$1000, 2, FALSE)))</f>
        <v/>
      </c>
    </row>
    <row r="165" spans="2:5" x14ac:dyDescent="0.2">
      <c r="B165" s="76" t="str">
        <f>IF(EXACT(SEED!$N165, ""), "", SEED!$M165)</f>
        <v/>
      </c>
      <c r="C165" s="17" t="str">
        <f>IF(EXACT($B165, ""), "", SEED!$E165&amp;" - "&amp;SEED!$G165)</f>
        <v/>
      </c>
      <c r="D165" s="58" t="str">
        <f>IF(EXACT($B165, ""), "", IF((SEED!I165*1)=62000000000001, "IDR", IF((SEED!I165*1)=62000000000002, "USD", IF((SEED!I165*1)=62000000000003, "AUD", "Others"))))</f>
        <v/>
      </c>
      <c r="E165" s="17" t="str">
        <f>IF(EXACT($B165, ""), "", IF(FLOOR(SEED!$B165/1000000000000, 1)=124, "Institution - "&amp;VLOOKUP(SEED!$B165, '[1]DataLookUp - InstitutionBranch'!$B$4:$C$1000, 2, FALSE), "Person - "&amp;VLOOKUP(SEED!$B165, [2]DataLookUp!$B$4:$D$1000, 2, FALSE)))</f>
        <v/>
      </c>
    </row>
    <row r="166" spans="2:5" x14ac:dyDescent="0.2">
      <c r="B166" s="76" t="str">
        <f>IF(EXACT(SEED!$N166, ""), "", SEED!$M166)</f>
        <v/>
      </c>
      <c r="C166" s="17" t="str">
        <f>IF(EXACT($B166, ""), "", SEED!$E166&amp;" - "&amp;SEED!$G166)</f>
        <v/>
      </c>
      <c r="D166" s="58" t="str">
        <f>IF(EXACT($B166, ""), "", IF((SEED!I166*1)=62000000000001, "IDR", IF((SEED!I166*1)=62000000000002, "USD", IF((SEED!I166*1)=62000000000003, "AUD", "Others"))))</f>
        <v/>
      </c>
      <c r="E166" s="17" t="str">
        <f>IF(EXACT($B166, ""), "", IF(FLOOR(SEED!$B166/1000000000000, 1)=124, "Institution - "&amp;VLOOKUP(SEED!$B166, '[1]DataLookUp - InstitutionBranch'!$B$4:$C$1000, 2, FALSE), "Person - "&amp;VLOOKUP(SEED!$B166, [2]DataLookUp!$B$4:$D$1000, 2, FALSE)))</f>
        <v/>
      </c>
    </row>
    <row r="167" spans="2:5" x14ac:dyDescent="0.2">
      <c r="B167" s="76">
        <f ca="1">IF(EXACT(SEED!$N167, ""), "", SEED!$M167)</f>
        <v>167000000000147</v>
      </c>
      <c r="C167" s="17" t="str">
        <f ca="1">IF(EXACT($B167, ""), "", SEED!$E167&amp;" - "&amp;SEED!$G167)</f>
        <v>Bank Central Asia - 8020227444</v>
      </c>
      <c r="D167" s="58" t="str">
        <f ca="1">IF(EXACT($B167, ""), "", IF((SEED!I167*1)=62000000000001, "IDR", IF((SEED!I167*1)=62000000000002, "USD", IF((SEED!I167*1)=62000000000003, "AUD", "Others"))))</f>
        <v>IDR</v>
      </c>
      <c r="E167" s="17" t="str">
        <f ca="1">IF(EXACT($B167, ""), "", IF(FLOOR(SEED!$B167/1000000000000, 1)=124, "Institution - "&amp;VLOOKUP(SEED!$B167, '[1]DataLookUp - InstitutionBranch'!$B$4:$C$1000, 2, FALSE), "Person - "&amp;VLOOKUP(SEED!$B167, [2]DataLookUp!$B$4:$D$1000, 2, FALSE)))</f>
        <v>Person - Rahmata Novanisa</v>
      </c>
    </row>
    <row r="168" spans="2:5" x14ac:dyDescent="0.2">
      <c r="B168" s="76">
        <f ca="1">IF(EXACT(SEED!$N168, ""), "", SEED!$M168)</f>
        <v>167000000000148</v>
      </c>
      <c r="C168" s="17" t="str">
        <f ca="1">IF(EXACT($B168, ""), "", SEED!$E168&amp;" - "&amp;SEED!$G168)</f>
        <v>Bank Central Asia - 0886361747</v>
      </c>
      <c r="D168" s="58" t="str">
        <f ca="1">IF(EXACT($B168, ""), "", IF((SEED!I168*1)=62000000000001, "IDR", IF((SEED!I168*1)=62000000000002, "USD", IF((SEED!I168*1)=62000000000003, "AUD", "Others"))))</f>
        <v>IDR</v>
      </c>
      <c r="E168" s="17" t="str">
        <f ca="1">IF(EXACT($B168, ""), "", IF(FLOOR(SEED!$B168/1000000000000, 1)=124, "Institution - "&amp;VLOOKUP(SEED!$B168, '[1]DataLookUp - InstitutionBranch'!$B$4:$C$1000, 2, FALSE), "Person - "&amp;VLOOKUP(SEED!$B168, [2]DataLookUp!$B$4:$D$1000, 2, FALSE)))</f>
        <v>Person - Satrio Dhiaputra</v>
      </c>
    </row>
    <row r="169" spans="2:5" x14ac:dyDescent="0.2">
      <c r="B169" s="76" t="str">
        <f>IF(EXACT(SEED!$N169, ""), "", SEED!$M169)</f>
        <v/>
      </c>
      <c r="C169" s="17" t="str">
        <f>IF(EXACT($B169, ""), "", SEED!$E169&amp;" - "&amp;SEED!$G169)</f>
        <v/>
      </c>
      <c r="D169" s="58" t="str">
        <f>IF(EXACT($B169, ""), "", IF((SEED!I169*1)=62000000000001, "IDR", IF((SEED!I169*1)=62000000000002, "USD", IF((SEED!I169*1)=62000000000003, "AUD", "Others"))))</f>
        <v/>
      </c>
      <c r="E169" s="17" t="str">
        <f>IF(EXACT($B169, ""), "", IF(FLOOR(SEED!$B169/1000000000000, 1)=124, "Institution - "&amp;VLOOKUP(SEED!$B169, '[1]DataLookUp - InstitutionBranch'!$B$4:$C$1000, 2, FALSE), "Person - "&amp;VLOOKUP(SEED!$B169, [2]DataLookUp!$B$4:$D$1000, 2, FALSE)))</f>
        <v/>
      </c>
    </row>
    <row r="170" spans="2:5" x14ac:dyDescent="0.2">
      <c r="B170" s="76" t="str">
        <f>IF(EXACT(SEED!$N170, ""), "", SEED!$M170)</f>
        <v/>
      </c>
      <c r="C170" s="17" t="str">
        <f>IF(EXACT($B170, ""), "", SEED!$E170&amp;" - "&amp;SEED!$G170)</f>
        <v/>
      </c>
      <c r="D170" s="58" t="str">
        <f>IF(EXACT($B170, ""), "", IF((SEED!I170*1)=62000000000001, "IDR", IF((SEED!I170*1)=62000000000002, "USD", IF((SEED!I170*1)=62000000000003, "AUD", "Others"))))</f>
        <v/>
      </c>
      <c r="E170" s="17" t="str">
        <f>IF(EXACT($B170, ""), "", IF(FLOOR(SEED!$B170/1000000000000, 1)=124, "Institution - "&amp;VLOOKUP(SEED!$B170, '[1]DataLookUp - InstitutionBranch'!$B$4:$C$1000, 2, FALSE), "Person - "&amp;VLOOKUP(SEED!$B170, [2]DataLookUp!$B$4:$D$1000, 2, FALSE)))</f>
        <v/>
      </c>
    </row>
    <row r="171" spans="2:5" x14ac:dyDescent="0.2">
      <c r="B171" s="76" t="str">
        <f>IF(EXACT(SEED!$N171, ""), "", SEED!$M171)</f>
        <v/>
      </c>
      <c r="C171" s="17" t="str">
        <f>IF(EXACT($B171, ""), "", SEED!$E171&amp;" - "&amp;SEED!$G171)</f>
        <v/>
      </c>
      <c r="D171" s="58" t="str">
        <f>IF(EXACT($B171, ""), "", IF((SEED!I171*1)=62000000000001, "IDR", IF((SEED!I171*1)=62000000000002, "USD", IF((SEED!I171*1)=62000000000003, "AUD", "Others"))))</f>
        <v/>
      </c>
      <c r="E171" s="17" t="str">
        <f>IF(EXACT($B171, ""), "", IF(FLOOR(SEED!$B171/1000000000000, 1)=124, "Institution - "&amp;VLOOKUP(SEED!$B171, '[1]DataLookUp - InstitutionBranch'!$B$4:$C$1000, 2, FALSE), "Person - "&amp;VLOOKUP(SEED!$B171, [2]DataLookUp!$B$4:$D$1000, 2, FALSE)))</f>
        <v/>
      </c>
    </row>
    <row r="172" spans="2:5" x14ac:dyDescent="0.2">
      <c r="B172" s="76">
        <f ca="1">IF(EXACT(SEED!$N172, ""), "", SEED!$M172)</f>
        <v>167000000000149</v>
      </c>
      <c r="C172" s="17" t="str">
        <f ca="1">IF(EXACT($B172, ""), "", SEED!$E172&amp;" - "&amp;SEED!$G172)</f>
        <v>Bank Central Asia - 8801497411</v>
      </c>
      <c r="D172" s="58" t="str">
        <f ca="1">IF(EXACT($B172, ""), "", IF((SEED!I172*1)=62000000000001, "IDR", IF((SEED!I172*1)=62000000000002, "USD", IF((SEED!I172*1)=62000000000003, "AUD", "Others"))))</f>
        <v>IDR</v>
      </c>
      <c r="E172" s="17" t="str">
        <f ca="1">IF(EXACT($B172, ""), "", IF(FLOOR(SEED!$B172/1000000000000, 1)=124, "Institution - "&amp;VLOOKUP(SEED!$B172, '[1]DataLookUp - InstitutionBranch'!$B$4:$C$1000, 2, FALSE), "Person - "&amp;VLOOKUP(SEED!$B172, [2]DataLookUp!$B$4:$D$1000, 2, FALSE)))</f>
        <v>Person - Tegar Hersaputra</v>
      </c>
    </row>
    <row r="173" spans="2:5" x14ac:dyDescent="0.2">
      <c r="B173" s="76" t="str">
        <f>IF(EXACT(SEED!$N173, ""), "", SEED!$M173)</f>
        <v/>
      </c>
      <c r="C173" s="17" t="str">
        <f>IF(EXACT($B173, ""), "", SEED!$E173&amp;" - "&amp;SEED!$G173)</f>
        <v/>
      </c>
      <c r="D173" s="58" t="str">
        <f>IF(EXACT($B173, ""), "", IF((SEED!I173*1)=62000000000001, "IDR", IF((SEED!I173*1)=62000000000002, "USD", IF((SEED!I173*1)=62000000000003, "AUD", "Others"))))</f>
        <v/>
      </c>
      <c r="E173" s="17" t="str">
        <f>IF(EXACT($B173, ""), "", IF(FLOOR(SEED!$B173/1000000000000, 1)=124, "Institution - "&amp;VLOOKUP(SEED!$B173, '[1]DataLookUp - InstitutionBranch'!$B$4:$C$1000, 2, FALSE), "Person - "&amp;VLOOKUP(SEED!$B173, [2]DataLookUp!$B$4:$D$1000, 2, FALSE)))</f>
        <v/>
      </c>
    </row>
    <row r="174" spans="2:5" x14ac:dyDescent="0.2">
      <c r="B174" s="76">
        <f ca="1">IF(EXACT(SEED!$N174, ""), "", SEED!$M174)</f>
        <v>167000000000150</v>
      </c>
      <c r="C174" s="17" t="str">
        <f ca="1">IF(EXACT($B174, ""), "", SEED!$E174&amp;" - "&amp;SEED!$G174)</f>
        <v>Bank Central Asia -  2730511712</v>
      </c>
      <c r="D174" s="58" t="str">
        <f ca="1">IF(EXACT($B174, ""), "", IF((SEED!I174*1)=62000000000001, "IDR", IF((SEED!I174*1)=62000000000002, "USD", IF((SEED!I174*1)=62000000000003, "AUD", "Others"))))</f>
        <v>IDR</v>
      </c>
      <c r="E174" s="17" t="str">
        <f ca="1">IF(EXACT($B174, ""), "", IF(FLOOR(SEED!$B174/1000000000000, 1)=124, "Institution - "&amp;VLOOKUP(SEED!$B174, '[1]DataLookUp - InstitutionBranch'!$B$4:$C$1000, 2, FALSE), "Person - "&amp;VLOOKUP(SEED!$B174, [2]DataLookUp!$B$4:$D$1000, 2, FALSE)))</f>
        <v>Person - Wisnu Trenggono Wirayuda</v>
      </c>
    </row>
    <row r="175" spans="2:5" x14ac:dyDescent="0.2">
      <c r="B175" s="76" t="str">
        <f>IF(EXACT(SEED!$N175, ""), "", SEED!$M175)</f>
        <v/>
      </c>
      <c r="C175" s="17" t="str">
        <f>IF(EXACT($B175, ""), "", SEED!$E175&amp;" - "&amp;SEED!$G175)</f>
        <v/>
      </c>
      <c r="D175" s="58" t="str">
        <f>IF(EXACT($B175, ""), "", IF((SEED!I175*1)=62000000000001, "IDR", IF((SEED!I175*1)=62000000000002, "USD", IF((SEED!I175*1)=62000000000003, "AUD", "Others"))))</f>
        <v/>
      </c>
      <c r="E175" s="17" t="str">
        <f>IF(EXACT($B175, ""), "", IF(FLOOR(SEED!$B175/1000000000000, 1)=124, "Institution - "&amp;VLOOKUP(SEED!$B175, '[1]DataLookUp - InstitutionBranch'!$B$4:$C$1000, 2, FALSE), "Person - "&amp;VLOOKUP(SEED!$B175, [2]DataLookUp!$B$4:$D$1000, 2, FALSE)))</f>
        <v/>
      </c>
    </row>
    <row r="176" spans="2:5" x14ac:dyDescent="0.2">
      <c r="B176" s="76" t="str">
        <f>IF(EXACT(SEED!$N176, ""), "", SEED!$M176)</f>
        <v/>
      </c>
      <c r="C176" s="17" t="str">
        <f>IF(EXACT($B176, ""), "", SEED!$E176&amp;" - "&amp;SEED!$G176)</f>
        <v/>
      </c>
      <c r="D176" s="58" t="str">
        <f>IF(EXACT($B176, ""), "", IF((SEED!I176*1)=62000000000001, "IDR", IF((SEED!I176*1)=62000000000002, "USD", IF((SEED!I176*1)=62000000000003, "AUD", "Others"))))</f>
        <v/>
      </c>
      <c r="E176" s="17" t="str">
        <f>IF(EXACT($B176, ""), "", IF(FLOOR(SEED!$B176/1000000000000, 1)=124, "Institution - "&amp;VLOOKUP(SEED!$B176, '[1]DataLookUp - InstitutionBranch'!$B$4:$C$1000, 2, FALSE), "Person - "&amp;VLOOKUP(SEED!$B176, [2]DataLookUp!$B$4:$D$1000, 2, FALSE)))</f>
        <v/>
      </c>
    </row>
    <row r="177" spans="2:5" x14ac:dyDescent="0.2">
      <c r="B177" s="76" t="str">
        <f>IF(EXACT(SEED!$N177, ""), "", SEED!$M177)</f>
        <v/>
      </c>
      <c r="C177" s="17" t="str">
        <f>IF(EXACT($B177, ""), "", SEED!$E177&amp;" - "&amp;SEED!$G177)</f>
        <v/>
      </c>
      <c r="D177" s="58" t="str">
        <f>IF(EXACT($B177, ""), "", IF((SEED!I177*1)=62000000000001, "IDR", IF((SEED!I177*1)=62000000000002, "USD", IF((SEED!I177*1)=62000000000003, "AUD", "Others"))))</f>
        <v/>
      </c>
      <c r="E177" s="17" t="str">
        <f>IF(EXACT($B177, ""), "", IF(FLOOR(SEED!$B177/1000000000000, 1)=124, "Institution - "&amp;VLOOKUP(SEED!$B177, '[1]DataLookUp - InstitutionBranch'!$B$4:$C$1000, 2, FALSE), "Person - "&amp;VLOOKUP(SEED!$B177, [2]DataLookUp!$B$4:$D$1000, 2, FALSE)))</f>
        <v/>
      </c>
    </row>
    <row r="178" spans="2:5" x14ac:dyDescent="0.2">
      <c r="B178" s="76" t="str">
        <f>IF(EXACT(SEED!$N178, ""), "", SEED!$M178)</f>
        <v/>
      </c>
      <c r="C178" s="17" t="str">
        <f>IF(EXACT($B178, ""), "", SEED!$E178&amp;" - "&amp;SEED!$G178)</f>
        <v/>
      </c>
      <c r="D178" s="58" t="str">
        <f>IF(EXACT($B178, ""), "", IF((SEED!I178*1)=62000000000001, "IDR", IF((SEED!I178*1)=62000000000002, "USD", IF((SEED!I178*1)=62000000000003, "AUD", "Others"))))</f>
        <v/>
      </c>
      <c r="E178" s="17" t="str">
        <f>IF(EXACT($B178, ""), "", IF(FLOOR(SEED!$B178/1000000000000, 1)=124, "Institution - "&amp;VLOOKUP(SEED!$B178, '[1]DataLookUp - InstitutionBranch'!$B$4:$C$1000, 2, FALSE), "Person - "&amp;VLOOKUP(SEED!$B178, [2]DataLookUp!$B$4:$D$1000, 2, FALSE)))</f>
        <v/>
      </c>
    </row>
    <row r="179" spans="2:5" x14ac:dyDescent="0.2">
      <c r="B179" s="76" t="str">
        <f>IF(EXACT(SEED!$N179, ""), "", SEED!$M179)</f>
        <v/>
      </c>
      <c r="C179" s="17" t="str">
        <f>IF(EXACT($B179, ""), "", SEED!$E179&amp;" - "&amp;SEED!$G179)</f>
        <v/>
      </c>
      <c r="D179" s="58" t="str">
        <f>IF(EXACT($B179, ""), "", IF((SEED!I179*1)=62000000000001, "IDR", IF((SEED!I179*1)=62000000000002, "USD", IF((SEED!I179*1)=62000000000003, "AUD", "Others"))))</f>
        <v/>
      </c>
      <c r="E179" s="17" t="str">
        <f>IF(EXACT($B179, ""), "", IF(FLOOR(SEED!$B179/1000000000000, 1)=124, "Institution - "&amp;VLOOKUP(SEED!$B179, '[1]DataLookUp - InstitutionBranch'!$B$4:$C$1000, 2, FALSE), "Person - "&amp;VLOOKUP(SEED!$B179, [2]DataLookUp!$B$4:$D$1000, 2, FALSE)))</f>
        <v/>
      </c>
    </row>
    <row r="180" spans="2:5" x14ac:dyDescent="0.2">
      <c r="B180" s="76" t="str">
        <f>IF(EXACT(SEED!$N180, ""), "", SEED!$M180)</f>
        <v/>
      </c>
      <c r="C180" s="17" t="str">
        <f>IF(EXACT($B180, ""), "", SEED!$E180&amp;" - "&amp;SEED!$G180)</f>
        <v/>
      </c>
      <c r="D180" s="58" t="str">
        <f>IF(EXACT($B180, ""), "", IF((SEED!I180*1)=62000000000001, "IDR", IF((SEED!I180*1)=62000000000002, "USD", IF((SEED!I180*1)=62000000000003, "AUD", "Others"))))</f>
        <v/>
      </c>
      <c r="E180" s="17" t="str">
        <f>IF(EXACT($B180, ""), "", IF(FLOOR(SEED!$B180/1000000000000, 1)=124, "Institution - "&amp;VLOOKUP(SEED!$B180, '[1]DataLookUp - InstitutionBranch'!$B$4:$C$1000, 2, FALSE), "Person - "&amp;VLOOKUP(SEED!$B180, [2]DataLookUp!$B$4:$D$1000, 2, FALSE)))</f>
        <v/>
      </c>
    </row>
    <row r="181" spans="2:5" x14ac:dyDescent="0.2">
      <c r="B181" s="76">
        <f ca="1">IF(EXACT(SEED!$N181, ""), "", SEED!$M181)</f>
        <v>167000000000151</v>
      </c>
      <c r="C181" s="17" t="str">
        <f ca="1">IF(EXACT($B181, ""), "", SEED!$E181&amp;" - "&amp;SEED!$G181)</f>
        <v>Bank Rakyat Indonesia - 038401073431507</v>
      </c>
      <c r="D181" s="58" t="str">
        <f ca="1">IF(EXACT($B181, ""), "", IF((SEED!I181*1)=62000000000001, "IDR", IF((SEED!I181*1)=62000000000002, "USD", IF((SEED!I181*1)=62000000000003, "AUD", "Others"))))</f>
        <v>IDR</v>
      </c>
      <c r="E181" s="17" t="str">
        <f ca="1">IF(EXACT($B181, ""), "", IF(FLOOR(SEED!$B181/1000000000000, 1)=124, "Institution - "&amp;VLOOKUP(SEED!$B181, '[1]DataLookUp - InstitutionBranch'!$B$4:$C$1000, 2, FALSE), "Person - "&amp;VLOOKUP(SEED!$B181, [2]DataLookUp!$B$4:$D$1000, 2, FALSE)))</f>
        <v>Person - Iman Faisal Abdurahman</v>
      </c>
    </row>
    <row r="182" spans="2:5" x14ac:dyDescent="0.2">
      <c r="B182" s="76" t="str">
        <f>IF(EXACT(SEED!$N182, ""), "", SEED!$M182)</f>
        <v/>
      </c>
      <c r="C182" s="17" t="str">
        <f>IF(EXACT($B182, ""), "", SEED!$E182&amp;" - "&amp;SEED!$G182)</f>
        <v/>
      </c>
      <c r="D182" s="58" t="str">
        <f>IF(EXACT($B182, ""), "", IF((SEED!I182*1)=62000000000001, "IDR", IF((SEED!I182*1)=62000000000002, "USD", IF((SEED!I182*1)=62000000000003, "AUD", "Others"))))</f>
        <v/>
      </c>
      <c r="E182" s="17" t="str">
        <f>IF(EXACT($B182, ""), "", IF(FLOOR(SEED!$B182/1000000000000, 1)=124, "Institution - "&amp;VLOOKUP(SEED!$B182, '[1]DataLookUp - InstitutionBranch'!$B$4:$C$1000, 2, FALSE), "Person - "&amp;VLOOKUP(SEED!$B182, [2]DataLookUp!$B$4:$D$1000, 2, FALSE)))</f>
        <v/>
      </c>
    </row>
    <row r="183" spans="2:5" x14ac:dyDescent="0.2">
      <c r="B183" s="76" t="str">
        <f>IF(EXACT(SEED!$N183, ""), "", SEED!$M183)</f>
        <v/>
      </c>
      <c r="C183" s="17" t="str">
        <f>IF(EXACT($B183, ""), "", SEED!$E183&amp;" - "&amp;SEED!$G183)</f>
        <v/>
      </c>
      <c r="D183" s="58" t="str">
        <f>IF(EXACT($B183, ""), "", IF((SEED!I183*1)=62000000000001, "IDR", IF((SEED!I183*1)=62000000000002, "USD", IF((SEED!I183*1)=62000000000003, "AUD", "Others"))))</f>
        <v/>
      </c>
      <c r="E183" s="17" t="str">
        <f>IF(EXACT($B183, ""), "", IF(FLOOR(SEED!$B183/1000000000000, 1)=124, "Institution - "&amp;VLOOKUP(SEED!$B183, '[1]DataLookUp - InstitutionBranch'!$B$4:$C$1000, 2, FALSE), "Person - "&amp;VLOOKUP(SEED!$B183, [2]DataLookUp!$B$4:$D$1000, 2, FALSE)))</f>
        <v/>
      </c>
    </row>
    <row r="184" spans="2:5" x14ac:dyDescent="0.2">
      <c r="B184" s="76" t="str">
        <f>IF(EXACT(SEED!$N184, ""), "", SEED!$M184)</f>
        <v/>
      </c>
      <c r="C184" s="17" t="str">
        <f>IF(EXACT($B184, ""), "", SEED!$E184&amp;" - "&amp;SEED!$G184)</f>
        <v/>
      </c>
      <c r="D184" s="58" t="str">
        <f>IF(EXACT($B184, ""), "", IF((SEED!I184*1)=62000000000001, "IDR", IF((SEED!I184*1)=62000000000002, "USD", IF((SEED!I184*1)=62000000000003, "AUD", "Others"))))</f>
        <v/>
      </c>
      <c r="E184" s="17" t="str">
        <f>IF(EXACT($B184, ""), "", IF(FLOOR(SEED!$B184/1000000000000, 1)=124, "Institution - "&amp;VLOOKUP(SEED!$B184, '[1]DataLookUp - InstitutionBranch'!$B$4:$C$1000, 2, FALSE), "Person - "&amp;VLOOKUP(SEED!$B184, [2]DataLookUp!$B$4:$D$1000, 2, FALSE)))</f>
        <v/>
      </c>
    </row>
    <row r="185" spans="2:5" x14ac:dyDescent="0.2">
      <c r="B185" s="76">
        <f ca="1">IF(EXACT(SEED!$N185, ""), "", SEED!$M185)</f>
        <v>167000000000152</v>
      </c>
      <c r="C185" s="17" t="str">
        <f ca="1">IF(EXACT($B185, ""), "", SEED!$E185&amp;" - "&amp;SEED!$G185)</f>
        <v>Bank Central Asia - 0354409671</v>
      </c>
      <c r="D185" s="58" t="str">
        <f ca="1">IF(EXACT($B185, ""), "", IF((SEED!I185*1)=62000000000001, "IDR", IF((SEED!I185*1)=62000000000002, "USD", IF((SEED!I185*1)=62000000000003, "AUD", "Others"))))</f>
        <v>IDR</v>
      </c>
      <c r="E185" s="17" t="str">
        <f ca="1">IF(EXACT($B185, ""), "", IF(FLOOR(SEED!$B185/1000000000000, 1)=124, "Institution - "&amp;VLOOKUP(SEED!$B185, '[1]DataLookUp - InstitutionBranch'!$B$4:$C$1000, 2, FALSE), "Person - "&amp;VLOOKUP(SEED!$B185, [2]DataLookUp!$B$4:$D$1000, 2, FALSE)))</f>
        <v>Person - Ahmad Sandi Asyuri</v>
      </c>
    </row>
    <row r="186" spans="2:5" x14ac:dyDescent="0.2">
      <c r="B186" s="76">
        <f ca="1">IF(EXACT(SEED!$N186, ""), "", SEED!$M186)</f>
        <v>167000000000153</v>
      </c>
      <c r="C186" s="17" t="str">
        <f ca="1">IF(EXACT($B186, ""), "", SEED!$E186&amp;" - "&amp;SEED!$G186)</f>
        <v>Bank Central Asia - 7025035526</v>
      </c>
      <c r="D186" s="58" t="str">
        <f ca="1">IF(EXACT($B186, ""), "", IF((SEED!I186*1)=62000000000001, "IDR", IF((SEED!I186*1)=62000000000002, "USD", IF((SEED!I186*1)=62000000000003, "AUD", "Others"))))</f>
        <v>IDR</v>
      </c>
      <c r="E186" s="17" t="str">
        <f ca="1">IF(EXACT($B186, ""), "", IF(FLOOR(SEED!$B186/1000000000000, 1)=124, "Institution - "&amp;VLOOKUP(SEED!$B186, '[1]DataLookUp - InstitutionBranch'!$B$4:$C$1000, 2, FALSE), "Person - "&amp;VLOOKUP(SEED!$B186, [2]DataLookUp!$B$4:$D$1000, 2, FALSE)))</f>
        <v>Person - Andi Mapasoro</v>
      </c>
    </row>
    <row r="187" spans="2:5" x14ac:dyDescent="0.2">
      <c r="B187" s="76" t="str">
        <f>IF(EXACT(SEED!$N187, ""), "", SEED!$M187)</f>
        <v/>
      </c>
      <c r="C187" s="17" t="str">
        <f>IF(EXACT($B187, ""), "", SEED!$E187&amp;" - "&amp;SEED!$G187)</f>
        <v/>
      </c>
      <c r="D187" s="58" t="str">
        <f>IF(EXACT($B187, ""), "", IF((SEED!I187*1)=62000000000001, "IDR", IF((SEED!I187*1)=62000000000002, "USD", IF((SEED!I187*1)=62000000000003, "AUD", "Others"))))</f>
        <v/>
      </c>
      <c r="E187" s="17" t="str">
        <f>IF(EXACT($B187, ""), "", IF(FLOOR(SEED!$B187/1000000000000, 1)=124, "Institution - "&amp;VLOOKUP(SEED!$B187, '[1]DataLookUp - InstitutionBranch'!$B$4:$C$1000, 2, FALSE), "Person - "&amp;VLOOKUP(SEED!$B187, [2]DataLookUp!$B$4:$D$1000, 2, FALSE)))</f>
        <v/>
      </c>
    </row>
    <row r="188" spans="2:5" x14ac:dyDescent="0.2">
      <c r="B188" s="76">
        <f ca="1">IF(EXACT(SEED!$N188, ""), "", SEED!$M188)</f>
        <v>167000000000154</v>
      </c>
      <c r="C188" s="17" t="str">
        <f ca="1">IF(EXACT($B188, ""), "", SEED!$E188&amp;" - "&amp;SEED!$G188)</f>
        <v>Bank Rakyat Indonesia - 669501015343535</v>
      </c>
      <c r="D188" s="58" t="str">
        <f ca="1">IF(EXACT($B188, ""), "", IF((SEED!I188*1)=62000000000001, "IDR", IF((SEED!I188*1)=62000000000002, "USD", IF((SEED!I188*1)=62000000000003, "AUD", "Others"))))</f>
        <v>IDR</v>
      </c>
      <c r="E188" s="17" t="str">
        <f ca="1">IF(EXACT($B188, ""), "", IF(FLOOR(SEED!$B188/1000000000000, 1)=124, "Institution - "&amp;VLOOKUP(SEED!$B188, '[1]DataLookUp - InstitutionBranch'!$B$4:$C$1000, 2, FALSE), "Person - "&amp;VLOOKUP(SEED!$B188, [2]DataLookUp!$B$4:$D$1000, 2, FALSE)))</f>
        <v>Person - Arief Yulianto</v>
      </c>
    </row>
    <row r="189" spans="2:5" x14ac:dyDescent="0.2">
      <c r="B189" s="76">
        <f ca="1">IF(EXACT(SEED!$N189, ""), "", SEED!$M189)</f>
        <v>167000000000155</v>
      </c>
      <c r="C189" s="17" t="str">
        <f ca="1">IF(EXACT($B189, ""), "", SEED!$E189&amp;" - "&amp;SEED!$G189)</f>
        <v>Bank Rakyat Indonesia - 034101074857508</v>
      </c>
      <c r="D189" s="58" t="str">
        <f ca="1">IF(EXACT($B189, ""), "", IF((SEED!I189*1)=62000000000001, "IDR", IF((SEED!I189*1)=62000000000002, "USD", IF((SEED!I189*1)=62000000000003, "AUD", "Others"))))</f>
        <v>IDR</v>
      </c>
      <c r="E189" s="17" t="str">
        <f ca="1">IF(EXACT($B189, ""), "", IF(FLOOR(SEED!$B189/1000000000000, 1)=124, "Institution - "&amp;VLOOKUP(SEED!$B189, '[1]DataLookUp - InstitutionBranch'!$B$4:$C$1000, 2, FALSE), "Person - "&amp;VLOOKUP(SEED!$B189, [2]DataLookUp!$B$4:$D$1000, 2, FALSE)))</f>
        <v>Person - Burhan</v>
      </c>
    </row>
    <row r="190" spans="2:5" x14ac:dyDescent="0.2">
      <c r="B190" s="76" t="str">
        <f>IF(EXACT(SEED!$N190, ""), "", SEED!$M190)</f>
        <v/>
      </c>
      <c r="C190" s="17" t="str">
        <f>IF(EXACT($B190, ""), "", SEED!$E190&amp;" - "&amp;SEED!$G190)</f>
        <v/>
      </c>
      <c r="D190" s="58" t="str">
        <f>IF(EXACT($B190, ""), "", IF((SEED!I190*1)=62000000000001, "IDR", IF((SEED!I190*1)=62000000000002, "USD", IF((SEED!I190*1)=62000000000003, "AUD", "Others"))))</f>
        <v/>
      </c>
      <c r="E190" s="17" t="str">
        <f>IF(EXACT($B190, ""), "", IF(FLOOR(SEED!$B190/1000000000000, 1)=124, "Institution - "&amp;VLOOKUP(SEED!$B190, '[1]DataLookUp - InstitutionBranch'!$B$4:$C$1000, 2, FALSE), "Person - "&amp;VLOOKUP(SEED!$B190, [2]DataLookUp!$B$4:$D$1000, 2, FALSE)))</f>
        <v/>
      </c>
    </row>
    <row r="191" spans="2:5" x14ac:dyDescent="0.2">
      <c r="B191" s="76" t="str">
        <f>IF(EXACT(SEED!$N191, ""), "", SEED!$M191)</f>
        <v/>
      </c>
      <c r="C191" s="17" t="str">
        <f>IF(EXACT($B191, ""), "", SEED!$E191&amp;" - "&amp;SEED!$G191)</f>
        <v/>
      </c>
      <c r="D191" s="58" t="str">
        <f>IF(EXACT($B191, ""), "", IF((SEED!I191*1)=62000000000001, "IDR", IF((SEED!I191*1)=62000000000002, "USD", IF((SEED!I191*1)=62000000000003, "AUD", "Others"))))</f>
        <v/>
      </c>
      <c r="E191" s="17" t="str">
        <f>IF(EXACT($B191, ""), "", IF(FLOOR(SEED!$B191/1000000000000, 1)=124, "Institution - "&amp;VLOOKUP(SEED!$B191, '[1]DataLookUp - InstitutionBranch'!$B$4:$C$1000, 2, FALSE), "Person - "&amp;VLOOKUP(SEED!$B191, [2]DataLookUp!$B$4:$D$1000, 2, FALSE)))</f>
        <v/>
      </c>
    </row>
    <row r="192" spans="2:5" x14ac:dyDescent="0.2">
      <c r="B192" s="76" t="str">
        <f>IF(EXACT(SEED!$N192, ""), "", SEED!$M192)</f>
        <v/>
      </c>
      <c r="C192" s="17" t="str">
        <f>IF(EXACT($B192, ""), "", SEED!$E192&amp;" - "&amp;SEED!$G192)</f>
        <v/>
      </c>
      <c r="D192" s="58" t="str">
        <f>IF(EXACT($B192, ""), "", IF((SEED!I192*1)=62000000000001, "IDR", IF((SEED!I192*1)=62000000000002, "USD", IF((SEED!I192*1)=62000000000003, "AUD", "Others"))))</f>
        <v/>
      </c>
      <c r="E192" s="17" t="str">
        <f>IF(EXACT($B192, ""), "", IF(FLOOR(SEED!$B192/1000000000000, 1)=124, "Institution - "&amp;VLOOKUP(SEED!$B192, '[1]DataLookUp - InstitutionBranch'!$B$4:$C$1000, 2, FALSE), "Person - "&amp;VLOOKUP(SEED!$B192, [2]DataLookUp!$B$4:$D$1000, 2, FALSE)))</f>
        <v/>
      </c>
    </row>
    <row r="193" spans="2:5" x14ac:dyDescent="0.2">
      <c r="B193" s="76" t="str">
        <f>IF(EXACT(SEED!$N193, ""), "", SEED!$M193)</f>
        <v/>
      </c>
      <c r="C193" s="17" t="str">
        <f>IF(EXACT($B193, ""), "", SEED!$E193&amp;" - "&amp;SEED!$G193)</f>
        <v/>
      </c>
      <c r="D193" s="58" t="str">
        <f>IF(EXACT($B193, ""), "", IF((SEED!I193*1)=62000000000001, "IDR", IF((SEED!I193*1)=62000000000002, "USD", IF((SEED!I193*1)=62000000000003, "AUD", "Others"))))</f>
        <v/>
      </c>
      <c r="E193" s="17" t="str">
        <f>IF(EXACT($B193, ""), "", IF(FLOOR(SEED!$B193/1000000000000, 1)=124, "Institution - "&amp;VLOOKUP(SEED!$B193, '[1]DataLookUp - InstitutionBranch'!$B$4:$C$1000, 2, FALSE), "Person - "&amp;VLOOKUP(SEED!$B193, [2]DataLookUp!$B$4:$D$1000, 2, FALSE)))</f>
        <v/>
      </c>
    </row>
    <row r="194" spans="2:5" x14ac:dyDescent="0.2">
      <c r="B194" s="76">
        <f ca="1">IF(EXACT(SEED!$N194, ""), "", SEED!$M194)</f>
        <v>167000000000156</v>
      </c>
      <c r="C194" s="17" t="str">
        <f ca="1">IF(EXACT($B194, ""), "", SEED!$E194&amp;" - "&amp;SEED!$G194)</f>
        <v>Bank Central Asia - 7635680946</v>
      </c>
      <c r="D194" s="58" t="str">
        <f ca="1">IF(EXACT($B194, ""), "", IF((SEED!I194*1)=62000000000001, "IDR", IF((SEED!I194*1)=62000000000002, "USD", IF((SEED!I194*1)=62000000000003, "AUD", "Others"))))</f>
        <v>IDR</v>
      </c>
      <c r="E194" s="17" t="str">
        <f ca="1">IF(EXACT($B194, ""), "", IF(FLOOR(SEED!$B194/1000000000000, 1)=124, "Institution - "&amp;VLOOKUP(SEED!$B194, '[1]DataLookUp - InstitutionBranch'!$B$4:$C$1000, 2, FALSE), "Person - "&amp;VLOOKUP(SEED!$B194, [2]DataLookUp!$B$4:$D$1000, 2, FALSE)))</f>
        <v>Person - Mochamad Ulul Azmi Wira Utama</v>
      </c>
    </row>
    <row r="195" spans="2:5" x14ac:dyDescent="0.2">
      <c r="B195" s="76" t="str">
        <f>IF(EXACT(SEED!$N195, ""), "", SEED!$M195)</f>
        <v/>
      </c>
      <c r="C195" s="17" t="str">
        <f>IF(EXACT($B195, ""), "", SEED!$E195&amp;" - "&amp;SEED!$G195)</f>
        <v/>
      </c>
      <c r="D195" s="58" t="str">
        <f>IF(EXACT($B195, ""), "", IF((SEED!I195*1)=62000000000001, "IDR", IF((SEED!I195*1)=62000000000002, "USD", IF((SEED!I195*1)=62000000000003, "AUD", "Others"))))</f>
        <v/>
      </c>
      <c r="E195" s="17" t="str">
        <f>IF(EXACT($B195, ""), "", IF(FLOOR(SEED!$B195/1000000000000, 1)=124, "Institution - "&amp;VLOOKUP(SEED!$B195, '[1]DataLookUp - InstitutionBranch'!$B$4:$C$1000, 2, FALSE), "Person - "&amp;VLOOKUP(SEED!$B195, [2]DataLookUp!$B$4:$D$1000, 2, FALSE)))</f>
        <v/>
      </c>
    </row>
    <row r="196" spans="2:5" x14ac:dyDescent="0.2">
      <c r="B196" s="76" t="str">
        <f>IF(EXACT(SEED!$N196, ""), "", SEED!$M196)</f>
        <v/>
      </c>
      <c r="C196" s="17" t="str">
        <f>IF(EXACT($B196, ""), "", SEED!$E196&amp;" - "&amp;SEED!$G196)</f>
        <v/>
      </c>
      <c r="D196" s="58" t="str">
        <f>IF(EXACT($B196, ""), "", IF((SEED!I196*1)=62000000000001, "IDR", IF((SEED!I196*1)=62000000000002, "USD", IF((SEED!I196*1)=62000000000003, "AUD", "Others"))))</f>
        <v/>
      </c>
      <c r="E196" s="17" t="str">
        <f>IF(EXACT($B196, ""), "", IF(FLOOR(SEED!$B196/1000000000000, 1)=124, "Institution - "&amp;VLOOKUP(SEED!$B196, '[1]DataLookUp - InstitutionBranch'!$B$4:$C$1000, 2, FALSE), "Person - "&amp;VLOOKUP(SEED!$B196, [2]DataLookUp!$B$4:$D$1000, 2, FALSE)))</f>
        <v/>
      </c>
    </row>
    <row r="197" spans="2:5" x14ac:dyDescent="0.2">
      <c r="B197" s="76">
        <f ca="1">IF(EXACT(SEED!$N197, ""), "", SEED!$M197)</f>
        <v>167000000000157</v>
      </c>
      <c r="C197" s="17" t="str">
        <f ca="1">IF(EXACT($B197, ""), "", SEED!$E197&amp;" - "&amp;SEED!$G197)</f>
        <v>Bank Central Asia - 2290191010</v>
      </c>
      <c r="D197" s="58" t="str">
        <f ca="1">IF(EXACT($B197, ""), "", IF((SEED!I197*1)=62000000000001, "IDR", IF((SEED!I197*1)=62000000000002, "USD", IF((SEED!I197*1)=62000000000003, "AUD", "Others"))))</f>
        <v>IDR</v>
      </c>
      <c r="E197" s="17" t="str">
        <f ca="1">IF(EXACT($B197, ""), "", IF(FLOOR(SEED!$B197/1000000000000, 1)=124, "Institution - "&amp;VLOOKUP(SEED!$B197, '[1]DataLookUp - InstitutionBranch'!$B$4:$C$1000, 2, FALSE), "Person - "&amp;VLOOKUP(SEED!$B197, [2]DataLookUp!$B$4:$D$1000, 2, FALSE)))</f>
        <v>Person - Muhammad Rizal</v>
      </c>
    </row>
    <row r="198" spans="2:5" x14ac:dyDescent="0.2">
      <c r="B198" s="76">
        <f ca="1">IF(EXACT(SEED!$N198, ""), "", SEED!$M198)</f>
        <v>167000000000158</v>
      </c>
      <c r="C198" s="17" t="str">
        <f ca="1">IF(EXACT($B198, ""), "", SEED!$E198&amp;" - "&amp;SEED!$G198)</f>
        <v>Bank Central Asia - 1630519922</v>
      </c>
      <c r="D198" s="58" t="str">
        <f ca="1">IF(EXACT($B198, ""), "", IF((SEED!I198*1)=62000000000001, "IDR", IF((SEED!I198*1)=62000000000002, "USD", IF((SEED!I198*1)=62000000000003, "AUD", "Others"))))</f>
        <v>IDR</v>
      </c>
      <c r="E198" s="17" t="str">
        <f ca="1">IF(EXACT($B198, ""), "", IF(FLOOR(SEED!$B198/1000000000000, 1)=124, "Institution - "&amp;VLOOKUP(SEED!$B198, '[1]DataLookUp - InstitutionBranch'!$B$4:$C$1000, 2, FALSE), "Person - "&amp;VLOOKUP(SEED!$B198, [2]DataLookUp!$B$4:$D$1000, 2, FALSE)))</f>
        <v>Person - Rahmad Dwifar</v>
      </c>
    </row>
    <row r="199" spans="2:5" x14ac:dyDescent="0.2">
      <c r="B199" s="76" t="str">
        <f>IF(EXACT(SEED!$N199, ""), "", SEED!$M199)</f>
        <v/>
      </c>
      <c r="C199" s="17" t="str">
        <f>IF(EXACT($B199, ""), "", SEED!$E199&amp;" - "&amp;SEED!$G199)</f>
        <v/>
      </c>
      <c r="D199" s="58" t="str">
        <f>IF(EXACT($B199, ""), "", IF((SEED!I199*1)=62000000000001, "IDR", IF((SEED!I199*1)=62000000000002, "USD", IF((SEED!I199*1)=62000000000003, "AUD", "Others"))))</f>
        <v/>
      </c>
      <c r="E199" s="17" t="str">
        <f>IF(EXACT($B199, ""), "", IF(FLOOR(SEED!$B199/1000000000000, 1)=124, "Institution - "&amp;VLOOKUP(SEED!$B199, '[1]DataLookUp - InstitutionBranch'!$B$4:$C$1000, 2, FALSE), "Person - "&amp;VLOOKUP(SEED!$B199, [2]DataLookUp!$B$4:$D$1000, 2, FALSE)))</f>
        <v/>
      </c>
    </row>
    <row r="200" spans="2:5" x14ac:dyDescent="0.2">
      <c r="B200" s="76">
        <f ca="1">IF(EXACT(SEED!$N200, ""), "", SEED!$M200)</f>
        <v>167000000000159</v>
      </c>
      <c r="C200" s="17" t="str">
        <f ca="1">IF(EXACT($B200, ""), "", SEED!$E200&amp;" - "&amp;SEED!$G200)</f>
        <v>Bank Central Asia - 7485341129</v>
      </c>
      <c r="D200" s="58" t="str">
        <f ca="1">IF(EXACT($B200, ""), "", IF((SEED!I200*1)=62000000000001, "IDR", IF((SEED!I200*1)=62000000000002, "USD", IF((SEED!I200*1)=62000000000003, "AUD", "Others"))))</f>
        <v>IDR</v>
      </c>
      <c r="E200" s="17" t="str">
        <f ca="1">IF(EXACT($B200, ""), "", IF(FLOOR(SEED!$B200/1000000000000, 1)=124, "Institution - "&amp;VLOOKUP(SEED!$B200, '[1]DataLookUp - InstitutionBranch'!$B$4:$C$1000, 2, FALSE), "Person - "&amp;VLOOKUP(SEED!$B200, [2]DataLookUp!$B$4:$D$1000, 2, FALSE)))</f>
        <v>Person - Ridwan Nur Muttaqin</v>
      </c>
    </row>
    <row r="201" spans="2:5" x14ac:dyDescent="0.2">
      <c r="B201" s="76" t="str">
        <f>IF(EXACT(SEED!$N201, ""), "", SEED!$M201)</f>
        <v/>
      </c>
      <c r="C201" s="17" t="str">
        <f>IF(EXACT($B201, ""), "", SEED!$E201&amp;" - "&amp;SEED!$G201)</f>
        <v/>
      </c>
      <c r="D201" s="58" t="str">
        <f>IF(EXACT($B201, ""), "", IF((SEED!I201*1)=62000000000001, "IDR", IF((SEED!I201*1)=62000000000002, "USD", IF((SEED!I201*1)=62000000000003, "AUD", "Others"))))</f>
        <v/>
      </c>
      <c r="E201" s="17" t="str">
        <f>IF(EXACT($B201, ""), "", IF(FLOOR(SEED!$B201/1000000000000, 1)=124, "Institution - "&amp;VLOOKUP(SEED!$B201, '[1]DataLookUp - InstitutionBranch'!$B$4:$C$1000, 2, FALSE), "Person - "&amp;VLOOKUP(SEED!$B201, [2]DataLookUp!$B$4:$D$1000, 2, FALSE)))</f>
        <v/>
      </c>
    </row>
    <row r="202" spans="2:5" x14ac:dyDescent="0.2">
      <c r="B202" s="76">
        <f ca="1">IF(EXACT(SEED!$N202, ""), "", SEED!$M202)</f>
        <v>167000000000160</v>
      </c>
      <c r="C202" s="17" t="str">
        <f ca="1">IF(EXACT($B202, ""), "", SEED!$E202&amp;" - "&amp;SEED!$G202)</f>
        <v>Bank Central Asia - 6290416262</v>
      </c>
      <c r="D202" s="58" t="str">
        <f ca="1">IF(EXACT($B202, ""), "", IF((SEED!I202*1)=62000000000001, "IDR", IF((SEED!I202*1)=62000000000002, "USD", IF((SEED!I202*1)=62000000000003, "AUD", "Others"))))</f>
        <v>IDR</v>
      </c>
      <c r="E202" s="17" t="str">
        <f ca="1">IF(EXACT($B202, ""), "", IF(FLOOR(SEED!$B202/1000000000000, 1)=124, "Institution - "&amp;VLOOKUP(SEED!$B202, '[1]DataLookUp - InstitutionBranch'!$B$4:$C$1000, 2, FALSE), "Person - "&amp;VLOOKUP(SEED!$B202, [2]DataLookUp!$B$4:$D$1000, 2, FALSE)))</f>
        <v>Person - Risty Alawiyah</v>
      </c>
    </row>
    <row r="203" spans="2:5" x14ac:dyDescent="0.2">
      <c r="B203" s="76">
        <f ca="1">IF(EXACT(SEED!$N203, ""), "", SEED!$M203)</f>
        <v>167000000000161</v>
      </c>
      <c r="C203" s="17" t="str">
        <f ca="1">IF(EXACT($B203, ""), "", SEED!$E203&amp;" - "&amp;SEED!$G203)</f>
        <v>Bank Rakyat Indonesia - 034101074859500</v>
      </c>
      <c r="D203" s="58" t="str">
        <f ca="1">IF(EXACT($B203, ""), "", IF((SEED!I203*1)=62000000000001, "IDR", IF((SEED!I203*1)=62000000000002, "USD", IF((SEED!I203*1)=62000000000003, "AUD", "Others"))))</f>
        <v>IDR</v>
      </c>
      <c r="E203" s="17" t="str">
        <f ca="1">IF(EXACT($B203, ""), "", IF(FLOOR(SEED!$B203/1000000000000, 1)=124, "Institution - "&amp;VLOOKUP(SEED!$B203, '[1]DataLookUp - InstitutionBranch'!$B$4:$C$1000, 2, FALSE), "Person - "&amp;VLOOKUP(SEED!$B203, [2]DataLookUp!$B$4:$D$1000, 2, FALSE)))</f>
        <v>Person - Rustono</v>
      </c>
    </row>
    <row r="204" spans="2:5" x14ac:dyDescent="0.2">
      <c r="B204" s="76">
        <f ca="1">IF(EXACT(SEED!$N204, ""), "", SEED!$M204)</f>
        <v>167000000000162</v>
      </c>
      <c r="C204" s="17" t="str">
        <f ca="1">IF(EXACT($B204, ""), "", SEED!$E204&amp;" - "&amp;SEED!$G204)</f>
        <v>Bank Rakyat Indonesia - 034101074862503</v>
      </c>
      <c r="D204" s="58" t="str">
        <f ca="1">IF(EXACT($B204, ""), "", IF((SEED!I204*1)=62000000000001, "IDR", IF((SEED!I204*1)=62000000000002, "USD", IF((SEED!I204*1)=62000000000003, "AUD", "Others"))))</f>
        <v>IDR</v>
      </c>
      <c r="E204" s="17" t="str">
        <f ca="1">IF(EXACT($B204, ""), "", IF(FLOOR(SEED!$B204/1000000000000, 1)=124, "Institution - "&amp;VLOOKUP(SEED!$B204, '[1]DataLookUp - InstitutionBranch'!$B$4:$C$1000, 2, FALSE), "Person - "&amp;VLOOKUP(SEED!$B204, [2]DataLookUp!$B$4:$D$1000, 2, FALSE)))</f>
        <v>Person - Solihin</v>
      </c>
    </row>
    <row r="205" spans="2:5" x14ac:dyDescent="0.2">
      <c r="B205" s="76">
        <f ca="1">IF(EXACT(SEED!$N205, ""), "", SEED!$M205)</f>
        <v>167000000000163</v>
      </c>
      <c r="C205" s="17" t="str">
        <f ca="1">IF(EXACT($B205, ""), "", SEED!$E205&amp;" - "&amp;SEED!$G205)</f>
        <v>Bank Rakyat Indonesia - 034101074867503</v>
      </c>
      <c r="D205" s="58" t="str">
        <f ca="1">IF(EXACT($B205, ""), "", IF((SEED!I205*1)=62000000000001, "IDR", IF((SEED!I205*1)=62000000000002, "USD", IF((SEED!I205*1)=62000000000003, "AUD", "Others"))))</f>
        <v>IDR</v>
      </c>
      <c r="E205" s="17" t="str">
        <f ca="1">IF(EXACT($B205, ""), "", IF(FLOOR(SEED!$B205/1000000000000, 1)=124, "Institution - "&amp;VLOOKUP(SEED!$B205, '[1]DataLookUp - InstitutionBranch'!$B$4:$C$1000, 2, FALSE), "Person - "&amp;VLOOKUP(SEED!$B205, [2]DataLookUp!$B$4:$D$1000, 2, FALSE)))</f>
        <v>Person - Supriatna</v>
      </c>
    </row>
    <row r="206" spans="2:5" x14ac:dyDescent="0.2">
      <c r="B206" s="76">
        <f ca="1">IF(EXACT(SEED!$N206, ""), "", SEED!$M206)</f>
        <v>167000000000164</v>
      </c>
      <c r="C206" s="17" t="str">
        <f ca="1">IF(EXACT($B206, ""), "", SEED!$E206&amp;" - "&amp;SEED!$G206)</f>
        <v>Bank Rakyat Indonesia - 010201029577531</v>
      </c>
      <c r="D206" s="58" t="str">
        <f ca="1">IF(EXACT($B206, ""), "", IF((SEED!I206*1)=62000000000001, "IDR", IF((SEED!I206*1)=62000000000002, "USD", IF((SEED!I206*1)=62000000000003, "AUD", "Others"))))</f>
        <v>IDR</v>
      </c>
      <c r="E206" s="17" t="str">
        <f ca="1">IF(EXACT($B206, ""), "", IF(FLOOR(SEED!$B206/1000000000000, 1)=124, "Institution - "&amp;VLOOKUP(SEED!$B206, '[1]DataLookUp - InstitutionBranch'!$B$4:$C$1000, 2, FALSE), "Person - "&amp;VLOOKUP(SEED!$B206, [2]DataLookUp!$B$4:$D$1000, 2, FALSE)))</f>
        <v>Person - Taufik Aminudin</v>
      </c>
    </row>
    <row r="207" spans="2:5" x14ac:dyDescent="0.2">
      <c r="B207" s="76">
        <f ca="1">IF(EXACT(SEED!$N207, ""), "", SEED!$M207)</f>
        <v>167000000000165</v>
      </c>
      <c r="C207" s="17" t="str">
        <f ca="1">IF(EXACT($B207, ""), "", SEED!$E207&amp;" - "&amp;SEED!$G207)</f>
        <v>Bank Rakyat Indonesia - 034101074865501</v>
      </c>
      <c r="D207" s="58" t="str">
        <f ca="1">IF(EXACT($B207, ""), "", IF((SEED!I207*1)=62000000000001, "IDR", IF((SEED!I207*1)=62000000000002, "USD", IF((SEED!I207*1)=62000000000003, "AUD", "Others"))))</f>
        <v>IDR</v>
      </c>
      <c r="E207" s="17" t="str">
        <f ca="1">IF(EXACT($B207, ""), "", IF(FLOOR(SEED!$B207/1000000000000, 1)=124, "Institution - "&amp;VLOOKUP(SEED!$B207, '[1]DataLookUp - InstitutionBranch'!$B$4:$C$1000, 2, FALSE), "Person - "&amp;VLOOKUP(SEED!$B207, [2]DataLookUp!$B$4:$D$1000, 2, FALSE)))</f>
        <v>Person - Timotius Tabun</v>
      </c>
    </row>
    <row r="208" spans="2:5" x14ac:dyDescent="0.2">
      <c r="B208" s="76" t="str">
        <f>IF(EXACT(SEED!$N208, ""), "", SEED!$M208)</f>
        <v/>
      </c>
      <c r="C208" s="17" t="str">
        <f>IF(EXACT($B208, ""), "", SEED!$E208&amp;" - "&amp;SEED!$G208)</f>
        <v/>
      </c>
      <c r="D208" s="58" t="str">
        <f>IF(EXACT($B208, ""), "", IF((SEED!I208*1)=62000000000001, "IDR", IF((SEED!I208*1)=62000000000002, "USD", IF((SEED!I208*1)=62000000000003, "AUD", "Others"))))</f>
        <v/>
      </c>
      <c r="E208" s="17" t="str">
        <f>IF(EXACT($B208, ""), "", IF(FLOOR(SEED!$B208/1000000000000, 1)=124, "Institution - "&amp;VLOOKUP(SEED!$B208, '[1]DataLookUp - InstitutionBranch'!$B$4:$C$1000, 2, FALSE), "Person - "&amp;VLOOKUP(SEED!$B208, [2]DataLookUp!$B$4:$D$1000, 2, FALSE)))</f>
        <v/>
      </c>
    </row>
    <row r="209" spans="2:5" x14ac:dyDescent="0.2">
      <c r="B209" s="76" t="str">
        <f>IF(EXACT(SEED!$N209, ""), "", SEED!$M209)</f>
        <v/>
      </c>
      <c r="C209" s="17" t="str">
        <f>IF(EXACT($B209, ""), "", SEED!$E209&amp;" - "&amp;SEED!$G209)</f>
        <v/>
      </c>
      <c r="D209" s="58" t="str">
        <f>IF(EXACT($B209, ""), "", IF((SEED!I209*1)=62000000000001, "IDR", IF((SEED!I209*1)=62000000000002, "USD", IF((SEED!I209*1)=62000000000003, "AUD", "Others"))))</f>
        <v/>
      </c>
      <c r="E209" s="17" t="str">
        <f>IF(EXACT($B209, ""), "", IF(FLOOR(SEED!$B209/1000000000000, 1)=124, "Institution - "&amp;VLOOKUP(SEED!$B209, '[1]DataLookUp - InstitutionBranch'!$B$4:$C$1000, 2, FALSE), "Person - "&amp;VLOOKUP(SEED!$B209, [2]DataLookUp!$B$4:$D$1000, 2, FALSE)))</f>
        <v/>
      </c>
    </row>
    <row r="210" spans="2:5" x14ac:dyDescent="0.2">
      <c r="B210" s="76" t="str">
        <f>IF(EXACT(SEED!$N210, ""), "", SEED!$M210)</f>
        <v/>
      </c>
      <c r="C210" s="17" t="str">
        <f>IF(EXACT($B210, ""), "", SEED!$E210&amp;" - "&amp;SEED!$G210)</f>
        <v/>
      </c>
      <c r="D210" s="58" t="str">
        <f>IF(EXACT($B210, ""), "", IF((SEED!I210*1)=62000000000001, "IDR", IF((SEED!I210*1)=62000000000002, "USD", IF((SEED!I210*1)=62000000000003, "AUD", "Others"))))</f>
        <v/>
      </c>
      <c r="E210" s="17" t="str">
        <f>IF(EXACT($B210, ""), "", IF(FLOOR(SEED!$B210/1000000000000, 1)=124, "Institution - "&amp;VLOOKUP(SEED!$B210, '[1]DataLookUp - InstitutionBranch'!$B$4:$C$1000, 2, FALSE), "Person - "&amp;VLOOKUP(SEED!$B210, [2]DataLookUp!$B$4:$D$1000, 2, FALSE)))</f>
        <v/>
      </c>
    </row>
    <row r="211" spans="2:5" x14ac:dyDescent="0.2">
      <c r="B211" s="76" t="str">
        <f>IF(EXACT(SEED!$N211, ""), "", SEED!$M211)</f>
        <v/>
      </c>
      <c r="C211" s="17" t="str">
        <f>IF(EXACT($B211, ""), "", SEED!$E211&amp;" - "&amp;SEED!$G211)</f>
        <v/>
      </c>
      <c r="D211" s="58" t="str">
        <f>IF(EXACT($B211, ""), "", IF((SEED!I211*1)=62000000000001, "IDR", IF((SEED!I211*1)=62000000000002, "USD", IF((SEED!I211*1)=62000000000003, "AUD", "Others"))))</f>
        <v/>
      </c>
      <c r="E211" s="17" t="str">
        <f>IF(EXACT($B211, ""), "", IF(FLOOR(SEED!$B211/1000000000000, 1)=124, "Institution - "&amp;VLOOKUP(SEED!$B211, '[1]DataLookUp - InstitutionBranch'!$B$4:$C$1000, 2, FALSE), "Person - "&amp;VLOOKUP(SEED!$B211, [2]DataLookUp!$B$4:$D$1000, 2, FALSE)))</f>
        <v/>
      </c>
    </row>
    <row r="212" spans="2:5" x14ac:dyDescent="0.2">
      <c r="B212" s="76" t="str">
        <f>IF(EXACT(SEED!$N212, ""), "", SEED!$M212)</f>
        <v/>
      </c>
      <c r="C212" s="17" t="str">
        <f>IF(EXACT($B212, ""), "", SEED!$E212&amp;" - "&amp;SEED!$G212)</f>
        <v/>
      </c>
      <c r="D212" s="58" t="str">
        <f>IF(EXACT($B212, ""), "", IF((SEED!I212*1)=62000000000001, "IDR", IF((SEED!I212*1)=62000000000002, "USD", IF((SEED!I212*1)=62000000000003, "AUD", "Others"))))</f>
        <v/>
      </c>
      <c r="E212" s="17" t="str">
        <f>IF(EXACT($B212, ""), "", IF(FLOOR(SEED!$B212/1000000000000, 1)=124, "Institution - "&amp;VLOOKUP(SEED!$B212, '[1]DataLookUp - InstitutionBranch'!$B$4:$C$1000, 2, FALSE), "Person - "&amp;VLOOKUP(SEED!$B212, [2]DataLookUp!$B$4:$D$1000, 2, FALSE)))</f>
        <v/>
      </c>
    </row>
    <row r="213" spans="2:5" x14ac:dyDescent="0.2">
      <c r="B213" s="76" t="str">
        <f>IF(EXACT(SEED!$N213, ""), "", SEED!$M213)</f>
        <v/>
      </c>
      <c r="C213" s="17" t="str">
        <f>IF(EXACT($B213, ""), "", SEED!$E213&amp;" - "&amp;SEED!$G213)</f>
        <v/>
      </c>
      <c r="D213" s="58" t="str">
        <f>IF(EXACT($B213, ""), "", IF((SEED!I213*1)=62000000000001, "IDR", IF((SEED!I213*1)=62000000000002, "USD", IF((SEED!I213*1)=62000000000003, "AUD", "Others"))))</f>
        <v/>
      </c>
      <c r="E213" s="17" t="str">
        <f>IF(EXACT($B213, ""), "", IF(FLOOR(SEED!$B213/1000000000000, 1)=124, "Institution - "&amp;VLOOKUP(SEED!$B213, '[1]DataLookUp - InstitutionBranch'!$B$4:$C$1000, 2, FALSE), "Person - "&amp;VLOOKUP(SEED!$B213, [2]DataLookUp!$B$4:$D$1000, 2, FALSE)))</f>
        <v/>
      </c>
    </row>
    <row r="214" spans="2:5" x14ac:dyDescent="0.2">
      <c r="B214" s="76" t="str">
        <f>IF(EXACT(SEED!$N214, ""), "", SEED!$M214)</f>
        <v/>
      </c>
      <c r="C214" s="17" t="str">
        <f>IF(EXACT($B214, ""), "", SEED!$E214&amp;" - "&amp;SEED!$G214)</f>
        <v/>
      </c>
      <c r="D214" s="58" t="str">
        <f>IF(EXACT($B214, ""), "", IF((SEED!I214*1)=62000000000001, "IDR", IF((SEED!I214*1)=62000000000002, "USD", IF((SEED!I214*1)=62000000000003, "AUD", "Others"))))</f>
        <v/>
      </c>
      <c r="E214" s="17" t="str">
        <f>IF(EXACT($B214, ""), "", IF(FLOOR(SEED!$B214/1000000000000, 1)=124, "Institution - "&amp;VLOOKUP(SEED!$B214, '[1]DataLookUp - InstitutionBranch'!$B$4:$C$1000, 2, FALSE), "Person - "&amp;VLOOKUP(SEED!$B214, [2]DataLookUp!$B$4:$D$1000, 2, FALSE)))</f>
        <v/>
      </c>
    </row>
    <row r="215" spans="2:5" x14ac:dyDescent="0.2">
      <c r="B215" s="76" t="str">
        <f>IF(EXACT(SEED!$N215, ""), "", SEED!$M215)</f>
        <v/>
      </c>
      <c r="C215" s="17" t="str">
        <f>IF(EXACT($B215, ""), "", SEED!$E215&amp;" - "&amp;SEED!$G215)</f>
        <v/>
      </c>
      <c r="D215" s="58" t="str">
        <f>IF(EXACT($B215, ""), "", IF((SEED!I215*1)=62000000000001, "IDR", IF((SEED!I215*1)=62000000000002, "USD", IF((SEED!I215*1)=62000000000003, "AUD", "Others"))))</f>
        <v/>
      </c>
      <c r="E215" s="17" t="str">
        <f>IF(EXACT($B215, ""), "", IF(FLOOR(SEED!$B215/1000000000000, 1)=124, "Institution - "&amp;VLOOKUP(SEED!$B215, '[1]DataLookUp - InstitutionBranch'!$B$4:$C$1000, 2, FALSE), "Person - "&amp;VLOOKUP(SEED!$B215, [2]DataLookUp!$B$4:$D$1000, 2, FALSE)))</f>
        <v/>
      </c>
    </row>
    <row r="216" spans="2:5" x14ac:dyDescent="0.2">
      <c r="B216" s="76" t="str">
        <f>IF(EXACT(SEED!$N216, ""), "", SEED!$M216)</f>
        <v/>
      </c>
      <c r="C216" s="17" t="str">
        <f>IF(EXACT($B216, ""), "", SEED!$E216&amp;" - "&amp;SEED!$G216)</f>
        <v/>
      </c>
      <c r="D216" s="58" t="str">
        <f>IF(EXACT($B216, ""), "", IF((SEED!I216*1)=62000000000001, "IDR", IF((SEED!I216*1)=62000000000002, "USD", IF((SEED!I216*1)=62000000000003, "AUD", "Others"))))</f>
        <v/>
      </c>
      <c r="E216" s="17" t="str">
        <f>IF(EXACT($B216, ""), "", IF(FLOOR(SEED!$B216/1000000000000, 1)=124, "Institution - "&amp;VLOOKUP(SEED!$B216, '[1]DataLookUp - InstitutionBranch'!$B$4:$C$1000, 2, FALSE), "Person - "&amp;VLOOKUP(SEED!$B216, [2]DataLookUp!$B$4:$D$1000, 2, FALSE)))</f>
        <v/>
      </c>
    </row>
    <row r="217" spans="2:5" x14ac:dyDescent="0.2">
      <c r="B217" s="76" t="str">
        <f>IF(EXACT(SEED!$N217, ""), "", SEED!$M217)</f>
        <v/>
      </c>
      <c r="C217" s="17" t="str">
        <f>IF(EXACT($B217, ""), "", SEED!$E217&amp;" - "&amp;SEED!$G217)</f>
        <v/>
      </c>
      <c r="D217" s="58" t="str">
        <f>IF(EXACT($B217, ""), "", IF((SEED!I217*1)=62000000000001, "IDR", IF((SEED!I217*1)=62000000000002, "USD", IF((SEED!I217*1)=62000000000003, "AUD", "Others"))))</f>
        <v/>
      </c>
      <c r="E217" s="17" t="str">
        <f>IF(EXACT($B217, ""), "", IF(FLOOR(SEED!$B217/1000000000000, 1)=124, "Institution - "&amp;VLOOKUP(SEED!$B217, '[1]DataLookUp - InstitutionBranch'!$B$4:$C$1000, 2, FALSE), "Person - "&amp;VLOOKUP(SEED!$B217, [2]DataLookUp!$B$4:$D$1000, 2, FALSE)))</f>
        <v/>
      </c>
    </row>
    <row r="218" spans="2:5" x14ac:dyDescent="0.2">
      <c r="B218" s="76" t="str">
        <f>IF(EXACT(SEED!$N218, ""), "", SEED!$M218)</f>
        <v/>
      </c>
      <c r="C218" s="17" t="str">
        <f>IF(EXACT($B218, ""), "", SEED!$E218&amp;" - "&amp;SEED!$G218)</f>
        <v/>
      </c>
      <c r="D218" s="58" t="str">
        <f>IF(EXACT($B218, ""), "", IF((SEED!I218*1)=62000000000001, "IDR", IF((SEED!I218*1)=62000000000002, "USD", IF((SEED!I218*1)=62000000000003, "AUD", "Others"))))</f>
        <v/>
      </c>
      <c r="E218" s="17" t="str">
        <f>IF(EXACT($B218, ""), "", IF(FLOOR(SEED!$B218/1000000000000, 1)=124, "Institution - "&amp;VLOOKUP(SEED!$B218, '[1]DataLookUp - InstitutionBranch'!$B$4:$C$1000, 2, FALSE), "Person - "&amp;VLOOKUP(SEED!$B218, [2]DataLookUp!$B$4:$D$1000, 2, FALSE)))</f>
        <v/>
      </c>
    </row>
    <row r="219" spans="2:5" x14ac:dyDescent="0.2">
      <c r="B219" s="76" t="str">
        <f>IF(EXACT(SEED!$N219, ""), "", SEED!$M219)</f>
        <v/>
      </c>
      <c r="C219" s="17" t="str">
        <f>IF(EXACT($B219, ""), "", SEED!$E219&amp;" - "&amp;SEED!$G219)</f>
        <v/>
      </c>
      <c r="D219" s="58" t="str">
        <f>IF(EXACT($B219, ""), "", IF((SEED!I219*1)=62000000000001, "IDR", IF((SEED!I219*1)=62000000000002, "USD", IF((SEED!I219*1)=62000000000003, "AUD", "Others"))))</f>
        <v/>
      </c>
      <c r="E219" s="17" t="str">
        <f>IF(EXACT($B219, ""), "", IF(FLOOR(SEED!$B219/1000000000000, 1)=124, "Institution - "&amp;VLOOKUP(SEED!$B219, '[1]DataLookUp - InstitutionBranch'!$B$4:$C$1000, 2, FALSE), "Person - "&amp;VLOOKUP(SEED!$B219, [2]DataLookUp!$B$4:$D$1000, 2, FALSE)))</f>
        <v/>
      </c>
    </row>
    <row r="220" spans="2:5" x14ac:dyDescent="0.2">
      <c r="B220" s="76" t="str">
        <f>IF(EXACT(SEED!$N220, ""), "", SEED!$M220)</f>
        <v/>
      </c>
      <c r="C220" s="17" t="str">
        <f>IF(EXACT($B220, ""), "", SEED!$E220&amp;" - "&amp;SEED!$G220)</f>
        <v/>
      </c>
      <c r="D220" s="58" t="str">
        <f>IF(EXACT($B220, ""), "", IF((SEED!I220*1)=62000000000001, "IDR", IF((SEED!I220*1)=62000000000002, "USD", IF((SEED!I220*1)=62000000000003, "AUD", "Others"))))</f>
        <v/>
      </c>
      <c r="E220" s="17" t="str">
        <f>IF(EXACT($B220, ""), "", IF(FLOOR(SEED!$B220/1000000000000, 1)=124, "Institution - "&amp;VLOOKUP(SEED!$B220, '[1]DataLookUp - InstitutionBranch'!$B$4:$C$1000, 2, FALSE), "Person - "&amp;VLOOKUP(SEED!$B220, [2]DataLookUp!$B$4:$D$1000, 2, FALSE)))</f>
        <v/>
      </c>
    </row>
    <row r="221" spans="2:5" x14ac:dyDescent="0.2">
      <c r="B221" s="76" t="str">
        <f>IF(EXACT(SEED!$N221, ""), "", SEED!$M221)</f>
        <v/>
      </c>
      <c r="C221" s="17" t="str">
        <f>IF(EXACT($B221, ""), "", SEED!$E221&amp;" - "&amp;SEED!$G221)</f>
        <v/>
      </c>
      <c r="D221" s="58" t="str">
        <f>IF(EXACT($B221, ""), "", IF((SEED!I221*1)=62000000000001, "IDR", IF((SEED!I221*1)=62000000000002, "USD", IF((SEED!I221*1)=62000000000003, "AUD", "Others"))))</f>
        <v/>
      </c>
      <c r="E221" s="17" t="str">
        <f>IF(EXACT($B221, ""), "", IF(FLOOR(SEED!$B221/1000000000000, 1)=124, "Institution - "&amp;VLOOKUP(SEED!$B221, '[1]DataLookUp - InstitutionBranch'!$B$4:$C$1000, 2, FALSE), "Person - "&amp;VLOOKUP(SEED!$B221, [2]DataLookUp!$B$4:$D$1000, 2, FALSE)))</f>
        <v/>
      </c>
    </row>
    <row r="222" spans="2:5" x14ac:dyDescent="0.2">
      <c r="B222" s="76" t="str">
        <f>IF(EXACT(SEED!$N222, ""), "", SEED!$M222)</f>
        <v/>
      </c>
      <c r="C222" s="17" t="str">
        <f>IF(EXACT($B222, ""), "", SEED!$E222&amp;" - "&amp;SEED!$G222)</f>
        <v/>
      </c>
      <c r="D222" s="58" t="str">
        <f>IF(EXACT($B222, ""), "", IF((SEED!I222*1)=62000000000001, "IDR", IF((SEED!I222*1)=62000000000002, "USD", IF((SEED!I222*1)=62000000000003, "AUD", "Others"))))</f>
        <v/>
      </c>
      <c r="E222" s="17" t="str">
        <f>IF(EXACT($B222, ""), "", IF(FLOOR(SEED!$B222/1000000000000, 1)=124, "Institution - "&amp;VLOOKUP(SEED!$B222, '[1]DataLookUp - InstitutionBranch'!$B$4:$C$1000, 2, FALSE), "Person - "&amp;VLOOKUP(SEED!$B222, [2]DataLookUp!$B$4:$D$1000, 2, FALSE)))</f>
        <v/>
      </c>
    </row>
    <row r="223" spans="2:5" x14ac:dyDescent="0.2">
      <c r="B223" s="76" t="str">
        <f>IF(EXACT(SEED!$N223, ""), "", SEED!$M223)</f>
        <v/>
      </c>
      <c r="C223" s="17" t="str">
        <f>IF(EXACT($B223, ""), "", SEED!$E223&amp;" - "&amp;SEED!$G223)</f>
        <v/>
      </c>
      <c r="D223" s="58" t="str">
        <f>IF(EXACT($B223, ""), "", IF((SEED!I223*1)=62000000000001, "IDR", IF((SEED!I223*1)=62000000000002, "USD", IF((SEED!I223*1)=62000000000003, "AUD", "Others"))))</f>
        <v/>
      </c>
      <c r="E223" s="17" t="str">
        <f>IF(EXACT($B223, ""), "", IF(FLOOR(SEED!$B223/1000000000000, 1)=124, "Institution - "&amp;VLOOKUP(SEED!$B223, '[1]DataLookUp - InstitutionBranch'!$B$4:$C$1000, 2, FALSE), "Person - "&amp;VLOOKUP(SEED!$B223, [2]DataLookUp!$B$4:$D$1000, 2, FALSE)))</f>
        <v/>
      </c>
    </row>
    <row r="224" spans="2:5" x14ac:dyDescent="0.2">
      <c r="B224" s="76" t="str">
        <f>IF(EXACT(SEED!$N224, ""), "", SEED!$M224)</f>
        <v/>
      </c>
      <c r="C224" s="17" t="str">
        <f>IF(EXACT($B224, ""), "", SEED!$E224&amp;" - "&amp;SEED!$G224)</f>
        <v/>
      </c>
      <c r="D224" s="58" t="str">
        <f>IF(EXACT($B224, ""), "", IF((SEED!I224*1)=62000000000001, "IDR", IF((SEED!I224*1)=62000000000002, "USD", IF((SEED!I224*1)=62000000000003, "AUD", "Others"))))</f>
        <v/>
      </c>
      <c r="E224" s="17" t="str">
        <f>IF(EXACT($B224, ""), "", IF(FLOOR(SEED!$B224/1000000000000, 1)=124, "Institution - "&amp;VLOOKUP(SEED!$B224, '[1]DataLookUp - InstitutionBranch'!$B$4:$C$1000, 2, FALSE), "Person - "&amp;VLOOKUP(SEED!$B224, [2]DataLookUp!$B$4:$D$1000, 2, FALSE)))</f>
        <v/>
      </c>
    </row>
    <row r="225" spans="2:5" x14ac:dyDescent="0.2">
      <c r="B225" s="76" t="str">
        <f>IF(EXACT(SEED!$N225, ""), "", SEED!$M225)</f>
        <v/>
      </c>
      <c r="C225" s="17" t="str">
        <f>IF(EXACT($B225, ""), "", SEED!$E225&amp;" - "&amp;SEED!$G225)</f>
        <v/>
      </c>
      <c r="D225" s="58" t="str">
        <f>IF(EXACT($B225, ""), "", IF((SEED!I225*1)=62000000000001, "IDR", IF((SEED!I225*1)=62000000000002, "USD", IF((SEED!I225*1)=62000000000003, "AUD", "Others"))))</f>
        <v/>
      </c>
      <c r="E225" s="17" t="str">
        <f>IF(EXACT($B225, ""), "", IF(FLOOR(SEED!$B225/1000000000000, 1)=124, "Institution - "&amp;VLOOKUP(SEED!$B225, '[1]DataLookUp - InstitutionBranch'!$B$4:$C$1000, 2, FALSE), "Person - "&amp;VLOOKUP(SEED!$B225, [2]DataLookUp!$B$4:$D$1000, 2, FALSE)))</f>
        <v/>
      </c>
    </row>
    <row r="226" spans="2:5" x14ac:dyDescent="0.2">
      <c r="B226" s="76" t="str">
        <f>IF(EXACT(SEED!$N226, ""), "", SEED!$M226)</f>
        <v/>
      </c>
      <c r="C226" s="17" t="str">
        <f>IF(EXACT($B226, ""), "", SEED!$E226&amp;" - "&amp;SEED!$G226)</f>
        <v/>
      </c>
      <c r="D226" s="58" t="str">
        <f>IF(EXACT($B226, ""), "", IF((SEED!I226*1)=62000000000001, "IDR", IF((SEED!I226*1)=62000000000002, "USD", IF((SEED!I226*1)=62000000000003, "AUD", "Others"))))</f>
        <v/>
      </c>
      <c r="E226" s="17" t="str">
        <f>IF(EXACT($B226, ""), "", IF(FLOOR(SEED!$B226/1000000000000, 1)=124, "Institution - "&amp;VLOOKUP(SEED!$B226, '[1]DataLookUp - InstitutionBranch'!$B$4:$C$1000, 2, FALSE), "Person - "&amp;VLOOKUP(SEED!$B226, [2]DataLookUp!$B$4:$D$1000, 2, FALSE)))</f>
        <v/>
      </c>
    </row>
    <row r="227" spans="2:5" x14ac:dyDescent="0.2">
      <c r="B227" s="76" t="str">
        <f>IF(EXACT(SEED!$N227, ""), "", SEED!$M227)</f>
        <v/>
      </c>
      <c r="C227" s="17" t="str">
        <f>IF(EXACT($B227, ""), "", SEED!$E227&amp;" - "&amp;SEED!$G227)</f>
        <v/>
      </c>
      <c r="D227" s="58" t="str">
        <f>IF(EXACT($B227, ""), "", IF((SEED!I227*1)=62000000000001, "IDR", IF((SEED!I227*1)=62000000000002, "USD", IF((SEED!I227*1)=62000000000003, "AUD", "Others"))))</f>
        <v/>
      </c>
      <c r="E227" s="17" t="str">
        <f>IF(EXACT($B227, ""), "", IF(FLOOR(SEED!$B227/1000000000000, 1)=124, "Institution - "&amp;VLOOKUP(SEED!$B227, '[1]DataLookUp - InstitutionBranch'!$B$4:$C$1000, 2, FALSE), "Person - "&amp;VLOOKUP(SEED!$B227, [2]DataLookUp!$B$4:$D$1000, 2, FALSE)))</f>
        <v/>
      </c>
    </row>
    <row r="228" spans="2:5" x14ac:dyDescent="0.2">
      <c r="B228" s="76" t="str">
        <f>IF(EXACT(SEED!$N228, ""), "", SEED!$M228)</f>
        <v/>
      </c>
      <c r="C228" s="17" t="str">
        <f>IF(EXACT($B228, ""), "", SEED!$E228&amp;" - "&amp;SEED!$G228)</f>
        <v/>
      </c>
      <c r="D228" s="58" t="str">
        <f>IF(EXACT($B228, ""), "", IF((SEED!I228*1)=62000000000001, "IDR", IF((SEED!I228*1)=62000000000002, "USD", IF((SEED!I228*1)=62000000000003, "AUD", "Others"))))</f>
        <v/>
      </c>
      <c r="E228" s="17" t="str">
        <f>IF(EXACT($B228, ""), "", IF(FLOOR(SEED!$B228/1000000000000, 1)=124, "Institution - "&amp;VLOOKUP(SEED!$B228, '[1]DataLookUp - InstitutionBranch'!$B$4:$C$1000, 2, FALSE), "Person - "&amp;VLOOKUP(SEED!$B228, [2]DataLookUp!$B$4:$D$1000, 2, FALSE)))</f>
        <v/>
      </c>
    </row>
    <row r="229" spans="2:5" x14ac:dyDescent="0.2">
      <c r="B229" s="76" t="str">
        <f>IF(EXACT(SEED!$N229, ""), "", SEED!$M229)</f>
        <v/>
      </c>
      <c r="C229" s="17" t="str">
        <f>IF(EXACT($B229, ""), "", SEED!$E229&amp;" - "&amp;SEED!$G229)</f>
        <v/>
      </c>
      <c r="D229" s="58" t="str">
        <f>IF(EXACT($B229, ""), "", IF((SEED!I229*1)=62000000000001, "IDR", IF((SEED!I229*1)=62000000000002, "USD", IF((SEED!I229*1)=62000000000003, "AUD", "Others"))))</f>
        <v/>
      </c>
      <c r="E229" s="17" t="str">
        <f>IF(EXACT($B229, ""), "", IF(FLOOR(SEED!$B229/1000000000000, 1)=124, "Institution - "&amp;VLOOKUP(SEED!$B229, '[1]DataLookUp - InstitutionBranch'!$B$4:$C$1000, 2, FALSE), "Person - "&amp;VLOOKUP(SEED!$B229, [2]DataLookUp!$B$4:$D$1000, 2, FALSE)))</f>
        <v/>
      </c>
    </row>
    <row r="230" spans="2:5" x14ac:dyDescent="0.2">
      <c r="B230" s="76" t="str">
        <f>IF(EXACT(SEED!$N230, ""), "", SEED!$M230)</f>
        <v/>
      </c>
      <c r="C230" s="17" t="str">
        <f>IF(EXACT($B230, ""), "", SEED!$E230&amp;" - "&amp;SEED!$G230)</f>
        <v/>
      </c>
      <c r="D230" s="58" t="str">
        <f>IF(EXACT($B230, ""), "", IF((SEED!I230*1)=62000000000001, "IDR", IF((SEED!I230*1)=62000000000002, "USD", IF((SEED!I230*1)=62000000000003, "AUD", "Others"))))</f>
        <v/>
      </c>
      <c r="E230" s="17" t="str">
        <f>IF(EXACT($B230, ""), "", IF(FLOOR(SEED!$B230/1000000000000, 1)=124, "Institution - "&amp;VLOOKUP(SEED!$B230, '[1]DataLookUp - InstitutionBranch'!$B$4:$C$1000, 2, FALSE), "Person - "&amp;VLOOKUP(SEED!$B230, [2]DataLookUp!$B$4:$D$1000, 2, FALSE)))</f>
        <v/>
      </c>
    </row>
    <row r="231" spans="2:5" x14ac:dyDescent="0.2">
      <c r="B231" s="76" t="str">
        <f>IF(EXACT(SEED!$N231, ""), "", SEED!$M231)</f>
        <v/>
      </c>
      <c r="C231" s="17" t="str">
        <f>IF(EXACT($B231, ""), "", SEED!$E231&amp;" - "&amp;SEED!$G231)</f>
        <v/>
      </c>
      <c r="D231" s="58" t="str">
        <f>IF(EXACT($B231, ""), "", IF((SEED!I231*1)=62000000000001, "IDR", IF((SEED!I231*1)=62000000000002, "USD", IF((SEED!I231*1)=62000000000003, "AUD", "Others"))))</f>
        <v/>
      </c>
      <c r="E231" s="17" t="str">
        <f>IF(EXACT($B231, ""), "", IF(FLOOR(SEED!$B231/1000000000000, 1)=124, "Institution - "&amp;VLOOKUP(SEED!$B231, '[1]DataLookUp - InstitutionBranch'!$B$4:$C$1000, 2, FALSE), "Person - "&amp;VLOOKUP(SEED!$B231, [2]DataLookUp!$B$4:$D$1000, 2, FALSE)))</f>
        <v/>
      </c>
    </row>
    <row r="232" spans="2:5" x14ac:dyDescent="0.2">
      <c r="B232" s="76" t="str">
        <f>IF(EXACT(SEED!$N232, ""), "", SEED!$M232)</f>
        <v/>
      </c>
      <c r="C232" s="17" t="str">
        <f>IF(EXACT($B232, ""), "", SEED!$E232&amp;" - "&amp;SEED!$G232)</f>
        <v/>
      </c>
      <c r="D232" s="58" t="str">
        <f>IF(EXACT($B232, ""), "", IF((SEED!I232*1)=62000000000001, "IDR", IF((SEED!I232*1)=62000000000002, "USD", IF((SEED!I232*1)=62000000000003, "AUD", "Others"))))</f>
        <v/>
      </c>
      <c r="E232" s="17" t="str">
        <f>IF(EXACT($B232, ""), "", IF(FLOOR(SEED!$B232/1000000000000, 1)=124, "Institution - "&amp;VLOOKUP(SEED!$B232, '[1]DataLookUp - InstitutionBranch'!$B$4:$C$1000, 2, FALSE), "Person - "&amp;VLOOKUP(SEED!$B232, [2]DataLookUp!$B$4:$D$1000, 2, FALSE)))</f>
        <v/>
      </c>
    </row>
    <row r="233" spans="2:5" x14ac:dyDescent="0.2">
      <c r="B233" s="76" t="str">
        <f>IF(EXACT(SEED!$N233, ""), "", SEED!$M233)</f>
        <v/>
      </c>
      <c r="C233" s="17" t="str">
        <f>IF(EXACT($B233, ""), "", SEED!$E233&amp;" - "&amp;SEED!$G233)</f>
        <v/>
      </c>
      <c r="D233" s="58" t="str">
        <f>IF(EXACT($B233, ""), "", IF((SEED!I233*1)=62000000000001, "IDR", IF((SEED!I233*1)=62000000000002, "USD", IF((SEED!I233*1)=62000000000003, "AUD", "Others"))))</f>
        <v/>
      </c>
      <c r="E233" s="17" t="str">
        <f>IF(EXACT($B233, ""), "", IF(FLOOR(SEED!$B233/1000000000000, 1)=124, "Institution - "&amp;VLOOKUP(SEED!$B233, '[1]DataLookUp - InstitutionBranch'!$B$4:$C$1000, 2, FALSE), "Person - "&amp;VLOOKUP(SEED!$B233, [2]DataLookUp!$B$4:$D$1000, 2, FALSE)))</f>
        <v/>
      </c>
    </row>
    <row r="234" spans="2:5" x14ac:dyDescent="0.2">
      <c r="B234" s="76" t="str">
        <f>IF(EXACT(SEED!$N234, ""), "", SEED!$M234)</f>
        <v/>
      </c>
      <c r="C234" s="17" t="str">
        <f>IF(EXACT($B234, ""), "", SEED!$E234&amp;" - "&amp;SEED!$G234)</f>
        <v/>
      </c>
      <c r="D234" s="58" t="str">
        <f>IF(EXACT($B234, ""), "", IF((SEED!I234*1)=62000000000001, "IDR", IF((SEED!I234*1)=62000000000002, "USD", IF((SEED!I234*1)=62000000000003, "AUD", "Others"))))</f>
        <v/>
      </c>
      <c r="E234" s="17" t="str">
        <f>IF(EXACT($B234, ""), "", IF(FLOOR(SEED!$B234/1000000000000, 1)=124, "Institution - "&amp;VLOOKUP(SEED!$B234, '[1]DataLookUp - InstitutionBranch'!$B$4:$C$1000, 2, FALSE), "Person - "&amp;VLOOKUP(SEED!$B234, [2]DataLookUp!$B$4:$D$1000, 2, FALSE)))</f>
        <v/>
      </c>
    </row>
    <row r="235" spans="2:5" x14ac:dyDescent="0.2">
      <c r="B235" s="76" t="str">
        <f>IF(EXACT(SEED!$N235, ""), "", SEED!$M235)</f>
        <v/>
      </c>
      <c r="C235" s="17" t="str">
        <f>IF(EXACT($B235, ""), "", SEED!$E235&amp;" - "&amp;SEED!$G235)</f>
        <v/>
      </c>
      <c r="D235" s="58" t="str">
        <f>IF(EXACT($B235, ""), "", IF((SEED!I235*1)=62000000000001, "IDR", IF((SEED!I235*1)=62000000000002, "USD", IF((SEED!I235*1)=62000000000003, "AUD", "Others"))))</f>
        <v/>
      </c>
      <c r="E235" s="17" t="str">
        <f>IF(EXACT($B235, ""), "", IF(FLOOR(SEED!$B235/1000000000000, 1)=124, "Institution - "&amp;VLOOKUP(SEED!$B235, '[1]DataLookUp - InstitutionBranch'!$B$4:$C$1000, 2, FALSE), "Person - "&amp;VLOOKUP(SEED!$B235, [2]DataLookUp!$B$4:$D$1000, 2, FALSE)))</f>
        <v/>
      </c>
    </row>
    <row r="236" spans="2:5" x14ac:dyDescent="0.2">
      <c r="B236" s="76" t="str">
        <f>IF(EXACT(SEED!$N236, ""), "", SEED!$M236)</f>
        <v/>
      </c>
      <c r="C236" s="17" t="str">
        <f>IF(EXACT($B236, ""), "", SEED!$E236&amp;" - "&amp;SEED!$G236)</f>
        <v/>
      </c>
      <c r="D236" s="58" t="str">
        <f>IF(EXACT($B236, ""), "", IF((SEED!I236*1)=62000000000001, "IDR", IF((SEED!I236*1)=62000000000002, "USD", IF((SEED!I236*1)=62000000000003, "AUD", "Others"))))</f>
        <v/>
      </c>
      <c r="E236" s="17" t="str">
        <f>IF(EXACT($B236, ""), "", IF(FLOOR(SEED!$B236/1000000000000, 1)=124, "Institution - "&amp;VLOOKUP(SEED!$B236, '[1]DataLookUp - InstitutionBranch'!$B$4:$C$1000, 2, FALSE), "Person - "&amp;VLOOKUP(SEED!$B236, [2]DataLookUp!$B$4:$D$1000, 2, FALSE)))</f>
        <v/>
      </c>
    </row>
    <row r="237" spans="2:5" x14ac:dyDescent="0.2">
      <c r="B237" s="76" t="str">
        <f>IF(EXACT(SEED!$N237, ""), "", SEED!$M237)</f>
        <v/>
      </c>
      <c r="C237" s="17" t="str">
        <f>IF(EXACT($B237, ""), "", SEED!$E237&amp;" - "&amp;SEED!$G237)</f>
        <v/>
      </c>
      <c r="D237" s="58" t="str">
        <f>IF(EXACT($B237, ""), "", IF((SEED!I237*1)=62000000000001, "IDR", IF((SEED!I237*1)=62000000000002, "USD", IF((SEED!I237*1)=62000000000003, "AUD", "Others"))))</f>
        <v/>
      </c>
      <c r="E237" s="17" t="str">
        <f>IF(EXACT($B237, ""), "", IF(FLOOR(SEED!$B237/1000000000000, 1)=124, "Institution - "&amp;VLOOKUP(SEED!$B237, '[1]DataLookUp - InstitutionBranch'!$B$4:$C$1000, 2, FALSE), "Person - "&amp;VLOOKUP(SEED!$B237, [2]DataLookUp!$B$4:$D$1000, 2, FALSE)))</f>
        <v/>
      </c>
    </row>
    <row r="238" spans="2:5" x14ac:dyDescent="0.2">
      <c r="B238" s="76" t="str">
        <f>IF(EXACT(SEED!$N238, ""), "", SEED!$M238)</f>
        <v/>
      </c>
      <c r="C238" s="17" t="str">
        <f>IF(EXACT($B238, ""), "", SEED!$E238&amp;" - "&amp;SEED!$G238)</f>
        <v/>
      </c>
      <c r="D238" s="58" t="str">
        <f>IF(EXACT($B238, ""), "", IF((SEED!I238*1)=62000000000001, "IDR", IF((SEED!I238*1)=62000000000002, "USD", IF((SEED!I238*1)=62000000000003, "AUD", "Others"))))</f>
        <v/>
      </c>
      <c r="E238" s="17" t="str">
        <f>IF(EXACT($B238, ""), "", IF(FLOOR(SEED!$B238/1000000000000, 1)=124, "Institution - "&amp;VLOOKUP(SEED!$B238, '[1]DataLookUp - InstitutionBranch'!$B$4:$C$1000, 2, FALSE), "Person - "&amp;VLOOKUP(SEED!$B238, [2]DataLookUp!$B$4:$D$1000, 2, FALSE)))</f>
        <v/>
      </c>
    </row>
    <row r="239" spans="2:5" x14ac:dyDescent="0.2">
      <c r="B239" s="76" t="str">
        <f>IF(EXACT(SEED!$N239, ""), "", SEED!$M239)</f>
        <v/>
      </c>
      <c r="C239" s="17" t="str">
        <f>IF(EXACT($B239, ""), "", SEED!$E239&amp;" - "&amp;SEED!$G239)</f>
        <v/>
      </c>
      <c r="D239" s="58" t="str">
        <f>IF(EXACT($B239, ""), "", IF((SEED!I239*1)=62000000000001, "IDR", IF((SEED!I239*1)=62000000000002, "USD", IF((SEED!I239*1)=62000000000003, "AUD", "Others"))))</f>
        <v/>
      </c>
      <c r="E239" s="17" t="str">
        <f>IF(EXACT($B239, ""), "", IF(FLOOR(SEED!$B239/1000000000000, 1)=124, "Institution - "&amp;VLOOKUP(SEED!$B239, '[1]DataLookUp - InstitutionBranch'!$B$4:$C$1000, 2, FALSE), "Person - "&amp;VLOOKUP(SEED!$B239, [2]DataLookUp!$B$4:$D$1000, 2, FALSE)))</f>
        <v/>
      </c>
    </row>
    <row r="240" spans="2:5" x14ac:dyDescent="0.2">
      <c r="B240" s="76" t="str">
        <f>IF(EXACT(SEED!$N240, ""), "", SEED!$M240)</f>
        <v/>
      </c>
      <c r="C240" s="17" t="str">
        <f>IF(EXACT($B240, ""), "", SEED!$E240&amp;" - "&amp;SEED!$G240)</f>
        <v/>
      </c>
      <c r="D240" s="58" t="str">
        <f>IF(EXACT($B240, ""), "", IF((SEED!I240*1)=62000000000001, "IDR", IF((SEED!I240*1)=62000000000002, "USD", IF((SEED!I240*1)=62000000000003, "AUD", "Others"))))</f>
        <v/>
      </c>
      <c r="E240" s="17" t="str">
        <f>IF(EXACT($B240, ""), "", IF(FLOOR(SEED!$B240/1000000000000, 1)=124, "Institution - "&amp;VLOOKUP(SEED!$B240, '[1]DataLookUp - InstitutionBranch'!$B$4:$C$1000, 2, FALSE), "Person - "&amp;VLOOKUP(SEED!$B240, [2]DataLookUp!$B$4:$D$1000, 2, FALSE)))</f>
        <v/>
      </c>
    </row>
    <row r="241" spans="2:5" x14ac:dyDescent="0.2">
      <c r="B241" s="76" t="str">
        <f>IF(EXACT(SEED!$N241, ""), "", SEED!$M241)</f>
        <v/>
      </c>
      <c r="C241" s="17" t="str">
        <f>IF(EXACT($B241, ""), "", SEED!$E241&amp;" - "&amp;SEED!$G241)</f>
        <v/>
      </c>
      <c r="D241" s="58" t="str">
        <f>IF(EXACT($B241, ""), "", IF((SEED!I241*1)=62000000000001, "IDR", IF((SEED!I241*1)=62000000000002, "USD", IF((SEED!I241*1)=62000000000003, "AUD", "Others"))))</f>
        <v/>
      </c>
      <c r="E241" s="17" t="str">
        <f>IF(EXACT($B241, ""), "", IF(FLOOR(SEED!$B241/1000000000000, 1)=124, "Institution - "&amp;VLOOKUP(SEED!$B241, '[1]DataLookUp - InstitutionBranch'!$B$4:$C$1000, 2, FALSE), "Person - "&amp;VLOOKUP(SEED!$B241, [2]DataLookUp!$B$4:$D$1000, 2, FALSE)))</f>
        <v/>
      </c>
    </row>
    <row r="242" spans="2:5" x14ac:dyDescent="0.2">
      <c r="B242" s="76" t="str">
        <f>IF(EXACT(SEED!$N242, ""), "", SEED!$M242)</f>
        <v/>
      </c>
      <c r="C242" s="17" t="str">
        <f>IF(EXACT($B242, ""), "", SEED!$E242&amp;" - "&amp;SEED!$G242)</f>
        <v/>
      </c>
      <c r="D242" s="58" t="str">
        <f>IF(EXACT($B242, ""), "", IF((SEED!I242*1)=62000000000001, "IDR", IF((SEED!I242*1)=62000000000002, "USD", IF((SEED!I242*1)=62000000000003, "AUD", "Others"))))</f>
        <v/>
      </c>
      <c r="E242" s="17" t="str">
        <f>IF(EXACT($B242, ""), "", IF(FLOOR(SEED!$B242/1000000000000, 1)=124, "Institution - "&amp;VLOOKUP(SEED!$B242, '[1]DataLookUp - InstitutionBranch'!$B$4:$C$1000, 2, FALSE), "Person - "&amp;VLOOKUP(SEED!$B242, [2]DataLookUp!$B$4:$D$1000, 2, FALSE)))</f>
        <v/>
      </c>
    </row>
    <row r="243" spans="2:5" x14ac:dyDescent="0.2">
      <c r="B243" s="76" t="str">
        <f>IF(EXACT(SEED!$N243, ""), "", SEED!$M243)</f>
        <v/>
      </c>
      <c r="C243" s="17" t="str">
        <f>IF(EXACT($B243, ""), "", SEED!$E243&amp;" - "&amp;SEED!$G243)</f>
        <v/>
      </c>
      <c r="D243" s="58" t="str">
        <f>IF(EXACT($B243, ""), "", IF((SEED!I243*1)=62000000000001, "IDR", IF((SEED!I243*1)=62000000000002, "USD", IF((SEED!I243*1)=62000000000003, "AUD", "Others"))))</f>
        <v/>
      </c>
      <c r="E243" s="17" t="str">
        <f>IF(EXACT($B243, ""), "", IF(FLOOR(SEED!$B243/1000000000000, 1)=124, "Institution - "&amp;VLOOKUP(SEED!$B243, '[1]DataLookUp - InstitutionBranch'!$B$4:$C$1000, 2, FALSE), "Person - "&amp;VLOOKUP(SEED!$B243, [2]DataLookUp!$B$4:$D$1000, 2, FALSE)))</f>
        <v/>
      </c>
    </row>
    <row r="244" spans="2:5" x14ac:dyDescent="0.2">
      <c r="B244" s="76" t="str">
        <f>IF(EXACT(SEED!$N244, ""), "", SEED!$M244)</f>
        <v/>
      </c>
      <c r="C244" s="17" t="str">
        <f>IF(EXACT($B244, ""), "", SEED!$E244&amp;" - "&amp;SEED!$G244)</f>
        <v/>
      </c>
      <c r="D244" s="58" t="str">
        <f>IF(EXACT($B244, ""), "", IF((SEED!I244*1)=62000000000001, "IDR", IF((SEED!I244*1)=62000000000002, "USD", IF((SEED!I244*1)=62000000000003, "AUD", "Others"))))</f>
        <v/>
      </c>
      <c r="E244" s="17" t="str">
        <f>IF(EXACT($B244, ""), "", IF(FLOOR(SEED!$B244/1000000000000, 1)=124, "Institution - "&amp;VLOOKUP(SEED!$B244, '[1]DataLookUp - InstitutionBranch'!$B$4:$C$1000, 2, FALSE), "Person - "&amp;VLOOKUP(SEED!$B244, [2]DataLookUp!$B$4:$D$1000, 2, FALSE)))</f>
        <v/>
      </c>
    </row>
    <row r="245" spans="2:5" x14ac:dyDescent="0.2">
      <c r="B245" s="76" t="str">
        <f>IF(EXACT(SEED!$N245, ""), "", SEED!$M245)</f>
        <v/>
      </c>
      <c r="C245" s="17" t="str">
        <f>IF(EXACT($B245, ""), "", SEED!$E245&amp;" - "&amp;SEED!$G245)</f>
        <v/>
      </c>
      <c r="D245" s="58" t="str">
        <f>IF(EXACT($B245, ""), "", IF((SEED!I245*1)=62000000000001, "IDR", IF((SEED!I245*1)=62000000000002, "USD", IF((SEED!I245*1)=62000000000003, "AUD", "Others"))))</f>
        <v/>
      </c>
      <c r="E245" s="17" t="str">
        <f>IF(EXACT($B245, ""), "", IF(FLOOR(SEED!$B245/1000000000000, 1)=124, "Institution - "&amp;VLOOKUP(SEED!$B245, '[1]DataLookUp - InstitutionBranch'!$B$4:$C$1000, 2, FALSE), "Person - "&amp;VLOOKUP(SEED!$B245, [2]DataLookUp!$B$4:$D$1000, 2, FALSE)))</f>
        <v/>
      </c>
    </row>
    <row r="246" spans="2:5" x14ac:dyDescent="0.2">
      <c r="B246" s="76" t="str">
        <f>IF(EXACT(SEED!$N246, ""), "", SEED!$M246)</f>
        <v/>
      </c>
      <c r="C246" s="17" t="str">
        <f>IF(EXACT($B246, ""), "", SEED!$E246&amp;" - "&amp;SEED!$G246)</f>
        <v/>
      </c>
      <c r="D246" s="58" t="str">
        <f>IF(EXACT($B246, ""), "", IF((SEED!I246*1)=62000000000001, "IDR", IF((SEED!I246*1)=62000000000002, "USD", IF((SEED!I246*1)=62000000000003, "AUD", "Others"))))</f>
        <v/>
      </c>
      <c r="E246" s="17" t="str">
        <f>IF(EXACT($B246, ""), "", IF(FLOOR(SEED!$B246/1000000000000, 1)=124, "Institution - "&amp;VLOOKUP(SEED!$B246, '[1]DataLookUp - InstitutionBranch'!$B$4:$C$1000, 2, FALSE), "Person - "&amp;VLOOKUP(SEED!$B246, [2]DataLookUp!$B$4:$D$1000, 2, FALSE)))</f>
        <v/>
      </c>
    </row>
    <row r="247" spans="2:5" x14ac:dyDescent="0.2">
      <c r="B247" s="76" t="str">
        <f>IF(EXACT(SEED!$N247, ""), "", SEED!$M247)</f>
        <v/>
      </c>
      <c r="C247" s="17" t="str">
        <f>IF(EXACT($B247, ""), "", SEED!$E247&amp;" - "&amp;SEED!$G247)</f>
        <v/>
      </c>
      <c r="D247" s="58" t="str">
        <f>IF(EXACT($B247, ""), "", IF((SEED!I247*1)=62000000000001, "IDR", IF((SEED!I247*1)=62000000000002, "USD", IF((SEED!I247*1)=62000000000003, "AUD", "Others"))))</f>
        <v/>
      </c>
      <c r="E247" s="17" t="str">
        <f>IF(EXACT($B247, ""), "", IF(FLOOR(SEED!$B247/1000000000000, 1)=124, "Institution - "&amp;VLOOKUP(SEED!$B247, '[1]DataLookUp - InstitutionBranch'!$B$4:$C$1000, 2, FALSE), "Person - "&amp;VLOOKUP(SEED!$B247, [2]DataLookUp!$B$4:$D$1000, 2, FALSE)))</f>
        <v/>
      </c>
    </row>
    <row r="248" spans="2:5" x14ac:dyDescent="0.2">
      <c r="B248" s="76" t="str">
        <f>IF(EXACT(SEED!$N248, ""), "", SEED!$M248)</f>
        <v/>
      </c>
      <c r="C248" s="17" t="str">
        <f>IF(EXACT($B248, ""), "", SEED!$E248&amp;" - "&amp;SEED!$G248)</f>
        <v/>
      </c>
      <c r="D248" s="58" t="str">
        <f>IF(EXACT($B248, ""), "", IF((SEED!I248*1)=62000000000001, "IDR", IF((SEED!I248*1)=62000000000002, "USD", IF((SEED!I248*1)=62000000000003, "AUD", "Others"))))</f>
        <v/>
      </c>
      <c r="E248" s="17" t="str">
        <f>IF(EXACT($B248, ""), "", IF(FLOOR(SEED!$B248/1000000000000, 1)=124, "Institution - "&amp;VLOOKUP(SEED!$B248, '[1]DataLookUp - InstitutionBranch'!$B$4:$C$1000, 2, FALSE), "Person - "&amp;VLOOKUP(SEED!$B248, [2]DataLookUp!$B$4:$D$1000, 2, FALSE)))</f>
        <v/>
      </c>
    </row>
    <row r="249" spans="2:5" x14ac:dyDescent="0.2">
      <c r="B249" s="76" t="str">
        <f>IF(EXACT(SEED!$N249, ""), "", SEED!$M249)</f>
        <v/>
      </c>
      <c r="C249" s="17" t="str">
        <f>IF(EXACT($B249, ""), "", SEED!$E249&amp;" - "&amp;SEED!$G249)</f>
        <v/>
      </c>
      <c r="D249" s="58" t="str">
        <f>IF(EXACT($B249, ""), "", IF((SEED!I249*1)=62000000000001, "IDR", IF((SEED!I249*1)=62000000000002, "USD", IF((SEED!I249*1)=62000000000003, "AUD", "Others"))))</f>
        <v/>
      </c>
      <c r="E249" s="17" t="str">
        <f>IF(EXACT($B249, ""), "", IF(FLOOR(SEED!$B249/1000000000000, 1)=124, "Institution - "&amp;VLOOKUP(SEED!$B249, '[1]DataLookUp - InstitutionBranch'!$B$4:$C$1000, 2, FALSE), "Person - "&amp;VLOOKUP(SEED!$B249, [2]DataLookUp!$B$4:$D$1000, 2, FALSE)))</f>
        <v/>
      </c>
    </row>
    <row r="250" spans="2:5" x14ac:dyDescent="0.2">
      <c r="B250" s="76" t="str">
        <f>IF(EXACT(SEED!$N250, ""), "", SEED!$M250)</f>
        <v/>
      </c>
      <c r="C250" s="17" t="str">
        <f>IF(EXACT($B250, ""), "", SEED!$E250&amp;" - "&amp;SEED!$G250)</f>
        <v/>
      </c>
      <c r="D250" s="58" t="str">
        <f>IF(EXACT($B250, ""), "", IF((SEED!I250*1)=62000000000001, "IDR", IF((SEED!I250*1)=62000000000002, "USD", IF((SEED!I250*1)=62000000000003, "AUD", "Others"))))</f>
        <v/>
      </c>
      <c r="E250" s="17" t="str">
        <f>IF(EXACT($B250, ""), "", IF(FLOOR(SEED!$B250/1000000000000, 1)=124, "Institution - "&amp;VLOOKUP(SEED!$B250, '[1]DataLookUp - InstitutionBranch'!$B$4:$C$1000, 2, FALSE), "Person - "&amp;VLOOKUP(SEED!$B250, [2]DataLookUp!$B$4:$D$1000, 2, FALSE)))</f>
        <v/>
      </c>
    </row>
    <row r="251" spans="2:5" x14ac:dyDescent="0.2">
      <c r="B251" s="76" t="str">
        <f>IF(EXACT(SEED!$N251, ""), "", SEED!$M251)</f>
        <v/>
      </c>
      <c r="C251" s="17" t="str">
        <f>IF(EXACT($B251, ""), "", SEED!$E251&amp;" - "&amp;SEED!$G251)</f>
        <v/>
      </c>
      <c r="D251" s="58" t="str">
        <f>IF(EXACT($B251, ""), "", IF((SEED!I251*1)=62000000000001, "IDR", IF((SEED!I251*1)=62000000000002, "USD", IF((SEED!I251*1)=62000000000003, "AUD", "Others"))))</f>
        <v/>
      </c>
      <c r="E251" s="17" t="str">
        <f>IF(EXACT($B251, ""), "", IF(FLOOR(SEED!$B251/1000000000000, 1)=124, "Institution - "&amp;VLOOKUP(SEED!$B251, '[1]DataLookUp - InstitutionBranch'!$B$4:$C$1000, 2, FALSE), "Person - "&amp;VLOOKUP(SEED!$B251, [2]DataLookUp!$B$4:$D$1000, 2, FALSE)))</f>
        <v/>
      </c>
    </row>
    <row r="252" spans="2:5" x14ac:dyDescent="0.2">
      <c r="B252" s="76" t="str">
        <f>IF(EXACT(SEED!$N252, ""), "", SEED!$M252)</f>
        <v/>
      </c>
      <c r="C252" s="17" t="str">
        <f>IF(EXACT($B252, ""), "", SEED!$E252&amp;" - "&amp;SEED!$G252)</f>
        <v/>
      </c>
      <c r="D252" s="58" t="str">
        <f>IF(EXACT($B252, ""), "", IF((SEED!I252*1)=62000000000001, "IDR", IF((SEED!I252*1)=62000000000002, "USD", IF((SEED!I252*1)=62000000000003, "AUD", "Others"))))</f>
        <v/>
      </c>
      <c r="E252" s="17" t="str">
        <f>IF(EXACT($B252, ""), "", IF(FLOOR(SEED!$B252/1000000000000, 1)=124, "Institution - "&amp;VLOOKUP(SEED!$B252, '[1]DataLookUp - InstitutionBranch'!$B$4:$C$1000, 2, FALSE), "Person - "&amp;VLOOKUP(SEED!$B252, [2]DataLookUp!$B$4:$D$1000, 2, FALSE)))</f>
        <v/>
      </c>
    </row>
    <row r="253" spans="2:5" x14ac:dyDescent="0.2">
      <c r="B253" s="76" t="str">
        <f>IF(EXACT(SEED!$N253, ""), "", SEED!$M253)</f>
        <v/>
      </c>
      <c r="C253" s="17" t="str">
        <f>IF(EXACT($B253, ""), "", SEED!$E253&amp;" - "&amp;SEED!$G253)</f>
        <v/>
      </c>
      <c r="D253" s="58" t="str">
        <f>IF(EXACT($B253, ""), "", IF((SEED!I253*1)=62000000000001, "IDR", IF((SEED!I253*1)=62000000000002, "USD", IF((SEED!I253*1)=62000000000003, "AUD", "Others"))))</f>
        <v/>
      </c>
      <c r="E253" s="17" t="str">
        <f>IF(EXACT($B253, ""), "", IF(FLOOR(SEED!$B253/1000000000000, 1)=124, "Institution - "&amp;VLOOKUP(SEED!$B253, '[1]DataLookUp - InstitutionBranch'!$B$4:$C$1000, 2, FALSE), "Person - "&amp;VLOOKUP(SEED!$B253, [2]DataLookUp!$B$4:$D$1000, 2, FALSE)))</f>
        <v/>
      </c>
    </row>
    <row r="254" spans="2:5" x14ac:dyDescent="0.2">
      <c r="B254" s="76" t="str">
        <f>IF(EXACT(SEED!$N254, ""), "", SEED!$M254)</f>
        <v/>
      </c>
      <c r="C254" s="17" t="str">
        <f>IF(EXACT($B254, ""), "", SEED!$E254&amp;" - "&amp;SEED!$G254)</f>
        <v/>
      </c>
      <c r="D254" s="58" t="str">
        <f>IF(EXACT($B254, ""), "", IF((SEED!I254*1)=62000000000001, "IDR", IF((SEED!I254*1)=62000000000002, "USD", IF((SEED!I254*1)=62000000000003, "AUD", "Others"))))</f>
        <v/>
      </c>
      <c r="E254" s="17" t="str">
        <f>IF(EXACT($B254, ""), "", IF(FLOOR(SEED!$B254/1000000000000, 1)=124, "Institution - "&amp;VLOOKUP(SEED!$B254, '[1]DataLookUp - InstitutionBranch'!$B$4:$C$1000, 2, FALSE), "Person - "&amp;VLOOKUP(SEED!$B254, [2]DataLookUp!$B$4:$D$1000, 2, FALSE)))</f>
        <v/>
      </c>
    </row>
    <row r="255" spans="2:5" x14ac:dyDescent="0.2">
      <c r="B255" s="76" t="str">
        <f>IF(EXACT(SEED!$N255, ""), "", SEED!$M255)</f>
        <v/>
      </c>
      <c r="C255" s="17" t="str">
        <f>IF(EXACT($B255, ""), "", SEED!$E255&amp;" - "&amp;SEED!$G255)</f>
        <v/>
      </c>
      <c r="D255" s="58" t="str">
        <f>IF(EXACT($B255, ""), "", IF((SEED!I255*1)=62000000000001, "IDR", IF((SEED!I255*1)=62000000000002, "USD", IF((SEED!I255*1)=62000000000003, "AUD", "Others"))))</f>
        <v/>
      </c>
      <c r="E255" s="17" t="str">
        <f>IF(EXACT($B255, ""), "", IF(FLOOR(SEED!$B255/1000000000000, 1)=124, "Institution - "&amp;VLOOKUP(SEED!$B255, '[1]DataLookUp - InstitutionBranch'!$B$4:$C$1000, 2, FALSE), "Person - "&amp;VLOOKUP(SEED!$B255, [2]DataLookUp!$B$4:$D$1000, 2, FALSE)))</f>
        <v/>
      </c>
    </row>
    <row r="256" spans="2:5" x14ac:dyDescent="0.2">
      <c r="B256" s="76" t="str">
        <f>IF(EXACT(SEED!$N256, ""), "", SEED!$M256)</f>
        <v/>
      </c>
      <c r="C256" s="17" t="str">
        <f>IF(EXACT($B256, ""), "", SEED!$E256&amp;" - "&amp;SEED!$G256)</f>
        <v/>
      </c>
      <c r="D256" s="58" t="str">
        <f>IF(EXACT($B256, ""), "", IF((SEED!I256*1)=62000000000001, "IDR", IF((SEED!I256*1)=62000000000002, "USD", IF((SEED!I256*1)=62000000000003, "AUD", "Others"))))</f>
        <v/>
      </c>
      <c r="E256" s="17" t="str">
        <f>IF(EXACT($B256, ""), "", IF(FLOOR(SEED!$B256/1000000000000, 1)=124, "Institution - "&amp;VLOOKUP(SEED!$B256, '[1]DataLookUp - InstitutionBranch'!$B$4:$C$1000, 2, FALSE), "Person - "&amp;VLOOKUP(SEED!$B256, [2]DataLookUp!$B$4:$D$1000, 2, FALSE)))</f>
        <v/>
      </c>
    </row>
    <row r="257" spans="2:5" x14ac:dyDescent="0.2">
      <c r="B257" s="76" t="str">
        <f>IF(EXACT(SEED!$N257, ""), "", SEED!$M257)</f>
        <v/>
      </c>
      <c r="C257" s="17" t="str">
        <f>IF(EXACT($B257, ""), "", SEED!$E257&amp;" - "&amp;SEED!$G257)</f>
        <v/>
      </c>
      <c r="D257" s="58" t="str">
        <f>IF(EXACT($B257, ""), "", IF((SEED!I257*1)=62000000000001, "IDR", IF((SEED!I257*1)=62000000000002, "USD", IF((SEED!I257*1)=62000000000003, "AUD", "Others"))))</f>
        <v/>
      </c>
      <c r="E257" s="17" t="str">
        <f>IF(EXACT($B257, ""), "", IF(FLOOR(SEED!$B257/1000000000000, 1)=124, "Institution - "&amp;VLOOKUP(SEED!$B257, '[1]DataLookUp - InstitutionBranch'!$B$4:$C$1000, 2, FALSE), "Person - "&amp;VLOOKUP(SEED!$B257, [2]DataLookUp!$B$4:$D$1000, 2, FALSE)))</f>
        <v/>
      </c>
    </row>
    <row r="258" spans="2:5" x14ac:dyDescent="0.2">
      <c r="B258" s="76" t="str">
        <f>IF(EXACT(SEED!$N258, ""), "", SEED!$M258)</f>
        <v/>
      </c>
      <c r="C258" s="17" t="str">
        <f>IF(EXACT($B258, ""), "", SEED!$E258&amp;" - "&amp;SEED!$G258)</f>
        <v/>
      </c>
      <c r="D258" s="58" t="str">
        <f>IF(EXACT($B258, ""), "", IF((SEED!I258*1)=62000000000001, "IDR", IF((SEED!I258*1)=62000000000002, "USD", IF((SEED!I258*1)=62000000000003, "AUD", "Others"))))</f>
        <v/>
      </c>
      <c r="E258" s="17" t="str">
        <f>IF(EXACT($B258, ""), "", IF(FLOOR(SEED!$B258/1000000000000, 1)=124, "Institution - "&amp;VLOOKUP(SEED!$B258, '[1]DataLookUp - InstitutionBranch'!$B$4:$C$1000, 2, FALSE), "Person - "&amp;VLOOKUP(SEED!$B258, [2]DataLookUp!$B$4:$D$1000, 2, FALSE)))</f>
        <v/>
      </c>
    </row>
    <row r="259" spans="2:5" x14ac:dyDescent="0.2">
      <c r="B259" s="76" t="str">
        <f>IF(EXACT(SEED!$N259, ""), "", SEED!$M259)</f>
        <v/>
      </c>
      <c r="C259" s="17" t="str">
        <f>IF(EXACT($B259, ""), "", SEED!$E259&amp;" - "&amp;SEED!$G259)</f>
        <v/>
      </c>
      <c r="D259" s="58" t="str">
        <f>IF(EXACT($B259, ""), "", IF((SEED!I259*1)=62000000000001, "IDR", IF((SEED!I259*1)=62000000000002, "USD", IF((SEED!I259*1)=62000000000003, "AUD", "Others"))))</f>
        <v/>
      </c>
      <c r="E259" s="17" t="str">
        <f>IF(EXACT($B259, ""), "", IF(FLOOR(SEED!$B259/1000000000000, 1)=124, "Institution - "&amp;VLOOKUP(SEED!$B259, '[1]DataLookUp - InstitutionBranch'!$B$4:$C$1000, 2, FALSE), "Person - "&amp;VLOOKUP(SEED!$B259, [2]DataLookUp!$B$4:$D$1000, 2, FALSE)))</f>
        <v/>
      </c>
    </row>
    <row r="260" spans="2:5" x14ac:dyDescent="0.2">
      <c r="B260" s="76" t="str">
        <f>IF(EXACT(SEED!$N260, ""), "", SEED!$M260)</f>
        <v/>
      </c>
      <c r="C260" s="17" t="str">
        <f>IF(EXACT($B260, ""), "", SEED!$E260&amp;" - "&amp;SEED!$G260)</f>
        <v/>
      </c>
      <c r="D260" s="58" t="str">
        <f>IF(EXACT($B260, ""), "", IF((SEED!I260*1)=62000000000001, "IDR", IF((SEED!I260*1)=62000000000002, "USD", IF((SEED!I260*1)=62000000000003, "AUD", "Others"))))</f>
        <v/>
      </c>
      <c r="E260" s="17" t="str">
        <f>IF(EXACT($B260, ""), "", IF(FLOOR(SEED!$B260/1000000000000, 1)=124, "Institution - "&amp;VLOOKUP(SEED!$B260, '[1]DataLookUp - InstitutionBranch'!$B$4:$C$1000, 2, FALSE), "Person - "&amp;VLOOKUP(SEED!$B260, [2]DataLookUp!$B$4:$D$1000, 2, FALSE)))</f>
        <v/>
      </c>
    </row>
    <row r="261" spans="2:5" x14ac:dyDescent="0.2">
      <c r="B261" s="76" t="str">
        <f>IF(EXACT(SEED!$N261, ""), "", SEED!$M261)</f>
        <v/>
      </c>
      <c r="C261" s="17" t="str">
        <f>IF(EXACT($B261, ""), "", SEED!$E261&amp;" - "&amp;SEED!$G261)</f>
        <v/>
      </c>
      <c r="D261" s="58" t="str">
        <f>IF(EXACT($B261, ""), "", IF((SEED!I261*1)=62000000000001, "IDR", IF((SEED!I261*1)=62000000000002, "USD", IF((SEED!I261*1)=62000000000003, "AUD", "Others"))))</f>
        <v/>
      </c>
      <c r="E261" s="17" t="str">
        <f>IF(EXACT($B261, ""), "", IF(FLOOR(SEED!$B261/1000000000000, 1)=124, "Institution - "&amp;VLOOKUP(SEED!$B261, '[1]DataLookUp - InstitutionBranch'!$B$4:$C$1000, 2, FALSE), "Person - "&amp;VLOOKUP(SEED!$B261, [2]DataLookUp!$B$4:$D$1000, 2, FALSE)))</f>
        <v/>
      </c>
    </row>
    <row r="262" spans="2:5" x14ac:dyDescent="0.2">
      <c r="B262" s="76" t="str">
        <f>IF(EXACT(SEED!$N262, ""), "", SEED!$M262)</f>
        <v/>
      </c>
      <c r="C262" s="17" t="str">
        <f>IF(EXACT($B262, ""), "", SEED!$E262&amp;" - "&amp;SEED!$G262)</f>
        <v/>
      </c>
      <c r="D262" s="58" t="str">
        <f>IF(EXACT($B262, ""), "", IF((SEED!I262*1)=62000000000001, "IDR", IF((SEED!I262*1)=62000000000002, "USD", IF((SEED!I262*1)=62000000000003, "AUD", "Others"))))</f>
        <v/>
      </c>
      <c r="E262" s="17" t="str">
        <f>IF(EXACT($B262, ""), "", IF(FLOOR(SEED!$B262/1000000000000, 1)=124, "Institution - "&amp;VLOOKUP(SEED!$B262, '[1]DataLookUp - InstitutionBranch'!$B$4:$C$1000, 2, FALSE), "Person - "&amp;VLOOKUP(SEED!$B262, [2]DataLookUp!$B$4:$D$1000, 2, FALSE)))</f>
        <v/>
      </c>
    </row>
    <row r="263" spans="2:5" x14ac:dyDescent="0.2">
      <c r="B263" s="76" t="str">
        <f>IF(EXACT(SEED!$N263, ""), "", SEED!$M263)</f>
        <v/>
      </c>
      <c r="C263" s="17" t="str">
        <f>IF(EXACT($B263, ""), "", SEED!$E263&amp;" - "&amp;SEED!$G263)</f>
        <v/>
      </c>
      <c r="D263" s="58" t="str">
        <f>IF(EXACT($B263, ""), "", IF((SEED!I263*1)=62000000000001, "IDR", IF((SEED!I263*1)=62000000000002, "USD", IF((SEED!I263*1)=62000000000003, "AUD", "Others"))))</f>
        <v/>
      </c>
      <c r="E263" s="17" t="str">
        <f>IF(EXACT($B263, ""), "", IF(FLOOR(SEED!$B263/1000000000000, 1)=124, "Institution - "&amp;VLOOKUP(SEED!$B263, '[1]DataLookUp - InstitutionBranch'!$B$4:$C$1000, 2, FALSE), "Person - "&amp;VLOOKUP(SEED!$B263, [2]DataLookUp!$B$4:$D$1000, 2, FALSE)))</f>
        <v/>
      </c>
    </row>
    <row r="264" spans="2:5" x14ac:dyDescent="0.2">
      <c r="B264" s="76" t="str">
        <f>IF(EXACT(SEED!$N264, ""), "", SEED!$M264)</f>
        <v/>
      </c>
      <c r="C264" s="17" t="str">
        <f>IF(EXACT($B264, ""), "", SEED!$E264&amp;" - "&amp;SEED!$G264)</f>
        <v/>
      </c>
      <c r="D264" s="58" t="str">
        <f>IF(EXACT($B264, ""), "", IF((SEED!I264*1)=62000000000001, "IDR", IF((SEED!I264*1)=62000000000002, "USD", IF((SEED!I264*1)=62000000000003, "AUD", "Others"))))</f>
        <v/>
      </c>
      <c r="E264" s="17" t="str">
        <f>IF(EXACT($B264, ""), "", IF(FLOOR(SEED!$B264/1000000000000, 1)=124, "Institution - "&amp;VLOOKUP(SEED!$B264, '[1]DataLookUp - InstitutionBranch'!$B$4:$C$1000, 2, FALSE), "Person - "&amp;VLOOKUP(SEED!$B264, [2]DataLookUp!$B$4:$D$1000, 2, FALSE)))</f>
        <v/>
      </c>
    </row>
    <row r="265" spans="2:5" x14ac:dyDescent="0.2">
      <c r="B265" s="76" t="str">
        <f>IF(EXACT(SEED!$N265, ""), "", SEED!$M265)</f>
        <v/>
      </c>
      <c r="C265" s="17" t="str">
        <f>IF(EXACT($B265, ""), "", SEED!$E265&amp;" - "&amp;SEED!$G265)</f>
        <v/>
      </c>
      <c r="D265" s="58" t="str">
        <f>IF(EXACT($B265, ""), "", IF((SEED!I265*1)=62000000000001, "IDR", IF((SEED!I265*1)=62000000000002, "USD", IF((SEED!I265*1)=62000000000003, "AUD", "Others"))))</f>
        <v/>
      </c>
      <c r="E265" s="17" t="str">
        <f>IF(EXACT($B265, ""), "", IF(FLOOR(SEED!$B265/1000000000000, 1)=124, "Institution - "&amp;VLOOKUP(SEED!$B265, '[1]DataLookUp - InstitutionBranch'!$B$4:$C$1000, 2, FALSE), "Person - "&amp;VLOOKUP(SEED!$B265, [2]DataLookUp!$B$4:$D$1000, 2, FALSE)))</f>
        <v/>
      </c>
    </row>
    <row r="266" spans="2:5" x14ac:dyDescent="0.2">
      <c r="B266" s="76" t="str">
        <f>IF(EXACT(SEED!$N266, ""), "", SEED!$M266)</f>
        <v/>
      </c>
      <c r="C266" s="17" t="str">
        <f>IF(EXACT($B266, ""), "", SEED!$E266&amp;" - "&amp;SEED!$G266)</f>
        <v/>
      </c>
      <c r="D266" s="58" t="str">
        <f>IF(EXACT($B266, ""), "", IF((SEED!I266*1)=62000000000001, "IDR", IF((SEED!I266*1)=62000000000002, "USD", IF((SEED!I266*1)=62000000000003, "AUD", "Others"))))</f>
        <v/>
      </c>
      <c r="E266" s="17" t="str">
        <f>IF(EXACT($B266, ""), "", IF(FLOOR(SEED!$B266/1000000000000, 1)=124, "Institution - "&amp;VLOOKUP(SEED!$B266, '[1]DataLookUp - InstitutionBranch'!$B$4:$C$1000, 2, FALSE), "Person - "&amp;VLOOKUP(SEED!$B266, [2]DataLookUp!$B$4:$D$1000, 2, FALSE)))</f>
        <v/>
      </c>
    </row>
    <row r="267" spans="2:5" x14ac:dyDescent="0.2">
      <c r="B267" s="76" t="str">
        <f>IF(EXACT(SEED!$N267, ""), "", SEED!$M267)</f>
        <v/>
      </c>
      <c r="C267" s="17" t="str">
        <f>IF(EXACT($B267, ""), "", SEED!$E267&amp;" - "&amp;SEED!$G267)</f>
        <v/>
      </c>
      <c r="D267" s="58" t="str">
        <f>IF(EXACT($B267, ""), "", IF((SEED!I267*1)=62000000000001, "IDR", IF((SEED!I267*1)=62000000000002, "USD", IF((SEED!I267*1)=62000000000003, "AUD", "Others"))))</f>
        <v/>
      </c>
      <c r="E267" s="17" t="str">
        <f>IF(EXACT($B267, ""), "", IF(FLOOR(SEED!$B267/1000000000000, 1)=124, "Institution - "&amp;VLOOKUP(SEED!$B267, '[1]DataLookUp - InstitutionBranch'!$B$4:$C$1000, 2, FALSE), "Person - "&amp;VLOOKUP(SEED!$B267, [2]DataLookUp!$B$4:$D$1000, 2, FALSE)))</f>
        <v/>
      </c>
    </row>
    <row r="268" spans="2:5" x14ac:dyDescent="0.2">
      <c r="B268" s="76" t="str">
        <f>IF(EXACT(SEED!$N268, ""), "", SEED!$M268)</f>
        <v/>
      </c>
      <c r="C268" s="17" t="str">
        <f>IF(EXACT($B268, ""), "", SEED!$E268&amp;" - "&amp;SEED!$G268)</f>
        <v/>
      </c>
      <c r="D268" s="58" t="str">
        <f>IF(EXACT($B268, ""), "", IF((SEED!I268*1)=62000000000001, "IDR", IF((SEED!I268*1)=62000000000002, "USD", IF((SEED!I268*1)=62000000000003, "AUD", "Others"))))</f>
        <v/>
      </c>
      <c r="E268" s="17" t="str">
        <f>IF(EXACT($B268, ""), "", IF(FLOOR(SEED!$B268/1000000000000, 1)=124, "Institution - "&amp;VLOOKUP(SEED!$B268, '[1]DataLookUp - InstitutionBranch'!$B$4:$C$1000, 2, FALSE), "Person - "&amp;VLOOKUP(SEED!$B268, [2]DataLookUp!$B$4:$D$1000, 2, FALSE)))</f>
        <v/>
      </c>
    </row>
    <row r="269" spans="2:5" x14ac:dyDescent="0.2">
      <c r="B269" s="76" t="str">
        <f>IF(EXACT(SEED!$N269, ""), "", SEED!$M269)</f>
        <v/>
      </c>
      <c r="C269" s="17" t="str">
        <f>IF(EXACT($B269, ""), "", SEED!$E269&amp;" - "&amp;SEED!$G269)</f>
        <v/>
      </c>
      <c r="D269" s="58" t="str">
        <f>IF(EXACT($B269, ""), "", IF((SEED!I269*1)=62000000000001, "IDR", IF((SEED!I269*1)=62000000000002, "USD", IF((SEED!I269*1)=62000000000003, "AUD", "Others"))))</f>
        <v/>
      </c>
      <c r="E269" s="17" t="str">
        <f>IF(EXACT($B269, ""), "", IF(FLOOR(SEED!$B269/1000000000000, 1)=124, "Institution - "&amp;VLOOKUP(SEED!$B269, '[1]DataLookUp - InstitutionBranch'!$B$4:$C$1000, 2, FALSE), "Person - "&amp;VLOOKUP(SEED!$B269, [2]DataLookUp!$B$4:$D$1000, 2, FALSE)))</f>
        <v/>
      </c>
    </row>
    <row r="270" spans="2:5" x14ac:dyDescent="0.2">
      <c r="B270" s="76" t="str">
        <f>IF(EXACT(SEED!$N270, ""), "", SEED!$M270)</f>
        <v/>
      </c>
      <c r="C270" s="17" t="str">
        <f>IF(EXACT($B270, ""), "", SEED!$E270&amp;" - "&amp;SEED!$G270)</f>
        <v/>
      </c>
      <c r="D270" s="58" t="str">
        <f>IF(EXACT($B270, ""), "", IF((SEED!I270*1)=62000000000001, "IDR", IF((SEED!I270*1)=62000000000002, "USD", IF((SEED!I270*1)=62000000000003, "AUD", "Others"))))</f>
        <v/>
      </c>
      <c r="E270" s="17" t="str">
        <f>IF(EXACT($B270, ""), "", IF(FLOOR(SEED!$B270/1000000000000, 1)=124, "Institution - "&amp;VLOOKUP(SEED!$B270, '[1]DataLookUp - InstitutionBranch'!$B$4:$C$1000, 2, FALSE), "Person - "&amp;VLOOKUP(SEED!$B270, [2]DataLookUp!$B$4:$D$1000, 2, FALSE)))</f>
        <v/>
      </c>
    </row>
    <row r="271" spans="2:5" x14ac:dyDescent="0.2">
      <c r="B271" s="76" t="str">
        <f>IF(EXACT(SEED!$N271, ""), "", SEED!$M271)</f>
        <v/>
      </c>
      <c r="C271" s="17" t="str">
        <f>IF(EXACT($B271, ""), "", SEED!$E271&amp;" - "&amp;SEED!$G271)</f>
        <v/>
      </c>
      <c r="D271" s="58" t="str">
        <f>IF(EXACT($B271, ""), "", IF((SEED!I271*1)=62000000000001, "IDR", IF((SEED!I271*1)=62000000000002, "USD", IF((SEED!I271*1)=62000000000003, "AUD", "Others"))))</f>
        <v/>
      </c>
      <c r="E271" s="17" t="str">
        <f>IF(EXACT($B271, ""), "", IF(FLOOR(SEED!$B271/1000000000000, 1)=124, "Institution - "&amp;VLOOKUP(SEED!$B271, '[1]DataLookUp - InstitutionBranch'!$B$4:$C$1000, 2, FALSE), "Person - "&amp;VLOOKUP(SEED!$B271, [2]DataLookUp!$B$4:$D$1000, 2, FALSE)))</f>
        <v/>
      </c>
    </row>
    <row r="272" spans="2:5" x14ac:dyDescent="0.2">
      <c r="B272" s="76" t="str">
        <f>IF(EXACT(SEED!$N272, ""), "", SEED!$M272)</f>
        <v/>
      </c>
      <c r="C272" s="17" t="str">
        <f>IF(EXACT($B272, ""), "", SEED!$E272&amp;" - "&amp;SEED!$G272)</f>
        <v/>
      </c>
      <c r="D272" s="58" t="str">
        <f>IF(EXACT($B272, ""), "", IF((SEED!I272*1)=62000000000001, "IDR", IF((SEED!I272*1)=62000000000002, "USD", IF((SEED!I272*1)=62000000000003, "AUD", "Others"))))</f>
        <v/>
      </c>
      <c r="E272" s="17" t="str">
        <f>IF(EXACT($B272, ""), "", IF(FLOOR(SEED!$B272/1000000000000, 1)=124, "Institution - "&amp;VLOOKUP(SEED!$B272, '[1]DataLookUp - InstitutionBranch'!$B$4:$C$1000, 2, FALSE), "Person - "&amp;VLOOKUP(SEED!$B272, [2]DataLookUp!$B$4:$D$1000, 2, FALSE)))</f>
        <v/>
      </c>
    </row>
    <row r="273" spans="2:5" x14ac:dyDescent="0.2">
      <c r="B273" s="76" t="str">
        <f>IF(EXACT(SEED!$N273, ""), "", SEED!$M273)</f>
        <v/>
      </c>
      <c r="C273" s="17" t="str">
        <f>IF(EXACT($B273, ""), "", SEED!$E273&amp;" - "&amp;SEED!$G273)</f>
        <v/>
      </c>
      <c r="D273" s="58" t="str">
        <f>IF(EXACT($B273, ""), "", IF((SEED!I273*1)=62000000000001, "IDR", IF((SEED!I273*1)=62000000000002, "USD", IF((SEED!I273*1)=62000000000003, "AUD", "Others"))))</f>
        <v/>
      </c>
      <c r="E273" s="17" t="str">
        <f>IF(EXACT($B273, ""), "", IF(FLOOR(SEED!$B273/1000000000000, 1)=124, "Institution - "&amp;VLOOKUP(SEED!$B273, '[1]DataLookUp - InstitutionBranch'!$B$4:$C$1000, 2, FALSE), "Person - "&amp;VLOOKUP(SEED!$B273, [2]DataLookUp!$B$4:$D$1000, 2, FALSE)))</f>
        <v/>
      </c>
    </row>
    <row r="274" spans="2:5" x14ac:dyDescent="0.2">
      <c r="B274" s="76" t="str">
        <f>IF(EXACT(SEED!$N274, ""), "", SEED!$M274)</f>
        <v/>
      </c>
      <c r="C274" s="17" t="str">
        <f>IF(EXACT($B274, ""), "", SEED!$E274&amp;" - "&amp;SEED!$G274)</f>
        <v/>
      </c>
      <c r="D274" s="58" t="str">
        <f>IF(EXACT($B274, ""), "", IF((SEED!I274*1)=62000000000001, "IDR", IF((SEED!I274*1)=62000000000002, "USD", IF((SEED!I274*1)=62000000000003, "AUD", "Others"))))</f>
        <v/>
      </c>
      <c r="E274" s="17" t="str">
        <f>IF(EXACT($B274, ""), "", IF(FLOOR(SEED!$B274/1000000000000, 1)=124, "Institution - "&amp;VLOOKUP(SEED!$B274, '[1]DataLookUp - InstitutionBranch'!$B$4:$C$1000, 2, FALSE), "Person - "&amp;VLOOKUP(SEED!$B274, [2]DataLookUp!$B$4:$D$1000, 2, FALSE)))</f>
        <v/>
      </c>
    </row>
    <row r="275" spans="2:5" x14ac:dyDescent="0.2">
      <c r="B275" s="76" t="str">
        <f>IF(EXACT(SEED!$N275, ""), "", SEED!$M275)</f>
        <v/>
      </c>
      <c r="C275" s="17" t="str">
        <f>IF(EXACT($B275, ""), "", SEED!$E275&amp;" - "&amp;SEED!$G275)</f>
        <v/>
      </c>
      <c r="D275" s="58" t="str">
        <f>IF(EXACT($B275, ""), "", IF((SEED!I275*1)=62000000000001, "IDR", IF((SEED!I275*1)=62000000000002, "USD", IF((SEED!I275*1)=62000000000003, "AUD", "Others"))))</f>
        <v/>
      </c>
      <c r="E275" s="17" t="str">
        <f>IF(EXACT($B275, ""), "", IF(FLOOR(SEED!$B275/1000000000000, 1)=124, "Institution - "&amp;VLOOKUP(SEED!$B275, '[1]DataLookUp - InstitutionBranch'!$B$4:$C$1000, 2, FALSE), "Person - "&amp;VLOOKUP(SEED!$B275, [2]DataLookUp!$B$4:$D$1000, 2, FALSE)))</f>
        <v/>
      </c>
    </row>
    <row r="276" spans="2:5" x14ac:dyDescent="0.2">
      <c r="B276" s="76" t="str">
        <f>IF(EXACT(SEED!$N276, ""), "", SEED!$M276)</f>
        <v/>
      </c>
      <c r="C276" s="17" t="str">
        <f>IF(EXACT($B276, ""), "", SEED!$E276&amp;" - "&amp;SEED!$G276)</f>
        <v/>
      </c>
      <c r="D276" s="58" t="str">
        <f>IF(EXACT($B276, ""), "", IF((SEED!I276*1)=62000000000001, "IDR", IF((SEED!I276*1)=62000000000002, "USD", IF((SEED!I276*1)=62000000000003, "AUD", "Others"))))</f>
        <v/>
      </c>
      <c r="E276" s="17" t="str">
        <f>IF(EXACT($B276, ""), "", IF(FLOOR(SEED!$B276/1000000000000, 1)=124, "Institution - "&amp;VLOOKUP(SEED!$B276, '[1]DataLookUp - InstitutionBranch'!$B$4:$C$1000, 2, FALSE), "Person - "&amp;VLOOKUP(SEED!$B276, [2]DataLookUp!$B$4:$D$1000, 2, FALSE)))</f>
        <v/>
      </c>
    </row>
    <row r="277" spans="2:5" x14ac:dyDescent="0.2">
      <c r="B277" s="76" t="str">
        <f>IF(EXACT(SEED!$N277, ""), "", SEED!$M277)</f>
        <v/>
      </c>
      <c r="C277" s="17" t="str">
        <f>IF(EXACT($B277, ""), "", SEED!$E277&amp;" - "&amp;SEED!$G277)</f>
        <v/>
      </c>
      <c r="D277" s="58" t="str">
        <f>IF(EXACT($B277, ""), "", IF((SEED!I277*1)=62000000000001, "IDR", IF((SEED!I277*1)=62000000000002, "USD", IF((SEED!I277*1)=62000000000003, "AUD", "Others"))))</f>
        <v/>
      </c>
      <c r="E277" s="17" t="str">
        <f>IF(EXACT($B277, ""), "", IF(FLOOR(SEED!$B277/1000000000000, 1)=124, "Institution - "&amp;VLOOKUP(SEED!$B277, '[1]DataLookUp - InstitutionBranch'!$B$4:$C$1000, 2, FALSE), "Person - "&amp;VLOOKUP(SEED!$B277, [2]DataLookUp!$B$4:$D$1000, 2, FALSE)))</f>
        <v/>
      </c>
    </row>
    <row r="278" spans="2:5" x14ac:dyDescent="0.2">
      <c r="B278" s="76" t="str">
        <f>IF(EXACT(SEED!$N278, ""), "", SEED!$M278)</f>
        <v/>
      </c>
      <c r="C278" s="17" t="str">
        <f>IF(EXACT($B278, ""), "", SEED!$E278&amp;" - "&amp;SEED!$G278)</f>
        <v/>
      </c>
      <c r="D278" s="58" t="str">
        <f>IF(EXACT($B278, ""), "", IF((SEED!I278*1)=62000000000001, "IDR", IF((SEED!I278*1)=62000000000002, "USD", IF((SEED!I278*1)=62000000000003, "AUD", "Others"))))</f>
        <v/>
      </c>
      <c r="E278" s="17" t="str">
        <f>IF(EXACT($B278, ""), "", IF(FLOOR(SEED!$B278/1000000000000, 1)=124, "Institution - "&amp;VLOOKUP(SEED!$B278, '[1]DataLookUp - InstitutionBranch'!$B$4:$C$1000, 2, FALSE), "Person - "&amp;VLOOKUP(SEED!$B278, [2]DataLookUp!$B$4:$D$1000, 2, FALSE)))</f>
        <v/>
      </c>
    </row>
    <row r="279" spans="2:5" x14ac:dyDescent="0.2">
      <c r="B279" s="76" t="str">
        <f>IF(EXACT(SEED!$N279, ""), "", SEED!$M279)</f>
        <v/>
      </c>
      <c r="C279" s="17" t="str">
        <f>IF(EXACT($B279, ""), "", SEED!$E279&amp;" - "&amp;SEED!$G279)</f>
        <v/>
      </c>
      <c r="D279" s="58" t="str">
        <f>IF(EXACT($B279, ""), "", IF((SEED!I279*1)=62000000000001, "IDR", IF((SEED!I279*1)=62000000000002, "USD", IF((SEED!I279*1)=62000000000003, "AUD", "Others"))))</f>
        <v/>
      </c>
      <c r="E279" s="17" t="str">
        <f>IF(EXACT($B279, ""), "", IF(FLOOR(SEED!$B279/1000000000000, 1)=124, "Institution - "&amp;VLOOKUP(SEED!$B279, '[1]DataLookUp - InstitutionBranch'!$B$4:$C$1000, 2, FALSE), "Person - "&amp;VLOOKUP(SEED!$B279, [2]DataLookUp!$B$4:$D$1000, 2, FALSE)))</f>
        <v/>
      </c>
    </row>
    <row r="280" spans="2:5" x14ac:dyDescent="0.2">
      <c r="B280" s="76" t="str">
        <f>IF(EXACT(SEED!$N280, ""), "", SEED!$M280)</f>
        <v/>
      </c>
      <c r="C280" s="17" t="str">
        <f>IF(EXACT($B280, ""), "", SEED!$E280&amp;" - "&amp;SEED!$G280)</f>
        <v/>
      </c>
      <c r="D280" s="58" t="str">
        <f>IF(EXACT($B280, ""), "", IF((SEED!I280*1)=62000000000001, "IDR", IF((SEED!I280*1)=62000000000002, "USD", IF((SEED!I280*1)=62000000000003, "AUD", "Others"))))</f>
        <v/>
      </c>
      <c r="E280" s="17" t="str">
        <f>IF(EXACT($B280, ""), "", IF(FLOOR(SEED!$B280/1000000000000, 1)=124, "Institution - "&amp;VLOOKUP(SEED!$B280, '[1]DataLookUp - InstitutionBranch'!$B$4:$C$1000, 2, FALSE), "Person - "&amp;VLOOKUP(SEED!$B280, [2]DataLookUp!$B$4:$D$1000, 2, FALSE)))</f>
        <v/>
      </c>
    </row>
    <row r="281" spans="2:5" x14ac:dyDescent="0.2">
      <c r="B281" s="76" t="str">
        <f>IF(EXACT(SEED!$N281, ""), "", SEED!$M281)</f>
        <v/>
      </c>
      <c r="C281" s="17" t="str">
        <f>IF(EXACT($B281, ""), "", SEED!$E281&amp;" - "&amp;SEED!$G281)</f>
        <v/>
      </c>
      <c r="D281" s="58" t="str">
        <f>IF(EXACT($B281, ""), "", IF((SEED!I281*1)=62000000000001, "IDR", IF((SEED!I281*1)=62000000000002, "USD", IF((SEED!I281*1)=62000000000003, "AUD", "Others"))))</f>
        <v/>
      </c>
      <c r="E281" s="17" t="str">
        <f>IF(EXACT($B281, ""), "", IF(FLOOR(SEED!$B281/1000000000000, 1)=124, "Institution - "&amp;VLOOKUP(SEED!$B281, '[1]DataLookUp - InstitutionBranch'!$B$4:$C$1000, 2, FALSE), "Person - "&amp;VLOOKUP(SEED!$B281, [2]DataLookUp!$B$4:$D$1000, 2, FALSE)))</f>
        <v/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8"/>
  <sheetViews>
    <sheetView workbookViewId="0">
      <selection activeCell="B33" sqref="B33"/>
    </sheetView>
  </sheetViews>
  <sheetFormatPr defaultRowHeight="15" x14ac:dyDescent="0.25"/>
  <cols>
    <col min="2" max="2" width="34.28515625" bestFit="1" customWidth="1"/>
    <col min="3" max="3" width="17.28515625" bestFit="1" customWidth="1"/>
    <col min="4" max="4" width="24.85546875" bestFit="1" customWidth="1"/>
    <col min="5" max="5" width="25.140625" bestFit="1" customWidth="1"/>
    <col min="6" max="6" width="48.85546875" bestFit="1" customWidth="1"/>
    <col min="7" max="7" width="9" bestFit="1" customWidth="1"/>
    <col min="8" max="8" width="12.7109375" bestFit="1" customWidth="1"/>
    <col min="9" max="9" width="48.28515625" bestFit="1" customWidth="1"/>
  </cols>
  <sheetData>
    <row r="2" spans="2:9" x14ac:dyDescent="0.25"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370</v>
      </c>
    </row>
    <row r="3" spans="2:9" x14ac:dyDescent="0.25">
      <c r="B3" s="1" t="s">
        <v>197</v>
      </c>
      <c r="C3" t="s">
        <v>147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211</v>
      </c>
    </row>
    <row r="4" spans="2:9" x14ac:dyDescent="0.25">
      <c r="B4" s="1" t="s">
        <v>197</v>
      </c>
      <c r="C4" t="s">
        <v>335</v>
      </c>
      <c r="D4" t="s">
        <v>209</v>
      </c>
      <c r="E4" t="s">
        <v>336</v>
      </c>
      <c r="F4" t="s">
        <v>296</v>
      </c>
      <c r="G4" t="s">
        <v>219</v>
      </c>
      <c r="H4" t="s">
        <v>220</v>
      </c>
      <c r="I4" t="s">
        <v>373</v>
      </c>
    </row>
    <row r="5" spans="2:9" x14ac:dyDescent="0.25">
      <c r="B5" s="1" t="s">
        <v>197</v>
      </c>
      <c r="C5" t="s">
        <v>379</v>
      </c>
      <c r="D5" t="s">
        <v>209</v>
      </c>
      <c r="E5" t="s">
        <v>217</v>
      </c>
      <c r="F5" t="s">
        <v>296</v>
      </c>
      <c r="G5" t="s">
        <v>219</v>
      </c>
      <c r="H5" t="s">
        <v>220</v>
      </c>
      <c r="I5" t="s">
        <v>380</v>
      </c>
    </row>
    <row r="6" spans="2:9" x14ac:dyDescent="0.25">
      <c r="B6" s="1" t="s">
        <v>197</v>
      </c>
      <c r="C6" t="s">
        <v>212</v>
      </c>
      <c r="D6" t="s">
        <v>257</v>
      </c>
      <c r="E6" t="s">
        <v>258</v>
      </c>
      <c r="F6" t="s">
        <v>259</v>
      </c>
      <c r="G6" t="s">
        <v>219</v>
      </c>
      <c r="H6" t="s">
        <v>220</v>
      </c>
      <c r="I6" t="s">
        <v>374</v>
      </c>
    </row>
    <row r="7" spans="2:9" x14ac:dyDescent="0.25">
      <c r="B7" s="1" t="s">
        <v>197</v>
      </c>
      <c r="C7" t="s">
        <v>214</v>
      </c>
      <c r="D7" t="s">
        <v>260</v>
      </c>
      <c r="E7" t="s">
        <v>258</v>
      </c>
      <c r="F7" t="s">
        <v>259</v>
      </c>
      <c r="G7" t="s">
        <v>219</v>
      </c>
      <c r="H7" t="s">
        <v>220</v>
      </c>
      <c r="I7" t="s">
        <v>374</v>
      </c>
    </row>
    <row r="8" spans="2:9" x14ac:dyDescent="0.25">
      <c r="B8" s="1" t="s">
        <v>357</v>
      </c>
      <c r="C8" t="s">
        <v>303</v>
      </c>
      <c r="D8" t="s">
        <v>286</v>
      </c>
      <c r="E8" t="s">
        <v>226</v>
      </c>
      <c r="F8" t="s">
        <v>304</v>
      </c>
      <c r="G8" t="s">
        <v>219</v>
      </c>
      <c r="H8" t="s">
        <v>220</v>
      </c>
      <c r="I8" t="s">
        <v>211</v>
      </c>
    </row>
    <row r="9" spans="2:9" x14ac:dyDescent="0.25">
      <c r="B9" s="1" t="s">
        <v>357</v>
      </c>
      <c r="C9" t="s">
        <v>248</v>
      </c>
      <c r="D9" t="s">
        <v>222</v>
      </c>
      <c r="E9" t="s">
        <v>226</v>
      </c>
      <c r="F9" t="s">
        <v>249</v>
      </c>
      <c r="G9" t="s">
        <v>219</v>
      </c>
      <c r="H9" t="s">
        <v>220</v>
      </c>
      <c r="I9" t="s">
        <v>211</v>
      </c>
    </row>
    <row r="10" spans="2:9" x14ac:dyDescent="0.25">
      <c r="B10" s="1" t="s">
        <v>357</v>
      </c>
      <c r="C10" t="s">
        <v>266</v>
      </c>
      <c r="D10" t="s">
        <v>239</v>
      </c>
      <c r="E10" t="s">
        <v>226</v>
      </c>
      <c r="F10" t="s">
        <v>249</v>
      </c>
      <c r="G10" t="s">
        <v>219</v>
      </c>
      <c r="H10" t="s">
        <v>220</v>
      </c>
      <c r="I10" t="s">
        <v>211</v>
      </c>
    </row>
    <row r="11" spans="2:9" x14ac:dyDescent="0.25">
      <c r="B11" s="1" t="s">
        <v>357</v>
      </c>
      <c r="C11" t="s">
        <v>323</v>
      </c>
      <c r="D11" t="s">
        <v>209</v>
      </c>
      <c r="E11" t="s">
        <v>226</v>
      </c>
      <c r="F11" t="s">
        <v>324</v>
      </c>
      <c r="G11" t="s">
        <v>219</v>
      </c>
      <c r="H11" t="s">
        <v>220</v>
      </c>
      <c r="I11" t="s">
        <v>373</v>
      </c>
    </row>
    <row r="12" spans="2:9" x14ac:dyDescent="0.25">
      <c r="B12" s="1" t="s">
        <v>353</v>
      </c>
      <c r="C12" t="s">
        <v>245</v>
      </c>
      <c r="D12" t="s">
        <v>246</v>
      </c>
      <c r="E12" t="s">
        <v>226</v>
      </c>
      <c r="F12" t="s">
        <v>247</v>
      </c>
      <c r="G12" t="s">
        <v>219</v>
      </c>
      <c r="H12" t="s">
        <v>220</v>
      </c>
      <c r="I12" t="s">
        <v>211</v>
      </c>
    </row>
    <row r="13" spans="2:9" x14ac:dyDescent="0.25">
      <c r="B13" s="1" t="s">
        <v>353</v>
      </c>
      <c r="C13" t="s">
        <v>294</v>
      </c>
      <c r="D13" t="s">
        <v>209</v>
      </c>
      <c r="E13" t="s">
        <v>226</v>
      </c>
      <c r="F13" t="s">
        <v>295</v>
      </c>
      <c r="G13" t="s">
        <v>230</v>
      </c>
      <c r="H13" t="s">
        <v>220</v>
      </c>
      <c r="I13" t="s">
        <v>211</v>
      </c>
    </row>
    <row r="14" spans="2:9" x14ac:dyDescent="0.25">
      <c r="B14" s="1" t="s">
        <v>351</v>
      </c>
      <c r="C14" t="s">
        <v>273</v>
      </c>
      <c r="D14" t="s">
        <v>209</v>
      </c>
      <c r="E14" t="s">
        <v>274</v>
      </c>
      <c r="F14" t="s">
        <v>275</v>
      </c>
      <c r="G14" t="s">
        <v>219</v>
      </c>
      <c r="H14" t="s">
        <v>220</v>
      </c>
      <c r="I14" t="s">
        <v>375</v>
      </c>
    </row>
    <row r="15" spans="2:9" x14ac:dyDescent="0.25">
      <c r="B15" s="1" t="s">
        <v>351</v>
      </c>
      <c r="C15" t="s">
        <v>288</v>
      </c>
      <c r="D15" t="s">
        <v>289</v>
      </c>
      <c r="E15" t="s">
        <v>290</v>
      </c>
      <c r="F15" t="s">
        <v>275</v>
      </c>
      <c r="G15" t="s">
        <v>219</v>
      </c>
      <c r="H15" t="s">
        <v>220</v>
      </c>
      <c r="I15" t="s">
        <v>378</v>
      </c>
    </row>
    <row r="16" spans="2:9" x14ac:dyDescent="0.25">
      <c r="B16" s="1" t="s">
        <v>351</v>
      </c>
      <c r="C16" t="s">
        <v>267</v>
      </c>
      <c r="D16" t="s">
        <v>177</v>
      </c>
      <c r="E16" t="s">
        <v>268</v>
      </c>
      <c r="F16" t="s">
        <v>268</v>
      </c>
      <c r="G16" t="s">
        <v>219</v>
      </c>
      <c r="H16" t="s">
        <v>220</v>
      </c>
      <c r="I16" t="s">
        <v>268</v>
      </c>
    </row>
    <row r="17" spans="2:9" x14ac:dyDescent="0.25">
      <c r="B17" s="1" t="s">
        <v>198</v>
      </c>
      <c r="C17" t="s">
        <v>297</v>
      </c>
      <c r="D17" t="s">
        <v>286</v>
      </c>
      <c r="E17" t="s">
        <v>298</v>
      </c>
      <c r="F17" t="s">
        <v>299</v>
      </c>
      <c r="G17" t="s">
        <v>219</v>
      </c>
      <c r="H17" t="s">
        <v>220</v>
      </c>
      <c r="I17" t="s">
        <v>373</v>
      </c>
    </row>
    <row r="18" spans="2:9" x14ac:dyDescent="0.25">
      <c r="B18" s="1" t="s">
        <v>198</v>
      </c>
      <c r="C18" t="s">
        <v>329</v>
      </c>
      <c r="D18" t="s">
        <v>209</v>
      </c>
      <c r="E18" t="s">
        <v>330</v>
      </c>
      <c r="F18" t="s">
        <v>331</v>
      </c>
      <c r="G18" t="s">
        <v>219</v>
      </c>
      <c r="H18" t="s">
        <v>220</v>
      </c>
      <c r="I18" t="s">
        <v>373</v>
      </c>
    </row>
    <row r="19" spans="2:9" x14ac:dyDescent="0.25">
      <c r="B19" s="1" t="s">
        <v>352</v>
      </c>
      <c r="C19" t="s">
        <v>382</v>
      </c>
      <c r="D19" t="s">
        <v>209</v>
      </c>
      <c r="E19" t="s">
        <v>292</v>
      </c>
      <c r="F19" t="s">
        <v>383</v>
      </c>
      <c r="G19" t="s">
        <v>219</v>
      </c>
      <c r="H19" t="s">
        <v>220</v>
      </c>
      <c r="I19" t="s">
        <v>373</v>
      </c>
    </row>
    <row r="20" spans="2:9" x14ac:dyDescent="0.25">
      <c r="B20" s="1" t="s">
        <v>352</v>
      </c>
      <c r="C20" t="s">
        <v>282</v>
      </c>
      <c r="D20" t="s">
        <v>209</v>
      </c>
      <c r="E20" t="s">
        <v>283</v>
      </c>
      <c r="F20" t="s">
        <v>284</v>
      </c>
      <c r="G20" t="s">
        <v>219</v>
      </c>
      <c r="H20" t="s">
        <v>220</v>
      </c>
      <c r="I20" t="s">
        <v>211</v>
      </c>
    </row>
    <row r="21" spans="2:9" x14ac:dyDescent="0.25">
      <c r="B21" s="1" t="s">
        <v>352</v>
      </c>
      <c r="C21" t="s">
        <v>285</v>
      </c>
      <c r="D21" t="s">
        <v>286</v>
      </c>
      <c r="E21" t="s">
        <v>280</v>
      </c>
      <c r="F21" t="s">
        <v>287</v>
      </c>
      <c r="G21" t="s">
        <v>219</v>
      </c>
      <c r="H21" t="s">
        <v>220</v>
      </c>
      <c r="I21" t="s">
        <v>377</v>
      </c>
    </row>
    <row r="22" spans="2:9" x14ac:dyDescent="0.25">
      <c r="B22" s="1" t="s">
        <v>352</v>
      </c>
      <c r="C22" t="s">
        <v>279</v>
      </c>
      <c r="D22" t="s">
        <v>209</v>
      </c>
      <c r="E22" t="s">
        <v>280</v>
      </c>
      <c r="F22" t="s">
        <v>281</v>
      </c>
      <c r="G22" t="s">
        <v>219</v>
      </c>
      <c r="H22" t="s">
        <v>220</v>
      </c>
      <c r="I22" t="s">
        <v>377</v>
      </c>
    </row>
    <row r="23" spans="2:9" x14ac:dyDescent="0.25">
      <c r="B23" s="1" t="s">
        <v>352</v>
      </c>
      <c r="C23" t="s">
        <v>300</v>
      </c>
      <c r="D23" t="s">
        <v>209</v>
      </c>
      <c r="E23" t="s">
        <v>301</v>
      </c>
      <c r="F23" t="s">
        <v>302</v>
      </c>
      <c r="G23" t="s">
        <v>219</v>
      </c>
      <c r="H23" t="s">
        <v>220</v>
      </c>
      <c r="I23" t="s">
        <v>211</v>
      </c>
    </row>
    <row r="24" spans="2:9" x14ac:dyDescent="0.25">
      <c r="B24" s="1" t="s">
        <v>354</v>
      </c>
      <c r="C24" t="s">
        <v>325</v>
      </c>
      <c r="D24" t="s">
        <v>209</v>
      </c>
      <c r="E24" t="s">
        <v>321</v>
      </c>
      <c r="F24" t="s">
        <v>326</v>
      </c>
      <c r="G24" t="s">
        <v>219</v>
      </c>
      <c r="H24" t="s">
        <v>220</v>
      </c>
      <c r="I24" t="s">
        <v>381</v>
      </c>
    </row>
    <row r="25" spans="2:9" x14ac:dyDescent="0.25">
      <c r="B25" s="1" t="s">
        <v>350</v>
      </c>
      <c r="C25" t="s">
        <v>264</v>
      </c>
      <c r="D25" t="s">
        <v>209</v>
      </c>
      <c r="E25" t="s">
        <v>255</v>
      </c>
      <c r="F25" t="s">
        <v>265</v>
      </c>
      <c r="G25" t="s">
        <v>219</v>
      </c>
      <c r="H25" t="s">
        <v>220</v>
      </c>
      <c r="I25" t="s">
        <v>211</v>
      </c>
    </row>
    <row r="26" spans="2:9" x14ac:dyDescent="0.25">
      <c r="B26" s="1" t="s">
        <v>359</v>
      </c>
      <c r="C26" t="s">
        <v>311</v>
      </c>
      <c r="D26" t="s">
        <v>209</v>
      </c>
      <c r="E26" t="s">
        <v>312</v>
      </c>
      <c r="F26" t="s">
        <v>313</v>
      </c>
      <c r="G26" t="s">
        <v>219</v>
      </c>
      <c r="H26" t="s">
        <v>220</v>
      </c>
      <c r="I26" t="s">
        <v>373</v>
      </c>
    </row>
    <row r="27" spans="2:9" x14ac:dyDescent="0.25">
      <c r="B27" s="1" t="s">
        <v>349</v>
      </c>
      <c r="C27" t="s">
        <v>337</v>
      </c>
      <c r="D27" t="s">
        <v>209</v>
      </c>
      <c r="E27" t="s">
        <v>338</v>
      </c>
      <c r="F27" t="s">
        <v>339</v>
      </c>
      <c r="G27" t="s">
        <v>219</v>
      </c>
      <c r="H27" t="s">
        <v>220</v>
      </c>
      <c r="I27" t="s">
        <v>381</v>
      </c>
    </row>
    <row r="28" spans="2:9" x14ac:dyDescent="0.25">
      <c r="B28" s="1" t="s">
        <v>349</v>
      </c>
      <c r="C28" t="s">
        <v>291</v>
      </c>
      <c r="D28" t="s">
        <v>286</v>
      </c>
      <c r="E28" t="s">
        <v>292</v>
      </c>
      <c r="F28" t="s">
        <v>293</v>
      </c>
      <c r="G28" t="s">
        <v>219</v>
      </c>
      <c r="H28" t="s">
        <v>220</v>
      </c>
      <c r="I28" t="s">
        <v>292</v>
      </c>
    </row>
    <row r="29" spans="2:9" x14ac:dyDescent="0.25">
      <c r="B29" s="1" t="s">
        <v>349</v>
      </c>
      <c r="C29" t="s">
        <v>276</v>
      </c>
      <c r="D29" t="s">
        <v>209</v>
      </c>
      <c r="E29" t="s">
        <v>277</v>
      </c>
      <c r="F29" t="s">
        <v>278</v>
      </c>
      <c r="G29" t="s">
        <v>219</v>
      </c>
      <c r="H29" t="s">
        <v>220</v>
      </c>
      <c r="I29" t="s">
        <v>376</v>
      </c>
    </row>
    <row r="30" spans="2:9" x14ac:dyDescent="0.25">
      <c r="B30" s="1" t="s">
        <v>355</v>
      </c>
      <c r="C30" t="s">
        <v>254</v>
      </c>
      <c r="D30" t="s">
        <v>239</v>
      </c>
      <c r="E30" t="s">
        <v>255</v>
      </c>
      <c r="F30" t="s">
        <v>256</v>
      </c>
      <c r="G30" t="s">
        <v>219</v>
      </c>
      <c r="H30" t="s">
        <v>220</v>
      </c>
      <c r="I30" t="s">
        <v>373</v>
      </c>
    </row>
    <row r="31" spans="2:9" x14ac:dyDescent="0.25">
      <c r="B31" s="1" t="s">
        <v>163</v>
      </c>
      <c r="C31" t="s">
        <v>221</v>
      </c>
      <c r="D31" t="s">
        <v>222</v>
      </c>
      <c r="E31" t="s">
        <v>223</v>
      </c>
      <c r="F31" t="s">
        <v>224</v>
      </c>
      <c r="G31" t="s">
        <v>219</v>
      </c>
      <c r="H31" t="s">
        <v>220</v>
      </c>
      <c r="I31" t="s">
        <v>371</v>
      </c>
    </row>
    <row r="32" spans="2:9" x14ac:dyDescent="0.25">
      <c r="B32" s="1" t="s">
        <v>163</v>
      </c>
      <c r="C32" t="s">
        <v>228</v>
      </c>
      <c r="D32" t="s">
        <v>222</v>
      </c>
      <c r="E32" t="s">
        <v>229</v>
      </c>
      <c r="F32" t="s">
        <v>224</v>
      </c>
      <c r="G32" t="s">
        <v>230</v>
      </c>
      <c r="H32" t="s">
        <v>220</v>
      </c>
      <c r="I32" t="s">
        <v>371</v>
      </c>
    </row>
    <row r="33" spans="2:9" x14ac:dyDescent="0.25">
      <c r="B33" s="1" t="s">
        <v>163</v>
      </c>
      <c r="C33" t="s">
        <v>232</v>
      </c>
      <c r="D33" t="s">
        <v>209</v>
      </c>
      <c r="E33" t="s">
        <v>229</v>
      </c>
      <c r="F33" t="s">
        <v>224</v>
      </c>
      <c r="G33" t="s">
        <v>219</v>
      </c>
      <c r="H33" t="s">
        <v>220</v>
      </c>
      <c r="I33" t="s">
        <v>211</v>
      </c>
    </row>
    <row r="34" spans="2:9" x14ac:dyDescent="0.25">
      <c r="B34" s="1" t="s">
        <v>163</v>
      </c>
      <c r="C34" t="s">
        <v>231</v>
      </c>
      <c r="D34" t="s">
        <v>209</v>
      </c>
      <c r="E34" t="s">
        <v>229</v>
      </c>
      <c r="F34" t="s">
        <v>224</v>
      </c>
      <c r="G34" t="s">
        <v>230</v>
      </c>
      <c r="H34" t="s">
        <v>220</v>
      </c>
      <c r="I34" t="s">
        <v>211</v>
      </c>
    </row>
    <row r="35" spans="2:9" x14ac:dyDescent="0.25">
      <c r="B35" s="1" t="s">
        <v>199</v>
      </c>
      <c r="C35" t="s">
        <v>269</v>
      </c>
      <c r="D35" t="s">
        <v>178</v>
      </c>
      <c r="E35" t="s">
        <v>268</v>
      </c>
      <c r="F35" t="s">
        <v>268</v>
      </c>
      <c r="G35" t="s">
        <v>219</v>
      </c>
      <c r="H35" t="s">
        <v>220</v>
      </c>
      <c r="I35" t="s">
        <v>268</v>
      </c>
    </row>
    <row r="36" spans="2:9" x14ac:dyDescent="0.25">
      <c r="B36" s="1" t="s">
        <v>199</v>
      </c>
      <c r="C36" t="s">
        <v>238</v>
      </c>
      <c r="D36" t="s">
        <v>239</v>
      </c>
      <c r="E36" t="s">
        <v>240</v>
      </c>
      <c r="F36" t="s">
        <v>241</v>
      </c>
      <c r="G36" t="s">
        <v>219</v>
      </c>
      <c r="H36" t="s">
        <v>220</v>
      </c>
      <c r="I36" t="s">
        <v>373</v>
      </c>
    </row>
    <row r="37" spans="2:9" x14ac:dyDescent="0.25">
      <c r="B37" s="1" t="s">
        <v>199</v>
      </c>
      <c r="C37" t="s">
        <v>270</v>
      </c>
      <c r="D37" t="s">
        <v>209</v>
      </c>
      <c r="E37" t="s">
        <v>271</v>
      </c>
      <c r="F37" t="s">
        <v>272</v>
      </c>
      <c r="G37" t="s">
        <v>219</v>
      </c>
      <c r="H37" t="s">
        <v>220</v>
      </c>
      <c r="I37" t="s">
        <v>373</v>
      </c>
    </row>
    <row r="38" spans="2:9" x14ac:dyDescent="0.25">
      <c r="B38" s="1" t="s">
        <v>199</v>
      </c>
      <c r="C38" t="s">
        <v>309</v>
      </c>
      <c r="D38" t="s">
        <v>209</v>
      </c>
      <c r="E38" t="s">
        <v>271</v>
      </c>
      <c r="F38" t="s">
        <v>310</v>
      </c>
      <c r="G38" t="s">
        <v>219</v>
      </c>
      <c r="H38" t="s">
        <v>220</v>
      </c>
      <c r="I38" t="s">
        <v>373</v>
      </c>
    </row>
    <row r="39" spans="2:9" x14ac:dyDescent="0.25">
      <c r="B39" s="1" t="s">
        <v>199</v>
      </c>
      <c r="C39" t="s">
        <v>314</v>
      </c>
      <c r="D39" t="s">
        <v>209</v>
      </c>
      <c r="E39" t="s">
        <v>271</v>
      </c>
      <c r="F39" t="s">
        <v>272</v>
      </c>
      <c r="G39" t="s">
        <v>219</v>
      </c>
      <c r="H39" t="s">
        <v>220</v>
      </c>
      <c r="I39" t="s">
        <v>373</v>
      </c>
    </row>
    <row r="40" spans="2:9" x14ac:dyDescent="0.25">
      <c r="B40" s="1" t="s">
        <v>199</v>
      </c>
      <c r="C40" t="s">
        <v>315</v>
      </c>
      <c r="D40" t="s">
        <v>209</v>
      </c>
      <c r="E40" t="s">
        <v>271</v>
      </c>
      <c r="F40" t="s">
        <v>272</v>
      </c>
      <c r="G40" t="s">
        <v>219</v>
      </c>
      <c r="H40" t="s">
        <v>220</v>
      </c>
      <c r="I40" t="s">
        <v>373</v>
      </c>
    </row>
    <row r="41" spans="2:9" x14ac:dyDescent="0.25">
      <c r="B41" s="1" t="s">
        <v>199</v>
      </c>
      <c r="C41" t="s">
        <v>316</v>
      </c>
      <c r="D41" t="s">
        <v>209</v>
      </c>
      <c r="E41" t="s">
        <v>271</v>
      </c>
      <c r="F41" t="s">
        <v>272</v>
      </c>
      <c r="G41" t="s">
        <v>219</v>
      </c>
      <c r="H41" t="s">
        <v>220</v>
      </c>
      <c r="I41" t="s">
        <v>373</v>
      </c>
    </row>
    <row r="42" spans="2:9" x14ac:dyDescent="0.25">
      <c r="B42" s="1" t="s">
        <v>199</v>
      </c>
      <c r="C42" t="s">
        <v>317</v>
      </c>
      <c r="D42" t="s">
        <v>209</v>
      </c>
      <c r="E42" t="s">
        <v>271</v>
      </c>
      <c r="F42" t="s">
        <v>318</v>
      </c>
      <c r="G42" t="s">
        <v>219</v>
      </c>
      <c r="H42" t="s">
        <v>220</v>
      </c>
      <c r="I42" t="s">
        <v>373</v>
      </c>
    </row>
    <row r="43" spans="2:9" x14ac:dyDescent="0.25">
      <c r="B43" s="1" t="s">
        <v>199</v>
      </c>
      <c r="C43" t="s">
        <v>306</v>
      </c>
      <c r="D43" t="s">
        <v>209</v>
      </c>
      <c r="E43" t="s">
        <v>307</v>
      </c>
      <c r="F43" t="s">
        <v>308</v>
      </c>
      <c r="G43" t="s">
        <v>219</v>
      </c>
      <c r="H43" t="s">
        <v>220</v>
      </c>
      <c r="I43" t="s">
        <v>373</v>
      </c>
    </row>
    <row r="44" spans="2:9" x14ac:dyDescent="0.25">
      <c r="B44" s="1" t="s">
        <v>199</v>
      </c>
      <c r="C44" t="s">
        <v>384</v>
      </c>
      <c r="D44" t="s">
        <v>209</v>
      </c>
      <c r="E44" t="s">
        <v>307</v>
      </c>
      <c r="F44" t="s">
        <v>385</v>
      </c>
      <c r="G44" t="s">
        <v>219</v>
      </c>
      <c r="H44" t="s">
        <v>220</v>
      </c>
      <c r="I44" t="s">
        <v>373</v>
      </c>
    </row>
    <row r="45" spans="2:9" x14ac:dyDescent="0.25">
      <c r="B45" s="1" t="s">
        <v>199</v>
      </c>
      <c r="C45" t="s">
        <v>386</v>
      </c>
      <c r="D45" t="s">
        <v>209</v>
      </c>
      <c r="E45" t="s">
        <v>307</v>
      </c>
      <c r="F45" t="s">
        <v>385</v>
      </c>
      <c r="G45" t="s">
        <v>219</v>
      </c>
      <c r="H45" t="s">
        <v>220</v>
      </c>
      <c r="I45" t="s">
        <v>373</v>
      </c>
    </row>
    <row r="46" spans="2:9" x14ac:dyDescent="0.25">
      <c r="B46" s="1" t="s">
        <v>199</v>
      </c>
      <c r="C46" t="s">
        <v>319</v>
      </c>
      <c r="D46" t="s">
        <v>320</v>
      </c>
      <c r="E46" t="s">
        <v>321</v>
      </c>
      <c r="F46" t="s">
        <v>322</v>
      </c>
      <c r="G46" t="s">
        <v>219</v>
      </c>
      <c r="H46" t="s">
        <v>220</v>
      </c>
      <c r="I46" t="s">
        <v>376</v>
      </c>
    </row>
    <row r="47" spans="2:9" x14ac:dyDescent="0.25">
      <c r="B47" s="1" t="s">
        <v>199</v>
      </c>
      <c r="C47" t="s">
        <v>327</v>
      </c>
      <c r="D47" t="s">
        <v>209</v>
      </c>
      <c r="E47" t="s">
        <v>321</v>
      </c>
      <c r="F47" t="s">
        <v>328</v>
      </c>
      <c r="G47" t="s">
        <v>219</v>
      </c>
      <c r="H47" t="s">
        <v>220</v>
      </c>
      <c r="I47" t="s">
        <v>376</v>
      </c>
    </row>
    <row r="48" spans="2:9" x14ac:dyDescent="0.25">
      <c r="B48" s="1" t="s">
        <v>199</v>
      </c>
      <c r="C48" t="s">
        <v>242</v>
      </c>
      <c r="D48" t="s">
        <v>239</v>
      </c>
      <c r="E48" t="s">
        <v>243</v>
      </c>
      <c r="F48" t="s">
        <v>244</v>
      </c>
      <c r="G48" t="s">
        <v>219</v>
      </c>
      <c r="H48" t="s">
        <v>220</v>
      </c>
      <c r="I48" t="s">
        <v>292</v>
      </c>
    </row>
    <row r="49" spans="2:9" x14ac:dyDescent="0.25">
      <c r="B49" s="1" t="s">
        <v>199</v>
      </c>
      <c r="C49" t="s">
        <v>340</v>
      </c>
      <c r="D49" t="s">
        <v>209</v>
      </c>
      <c r="E49" t="s">
        <v>341</v>
      </c>
      <c r="F49" t="s">
        <v>342</v>
      </c>
      <c r="G49" t="s">
        <v>219</v>
      </c>
      <c r="H49" t="s">
        <v>220</v>
      </c>
      <c r="I49" t="s">
        <v>211</v>
      </c>
    </row>
    <row r="50" spans="2:9" x14ac:dyDescent="0.25">
      <c r="B50" s="1" t="s">
        <v>199</v>
      </c>
      <c r="C50" t="s">
        <v>343</v>
      </c>
      <c r="D50" t="s">
        <v>209</v>
      </c>
      <c r="E50" t="s">
        <v>341</v>
      </c>
      <c r="F50" t="s">
        <v>342</v>
      </c>
      <c r="G50" t="s">
        <v>219</v>
      </c>
      <c r="H50" t="s">
        <v>220</v>
      </c>
      <c r="I50" t="s">
        <v>373</v>
      </c>
    </row>
    <row r="51" spans="2:9" x14ac:dyDescent="0.25">
      <c r="B51" s="1" t="s">
        <v>348</v>
      </c>
      <c r="C51" t="s">
        <v>233</v>
      </c>
      <c r="D51" t="s">
        <v>209</v>
      </c>
      <c r="E51" t="s">
        <v>226</v>
      </c>
      <c r="F51" t="s">
        <v>227</v>
      </c>
      <c r="G51" t="s">
        <v>230</v>
      </c>
      <c r="H51" t="s">
        <v>220</v>
      </c>
      <c r="I51" t="s">
        <v>372</v>
      </c>
    </row>
    <row r="52" spans="2:9" x14ac:dyDescent="0.25">
      <c r="B52" s="1" t="s">
        <v>348</v>
      </c>
      <c r="C52" t="s">
        <v>234</v>
      </c>
      <c r="D52" t="s">
        <v>209</v>
      </c>
      <c r="E52" t="s">
        <v>226</v>
      </c>
      <c r="F52" t="s">
        <v>227</v>
      </c>
      <c r="G52" t="s">
        <v>230</v>
      </c>
      <c r="H52" t="s">
        <v>220</v>
      </c>
      <c r="I52" t="s">
        <v>372</v>
      </c>
    </row>
    <row r="53" spans="2:9" x14ac:dyDescent="0.25">
      <c r="B53" s="1" t="s">
        <v>348</v>
      </c>
      <c r="C53" t="s">
        <v>225</v>
      </c>
      <c r="D53" t="s">
        <v>222</v>
      </c>
      <c r="E53" t="s">
        <v>226</v>
      </c>
      <c r="F53" t="s">
        <v>227</v>
      </c>
      <c r="G53" t="s">
        <v>219</v>
      </c>
      <c r="H53" t="s">
        <v>220</v>
      </c>
      <c r="I53" t="s">
        <v>372</v>
      </c>
    </row>
    <row r="54" spans="2:9" x14ac:dyDescent="0.25">
      <c r="B54" s="1" t="s">
        <v>348</v>
      </c>
      <c r="C54" t="s">
        <v>235</v>
      </c>
      <c r="D54" t="s">
        <v>209</v>
      </c>
      <c r="E54" t="s">
        <v>226</v>
      </c>
      <c r="F54" t="s">
        <v>227</v>
      </c>
      <c r="G54" t="s">
        <v>219</v>
      </c>
      <c r="H54" t="s">
        <v>220</v>
      </c>
      <c r="I54" t="s">
        <v>372</v>
      </c>
    </row>
    <row r="55" spans="2:9" x14ac:dyDescent="0.25">
      <c r="B55" s="1" t="s">
        <v>347</v>
      </c>
      <c r="C55" t="s">
        <v>250</v>
      </c>
      <c r="D55" t="s">
        <v>251</v>
      </c>
      <c r="E55" t="s">
        <v>252</v>
      </c>
      <c r="F55" t="s">
        <v>253</v>
      </c>
      <c r="G55" t="s">
        <v>219</v>
      </c>
      <c r="H55" t="s">
        <v>220</v>
      </c>
      <c r="I55" t="s">
        <v>211</v>
      </c>
    </row>
    <row r="56" spans="2:9" x14ac:dyDescent="0.25">
      <c r="B56" s="1" t="s">
        <v>347</v>
      </c>
      <c r="C56" t="s">
        <v>344</v>
      </c>
      <c r="D56" t="s">
        <v>209</v>
      </c>
      <c r="E56" t="s">
        <v>345</v>
      </c>
      <c r="F56" t="s">
        <v>346</v>
      </c>
      <c r="G56" t="s">
        <v>219</v>
      </c>
      <c r="H56" t="s">
        <v>220</v>
      </c>
      <c r="I56" t="s">
        <v>373</v>
      </c>
    </row>
    <row r="57" spans="2:9" x14ac:dyDescent="0.25">
      <c r="B57" s="1" t="s">
        <v>347</v>
      </c>
      <c r="C57" t="s">
        <v>332</v>
      </c>
      <c r="D57" t="s">
        <v>209</v>
      </c>
      <c r="E57" t="s">
        <v>333</v>
      </c>
      <c r="F57" t="s">
        <v>334</v>
      </c>
      <c r="G57" t="s">
        <v>219</v>
      </c>
      <c r="H57" t="s">
        <v>220</v>
      </c>
      <c r="I57" t="s">
        <v>373</v>
      </c>
    </row>
    <row r="58" spans="2:9" x14ac:dyDescent="0.25">
      <c r="B58" s="1" t="s">
        <v>356</v>
      </c>
      <c r="C58" t="s">
        <v>261</v>
      </c>
      <c r="D58" t="s">
        <v>209</v>
      </c>
      <c r="E58" t="s">
        <v>262</v>
      </c>
      <c r="F58" t="s">
        <v>263</v>
      </c>
      <c r="G58" t="s">
        <v>219</v>
      </c>
      <c r="H58" t="s">
        <v>220</v>
      </c>
      <c r="I58" t="s">
        <v>263</v>
      </c>
    </row>
  </sheetData>
  <sortState ref="B3:I61">
    <sortCondition ref="B3:B61"/>
    <sortCondition ref="C3:C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2"/>
  <sheetViews>
    <sheetView topLeftCell="A52" workbookViewId="0">
      <selection activeCell="E6" sqref="E6"/>
    </sheetView>
  </sheetViews>
  <sheetFormatPr defaultRowHeight="15" x14ac:dyDescent="0.25"/>
  <cols>
    <col min="2" max="2" width="29.140625" bestFit="1" customWidth="1"/>
    <col min="3" max="3" width="17.28515625" style="5" bestFit="1" customWidth="1"/>
    <col min="4" max="4" width="29.140625" hidden="1" customWidth="1"/>
    <col min="5" max="6" width="24.85546875" bestFit="1" customWidth="1"/>
    <col min="7" max="7" width="25.140625" bestFit="1" customWidth="1"/>
    <col min="8" max="8" width="48.85546875" bestFit="1" customWidth="1"/>
    <col min="9" max="9" width="9" bestFit="1" customWidth="1"/>
    <col min="10" max="10" width="12.7109375" bestFit="1" customWidth="1"/>
  </cols>
  <sheetData>
    <row r="1" spans="2:10" x14ac:dyDescent="0.25">
      <c r="B1" t="s">
        <v>363</v>
      </c>
    </row>
    <row r="2" spans="2:10" x14ac:dyDescent="0.25">
      <c r="B2" t="s">
        <v>361</v>
      </c>
      <c r="C2" s="5" t="s">
        <v>203</v>
      </c>
      <c r="E2" t="s">
        <v>202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</row>
    <row r="3" spans="2:10" x14ac:dyDescent="0.25">
      <c r="B3" s="1" t="s">
        <v>197</v>
      </c>
      <c r="C3" s="5" t="s">
        <v>147</v>
      </c>
      <c r="D3" s="1"/>
      <c r="E3" t="s">
        <v>75</v>
      </c>
      <c r="F3" t="s">
        <v>209</v>
      </c>
      <c r="G3" t="s">
        <v>210</v>
      </c>
      <c r="H3" t="s">
        <v>210</v>
      </c>
      <c r="I3" t="s">
        <v>210</v>
      </c>
      <c r="J3" t="s">
        <v>211</v>
      </c>
    </row>
    <row r="4" spans="2:10" x14ac:dyDescent="0.25">
      <c r="B4" s="1" t="s">
        <v>197</v>
      </c>
      <c r="C4" s="5" t="s">
        <v>212</v>
      </c>
      <c r="D4" s="1"/>
      <c r="E4" t="s">
        <v>75</v>
      </c>
      <c r="F4" t="s">
        <v>209</v>
      </c>
      <c r="G4" t="s">
        <v>210</v>
      </c>
      <c r="H4" t="s">
        <v>210</v>
      </c>
      <c r="I4" t="s">
        <v>210</v>
      </c>
      <c r="J4" t="s">
        <v>213</v>
      </c>
    </row>
    <row r="5" spans="2:10" x14ac:dyDescent="0.25">
      <c r="B5" s="1" t="s">
        <v>197</v>
      </c>
      <c r="C5" s="5" t="s">
        <v>214</v>
      </c>
      <c r="D5" s="1"/>
      <c r="E5" t="s">
        <v>75</v>
      </c>
      <c r="F5" t="s">
        <v>209</v>
      </c>
      <c r="G5" t="s">
        <v>210</v>
      </c>
      <c r="H5" t="s">
        <v>210</v>
      </c>
      <c r="I5" t="s">
        <v>210</v>
      </c>
      <c r="J5" t="s">
        <v>215</v>
      </c>
    </row>
    <row r="6" spans="2:10" x14ac:dyDescent="0.25">
      <c r="B6" s="1" t="s">
        <v>197</v>
      </c>
      <c r="C6" s="5" t="s">
        <v>147</v>
      </c>
      <c r="D6" s="1"/>
      <c r="E6" t="s">
        <v>75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2:10" x14ac:dyDescent="0.25">
      <c r="B7" s="1" t="s">
        <v>197</v>
      </c>
      <c r="C7" s="5" t="s">
        <v>212</v>
      </c>
      <c r="D7" s="1"/>
      <c r="E7" t="s">
        <v>172</v>
      </c>
      <c r="F7" t="s">
        <v>257</v>
      </c>
      <c r="G7" t="s">
        <v>258</v>
      </c>
      <c r="H7" t="s">
        <v>259</v>
      </c>
      <c r="I7" t="s">
        <v>219</v>
      </c>
      <c r="J7" t="s">
        <v>220</v>
      </c>
    </row>
    <row r="8" spans="2:10" x14ac:dyDescent="0.25">
      <c r="B8" s="1" t="s">
        <v>197</v>
      </c>
      <c r="C8" s="5" t="s">
        <v>214</v>
      </c>
      <c r="D8" s="1"/>
      <c r="E8" t="s">
        <v>173</v>
      </c>
      <c r="F8" t="s">
        <v>260</v>
      </c>
      <c r="G8" t="s">
        <v>258</v>
      </c>
      <c r="H8" t="s">
        <v>259</v>
      </c>
      <c r="I8" t="s">
        <v>219</v>
      </c>
      <c r="J8" t="s">
        <v>220</v>
      </c>
    </row>
    <row r="9" spans="2:10" x14ac:dyDescent="0.25">
      <c r="B9" s="1" t="s">
        <v>197</v>
      </c>
      <c r="C9" s="5" t="s">
        <v>362</v>
      </c>
      <c r="D9" s="1"/>
      <c r="E9" t="s">
        <v>75</v>
      </c>
      <c r="F9" t="s">
        <v>209</v>
      </c>
      <c r="G9" t="s">
        <v>217</v>
      </c>
      <c r="H9" t="s">
        <v>296</v>
      </c>
      <c r="I9" t="s">
        <v>219</v>
      </c>
      <c r="J9" t="s">
        <v>220</v>
      </c>
    </row>
    <row r="10" spans="2:10" x14ac:dyDescent="0.25">
      <c r="B10" s="1" t="s">
        <v>197</v>
      </c>
      <c r="C10" s="5" t="s">
        <v>335</v>
      </c>
      <c r="D10" s="1"/>
      <c r="E10" t="s">
        <v>192</v>
      </c>
      <c r="F10" t="s">
        <v>209</v>
      </c>
      <c r="G10" t="s">
        <v>336</v>
      </c>
      <c r="H10" t="s">
        <v>296</v>
      </c>
      <c r="I10" t="s">
        <v>219</v>
      </c>
      <c r="J10" t="s">
        <v>220</v>
      </c>
    </row>
    <row r="11" spans="2:10" x14ac:dyDescent="0.25">
      <c r="B11" s="1" t="s">
        <v>357</v>
      </c>
      <c r="C11" s="5" t="s">
        <v>248</v>
      </c>
      <c r="D11" s="1"/>
      <c r="E11" t="s">
        <v>169</v>
      </c>
      <c r="F11" t="s">
        <v>222</v>
      </c>
      <c r="G11" t="s">
        <v>226</v>
      </c>
      <c r="H11" t="s">
        <v>249</v>
      </c>
      <c r="I11" t="s">
        <v>219</v>
      </c>
      <c r="J11" t="s">
        <v>220</v>
      </c>
    </row>
    <row r="12" spans="2:10" x14ac:dyDescent="0.25">
      <c r="B12" s="1" t="s">
        <v>357</v>
      </c>
      <c r="C12" s="5" t="s">
        <v>266</v>
      </c>
      <c r="D12" s="1"/>
      <c r="E12" t="s">
        <v>176</v>
      </c>
      <c r="F12" t="s">
        <v>239</v>
      </c>
      <c r="G12" t="s">
        <v>226</v>
      </c>
      <c r="H12" t="s">
        <v>249</v>
      </c>
      <c r="I12" t="s">
        <v>219</v>
      </c>
      <c r="J12" t="s">
        <v>220</v>
      </c>
    </row>
    <row r="13" spans="2:10" x14ac:dyDescent="0.25">
      <c r="B13" s="1" t="s">
        <v>357</v>
      </c>
      <c r="C13" s="5" t="s">
        <v>303</v>
      </c>
      <c r="D13" s="1"/>
      <c r="E13" t="s">
        <v>183</v>
      </c>
      <c r="F13" t="s">
        <v>286</v>
      </c>
      <c r="G13" t="s">
        <v>226</v>
      </c>
      <c r="H13" t="s">
        <v>304</v>
      </c>
      <c r="I13" t="s">
        <v>219</v>
      </c>
      <c r="J13" t="s">
        <v>220</v>
      </c>
    </row>
    <row r="14" spans="2:10" x14ac:dyDescent="0.25">
      <c r="B14" s="1" t="s">
        <v>357</v>
      </c>
      <c r="C14" s="5" t="s">
        <v>323</v>
      </c>
      <c r="D14" s="1"/>
      <c r="E14" t="s">
        <v>188</v>
      </c>
      <c r="F14" t="s">
        <v>209</v>
      </c>
      <c r="G14" t="s">
        <v>226</v>
      </c>
      <c r="H14" t="s">
        <v>324</v>
      </c>
      <c r="I14" t="s">
        <v>219</v>
      </c>
      <c r="J14" t="s">
        <v>220</v>
      </c>
    </row>
    <row r="15" spans="2:10" x14ac:dyDescent="0.25">
      <c r="B15" s="1" t="s">
        <v>353</v>
      </c>
      <c r="C15" s="5" t="s">
        <v>245</v>
      </c>
      <c r="D15" s="1"/>
      <c r="E15" t="s">
        <v>168</v>
      </c>
      <c r="F15" t="s">
        <v>246</v>
      </c>
      <c r="G15" t="s">
        <v>226</v>
      </c>
      <c r="H15" t="s">
        <v>247</v>
      </c>
      <c r="I15" t="s">
        <v>219</v>
      </c>
      <c r="J15" t="s">
        <v>220</v>
      </c>
    </row>
    <row r="16" spans="2:10" x14ac:dyDescent="0.25">
      <c r="B16" s="1" t="s">
        <v>353</v>
      </c>
      <c r="C16" s="5" t="s">
        <v>294</v>
      </c>
      <c r="D16" s="1"/>
      <c r="E16" t="s">
        <v>168</v>
      </c>
      <c r="F16" t="s">
        <v>209</v>
      </c>
      <c r="G16" t="s">
        <v>226</v>
      </c>
      <c r="H16" t="s">
        <v>295</v>
      </c>
      <c r="I16" t="s">
        <v>230</v>
      </c>
      <c r="J16" t="s">
        <v>220</v>
      </c>
    </row>
    <row r="17" spans="2:10" x14ac:dyDescent="0.25">
      <c r="B17" s="1" t="s">
        <v>351</v>
      </c>
      <c r="C17" s="5" t="s">
        <v>267</v>
      </c>
      <c r="D17" s="1"/>
      <c r="E17" t="s">
        <v>177</v>
      </c>
      <c r="F17" t="s">
        <v>177</v>
      </c>
      <c r="G17" t="s">
        <v>268</v>
      </c>
      <c r="H17" t="s">
        <v>268</v>
      </c>
      <c r="I17" t="s">
        <v>219</v>
      </c>
      <c r="J17" t="s">
        <v>220</v>
      </c>
    </row>
    <row r="18" spans="2:10" x14ac:dyDescent="0.25">
      <c r="B18" s="1" t="s">
        <v>351</v>
      </c>
      <c r="C18" s="5" t="s">
        <v>273</v>
      </c>
      <c r="D18" s="1"/>
      <c r="E18" t="s">
        <v>179</v>
      </c>
      <c r="F18" t="s">
        <v>209</v>
      </c>
      <c r="G18" t="s">
        <v>274</v>
      </c>
      <c r="H18" t="s">
        <v>275</v>
      </c>
      <c r="I18" t="s">
        <v>219</v>
      </c>
      <c r="J18" t="s">
        <v>220</v>
      </c>
    </row>
    <row r="19" spans="2:10" x14ac:dyDescent="0.25">
      <c r="B19" s="1" t="s">
        <v>351</v>
      </c>
      <c r="C19" s="5" t="s">
        <v>288</v>
      </c>
      <c r="D19" s="1"/>
      <c r="E19" t="s">
        <v>179</v>
      </c>
      <c r="F19" t="s">
        <v>289</v>
      </c>
      <c r="G19" t="s">
        <v>290</v>
      </c>
      <c r="H19" t="s">
        <v>275</v>
      </c>
      <c r="I19" t="s">
        <v>219</v>
      </c>
      <c r="J19" t="s">
        <v>220</v>
      </c>
    </row>
    <row r="20" spans="2:10" x14ac:dyDescent="0.25">
      <c r="B20" s="1" t="s">
        <v>198</v>
      </c>
      <c r="C20" s="5" t="s">
        <v>297</v>
      </c>
      <c r="D20" s="1"/>
      <c r="E20" t="s">
        <v>76</v>
      </c>
      <c r="F20" t="s">
        <v>286</v>
      </c>
      <c r="G20" t="s">
        <v>298</v>
      </c>
      <c r="H20" t="s">
        <v>299</v>
      </c>
      <c r="I20" t="s">
        <v>219</v>
      </c>
      <c r="J20" t="s">
        <v>220</v>
      </c>
    </row>
    <row r="21" spans="2:10" x14ac:dyDescent="0.25">
      <c r="B21" s="1" t="s">
        <v>198</v>
      </c>
      <c r="C21" s="5" t="s">
        <v>329</v>
      </c>
      <c r="D21" s="1"/>
      <c r="E21" t="s">
        <v>190</v>
      </c>
      <c r="F21" t="s">
        <v>209</v>
      </c>
      <c r="G21" t="s">
        <v>330</v>
      </c>
      <c r="H21" t="s">
        <v>331</v>
      </c>
      <c r="I21" t="s">
        <v>219</v>
      </c>
      <c r="J21" t="s">
        <v>220</v>
      </c>
    </row>
    <row r="22" spans="2:10" x14ac:dyDescent="0.25">
      <c r="B22" s="1" t="s">
        <v>352</v>
      </c>
      <c r="C22" s="5" t="s">
        <v>279</v>
      </c>
      <c r="D22" s="1"/>
      <c r="E22" t="s">
        <v>181</v>
      </c>
      <c r="F22" t="s">
        <v>209</v>
      </c>
      <c r="G22" t="s">
        <v>280</v>
      </c>
      <c r="H22" t="s">
        <v>281</v>
      </c>
      <c r="I22" t="s">
        <v>219</v>
      </c>
      <c r="J22" t="s">
        <v>220</v>
      </c>
    </row>
    <row r="23" spans="2:10" x14ac:dyDescent="0.25">
      <c r="B23" s="1" t="s">
        <v>352</v>
      </c>
      <c r="C23" s="5" t="s">
        <v>282</v>
      </c>
      <c r="D23" s="1"/>
      <c r="E23" t="s">
        <v>181</v>
      </c>
      <c r="F23" t="s">
        <v>209</v>
      </c>
      <c r="G23" t="s">
        <v>283</v>
      </c>
      <c r="H23" t="s">
        <v>284</v>
      </c>
      <c r="I23" t="s">
        <v>219</v>
      </c>
      <c r="J23" t="s">
        <v>220</v>
      </c>
    </row>
    <row r="24" spans="2:10" x14ac:dyDescent="0.25">
      <c r="B24" s="1" t="s">
        <v>352</v>
      </c>
      <c r="C24" s="5" t="s">
        <v>285</v>
      </c>
      <c r="D24" s="1"/>
      <c r="E24" t="s">
        <v>181</v>
      </c>
      <c r="F24" t="s">
        <v>286</v>
      </c>
      <c r="G24" t="s">
        <v>280</v>
      </c>
      <c r="H24" t="s">
        <v>287</v>
      </c>
      <c r="I24" t="s">
        <v>219</v>
      </c>
      <c r="J24" t="s">
        <v>220</v>
      </c>
    </row>
    <row r="25" spans="2:10" x14ac:dyDescent="0.25">
      <c r="B25" s="1" t="s">
        <v>352</v>
      </c>
      <c r="C25" s="5" t="s">
        <v>300</v>
      </c>
      <c r="D25" s="1"/>
      <c r="E25" t="s">
        <v>182</v>
      </c>
      <c r="F25" t="s">
        <v>209</v>
      </c>
      <c r="G25" t="s">
        <v>301</v>
      </c>
      <c r="H25" t="s">
        <v>302</v>
      </c>
      <c r="I25" t="s">
        <v>219</v>
      </c>
      <c r="J25" t="s">
        <v>220</v>
      </c>
    </row>
    <row r="26" spans="2:10" x14ac:dyDescent="0.25">
      <c r="B26" s="1" t="s">
        <v>354</v>
      </c>
      <c r="C26" s="5" t="s">
        <v>325</v>
      </c>
      <c r="D26" s="1"/>
      <c r="E26" t="s">
        <v>189</v>
      </c>
      <c r="F26" t="s">
        <v>209</v>
      </c>
      <c r="G26" t="s">
        <v>321</v>
      </c>
      <c r="H26" t="s">
        <v>326</v>
      </c>
      <c r="I26" t="s">
        <v>219</v>
      </c>
      <c r="J26" t="s">
        <v>220</v>
      </c>
    </row>
    <row r="27" spans="2:10" x14ac:dyDescent="0.25">
      <c r="B27" s="1" t="s">
        <v>350</v>
      </c>
      <c r="C27" s="5" t="s">
        <v>264</v>
      </c>
      <c r="D27" s="1"/>
      <c r="E27" t="s">
        <v>175</v>
      </c>
      <c r="F27" t="s">
        <v>209</v>
      </c>
      <c r="G27" t="s">
        <v>255</v>
      </c>
      <c r="H27" t="s">
        <v>265</v>
      </c>
      <c r="I27" t="s">
        <v>219</v>
      </c>
      <c r="J27" t="s">
        <v>220</v>
      </c>
    </row>
    <row r="28" spans="2:10" x14ac:dyDescent="0.25">
      <c r="B28" s="1" t="s">
        <v>359</v>
      </c>
      <c r="C28" s="5" t="s">
        <v>311</v>
      </c>
      <c r="D28" s="1"/>
      <c r="E28" t="s">
        <v>187</v>
      </c>
      <c r="F28" t="s">
        <v>209</v>
      </c>
      <c r="G28" t="s">
        <v>312</v>
      </c>
      <c r="H28" t="s">
        <v>313</v>
      </c>
      <c r="I28" t="s">
        <v>219</v>
      </c>
      <c r="J28" t="s">
        <v>220</v>
      </c>
    </row>
    <row r="29" spans="2:10" x14ac:dyDescent="0.25">
      <c r="B29" s="1" t="s">
        <v>349</v>
      </c>
      <c r="C29" s="5" t="s">
        <v>276</v>
      </c>
      <c r="D29" s="1"/>
      <c r="E29" t="s">
        <v>180</v>
      </c>
      <c r="F29" t="s">
        <v>209</v>
      </c>
      <c r="G29" t="s">
        <v>277</v>
      </c>
      <c r="H29" t="s">
        <v>278</v>
      </c>
      <c r="I29" t="s">
        <v>219</v>
      </c>
      <c r="J29" t="s">
        <v>220</v>
      </c>
    </row>
    <row r="30" spans="2:10" x14ac:dyDescent="0.25">
      <c r="B30" s="1" t="s">
        <v>349</v>
      </c>
      <c r="C30" s="5" t="s">
        <v>291</v>
      </c>
      <c r="D30" s="1"/>
      <c r="E30" t="s">
        <v>180</v>
      </c>
      <c r="F30" t="s">
        <v>286</v>
      </c>
      <c r="G30" t="s">
        <v>292</v>
      </c>
      <c r="H30" t="s">
        <v>293</v>
      </c>
      <c r="I30" t="s">
        <v>219</v>
      </c>
      <c r="J30" t="s">
        <v>220</v>
      </c>
    </row>
    <row r="31" spans="2:10" x14ac:dyDescent="0.25">
      <c r="B31" s="1" t="s">
        <v>349</v>
      </c>
      <c r="C31" s="5" t="s">
        <v>337</v>
      </c>
      <c r="D31" s="1"/>
      <c r="E31" t="s">
        <v>193</v>
      </c>
      <c r="F31" t="s">
        <v>209</v>
      </c>
      <c r="G31" t="s">
        <v>338</v>
      </c>
      <c r="H31" t="s">
        <v>339</v>
      </c>
      <c r="I31" t="s">
        <v>219</v>
      </c>
      <c r="J31" t="s">
        <v>220</v>
      </c>
    </row>
    <row r="32" spans="2:10" x14ac:dyDescent="0.25">
      <c r="B32" s="1" t="s">
        <v>355</v>
      </c>
      <c r="C32" s="5" t="s">
        <v>254</v>
      </c>
      <c r="D32" s="1"/>
      <c r="E32" t="s">
        <v>171</v>
      </c>
      <c r="F32" t="s">
        <v>239</v>
      </c>
      <c r="G32" t="s">
        <v>255</v>
      </c>
      <c r="H32" t="s">
        <v>256</v>
      </c>
      <c r="I32" t="s">
        <v>219</v>
      </c>
      <c r="J32" t="s">
        <v>220</v>
      </c>
    </row>
    <row r="33" spans="2:10" x14ac:dyDescent="0.25">
      <c r="B33" s="1" t="s">
        <v>163</v>
      </c>
      <c r="C33" s="5" t="s">
        <v>221</v>
      </c>
      <c r="D33" s="1"/>
      <c r="E33" t="s">
        <v>163</v>
      </c>
      <c r="F33" t="s">
        <v>222</v>
      </c>
      <c r="G33" t="s">
        <v>223</v>
      </c>
      <c r="H33" t="s">
        <v>224</v>
      </c>
      <c r="I33" t="s">
        <v>219</v>
      </c>
      <c r="J33" t="s">
        <v>220</v>
      </c>
    </row>
    <row r="34" spans="2:10" x14ac:dyDescent="0.25">
      <c r="B34" s="1" t="s">
        <v>163</v>
      </c>
      <c r="C34" s="5" t="s">
        <v>228</v>
      </c>
      <c r="D34" s="1"/>
      <c r="E34" t="s">
        <v>163</v>
      </c>
      <c r="F34" t="s">
        <v>222</v>
      </c>
      <c r="G34" t="s">
        <v>229</v>
      </c>
      <c r="H34" t="s">
        <v>224</v>
      </c>
      <c r="I34" t="s">
        <v>230</v>
      </c>
      <c r="J34" t="s">
        <v>220</v>
      </c>
    </row>
    <row r="35" spans="2:10" x14ac:dyDescent="0.25">
      <c r="B35" s="1" t="s">
        <v>163</v>
      </c>
      <c r="C35" s="5" t="s">
        <v>231</v>
      </c>
      <c r="D35" s="1"/>
      <c r="E35" t="s">
        <v>165</v>
      </c>
      <c r="F35" t="s">
        <v>209</v>
      </c>
      <c r="G35" t="s">
        <v>229</v>
      </c>
      <c r="H35" t="s">
        <v>224</v>
      </c>
      <c r="I35" t="s">
        <v>230</v>
      </c>
      <c r="J35" t="s">
        <v>220</v>
      </c>
    </row>
    <row r="36" spans="2:10" x14ac:dyDescent="0.25">
      <c r="B36" s="1" t="s">
        <v>163</v>
      </c>
      <c r="C36" s="5" t="s">
        <v>232</v>
      </c>
      <c r="D36" s="1"/>
      <c r="E36" t="s">
        <v>165</v>
      </c>
      <c r="F36" t="s">
        <v>209</v>
      </c>
      <c r="G36" t="s">
        <v>229</v>
      </c>
      <c r="H36" t="s">
        <v>224</v>
      </c>
      <c r="I36" t="s">
        <v>219</v>
      </c>
      <c r="J36" t="s">
        <v>220</v>
      </c>
    </row>
    <row r="37" spans="2:10" x14ac:dyDescent="0.25">
      <c r="B37" s="1" t="s">
        <v>199</v>
      </c>
      <c r="C37" s="5" t="s">
        <v>238</v>
      </c>
      <c r="D37" s="1"/>
      <c r="E37" t="s">
        <v>77</v>
      </c>
      <c r="F37" t="s">
        <v>239</v>
      </c>
      <c r="G37" t="s">
        <v>240</v>
      </c>
      <c r="H37" t="s">
        <v>241</v>
      </c>
      <c r="I37" t="s">
        <v>219</v>
      </c>
      <c r="J37" t="s">
        <v>220</v>
      </c>
    </row>
    <row r="38" spans="2:10" x14ac:dyDescent="0.25">
      <c r="B38" s="1" t="s">
        <v>199</v>
      </c>
      <c r="C38" s="5" t="s">
        <v>242</v>
      </c>
      <c r="D38" s="1"/>
      <c r="E38" t="s">
        <v>77</v>
      </c>
      <c r="F38" t="s">
        <v>239</v>
      </c>
      <c r="G38" t="s">
        <v>243</v>
      </c>
      <c r="H38" t="s">
        <v>244</v>
      </c>
      <c r="I38" t="s">
        <v>219</v>
      </c>
      <c r="J38" t="s">
        <v>220</v>
      </c>
    </row>
    <row r="39" spans="2:10" x14ac:dyDescent="0.25">
      <c r="B39" s="1" t="s">
        <v>199</v>
      </c>
      <c r="C39" s="5" t="s">
        <v>269</v>
      </c>
      <c r="D39" s="1"/>
      <c r="E39" t="s">
        <v>178</v>
      </c>
      <c r="F39" t="s">
        <v>178</v>
      </c>
      <c r="G39" t="s">
        <v>268</v>
      </c>
      <c r="H39" t="s">
        <v>268</v>
      </c>
      <c r="I39" t="s">
        <v>219</v>
      </c>
      <c r="J39" t="s">
        <v>220</v>
      </c>
    </row>
    <row r="40" spans="2:10" x14ac:dyDescent="0.25">
      <c r="B40" s="1" t="s">
        <v>199</v>
      </c>
      <c r="C40" s="5" t="s">
        <v>270</v>
      </c>
      <c r="D40" s="1"/>
      <c r="E40" t="s">
        <v>77</v>
      </c>
      <c r="F40" t="s">
        <v>209</v>
      </c>
      <c r="G40" t="s">
        <v>271</v>
      </c>
      <c r="H40" t="s">
        <v>272</v>
      </c>
      <c r="I40" t="s">
        <v>219</v>
      </c>
      <c r="J40" t="s">
        <v>220</v>
      </c>
    </row>
    <row r="41" spans="2:10" x14ac:dyDescent="0.25">
      <c r="B41" s="1" t="s">
        <v>199</v>
      </c>
      <c r="C41" s="5" t="s">
        <v>306</v>
      </c>
      <c r="D41" s="1"/>
      <c r="E41" t="s">
        <v>77</v>
      </c>
      <c r="F41" t="s">
        <v>209</v>
      </c>
      <c r="G41" t="s">
        <v>307</v>
      </c>
      <c r="H41" t="s">
        <v>308</v>
      </c>
      <c r="I41" t="s">
        <v>219</v>
      </c>
      <c r="J41" t="s">
        <v>220</v>
      </c>
    </row>
    <row r="42" spans="2:10" x14ac:dyDescent="0.25">
      <c r="B42" s="1" t="s">
        <v>199</v>
      </c>
      <c r="C42" s="5" t="s">
        <v>309</v>
      </c>
      <c r="D42" s="1"/>
      <c r="E42" t="s">
        <v>77</v>
      </c>
      <c r="F42" t="s">
        <v>209</v>
      </c>
      <c r="G42" t="s">
        <v>271</v>
      </c>
      <c r="H42" t="s">
        <v>310</v>
      </c>
      <c r="I42" t="s">
        <v>219</v>
      </c>
      <c r="J42" t="s">
        <v>220</v>
      </c>
    </row>
    <row r="43" spans="2:10" x14ac:dyDescent="0.25">
      <c r="B43" s="1" t="s">
        <v>199</v>
      </c>
      <c r="C43" s="5" t="s">
        <v>314</v>
      </c>
      <c r="D43" s="1"/>
      <c r="E43" t="s">
        <v>77</v>
      </c>
      <c r="F43" t="s">
        <v>209</v>
      </c>
      <c r="G43" t="s">
        <v>271</v>
      </c>
      <c r="H43" t="s">
        <v>272</v>
      </c>
      <c r="I43" t="s">
        <v>219</v>
      </c>
      <c r="J43" t="s">
        <v>220</v>
      </c>
    </row>
    <row r="44" spans="2:10" x14ac:dyDescent="0.25">
      <c r="B44" s="1" t="s">
        <v>199</v>
      </c>
      <c r="C44" s="5" t="s">
        <v>315</v>
      </c>
      <c r="D44" s="1"/>
      <c r="E44" t="s">
        <v>77</v>
      </c>
      <c r="F44" t="s">
        <v>209</v>
      </c>
      <c r="G44" t="s">
        <v>271</v>
      </c>
      <c r="H44" t="s">
        <v>272</v>
      </c>
      <c r="I44" t="s">
        <v>219</v>
      </c>
      <c r="J44" t="s">
        <v>220</v>
      </c>
    </row>
    <row r="45" spans="2:10" x14ac:dyDescent="0.25">
      <c r="B45" s="1" t="s">
        <v>199</v>
      </c>
      <c r="C45" s="5" t="s">
        <v>316</v>
      </c>
      <c r="D45" s="1"/>
      <c r="E45" t="s">
        <v>77</v>
      </c>
      <c r="F45" t="s">
        <v>209</v>
      </c>
      <c r="G45" t="s">
        <v>271</v>
      </c>
      <c r="H45" t="s">
        <v>272</v>
      </c>
      <c r="I45" t="s">
        <v>219</v>
      </c>
      <c r="J45" t="s">
        <v>220</v>
      </c>
    </row>
    <row r="46" spans="2:10" x14ac:dyDescent="0.25">
      <c r="B46" s="1" t="s">
        <v>199</v>
      </c>
      <c r="C46" s="5" t="s">
        <v>317</v>
      </c>
      <c r="D46" s="1"/>
      <c r="E46" t="s">
        <v>77</v>
      </c>
      <c r="F46" t="s">
        <v>209</v>
      </c>
      <c r="G46" t="s">
        <v>271</v>
      </c>
      <c r="H46" t="s">
        <v>318</v>
      </c>
      <c r="I46" t="s">
        <v>219</v>
      </c>
      <c r="J46" t="s">
        <v>220</v>
      </c>
    </row>
    <row r="47" spans="2:10" x14ac:dyDescent="0.25">
      <c r="B47" s="1" t="s">
        <v>199</v>
      </c>
      <c r="C47" s="5" t="s">
        <v>319</v>
      </c>
      <c r="D47" s="1"/>
      <c r="E47" t="s">
        <v>77</v>
      </c>
      <c r="F47" t="s">
        <v>320</v>
      </c>
      <c r="G47" t="s">
        <v>321</v>
      </c>
      <c r="H47" t="s">
        <v>322</v>
      </c>
      <c r="I47" t="s">
        <v>219</v>
      </c>
      <c r="J47" t="s">
        <v>220</v>
      </c>
    </row>
    <row r="48" spans="2:10" x14ac:dyDescent="0.25">
      <c r="B48" s="1" t="s">
        <v>199</v>
      </c>
      <c r="C48" s="5" t="s">
        <v>327</v>
      </c>
      <c r="D48" s="1"/>
      <c r="E48" t="s">
        <v>77</v>
      </c>
      <c r="F48" t="s">
        <v>209</v>
      </c>
      <c r="G48" t="s">
        <v>321</v>
      </c>
      <c r="H48" t="s">
        <v>328</v>
      </c>
      <c r="I48" t="s">
        <v>219</v>
      </c>
      <c r="J48" t="s">
        <v>220</v>
      </c>
    </row>
    <row r="49" spans="2:10" x14ac:dyDescent="0.25">
      <c r="B49" s="1" t="s">
        <v>199</v>
      </c>
      <c r="C49" s="5" t="s">
        <v>340</v>
      </c>
      <c r="D49" s="1"/>
      <c r="E49" t="s">
        <v>194</v>
      </c>
      <c r="F49" t="s">
        <v>209</v>
      </c>
      <c r="G49" t="s">
        <v>341</v>
      </c>
      <c r="H49" t="s">
        <v>342</v>
      </c>
      <c r="I49" t="s">
        <v>219</v>
      </c>
      <c r="J49" t="s">
        <v>220</v>
      </c>
    </row>
    <row r="50" spans="2:10" x14ac:dyDescent="0.25">
      <c r="B50" s="1" t="s">
        <v>199</v>
      </c>
      <c r="C50" s="5" t="s">
        <v>343</v>
      </c>
      <c r="D50" s="1"/>
      <c r="E50" t="s">
        <v>195</v>
      </c>
      <c r="F50" t="s">
        <v>209</v>
      </c>
      <c r="G50" t="s">
        <v>341</v>
      </c>
      <c r="H50" t="s">
        <v>342</v>
      </c>
      <c r="I50" t="s">
        <v>219</v>
      </c>
      <c r="J50" t="s">
        <v>220</v>
      </c>
    </row>
    <row r="51" spans="2:10" x14ac:dyDescent="0.25">
      <c r="B51" s="1" t="s">
        <v>358</v>
      </c>
      <c r="C51" s="5" t="s">
        <v>250</v>
      </c>
      <c r="D51" s="1"/>
      <c r="E51" t="s">
        <v>170</v>
      </c>
      <c r="F51" t="s">
        <v>251</v>
      </c>
      <c r="G51" t="s">
        <v>252</v>
      </c>
      <c r="H51" t="s">
        <v>253</v>
      </c>
      <c r="I51" t="s">
        <v>219</v>
      </c>
      <c r="J51" t="s">
        <v>220</v>
      </c>
    </row>
    <row r="52" spans="2:10" x14ac:dyDescent="0.25">
      <c r="B52" s="1" t="s">
        <v>348</v>
      </c>
      <c r="C52" s="5" t="s">
        <v>225</v>
      </c>
      <c r="D52" s="1"/>
      <c r="E52" t="s">
        <v>164</v>
      </c>
      <c r="F52" t="s">
        <v>222</v>
      </c>
      <c r="G52" t="s">
        <v>226</v>
      </c>
      <c r="H52" t="s">
        <v>227</v>
      </c>
      <c r="I52" t="s">
        <v>219</v>
      </c>
      <c r="J52" t="s">
        <v>220</v>
      </c>
    </row>
    <row r="53" spans="2:10" x14ac:dyDescent="0.25">
      <c r="B53" s="1" t="s">
        <v>348</v>
      </c>
      <c r="C53" s="5" t="s">
        <v>233</v>
      </c>
      <c r="D53" s="1"/>
      <c r="E53" t="s">
        <v>166</v>
      </c>
      <c r="F53" t="s">
        <v>209</v>
      </c>
      <c r="G53" t="s">
        <v>226</v>
      </c>
      <c r="H53" t="s">
        <v>227</v>
      </c>
      <c r="I53" t="s">
        <v>230</v>
      </c>
      <c r="J53" t="s">
        <v>220</v>
      </c>
    </row>
    <row r="54" spans="2:10" x14ac:dyDescent="0.25">
      <c r="B54" s="1" t="s">
        <v>348</v>
      </c>
      <c r="C54" s="5" t="s">
        <v>234</v>
      </c>
      <c r="D54" s="1"/>
      <c r="E54" t="s">
        <v>166</v>
      </c>
      <c r="F54" t="s">
        <v>209</v>
      </c>
      <c r="G54" t="s">
        <v>226</v>
      </c>
      <c r="H54" t="s">
        <v>227</v>
      </c>
      <c r="I54" t="s">
        <v>230</v>
      </c>
      <c r="J54" t="s">
        <v>220</v>
      </c>
    </row>
    <row r="55" spans="2:10" x14ac:dyDescent="0.25">
      <c r="B55" s="1" t="s">
        <v>348</v>
      </c>
      <c r="C55" s="5" t="s">
        <v>235</v>
      </c>
      <c r="D55" s="1"/>
      <c r="E55" t="s">
        <v>166</v>
      </c>
      <c r="F55" t="s">
        <v>209</v>
      </c>
      <c r="G55" t="s">
        <v>226</v>
      </c>
      <c r="H55" t="s">
        <v>227</v>
      </c>
      <c r="I55" t="s">
        <v>219</v>
      </c>
      <c r="J55" t="s">
        <v>220</v>
      </c>
    </row>
    <row r="56" spans="2:10" x14ac:dyDescent="0.25">
      <c r="B56" s="1" t="s">
        <v>347</v>
      </c>
      <c r="C56" s="5" t="s">
        <v>332</v>
      </c>
      <c r="D56" s="1"/>
      <c r="E56" t="s">
        <v>191</v>
      </c>
      <c r="F56" t="s">
        <v>209</v>
      </c>
      <c r="G56" t="s">
        <v>333</v>
      </c>
      <c r="H56" t="s">
        <v>334</v>
      </c>
      <c r="I56" t="s">
        <v>219</v>
      </c>
      <c r="J56" t="s">
        <v>220</v>
      </c>
    </row>
    <row r="57" spans="2:10" x14ac:dyDescent="0.25">
      <c r="B57" s="1" t="s">
        <v>347</v>
      </c>
      <c r="C57" s="5" t="s">
        <v>344</v>
      </c>
      <c r="D57" s="1"/>
      <c r="E57" t="s">
        <v>196</v>
      </c>
      <c r="F57" t="s">
        <v>209</v>
      </c>
      <c r="G57" t="s">
        <v>345</v>
      </c>
      <c r="H57" t="s">
        <v>346</v>
      </c>
      <c r="I57" t="s">
        <v>219</v>
      </c>
      <c r="J57" t="s">
        <v>220</v>
      </c>
    </row>
    <row r="58" spans="2:10" x14ac:dyDescent="0.25">
      <c r="B58" s="1" t="s">
        <v>356</v>
      </c>
      <c r="C58" s="5" t="s">
        <v>261</v>
      </c>
      <c r="D58" s="1"/>
      <c r="E58" t="s">
        <v>174</v>
      </c>
      <c r="F58" t="s">
        <v>209</v>
      </c>
      <c r="G58" t="s">
        <v>262</v>
      </c>
      <c r="H58" t="s">
        <v>263</v>
      </c>
      <c r="I58" t="s">
        <v>219</v>
      </c>
      <c r="J58" t="s">
        <v>220</v>
      </c>
    </row>
    <row r="59" spans="2:10" x14ac:dyDescent="0.25">
      <c r="B59" s="1" t="s">
        <v>360</v>
      </c>
      <c r="C59" s="5" t="s">
        <v>236</v>
      </c>
      <c r="D59" s="1"/>
      <c r="E59" t="s">
        <v>167</v>
      </c>
      <c r="F59" t="s">
        <v>209</v>
      </c>
      <c r="G59" t="s">
        <v>211</v>
      </c>
      <c r="H59" t="s">
        <v>237</v>
      </c>
      <c r="I59" t="s">
        <v>219</v>
      </c>
      <c r="J59" t="s">
        <v>220</v>
      </c>
    </row>
    <row r="60" spans="2:10" x14ac:dyDescent="0.25">
      <c r="B60" s="1" t="s">
        <v>360</v>
      </c>
      <c r="C60" s="5" t="s">
        <v>305</v>
      </c>
      <c r="D60" s="1"/>
      <c r="E60" t="s">
        <v>184</v>
      </c>
      <c r="F60" t="s">
        <v>184</v>
      </c>
      <c r="G60" t="s">
        <v>209</v>
      </c>
      <c r="H60" t="s">
        <v>209</v>
      </c>
      <c r="I60" t="s">
        <v>219</v>
      </c>
      <c r="J60" t="s">
        <v>220</v>
      </c>
    </row>
    <row r="61" spans="2:10" x14ac:dyDescent="0.25">
      <c r="B61" s="1" t="s">
        <v>360</v>
      </c>
      <c r="C61" s="5" t="s">
        <v>305</v>
      </c>
      <c r="D61" s="1"/>
      <c r="E61" t="s">
        <v>185</v>
      </c>
      <c r="F61" t="s">
        <v>185</v>
      </c>
      <c r="G61" t="s">
        <v>209</v>
      </c>
      <c r="H61" t="s">
        <v>209</v>
      </c>
      <c r="I61" t="s">
        <v>219</v>
      </c>
      <c r="J61" t="s">
        <v>220</v>
      </c>
    </row>
    <row r="62" spans="2:10" x14ac:dyDescent="0.25">
      <c r="B62" s="1" t="s">
        <v>360</v>
      </c>
      <c r="C62" s="5" t="s">
        <v>305</v>
      </c>
      <c r="D62" s="1"/>
      <c r="E62" t="s">
        <v>186</v>
      </c>
      <c r="F62" t="s">
        <v>186</v>
      </c>
      <c r="G62" t="s">
        <v>209</v>
      </c>
      <c r="H62" t="s">
        <v>209</v>
      </c>
      <c r="I62" t="s">
        <v>219</v>
      </c>
      <c r="J62" t="s">
        <v>220</v>
      </c>
    </row>
  </sheetData>
  <sortState ref="B3:I62">
    <sortCondition ref="B3:B62"/>
  </sortState>
  <pageMargins left="0.7" right="0.7" top="0.75" bottom="0.75" header="0.3" footer="0.3"/>
  <ignoredErrors>
    <ignoredError sqref="C3:C9 C10:C6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2"/>
  <sheetViews>
    <sheetView topLeftCell="A61" workbookViewId="0">
      <selection activeCell="B67" sqref="B67"/>
    </sheetView>
  </sheetViews>
  <sheetFormatPr defaultRowHeight="15" x14ac:dyDescent="0.25"/>
  <sheetData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36</v>
      </c>
    </row>
    <row r="38" spans="2:2" x14ac:dyDescent="0.25">
      <c r="B38" t="s">
        <v>37</v>
      </c>
    </row>
    <row r="39" spans="2:2" x14ac:dyDescent="0.25">
      <c r="B39" t="s">
        <v>38</v>
      </c>
    </row>
    <row r="40" spans="2:2" x14ac:dyDescent="0.25">
      <c r="B40" t="s">
        <v>39</v>
      </c>
    </row>
    <row r="41" spans="2:2" x14ac:dyDescent="0.25">
      <c r="B41" t="s">
        <v>40</v>
      </c>
    </row>
    <row r="42" spans="2:2" x14ac:dyDescent="0.25">
      <c r="B42" t="s">
        <v>41</v>
      </c>
    </row>
    <row r="43" spans="2:2" x14ac:dyDescent="0.25">
      <c r="B43" t="s">
        <v>42</v>
      </c>
    </row>
    <row r="44" spans="2:2" x14ac:dyDescent="0.25">
      <c r="B44" t="s">
        <v>43</v>
      </c>
    </row>
    <row r="45" spans="2:2" x14ac:dyDescent="0.25">
      <c r="B45" t="s">
        <v>44</v>
      </c>
    </row>
    <row r="46" spans="2:2" x14ac:dyDescent="0.25">
      <c r="B46" t="s">
        <v>45</v>
      </c>
    </row>
    <row r="47" spans="2:2" x14ac:dyDescent="0.25">
      <c r="B47" t="s">
        <v>46</v>
      </c>
    </row>
    <row r="48" spans="2:2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2" x14ac:dyDescent="0.25">
      <c r="B65" t="s">
        <v>64</v>
      </c>
    </row>
    <row r="66" spans="2:2" x14ac:dyDescent="0.25">
      <c r="B66" t="s">
        <v>65</v>
      </c>
    </row>
    <row r="67" spans="2:2" x14ac:dyDescent="0.25">
      <c r="B67" t="s">
        <v>66</v>
      </c>
    </row>
    <row r="68" spans="2:2" x14ac:dyDescent="0.25">
      <c r="B68" t="s">
        <v>67</v>
      </c>
    </row>
    <row r="69" spans="2:2" x14ac:dyDescent="0.25">
      <c r="B69" t="s">
        <v>68</v>
      </c>
    </row>
    <row r="70" spans="2:2" x14ac:dyDescent="0.25">
      <c r="B70" t="s">
        <v>69</v>
      </c>
    </row>
    <row r="71" spans="2:2" x14ac:dyDescent="0.25">
      <c r="B71" t="s">
        <v>70</v>
      </c>
    </row>
    <row r="72" spans="2:2" x14ac:dyDescent="0.25">
      <c r="B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SEED</vt:lpstr>
      <vt:lpstr>DataLookUp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2026-02-15T21:59:16Z</dcterms:modified>
</cp:coreProperties>
</file>