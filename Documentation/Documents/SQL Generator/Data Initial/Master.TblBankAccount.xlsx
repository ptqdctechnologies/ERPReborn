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/>
  </bookViews>
  <sheets>
    <sheet name="MAIN" sheetId="3" r:id="rId1"/>
    <sheet name="Sheet2" sheetId="7" r:id="rId2"/>
    <sheet name="Sheet4" sheetId="6" r:id="rId3"/>
    <sheet name="Sheet1" sheetId="2" r:id="rId4"/>
  </sheets>
  <externalReferences>
    <externalReference r:id="rId5"/>
    <externalReference r:id="rId6"/>
    <externalReference r:id="rId7"/>
    <externalReference r:id="rId8"/>
  </externalReferences>
  <calcPr calcId="152511"/>
</workbook>
</file>

<file path=xl/calcChain.xml><?xml version="1.0" encoding="utf-8"?>
<calcChain xmlns="http://schemas.openxmlformats.org/spreadsheetml/2006/main">
  <c r="F141" i="3" l="1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D146" i="3"/>
  <c r="N208" i="3"/>
  <c r="N147" i="3"/>
  <c r="D147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61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N207" i="3" l="1"/>
  <c r="C207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156" i="3"/>
  <c r="N157" i="3"/>
  <c r="N158" i="3"/>
  <c r="N159" i="3"/>
  <c r="N151" i="3"/>
  <c r="N152" i="3"/>
  <c r="N153" i="3"/>
  <c r="N154" i="3"/>
  <c r="N155" i="3"/>
  <c r="F136" i="3"/>
  <c r="N136" i="3" s="1"/>
  <c r="N150" i="3"/>
  <c r="F135" i="3"/>
  <c r="N135" i="3" s="1"/>
  <c r="F137" i="3"/>
  <c r="N137" i="3" s="1"/>
  <c r="F138" i="3"/>
  <c r="F139" i="3"/>
  <c r="N139" i="3" s="1"/>
  <c r="F133" i="3"/>
  <c r="N133" i="3" s="1"/>
  <c r="F134" i="3"/>
  <c r="N134" i="3" s="1"/>
  <c r="F140" i="3"/>
  <c r="N140" i="3" s="1"/>
  <c r="N141" i="3"/>
  <c r="N142" i="3"/>
  <c r="N143" i="3"/>
  <c r="N144" i="3"/>
  <c r="N145" i="3"/>
  <c r="N149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N148" i="3"/>
  <c r="F61" i="3"/>
  <c r="F6" i="3" l="1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N57" i="3"/>
  <c r="N58" i="3"/>
  <c r="N59" i="3"/>
  <c r="F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F4" i="3"/>
  <c r="N5" i="3" l="1"/>
  <c r="N4" i="3"/>
  <c r="M4" i="3" l="1"/>
  <c r="M5" i="3" s="1"/>
  <c r="M6" i="3" s="1"/>
  <c r="M7" i="3" s="1"/>
  <c r="M8" i="3" s="1"/>
  <c r="M9" i="3" s="1"/>
  <c r="M10" i="3" s="1"/>
  <c r="M11" i="3" s="1"/>
  <c r="M12" i="3" s="1"/>
  <c r="M13" i="3" s="1"/>
  <c r="M14" i="3" s="1"/>
  <c r="M15" i="3" s="1"/>
  <c r="M16" i="3" s="1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M52" i="3" s="1"/>
  <c r="M53" i="3" s="1"/>
  <c r="M54" i="3" s="1"/>
  <c r="M55" i="3" s="1"/>
  <c r="M56" i="3" s="1"/>
  <c r="M57" i="3" s="1"/>
  <c r="M58" i="3" s="1"/>
  <c r="M59" i="3" s="1"/>
  <c r="M60" i="3" s="1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7" i="3"/>
  <c r="N120" i="3"/>
  <c r="N116" i="3"/>
  <c r="N118" i="3"/>
  <c r="N119" i="3"/>
  <c r="N62" i="3" l="1"/>
  <c r="N61" i="3" l="1"/>
  <c r="N122" i="3"/>
  <c r="N121" i="3"/>
  <c r="N123" i="3"/>
  <c r="N124" i="3"/>
  <c r="N125" i="3"/>
  <c r="N126" i="3"/>
  <c r="N127" i="3"/>
  <c r="N128" i="3"/>
  <c r="N129" i="3"/>
  <c r="N130" i="3"/>
  <c r="N131" i="3"/>
  <c r="N132" i="3"/>
  <c r="M61" i="3" l="1"/>
  <c r="M62" i="3" s="1"/>
  <c r="M63" i="3" s="1"/>
  <c r="M64" i="3" s="1"/>
  <c r="M65" i="3" s="1"/>
  <c r="M66" i="3" s="1"/>
  <c r="M67" i="3" s="1"/>
  <c r="M68" i="3" s="1"/>
  <c r="M69" i="3" s="1"/>
  <c r="M70" i="3" s="1"/>
  <c r="M71" i="3" s="1"/>
  <c r="M72" i="3" s="1"/>
  <c r="M73" i="3" s="1"/>
  <c r="M74" i="3" s="1"/>
  <c r="M75" i="3" s="1"/>
  <c r="M76" i="3" s="1"/>
  <c r="M77" i="3" s="1"/>
  <c r="M78" i="3" s="1"/>
  <c r="M79" i="3" s="1"/>
  <c r="M80" i="3" s="1"/>
  <c r="M81" i="3" s="1"/>
  <c r="M82" i="3" s="1"/>
  <c r="M83" i="3" s="1"/>
  <c r="M84" i="3" s="1"/>
  <c r="M85" i="3" s="1"/>
  <c r="M86" i="3" s="1"/>
  <c r="M87" i="3" s="1"/>
  <c r="M88" i="3" s="1"/>
  <c r="M89" i="3" s="1"/>
  <c r="M90" i="3" s="1"/>
  <c r="M91" i="3" s="1"/>
  <c r="M92" i="3" s="1"/>
  <c r="M93" i="3" s="1"/>
  <c r="M94" i="3" s="1"/>
  <c r="M95" i="3" s="1"/>
  <c r="M96" i="3" s="1"/>
  <c r="M97" i="3" s="1"/>
  <c r="M98" i="3" s="1"/>
  <c r="M99" i="3" s="1"/>
  <c r="M100" i="3" s="1"/>
  <c r="M101" i="3" s="1"/>
  <c r="M102" i="3" s="1"/>
  <c r="M103" i="3" s="1"/>
  <c r="M104" i="3" s="1"/>
  <c r="M105" i="3" s="1"/>
  <c r="M106" i="3" s="1"/>
  <c r="M107" i="3" s="1"/>
  <c r="M108" i="3" s="1"/>
  <c r="M109" i="3" s="1"/>
  <c r="M110" i="3" s="1"/>
  <c r="M111" i="3" s="1"/>
  <c r="M112" i="3" s="1"/>
  <c r="M113" i="3" s="1"/>
  <c r="M114" i="3" s="1"/>
  <c r="M115" i="3" s="1"/>
  <c r="M116" i="3" s="1"/>
  <c r="M117" i="3" s="1"/>
  <c r="M118" i="3" s="1"/>
  <c r="M119" i="3" s="1"/>
  <c r="M120" i="3" s="1"/>
  <c r="M121" i="3"/>
  <c r="M122" i="3" s="1"/>
  <c r="M123" i="3" s="1"/>
  <c r="M124" i="3" s="1"/>
  <c r="M125" i="3" s="1"/>
  <c r="M126" i="3" s="1"/>
  <c r="M127" i="3" s="1"/>
  <c r="M128" i="3" s="1"/>
  <c r="M129" i="3" s="1"/>
  <c r="M130" i="3" s="1"/>
  <c r="M131" i="3" s="1"/>
  <c r="M132" i="3" s="1"/>
  <c r="M133" i="3" s="1"/>
  <c r="M134" i="3" s="1"/>
  <c r="M135" i="3" s="1"/>
  <c r="M136" i="3" s="1"/>
  <c r="M137" i="3" s="1"/>
  <c r="H138" i="3"/>
  <c r="N138" i="3" s="1"/>
  <c r="M138" i="3" l="1"/>
  <c r="M139" i="3" s="1"/>
  <c r="M140" i="3" s="1"/>
  <c r="M141" i="3" s="1"/>
  <c r="M142" i="3" s="1"/>
  <c r="M143" i="3" s="1"/>
  <c r="C206" i="3"/>
  <c r="C6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5" i="3"/>
  <c r="C154" i="3"/>
  <c r="C153" i="3"/>
  <c r="C152" i="3"/>
  <c r="C151" i="3"/>
  <c r="C149" i="3"/>
  <c r="C134" i="3"/>
  <c r="C133" i="3"/>
  <c r="C150" i="3"/>
  <c r="M144" i="3" l="1"/>
  <c r="M145" i="3" s="1"/>
  <c r="M147" i="3" s="1"/>
  <c r="M148" i="3" s="1"/>
  <c r="M149" i="3" s="1"/>
  <c r="M150" i="3" s="1"/>
  <c r="M151" i="3" s="1"/>
  <c r="M152" i="3" s="1"/>
  <c r="M153" i="3" s="1"/>
  <c r="M154" i="3" s="1"/>
  <c r="M155" i="3" s="1"/>
  <c r="M156" i="3" s="1"/>
  <c r="M157" i="3" s="1"/>
  <c r="M158" i="3" s="1"/>
  <c r="M159" i="3" s="1"/>
  <c r="M160" i="3" s="1"/>
  <c r="M161" i="3" s="1"/>
  <c r="M162" i="3" s="1"/>
  <c r="M163" i="3" s="1"/>
  <c r="M164" i="3" s="1"/>
  <c r="M165" i="3" s="1"/>
  <c r="M166" i="3" s="1"/>
  <c r="M167" i="3" s="1"/>
  <c r="M168" i="3" s="1"/>
  <c r="M169" i="3" s="1"/>
  <c r="M170" i="3" s="1"/>
  <c r="M171" i="3" s="1"/>
  <c r="M172" i="3" s="1"/>
  <c r="M173" i="3" s="1"/>
  <c r="M174" i="3" s="1"/>
  <c r="M175" i="3" s="1"/>
  <c r="M176" i="3" s="1"/>
  <c r="M177" i="3" s="1"/>
  <c r="M178" i="3" s="1"/>
  <c r="M179" i="3" s="1"/>
  <c r="M180" i="3" s="1"/>
  <c r="M181" i="3" s="1"/>
  <c r="M182" i="3" s="1"/>
  <c r="M183" i="3" s="1"/>
  <c r="M184" i="3" s="1"/>
  <c r="M185" i="3" s="1"/>
  <c r="M186" i="3" s="1"/>
  <c r="M187" i="3" s="1"/>
  <c r="M188" i="3" s="1"/>
  <c r="M189" i="3" s="1"/>
  <c r="M190" i="3" s="1"/>
  <c r="M191" i="3" s="1"/>
  <c r="M192" i="3" s="1"/>
  <c r="M193" i="3" s="1"/>
  <c r="M194" i="3" s="1"/>
  <c r="M195" i="3" s="1"/>
  <c r="M196" i="3" s="1"/>
  <c r="M197" i="3" s="1"/>
  <c r="M198" i="3" s="1"/>
  <c r="M199" i="3" s="1"/>
  <c r="M200" i="3" s="1"/>
  <c r="M201" i="3" s="1"/>
  <c r="M202" i="3" s="1"/>
  <c r="M203" i="3" s="1"/>
  <c r="M204" i="3" s="1"/>
  <c r="M205" i="3" s="1"/>
  <c r="M206" i="3" s="1"/>
  <c r="M207" i="3" s="1"/>
  <c r="M208" i="3" s="1"/>
</calcChain>
</file>

<file path=xl/sharedStrings.xml><?xml version="1.0" encoding="utf-8"?>
<sst xmlns="http://schemas.openxmlformats.org/spreadsheetml/2006/main" count="1615" uniqueCount="453">
  <si>
    <t>0060262641</t>
  </si>
  <si>
    <t xml:space="preserve">           000600313QDCT2801006303291100000007000000493192690.00122022</t>
  </si>
  <si>
    <t xml:space="preserve">00060262641000000537535400210904088 Abd Samad                         </t>
  </si>
  <si>
    <t xml:space="preserve">02040089643000000681586400110422962 Achmad Yunadi                     </t>
  </si>
  <si>
    <t xml:space="preserve">00350780718000001267490900010703020 Agnes Sutedja                     </t>
  </si>
  <si>
    <t xml:space="preserve">06821221339000000513600000311022972 Agus Nuryadi                      </t>
  </si>
  <si>
    <t xml:space="preserve">05750423347000000769750000081019918 Agus Salim                        </t>
  </si>
  <si>
    <t xml:space="preserve">07150306269000000434308100150506222 Ahmad Syaifulloh                  </t>
  </si>
  <si>
    <t xml:space="preserve">02670159496000000675090900191022969 Ahmad Choerul                     </t>
  </si>
  <si>
    <t xml:space="preserve">05520607058000000660853600141020935 Aldi Mulyadi                      </t>
  </si>
  <si>
    <t xml:space="preserve">05520537742000000460771800100419903 Annisa Dewi Arumsari              </t>
  </si>
  <si>
    <t xml:space="preserve">04565061969000000584986400310821955 Anugerah Januariansyah            </t>
  </si>
  <si>
    <t xml:space="preserve">05520579321000000617200000100920934 Belina Lindarwani                 </t>
  </si>
  <si>
    <t xml:space="preserve">01280247568000001054500000060515769 Budianto                          </t>
  </si>
  <si>
    <t xml:space="preserve">02211206120000000728213600031212631 Darsito                           </t>
  </si>
  <si>
    <t xml:space="preserve">02839669733000000449658100171215791 Dedi Rohman                       </t>
  </si>
  <si>
    <t xml:space="preserve">02731371123000000454500000010605133 Dionesius Sostenist Duka          </t>
  </si>
  <si>
    <t xml:space="preserve">00060185646000000471927300040803040 Edi Waluyo                        </t>
  </si>
  <si>
    <t xml:space="preserve">05211078091000000784994500200420932 Eka Bagus Dwi Putra               </t>
  </si>
  <si>
    <t xml:space="preserve">05855178874000000383630900300120926 Eka Purwanti                      </t>
  </si>
  <si>
    <t xml:space="preserve">05750226541000000428558100010806250 Endang Sutrisno                   </t>
  </si>
  <si>
    <t xml:space="preserve">08760378217000000830650000191022968 Ferdian Kriswantoro               </t>
  </si>
  <si>
    <t xml:space="preserve">08200472447000000708872700181114748 Frando Judi Siahaan               </t>
  </si>
  <si>
    <t xml:space="preserve">01281467889000000566440900070806256 Gunawan                           </t>
  </si>
  <si>
    <t xml:space="preserve">03191643869000001019700000070703034 H.T Assubki Ismail                </t>
  </si>
  <si>
    <t xml:space="preserve">05520226500000000981758100191015786 Icha Mailinda                     </t>
  </si>
  <si>
    <t xml:space="preserve">05520464753000000577429100170217825 Ilham                             </t>
  </si>
  <si>
    <t xml:space="preserve">05520696425000000685700000040822965 Irma Maulidawati                  </t>
  </si>
  <si>
    <t xml:space="preserve">07660328771000000417127300150805153 Isa Taufik                        </t>
  </si>
  <si>
    <t xml:space="preserve">04980153300000000479058100170322960 Istikaro Fauziah                  </t>
  </si>
  <si>
    <t xml:space="preserve">05520190068000001530218200040515767 Jimmywal                          </t>
  </si>
  <si>
    <t xml:space="preserve">00060238634000000450671800190803044 Kornelius Sakan                   </t>
  </si>
  <si>
    <t xml:space="preserve">00060202915000000489572700070305123 Kurnia Fitriastuti                </t>
  </si>
  <si>
    <t xml:space="preserve">05520514947000000932500000170918883 Lisma Natalia                     </t>
  </si>
  <si>
    <t xml:space="preserve">07865198493000000429403600160916799 M Fikri Caesarandi Hasibuan       </t>
  </si>
  <si>
    <t xml:space="preserve">05750336223000000427121800010513665 Marthen Tabun                     </t>
  </si>
  <si>
    <t xml:space="preserve">00350189041000000600000000000000001 Masimin                           </t>
  </si>
  <si>
    <t xml:space="preserve">07660282321000001276281800030105116 Mullan Tresna                     </t>
  </si>
  <si>
    <t xml:space="preserve">07000245156000000497890000061106279 Nandang Effendi                   </t>
  </si>
  <si>
    <t xml:space="preserve">08760571998000001213272700070518868 Panca Yudi Baskoro                </t>
  </si>
  <si>
    <t xml:space="preserve">00060098298000000804563600160603011 Pantas Banjarnahor Marbun         </t>
  </si>
  <si>
    <t xml:space="preserve">03831252381000000531827300260115754 Prayanti Dewi Anggraini           </t>
  </si>
  <si>
    <t xml:space="preserve">07660268949000000734350000221110557 Rhino Priawan                     </t>
  </si>
  <si>
    <t xml:space="preserve">02170088924000001566800000260716795 Riza Emir Subekti                 </t>
  </si>
  <si>
    <t xml:space="preserve">05025005331000000144218200161220941 Sakinah Tantriana Lubis           </t>
  </si>
  <si>
    <t xml:space="preserve">05325315714000000936450000141108890 Seftiyan Hadi Maulana             </t>
  </si>
  <si>
    <t xml:space="preserve">02101238654000000980622700130906272 Setiadi                           </t>
  </si>
  <si>
    <t xml:space="preserve">00670059618000000608795500210518874 Sholehah                          </t>
  </si>
  <si>
    <t xml:space="preserve">05750223151000000424376300010507354 Sudarlan                          </t>
  </si>
  <si>
    <t xml:space="preserve">05490332288000000456562700140421948 Sufie Amalia                      </t>
  </si>
  <si>
    <t xml:space="preserve">01280421665000000482000000261219925 Suyanto                           </t>
  </si>
  <si>
    <t xml:space="preserve">07660251671000001156145500010210516 T Marungkil  U.S. Sagala          </t>
  </si>
  <si>
    <t xml:space="preserve">06550289791000001268122700030717839 Teguh Pratama Januzir             </t>
  </si>
  <si>
    <t xml:space="preserve">03751363751000001763490900090818880 Turita Pramuning M                </t>
  </si>
  <si>
    <t xml:space="preserve">05520532155000000972350000040219900 Wahyu Ramadhani                   </t>
  </si>
  <si>
    <t xml:space="preserve">08670430678000000472950000240122958 Wardah Laily Khoiriyah            </t>
  </si>
  <si>
    <t xml:space="preserve">02910590742000000611240000280618877 Wisnu Ardian                      </t>
  </si>
  <si>
    <t xml:space="preserve">06860316941000000560518200180822966 Wulanraniasih                     </t>
  </si>
  <si>
    <t xml:space="preserve">03721127379000000913190900160714734 Yuliandaru Suryoatmodjo           </t>
  </si>
  <si>
    <t xml:space="preserve">05520552261000000673506100090819915 Zainudin Anwar                    </t>
  </si>
  <si>
    <t xml:space="preserve">00011754723000001000000000000000002 Yusarman SH                       </t>
  </si>
  <si>
    <t xml:space="preserve">02821395781000000200000000000000002 Jonhar Aziz                       </t>
  </si>
  <si>
    <t xml:space="preserve">02281429789000000200000000000000002 Wartono                           </t>
  </si>
  <si>
    <t xml:space="preserve">05750622536000000485000000000000002 Santoso Dwi Cahyono               </t>
  </si>
  <si>
    <t xml:space="preserve">04860276548000000543863600000000002 Restu Dwi Anjayani                </t>
  </si>
  <si>
    <t xml:space="preserve">06540386232000000800000000000000002 Oqi Suhaqi Yunus                  </t>
  </si>
  <si>
    <t xml:space="preserve">00670059618000000813000000000000002 Yusuf Fathurahman-sho             </t>
  </si>
  <si>
    <t xml:space="preserve">00670059618000000705000000000000002 Muhammad Syarifudin               </t>
  </si>
  <si>
    <t xml:space="preserve">00670059618000000655000000000000002 Dian Setiawan                     </t>
  </si>
  <si>
    <t xml:space="preserve">00670059618000000902500000000000002 Muhammad Sholikun                 </t>
  </si>
  <si>
    <t xml:space="preserve">08681161864000000425000000000000002 Samta Harahap                     </t>
  </si>
  <si>
    <t xml:space="preserve">07125461581000000455000000000000002 Muhammad Lukbani                  </t>
  </si>
  <si>
    <t>0670059618</t>
  </si>
  <si>
    <t>Sholehah</t>
  </si>
  <si>
    <t>Abd Samad</t>
  </si>
  <si>
    <t>BCA</t>
  </si>
  <si>
    <t>Mandiri</t>
  </si>
  <si>
    <t>BRI</t>
  </si>
  <si>
    <t>6550289791</t>
  </si>
  <si>
    <t>121-00-0599441-7</t>
  </si>
  <si>
    <t>0206-01-095647-50-4</t>
  </si>
  <si>
    <t>Teguh Pratama Januzir S</t>
  </si>
  <si>
    <t>Teguh Pratama Januzi</t>
  </si>
  <si>
    <t>0350780718</t>
  </si>
  <si>
    <t>ID Employee</t>
  </si>
  <si>
    <t>Account Number</t>
  </si>
  <si>
    <t>Owner Account</t>
  </si>
  <si>
    <t>Agus Salim</t>
  </si>
  <si>
    <t>Ahmad Syaifulloh</t>
  </si>
  <si>
    <t>Ahmad Choerul</t>
  </si>
  <si>
    <t>Aldi Mulyadi</t>
  </si>
  <si>
    <t>Annisa Dewi Arumsari</t>
  </si>
  <si>
    <t>Anugerah Januariansyah</t>
  </si>
  <si>
    <t>Belina Lindarwani</t>
  </si>
  <si>
    <t>Budianto</t>
  </si>
  <si>
    <t>Dedi Rohman</t>
  </si>
  <si>
    <t>Dionesius Sostenist Duka</t>
  </si>
  <si>
    <t>Edi Waluyo</t>
  </si>
  <si>
    <t>Eka Bagus Dwi Putra</t>
  </si>
  <si>
    <t>Eka Purwanti</t>
  </si>
  <si>
    <t>Endang Sutrisno</t>
  </si>
  <si>
    <t>Ferdian Kriswantoro</t>
  </si>
  <si>
    <t>Frando Judi Siahaan</t>
  </si>
  <si>
    <t>Icha Mailinda</t>
  </si>
  <si>
    <t>Ilham</t>
  </si>
  <si>
    <t>Irma Maulidawati</t>
  </si>
  <si>
    <t>Istikaro Fauziah</t>
  </si>
  <si>
    <t>Kornelius Sakan</t>
  </si>
  <si>
    <t>Kurnia Fitriastuti</t>
  </si>
  <si>
    <t>Lisma Natalia</t>
  </si>
  <si>
    <t>Marthen Tabun</t>
  </si>
  <si>
    <t>Masimin</t>
  </si>
  <si>
    <t>Mullan Tresna</t>
  </si>
  <si>
    <t>Panca Yudi Baskoro</t>
  </si>
  <si>
    <t>Prayanti Dewi Anggraini</t>
  </si>
  <si>
    <t>Rhino Priawan</t>
  </si>
  <si>
    <t>Riza Emir Subekti</t>
  </si>
  <si>
    <t>Seftiyan Hadi Maulana</t>
  </si>
  <si>
    <t>Setiadi</t>
  </si>
  <si>
    <t>Sudarlan</t>
  </si>
  <si>
    <t>Sufie Amalia</t>
  </si>
  <si>
    <t>Suyanto</t>
  </si>
  <si>
    <t>Wahyu Ramadhani</t>
  </si>
  <si>
    <t>Wardah Laily Khoiriyah</t>
  </si>
  <si>
    <t>Wisnu Ardian</t>
  </si>
  <si>
    <t>Wulanraniasih</t>
  </si>
  <si>
    <t>Yuliandaru Suryoatmodjo</t>
  </si>
  <si>
    <t>Zainudin Anwar</t>
  </si>
  <si>
    <t>Yusarman SH</t>
  </si>
  <si>
    <t>Jonhar Aziz</t>
  </si>
  <si>
    <t>Wartono</t>
  </si>
  <si>
    <t>Restu Dwi Anjayani</t>
  </si>
  <si>
    <t>Oqi Suhaqi Yunus</t>
  </si>
  <si>
    <t>Muhammad Syarifudin</t>
  </si>
  <si>
    <t>Dian Setiawan</t>
  </si>
  <si>
    <t>Samta Harahap</t>
  </si>
  <si>
    <t>Muhammad Lukbani</t>
  </si>
  <si>
    <t>4565061969</t>
  </si>
  <si>
    <t>0060185646</t>
  </si>
  <si>
    <t>0060238634</t>
  </si>
  <si>
    <t>0060202915</t>
  </si>
  <si>
    <t>5520514947</t>
  </si>
  <si>
    <t>0350189041</t>
  </si>
  <si>
    <t>0060098298</t>
  </si>
  <si>
    <t>5325315714</t>
  </si>
  <si>
    <t>3751363751</t>
  </si>
  <si>
    <t>0011754723</t>
  </si>
  <si>
    <t>0063032911</t>
  </si>
  <si>
    <t>Achmad Yunadi</t>
  </si>
  <si>
    <t>The Giok Ing Agnes Suted</t>
  </si>
  <si>
    <t>Agus Nuryadi</t>
  </si>
  <si>
    <t>Darsito S Pd</t>
  </si>
  <si>
    <t>Gunawan Ir</t>
  </si>
  <si>
    <t>H T Assubki Ismail Ir</t>
  </si>
  <si>
    <t>Isa Taufiq</t>
  </si>
  <si>
    <t>Jimmywal Amd</t>
  </si>
  <si>
    <t>M Fikri Caesarandi Hasib</t>
  </si>
  <si>
    <t>H Nandang Effendi</t>
  </si>
  <si>
    <t>Pantas Banjar Nahor</t>
  </si>
  <si>
    <t>Sakinah Tantriani</t>
  </si>
  <si>
    <t>T Marungkil U S Sagala</t>
  </si>
  <si>
    <t>Turita Pramuning M Ir</t>
  </si>
  <si>
    <t>Santoso Dwi Cahyo</t>
  </si>
  <si>
    <t>Bank Permata</t>
  </si>
  <si>
    <t>Standard Chartered Bank</t>
  </si>
  <si>
    <t>Permata</t>
  </si>
  <si>
    <t>Standard Chartered</t>
  </si>
  <si>
    <t>Petty Cash</t>
  </si>
  <si>
    <t>Commonwealth</t>
  </si>
  <si>
    <t>Niaga</t>
  </si>
  <si>
    <t>Bank BRI Syariah</t>
  </si>
  <si>
    <t>Bank KALSEL</t>
  </si>
  <si>
    <t>BCM</t>
  </si>
  <si>
    <t>BCS</t>
  </si>
  <si>
    <t>BTN</t>
  </si>
  <si>
    <t>Bank Bengkulu</t>
  </si>
  <si>
    <t>NIAGA</t>
  </si>
  <si>
    <t>BANK BUKOPIN</t>
  </si>
  <si>
    <t>BANK BRI CAB PUTRI HIJAU</t>
  </si>
  <si>
    <t>Bank Bukopin</t>
  </si>
  <si>
    <t>Bank Jatim</t>
  </si>
  <si>
    <t>BNI</t>
  </si>
  <si>
    <t>BNI396</t>
  </si>
  <si>
    <t>NiagaS200</t>
  </si>
  <si>
    <t>Journal Voucher</t>
  </si>
  <si>
    <t>Adjusting Journal</t>
  </si>
  <si>
    <t>Sales Journal</t>
  </si>
  <si>
    <t>BJAWABARAT - IDR 0888</t>
  </si>
  <si>
    <t>Niaga Syariah</t>
  </si>
  <si>
    <t>OCBC</t>
  </si>
  <si>
    <t>Mandiri - IDR 1304</t>
  </si>
  <si>
    <t>BSI - 1347</t>
  </si>
  <si>
    <t>BCA-750</t>
  </si>
  <si>
    <t>Bank Jatim - 1616</t>
  </si>
  <si>
    <t>BRI - IDR 4304</t>
  </si>
  <si>
    <t>BRI - IDR 5300</t>
  </si>
  <si>
    <t>BSI - 6928</t>
  </si>
  <si>
    <t>Bank Central Asia</t>
  </si>
  <si>
    <t>Bank Mandiri</t>
  </si>
  <si>
    <t>Bank Rakyat Indonesia</t>
  </si>
  <si>
    <t>Muhammad Sholikun</t>
  </si>
  <si>
    <t>Yusuf Fathurahman-sho</t>
  </si>
  <si>
    <t>bnk_nama</t>
  </si>
  <si>
    <t>bnk_norek</t>
  </si>
  <si>
    <t>bnk_noreknama</t>
  </si>
  <si>
    <t>bnk_cabang</t>
  </si>
  <si>
    <t>bnk_alamat</t>
  </si>
  <si>
    <t>val_kode</t>
  </si>
  <si>
    <t>cabang</t>
  </si>
  <si>
    <t>PT QDC Technologies</t>
  </si>
  <si>
    <t/>
  </si>
  <si>
    <t>Jakarta</t>
  </si>
  <si>
    <t>2173050101</t>
  </si>
  <si>
    <t>PJO Medan</t>
  </si>
  <si>
    <t>2173108214</t>
  </si>
  <si>
    <t>PJO Surabaya</t>
  </si>
  <si>
    <t>PT. QDC Technologies</t>
  </si>
  <si>
    <t>KCU SCBD</t>
  </si>
  <si>
    <t>Equtiy Tower Ground Floor, Jl. Jend Sudirman Kav 5</t>
  </si>
  <si>
    <t>IDR</t>
  </si>
  <si>
    <t>""</t>
  </si>
  <si>
    <t>0701393414</t>
  </si>
  <si>
    <t>PT Qdc Technologies</t>
  </si>
  <si>
    <t>Menara Prima - Jakarta</t>
  </si>
  <si>
    <t>Jl. Lingkar Mega Kuningan Sub Blok 6.2</t>
  </si>
  <si>
    <t>30601430376</t>
  </si>
  <si>
    <t>Sudirman</t>
  </si>
  <si>
    <t>Menara Standard Chartered Jl, Prof Dr. Satrio No.1</t>
  </si>
  <si>
    <t>0701393481</t>
  </si>
  <si>
    <t>Menara Prima</t>
  </si>
  <si>
    <t>USD</t>
  </si>
  <si>
    <t>0701393643</t>
  </si>
  <si>
    <t>0701393570</t>
  </si>
  <si>
    <t>30601430287</t>
  </si>
  <si>
    <t>30601430325</t>
  </si>
  <si>
    <t>30601430414</t>
  </si>
  <si>
    <t>0000</t>
  </si>
  <si>
    <t>Mega Plaza Lt 5 JL. HR Rasuna Said Kav C3</t>
  </si>
  <si>
    <t>019301001230300</t>
  </si>
  <si>
    <t>PT QDC TECHNOLOGIES</t>
  </si>
  <si>
    <t>Kebayoran baru</t>
  </si>
  <si>
    <t>JL. Hasanudin No. 62 Blok M Kebayoran Baru</t>
  </si>
  <si>
    <t>053801000258309</t>
  </si>
  <si>
    <t>KCP DEPOK</t>
  </si>
  <si>
    <t>JL. Margonda Raya Kp Mangga Rt.002/012 Kel Depok,</t>
  </si>
  <si>
    <t>1051189606</t>
  </si>
  <si>
    <t>PT QDC</t>
  </si>
  <si>
    <t>Wisma Metropolitan 2 Jln Sudirman Kav 25</t>
  </si>
  <si>
    <t>800039839400</t>
  </si>
  <si>
    <t>BEJ</t>
  </si>
  <si>
    <t>1006777593</t>
  </si>
  <si>
    <t>BRS</t>
  </si>
  <si>
    <t>Abdul Moeis</t>
  </si>
  <si>
    <t>Jalan Abdul Muis No.2-4, RT.2/RW.8, Petojo Selatan</t>
  </si>
  <si>
    <t>0400007001223</t>
  </si>
  <si>
    <t>Cabang Jakarta</t>
  </si>
  <si>
    <t>Karet Tengsin, Tanahabang, Kota Jakarta Pusat, Dae</t>
  </si>
  <si>
    <t>BCA Medan</t>
  </si>
  <si>
    <t>Gd. Menara Karya</t>
  </si>
  <si>
    <t>Jl. HR. Rasuna Said X-5 Kav.1-2 Jkt</t>
  </si>
  <si>
    <t>BCA Surabaya</t>
  </si>
  <si>
    <t>0100201300000052</t>
  </si>
  <si>
    <t>Mediterania</t>
  </si>
  <si>
    <t>Apartemen Mediterania Palace Residence, JL Landas</t>
  </si>
  <si>
    <t>0080107000764</t>
  </si>
  <si>
    <t>Jl DR Soepomo Tebet Jakarta</t>
  </si>
  <si>
    <t>800039840100</t>
  </si>
  <si>
    <t>1002405420</t>
  </si>
  <si>
    <t>JAKARTA</t>
  </si>
  <si>
    <t>005301004453305</t>
  </si>
  <si>
    <t>019301003214300</t>
  </si>
  <si>
    <t>Kebayoran Baru</t>
  </si>
  <si>
    <t>Jalan Sultan Hasanudin No.62, RT.2/RW.1, Melawai,</t>
  </si>
  <si>
    <t>1001327468</t>
  </si>
  <si>
    <t>BSD City</t>
  </si>
  <si>
    <t>Ruko Golden Boulevard Blok GI No. 2 - 3, Jl. Pahla</t>
  </si>
  <si>
    <t>1231001251</t>
  </si>
  <si>
    <t>Kelapa Gading</t>
  </si>
  <si>
    <t>Jl. Boulevard Bar. Raya Ruko Inkopal Blk. C No.8,</t>
  </si>
  <si>
    <t>8995885888</t>
  </si>
  <si>
    <t>Cibinong</t>
  </si>
  <si>
    <t>Jl Raya Cibinong No. 600 A, Pabuaran, Cibinong, Pa</t>
  </si>
  <si>
    <t>779207704</t>
  </si>
  <si>
    <t>Menteng</t>
  </si>
  <si>
    <t>Jl. Menteng Raya No.76, RT.4/RW.9, Kb. Sirih, Ment</t>
  </si>
  <si>
    <t>779207715</t>
  </si>
  <si>
    <t>QDC Technologies</t>
  </si>
  <si>
    <t>Jl. Raya Cibinong No. 600 A, Pabuaran, Cibinong, P</t>
  </si>
  <si>
    <t>1001374466</t>
  </si>
  <si>
    <t>QDC Technologies, PT</t>
  </si>
  <si>
    <t>BSD</t>
  </si>
  <si>
    <t>1221001121</t>
  </si>
  <si>
    <t>Depok</t>
  </si>
  <si>
    <t>Jl. Margonda Raya, Pondok Cina, Beji, Kota Depok,</t>
  </si>
  <si>
    <t>1051189707</t>
  </si>
  <si>
    <t>Wisma Metropolitan II, 3A Floor Jl. Jenderal Sudir</t>
  </si>
  <si>
    <t>Equity Tower, Ground Floor, Unit D &amp; Lantai 8, Uni</t>
  </si>
  <si>
    <t>0700009986097</t>
  </si>
  <si>
    <t>KCP Jkt Mampang Prapatan</t>
  </si>
  <si>
    <t>Jl. Mampang Prpt. Raya No.61, Mampang Prpt., Kec.</t>
  </si>
  <si>
    <t>907670396</t>
  </si>
  <si>
    <t>BNI Kankas UBK</t>
  </si>
  <si>
    <t>RT.1/RW.1, Pegangsaan, Kec. Menteng, Kota Jakarta</t>
  </si>
  <si>
    <t>762375277200</t>
  </si>
  <si>
    <t>Graha Niaga / Niaga Tower , Jl. Jendral Sudirman K</t>
  </si>
  <si>
    <t>123456789</t>
  </si>
  <si>
    <t>035901002067300</t>
  </si>
  <si>
    <t>Gatot Subroto</t>
  </si>
  <si>
    <t>Gd. Menara Mulia Lt. Dasar Jl. Jend. Gatot Subroto</t>
  </si>
  <si>
    <t>019301003667309</t>
  </si>
  <si>
    <t>Jl. Sultan Hasanudin No. 62, RT. 2/RW. 1, Melawai,</t>
  </si>
  <si>
    <t>8880888880888</t>
  </si>
  <si>
    <t>Sahardjo</t>
  </si>
  <si>
    <t>Jl. Dr. Saharjo No.111, RT.1/RW.1, Tebet Bar., Kec</t>
  </si>
  <si>
    <t>019301003718304</t>
  </si>
  <si>
    <t>019301003719300</t>
  </si>
  <si>
    <t>019301003720301</t>
  </si>
  <si>
    <t>019301003881301</t>
  </si>
  <si>
    <t>Jalan Sultan Hasanudin No.62, RT.2/RW.1, M</t>
  </si>
  <si>
    <t>044101001553563</t>
  </si>
  <si>
    <t>PT QDC Technoligies</t>
  </si>
  <si>
    <t>Sunter</t>
  </si>
  <si>
    <t>Jl. Danau Sunter Utara Blok C2 No.3 Sunter Agung</t>
  </si>
  <si>
    <t>860012900500</t>
  </si>
  <si>
    <t>Jl. Jendral Sudirman Kav 58</t>
  </si>
  <si>
    <t>020800017913</t>
  </si>
  <si>
    <t>Jl. Gn. Sahari No.38, RT.6/RW.5, Gn. Sahari Utara,</t>
  </si>
  <si>
    <t>044101002094300</t>
  </si>
  <si>
    <t>Jl Danau Sunter Utara Blok C2 No. 3 Kelurahan Sunt</t>
  </si>
  <si>
    <t>0700010933104</t>
  </si>
  <si>
    <t>Mampang</t>
  </si>
  <si>
    <t>Jl. Mampang Prapatan No. 61 Jakarta Selatan, DKI J</t>
  </si>
  <si>
    <t>7240741347</t>
  </si>
  <si>
    <t>Jakarta II (Ampera)</t>
  </si>
  <si>
    <t>Gedung Aurum, Jl. Ampera Raya No.37, Cilandak Tim.</t>
  </si>
  <si>
    <t>0065557750</t>
  </si>
  <si>
    <t>SCBD</t>
  </si>
  <si>
    <t>035101616</t>
  </si>
  <si>
    <t>Thamrin</t>
  </si>
  <si>
    <t xml:space="preserve">Cosmo terrace lantai dasar 1 dan 2 Jakarta pusat  </t>
  </si>
  <si>
    <t>34101002394304</t>
  </si>
  <si>
    <t>Warung Buncit. Mampang</t>
  </si>
  <si>
    <t>Jl. Mampang Prpt. Raya No.8 6, RT.6/RW.3, Mampang</t>
  </si>
  <si>
    <t>34101002395300</t>
  </si>
  <si>
    <t>7240736928</t>
  </si>
  <si>
    <t>Kcp. Jakarta Ampera Raya</t>
  </si>
  <si>
    <t>Jl. Ampera Raya No.59 Kel. Cilandak Timur Kec. Pas</t>
  </si>
  <si>
    <t>Bank Syariah Indonesia</t>
  </si>
  <si>
    <t>Bank Standard Chartered</t>
  </si>
  <si>
    <t>Bank Pembangunan Daerah Jawa Timur</t>
  </si>
  <si>
    <t>Bank Pembangunan Daerah Bengkulu</t>
  </si>
  <si>
    <t>Bank KB Bukopin</t>
  </si>
  <si>
    <t>Bank Negara Indonesia</t>
  </si>
  <si>
    <t>Bank Commonwealth</t>
  </si>
  <si>
    <t>Bank OCBC Nilai Inti Sari Penyimpanan</t>
  </si>
  <si>
    <t>Bank Pembangunan Daerah Kalimantan Selatan</t>
  </si>
  <si>
    <t>Bank Tabungan Negara</t>
  </si>
  <si>
    <t>Bank CIMB Niaga</t>
  </si>
  <si>
    <t>Bank Rakyat Indonesia Syariah</t>
  </si>
  <si>
    <t>Bank Pembangunan Daerah Jawa Barat Banten</t>
  </si>
  <si>
    <t>ZZZ</t>
  </si>
  <si>
    <t>bank</t>
  </si>
  <si>
    <t>0068502911</t>
  </si>
  <si>
    <t>PERFORM "SchData-OLTP-Master"."Func_TblBankAccount_SET"(varSystemLoginSession, null, null, null, varInstitutionBranchID, 166000000000005, '6550289791', 'Teguh Pratama Januzir S', 25000000000439);</t>
  </si>
  <si>
    <t>Currency_RefID</t>
  </si>
  <si>
    <t>62000000000002</t>
  </si>
  <si>
    <t>62000000000001</t>
  </si>
  <si>
    <t>ID Person /
ID Institution</t>
  </si>
  <si>
    <t>Bank Branch</t>
  </si>
  <si>
    <t>Bank Branch Address</t>
  </si>
  <si>
    <t>bnk_kota</t>
  </si>
  <si>
    <t>Jakarta Selatan 12950</t>
  </si>
  <si>
    <t>Jakarta 12930</t>
  </si>
  <si>
    <t>Jakarta Selatan</t>
  </si>
  <si>
    <t>DKI Jakarta</t>
  </si>
  <si>
    <t>Tangerang Selatan</t>
  </si>
  <si>
    <t>Jakarta Utara</t>
  </si>
  <si>
    <t>Bogor</t>
  </si>
  <si>
    <t>Tangerang</t>
  </si>
  <si>
    <t>006-8502911</t>
  </si>
  <si>
    <t>Jakarta Selata</t>
  </si>
  <si>
    <t>Jakarta Pusat</t>
  </si>
  <si>
    <t>1999998082</t>
  </si>
  <si>
    <t xml:space="preserve"> Jl. Margonda No.48, Kemiri Muka, Kecamatan Beji,</t>
  </si>
  <si>
    <t>035901002951305</t>
  </si>
  <si>
    <t>Gd. Mulia, Jl. Gatot Subroto No.Kav. 9-11, Karet S</t>
  </si>
  <si>
    <t>035901002958307</t>
  </si>
  <si>
    <t>026901024911506</t>
  </si>
  <si>
    <t>Urbanus Boimau</t>
  </si>
  <si>
    <t>034101074865501</t>
  </si>
  <si>
    <t>Timotius Tabun</t>
  </si>
  <si>
    <t>034101074867503</t>
  </si>
  <si>
    <t>Supriatna</t>
  </si>
  <si>
    <t>034101074862503</t>
  </si>
  <si>
    <t>Solihin</t>
  </si>
  <si>
    <t>034101074859500</t>
  </si>
  <si>
    <t>Rustono</t>
  </si>
  <si>
    <t>Roy Aditya</t>
  </si>
  <si>
    <t>034101085528508</t>
  </si>
  <si>
    <t>Langgeng Eko Dwiantoro</t>
  </si>
  <si>
    <t>0021817308</t>
  </si>
  <si>
    <t>034101013725530</t>
  </si>
  <si>
    <t>038401073431507</t>
  </si>
  <si>
    <t>Iman Faisal Abdurahman</t>
  </si>
  <si>
    <t>Fabrian Danang Destiyara</t>
  </si>
  <si>
    <t>122301024676505</t>
  </si>
  <si>
    <t>Edy Syahputra Situmeang</t>
  </si>
  <si>
    <t>353201013523538</t>
  </si>
  <si>
    <t xml:space="preserve">212401007578533 </t>
  </si>
  <si>
    <t>Dian Tri Rahmawati</t>
  </si>
  <si>
    <t>033601013930530</t>
  </si>
  <si>
    <t>Davit Lumban Gaol</t>
  </si>
  <si>
    <t>727401009580534</t>
  </si>
  <si>
    <t>034101074857508</t>
  </si>
  <si>
    <t>Burhan</t>
  </si>
  <si>
    <t>669501015343535</t>
  </si>
  <si>
    <t>Arief Yulianto</t>
  </si>
  <si>
    <t>034101074863509</t>
  </si>
  <si>
    <t>Ares S. Mauboi</t>
  </si>
  <si>
    <t>Ahmad Faiz Haems Muda</t>
  </si>
  <si>
    <t>2302269280</t>
  </si>
  <si>
    <t>Adhe Kurniawan</t>
  </si>
  <si>
    <t>5520769236</t>
  </si>
  <si>
    <t>069501008650509</t>
  </si>
  <si>
    <t>Grace Kurniawan</t>
  </si>
  <si>
    <t>4271122556</t>
  </si>
  <si>
    <t>8020227444</t>
  </si>
  <si>
    <t>Rahmata Novanisa</t>
  </si>
  <si>
    <t>0886361747</t>
  </si>
  <si>
    <t>Satrio Dhiaputra</t>
  </si>
  <si>
    <t>7485341129</t>
  </si>
  <si>
    <t>Ridwan Nur Muttaqin</t>
  </si>
  <si>
    <t>010201029577531</t>
  </si>
  <si>
    <t>Taufik Aminudin</t>
  </si>
  <si>
    <t>7025035526</t>
  </si>
  <si>
    <t>Andi Mapasoro</t>
  </si>
  <si>
    <t>0354409671</t>
  </si>
  <si>
    <t>Ahmad Sandi Asyuri</t>
  </si>
  <si>
    <t>5520776887</t>
  </si>
  <si>
    <t>Eka Kurniawan Hidayatullah</t>
  </si>
  <si>
    <t>8801497411</t>
  </si>
  <si>
    <t>Tegar Hersaputra</t>
  </si>
  <si>
    <t xml:space="preserve"> 2730511712</t>
  </si>
  <si>
    <t>Wisnu Trenggono Wirayuda</t>
  </si>
  <si>
    <t>Bank Name</t>
  </si>
  <si>
    <t>RefID Bank</t>
  </si>
  <si>
    <t>Name Person / Institution</t>
  </si>
  <si>
    <t>SYS_PID Prediction</t>
  </si>
  <si>
    <t>SQL Syntax</t>
  </si>
  <si>
    <t>Sulaeman</t>
  </si>
  <si>
    <t>034101082539500</t>
  </si>
  <si>
    <t>034101074864505</t>
  </si>
  <si>
    <t>Sugiarto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</si>
</sst>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43" formatCode="_(* #,##0.00_);_(* \(#,##0.00\);_(* &quot;-&quot;??_);_(@_)"/>
    <numFmt numFmtId="164" formatCode="0_);\(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0"/>
      <color indexed="8"/>
      <name val="MS Sans Serif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color indexed="8"/>
      <name val="Arial"/>
      <family val="2"/>
      <charset val="1"/>
    </font>
    <font>
      <sz val="10"/>
      <color theme="1"/>
      <name val="Tahoma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8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6" fillId="0" borderId="0"/>
    <xf numFmtId="0" fontId="3" fillId="0" borderId="0"/>
    <xf numFmtId="43" fontId="8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0" fontId="3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3" fillId="0" borderId="0"/>
    <xf numFmtId="0" fontId="3" fillId="0" borderId="0"/>
    <xf numFmtId="0" fontId="7" fillId="0" borderId="0" applyFill="0" applyProtection="0"/>
    <xf numFmtId="0" fontId="3" fillId="0" borderId="0"/>
    <xf numFmtId="0" fontId="8" fillId="0" borderId="0"/>
    <xf numFmtId="0" fontId="1" fillId="0" borderId="0"/>
    <xf numFmtId="0" fontId="3" fillId="0" borderId="0"/>
    <xf numFmtId="0" fontId="8" fillId="0" borderId="0"/>
    <xf numFmtId="0" fontId="8" fillId="0" borderId="0"/>
    <xf numFmtId="0" fontId="10" fillId="0" borderId="0"/>
    <xf numFmtId="0" fontId="5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6" fillId="0" borderId="0"/>
    <xf numFmtId="0" fontId="15" fillId="0" borderId="0"/>
  </cellStyleXfs>
  <cellXfs count="63">
    <xf numFmtId="0" fontId="0" fillId="0" borderId="0" xfId="0"/>
    <xf numFmtId="0" fontId="2" fillId="0" borderId="0" xfId="0" applyFont="1"/>
    <xf numFmtId="0" fontId="2" fillId="3" borderId="0" xfId="0" applyFont="1" applyFill="1"/>
    <xf numFmtId="49" fontId="2" fillId="0" borderId="0" xfId="0" applyNumberFormat="1" applyFont="1" applyAlignment="1">
      <alignment horizontal="right"/>
    </xf>
    <xf numFmtId="49" fontId="2" fillId="0" borderId="0" xfId="0" applyNumberFormat="1" applyFont="1"/>
    <xf numFmtId="49" fontId="0" fillId="0" borderId="0" xfId="0" applyNumberFormat="1"/>
    <xf numFmtId="0" fontId="13" fillId="0" borderId="0" xfId="0" applyFont="1"/>
    <xf numFmtId="0" fontId="13" fillId="3" borderId="0" xfId="0" applyFont="1" applyFill="1"/>
    <xf numFmtId="41" fontId="2" fillId="0" borderId="0" xfId="2" applyFont="1"/>
    <xf numFmtId="41" fontId="2" fillId="0" borderId="0" xfId="2" applyFont="1" applyAlignment="1">
      <alignment horizontal="center"/>
    </xf>
    <xf numFmtId="41" fontId="2" fillId="0" borderId="0" xfId="2" applyFont="1" applyAlignment="1">
      <alignment horizontal="right"/>
    </xf>
    <xf numFmtId="49" fontId="4" fillId="2" borderId="0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/>
    <xf numFmtId="49" fontId="4" fillId="2" borderId="6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/>
    <xf numFmtId="0" fontId="2" fillId="3" borderId="4" xfId="0" applyFont="1" applyFill="1" applyBorder="1"/>
    <xf numFmtId="49" fontId="2" fillId="0" borderId="8" xfId="0" applyNumberFormat="1" applyFont="1" applyBorder="1" applyAlignment="1">
      <alignment horizontal="right"/>
    </xf>
    <xf numFmtId="0" fontId="2" fillId="3" borderId="8" xfId="0" applyFont="1" applyFill="1" applyBorder="1"/>
    <xf numFmtId="49" fontId="2" fillId="9" borderId="4" xfId="0" applyNumberFormat="1" applyFont="1" applyFill="1" applyBorder="1" applyAlignment="1">
      <alignment horizontal="right"/>
    </xf>
    <xf numFmtId="49" fontId="2" fillId="9" borderId="8" xfId="0" applyNumberFormat="1" applyFont="1" applyFill="1" applyBorder="1" applyAlignment="1">
      <alignment horizontal="right"/>
    </xf>
    <xf numFmtId="49" fontId="2" fillId="9" borderId="10" xfId="0" applyNumberFormat="1" applyFont="1" applyFill="1" applyBorder="1" applyAlignment="1">
      <alignment horizontal="right"/>
    </xf>
    <xf numFmtId="49" fontId="2" fillId="4" borderId="11" xfId="0" applyNumberFormat="1" applyFont="1" applyFill="1" applyBorder="1" applyAlignment="1">
      <alignment horizontal="right"/>
    </xf>
    <xf numFmtId="0" fontId="2" fillId="4" borderId="11" xfId="0" applyFont="1" applyFill="1" applyBorder="1"/>
    <xf numFmtId="49" fontId="2" fillId="4" borderId="11" xfId="0" applyNumberFormat="1" applyFont="1" applyFill="1" applyBorder="1"/>
    <xf numFmtId="0" fontId="2" fillId="4" borderId="6" xfId="0" applyFont="1" applyFill="1" applyBorder="1"/>
    <xf numFmtId="49" fontId="2" fillId="0" borderId="0" xfId="0" applyNumberFormat="1" applyFont="1" applyAlignment="1">
      <alignment horizontal="center"/>
    </xf>
    <xf numFmtId="0" fontId="2" fillId="8" borderId="5" xfId="0" applyNumberFormat="1" applyFont="1" applyFill="1" applyBorder="1" applyAlignment="1">
      <alignment horizontal="center"/>
    </xf>
    <xf numFmtId="49" fontId="2" fillId="4" borderId="11" xfId="0" applyNumberFormat="1" applyFont="1" applyFill="1" applyBorder="1" applyAlignment="1">
      <alignment horizontal="center"/>
    </xf>
    <xf numFmtId="164" fontId="2" fillId="0" borderId="0" xfId="2" applyNumberFormat="1" applyFont="1" applyAlignment="1">
      <alignment horizontal="center"/>
    </xf>
    <xf numFmtId="0" fontId="2" fillId="8" borderId="2" xfId="0" applyNumberFormat="1" applyFont="1" applyFill="1" applyBorder="1" applyAlignment="1">
      <alignment horizontal="center"/>
    </xf>
    <xf numFmtId="164" fontId="2" fillId="0" borderId="4" xfId="2" applyNumberFormat="1" applyFont="1" applyBorder="1" applyAlignment="1">
      <alignment horizontal="center"/>
    </xf>
    <xf numFmtId="164" fontId="2" fillId="0" borderId="8" xfId="2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" fontId="12" fillId="5" borderId="12" xfId="0" applyNumberFormat="1" applyFont="1" applyFill="1" applyBorder="1" applyAlignment="1">
      <alignment horizontal="center" vertical="center" wrapText="1"/>
    </xf>
    <xf numFmtId="1" fontId="12" fillId="5" borderId="13" xfId="0" applyNumberFormat="1" applyFont="1" applyFill="1" applyBorder="1" applyAlignment="1">
      <alignment horizontal="center" vertical="center" wrapText="1"/>
    </xf>
    <xf numFmtId="1" fontId="16" fillId="10" borderId="15" xfId="0" applyNumberFormat="1" applyFont="1" applyFill="1" applyBorder="1" applyAlignment="1"/>
    <xf numFmtId="0" fontId="2" fillId="0" borderId="0" xfId="0" applyFont="1" applyAlignment="1">
      <alignment horizontal="center"/>
    </xf>
    <xf numFmtId="1" fontId="16" fillId="10" borderId="14" xfId="0" applyNumberFormat="1" applyFont="1" applyFill="1" applyBorder="1" applyAlignment="1">
      <alignment horizontal="center"/>
    </xf>
    <xf numFmtId="1" fontId="17" fillId="6" borderId="8" xfId="0" applyNumberFormat="1" applyFont="1" applyFill="1" applyBorder="1" applyAlignment="1">
      <alignment horizontal="center"/>
    </xf>
    <xf numFmtId="164" fontId="2" fillId="0" borderId="9" xfId="2" applyNumberFormat="1" applyFont="1" applyBorder="1" applyAlignment="1">
      <alignment horizontal="center"/>
    </xf>
    <xf numFmtId="164" fontId="2" fillId="3" borderId="9" xfId="2" applyNumberFormat="1" applyFont="1" applyFill="1" applyBorder="1" applyAlignment="1">
      <alignment horizontal="center"/>
    </xf>
    <xf numFmtId="164" fontId="2" fillId="3" borderId="9" xfId="2" applyNumberFormat="1" applyFont="1" applyFill="1" applyBorder="1"/>
    <xf numFmtId="0" fontId="2" fillId="0" borderId="9" xfId="0" applyFont="1" applyBorder="1"/>
    <xf numFmtId="49" fontId="2" fillId="0" borderId="9" xfId="0" applyNumberFormat="1" applyFont="1" applyBorder="1" applyAlignment="1">
      <alignment horizontal="center"/>
    </xf>
    <xf numFmtId="164" fontId="2" fillId="3" borderId="8" xfId="2" applyNumberFormat="1" applyFont="1" applyFill="1" applyBorder="1" applyAlignment="1">
      <alignment horizontal="center"/>
    </xf>
    <xf numFmtId="164" fontId="2" fillId="3" borderId="8" xfId="2" applyNumberFormat="1" applyFont="1" applyFill="1" applyBorder="1"/>
    <xf numFmtId="0" fontId="2" fillId="0" borderId="8" xfId="0" applyFont="1" applyBorder="1"/>
    <xf numFmtId="49" fontId="2" fillId="0" borderId="8" xfId="0" applyNumberFormat="1" applyFont="1" applyBorder="1" applyAlignment="1">
      <alignment horizontal="center"/>
    </xf>
    <xf numFmtId="164" fontId="2" fillId="0" borderId="16" xfId="2" applyNumberFormat="1" applyFont="1" applyBorder="1" applyAlignment="1">
      <alignment horizontal="center"/>
    </xf>
    <xf numFmtId="49" fontId="2" fillId="0" borderId="16" xfId="0" applyNumberFormat="1" applyFont="1" applyBorder="1" applyAlignment="1">
      <alignment horizontal="right"/>
    </xf>
    <xf numFmtId="0" fontId="2" fillId="0" borderId="16" xfId="0" applyFont="1" applyBorder="1"/>
    <xf numFmtId="49" fontId="2" fillId="0" borderId="16" xfId="0" applyNumberFormat="1" applyFont="1" applyBorder="1" applyAlignment="1">
      <alignment horizontal="center"/>
    </xf>
    <xf numFmtId="0" fontId="4" fillId="7" borderId="3" xfId="0" applyNumberFormat="1" applyFont="1" applyFill="1" applyBorder="1" applyAlignment="1">
      <alignment horizontal="center" vertical="center" wrapText="1"/>
    </xf>
    <xf numFmtId="0" fontId="4" fillId="7" borderId="17" xfId="0" applyNumberFormat="1" applyFont="1" applyFill="1" applyBorder="1" applyAlignment="1">
      <alignment horizontal="center" vertical="center" wrapText="1"/>
    </xf>
    <xf numFmtId="0" fontId="4" fillId="7" borderId="18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" fontId="2" fillId="0" borderId="0" xfId="2" applyNumberFormat="1" applyFont="1" applyAlignment="1">
      <alignment horizontal="center"/>
    </xf>
    <xf numFmtId="1" fontId="2" fillId="3" borderId="9" xfId="2" applyNumberFormat="1" applyFont="1" applyFill="1" applyBorder="1" applyAlignment="1">
      <alignment horizontal="center"/>
    </xf>
    <xf numFmtId="1" fontId="2" fillId="3" borderId="8" xfId="2" applyNumberFormat="1" applyFont="1" applyFill="1" applyBorder="1" applyAlignment="1">
      <alignment horizontal="center"/>
    </xf>
    <xf numFmtId="1" fontId="2" fillId="0" borderId="8" xfId="2" applyNumberFormat="1" applyFont="1" applyBorder="1" applyAlignment="1">
      <alignment horizontal="center"/>
    </xf>
    <xf numFmtId="1" fontId="2" fillId="0" borderId="16" xfId="2" applyNumberFormat="1" applyFont="1" applyBorder="1" applyAlignment="1">
      <alignment horizontal="center"/>
    </xf>
  </cellXfs>
  <cellStyles count="148">
    <cellStyle name="%" xfId="4"/>
    <cellStyle name="Comma [0]" xfId="2" builtinId="6"/>
    <cellStyle name="Comma [0] 2" xfId="6"/>
    <cellStyle name="Comma 10" xfId="7"/>
    <cellStyle name="Comma 100" xfId="8"/>
    <cellStyle name="Comma 101" xfId="9"/>
    <cellStyle name="Comma 102" xfId="10"/>
    <cellStyle name="Comma 103" xfId="11"/>
    <cellStyle name="Comma 104" xfId="12"/>
    <cellStyle name="Comma 105" xfId="13"/>
    <cellStyle name="Comma 106" xfId="5"/>
    <cellStyle name="Comma 11" xfId="14"/>
    <cellStyle name="Comma 12" xfId="15"/>
    <cellStyle name="Comma 13" xfId="16"/>
    <cellStyle name="Comma 14" xfId="17"/>
    <cellStyle name="Comma 15" xfId="18"/>
    <cellStyle name="Comma 16" xfId="19"/>
    <cellStyle name="Comma 17" xfId="20"/>
    <cellStyle name="Comma 18" xfId="21"/>
    <cellStyle name="Comma 19" xfId="22"/>
    <cellStyle name="Comma 2" xfId="23"/>
    <cellStyle name="Comma 20" xfId="24"/>
    <cellStyle name="Comma 21" xfId="25"/>
    <cellStyle name="Comma 22" xfId="26"/>
    <cellStyle name="Comma 23" xfId="27"/>
    <cellStyle name="Comma 24" xfId="28"/>
    <cellStyle name="Comma 25" xfId="29"/>
    <cellStyle name="Comma 26" xfId="30"/>
    <cellStyle name="Comma 27" xfId="31"/>
    <cellStyle name="Comma 28" xfId="32"/>
    <cellStyle name="Comma 29" xfId="33"/>
    <cellStyle name="Comma 3" xfId="34"/>
    <cellStyle name="Comma 30" xfId="35"/>
    <cellStyle name="Comma 31" xfId="36"/>
    <cellStyle name="Comma 32" xfId="37"/>
    <cellStyle name="Comma 33" xfId="38"/>
    <cellStyle name="Comma 34" xfId="39"/>
    <cellStyle name="Comma 35" xfId="40"/>
    <cellStyle name="Comma 36" xfId="41"/>
    <cellStyle name="Comma 37" xfId="42"/>
    <cellStyle name="Comma 38" xfId="43"/>
    <cellStyle name="Comma 39" xfId="44"/>
    <cellStyle name="Comma 4" xfId="45"/>
    <cellStyle name="Comma 40" xfId="46"/>
    <cellStyle name="Comma 41" xfId="47"/>
    <cellStyle name="Comma 42" xfId="48"/>
    <cellStyle name="Comma 43" xfId="49"/>
    <cellStyle name="Comma 44" xfId="50"/>
    <cellStyle name="Comma 45" xfId="51"/>
    <cellStyle name="Comma 46" xfId="52"/>
    <cellStyle name="Comma 47" xfId="53"/>
    <cellStyle name="Comma 48" xfId="54"/>
    <cellStyle name="Comma 49" xfId="55"/>
    <cellStyle name="Comma 5" xfId="56"/>
    <cellStyle name="Comma 50" xfId="57"/>
    <cellStyle name="Comma 51" xfId="58"/>
    <cellStyle name="Comma 52" xfId="59"/>
    <cellStyle name="Comma 53" xfId="60"/>
    <cellStyle name="Comma 54" xfId="61"/>
    <cellStyle name="Comma 55" xfId="62"/>
    <cellStyle name="Comma 56" xfId="63"/>
    <cellStyle name="Comma 57" xfId="64"/>
    <cellStyle name="Comma 58" xfId="65"/>
    <cellStyle name="Comma 59" xfId="66"/>
    <cellStyle name="Comma 6" xfId="67"/>
    <cellStyle name="Comma 60" xfId="68"/>
    <cellStyle name="Comma 61" xfId="69"/>
    <cellStyle name="Comma 62" xfId="70"/>
    <cellStyle name="Comma 63" xfId="71"/>
    <cellStyle name="Comma 64" xfId="72"/>
    <cellStyle name="Comma 65" xfId="73"/>
    <cellStyle name="Comma 66" xfId="74"/>
    <cellStyle name="Comma 67" xfId="75"/>
    <cellStyle name="Comma 68" xfId="76"/>
    <cellStyle name="Comma 69" xfId="77"/>
    <cellStyle name="Comma 7" xfId="78"/>
    <cellStyle name="Comma 70" xfId="79"/>
    <cellStyle name="Comma 71" xfId="80"/>
    <cellStyle name="Comma 72" xfId="81"/>
    <cellStyle name="Comma 73" xfId="82"/>
    <cellStyle name="Comma 74" xfId="83"/>
    <cellStyle name="Comma 75" xfId="84"/>
    <cellStyle name="Comma 76" xfId="85"/>
    <cellStyle name="Comma 77" xfId="86"/>
    <cellStyle name="Comma 78" xfId="87"/>
    <cellStyle name="Comma 79" xfId="88"/>
    <cellStyle name="Comma 8" xfId="89"/>
    <cellStyle name="Comma 80" xfId="90"/>
    <cellStyle name="Comma 81" xfId="91"/>
    <cellStyle name="Comma 82" xfId="92"/>
    <cellStyle name="Comma 83" xfId="93"/>
    <cellStyle name="Comma 84" xfId="94"/>
    <cellStyle name="Comma 85" xfId="95"/>
    <cellStyle name="Comma 86" xfId="96"/>
    <cellStyle name="Comma 87" xfId="97"/>
    <cellStyle name="Comma 88" xfId="98"/>
    <cellStyle name="Comma 89" xfId="99"/>
    <cellStyle name="Comma 9" xfId="100"/>
    <cellStyle name="Comma 90" xfId="101"/>
    <cellStyle name="Comma 91" xfId="102"/>
    <cellStyle name="Comma 92" xfId="103"/>
    <cellStyle name="Comma 93" xfId="104"/>
    <cellStyle name="Comma 94" xfId="105"/>
    <cellStyle name="Comma 95" xfId="106"/>
    <cellStyle name="Comma 96" xfId="107"/>
    <cellStyle name="Comma 97" xfId="108"/>
    <cellStyle name="Comma 98" xfId="109"/>
    <cellStyle name="Comma 99" xfId="110"/>
    <cellStyle name="Normal" xfId="0" builtinId="0"/>
    <cellStyle name="Normal 10" xfId="111"/>
    <cellStyle name="Normal 11" xfId="112"/>
    <cellStyle name="Normal 12" xfId="113"/>
    <cellStyle name="Normal 12 2" xfId="114"/>
    <cellStyle name="Normal 12 3" xfId="115"/>
    <cellStyle name="Normal 13" xfId="116"/>
    <cellStyle name="Normal 14" xfId="117"/>
    <cellStyle name="Normal 14 2" xfId="118"/>
    <cellStyle name="Normal 15" xfId="119"/>
    <cellStyle name="Normal 15 2" xfId="120"/>
    <cellStyle name="Normal 16" xfId="121"/>
    <cellStyle name="Normal 17" xfId="122"/>
    <cellStyle name="Normal 18" xfId="123"/>
    <cellStyle name="Normal 19" xfId="3"/>
    <cellStyle name="Normal 2" xfId="124"/>
    <cellStyle name="Normal 2 2" xfId="125"/>
    <cellStyle name="Normal 2 2 2" xfId="146"/>
    <cellStyle name="Normal 2 3" xfId="1"/>
    <cellStyle name="Normal 2 4" xfId="126"/>
    <cellStyle name="Normal 2 4 2" xfId="127"/>
    <cellStyle name="Normal 2 5" xfId="145"/>
    <cellStyle name="Normal 3" xfId="128"/>
    <cellStyle name="Normal 3 2" xfId="129"/>
    <cellStyle name="Normal 3 2 2" xfId="147"/>
    <cellStyle name="Normal 4" xfId="130"/>
    <cellStyle name="Normal 5" xfId="131"/>
    <cellStyle name="Normal 5 2" xfId="132"/>
    <cellStyle name="Normal 5_Allowance0915" xfId="133"/>
    <cellStyle name="Normal 6" xfId="134"/>
    <cellStyle name="Normal 6 2" xfId="135"/>
    <cellStyle name="Normal 6 2 2" xfId="136"/>
    <cellStyle name="Normal 7" xfId="137"/>
    <cellStyle name="Normal 8" xfId="138"/>
    <cellStyle name="Normal 8 2" xfId="139"/>
    <cellStyle name="Normal 8 3" xfId="140"/>
    <cellStyle name="Normal 8_Allowance0915" xfId="141"/>
    <cellStyle name="Normal 9" xfId="142"/>
    <cellStyle name="Normal 9 2" xfId="143"/>
    <cellStyle name="Normal 9 3" xfId="144"/>
  </cellStyles>
  <dxfs count="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2"/>
      <sheetName val="DataLookUp"/>
      <sheetName val="Sheet2 (2)"/>
    </sheetNames>
    <sheetDataSet>
      <sheetData sheetId="0">
        <row r="2">
          <cell r="B2" t="str">
            <v>Bank Name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Internal Career (Previous Pos)"/>
      <sheetName val="Sheet2"/>
    </sheetNames>
    <sheetDataSet>
      <sheetData sheetId="0" refreshError="1"/>
      <sheetData sheetId="1">
        <row r="4">
          <cell r="C4">
            <v>25000000000001</v>
          </cell>
          <cell r="D4" t="str">
            <v>Abdollah Syani Siregar</v>
          </cell>
          <cell r="E4" t="str">
            <v/>
          </cell>
          <cell r="G4">
            <v>25000000000001</v>
          </cell>
        </row>
        <row r="5">
          <cell r="C5">
            <v>25000000000002</v>
          </cell>
          <cell r="D5" t="str">
            <v>Abdul Karim</v>
          </cell>
          <cell r="E5" t="str">
            <v/>
          </cell>
          <cell r="G5">
            <v>25000000000002</v>
          </cell>
        </row>
        <row r="6">
          <cell r="C6">
            <v>25000000000003</v>
          </cell>
          <cell r="D6" t="str">
            <v>Abdul Rahman Sitompul</v>
          </cell>
          <cell r="E6" t="str">
            <v/>
          </cell>
          <cell r="G6">
            <v>25000000000003</v>
          </cell>
        </row>
        <row r="7">
          <cell r="C7">
            <v>25000000000004</v>
          </cell>
          <cell r="D7" t="str">
            <v>Abdul Risan</v>
          </cell>
          <cell r="E7" t="str">
            <v/>
          </cell>
          <cell r="G7">
            <v>25000000000004</v>
          </cell>
        </row>
        <row r="8">
          <cell r="C8">
            <v>25000000000005</v>
          </cell>
          <cell r="D8" t="str">
            <v>Abdullah Nabil</v>
          </cell>
          <cell r="E8" t="str">
            <v/>
          </cell>
          <cell r="G8">
            <v>25000000000005</v>
          </cell>
        </row>
        <row r="9">
          <cell r="C9">
            <v>25000000000006</v>
          </cell>
          <cell r="D9" t="str">
            <v>Adhitya Danar</v>
          </cell>
          <cell r="E9" t="str">
            <v/>
          </cell>
          <cell r="G9">
            <v>25000000000006</v>
          </cell>
        </row>
        <row r="10">
          <cell r="C10">
            <v>25000000000007</v>
          </cell>
          <cell r="D10" t="str">
            <v>Adi Ruswandi</v>
          </cell>
          <cell r="E10" t="str">
            <v>0209251009</v>
          </cell>
          <cell r="G10">
            <v>25000000000007</v>
          </cell>
        </row>
        <row r="11">
          <cell r="C11">
            <v>25000000000008</v>
          </cell>
          <cell r="D11" t="str">
            <v>Adietya Dharmawan</v>
          </cell>
          <cell r="E11" t="str">
            <v>050321947</v>
          </cell>
          <cell r="G11">
            <v>25000000000008</v>
          </cell>
        </row>
        <row r="12">
          <cell r="C12">
            <v>25000000000009</v>
          </cell>
          <cell r="D12" t="str">
            <v>Aditya Yudha Prawira</v>
          </cell>
          <cell r="E12" t="str">
            <v/>
          </cell>
          <cell r="G12">
            <v>25000000000009</v>
          </cell>
        </row>
        <row r="13">
          <cell r="C13">
            <v>25000000000010</v>
          </cell>
          <cell r="D13" t="str">
            <v>Adli Margie</v>
          </cell>
          <cell r="E13" t="str">
            <v/>
          </cell>
          <cell r="G13">
            <v>25000000000010</v>
          </cell>
        </row>
        <row r="14">
          <cell r="C14">
            <v>25000000000011</v>
          </cell>
          <cell r="D14" t="str">
            <v>Afrida Eka Putri</v>
          </cell>
          <cell r="E14" t="str">
            <v/>
          </cell>
          <cell r="G14">
            <v>25000000000011</v>
          </cell>
        </row>
        <row r="15">
          <cell r="C15">
            <v>25000000000012</v>
          </cell>
          <cell r="D15" t="str">
            <v>Agnes Sutedja</v>
          </cell>
          <cell r="E15" t="str">
            <v>010703020</v>
          </cell>
          <cell r="G15">
            <v>25000000000012</v>
          </cell>
        </row>
        <row r="16">
          <cell r="C16">
            <v>25000000000013</v>
          </cell>
          <cell r="D16" t="str">
            <v>Agung Hendarto</v>
          </cell>
          <cell r="E16" t="str">
            <v/>
          </cell>
          <cell r="G16">
            <v>25000000000013</v>
          </cell>
        </row>
        <row r="17">
          <cell r="C17">
            <v>25000000000014</v>
          </cell>
          <cell r="D17" t="str">
            <v>Agus Priyatno Mahmudo</v>
          </cell>
          <cell r="E17" t="str">
            <v/>
          </cell>
          <cell r="G17">
            <v>25000000000014</v>
          </cell>
        </row>
        <row r="18">
          <cell r="C18">
            <v>25000000000015</v>
          </cell>
          <cell r="D18" t="str">
            <v>Agus Salim</v>
          </cell>
          <cell r="E18" t="str">
            <v>130223978</v>
          </cell>
          <cell r="G18">
            <v>25000000000015</v>
          </cell>
        </row>
        <row r="19">
          <cell r="C19">
            <v>25000000000016</v>
          </cell>
          <cell r="D19" t="str">
            <v>Agus Tanto</v>
          </cell>
          <cell r="E19" t="str">
            <v/>
          </cell>
          <cell r="G19">
            <v>25000000000016</v>
          </cell>
        </row>
        <row r="20">
          <cell r="C20">
            <v>25000000000017</v>
          </cell>
          <cell r="D20" t="str">
            <v>Ahmad Faiz Haems Muda</v>
          </cell>
          <cell r="E20" t="str">
            <v>280314716</v>
          </cell>
          <cell r="G20">
            <v>25000000000017</v>
          </cell>
        </row>
        <row r="21">
          <cell r="C21">
            <v>25000000000018</v>
          </cell>
          <cell r="D21" t="str">
            <v>Ahmad Faza</v>
          </cell>
          <cell r="E21" t="str">
            <v/>
          </cell>
          <cell r="G21">
            <v>25000000000018</v>
          </cell>
        </row>
        <row r="22">
          <cell r="C22">
            <v>25000000000019</v>
          </cell>
          <cell r="D22" t="str">
            <v>Ahmad Syaifulloh</v>
          </cell>
          <cell r="E22" t="str">
            <v>150506222</v>
          </cell>
          <cell r="G22">
            <v>25000000000019</v>
          </cell>
        </row>
        <row r="23">
          <cell r="C23">
            <v>25000000000020</v>
          </cell>
          <cell r="D23" t="str">
            <v>Ahmad Zulkarnaen</v>
          </cell>
          <cell r="E23" t="str">
            <v/>
          </cell>
          <cell r="G23">
            <v>25000000000020</v>
          </cell>
        </row>
        <row r="24">
          <cell r="C24">
            <v>25000000000021</v>
          </cell>
          <cell r="D24" t="str">
            <v>Ajan</v>
          </cell>
          <cell r="E24" t="str">
            <v/>
          </cell>
          <cell r="G24">
            <v>25000000000021</v>
          </cell>
        </row>
        <row r="25">
          <cell r="C25">
            <v>25000000000022</v>
          </cell>
          <cell r="D25" t="str">
            <v>Al Amin</v>
          </cell>
          <cell r="E25" t="str">
            <v/>
          </cell>
          <cell r="G25">
            <v>25000000000022</v>
          </cell>
        </row>
        <row r="26">
          <cell r="C26">
            <v>25000000000023</v>
          </cell>
          <cell r="D26" t="str">
            <v>Aldi Mulyadi</v>
          </cell>
          <cell r="E26" t="str">
            <v>141020935</v>
          </cell>
          <cell r="G26">
            <v>25000000000023</v>
          </cell>
        </row>
        <row r="27">
          <cell r="C27">
            <v>25000000000024</v>
          </cell>
          <cell r="D27" t="str">
            <v>Alexandri</v>
          </cell>
          <cell r="E27" t="str">
            <v/>
          </cell>
          <cell r="G27">
            <v>25000000000024</v>
          </cell>
        </row>
        <row r="28">
          <cell r="C28">
            <v>25000000000025</v>
          </cell>
          <cell r="D28" t="str">
            <v>Alfaedi</v>
          </cell>
          <cell r="E28" t="str">
            <v/>
          </cell>
          <cell r="G28">
            <v>25000000000025</v>
          </cell>
        </row>
        <row r="29">
          <cell r="C29">
            <v>25000000000026</v>
          </cell>
          <cell r="D29" t="str">
            <v>Ali Wahono</v>
          </cell>
          <cell r="E29" t="str">
            <v/>
          </cell>
          <cell r="G29">
            <v>25000000000026</v>
          </cell>
        </row>
        <row r="30">
          <cell r="C30">
            <v>25000000000027</v>
          </cell>
          <cell r="D30" t="str">
            <v>Alphaliyanri Lasria</v>
          </cell>
          <cell r="E30" t="str">
            <v/>
          </cell>
          <cell r="G30">
            <v>25000000000027</v>
          </cell>
        </row>
        <row r="31">
          <cell r="C31">
            <v>25000000000028</v>
          </cell>
          <cell r="D31" t="str">
            <v>Ambon Rumalean</v>
          </cell>
          <cell r="E31" t="str">
            <v/>
          </cell>
          <cell r="G31">
            <v>25000000000028</v>
          </cell>
        </row>
        <row r="32">
          <cell r="C32">
            <v>25000000000029</v>
          </cell>
          <cell r="D32" t="str">
            <v>Amir Sofyan Hadi</v>
          </cell>
          <cell r="E32" t="str">
            <v/>
          </cell>
          <cell r="G32">
            <v>25000000000029</v>
          </cell>
        </row>
        <row r="33">
          <cell r="C33">
            <v>25000000000030</v>
          </cell>
          <cell r="D33" t="str">
            <v>Anak Agung Netti Ariani</v>
          </cell>
          <cell r="E33" t="str">
            <v/>
          </cell>
          <cell r="G33">
            <v>25000000000030</v>
          </cell>
        </row>
        <row r="34">
          <cell r="C34">
            <v>25000000000031</v>
          </cell>
          <cell r="D34" t="str">
            <v>Andri Gunawan</v>
          </cell>
          <cell r="E34" t="str">
            <v/>
          </cell>
          <cell r="G34">
            <v>25000000000031</v>
          </cell>
        </row>
        <row r="35">
          <cell r="C35">
            <v>25000000000032</v>
          </cell>
          <cell r="D35" t="str">
            <v>Andri Herdiansyah</v>
          </cell>
          <cell r="E35" t="str">
            <v/>
          </cell>
          <cell r="G35">
            <v>25000000000032</v>
          </cell>
        </row>
        <row r="36">
          <cell r="C36">
            <v>25000000000033</v>
          </cell>
          <cell r="D36" t="str">
            <v>Andrie</v>
          </cell>
          <cell r="E36" t="str">
            <v/>
          </cell>
          <cell r="G36">
            <v>25000000000033</v>
          </cell>
        </row>
        <row r="37">
          <cell r="C37">
            <v>25000000000034</v>
          </cell>
          <cell r="D37" t="str">
            <v>Anggina Tri Yudandi</v>
          </cell>
          <cell r="E37" t="str">
            <v/>
          </cell>
          <cell r="G37">
            <v>25000000000034</v>
          </cell>
        </row>
        <row r="38">
          <cell r="C38">
            <v>25000000000035</v>
          </cell>
          <cell r="D38" t="str">
            <v>Anggit Ismiyanto</v>
          </cell>
          <cell r="E38" t="str">
            <v/>
          </cell>
          <cell r="G38">
            <v>25000000000035</v>
          </cell>
        </row>
        <row r="39">
          <cell r="C39">
            <v>25000000000036</v>
          </cell>
          <cell r="D39" t="str">
            <v>Anika Setyowati</v>
          </cell>
          <cell r="E39" t="str">
            <v/>
          </cell>
          <cell r="G39">
            <v>25000000000036</v>
          </cell>
        </row>
        <row r="40">
          <cell r="C40">
            <v>25000000000037</v>
          </cell>
          <cell r="D40" t="str">
            <v>Anisah</v>
          </cell>
          <cell r="E40" t="str">
            <v/>
          </cell>
          <cell r="G40">
            <v>25000000000037</v>
          </cell>
        </row>
        <row r="41">
          <cell r="C41">
            <v>25000000000038</v>
          </cell>
          <cell r="D41" t="str">
            <v>Anna Savitrie</v>
          </cell>
          <cell r="E41" t="str">
            <v/>
          </cell>
          <cell r="G41">
            <v>25000000000038</v>
          </cell>
        </row>
        <row r="42">
          <cell r="C42">
            <v>25000000000039</v>
          </cell>
          <cell r="D42" t="str">
            <v>Annisa Dewi Arumsari</v>
          </cell>
          <cell r="E42" t="str">
            <v>100419903</v>
          </cell>
          <cell r="G42">
            <v>25000000000039</v>
          </cell>
        </row>
        <row r="43">
          <cell r="C43">
            <v>25000000000040</v>
          </cell>
          <cell r="D43" t="str">
            <v>Annyes Sri Maristi</v>
          </cell>
          <cell r="E43" t="str">
            <v/>
          </cell>
          <cell r="G43">
            <v>25000000000040</v>
          </cell>
        </row>
        <row r="44">
          <cell r="C44">
            <v>25000000000041</v>
          </cell>
          <cell r="D44" t="str">
            <v>Antok</v>
          </cell>
          <cell r="E44" t="str">
            <v/>
          </cell>
          <cell r="G44">
            <v>25000000000041</v>
          </cell>
        </row>
        <row r="45">
          <cell r="C45">
            <v>25000000000042</v>
          </cell>
          <cell r="D45" t="str">
            <v>Anton Iryanto</v>
          </cell>
          <cell r="E45" t="str">
            <v/>
          </cell>
          <cell r="G45">
            <v>25000000000042</v>
          </cell>
        </row>
        <row r="46">
          <cell r="C46">
            <v>25000000000043</v>
          </cell>
          <cell r="D46" t="str">
            <v>Antony Pakpahan</v>
          </cell>
          <cell r="E46" t="str">
            <v/>
          </cell>
          <cell r="G46">
            <v>25000000000043</v>
          </cell>
        </row>
        <row r="47">
          <cell r="C47">
            <v>25000000000044</v>
          </cell>
          <cell r="D47" t="str">
            <v>Anugerah Januariansyah</v>
          </cell>
          <cell r="E47" t="str">
            <v>310821007</v>
          </cell>
          <cell r="G47">
            <v>25000000000044</v>
          </cell>
        </row>
        <row r="48">
          <cell r="C48">
            <v>25000000000045</v>
          </cell>
          <cell r="D48" t="str">
            <v>Anwar Purnomo</v>
          </cell>
          <cell r="E48" t="str">
            <v/>
          </cell>
          <cell r="G48">
            <v>25000000000045</v>
          </cell>
        </row>
        <row r="49">
          <cell r="C49">
            <v>25000000000046</v>
          </cell>
          <cell r="D49" t="str">
            <v>Ardhi Swasono</v>
          </cell>
          <cell r="E49" t="str">
            <v/>
          </cell>
          <cell r="G49">
            <v>25000000000046</v>
          </cell>
        </row>
        <row r="50">
          <cell r="C50">
            <v>25000000000047</v>
          </cell>
          <cell r="D50" t="str">
            <v>Ardi</v>
          </cell>
          <cell r="E50" t="str">
            <v/>
          </cell>
          <cell r="G50">
            <v>25000000000047</v>
          </cell>
        </row>
        <row r="51">
          <cell r="C51">
            <v>25000000000048</v>
          </cell>
          <cell r="D51" t="str">
            <v>Ardiansyah</v>
          </cell>
          <cell r="E51" t="str">
            <v/>
          </cell>
          <cell r="G51">
            <v>25000000000048</v>
          </cell>
        </row>
        <row r="52">
          <cell r="C52">
            <v>25000000000049</v>
          </cell>
          <cell r="D52" t="str">
            <v>Ardisam</v>
          </cell>
          <cell r="E52" t="str">
            <v/>
          </cell>
          <cell r="G52">
            <v>25000000000049</v>
          </cell>
        </row>
        <row r="53">
          <cell r="C53">
            <v>25000000000050</v>
          </cell>
          <cell r="D53" t="str">
            <v>Ardita</v>
          </cell>
          <cell r="E53" t="str">
            <v/>
          </cell>
          <cell r="G53">
            <v>25000000000050</v>
          </cell>
        </row>
        <row r="54">
          <cell r="C54">
            <v>25000000000051</v>
          </cell>
          <cell r="D54" t="str">
            <v>Ares S. Mauboi</v>
          </cell>
          <cell r="E54" t="str">
            <v>160313008</v>
          </cell>
          <cell r="G54">
            <v>25000000000051</v>
          </cell>
        </row>
        <row r="55">
          <cell r="C55">
            <v>25000000000052</v>
          </cell>
          <cell r="D55" t="str">
            <v>Arfah Hanum</v>
          </cell>
          <cell r="E55" t="str">
            <v/>
          </cell>
          <cell r="G55">
            <v>25000000000052</v>
          </cell>
        </row>
        <row r="56">
          <cell r="C56">
            <v>25000000000053</v>
          </cell>
          <cell r="D56" t="str">
            <v>Arfianti Haryani</v>
          </cell>
          <cell r="E56" t="str">
            <v/>
          </cell>
          <cell r="G56">
            <v>25000000000053</v>
          </cell>
        </row>
        <row r="57">
          <cell r="C57">
            <v>25000000000054</v>
          </cell>
          <cell r="D57" t="str">
            <v>Ari Priwarsono</v>
          </cell>
          <cell r="E57" t="str">
            <v/>
          </cell>
          <cell r="G57">
            <v>25000000000054</v>
          </cell>
        </row>
        <row r="58">
          <cell r="C58">
            <v>25000000000055</v>
          </cell>
          <cell r="D58" t="str">
            <v>Ari Yuniasmono</v>
          </cell>
          <cell r="E58" t="str">
            <v/>
          </cell>
          <cell r="G58">
            <v>25000000000055</v>
          </cell>
        </row>
        <row r="59">
          <cell r="C59">
            <v>25000000000056</v>
          </cell>
          <cell r="D59" t="str">
            <v>Arif Gunawan</v>
          </cell>
          <cell r="E59" t="str">
            <v/>
          </cell>
          <cell r="G59">
            <v>25000000000056</v>
          </cell>
        </row>
        <row r="60">
          <cell r="C60">
            <v>25000000000057</v>
          </cell>
          <cell r="D60" t="str">
            <v>Arif Prasetyo</v>
          </cell>
          <cell r="E60" t="str">
            <v/>
          </cell>
          <cell r="G60">
            <v>25000000000057</v>
          </cell>
        </row>
        <row r="61">
          <cell r="C61">
            <v>25000000000058</v>
          </cell>
          <cell r="D61" t="str">
            <v>Arini</v>
          </cell>
          <cell r="E61" t="str">
            <v/>
          </cell>
          <cell r="G61">
            <v>25000000000058</v>
          </cell>
        </row>
        <row r="62">
          <cell r="C62">
            <v>25000000000059</v>
          </cell>
          <cell r="D62" t="str">
            <v>Ario Setyo Gunawan</v>
          </cell>
          <cell r="E62" t="str">
            <v/>
          </cell>
          <cell r="G62">
            <v>25000000000059</v>
          </cell>
        </row>
        <row r="63">
          <cell r="C63">
            <v>25000000000060</v>
          </cell>
          <cell r="D63" t="str">
            <v>Ario Yulianto Wibowo</v>
          </cell>
          <cell r="E63" t="str">
            <v/>
          </cell>
          <cell r="G63">
            <v>25000000000060</v>
          </cell>
        </row>
        <row r="64">
          <cell r="C64">
            <v>25000000000061</v>
          </cell>
          <cell r="D64" t="str">
            <v>Aris Widodo Pamungkas</v>
          </cell>
          <cell r="E64" t="str">
            <v/>
          </cell>
          <cell r="G64">
            <v>25000000000061</v>
          </cell>
        </row>
        <row r="65">
          <cell r="C65">
            <v>25000000000062</v>
          </cell>
          <cell r="D65" t="str">
            <v>Arjiyanto</v>
          </cell>
          <cell r="E65" t="str">
            <v/>
          </cell>
          <cell r="G65">
            <v>25000000000062</v>
          </cell>
        </row>
        <row r="66">
          <cell r="C66">
            <v>25000000000063</v>
          </cell>
          <cell r="D66" t="str">
            <v>Arman</v>
          </cell>
          <cell r="E66" t="str">
            <v/>
          </cell>
          <cell r="G66">
            <v>25000000000063</v>
          </cell>
        </row>
        <row r="67">
          <cell r="C67">
            <v>25000000000064</v>
          </cell>
          <cell r="D67" t="str">
            <v>Aryoko Sudiro</v>
          </cell>
          <cell r="E67" t="str">
            <v/>
          </cell>
          <cell r="G67">
            <v>25000000000064</v>
          </cell>
        </row>
        <row r="68">
          <cell r="C68">
            <v>25000000000065</v>
          </cell>
          <cell r="D68" t="str">
            <v>Astamyugo</v>
          </cell>
          <cell r="E68" t="str">
            <v/>
          </cell>
          <cell r="G68">
            <v>25000000000065</v>
          </cell>
        </row>
        <row r="69">
          <cell r="C69">
            <v>25000000000066</v>
          </cell>
          <cell r="D69" t="str">
            <v>Atmo Sastro Dinoto</v>
          </cell>
          <cell r="E69" t="str">
            <v/>
          </cell>
          <cell r="G69">
            <v>25000000000066</v>
          </cell>
        </row>
        <row r="70">
          <cell r="C70">
            <v>25000000000067</v>
          </cell>
          <cell r="D70" t="str">
            <v>Awaludin</v>
          </cell>
          <cell r="E70" t="str">
            <v/>
          </cell>
          <cell r="G70">
            <v>25000000000067</v>
          </cell>
        </row>
        <row r="71">
          <cell r="C71">
            <v>25000000000068</v>
          </cell>
          <cell r="D71" t="str">
            <v>Bachtiar</v>
          </cell>
          <cell r="E71" t="str">
            <v/>
          </cell>
          <cell r="G71">
            <v>25000000000068</v>
          </cell>
        </row>
        <row r="72">
          <cell r="C72">
            <v>25000000000069</v>
          </cell>
          <cell r="D72" t="str">
            <v>Bambang Irawan</v>
          </cell>
          <cell r="E72" t="str">
            <v/>
          </cell>
          <cell r="G72">
            <v>25000000000069</v>
          </cell>
        </row>
        <row r="73">
          <cell r="C73">
            <v>25000000000070</v>
          </cell>
          <cell r="D73" t="str">
            <v>Bambang Prihatin</v>
          </cell>
          <cell r="E73" t="str">
            <v/>
          </cell>
          <cell r="G73">
            <v>25000000000070</v>
          </cell>
        </row>
        <row r="74">
          <cell r="C74">
            <v>25000000000071</v>
          </cell>
          <cell r="D74" t="str">
            <v>Bani Mustazeni</v>
          </cell>
          <cell r="E74" t="str">
            <v/>
          </cell>
          <cell r="G74">
            <v>25000000000071</v>
          </cell>
        </row>
        <row r="75">
          <cell r="C75">
            <v>25000000000072</v>
          </cell>
          <cell r="D75" t="str">
            <v>Bardai</v>
          </cell>
          <cell r="E75" t="str">
            <v/>
          </cell>
          <cell r="G75">
            <v>25000000000072</v>
          </cell>
        </row>
        <row r="76">
          <cell r="C76">
            <v>25000000000073</v>
          </cell>
          <cell r="D76" t="str">
            <v>Barika</v>
          </cell>
          <cell r="E76" t="str">
            <v/>
          </cell>
          <cell r="G76">
            <v>25000000000073</v>
          </cell>
        </row>
        <row r="77">
          <cell r="C77">
            <v>25000000000074</v>
          </cell>
          <cell r="D77" t="str">
            <v>Bela Retmalantika</v>
          </cell>
          <cell r="E77" t="str">
            <v/>
          </cell>
          <cell r="G77">
            <v>25000000000074</v>
          </cell>
        </row>
        <row r="78">
          <cell r="C78">
            <v>25000000000075</v>
          </cell>
          <cell r="D78" t="str">
            <v>Belina Lindarwani</v>
          </cell>
          <cell r="E78" t="str">
            <v>100920934</v>
          </cell>
          <cell r="G78">
            <v>25000000000075</v>
          </cell>
        </row>
        <row r="79">
          <cell r="C79">
            <v>25000000000076</v>
          </cell>
          <cell r="D79" t="str">
            <v>Benita Sofia</v>
          </cell>
          <cell r="E79" t="str">
            <v/>
          </cell>
          <cell r="G79">
            <v>25000000000076</v>
          </cell>
        </row>
        <row r="80">
          <cell r="C80">
            <v>25000000000077</v>
          </cell>
          <cell r="D80" t="str">
            <v>Bherly Novrandy</v>
          </cell>
          <cell r="E80" t="str">
            <v/>
          </cell>
          <cell r="G80">
            <v>25000000000077</v>
          </cell>
        </row>
        <row r="81">
          <cell r="C81">
            <v>25000000000078</v>
          </cell>
          <cell r="D81" t="str">
            <v>Binsar</v>
          </cell>
          <cell r="E81" t="str">
            <v/>
          </cell>
          <cell r="G81">
            <v>25000000000078</v>
          </cell>
        </row>
        <row r="82">
          <cell r="C82">
            <v>25000000000079</v>
          </cell>
          <cell r="D82" t="str">
            <v>Bondhan Sosiarta</v>
          </cell>
          <cell r="E82" t="str">
            <v/>
          </cell>
          <cell r="G82">
            <v>25000000000079</v>
          </cell>
        </row>
        <row r="83">
          <cell r="C83">
            <v>25000000000080</v>
          </cell>
          <cell r="D83" t="str">
            <v>Budi Pranata Sinaga</v>
          </cell>
          <cell r="E83" t="str">
            <v/>
          </cell>
          <cell r="G83">
            <v>25000000000080</v>
          </cell>
        </row>
        <row r="84">
          <cell r="C84">
            <v>25000000000081</v>
          </cell>
          <cell r="D84" t="str">
            <v>Budi Satrio</v>
          </cell>
          <cell r="E84" t="str">
            <v/>
          </cell>
          <cell r="G84">
            <v>25000000000081</v>
          </cell>
        </row>
        <row r="85">
          <cell r="C85">
            <v>25000000000082</v>
          </cell>
          <cell r="D85" t="str">
            <v>Budianto</v>
          </cell>
          <cell r="E85" t="str">
            <v>060515769</v>
          </cell>
          <cell r="G85">
            <v>25000000000082</v>
          </cell>
        </row>
        <row r="86">
          <cell r="C86">
            <v>25000000000083</v>
          </cell>
          <cell r="D86" t="str">
            <v>Budiman</v>
          </cell>
          <cell r="E86" t="str">
            <v/>
          </cell>
          <cell r="G86">
            <v>25000000000083</v>
          </cell>
        </row>
        <row r="87">
          <cell r="C87">
            <v>25000000000084</v>
          </cell>
          <cell r="D87" t="str">
            <v>Cahyaning Annisa</v>
          </cell>
          <cell r="E87" t="str">
            <v/>
          </cell>
          <cell r="G87">
            <v>25000000000084</v>
          </cell>
        </row>
        <row r="88">
          <cell r="C88">
            <v>25000000000085</v>
          </cell>
          <cell r="D88" t="str">
            <v>Cahyaningrum Widiastuti</v>
          </cell>
          <cell r="E88" t="str">
            <v/>
          </cell>
          <cell r="G88">
            <v>25000000000085</v>
          </cell>
        </row>
        <row r="89">
          <cell r="C89">
            <v>25000000000086</v>
          </cell>
          <cell r="D89" t="str">
            <v>Cecep Maulana</v>
          </cell>
          <cell r="E89" t="str">
            <v/>
          </cell>
          <cell r="G89">
            <v>25000000000086</v>
          </cell>
        </row>
        <row r="90">
          <cell r="C90">
            <v>25000000000087</v>
          </cell>
          <cell r="D90" t="str">
            <v>Chairul Musaddat</v>
          </cell>
          <cell r="E90" t="str">
            <v/>
          </cell>
          <cell r="G90">
            <v>25000000000087</v>
          </cell>
        </row>
        <row r="91">
          <cell r="C91">
            <v>25000000000088</v>
          </cell>
          <cell r="D91" t="str">
            <v>Christianto</v>
          </cell>
          <cell r="E91" t="str">
            <v/>
          </cell>
          <cell r="G91">
            <v>25000000000088</v>
          </cell>
        </row>
        <row r="92">
          <cell r="C92">
            <v>25000000000089</v>
          </cell>
          <cell r="D92" t="str">
            <v>Dadan Hermawan</v>
          </cell>
          <cell r="E92" t="str">
            <v/>
          </cell>
          <cell r="G92">
            <v>25000000000089</v>
          </cell>
        </row>
        <row r="93">
          <cell r="C93">
            <v>25000000000090</v>
          </cell>
          <cell r="D93" t="str">
            <v>Dadan Suhendar</v>
          </cell>
          <cell r="E93" t="str">
            <v/>
          </cell>
          <cell r="G93">
            <v>25000000000090</v>
          </cell>
        </row>
        <row r="94">
          <cell r="C94">
            <v>25000000000091</v>
          </cell>
          <cell r="D94" t="str">
            <v>Dadi Anda Zuchradi</v>
          </cell>
          <cell r="E94" t="str">
            <v/>
          </cell>
          <cell r="G94">
            <v>25000000000091</v>
          </cell>
        </row>
        <row r="95">
          <cell r="C95">
            <v>25000000000092</v>
          </cell>
          <cell r="D95" t="str">
            <v>Darsito</v>
          </cell>
          <cell r="E95" t="str">
            <v>031212631</v>
          </cell>
          <cell r="G95">
            <v>25000000000092</v>
          </cell>
        </row>
        <row r="96">
          <cell r="C96">
            <v>25000000000093</v>
          </cell>
          <cell r="D96" t="str">
            <v>Davit Lumban Gaol</v>
          </cell>
          <cell r="E96" t="str">
            <v>170417832</v>
          </cell>
          <cell r="G96">
            <v>25000000000093</v>
          </cell>
        </row>
        <row r="97">
          <cell r="C97">
            <v>25000000000094</v>
          </cell>
          <cell r="D97" t="str">
            <v>Deddy Rochman</v>
          </cell>
          <cell r="E97" t="str">
            <v>171215791</v>
          </cell>
          <cell r="G97">
            <v>25000000000094</v>
          </cell>
        </row>
        <row r="98">
          <cell r="C98">
            <v>25000000000095</v>
          </cell>
          <cell r="D98" t="str">
            <v>Dedi Kusnadi</v>
          </cell>
          <cell r="E98" t="str">
            <v/>
          </cell>
          <cell r="G98">
            <v>25000000000095</v>
          </cell>
        </row>
        <row r="99">
          <cell r="C99">
            <v>25000000000096</v>
          </cell>
          <cell r="D99" t="str">
            <v>Dedi Marciano Rizanur</v>
          </cell>
          <cell r="E99" t="str">
            <v/>
          </cell>
          <cell r="G99">
            <v>25000000000096</v>
          </cell>
        </row>
        <row r="100">
          <cell r="C100">
            <v>25000000000097</v>
          </cell>
          <cell r="D100" t="str">
            <v>Dedi Rianto</v>
          </cell>
          <cell r="E100" t="str">
            <v/>
          </cell>
          <cell r="G100">
            <v>25000000000097</v>
          </cell>
        </row>
        <row r="101">
          <cell r="C101">
            <v>25000000000098</v>
          </cell>
          <cell r="D101" t="str">
            <v>Dedi Syahputra</v>
          </cell>
          <cell r="E101" t="str">
            <v/>
          </cell>
          <cell r="G101">
            <v>25000000000098</v>
          </cell>
        </row>
        <row r="102">
          <cell r="C102">
            <v>25000000000099</v>
          </cell>
          <cell r="D102" t="str">
            <v>Deni Setiawan</v>
          </cell>
          <cell r="E102" t="str">
            <v/>
          </cell>
          <cell r="G102">
            <v>25000000000099</v>
          </cell>
        </row>
        <row r="103">
          <cell r="C103">
            <v>25000000000100</v>
          </cell>
          <cell r="D103" t="str">
            <v>Deny Adi Purnama</v>
          </cell>
          <cell r="E103" t="str">
            <v>050123975</v>
          </cell>
          <cell r="G103">
            <v>25000000000100</v>
          </cell>
        </row>
        <row r="104">
          <cell r="C104">
            <v>25000000000101</v>
          </cell>
          <cell r="D104" t="str">
            <v>Desi Herawati</v>
          </cell>
          <cell r="E104" t="str">
            <v/>
          </cell>
          <cell r="G104">
            <v>25000000000101</v>
          </cell>
        </row>
        <row r="105">
          <cell r="C105">
            <v>25000000000102</v>
          </cell>
          <cell r="D105" t="str">
            <v>Desi Setiowati</v>
          </cell>
          <cell r="E105" t="str">
            <v/>
          </cell>
          <cell r="G105">
            <v>25000000000102</v>
          </cell>
        </row>
        <row r="106">
          <cell r="C106">
            <v>25000000000103</v>
          </cell>
          <cell r="D106" t="str">
            <v>Dian Firdaus</v>
          </cell>
          <cell r="E106" t="str">
            <v/>
          </cell>
          <cell r="G106">
            <v>25000000000103</v>
          </cell>
        </row>
        <row r="107">
          <cell r="C107">
            <v>25000000000104</v>
          </cell>
          <cell r="D107" t="str">
            <v>Dian Hariyana</v>
          </cell>
          <cell r="E107" t="str">
            <v/>
          </cell>
          <cell r="G107">
            <v>25000000000104</v>
          </cell>
        </row>
        <row r="108">
          <cell r="C108">
            <v>25000000000105</v>
          </cell>
          <cell r="D108" t="str">
            <v>Dinnar Budiarti</v>
          </cell>
          <cell r="E108" t="str">
            <v/>
          </cell>
          <cell r="G108">
            <v>25000000000105</v>
          </cell>
        </row>
        <row r="109">
          <cell r="C109">
            <v>25000000000106</v>
          </cell>
          <cell r="D109" t="str">
            <v>Dionesius Sostenist Duka</v>
          </cell>
          <cell r="E109" t="str">
            <v>010605133</v>
          </cell>
          <cell r="G109">
            <v>25000000000106</v>
          </cell>
        </row>
        <row r="110">
          <cell r="C110">
            <v>25000000000107</v>
          </cell>
          <cell r="D110" t="str">
            <v>Diyah Martina</v>
          </cell>
          <cell r="E110" t="str">
            <v/>
          </cell>
          <cell r="G110">
            <v>25000000000107</v>
          </cell>
        </row>
        <row r="111">
          <cell r="C111">
            <v>25000000000108</v>
          </cell>
          <cell r="D111" t="str">
            <v>Djuang Tampubolon</v>
          </cell>
          <cell r="E111" t="str">
            <v/>
          </cell>
          <cell r="G111">
            <v>25000000000108</v>
          </cell>
        </row>
        <row r="112">
          <cell r="C112">
            <v>25000000000109</v>
          </cell>
          <cell r="D112" t="str">
            <v>Dodit Widiarto</v>
          </cell>
          <cell r="E112" t="str">
            <v/>
          </cell>
          <cell r="G112">
            <v>25000000000109</v>
          </cell>
        </row>
        <row r="113">
          <cell r="C113">
            <v>25000000000110</v>
          </cell>
          <cell r="D113" t="str">
            <v>Dony Darmawan</v>
          </cell>
          <cell r="E113" t="str">
            <v/>
          </cell>
          <cell r="G113">
            <v>25000000000110</v>
          </cell>
        </row>
        <row r="114">
          <cell r="C114">
            <v>25000000000111</v>
          </cell>
          <cell r="D114" t="str">
            <v>Dony Setiawan</v>
          </cell>
          <cell r="E114" t="str">
            <v/>
          </cell>
          <cell r="G114">
            <v>25000000000111</v>
          </cell>
        </row>
        <row r="115">
          <cell r="C115">
            <v>25000000000112</v>
          </cell>
          <cell r="D115" t="str">
            <v>Dudi Rustandi</v>
          </cell>
          <cell r="E115" t="str">
            <v/>
          </cell>
          <cell r="G115">
            <v>25000000000112</v>
          </cell>
        </row>
        <row r="116">
          <cell r="C116">
            <v>25000000000113</v>
          </cell>
          <cell r="D116" t="str">
            <v>Dudung</v>
          </cell>
          <cell r="E116" t="str">
            <v/>
          </cell>
          <cell r="G116">
            <v>25000000000113</v>
          </cell>
        </row>
        <row r="117">
          <cell r="C117">
            <v>25000000000114</v>
          </cell>
          <cell r="D117" t="str">
            <v>Dwi Joko Setio Tjaroko</v>
          </cell>
          <cell r="E117" t="str">
            <v/>
          </cell>
          <cell r="G117">
            <v>25000000000114</v>
          </cell>
        </row>
        <row r="118">
          <cell r="C118">
            <v>25000000000115</v>
          </cell>
          <cell r="D118" t="str">
            <v>Dwinanto Prabowo</v>
          </cell>
          <cell r="E118" t="str">
            <v/>
          </cell>
          <cell r="G118">
            <v>25000000000115</v>
          </cell>
        </row>
        <row r="119">
          <cell r="C119">
            <v>25000000000116</v>
          </cell>
          <cell r="D119" t="str">
            <v>Edi Waluyo</v>
          </cell>
          <cell r="E119" t="str">
            <v>040803040</v>
          </cell>
          <cell r="G119">
            <v>25000000000116</v>
          </cell>
        </row>
        <row r="120">
          <cell r="C120">
            <v>25000000000117</v>
          </cell>
          <cell r="D120" t="str">
            <v>Edi Siswanto</v>
          </cell>
          <cell r="E120" t="str">
            <v/>
          </cell>
          <cell r="G120">
            <v>25000000000117</v>
          </cell>
        </row>
        <row r="121">
          <cell r="C121">
            <v>25000000000118</v>
          </cell>
          <cell r="D121" t="str">
            <v>Edi Turnip</v>
          </cell>
          <cell r="E121" t="str">
            <v/>
          </cell>
          <cell r="G121">
            <v>25000000000118</v>
          </cell>
        </row>
        <row r="122">
          <cell r="C122">
            <v>25000000000119</v>
          </cell>
          <cell r="D122" t="str">
            <v>Edy Putra Waskita</v>
          </cell>
          <cell r="E122" t="str">
            <v/>
          </cell>
          <cell r="G122">
            <v>25000000000119</v>
          </cell>
        </row>
        <row r="123">
          <cell r="C123">
            <v>25000000000120</v>
          </cell>
          <cell r="D123" t="str">
            <v>Edy Syahputra Situmeang</v>
          </cell>
          <cell r="E123" t="str">
            <v>0701251000</v>
          </cell>
          <cell r="G123">
            <v>25000000000120</v>
          </cell>
        </row>
        <row r="124">
          <cell r="C124">
            <v>25000000000121</v>
          </cell>
          <cell r="D124" t="str">
            <v>Effendi fendi</v>
          </cell>
          <cell r="E124" t="str">
            <v/>
          </cell>
          <cell r="G124">
            <v>25000000000121</v>
          </cell>
        </row>
        <row r="125">
          <cell r="C125">
            <v>25000000000122</v>
          </cell>
          <cell r="D125" t="str">
            <v>Efrina Dwililia</v>
          </cell>
          <cell r="E125" t="str">
            <v/>
          </cell>
          <cell r="G125">
            <v>25000000000122</v>
          </cell>
        </row>
        <row r="126">
          <cell r="C126">
            <v>25000000000123</v>
          </cell>
          <cell r="D126" t="str">
            <v>Eka Bagus Dwi Putra</v>
          </cell>
          <cell r="E126" t="str">
            <v>200420932</v>
          </cell>
          <cell r="G126">
            <v>25000000000123</v>
          </cell>
        </row>
        <row r="127">
          <cell r="C127">
            <v>25000000000124</v>
          </cell>
          <cell r="D127" t="str">
            <v>Eka Hamidah</v>
          </cell>
          <cell r="E127" t="str">
            <v/>
          </cell>
          <cell r="G127">
            <v>25000000000124</v>
          </cell>
        </row>
        <row r="128">
          <cell r="C128">
            <v>25000000000125</v>
          </cell>
          <cell r="D128" t="str">
            <v>Eka Purwanti</v>
          </cell>
          <cell r="E128" t="str">
            <v>060121944</v>
          </cell>
          <cell r="G128">
            <v>25000000000125</v>
          </cell>
        </row>
        <row r="129">
          <cell r="C129">
            <v>25000000000126</v>
          </cell>
          <cell r="D129" t="str">
            <v>Eka Kurniawan Hidayatullah</v>
          </cell>
          <cell r="E129" t="str">
            <v>120324987</v>
          </cell>
          <cell r="G129">
            <v>25000000000126</v>
          </cell>
        </row>
        <row r="130">
          <cell r="C130">
            <v>25000000000127</v>
          </cell>
          <cell r="D130" t="str">
            <v>Eko Laksono</v>
          </cell>
          <cell r="E130" t="str">
            <v/>
          </cell>
          <cell r="G130">
            <v>25000000000127</v>
          </cell>
        </row>
        <row r="131">
          <cell r="C131">
            <v>25000000000128</v>
          </cell>
          <cell r="D131" t="str">
            <v>Eko Syambudi</v>
          </cell>
          <cell r="E131" t="str">
            <v/>
          </cell>
          <cell r="G131">
            <v>25000000000128</v>
          </cell>
        </row>
        <row r="132">
          <cell r="C132">
            <v>25000000000129</v>
          </cell>
          <cell r="D132" t="str">
            <v>Elieser Ferdy P.</v>
          </cell>
          <cell r="E132" t="str">
            <v/>
          </cell>
          <cell r="G132">
            <v>25000000000129</v>
          </cell>
        </row>
        <row r="133">
          <cell r="C133">
            <v>25000000000130</v>
          </cell>
          <cell r="D133" t="str">
            <v>Elisa</v>
          </cell>
          <cell r="E133" t="str">
            <v/>
          </cell>
          <cell r="G133">
            <v>25000000000130</v>
          </cell>
        </row>
        <row r="134">
          <cell r="C134">
            <v>25000000000131</v>
          </cell>
          <cell r="D134" t="str">
            <v>Elsa Jayanti</v>
          </cell>
          <cell r="E134" t="str">
            <v/>
          </cell>
          <cell r="G134">
            <v>25000000000131</v>
          </cell>
        </row>
        <row r="135">
          <cell r="C135">
            <v>25000000000132</v>
          </cell>
          <cell r="D135" t="str">
            <v>Elsa Mardian</v>
          </cell>
          <cell r="E135" t="str">
            <v/>
          </cell>
          <cell r="G135">
            <v>25000000000132</v>
          </cell>
        </row>
        <row r="136">
          <cell r="C136">
            <v>25000000000133</v>
          </cell>
          <cell r="D136" t="str">
            <v>Emir Paranita Nasution</v>
          </cell>
          <cell r="E136" t="str">
            <v/>
          </cell>
          <cell r="G136">
            <v>25000000000133</v>
          </cell>
        </row>
        <row r="137">
          <cell r="C137">
            <v>25000000000134</v>
          </cell>
          <cell r="D137" t="str">
            <v>Enceng Hemawan</v>
          </cell>
          <cell r="E137" t="str">
            <v/>
          </cell>
          <cell r="G137">
            <v>25000000000134</v>
          </cell>
        </row>
        <row r="138">
          <cell r="C138">
            <v>25000000000135</v>
          </cell>
          <cell r="D138" t="str">
            <v>Endang</v>
          </cell>
          <cell r="E138" t="str">
            <v/>
          </cell>
          <cell r="G138">
            <v>25000000000135</v>
          </cell>
        </row>
        <row r="139">
          <cell r="C139">
            <v>25000000000136</v>
          </cell>
          <cell r="D139" t="str">
            <v>Endang Lestari</v>
          </cell>
          <cell r="E139" t="str">
            <v/>
          </cell>
          <cell r="G139">
            <v>25000000000136</v>
          </cell>
        </row>
        <row r="140">
          <cell r="C140">
            <v>25000000000137</v>
          </cell>
          <cell r="D140" t="str">
            <v>Endang Sobari</v>
          </cell>
          <cell r="E140" t="str">
            <v/>
          </cell>
          <cell r="G140">
            <v>25000000000137</v>
          </cell>
        </row>
        <row r="141">
          <cell r="C141">
            <v>25000000000138</v>
          </cell>
          <cell r="D141" t="str">
            <v>Endang Sutrisna</v>
          </cell>
          <cell r="E141" t="str">
            <v>010806250</v>
          </cell>
          <cell r="G141">
            <v>25000000000138</v>
          </cell>
        </row>
        <row r="142">
          <cell r="C142">
            <v>25000000000139</v>
          </cell>
          <cell r="D142" t="str">
            <v>Erfananda Rasyid</v>
          </cell>
          <cell r="E142" t="str">
            <v/>
          </cell>
          <cell r="G142">
            <v>25000000000139</v>
          </cell>
        </row>
        <row r="143">
          <cell r="C143">
            <v>25000000000140</v>
          </cell>
          <cell r="D143" t="str">
            <v>Ernawati</v>
          </cell>
          <cell r="E143" t="str">
            <v/>
          </cell>
          <cell r="G143">
            <v>25000000000140</v>
          </cell>
        </row>
        <row r="144">
          <cell r="C144">
            <v>25000000000141</v>
          </cell>
          <cell r="D144" t="str">
            <v>Erwin Firmansyah</v>
          </cell>
          <cell r="E144" t="str">
            <v/>
          </cell>
          <cell r="G144">
            <v>25000000000141</v>
          </cell>
        </row>
        <row r="145">
          <cell r="C145">
            <v>25000000000142</v>
          </cell>
          <cell r="D145" t="str">
            <v>Erwin Said</v>
          </cell>
          <cell r="E145" t="str">
            <v/>
          </cell>
          <cell r="G145">
            <v>25000000000142</v>
          </cell>
        </row>
        <row r="146">
          <cell r="C146">
            <v>25000000000143</v>
          </cell>
          <cell r="D146" t="str">
            <v>Esa Annahar</v>
          </cell>
          <cell r="E146" t="str">
            <v/>
          </cell>
          <cell r="G146">
            <v>25000000000143</v>
          </cell>
        </row>
        <row r="147">
          <cell r="C147">
            <v>25000000000144</v>
          </cell>
          <cell r="D147" t="str">
            <v>Faiz Horifal</v>
          </cell>
          <cell r="E147" t="str">
            <v/>
          </cell>
          <cell r="G147">
            <v>25000000000144</v>
          </cell>
        </row>
        <row r="148">
          <cell r="C148">
            <v>25000000000145</v>
          </cell>
          <cell r="D148" t="str">
            <v>Fani Dwi Astutik</v>
          </cell>
          <cell r="E148" t="str">
            <v/>
          </cell>
          <cell r="G148">
            <v>25000000000145</v>
          </cell>
        </row>
        <row r="149">
          <cell r="C149">
            <v>25000000000146</v>
          </cell>
          <cell r="D149" t="str">
            <v>Fardi Nauli R</v>
          </cell>
          <cell r="E149" t="str">
            <v/>
          </cell>
          <cell r="G149">
            <v>25000000000146</v>
          </cell>
        </row>
        <row r="150">
          <cell r="C150">
            <v>25000000000147</v>
          </cell>
          <cell r="D150" t="str">
            <v>Farekh Huzair</v>
          </cell>
          <cell r="E150" t="str">
            <v/>
          </cell>
          <cell r="G150">
            <v>25000000000147</v>
          </cell>
        </row>
        <row r="151">
          <cell r="C151">
            <v>25000000000148</v>
          </cell>
          <cell r="D151" t="str">
            <v>Farhana</v>
          </cell>
          <cell r="E151" t="str">
            <v/>
          </cell>
          <cell r="G151">
            <v>25000000000148</v>
          </cell>
        </row>
        <row r="152">
          <cell r="C152">
            <v>25000000000149</v>
          </cell>
          <cell r="D152" t="str">
            <v>Febriyanto Ahdiat</v>
          </cell>
          <cell r="E152" t="str">
            <v/>
          </cell>
          <cell r="G152">
            <v>25000000000149</v>
          </cell>
        </row>
        <row r="153">
          <cell r="C153">
            <v>25000000000150</v>
          </cell>
          <cell r="D153" t="str">
            <v>Febryan Mahsyar</v>
          </cell>
          <cell r="E153" t="str">
            <v/>
          </cell>
          <cell r="G153">
            <v>25000000000150</v>
          </cell>
        </row>
        <row r="154">
          <cell r="C154">
            <v>25000000000151</v>
          </cell>
          <cell r="D154" t="str">
            <v>Felpy</v>
          </cell>
          <cell r="E154" t="str">
            <v/>
          </cell>
          <cell r="G154">
            <v>25000000000151</v>
          </cell>
        </row>
        <row r="155">
          <cell r="C155">
            <v>25000000000152</v>
          </cell>
          <cell r="D155" t="str">
            <v>Feri Priyanto</v>
          </cell>
          <cell r="E155" t="str">
            <v/>
          </cell>
          <cell r="G155">
            <v>25000000000152</v>
          </cell>
        </row>
        <row r="156">
          <cell r="C156">
            <v>25000000000153</v>
          </cell>
          <cell r="D156" t="str">
            <v>Ferry P Simanjuntak</v>
          </cell>
          <cell r="E156" t="str">
            <v/>
          </cell>
          <cell r="G156">
            <v>25000000000153</v>
          </cell>
        </row>
        <row r="157">
          <cell r="C157">
            <v>25000000000154</v>
          </cell>
          <cell r="D157" t="str">
            <v>Fikri</v>
          </cell>
          <cell r="E157" t="str">
            <v/>
          </cell>
          <cell r="G157">
            <v>25000000000154</v>
          </cell>
        </row>
        <row r="158">
          <cell r="C158">
            <v>25000000000155</v>
          </cell>
          <cell r="D158" t="str">
            <v>M. Fikri Caesarandi Hasibuan</v>
          </cell>
          <cell r="E158" t="str">
            <v>160916799</v>
          </cell>
          <cell r="G158">
            <v>25000000000155</v>
          </cell>
        </row>
        <row r="159">
          <cell r="C159">
            <v>25000000000156</v>
          </cell>
          <cell r="D159" t="str">
            <v>Firman Akbar</v>
          </cell>
          <cell r="E159" t="str">
            <v/>
          </cell>
          <cell r="G159">
            <v>25000000000156</v>
          </cell>
        </row>
        <row r="160">
          <cell r="C160">
            <v>25000000000157</v>
          </cell>
          <cell r="D160" t="str">
            <v>Fitriastuti Kurnia</v>
          </cell>
          <cell r="E160" t="str">
            <v>070305123</v>
          </cell>
          <cell r="G160">
            <v>25000000000157</v>
          </cell>
        </row>
        <row r="161">
          <cell r="C161">
            <v>25000000000158</v>
          </cell>
          <cell r="D161" t="str">
            <v>Francis Imanuel</v>
          </cell>
          <cell r="E161" t="str">
            <v/>
          </cell>
          <cell r="G161">
            <v>25000000000158</v>
          </cell>
        </row>
        <row r="162">
          <cell r="C162">
            <v>25000000000159</v>
          </cell>
          <cell r="D162" t="str">
            <v>Frando Judi Siahaan</v>
          </cell>
          <cell r="E162" t="str">
            <v>181114748</v>
          </cell>
          <cell r="G162">
            <v>25000000000159</v>
          </cell>
        </row>
        <row r="163">
          <cell r="C163">
            <v>25000000000160</v>
          </cell>
          <cell r="D163" t="str">
            <v>Frederika Intan</v>
          </cell>
          <cell r="E163" t="str">
            <v/>
          </cell>
          <cell r="G163">
            <v>25000000000160</v>
          </cell>
        </row>
        <row r="164">
          <cell r="C164">
            <v>25000000000161</v>
          </cell>
          <cell r="D164" t="str">
            <v>Fuad Febrian</v>
          </cell>
          <cell r="E164" t="str">
            <v/>
          </cell>
          <cell r="G164">
            <v>25000000000161</v>
          </cell>
        </row>
        <row r="165">
          <cell r="C165">
            <v>25000000000162</v>
          </cell>
          <cell r="D165" t="str">
            <v>Wiyadianto</v>
          </cell>
          <cell r="E165" t="str">
            <v/>
          </cell>
          <cell r="G165">
            <v>25000000000162</v>
          </cell>
        </row>
        <row r="166">
          <cell r="C166">
            <v>25000000000163</v>
          </cell>
          <cell r="D166" t="str">
            <v>Galuh Swastika</v>
          </cell>
          <cell r="E166" t="str">
            <v/>
          </cell>
          <cell r="G166">
            <v>25000000000163</v>
          </cell>
        </row>
        <row r="167">
          <cell r="C167">
            <v>25000000000164</v>
          </cell>
          <cell r="D167" t="str">
            <v>Ganda Yuharis R.</v>
          </cell>
          <cell r="E167" t="str">
            <v/>
          </cell>
          <cell r="G167">
            <v>25000000000164</v>
          </cell>
        </row>
        <row r="168">
          <cell r="C168">
            <v>25000000000165</v>
          </cell>
          <cell r="D168" t="str">
            <v>Gatot Harsono</v>
          </cell>
          <cell r="E168" t="str">
            <v/>
          </cell>
          <cell r="G168">
            <v>25000000000165</v>
          </cell>
        </row>
        <row r="169">
          <cell r="C169">
            <v>25000000000166</v>
          </cell>
          <cell r="D169" t="str">
            <v>Gina Septa</v>
          </cell>
          <cell r="E169" t="str">
            <v/>
          </cell>
          <cell r="G169">
            <v>25000000000166</v>
          </cell>
        </row>
        <row r="170">
          <cell r="C170">
            <v>25000000000167</v>
          </cell>
          <cell r="D170" t="str">
            <v>Grace Kurniawan</v>
          </cell>
          <cell r="E170" t="str">
            <v>010218858</v>
          </cell>
          <cell r="G170">
            <v>25000000000167</v>
          </cell>
        </row>
        <row r="171">
          <cell r="C171">
            <v>25000000000168</v>
          </cell>
          <cell r="D171" t="str">
            <v>Gunawan</v>
          </cell>
          <cell r="E171" t="str">
            <v>070806256</v>
          </cell>
          <cell r="G171">
            <v>25000000000168</v>
          </cell>
        </row>
        <row r="172">
          <cell r="C172">
            <v>25000000000169</v>
          </cell>
          <cell r="D172" t="str">
            <v>Gustia Rakhmanita</v>
          </cell>
          <cell r="E172" t="str">
            <v/>
          </cell>
          <cell r="G172">
            <v>25000000000169</v>
          </cell>
        </row>
        <row r="173">
          <cell r="C173">
            <v>25000000000170</v>
          </cell>
          <cell r="D173" t="str">
            <v>Habib Abdullah</v>
          </cell>
          <cell r="E173" t="str">
            <v/>
          </cell>
          <cell r="G173">
            <v>25000000000170</v>
          </cell>
        </row>
        <row r="174">
          <cell r="C174">
            <v>25000000000171</v>
          </cell>
          <cell r="D174" t="str">
            <v>Hadi Kasmuri</v>
          </cell>
          <cell r="E174" t="str">
            <v/>
          </cell>
          <cell r="G174">
            <v>25000000000171</v>
          </cell>
        </row>
        <row r="175">
          <cell r="C175">
            <v>25000000000172</v>
          </cell>
          <cell r="D175" t="str">
            <v>Haikal</v>
          </cell>
          <cell r="E175" t="str">
            <v/>
          </cell>
          <cell r="G175">
            <v>25000000000172</v>
          </cell>
        </row>
        <row r="176">
          <cell r="C176">
            <v>25000000000173</v>
          </cell>
          <cell r="D176" t="str">
            <v>Hanantowiryo Tamtama</v>
          </cell>
          <cell r="E176" t="str">
            <v/>
          </cell>
          <cell r="G176">
            <v>25000000000173</v>
          </cell>
        </row>
        <row r="177">
          <cell r="C177">
            <v>25000000000174</v>
          </cell>
          <cell r="D177" t="str">
            <v>Handoko</v>
          </cell>
          <cell r="E177" t="str">
            <v/>
          </cell>
          <cell r="G177">
            <v>25000000000174</v>
          </cell>
        </row>
        <row r="178">
          <cell r="C178">
            <v>25000000000175</v>
          </cell>
          <cell r="D178" t="str">
            <v>Hanif Ashari</v>
          </cell>
          <cell r="E178" t="str">
            <v/>
          </cell>
          <cell r="G178">
            <v>25000000000175</v>
          </cell>
        </row>
        <row r="179">
          <cell r="C179">
            <v>25000000000176</v>
          </cell>
          <cell r="D179" t="str">
            <v>Hanif Eko Saputro</v>
          </cell>
          <cell r="E179" t="str">
            <v/>
          </cell>
          <cell r="G179">
            <v>25000000000176</v>
          </cell>
        </row>
        <row r="180">
          <cell r="C180">
            <v>25000000000177</v>
          </cell>
          <cell r="D180" t="str">
            <v>Hardianto</v>
          </cell>
          <cell r="E180" t="str">
            <v/>
          </cell>
          <cell r="G180">
            <v>25000000000177</v>
          </cell>
        </row>
        <row r="181">
          <cell r="C181">
            <v>25000000000178</v>
          </cell>
          <cell r="D181" t="str">
            <v>Harlen Amudi Purba</v>
          </cell>
          <cell r="E181" t="str">
            <v/>
          </cell>
          <cell r="G181">
            <v>25000000000178</v>
          </cell>
        </row>
        <row r="182">
          <cell r="C182">
            <v>25000000000179</v>
          </cell>
          <cell r="D182" t="str">
            <v>Harry Isnaeni</v>
          </cell>
          <cell r="E182" t="str">
            <v/>
          </cell>
          <cell r="G182">
            <v>25000000000179</v>
          </cell>
        </row>
        <row r="183">
          <cell r="C183">
            <v>25000000000180</v>
          </cell>
          <cell r="D183" t="str">
            <v>Hasan Gani</v>
          </cell>
          <cell r="E183" t="str">
            <v/>
          </cell>
          <cell r="G183">
            <v>25000000000180</v>
          </cell>
        </row>
        <row r="184">
          <cell r="C184">
            <v>25000000000181</v>
          </cell>
          <cell r="D184" t="str">
            <v>Hasrul</v>
          </cell>
          <cell r="E184" t="str">
            <v/>
          </cell>
          <cell r="G184">
            <v>25000000000181</v>
          </cell>
        </row>
        <row r="185">
          <cell r="C185">
            <v>25000000000182</v>
          </cell>
          <cell r="D185" t="str">
            <v>Hendar Pambudi</v>
          </cell>
          <cell r="E185" t="str">
            <v/>
          </cell>
          <cell r="G185">
            <v>25000000000182</v>
          </cell>
        </row>
        <row r="186">
          <cell r="C186">
            <v>25000000000183</v>
          </cell>
          <cell r="D186" t="str">
            <v>Hendri Kustian</v>
          </cell>
          <cell r="E186" t="str">
            <v/>
          </cell>
          <cell r="G186">
            <v>25000000000183</v>
          </cell>
        </row>
        <row r="187">
          <cell r="C187">
            <v>25000000000184</v>
          </cell>
          <cell r="D187" t="str">
            <v>Hendrik</v>
          </cell>
          <cell r="E187" t="str">
            <v/>
          </cell>
          <cell r="G187">
            <v>25000000000184</v>
          </cell>
        </row>
        <row r="188">
          <cell r="C188">
            <v>25000000000185</v>
          </cell>
          <cell r="D188" t="str">
            <v>Herdi Yulia Rohmana</v>
          </cell>
          <cell r="E188" t="str">
            <v/>
          </cell>
          <cell r="G188">
            <v>25000000000185</v>
          </cell>
        </row>
        <row r="189">
          <cell r="C189">
            <v>25000000000186</v>
          </cell>
          <cell r="D189" t="str">
            <v>Heri Susanto</v>
          </cell>
          <cell r="E189" t="str">
            <v/>
          </cell>
          <cell r="G189">
            <v>25000000000186</v>
          </cell>
        </row>
        <row r="190">
          <cell r="C190">
            <v>25000000000187</v>
          </cell>
          <cell r="D190" t="str">
            <v>Herlin Juli Asri</v>
          </cell>
          <cell r="E190" t="str">
            <v/>
          </cell>
          <cell r="G190">
            <v>25000000000187</v>
          </cell>
        </row>
        <row r="191">
          <cell r="C191">
            <v>25000000000188</v>
          </cell>
          <cell r="D191" t="str">
            <v>Herman Budoyo</v>
          </cell>
          <cell r="E191" t="str">
            <v/>
          </cell>
          <cell r="G191">
            <v>25000000000188</v>
          </cell>
        </row>
        <row r="192">
          <cell r="C192">
            <v>25000000000189</v>
          </cell>
          <cell r="D192" t="str">
            <v>Herni Yuliati</v>
          </cell>
          <cell r="E192" t="str">
            <v/>
          </cell>
          <cell r="G192">
            <v>25000000000189</v>
          </cell>
        </row>
        <row r="193">
          <cell r="C193">
            <v>25000000000190</v>
          </cell>
          <cell r="D193" t="str">
            <v>Hernita Dwi</v>
          </cell>
          <cell r="E193" t="str">
            <v/>
          </cell>
          <cell r="G193">
            <v>25000000000190</v>
          </cell>
        </row>
        <row r="194">
          <cell r="C194">
            <v>25000000000191</v>
          </cell>
          <cell r="D194" t="str">
            <v>Herri Setyawan</v>
          </cell>
          <cell r="E194" t="str">
            <v/>
          </cell>
          <cell r="G194">
            <v>25000000000191</v>
          </cell>
        </row>
        <row r="195">
          <cell r="C195">
            <v>25000000000192</v>
          </cell>
          <cell r="D195" t="str">
            <v>Heru Sugiri</v>
          </cell>
          <cell r="E195" t="str">
            <v/>
          </cell>
          <cell r="G195">
            <v>25000000000192</v>
          </cell>
        </row>
        <row r="196">
          <cell r="C196">
            <v>25000000000193</v>
          </cell>
          <cell r="D196" t="str">
            <v>Hervian Bagus Saputra</v>
          </cell>
          <cell r="E196" t="str">
            <v/>
          </cell>
          <cell r="G196">
            <v>25000000000193</v>
          </cell>
        </row>
        <row r="197">
          <cell r="C197">
            <v>25000000000194</v>
          </cell>
          <cell r="D197" t="str">
            <v>H.R. Marlina S. T. R.</v>
          </cell>
          <cell r="E197" t="str">
            <v/>
          </cell>
          <cell r="G197">
            <v>25000000000194</v>
          </cell>
        </row>
        <row r="198">
          <cell r="C198">
            <v>25000000000195</v>
          </cell>
          <cell r="D198" t="str">
            <v>Ibrahim Soukani</v>
          </cell>
          <cell r="E198" t="str">
            <v/>
          </cell>
          <cell r="G198">
            <v>25000000000195</v>
          </cell>
        </row>
        <row r="199">
          <cell r="C199">
            <v>25000000000196</v>
          </cell>
          <cell r="D199" t="str">
            <v>Icha Mailinda Syamsoedin</v>
          </cell>
          <cell r="E199" t="str">
            <v>191015786</v>
          </cell>
          <cell r="G199">
            <v>25000000000196</v>
          </cell>
        </row>
        <row r="200">
          <cell r="C200">
            <v>25000000000197</v>
          </cell>
          <cell r="D200" t="str">
            <v>Ichsanudin</v>
          </cell>
          <cell r="E200" t="str">
            <v/>
          </cell>
          <cell r="G200">
            <v>25000000000197</v>
          </cell>
        </row>
        <row r="201">
          <cell r="C201">
            <v>25000000000198</v>
          </cell>
          <cell r="D201" t="str">
            <v>Ida Tri Wulaningsih</v>
          </cell>
          <cell r="E201" t="str">
            <v/>
          </cell>
          <cell r="G201">
            <v>25000000000198</v>
          </cell>
        </row>
        <row r="202">
          <cell r="C202">
            <v>25000000000199</v>
          </cell>
          <cell r="D202" t="str">
            <v>Idham</v>
          </cell>
          <cell r="E202" t="str">
            <v/>
          </cell>
          <cell r="G202">
            <v>25000000000199</v>
          </cell>
        </row>
        <row r="203">
          <cell r="C203">
            <v>25000000000200</v>
          </cell>
          <cell r="D203" t="str">
            <v>Idham Nasution</v>
          </cell>
          <cell r="E203" t="str">
            <v/>
          </cell>
          <cell r="G203">
            <v>25000000000200</v>
          </cell>
        </row>
        <row r="204">
          <cell r="C204">
            <v>25000000000201</v>
          </cell>
          <cell r="D204" t="str">
            <v>Idian</v>
          </cell>
          <cell r="E204" t="str">
            <v/>
          </cell>
          <cell r="G204">
            <v>25000000000201</v>
          </cell>
        </row>
        <row r="205">
          <cell r="C205">
            <v>25000000000202</v>
          </cell>
          <cell r="D205" t="str">
            <v>Ikun M. Soedrajat</v>
          </cell>
          <cell r="E205" t="str">
            <v/>
          </cell>
          <cell r="G205">
            <v>25000000000202</v>
          </cell>
        </row>
        <row r="206">
          <cell r="C206">
            <v>25000000000203</v>
          </cell>
          <cell r="D206" t="str">
            <v>Ilham Arisyandy</v>
          </cell>
          <cell r="E206" t="str">
            <v/>
          </cell>
          <cell r="G206">
            <v>25000000000203</v>
          </cell>
        </row>
        <row r="207">
          <cell r="C207">
            <v>25000000000204</v>
          </cell>
          <cell r="D207" t="str">
            <v>Ilham Akbar</v>
          </cell>
          <cell r="E207" t="str">
            <v>170217825</v>
          </cell>
          <cell r="G207">
            <v>25000000000204</v>
          </cell>
        </row>
        <row r="208">
          <cell r="C208">
            <v>25000000000205</v>
          </cell>
          <cell r="D208" t="str">
            <v>Imam Basuki</v>
          </cell>
          <cell r="E208" t="str">
            <v/>
          </cell>
          <cell r="G208">
            <v>25000000000205</v>
          </cell>
        </row>
        <row r="209">
          <cell r="C209">
            <v>25000000000206</v>
          </cell>
          <cell r="D209" t="str">
            <v>Imam Mustofa</v>
          </cell>
          <cell r="E209" t="str">
            <v/>
          </cell>
          <cell r="G209">
            <v>25000000000206</v>
          </cell>
        </row>
        <row r="210">
          <cell r="C210">
            <v>25000000000207</v>
          </cell>
          <cell r="D210" t="str">
            <v>Imam Safiiy</v>
          </cell>
          <cell r="E210" t="str">
            <v/>
          </cell>
          <cell r="G210">
            <v>25000000000207</v>
          </cell>
        </row>
        <row r="211">
          <cell r="C211">
            <v>25000000000208</v>
          </cell>
          <cell r="D211" t="str">
            <v>Iman Hakiki</v>
          </cell>
          <cell r="E211" t="str">
            <v/>
          </cell>
          <cell r="G211">
            <v>25000000000208</v>
          </cell>
        </row>
        <row r="212">
          <cell r="C212">
            <v>25000000000209</v>
          </cell>
          <cell r="D212" t="str">
            <v>Imelda Claudia</v>
          </cell>
          <cell r="E212" t="str">
            <v/>
          </cell>
          <cell r="G212">
            <v>25000000000209</v>
          </cell>
        </row>
        <row r="213">
          <cell r="C213">
            <v>25000000000210</v>
          </cell>
          <cell r="D213" t="str">
            <v>Indawan Haryadi</v>
          </cell>
          <cell r="E213" t="str">
            <v/>
          </cell>
          <cell r="G213">
            <v>25000000000210</v>
          </cell>
        </row>
        <row r="214">
          <cell r="C214">
            <v>25000000000211</v>
          </cell>
          <cell r="D214" t="str">
            <v>Indra Jaya</v>
          </cell>
          <cell r="E214" t="str">
            <v/>
          </cell>
          <cell r="G214">
            <v>25000000000211</v>
          </cell>
        </row>
        <row r="215">
          <cell r="C215">
            <v>25000000000212</v>
          </cell>
          <cell r="D215" t="str">
            <v>Indra Muchtar</v>
          </cell>
          <cell r="E215" t="str">
            <v/>
          </cell>
          <cell r="G215">
            <v>25000000000212</v>
          </cell>
        </row>
        <row r="216">
          <cell r="C216">
            <v>25000000000213</v>
          </cell>
          <cell r="D216" t="str">
            <v>Irvan</v>
          </cell>
          <cell r="E216" t="str">
            <v/>
          </cell>
          <cell r="G216">
            <v>25000000000213</v>
          </cell>
        </row>
        <row r="217">
          <cell r="C217">
            <v>25000000000214</v>
          </cell>
          <cell r="D217" t="str">
            <v>Irvan Agus Dharma Eka Putra</v>
          </cell>
          <cell r="E217" t="str">
            <v>220221946</v>
          </cell>
          <cell r="G217">
            <v>25000000000214</v>
          </cell>
        </row>
        <row r="218">
          <cell r="C218">
            <v>25000000000215</v>
          </cell>
          <cell r="D218" t="str">
            <v>Irwan</v>
          </cell>
          <cell r="E218" t="str">
            <v/>
          </cell>
          <cell r="G218">
            <v>25000000000215</v>
          </cell>
        </row>
        <row r="219">
          <cell r="C219">
            <v>25000000000216</v>
          </cell>
          <cell r="D219" t="str">
            <v>Isa Anshori</v>
          </cell>
          <cell r="E219" t="str">
            <v/>
          </cell>
          <cell r="G219">
            <v>25000000000216</v>
          </cell>
        </row>
        <row r="220">
          <cell r="C220">
            <v>25000000000217</v>
          </cell>
          <cell r="D220" t="str">
            <v>Isa Taufiq</v>
          </cell>
          <cell r="E220" t="str">
            <v>150805153</v>
          </cell>
          <cell r="G220">
            <v>25000000000217</v>
          </cell>
        </row>
        <row r="221">
          <cell r="C221">
            <v>25000000000218</v>
          </cell>
          <cell r="D221" t="str">
            <v>Iskandarsyah</v>
          </cell>
          <cell r="E221" t="str">
            <v/>
          </cell>
          <cell r="G221">
            <v>25000000000218</v>
          </cell>
        </row>
        <row r="222">
          <cell r="C222">
            <v>25000000000219</v>
          </cell>
          <cell r="D222" t="str">
            <v>Istanto Istanto</v>
          </cell>
          <cell r="E222" t="str">
            <v/>
          </cell>
          <cell r="G222">
            <v>25000000000219</v>
          </cell>
        </row>
        <row r="223">
          <cell r="C223">
            <v>25000000000220</v>
          </cell>
          <cell r="D223" t="str">
            <v>Iswahyuni</v>
          </cell>
          <cell r="E223" t="str">
            <v/>
          </cell>
          <cell r="G223">
            <v>25000000000220</v>
          </cell>
        </row>
        <row r="224">
          <cell r="C224">
            <v>25000000000221</v>
          </cell>
          <cell r="D224" t="str">
            <v>Iva Nurvahayati</v>
          </cell>
          <cell r="E224" t="str">
            <v/>
          </cell>
          <cell r="G224">
            <v>25000000000221</v>
          </cell>
        </row>
        <row r="225">
          <cell r="C225">
            <v>25000000000222</v>
          </cell>
          <cell r="D225" t="str">
            <v>Iwan Setiawan</v>
          </cell>
          <cell r="E225" t="str">
            <v/>
          </cell>
          <cell r="G225">
            <v>25000000000222</v>
          </cell>
        </row>
        <row r="226">
          <cell r="C226">
            <v>25000000000223</v>
          </cell>
          <cell r="D226" t="str">
            <v>Iwan Sumantri</v>
          </cell>
          <cell r="E226" t="str">
            <v/>
          </cell>
          <cell r="G226">
            <v>25000000000223</v>
          </cell>
        </row>
        <row r="227">
          <cell r="C227">
            <v>25000000000224</v>
          </cell>
          <cell r="D227" t="str">
            <v>Iwan Wibawa</v>
          </cell>
          <cell r="E227" t="str">
            <v/>
          </cell>
          <cell r="G227">
            <v>25000000000224</v>
          </cell>
        </row>
        <row r="228">
          <cell r="C228">
            <v>25000000000225</v>
          </cell>
          <cell r="D228" t="str">
            <v>Iyus Darwin</v>
          </cell>
          <cell r="E228" t="str">
            <v/>
          </cell>
          <cell r="G228">
            <v>25000000000225</v>
          </cell>
        </row>
        <row r="229">
          <cell r="C229">
            <v>25000000000226</v>
          </cell>
          <cell r="D229" t="str">
            <v>Jaenudin</v>
          </cell>
          <cell r="E229" t="str">
            <v/>
          </cell>
          <cell r="G229">
            <v>25000000000226</v>
          </cell>
        </row>
        <row r="230">
          <cell r="C230">
            <v>25000000000227</v>
          </cell>
          <cell r="D230" t="str">
            <v>Jaruli Samosir</v>
          </cell>
          <cell r="E230" t="str">
            <v/>
          </cell>
          <cell r="G230">
            <v>25000000000227</v>
          </cell>
        </row>
        <row r="231">
          <cell r="C231">
            <v>25000000000228</v>
          </cell>
          <cell r="D231" t="str">
            <v>Jaya Ganef</v>
          </cell>
          <cell r="E231" t="str">
            <v/>
          </cell>
          <cell r="G231">
            <v>25000000000228</v>
          </cell>
        </row>
        <row r="232">
          <cell r="C232">
            <v>25000000000229</v>
          </cell>
          <cell r="D232" t="str">
            <v>Jaya Sitepu</v>
          </cell>
          <cell r="E232" t="str">
            <v/>
          </cell>
          <cell r="G232">
            <v>25000000000229</v>
          </cell>
        </row>
        <row r="233">
          <cell r="C233">
            <v>25000000000230</v>
          </cell>
          <cell r="D233" t="str">
            <v>Jeefrianda H. P. Sigalingging</v>
          </cell>
          <cell r="E233" t="str">
            <v/>
          </cell>
          <cell r="G233">
            <v>25000000000230</v>
          </cell>
        </row>
        <row r="234">
          <cell r="C234">
            <v>25000000000231</v>
          </cell>
          <cell r="D234" t="str">
            <v>Jerry Djajasaputra</v>
          </cell>
          <cell r="E234" t="str">
            <v/>
          </cell>
          <cell r="G234">
            <v>25000000000231</v>
          </cell>
        </row>
        <row r="235">
          <cell r="C235">
            <v>25000000000232</v>
          </cell>
          <cell r="D235" t="str">
            <v>Jimmywal</v>
          </cell>
          <cell r="E235" t="str">
            <v>040515767</v>
          </cell>
          <cell r="G235">
            <v>25000000000232</v>
          </cell>
        </row>
        <row r="236">
          <cell r="C236">
            <v>25000000000233</v>
          </cell>
          <cell r="D236" t="str">
            <v>Jodie Satria</v>
          </cell>
          <cell r="E236" t="str">
            <v/>
          </cell>
          <cell r="G236">
            <v>25000000000233</v>
          </cell>
        </row>
        <row r="237">
          <cell r="C237">
            <v>25000000000234</v>
          </cell>
          <cell r="D237" t="str">
            <v>Johannes Silalahi</v>
          </cell>
          <cell r="E237" t="str">
            <v/>
          </cell>
          <cell r="G237">
            <v>25000000000234</v>
          </cell>
        </row>
        <row r="238">
          <cell r="C238">
            <v>25000000000235</v>
          </cell>
          <cell r="D238" t="str">
            <v>Joko Wiyono</v>
          </cell>
          <cell r="E238" t="str">
            <v/>
          </cell>
          <cell r="G238">
            <v>25000000000235</v>
          </cell>
        </row>
        <row r="239">
          <cell r="C239">
            <v>25000000000236</v>
          </cell>
          <cell r="D239" t="str">
            <v>Jondril Hantoni</v>
          </cell>
          <cell r="E239" t="str">
            <v/>
          </cell>
          <cell r="G239">
            <v>25000000000236</v>
          </cell>
        </row>
        <row r="240">
          <cell r="C240">
            <v>25000000000237</v>
          </cell>
          <cell r="D240" t="str">
            <v>Jonhar Aziz</v>
          </cell>
          <cell r="E240" t="str">
            <v/>
          </cell>
          <cell r="G240">
            <v>25000000000237</v>
          </cell>
        </row>
        <row r="241">
          <cell r="C241">
            <v>25000000000238</v>
          </cell>
          <cell r="D241" t="str">
            <v>Juan Talitha</v>
          </cell>
          <cell r="E241" t="str">
            <v/>
          </cell>
          <cell r="G241">
            <v>25000000000238</v>
          </cell>
        </row>
        <row r="242">
          <cell r="C242">
            <v>25000000000239</v>
          </cell>
          <cell r="D242" t="str">
            <v>Juharja Juharja</v>
          </cell>
          <cell r="E242" t="str">
            <v/>
          </cell>
          <cell r="G242">
            <v>25000000000239</v>
          </cell>
        </row>
        <row r="243">
          <cell r="C243">
            <v>25000000000240</v>
          </cell>
          <cell r="D243" t="str">
            <v>Juminar</v>
          </cell>
          <cell r="E243" t="str">
            <v/>
          </cell>
          <cell r="G243">
            <v>25000000000240</v>
          </cell>
        </row>
        <row r="244">
          <cell r="C244">
            <v>25000000000241</v>
          </cell>
          <cell r="D244" t="str">
            <v>Jumino</v>
          </cell>
          <cell r="E244" t="str">
            <v/>
          </cell>
          <cell r="G244">
            <v>25000000000241</v>
          </cell>
        </row>
        <row r="245">
          <cell r="C245">
            <v>25000000000242</v>
          </cell>
          <cell r="D245" t="str">
            <v>Junaedi</v>
          </cell>
          <cell r="E245" t="str">
            <v/>
          </cell>
          <cell r="G245">
            <v>25000000000242</v>
          </cell>
        </row>
        <row r="246">
          <cell r="C246">
            <v>25000000000243</v>
          </cell>
          <cell r="D246" t="str">
            <v>Junaidi</v>
          </cell>
          <cell r="E246" t="str">
            <v/>
          </cell>
          <cell r="G246">
            <v>25000000000243</v>
          </cell>
        </row>
        <row r="247">
          <cell r="C247">
            <v>25000000000244</v>
          </cell>
          <cell r="D247" t="str">
            <v>Jusuf Bobby Putra</v>
          </cell>
          <cell r="E247" t="str">
            <v/>
          </cell>
          <cell r="G247">
            <v>25000000000244</v>
          </cell>
        </row>
        <row r="248">
          <cell r="C248">
            <v>25000000000245</v>
          </cell>
          <cell r="D248" t="str">
            <v>Jusuf Gandi</v>
          </cell>
          <cell r="E248" t="str">
            <v/>
          </cell>
          <cell r="G248">
            <v>25000000000245</v>
          </cell>
        </row>
        <row r="249">
          <cell r="C249">
            <v>25000000000246</v>
          </cell>
          <cell r="D249" t="str">
            <v>Kahar Triyono</v>
          </cell>
          <cell r="E249" t="str">
            <v/>
          </cell>
          <cell r="G249">
            <v>25000000000246</v>
          </cell>
        </row>
        <row r="250">
          <cell r="C250">
            <v>25000000000247</v>
          </cell>
          <cell r="D250" t="str">
            <v>Keila</v>
          </cell>
          <cell r="E250" t="str">
            <v/>
          </cell>
          <cell r="G250">
            <v>25000000000247</v>
          </cell>
        </row>
        <row r="251">
          <cell r="C251">
            <v>25000000000248</v>
          </cell>
          <cell r="D251" t="str">
            <v>Kendra Daniswara</v>
          </cell>
          <cell r="E251" t="str">
            <v/>
          </cell>
          <cell r="G251">
            <v>25000000000248</v>
          </cell>
        </row>
        <row r="252">
          <cell r="C252">
            <v>25000000000249</v>
          </cell>
          <cell r="D252" t="str">
            <v>Kevin Henokh Tambunan</v>
          </cell>
          <cell r="E252" t="str">
            <v/>
          </cell>
          <cell r="G252">
            <v>25000000000249</v>
          </cell>
        </row>
        <row r="253">
          <cell r="C253">
            <v>25000000000250</v>
          </cell>
          <cell r="D253" t="str">
            <v>Khafid Fahrurrozi</v>
          </cell>
          <cell r="E253" t="str">
            <v/>
          </cell>
          <cell r="G253">
            <v>25000000000250</v>
          </cell>
        </row>
        <row r="254">
          <cell r="C254">
            <v>25000000000251</v>
          </cell>
          <cell r="D254" t="str">
            <v>Kholik</v>
          </cell>
          <cell r="E254" t="str">
            <v/>
          </cell>
          <cell r="G254">
            <v>25000000000251</v>
          </cell>
        </row>
        <row r="255">
          <cell r="C255">
            <v>25000000000252</v>
          </cell>
          <cell r="D255" t="str">
            <v>Kiki Mustikawati</v>
          </cell>
          <cell r="E255" t="str">
            <v/>
          </cell>
          <cell r="G255">
            <v>25000000000252</v>
          </cell>
        </row>
        <row r="256">
          <cell r="C256">
            <v>25000000000253</v>
          </cell>
          <cell r="D256" t="str">
            <v>Kornelius Sakan</v>
          </cell>
          <cell r="E256" t="str">
            <v>190803044</v>
          </cell>
          <cell r="G256">
            <v>25000000000253</v>
          </cell>
        </row>
        <row r="257">
          <cell r="C257">
            <v>25000000000254</v>
          </cell>
          <cell r="D257" t="str">
            <v>Kosasih</v>
          </cell>
          <cell r="E257" t="str">
            <v/>
          </cell>
          <cell r="G257">
            <v>25000000000254</v>
          </cell>
        </row>
        <row r="258">
          <cell r="C258">
            <v>25000000000255</v>
          </cell>
          <cell r="D258" t="str">
            <v>Krisnawan</v>
          </cell>
          <cell r="E258" t="str">
            <v/>
          </cell>
          <cell r="G258">
            <v>25000000000255</v>
          </cell>
        </row>
        <row r="259">
          <cell r="C259">
            <v>25000000000256</v>
          </cell>
          <cell r="D259" t="str">
            <v>Kurniadi</v>
          </cell>
          <cell r="E259" t="str">
            <v/>
          </cell>
          <cell r="G259">
            <v>25000000000256</v>
          </cell>
        </row>
        <row r="260">
          <cell r="C260">
            <v>25000000000257</v>
          </cell>
          <cell r="D260" t="str">
            <v>Kurniawan</v>
          </cell>
          <cell r="E260" t="str">
            <v/>
          </cell>
          <cell r="G260">
            <v>25000000000257</v>
          </cell>
        </row>
        <row r="261">
          <cell r="C261">
            <v>25000000000258</v>
          </cell>
          <cell r="D261" t="str">
            <v>Laode</v>
          </cell>
          <cell r="E261" t="str">
            <v/>
          </cell>
          <cell r="G261">
            <v>25000000000258</v>
          </cell>
        </row>
        <row r="262">
          <cell r="C262">
            <v>25000000000259</v>
          </cell>
          <cell r="D262" t="str">
            <v>Leo Nababan</v>
          </cell>
          <cell r="E262" t="str">
            <v/>
          </cell>
          <cell r="G262">
            <v>25000000000259</v>
          </cell>
        </row>
        <row r="263">
          <cell r="C263">
            <v>25000000000260</v>
          </cell>
          <cell r="D263" t="str">
            <v>Liani Atmaningrum</v>
          </cell>
          <cell r="E263" t="str">
            <v/>
          </cell>
          <cell r="G263">
            <v>25000000000260</v>
          </cell>
        </row>
        <row r="264">
          <cell r="C264">
            <v>25000000000261</v>
          </cell>
          <cell r="D264" t="str">
            <v>Liaseptriani Liaseptriani</v>
          </cell>
          <cell r="E264" t="str">
            <v/>
          </cell>
          <cell r="G264">
            <v>25000000000261</v>
          </cell>
        </row>
        <row r="265">
          <cell r="C265">
            <v>25000000000262</v>
          </cell>
          <cell r="D265" t="str">
            <v>Lisma Natalia</v>
          </cell>
          <cell r="E265" t="str">
            <v>170918883</v>
          </cell>
          <cell r="G265">
            <v>25000000000262</v>
          </cell>
        </row>
        <row r="266">
          <cell r="C266">
            <v>25000000000263</v>
          </cell>
          <cell r="D266" t="str">
            <v>Listyo Hartanto</v>
          </cell>
          <cell r="E266" t="str">
            <v/>
          </cell>
          <cell r="G266">
            <v>25000000000263</v>
          </cell>
        </row>
        <row r="267">
          <cell r="C267">
            <v>25000000000264</v>
          </cell>
          <cell r="D267" t="str">
            <v>M. Ari Ardizah Nasution</v>
          </cell>
          <cell r="E267" t="str">
            <v/>
          </cell>
          <cell r="G267">
            <v>25000000000264</v>
          </cell>
        </row>
        <row r="268">
          <cell r="C268">
            <v>25000000000265</v>
          </cell>
          <cell r="D268" t="str">
            <v>M. Denny  Micrazudin</v>
          </cell>
          <cell r="E268" t="str">
            <v/>
          </cell>
          <cell r="G268">
            <v>25000000000265</v>
          </cell>
        </row>
        <row r="269">
          <cell r="C269">
            <v>25000000000266</v>
          </cell>
          <cell r="D269" t="str">
            <v>M. Ridho Pramudia</v>
          </cell>
          <cell r="E269" t="str">
            <v/>
          </cell>
          <cell r="G269">
            <v>25000000000266</v>
          </cell>
        </row>
        <row r="270">
          <cell r="C270">
            <v>25000000000267</v>
          </cell>
          <cell r="D270" t="str">
            <v>M. Rusdi</v>
          </cell>
          <cell r="E270" t="str">
            <v/>
          </cell>
          <cell r="G270">
            <v>25000000000267</v>
          </cell>
        </row>
        <row r="271">
          <cell r="C271">
            <v>25000000000268</v>
          </cell>
          <cell r="D271" t="str">
            <v>M. Ervan Isyawal Akbar</v>
          </cell>
          <cell r="E271" t="str">
            <v/>
          </cell>
          <cell r="G271">
            <v>25000000000268</v>
          </cell>
        </row>
        <row r="272">
          <cell r="C272">
            <v>25000000000269</v>
          </cell>
          <cell r="D272" t="str">
            <v>Maharani Tanjungsari</v>
          </cell>
          <cell r="E272" t="str">
            <v/>
          </cell>
          <cell r="G272">
            <v>25000000000269</v>
          </cell>
        </row>
        <row r="273">
          <cell r="C273">
            <v>25000000000270</v>
          </cell>
          <cell r="D273" t="str">
            <v>Maharani Uthmaniah</v>
          </cell>
          <cell r="E273" t="str">
            <v/>
          </cell>
          <cell r="G273">
            <v>25000000000270</v>
          </cell>
        </row>
        <row r="274">
          <cell r="C274">
            <v>25000000000271</v>
          </cell>
          <cell r="D274" t="str">
            <v>Manotar Tamba</v>
          </cell>
          <cell r="E274" t="str">
            <v/>
          </cell>
          <cell r="G274">
            <v>25000000000271</v>
          </cell>
        </row>
        <row r="275">
          <cell r="C275">
            <v>25000000000272</v>
          </cell>
          <cell r="D275" t="str">
            <v>Maradona Manurung</v>
          </cell>
          <cell r="E275" t="str">
            <v/>
          </cell>
          <cell r="G275">
            <v>25000000000272</v>
          </cell>
        </row>
        <row r="276">
          <cell r="C276">
            <v>25000000000273</v>
          </cell>
          <cell r="D276" t="str">
            <v>Pantas Banjarnahor Marbun</v>
          </cell>
          <cell r="E276" t="str">
            <v>160603011</v>
          </cell>
          <cell r="G276">
            <v>25000000000273</v>
          </cell>
        </row>
        <row r="277">
          <cell r="C277">
            <v>25000000000274</v>
          </cell>
          <cell r="D277" t="str">
            <v>Marcella Avia Ramadhinaningrum</v>
          </cell>
          <cell r="E277" t="str">
            <v/>
          </cell>
          <cell r="G277">
            <v>25000000000274</v>
          </cell>
        </row>
        <row r="278">
          <cell r="C278">
            <v>25000000000275</v>
          </cell>
          <cell r="D278" t="str">
            <v>Marissa Watak</v>
          </cell>
          <cell r="E278" t="str">
            <v/>
          </cell>
          <cell r="G278">
            <v>25000000000275</v>
          </cell>
        </row>
        <row r="279">
          <cell r="C279">
            <v>25000000000276</v>
          </cell>
          <cell r="D279" t="str">
            <v>Marten Tabun</v>
          </cell>
          <cell r="E279" t="str">
            <v>010513665</v>
          </cell>
          <cell r="G279">
            <v>25000000000276</v>
          </cell>
        </row>
        <row r="280">
          <cell r="C280">
            <v>25000000000277</v>
          </cell>
          <cell r="D280" t="str">
            <v>Martimbul Rahman</v>
          </cell>
          <cell r="E280" t="str">
            <v>110621951</v>
          </cell>
          <cell r="G280">
            <v>25000000000277</v>
          </cell>
        </row>
        <row r="281">
          <cell r="C281">
            <v>25000000000278</v>
          </cell>
          <cell r="D281" t="str">
            <v>T. Marungkil U. S. Sagala</v>
          </cell>
          <cell r="E281" t="str">
            <v>010210516</v>
          </cell>
          <cell r="G281">
            <v>25000000000278</v>
          </cell>
        </row>
        <row r="282">
          <cell r="C282">
            <v>25000000000279</v>
          </cell>
          <cell r="D282" t="str">
            <v>Marzuki</v>
          </cell>
          <cell r="E282" t="str">
            <v/>
          </cell>
          <cell r="G282">
            <v>25000000000279</v>
          </cell>
        </row>
        <row r="283">
          <cell r="C283">
            <v>25000000000280</v>
          </cell>
          <cell r="D283" t="str">
            <v>Mashuri Mashuri</v>
          </cell>
          <cell r="E283" t="str">
            <v/>
          </cell>
          <cell r="G283">
            <v>25000000000280</v>
          </cell>
        </row>
        <row r="284">
          <cell r="C284">
            <v>25000000000281</v>
          </cell>
          <cell r="D284" t="str">
            <v>Mat Soleh</v>
          </cell>
          <cell r="E284" t="str">
            <v/>
          </cell>
          <cell r="G284">
            <v>25000000000281</v>
          </cell>
        </row>
        <row r="285">
          <cell r="C285">
            <v>25000000000282</v>
          </cell>
          <cell r="D285" t="str">
            <v>Mhd Syahputra</v>
          </cell>
          <cell r="E285" t="str">
            <v/>
          </cell>
          <cell r="G285">
            <v>25000000000282</v>
          </cell>
        </row>
        <row r="286">
          <cell r="C286">
            <v>25000000000283</v>
          </cell>
          <cell r="D286" t="str">
            <v>Mia Puspitasari</v>
          </cell>
          <cell r="E286" t="str">
            <v/>
          </cell>
          <cell r="G286">
            <v>25000000000283</v>
          </cell>
        </row>
        <row r="287">
          <cell r="C287">
            <v>25000000000284</v>
          </cell>
          <cell r="D287" t="str">
            <v>Midin Ena</v>
          </cell>
          <cell r="E287" t="str">
            <v/>
          </cell>
          <cell r="G287">
            <v>25000000000284</v>
          </cell>
        </row>
        <row r="288">
          <cell r="C288">
            <v>25000000000285</v>
          </cell>
          <cell r="D288" t="str">
            <v>Miftakhul Muzakky</v>
          </cell>
          <cell r="E288" t="str">
            <v/>
          </cell>
          <cell r="G288">
            <v>25000000000285</v>
          </cell>
        </row>
        <row r="289">
          <cell r="C289">
            <v>25000000000286</v>
          </cell>
          <cell r="D289" t="str">
            <v>Mista</v>
          </cell>
          <cell r="E289" t="str">
            <v/>
          </cell>
          <cell r="G289">
            <v>25000000000286</v>
          </cell>
        </row>
        <row r="290">
          <cell r="C290">
            <v>25000000000287</v>
          </cell>
          <cell r="D290" t="str">
            <v>Mochamad Samman</v>
          </cell>
          <cell r="E290" t="str">
            <v/>
          </cell>
          <cell r="G290">
            <v>25000000000287</v>
          </cell>
        </row>
        <row r="291">
          <cell r="C291">
            <v>25000000000288</v>
          </cell>
          <cell r="D291" t="str">
            <v>Moh. Afif</v>
          </cell>
          <cell r="E291" t="str">
            <v/>
          </cell>
          <cell r="G291">
            <v>25000000000288</v>
          </cell>
        </row>
        <row r="292">
          <cell r="C292">
            <v>25000000000289</v>
          </cell>
          <cell r="D292" t="str">
            <v>Mohammad Arman Tompo</v>
          </cell>
          <cell r="E292" t="str">
            <v/>
          </cell>
          <cell r="G292">
            <v>25000000000289</v>
          </cell>
        </row>
        <row r="293">
          <cell r="C293">
            <v>25000000000290</v>
          </cell>
          <cell r="D293" t="str">
            <v>Mohd. Elfan Pratama</v>
          </cell>
          <cell r="E293" t="str">
            <v/>
          </cell>
          <cell r="G293">
            <v>25000000000290</v>
          </cell>
        </row>
        <row r="294">
          <cell r="C294">
            <v>25000000000291</v>
          </cell>
          <cell r="D294" t="str">
            <v>Monang Simarmata</v>
          </cell>
          <cell r="E294" t="str">
            <v/>
          </cell>
          <cell r="G294">
            <v>25000000000291</v>
          </cell>
        </row>
        <row r="295">
          <cell r="C295">
            <v>25000000000292</v>
          </cell>
          <cell r="D295" t="str">
            <v>Moritz Thomsen Marbun</v>
          </cell>
          <cell r="E295" t="str">
            <v/>
          </cell>
          <cell r="G295">
            <v>25000000000292</v>
          </cell>
        </row>
        <row r="296">
          <cell r="C296">
            <v>25000000000293</v>
          </cell>
          <cell r="D296" t="str">
            <v>Muhamad Hamdan Rifai</v>
          </cell>
          <cell r="E296" t="str">
            <v/>
          </cell>
          <cell r="G296">
            <v>25000000000293</v>
          </cell>
        </row>
        <row r="297">
          <cell r="C297">
            <v>25000000000294</v>
          </cell>
          <cell r="D297" t="str">
            <v>Muhamad Ikhsan</v>
          </cell>
          <cell r="E297" t="str">
            <v/>
          </cell>
          <cell r="G297">
            <v>25000000000294</v>
          </cell>
        </row>
        <row r="298">
          <cell r="C298">
            <v>25000000000295</v>
          </cell>
          <cell r="D298" t="str">
            <v>Muhamad Nurhamsach</v>
          </cell>
          <cell r="E298" t="str">
            <v/>
          </cell>
          <cell r="G298">
            <v>25000000000295</v>
          </cell>
        </row>
        <row r="299">
          <cell r="C299">
            <v>25000000000296</v>
          </cell>
          <cell r="D299" t="str">
            <v>Muhammad Ardiansyah</v>
          </cell>
          <cell r="E299" t="str">
            <v/>
          </cell>
          <cell r="G299">
            <v>25000000000296</v>
          </cell>
        </row>
        <row r="300">
          <cell r="C300">
            <v>25000000000297</v>
          </cell>
          <cell r="D300" t="str">
            <v>Muhammad Khadafy</v>
          </cell>
          <cell r="E300" t="str">
            <v/>
          </cell>
          <cell r="G300">
            <v>25000000000297</v>
          </cell>
        </row>
        <row r="301">
          <cell r="C301">
            <v>25000000000298</v>
          </cell>
          <cell r="D301" t="str">
            <v>Muhammad Taufan</v>
          </cell>
          <cell r="E301" t="str">
            <v/>
          </cell>
          <cell r="G301">
            <v>25000000000298</v>
          </cell>
        </row>
        <row r="302">
          <cell r="C302">
            <v>25000000000299</v>
          </cell>
          <cell r="D302" t="str">
            <v>Muklis</v>
          </cell>
          <cell r="E302" t="str">
            <v/>
          </cell>
          <cell r="G302">
            <v>25000000000299</v>
          </cell>
        </row>
        <row r="303">
          <cell r="C303">
            <v>25000000000300</v>
          </cell>
          <cell r="D303" t="str">
            <v>Mulia Rohanson Harahap</v>
          </cell>
          <cell r="E303" t="str">
            <v/>
          </cell>
          <cell r="G303">
            <v>25000000000300</v>
          </cell>
        </row>
        <row r="304">
          <cell r="C304">
            <v>25000000000301</v>
          </cell>
          <cell r="D304" t="str">
            <v>Mullan Tresna</v>
          </cell>
          <cell r="E304" t="str">
            <v>030105116</v>
          </cell>
          <cell r="G304">
            <v>25000000000301</v>
          </cell>
        </row>
        <row r="305">
          <cell r="C305">
            <v>25000000000302</v>
          </cell>
          <cell r="D305" t="str">
            <v>Mulyadi</v>
          </cell>
          <cell r="E305" t="str">
            <v/>
          </cell>
          <cell r="G305">
            <v>25000000000302</v>
          </cell>
        </row>
        <row r="306">
          <cell r="C306">
            <v>25000000000303</v>
          </cell>
          <cell r="D306" t="str">
            <v>Mulyono</v>
          </cell>
          <cell r="E306" t="str">
            <v/>
          </cell>
          <cell r="G306">
            <v>25000000000303</v>
          </cell>
        </row>
        <row r="307">
          <cell r="C307">
            <v>25000000000304</v>
          </cell>
          <cell r="D307" t="str">
            <v>Murdiansyah</v>
          </cell>
          <cell r="E307" t="str">
            <v/>
          </cell>
          <cell r="G307">
            <v>25000000000304</v>
          </cell>
        </row>
        <row r="308">
          <cell r="C308">
            <v>25000000000305</v>
          </cell>
          <cell r="D308" t="str">
            <v>Mursalim</v>
          </cell>
          <cell r="E308" t="str">
            <v/>
          </cell>
          <cell r="G308">
            <v>25000000000305</v>
          </cell>
        </row>
        <row r="309">
          <cell r="C309">
            <v>25000000000306</v>
          </cell>
          <cell r="D309" t="str">
            <v>Nancy Meriana Sinaga</v>
          </cell>
          <cell r="E309" t="str">
            <v/>
          </cell>
          <cell r="G309">
            <v>25000000000306</v>
          </cell>
        </row>
        <row r="310">
          <cell r="C310">
            <v>25000000000307</v>
          </cell>
          <cell r="D310" t="str">
            <v>Nandang Effendi</v>
          </cell>
          <cell r="E310" t="str">
            <v>061106279</v>
          </cell>
          <cell r="G310">
            <v>25000000000307</v>
          </cell>
        </row>
        <row r="311">
          <cell r="C311">
            <v>25000000000308</v>
          </cell>
          <cell r="D311" t="str">
            <v>Narno</v>
          </cell>
          <cell r="E311" t="str">
            <v/>
          </cell>
          <cell r="G311">
            <v>25000000000308</v>
          </cell>
        </row>
        <row r="312">
          <cell r="C312">
            <v>25000000000309</v>
          </cell>
          <cell r="D312" t="str">
            <v>Nasrul Anwar P.</v>
          </cell>
          <cell r="E312" t="str">
            <v/>
          </cell>
          <cell r="G312">
            <v>25000000000309</v>
          </cell>
        </row>
        <row r="313">
          <cell r="C313">
            <v>25000000000310</v>
          </cell>
          <cell r="D313" t="str">
            <v>Nawal</v>
          </cell>
          <cell r="E313" t="str">
            <v/>
          </cell>
          <cell r="G313">
            <v>25000000000310</v>
          </cell>
        </row>
        <row r="314">
          <cell r="C314">
            <v>25000000000311</v>
          </cell>
          <cell r="D314" t="str">
            <v>Nawir Lahamutu</v>
          </cell>
          <cell r="E314" t="str">
            <v/>
          </cell>
          <cell r="G314">
            <v>25000000000311</v>
          </cell>
        </row>
        <row r="315">
          <cell r="C315">
            <v>25000000000312</v>
          </cell>
          <cell r="D315" t="str">
            <v>Nicky Kurnia</v>
          </cell>
          <cell r="E315" t="str">
            <v/>
          </cell>
          <cell r="G315">
            <v>25000000000312</v>
          </cell>
        </row>
        <row r="316">
          <cell r="C316">
            <v>25000000000313</v>
          </cell>
          <cell r="D316" t="str">
            <v>Noercholis Firmansyah</v>
          </cell>
          <cell r="E316" t="str">
            <v/>
          </cell>
          <cell r="G316">
            <v>25000000000313</v>
          </cell>
        </row>
        <row r="317">
          <cell r="C317">
            <v>25000000000314</v>
          </cell>
          <cell r="D317" t="str">
            <v>Nopitasari</v>
          </cell>
          <cell r="E317" t="str">
            <v/>
          </cell>
          <cell r="G317">
            <v>25000000000314</v>
          </cell>
        </row>
        <row r="318">
          <cell r="C318">
            <v>25000000000315</v>
          </cell>
          <cell r="D318" t="str">
            <v>Nora Meilissa</v>
          </cell>
          <cell r="E318" t="str">
            <v/>
          </cell>
          <cell r="G318">
            <v>25000000000315</v>
          </cell>
        </row>
        <row r="319">
          <cell r="C319">
            <v>25000000000316</v>
          </cell>
          <cell r="D319" t="str">
            <v>Novalia</v>
          </cell>
          <cell r="E319" t="str">
            <v/>
          </cell>
          <cell r="G319">
            <v>25000000000316</v>
          </cell>
        </row>
        <row r="320">
          <cell r="C320">
            <v>25000000000317</v>
          </cell>
          <cell r="D320" t="str">
            <v>Novan Nugraha</v>
          </cell>
          <cell r="E320" t="str">
            <v/>
          </cell>
          <cell r="G320">
            <v>25000000000317</v>
          </cell>
        </row>
        <row r="321">
          <cell r="C321">
            <v>25000000000318</v>
          </cell>
          <cell r="D321" t="str">
            <v>Nugraha</v>
          </cell>
          <cell r="E321" t="str">
            <v/>
          </cell>
          <cell r="G321">
            <v>25000000000318</v>
          </cell>
        </row>
        <row r="322">
          <cell r="C322">
            <v>25000000000319</v>
          </cell>
          <cell r="D322" t="str">
            <v>Nugroho Putranto</v>
          </cell>
          <cell r="E322" t="str">
            <v/>
          </cell>
          <cell r="G322">
            <v>25000000000319</v>
          </cell>
        </row>
        <row r="323">
          <cell r="C323">
            <v>25000000000320</v>
          </cell>
          <cell r="D323" t="str">
            <v>Nur Indra Sri Melati</v>
          </cell>
          <cell r="E323" t="str">
            <v/>
          </cell>
          <cell r="G323">
            <v>25000000000320</v>
          </cell>
        </row>
        <row r="324">
          <cell r="C324">
            <v>25000000000321</v>
          </cell>
          <cell r="D324" t="str">
            <v>Nur Kusumowati</v>
          </cell>
          <cell r="E324" t="str">
            <v/>
          </cell>
          <cell r="G324">
            <v>25000000000321</v>
          </cell>
        </row>
        <row r="325">
          <cell r="C325">
            <v>25000000000322</v>
          </cell>
          <cell r="D325" t="str">
            <v>Nurhidayat</v>
          </cell>
          <cell r="E325" t="str">
            <v/>
          </cell>
          <cell r="G325">
            <v>25000000000322</v>
          </cell>
        </row>
        <row r="326">
          <cell r="C326">
            <v>25000000000323</v>
          </cell>
          <cell r="D326" t="str">
            <v>Otong Bustori</v>
          </cell>
          <cell r="E326" t="str">
            <v/>
          </cell>
          <cell r="G326">
            <v>25000000000323</v>
          </cell>
        </row>
        <row r="327">
          <cell r="C327">
            <v>25000000000324</v>
          </cell>
          <cell r="D327" t="str">
            <v>Paino Suprayinto</v>
          </cell>
          <cell r="E327" t="str">
            <v/>
          </cell>
          <cell r="G327">
            <v>25000000000324</v>
          </cell>
        </row>
        <row r="328">
          <cell r="C328">
            <v>25000000000325</v>
          </cell>
          <cell r="D328" t="str">
            <v>Panca Yudi Baskoro</v>
          </cell>
          <cell r="E328" t="str">
            <v>070518868</v>
          </cell>
          <cell r="G328">
            <v>25000000000325</v>
          </cell>
        </row>
        <row r="329">
          <cell r="C329">
            <v>25000000000326</v>
          </cell>
          <cell r="D329" t="str">
            <v>Panji Bima Santri</v>
          </cell>
          <cell r="E329" t="str">
            <v/>
          </cell>
          <cell r="G329">
            <v>25000000000326</v>
          </cell>
        </row>
        <row r="330">
          <cell r="C330">
            <v>25000000000327</v>
          </cell>
          <cell r="D330" t="str">
            <v>Parulian Napitupulu</v>
          </cell>
          <cell r="E330" t="str">
            <v/>
          </cell>
          <cell r="G330">
            <v>25000000000327</v>
          </cell>
        </row>
        <row r="331">
          <cell r="C331">
            <v>25000000000328</v>
          </cell>
          <cell r="D331" t="str">
            <v>Paryanto</v>
          </cell>
          <cell r="E331" t="str">
            <v/>
          </cell>
          <cell r="G331">
            <v>25000000000328</v>
          </cell>
        </row>
        <row r="332">
          <cell r="C332">
            <v>25000000000329</v>
          </cell>
          <cell r="D332" t="str">
            <v>Pikri Hidayat</v>
          </cell>
          <cell r="E332" t="str">
            <v/>
          </cell>
          <cell r="G332">
            <v>25000000000329</v>
          </cell>
        </row>
        <row r="333">
          <cell r="C333">
            <v>25000000000330</v>
          </cell>
          <cell r="D333" t="str">
            <v>Prayanti Dewi Anggraini</v>
          </cell>
          <cell r="E333" t="str">
            <v>260115754</v>
          </cell>
          <cell r="G333">
            <v>25000000000330</v>
          </cell>
        </row>
        <row r="334">
          <cell r="C334">
            <v>25000000000331</v>
          </cell>
          <cell r="D334" t="str">
            <v>Prayati Zai</v>
          </cell>
          <cell r="E334" t="str">
            <v/>
          </cell>
          <cell r="G334">
            <v>25000000000331</v>
          </cell>
        </row>
        <row r="335">
          <cell r="C335">
            <v>25000000000332</v>
          </cell>
          <cell r="D335" t="str">
            <v>Pristu Andonoto</v>
          </cell>
          <cell r="E335" t="str">
            <v/>
          </cell>
          <cell r="G335">
            <v>25000000000332</v>
          </cell>
        </row>
        <row r="336">
          <cell r="C336">
            <v>25000000000333</v>
          </cell>
          <cell r="D336" t="str">
            <v>Putra Perdana Tirtomoyo</v>
          </cell>
          <cell r="E336" t="str">
            <v/>
          </cell>
          <cell r="G336">
            <v>25000000000333</v>
          </cell>
        </row>
        <row r="337">
          <cell r="C337">
            <v>25000000000334</v>
          </cell>
          <cell r="D337" t="str">
            <v>R. Lar Kumalaning Tresno</v>
          </cell>
          <cell r="E337" t="str">
            <v/>
          </cell>
          <cell r="G337">
            <v>25000000000334</v>
          </cell>
        </row>
        <row r="338">
          <cell r="C338">
            <v>25000000000335</v>
          </cell>
          <cell r="D338" t="str">
            <v>Rachmad</v>
          </cell>
          <cell r="E338" t="str">
            <v/>
          </cell>
          <cell r="G338">
            <v>25000000000335</v>
          </cell>
        </row>
        <row r="339">
          <cell r="C339">
            <v>25000000000336</v>
          </cell>
          <cell r="D339" t="str">
            <v>Radjiman</v>
          </cell>
          <cell r="E339" t="str">
            <v/>
          </cell>
          <cell r="G339">
            <v>25000000000336</v>
          </cell>
        </row>
        <row r="340">
          <cell r="C340">
            <v>25000000000337</v>
          </cell>
          <cell r="D340" t="str">
            <v>Rafi Firman Saputra</v>
          </cell>
          <cell r="E340" t="str">
            <v/>
          </cell>
          <cell r="G340">
            <v>25000000000337</v>
          </cell>
        </row>
        <row r="341">
          <cell r="C341">
            <v>25000000000338</v>
          </cell>
          <cell r="D341" t="str">
            <v>Rahmat Riyadi</v>
          </cell>
          <cell r="E341" t="str">
            <v/>
          </cell>
          <cell r="G341">
            <v>25000000000338</v>
          </cell>
        </row>
        <row r="342">
          <cell r="C342">
            <v>25000000000339</v>
          </cell>
          <cell r="D342" t="str">
            <v>Rahmat Sirfano</v>
          </cell>
          <cell r="E342" t="str">
            <v/>
          </cell>
          <cell r="G342">
            <v>25000000000339</v>
          </cell>
        </row>
        <row r="343">
          <cell r="C343">
            <v>25000000000340</v>
          </cell>
          <cell r="D343" t="str">
            <v>Rais Indra Noor</v>
          </cell>
          <cell r="E343" t="str">
            <v/>
          </cell>
          <cell r="G343">
            <v>25000000000340</v>
          </cell>
        </row>
        <row r="344">
          <cell r="C344">
            <v>25000000000341</v>
          </cell>
          <cell r="D344" t="str">
            <v>Rakman A. Hadi</v>
          </cell>
          <cell r="E344" t="str">
            <v/>
          </cell>
          <cell r="G344">
            <v>25000000000341</v>
          </cell>
        </row>
        <row r="345">
          <cell r="C345">
            <v>25000000000342</v>
          </cell>
          <cell r="D345" t="str">
            <v>Ramaizon</v>
          </cell>
          <cell r="E345" t="str">
            <v/>
          </cell>
          <cell r="G345">
            <v>25000000000342</v>
          </cell>
        </row>
        <row r="346">
          <cell r="C346">
            <v>25000000000343</v>
          </cell>
          <cell r="D346" t="str">
            <v>Rangga Darmawan</v>
          </cell>
          <cell r="E346" t="str">
            <v/>
          </cell>
          <cell r="G346">
            <v>25000000000343</v>
          </cell>
        </row>
        <row r="347">
          <cell r="C347">
            <v>25000000000344</v>
          </cell>
          <cell r="D347" t="str">
            <v>Raoli Nainggolan</v>
          </cell>
          <cell r="E347" t="str">
            <v/>
          </cell>
          <cell r="G347">
            <v>25000000000344</v>
          </cell>
        </row>
        <row r="348">
          <cell r="C348">
            <v>25000000000345</v>
          </cell>
          <cell r="D348" t="str">
            <v>Rayan Suryadikara</v>
          </cell>
          <cell r="E348" t="str">
            <v/>
          </cell>
          <cell r="G348">
            <v>25000000000345</v>
          </cell>
        </row>
        <row r="349">
          <cell r="C349">
            <v>25000000000346</v>
          </cell>
          <cell r="D349" t="str">
            <v>Redi Setiadi</v>
          </cell>
          <cell r="E349" t="str">
            <v/>
          </cell>
          <cell r="G349">
            <v>25000000000346</v>
          </cell>
        </row>
        <row r="350">
          <cell r="C350">
            <v>25000000000347</v>
          </cell>
          <cell r="D350" t="str">
            <v>Redi Subekti</v>
          </cell>
          <cell r="E350" t="str">
            <v>160603000</v>
          </cell>
          <cell r="G350">
            <v>25000000000347</v>
          </cell>
        </row>
        <row r="351">
          <cell r="C351">
            <v>25000000000348</v>
          </cell>
          <cell r="D351" t="str">
            <v>Rendy Prananta Purba</v>
          </cell>
          <cell r="E351" t="str">
            <v/>
          </cell>
          <cell r="G351">
            <v>25000000000348</v>
          </cell>
        </row>
        <row r="352">
          <cell r="C352">
            <v>25000000000349</v>
          </cell>
          <cell r="D352" t="str">
            <v>Reni Septiana</v>
          </cell>
          <cell r="E352" t="str">
            <v/>
          </cell>
          <cell r="G352">
            <v>25000000000349</v>
          </cell>
        </row>
        <row r="353">
          <cell r="C353">
            <v>25000000000350</v>
          </cell>
          <cell r="D353" t="str">
            <v>Rere Ronggolawe</v>
          </cell>
          <cell r="E353" t="str">
            <v/>
          </cell>
          <cell r="G353">
            <v>25000000000350</v>
          </cell>
        </row>
        <row r="354">
          <cell r="C354">
            <v>25000000000351</v>
          </cell>
          <cell r="D354" t="str">
            <v>Retnasha Gameswari</v>
          </cell>
          <cell r="E354" t="str">
            <v/>
          </cell>
          <cell r="G354">
            <v>25000000000351</v>
          </cell>
        </row>
        <row r="355">
          <cell r="C355">
            <v>25000000000352</v>
          </cell>
          <cell r="D355" t="str">
            <v>Rhino Priawan</v>
          </cell>
          <cell r="E355" t="str">
            <v>221110557</v>
          </cell>
          <cell r="G355">
            <v>25000000000352</v>
          </cell>
        </row>
        <row r="356">
          <cell r="C356">
            <v>25000000000353</v>
          </cell>
          <cell r="D356" t="str">
            <v>Rian Yushak</v>
          </cell>
          <cell r="E356" t="str">
            <v/>
          </cell>
          <cell r="G356">
            <v>25000000000353</v>
          </cell>
        </row>
        <row r="357">
          <cell r="C357">
            <v>25000000000354</v>
          </cell>
          <cell r="D357" t="str">
            <v>Riandi</v>
          </cell>
          <cell r="E357" t="str">
            <v/>
          </cell>
          <cell r="G357">
            <v>25000000000354</v>
          </cell>
        </row>
        <row r="358">
          <cell r="C358">
            <v>25000000000355</v>
          </cell>
          <cell r="D358" t="str">
            <v>Ricky Samuel</v>
          </cell>
          <cell r="E358" t="str">
            <v/>
          </cell>
          <cell r="G358">
            <v>25000000000355</v>
          </cell>
        </row>
        <row r="359">
          <cell r="C359">
            <v>25000000000356</v>
          </cell>
          <cell r="D359" t="str">
            <v>Ridwan Nurhadi</v>
          </cell>
          <cell r="E359" t="str">
            <v/>
          </cell>
          <cell r="G359">
            <v>25000000000356</v>
          </cell>
        </row>
        <row r="360">
          <cell r="C360">
            <v>25000000000357</v>
          </cell>
          <cell r="D360" t="str">
            <v>Rifki</v>
          </cell>
          <cell r="E360" t="str">
            <v/>
          </cell>
          <cell r="G360">
            <v>25000000000357</v>
          </cell>
        </row>
        <row r="361">
          <cell r="C361">
            <v>25000000000358</v>
          </cell>
          <cell r="D361" t="str">
            <v>Rika Ginting</v>
          </cell>
          <cell r="E361" t="str">
            <v/>
          </cell>
          <cell r="G361">
            <v>25000000000358</v>
          </cell>
        </row>
        <row r="362">
          <cell r="C362">
            <v>25000000000359</v>
          </cell>
          <cell r="D362" t="str">
            <v>Riki Chairul Anwar</v>
          </cell>
          <cell r="E362" t="str">
            <v/>
          </cell>
          <cell r="G362">
            <v>25000000000359</v>
          </cell>
        </row>
        <row r="363">
          <cell r="C363">
            <v>25000000000360</v>
          </cell>
          <cell r="D363" t="str">
            <v>Riki Evindra</v>
          </cell>
          <cell r="E363" t="str">
            <v/>
          </cell>
          <cell r="G363">
            <v>25000000000360</v>
          </cell>
        </row>
        <row r="364">
          <cell r="C364">
            <v>25000000000361</v>
          </cell>
          <cell r="D364" t="str">
            <v>Rinaldi Asrin</v>
          </cell>
          <cell r="E364" t="str">
            <v/>
          </cell>
          <cell r="G364">
            <v>25000000000361</v>
          </cell>
        </row>
        <row r="365">
          <cell r="C365">
            <v>25000000000362</v>
          </cell>
          <cell r="D365" t="str">
            <v>Rio Hakim</v>
          </cell>
          <cell r="E365" t="str">
            <v/>
          </cell>
          <cell r="G365">
            <v>25000000000362</v>
          </cell>
        </row>
        <row r="366">
          <cell r="C366">
            <v>25000000000363</v>
          </cell>
          <cell r="D366" t="str">
            <v>Rio Martha</v>
          </cell>
          <cell r="E366" t="str">
            <v/>
          </cell>
          <cell r="G366">
            <v>25000000000363</v>
          </cell>
        </row>
        <row r="367">
          <cell r="C367">
            <v>25000000000364</v>
          </cell>
          <cell r="D367" t="str">
            <v>Risdyanto Risdyanto</v>
          </cell>
          <cell r="E367" t="str">
            <v/>
          </cell>
          <cell r="G367">
            <v>25000000000364</v>
          </cell>
        </row>
        <row r="368">
          <cell r="C368">
            <v>25000000000365</v>
          </cell>
          <cell r="D368" t="str">
            <v>Rizak Tri Septian</v>
          </cell>
          <cell r="E368" t="str">
            <v/>
          </cell>
          <cell r="G368">
            <v>25000000000365</v>
          </cell>
        </row>
        <row r="369">
          <cell r="C369">
            <v>25000000000366</v>
          </cell>
          <cell r="D369" t="str">
            <v>Rizki Akbar</v>
          </cell>
          <cell r="E369" t="str">
            <v/>
          </cell>
          <cell r="G369">
            <v>25000000000366</v>
          </cell>
        </row>
        <row r="370">
          <cell r="C370">
            <v>25000000000367</v>
          </cell>
          <cell r="D370" t="str">
            <v>Rizky Fauzy</v>
          </cell>
          <cell r="E370" t="str">
            <v/>
          </cell>
          <cell r="G370">
            <v>25000000000367</v>
          </cell>
        </row>
        <row r="371">
          <cell r="C371">
            <v>25000000000368</v>
          </cell>
          <cell r="D371" t="str">
            <v>Rizky Reza Pradipta</v>
          </cell>
          <cell r="E371" t="str">
            <v/>
          </cell>
          <cell r="G371">
            <v>25000000000368</v>
          </cell>
        </row>
        <row r="372">
          <cell r="C372">
            <v>25000000000369</v>
          </cell>
          <cell r="D372" t="str">
            <v>Rohendi Rohendi</v>
          </cell>
          <cell r="E372" t="str">
            <v/>
          </cell>
          <cell r="G372">
            <v>25000000000369</v>
          </cell>
        </row>
        <row r="373">
          <cell r="C373">
            <v>25000000000370</v>
          </cell>
          <cell r="D373" t="str">
            <v>Rohmani</v>
          </cell>
          <cell r="E373" t="str">
            <v/>
          </cell>
          <cell r="G373">
            <v>25000000000370</v>
          </cell>
        </row>
        <row r="374">
          <cell r="C374">
            <v>25000000000371</v>
          </cell>
          <cell r="D374" t="str">
            <v>Rommel Hutapea</v>
          </cell>
          <cell r="E374" t="str">
            <v/>
          </cell>
          <cell r="G374">
            <v>25000000000371</v>
          </cell>
        </row>
        <row r="375">
          <cell r="C375">
            <v>25000000000372</v>
          </cell>
          <cell r="D375" t="str">
            <v>Roy Aditya</v>
          </cell>
          <cell r="E375" t="str">
            <v>160921954</v>
          </cell>
          <cell r="G375">
            <v>25000000000372</v>
          </cell>
        </row>
        <row r="376">
          <cell r="C376">
            <v>25000000000373</v>
          </cell>
          <cell r="D376" t="str">
            <v>Rubah</v>
          </cell>
          <cell r="E376" t="str">
            <v/>
          </cell>
          <cell r="G376">
            <v>25000000000373</v>
          </cell>
        </row>
        <row r="377">
          <cell r="C377">
            <v>25000000000374</v>
          </cell>
          <cell r="D377" t="str">
            <v>Rudi Junaedi</v>
          </cell>
          <cell r="E377" t="str">
            <v/>
          </cell>
          <cell r="G377">
            <v>25000000000374</v>
          </cell>
        </row>
        <row r="378">
          <cell r="C378">
            <v>25000000000375</v>
          </cell>
          <cell r="D378" t="str">
            <v>Ruswandi</v>
          </cell>
          <cell r="E378" t="str">
            <v/>
          </cell>
          <cell r="G378">
            <v>25000000000375</v>
          </cell>
        </row>
        <row r="379">
          <cell r="C379">
            <v>25000000000376</v>
          </cell>
          <cell r="D379" t="str">
            <v>Ryan Bagus Sasminta</v>
          </cell>
          <cell r="E379" t="str">
            <v/>
          </cell>
          <cell r="G379">
            <v>25000000000376</v>
          </cell>
        </row>
        <row r="380">
          <cell r="C380">
            <v>25000000000377</v>
          </cell>
          <cell r="D380" t="str">
            <v>Saarah Andriani</v>
          </cell>
          <cell r="E380" t="str">
            <v/>
          </cell>
          <cell r="G380">
            <v>25000000000377</v>
          </cell>
        </row>
        <row r="381">
          <cell r="C381">
            <v>25000000000378</v>
          </cell>
          <cell r="D381" t="str">
            <v>Safira Nurbaiti</v>
          </cell>
          <cell r="E381" t="str">
            <v>030221945</v>
          </cell>
          <cell r="G381">
            <v>25000000000378</v>
          </cell>
        </row>
        <row r="382">
          <cell r="C382">
            <v>25000000000379</v>
          </cell>
          <cell r="D382" t="str">
            <v>Saifulloh</v>
          </cell>
          <cell r="E382" t="str">
            <v/>
          </cell>
          <cell r="G382">
            <v>25000000000379</v>
          </cell>
        </row>
        <row r="383">
          <cell r="C383">
            <v>25000000000380</v>
          </cell>
          <cell r="D383" t="str">
            <v>Saifuloh</v>
          </cell>
          <cell r="E383" t="str">
            <v/>
          </cell>
          <cell r="G383">
            <v>25000000000380</v>
          </cell>
        </row>
        <row r="384">
          <cell r="C384">
            <v>25000000000381</v>
          </cell>
          <cell r="D384" t="str">
            <v>Sakinah Tantriani Lubis</v>
          </cell>
          <cell r="E384" t="str">
            <v>161220941</v>
          </cell>
          <cell r="G384">
            <v>25000000000381</v>
          </cell>
        </row>
        <row r="385">
          <cell r="C385">
            <v>25000000000382</v>
          </cell>
          <cell r="D385" t="str">
            <v>Abdul Samad</v>
          </cell>
          <cell r="E385" t="str">
            <v>210904088</v>
          </cell>
          <cell r="G385">
            <v>25000000000382</v>
          </cell>
        </row>
        <row r="386">
          <cell r="C386">
            <v>25000000000383</v>
          </cell>
          <cell r="D386" t="str">
            <v>Samsul Hadi</v>
          </cell>
          <cell r="E386" t="str">
            <v/>
          </cell>
          <cell r="G386">
            <v>25000000000383</v>
          </cell>
        </row>
        <row r="387">
          <cell r="C387">
            <v>25000000000384</v>
          </cell>
          <cell r="D387" t="str">
            <v>Sandika</v>
          </cell>
          <cell r="E387" t="str">
            <v/>
          </cell>
          <cell r="G387">
            <v>25000000000384</v>
          </cell>
        </row>
        <row r="388">
          <cell r="C388">
            <v>25000000000385</v>
          </cell>
          <cell r="D388" t="str">
            <v>Sang Toga Sitompul</v>
          </cell>
          <cell r="E388" t="str">
            <v/>
          </cell>
          <cell r="G388">
            <v>25000000000385</v>
          </cell>
        </row>
        <row r="389">
          <cell r="C389">
            <v>25000000000386</v>
          </cell>
          <cell r="D389" t="str">
            <v>Santi Dewi R. W.</v>
          </cell>
          <cell r="E389" t="str">
            <v/>
          </cell>
          <cell r="G389">
            <v>25000000000386</v>
          </cell>
        </row>
        <row r="390">
          <cell r="C390">
            <v>25000000000387</v>
          </cell>
          <cell r="D390" t="str">
            <v>Sarah Sibarani</v>
          </cell>
          <cell r="E390" t="str">
            <v/>
          </cell>
          <cell r="G390">
            <v>25000000000387</v>
          </cell>
        </row>
        <row r="391">
          <cell r="C391">
            <v>25000000000388</v>
          </cell>
          <cell r="D391" t="str">
            <v>Sarif Hidayatul Umah</v>
          </cell>
          <cell r="E391" t="str">
            <v/>
          </cell>
          <cell r="G391">
            <v>25000000000388</v>
          </cell>
        </row>
        <row r="392">
          <cell r="C392">
            <v>25000000000389</v>
          </cell>
          <cell r="D392" t="str">
            <v>Satria Budi Raharja</v>
          </cell>
          <cell r="E392" t="str">
            <v/>
          </cell>
          <cell r="G392">
            <v>25000000000389</v>
          </cell>
        </row>
        <row r="393">
          <cell r="C393">
            <v>25000000000390</v>
          </cell>
          <cell r="D393" t="str">
            <v>Saut M. P. L. Tobing</v>
          </cell>
          <cell r="E393" t="str">
            <v/>
          </cell>
          <cell r="G393">
            <v>25000000000390</v>
          </cell>
        </row>
        <row r="394">
          <cell r="C394">
            <v>25000000000391</v>
          </cell>
          <cell r="D394" t="str">
            <v>Seftiyan Hadi Maulana</v>
          </cell>
          <cell r="E394" t="str">
            <v>141118892</v>
          </cell>
          <cell r="G394">
            <v>25000000000391</v>
          </cell>
        </row>
        <row r="395">
          <cell r="C395">
            <v>25000000000392</v>
          </cell>
          <cell r="D395" t="str">
            <v>Sena Andi Satria</v>
          </cell>
          <cell r="E395" t="str">
            <v/>
          </cell>
          <cell r="G395">
            <v>25000000000392</v>
          </cell>
        </row>
        <row r="396">
          <cell r="C396">
            <v>25000000000393</v>
          </cell>
          <cell r="D396" t="str">
            <v>Setiadi</v>
          </cell>
          <cell r="E396" t="str">
            <v>130906272</v>
          </cell>
          <cell r="G396">
            <v>25000000000393</v>
          </cell>
        </row>
        <row r="397">
          <cell r="C397">
            <v>25000000000394</v>
          </cell>
          <cell r="D397" t="str">
            <v>Sherly Tamira</v>
          </cell>
          <cell r="E397" t="str">
            <v/>
          </cell>
          <cell r="G397">
            <v>25000000000394</v>
          </cell>
        </row>
        <row r="398">
          <cell r="C398">
            <v>25000000000395</v>
          </cell>
          <cell r="D398" t="str">
            <v>Shihab</v>
          </cell>
          <cell r="E398" t="str">
            <v/>
          </cell>
          <cell r="G398">
            <v>25000000000395</v>
          </cell>
        </row>
        <row r="399">
          <cell r="C399">
            <v>25000000000396</v>
          </cell>
          <cell r="D399" t="str">
            <v>Shobarin Jabar</v>
          </cell>
          <cell r="E399" t="str">
            <v/>
          </cell>
          <cell r="G399">
            <v>25000000000396</v>
          </cell>
        </row>
        <row r="400">
          <cell r="C400">
            <v>25000000000397</v>
          </cell>
          <cell r="D400" t="str">
            <v>Sholehah</v>
          </cell>
          <cell r="E400" t="str">
            <v>240518874</v>
          </cell>
          <cell r="G400">
            <v>25000000000397</v>
          </cell>
        </row>
        <row r="401">
          <cell r="C401">
            <v>25000000000398</v>
          </cell>
          <cell r="D401" t="str">
            <v>Sigit Rudiantono</v>
          </cell>
          <cell r="E401" t="str">
            <v/>
          </cell>
          <cell r="G401">
            <v>25000000000398</v>
          </cell>
        </row>
        <row r="402">
          <cell r="C402">
            <v>25000000000399</v>
          </cell>
          <cell r="D402" t="str">
            <v>Silvia Putri</v>
          </cell>
          <cell r="E402" t="str">
            <v/>
          </cell>
          <cell r="G402">
            <v>25000000000399</v>
          </cell>
        </row>
        <row r="403">
          <cell r="C403">
            <v>25000000000400</v>
          </cell>
          <cell r="D403" t="str">
            <v>Simron Ronaldi Nasution</v>
          </cell>
          <cell r="E403" t="str">
            <v/>
          </cell>
          <cell r="G403">
            <v>25000000000400</v>
          </cell>
        </row>
        <row r="404">
          <cell r="C404">
            <v>25000000000401</v>
          </cell>
          <cell r="D404" t="str">
            <v>Sinta Vera Trikawati</v>
          </cell>
          <cell r="E404" t="str">
            <v/>
          </cell>
          <cell r="G404">
            <v>25000000000401</v>
          </cell>
        </row>
        <row r="405">
          <cell r="C405">
            <v>25000000000402</v>
          </cell>
          <cell r="D405" t="str">
            <v>Sir Muhammad Zafrulloh Khan</v>
          </cell>
          <cell r="E405" t="str">
            <v/>
          </cell>
          <cell r="G405">
            <v>25000000000402</v>
          </cell>
        </row>
        <row r="406">
          <cell r="C406">
            <v>25000000000403</v>
          </cell>
          <cell r="D406" t="str">
            <v>Siska Marlina</v>
          </cell>
          <cell r="E406" t="str">
            <v/>
          </cell>
          <cell r="G406">
            <v>25000000000403</v>
          </cell>
        </row>
        <row r="407">
          <cell r="C407">
            <v>25000000000404</v>
          </cell>
          <cell r="D407" t="str">
            <v>Siswanto</v>
          </cell>
          <cell r="E407" t="str">
            <v/>
          </cell>
          <cell r="G407">
            <v>25000000000404</v>
          </cell>
        </row>
        <row r="408">
          <cell r="C408">
            <v>25000000000405</v>
          </cell>
          <cell r="D408" t="str">
            <v>Siti Mulyani</v>
          </cell>
          <cell r="E408" t="str">
            <v/>
          </cell>
          <cell r="G408">
            <v>25000000000405</v>
          </cell>
        </row>
        <row r="409">
          <cell r="C409">
            <v>25000000000406</v>
          </cell>
          <cell r="D409" t="str">
            <v>Sjanti Devi</v>
          </cell>
          <cell r="E409" t="str">
            <v/>
          </cell>
          <cell r="G409">
            <v>25000000000406</v>
          </cell>
        </row>
        <row r="410">
          <cell r="C410">
            <v>25000000000407</v>
          </cell>
          <cell r="D410" t="str">
            <v>Slamet Budi Setiawan</v>
          </cell>
          <cell r="E410" t="str">
            <v/>
          </cell>
          <cell r="G410">
            <v>25000000000407</v>
          </cell>
        </row>
        <row r="411">
          <cell r="C411">
            <v>25000000000408</v>
          </cell>
          <cell r="D411" t="str">
            <v>Sofyan Maulana</v>
          </cell>
          <cell r="E411" t="str">
            <v/>
          </cell>
          <cell r="G411">
            <v>25000000000408</v>
          </cell>
        </row>
        <row r="412">
          <cell r="C412">
            <v>25000000000409</v>
          </cell>
          <cell r="D412" t="str">
            <v>Subagio</v>
          </cell>
          <cell r="E412" t="str">
            <v/>
          </cell>
          <cell r="G412">
            <v>25000000000409</v>
          </cell>
        </row>
        <row r="413">
          <cell r="C413">
            <v>25000000000410</v>
          </cell>
          <cell r="D413" t="str">
            <v>Suci Mardiana</v>
          </cell>
          <cell r="E413" t="str">
            <v/>
          </cell>
          <cell r="G413">
            <v>25000000000410</v>
          </cell>
        </row>
        <row r="414">
          <cell r="C414">
            <v>25000000000411</v>
          </cell>
          <cell r="D414" t="str">
            <v>Suci Rachma Sari</v>
          </cell>
          <cell r="E414" t="str">
            <v/>
          </cell>
          <cell r="G414">
            <v>25000000000411</v>
          </cell>
        </row>
        <row r="415">
          <cell r="C415">
            <v>25000000000412</v>
          </cell>
          <cell r="D415" t="str">
            <v>Sudarlan</v>
          </cell>
          <cell r="E415" t="str">
            <v>010507354</v>
          </cell>
          <cell r="G415">
            <v>25000000000412</v>
          </cell>
        </row>
        <row r="416">
          <cell r="C416">
            <v>25000000000413</v>
          </cell>
          <cell r="D416" t="str">
            <v>Sufie Amalia</v>
          </cell>
          <cell r="E416" t="str">
            <v>140421948</v>
          </cell>
          <cell r="G416">
            <v>25000000000413</v>
          </cell>
        </row>
        <row r="417">
          <cell r="C417">
            <v>25000000000414</v>
          </cell>
          <cell r="D417" t="str">
            <v>Sugeng Ismanto</v>
          </cell>
          <cell r="E417" t="str">
            <v/>
          </cell>
          <cell r="G417">
            <v>25000000000414</v>
          </cell>
        </row>
        <row r="418">
          <cell r="C418">
            <v>25000000000415</v>
          </cell>
          <cell r="D418" t="str">
            <v>Sugiarto</v>
          </cell>
          <cell r="E418" t="str">
            <v>080822967</v>
          </cell>
          <cell r="G418">
            <v>25000000000415</v>
          </cell>
        </row>
        <row r="419">
          <cell r="C419">
            <v>25000000000416</v>
          </cell>
          <cell r="D419" t="str">
            <v>Sulih</v>
          </cell>
          <cell r="E419" t="str">
            <v/>
          </cell>
          <cell r="G419">
            <v>25000000000416</v>
          </cell>
        </row>
        <row r="420">
          <cell r="C420">
            <v>25000000000417</v>
          </cell>
          <cell r="D420" t="str">
            <v>Sumadi</v>
          </cell>
          <cell r="E420" t="str">
            <v/>
          </cell>
          <cell r="G420">
            <v>25000000000417</v>
          </cell>
        </row>
        <row r="421">
          <cell r="C421">
            <v>25000000000418</v>
          </cell>
          <cell r="D421" t="str">
            <v>Sumirat</v>
          </cell>
          <cell r="E421" t="str">
            <v/>
          </cell>
          <cell r="G421">
            <v>25000000000418</v>
          </cell>
        </row>
        <row r="422">
          <cell r="C422">
            <v>25000000000419</v>
          </cell>
          <cell r="D422" t="str">
            <v>Sunaryati</v>
          </cell>
          <cell r="E422" t="str">
            <v/>
          </cell>
          <cell r="G422">
            <v>25000000000419</v>
          </cell>
        </row>
        <row r="423">
          <cell r="C423">
            <v>25000000000420</v>
          </cell>
          <cell r="D423" t="str">
            <v>Supriyadi</v>
          </cell>
          <cell r="E423" t="str">
            <v/>
          </cell>
          <cell r="G423">
            <v>25000000000420</v>
          </cell>
        </row>
        <row r="424">
          <cell r="C424">
            <v>25000000000421</v>
          </cell>
          <cell r="D424" t="str">
            <v>Suriono Suriono</v>
          </cell>
          <cell r="E424" t="str">
            <v/>
          </cell>
          <cell r="G424">
            <v>25000000000421</v>
          </cell>
        </row>
        <row r="425">
          <cell r="C425">
            <v>25000000000422</v>
          </cell>
          <cell r="D425" t="str">
            <v>Surono</v>
          </cell>
          <cell r="E425" t="str">
            <v/>
          </cell>
          <cell r="G425">
            <v>25000000000422</v>
          </cell>
        </row>
        <row r="426">
          <cell r="C426">
            <v>25000000000423</v>
          </cell>
          <cell r="D426" t="str">
            <v>Surtoyo Syukri</v>
          </cell>
          <cell r="E426" t="str">
            <v/>
          </cell>
          <cell r="G426">
            <v>25000000000423</v>
          </cell>
        </row>
        <row r="427">
          <cell r="C427">
            <v>25000000000424</v>
          </cell>
          <cell r="D427" t="str">
            <v>Suryadi</v>
          </cell>
          <cell r="E427" t="str">
            <v/>
          </cell>
          <cell r="G427">
            <v>25000000000424</v>
          </cell>
        </row>
        <row r="428">
          <cell r="C428">
            <v>25000000000425</v>
          </cell>
          <cell r="D428" t="str">
            <v>Susilawati</v>
          </cell>
          <cell r="E428" t="str">
            <v/>
          </cell>
          <cell r="G428">
            <v>25000000000425</v>
          </cell>
        </row>
        <row r="429">
          <cell r="C429">
            <v>25000000000426</v>
          </cell>
          <cell r="D429" t="str">
            <v>Sutarno</v>
          </cell>
          <cell r="E429" t="str">
            <v/>
          </cell>
          <cell r="G429">
            <v>25000000000426</v>
          </cell>
        </row>
        <row r="430">
          <cell r="C430">
            <v>25000000000427</v>
          </cell>
          <cell r="D430" t="str">
            <v>Sutra Riandi</v>
          </cell>
          <cell r="E430" t="str">
            <v/>
          </cell>
          <cell r="G430">
            <v>25000000000427</v>
          </cell>
        </row>
        <row r="431">
          <cell r="C431">
            <v>25000000000428</v>
          </cell>
          <cell r="D431" t="str">
            <v>Suyanto</v>
          </cell>
          <cell r="E431" t="str">
            <v>261219925</v>
          </cell>
          <cell r="G431">
            <v>25000000000428</v>
          </cell>
        </row>
        <row r="432">
          <cell r="C432">
            <v>25000000000429</v>
          </cell>
          <cell r="D432" t="str">
            <v>Swar Jono</v>
          </cell>
          <cell r="E432" t="str">
            <v/>
          </cell>
          <cell r="G432">
            <v>25000000000429</v>
          </cell>
        </row>
        <row r="433">
          <cell r="C433">
            <v>25000000000430</v>
          </cell>
          <cell r="D433" t="str">
            <v>Syafruddin</v>
          </cell>
          <cell r="E433" t="str">
            <v/>
          </cell>
          <cell r="G433">
            <v>25000000000430</v>
          </cell>
        </row>
        <row r="434">
          <cell r="C434">
            <v>25000000000431</v>
          </cell>
          <cell r="D434" t="str">
            <v>Syafrudin Machmud</v>
          </cell>
          <cell r="E434" t="str">
            <v/>
          </cell>
          <cell r="G434">
            <v>25000000000431</v>
          </cell>
        </row>
        <row r="435">
          <cell r="C435">
            <v>25000000000432</v>
          </cell>
          <cell r="D435" t="str">
            <v>Syahrizal</v>
          </cell>
          <cell r="E435" t="str">
            <v/>
          </cell>
          <cell r="G435">
            <v>25000000000432</v>
          </cell>
        </row>
        <row r="436">
          <cell r="C436">
            <v>25000000000433</v>
          </cell>
          <cell r="D436" t="str">
            <v>Syaiful Idjam</v>
          </cell>
          <cell r="E436" t="str">
            <v/>
          </cell>
          <cell r="G436">
            <v>25000000000433</v>
          </cell>
        </row>
        <row r="437">
          <cell r="C437">
            <v>25000000000434</v>
          </cell>
          <cell r="D437" t="str">
            <v>Tajuddin Assubki Ismail</v>
          </cell>
          <cell r="E437" t="str">
            <v>070703034</v>
          </cell>
          <cell r="G437">
            <v>25000000000434</v>
          </cell>
        </row>
        <row r="438">
          <cell r="C438">
            <v>25000000000435</v>
          </cell>
          <cell r="D438" t="str">
            <v>Taslim</v>
          </cell>
          <cell r="E438" t="str">
            <v/>
          </cell>
          <cell r="G438">
            <v>25000000000435</v>
          </cell>
        </row>
        <row r="439">
          <cell r="C439">
            <v>25000000000436</v>
          </cell>
          <cell r="D439" t="str">
            <v>Taufik Mulia Pane</v>
          </cell>
          <cell r="E439" t="str">
            <v/>
          </cell>
          <cell r="G439">
            <v>25000000000436</v>
          </cell>
        </row>
        <row r="440">
          <cell r="C440">
            <v>25000000000437</v>
          </cell>
          <cell r="D440" t="str">
            <v>Tedy Harseno</v>
          </cell>
          <cell r="E440" t="str">
            <v/>
          </cell>
          <cell r="G440">
            <v>25000000000437</v>
          </cell>
        </row>
        <row r="441">
          <cell r="C441">
            <v>25000000000438</v>
          </cell>
          <cell r="D441" t="str">
            <v>Teguh Joko Pamuji</v>
          </cell>
          <cell r="E441" t="str">
            <v/>
          </cell>
          <cell r="G441">
            <v>25000000000438</v>
          </cell>
        </row>
        <row r="442">
          <cell r="C442">
            <v>25000000000439</v>
          </cell>
          <cell r="D442" t="str">
            <v>Teguh Pratama Januzir Sukin</v>
          </cell>
          <cell r="E442" t="str">
            <v>030717839</v>
          </cell>
          <cell r="G442">
            <v>25000000000439</v>
          </cell>
        </row>
        <row r="443">
          <cell r="C443">
            <v>25000000000440</v>
          </cell>
          <cell r="D443" t="str">
            <v>Teguh Susanto</v>
          </cell>
          <cell r="E443" t="str">
            <v/>
          </cell>
          <cell r="G443">
            <v>25000000000440</v>
          </cell>
        </row>
        <row r="444">
          <cell r="C444">
            <v>25000000000441</v>
          </cell>
          <cell r="D444" t="str">
            <v>Tenri Sumange</v>
          </cell>
          <cell r="E444" t="str">
            <v/>
          </cell>
          <cell r="G444">
            <v>25000000000441</v>
          </cell>
        </row>
        <row r="445">
          <cell r="C445">
            <v>25000000000442</v>
          </cell>
          <cell r="D445" t="str">
            <v>Teuku Zulkifli</v>
          </cell>
          <cell r="E445" t="str">
            <v/>
          </cell>
          <cell r="G445">
            <v>25000000000442</v>
          </cell>
        </row>
        <row r="446">
          <cell r="C446">
            <v>25000000000443</v>
          </cell>
          <cell r="D446" t="str">
            <v>Tiara Kemalasari</v>
          </cell>
          <cell r="E446" t="str">
            <v/>
          </cell>
          <cell r="G446">
            <v>25000000000443</v>
          </cell>
        </row>
        <row r="447">
          <cell r="C447">
            <v>25000000000444</v>
          </cell>
          <cell r="D447" t="str">
            <v>Tjhang Linawati</v>
          </cell>
          <cell r="E447" t="str">
            <v/>
          </cell>
          <cell r="G447">
            <v>25000000000444</v>
          </cell>
        </row>
        <row r="448">
          <cell r="C448">
            <v>25000000000445</v>
          </cell>
          <cell r="D448" t="str">
            <v>Totok Kristianto</v>
          </cell>
          <cell r="E448" t="str">
            <v/>
          </cell>
          <cell r="G448">
            <v>25000000000445</v>
          </cell>
        </row>
        <row r="449">
          <cell r="C449">
            <v>25000000000446</v>
          </cell>
          <cell r="D449" t="str">
            <v>Tri Aji</v>
          </cell>
          <cell r="E449" t="str">
            <v/>
          </cell>
          <cell r="G449">
            <v>25000000000446</v>
          </cell>
        </row>
        <row r="450">
          <cell r="C450">
            <v>25000000000447</v>
          </cell>
          <cell r="D450" t="str">
            <v>Tri M. Saputra</v>
          </cell>
          <cell r="E450" t="str">
            <v/>
          </cell>
          <cell r="G450">
            <v>25000000000447</v>
          </cell>
        </row>
        <row r="451">
          <cell r="C451">
            <v>25000000000448</v>
          </cell>
          <cell r="D451" t="str">
            <v>Triani Irma</v>
          </cell>
          <cell r="E451" t="str">
            <v/>
          </cell>
          <cell r="G451">
            <v>25000000000448</v>
          </cell>
        </row>
        <row r="452">
          <cell r="C452">
            <v>25000000000449</v>
          </cell>
          <cell r="D452" t="str">
            <v>Trisyanto</v>
          </cell>
          <cell r="E452" t="str">
            <v/>
          </cell>
          <cell r="G452">
            <v>25000000000449</v>
          </cell>
        </row>
        <row r="453">
          <cell r="C453">
            <v>25000000000450</v>
          </cell>
          <cell r="D453" t="str">
            <v>Triwiarti Dibya</v>
          </cell>
          <cell r="E453" t="str">
            <v/>
          </cell>
          <cell r="G453">
            <v>25000000000450</v>
          </cell>
        </row>
        <row r="454">
          <cell r="C454">
            <v>25000000000451</v>
          </cell>
          <cell r="D454" t="str">
            <v>Triyono</v>
          </cell>
          <cell r="E454" t="str">
            <v/>
          </cell>
          <cell r="G454">
            <v>25000000000451</v>
          </cell>
        </row>
        <row r="455">
          <cell r="C455">
            <v>25000000000452</v>
          </cell>
          <cell r="D455" t="str">
            <v>Turita Pramuning Marantina</v>
          </cell>
          <cell r="E455" t="str">
            <v>090818879</v>
          </cell>
          <cell r="G455">
            <v>25000000000452</v>
          </cell>
        </row>
        <row r="456">
          <cell r="C456">
            <v>25000000000453</v>
          </cell>
          <cell r="D456" t="str">
            <v>Tutus Ary</v>
          </cell>
          <cell r="E456" t="str">
            <v/>
          </cell>
          <cell r="G456">
            <v>25000000000453</v>
          </cell>
        </row>
        <row r="457">
          <cell r="C457">
            <v>25000000000454</v>
          </cell>
          <cell r="D457" t="str">
            <v>Ubaidillah</v>
          </cell>
          <cell r="E457" t="str">
            <v/>
          </cell>
          <cell r="G457">
            <v>25000000000454</v>
          </cell>
        </row>
        <row r="458">
          <cell r="C458">
            <v>25000000000455</v>
          </cell>
          <cell r="D458" t="str">
            <v>Ujang Barma</v>
          </cell>
          <cell r="E458" t="str">
            <v/>
          </cell>
          <cell r="G458">
            <v>25000000000455</v>
          </cell>
        </row>
        <row r="459">
          <cell r="C459">
            <v>25000000000456</v>
          </cell>
          <cell r="D459" t="str">
            <v>Ujang Suryana</v>
          </cell>
          <cell r="E459" t="str">
            <v/>
          </cell>
          <cell r="G459">
            <v>25000000000456</v>
          </cell>
        </row>
        <row r="460">
          <cell r="C460">
            <v>25000000000457</v>
          </cell>
          <cell r="D460" t="str">
            <v>Ulman Juanda</v>
          </cell>
          <cell r="E460" t="str">
            <v/>
          </cell>
          <cell r="G460">
            <v>25000000000457</v>
          </cell>
        </row>
        <row r="461">
          <cell r="C461">
            <v>25000000000458</v>
          </cell>
          <cell r="D461" t="str">
            <v>Urbanus Boimau</v>
          </cell>
          <cell r="E461" t="str">
            <v>010906267</v>
          </cell>
          <cell r="G461">
            <v>25000000000458</v>
          </cell>
        </row>
        <row r="462">
          <cell r="C462">
            <v>25000000000459</v>
          </cell>
          <cell r="D462" t="str">
            <v>Uswatun Hasamah</v>
          </cell>
          <cell r="E462" t="str">
            <v/>
          </cell>
          <cell r="G462">
            <v>25000000000459</v>
          </cell>
        </row>
        <row r="463">
          <cell r="C463">
            <v>25000000000460</v>
          </cell>
          <cell r="D463" t="str">
            <v>Uswatun Khasanah</v>
          </cell>
          <cell r="E463" t="str">
            <v/>
          </cell>
          <cell r="G463">
            <v>25000000000460</v>
          </cell>
        </row>
        <row r="464">
          <cell r="C464">
            <v>25000000000461</v>
          </cell>
          <cell r="D464" t="str">
            <v>Utami Dewi</v>
          </cell>
          <cell r="E464" t="str">
            <v/>
          </cell>
          <cell r="G464">
            <v>25000000000461</v>
          </cell>
        </row>
        <row r="465">
          <cell r="C465">
            <v>25000000000462</v>
          </cell>
          <cell r="D465" t="str">
            <v>Utanto</v>
          </cell>
          <cell r="E465" t="str">
            <v/>
          </cell>
          <cell r="G465">
            <v>25000000000462</v>
          </cell>
        </row>
        <row r="466">
          <cell r="C466">
            <v>25000000000463</v>
          </cell>
          <cell r="D466" t="str">
            <v>Veradita Yulanda</v>
          </cell>
          <cell r="E466" t="str">
            <v/>
          </cell>
          <cell r="G466">
            <v>25000000000463</v>
          </cell>
        </row>
        <row r="467">
          <cell r="C467">
            <v>25000000000464</v>
          </cell>
          <cell r="D467" t="str">
            <v>Vidhy Kartika Putri</v>
          </cell>
          <cell r="E467" t="str">
            <v/>
          </cell>
          <cell r="G467">
            <v>25000000000464</v>
          </cell>
        </row>
        <row r="468">
          <cell r="C468">
            <v>25000000000465</v>
          </cell>
          <cell r="D468" t="str">
            <v>Vonny Agram</v>
          </cell>
          <cell r="E468" t="str">
            <v/>
          </cell>
          <cell r="G468">
            <v>25000000000465</v>
          </cell>
        </row>
        <row r="469">
          <cell r="C469">
            <v>25000000000466</v>
          </cell>
          <cell r="D469" t="str">
            <v>Wahyu</v>
          </cell>
          <cell r="E469" t="str">
            <v/>
          </cell>
          <cell r="G469">
            <v>25000000000466</v>
          </cell>
        </row>
        <row r="470">
          <cell r="C470">
            <v>25000000000467</v>
          </cell>
          <cell r="D470" t="str">
            <v>Wahyu Ramadhani</v>
          </cell>
          <cell r="E470" t="str">
            <v>040219900</v>
          </cell>
          <cell r="G470">
            <v>25000000000467</v>
          </cell>
        </row>
        <row r="471">
          <cell r="C471">
            <v>25000000000468</v>
          </cell>
          <cell r="D471" t="str">
            <v>Wahyu Widodo</v>
          </cell>
          <cell r="E471" t="str">
            <v/>
          </cell>
          <cell r="G471">
            <v>25000000000468</v>
          </cell>
        </row>
        <row r="472">
          <cell r="C472">
            <v>25000000000469</v>
          </cell>
          <cell r="D472" t="str">
            <v>Warsito Edy Saputra</v>
          </cell>
          <cell r="E472" t="str">
            <v/>
          </cell>
          <cell r="G472">
            <v>25000000000469</v>
          </cell>
        </row>
        <row r="473">
          <cell r="C473">
            <v>25000000000470</v>
          </cell>
          <cell r="D473" t="str">
            <v>Weldi Wimar</v>
          </cell>
          <cell r="E473" t="str">
            <v/>
          </cell>
          <cell r="G473">
            <v>25000000000470</v>
          </cell>
        </row>
        <row r="474">
          <cell r="C474">
            <v>25000000000471</v>
          </cell>
          <cell r="D474" t="str">
            <v>Wendy Septiyan</v>
          </cell>
          <cell r="E474" t="str">
            <v/>
          </cell>
          <cell r="G474">
            <v>25000000000471</v>
          </cell>
        </row>
        <row r="475">
          <cell r="C475">
            <v>25000000000472</v>
          </cell>
          <cell r="D475" t="str">
            <v>Willy Indarto</v>
          </cell>
          <cell r="E475" t="str">
            <v/>
          </cell>
          <cell r="G475">
            <v>25000000000472</v>
          </cell>
        </row>
        <row r="476">
          <cell r="C476">
            <v>25000000000473</v>
          </cell>
          <cell r="D476" t="str">
            <v>Winda Suherman</v>
          </cell>
          <cell r="E476" t="str">
            <v/>
          </cell>
          <cell r="G476">
            <v>25000000000473</v>
          </cell>
        </row>
        <row r="477">
          <cell r="C477">
            <v>25000000000474</v>
          </cell>
          <cell r="D477" t="str">
            <v>Wisnu Ardian</v>
          </cell>
          <cell r="E477" t="str">
            <v>280618877</v>
          </cell>
          <cell r="G477">
            <v>25000000000474</v>
          </cell>
        </row>
        <row r="478">
          <cell r="C478">
            <v>25000000000475</v>
          </cell>
          <cell r="D478" t="str">
            <v>Wisudanto C. Suntoyo</v>
          </cell>
          <cell r="E478" t="str">
            <v/>
          </cell>
          <cell r="G478">
            <v>25000000000475</v>
          </cell>
        </row>
        <row r="479">
          <cell r="C479">
            <v>25000000000476</v>
          </cell>
          <cell r="D479" t="str">
            <v>Yahya Adyasa Febriansyah</v>
          </cell>
          <cell r="E479" t="str">
            <v/>
          </cell>
          <cell r="G479">
            <v>25000000000476</v>
          </cell>
        </row>
        <row r="480">
          <cell r="C480">
            <v>25000000000477</v>
          </cell>
          <cell r="D480" t="str">
            <v>Yakup Sunaryo</v>
          </cell>
          <cell r="E480" t="str">
            <v/>
          </cell>
          <cell r="G480">
            <v>25000000000477</v>
          </cell>
        </row>
        <row r="481">
          <cell r="C481">
            <v>25000000000478</v>
          </cell>
          <cell r="D481" t="str">
            <v>Yanuar Tri Ananda</v>
          </cell>
          <cell r="E481" t="str">
            <v/>
          </cell>
          <cell r="G481">
            <v>25000000000478</v>
          </cell>
        </row>
        <row r="482">
          <cell r="C482">
            <v>25000000000479</v>
          </cell>
          <cell r="D482" t="str">
            <v>Yasir Liem</v>
          </cell>
          <cell r="E482" t="str">
            <v/>
          </cell>
          <cell r="G482">
            <v>25000000000479</v>
          </cell>
        </row>
        <row r="483">
          <cell r="C483">
            <v>25000000000480</v>
          </cell>
          <cell r="D483" t="str">
            <v>Yefri Hendrayani</v>
          </cell>
          <cell r="E483" t="str">
            <v/>
          </cell>
          <cell r="G483">
            <v>25000000000480</v>
          </cell>
        </row>
        <row r="484">
          <cell r="C484">
            <v>25000000000481</v>
          </cell>
          <cell r="D484" t="str">
            <v>Yessi Setiarini</v>
          </cell>
          <cell r="E484" t="str">
            <v/>
          </cell>
          <cell r="G484">
            <v>25000000000481</v>
          </cell>
        </row>
        <row r="485">
          <cell r="C485">
            <v>25000000000482</v>
          </cell>
          <cell r="D485" t="str">
            <v>Yorid Fae</v>
          </cell>
          <cell r="E485" t="str">
            <v/>
          </cell>
          <cell r="G485">
            <v>25000000000482</v>
          </cell>
        </row>
        <row r="486">
          <cell r="C486">
            <v>25000000000483</v>
          </cell>
          <cell r="D486" t="str">
            <v>Yosef Hang Wan</v>
          </cell>
          <cell r="E486" t="str">
            <v/>
          </cell>
          <cell r="G486">
            <v>25000000000483</v>
          </cell>
        </row>
        <row r="487">
          <cell r="C487">
            <v>25000000000484</v>
          </cell>
          <cell r="D487" t="str">
            <v>Yossie Deliana</v>
          </cell>
          <cell r="E487" t="str">
            <v/>
          </cell>
          <cell r="G487">
            <v>25000000000484</v>
          </cell>
        </row>
        <row r="488">
          <cell r="C488">
            <v>25000000000485</v>
          </cell>
          <cell r="D488" t="str">
            <v>Yudi Rahmadi</v>
          </cell>
          <cell r="E488" t="str">
            <v/>
          </cell>
          <cell r="G488">
            <v>25000000000485</v>
          </cell>
        </row>
        <row r="489">
          <cell r="C489">
            <v>25000000000486</v>
          </cell>
          <cell r="D489" t="str">
            <v>Yudo Jati Rahmat Satrio</v>
          </cell>
          <cell r="E489" t="str">
            <v/>
          </cell>
          <cell r="G489">
            <v>25000000000486</v>
          </cell>
        </row>
        <row r="490">
          <cell r="C490">
            <v>25000000000487</v>
          </cell>
          <cell r="D490" t="str">
            <v>Yuliandaru Suryoatmodjo</v>
          </cell>
          <cell r="E490" t="str">
            <v>160714734</v>
          </cell>
          <cell r="G490">
            <v>25000000000487</v>
          </cell>
        </row>
        <row r="491">
          <cell r="C491">
            <v>25000000000488</v>
          </cell>
          <cell r="D491" t="str">
            <v>Yulianta</v>
          </cell>
          <cell r="E491" t="str">
            <v/>
          </cell>
          <cell r="G491">
            <v>25000000000488</v>
          </cell>
        </row>
        <row r="492">
          <cell r="C492">
            <v>25000000000489</v>
          </cell>
          <cell r="D492" t="str">
            <v>Yulianti</v>
          </cell>
          <cell r="E492" t="str">
            <v/>
          </cell>
          <cell r="G492">
            <v>25000000000489</v>
          </cell>
        </row>
        <row r="493">
          <cell r="C493">
            <v>25000000000490</v>
          </cell>
          <cell r="D493" t="str">
            <v>Yulius</v>
          </cell>
          <cell r="E493" t="str">
            <v/>
          </cell>
          <cell r="G493">
            <v>25000000000490</v>
          </cell>
        </row>
        <row r="494">
          <cell r="C494">
            <v>25000000000491</v>
          </cell>
          <cell r="D494" t="str">
            <v>Yunni Sazili</v>
          </cell>
          <cell r="E494" t="str">
            <v/>
          </cell>
          <cell r="G494">
            <v>25000000000491</v>
          </cell>
        </row>
        <row r="495">
          <cell r="C495">
            <v>25000000000492</v>
          </cell>
          <cell r="D495" t="str">
            <v>Yusman</v>
          </cell>
          <cell r="E495" t="str">
            <v/>
          </cell>
          <cell r="G495">
            <v>25000000000492</v>
          </cell>
        </row>
        <row r="496">
          <cell r="C496">
            <v>25000000000493</v>
          </cell>
          <cell r="D496" t="str">
            <v>Yusri Azhar</v>
          </cell>
          <cell r="E496" t="str">
            <v/>
          </cell>
          <cell r="G496">
            <v>25000000000493</v>
          </cell>
        </row>
        <row r="497">
          <cell r="C497">
            <v>25000000000494</v>
          </cell>
          <cell r="D497" t="str">
            <v>Zafrizal</v>
          </cell>
          <cell r="E497" t="str">
            <v/>
          </cell>
          <cell r="G497">
            <v>25000000000494</v>
          </cell>
        </row>
        <row r="498">
          <cell r="C498">
            <v>25000000000495</v>
          </cell>
          <cell r="D498" t="str">
            <v>Zafrizal Rifla (Ucok)</v>
          </cell>
          <cell r="E498" t="str">
            <v/>
          </cell>
          <cell r="G498">
            <v>25000000000495</v>
          </cell>
        </row>
        <row r="499">
          <cell r="C499">
            <v>25000000000496</v>
          </cell>
          <cell r="D499" t="str">
            <v>Zainuddin</v>
          </cell>
          <cell r="E499" t="str">
            <v/>
          </cell>
          <cell r="G499">
            <v>25000000000496</v>
          </cell>
        </row>
        <row r="500">
          <cell r="C500">
            <v>25000000000497</v>
          </cell>
          <cell r="D500" t="str">
            <v>Zainudin Anwar</v>
          </cell>
          <cell r="E500" t="str">
            <v>090819915</v>
          </cell>
          <cell r="G500">
            <v>25000000000497</v>
          </cell>
        </row>
        <row r="501">
          <cell r="C501">
            <v>25000000000498</v>
          </cell>
          <cell r="D501" t="str">
            <v>Zaire Dite Biscaya</v>
          </cell>
          <cell r="E501" t="str">
            <v/>
          </cell>
          <cell r="G501">
            <v>25000000000498</v>
          </cell>
        </row>
        <row r="502">
          <cell r="C502">
            <v>25000000000499</v>
          </cell>
          <cell r="D502" t="str">
            <v>Zalfi Yandri</v>
          </cell>
          <cell r="E502" t="str">
            <v/>
          </cell>
          <cell r="G502">
            <v>25000000000499</v>
          </cell>
        </row>
        <row r="503">
          <cell r="C503">
            <v>25000000000500</v>
          </cell>
          <cell r="D503" t="str">
            <v>Zam Roji</v>
          </cell>
          <cell r="E503" t="str">
            <v/>
          </cell>
          <cell r="G503">
            <v>25000000000500</v>
          </cell>
        </row>
        <row r="504">
          <cell r="C504">
            <v>25000000000501</v>
          </cell>
          <cell r="D504" t="str">
            <v>Zulfikar K. Siregar</v>
          </cell>
          <cell r="E504" t="str">
            <v>3107251008</v>
          </cell>
          <cell r="G504">
            <v>25000000000501</v>
          </cell>
        </row>
        <row r="505">
          <cell r="C505">
            <v>25000000000502</v>
          </cell>
          <cell r="D505" t="str">
            <v>Adythia Adikara</v>
          </cell>
          <cell r="E505" t="str">
            <v/>
          </cell>
          <cell r="G505">
            <v>25000000000502</v>
          </cell>
        </row>
        <row r="506">
          <cell r="C506">
            <v>25000000000503</v>
          </cell>
          <cell r="D506" t="str">
            <v>Agus Sopyan Hadi</v>
          </cell>
          <cell r="E506" t="str">
            <v/>
          </cell>
          <cell r="G506">
            <v>25000000000503</v>
          </cell>
        </row>
        <row r="507">
          <cell r="C507">
            <v>25000000000504</v>
          </cell>
          <cell r="D507" t="str">
            <v>Azis Purwandana</v>
          </cell>
          <cell r="E507" t="str">
            <v/>
          </cell>
          <cell r="G507">
            <v>25000000000504</v>
          </cell>
        </row>
        <row r="508">
          <cell r="C508">
            <v>25000000000505</v>
          </cell>
          <cell r="D508" t="str">
            <v>Heryanto</v>
          </cell>
          <cell r="E508" t="str">
            <v/>
          </cell>
          <cell r="G508">
            <v>25000000000505</v>
          </cell>
        </row>
        <row r="509">
          <cell r="C509">
            <v>25000000000506</v>
          </cell>
          <cell r="D509" t="str">
            <v>Imran</v>
          </cell>
          <cell r="E509" t="str">
            <v/>
          </cell>
          <cell r="G509">
            <v>25000000000506</v>
          </cell>
        </row>
        <row r="510">
          <cell r="C510">
            <v>25000000000507</v>
          </cell>
          <cell r="D510" t="str">
            <v>Khamim Taryono</v>
          </cell>
          <cell r="E510" t="str">
            <v>280621950</v>
          </cell>
          <cell r="G510">
            <v>25000000000507</v>
          </cell>
        </row>
        <row r="511">
          <cell r="C511">
            <v>25000000000508</v>
          </cell>
          <cell r="D511" t="str">
            <v>Rafi Artman Siddiq</v>
          </cell>
          <cell r="E511" t="str">
            <v>130921953</v>
          </cell>
          <cell r="G511">
            <v>25000000000508</v>
          </cell>
        </row>
        <row r="512">
          <cell r="C512">
            <v>25000000000509</v>
          </cell>
          <cell r="D512" t="str">
            <v>Riza Emir Subekti</v>
          </cell>
          <cell r="E512" t="str">
            <v>260716795</v>
          </cell>
          <cell r="G512">
            <v>25000000000509</v>
          </cell>
        </row>
        <row r="513">
          <cell r="C513">
            <v>25000000000510</v>
          </cell>
          <cell r="D513" t="str">
            <v>Slamet Riadi</v>
          </cell>
          <cell r="E513" t="str">
            <v/>
          </cell>
          <cell r="G513">
            <v>25000000000510</v>
          </cell>
        </row>
        <row r="514">
          <cell r="C514">
            <v>25000000000511</v>
          </cell>
          <cell r="D514" t="str">
            <v>Wisnu Andra Isdianto</v>
          </cell>
          <cell r="E514" t="str">
            <v>150721949</v>
          </cell>
          <cell r="G514">
            <v>25000000000511</v>
          </cell>
        </row>
        <row r="515">
          <cell r="C515">
            <v>25000000000512</v>
          </cell>
          <cell r="D515" t="str">
            <v>Agus Budi Setiawan</v>
          </cell>
          <cell r="E515" t="str">
            <v>171121955</v>
          </cell>
          <cell r="G515">
            <v>25000000000512</v>
          </cell>
        </row>
        <row r="516">
          <cell r="C516">
            <v>25000000000513</v>
          </cell>
          <cell r="D516" t="str">
            <v>Ahmad Choerul</v>
          </cell>
          <cell r="E516" t="str">
            <v>191022969</v>
          </cell>
          <cell r="G516">
            <v>25000000000513</v>
          </cell>
        </row>
        <row r="517">
          <cell r="C517">
            <v>25000000000514</v>
          </cell>
          <cell r="D517" t="str">
            <v>Achmad Yunadi</v>
          </cell>
          <cell r="E517" t="str">
            <v>110422962</v>
          </cell>
          <cell r="G517">
            <v>25000000000514</v>
          </cell>
        </row>
        <row r="518">
          <cell r="C518">
            <v>25000000000515</v>
          </cell>
          <cell r="D518" t="str">
            <v>Asep mulyana</v>
          </cell>
          <cell r="E518" t="str">
            <v/>
          </cell>
          <cell r="G518">
            <v>25000000000515</v>
          </cell>
        </row>
        <row r="519">
          <cell r="C519">
            <v>25000000000516</v>
          </cell>
          <cell r="D519" t="str">
            <v>Bagus Isdiantara</v>
          </cell>
          <cell r="E519" t="str">
            <v/>
          </cell>
          <cell r="G519">
            <v>25000000000516</v>
          </cell>
        </row>
        <row r="520">
          <cell r="C520">
            <v>25000000000517</v>
          </cell>
          <cell r="D520" t="str">
            <v>Cahyana</v>
          </cell>
          <cell r="E520" t="str">
            <v>090821952</v>
          </cell>
          <cell r="G520">
            <v>25000000000517</v>
          </cell>
        </row>
        <row r="521">
          <cell r="C521">
            <v>25000000000518</v>
          </cell>
          <cell r="D521" t="str">
            <v>Dede Hartanto</v>
          </cell>
          <cell r="E521" t="str">
            <v/>
          </cell>
          <cell r="G521">
            <v>25000000000518</v>
          </cell>
        </row>
        <row r="522">
          <cell r="C522">
            <v>25000000000519</v>
          </cell>
          <cell r="D522" t="str">
            <v>Denny Achmad Ferlando</v>
          </cell>
          <cell r="E522" t="str">
            <v>170522963</v>
          </cell>
          <cell r="G522">
            <v>25000000000519</v>
          </cell>
        </row>
        <row r="523">
          <cell r="C523">
            <v>25000000000520</v>
          </cell>
          <cell r="D523" t="str">
            <v>Dian Setiawan</v>
          </cell>
          <cell r="E523" t="str">
            <v/>
          </cell>
          <cell r="G523">
            <v>25000000000520</v>
          </cell>
        </row>
        <row r="524">
          <cell r="C524">
            <v>25000000000521</v>
          </cell>
          <cell r="D524" t="str">
            <v>Fabrian Danang Destiyara</v>
          </cell>
          <cell r="E524" t="str">
            <v>110523979</v>
          </cell>
          <cell r="G524">
            <v>25000000000521</v>
          </cell>
        </row>
        <row r="525">
          <cell r="C525">
            <v>25000000000522</v>
          </cell>
          <cell r="D525" t="str">
            <v>Ferdian Kriswantoro</v>
          </cell>
          <cell r="E525" t="str">
            <v>191022968</v>
          </cell>
          <cell r="G525">
            <v>25000000000522</v>
          </cell>
        </row>
        <row r="526">
          <cell r="C526">
            <v>25000000000523</v>
          </cell>
          <cell r="D526" t="str">
            <v>Fuzi Mafrozi</v>
          </cell>
          <cell r="E526" t="str">
            <v>040722964</v>
          </cell>
          <cell r="G526">
            <v>25000000000523</v>
          </cell>
        </row>
        <row r="527">
          <cell r="C527">
            <v>25000000000524</v>
          </cell>
          <cell r="D527" t="str">
            <v>Gilang Setiawan</v>
          </cell>
          <cell r="E527" t="str">
            <v/>
          </cell>
          <cell r="G527">
            <v>25000000000524</v>
          </cell>
        </row>
        <row r="528">
          <cell r="C528">
            <v>25000000000525</v>
          </cell>
          <cell r="D528" t="str">
            <v>Idris Affandi</v>
          </cell>
          <cell r="E528" t="str">
            <v/>
          </cell>
          <cell r="G528">
            <v>25000000000525</v>
          </cell>
        </row>
        <row r="529">
          <cell r="C529">
            <v>25000000000526</v>
          </cell>
          <cell r="D529" t="str">
            <v>Indra Wijaya</v>
          </cell>
          <cell r="E529" t="str">
            <v/>
          </cell>
          <cell r="G529">
            <v>25000000000526</v>
          </cell>
        </row>
        <row r="530">
          <cell r="C530">
            <v>25000000000527</v>
          </cell>
          <cell r="D530" t="str">
            <v>Irma Maulidawati</v>
          </cell>
          <cell r="E530" t="str">
            <v>040822965</v>
          </cell>
          <cell r="G530">
            <v>25000000000527</v>
          </cell>
        </row>
        <row r="531">
          <cell r="C531">
            <v>25000000000528</v>
          </cell>
          <cell r="D531" t="str">
            <v>Istikaro Fauziah</v>
          </cell>
          <cell r="E531" t="str">
            <v>170322960</v>
          </cell>
          <cell r="G531">
            <v>25000000000528</v>
          </cell>
        </row>
        <row r="532">
          <cell r="C532">
            <v>25000000000529</v>
          </cell>
          <cell r="D532" t="str">
            <v>Muhammad Lukbani</v>
          </cell>
          <cell r="E532" t="str">
            <v/>
          </cell>
          <cell r="G532">
            <v>25000000000529</v>
          </cell>
        </row>
        <row r="533">
          <cell r="C533">
            <v>25000000000530</v>
          </cell>
          <cell r="D533" t="str">
            <v>Muhammad Sholikhun</v>
          </cell>
          <cell r="E533" t="str">
            <v/>
          </cell>
          <cell r="G533">
            <v>25000000000530</v>
          </cell>
        </row>
        <row r="534">
          <cell r="C534">
            <v>25000000000531</v>
          </cell>
          <cell r="D534" t="str">
            <v>Muhammad Syarifudin</v>
          </cell>
          <cell r="E534" t="str">
            <v/>
          </cell>
          <cell r="G534">
            <v>25000000000531</v>
          </cell>
        </row>
        <row r="535">
          <cell r="C535">
            <v>25000000000532</v>
          </cell>
          <cell r="D535" t="str">
            <v>Nadia Rizkiah</v>
          </cell>
          <cell r="E535" t="str">
            <v>170222959</v>
          </cell>
          <cell r="G535">
            <v>25000000000532</v>
          </cell>
        </row>
        <row r="536">
          <cell r="C536">
            <v>25000000000533</v>
          </cell>
          <cell r="D536" t="str">
            <v>Nikko Septian</v>
          </cell>
          <cell r="E536" t="str">
            <v/>
          </cell>
          <cell r="G536">
            <v>25000000000533</v>
          </cell>
        </row>
        <row r="537">
          <cell r="C537">
            <v>25000000000534</v>
          </cell>
          <cell r="D537" t="str">
            <v>Novizan</v>
          </cell>
          <cell r="E537" t="str">
            <v>291121956</v>
          </cell>
          <cell r="G537">
            <v>25000000000534</v>
          </cell>
        </row>
        <row r="538">
          <cell r="C538">
            <v>25000000000535</v>
          </cell>
          <cell r="D538" t="str">
            <v>Oqi Suhaqi Yunus</v>
          </cell>
          <cell r="E538" t="str">
            <v/>
          </cell>
          <cell r="G538">
            <v>25000000000535</v>
          </cell>
        </row>
        <row r="539">
          <cell r="C539">
            <v>25000000000536</v>
          </cell>
          <cell r="D539" t="str">
            <v>Restu Dwi Anjayani</v>
          </cell>
          <cell r="E539" t="str">
            <v>051023981</v>
          </cell>
          <cell r="G539">
            <v>25000000000536</v>
          </cell>
        </row>
        <row r="540">
          <cell r="C540">
            <v>25000000000537</v>
          </cell>
          <cell r="D540" t="str">
            <v>Rizal Amri</v>
          </cell>
          <cell r="E540" t="str">
            <v>211222971</v>
          </cell>
          <cell r="G540">
            <v>25000000000537</v>
          </cell>
        </row>
        <row r="541">
          <cell r="C541">
            <v>25000000000538</v>
          </cell>
          <cell r="D541" t="str">
            <v>Ronny Anindika Arnold</v>
          </cell>
          <cell r="E541" t="str">
            <v/>
          </cell>
          <cell r="G541">
            <v>25000000000538</v>
          </cell>
        </row>
        <row r="542">
          <cell r="C542">
            <v>25000000000539</v>
          </cell>
          <cell r="D542" t="str">
            <v>Samta Harahap</v>
          </cell>
          <cell r="E542" t="str">
            <v/>
          </cell>
          <cell r="G542">
            <v>25000000000539</v>
          </cell>
        </row>
        <row r="543">
          <cell r="C543">
            <v>25000000000540</v>
          </cell>
          <cell r="D543" t="str">
            <v>Vingky Hendriek Yomerlin</v>
          </cell>
          <cell r="E543" t="str">
            <v>131221957</v>
          </cell>
          <cell r="G543">
            <v>25000000000540</v>
          </cell>
        </row>
        <row r="544">
          <cell r="C544">
            <v>25000000000541</v>
          </cell>
          <cell r="D544" t="str">
            <v>Wahyu Teluk Naga</v>
          </cell>
          <cell r="E544" t="str">
            <v/>
          </cell>
          <cell r="G544">
            <v>25000000000541</v>
          </cell>
        </row>
        <row r="545">
          <cell r="C545">
            <v>25000000000542</v>
          </cell>
          <cell r="D545" t="str">
            <v>Wardah Laily Khoiriyah</v>
          </cell>
          <cell r="E545" t="str">
            <v>240122958</v>
          </cell>
          <cell r="G545">
            <v>25000000000542</v>
          </cell>
        </row>
        <row r="546">
          <cell r="C546">
            <v>25000000000543</v>
          </cell>
          <cell r="D546" t="str">
            <v>Wawan Kusworo</v>
          </cell>
          <cell r="E546" t="str">
            <v/>
          </cell>
          <cell r="G546">
            <v>25000000000543</v>
          </cell>
        </row>
        <row r="547">
          <cell r="C547">
            <v>25000000000544</v>
          </cell>
          <cell r="D547" t="str">
            <v>Wulanraniasih</v>
          </cell>
          <cell r="E547" t="str">
            <v>180822966</v>
          </cell>
          <cell r="G547">
            <v>25000000000544</v>
          </cell>
        </row>
        <row r="548">
          <cell r="C548">
            <v>25000000000545</v>
          </cell>
          <cell r="D548" t="str">
            <v>Yogi Perbangkara</v>
          </cell>
          <cell r="E548" t="str">
            <v>260123977</v>
          </cell>
          <cell r="G548">
            <v>25000000000545</v>
          </cell>
        </row>
        <row r="549">
          <cell r="C549">
            <v>25000000000546</v>
          </cell>
          <cell r="D549" t="str">
            <v>Yusuf Fathurahman</v>
          </cell>
          <cell r="E549" t="str">
            <v/>
          </cell>
          <cell r="G549">
            <v>25000000000546</v>
          </cell>
        </row>
        <row r="550">
          <cell r="C550">
            <v>25000000000547</v>
          </cell>
          <cell r="D550" t="str">
            <v>Zeinurani</v>
          </cell>
          <cell r="E550" t="str">
            <v>271222973</v>
          </cell>
          <cell r="G550">
            <v>25000000000547</v>
          </cell>
        </row>
        <row r="551">
          <cell r="C551">
            <v>25000000000548</v>
          </cell>
          <cell r="D551" t="str">
            <v>Sulaeman</v>
          </cell>
          <cell r="E551" t="str">
            <v>020123976</v>
          </cell>
          <cell r="G551">
            <v>25000000000548</v>
          </cell>
        </row>
        <row r="552">
          <cell r="C552">
            <v>25000000000549</v>
          </cell>
          <cell r="D552" t="str">
            <v>Agus Nuryadi</v>
          </cell>
          <cell r="E552" t="str">
            <v>311022972</v>
          </cell>
          <cell r="G552">
            <v>25000000000549</v>
          </cell>
        </row>
        <row r="553">
          <cell r="C553">
            <v>25000000000550</v>
          </cell>
          <cell r="D553" t="str">
            <v>Dian Tri Rahmawati</v>
          </cell>
          <cell r="E553" t="str">
            <v>031022970</v>
          </cell>
          <cell r="G553">
            <v>25000000000550</v>
          </cell>
        </row>
        <row r="554">
          <cell r="C554">
            <v>25000000000551</v>
          </cell>
          <cell r="D554" t="str">
            <v>Langgeng Eko Dwiantoro</v>
          </cell>
          <cell r="E554" t="str">
            <v>050422961</v>
          </cell>
          <cell r="G554">
            <v>25000000000551</v>
          </cell>
        </row>
        <row r="555">
          <cell r="C555">
            <v>25000000000552</v>
          </cell>
          <cell r="D555" t="str">
            <v>Aldi Rizaldi</v>
          </cell>
          <cell r="E555" t="str">
            <v>110121943</v>
          </cell>
          <cell r="G555">
            <v>25000000000552</v>
          </cell>
        </row>
        <row r="556">
          <cell r="C556">
            <v>25000000000553</v>
          </cell>
          <cell r="D556" t="str">
            <v>Masimin</v>
          </cell>
          <cell r="E556" t="str">
            <v>010803042</v>
          </cell>
          <cell r="G556">
            <v>25000000000553</v>
          </cell>
        </row>
        <row r="557">
          <cell r="C557">
            <v>25000000000554</v>
          </cell>
          <cell r="D557" t="str">
            <v>Santoso Dwi Cahyo</v>
          </cell>
          <cell r="E557" t="str">
            <v/>
          </cell>
          <cell r="G557">
            <v>25000000000554</v>
          </cell>
        </row>
        <row r="558">
          <cell r="C558">
            <v>25000000000555</v>
          </cell>
          <cell r="D558" t="str">
            <v>Wartono</v>
          </cell>
          <cell r="E558" t="str">
            <v/>
          </cell>
          <cell r="G558">
            <v>25000000000555</v>
          </cell>
        </row>
        <row r="559">
          <cell r="C559">
            <v>25000000000556</v>
          </cell>
          <cell r="D559" t="str">
            <v>Yusarman</v>
          </cell>
          <cell r="E559" t="str">
            <v/>
          </cell>
          <cell r="G559">
            <v>25000000000556</v>
          </cell>
        </row>
        <row r="560">
          <cell r="C560">
            <v>25000000000557</v>
          </cell>
          <cell r="D560" t="str">
            <v>Abdul Rachman</v>
          </cell>
          <cell r="E560" t="str">
            <v/>
          </cell>
          <cell r="G560">
            <v>25000000000557</v>
          </cell>
        </row>
        <row r="561">
          <cell r="C561">
            <v>25000000000558</v>
          </cell>
          <cell r="D561" t="str">
            <v>Aden Bagus</v>
          </cell>
          <cell r="E561" t="str">
            <v/>
          </cell>
          <cell r="G561">
            <v>25000000000558</v>
          </cell>
        </row>
        <row r="562">
          <cell r="C562">
            <v>25000000000559</v>
          </cell>
          <cell r="D562" t="str">
            <v>Adhe Kurniawan</v>
          </cell>
          <cell r="E562" t="str">
            <v>010224985</v>
          </cell>
          <cell r="G562">
            <v>25000000000559</v>
          </cell>
        </row>
        <row r="563">
          <cell r="C563">
            <v>25000000000560</v>
          </cell>
          <cell r="D563" t="str">
            <v>Ahmad Fauzi</v>
          </cell>
          <cell r="E563" t="str">
            <v/>
          </cell>
          <cell r="G563">
            <v>25000000000560</v>
          </cell>
        </row>
        <row r="564">
          <cell r="C564">
            <v>25000000000561</v>
          </cell>
          <cell r="D564" t="str">
            <v>Ahmad Gunawan</v>
          </cell>
          <cell r="E564" t="str">
            <v/>
          </cell>
          <cell r="G564">
            <v>25000000000561</v>
          </cell>
        </row>
        <row r="565">
          <cell r="C565">
            <v>25000000000562</v>
          </cell>
          <cell r="D565" t="str">
            <v>Andri Andriyan</v>
          </cell>
          <cell r="E565" t="str">
            <v/>
          </cell>
          <cell r="G565">
            <v>25000000000562</v>
          </cell>
        </row>
        <row r="566">
          <cell r="C566">
            <v>25000000000563</v>
          </cell>
          <cell r="D566" t="str">
            <v>Budi Sulistianto</v>
          </cell>
          <cell r="E566" t="str">
            <v/>
          </cell>
          <cell r="G566">
            <v>25000000000563</v>
          </cell>
        </row>
        <row r="567">
          <cell r="C567">
            <v>25000000000564</v>
          </cell>
          <cell r="D567" t="str">
            <v>Eka Budi</v>
          </cell>
          <cell r="E567" t="str">
            <v/>
          </cell>
          <cell r="G567">
            <v>25000000000564</v>
          </cell>
        </row>
        <row r="568">
          <cell r="C568">
            <v>25000000000565</v>
          </cell>
          <cell r="D568" t="str">
            <v>Haerul Gunawan</v>
          </cell>
          <cell r="E568" t="str">
            <v/>
          </cell>
          <cell r="G568">
            <v>25000000000565</v>
          </cell>
        </row>
        <row r="569">
          <cell r="C569">
            <v>25000000000566</v>
          </cell>
          <cell r="D569" t="str">
            <v>Irvan Agus</v>
          </cell>
          <cell r="E569" t="str">
            <v/>
          </cell>
          <cell r="G569">
            <v>25000000000566</v>
          </cell>
        </row>
        <row r="570">
          <cell r="C570">
            <v>25000000000567</v>
          </cell>
          <cell r="D570" t="str">
            <v>Joshika Pradirga</v>
          </cell>
          <cell r="E570" t="str">
            <v/>
          </cell>
          <cell r="G570">
            <v>25000000000567</v>
          </cell>
        </row>
        <row r="571">
          <cell r="C571">
            <v>25000000000568</v>
          </cell>
          <cell r="D571" t="str">
            <v>Khaidir</v>
          </cell>
          <cell r="E571" t="str">
            <v/>
          </cell>
          <cell r="G571">
            <v>25000000000568</v>
          </cell>
        </row>
        <row r="572">
          <cell r="C572">
            <v>25000000000569</v>
          </cell>
          <cell r="D572" t="str">
            <v>Latip Muhlanto</v>
          </cell>
          <cell r="E572" t="str">
            <v/>
          </cell>
          <cell r="G572">
            <v>25000000000569</v>
          </cell>
        </row>
        <row r="573">
          <cell r="C573">
            <v>25000000000570</v>
          </cell>
          <cell r="D573" t="str">
            <v>Leonardo Putra</v>
          </cell>
          <cell r="E573" t="str">
            <v/>
          </cell>
          <cell r="G573">
            <v>25000000000570</v>
          </cell>
        </row>
        <row r="574">
          <cell r="C574">
            <v>25000000000571</v>
          </cell>
          <cell r="D574" t="str">
            <v>Muhammad Ramadani</v>
          </cell>
          <cell r="E574" t="str">
            <v/>
          </cell>
          <cell r="G574">
            <v>25000000000571</v>
          </cell>
        </row>
        <row r="575">
          <cell r="C575">
            <v>25000000000572</v>
          </cell>
          <cell r="D575" t="str">
            <v>Musdalipa</v>
          </cell>
          <cell r="E575" t="str">
            <v/>
          </cell>
          <cell r="G575">
            <v>25000000000572</v>
          </cell>
        </row>
        <row r="576">
          <cell r="C576">
            <v>25000000000573</v>
          </cell>
          <cell r="D576" t="str">
            <v>Nico Melky</v>
          </cell>
          <cell r="E576" t="str">
            <v/>
          </cell>
          <cell r="G576">
            <v>25000000000573</v>
          </cell>
        </row>
        <row r="577">
          <cell r="C577">
            <v>25000000000574</v>
          </cell>
          <cell r="D577" t="str">
            <v>Rahmata Novanisa</v>
          </cell>
          <cell r="E577" t="str">
            <v>230924993</v>
          </cell>
          <cell r="G577">
            <v>25000000000574</v>
          </cell>
        </row>
        <row r="578">
          <cell r="C578">
            <v>25000000000575</v>
          </cell>
          <cell r="D578" t="str">
            <v>Satrio Dhiaputra</v>
          </cell>
          <cell r="E578" t="str">
            <v/>
          </cell>
          <cell r="G578">
            <v>25000000000575</v>
          </cell>
        </row>
        <row r="579">
          <cell r="C579">
            <v>25000000000576</v>
          </cell>
          <cell r="D579" t="str">
            <v>Sudirman</v>
          </cell>
          <cell r="E579" t="str">
            <v/>
          </cell>
          <cell r="G579">
            <v>25000000000576</v>
          </cell>
        </row>
        <row r="580">
          <cell r="C580">
            <v>25000000000577</v>
          </cell>
          <cell r="D580" t="str">
            <v>Suparji</v>
          </cell>
          <cell r="E580" t="str">
            <v/>
          </cell>
          <cell r="G580">
            <v>25000000000577</v>
          </cell>
        </row>
        <row r="581">
          <cell r="C581">
            <v>25000000000578</v>
          </cell>
          <cell r="D581" t="str">
            <v>Taufik Iskandar</v>
          </cell>
          <cell r="E581" t="str">
            <v/>
          </cell>
          <cell r="G581">
            <v>25000000000578</v>
          </cell>
        </row>
        <row r="582">
          <cell r="C582">
            <v>25000000000579</v>
          </cell>
          <cell r="D582" t="str">
            <v>Tegar Hersaputra</v>
          </cell>
          <cell r="E582" t="str">
            <v>280324989</v>
          </cell>
          <cell r="G582">
            <v>25000000000579</v>
          </cell>
        </row>
        <row r="583">
          <cell r="C583">
            <v>25000000000580</v>
          </cell>
          <cell r="D583" t="str">
            <v>Togar Sihombing</v>
          </cell>
          <cell r="E583" t="str">
            <v/>
          </cell>
          <cell r="G583">
            <v>25000000000580</v>
          </cell>
        </row>
        <row r="584">
          <cell r="C584">
            <v>25000000000581</v>
          </cell>
          <cell r="D584" t="str">
            <v>Wisnu Trenggono Wirayuda</v>
          </cell>
          <cell r="E584" t="str">
            <v>150724991</v>
          </cell>
          <cell r="G584">
            <v>25000000000581</v>
          </cell>
        </row>
        <row r="585">
          <cell r="C585">
            <v>25000000000582</v>
          </cell>
          <cell r="D585" t="str">
            <v>Yogo</v>
          </cell>
          <cell r="E585" t="str">
            <v/>
          </cell>
          <cell r="G585">
            <v>25000000000582</v>
          </cell>
        </row>
        <row r="586">
          <cell r="C586">
            <v>25000000000583</v>
          </cell>
          <cell r="D586" t="str">
            <v>Yustiana Firda</v>
          </cell>
          <cell r="E586" t="str">
            <v/>
          </cell>
          <cell r="G586">
            <v>25000000000583</v>
          </cell>
        </row>
        <row r="587">
          <cell r="C587">
            <v>25000000000584</v>
          </cell>
          <cell r="D587" t="str">
            <v>Zainal Abidin</v>
          </cell>
          <cell r="E587" t="str">
            <v/>
          </cell>
          <cell r="G587">
            <v>25000000000584</v>
          </cell>
        </row>
        <row r="588">
          <cell r="C588">
            <v>25000000000585</v>
          </cell>
          <cell r="D588" t="str">
            <v>Budi Sandika</v>
          </cell>
          <cell r="E588" t="str">
            <v/>
          </cell>
          <cell r="G588">
            <v>25000000000585</v>
          </cell>
        </row>
        <row r="589">
          <cell r="C589">
            <v>25000000000586</v>
          </cell>
          <cell r="D589" t="str">
            <v>Fachri Azhar</v>
          </cell>
          <cell r="E589" t="str">
            <v/>
          </cell>
          <cell r="G589">
            <v>25000000000586</v>
          </cell>
        </row>
        <row r="590">
          <cell r="C590">
            <v>25000000000587</v>
          </cell>
          <cell r="D590" t="str">
            <v>Firmansyah Awaludin</v>
          </cell>
          <cell r="E590" t="str">
            <v/>
          </cell>
          <cell r="G590">
            <v>25000000000587</v>
          </cell>
        </row>
        <row r="591">
          <cell r="C591">
            <v>25000000000588</v>
          </cell>
          <cell r="D591" t="str">
            <v>Iman Faisal Abdurahman</v>
          </cell>
          <cell r="E591" t="str">
            <v>030225999</v>
          </cell>
          <cell r="G591">
            <v>25000000000588</v>
          </cell>
        </row>
        <row r="592">
          <cell r="C592">
            <v>25000000000589</v>
          </cell>
          <cell r="D592" t="str">
            <v>Muhammad Irfan Alfikri Rayana</v>
          </cell>
          <cell r="E592" t="str">
            <v/>
          </cell>
          <cell r="G592">
            <v>25000000000589</v>
          </cell>
        </row>
        <row r="593">
          <cell r="C593">
            <v>25000000000590</v>
          </cell>
          <cell r="D593" t="str">
            <v>Syafri Johansah</v>
          </cell>
          <cell r="E593" t="str">
            <v/>
          </cell>
          <cell r="G593">
            <v>25000000000590</v>
          </cell>
        </row>
        <row r="594">
          <cell r="C594">
            <v>25000000000591</v>
          </cell>
          <cell r="D594" t="str">
            <v>Agus Sobar</v>
          </cell>
          <cell r="E594" t="str">
            <v/>
          </cell>
          <cell r="G594">
            <v>25000000000591</v>
          </cell>
        </row>
        <row r="595">
          <cell r="C595">
            <v>25000000000592</v>
          </cell>
          <cell r="D595" t="str">
            <v>Ahmad Sandi Asyuri</v>
          </cell>
          <cell r="E595" t="str">
            <v>181124994</v>
          </cell>
          <cell r="G595">
            <v>25000000000592</v>
          </cell>
        </row>
        <row r="596">
          <cell r="C596">
            <v>25000000000593</v>
          </cell>
          <cell r="D596" t="str">
            <v>Andi Mapasoro</v>
          </cell>
          <cell r="E596" t="str">
            <v>0403251002</v>
          </cell>
          <cell r="G596">
            <v>25000000000593</v>
          </cell>
        </row>
        <row r="597">
          <cell r="C597">
            <v>25000000000594</v>
          </cell>
          <cell r="D597" t="str">
            <v>Arie Gustaman</v>
          </cell>
          <cell r="E597" t="str">
            <v/>
          </cell>
          <cell r="G597">
            <v>25000000000594</v>
          </cell>
        </row>
        <row r="598">
          <cell r="C598">
            <v>25000000000595</v>
          </cell>
          <cell r="D598" t="str">
            <v>Arief Yulianto</v>
          </cell>
          <cell r="E598" t="str">
            <v>120124984</v>
          </cell>
          <cell r="G598">
            <v>25000000000595</v>
          </cell>
        </row>
        <row r="599">
          <cell r="C599">
            <v>25000000000596</v>
          </cell>
          <cell r="D599" t="str">
            <v>Burhan</v>
          </cell>
          <cell r="E599" t="str">
            <v>010413650</v>
          </cell>
          <cell r="G599">
            <v>25000000000596</v>
          </cell>
        </row>
        <row r="600">
          <cell r="C600">
            <v>25000000000597</v>
          </cell>
          <cell r="D600" t="str">
            <v>Deby Syahputa</v>
          </cell>
          <cell r="E600" t="str">
            <v/>
          </cell>
          <cell r="G600">
            <v>25000000000597</v>
          </cell>
        </row>
        <row r="601">
          <cell r="C601">
            <v>25000000000598</v>
          </cell>
          <cell r="D601" t="str">
            <v>Ibrahim Arya Yuda</v>
          </cell>
          <cell r="E601" t="str">
            <v/>
          </cell>
          <cell r="G601">
            <v>25000000000598</v>
          </cell>
        </row>
        <row r="602">
          <cell r="C602">
            <v>25000000000599</v>
          </cell>
          <cell r="D602" t="str">
            <v>Jamil</v>
          </cell>
          <cell r="E602" t="str">
            <v/>
          </cell>
          <cell r="G602">
            <v>25000000000599</v>
          </cell>
        </row>
        <row r="603">
          <cell r="C603">
            <v>25000000000600</v>
          </cell>
          <cell r="D603" t="str">
            <v>Kiki Prasetyo</v>
          </cell>
          <cell r="E603" t="str">
            <v/>
          </cell>
          <cell r="G603">
            <v>25000000000600</v>
          </cell>
        </row>
        <row r="604">
          <cell r="C604">
            <v>25000000000601</v>
          </cell>
          <cell r="D604" t="str">
            <v>Mochamad Ulul Azmi Wira Utama</v>
          </cell>
          <cell r="E604" t="str">
            <v>1206251007</v>
          </cell>
          <cell r="G604">
            <v>25000000000601</v>
          </cell>
        </row>
        <row r="605">
          <cell r="C605">
            <v>25000000000602</v>
          </cell>
          <cell r="D605" t="str">
            <v>Muhammad Bilal Sharony</v>
          </cell>
          <cell r="E605" t="str">
            <v/>
          </cell>
          <cell r="G605">
            <v>25000000000602</v>
          </cell>
        </row>
        <row r="606">
          <cell r="C606">
            <v>25000000000603</v>
          </cell>
          <cell r="D606" t="str">
            <v>Muhammad Hairul</v>
          </cell>
          <cell r="E606" t="str">
            <v/>
          </cell>
          <cell r="G606">
            <v>25000000000603</v>
          </cell>
        </row>
        <row r="607">
          <cell r="C607">
            <v>25000000000604</v>
          </cell>
          <cell r="D607" t="str">
            <v>Muhammad Rizal</v>
          </cell>
          <cell r="E607" t="str">
            <v>230125998</v>
          </cell>
          <cell r="G607">
            <v>25000000000604</v>
          </cell>
        </row>
        <row r="608">
          <cell r="C608">
            <v>25000000000605</v>
          </cell>
          <cell r="D608" t="str">
            <v>Rahmad Dwifar</v>
          </cell>
          <cell r="E608" t="str">
            <v>2011251012</v>
          </cell>
          <cell r="G608">
            <v>25000000000605</v>
          </cell>
        </row>
        <row r="609">
          <cell r="C609">
            <v>25000000000606</v>
          </cell>
          <cell r="D609" t="str">
            <v>Reza Sanjaya</v>
          </cell>
          <cell r="E609" t="str">
            <v/>
          </cell>
          <cell r="G609">
            <v>25000000000606</v>
          </cell>
        </row>
        <row r="610">
          <cell r="C610">
            <v>25000000000607</v>
          </cell>
          <cell r="D610" t="str">
            <v>Ridwan Nur Muttaqin</v>
          </cell>
          <cell r="E610" t="str">
            <v>0603251003</v>
          </cell>
          <cell r="G610">
            <v>25000000000607</v>
          </cell>
        </row>
        <row r="611">
          <cell r="C611">
            <v>25000000000608</v>
          </cell>
          <cell r="D611" t="str">
            <v xml:space="preserve">Risaldi </v>
          </cell>
          <cell r="E611" t="str">
            <v/>
          </cell>
          <cell r="G611">
            <v>25000000000608</v>
          </cell>
        </row>
        <row r="612">
          <cell r="C612">
            <v>25000000000609</v>
          </cell>
          <cell r="D612" t="str">
            <v>Risty Alawiyah</v>
          </cell>
          <cell r="E612" t="str">
            <v>2703251004</v>
          </cell>
          <cell r="G612">
            <v>25000000000609</v>
          </cell>
        </row>
        <row r="613">
          <cell r="C613">
            <v>25000000000610</v>
          </cell>
          <cell r="D613" t="str">
            <v>Rustono</v>
          </cell>
          <cell r="E613" t="str">
            <v>010413649</v>
          </cell>
          <cell r="G613">
            <v>25000000000610</v>
          </cell>
        </row>
        <row r="614">
          <cell r="C614">
            <v>25000000000611</v>
          </cell>
          <cell r="D614" t="str">
            <v>Solihin</v>
          </cell>
          <cell r="E614" t="str">
            <v>020916798</v>
          </cell>
          <cell r="G614">
            <v>25000000000611</v>
          </cell>
        </row>
        <row r="615">
          <cell r="C615">
            <v>25000000000612</v>
          </cell>
          <cell r="D615" t="str">
            <v>Supriatna</v>
          </cell>
          <cell r="E615" t="str">
            <v>010413653</v>
          </cell>
          <cell r="G615">
            <v>25000000000612</v>
          </cell>
        </row>
        <row r="616">
          <cell r="C616">
            <v>25000000000613</v>
          </cell>
          <cell r="D616" t="str">
            <v>Taufik Aminudin</v>
          </cell>
          <cell r="E616" t="str">
            <v/>
          </cell>
          <cell r="G616">
            <v>25000000000613</v>
          </cell>
        </row>
        <row r="617">
          <cell r="C617">
            <v>25000000000614</v>
          </cell>
          <cell r="D617" t="str">
            <v>Timotius Tabun</v>
          </cell>
          <cell r="E617" t="str">
            <v>300913696</v>
          </cell>
          <cell r="G617">
            <v>25000000000614</v>
          </cell>
        </row>
        <row r="618">
          <cell r="C618">
            <v>25000000000615</v>
          </cell>
          <cell r="D618" t="str">
            <v>Adi</v>
          </cell>
          <cell r="E618" t="str">
            <v>0209251009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 refreshError="1"/>
      <sheetData sheetId="1" refreshError="1"/>
      <sheetData sheetId="2">
        <row r="4">
          <cell r="B4">
            <v>25000000000001</v>
          </cell>
          <cell r="C4" t="str">
            <v>Abdollah Syani Siregar</v>
          </cell>
          <cell r="D4" t="str">
            <v/>
          </cell>
        </row>
        <row r="5">
          <cell r="B5">
            <v>25000000000002</v>
          </cell>
          <cell r="C5" t="str">
            <v>Abdul Karim</v>
          </cell>
          <cell r="D5" t="str">
            <v/>
          </cell>
        </row>
        <row r="6">
          <cell r="B6">
            <v>25000000000003</v>
          </cell>
          <cell r="C6" t="str">
            <v>Abdul Rahman Sitompul</v>
          </cell>
          <cell r="D6" t="str">
            <v/>
          </cell>
        </row>
        <row r="7">
          <cell r="B7">
            <v>25000000000004</v>
          </cell>
          <cell r="C7" t="str">
            <v>Abdul Risan</v>
          </cell>
          <cell r="D7" t="str">
            <v/>
          </cell>
        </row>
        <row r="8">
          <cell r="B8">
            <v>25000000000005</v>
          </cell>
          <cell r="C8" t="str">
            <v>Abdullah Nabil</v>
          </cell>
          <cell r="D8" t="str">
            <v/>
          </cell>
        </row>
        <row r="9">
          <cell r="B9">
            <v>25000000000006</v>
          </cell>
          <cell r="C9" t="str">
            <v>Adhitya Danar</v>
          </cell>
          <cell r="D9" t="str">
            <v/>
          </cell>
        </row>
        <row r="10">
          <cell r="B10">
            <v>25000000000007</v>
          </cell>
          <cell r="C10" t="str">
            <v>Adi Ruswandi</v>
          </cell>
          <cell r="D10" t="str">
            <v/>
          </cell>
        </row>
        <row r="11">
          <cell r="B11">
            <v>25000000000008</v>
          </cell>
          <cell r="C11" t="str">
            <v>Adietya Dharmawan</v>
          </cell>
          <cell r="D11" t="str">
            <v/>
          </cell>
        </row>
        <row r="12">
          <cell r="B12">
            <v>25000000000009</v>
          </cell>
          <cell r="C12" t="str">
            <v>Aditya Yudha Prawira</v>
          </cell>
          <cell r="D12" t="str">
            <v/>
          </cell>
        </row>
        <row r="13">
          <cell r="B13">
            <v>25000000000010</v>
          </cell>
          <cell r="C13" t="str">
            <v>Adli Margie</v>
          </cell>
          <cell r="D13" t="str">
            <v/>
          </cell>
        </row>
        <row r="14">
          <cell r="B14">
            <v>25000000000011</v>
          </cell>
          <cell r="C14" t="str">
            <v>Afrida Eka Putri</v>
          </cell>
          <cell r="D14" t="str">
            <v/>
          </cell>
        </row>
        <row r="15">
          <cell r="B15">
            <v>25000000000012</v>
          </cell>
          <cell r="C15" t="str">
            <v>Agnes Sutedja</v>
          </cell>
          <cell r="D15" t="str">
            <v>3173054608700001</v>
          </cell>
        </row>
        <row r="16">
          <cell r="B16">
            <v>25000000000013</v>
          </cell>
          <cell r="C16" t="str">
            <v>Agung Hendarto</v>
          </cell>
          <cell r="D16" t="str">
            <v/>
          </cell>
        </row>
        <row r="17">
          <cell r="B17">
            <v>25000000000014</v>
          </cell>
          <cell r="C17" t="str">
            <v>Agus Priyatno Mahmudo</v>
          </cell>
          <cell r="D17" t="str">
            <v/>
          </cell>
        </row>
        <row r="18">
          <cell r="B18">
            <v>25000000000015</v>
          </cell>
          <cell r="C18" t="str">
            <v>Agus Salim</v>
          </cell>
          <cell r="D18" t="str">
            <v/>
          </cell>
        </row>
        <row r="19">
          <cell r="B19">
            <v>25000000000016</v>
          </cell>
          <cell r="C19" t="str">
            <v>Agus Tanto</v>
          </cell>
          <cell r="D19" t="str">
            <v/>
          </cell>
        </row>
        <row r="20">
          <cell r="B20">
            <v>25000000000017</v>
          </cell>
          <cell r="C20" t="str">
            <v>Ahmad Faiz Haems Muda</v>
          </cell>
          <cell r="D20" t="str">
            <v>3171041801820004</v>
          </cell>
        </row>
        <row r="21">
          <cell r="B21">
            <v>25000000000018</v>
          </cell>
          <cell r="C21" t="str">
            <v>Ahmad Faza</v>
          </cell>
          <cell r="D21" t="str">
            <v/>
          </cell>
        </row>
        <row r="22">
          <cell r="B22">
            <v>25000000000019</v>
          </cell>
          <cell r="C22" t="str">
            <v>Ahmad Syaifulloh</v>
          </cell>
          <cell r="D22" t="str">
            <v/>
          </cell>
        </row>
        <row r="23">
          <cell r="B23">
            <v>25000000000020</v>
          </cell>
          <cell r="C23" t="str">
            <v>Ahmad Zulkarnaen</v>
          </cell>
          <cell r="D23" t="str">
            <v/>
          </cell>
        </row>
        <row r="24">
          <cell r="B24">
            <v>25000000000021</v>
          </cell>
          <cell r="C24" t="str">
            <v>Ajan</v>
          </cell>
          <cell r="D24" t="str">
            <v/>
          </cell>
        </row>
        <row r="25">
          <cell r="B25">
            <v>25000000000022</v>
          </cell>
          <cell r="C25" t="str">
            <v>Al Amin</v>
          </cell>
          <cell r="D25" t="str">
            <v/>
          </cell>
        </row>
        <row r="26">
          <cell r="B26">
            <v>25000000000023</v>
          </cell>
          <cell r="C26" t="str">
            <v>Aldi Mulyadi</v>
          </cell>
          <cell r="D26" t="str">
            <v/>
          </cell>
        </row>
        <row r="27">
          <cell r="B27">
            <v>25000000000024</v>
          </cell>
          <cell r="C27" t="str">
            <v>Alexandri</v>
          </cell>
          <cell r="D27" t="str">
            <v/>
          </cell>
        </row>
        <row r="28">
          <cell r="B28">
            <v>25000000000025</v>
          </cell>
          <cell r="C28" t="str">
            <v>Alfaedi</v>
          </cell>
          <cell r="D28" t="str">
            <v/>
          </cell>
        </row>
        <row r="29">
          <cell r="B29">
            <v>25000000000026</v>
          </cell>
          <cell r="C29" t="str">
            <v>Ali Wahono</v>
          </cell>
          <cell r="D29" t="str">
            <v/>
          </cell>
        </row>
        <row r="30">
          <cell r="B30">
            <v>25000000000027</v>
          </cell>
          <cell r="C30" t="str">
            <v>Alphaliyanri Lasria</v>
          </cell>
          <cell r="D30" t="str">
            <v/>
          </cell>
        </row>
        <row r="31">
          <cell r="B31">
            <v>25000000000028</v>
          </cell>
          <cell r="C31" t="str">
            <v>Ambon Rumalean</v>
          </cell>
          <cell r="D31" t="str">
            <v/>
          </cell>
        </row>
        <row r="32">
          <cell r="B32">
            <v>25000000000029</v>
          </cell>
          <cell r="C32" t="str">
            <v>Amir Sofyan Hadi</v>
          </cell>
          <cell r="D32" t="str">
            <v/>
          </cell>
        </row>
        <row r="33">
          <cell r="B33">
            <v>25000000000030</v>
          </cell>
          <cell r="C33" t="str">
            <v>Anak Agung Netti Ariani</v>
          </cell>
          <cell r="D33" t="str">
            <v/>
          </cell>
        </row>
        <row r="34">
          <cell r="B34">
            <v>25000000000031</v>
          </cell>
          <cell r="C34" t="str">
            <v>Andri Gunawan</v>
          </cell>
          <cell r="D34" t="str">
            <v/>
          </cell>
        </row>
        <row r="35">
          <cell r="B35">
            <v>25000000000032</v>
          </cell>
          <cell r="C35" t="str">
            <v>Andri Herdiansyah</v>
          </cell>
          <cell r="D35" t="str">
            <v/>
          </cell>
        </row>
        <row r="36">
          <cell r="B36">
            <v>25000000000033</v>
          </cell>
          <cell r="C36" t="str">
            <v>Andrie</v>
          </cell>
          <cell r="D36" t="str">
            <v/>
          </cell>
        </row>
        <row r="37">
          <cell r="B37">
            <v>25000000000034</v>
          </cell>
          <cell r="C37" t="str">
            <v>Anggina Tri Yudandi</v>
          </cell>
          <cell r="D37" t="str">
            <v/>
          </cell>
        </row>
        <row r="38">
          <cell r="B38">
            <v>25000000000035</v>
          </cell>
          <cell r="C38" t="str">
            <v>Anggit Ismiyanto</v>
          </cell>
          <cell r="D38" t="str">
            <v/>
          </cell>
        </row>
        <row r="39">
          <cell r="B39">
            <v>25000000000036</v>
          </cell>
          <cell r="C39" t="str">
            <v>Anika Setyowati</v>
          </cell>
          <cell r="D39" t="str">
            <v/>
          </cell>
        </row>
        <row r="40">
          <cell r="B40">
            <v>25000000000037</v>
          </cell>
          <cell r="C40" t="str">
            <v>Anisah</v>
          </cell>
          <cell r="D40" t="str">
            <v/>
          </cell>
        </row>
        <row r="41">
          <cell r="B41">
            <v>25000000000038</v>
          </cell>
          <cell r="C41" t="str">
            <v>Anna Savitrie</v>
          </cell>
          <cell r="D41" t="str">
            <v/>
          </cell>
        </row>
        <row r="42">
          <cell r="B42">
            <v>25000000000039</v>
          </cell>
          <cell r="C42" t="str">
            <v>Annisa Dewi Arumsari</v>
          </cell>
          <cell r="D42" t="str">
            <v/>
          </cell>
        </row>
        <row r="43">
          <cell r="B43">
            <v>25000000000040</v>
          </cell>
          <cell r="C43" t="str">
            <v>Annyes Sri Maristi</v>
          </cell>
          <cell r="D43" t="str">
            <v/>
          </cell>
        </row>
        <row r="44">
          <cell r="B44">
            <v>25000000000041</v>
          </cell>
          <cell r="C44" t="str">
            <v>Antok</v>
          </cell>
          <cell r="D44" t="str">
            <v/>
          </cell>
        </row>
        <row r="45">
          <cell r="B45">
            <v>25000000000042</v>
          </cell>
          <cell r="C45" t="str">
            <v>Anton Iryanto</v>
          </cell>
          <cell r="D45" t="str">
            <v/>
          </cell>
        </row>
        <row r="46">
          <cell r="B46">
            <v>25000000000043</v>
          </cell>
          <cell r="C46" t="str">
            <v>Antony Pakpahan</v>
          </cell>
          <cell r="D46" t="str">
            <v/>
          </cell>
        </row>
        <row r="47">
          <cell r="B47">
            <v>25000000000044</v>
          </cell>
          <cell r="C47" t="str">
            <v>Anugerah Januariansyah</v>
          </cell>
          <cell r="D47" t="str">
            <v/>
          </cell>
        </row>
        <row r="48">
          <cell r="B48">
            <v>25000000000045</v>
          </cell>
          <cell r="C48" t="str">
            <v>Anwar Purnomo</v>
          </cell>
          <cell r="D48" t="str">
            <v/>
          </cell>
        </row>
        <row r="49">
          <cell r="B49">
            <v>25000000000046</v>
          </cell>
          <cell r="C49" t="str">
            <v>Ardhi Swasono</v>
          </cell>
          <cell r="D49" t="str">
            <v/>
          </cell>
        </row>
        <row r="50">
          <cell r="B50">
            <v>25000000000047</v>
          </cell>
          <cell r="C50" t="str">
            <v>Ardi</v>
          </cell>
          <cell r="D50" t="str">
            <v/>
          </cell>
        </row>
        <row r="51">
          <cell r="B51">
            <v>25000000000048</v>
          </cell>
          <cell r="C51" t="str">
            <v>Ardiansyah</v>
          </cell>
          <cell r="D51" t="str">
            <v/>
          </cell>
        </row>
        <row r="52">
          <cell r="B52">
            <v>25000000000049</v>
          </cell>
          <cell r="C52" t="str">
            <v>Ardisam</v>
          </cell>
          <cell r="D52" t="str">
            <v/>
          </cell>
        </row>
        <row r="53">
          <cell r="B53">
            <v>25000000000050</v>
          </cell>
          <cell r="C53" t="str">
            <v>Ardita</v>
          </cell>
          <cell r="D53" t="str">
            <v/>
          </cell>
        </row>
        <row r="54">
          <cell r="B54">
            <v>25000000000051</v>
          </cell>
          <cell r="C54" t="str">
            <v>Ares S. Mauboi</v>
          </cell>
          <cell r="D54" t="str">
            <v>3175081108800013</v>
          </cell>
        </row>
        <row r="55">
          <cell r="B55">
            <v>25000000000052</v>
          </cell>
          <cell r="C55" t="str">
            <v>Arfah Hanum</v>
          </cell>
          <cell r="D55" t="str">
            <v/>
          </cell>
        </row>
        <row r="56">
          <cell r="B56">
            <v>25000000000053</v>
          </cell>
          <cell r="C56" t="str">
            <v>Arfianti Haryani</v>
          </cell>
          <cell r="D56" t="str">
            <v/>
          </cell>
        </row>
        <row r="57">
          <cell r="B57">
            <v>25000000000054</v>
          </cell>
          <cell r="C57" t="str">
            <v>Ari Priwarsono</v>
          </cell>
          <cell r="D57" t="str">
            <v/>
          </cell>
        </row>
        <row r="58">
          <cell r="B58">
            <v>25000000000055</v>
          </cell>
          <cell r="C58" t="str">
            <v>Ari Yuniasmono</v>
          </cell>
          <cell r="D58" t="str">
            <v/>
          </cell>
        </row>
        <row r="59">
          <cell r="B59">
            <v>25000000000056</v>
          </cell>
          <cell r="C59" t="str">
            <v>Arif Gunawan</v>
          </cell>
          <cell r="D59" t="str">
            <v/>
          </cell>
        </row>
        <row r="60">
          <cell r="B60">
            <v>25000000000057</v>
          </cell>
          <cell r="C60" t="str">
            <v>Arif Prasetyo</v>
          </cell>
          <cell r="D60" t="str">
            <v/>
          </cell>
        </row>
        <row r="61">
          <cell r="B61">
            <v>25000000000058</v>
          </cell>
          <cell r="C61" t="str">
            <v>Arini</v>
          </cell>
          <cell r="D61" t="str">
            <v/>
          </cell>
        </row>
        <row r="62">
          <cell r="B62">
            <v>25000000000059</v>
          </cell>
          <cell r="C62" t="str">
            <v>Ario Setyo Gunawan</v>
          </cell>
          <cell r="D62" t="str">
            <v/>
          </cell>
        </row>
        <row r="63">
          <cell r="B63">
            <v>25000000000060</v>
          </cell>
          <cell r="C63" t="str">
            <v>Ario Yulianto Wibowo</v>
          </cell>
          <cell r="D63" t="str">
            <v/>
          </cell>
        </row>
        <row r="64">
          <cell r="B64">
            <v>25000000000061</v>
          </cell>
          <cell r="C64" t="str">
            <v>Aris Widodo Pamungkas</v>
          </cell>
          <cell r="D64" t="str">
            <v/>
          </cell>
        </row>
        <row r="65">
          <cell r="B65">
            <v>25000000000062</v>
          </cell>
          <cell r="C65" t="str">
            <v>Arjiyanto</v>
          </cell>
          <cell r="D65" t="str">
            <v/>
          </cell>
        </row>
        <row r="66">
          <cell r="B66">
            <v>25000000000063</v>
          </cell>
          <cell r="C66" t="str">
            <v>Arman</v>
          </cell>
          <cell r="D66" t="str">
            <v/>
          </cell>
        </row>
        <row r="67">
          <cell r="B67">
            <v>25000000000064</v>
          </cell>
          <cell r="C67" t="str">
            <v>Aryoko Sudiro</v>
          </cell>
          <cell r="D67" t="str">
            <v/>
          </cell>
        </row>
        <row r="68">
          <cell r="B68">
            <v>25000000000065</v>
          </cell>
          <cell r="C68" t="str">
            <v>Astamyugo</v>
          </cell>
          <cell r="D68" t="str">
            <v/>
          </cell>
        </row>
        <row r="69">
          <cell r="B69">
            <v>25000000000066</v>
          </cell>
          <cell r="C69" t="str">
            <v>Atmo Sastro Dinoto</v>
          </cell>
          <cell r="D69" t="str">
            <v/>
          </cell>
        </row>
        <row r="70">
          <cell r="B70">
            <v>25000000000067</v>
          </cell>
          <cell r="C70" t="str">
            <v>Awaludin</v>
          </cell>
          <cell r="D70" t="str">
            <v/>
          </cell>
        </row>
        <row r="71">
          <cell r="B71">
            <v>25000000000068</v>
          </cell>
          <cell r="C71" t="str">
            <v>Bachtiar</v>
          </cell>
          <cell r="D71" t="str">
            <v/>
          </cell>
        </row>
        <row r="72">
          <cell r="B72">
            <v>25000000000069</v>
          </cell>
          <cell r="C72" t="str">
            <v>Bambang Irawan</v>
          </cell>
          <cell r="D72" t="str">
            <v/>
          </cell>
        </row>
        <row r="73">
          <cell r="B73">
            <v>25000000000070</v>
          </cell>
          <cell r="C73" t="str">
            <v>Bambang Prihatin</v>
          </cell>
          <cell r="D73" t="str">
            <v/>
          </cell>
        </row>
        <row r="74">
          <cell r="B74">
            <v>25000000000071</v>
          </cell>
          <cell r="C74" t="str">
            <v>Bani Mustazeni</v>
          </cell>
          <cell r="D74" t="str">
            <v/>
          </cell>
        </row>
        <row r="75">
          <cell r="B75">
            <v>25000000000072</v>
          </cell>
          <cell r="C75" t="str">
            <v>Bardai</v>
          </cell>
          <cell r="D75" t="str">
            <v/>
          </cell>
        </row>
        <row r="76">
          <cell r="B76">
            <v>25000000000073</v>
          </cell>
          <cell r="C76" t="str">
            <v>Barika</v>
          </cell>
          <cell r="D76" t="str">
            <v/>
          </cell>
        </row>
        <row r="77">
          <cell r="B77">
            <v>25000000000074</v>
          </cell>
          <cell r="C77" t="str">
            <v>Bela Retmalantika</v>
          </cell>
          <cell r="D77" t="str">
            <v/>
          </cell>
        </row>
        <row r="78">
          <cell r="B78">
            <v>25000000000075</v>
          </cell>
          <cell r="C78" t="str">
            <v>Belina Lindarwani</v>
          </cell>
          <cell r="D78" t="str">
            <v>3276045103940005</v>
          </cell>
        </row>
        <row r="79">
          <cell r="B79">
            <v>25000000000076</v>
          </cell>
          <cell r="C79" t="str">
            <v>Benita Sofia</v>
          </cell>
          <cell r="D79" t="str">
            <v/>
          </cell>
        </row>
        <row r="80">
          <cell r="B80">
            <v>25000000000077</v>
          </cell>
          <cell r="C80" t="str">
            <v>Bherly Novrandy</v>
          </cell>
          <cell r="D80" t="str">
            <v/>
          </cell>
        </row>
        <row r="81">
          <cell r="B81">
            <v>25000000000078</v>
          </cell>
          <cell r="C81" t="str">
            <v>Binsar</v>
          </cell>
          <cell r="D81" t="str">
            <v/>
          </cell>
        </row>
        <row r="82">
          <cell r="B82">
            <v>25000000000079</v>
          </cell>
          <cell r="C82" t="str">
            <v>Bondhan Sosiarta</v>
          </cell>
          <cell r="D82" t="str">
            <v/>
          </cell>
        </row>
        <row r="83">
          <cell r="B83">
            <v>25000000000080</v>
          </cell>
          <cell r="C83" t="str">
            <v>Budi Pranata Sinaga</v>
          </cell>
          <cell r="D83" t="str">
            <v/>
          </cell>
        </row>
        <row r="84">
          <cell r="B84">
            <v>25000000000081</v>
          </cell>
          <cell r="C84" t="str">
            <v>Budi Satrio</v>
          </cell>
          <cell r="D84" t="str">
            <v/>
          </cell>
        </row>
        <row r="85">
          <cell r="B85">
            <v>25000000000082</v>
          </cell>
          <cell r="C85" t="str">
            <v>Budianto</v>
          </cell>
          <cell r="D85" t="str">
            <v>3174040705860015</v>
          </cell>
        </row>
        <row r="86">
          <cell r="B86">
            <v>25000000000083</v>
          </cell>
          <cell r="C86" t="str">
            <v>Budiman</v>
          </cell>
          <cell r="D86" t="str">
            <v/>
          </cell>
        </row>
        <row r="87">
          <cell r="B87">
            <v>25000000000084</v>
          </cell>
          <cell r="C87" t="str">
            <v>Cahyaning Annisa</v>
          </cell>
          <cell r="D87" t="str">
            <v/>
          </cell>
        </row>
        <row r="88">
          <cell r="B88">
            <v>25000000000085</v>
          </cell>
          <cell r="C88" t="str">
            <v>Cahyaningrum Widiastuti</v>
          </cell>
          <cell r="D88" t="str">
            <v/>
          </cell>
        </row>
        <row r="89">
          <cell r="B89">
            <v>25000000000086</v>
          </cell>
          <cell r="C89" t="str">
            <v>Cecep Maulana</v>
          </cell>
          <cell r="D89" t="str">
            <v/>
          </cell>
        </row>
        <row r="90">
          <cell r="B90">
            <v>25000000000087</v>
          </cell>
          <cell r="C90" t="str">
            <v>Chairul Musaddat</v>
          </cell>
          <cell r="D90" t="str">
            <v/>
          </cell>
        </row>
        <row r="91">
          <cell r="B91">
            <v>25000000000088</v>
          </cell>
          <cell r="C91" t="str">
            <v>Christianto</v>
          </cell>
          <cell r="D91" t="str">
            <v/>
          </cell>
        </row>
        <row r="92">
          <cell r="B92">
            <v>25000000000089</v>
          </cell>
          <cell r="C92" t="str">
            <v>Dadan Hermawan</v>
          </cell>
          <cell r="D92" t="str">
            <v/>
          </cell>
        </row>
        <row r="93">
          <cell r="B93">
            <v>25000000000090</v>
          </cell>
          <cell r="C93" t="str">
            <v>Dadan Suhendar</v>
          </cell>
          <cell r="D93" t="str">
            <v/>
          </cell>
        </row>
        <row r="94">
          <cell r="B94">
            <v>25000000000091</v>
          </cell>
          <cell r="C94" t="str">
            <v>Dadi Anda Zuchradi</v>
          </cell>
          <cell r="D94" t="str">
            <v/>
          </cell>
        </row>
        <row r="95">
          <cell r="B95">
            <v>25000000000092</v>
          </cell>
          <cell r="C95" t="str">
            <v>Darsito</v>
          </cell>
          <cell r="D95" t="str">
            <v>3313141612730001</v>
          </cell>
        </row>
        <row r="96">
          <cell r="B96">
            <v>25000000000093</v>
          </cell>
          <cell r="C96" t="str">
            <v>Davit Lumban Gaol</v>
          </cell>
          <cell r="D96" t="str">
            <v>1408102502900001</v>
          </cell>
        </row>
        <row r="97">
          <cell r="B97">
            <v>25000000000094</v>
          </cell>
          <cell r="C97" t="str">
            <v>Deddy Rochman</v>
          </cell>
          <cell r="D97" t="str">
            <v/>
          </cell>
        </row>
        <row r="98">
          <cell r="B98">
            <v>25000000000095</v>
          </cell>
          <cell r="C98" t="str">
            <v>Dedi Kusnadi</v>
          </cell>
          <cell r="D98" t="str">
            <v/>
          </cell>
        </row>
        <row r="99">
          <cell r="B99">
            <v>25000000000096</v>
          </cell>
          <cell r="C99" t="str">
            <v>Dedi Marciano Rizanur</v>
          </cell>
          <cell r="D99" t="str">
            <v/>
          </cell>
        </row>
        <row r="100">
          <cell r="B100">
            <v>25000000000097</v>
          </cell>
          <cell r="C100" t="str">
            <v>Dedi Rianto</v>
          </cell>
          <cell r="D100" t="str">
            <v/>
          </cell>
        </row>
        <row r="101">
          <cell r="B101">
            <v>25000000000098</v>
          </cell>
          <cell r="C101" t="str">
            <v>Dedi Syahputra</v>
          </cell>
          <cell r="D101" t="str">
            <v/>
          </cell>
        </row>
        <row r="102">
          <cell r="B102">
            <v>25000000000099</v>
          </cell>
          <cell r="C102" t="str">
            <v>Deni Setiawan</v>
          </cell>
          <cell r="D102" t="str">
            <v/>
          </cell>
        </row>
        <row r="103">
          <cell r="B103">
            <v>25000000000100</v>
          </cell>
          <cell r="C103" t="str">
            <v>Deny Adi Purnama</v>
          </cell>
          <cell r="D103" t="str">
            <v/>
          </cell>
        </row>
        <row r="104">
          <cell r="B104">
            <v>25000000000101</v>
          </cell>
          <cell r="C104" t="str">
            <v>Desi Herawati</v>
          </cell>
          <cell r="D104" t="str">
            <v/>
          </cell>
        </row>
        <row r="105">
          <cell r="B105">
            <v>25000000000102</v>
          </cell>
          <cell r="C105" t="str">
            <v>Desi Setiowati</v>
          </cell>
          <cell r="D105" t="str">
            <v/>
          </cell>
        </row>
        <row r="106">
          <cell r="B106">
            <v>25000000000103</v>
          </cell>
          <cell r="C106" t="str">
            <v>Dian Firdaus</v>
          </cell>
          <cell r="D106" t="str">
            <v/>
          </cell>
        </row>
        <row r="107">
          <cell r="B107">
            <v>25000000000104</v>
          </cell>
          <cell r="C107" t="str">
            <v>Dian Hariyana</v>
          </cell>
          <cell r="D107" t="str">
            <v/>
          </cell>
        </row>
        <row r="108">
          <cell r="B108">
            <v>25000000000105</v>
          </cell>
          <cell r="C108" t="str">
            <v>Dinnar Budiarti</v>
          </cell>
          <cell r="D108" t="str">
            <v/>
          </cell>
        </row>
        <row r="109">
          <cell r="B109">
            <v>25000000000106</v>
          </cell>
          <cell r="C109" t="str">
            <v>Dionesius Sostenist Duka</v>
          </cell>
          <cell r="D109" t="str">
            <v>3175102908760008</v>
          </cell>
        </row>
        <row r="110">
          <cell r="B110">
            <v>25000000000107</v>
          </cell>
          <cell r="C110" t="str">
            <v>Diyah Martina</v>
          </cell>
          <cell r="D110" t="str">
            <v/>
          </cell>
        </row>
        <row r="111">
          <cell r="B111">
            <v>25000000000108</v>
          </cell>
          <cell r="C111" t="str">
            <v>Djuang Tampubolon</v>
          </cell>
          <cell r="D111" t="str">
            <v/>
          </cell>
        </row>
        <row r="112">
          <cell r="B112">
            <v>25000000000109</v>
          </cell>
          <cell r="C112" t="str">
            <v>Dodit Widiarto</v>
          </cell>
          <cell r="D112" t="str">
            <v/>
          </cell>
        </row>
        <row r="113">
          <cell r="B113">
            <v>25000000000110</v>
          </cell>
          <cell r="C113" t="str">
            <v>Dony Darmawan</v>
          </cell>
          <cell r="D113" t="str">
            <v/>
          </cell>
        </row>
        <row r="114">
          <cell r="B114">
            <v>25000000000111</v>
          </cell>
          <cell r="C114" t="str">
            <v>Dony Setiawan</v>
          </cell>
          <cell r="D114" t="str">
            <v/>
          </cell>
        </row>
        <row r="115">
          <cell r="B115">
            <v>25000000000112</v>
          </cell>
          <cell r="C115" t="str">
            <v>Dudi Rustandi</v>
          </cell>
          <cell r="D115" t="str">
            <v/>
          </cell>
        </row>
        <row r="116">
          <cell r="B116">
            <v>25000000000113</v>
          </cell>
          <cell r="C116" t="str">
            <v>Dudung</v>
          </cell>
          <cell r="D116" t="str">
            <v/>
          </cell>
        </row>
        <row r="117">
          <cell r="B117">
            <v>25000000000114</v>
          </cell>
          <cell r="C117" t="str">
            <v>Dwi Joko Setio Tjaroko</v>
          </cell>
          <cell r="D117" t="str">
            <v/>
          </cell>
        </row>
        <row r="118">
          <cell r="B118">
            <v>25000000000115</v>
          </cell>
          <cell r="C118" t="str">
            <v>Dwinanto Prabowo</v>
          </cell>
          <cell r="D118" t="str">
            <v/>
          </cell>
        </row>
        <row r="119">
          <cell r="B119">
            <v>25000000000116</v>
          </cell>
          <cell r="C119" t="str">
            <v>Edi Waluyo</v>
          </cell>
          <cell r="D119" t="str">
            <v>3173012409690006</v>
          </cell>
        </row>
        <row r="120">
          <cell r="B120">
            <v>25000000000117</v>
          </cell>
          <cell r="C120" t="str">
            <v>Edi Siswanto</v>
          </cell>
          <cell r="D120" t="str">
            <v/>
          </cell>
        </row>
        <row r="121">
          <cell r="B121">
            <v>25000000000118</v>
          </cell>
          <cell r="C121" t="str">
            <v>Edi Turnip</v>
          </cell>
          <cell r="D121" t="str">
            <v/>
          </cell>
        </row>
        <row r="122">
          <cell r="B122">
            <v>25000000000119</v>
          </cell>
          <cell r="C122" t="str">
            <v>Edy Putra Waskita</v>
          </cell>
          <cell r="D122" t="str">
            <v/>
          </cell>
        </row>
        <row r="123">
          <cell r="B123">
            <v>25000000000120</v>
          </cell>
          <cell r="C123" t="str">
            <v>Edy Syahputra Situmeang</v>
          </cell>
          <cell r="D123" t="str">
            <v>1208301611900003</v>
          </cell>
        </row>
        <row r="124">
          <cell r="B124">
            <v>25000000000121</v>
          </cell>
          <cell r="C124" t="str">
            <v>Effendi fendi</v>
          </cell>
          <cell r="D124" t="str">
            <v/>
          </cell>
        </row>
        <row r="125">
          <cell r="B125">
            <v>25000000000122</v>
          </cell>
          <cell r="C125" t="str">
            <v>Efrina Dwililia</v>
          </cell>
          <cell r="D125" t="str">
            <v/>
          </cell>
        </row>
        <row r="126">
          <cell r="B126">
            <v>25000000000123</v>
          </cell>
          <cell r="C126" t="str">
            <v>Eka Bagus Dwi Putra</v>
          </cell>
          <cell r="D126" t="str">
            <v>3275030108950030</v>
          </cell>
        </row>
        <row r="127">
          <cell r="B127">
            <v>25000000000124</v>
          </cell>
          <cell r="C127" t="str">
            <v>Eka Hamidah</v>
          </cell>
          <cell r="D127" t="str">
            <v/>
          </cell>
        </row>
        <row r="128">
          <cell r="B128">
            <v>25000000000125</v>
          </cell>
          <cell r="C128" t="str">
            <v>Eka Purwanti</v>
          </cell>
          <cell r="D128" t="str">
            <v>3171076608940003</v>
          </cell>
        </row>
        <row r="129">
          <cell r="B129">
            <v>25000000000126</v>
          </cell>
          <cell r="C129" t="str">
            <v>Eka Kurniawan Hidayatullah</v>
          </cell>
          <cell r="D129" t="str">
            <v>3276051707880004</v>
          </cell>
        </row>
        <row r="130">
          <cell r="B130">
            <v>25000000000127</v>
          </cell>
          <cell r="C130" t="str">
            <v>Eko Laksono</v>
          </cell>
          <cell r="D130" t="str">
            <v/>
          </cell>
        </row>
        <row r="131">
          <cell r="B131">
            <v>25000000000128</v>
          </cell>
          <cell r="C131" t="str">
            <v>Eko Syambudi</v>
          </cell>
          <cell r="D131" t="str">
            <v/>
          </cell>
        </row>
        <row r="132">
          <cell r="B132">
            <v>25000000000129</v>
          </cell>
          <cell r="C132" t="str">
            <v>Elieser Ferdy P.</v>
          </cell>
          <cell r="D132" t="str">
            <v/>
          </cell>
        </row>
        <row r="133">
          <cell r="B133">
            <v>25000000000130</v>
          </cell>
          <cell r="C133" t="str">
            <v>Elisa</v>
          </cell>
          <cell r="D133" t="str">
            <v/>
          </cell>
        </row>
        <row r="134">
          <cell r="B134">
            <v>25000000000131</v>
          </cell>
          <cell r="C134" t="str">
            <v>Elsa Jayanti</v>
          </cell>
          <cell r="D134" t="str">
            <v/>
          </cell>
        </row>
        <row r="135">
          <cell r="B135">
            <v>25000000000132</v>
          </cell>
          <cell r="C135" t="str">
            <v>Elsa Mardian</v>
          </cell>
          <cell r="D135" t="str">
            <v/>
          </cell>
        </row>
        <row r="136">
          <cell r="B136">
            <v>25000000000133</v>
          </cell>
          <cell r="C136" t="str">
            <v>Emir Paranita Nasution</v>
          </cell>
          <cell r="D136" t="str">
            <v/>
          </cell>
        </row>
        <row r="137">
          <cell r="B137">
            <v>25000000000134</v>
          </cell>
          <cell r="C137" t="str">
            <v>Enceng Hemawan</v>
          </cell>
          <cell r="D137" t="str">
            <v/>
          </cell>
        </row>
        <row r="138">
          <cell r="B138">
            <v>25000000000135</v>
          </cell>
          <cell r="C138" t="str">
            <v>Endang</v>
          </cell>
          <cell r="D138" t="str">
            <v/>
          </cell>
        </row>
        <row r="139">
          <cell r="B139">
            <v>25000000000136</v>
          </cell>
          <cell r="C139" t="str">
            <v>Endang Lestari</v>
          </cell>
          <cell r="D139" t="str">
            <v/>
          </cell>
        </row>
        <row r="140">
          <cell r="B140">
            <v>25000000000137</v>
          </cell>
          <cell r="C140" t="str">
            <v>Endang Sobari</v>
          </cell>
          <cell r="D140" t="str">
            <v/>
          </cell>
        </row>
        <row r="141">
          <cell r="B141">
            <v>25000000000138</v>
          </cell>
          <cell r="C141" t="str">
            <v>Endang Sutrisna</v>
          </cell>
          <cell r="D141" t="str">
            <v>3173063012700005</v>
          </cell>
        </row>
        <row r="142">
          <cell r="B142">
            <v>25000000000139</v>
          </cell>
          <cell r="C142" t="str">
            <v>Erfananda Rasyid</v>
          </cell>
          <cell r="D142" t="str">
            <v/>
          </cell>
        </row>
        <row r="143">
          <cell r="B143">
            <v>25000000000140</v>
          </cell>
          <cell r="C143" t="str">
            <v>Ernawati</v>
          </cell>
          <cell r="D143" t="str">
            <v/>
          </cell>
        </row>
        <row r="144">
          <cell r="B144">
            <v>25000000000141</v>
          </cell>
          <cell r="C144" t="str">
            <v>Erwin Firmansyah</v>
          </cell>
          <cell r="D144" t="str">
            <v/>
          </cell>
        </row>
        <row r="145">
          <cell r="B145">
            <v>25000000000142</v>
          </cell>
          <cell r="C145" t="str">
            <v>Erwin Said</v>
          </cell>
          <cell r="D145" t="str">
            <v/>
          </cell>
        </row>
        <row r="146">
          <cell r="B146">
            <v>25000000000143</v>
          </cell>
          <cell r="C146" t="str">
            <v>Esa Annahar</v>
          </cell>
          <cell r="D146" t="str">
            <v/>
          </cell>
        </row>
        <row r="147">
          <cell r="B147">
            <v>25000000000144</v>
          </cell>
          <cell r="C147" t="str">
            <v>Faiz Horifal</v>
          </cell>
          <cell r="D147" t="str">
            <v/>
          </cell>
        </row>
        <row r="148">
          <cell r="B148">
            <v>25000000000145</v>
          </cell>
          <cell r="C148" t="str">
            <v>Fani Dwi Astutik</v>
          </cell>
          <cell r="D148" t="str">
            <v/>
          </cell>
        </row>
        <row r="149">
          <cell r="B149">
            <v>25000000000146</v>
          </cell>
          <cell r="C149" t="str">
            <v>Fardi Nauli R</v>
          </cell>
          <cell r="D149" t="str">
            <v/>
          </cell>
        </row>
        <row r="150">
          <cell r="B150">
            <v>25000000000147</v>
          </cell>
          <cell r="C150" t="str">
            <v>Farekh Huzair</v>
          </cell>
          <cell r="D150" t="str">
            <v/>
          </cell>
        </row>
        <row r="151">
          <cell r="B151">
            <v>25000000000148</v>
          </cell>
          <cell r="C151" t="str">
            <v>Farhana</v>
          </cell>
          <cell r="D151" t="str">
            <v/>
          </cell>
        </row>
        <row r="152">
          <cell r="B152">
            <v>25000000000149</v>
          </cell>
          <cell r="C152" t="str">
            <v>Febriyanto Ahdiat</v>
          </cell>
          <cell r="D152" t="str">
            <v/>
          </cell>
        </row>
        <row r="153">
          <cell r="B153">
            <v>25000000000150</v>
          </cell>
          <cell r="C153" t="str">
            <v>Febryan Mahsyar</v>
          </cell>
          <cell r="D153" t="str">
            <v/>
          </cell>
        </row>
        <row r="154">
          <cell r="B154">
            <v>25000000000151</v>
          </cell>
          <cell r="C154" t="str">
            <v>Felpy</v>
          </cell>
          <cell r="D154" t="str">
            <v/>
          </cell>
        </row>
        <row r="155">
          <cell r="B155">
            <v>25000000000152</v>
          </cell>
          <cell r="C155" t="str">
            <v>Feri Priyanto</v>
          </cell>
          <cell r="D155" t="str">
            <v/>
          </cell>
        </row>
        <row r="156">
          <cell r="B156">
            <v>25000000000153</v>
          </cell>
          <cell r="C156" t="str">
            <v>Ferry P Simanjuntak</v>
          </cell>
          <cell r="D156" t="str">
            <v/>
          </cell>
        </row>
        <row r="157">
          <cell r="B157">
            <v>25000000000154</v>
          </cell>
          <cell r="C157" t="str">
            <v>Fikri</v>
          </cell>
          <cell r="D157" t="str">
            <v/>
          </cell>
        </row>
        <row r="158">
          <cell r="B158">
            <v>25000000000155</v>
          </cell>
          <cell r="C158" t="str">
            <v>M. Fikri Caesarandi Hasibuan</v>
          </cell>
          <cell r="D158" t="str">
            <v>1271050107980002</v>
          </cell>
        </row>
        <row r="159">
          <cell r="B159">
            <v>25000000000156</v>
          </cell>
          <cell r="C159" t="str">
            <v>Firman Akbar</v>
          </cell>
          <cell r="D159" t="str">
            <v/>
          </cell>
        </row>
        <row r="160">
          <cell r="B160">
            <v>25000000000157</v>
          </cell>
          <cell r="C160" t="str">
            <v>Fitriastuti Kurnia</v>
          </cell>
          <cell r="D160" t="str">
            <v/>
          </cell>
        </row>
        <row r="161">
          <cell r="B161">
            <v>25000000000158</v>
          </cell>
          <cell r="C161" t="str">
            <v>Francis Imanuel</v>
          </cell>
          <cell r="D161" t="str">
            <v/>
          </cell>
        </row>
        <row r="162">
          <cell r="B162">
            <v>25000000000159</v>
          </cell>
          <cell r="C162" t="str">
            <v>Frando Judi Siahaan</v>
          </cell>
          <cell r="D162" t="str">
            <v/>
          </cell>
        </row>
        <row r="163">
          <cell r="B163">
            <v>25000000000160</v>
          </cell>
          <cell r="C163" t="str">
            <v>Frederika Intan</v>
          </cell>
          <cell r="D163" t="str">
            <v/>
          </cell>
        </row>
        <row r="164">
          <cell r="B164">
            <v>25000000000161</v>
          </cell>
          <cell r="C164" t="str">
            <v>Fuad Febrian</v>
          </cell>
          <cell r="D164" t="str">
            <v/>
          </cell>
        </row>
        <row r="165">
          <cell r="B165">
            <v>25000000000162</v>
          </cell>
          <cell r="C165" t="str">
            <v>Wiyadianto</v>
          </cell>
          <cell r="D165" t="str">
            <v/>
          </cell>
        </row>
        <row r="166">
          <cell r="B166">
            <v>25000000000163</v>
          </cell>
          <cell r="C166" t="str">
            <v>Galuh Swastika</v>
          </cell>
          <cell r="D166" t="str">
            <v/>
          </cell>
        </row>
        <row r="167">
          <cell r="B167">
            <v>25000000000164</v>
          </cell>
          <cell r="C167" t="str">
            <v>Ganda Yuharis R.</v>
          </cell>
          <cell r="D167" t="str">
            <v/>
          </cell>
        </row>
        <row r="168">
          <cell r="B168">
            <v>25000000000165</v>
          </cell>
          <cell r="C168" t="str">
            <v>Gatot Harsono</v>
          </cell>
          <cell r="D168" t="str">
            <v/>
          </cell>
        </row>
        <row r="169">
          <cell r="B169">
            <v>25000000000166</v>
          </cell>
          <cell r="C169" t="str">
            <v>Gina Septa</v>
          </cell>
          <cell r="D169" t="str">
            <v/>
          </cell>
        </row>
        <row r="170">
          <cell r="B170">
            <v>25000000000167</v>
          </cell>
          <cell r="C170" t="str">
            <v>Grace Kurniawan</v>
          </cell>
          <cell r="D170" t="str">
            <v>3271026603650001</v>
          </cell>
        </row>
        <row r="171">
          <cell r="B171">
            <v>25000000000168</v>
          </cell>
          <cell r="C171" t="str">
            <v>Gunawan</v>
          </cell>
          <cell r="D171" t="str">
            <v>3275122807710004</v>
          </cell>
        </row>
        <row r="172">
          <cell r="B172">
            <v>25000000000169</v>
          </cell>
          <cell r="C172" t="str">
            <v>Gustia Rakhmanita</v>
          </cell>
          <cell r="D172" t="str">
            <v/>
          </cell>
        </row>
        <row r="173">
          <cell r="B173">
            <v>25000000000170</v>
          </cell>
          <cell r="C173" t="str">
            <v>Habib Abdullah</v>
          </cell>
          <cell r="D173" t="str">
            <v/>
          </cell>
        </row>
        <row r="174">
          <cell r="B174">
            <v>25000000000171</v>
          </cell>
          <cell r="C174" t="str">
            <v>Hadi Kasmuri</v>
          </cell>
          <cell r="D174" t="str">
            <v/>
          </cell>
        </row>
        <row r="175">
          <cell r="B175">
            <v>25000000000172</v>
          </cell>
          <cell r="C175" t="str">
            <v>Haikal</v>
          </cell>
          <cell r="D175" t="str">
            <v/>
          </cell>
        </row>
        <row r="176">
          <cell r="B176">
            <v>25000000000173</v>
          </cell>
          <cell r="C176" t="str">
            <v>Hanantowiryo Tamtama</v>
          </cell>
          <cell r="D176" t="str">
            <v/>
          </cell>
        </row>
        <row r="177">
          <cell r="B177">
            <v>25000000000174</v>
          </cell>
          <cell r="C177" t="str">
            <v>Handoko</v>
          </cell>
          <cell r="D177" t="str">
            <v/>
          </cell>
        </row>
        <row r="178">
          <cell r="B178">
            <v>25000000000175</v>
          </cell>
          <cell r="C178" t="str">
            <v>Hanif Ashari</v>
          </cell>
          <cell r="D178" t="str">
            <v/>
          </cell>
        </row>
        <row r="179">
          <cell r="B179">
            <v>25000000000176</v>
          </cell>
          <cell r="C179" t="str">
            <v>Hanif Eko Saputro</v>
          </cell>
          <cell r="D179" t="str">
            <v/>
          </cell>
        </row>
        <row r="180">
          <cell r="B180">
            <v>25000000000177</v>
          </cell>
          <cell r="C180" t="str">
            <v>Hardianto</v>
          </cell>
          <cell r="D180" t="str">
            <v/>
          </cell>
        </row>
        <row r="181">
          <cell r="B181">
            <v>25000000000178</v>
          </cell>
          <cell r="C181" t="str">
            <v>Harlen Amudi Purba</v>
          </cell>
          <cell r="D181" t="str">
            <v/>
          </cell>
        </row>
        <row r="182">
          <cell r="B182">
            <v>25000000000179</v>
          </cell>
          <cell r="C182" t="str">
            <v>Harry Isnaeni</v>
          </cell>
          <cell r="D182" t="str">
            <v/>
          </cell>
        </row>
        <row r="183">
          <cell r="B183">
            <v>25000000000180</v>
          </cell>
          <cell r="C183" t="str">
            <v>Hasan Gani</v>
          </cell>
          <cell r="D183" t="str">
            <v/>
          </cell>
        </row>
        <row r="184">
          <cell r="B184">
            <v>25000000000181</v>
          </cell>
          <cell r="C184" t="str">
            <v>Hasrul</v>
          </cell>
          <cell r="D184" t="str">
            <v/>
          </cell>
        </row>
        <row r="185">
          <cell r="B185">
            <v>25000000000182</v>
          </cell>
          <cell r="C185" t="str">
            <v>Hendar Pambudi</v>
          </cell>
          <cell r="D185" t="str">
            <v/>
          </cell>
        </row>
        <row r="186">
          <cell r="B186">
            <v>25000000000183</v>
          </cell>
          <cell r="C186" t="str">
            <v>Hendri Kustian</v>
          </cell>
          <cell r="D186" t="str">
            <v/>
          </cell>
        </row>
        <row r="187">
          <cell r="B187">
            <v>25000000000184</v>
          </cell>
          <cell r="C187" t="str">
            <v>Hendrik</v>
          </cell>
          <cell r="D187" t="str">
            <v/>
          </cell>
        </row>
        <row r="188">
          <cell r="B188">
            <v>25000000000185</v>
          </cell>
          <cell r="C188" t="str">
            <v>Herdi Yulia Rohmana</v>
          </cell>
          <cell r="D188" t="str">
            <v/>
          </cell>
        </row>
        <row r="189">
          <cell r="B189">
            <v>25000000000186</v>
          </cell>
          <cell r="C189" t="str">
            <v>Heri Susanto</v>
          </cell>
          <cell r="D189" t="str">
            <v/>
          </cell>
        </row>
        <row r="190">
          <cell r="B190">
            <v>25000000000187</v>
          </cell>
          <cell r="C190" t="str">
            <v>Herlin Juli Asri</v>
          </cell>
          <cell r="D190" t="str">
            <v/>
          </cell>
        </row>
        <row r="191">
          <cell r="B191">
            <v>25000000000188</v>
          </cell>
          <cell r="C191" t="str">
            <v>Herman Budoyo</v>
          </cell>
          <cell r="D191" t="str">
            <v/>
          </cell>
        </row>
        <row r="192">
          <cell r="B192">
            <v>25000000000189</v>
          </cell>
          <cell r="C192" t="str">
            <v>Herni Yuliati</v>
          </cell>
          <cell r="D192" t="str">
            <v/>
          </cell>
        </row>
        <row r="193">
          <cell r="B193">
            <v>25000000000190</v>
          </cell>
          <cell r="C193" t="str">
            <v>Hernita Dwi</v>
          </cell>
          <cell r="D193" t="str">
            <v/>
          </cell>
        </row>
        <row r="194">
          <cell r="B194">
            <v>25000000000191</v>
          </cell>
          <cell r="C194" t="str">
            <v>Herri Setyawan</v>
          </cell>
          <cell r="D194" t="str">
            <v/>
          </cell>
        </row>
        <row r="195">
          <cell r="B195">
            <v>25000000000192</v>
          </cell>
          <cell r="C195" t="str">
            <v>Heru Sugiri</v>
          </cell>
          <cell r="D195" t="str">
            <v/>
          </cell>
        </row>
        <row r="196">
          <cell r="B196">
            <v>25000000000193</v>
          </cell>
          <cell r="C196" t="str">
            <v>Hervian Bagus Saputra</v>
          </cell>
          <cell r="D196" t="str">
            <v/>
          </cell>
        </row>
        <row r="197">
          <cell r="B197">
            <v>25000000000194</v>
          </cell>
          <cell r="C197" t="str">
            <v>H.R. Marlina S. T. R.</v>
          </cell>
          <cell r="D197" t="str">
            <v/>
          </cell>
        </row>
        <row r="198">
          <cell r="B198">
            <v>25000000000195</v>
          </cell>
          <cell r="C198" t="str">
            <v>Ibrahim Soukani</v>
          </cell>
          <cell r="D198" t="str">
            <v/>
          </cell>
        </row>
        <row r="199">
          <cell r="B199">
            <v>25000000000196</v>
          </cell>
          <cell r="C199" t="str">
            <v>Icha Mailinda Syamsoedin</v>
          </cell>
          <cell r="D199" t="str">
            <v>3305134603960002</v>
          </cell>
        </row>
        <row r="200">
          <cell r="B200">
            <v>25000000000197</v>
          </cell>
          <cell r="C200" t="str">
            <v>Ichsanudin</v>
          </cell>
          <cell r="D200" t="str">
            <v/>
          </cell>
        </row>
        <row r="201">
          <cell r="B201">
            <v>25000000000198</v>
          </cell>
          <cell r="C201" t="str">
            <v>Ida Tri Wulaningsih</v>
          </cell>
          <cell r="D201" t="str">
            <v/>
          </cell>
        </row>
        <row r="202">
          <cell r="B202">
            <v>25000000000199</v>
          </cell>
          <cell r="C202" t="str">
            <v>Idham</v>
          </cell>
          <cell r="D202" t="str">
            <v/>
          </cell>
        </row>
        <row r="203">
          <cell r="B203">
            <v>25000000000200</v>
          </cell>
          <cell r="C203" t="str">
            <v>Idham Nasution</v>
          </cell>
          <cell r="D203" t="str">
            <v/>
          </cell>
        </row>
        <row r="204">
          <cell r="B204">
            <v>25000000000201</v>
          </cell>
          <cell r="C204" t="str">
            <v>Idian</v>
          </cell>
          <cell r="D204" t="str">
            <v/>
          </cell>
        </row>
        <row r="205">
          <cell r="B205">
            <v>25000000000202</v>
          </cell>
          <cell r="C205" t="str">
            <v>Ikun M. Soedrajat</v>
          </cell>
          <cell r="D205" t="str">
            <v/>
          </cell>
        </row>
        <row r="206">
          <cell r="B206">
            <v>25000000000203</v>
          </cell>
          <cell r="C206" t="str">
            <v>Ilham Arisyandy</v>
          </cell>
          <cell r="D206" t="str">
            <v/>
          </cell>
        </row>
        <row r="207">
          <cell r="B207">
            <v>25000000000204</v>
          </cell>
          <cell r="C207" t="str">
            <v>Ilham Akbar</v>
          </cell>
          <cell r="D207" t="str">
            <v/>
          </cell>
        </row>
        <row r="208">
          <cell r="B208">
            <v>25000000000205</v>
          </cell>
          <cell r="C208" t="str">
            <v>Imam Basuki</v>
          </cell>
          <cell r="D208" t="str">
            <v/>
          </cell>
        </row>
        <row r="209">
          <cell r="B209">
            <v>25000000000206</v>
          </cell>
          <cell r="C209" t="str">
            <v>Imam Mustofa</v>
          </cell>
          <cell r="D209" t="str">
            <v/>
          </cell>
        </row>
        <row r="210">
          <cell r="B210">
            <v>25000000000207</v>
          </cell>
          <cell r="C210" t="str">
            <v>Imam Safiiy</v>
          </cell>
          <cell r="D210" t="str">
            <v/>
          </cell>
        </row>
        <row r="211">
          <cell r="B211">
            <v>25000000000208</v>
          </cell>
          <cell r="C211" t="str">
            <v>Iman Hakiki</v>
          </cell>
          <cell r="D211" t="str">
            <v/>
          </cell>
        </row>
        <row r="212">
          <cell r="B212">
            <v>25000000000209</v>
          </cell>
          <cell r="C212" t="str">
            <v>Imelda Claudia</v>
          </cell>
          <cell r="D212" t="str">
            <v/>
          </cell>
        </row>
        <row r="213">
          <cell r="B213">
            <v>25000000000210</v>
          </cell>
          <cell r="C213" t="str">
            <v>Indawan Haryadi</v>
          </cell>
          <cell r="D213" t="str">
            <v/>
          </cell>
        </row>
        <row r="214">
          <cell r="B214">
            <v>25000000000211</v>
          </cell>
          <cell r="C214" t="str">
            <v>Indra Jaya</v>
          </cell>
          <cell r="D214" t="str">
            <v/>
          </cell>
        </row>
        <row r="215">
          <cell r="B215">
            <v>25000000000212</v>
          </cell>
          <cell r="C215" t="str">
            <v>Indra Muchtar</v>
          </cell>
          <cell r="D215" t="str">
            <v/>
          </cell>
        </row>
        <row r="216">
          <cell r="B216">
            <v>25000000000213</v>
          </cell>
          <cell r="C216" t="str">
            <v>Irvan</v>
          </cell>
          <cell r="D216" t="str">
            <v/>
          </cell>
        </row>
        <row r="217">
          <cell r="B217">
            <v>25000000000214</v>
          </cell>
          <cell r="C217" t="str">
            <v>Irvan Agus Dharma Eka Putra</v>
          </cell>
          <cell r="D217" t="str">
            <v/>
          </cell>
        </row>
        <row r="218">
          <cell r="B218">
            <v>25000000000215</v>
          </cell>
          <cell r="C218" t="str">
            <v>Irwan</v>
          </cell>
          <cell r="D218" t="str">
            <v/>
          </cell>
        </row>
        <row r="219">
          <cell r="B219">
            <v>25000000000216</v>
          </cell>
          <cell r="C219" t="str">
            <v>Isa Anshori</v>
          </cell>
          <cell r="D219" t="str">
            <v/>
          </cell>
        </row>
        <row r="220">
          <cell r="B220">
            <v>25000000000217</v>
          </cell>
          <cell r="C220" t="str">
            <v>Isa Taufiq</v>
          </cell>
          <cell r="D220" t="str">
            <v/>
          </cell>
        </row>
        <row r="221">
          <cell r="B221">
            <v>25000000000218</v>
          </cell>
          <cell r="C221" t="str">
            <v>Iskandarsyah</v>
          </cell>
          <cell r="D221" t="str">
            <v/>
          </cell>
        </row>
        <row r="222">
          <cell r="B222">
            <v>25000000000219</v>
          </cell>
          <cell r="C222" t="str">
            <v>Istanto Istanto</v>
          </cell>
          <cell r="D222" t="str">
            <v/>
          </cell>
        </row>
        <row r="223">
          <cell r="B223">
            <v>25000000000220</v>
          </cell>
          <cell r="C223" t="str">
            <v>Iswahyuni</v>
          </cell>
          <cell r="D223" t="str">
            <v/>
          </cell>
        </row>
        <row r="224">
          <cell r="B224">
            <v>25000000000221</v>
          </cell>
          <cell r="C224" t="str">
            <v>Iva Nurvahayati</v>
          </cell>
          <cell r="D224" t="str">
            <v/>
          </cell>
        </row>
        <row r="225">
          <cell r="B225">
            <v>25000000000222</v>
          </cell>
          <cell r="C225" t="str">
            <v>Iwan Setiawan</v>
          </cell>
          <cell r="D225" t="str">
            <v/>
          </cell>
        </row>
        <row r="226">
          <cell r="B226">
            <v>25000000000223</v>
          </cell>
          <cell r="C226" t="str">
            <v>Iwan Sumantri</v>
          </cell>
          <cell r="D226" t="str">
            <v/>
          </cell>
        </row>
        <row r="227">
          <cell r="B227">
            <v>25000000000224</v>
          </cell>
          <cell r="C227" t="str">
            <v>Iwan Wibawa</v>
          </cell>
          <cell r="D227" t="str">
            <v/>
          </cell>
        </row>
        <row r="228">
          <cell r="B228">
            <v>25000000000225</v>
          </cell>
          <cell r="C228" t="str">
            <v>Iyus Darwin</v>
          </cell>
          <cell r="D228" t="str">
            <v/>
          </cell>
        </row>
        <row r="229">
          <cell r="B229">
            <v>25000000000226</v>
          </cell>
          <cell r="C229" t="str">
            <v>Jaenudin</v>
          </cell>
          <cell r="D229" t="str">
            <v/>
          </cell>
        </row>
        <row r="230">
          <cell r="B230">
            <v>25000000000227</v>
          </cell>
          <cell r="C230" t="str">
            <v>Jaruli Samosir</v>
          </cell>
          <cell r="D230" t="str">
            <v/>
          </cell>
        </row>
        <row r="231">
          <cell r="B231">
            <v>25000000000228</v>
          </cell>
          <cell r="C231" t="str">
            <v>Jaya Ganef</v>
          </cell>
          <cell r="D231" t="str">
            <v/>
          </cell>
        </row>
        <row r="232">
          <cell r="B232">
            <v>25000000000229</v>
          </cell>
          <cell r="C232" t="str">
            <v>Jaya Sitepu</v>
          </cell>
          <cell r="D232" t="str">
            <v/>
          </cell>
        </row>
        <row r="233">
          <cell r="B233">
            <v>25000000000230</v>
          </cell>
          <cell r="C233" t="str">
            <v>Jeefrianda H. P. Sigalingging</v>
          </cell>
          <cell r="D233" t="str">
            <v/>
          </cell>
        </row>
        <row r="234">
          <cell r="B234">
            <v>25000000000231</v>
          </cell>
          <cell r="C234" t="str">
            <v>Jerry Djajasaputra</v>
          </cell>
          <cell r="D234" t="str">
            <v/>
          </cell>
        </row>
        <row r="235">
          <cell r="B235">
            <v>25000000000232</v>
          </cell>
          <cell r="C235" t="str">
            <v>Jimmywal</v>
          </cell>
          <cell r="D235" t="str">
            <v>3201042302780003</v>
          </cell>
        </row>
        <row r="236">
          <cell r="B236">
            <v>25000000000233</v>
          </cell>
          <cell r="C236" t="str">
            <v>Jodie Satria</v>
          </cell>
          <cell r="D236" t="str">
            <v/>
          </cell>
        </row>
        <row r="237">
          <cell r="B237">
            <v>25000000000234</v>
          </cell>
          <cell r="C237" t="str">
            <v>Johannes Silalahi</v>
          </cell>
          <cell r="D237" t="str">
            <v/>
          </cell>
        </row>
        <row r="238">
          <cell r="B238">
            <v>25000000000235</v>
          </cell>
          <cell r="C238" t="str">
            <v>Joko Wiyono</v>
          </cell>
          <cell r="D238" t="str">
            <v/>
          </cell>
        </row>
        <row r="239">
          <cell r="B239">
            <v>25000000000236</v>
          </cell>
          <cell r="C239" t="str">
            <v>Jondril Hantoni</v>
          </cell>
          <cell r="D239" t="str">
            <v/>
          </cell>
        </row>
        <row r="240">
          <cell r="B240">
            <v>25000000000237</v>
          </cell>
          <cell r="C240" t="str">
            <v>Jonhar Aziz</v>
          </cell>
          <cell r="D240" t="str">
            <v/>
          </cell>
        </row>
        <row r="241">
          <cell r="B241">
            <v>25000000000238</v>
          </cell>
          <cell r="C241" t="str">
            <v>Juan Talitha</v>
          </cell>
          <cell r="D241" t="str">
            <v/>
          </cell>
        </row>
        <row r="242">
          <cell r="B242">
            <v>25000000000239</v>
          </cell>
          <cell r="C242" t="str">
            <v>Juharja Juharja</v>
          </cell>
          <cell r="D242" t="str">
            <v/>
          </cell>
        </row>
        <row r="243">
          <cell r="B243">
            <v>25000000000240</v>
          </cell>
          <cell r="C243" t="str">
            <v>Juminar</v>
          </cell>
          <cell r="D243" t="str">
            <v/>
          </cell>
        </row>
        <row r="244">
          <cell r="B244">
            <v>25000000000241</v>
          </cell>
          <cell r="C244" t="str">
            <v>Jumino</v>
          </cell>
          <cell r="D244" t="str">
            <v/>
          </cell>
        </row>
        <row r="245">
          <cell r="B245">
            <v>25000000000242</v>
          </cell>
          <cell r="C245" t="str">
            <v>Junaedi</v>
          </cell>
          <cell r="D245" t="str">
            <v/>
          </cell>
        </row>
        <row r="246">
          <cell r="B246">
            <v>25000000000243</v>
          </cell>
          <cell r="C246" t="str">
            <v>Junaidi</v>
          </cell>
          <cell r="D246" t="str">
            <v/>
          </cell>
        </row>
        <row r="247">
          <cell r="B247">
            <v>25000000000244</v>
          </cell>
          <cell r="C247" t="str">
            <v>Jusuf Bobby Putra</v>
          </cell>
          <cell r="D247" t="str">
            <v/>
          </cell>
        </row>
        <row r="248">
          <cell r="B248">
            <v>25000000000245</v>
          </cell>
          <cell r="C248" t="str">
            <v>Jusuf Gandi</v>
          </cell>
          <cell r="D248" t="str">
            <v/>
          </cell>
        </row>
        <row r="249">
          <cell r="B249">
            <v>25000000000246</v>
          </cell>
          <cell r="C249" t="str">
            <v>Kahar Triyono</v>
          </cell>
          <cell r="D249" t="str">
            <v/>
          </cell>
        </row>
        <row r="250">
          <cell r="B250">
            <v>25000000000247</v>
          </cell>
          <cell r="C250" t="str">
            <v>Keila</v>
          </cell>
          <cell r="D250" t="str">
            <v/>
          </cell>
        </row>
        <row r="251">
          <cell r="B251">
            <v>25000000000248</v>
          </cell>
          <cell r="C251" t="str">
            <v>Kendra Daniswara</v>
          </cell>
          <cell r="D251" t="str">
            <v/>
          </cell>
        </row>
        <row r="252">
          <cell r="B252">
            <v>25000000000249</v>
          </cell>
          <cell r="C252" t="str">
            <v>Kevin Henokh Tambunan</v>
          </cell>
          <cell r="D252" t="str">
            <v/>
          </cell>
        </row>
        <row r="253">
          <cell r="B253">
            <v>25000000000250</v>
          </cell>
          <cell r="C253" t="str">
            <v>Khafid Fahrurrozi</v>
          </cell>
          <cell r="D253" t="str">
            <v/>
          </cell>
        </row>
        <row r="254">
          <cell r="B254">
            <v>25000000000251</v>
          </cell>
          <cell r="C254" t="str">
            <v>Kholik</v>
          </cell>
          <cell r="D254" t="str">
            <v/>
          </cell>
        </row>
        <row r="255">
          <cell r="B255">
            <v>25000000000252</v>
          </cell>
          <cell r="C255" t="str">
            <v>Kiki Mustikawati</v>
          </cell>
          <cell r="D255" t="str">
            <v/>
          </cell>
        </row>
        <row r="256">
          <cell r="B256">
            <v>25000000000253</v>
          </cell>
          <cell r="C256" t="str">
            <v>Kornelius Sakan</v>
          </cell>
          <cell r="D256" t="str">
            <v>3671130303690004</v>
          </cell>
        </row>
        <row r="257">
          <cell r="B257">
            <v>25000000000254</v>
          </cell>
          <cell r="C257" t="str">
            <v>Kosasih</v>
          </cell>
          <cell r="D257" t="str">
            <v/>
          </cell>
        </row>
        <row r="258">
          <cell r="B258">
            <v>25000000000255</v>
          </cell>
          <cell r="C258" t="str">
            <v>Krisnawan</v>
          </cell>
          <cell r="D258" t="str">
            <v/>
          </cell>
        </row>
        <row r="259">
          <cell r="B259">
            <v>25000000000256</v>
          </cell>
          <cell r="C259" t="str">
            <v>Kurniadi</v>
          </cell>
          <cell r="D259" t="str">
            <v/>
          </cell>
        </row>
        <row r="260">
          <cell r="B260">
            <v>25000000000257</v>
          </cell>
          <cell r="C260" t="str">
            <v>Kurniawan</v>
          </cell>
          <cell r="D260" t="str">
            <v/>
          </cell>
        </row>
        <row r="261">
          <cell r="B261">
            <v>25000000000258</v>
          </cell>
          <cell r="C261" t="str">
            <v>Laode</v>
          </cell>
          <cell r="D261" t="str">
            <v/>
          </cell>
        </row>
        <row r="262">
          <cell r="B262">
            <v>25000000000259</v>
          </cell>
          <cell r="C262" t="str">
            <v>Leo Nababan</v>
          </cell>
          <cell r="D262" t="str">
            <v/>
          </cell>
        </row>
        <row r="263">
          <cell r="B263">
            <v>25000000000260</v>
          </cell>
          <cell r="C263" t="str">
            <v>Liani Atmaningrum</v>
          </cell>
          <cell r="D263" t="str">
            <v/>
          </cell>
        </row>
        <row r="264">
          <cell r="B264">
            <v>25000000000261</v>
          </cell>
          <cell r="C264" t="str">
            <v>Liaseptriani Liaseptriani</v>
          </cell>
          <cell r="D264" t="str">
            <v/>
          </cell>
        </row>
        <row r="265">
          <cell r="B265">
            <v>25000000000262</v>
          </cell>
          <cell r="C265" t="str">
            <v>Lisma Natalia</v>
          </cell>
          <cell r="D265" t="str">
            <v>3175085112800001</v>
          </cell>
        </row>
        <row r="266">
          <cell r="B266">
            <v>25000000000263</v>
          </cell>
          <cell r="C266" t="str">
            <v>Listyo Hartanto</v>
          </cell>
          <cell r="D266" t="str">
            <v/>
          </cell>
        </row>
        <row r="267">
          <cell r="B267">
            <v>25000000000264</v>
          </cell>
          <cell r="C267" t="str">
            <v>M. Ari Ardizah Nasution</v>
          </cell>
          <cell r="D267" t="str">
            <v/>
          </cell>
        </row>
        <row r="268">
          <cell r="B268">
            <v>25000000000265</v>
          </cell>
          <cell r="C268" t="str">
            <v>M. Denny  Micrazudin</v>
          </cell>
          <cell r="D268" t="str">
            <v/>
          </cell>
        </row>
        <row r="269">
          <cell r="B269">
            <v>25000000000266</v>
          </cell>
          <cell r="C269" t="str">
            <v>M. Ridho Pramudia</v>
          </cell>
          <cell r="D269" t="str">
            <v/>
          </cell>
        </row>
        <row r="270">
          <cell r="B270">
            <v>25000000000267</v>
          </cell>
          <cell r="C270" t="str">
            <v>M. Rusdi</v>
          </cell>
          <cell r="D270" t="str">
            <v/>
          </cell>
        </row>
        <row r="271">
          <cell r="B271">
            <v>25000000000268</v>
          </cell>
          <cell r="C271" t="str">
            <v>M. Ervan Isyawal Akbar</v>
          </cell>
          <cell r="D271" t="str">
            <v/>
          </cell>
        </row>
        <row r="272">
          <cell r="B272">
            <v>25000000000269</v>
          </cell>
          <cell r="C272" t="str">
            <v>Maharani Tanjungsari</v>
          </cell>
          <cell r="D272" t="str">
            <v/>
          </cell>
        </row>
        <row r="273">
          <cell r="B273">
            <v>25000000000270</v>
          </cell>
          <cell r="C273" t="str">
            <v>Maharani Uthmaniah</v>
          </cell>
          <cell r="D273" t="str">
            <v/>
          </cell>
        </row>
        <row r="274">
          <cell r="B274">
            <v>25000000000271</v>
          </cell>
          <cell r="C274" t="str">
            <v>Manotar Tamba</v>
          </cell>
          <cell r="D274" t="str">
            <v/>
          </cell>
        </row>
        <row r="275">
          <cell r="B275">
            <v>25000000000272</v>
          </cell>
          <cell r="C275" t="str">
            <v>Maradona Manurung</v>
          </cell>
          <cell r="D275" t="str">
            <v/>
          </cell>
        </row>
        <row r="276">
          <cell r="B276">
            <v>25000000000273</v>
          </cell>
          <cell r="C276" t="str">
            <v>Pantas Banjarnahor Marbun</v>
          </cell>
          <cell r="D276" t="str">
            <v/>
          </cell>
        </row>
        <row r="277">
          <cell r="B277">
            <v>25000000000274</v>
          </cell>
          <cell r="C277" t="str">
            <v>Marcella Avia Ramadhinaningrum</v>
          </cell>
          <cell r="D277" t="str">
            <v/>
          </cell>
        </row>
        <row r="278">
          <cell r="B278">
            <v>25000000000275</v>
          </cell>
          <cell r="C278" t="str">
            <v>Marissa Watak</v>
          </cell>
          <cell r="D278" t="str">
            <v/>
          </cell>
        </row>
        <row r="279">
          <cell r="B279">
            <v>25000000000276</v>
          </cell>
          <cell r="C279" t="str">
            <v>Marten Tabun</v>
          </cell>
          <cell r="D279" t="str">
            <v>3603121210820014</v>
          </cell>
        </row>
        <row r="280">
          <cell r="B280">
            <v>25000000000277</v>
          </cell>
          <cell r="C280" t="str">
            <v>Martimbul Rahman</v>
          </cell>
          <cell r="D280" t="str">
            <v/>
          </cell>
        </row>
        <row r="281">
          <cell r="B281">
            <v>25000000000278</v>
          </cell>
          <cell r="C281" t="str">
            <v>T. Marungkil U. S. Sagala</v>
          </cell>
          <cell r="D281" t="str">
            <v>3175101206750016</v>
          </cell>
        </row>
        <row r="282">
          <cell r="B282">
            <v>25000000000279</v>
          </cell>
          <cell r="C282" t="str">
            <v>Marzuki</v>
          </cell>
          <cell r="D282" t="str">
            <v/>
          </cell>
        </row>
        <row r="283">
          <cell r="B283">
            <v>25000000000280</v>
          </cell>
          <cell r="C283" t="str">
            <v>Mashuri Mashuri</v>
          </cell>
          <cell r="D283" t="str">
            <v/>
          </cell>
        </row>
        <row r="284">
          <cell r="B284">
            <v>25000000000281</v>
          </cell>
          <cell r="C284" t="str">
            <v>Mat Soleh</v>
          </cell>
          <cell r="D284" t="str">
            <v/>
          </cell>
        </row>
        <row r="285">
          <cell r="B285">
            <v>25000000000282</v>
          </cell>
          <cell r="C285" t="str">
            <v>Mhd Syahputra</v>
          </cell>
          <cell r="D285" t="str">
            <v/>
          </cell>
        </row>
        <row r="286">
          <cell r="B286">
            <v>25000000000283</v>
          </cell>
          <cell r="C286" t="str">
            <v>Mia Puspitasari</v>
          </cell>
          <cell r="D286" t="str">
            <v/>
          </cell>
        </row>
        <row r="287">
          <cell r="B287">
            <v>25000000000284</v>
          </cell>
          <cell r="C287" t="str">
            <v>Midin Ena</v>
          </cell>
          <cell r="D287" t="str">
            <v/>
          </cell>
        </row>
        <row r="288">
          <cell r="B288">
            <v>25000000000285</v>
          </cell>
          <cell r="C288" t="str">
            <v>Miftakhul Muzakky</v>
          </cell>
          <cell r="D288" t="str">
            <v/>
          </cell>
        </row>
        <row r="289">
          <cell r="B289">
            <v>25000000000286</v>
          </cell>
          <cell r="C289" t="str">
            <v>Mista</v>
          </cell>
          <cell r="D289" t="str">
            <v/>
          </cell>
        </row>
        <row r="290">
          <cell r="B290">
            <v>25000000000287</v>
          </cell>
          <cell r="C290" t="str">
            <v>Mochamad Samman</v>
          </cell>
          <cell r="D290" t="str">
            <v/>
          </cell>
        </row>
        <row r="291">
          <cell r="B291">
            <v>25000000000288</v>
          </cell>
          <cell r="C291" t="str">
            <v>Moh. Afif</v>
          </cell>
          <cell r="D291" t="str">
            <v/>
          </cell>
        </row>
        <row r="292">
          <cell r="B292">
            <v>25000000000289</v>
          </cell>
          <cell r="C292" t="str">
            <v>Mohammad Arman Tompo</v>
          </cell>
          <cell r="D292" t="str">
            <v/>
          </cell>
        </row>
        <row r="293">
          <cell r="B293">
            <v>25000000000290</v>
          </cell>
          <cell r="C293" t="str">
            <v>Mohd. Elfan Pratama</v>
          </cell>
          <cell r="D293" t="str">
            <v/>
          </cell>
        </row>
        <row r="294">
          <cell r="B294">
            <v>25000000000291</v>
          </cell>
          <cell r="C294" t="str">
            <v>Monang Simarmata</v>
          </cell>
          <cell r="D294" t="str">
            <v/>
          </cell>
        </row>
        <row r="295">
          <cell r="B295">
            <v>25000000000292</v>
          </cell>
          <cell r="C295" t="str">
            <v>Moritz Thomsen Marbun</v>
          </cell>
          <cell r="D295" t="str">
            <v/>
          </cell>
        </row>
        <row r="296">
          <cell r="B296">
            <v>25000000000293</v>
          </cell>
          <cell r="C296" t="str">
            <v>Muhamad Hamdan Rifai</v>
          </cell>
          <cell r="D296" t="str">
            <v/>
          </cell>
        </row>
        <row r="297">
          <cell r="B297">
            <v>25000000000294</v>
          </cell>
          <cell r="C297" t="str">
            <v>Muhamad Ikhsan</v>
          </cell>
          <cell r="D297" t="str">
            <v/>
          </cell>
        </row>
        <row r="298">
          <cell r="B298">
            <v>25000000000295</v>
          </cell>
          <cell r="C298" t="str">
            <v>Muhamad Nurhamsach</v>
          </cell>
          <cell r="D298" t="str">
            <v/>
          </cell>
        </row>
        <row r="299">
          <cell r="B299">
            <v>25000000000296</v>
          </cell>
          <cell r="C299" t="str">
            <v>Muhammad Ardiansyah</v>
          </cell>
          <cell r="D299" t="str">
            <v/>
          </cell>
        </row>
        <row r="300">
          <cell r="B300">
            <v>25000000000297</v>
          </cell>
          <cell r="C300" t="str">
            <v>Muhammad Khadafy</v>
          </cell>
          <cell r="D300" t="str">
            <v/>
          </cell>
        </row>
        <row r="301">
          <cell r="B301">
            <v>25000000000298</v>
          </cell>
          <cell r="C301" t="str">
            <v>Muhammad Taufan</v>
          </cell>
          <cell r="D301" t="str">
            <v/>
          </cell>
        </row>
        <row r="302">
          <cell r="B302">
            <v>25000000000299</v>
          </cell>
          <cell r="C302" t="str">
            <v>Muklis</v>
          </cell>
          <cell r="D302" t="str">
            <v/>
          </cell>
        </row>
        <row r="303">
          <cell r="B303">
            <v>25000000000300</v>
          </cell>
          <cell r="C303" t="str">
            <v>Mulia Rohanson Harahap</v>
          </cell>
          <cell r="D303" t="str">
            <v/>
          </cell>
        </row>
        <row r="304">
          <cell r="B304">
            <v>25000000000301</v>
          </cell>
          <cell r="C304" t="str">
            <v>Mullan Tresna</v>
          </cell>
          <cell r="D304" t="str">
            <v>3271046502760003</v>
          </cell>
        </row>
        <row r="305">
          <cell r="B305">
            <v>25000000000302</v>
          </cell>
          <cell r="C305" t="str">
            <v>Mulyadi</v>
          </cell>
          <cell r="D305" t="str">
            <v/>
          </cell>
        </row>
        <row r="306">
          <cell r="B306">
            <v>25000000000303</v>
          </cell>
          <cell r="C306" t="str">
            <v>Mulyono</v>
          </cell>
          <cell r="D306" t="str">
            <v/>
          </cell>
        </row>
        <row r="307">
          <cell r="B307">
            <v>25000000000304</v>
          </cell>
          <cell r="C307" t="str">
            <v>Murdiansyah</v>
          </cell>
          <cell r="D307" t="str">
            <v/>
          </cell>
        </row>
        <row r="308">
          <cell r="B308">
            <v>25000000000305</v>
          </cell>
          <cell r="C308" t="str">
            <v>Mursalim</v>
          </cell>
          <cell r="D308" t="str">
            <v/>
          </cell>
        </row>
        <row r="309">
          <cell r="B309">
            <v>25000000000306</v>
          </cell>
          <cell r="C309" t="str">
            <v>Nancy Meriana Sinaga</v>
          </cell>
          <cell r="D309" t="str">
            <v/>
          </cell>
        </row>
        <row r="310">
          <cell r="B310">
            <v>25000000000307</v>
          </cell>
          <cell r="C310" t="str">
            <v>Nandang Effendi</v>
          </cell>
          <cell r="D310" t="str">
            <v>3604131405710001</v>
          </cell>
        </row>
        <row r="311">
          <cell r="B311">
            <v>25000000000308</v>
          </cell>
          <cell r="C311" t="str">
            <v>Narno</v>
          </cell>
          <cell r="D311" t="str">
            <v/>
          </cell>
        </row>
        <row r="312">
          <cell r="B312">
            <v>25000000000309</v>
          </cell>
          <cell r="C312" t="str">
            <v>Nasrul Anwar P.</v>
          </cell>
          <cell r="D312" t="str">
            <v/>
          </cell>
        </row>
        <row r="313">
          <cell r="B313">
            <v>25000000000310</v>
          </cell>
          <cell r="C313" t="str">
            <v>Nawal</v>
          </cell>
          <cell r="D313" t="str">
            <v/>
          </cell>
        </row>
        <row r="314">
          <cell r="B314">
            <v>25000000000311</v>
          </cell>
          <cell r="C314" t="str">
            <v>Nawir Lahamutu</v>
          </cell>
          <cell r="D314" t="str">
            <v/>
          </cell>
        </row>
        <row r="315">
          <cell r="B315">
            <v>25000000000312</v>
          </cell>
          <cell r="C315" t="str">
            <v>Nicky Kurnia</v>
          </cell>
          <cell r="D315" t="str">
            <v/>
          </cell>
        </row>
        <row r="316">
          <cell r="B316">
            <v>25000000000313</v>
          </cell>
          <cell r="C316" t="str">
            <v>Noercholis Firmansyah</v>
          </cell>
          <cell r="D316" t="str">
            <v/>
          </cell>
        </row>
        <row r="317">
          <cell r="B317">
            <v>25000000000314</v>
          </cell>
          <cell r="C317" t="str">
            <v>Nopitasari</v>
          </cell>
          <cell r="D317" t="str">
            <v/>
          </cell>
        </row>
        <row r="318">
          <cell r="B318">
            <v>25000000000315</v>
          </cell>
          <cell r="C318" t="str">
            <v>Nora Meilissa</v>
          </cell>
          <cell r="D318" t="str">
            <v/>
          </cell>
        </row>
        <row r="319">
          <cell r="B319">
            <v>25000000000316</v>
          </cell>
          <cell r="C319" t="str">
            <v>Novalia</v>
          </cell>
          <cell r="D319" t="str">
            <v/>
          </cell>
        </row>
        <row r="320">
          <cell r="B320">
            <v>25000000000317</v>
          </cell>
          <cell r="C320" t="str">
            <v>Novan Nugraha</v>
          </cell>
          <cell r="D320" t="str">
            <v/>
          </cell>
        </row>
        <row r="321">
          <cell r="B321">
            <v>25000000000318</v>
          </cell>
          <cell r="C321" t="str">
            <v>Nugraha</v>
          </cell>
          <cell r="D321" t="str">
            <v/>
          </cell>
        </row>
        <row r="322">
          <cell r="B322">
            <v>25000000000319</v>
          </cell>
          <cell r="C322" t="str">
            <v>Nugroho Putranto</v>
          </cell>
          <cell r="D322" t="str">
            <v/>
          </cell>
        </row>
        <row r="323">
          <cell r="B323">
            <v>25000000000320</v>
          </cell>
          <cell r="C323" t="str">
            <v>Nur Indra Sri Melati</v>
          </cell>
          <cell r="D323" t="str">
            <v/>
          </cell>
        </row>
        <row r="324">
          <cell r="B324">
            <v>25000000000321</v>
          </cell>
          <cell r="C324" t="str">
            <v>Nur Kusumowati</v>
          </cell>
          <cell r="D324" t="str">
            <v/>
          </cell>
        </row>
        <row r="325">
          <cell r="B325">
            <v>25000000000322</v>
          </cell>
          <cell r="C325" t="str">
            <v>Nurhidayat</v>
          </cell>
          <cell r="D325" t="str">
            <v/>
          </cell>
        </row>
        <row r="326">
          <cell r="B326">
            <v>25000000000323</v>
          </cell>
          <cell r="C326" t="str">
            <v>Otong Bustori</v>
          </cell>
          <cell r="D326" t="str">
            <v/>
          </cell>
        </row>
        <row r="327">
          <cell r="B327">
            <v>25000000000324</v>
          </cell>
          <cell r="C327" t="str">
            <v>Paino Suprayinto</v>
          </cell>
          <cell r="D327" t="str">
            <v/>
          </cell>
        </row>
        <row r="328">
          <cell r="B328">
            <v>25000000000325</v>
          </cell>
          <cell r="C328" t="str">
            <v>Panca Yudi Baskoro</v>
          </cell>
          <cell r="D328" t="str">
            <v/>
          </cell>
        </row>
        <row r="329">
          <cell r="B329">
            <v>25000000000326</v>
          </cell>
          <cell r="C329" t="str">
            <v>Panji Bima Santri</v>
          </cell>
          <cell r="D329" t="str">
            <v/>
          </cell>
        </row>
        <row r="330">
          <cell r="B330">
            <v>25000000000327</v>
          </cell>
          <cell r="C330" t="str">
            <v>Parulian Napitupulu</v>
          </cell>
          <cell r="D330" t="str">
            <v/>
          </cell>
        </row>
        <row r="331">
          <cell r="B331">
            <v>25000000000328</v>
          </cell>
          <cell r="C331" t="str">
            <v>Paryanto</v>
          </cell>
          <cell r="D331" t="str">
            <v/>
          </cell>
        </row>
        <row r="332">
          <cell r="B332">
            <v>25000000000329</v>
          </cell>
          <cell r="C332" t="str">
            <v>Pikri Hidayat</v>
          </cell>
          <cell r="D332" t="str">
            <v/>
          </cell>
        </row>
        <row r="333">
          <cell r="B333">
            <v>25000000000330</v>
          </cell>
          <cell r="C333" t="str">
            <v>Prayanti Dewi Anggraini</v>
          </cell>
          <cell r="D333" t="str">
            <v/>
          </cell>
        </row>
        <row r="334">
          <cell r="B334">
            <v>25000000000331</v>
          </cell>
          <cell r="C334" t="str">
            <v>Prayati Zai</v>
          </cell>
          <cell r="D334" t="str">
            <v/>
          </cell>
        </row>
        <row r="335">
          <cell r="B335">
            <v>25000000000332</v>
          </cell>
          <cell r="C335" t="str">
            <v>Pristu Andonoto</v>
          </cell>
          <cell r="D335" t="str">
            <v/>
          </cell>
        </row>
        <row r="336">
          <cell r="B336">
            <v>25000000000333</v>
          </cell>
          <cell r="C336" t="str">
            <v>Putra Perdana Tirtomoyo</v>
          </cell>
          <cell r="D336" t="str">
            <v/>
          </cell>
        </row>
        <row r="337">
          <cell r="B337">
            <v>25000000000334</v>
          </cell>
          <cell r="C337" t="str">
            <v>R. Lar Kumalaning Tresno</v>
          </cell>
          <cell r="D337" t="str">
            <v/>
          </cell>
        </row>
        <row r="338">
          <cell r="B338">
            <v>25000000000335</v>
          </cell>
          <cell r="C338" t="str">
            <v>Rachmad</v>
          </cell>
          <cell r="D338" t="str">
            <v/>
          </cell>
        </row>
        <row r="339">
          <cell r="B339">
            <v>25000000000336</v>
          </cell>
          <cell r="C339" t="str">
            <v>Radjiman</v>
          </cell>
          <cell r="D339" t="str">
            <v/>
          </cell>
        </row>
        <row r="340">
          <cell r="B340">
            <v>25000000000337</v>
          </cell>
          <cell r="C340" t="str">
            <v>Rafi Firman Saputra</v>
          </cell>
          <cell r="D340" t="str">
            <v/>
          </cell>
        </row>
        <row r="341">
          <cell r="B341">
            <v>25000000000338</v>
          </cell>
          <cell r="C341" t="str">
            <v>Rahmat Riyadi</v>
          </cell>
          <cell r="D341" t="str">
            <v/>
          </cell>
        </row>
        <row r="342">
          <cell r="B342">
            <v>25000000000339</v>
          </cell>
          <cell r="C342" t="str">
            <v>Rahmat Sirfano</v>
          </cell>
          <cell r="D342" t="str">
            <v/>
          </cell>
        </row>
        <row r="343">
          <cell r="B343">
            <v>25000000000340</v>
          </cell>
          <cell r="C343" t="str">
            <v>Rais Indra Noor</v>
          </cell>
          <cell r="D343" t="str">
            <v/>
          </cell>
        </row>
        <row r="344">
          <cell r="B344">
            <v>25000000000341</v>
          </cell>
          <cell r="C344" t="str">
            <v>Rakman A. Hadi</v>
          </cell>
          <cell r="D344" t="str">
            <v/>
          </cell>
        </row>
        <row r="345">
          <cell r="B345">
            <v>25000000000342</v>
          </cell>
          <cell r="C345" t="str">
            <v>Ramaizon</v>
          </cell>
          <cell r="D345" t="str">
            <v/>
          </cell>
        </row>
        <row r="346">
          <cell r="B346">
            <v>25000000000343</v>
          </cell>
          <cell r="C346" t="str">
            <v>Rangga Darmawan</v>
          </cell>
          <cell r="D346" t="str">
            <v/>
          </cell>
        </row>
        <row r="347">
          <cell r="B347">
            <v>25000000000344</v>
          </cell>
          <cell r="C347" t="str">
            <v>Raoli Nainggolan</v>
          </cell>
          <cell r="D347" t="str">
            <v/>
          </cell>
        </row>
        <row r="348">
          <cell r="B348">
            <v>25000000000345</v>
          </cell>
          <cell r="C348" t="str">
            <v>Rayan Suryadikara</v>
          </cell>
          <cell r="D348" t="str">
            <v/>
          </cell>
        </row>
        <row r="349">
          <cell r="B349">
            <v>25000000000346</v>
          </cell>
          <cell r="C349" t="str">
            <v>Redi Setiadi</v>
          </cell>
          <cell r="D349" t="str">
            <v/>
          </cell>
        </row>
        <row r="350">
          <cell r="B350">
            <v>25000000000347</v>
          </cell>
          <cell r="C350" t="str">
            <v>Redi Subekti</v>
          </cell>
          <cell r="D350" t="str">
            <v>3275050308620012</v>
          </cell>
        </row>
        <row r="351">
          <cell r="B351">
            <v>25000000000348</v>
          </cell>
          <cell r="C351" t="str">
            <v>Rendy Prananta Purba</v>
          </cell>
          <cell r="D351" t="str">
            <v/>
          </cell>
        </row>
        <row r="352">
          <cell r="B352">
            <v>25000000000349</v>
          </cell>
          <cell r="C352" t="str">
            <v>Reni Septiana</v>
          </cell>
          <cell r="D352" t="str">
            <v/>
          </cell>
        </row>
        <row r="353">
          <cell r="B353">
            <v>25000000000350</v>
          </cell>
          <cell r="C353" t="str">
            <v>Rere Ronggolawe</v>
          </cell>
          <cell r="D353" t="str">
            <v/>
          </cell>
        </row>
        <row r="354">
          <cell r="B354">
            <v>25000000000351</v>
          </cell>
          <cell r="C354" t="str">
            <v>Retnasha Gameswari</v>
          </cell>
          <cell r="D354" t="str">
            <v/>
          </cell>
        </row>
        <row r="355">
          <cell r="B355">
            <v>25000000000352</v>
          </cell>
          <cell r="C355" t="str">
            <v>Rhino Priawan</v>
          </cell>
          <cell r="D355" t="str">
            <v>7371101110870009</v>
          </cell>
        </row>
        <row r="356">
          <cell r="B356">
            <v>25000000000353</v>
          </cell>
          <cell r="C356" t="str">
            <v>Rian Yushak</v>
          </cell>
          <cell r="D356" t="str">
            <v/>
          </cell>
        </row>
        <row r="357">
          <cell r="B357">
            <v>25000000000354</v>
          </cell>
          <cell r="C357" t="str">
            <v>Riandi</v>
          </cell>
          <cell r="D357" t="str">
            <v/>
          </cell>
        </row>
        <row r="358">
          <cell r="B358">
            <v>25000000000355</v>
          </cell>
          <cell r="C358" t="str">
            <v>Ricky Samuel</v>
          </cell>
          <cell r="D358" t="str">
            <v/>
          </cell>
        </row>
        <row r="359">
          <cell r="B359">
            <v>25000000000356</v>
          </cell>
          <cell r="C359" t="str">
            <v>Ridwan Nurhadi</v>
          </cell>
          <cell r="D359" t="str">
            <v/>
          </cell>
        </row>
        <row r="360">
          <cell r="B360">
            <v>25000000000357</v>
          </cell>
          <cell r="C360" t="str">
            <v>Rifki</v>
          </cell>
          <cell r="D360" t="str">
            <v/>
          </cell>
        </row>
        <row r="361">
          <cell r="B361">
            <v>25000000000358</v>
          </cell>
          <cell r="C361" t="str">
            <v>Rika Ginting</v>
          </cell>
          <cell r="D361" t="str">
            <v/>
          </cell>
        </row>
        <row r="362">
          <cell r="B362">
            <v>25000000000359</v>
          </cell>
          <cell r="C362" t="str">
            <v>Riki Chairul Anwar</v>
          </cell>
          <cell r="D362" t="str">
            <v/>
          </cell>
        </row>
        <row r="363">
          <cell r="B363">
            <v>25000000000360</v>
          </cell>
          <cell r="C363" t="str">
            <v>Riki Evindra</v>
          </cell>
          <cell r="D363" t="str">
            <v/>
          </cell>
        </row>
        <row r="364">
          <cell r="B364">
            <v>25000000000361</v>
          </cell>
          <cell r="C364" t="str">
            <v>Rinaldi Asrin</v>
          </cell>
          <cell r="D364" t="str">
            <v/>
          </cell>
        </row>
        <row r="365">
          <cell r="B365">
            <v>25000000000362</v>
          </cell>
          <cell r="C365" t="str">
            <v>Rio Hakim</v>
          </cell>
          <cell r="D365" t="str">
            <v/>
          </cell>
        </row>
        <row r="366">
          <cell r="B366">
            <v>25000000000363</v>
          </cell>
          <cell r="C366" t="str">
            <v>Rio Martha</v>
          </cell>
          <cell r="D366" t="str">
            <v/>
          </cell>
        </row>
        <row r="367">
          <cell r="B367">
            <v>25000000000364</v>
          </cell>
          <cell r="C367" t="str">
            <v>Risdyanto Risdyanto</v>
          </cell>
          <cell r="D367" t="str">
            <v/>
          </cell>
        </row>
        <row r="368">
          <cell r="B368">
            <v>25000000000365</v>
          </cell>
          <cell r="C368" t="str">
            <v>Rizak Tri Septian</v>
          </cell>
          <cell r="D368" t="str">
            <v/>
          </cell>
        </row>
        <row r="369">
          <cell r="B369">
            <v>25000000000366</v>
          </cell>
          <cell r="C369" t="str">
            <v>Rizki Akbar</v>
          </cell>
          <cell r="D369" t="str">
            <v/>
          </cell>
        </row>
        <row r="370">
          <cell r="B370">
            <v>25000000000367</v>
          </cell>
          <cell r="C370" t="str">
            <v>Rizky Fauzy</v>
          </cell>
          <cell r="D370" t="str">
            <v/>
          </cell>
        </row>
        <row r="371">
          <cell r="B371">
            <v>25000000000368</v>
          </cell>
          <cell r="C371" t="str">
            <v>Rizky Reza Pradipta</v>
          </cell>
          <cell r="D371" t="str">
            <v/>
          </cell>
        </row>
        <row r="372">
          <cell r="B372">
            <v>25000000000369</v>
          </cell>
          <cell r="C372" t="str">
            <v>Rohendi Rohendi</v>
          </cell>
          <cell r="D372" t="str">
            <v/>
          </cell>
        </row>
        <row r="373">
          <cell r="B373">
            <v>25000000000370</v>
          </cell>
          <cell r="C373" t="str">
            <v>Rohmani</v>
          </cell>
          <cell r="D373" t="str">
            <v/>
          </cell>
        </row>
        <row r="374">
          <cell r="B374">
            <v>25000000000371</v>
          </cell>
          <cell r="C374" t="str">
            <v>Rommel Hutapea</v>
          </cell>
          <cell r="D374" t="str">
            <v/>
          </cell>
        </row>
        <row r="375">
          <cell r="B375">
            <v>25000000000372</v>
          </cell>
          <cell r="C375" t="str">
            <v>Roy Aditya</v>
          </cell>
          <cell r="D375" t="str">
            <v>3175042308790007</v>
          </cell>
        </row>
        <row r="376">
          <cell r="B376">
            <v>25000000000373</v>
          </cell>
          <cell r="C376" t="str">
            <v>Rubah</v>
          </cell>
          <cell r="D376" t="str">
            <v/>
          </cell>
        </row>
        <row r="377">
          <cell r="B377">
            <v>25000000000374</v>
          </cell>
          <cell r="C377" t="str">
            <v>Rudi Junaedi</v>
          </cell>
          <cell r="D377" t="str">
            <v/>
          </cell>
        </row>
        <row r="378">
          <cell r="B378">
            <v>25000000000375</v>
          </cell>
          <cell r="C378" t="str">
            <v>Ruswandi</v>
          </cell>
          <cell r="D378" t="str">
            <v/>
          </cell>
        </row>
        <row r="379">
          <cell r="B379">
            <v>25000000000376</v>
          </cell>
          <cell r="C379" t="str">
            <v>Ryan Bagus Sasminta</v>
          </cell>
          <cell r="D379" t="str">
            <v/>
          </cell>
        </row>
        <row r="380">
          <cell r="B380">
            <v>25000000000377</v>
          </cell>
          <cell r="C380" t="str">
            <v>Saarah Andriani</v>
          </cell>
          <cell r="D380" t="str">
            <v/>
          </cell>
        </row>
        <row r="381">
          <cell r="B381">
            <v>25000000000378</v>
          </cell>
          <cell r="C381" t="str">
            <v>Safira Nurbaiti</v>
          </cell>
          <cell r="D381" t="str">
            <v/>
          </cell>
        </row>
        <row r="382">
          <cell r="B382">
            <v>25000000000379</v>
          </cell>
          <cell r="C382" t="str">
            <v>Saifulloh</v>
          </cell>
          <cell r="D382" t="str">
            <v/>
          </cell>
        </row>
        <row r="383">
          <cell r="B383">
            <v>25000000000380</v>
          </cell>
          <cell r="C383" t="str">
            <v>Saifuloh</v>
          </cell>
          <cell r="D383" t="str">
            <v/>
          </cell>
        </row>
        <row r="384">
          <cell r="B384">
            <v>25000000000381</v>
          </cell>
          <cell r="C384" t="str">
            <v>Sakinah Tantriani Lubis</v>
          </cell>
          <cell r="D384" t="str">
            <v/>
          </cell>
        </row>
        <row r="385">
          <cell r="B385">
            <v>25000000000382</v>
          </cell>
          <cell r="C385" t="str">
            <v>Abdul Samad</v>
          </cell>
          <cell r="D385" t="str">
            <v/>
          </cell>
        </row>
        <row r="386">
          <cell r="B386">
            <v>25000000000383</v>
          </cell>
          <cell r="C386" t="str">
            <v>Samsul Hadi</v>
          </cell>
          <cell r="D386" t="str">
            <v/>
          </cell>
        </row>
        <row r="387">
          <cell r="B387">
            <v>25000000000384</v>
          </cell>
          <cell r="C387" t="str">
            <v>Sandika</v>
          </cell>
          <cell r="D387" t="str">
            <v/>
          </cell>
        </row>
        <row r="388">
          <cell r="B388">
            <v>25000000000385</v>
          </cell>
          <cell r="C388" t="str">
            <v>Sang Toga Sitompul</v>
          </cell>
          <cell r="D388" t="str">
            <v/>
          </cell>
        </row>
        <row r="389">
          <cell r="B389">
            <v>25000000000386</v>
          </cell>
          <cell r="C389" t="str">
            <v>Santi Dewi R. W.</v>
          </cell>
          <cell r="D389" t="str">
            <v/>
          </cell>
        </row>
        <row r="390">
          <cell r="B390">
            <v>25000000000387</v>
          </cell>
          <cell r="C390" t="str">
            <v>Sarah Sibarani</v>
          </cell>
          <cell r="D390" t="str">
            <v/>
          </cell>
        </row>
        <row r="391">
          <cell r="B391">
            <v>25000000000388</v>
          </cell>
          <cell r="C391" t="str">
            <v>Sarif Hidayatul Umah</v>
          </cell>
          <cell r="D391" t="str">
            <v/>
          </cell>
        </row>
        <row r="392">
          <cell r="B392">
            <v>25000000000389</v>
          </cell>
          <cell r="C392" t="str">
            <v>Satria Budi Raharja</v>
          </cell>
          <cell r="D392" t="str">
            <v/>
          </cell>
        </row>
        <row r="393">
          <cell r="B393">
            <v>25000000000390</v>
          </cell>
          <cell r="C393" t="str">
            <v>Saut M. P. L. Tobing</v>
          </cell>
          <cell r="D393" t="str">
            <v/>
          </cell>
        </row>
        <row r="394">
          <cell r="B394">
            <v>25000000000391</v>
          </cell>
          <cell r="C394" t="str">
            <v>Seftiyan Hadi Maulana</v>
          </cell>
          <cell r="D394" t="str">
            <v>3276022909900017</v>
          </cell>
        </row>
        <row r="395">
          <cell r="B395">
            <v>25000000000392</v>
          </cell>
          <cell r="C395" t="str">
            <v>Sena Andi Satria</v>
          </cell>
          <cell r="D395" t="str">
            <v/>
          </cell>
        </row>
        <row r="396">
          <cell r="B396">
            <v>25000000000393</v>
          </cell>
          <cell r="C396" t="str">
            <v>Setiadi</v>
          </cell>
          <cell r="D396" t="str">
            <v>3174030112750005</v>
          </cell>
        </row>
        <row r="397">
          <cell r="B397">
            <v>25000000000394</v>
          </cell>
          <cell r="C397" t="str">
            <v>Sherly Tamira</v>
          </cell>
          <cell r="D397" t="str">
            <v/>
          </cell>
        </row>
        <row r="398">
          <cell r="B398">
            <v>25000000000395</v>
          </cell>
          <cell r="C398" t="str">
            <v>Shihab</v>
          </cell>
          <cell r="D398" t="str">
            <v/>
          </cell>
        </row>
        <row r="399">
          <cell r="B399">
            <v>25000000000396</v>
          </cell>
          <cell r="C399" t="str">
            <v>Shobarin Jabar</v>
          </cell>
          <cell r="D399" t="str">
            <v/>
          </cell>
        </row>
        <row r="400">
          <cell r="B400">
            <v>25000000000397</v>
          </cell>
          <cell r="C400" t="str">
            <v>Sholehah</v>
          </cell>
          <cell r="D400" t="str">
            <v>3674056205940005</v>
          </cell>
        </row>
        <row r="401">
          <cell r="B401">
            <v>25000000000398</v>
          </cell>
          <cell r="C401" t="str">
            <v>Sigit Rudiantono</v>
          </cell>
          <cell r="D401" t="str">
            <v/>
          </cell>
        </row>
        <row r="402">
          <cell r="B402">
            <v>25000000000399</v>
          </cell>
          <cell r="C402" t="str">
            <v>Silvia Putri</v>
          </cell>
          <cell r="D402" t="str">
            <v/>
          </cell>
        </row>
        <row r="403">
          <cell r="B403">
            <v>25000000000400</v>
          </cell>
          <cell r="C403" t="str">
            <v>Simron Ronaldi Nasution</v>
          </cell>
          <cell r="D403" t="str">
            <v/>
          </cell>
        </row>
        <row r="404">
          <cell r="B404">
            <v>25000000000401</v>
          </cell>
          <cell r="C404" t="str">
            <v>Sinta Vera Trikawati</v>
          </cell>
          <cell r="D404" t="str">
            <v/>
          </cell>
        </row>
        <row r="405">
          <cell r="B405">
            <v>25000000000402</v>
          </cell>
          <cell r="C405" t="str">
            <v>Sir Muhammad Zafrulloh Khan</v>
          </cell>
          <cell r="D405" t="str">
            <v/>
          </cell>
        </row>
        <row r="406">
          <cell r="B406">
            <v>25000000000403</v>
          </cell>
          <cell r="C406" t="str">
            <v>Siska Marlina</v>
          </cell>
          <cell r="D406" t="str">
            <v/>
          </cell>
        </row>
        <row r="407">
          <cell r="B407">
            <v>25000000000404</v>
          </cell>
          <cell r="C407" t="str">
            <v>Siswanto</v>
          </cell>
          <cell r="D407" t="str">
            <v/>
          </cell>
        </row>
        <row r="408">
          <cell r="B408">
            <v>25000000000405</v>
          </cell>
          <cell r="C408" t="str">
            <v>Siti Mulyani</v>
          </cell>
          <cell r="D408" t="str">
            <v/>
          </cell>
        </row>
        <row r="409">
          <cell r="B409">
            <v>25000000000406</v>
          </cell>
          <cell r="C409" t="str">
            <v>Sjanti Devi</v>
          </cell>
          <cell r="D409" t="str">
            <v/>
          </cell>
        </row>
        <row r="410">
          <cell r="B410">
            <v>25000000000407</v>
          </cell>
          <cell r="C410" t="str">
            <v>Slamet Budi Setiawan</v>
          </cell>
          <cell r="D410" t="str">
            <v/>
          </cell>
        </row>
        <row r="411">
          <cell r="B411">
            <v>25000000000408</v>
          </cell>
          <cell r="C411" t="str">
            <v>Sofyan Maulana</v>
          </cell>
          <cell r="D411" t="str">
            <v/>
          </cell>
        </row>
        <row r="412">
          <cell r="B412">
            <v>25000000000409</v>
          </cell>
          <cell r="C412" t="str">
            <v>Subagio</v>
          </cell>
          <cell r="D412" t="str">
            <v/>
          </cell>
        </row>
        <row r="413">
          <cell r="B413">
            <v>25000000000410</v>
          </cell>
          <cell r="C413" t="str">
            <v>Suci Mardiana</v>
          </cell>
          <cell r="D413" t="str">
            <v/>
          </cell>
        </row>
        <row r="414">
          <cell r="B414">
            <v>25000000000411</v>
          </cell>
          <cell r="C414" t="str">
            <v>Suci Rachma Sari</v>
          </cell>
          <cell r="D414" t="str">
            <v/>
          </cell>
        </row>
        <row r="415">
          <cell r="B415">
            <v>25000000000412</v>
          </cell>
          <cell r="C415" t="str">
            <v>Sudarlan</v>
          </cell>
          <cell r="D415" t="str">
            <v>3173061206730012</v>
          </cell>
        </row>
        <row r="416">
          <cell r="B416">
            <v>25000000000413</v>
          </cell>
          <cell r="C416" t="str">
            <v>Sufie Amalia</v>
          </cell>
          <cell r="D416" t="str">
            <v/>
          </cell>
        </row>
        <row r="417">
          <cell r="B417">
            <v>25000000000414</v>
          </cell>
          <cell r="C417" t="str">
            <v>Sugeng Ismanto</v>
          </cell>
          <cell r="D417" t="str">
            <v/>
          </cell>
        </row>
        <row r="418">
          <cell r="B418">
            <v>25000000000415</v>
          </cell>
          <cell r="C418" t="str">
            <v>Sugiarto</v>
          </cell>
          <cell r="D418" t="str">
            <v>3174071006860011</v>
          </cell>
        </row>
        <row r="419">
          <cell r="B419">
            <v>25000000000416</v>
          </cell>
          <cell r="C419" t="str">
            <v>Sulih</v>
          </cell>
          <cell r="D419" t="str">
            <v/>
          </cell>
        </row>
        <row r="420">
          <cell r="B420">
            <v>25000000000417</v>
          </cell>
          <cell r="C420" t="str">
            <v>Sumadi</v>
          </cell>
          <cell r="D420" t="str">
            <v/>
          </cell>
        </row>
        <row r="421">
          <cell r="B421">
            <v>25000000000418</v>
          </cell>
          <cell r="C421" t="str">
            <v>Sumirat</v>
          </cell>
          <cell r="D421" t="str">
            <v/>
          </cell>
        </row>
        <row r="422">
          <cell r="B422">
            <v>25000000000419</v>
          </cell>
          <cell r="C422" t="str">
            <v>Sunaryati</v>
          </cell>
          <cell r="D422" t="str">
            <v/>
          </cell>
        </row>
        <row r="423">
          <cell r="B423">
            <v>25000000000420</v>
          </cell>
          <cell r="C423" t="str">
            <v>Supriyadi</v>
          </cell>
          <cell r="D423" t="str">
            <v/>
          </cell>
        </row>
        <row r="424">
          <cell r="B424">
            <v>25000000000421</v>
          </cell>
          <cell r="C424" t="str">
            <v>Suriono Suriono</v>
          </cell>
          <cell r="D424" t="str">
            <v/>
          </cell>
        </row>
        <row r="425">
          <cell r="B425">
            <v>25000000000422</v>
          </cell>
          <cell r="C425" t="str">
            <v>Surono</v>
          </cell>
          <cell r="D425" t="str">
            <v/>
          </cell>
        </row>
        <row r="426">
          <cell r="B426">
            <v>25000000000423</v>
          </cell>
          <cell r="C426" t="str">
            <v>Surtoyo Syukri</v>
          </cell>
          <cell r="D426" t="str">
            <v/>
          </cell>
        </row>
        <row r="427">
          <cell r="B427">
            <v>25000000000424</v>
          </cell>
          <cell r="C427" t="str">
            <v>Suryadi</v>
          </cell>
          <cell r="D427" t="str">
            <v/>
          </cell>
        </row>
        <row r="428">
          <cell r="B428">
            <v>25000000000425</v>
          </cell>
          <cell r="C428" t="str">
            <v>Susilawati</v>
          </cell>
          <cell r="D428" t="str">
            <v/>
          </cell>
        </row>
        <row r="429">
          <cell r="B429">
            <v>25000000000426</v>
          </cell>
          <cell r="C429" t="str">
            <v>Sutarno</v>
          </cell>
          <cell r="D429" t="str">
            <v/>
          </cell>
        </row>
        <row r="430">
          <cell r="B430">
            <v>25000000000427</v>
          </cell>
          <cell r="C430" t="str">
            <v>Sutra Riandi</v>
          </cell>
          <cell r="D430" t="str">
            <v/>
          </cell>
        </row>
        <row r="431">
          <cell r="B431">
            <v>25000000000428</v>
          </cell>
          <cell r="C431" t="str">
            <v>Suyanto</v>
          </cell>
          <cell r="D431" t="str">
            <v/>
          </cell>
        </row>
        <row r="432">
          <cell r="B432">
            <v>25000000000429</v>
          </cell>
          <cell r="C432" t="str">
            <v>Swar Jono</v>
          </cell>
          <cell r="D432" t="str">
            <v/>
          </cell>
        </row>
        <row r="433">
          <cell r="B433">
            <v>25000000000430</v>
          </cell>
          <cell r="C433" t="str">
            <v>Syafruddin</v>
          </cell>
          <cell r="D433" t="str">
            <v/>
          </cell>
        </row>
        <row r="434">
          <cell r="B434">
            <v>25000000000431</v>
          </cell>
          <cell r="C434" t="str">
            <v>Syafrudin Machmud</v>
          </cell>
          <cell r="D434" t="str">
            <v/>
          </cell>
        </row>
        <row r="435">
          <cell r="B435">
            <v>25000000000432</v>
          </cell>
          <cell r="C435" t="str">
            <v>Syahrizal</v>
          </cell>
          <cell r="D435" t="str">
            <v/>
          </cell>
        </row>
        <row r="436">
          <cell r="B436">
            <v>25000000000433</v>
          </cell>
          <cell r="C436" t="str">
            <v>Syaiful Idjam</v>
          </cell>
          <cell r="D436" t="str">
            <v/>
          </cell>
        </row>
        <row r="437">
          <cell r="B437">
            <v>25000000000434</v>
          </cell>
          <cell r="C437" t="str">
            <v>Tajuddin Assubki Ismail</v>
          </cell>
          <cell r="D437" t="str">
            <v/>
          </cell>
        </row>
        <row r="438">
          <cell r="B438">
            <v>25000000000435</v>
          </cell>
          <cell r="C438" t="str">
            <v>Taslim</v>
          </cell>
          <cell r="D438" t="str">
            <v/>
          </cell>
        </row>
        <row r="439">
          <cell r="B439">
            <v>25000000000436</v>
          </cell>
          <cell r="C439" t="str">
            <v>Taufik Mulia Pane</v>
          </cell>
          <cell r="D439" t="str">
            <v/>
          </cell>
        </row>
        <row r="440">
          <cell r="B440">
            <v>25000000000437</v>
          </cell>
          <cell r="C440" t="str">
            <v>Tedy Harseno</v>
          </cell>
          <cell r="D440" t="str">
            <v/>
          </cell>
        </row>
        <row r="441">
          <cell r="B441">
            <v>25000000000438</v>
          </cell>
          <cell r="C441" t="str">
            <v>Teguh Joko Pamuji</v>
          </cell>
          <cell r="D441" t="str">
            <v/>
          </cell>
        </row>
        <row r="442">
          <cell r="B442">
            <v>25000000000439</v>
          </cell>
          <cell r="C442" t="str">
            <v>Teguh Pratama Januzir Sukin</v>
          </cell>
          <cell r="D442" t="str">
            <v>3174092710810006</v>
          </cell>
        </row>
        <row r="443">
          <cell r="B443">
            <v>25000000000440</v>
          </cell>
          <cell r="C443" t="str">
            <v>Teguh Susanto</v>
          </cell>
          <cell r="D443" t="str">
            <v/>
          </cell>
        </row>
        <row r="444">
          <cell r="B444">
            <v>25000000000441</v>
          </cell>
          <cell r="C444" t="str">
            <v>Tenri Sumange</v>
          </cell>
          <cell r="D444" t="str">
            <v/>
          </cell>
        </row>
        <row r="445">
          <cell r="B445">
            <v>25000000000442</v>
          </cell>
          <cell r="C445" t="str">
            <v>Teuku Zulkifli</v>
          </cell>
          <cell r="D445" t="str">
            <v/>
          </cell>
        </row>
        <row r="446">
          <cell r="B446">
            <v>25000000000443</v>
          </cell>
          <cell r="C446" t="str">
            <v>Tiara Kemalasari</v>
          </cell>
          <cell r="D446" t="str">
            <v/>
          </cell>
        </row>
        <row r="447">
          <cell r="B447">
            <v>25000000000444</v>
          </cell>
          <cell r="C447" t="str">
            <v>Tjhang Linawati</v>
          </cell>
          <cell r="D447" t="str">
            <v/>
          </cell>
        </row>
        <row r="448">
          <cell r="B448">
            <v>25000000000445</v>
          </cell>
          <cell r="C448" t="str">
            <v>Totok Kristianto</v>
          </cell>
          <cell r="D448" t="str">
            <v/>
          </cell>
        </row>
        <row r="449">
          <cell r="B449">
            <v>25000000000446</v>
          </cell>
          <cell r="C449" t="str">
            <v>Tri Aji</v>
          </cell>
          <cell r="D449" t="str">
            <v/>
          </cell>
        </row>
        <row r="450">
          <cell r="B450">
            <v>25000000000447</v>
          </cell>
          <cell r="C450" t="str">
            <v>Tri M. Saputra</v>
          </cell>
          <cell r="D450" t="str">
            <v/>
          </cell>
        </row>
        <row r="451">
          <cell r="B451">
            <v>25000000000448</v>
          </cell>
          <cell r="C451" t="str">
            <v>Triani Irma</v>
          </cell>
          <cell r="D451" t="str">
            <v/>
          </cell>
        </row>
        <row r="452">
          <cell r="B452">
            <v>25000000000449</v>
          </cell>
          <cell r="C452" t="str">
            <v>Trisyanto</v>
          </cell>
          <cell r="D452" t="str">
            <v/>
          </cell>
        </row>
        <row r="453">
          <cell r="B453">
            <v>25000000000450</v>
          </cell>
          <cell r="C453" t="str">
            <v>Triwiarti Dibya</v>
          </cell>
          <cell r="D453" t="str">
            <v/>
          </cell>
        </row>
        <row r="454">
          <cell r="B454">
            <v>25000000000451</v>
          </cell>
          <cell r="C454" t="str">
            <v>Triyono</v>
          </cell>
          <cell r="D454" t="str">
            <v/>
          </cell>
        </row>
        <row r="455">
          <cell r="B455">
            <v>25000000000452</v>
          </cell>
          <cell r="C455" t="str">
            <v>Turita Pramuning Marantina</v>
          </cell>
          <cell r="D455" t="str">
            <v>3174074303660008</v>
          </cell>
        </row>
        <row r="456">
          <cell r="B456">
            <v>25000000000453</v>
          </cell>
          <cell r="C456" t="str">
            <v>Tutus Ary</v>
          </cell>
          <cell r="D456" t="str">
            <v/>
          </cell>
        </row>
        <row r="457">
          <cell r="B457">
            <v>25000000000454</v>
          </cell>
          <cell r="C457" t="str">
            <v>Ubaidillah</v>
          </cell>
          <cell r="D457" t="str">
            <v/>
          </cell>
        </row>
        <row r="458">
          <cell r="B458">
            <v>25000000000455</v>
          </cell>
          <cell r="C458" t="str">
            <v>Ujang Barma</v>
          </cell>
          <cell r="D458" t="str">
            <v/>
          </cell>
        </row>
        <row r="459">
          <cell r="B459">
            <v>25000000000456</v>
          </cell>
          <cell r="C459" t="str">
            <v>Ujang Suryana</v>
          </cell>
          <cell r="D459" t="str">
            <v/>
          </cell>
        </row>
        <row r="460">
          <cell r="B460">
            <v>25000000000457</v>
          </cell>
          <cell r="C460" t="str">
            <v>Ulman Juanda</v>
          </cell>
          <cell r="D460" t="str">
            <v/>
          </cell>
        </row>
        <row r="461">
          <cell r="B461">
            <v>25000000000458</v>
          </cell>
          <cell r="C461" t="str">
            <v>Urbanus Boimau</v>
          </cell>
          <cell r="D461" t="str">
            <v>3175022605760013</v>
          </cell>
        </row>
        <row r="462">
          <cell r="B462">
            <v>25000000000459</v>
          </cell>
          <cell r="C462" t="str">
            <v>Uswatun Hasamah</v>
          </cell>
          <cell r="D462" t="str">
            <v/>
          </cell>
        </row>
        <row r="463">
          <cell r="B463">
            <v>25000000000460</v>
          </cell>
          <cell r="C463" t="str">
            <v>Uswatun Khasanah</v>
          </cell>
          <cell r="D463" t="str">
            <v/>
          </cell>
        </row>
        <row r="464">
          <cell r="B464">
            <v>25000000000461</v>
          </cell>
          <cell r="C464" t="str">
            <v>Utami Dewi</v>
          </cell>
          <cell r="D464" t="str">
            <v/>
          </cell>
        </row>
        <row r="465">
          <cell r="B465">
            <v>25000000000462</v>
          </cell>
          <cell r="C465" t="str">
            <v>Utanto</v>
          </cell>
          <cell r="D465" t="str">
            <v/>
          </cell>
        </row>
        <row r="466">
          <cell r="B466">
            <v>25000000000463</v>
          </cell>
          <cell r="C466" t="str">
            <v>Veradita Yulanda</v>
          </cell>
          <cell r="D466" t="str">
            <v/>
          </cell>
        </row>
        <row r="467">
          <cell r="B467">
            <v>25000000000464</v>
          </cell>
          <cell r="C467" t="str">
            <v>Vidhy Kartika Putri</v>
          </cell>
          <cell r="D467" t="str">
            <v/>
          </cell>
        </row>
        <row r="468">
          <cell r="B468">
            <v>25000000000465</v>
          </cell>
          <cell r="C468" t="str">
            <v>Vonny Agram</v>
          </cell>
          <cell r="D468" t="str">
            <v/>
          </cell>
        </row>
        <row r="469">
          <cell r="B469">
            <v>25000000000466</v>
          </cell>
          <cell r="C469" t="str">
            <v>Wahyu</v>
          </cell>
          <cell r="D469" t="str">
            <v/>
          </cell>
        </row>
        <row r="470">
          <cell r="B470">
            <v>25000000000467</v>
          </cell>
          <cell r="C470" t="str">
            <v>Wahyu Ramadhani</v>
          </cell>
          <cell r="D470" t="str">
            <v/>
          </cell>
        </row>
        <row r="471">
          <cell r="B471">
            <v>25000000000468</v>
          </cell>
          <cell r="C471" t="str">
            <v>Wahyu Widodo</v>
          </cell>
          <cell r="D471" t="str">
            <v/>
          </cell>
        </row>
        <row r="472">
          <cell r="B472">
            <v>25000000000469</v>
          </cell>
          <cell r="C472" t="str">
            <v>Warsito Edy Saputra</v>
          </cell>
          <cell r="D472" t="str">
            <v/>
          </cell>
        </row>
        <row r="473">
          <cell r="B473">
            <v>25000000000470</v>
          </cell>
          <cell r="C473" t="str">
            <v>Weldi Wimar</v>
          </cell>
          <cell r="D473" t="str">
            <v/>
          </cell>
        </row>
        <row r="474">
          <cell r="B474">
            <v>25000000000471</v>
          </cell>
          <cell r="C474" t="str">
            <v>Wendy Septiyan</v>
          </cell>
          <cell r="D474" t="str">
            <v/>
          </cell>
        </row>
        <row r="475">
          <cell r="B475">
            <v>25000000000472</v>
          </cell>
          <cell r="C475" t="str">
            <v>Willy Indarto</v>
          </cell>
          <cell r="D475" t="str">
            <v/>
          </cell>
        </row>
        <row r="476">
          <cell r="B476">
            <v>25000000000473</v>
          </cell>
          <cell r="C476" t="str">
            <v>Winda Suherman</v>
          </cell>
          <cell r="D476" t="str">
            <v/>
          </cell>
        </row>
        <row r="477">
          <cell r="B477">
            <v>25000000000474</v>
          </cell>
          <cell r="C477" t="str">
            <v>Wisnu Ardian</v>
          </cell>
          <cell r="D477" t="str">
            <v/>
          </cell>
        </row>
        <row r="478">
          <cell r="B478">
            <v>25000000000475</v>
          </cell>
          <cell r="C478" t="str">
            <v>Wisudanto C. Suntoyo</v>
          </cell>
          <cell r="D478" t="str">
            <v/>
          </cell>
        </row>
        <row r="479">
          <cell r="B479">
            <v>25000000000476</v>
          </cell>
          <cell r="C479" t="str">
            <v>Yahya Adyasa Febriansyah</v>
          </cell>
          <cell r="D479" t="str">
            <v/>
          </cell>
        </row>
        <row r="480">
          <cell r="B480">
            <v>25000000000477</v>
          </cell>
          <cell r="C480" t="str">
            <v>Yakup Sunaryo</v>
          </cell>
          <cell r="D480" t="str">
            <v/>
          </cell>
        </row>
        <row r="481">
          <cell r="B481">
            <v>25000000000478</v>
          </cell>
          <cell r="C481" t="str">
            <v>Yanuar Tri Ananda</v>
          </cell>
          <cell r="D481" t="str">
            <v/>
          </cell>
        </row>
        <row r="482">
          <cell r="B482">
            <v>25000000000479</v>
          </cell>
          <cell r="C482" t="str">
            <v>Yasir Liem</v>
          </cell>
          <cell r="D482" t="str">
            <v/>
          </cell>
        </row>
        <row r="483">
          <cell r="B483">
            <v>25000000000480</v>
          </cell>
          <cell r="C483" t="str">
            <v>Yefri Hendrayani</v>
          </cell>
          <cell r="D483" t="str">
            <v/>
          </cell>
        </row>
        <row r="484">
          <cell r="B484">
            <v>25000000000481</v>
          </cell>
          <cell r="C484" t="str">
            <v>Yessi Setiarini</v>
          </cell>
          <cell r="D484" t="str">
            <v/>
          </cell>
        </row>
        <row r="485">
          <cell r="B485">
            <v>25000000000482</v>
          </cell>
          <cell r="C485" t="str">
            <v>Yorid Fae</v>
          </cell>
          <cell r="D485" t="str">
            <v/>
          </cell>
        </row>
        <row r="486">
          <cell r="B486">
            <v>25000000000483</v>
          </cell>
          <cell r="C486" t="str">
            <v>Yosef Hang Wan</v>
          </cell>
          <cell r="D486" t="str">
            <v/>
          </cell>
        </row>
        <row r="487">
          <cell r="B487">
            <v>25000000000484</v>
          </cell>
          <cell r="C487" t="str">
            <v>Yossie Deliana</v>
          </cell>
          <cell r="D487" t="str">
            <v/>
          </cell>
        </row>
        <row r="488">
          <cell r="B488">
            <v>25000000000485</v>
          </cell>
          <cell r="C488" t="str">
            <v>Yudi Rahmadi</v>
          </cell>
          <cell r="D488" t="str">
            <v/>
          </cell>
        </row>
        <row r="489">
          <cell r="B489">
            <v>25000000000486</v>
          </cell>
          <cell r="C489" t="str">
            <v>Yudo Jati Rahmat Satrio</v>
          </cell>
          <cell r="D489" t="str">
            <v/>
          </cell>
        </row>
        <row r="490">
          <cell r="B490">
            <v>25000000000487</v>
          </cell>
          <cell r="C490" t="str">
            <v>Yuliandaru Suryoatmodjo</v>
          </cell>
          <cell r="D490" t="str">
            <v>3275090407740011</v>
          </cell>
        </row>
        <row r="491">
          <cell r="B491">
            <v>25000000000488</v>
          </cell>
          <cell r="C491" t="str">
            <v>Yulianta</v>
          </cell>
          <cell r="D491" t="str">
            <v/>
          </cell>
        </row>
        <row r="492">
          <cell r="B492">
            <v>25000000000489</v>
          </cell>
          <cell r="C492" t="str">
            <v>Yulianti</v>
          </cell>
          <cell r="D492" t="str">
            <v/>
          </cell>
        </row>
        <row r="493">
          <cell r="B493">
            <v>25000000000490</v>
          </cell>
          <cell r="C493" t="str">
            <v>Yulius</v>
          </cell>
          <cell r="D493" t="str">
            <v/>
          </cell>
        </row>
        <row r="494">
          <cell r="B494">
            <v>25000000000491</v>
          </cell>
          <cell r="C494" t="str">
            <v>Yunni Sazili</v>
          </cell>
          <cell r="D494" t="str">
            <v/>
          </cell>
        </row>
        <row r="495">
          <cell r="B495">
            <v>25000000000492</v>
          </cell>
          <cell r="C495" t="str">
            <v>Yusman</v>
          </cell>
          <cell r="D495" t="str">
            <v/>
          </cell>
        </row>
        <row r="496">
          <cell r="B496">
            <v>25000000000493</v>
          </cell>
          <cell r="C496" t="str">
            <v>Yusri Azhar</v>
          </cell>
          <cell r="D496" t="str">
            <v/>
          </cell>
        </row>
        <row r="497">
          <cell r="B497">
            <v>25000000000494</v>
          </cell>
          <cell r="C497" t="str">
            <v>Zafrizal</v>
          </cell>
          <cell r="D497" t="str">
            <v/>
          </cell>
        </row>
        <row r="498">
          <cell r="B498">
            <v>25000000000495</v>
          </cell>
          <cell r="C498" t="str">
            <v>Zafrizal Rifla (Ucok)</v>
          </cell>
          <cell r="D498" t="str">
            <v/>
          </cell>
        </row>
        <row r="499">
          <cell r="B499">
            <v>25000000000496</v>
          </cell>
          <cell r="C499" t="str">
            <v>Zainuddin</v>
          </cell>
          <cell r="D499" t="str">
            <v/>
          </cell>
        </row>
        <row r="500">
          <cell r="B500">
            <v>25000000000497</v>
          </cell>
          <cell r="C500" t="str">
            <v>Zainudin Anwar</v>
          </cell>
          <cell r="D500" t="str">
            <v>3174090601960003</v>
          </cell>
        </row>
        <row r="501">
          <cell r="B501">
            <v>25000000000498</v>
          </cell>
          <cell r="C501" t="str">
            <v>Zaire Dite Biscaya</v>
          </cell>
          <cell r="D501" t="str">
            <v/>
          </cell>
        </row>
        <row r="502">
          <cell r="B502">
            <v>25000000000499</v>
          </cell>
          <cell r="C502" t="str">
            <v>Zalfi Yandri</v>
          </cell>
          <cell r="D502" t="str">
            <v/>
          </cell>
        </row>
        <row r="503">
          <cell r="B503">
            <v>25000000000500</v>
          </cell>
          <cell r="C503" t="str">
            <v>Zam Roji</v>
          </cell>
          <cell r="D503" t="str">
            <v/>
          </cell>
        </row>
        <row r="504">
          <cell r="B504">
            <v>25000000000501</v>
          </cell>
          <cell r="C504" t="str">
            <v>Zulfikar K. Siregar</v>
          </cell>
          <cell r="D504" t="str">
            <v>1271201607700004</v>
          </cell>
        </row>
        <row r="505">
          <cell r="B505">
            <v>25000000000502</v>
          </cell>
          <cell r="C505" t="str">
            <v>Adythia Adikara</v>
          </cell>
          <cell r="D505" t="str">
            <v/>
          </cell>
        </row>
        <row r="506">
          <cell r="B506">
            <v>25000000000503</v>
          </cell>
          <cell r="C506" t="str">
            <v>Agus Sopyan Hadi</v>
          </cell>
          <cell r="D506" t="str">
            <v/>
          </cell>
        </row>
        <row r="507">
          <cell r="B507">
            <v>25000000000504</v>
          </cell>
          <cell r="C507" t="str">
            <v>Azis Purwandana</v>
          </cell>
          <cell r="D507" t="str">
            <v/>
          </cell>
        </row>
        <row r="508">
          <cell r="B508">
            <v>25000000000505</v>
          </cell>
          <cell r="C508" t="str">
            <v>Heryanto</v>
          </cell>
          <cell r="D508" t="str">
            <v/>
          </cell>
        </row>
        <row r="509">
          <cell r="B509">
            <v>25000000000506</v>
          </cell>
          <cell r="C509" t="str">
            <v>Imran</v>
          </cell>
          <cell r="D509" t="str">
            <v/>
          </cell>
        </row>
        <row r="510">
          <cell r="B510">
            <v>25000000000507</v>
          </cell>
          <cell r="C510" t="str">
            <v>Khamim Taryono</v>
          </cell>
          <cell r="D510" t="str">
            <v/>
          </cell>
        </row>
        <row r="511">
          <cell r="B511">
            <v>25000000000508</v>
          </cell>
          <cell r="C511" t="str">
            <v>Rafi Artman Siddiq</v>
          </cell>
          <cell r="D511" t="str">
            <v/>
          </cell>
        </row>
        <row r="512">
          <cell r="B512">
            <v>25000000000509</v>
          </cell>
          <cell r="C512" t="str">
            <v>Riza Emir Subekti</v>
          </cell>
          <cell r="D512" t="str">
            <v>3275053003920010</v>
          </cell>
        </row>
        <row r="513">
          <cell r="B513">
            <v>25000000000510</v>
          </cell>
          <cell r="C513" t="str">
            <v>Slamet Riadi</v>
          </cell>
          <cell r="D513" t="str">
            <v/>
          </cell>
        </row>
        <row r="514">
          <cell r="B514">
            <v>25000000000511</v>
          </cell>
          <cell r="C514" t="str">
            <v>Wisnu Andra Isdianto</v>
          </cell>
          <cell r="D514" t="str">
            <v/>
          </cell>
        </row>
        <row r="515">
          <cell r="B515">
            <v>25000000000512</v>
          </cell>
          <cell r="C515" t="str">
            <v>Agus Budi Setiawan</v>
          </cell>
          <cell r="D515" t="str">
            <v/>
          </cell>
        </row>
        <row r="516">
          <cell r="B516">
            <v>25000000000513</v>
          </cell>
          <cell r="C516" t="str">
            <v>Ahmad Choerul</v>
          </cell>
          <cell r="D516" t="str">
            <v>3175101105950001</v>
          </cell>
        </row>
        <row r="517">
          <cell r="B517">
            <v>25000000000514</v>
          </cell>
          <cell r="C517" t="str">
            <v>Achmad Yunadi</v>
          </cell>
          <cell r="D517" t="str">
            <v/>
          </cell>
        </row>
        <row r="518">
          <cell r="B518">
            <v>25000000000515</v>
          </cell>
          <cell r="C518" t="str">
            <v>Asep mulyana</v>
          </cell>
          <cell r="D518" t="str">
            <v/>
          </cell>
        </row>
        <row r="519">
          <cell r="B519">
            <v>25000000000516</v>
          </cell>
          <cell r="C519" t="str">
            <v>Bagus Isdiantara</v>
          </cell>
          <cell r="D519" t="str">
            <v/>
          </cell>
        </row>
        <row r="520">
          <cell r="B520">
            <v>25000000000517</v>
          </cell>
          <cell r="C520" t="str">
            <v>Cahyana</v>
          </cell>
          <cell r="D520" t="str">
            <v>3273250505830006</v>
          </cell>
        </row>
        <row r="521">
          <cell r="B521">
            <v>25000000000518</v>
          </cell>
          <cell r="C521" t="str">
            <v>Dede Hartanto</v>
          </cell>
          <cell r="D521" t="str">
            <v/>
          </cell>
        </row>
        <row r="522">
          <cell r="B522">
            <v>25000000000519</v>
          </cell>
          <cell r="C522" t="str">
            <v>Denny Achmad Ferlando</v>
          </cell>
          <cell r="D522" t="str">
            <v/>
          </cell>
        </row>
        <row r="523">
          <cell r="B523">
            <v>25000000000520</v>
          </cell>
          <cell r="C523" t="str">
            <v>Dian Setiawan</v>
          </cell>
          <cell r="D523" t="str">
            <v/>
          </cell>
        </row>
        <row r="524">
          <cell r="B524">
            <v>25000000000521</v>
          </cell>
          <cell r="C524" t="str">
            <v>Fabrian Danang Destiyara</v>
          </cell>
          <cell r="D524" t="str">
            <v>3174030112980003</v>
          </cell>
        </row>
        <row r="525">
          <cell r="B525">
            <v>25000000000522</v>
          </cell>
          <cell r="C525" t="str">
            <v>Ferdian Kriswantoro</v>
          </cell>
          <cell r="D525" t="str">
            <v/>
          </cell>
        </row>
        <row r="526">
          <cell r="B526">
            <v>25000000000523</v>
          </cell>
          <cell r="C526" t="str">
            <v>Fuzi Mafrozi</v>
          </cell>
          <cell r="D526" t="str">
            <v/>
          </cell>
        </row>
        <row r="527">
          <cell r="B527">
            <v>25000000000524</v>
          </cell>
          <cell r="C527" t="str">
            <v>Gilang Setiawan</v>
          </cell>
          <cell r="D527" t="str">
            <v/>
          </cell>
        </row>
        <row r="528">
          <cell r="B528">
            <v>25000000000525</v>
          </cell>
          <cell r="C528" t="str">
            <v>Idris Affandi</v>
          </cell>
          <cell r="D528" t="str">
            <v/>
          </cell>
        </row>
        <row r="529">
          <cell r="B529">
            <v>25000000000526</v>
          </cell>
          <cell r="C529" t="str">
            <v>Indra Wijaya</v>
          </cell>
          <cell r="D529" t="str">
            <v/>
          </cell>
        </row>
        <row r="530">
          <cell r="B530">
            <v>25000000000527</v>
          </cell>
          <cell r="C530" t="str">
            <v>Irma Maulidawati</v>
          </cell>
          <cell r="D530" t="str">
            <v>3174096508970001</v>
          </cell>
        </row>
        <row r="531">
          <cell r="B531">
            <v>25000000000528</v>
          </cell>
          <cell r="C531" t="str">
            <v>Istikaro Fauziah</v>
          </cell>
          <cell r="D531" t="str">
            <v>3174054210980004</v>
          </cell>
        </row>
        <row r="532">
          <cell r="B532">
            <v>25000000000529</v>
          </cell>
          <cell r="C532" t="str">
            <v>Muhammad Lukbani</v>
          </cell>
          <cell r="D532" t="str">
            <v/>
          </cell>
        </row>
        <row r="533">
          <cell r="B533">
            <v>25000000000530</v>
          </cell>
          <cell r="C533" t="str">
            <v>Muhammad Sholikhun</v>
          </cell>
          <cell r="D533" t="str">
            <v/>
          </cell>
        </row>
        <row r="534">
          <cell r="B534">
            <v>25000000000531</v>
          </cell>
          <cell r="C534" t="str">
            <v>Muhammad Syarifudin</v>
          </cell>
          <cell r="D534" t="str">
            <v/>
          </cell>
        </row>
        <row r="535">
          <cell r="B535">
            <v>25000000000532</v>
          </cell>
          <cell r="C535" t="str">
            <v>Nadia Rizkiah</v>
          </cell>
          <cell r="D535" t="str">
            <v/>
          </cell>
        </row>
        <row r="536">
          <cell r="B536">
            <v>25000000000533</v>
          </cell>
          <cell r="C536" t="str">
            <v>Nikko Septian</v>
          </cell>
          <cell r="D536" t="str">
            <v/>
          </cell>
        </row>
        <row r="537">
          <cell r="B537">
            <v>25000000000534</v>
          </cell>
          <cell r="C537" t="str">
            <v>Novizan</v>
          </cell>
          <cell r="D537" t="str">
            <v/>
          </cell>
        </row>
        <row r="538">
          <cell r="B538">
            <v>25000000000535</v>
          </cell>
          <cell r="C538" t="str">
            <v>Oqi Suhaqi Yunus</v>
          </cell>
          <cell r="D538" t="str">
            <v/>
          </cell>
        </row>
        <row r="539">
          <cell r="B539">
            <v>25000000000536</v>
          </cell>
          <cell r="C539" t="str">
            <v>Restu Dwi Anjayani</v>
          </cell>
          <cell r="D539" t="str">
            <v>3216085507950007</v>
          </cell>
        </row>
        <row r="540">
          <cell r="B540">
            <v>25000000000537</v>
          </cell>
          <cell r="C540" t="str">
            <v>Rizal Amri</v>
          </cell>
          <cell r="D540" t="str">
            <v/>
          </cell>
        </row>
        <row r="541">
          <cell r="B541">
            <v>25000000000538</v>
          </cell>
          <cell r="C541" t="str">
            <v>Ronny Anindika Arnold</v>
          </cell>
          <cell r="D541" t="str">
            <v/>
          </cell>
        </row>
        <row r="542">
          <cell r="B542">
            <v>25000000000539</v>
          </cell>
          <cell r="C542" t="str">
            <v>Samta Harahap</v>
          </cell>
          <cell r="D542" t="str">
            <v/>
          </cell>
        </row>
        <row r="543">
          <cell r="B543">
            <v>25000000000540</v>
          </cell>
          <cell r="C543" t="str">
            <v>Vingky Hendriek Yomerlin</v>
          </cell>
          <cell r="D543" t="str">
            <v/>
          </cell>
        </row>
        <row r="544">
          <cell r="B544">
            <v>25000000000541</v>
          </cell>
          <cell r="C544" t="str">
            <v>Wahyu Teluk Naga</v>
          </cell>
          <cell r="D544" t="str">
            <v/>
          </cell>
        </row>
        <row r="545">
          <cell r="B545">
            <v>25000000000542</v>
          </cell>
          <cell r="C545" t="str">
            <v>Wardah Laily Khoiriyah</v>
          </cell>
          <cell r="D545" t="str">
            <v>3671065910970003</v>
          </cell>
        </row>
        <row r="546">
          <cell r="B546">
            <v>25000000000543</v>
          </cell>
          <cell r="C546" t="str">
            <v>Wawan Kusworo</v>
          </cell>
          <cell r="D546" t="str">
            <v/>
          </cell>
        </row>
        <row r="547">
          <cell r="B547">
            <v>25000000000544</v>
          </cell>
          <cell r="C547" t="str">
            <v>Wulanraniasih</v>
          </cell>
          <cell r="D547" t="str">
            <v/>
          </cell>
        </row>
        <row r="548">
          <cell r="B548">
            <v>25000000000545</v>
          </cell>
          <cell r="C548" t="str">
            <v>Yogi Perbangkara</v>
          </cell>
          <cell r="D548" t="str">
            <v>3201290804850007</v>
          </cell>
        </row>
        <row r="549">
          <cell r="B549">
            <v>25000000000546</v>
          </cell>
          <cell r="C549" t="str">
            <v>Yusuf Fathurahman</v>
          </cell>
          <cell r="D549" t="str">
            <v/>
          </cell>
        </row>
        <row r="550">
          <cell r="B550">
            <v>25000000000547</v>
          </cell>
          <cell r="C550" t="str">
            <v>Zeinurani</v>
          </cell>
          <cell r="D550" t="str">
            <v/>
          </cell>
        </row>
        <row r="551">
          <cell r="B551">
            <v>25000000000548</v>
          </cell>
          <cell r="C551" t="str">
            <v>Sulaeman</v>
          </cell>
          <cell r="D551" t="str">
            <v>3201301508830001</v>
          </cell>
        </row>
        <row r="552">
          <cell r="B552">
            <v>25000000000549</v>
          </cell>
          <cell r="C552" t="str">
            <v>Agus Nuryadi</v>
          </cell>
          <cell r="D552" t="str">
            <v/>
          </cell>
        </row>
        <row r="553">
          <cell r="B553">
            <v>25000000000550</v>
          </cell>
          <cell r="C553" t="str">
            <v>Dian Tri Rahmawati</v>
          </cell>
          <cell r="D553" t="str">
            <v>3172046605010007</v>
          </cell>
        </row>
        <row r="554">
          <cell r="B554">
            <v>25000000000551</v>
          </cell>
          <cell r="C554" t="str">
            <v>Langgeng Eko Dwiantoro</v>
          </cell>
          <cell r="D554" t="str">
            <v>3173081411840012</v>
          </cell>
        </row>
        <row r="555">
          <cell r="B555">
            <v>25000000000552</v>
          </cell>
          <cell r="C555" t="str">
            <v>Aldi Rizaldi</v>
          </cell>
          <cell r="D555" t="str">
            <v/>
          </cell>
        </row>
        <row r="556">
          <cell r="B556">
            <v>25000000000553</v>
          </cell>
          <cell r="C556" t="str">
            <v>Masimin</v>
          </cell>
          <cell r="D556" t="str">
            <v/>
          </cell>
        </row>
        <row r="557">
          <cell r="B557">
            <v>25000000000554</v>
          </cell>
          <cell r="C557" t="str">
            <v>Santoso Dwi Cahyo</v>
          </cell>
          <cell r="D557" t="str">
            <v/>
          </cell>
        </row>
        <row r="558">
          <cell r="B558">
            <v>25000000000555</v>
          </cell>
          <cell r="C558" t="str">
            <v>Wartono</v>
          </cell>
          <cell r="D558" t="str">
            <v/>
          </cell>
        </row>
        <row r="559">
          <cell r="B559">
            <v>25000000000556</v>
          </cell>
          <cell r="C559" t="str">
            <v>Yusarman</v>
          </cell>
          <cell r="D559" t="str">
            <v/>
          </cell>
        </row>
        <row r="560">
          <cell r="B560">
            <v>25000000000557</v>
          </cell>
          <cell r="C560" t="str">
            <v>Abdul Rachman</v>
          </cell>
          <cell r="D560" t="str">
            <v/>
          </cell>
        </row>
        <row r="561">
          <cell r="B561">
            <v>25000000000558</v>
          </cell>
          <cell r="C561" t="str">
            <v>Aden Bagus</v>
          </cell>
          <cell r="D561" t="str">
            <v/>
          </cell>
        </row>
        <row r="562">
          <cell r="B562">
            <v>25000000000559</v>
          </cell>
          <cell r="C562" t="str">
            <v>Adhe Kurniawan</v>
          </cell>
          <cell r="D562" t="str">
            <v>3216050912800006</v>
          </cell>
        </row>
        <row r="563">
          <cell r="B563">
            <v>25000000000560</v>
          </cell>
          <cell r="C563" t="str">
            <v>Ahmad Fauzi</v>
          </cell>
          <cell r="D563" t="str">
            <v/>
          </cell>
        </row>
        <row r="564">
          <cell r="B564">
            <v>25000000000561</v>
          </cell>
          <cell r="C564" t="str">
            <v>Ahmad Gunawan</v>
          </cell>
          <cell r="D564" t="str">
            <v/>
          </cell>
        </row>
        <row r="565">
          <cell r="B565">
            <v>25000000000562</v>
          </cell>
          <cell r="C565" t="str">
            <v>Andri Andriyan</v>
          </cell>
          <cell r="D565" t="str">
            <v/>
          </cell>
        </row>
        <row r="566">
          <cell r="B566">
            <v>25000000000563</v>
          </cell>
          <cell r="C566" t="str">
            <v>Budi Sulistianto</v>
          </cell>
          <cell r="D566" t="str">
            <v/>
          </cell>
        </row>
        <row r="567">
          <cell r="B567">
            <v>25000000000564</v>
          </cell>
          <cell r="C567" t="str">
            <v>Eka Budi</v>
          </cell>
          <cell r="D567" t="str">
            <v/>
          </cell>
        </row>
        <row r="568">
          <cell r="B568">
            <v>25000000000565</v>
          </cell>
          <cell r="C568" t="str">
            <v>Haerul Gunawan</v>
          </cell>
          <cell r="D568" t="str">
            <v/>
          </cell>
        </row>
        <row r="569">
          <cell r="B569">
            <v>25000000000566</v>
          </cell>
          <cell r="C569" t="str">
            <v>Irvan Agus</v>
          </cell>
          <cell r="D569" t="str">
            <v/>
          </cell>
        </row>
        <row r="570">
          <cell r="B570">
            <v>25000000000567</v>
          </cell>
          <cell r="C570" t="str">
            <v>Joshika Pradirga</v>
          </cell>
          <cell r="D570" t="str">
            <v/>
          </cell>
        </row>
        <row r="571">
          <cell r="B571">
            <v>25000000000568</v>
          </cell>
          <cell r="C571" t="str">
            <v>Khaidir</v>
          </cell>
          <cell r="D571" t="str">
            <v/>
          </cell>
        </row>
        <row r="572">
          <cell r="B572">
            <v>25000000000569</v>
          </cell>
          <cell r="C572" t="str">
            <v>Latip Muhlanto</v>
          </cell>
          <cell r="D572" t="str">
            <v/>
          </cell>
        </row>
        <row r="573">
          <cell r="B573">
            <v>25000000000570</v>
          </cell>
          <cell r="C573" t="str">
            <v>Leonardo Putra</v>
          </cell>
          <cell r="D573" t="str">
            <v/>
          </cell>
        </row>
        <row r="574">
          <cell r="B574">
            <v>25000000000571</v>
          </cell>
          <cell r="C574" t="str">
            <v>Muhammad Ramadani</v>
          </cell>
          <cell r="D574" t="str">
            <v/>
          </cell>
        </row>
        <row r="575">
          <cell r="B575">
            <v>25000000000572</v>
          </cell>
          <cell r="C575" t="str">
            <v>Musdalipa</v>
          </cell>
          <cell r="D575" t="str">
            <v/>
          </cell>
        </row>
        <row r="576">
          <cell r="B576">
            <v>25000000000573</v>
          </cell>
          <cell r="C576" t="str">
            <v>Nico Melky</v>
          </cell>
          <cell r="D576" t="str">
            <v/>
          </cell>
        </row>
        <row r="577">
          <cell r="B577">
            <v>25000000000574</v>
          </cell>
          <cell r="C577" t="str">
            <v>Rahmata Novanisa</v>
          </cell>
          <cell r="D577" t="str">
            <v>3404026711900001</v>
          </cell>
        </row>
        <row r="578">
          <cell r="B578">
            <v>25000000000575</v>
          </cell>
          <cell r="C578" t="str">
            <v>Satrio Dhiaputra</v>
          </cell>
          <cell r="D578" t="str">
            <v/>
          </cell>
        </row>
        <row r="579">
          <cell r="B579">
            <v>25000000000576</v>
          </cell>
          <cell r="C579" t="str">
            <v>Sudirman</v>
          </cell>
          <cell r="D579" t="str">
            <v/>
          </cell>
        </row>
        <row r="580">
          <cell r="B580">
            <v>25000000000577</v>
          </cell>
          <cell r="C580" t="str">
            <v>Suparji</v>
          </cell>
          <cell r="D580" t="str">
            <v/>
          </cell>
        </row>
        <row r="581">
          <cell r="B581">
            <v>25000000000578</v>
          </cell>
          <cell r="C581" t="str">
            <v>Taufik Iskandar</v>
          </cell>
          <cell r="D581" t="str">
            <v/>
          </cell>
        </row>
        <row r="582">
          <cell r="B582">
            <v>25000000000579</v>
          </cell>
          <cell r="C582" t="str">
            <v>Tegar Hersaputra</v>
          </cell>
          <cell r="D582" t="str">
            <v>3578032706850002</v>
          </cell>
        </row>
        <row r="583">
          <cell r="B583">
            <v>25000000000580</v>
          </cell>
          <cell r="C583" t="str">
            <v>Togar Sihombing</v>
          </cell>
          <cell r="D583" t="str">
            <v/>
          </cell>
        </row>
        <row r="584">
          <cell r="B584">
            <v>25000000000581</v>
          </cell>
          <cell r="C584" t="str">
            <v>Wisnu Trenggono Wirayuda</v>
          </cell>
          <cell r="D584" t="str">
            <v>3175042505000006</v>
          </cell>
        </row>
        <row r="585">
          <cell r="B585">
            <v>25000000000582</v>
          </cell>
          <cell r="C585" t="str">
            <v>Yogo</v>
          </cell>
          <cell r="D585" t="str">
            <v/>
          </cell>
        </row>
        <row r="586">
          <cell r="B586">
            <v>25000000000583</v>
          </cell>
          <cell r="C586" t="str">
            <v>Yustiana Firda</v>
          </cell>
          <cell r="D586" t="str">
            <v/>
          </cell>
        </row>
        <row r="587">
          <cell r="B587">
            <v>25000000000584</v>
          </cell>
          <cell r="C587" t="str">
            <v>Zainal Abidin</v>
          </cell>
          <cell r="D587" t="str">
            <v/>
          </cell>
        </row>
        <row r="588">
          <cell r="B588">
            <v>25000000000585</v>
          </cell>
          <cell r="C588" t="str">
            <v>Budi Sandika</v>
          </cell>
          <cell r="D588" t="str">
            <v/>
          </cell>
        </row>
        <row r="589">
          <cell r="B589">
            <v>25000000000586</v>
          </cell>
          <cell r="C589" t="str">
            <v>Fachri Azhar</v>
          </cell>
          <cell r="D589" t="str">
            <v/>
          </cell>
        </row>
        <row r="590">
          <cell r="B590">
            <v>25000000000587</v>
          </cell>
          <cell r="C590" t="str">
            <v>Firmansyah Awaludin</v>
          </cell>
          <cell r="D590" t="str">
            <v/>
          </cell>
        </row>
        <row r="591">
          <cell r="B591">
            <v>25000000000588</v>
          </cell>
          <cell r="C591" t="str">
            <v>Iman Faisal Abdurahman</v>
          </cell>
          <cell r="D591" t="str">
            <v>3201070101760014</v>
          </cell>
        </row>
        <row r="592">
          <cell r="B592">
            <v>25000000000589</v>
          </cell>
          <cell r="C592" t="str">
            <v>Muhammad Irfan Alfikri Rayana</v>
          </cell>
          <cell r="D592" t="str">
            <v/>
          </cell>
        </row>
        <row r="593">
          <cell r="B593">
            <v>25000000000590</v>
          </cell>
          <cell r="C593" t="str">
            <v>Syafri Johansah</v>
          </cell>
          <cell r="D593" t="str">
            <v/>
          </cell>
        </row>
        <row r="594">
          <cell r="B594">
            <v>25000000000591</v>
          </cell>
          <cell r="C594" t="str">
            <v>Agus Sobar</v>
          </cell>
          <cell r="D594" t="str">
            <v/>
          </cell>
        </row>
        <row r="595">
          <cell r="B595">
            <v>25000000000592</v>
          </cell>
          <cell r="C595" t="str">
            <v>Ahmad Sandi Asyuri</v>
          </cell>
          <cell r="D595" t="str">
            <v>3275063007960011</v>
          </cell>
        </row>
        <row r="596">
          <cell r="B596">
            <v>25000000000593</v>
          </cell>
          <cell r="C596" t="str">
            <v>Andi Mapasoro</v>
          </cell>
          <cell r="D596" t="str">
            <v>3172030304730004</v>
          </cell>
        </row>
        <row r="597">
          <cell r="B597">
            <v>25000000000594</v>
          </cell>
          <cell r="C597" t="str">
            <v>Arie Gustaman</v>
          </cell>
          <cell r="D597" t="str">
            <v/>
          </cell>
        </row>
        <row r="598">
          <cell r="B598">
            <v>25000000000595</v>
          </cell>
          <cell r="C598" t="str">
            <v>Arief Yulianto</v>
          </cell>
          <cell r="D598" t="str">
            <v>3305170207940005</v>
          </cell>
        </row>
        <row r="599">
          <cell r="B599">
            <v>25000000000596</v>
          </cell>
          <cell r="C599" t="str">
            <v>Burhan</v>
          </cell>
          <cell r="D599" t="str">
            <v>3174031404610002</v>
          </cell>
        </row>
        <row r="600">
          <cell r="B600">
            <v>25000000000597</v>
          </cell>
          <cell r="C600" t="str">
            <v>Deby Syahputa</v>
          </cell>
          <cell r="D600" t="str">
            <v/>
          </cell>
        </row>
        <row r="601">
          <cell r="B601">
            <v>25000000000598</v>
          </cell>
          <cell r="C601" t="str">
            <v>Ibrahim Arya Yuda</v>
          </cell>
          <cell r="D601" t="str">
            <v/>
          </cell>
        </row>
        <row r="602">
          <cell r="B602">
            <v>25000000000599</v>
          </cell>
          <cell r="C602" t="str">
            <v>Jamil</v>
          </cell>
          <cell r="D602" t="str">
            <v/>
          </cell>
        </row>
        <row r="603">
          <cell r="B603">
            <v>25000000000600</v>
          </cell>
          <cell r="C603" t="str">
            <v>Kiki Prasetyo</v>
          </cell>
          <cell r="D603" t="str">
            <v/>
          </cell>
        </row>
        <row r="604">
          <cell r="B604">
            <v>25000000000601</v>
          </cell>
          <cell r="C604" t="str">
            <v>Mochamad Ulul Azmi Wira Utama</v>
          </cell>
          <cell r="D604" t="str">
            <v>3201022807940001</v>
          </cell>
        </row>
        <row r="605">
          <cell r="B605">
            <v>25000000000602</v>
          </cell>
          <cell r="C605" t="str">
            <v>Muhammad Bilal Sharony</v>
          </cell>
          <cell r="D605" t="str">
            <v/>
          </cell>
        </row>
        <row r="606">
          <cell r="B606">
            <v>25000000000603</v>
          </cell>
          <cell r="C606" t="str">
            <v>Muhammad Hairul</v>
          </cell>
          <cell r="D606" t="str">
            <v/>
          </cell>
        </row>
        <row r="607">
          <cell r="B607">
            <v>25000000000604</v>
          </cell>
          <cell r="C607" t="str">
            <v>Muhammad Rizal</v>
          </cell>
          <cell r="D607" t="str">
            <v>3173070507890002</v>
          </cell>
        </row>
        <row r="608">
          <cell r="B608">
            <v>25000000000605</v>
          </cell>
          <cell r="C608" t="str">
            <v>Rahmad Dwifar</v>
          </cell>
          <cell r="D608" t="str">
            <v>1371102805980004</v>
          </cell>
        </row>
        <row r="609">
          <cell r="B609">
            <v>25000000000606</v>
          </cell>
          <cell r="C609" t="str">
            <v>Reza Sanjaya</v>
          </cell>
          <cell r="D609" t="str">
            <v/>
          </cell>
        </row>
        <row r="610">
          <cell r="B610">
            <v>25000000000607</v>
          </cell>
          <cell r="C610" t="str">
            <v>Ridwan Nur Muttaqin</v>
          </cell>
          <cell r="D610" t="str">
            <v>3308102707940002</v>
          </cell>
        </row>
        <row r="611">
          <cell r="B611">
            <v>25000000000608</v>
          </cell>
          <cell r="C611" t="str">
            <v xml:space="preserve">Risaldi </v>
          </cell>
          <cell r="D611" t="str">
            <v/>
          </cell>
        </row>
        <row r="612">
          <cell r="B612">
            <v>25000000000609</v>
          </cell>
          <cell r="C612" t="str">
            <v>Risty Alawiyah</v>
          </cell>
          <cell r="D612" t="str">
            <v>3201305605900001</v>
          </cell>
        </row>
        <row r="613">
          <cell r="B613">
            <v>25000000000610</v>
          </cell>
          <cell r="C613" t="str">
            <v>Rustono</v>
          </cell>
          <cell r="D613" t="str">
            <v>3174032511700006</v>
          </cell>
        </row>
        <row r="614">
          <cell r="B614">
            <v>25000000000611</v>
          </cell>
          <cell r="C614" t="str">
            <v>Solihin</v>
          </cell>
          <cell r="D614" t="str">
            <v>3174030307740005</v>
          </cell>
        </row>
        <row r="615">
          <cell r="B615">
            <v>25000000000612</v>
          </cell>
          <cell r="C615" t="str">
            <v>Supriatna</v>
          </cell>
          <cell r="D615" t="str">
            <v>3276062106750003</v>
          </cell>
        </row>
        <row r="616">
          <cell r="B616">
            <v>25000000000613</v>
          </cell>
          <cell r="C616" t="str">
            <v>Taufik Aminudin</v>
          </cell>
          <cell r="D616" t="str">
            <v/>
          </cell>
        </row>
        <row r="617">
          <cell r="B617">
            <v>25000000000614</v>
          </cell>
          <cell r="C617" t="str">
            <v>Timotius Tabun</v>
          </cell>
          <cell r="D617" t="str">
            <v>3603121805810006</v>
          </cell>
        </row>
        <row r="618">
          <cell r="B618">
            <v>25000000000615</v>
          </cell>
          <cell r="C618" t="str">
            <v>Adi</v>
          </cell>
          <cell r="D618" t="str">
            <v>3171060503000001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 - InstitutionType"/>
      <sheetName val="SEED - Institution"/>
      <sheetName val="DataLookUp - Institution"/>
      <sheetName val="SEED - InstitutionBranch"/>
      <sheetName val="DataLookUp - InstitutionBranch"/>
      <sheetName val="SEED - Customer"/>
      <sheetName val="SEED - Supplier"/>
      <sheetName val="SQL - Customer"/>
      <sheetName val="Sheet1"/>
      <sheetName val="RAW - Customer"/>
      <sheetName val="SQL - Supplier"/>
      <sheetName val="RAW - Supplier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Energi Mekar Lestari</v>
          </cell>
        </row>
        <row r="21">
          <cell r="B21">
            <v>124000000000018</v>
          </cell>
          <cell r="C21" t="str">
            <v>PT. Ericsson Indonesia</v>
          </cell>
        </row>
        <row r="22">
          <cell r="B22">
            <v>124000000000019</v>
          </cell>
          <cell r="C22" t="str">
            <v>PT. Esa Mitra Teknologi</v>
          </cell>
        </row>
        <row r="23">
          <cell r="B23">
            <v>124000000000020</v>
          </cell>
          <cell r="C23" t="str">
            <v>PT. First Media, Tbk</v>
          </cell>
        </row>
        <row r="24">
          <cell r="B24">
            <v>124000000000021</v>
          </cell>
          <cell r="C24" t="str">
            <v xml:space="preserve">Flexi </v>
          </cell>
        </row>
        <row r="25">
          <cell r="B25">
            <v>124000000000022</v>
          </cell>
          <cell r="C25" t="str">
            <v>Flexi Mitrayasa</v>
          </cell>
        </row>
        <row r="26">
          <cell r="B26">
            <v>124000000000023</v>
          </cell>
          <cell r="C26" t="str">
            <v>PT. Huawei Tech Investment</v>
          </cell>
        </row>
        <row r="27">
          <cell r="B27">
            <v>124000000000024</v>
          </cell>
          <cell r="C27" t="str">
            <v>PT. Hutchinson 3 Indonesia</v>
          </cell>
        </row>
        <row r="28">
          <cell r="B28">
            <v>124000000000025</v>
          </cell>
          <cell r="C28" t="str">
            <v>PT. Indoprima Seluler</v>
          </cell>
        </row>
        <row r="29">
          <cell r="B29">
            <v>124000000000026</v>
          </cell>
          <cell r="C29" t="str">
            <v>PT. Indosat, Tbk</v>
          </cell>
        </row>
        <row r="30">
          <cell r="B30">
            <v>124000000000027</v>
          </cell>
          <cell r="C30" t="str">
            <v>PT. Industri Telekomunikasi Indonesia (Persero)</v>
          </cell>
        </row>
        <row r="31">
          <cell r="B31">
            <v>124000000000028</v>
          </cell>
          <cell r="C31" t="str">
            <v>PT. Infrastruktur Bisnis Sejahtera</v>
          </cell>
        </row>
        <row r="32">
          <cell r="B32">
            <v>124000000000029</v>
          </cell>
          <cell r="C32" t="str">
            <v>PT. Intershop Prima Center</v>
          </cell>
        </row>
        <row r="33">
          <cell r="B33">
            <v>124000000000030</v>
          </cell>
          <cell r="C33" t="str">
            <v>PT. Inti Bangun Sejahtera, Tbk</v>
          </cell>
        </row>
        <row r="34">
          <cell r="B34">
            <v>124000000000031</v>
          </cell>
          <cell r="C34" t="str">
            <v>PT. Karya Mitra Nugraha</v>
          </cell>
        </row>
        <row r="35">
          <cell r="B35">
            <v>124000000000032</v>
          </cell>
          <cell r="C35" t="str">
            <v>PT. Lektrika Karyatama</v>
          </cell>
        </row>
        <row r="36">
          <cell r="B36">
            <v>124000000000033</v>
          </cell>
          <cell r="C36" t="str">
            <v>PT. Link Net</v>
          </cell>
        </row>
        <row r="37">
          <cell r="B37">
            <v>124000000000034</v>
          </cell>
          <cell r="C37" t="str">
            <v>PT. Lintas Teknologi Indonesia</v>
          </cell>
        </row>
        <row r="38">
          <cell r="B38">
            <v>124000000000035</v>
          </cell>
          <cell r="C38" t="str">
            <v>PT. Mega Eltra</v>
          </cell>
        </row>
        <row r="39">
          <cell r="B39">
            <v>124000000000036</v>
          </cell>
          <cell r="C39" t="str">
            <v>PT. Megatel Jaya Swastikarya</v>
          </cell>
        </row>
        <row r="40">
          <cell r="B40">
            <v>124000000000037</v>
          </cell>
          <cell r="C40" t="str">
            <v>PT. Nokia Indonesia</v>
          </cell>
        </row>
        <row r="41">
          <cell r="B41">
            <v>124000000000038</v>
          </cell>
          <cell r="C41" t="str">
            <v>PT. Nokia Siemens Network Indonesia</v>
          </cell>
        </row>
        <row r="42">
          <cell r="B42">
            <v>124000000000039</v>
          </cell>
          <cell r="C42" t="str">
            <v>PT. Pertamina Geothermal Energy</v>
          </cell>
        </row>
        <row r="43">
          <cell r="B43">
            <v>124000000000040</v>
          </cell>
          <cell r="C43" t="str">
            <v>PT. Pelayanan Listrik Nasional (PLN) (Persero) - Kantor Pusat</v>
          </cell>
        </row>
        <row r="44">
          <cell r="B44">
            <v>124000000000041</v>
          </cell>
          <cell r="C44" t="str">
            <v>PT. Pelayanan Listrik Nasional (PLN) (Persero) - Batam</v>
          </cell>
        </row>
        <row r="45">
          <cell r="B45">
            <v>124000000000042</v>
          </cell>
          <cell r="C45" t="str">
            <v>PT. Pelayanan Listrik Nasional (PLN) (Persero) - P3B Jawa Bali APP Cawang</v>
          </cell>
        </row>
        <row r="46">
          <cell r="B46">
            <v>124000000000043</v>
          </cell>
          <cell r="C46" t="str">
            <v>PT. Pelayanan Listrik Nasional (PLN) (Persero) - Unit Induk Pembangunan V</v>
          </cell>
        </row>
        <row r="47">
          <cell r="B47">
            <v>124000000000044</v>
          </cell>
          <cell r="C47" t="str">
            <v>PT. Pelayanan Listrik Nasional (PLN) (Persero) - Unit Induk Pembangunan Nusa Tenggara</v>
          </cell>
        </row>
        <row r="48">
          <cell r="B48">
            <v>124000000000045</v>
          </cell>
          <cell r="C48" t="str">
            <v>PT. Pelayanan Listrik Nasional (PLN) (Persero) - Unit Induk Pembangunan XIII</v>
          </cell>
        </row>
        <row r="49">
          <cell r="B49">
            <v>124000000000046</v>
          </cell>
          <cell r="C49" t="str">
            <v>PT. Pelayanan Listrik Nasional (PLN) (Persero) - P2B Jawa Bali APB Jawa Tengah &amp; DIY</v>
          </cell>
        </row>
        <row r="50">
          <cell r="B50">
            <v>124000000000047</v>
          </cell>
          <cell r="C50" t="str">
            <v>PT. Pelayanan Listrik Nasional (PLN) (Persero) - Unit Induk Pembangunan II</v>
          </cell>
        </row>
        <row r="51">
          <cell r="B51">
            <v>124000000000048</v>
          </cell>
          <cell r="C51" t="str">
            <v>PT. Pelayanan Listrik Nasional (PLN) (Persero) - Unit Induk Pembangunan Interkoneksi Sumatera Jawa</v>
          </cell>
        </row>
        <row r="52">
          <cell r="B52">
            <v>124000000000049</v>
          </cell>
          <cell r="C52" t="str">
            <v>PT. Pelayanan Listrik Nasional (PLN) (Persero) - Unit Induk Pembangunan X</v>
          </cell>
        </row>
        <row r="53">
          <cell r="B53">
            <v>124000000000050</v>
          </cell>
          <cell r="C53" t="str">
            <v xml:space="preserve">PT. Pelayanan Listrik Nasional (PLN) (Persero) - Unit Induk Pembangunan JBT II </v>
          </cell>
        </row>
        <row r="54">
          <cell r="B54">
            <v>124000000000051</v>
          </cell>
          <cell r="C54" t="str">
            <v>PT. Protelindo</v>
          </cell>
        </row>
        <row r="55">
          <cell r="B55">
            <v>124000000000052</v>
          </cell>
          <cell r="C55" t="str">
            <v>PT. Ramayana Lestari Sentosa, Tbk</v>
          </cell>
        </row>
        <row r="56">
          <cell r="B56">
            <v>124000000000053</v>
          </cell>
          <cell r="C56" t="str">
            <v>PT. Rekadaya Elektrika</v>
          </cell>
        </row>
        <row r="57">
          <cell r="B57">
            <v>124000000000054</v>
          </cell>
          <cell r="C57" t="str">
            <v>CV. Sejahtera Mandiri</v>
          </cell>
        </row>
        <row r="58">
          <cell r="B58">
            <v>124000000000055</v>
          </cell>
          <cell r="C58" t="str">
            <v>PT. Sigindo Kemas</v>
          </cell>
        </row>
        <row r="59">
          <cell r="B59">
            <v>124000000000056</v>
          </cell>
          <cell r="C59" t="str">
            <v>PT. Smart Telecom</v>
          </cell>
        </row>
        <row r="60">
          <cell r="B60">
            <v>124000000000057</v>
          </cell>
          <cell r="C60" t="str">
            <v>PT. Telekomunikasi Indonesia (Telkom) (Persero), Tbk - Bandung</v>
          </cell>
        </row>
        <row r="61">
          <cell r="B61">
            <v>124000000000058</v>
          </cell>
          <cell r="C61" t="str">
            <v>PT. Telekomunikasi Selular (Telkomsel), Tbk - Jakarta</v>
          </cell>
        </row>
        <row r="62">
          <cell r="B62">
            <v>124000000000059</v>
          </cell>
          <cell r="C62" t="str">
            <v>PT. Telkom Akses</v>
          </cell>
        </row>
        <row r="63">
          <cell r="B63">
            <v>124000000000060</v>
          </cell>
          <cell r="C63" t="str">
            <v>PT. Tosan Permai Lestari</v>
          </cell>
        </row>
        <row r="64">
          <cell r="B64">
            <v>124000000000061</v>
          </cell>
          <cell r="C64" t="str">
            <v>PT. Tower Capital Indonesia</v>
          </cell>
        </row>
        <row r="65">
          <cell r="B65">
            <v>124000000000062</v>
          </cell>
          <cell r="C65" t="str">
            <v>PT. Waskita Karya (Persero), Tbk</v>
          </cell>
        </row>
        <row r="66">
          <cell r="B66">
            <v>124000000000063</v>
          </cell>
          <cell r="C66" t="str">
            <v>PT. Widodo Karya Sejahtera</v>
          </cell>
        </row>
        <row r="67">
          <cell r="B67">
            <v>124000000000064</v>
          </cell>
          <cell r="C67" t="str">
            <v>PT. XL Axiata, Tbk</v>
          </cell>
        </row>
        <row r="68">
          <cell r="B68">
            <v>124000000000065</v>
          </cell>
          <cell r="C68" t="str">
            <v>PT. XL Mitrayasa</v>
          </cell>
        </row>
        <row r="69">
          <cell r="B69">
            <v>124000000000066</v>
          </cell>
          <cell r="C69" t="str">
            <v>PT. ZTE Indonesia</v>
          </cell>
        </row>
        <row r="70">
          <cell r="B70">
            <v>124000000000067</v>
          </cell>
          <cell r="C70" t="str">
            <v>PT. Sansaine Exindo</v>
          </cell>
        </row>
        <row r="71">
          <cell r="B71">
            <v>124000000000068</v>
          </cell>
          <cell r="C71" t="str">
            <v>Indo Jaya Scaffolding</v>
          </cell>
        </row>
        <row r="72">
          <cell r="B72">
            <v>124000000000069</v>
          </cell>
          <cell r="C72" t="str">
            <v>PT. Pembangunan Perumahan (Persero), Tbk</v>
          </cell>
        </row>
        <row r="73">
          <cell r="B73">
            <v>124000000000070</v>
          </cell>
          <cell r="C73" t="str">
            <v>Linus Nusa Express</v>
          </cell>
        </row>
        <row r="74">
          <cell r="B74">
            <v>124000000000071</v>
          </cell>
          <cell r="C74" t="str">
            <v>PT. Penjaminan Jamkrindo Syariah</v>
          </cell>
        </row>
        <row r="75">
          <cell r="B75">
            <v>124000000000072</v>
          </cell>
          <cell r="C75" t="str">
            <v>PT. Larsen And Tourbo</v>
          </cell>
        </row>
        <row r="76">
          <cell r="B76">
            <v>124000000000073</v>
          </cell>
          <cell r="C76" t="str">
            <v>PT. Pelayanan Listrik Nasional (PLN) (Persero) - Unit Induk Pembangunan Kalimantan Bagian Barat</v>
          </cell>
        </row>
        <row r="77">
          <cell r="B77">
            <v>124000000000074</v>
          </cell>
          <cell r="C77" t="str">
            <v>PT. Pelayanan Listrik Nasional (PLN) (Persero) - Unit Induk Pembangunan Sumatera Bagian Tengah</v>
          </cell>
        </row>
        <row r="78">
          <cell r="B78">
            <v>124000000000075</v>
          </cell>
          <cell r="C78" t="str">
            <v xml:space="preserve">PT. Asuransi Sinar Mas </v>
          </cell>
        </row>
        <row r="79">
          <cell r="B79">
            <v>124000000000076</v>
          </cell>
          <cell r="C79" t="str">
            <v>Agung Jaya</v>
          </cell>
        </row>
        <row r="80">
          <cell r="B80">
            <v>124000000000077</v>
          </cell>
          <cell r="C80" t="str">
            <v>Aji Perkasa</v>
          </cell>
        </row>
        <row r="81">
          <cell r="B81">
            <v>124000000000078</v>
          </cell>
          <cell r="C81" t="str">
            <v>Aledro Duta Jaya</v>
          </cell>
        </row>
        <row r="82">
          <cell r="B82">
            <v>124000000000079</v>
          </cell>
          <cell r="C82" t="str">
            <v>Alpine Cool Utama</v>
          </cell>
        </row>
        <row r="83">
          <cell r="B83">
            <v>124000000000080</v>
          </cell>
          <cell r="C83" t="str">
            <v>Alumagada Jaya Mandiri</v>
          </cell>
        </row>
        <row r="84">
          <cell r="B84">
            <v>124000000000081</v>
          </cell>
          <cell r="C84" t="str">
            <v>PT. Karawang Dinamika Lestari</v>
          </cell>
        </row>
        <row r="85">
          <cell r="B85">
            <v>124000000000082</v>
          </cell>
          <cell r="C85" t="str">
            <v>KSO WST-QDC</v>
          </cell>
        </row>
        <row r="86">
          <cell r="B86">
            <v>124000000000083</v>
          </cell>
          <cell r="C86" t="str">
            <v>PT. Adhi Commuter Properti</v>
          </cell>
        </row>
        <row r="87">
          <cell r="B87">
            <v>124000000000084</v>
          </cell>
          <cell r="C87" t="str">
            <v xml:space="preserve">PT. Pelayanan Listrik Nasional (PLN) (Persero) - Penyaluran dan Pusat Pengaturan </v>
          </cell>
        </row>
        <row r="88">
          <cell r="B88">
            <v>0</v>
          </cell>
          <cell r="C88" t="str">
            <v/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214"/>
  <sheetViews>
    <sheetView tabSelected="1" workbookViewId="0">
      <pane xSplit="4" ySplit="2" topLeftCell="E96" activePane="bottomRight" state="frozen"/>
      <selection pane="topRight" activeCell="E1" sqref="E1"/>
      <selection pane="bottomLeft" activeCell="A4" sqref="A4"/>
      <selection pane="bottomRight" activeCell="G105" sqref="G105"/>
    </sheetView>
  </sheetViews>
  <sheetFormatPr defaultRowHeight="12.75" x14ac:dyDescent="0.2"/>
  <cols>
    <col min="1" max="1" width="2.85546875" style="8" customWidth="1"/>
    <col min="2" max="2" width="14.5703125" style="28" customWidth="1"/>
    <col min="3" max="3" width="10.42578125" style="3" bestFit="1" customWidth="1"/>
    <col min="4" max="4" width="23.5703125" style="1" bestFit="1" customWidth="1"/>
    <col min="5" max="5" width="23" style="1" customWidth="1"/>
    <col min="6" max="6" width="14" style="58" customWidth="1"/>
    <col min="7" max="7" width="16.28515625" style="25" bestFit="1" customWidth="1"/>
    <col min="8" max="8" width="23" style="1" customWidth="1"/>
    <col min="9" max="9" width="13.140625" style="25" customWidth="1"/>
    <col min="10" max="10" width="20.42578125" style="4" bestFit="1" customWidth="1"/>
    <col min="11" max="11" width="50.85546875" style="1" bestFit="1" customWidth="1"/>
    <col min="12" max="12" width="2.85546875" style="1" customWidth="1"/>
    <col min="13" max="13" width="14" style="36" bestFit="1" customWidth="1"/>
    <col min="14" max="14" width="9.140625" style="6"/>
    <col min="15" max="16384" width="9.140625" style="1"/>
  </cols>
  <sheetData>
    <row r="1" spans="2:14" ht="13.5" thickBot="1" x14ac:dyDescent="0.25">
      <c r="D1" s="8"/>
    </row>
    <row r="2" spans="2:14" ht="26.25" thickBot="1" x14ac:dyDescent="0.25">
      <c r="B2" s="52" t="s">
        <v>367</v>
      </c>
      <c r="C2" s="53" t="s">
        <v>84</v>
      </c>
      <c r="D2" s="53" t="s">
        <v>446</v>
      </c>
      <c r="E2" s="53" t="s">
        <v>444</v>
      </c>
      <c r="F2" s="53" t="s">
        <v>445</v>
      </c>
      <c r="G2" s="53" t="s">
        <v>85</v>
      </c>
      <c r="H2" s="53" t="s">
        <v>86</v>
      </c>
      <c r="I2" s="53" t="s">
        <v>364</v>
      </c>
      <c r="J2" s="54" t="s">
        <v>368</v>
      </c>
      <c r="K2" s="13" t="s">
        <v>369</v>
      </c>
      <c r="M2" s="33" t="s">
        <v>447</v>
      </c>
      <c r="N2" s="34" t="s">
        <v>448</v>
      </c>
    </row>
    <row r="3" spans="2:14" ht="13.5" thickBot="1" x14ac:dyDescent="0.25">
      <c r="B3" s="29"/>
      <c r="C3" s="12"/>
      <c r="D3" s="12"/>
      <c r="E3" s="12"/>
      <c r="F3" s="26"/>
      <c r="G3" s="26"/>
      <c r="H3" s="12"/>
      <c r="I3" s="26"/>
      <c r="J3" s="14"/>
      <c r="K3" s="11"/>
      <c r="M3" s="37">
        <v>167000000000000</v>
      </c>
      <c r="N3" s="35"/>
    </row>
    <row r="4" spans="2:14" x14ac:dyDescent="0.2">
      <c r="B4" s="30">
        <v>124000000000001</v>
      </c>
      <c r="C4" s="18"/>
      <c r="D4" s="15" t="str">
        <f>IF(EXACT($B4, ""), "", IF((FLOOR($B4/1000000000000, 1) = 124), VLOOKUP($B4, '[4]DataLookUp - InstitutionBranch'!$B$4:$C$2000, 2, FALSE), IF((FLOOR($B4/1000000000000, 1) = 25), VLOOKUP($B4, [3]DataLookUp!$B$4:$D$2000, 2, FALSE), "xx")))</f>
        <v>PT. QDC Technologies</v>
      </c>
      <c r="E4" s="1" t="s">
        <v>197</v>
      </c>
      <c r="F4" s="58">
        <f ca="1">VLOOKUP($E4, OFFSET([1]MAIN!$B$2, 0, 0, 100, 6), 5, FALSE)</f>
        <v>166000000000005</v>
      </c>
      <c r="G4" s="25" t="s">
        <v>147</v>
      </c>
      <c r="H4" s="1" t="s">
        <v>209</v>
      </c>
      <c r="I4" s="25" t="s">
        <v>366</v>
      </c>
      <c r="M4" s="38">
        <f ca="1" xml:space="preserve"> M3 + IF(EXACT(N4, ""), 0, 1)</f>
        <v>167000000000001</v>
      </c>
      <c r="N4" s="6" t="str">
        <f t="shared" ref="N4:N35" ca="1" si="0">IF(EXACT(B4, ""), "", CONCATENATE("PERFORM ""SchData-OLTP-Master"".""Func_TblBankAccount_SET""(varSystemLoginSession, null, null, null, null, null, varInstitutionBranchID, varBaseCurrencyID, ", F4, ", '", G4, "', '", H4, "', ", I4, ", ", B4, ");"))</f>
        <v>PERFORM "SchData-OLTP-Master"."Func_TblBankAccount_SET"(varSystemLoginSession, null, null, null, null, null, varInstitutionBranchID, varBaseCurrencyID, 166000000000005, '0063032911', 'PT QDC Technologies', 62000000000001, 124000000000001);</v>
      </c>
    </row>
    <row r="5" spans="2:14" x14ac:dyDescent="0.2">
      <c r="B5" s="31">
        <v>124000000000001</v>
      </c>
      <c r="C5" s="19"/>
      <c r="D5" s="17" t="str">
        <f>IF(EXACT($B5, ""), "", IF((FLOOR($B5/1000000000000, 1) = 124), VLOOKUP($B5, '[4]DataLookUp - InstitutionBranch'!$B$4:$C$2000, 2, FALSE), IF((FLOOR($B5/1000000000000, 1) = 25), VLOOKUP($B5, [3]DataLookUp!$B$4:$D$2000, 2, FALSE), "xx")))</f>
        <v>PT. QDC Technologies</v>
      </c>
      <c r="E5" s="1" t="s">
        <v>197</v>
      </c>
      <c r="F5" s="58">
        <f ca="1">VLOOKUP($E5, OFFSET([1]MAIN!$B$2, 0, 0, 100, 6), 5, FALSE)</f>
        <v>166000000000005</v>
      </c>
      <c r="G5" s="25" t="s">
        <v>335</v>
      </c>
      <c r="H5" s="1" t="s">
        <v>209</v>
      </c>
      <c r="I5" s="25" t="s">
        <v>366</v>
      </c>
      <c r="M5" s="38">
        <f t="shared" ref="M5:M68" ca="1" si="1" xml:space="preserve"> M4 + IF(EXACT(N5, ""), 0, 1)</f>
        <v>167000000000002</v>
      </c>
      <c r="N5" s="6" t="str">
        <f t="shared" ca="1" si="0"/>
        <v>PERFORM "SchData-OLTP-Master"."Func_TblBankAccount_SET"(varSystemLoginSession, null, null, null, null, null, varInstitutionBranchID, varBaseCurrencyID, 166000000000005, '0065557750', 'PT QDC Technologies', 62000000000001, 124000000000001);</v>
      </c>
    </row>
    <row r="6" spans="2:14" x14ac:dyDescent="0.2">
      <c r="B6" s="31">
        <v>124000000000001</v>
      </c>
      <c r="C6" s="19"/>
      <c r="D6" s="17" t="str">
        <f>IF(EXACT($B6, ""), "", IF((FLOOR($B6/1000000000000, 1) = 124), VLOOKUP($B6, '[4]DataLookUp - InstitutionBranch'!$B$4:$C$2000, 2, FALSE), IF((FLOOR($B6/1000000000000, 1) = 25), VLOOKUP($B6, [3]DataLookUp!$B$4:$D$2000, 2, FALSE), "xx")))</f>
        <v>PT. QDC Technologies</v>
      </c>
      <c r="E6" s="1" t="s">
        <v>197</v>
      </c>
      <c r="F6" s="58">
        <f ca="1">VLOOKUP($E6, OFFSET([1]MAIN!$B$2, 0, 0, 100, 6), 5, FALSE)</f>
        <v>166000000000005</v>
      </c>
      <c r="G6" s="25" t="s">
        <v>362</v>
      </c>
      <c r="H6" s="1" t="s">
        <v>209</v>
      </c>
      <c r="I6" s="25" t="s">
        <v>366</v>
      </c>
      <c r="M6" s="38">
        <f t="shared" ca="1" si="1"/>
        <v>167000000000003</v>
      </c>
      <c r="N6" s="6" t="str">
        <f t="shared" ca="1" si="0"/>
        <v>PERFORM "SchData-OLTP-Master"."Func_TblBankAccount_SET"(varSystemLoginSession, null, null, null, null, null, varInstitutionBranchID, varBaseCurrencyID, 166000000000005, '0068502911', 'PT QDC Technologies', 62000000000001, 124000000000001);</v>
      </c>
    </row>
    <row r="7" spans="2:14" x14ac:dyDescent="0.2">
      <c r="B7" s="31">
        <v>124000000000001</v>
      </c>
      <c r="C7" s="19"/>
      <c r="D7" s="17" t="str">
        <f>IF(EXACT($B7, ""), "", IF((FLOOR($B7/1000000000000, 1) = 124), VLOOKUP($B7, '[4]DataLookUp - InstitutionBranch'!$B$4:$C$2000, 2, FALSE), IF((FLOOR($B7/1000000000000, 1) = 25), VLOOKUP($B7, [3]DataLookUp!$B$4:$D$2000, 2, FALSE), "xx")))</f>
        <v>PT. QDC Technologies</v>
      </c>
      <c r="E7" s="1" t="s">
        <v>197</v>
      </c>
      <c r="F7" s="58">
        <f ca="1">VLOOKUP($E7, OFFSET([1]MAIN!$B$2, 0, 0, 100, 6), 5, FALSE)</f>
        <v>166000000000005</v>
      </c>
      <c r="G7" s="25" t="s">
        <v>212</v>
      </c>
      <c r="H7" s="1" t="s">
        <v>209</v>
      </c>
      <c r="I7" s="25" t="s">
        <v>366</v>
      </c>
      <c r="M7" s="38">
        <f t="shared" ca="1" si="1"/>
        <v>167000000000004</v>
      </c>
      <c r="N7" s="6" t="str">
        <f t="shared" ca="1" si="0"/>
        <v>PERFORM "SchData-OLTP-Master"."Func_TblBankAccount_SET"(varSystemLoginSession, null, null, null, null, null, varInstitutionBranchID, varBaseCurrencyID, 166000000000005, '2173050101', 'PT QDC Technologies', 62000000000001, 124000000000001);</v>
      </c>
    </row>
    <row r="8" spans="2:14" x14ac:dyDescent="0.2">
      <c r="B8" s="31">
        <v>124000000000001</v>
      </c>
      <c r="C8" s="19"/>
      <c r="D8" s="17" t="str">
        <f>IF(EXACT($B8, ""), "", IF((FLOOR($B8/1000000000000, 1) = 124), VLOOKUP($B8, '[4]DataLookUp - InstitutionBranch'!$B$4:$C$2000, 2, FALSE), IF((FLOOR($B8/1000000000000, 1) = 25), VLOOKUP($B8, [3]DataLookUp!$B$4:$D$2000, 2, FALSE), "xx")))</f>
        <v>PT. QDC Technologies</v>
      </c>
      <c r="E8" s="1" t="s">
        <v>197</v>
      </c>
      <c r="F8" s="58">
        <f ca="1">VLOOKUP($E8, OFFSET([1]MAIN!$B$2, 0, 0, 100, 6), 5, FALSE)</f>
        <v>166000000000005</v>
      </c>
      <c r="G8" s="25" t="s">
        <v>214</v>
      </c>
      <c r="H8" s="1" t="s">
        <v>209</v>
      </c>
      <c r="I8" s="25" t="s">
        <v>366</v>
      </c>
      <c r="M8" s="38">
        <f t="shared" ca="1" si="1"/>
        <v>167000000000005</v>
      </c>
      <c r="N8" s="6" t="str">
        <f t="shared" ca="1" si="0"/>
        <v>PERFORM "SchData-OLTP-Master"."Func_TblBankAccount_SET"(varSystemLoginSession, null, null, null, null, null, varInstitutionBranchID, varBaseCurrencyID, 166000000000005, '2173108214', 'PT QDC Technologies', 62000000000001, 124000000000001);</v>
      </c>
    </row>
    <row r="9" spans="2:14" x14ac:dyDescent="0.2">
      <c r="B9" s="31">
        <v>124000000000001</v>
      </c>
      <c r="C9" s="19"/>
      <c r="D9" s="17" t="str">
        <f>IF(EXACT($B9, ""), "", IF((FLOOR($B9/1000000000000, 1) = 124), VLOOKUP($B9, '[4]DataLookUp - InstitutionBranch'!$B$4:$C$2000, 2, FALSE), IF((FLOOR($B9/1000000000000, 1) = 25), VLOOKUP($B9, [3]DataLookUp!$B$4:$D$2000, 2, FALSE), "xx")))</f>
        <v>PT. QDC Technologies</v>
      </c>
      <c r="E9" s="1" t="s">
        <v>357</v>
      </c>
      <c r="F9" s="58">
        <f ca="1">VLOOKUP($E9, OFFSET([1]MAIN!$B$2, 0, 0, 100, 6), 5, FALSE)</f>
        <v>166000000000017</v>
      </c>
      <c r="G9" s="25" t="s">
        <v>303</v>
      </c>
      <c r="H9" s="1" t="s">
        <v>209</v>
      </c>
      <c r="I9" s="25" t="s">
        <v>366</v>
      </c>
      <c r="J9" s="1"/>
      <c r="M9" s="38">
        <f t="shared" ca="1" si="1"/>
        <v>167000000000006</v>
      </c>
      <c r="N9" s="6" t="str">
        <f t="shared" ca="1" si="0"/>
        <v>PERFORM "SchData-OLTP-Master"."Func_TblBankAccount_SET"(varSystemLoginSession, null, null, null, null, null, varInstitutionBranchID, varBaseCurrencyID, 166000000000017, '762375277200', 'PT QDC Technologies', 62000000000001, 124000000000001);</v>
      </c>
    </row>
    <row r="10" spans="2:14" x14ac:dyDescent="0.2">
      <c r="B10" s="31">
        <v>124000000000001</v>
      </c>
      <c r="C10" s="19"/>
      <c r="D10" s="17" t="str">
        <f>IF(EXACT($B10, ""), "", IF((FLOOR($B10/1000000000000, 1) = 124), VLOOKUP($B10, '[4]DataLookUp - InstitutionBranch'!$B$4:$C$2000, 2, FALSE), IF((FLOOR($B10/1000000000000, 1) = 25), VLOOKUP($B10, [3]DataLookUp!$B$4:$D$2000, 2, FALSE), "xx")))</f>
        <v>PT. QDC Technologies</v>
      </c>
      <c r="E10" s="1" t="s">
        <v>357</v>
      </c>
      <c r="F10" s="58">
        <f ca="1">VLOOKUP($E10, OFFSET([1]MAIN!$B$2, 0, 0, 100, 6), 5, FALSE)</f>
        <v>166000000000017</v>
      </c>
      <c r="G10" s="25" t="s">
        <v>248</v>
      </c>
      <c r="H10" s="1" t="s">
        <v>209</v>
      </c>
      <c r="I10" s="25" t="s">
        <v>366</v>
      </c>
      <c r="J10" s="1"/>
      <c r="M10" s="38">
        <f t="shared" ca="1" si="1"/>
        <v>167000000000007</v>
      </c>
      <c r="N10" s="6" t="str">
        <f t="shared" ca="1" si="0"/>
        <v>PERFORM "SchData-OLTP-Master"."Func_TblBankAccount_SET"(varSystemLoginSession, null, null, null, null, null, varInstitutionBranchID, varBaseCurrencyID, 166000000000017, '800039839400', 'PT QDC Technologies', 62000000000001, 124000000000001);</v>
      </c>
    </row>
    <row r="11" spans="2:14" x14ac:dyDescent="0.2">
      <c r="B11" s="31">
        <v>124000000000001</v>
      </c>
      <c r="C11" s="19"/>
      <c r="D11" s="17" t="str">
        <f>IF(EXACT($B11, ""), "", IF((FLOOR($B11/1000000000000, 1) = 124), VLOOKUP($B11, '[4]DataLookUp - InstitutionBranch'!$B$4:$C$2000, 2, FALSE), IF((FLOOR($B11/1000000000000, 1) = 25), VLOOKUP($B11, [3]DataLookUp!$B$4:$D$2000, 2, FALSE), "xx")))</f>
        <v>PT. QDC Technologies</v>
      </c>
      <c r="E11" s="1" t="s">
        <v>357</v>
      </c>
      <c r="F11" s="58">
        <f ca="1">VLOOKUP($E11, OFFSET([1]MAIN!$B$2, 0, 0, 100, 6), 5, FALSE)</f>
        <v>166000000000017</v>
      </c>
      <c r="G11" s="25" t="s">
        <v>266</v>
      </c>
      <c r="H11" s="1" t="s">
        <v>209</v>
      </c>
      <c r="I11" s="25" t="s">
        <v>366</v>
      </c>
      <c r="M11" s="38">
        <f t="shared" ca="1" si="1"/>
        <v>167000000000008</v>
      </c>
      <c r="N11" s="6" t="str">
        <f t="shared" ca="1" si="0"/>
        <v>PERFORM "SchData-OLTP-Master"."Func_TblBankAccount_SET"(varSystemLoginSession, null, null, null, null, null, varInstitutionBranchID, varBaseCurrencyID, 166000000000017, '800039840100', 'PT QDC Technologies', 62000000000001, 124000000000001);</v>
      </c>
    </row>
    <row r="12" spans="2:14" x14ac:dyDescent="0.2">
      <c r="B12" s="31">
        <v>124000000000001</v>
      </c>
      <c r="C12" s="19"/>
      <c r="D12" s="17" t="str">
        <f>IF(EXACT($B12, ""), "", IF((FLOOR($B12/1000000000000, 1) = 124), VLOOKUP($B12, '[4]DataLookUp - InstitutionBranch'!$B$4:$C$2000, 2, FALSE), IF((FLOOR($B12/1000000000000, 1) = 25), VLOOKUP($B12, [3]DataLookUp!$B$4:$D$2000, 2, FALSE), "xx")))</f>
        <v>PT. QDC Technologies</v>
      </c>
      <c r="E12" s="1" t="s">
        <v>357</v>
      </c>
      <c r="F12" s="58">
        <f ca="1">VLOOKUP($E12, OFFSET([1]MAIN!$B$2, 0, 0, 100, 6), 5, FALSE)</f>
        <v>166000000000017</v>
      </c>
      <c r="G12" s="25" t="s">
        <v>323</v>
      </c>
      <c r="H12" s="1" t="s">
        <v>209</v>
      </c>
      <c r="I12" s="25" t="s">
        <v>366</v>
      </c>
      <c r="M12" s="38">
        <f t="shared" ca="1" si="1"/>
        <v>167000000000009</v>
      </c>
      <c r="N12" s="6" t="str">
        <f t="shared" ca="1" si="0"/>
        <v>PERFORM "SchData-OLTP-Master"."Func_TblBankAccount_SET"(varSystemLoginSession, null, null, null, null, null, varInstitutionBranchID, varBaseCurrencyID, 166000000000017, '860012900500', 'PT QDC Technologies', 62000000000001, 124000000000001);</v>
      </c>
    </row>
    <row r="13" spans="2:14" x14ac:dyDescent="0.2">
      <c r="B13" s="31">
        <v>124000000000001</v>
      </c>
      <c r="C13" s="19"/>
      <c r="D13" s="17" t="str">
        <f>IF(EXACT($B13, ""), "", IF((FLOOR($B13/1000000000000, 1) = 124), VLOOKUP($B13, '[4]DataLookUp - InstitutionBranch'!$B$4:$C$2000, 2, FALSE), IF((FLOOR($B13/1000000000000, 1) = 25), VLOOKUP($B13, [3]DataLookUp!$B$4:$D$2000, 2, FALSE), "xx")))</f>
        <v>PT. QDC Technologies</v>
      </c>
      <c r="E13" s="1" t="s">
        <v>353</v>
      </c>
      <c r="F13" s="58">
        <f ca="1">VLOOKUP($E13, OFFSET([1]MAIN!$B$2, 0, 0, 100, 6), 5, FALSE)</f>
        <v>166000000000015</v>
      </c>
      <c r="G13" s="25" t="s">
        <v>245</v>
      </c>
      <c r="H13" s="1" t="s">
        <v>209</v>
      </c>
      <c r="I13" s="25" t="s">
        <v>366</v>
      </c>
      <c r="M13" s="38">
        <f t="shared" ca="1" si="1"/>
        <v>167000000000010</v>
      </c>
      <c r="N13" s="6" t="str">
        <f t="shared" ca="1" si="0"/>
        <v>PERFORM "SchData-OLTP-Master"."Func_TblBankAccount_SET"(varSystemLoginSession, null, null, null, null, null, varInstitutionBranchID, varBaseCurrencyID, 166000000000015, '1051189606', 'PT QDC Technologies', 62000000000001, 124000000000001);</v>
      </c>
    </row>
    <row r="14" spans="2:14" x14ac:dyDescent="0.2">
      <c r="B14" s="31">
        <v>124000000000001</v>
      </c>
      <c r="C14" s="19"/>
      <c r="D14" s="17" t="str">
        <f>IF(EXACT($B14, ""), "", IF((FLOOR($B14/1000000000000, 1) = 124), VLOOKUP($B14, '[4]DataLookUp - InstitutionBranch'!$B$4:$C$2000, 2, FALSE), IF((FLOOR($B14/1000000000000, 1) = 25), VLOOKUP($B14, [3]DataLookUp!$B$4:$D$2000, 2, FALSE), "xx")))</f>
        <v>PT. QDC Technologies</v>
      </c>
      <c r="E14" s="1" t="s">
        <v>353</v>
      </c>
      <c r="F14" s="58">
        <f ca="1">VLOOKUP($E14, OFFSET([1]MAIN!$B$2, 0, 0, 100, 6), 5, FALSE)</f>
        <v>166000000000015</v>
      </c>
      <c r="G14" s="25" t="s">
        <v>294</v>
      </c>
      <c r="H14" s="1" t="s">
        <v>209</v>
      </c>
      <c r="I14" s="25" t="s">
        <v>365</v>
      </c>
      <c r="M14" s="38">
        <f t="shared" ca="1" si="1"/>
        <v>167000000000011</v>
      </c>
      <c r="N14" s="6" t="str">
        <f t="shared" ca="1" si="0"/>
        <v>PERFORM "SchData-OLTP-Master"."Func_TblBankAccount_SET"(varSystemLoginSession, null, null, null, null, null, varInstitutionBranchID, varBaseCurrencyID, 166000000000015, '1051189707', 'PT QDC Technologies', 62000000000002, 124000000000001);</v>
      </c>
    </row>
    <row r="15" spans="2:14" x14ac:dyDescent="0.2">
      <c r="B15" s="31">
        <v>124000000000001</v>
      </c>
      <c r="C15" s="19"/>
      <c r="D15" s="17" t="str">
        <f>IF(EXACT($B15, ""), "", IF((FLOOR($B15/1000000000000, 1) = 124), VLOOKUP($B15, '[4]DataLookUp - InstitutionBranch'!$B$4:$C$2000, 2, FALSE), IF((FLOOR($B15/1000000000000, 1) = 25), VLOOKUP($B15, [3]DataLookUp!$B$4:$D$2000, 2, FALSE), "xx")))</f>
        <v>PT. QDC Technologies</v>
      </c>
      <c r="E15" s="1" t="s">
        <v>351</v>
      </c>
      <c r="F15" s="58">
        <f ca="1">VLOOKUP($E15, OFFSET([1]MAIN!$B$2, 0, 0, 100, 6), 5, FALSE)</f>
        <v>166000000000009</v>
      </c>
      <c r="G15" s="25" t="s">
        <v>273</v>
      </c>
      <c r="H15" s="1" t="s">
        <v>209</v>
      </c>
      <c r="I15" s="25" t="s">
        <v>366</v>
      </c>
      <c r="M15" s="38">
        <f t="shared" ca="1" si="1"/>
        <v>167000000000012</v>
      </c>
      <c r="N15" s="6" t="str">
        <f t="shared" ca="1" si="0"/>
        <v>PERFORM "SchData-OLTP-Master"."Func_TblBankAccount_SET"(varSystemLoginSession, null, null, null, null, null, varInstitutionBranchID, varBaseCurrencyID, 166000000000009, '1001327468', 'PT QDC Technologies', 62000000000001, 124000000000001);</v>
      </c>
    </row>
    <row r="16" spans="2:14" x14ac:dyDescent="0.2">
      <c r="B16" s="31">
        <v>124000000000001</v>
      </c>
      <c r="C16" s="19"/>
      <c r="D16" s="17" t="str">
        <f>IF(EXACT($B16, ""), "", IF((FLOOR($B16/1000000000000, 1) = 124), VLOOKUP($B16, '[4]DataLookUp - InstitutionBranch'!$B$4:$C$2000, 2, FALSE), IF((FLOOR($B16/1000000000000, 1) = 25), VLOOKUP($B16, [3]DataLookUp!$B$4:$D$2000, 2, FALSE), "xx")))</f>
        <v>PT. QDC Technologies</v>
      </c>
      <c r="E16" s="1" t="s">
        <v>351</v>
      </c>
      <c r="F16" s="58">
        <f ca="1">VLOOKUP($E16, OFFSET([1]MAIN!$B$2, 0, 0, 100, 6), 5, FALSE)</f>
        <v>166000000000009</v>
      </c>
      <c r="G16" s="25" t="s">
        <v>288</v>
      </c>
      <c r="H16" s="1" t="s">
        <v>209</v>
      </c>
      <c r="I16" s="25" t="s">
        <v>366</v>
      </c>
      <c r="M16" s="38">
        <f t="shared" ca="1" si="1"/>
        <v>167000000000013</v>
      </c>
      <c r="N16" s="6" t="str">
        <f t="shared" ca="1" si="0"/>
        <v>PERFORM "SchData-OLTP-Master"."Func_TblBankAccount_SET"(varSystemLoginSession, null, null, null, null, null, varInstitutionBranchID, varBaseCurrencyID, 166000000000009, '1001374466', 'PT QDC Technologies', 62000000000001, 124000000000001);</v>
      </c>
    </row>
    <row r="17" spans="2:14" x14ac:dyDescent="0.2">
      <c r="B17" s="31">
        <v>124000000000001</v>
      </c>
      <c r="C17" s="19"/>
      <c r="D17" s="17" t="str">
        <f>IF(EXACT($B17, ""), "", IF((FLOOR($B17/1000000000000, 1) = 124), VLOOKUP($B17, '[4]DataLookUp - InstitutionBranch'!$B$4:$C$2000, 2, FALSE), IF((FLOOR($B17/1000000000000, 1) = 25), VLOOKUP($B17, [3]DataLookUp!$B$4:$D$2000, 2, FALSE), "xx")))</f>
        <v>PT. QDC Technologies</v>
      </c>
      <c r="E17" s="1" t="s">
        <v>351</v>
      </c>
      <c r="F17" s="58">
        <f ca="1">VLOOKUP($E17, OFFSET([1]MAIN!$B$2, 0, 0, 100, 6), 5, FALSE)</f>
        <v>166000000000009</v>
      </c>
      <c r="G17" s="25" t="s">
        <v>267</v>
      </c>
      <c r="H17" s="1" t="s">
        <v>209</v>
      </c>
      <c r="I17" s="25" t="s">
        <v>366</v>
      </c>
      <c r="M17" s="38">
        <f t="shared" ca="1" si="1"/>
        <v>167000000000014</v>
      </c>
      <c r="N17" s="6" t="str">
        <f t="shared" ca="1" si="0"/>
        <v>PERFORM "SchData-OLTP-Master"."Func_TblBankAccount_SET"(varSystemLoginSession, null, null, null, null, null, varInstitutionBranchID, varBaseCurrencyID, 166000000000009, '1002405420', 'PT QDC Technologies', 62000000000001, 124000000000001);</v>
      </c>
    </row>
    <row r="18" spans="2:14" x14ac:dyDescent="0.2">
      <c r="B18" s="31">
        <v>124000000000001</v>
      </c>
      <c r="C18" s="19"/>
      <c r="D18" s="17" t="str">
        <f>IF(EXACT($B18, ""), "", IF((FLOOR($B18/1000000000000, 1) = 124), VLOOKUP($B18, '[4]DataLookUp - InstitutionBranch'!$B$4:$C$2000, 2, FALSE), IF((FLOOR($B18/1000000000000, 1) = 25), VLOOKUP($B18, [3]DataLookUp!$B$4:$D$2000, 2, FALSE), "xx")))</f>
        <v>PT. QDC Technologies</v>
      </c>
      <c r="E18" s="1" t="s">
        <v>198</v>
      </c>
      <c r="F18" s="58">
        <f ca="1">VLOOKUP($E18, OFFSET([1]MAIN!$B$2, 0, 0, 100, 6), 5, FALSE)</f>
        <v>166000000000001</v>
      </c>
      <c r="G18" s="25" t="s">
        <v>297</v>
      </c>
      <c r="H18" s="1" t="s">
        <v>209</v>
      </c>
      <c r="I18" s="25" t="s">
        <v>366</v>
      </c>
      <c r="M18" s="38">
        <f t="shared" ca="1" si="1"/>
        <v>167000000000015</v>
      </c>
      <c r="N18" s="6" t="str">
        <f t="shared" ca="1" si="0"/>
        <v>PERFORM "SchData-OLTP-Master"."Func_TblBankAccount_SET"(varSystemLoginSession, null, null, null, null, null, varInstitutionBranchID, varBaseCurrencyID, 166000000000001, '0700009986097', 'PT QDC Technologies', 62000000000001, 124000000000001);</v>
      </c>
    </row>
    <row r="19" spans="2:14" x14ac:dyDescent="0.2">
      <c r="B19" s="31">
        <v>124000000000001</v>
      </c>
      <c r="C19" s="19"/>
      <c r="D19" s="17" t="str">
        <f>IF(EXACT($B19, ""), "", IF((FLOOR($B19/1000000000000, 1) = 124), VLOOKUP($B19, '[4]DataLookUp - InstitutionBranch'!$B$4:$C$2000, 2, FALSE), IF((FLOOR($B19/1000000000000, 1) = 25), VLOOKUP($B19, [3]DataLookUp!$B$4:$D$2000, 2, FALSE), "xx")))</f>
        <v>PT. QDC Technologies</v>
      </c>
      <c r="E19" s="1" t="s">
        <v>198</v>
      </c>
      <c r="F19" s="58">
        <f ca="1">VLOOKUP($E19, OFFSET([1]MAIN!$B$2, 0, 0, 100, 6), 5, FALSE)</f>
        <v>166000000000001</v>
      </c>
      <c r="G19" s="25" t="s">
        <v>329</v>
      </c>
      <c r="H19" s="1" t="s">
        <v>209</v>
      </c>
      <c r="I19" s="25" t="s">
        <v>366</v>
      </c>
      <c r="M19" s="38">
        <f t="shared" ca="1" si="1"/>
        <v>167000000000016</v>
      </c>
      <c r="N19" s="6" t="str">
        <f t="shared" ca="1" si="0"/>
        <v>PERFORM "SchData-OLTP-Master"."Func_TblBankAccount_SET"(varSystemLoginSession, null, null, null, null, null, varInstitutionBranchID, varBaseCurrencyID, 166000000000001, '0700010933104', 'PT QDC Technologies', 62000000000001, 124000000000001);</v>
      </c>
    </row>
    <row r="20" spans="2:14" x14ac:dyDescent="0.2">
      <c r="B20" s="31">
        <v>124000000000001</v>
      </c>
      <c r="C20" s="19"/>
      <c r="D20" s="17" t="str">
        <f>IF(EXACT($B20, ""), "", IF((FLOOR($B20/1000000000000, 1) = 124), VLOOKUP($B20, '[4]DataLookUp - InstitutionBranch'!$B$4:$C$2000, 2, FALSE), IF((FLOOR($B20/1000000000000, 1) = 25), VLOOKUP($B20, [3]DataLookUp!$B$4:$D$2000, 2, FALSE), "xx")))</f>
        <v>PT. QDC Technologies</v>
      </c>
      <c r="E20" s="1" t="s">
        <v>352</v>
      </c>
      <c r="F20" s="58">
        <f ca="1">VLOOKUP($E20, OFFSET([1]MAIN!$B$2, 0, 0, 100, 6), 5, FALSE)</f>
        <v>166000000000003</v>
      </c>
      <c r="G20" s="25" t="s">
        <v>382</v>
      </c>
      <c r="H20" s="1" t="s">
        <v>209</v>
      </c>
      <c r="I20" s="25" t="s">
        <v>366</v>
      </c>
      <c r="M20" s="38">
        <f t="shared" ca="1" si="1"/>
        <v>167000000000017</v>
      </c>
      <c r="N20" s="6" t="str">
        <f t="shared" ca="1" si="0"/>
        <v>PERFORM "SchData-OLTP-Master"."Func_TblBankAccount_SET"(varSystemLoginSession, null, null, null, null, null, varInstitutionBranchID, varBaseCurrencyID, 166000000000003, '1999998082', 'PT QDC Technologies', 62000000000001, 124000000000001);</v>
      </c>
    </row>
    <row r="21" spans="2:14" x14ac:dyDescent="0.2">
      <c r="B21" s="31">
        <v>124000000000001</v>
      </c>
      <c r="C21" s="19"/>
      <c r="D21" s="17" t="str">
        <f>IF(EXACT($B21, ""), "", IF((FLOOR($B21/1000000000000, 1) = 124), VLOOKUP($B21, '[4]DataLookUp - InstitutionBranch'!$B$4:$C$2000, 2, FALSE), IF((FLOOR($B21/1000000000000, 1) = 25), VLOOKUP($B21, [3]DataLookUp!$B$4:$D$2000, 2, FALSE), "xx")))</f>
        <v>PT. QDC Technologies</v>
      </c>
      <c r="E21" s="1" t="s">
        <v>352</v>
      </c>
      <c r="F21" s="58">
        <f ca="1">VLOOKUP($E21, OFFSET([1]MAIN!$B$2, 0, 0, 100, 6), 5, FALSE)</f>
        <v>166000000000003</v>
      </c>
      <c r="G21" s="25" t="s">
        <v>282</v>
      </c>
      <c r="H21" s="1" t="s">
        <v>209</v>
      </c>
      <c r="I21" s="25" t="s">
        <v>366</v>
      </c>
      <c r="M21" s="38">
        <f t="shared" ca="1" si="1"/>
        <v>167000000000018</v>
      </c>
      <c r="N21" s="6" t="str">
        <f t="shared" ca="1" si="0"/>
        <v>PERFORM "SchData-OLTP-Master"."Func_TblBankAccount_SET"(varSystemLoginSession, null, null, null, null, null, varInstitutionBranchID, varBaseCurrencyID, 166000000000003, '779207704', 'PT QDC Technologies', 62000000000001, 124000000000001);</v>
      </c>
    </row>
    <row r="22" spans="2:14" x14ac:dyDescent="0.2">
      <c r="B22" s="31">
        <v>124000000000001</v>
      </c>
      <c r="C22" s="19"/>
      <c r="D22" s="17" t="str">
        <f>IF(EXACT($B22, ""), "", IF((FLOOR($B22/1000000000000, 1) = 124), VLOOKUP($B22, '[4]DataLookUp - InstitutionBranch'!$B$4:$C$2000, 2, FALSE), IF((FLOOR($B22/1000000000000, 1) = 25), VLOOKUP($B22, [3]DataLookUp!$B$4:$D$2000, 2, FALSE), "xx")))</f>
        <v>PT. QDC Technologies</v>
      </c>
      <c r="E22" s="1" t="s">
        <v>352</v>
      </c>
      <c r="F22" s="58">
        <f ca="1">VLOOKUP($E22, OFFSET([1]MAIN!$B$2, 0, 0, 100, 6), 5, FALSE)</f>
        <v>166000000000003</v>
      </c>
      <c r="G22" s="25" t="s">
        <v>285</v>
      </c>
      <c r="H22" s="1" t="s">
        <v>209</v>
      </c>
      <c r="I22" s="25" t="s">
        <v>366</v>
      </c>
      <c r="M22" s="38">
        <f t="shared" ca="1" si="1"/>
        <v>167000000000019</v>
      </c>
      <c r="N22" s="6" t="str">
        <f t="shared" ca="1" si="0"/>
        <v>PERFORM "SchData-OLTP-Master"."Func_TblBankAccount_SET"(varSystemLoginSession, null, null, null, null, null, varInstitutionBranchID, varBaseCurrencyID, 166000000000003, '779207715', 'PT QDC Technologies', 62000000000001, 124000000000001);</v>
      </c>
    </row>
    <row r="23" spans="2:14" x14ac:dyDescent="0.2">
      <c r="B23" s="31">
        <v>124000000000001</v>
      </c>
      <c r="C23" s="19"/>
      <c r="D23" s="17" t="str">
        <f>IF(EXACT($B23, ""), "", IF((FLOOR($B23/1000000000000, 1) = 124), VLOOKUP($B23, '[4]DataLookUp - InstitutionBranch'!$B$4:$C$2000, 2, FALSE), IF((FLOOR($B23/1000000000000, 1) = 25), VLOOKUP($B23, [3]DataLookUp!$B$4:$D$2000, 2, FALSE), "xx")))</f>
        <v>PT. QDC Technologies</v>
      </c>
      <c r="E23" s="1" t="s">
        <v>352</v>
      </c>
      <c r="F23" s="58">
        <f ca="1">VLOOKUP($E23, OFFSET([1]MAIN!$B$2, 0, 0, 100, 6), 5, FALSE)</f>
        <v>166000000000003</v>
      </c>
      <c r="G23" s="25" t="s">
        <v>279</v>
      </c>
      <c r="H23" s="1" t="s">
        <v>209</v>
      </c>
      <c r="I23" s="25" t="s">
        <v>366</v>
      </c>
      <c r="M23" s="38">
        <f t="shared" ca="1" si="1"/>
        <v>167000000000020</v>
      </c>
      <c r="N23" s="6" t="str">
        <f t="shared" ca="1" si="0"/>
        <v>PERFORM "SchData-OLTP-Master"."Func_TblBankAccount_SET"(varSystemLoginSession, null, null, null, null, null, varInstitutionBranchID, varBaseCurrencyID, 166000000000003, '8995885888', 'PT QDC Technologies', 62000000000001, 124000000000001);</v>
      </c>
    </row>
    <row r="24" spans="2:14" x14ac:dyDescent="0.2">
      <c r="B24" s="31">
        <v>124000000000001</v>
      </c>
      <c r="C24" s="19"/>
      <c r="D24" s="17" t="str">
        <f>IF(EXACT($B24, ""), "", IF((FLOOR($B24/1000000000000, 1) = 124), VLOOKUP($B24, '[4]DataLookUp - InstitutionBranch'!$B$4:$C$2000, 2, FALSE), IF((FLOOR($B24/1000000000000, 1) = 25), VLOOKUP($B24, [3]DataLookUp!$B$4:$D$2000, 2, FALSE), "xx")))</f>
        <v>PT. QDC Technologies</v>
      </c>
      <c r="E24" s="1" t="s">
        <v>352</v>
      </c>
      <c r="F24" s="58">
        <f ca="1">VLOOKUP($E24, OFFSET([1]MAIN!$B$2, 0, 0, 100, 6), 5, FALSE)</f>
        <v>166000000000003</v>
      </c>
      <c r="G24" s="25" t="s">
        <v>300</v>
      </c>
      <c r="H24" s="1" t="s">
        <v>209</v>
      </c>
      <c r="I24" s="25" t="s">
        <v>366</v>
      </c>
      <c r="M24" s="38">
        <f t="shared" ca="1" si="1"/>
        <v>167000000000021</v>
      </c>
      <c r="N24" s="6" t="str">
        <f t="shared" ca="1" si="0"/>
        <v>PERFORM "SchData-OLTP-Master"."Func_TblBankAccount_SET"(varSystemLoginSession, null, null, null, null, null, varInstitutionBranchID, varBaseCurrencyID, 166000000000003, '907670396', 'PT QDC Technologies', 62000000000001, 124000000000001);</v>
      </c>
    </row>
    <row r="25" spans="2:14" x14ac:dyDescent="0.2">
      <c r="B25" s="31">
        <v>124000000000001</v>
      </c>
      <c r="C25" s="19"/>
      <c r="D25" s="17" t="str">
        <f>IF(EXACT($B25, ""), "", IF((FLOOR($B25/1000000000000, 1) = 124), VLOOKUP($B25, '[4]DataLookUp - InstitutionBranch'!$B$4:$C$2000, 2, FALSE), IF((FLOOR($B25/1000000000000, 1) = 25), VLOOKUP($B25, [3]DataLookUp!$B$4:$D$2000, 2, FALSE), "xx")))</f>
        <v>PT. QDC Technologies</v>
      </c>
      <c r="E25" s="1" t="s">
        <v>354</v>
      </c>
      <c r="F25" s="58">
        <f ca="1">VLOOKUP($E25, OFFSET([1]MAIN!$B$2, 0, 0, 100, 6), 5, FALSE)</f>
        <v>166000000000011</v>
      </c>
      <c r="G25" s="25" t="s">
        <v>325</v>
      </c>
      <c r="H25" s="1" t="s">
        <v>209</v>
      </c>
      <c r="I25" s="25" t="s">
        <v>366</v>
      </c>
      <c r="M25" s="38">
        <f t="shared" ca="1" si="1"/>
        <v>167000000000022</v>
      </c>
      <c r="N25" s="6" t="str">
        <f t="shared" ca="1" si="0"/>
        <v>PERFORM "SchData-OLTP-Master"."Func_TblBankAccount_SET"(varSystemLoginSession, null, null, null, null, null, varInstitutionBranchID, varBaseCurrencyID, 166000000000011, '020800017913', 'PT QDC Technologies', 62000000000001, 124000000000001);</v>
      </c>
    </row>
    <row r="26" spans="2:14" x14ac:dyDescent="0.2">
      <c r="B26" s="31">
        <v>124000000000001</v>
      </c>
      <c r="C26" s="19"/>
      <c r="D26" s="17" t="str">
        <f>IF(EXACT($B26, ""), "", IF((FLOOR($B26/1000000000000, 1) = 124), VLOOKUP($B26, '[4]DataLookUp - InstitutionBranch'!$B$4:$C$2000, 2, FALSE), IF((FLOOR($B26/1000000000000, 1) = 25), VLOOKUP($B26, [3]DataLookUp!$B$4:$D$2000, 2, FALSE), "xx")))</f>
        <v>PT. QDC Technologies</v>
      </c>
      <c r="E26" s="1" t="s">
        <v>350</v>
      </c>
      <c r="F26" s="58">
        <f ca="1">VLOOKUP($E26, OFFSET([1]MAIN!$B$2, 0, 0, 100, 6), 5, FALSE)</f>
        <v>166000000000019</v>
      </c>
      <c r="G26" s="25" t="s">
        <v>264</v>
      </c>
      <c r="H26" s="1" t="s">
        <v>209</v>
      </c>
      <c r="I26" s="25" t="s">
        <v>366</v>
      </c>
      <c r="M26" s="38">
        <f t="shared" ca="1" si="1"/>
        <v>167000000000023</v>
      </c>
      <c r="N26" s="6" t="str">
        <f t="shared" ca="1" si="0"/>
        <v>PERFORM "SchData-OLTP-Master"."Func_TblBankAccount_SET"(varSystemLoginSession, null, null, null, null, null, varInstitutionBranchID, varBaseCurrencyID, 166000000000019, '0080107000764', 'PT QDC Technologies', 62000000000001, 124000000000001);</v>
      </c>
    </row>
    <row r="27" spans="2:14" x14ac:dyDescent="0.2">
      <c r="B27" s="31">
        <v>124000000000001</v>
      </c>
      <c r="C27" s="19"/>
      <c r="D27" s="17" t="str">
        <f>IF(EXACT($B27, ""), "", IF((FLOOR($B27/1000000000000, 1) = 124), VLOOKUP($B27, '[4]DataLookUp - InstitutionBranch'!$B$4:$C$2000, 2, FALSE), IF((FLOOR($B27/1000000000000, 1) = 25), VLOOKUP($B27, [3]DataLookUp!$B$4:$D$2000, 2, FALSE), "xx")))</f>
        <v>PT. QDC Technologies</v>
      </c>
      <c r="E27" s="1" t="s">
        <v>359</v>
      </c>
      <c r="F27" s="58">
        <f ca="1">VLOOKUP($E27, OFFSET([1]MAIN!$B$2, 0, 0, 100, 6), 5, FALSE)</f>
        <v>166000000000020</v>
      </c>
      <c r="G27" s="25" t="s">
        <v>311</v>
      </c>
      <c r="H27" s="1" t="s">
        <v>209</v>
      </c>
      <c r="I27" s="25" t="s">
        <v>366</v>
      </c>
      <c r="M27" s="38">
        <f t="shared" ca="1" si="1"/>
        <v>167000000000024</v>
      </c>
      <c r="N27" s="6" t="str">
        <f t="shared" ca="1" si="0"/>
        <v>PERFORM "SchData-OLTP-Master"."Func_TblBankAccount_SET"(varSystemLoginSession, null, null, null, null, null, varInstitutionBranchID, varBaseCurrencyID, 166000000000020, '8880888880888', 'PT QDC Technologies', 62000000000001, 124000000000001);</v>
      </c>
    </row>
    <row r="28" spans="2:14" x14ac:dyDescent="0.2">
      <c r="B28" s="31">
        <v>124000000000001</v>
      </c>
      <c r="C28" s="19"/>
      <c r="D28" s="17" t="str">
        <f>IF(EXACT($B28, ""), "", IF((FLOOR($B28/1000000000000, 1) = 124), VLOOKUP($B28, '[4]DataLookUp - InstitutionBranch'!$B$4:$C$2000, 2, FALSE), IF((FLOOR($B28/1000000000000, 1) = 25), VLOOKUP($B28, [3]DataLookUp!$B$4:$D$2000, 2, FALSE), "xx")))</f>
        <v>PT. QDC Technologies</v>
      </c>
      <c r="E28" s="1" t="s">
        <v>349</v>
      </c>
      <c r="F28" s="58">
        <f ca="1">VLOOKUP($E28, OFFSET([1]MAIN!$B$2, 0, 0, 100, 6), 5, FALSE)</f>
        <v>166000000000021</v>
      </c>
      <c r="G28" s="25" t="s">
        <v>337</v>
      </c>
      <c r="H28" s="1" t="s">
        <v>209</v>
      </c>
      <c r="I28" s="25" t="s">
        <v>366</v>
      </c>
      <c r="M28" s="38">
        <f t="shared" ca="1" si="1"/>
        <v>167000000000025</v>
      </c>
      <c r="N28" s="6" t="str">
        <f t="shared" ca="1" si="0"/>
        <v>PERFORM "SchData-OLTP-Master"."Func_TblBankAccount_SET"(varSystemLoginSession, null, null, null, null, null, varInstitutionBranchID, varBaseCurrencyID, 166000000000021, '035101616', 'PT QDC Technologies', 62000000000001, 124000000000001);</v>
      </c>
    </row>
    <row r="29" spans="2:14" x14ac:dyDescent="0.2">
      <c r="B29" s="31">
        <v>124000000000001</v>
      </c>
      <c r="C29" s="19"/>
      <c r="D29" s="17" t="str">
        <f>IF(EXACT($B29, ""), "", IF((FLOOR($B29/1000000000000, 1) = 124), VLOOKUP($B29, '[4]DataLookUp - InstitutionBranch'!$B$4:$C$2000, 2, FALSE), IF((FLOOR($B29/1000000000000, 1) = 25), VLOOKUP($B29, [3]DataLookUp!$B$4:$D$2000, 2, FALSE), "xx")))</f>
        <v>PT. QDC Technologies</v>
      </c>
      <c r="E29" s="1" t="s">
        <v>349</v>
      </c>
      <c r="F29" s="58">
        <f ca="1">VLOOKUP($E29, OFFSET([1]MAIN!$B$2, 0, 0, 100, 6), 5, FALSE)</f>
        <v>166000000000021</v>
      </c>
      <c r="G29" s="25" t="s">
        <v>291</v>
      </c>
      <c r="H29" s="1" t="s">
        <v>209</v>
      </c>
      <c r="I29" s="25" t="s">
        <v>366</v>
      </c>
      <c r="M29" s="38">
        <f t="shared" ca="1" si="1"/>
        <v>167000000000026</v>
      </c>
      <c r="N29" s="6" t="str">
        <f t="shared" ca="1" si="0"/>
        <v>PERFORM "SchData-OLTP-Master"."Func_TblBankAccount_SET"(varSystemLoginSession, null, null, null, null, null, varInstitutionBranchID, varBaseCurrencyID, 166000000000021, '1221001121', 'PT QDC Technologies', 62000000000001, 124000000000001);</v>
      </c>
    </row>
    <row r="30" spans="2:14" x14ac:dyDescent="0.2">
      <c r="B30" s="31">
        <v>124000000000001</v>
      </c>
      <c r="C30" s="19"/>
      <c r="D30" s="17" t="str">
        <f>IF(EXACT($B30, ""), "", IF((FLOOR($B30/1000000000000, 1) = 124), VLOOKUP($B30, '[4]DataLookUp - InstitutionBranch'!$B$4:$C$2000, 2, FALSE), IF((FLOOR($B30/1000000000000, 1) = 25), VLOOKUP($B30, [3]DataLookUp!$B$4:$D$2000, 2, FALSE), "xx")))</f>
        <v>PT. QDC Technologies</v>
      </c>
      <c r="E30" s="1" t="s">
        <v>349</v>
      </c>
      <c r="F30" s="58">
        <f ca="1">VLOOKUP($E30, OFFSET([1]MAIN!$B$2, 0, 0, 100, 6), 5, FALSE)</f>
        <v>166000000000021</v>
      </c>
      <c r="G30" s="25" t="s">
        <v>276</v>
      </c>
      <c r="H30" s="1" t="s">
        <v>209</v>
      </c>
      <c r="I30" s="25" t="s">
        <v>366</v>
      </c>
      <c r="M30" s="38">
        <f t="shared" ca="1" si="1"/>
        <v>167000000000027</v>
      </c>
      <c r="N30" s="6" t="str">
        <f t="shared" ca="1" si="0"/>
        <v>PERFORM "SchData-OLTP-Master"."Func_TblBankAccount_SET"(varSystemLoginSession, null, null, null, null, null, varInstitutionBranchID, varBaseCurrencyID, 166000000000021, '1231001251', 'PT QDC Technologies', 62000000000001, 124000000000001);</v>
      </c>
    </row>
    <row r="31" spans="2:14" x14ac:dyDescent="0.2">
      <c r="B31" s="31">
        <v>124000000000001</v>
      </c>
      <c r="C31" s="19"/>
      <c r="D31" s="17" t="str">
        <f>IF(EXACT($B31, ""), "", IF((FLOOR($B31/1000000000000, 1) = 124), VLOOKUP($B31, '[4]DataLookUp - InstitutionBranch'!$B$4:$C$2000, 2, FALSE), IF((FLOOR($B31/1000000000000, 1) = 25), VLOOKUP($B31, [3]DataLookUp!$B$4:$D$2000, 2, FALSE), "xx")))</f>
        <v>PT. QDC Technologies</v>
      </c>
      <c r="E31" s="1" t="s">
        <v>355</v>
      </c>
      <c r="F31" s="58">
        <f ca="1">VLOOKUP($E31, OFFSET([1]MAIN!$B$2, 0, 0, 100, 6), 5, FALSE)</f>
        <v>166000000000022</v>
      </c>
      <c r="G31" s="25" t="s">
        <v>254</v>
      </c>
      <c r="H31" s="1" t="s">
        <v>209</v>
      </c>
      <c r="I31" s="25" t="s">
        <v>366</v>
      </c>
      <c r="M31" s="38">
        <f t="shared" ca="1" si="1"/>
        <v>167000000000028</v>
      </c>
      <c r="N31" s="6" t="str">
        <f t="shared" ca="1" si="0"/>
        <v>PERFORM "SchData-OLTP-Master"."Func_TblBankAccount_SET"(varSystemLoginSession, null, null, null, null, null, varInstitutionBranchID, varBaseCurrencyID, 166000000000022, '0400007001223', 'PT QDC Technologies', 62000000000001, 124000000000001);</v>
      </c>
    </row>
    <row r="32" spans="2:14" x14ac:dyDescent="0.2">
      <c r="B32" s="31">
        <v>124000000000001</v>
      </c>
      <c r="C32" s="19"/>
      <c r="D32" s="17" t="str">
        <f>IF(EXACT($B32, ""), "", IF((FLOOR($B32/1000000000000, 1) = 124), VLOOKUP($B32, '[4]DataLookUp - InstitutionBranch'!$B$4:$C$2000, 2, FALSE), IF((FLOOR($B32/1000000000000, 1) = 25), VLOOKUP($B32, [3]DataLookUp!$B$4:$D$2000, 2, FALSE), "xx")))</f>
        <v>PT. QDC Technologies</v>
      </c>
      <c r="E32" s="1" t="s">
        <v>163</v>
      </c>
      <c r="F32" s="58">
        <f ca="1">VLOOKUP($E32, OFFSET([1]MAIN!$B$2, 0, 0, 100, 6), 5, FALSE)</f>
        <v>166000000000007</v>
      </c>
      <c r="G32" s="25" t="s">
        <v>221</v>
      </c>
      <c r="H32" s="1" t="s">
        <v>209</v>
      </c>
      <c r="I32" s="25" t="s">
        <v>365</v>
      </c>
      <c r="M32" s="38">
        <f t="shared" ca="1" si="1"/>
        <v>167000000000029</v>
      </c>
      <c r="N32" s="6" t="str">
        <f t="shared" ca="1" si="0"/>
        <v>PERFORM "SchData-OLTP-Master"."Func_TblBankAccount_SET"(varSystemLoginSession, null, null, null, null, null, varInstitutionBranchID, varBaseCurrencyID, 166000000000007, '0701393414', 'PT QDC Technologies', 62000000000002, 124000000000001);</v>
      </c>
    </row>
    <row r="33" spans="2:14" x14ac:dyDescent="0.2">
      <c r="B33" s="31">
        <v>124000000000001</v>
      </c>
      <c r="C33" s="19"/>
      <c r="D33" s="17" t="str">
        <f>IF(EXACT($B33, ""), "", IF((FLOOR($B33/1000000000000, 1) = 124), VLOOKUP($B33, '[4]DataLookUp - InstitutionBranch'!$B$4:$C$2000, 2, FALSE), IF((FLOOR($B33/1000000000000, 1) = 25), VLOOKUP($B33, [3]DataLookUp!$B$4:$D$2000, 2, FALSE), "xx")))</f>
        <v>PT. QDC Technologies</v>
      </c>
      <c r="E33" s="1" t="s">
        <v>163</v>
      </c>
      <c r="F33" s="58">
        <f ca="1">VLOOKUP($E33, OFFSET([1]MAIN!$B$2, 0, 0, 100, 6), 5, FALSE)</f>
        <v>166000000000007</v>
      </c>
      <c r="G33" s="25" t="s">
        <v>228</v>
      </c>
      <c r="H33" s="1" t="s">
        <v>209</v>
      </c>
      <c r="I33" s="25" t="s">
        <v>365</v>
      </c>
      <c r="M33" s="38">
        <f t="shared" ca="1" si="1"/>
        <v>167000000000030</v>
      </c>
      <c r="N33" s="6" t="str">
        <f t="shared" ca="1" si="0"/>
        <v>PERFORM "SchData-OLTP-Master"."Func_TblBankAccount_SET"(varSystemLoginSession, null, null, null, null, null, varInstitutionBranchID, varBaseCurrencyID, 166000000000007, '0701393481', 'PT QDC Technologies', 62000000000002, 124000000000001);</v>
      </c>
    </row>
    <row r="34" spans="2:14" x14ac:dyDescent="0.2">
      <c r="B34" s="31">
        <v>124000000000001</v>
      </c>
      <c r="C34" s="19"/>
      <c r="D34" s="17" t="str">
        <f>IF(EXACT($B34, ""), "", IF((FLOOR($B34/1000000000000, 1) = 124), VLOOKUP($B34, '[4]DataLookUp - InstitutionBranch'!$B$4:$C$2000, 2, FALSE), IF((FLOOR($B34/1000000000000, 1) = 25), VLOOKUP($B34, [3]DataLookUp!$B$4:$D$2000, 2, FALSE), "xx")))</f>
        <v>PT. QDC Technologies</v>
      </c>
      <c r="E34" s="1" t="s">
        <v>163</v>
      </c>
      <c r="F34" s="58">
        <f ca="1">VLOOKUP($E34, OFFSET([1]MAIN!$B$2, 0, 0, 100, 6), 5, FALSE)</f>
        <v>166000000000007</v>
      </c>
      <c r="G34" s="25" t="s">
        <v>232</v>
      </c>
      <c r="H34" s="1" t="s">
        <v>209</v>
      </c>
      <c r="I34" s="25" t="s">
        <v>366</v>
      </c>
      <c r="M34" s="38">
        <f t="shared" ca="1" si="1"/>
        <v>167000000000031</v>
      </c>
      <c r="N34" s="6" t="str">
        <f t="shared" ca="1" si="0"/>
        <v>PERFORM "SchData-OLTP-Master"."Func_TblBankAccount_SET"(varSystemLoginSession, null, null, null, null, null, varInstitutionBranchID, varBaseCurrencyID, 166000000000007, '0701393570', 'PT QDC Technologies', 62000000000001, 124000000000001);</v>
      </c>
    </row>
    <row r="35" spans="2:14" x14ac:dyDescent="0.2">
      <c r="B35" s="31">
        <v>124000000000001</v>
      </c>
      <c r="C35" s="19"/>
      <c r="D35" s="17" t="str">
        <f>IF(EXACT($B35, ""), "", IF((FLOOR($B35/1000000000000, 1) = 124), VLOOKUP($B35, '[4]DataLookUp - InstitutionBranch'!$B$4:$C$2000, 2, FALSE), IF((FLOOR($B35/1000000000000, 1) = 25), VLOOKUP($B35, [3]DataLookUp!$B$4:$D$2000, 2, FALSE), "xx")))</f>
        <v>PT. QDC Technologies</v>
      </c>
      <c r="E35" s="1" t="s">
        <v>163</v>
      </c>
      <c r="F35" s="58">
        <f ca="1">VLOOKUP($E35, OFFSET([1]MAIN!$B$2, 0, 0, 100, 6), 5, FALSE)</f>
        <v>166000000000007</v>
      </c>
      <c r="G35" s="25" t="s">
        <v>231</v>
      </c>
      <c r="H35" s="1" t="s">
        <v>209</v>
      </c>
      <c r="I35" s="25" t="s">
        <v>366</v>
      </c>
      <c r="M35" s="38">
        <f t="shared" ca="1" si="1"/>
        <v>167000000000032</v>
      </c>
      <c r="N35" s="6" t="str">
        <f t="shared" ca="1" si="0"/>
        <v>PERFORM "SchData-OLTP-Master"."Func_TblBankAccount_SET"(varSystemLoginSession, null, null, null, null, null, varInstitutionBranchID, varBaseCurrencyID, 166000000000007, '0701393643', 'PT QDC Technologies', 62000000000001, 124000000000001);</v>
      </c>
    </row>
    <row r="36" spans="2:14" x14ac:dyDescent="0.2">
      <c r="B36" s="31">
        <v>124000000000001</v>
      </c>
      <c r="C36" s="19"/>
      <c r="D36" s="17" t="str">
        <f>IF(EXACT($B36, ""), "", IF((FLOOR($B36/1000000000000, 1) = 124), VLOOKUP($B36, '[4]DataLookUp - InstitutionBranch'!$B$4:$C$2000, 2, FALSE), IF((FLOOR($B36/1000000000000, 1) = 25), VLOOKUP($B36, [3]DataLookUp!$B$4:$D$2000, 2, FALSE), "xx")))</f>
        <v>PT. QDC Technologies</v>
      </c>
      <c r="E36" s="1" t="s">
        <v>199</v>
      </c>
      <c r="F36" s="58">
        <f ca="1">VLOOKUP($E36, OFFSET([1]MAIN!$B$2, 0, 0, 100, 6), 5, FALSE)</f>
        <v>166000000000002</v>
      </c>
      <c r="G36" s="25" t="s">
        <v>269</v>
      </c>
      <c r="H36" s="1" t="s">
        <v>209</v>
      </c>
      <c r="I36" s="25" t="s">
        <v>366</v>
      </c>
      <c r="M36" s="38">
        <f t="shared" ca="1" si="1"/>
        <v>167000000000033</v>
      </c>
      <c r="N36" s="6" t="str">
        <f t="shared" ref="N36:N59" ca="1" si="2">IF(EXACT(B36, ""), "", CONCATENATE("PERFORM ""SchData-OLTP-Master"".""Func_TblBankAccount_SET""(varSystemLoginSession, null, null, null, null, null, varInstitutionBranchID, varBaseCurrencyID, ", F36, ", '", G36, "', '", H36, "', ", I36, ", ", B36, ");"))</f>
        <v>PERFORM "SchData-OLTP-Master"."Func_TblBankAccount_SET"(varSystemLoginSession, null, null, null, null, null, varInstitutionBranchID, varBaseCurrencyID, 166000000000002, '005301004453305', 'PT QDC Technologies', 62000000000001, 124000000000001);</v>
      </c>
    </row>
    <row r="37" spans="2:14" x14ac:dyDescent="0.2">
      <c r="B37" s="31">
        <v>124000000000001</v>
      </c>
      <c r="C37" s="19"/>
      <c r="D37" s="17" t="str">
        <f>IF(EXACT($B37, ""), "", IF((FLOOR($B37/1000000000000, 1) = 124), VLOOKUP($B37, '[4]DataLookUp - InstitutionBranch'!$B$4:$C$2000, 2, FALSE), IF((FLOOR($B37/1000000000000, 1) = 25), VLOOKUP($B37, [3]DataLookUp!$B$4:$D$2000, 2, FALSE), "xx")))</f>
        <v>PT. QDC Technologies</v>
      </c>
      <c r="E37" s="1" t="s">
        <v>199</v>
      </c>
      <c r="F37" s="58">
        <f ca="1">VLOOKUP($E37, OFFSET([1]MAIN!$B$2, 0, 0, 100, 6), 5, FALSE)</f>
        <v>166000000000002</v>
      </c>
      <c r="G37" s="25" t="s">
        <v>238</v>
      </c>
      <c r="H37" s="1" t="s">
        <v>209</v>
      </c>
      <c r="I37" s="25" t="s">
        <v>366</v>
      </c>
      <c r="M37" s="38">
        <f t="shared" ca="1" si="1"/>
        <v>167000000000034</v>
      </c>
      <c r="N37" s="6" t="str">
        <f t="shared" ca="1" si="2"/>
        <v>PERFORM "SchData-OLTP-Master"."Func_TblBankAccount_SET"(varSystemLoginSession, null, null, null, null, null, varInstitutionBranchID, varBaseCurrencyID, 166000000000002, '019301001230300', 'PT QDC Technologies', 62000000000001, 124000000000001);</v>
      </c>
    </row>
    <row r="38" spans="2:14" x14ac:dyDescent="0.2">
      <c r="B38" s="31">
        <v>124000000000001</v>
      </c>
      <c r="C38" s="19"/>
      <c r="D38" s="17" t="str">
        <f>IF(EXACT($B38, ""), "", IF((FLOOR($B38/1000000000000, 1) = 124), VLOOKUP($B38, '[4]DataLookUp - InstitutionBranch'!$B$4:$C$2000, 2, FALSE), IF((FLOOR($B38/1000000000000, 1) = 25), VLOOKUP($B38, [3]DataLookUp!$B$4:$D$2000, 2, FALSE), "xx")))</f>
        <v>PT. QDC Technologies</v>
      </c>
      <c r="E38" s="1" t="s">
        <v>199</v>
      </c>
      <c r="F38" s="58">
        <f ca="1">VLOOKUP($E38, OFFSET([1]MAIN!$B$2, 0, 0, 100, 6), 5, FALSE)</f>
        <v>166000000000002</v>
      </c>
      <c r="G38" s="25" t="s">
        <v>270</v>
      </c>
      <c r="H38" s="1" t="s">
        <v>209</v>
      </c>
      <c r="I38" s="25" t="s">
        <v>366</v>
      </c>
      <c r="M38" s="38">
        <f t="shared" ca="1" si="1"/>
        <v>167000000000035</v>
      </c>
      <c r="N38" s="6" t="str">
        <f t="shared" ca="1" si="2"/>
        <v>PERFORM "SchData-OLTP-Master"."Func_TblBankAccount_SET"(varSystemLoginSession, null, null, null, null, null, varInstitutionBranchID, varBaseCurrencyID, 166000000000002, '019301003214300', 'PT QDC Technologies', 62000000000001, 124000000000001);</v>
      </c>
    </row>
    <row r="39" spans="2:14" x14ac:dyDescent="0.2">
      <c r="B39" s="31">
        <v>124000000000001</v>
      </c>
      <c r="C39" s="19"/>
      <c r="D39" s="17" t="str">
        <f>IF(EXACT($B39, ""), "", IF((FLOOR($B39/1000000000000, 1) = 124), VLOOKUP($B39, '[4]DataLookUp - InstitutionBranch'!$B$4:$C$2000, 2, FALSE), IF((FLOOR($B39/1000000000000, 1) = 25), VLOOKUP($B39, [3]DataLookUp!$B$4:$D$2000, 2, FALSE), "xx")))</f>
        <v>PT. QDC Technologies</v>
      </c>
      <c r="E39" s="1" t="s">
        <v>199</v>
      </c>
      <c r="F39" s="58">
        <f ca="1">VLOOKUP($E39, OFFSET([1]MAIN!$B$2, 0, 0, 100, 6), 5, FALSE)</f>
        <v>166000000000002</v>
      </c>
      <c r="G39" s="25" t="s">
        <v>309</v>
      </c>
      <c r="H39" s="1" t="s">
        <v>209</v>
      </c>
      <c r="I39" s="25" t="s">
        <v>366</v>
      </c>
      <c r="M39" s="38">
        <f t="shared" ca="1" si="1"/>
        <v>167000000000036</v>
      </c>
      <c r="N39" s="6" t="str">
        <f t="shared" ca="1" si="2"/>
        <v>PERFORM "SchData-OLTP-Master"."Func_TblBankAccount_SET"(varSystemLoginSession, null, null, null, null, null, varInstitutionBranchID, varBaseCurrencyID, 166000000000002, '019301003667309', 'PT QDC Technologies', 62000000000001, 124000000000001);</v>
      </c>
    </row>
    <row r="40" spans="2:14" x14ac:dyDescent="0.2">
      <c r="B40" s="31">
        <v>124000000000001</v>
      </c>
      <c r="C40" s="19"/>
      <c r="D40" s="17" t="str">
        <f>IF(EXACT($B40, ""), "", IF((FLOOR($B40/1000000000000, 1) = 124), VLOOKUP($B40, '[4]DataLookUp - InstitutionBranch'!$B$4:$C$2000, 2, FALSE), IF((FLOOR($B40/1000000000000, 1) = 25), VLOOKUP($B40, [3]DataLookUp!$B$4:$D$2000, 2, FALSE), "xx")))</f>
        <v>PT. QDC Technologies</v>
      </c>
      <c r="E40" s="1" t="s">
        <v>199</v>
      </c>
      <c r="F40" s="58">
        <f ca="1">VLOOKUP($E40, OFFSET([1]MAIN!$B$2, 0, 0, 100, 6), 5, FALSE)</f>
        <v>166000000000002</v>
      </c>
      <c r="G40" s="25" t="s">
        <v>314</v>
      </c>
      <c r="H40" s="1" t="s">
        <v>209</v>
      </c>
      <c r="I40" s="25" t="s">
        <v>366</v>
      </c>
      <c r="M40" s="38">
        <f t="shared" ca="1" si="1"/>
        <v>167000000000037</v>
      </c>
      <c r="N40" s="6" t="str">
        <f t="shared" ca="1" si="2"/>
        <v>PERFORM "SchData-OLTP-Master"."Func_TblBankAccount_SET"(varSystemLoginSession, null, null, null, null, null, varInstitutionBranchID, varBaseCurrencyID, 166000000000002, '019301003718304', 'PT QDC Technologies', 62000000000001, 124000000000001);</v>
      </c>
    </row>
    <row r="41" spans="2:14" x14ac:dyDescent="0.2">
      <c r="B41" s="31">
        <v>124000000000001</v>
      </c>
      <c r="C41" s="19"/>
      <c r="D41" s="17" t="str">
        <f>IF(EXACT($B41, ""), "", IF((FLOOR($B41/1000000000000, 1) = 124), VLOOKUP($B41, '[4]DataLookUp - InstitutionBranch'!$B$4:$C$2000, 2, FALSE), IF((FLOOR($B41/1000000000000, 1) = 25), VLOOKUP($B41, [3]DataLookUp!$B$4:$D$2000, 2, FALSE), "xx")))</f>
        <v>PT. QDC Technologies</v>
      </c>
      <c r="E41" s="1" t="s">
        <v>199</v>
      </c>
      <c r="F41" s="58">
        <f ca="1">VLOOKUP($E41, OFFSET([1]MAIN!$B$2, 0, 0, 100, 6), 5, FALSE)</f>
        <v>166000000000002</v>
      </c>
      <c r="G41" s="25" t="s">
        <v>315</v>
      </c>
      <c r="H41" s="1" t="s">
        <v>209</v>
      </c>
      <c r="I41" s="25" t="s">
        <v>366</v>
      </c>
      <c r="M41" s="38">
        <f t="shared" ca="1" si="1"/>
        <v>167000000000038</v>
      </c>
      <c r="N41" s="6" t="str">
        <f t="shared" ca="1" si="2"/>
        <v>PERFORM "SchData-OLTP-Master"."Func_TblBankAccount_SET"(varSystemLoginSession, null, null, null, null, null, varInstitutionBranchID, varBaseCurrencyID, 166000000000002, '019301003719300', 'PT QDC Technologies', 62000000000001, 124000000000001);</v>
      </c>
    </row>
    <row r="42" spans="2:14" x14ac:dyDescent="0.2">
      <c r="B42" s="31">
        <v>124000000000001</v>
      </c>
      <c r="C42" s="19"/>
      <c r="D42" s="17" t="str">
        <f>IF(EXACT($B42, ""), "", IF((FLOOR($B42/1000000000000, 1) = 124), VLOOKUP($B42, '[4]DataLookUp - InstitutionBranch'!$B$4:$C$2000, 2, FALSE), IF((FLOOR($B42/1000000000000, 1) = 25), VLOOKUP($B42, [3]DataLookUp!$B$4:$D$2000, 2, FALSE), "xx")))</f>
        <v>PT. QDC Technologies</v>
      </c>
      <c r="E42" s="1" t="s">
        <v>199</v>
      </c>
      <c r="F42" s="58">
        <f ca="1">VLOOKUP($E42, OFFSET([1]MAIN!$B$2, 0, 0, 100, 6), 5, FALSE)</f>
        <v>166000000000002</v>
      </c>
      <c r="G42" s="25" t="s">
        <v>316</v>
      </c>
      <c r="H42" s="1" t="s">
        <v>209</v>
      </c>
      <c r="I42" s="25" t="s">
        <v>366</v>
      </c>
      <c r="M42" s="38">
        <f t="shared" ca="1" si="1"/>
        <v>167000000000039</v>
      </c>
      <c r="N42" s="6" t="str">
        <f t="shared" ca="1" si="2"/>
        <v>PERFORM "SchData-OLTP-Master"."Func_TblBankAccount_SET"(varSystemLoginSession, null, null, null, null, null, varInstitutionBranchID, varBaseCurrencyID, 166000000000002, '019301003720301', 'PT QDC Technologies', 62000000000001, 124000000000001);</v>
      </c>
    </row>
    <row r="43" spans="2:14" x14ac:dyDescent="0.2">
      <c r="B43" s="31">
        <v>124000000000001</v>
      </c>
      <c r="C43" s="19"/>
      <c r="D43" s="17" t="str">
        <f>IF(EXACT($B43, ""), "", IF((FLOOR($B43/1000000000000, 1) = 124), VLOOKUP($B43, '[4]DataLookUp - InstitutionBranch'!$B$4:$C$2000, 2, FALSE), IF((FLOOR($B43/1000000000000, 1) = 25), VLOOKUP($B43, [3]DataLookUp!$B$4:$D$2000, 2, FALSE), "xx")))</f>
        <v>PT. QDC Technologies</v>
      </c>
      <c r="E43" s="1" t="s">
        <v>199</v>
      </c>
      <c r="F43" s="58">
        <f ca="1">VLOOKUP($E43, OFFSET([1]MAIN!$B$2, 0, 0, 100, 6), 5, FALSE)</f>
        <v>166000000000002</v>
      </c>
      <c r="G43" s="25" t="s">
        <v>317</v>
      </c>
      <c r="H43" s="1" t="s">
        <v>209</v>
      </c>
      <c r="I43" s="25" t="s">
        <v>366</v>
      </c>
      <c r="M43" s="38">
        <f t="shared" ca="1" si="1"/>
        <v>167000000000040</v>
      </c>
      <c r="N43" s="6" t="str">
        <f t="shared" ca="1" si="2"/>
        <v>PERFORM "SchData-OLTP-Master"."Func_TblBankAccount_SET"(varSystemLoginSession, null, null, null, null, null, varInstitutionBranchID, varBaseCurrencyID, 166000000000002, '019301003881301', 'PT QDC Technologies', 62000000000001, 124000000000001);</v>
      </c>
    </row>
    <row r="44" spans="2:14" x14ac:dyDescent="0.2">
      <c r="B44" s="31">
        <v>124000000000001</v>
      </c>
      <c r="C44" s="19"/>
      <c r="D44" s="17" t="str">
        <f>IF(EXACT($B44, ""), "", IF((FLOOR($B44/1000000000000, 1) = 124), VLOOKUP($B44, '[4]DataLookUp - InstitutionBranch'!$B$4:$C$2000, 2, FALSE), IF((FLOOR($B44/1000000000000, 1) = 25), VLOOKUP($B44, [3]DataLookUp!$B$4:$D$2000, 2, FALSE), "xx")))</f>
        <v>PT. QDC Technologies</v>
      </c>
      <c r="E44" s="1" t="s">
        <v>199</v>
      </c>
      <c r="F44" s="58">
        <f ca="1">VLOOKUP($E44, OFFSET([1]MAIN!$B$2, 0, 0, 100, 6), 5, FALSE)</f>
        <v>166000000000002</v>
      </c>
      <c r="G44" s="25" t="s">
        <v>306</v>
      </c>
      <c r="H44" s="1" t="s">
        <v>209</v>
      </c>
      <c r="I44" s="25" t="s">
        <v>366</v>
      </c>
      <c r="M44" s="38">
        <f t="shared" ca="1" si="1"/>
        <v>167000000000041</v>
      </c>
      <c r="N44" s="6" t="str">
        <f t="shared" ca="1" si="2"/>
        <v>PERFORM "SchData-OLTP-Master"."Func_TblBankAccount_SET"(varSystemLoginSession, null, null, null, null, null, varInstitutionBranchID, varBaseCurrencyID, 166000000000002, '035901002067300', 'PT QDC Technologies', 62000000000001, 124000000000001);</v>
      </c>
    </row>
    <row r="45" spans="2:14" x14ac:dyDescent="0.2">
      <c r="B45" s="31">
        <v>124000000000001</v>
      </c>
      <c r="C45" s="19"/>
      <c r="D45" s="17" t="str">
        <f>IF(EXACT($B45, ""), "", IF((FLOOR($B45/1000000000000, 1) = 124), VLOOKUP($B45, '[4]DataLookUp - InstitutionBranch'!$B$4:$C$2000, 2, FALSE), IF((FLOOR($B45/1000000000000, 1) = 25), VLOOKUP($B45, [3]DataLookUp!$B$4:$D$2000, 2, FALSE), "xx")))</f>
        <v>PT. QDC Technologies</v>
      </c>
      <c r="E45" s="1" t="s">
        <v>199</v>
      </c>
      <c r="F45" s="58">
        <f ca="1">VLOOKUP($E45, OFFSET([1]MAIN!$B$2, 0, 0, 100, 6), 5, FALSE)</f>
        <v>166000000000002</v>
      </c>
      <c r="G45" s="25" t="s">
        <v>384</v>
      </c>
      <c r="H45" s="1" t="s">
        <v>209</v>
      </c>
      <c r="I45" s="25" t="s">
        <v>366</v>
      </c>
      <c r="M45" s="38">
        <f t="shared" ca="1" si="1"/>
        <v>167000000000042</v>
      </c>
      <c r="N45" s="6" t="str">
        <f t="shared" ca="1" si="2"/>
        <v>PERFORM "SchData-OLTP-Master"."Func_TblBankAccount_SET"(varSystemLoginSession, null, null, null, null, null, varInstitutionBranchID, varBaseCurrencyID, 166000000000002, '035901002951305', 'PT QDC Technologies', 62000000000001, 124000000000001);</v>
      </c>
    </row>
    <row r="46" spans="2:14" x14ac:dyDescent="0.2">
      <c r="B46" s="31">
        <v>124000000000001</v>
      </c>
      <c r="C46" s="19"/>
      <c r="D46" s="17" t="str">
        <f>IF(EXACT($B46, ""), "", IF((FLOOR($B46/1000000000000, 1) = 124), VLOOKUP($B46, '[4]DataLookUp - InstitutionBranch'!$B$4:$C$2000, 2, FALSE), IF((FLOOR($B46/1000000000000, 1) = 25), VLOOKUP($B46, [3]DataLookUp!$B$4:$D$2000, 2, FALSE), "xx")))</f>
        <v>PT. QDC Technologies</v>
      </c>
      <c r="E46" s="1" t="s">
        <v>199</v>
      </c>
      <c r="F46" s="58">
        <f ca="1">VLOOKUP($E46, OFFSET([1]MAIN!$B$2, 0, 0, 100, 6), 5, FALSE)</f>
        <v>166000000000002</v>
      </c>
      <c r="G46" s="25" t="s">
        <v>386</v>
      </c>
      <c r="H46" s="1" t="s">
        <v>209</v>
      </c>
      <c r="I46" s="25" t="s">
        <v>366</v>
      </c>
      <c r="M46" s="38">
        <f t="shared" ca="1" si="1"/>
        <v>167000000000043</v>
      </c>
      <c r="N46" s="6" t="str">
        <f t="shared" ca="1" si="2"/>
        <v>PERFORM "SchData-OLTP-Master"."Func_TblBankAccount_SET"(varSystemLoginSession, null, null, null, null, null, varInstitutionBranchID, varBaseCurrencyID, 166000000000002, '035901002958307', 'PT QDC Technologies', 62000000000001, 124000000000001);</v>
      </c>
    </row>
    <row r="47" spans="2:14" x14ac:dyDescent="0.2">
      <c r="B47" s="31">
        <v>124000000000001</v>
      </c>
      <c r="C47" s="19"/>
      <c r="D47" s="17" t="str">
        <f>IF(EXACT($B47, ""), "", IF((FLOOR($B47/1000000000000, 1) = 124), VLOOKUP($B47, '[4]DataLookUp - InstitutionBranch'!$B$4:$C$2000, 2, FALSE), IF((FLOOR($B47/1000000000000, 1) = 25), VLOOKUP($B47, [3]DataLookUp!$B$4:$D$2000, 2, FALSE), "xx")))</f>
        <v>PT. QDC Technologies</v>
      </c>
      <c r="E47" s="1" t="s">
        <v>199</v>
      </c>
      <c r="F47" s="58">
        <f ca="1">VLOOKUP($E47, OFFSET([1]MAIN!$B$2, 0, 0, 100, 6), 5, FALSE)</f>
        <v>166000000000002</v>
      </c>
      <c r="G47" s="25" t="s">
        <v>319</v>
      </c>
      <c r="H47" s="1" t="s">
        <v>209</v>
      </c>
      <c r="I47" s="25" t="s">
        <v>366</v>
      </c>
      <c r="M47" s="38">
        <f t="shared" ca="1" si="1"/>
        <v>167000000000044</v>
      </c>
      <c r="N47" s="6" t="str">
        <f t="shared" ca="1" si="2"/>
        <v>PERFORM "SchData-OLTP-Master"."Func_TblBankAccount_SET"(varSystemLoginSession, null, null, null, null, null, varInstitutionBranchID, varBaseCurrencyID, 166000000000002, '044101001553563', 'PT QDC Technologies', 62000000000001, 124000000000001);</v>
      </c>
    </row>
    <row r="48" spans="2:14" x14ac:dyDescent="0.2">
      <c r="B48" s="31">
        <v>124000000000001</v>
      </c>
      <c r="C48" s="19"/>
      <c r="D48" s="17" t="str">
        <f>IF(EXACT($B48, ""), "", IF((FLOOR($B48/1000000000000, 1) = 124), VLOOKUP($B48, '[4]DataLookUp - InstitutionBranch'!$B$4:$C$2000, 2, FALSE), IF((FLOOR($B48/1000000000000, 1) = 25), VLOOKUP($B48, [3]DataLookUp!$B$4:$D$2000, 2, FALSE), "xx")))</f>
        <v>PT. QDC Technologies</v>
      </c>
      <c r="E48" s="1" t="s">
        <v>199</v>
      </c>
      <c r="F48" s="58">
        <f ca="1">VLOOKUP($E48, OFFSET([1]MAIN!$B$2, 0, 0, 100, 6), 5, FALSE)</f>
        <v>166000000000002</v>
      </c>
      <c r="G48" s="25" t="s">
        <v>327</v>
      </c>
      <c r="H48" s="1" t="s">
        <v>209</v>
      </c>
      <c r="I48" s="25" t="s">
        <v>366</v>
      </c>
      <c r="M48" s="38">
        <f t="shared" ca="1" si="1"/>
        <v>167000000000045</v>
      </c>
      <c r="N48" s="6" t="str">
        <f t="shared" ca="1" si="2"/>
        <v>PERFORM "SchData-OLTP-Master"."Func_TblBankAccount_SET"(varSystemLoginSession, null, null, null, null, null, varInstitutionBranchID, varBaseCurrencyID, 166000000000002, '044101002094300', 'PT QDC Technologies', 62000000000001, 124000000000001);</v>
      </c>
    </row>
    <row r="49" spans="2:15" x14ac:dyDescent="0.2">
      <c r="B49" s="31">
        <v>124000000000001</v>
      </c>
      <c r="C49" s="19"/>
      <c r="D49" s="17" t="str">
        <f>IF(EXACT($B49, ""), "", IF((FLOOR($B49/1000000000000, 1) = 124), VLOOKUP($B49, '[4]DataLookUp - InstitutionBranch'!$B$4:$C$2000, 2, FALSE), IF((FLOOR($B49/1000000000000, 1) = 25), VLOOKUP($B49, [3]DataLookUp!$B$4:$D$2000, 2, FALSE), "xx")))</f>
        <v>PT. QDC Technologies</v>
      </c>
      <c r="E49" s="1" t="s">
        <v>199</v>
      </c>
      <c r="F49" s="58">
        <f ca="1">VLOOKUP($E49, OFFSET([1]MAIN!$B$2, 0, 0, 100, 6), 5, FALSE)</f>
        <v>166000000000002</v>
      </c>
      <c r="G49" s="25" t="s">
        <v>242</v>
      </c>
      <c r="H49" s="1" t="s">
        <v>209</v>
      </c>
      <c r="I49" s="25" t="s">
        <v>366</v>
      </c>
      <c r="M49" s="38">
        <f t="shared" ca="1" si="1"/>
        <v>167000000000046</v>
      </c>
      <c r="N49" s="6" t="str">
        <f t="shared" ca="1" si="2"/>
        <v>PERFORM "SchData-OLTP-Master"."Func_TblBankAccount_SET"(varSystemLoginSession, null, null, null, null, null, varInstitutionBranchID, varBaseCurrencyID, 166000000000002, '053801000258309', 'PT QDC Technologies', 62000000000001, 124000000000001);</v>
      </c>
    </row>
    <row r="50" spans="2:15" x14ac:dyDescent="0.2">
      <c r="B50" s="31">
        <v>124000000000001</v>
      </c>
      <c r="C50" s="19"/>
      <c r="D50" s="17" t="str">
        <f>IF(EXACT($B50, ""), "", IF((FLOOR($B50/1000000000000, 1) = 124), VLOOKUP($B50, '[4]DataLookUp - InstitutionBranch'!$B$4:$C$2000, 2, FALSE), IF((FLOOR($B50/1000000000000, 1) = 25), VLOOKUP($B50, [3]DataLookUp!$B$4:$D$2000, 2, FALSE), "xx")))</f>
        <v>PT. QDC Technologies</v>
      </c>
      <c r="E50" s="1" t="s">
        <v>199</v>
      </c>
      <c r="F50" s="58">
        <f ca="1">VLOOKUP($E50, OFFSET([1]MAIN!$B$2, 0, 0, 100, 6), 5, FALSE)</f>
        <v>166000000000002</v>
      </c>
      <c r="G50" s="25" t="s">
        <v>340</v>
      </c>
      <c r="H50" s="1" t="s">
        <v>209</v>
      </c>
      <c r="I50" s="25" t="s">
        <v>366</v>
      </c>
      <c r="M50" s="38">
        <f t="shared" ca="1" si="1"/>
        <v>167000000000047</v>
      </c>
      <c r="N50" s="6" t="str">
        <f t="shared" ca="1" si="2"/>
        <v>PERFORM "SchData-OLTP-Master"."Func_TblBankAccount_SET"(varSystemLoginSession, null, null, null, null, null, varInstitutionBranchID, varBaseCurrencyID, 166000000000002, '34101002394304', 'PT QDC Technologies', 62000000000001, 124000000000001);</v>
      </c>
    </row>
    <row r="51" spans="2:15" x14ac:dyDescent="0.2">
      <c r="B51" s="31">
        <v>124000000000001</v>
      </c>
      <c r="C51" s="19"/>
      <c r="D51" s="17" t="str">
        <f>IF(EXACT($B51, ""), "", IF((FLOOR($B51/1000000000000, 1) = 124), VLOOKUP($B51, '[4]DataLookUp - InstitutionBranch'!$B$4:$C$2000, 2, FALSE), IF((FLOOR($B51/1000000000000, 1) = 25), VLOOKUP($B51, [3]DataLookUp!$B$4:$D$2000, 2, FALSE), "xx")))</f>
        <v>PT. QDC Technologies</v>
      </c>
      <c r="E51" s="1" t="s">
        <v>199</v>
      </c>
      <c r="F51" s="58">
        <f ca="1">VLOOKUP($E51, OFFSET([1]MAIN!$B$2, 0, 0, 100, 6), 5, FALSE)</f>
        <v>166000000000002</v>
      </c>
      <c r="G51" s="25" t="s">
        <v>343</v>
      </c>
      <c r="H51" s="1" t="s">
        <v>209</v>
      </c>
      <c r="I51" s="25" t="s">
        <v>365</v>
      </c>
      <c r="M51" s="38">
        <f t="shared" ca="1" si="1"/>
        <v>167000000000048</v>
      </c>
      <c r="N51" s="6" t="str">
        <f t="shared" ca="1" si="2"/>
        <v>PERFORM "SchData-OLTP-Master"."Func_TblBankAccount_SET"(varSystemLoginSession, null, null, null, null, null, varInstitutionBranchID, varBaseCurrencyID, 166000000000002, '34101002395300', 'PT QDC Technologies', 62000000000002, 124000000000001);</v>
      </c>
    </row>
    <row r="52" spans="2:15" x14ac:dyDescent="0.2">
      <c r="B52" s="31">
        <v>124000000000001</v>
      </c>
      <c r="C52" s="19"/>
      <c r="D52" s="17" t="str">
        <f>IF(EXACT($B52, ""), "", IF((FLOOR($B52/1000000000000, 1) = 124), VLOOKUP($B52, '[4]DataLookUp - InstitutionBranch'!$B$4:$C$2000, 2, FALSE), IF((FLOOR($B52/1000000000000, 1) = 25), VLOOKUP($B52, [3]DataLookUp!$B$4:$D$2000, 2, FALSE), "xx")))</f>
        <v>PT. QDC Technologies</v>
      </c>
      <c r="E52" s="1" t="s">
        <v>348</v>
      </c>
      <c r="F52" s="58">
        <f ca="1">VLOOKUP($E52, OFFSET([1]MAIN!$B$2, 0, 0, 100, 6), 5, FALSE)</f>
        <v>166000000000016</v>
      </c>
      <c r="G52" s="25" t="s">
        <v>233</v>
      </c>
      <c r="H52" s="1" t="s">
        <v>209</v>
      </c>
      <c r="I52" s="25" t="s">
        <v>365</v>
      </c>
      <c r="M52" s="38">
        <f t="shared" ca="1" si="1"/>
        <v>167000000000049</v>
      </c>
      <c r="N52" s="6" t="str">
        <f t="shared" ca="1" si="2"/>
        <v>PERFORM "SchData-OLTP-Master"."Func_TblBankAccount_SET"(varSystemLoginSession, null, null, null, null, null, varInstitutionBranchID, varBaseCurrencyID, 166000000000016, '30601430287', 'PT QDC Technologies', 62000000000002, 124000000000001);</v>
      </c>
    </row>
    <row r="53" spans="2:15" x14ac:dyDescent="0.2">
      <c r="B53" s="31">
        <v>124000000000001</v>
      </c>
      <c r="C53" s="19"/>
      <c r="D53" s="17" t="str">
        <f>IF(EXACT($B53, ""), "", IF((FLOOR($B53/1000000000000, 1) = 124), VLOOKUP($B53, '[4]DataLookUp - InstitutionBranch'!$B$4:$C$2000, 2, FALSE), IF((FLOOR($B53/1000000000000, 1) = 25), VLOOKUP($B53, [3]DataLookUp!$B$4:$D$2000, 2, FALSE), "xx")))</f>
        <v>PT. QDC Technologies</v>
      </c>
      <c r="E53" s="1" t="s">
        <v>348</v>
      </c>
      <c r="F53" s="58">
        <f ca="1">VLOOKUP($E53, OFFSET([1]MAIN!$B$2, 0, 0, 100, 6), 5, FALSE)</f>
        <v>166000000000016</v>
      </c>
      <c r="G53" s="25" t="s">
        <v>234</v>
      </c>
      <c r="H53" s="1" t="s">
        <v>209</v>
      </c>
      <c r="I53" s="25" t="s">
        <v>366</v>
      </c>
      <c r="M53" s="38">
        <f t="shared" ca="1" si="1"/>
        <v>167000000000050</v>
      </c>
      <c r="N53" s="6" t="str">
        <f t="shared" ca="1" si="2"/>
        <v>PERFORM "SchData-OLTP-Master"."Func_TblBankAccount_SET"(varSystemLoginSession, null, null, null, null, null, varInstitutionBranchID, varBaseCurrencyID, 166000000000016, '30601430325', 'PT QDC Technologies', 62000000000001, 124000000000001);</v>
      </c>
    </row>
    <row r="54" spans="2:15" x14ac:dyDescent="0.2">
      <c r="B54" s="31">
        <v>124000000000001</v>
      </c>
      <c r="C54" s="19"/>
      <c r="D54" s="17" t="str">
        <f>IF(EXACT($B54, ""), "", IF((FLOOR($B54/1000000000000, 1) = 124), VLOOKUP($B54, '[4]DataLookUp - InstitutionBranch'!$B$4:$C$2000, 2, FALSE), IF((FLOOR($B54/1000000000000, 1) = 25), VLOOKUP($B54, [3]DataLookUp!$B$4:$D$2000, 2, FALSE), "xx")))</f>
        <v>PT. QDC Technologies</v>
      </c>
      <c r="E54" s="1" t="s">
        <v>348</v>
      </c>
      <c r="F54" s="58">
        <f ca="1">VLOOKUP($E54, OFFSET([1]MAIN!$B$2, 0, 0, 100, 6), 5, FALSE)</f>
        <v>166000000000016</v>
      </c>
      <c r="G54" s="25" t="s">
        <v>225</v>
      </c>
      <c r="H54" s="1" t="s">
        <v>209</v>
      </c>
      <c r="I54" s="25" t="s">
        <v>366</v>
      </c>
      <c r="M54" s="38">
        <f t="shared" ca="1" si="1"/>
        <v>167000000000051</v>
      </c>
      <c r="N54" s="6" t="str">
        <f t="shared" ca="1" si="2"/>
        <v>PERFORM "SchData-OLTP-Master"."Func_TblBankAccount_SET"(varSystemLoginSession, null, null, null, null, null, varInstitutionBranchID, varBaseCurrencyID, 166000000000016, '30601430376', 'PT QDC Technologies', 62000000000001, 124000000000001);</v>
      </c>
    </row>
    <row r="55" spans="2:15" x14ac:dyDescent="0.2">
      <c r="B55" s="31">
        <v>124000000000001</v>
      </c>
      <c r="C55" s="19"/>
      <c r="D55" s="17" t="str">
        <f>IF(EXACT($B55, ""), "", IF((FLOOR($B55/1000000000000, 1) = 124), VLOOKUP($B55, '[4]DataLookUp - InstitutionBranch'!$B$4:$C$2000, 2, FALSE), IF((FLOOR($B55/1000000000000, 1) = 25), VLOOKUP($B55, [3]DataLookUp!$B$4:$D$2000, 2, FALSE), "xx")))</f>
        <v>PT. QDC Technologies</v>
      </c>
      <c r="E55" s="1" t="s">
        <v>348</v>
      </c>
      <c r="F55" s="58">
        <f ca="1">VLOOKUP($E55, OFFSET([1]MAIN!$B$2, 0, 0, 100, 6), 5, FALSE)</f>
        <v>166000000000016</v>
      </c>
      <c r="G55" s="25" t="s">
        <v>235</v>
      </c>
      <c r="H55" s="1" t="s">
        <v>209</v>
      </c>
      <c r="I55" s="25" t="s">
        <v>366</v>
      </c>
      <c r="M55" s="38">
        <f t="shared" ca="1" si="1"/>
        <v>167000000000052</v>
      </c>
      <c r="N55" s="6" t="str">
        <f t="shared" ca="1" si="2"/>
        <v>PERFORM "SchData-OLTP-Master"."Func_TblBankAccount_SET"(varSystemLoginSession, null, null, null, null, null, varInstitutionBranchID, varBaseCurrencyID, 166000000000016, '30601430414', 'PT QDC Technologies', 62000000000001, 124000000000001);</v>
      </c>
    </row>
    <row r="56" spans="2:15" x14ac:dyDescent="0.2">
      <c r="B56" s="31">
        <v>124000000000001</v>
      </c>
      <c r="C56" s="19"/>
      <c r="D56" s="17" t="str">
        <f>IF(EXACT($B56, ""), "", IF((FLOOR($B56/1000000000000, 1) = 124), VLOOKUP($B56, '[4]DataLookUp - InstitutionBranch'!$B$4:$C$2000, 2, FALSE), IF((FLOOR($B56/1000000000000, 1) = 25), VLOOKUP($B56, [3]DataLookUp!$B$4:$D$2000, 2, FALSE), "xx")))</f>
        <v>PT. QDC Technologies</v>
      </c>
      <c r="E56" s="1" t="s">
        <v>347</v>
      </c>
      <c r="F56" s="58">
        <f ca="1">VLOOKUP($E56, OFFSET([1]MAIN!$B$2, 0, 0, 100, 6), 5, FALSE)</f>
        <v>166000000000010</v>
      </c>
      <c r="G56" s="25" t="s">
        <v>250</v>
      </c>
      <c r="H56" s="1" t="s">
        <v>209</v>
      </c>
      <c r="I56" s="25" t="s">
        <v>366</v>
      </c>
      <c r="M56" s="38">
        <f t="shared" ca="1" si="1"/>
        <v>167000000000053</v>
      </c>
      <c r="N56" s="6" t="str">
        <f t="shared" ca="1" si="2"/>
        <v>PERFORM "SchData-OLTP-Master"."Func_TblBankAccount_SET"(varSystemLoginSession, null, null, null, null, null, varInstitutionBranchID, varBaseCurrencyID, 166000000000010, '1006777593', 'PT QDC Technologies', 62000000000001, 124000000000001);</v>
      </c>
    </row>
    <row r="57" spans="2:15" x14ac:dyDescent="0.2">
      <c r="B57" s="31">
        <v>124000000000001</v>
      </c>
      <c r="C57" s="19"/>
      <c r="D57" s="17" t="str">
        <f>IF(EXACT($B57, ""), "", IF((FLOOR($B57/1000000000000, 1) = 124), VLOOKUP($B57, '[4]DataLookUp - InstitutionBranch'!$B$4:$C$2000, 2, FALSE), IF((FLOOR($B57/1000000000000, 1) = 25), VLOOKUP($B57, [3]DataLookUp!$B$4:$D$2000, 2, FALSE), "xx")))</f>
        <v>PT. QDC Technologies</v>
      </c>
      <c r="E57" s="1" t="s">
        <v>347</v>
      </c>
      <c r="G57" s="25" t="s">
        <v>344</v>
      </c>
      <c r="I57" s="25" t="s">
        <v>366</v>
      </c>
      <c r="M57" s="38">
        <f t="shared" ca="1" si="1"/>
        <v>167000000000054</v>
      </c>
      <c r="N57" s="6" t="str">
        <f t="shared" si="2"/>
        <v>PERFORM "SchData-OLTP-Master"."Func_TblBankAccount_SET"(varSystemLoginSession, null, null, null, null, null, varInstitutionBranchID, varBaseCurrencyID, , '7240736928', '', 62000000000001, 124000000000001);</v>
      </c>
    </row>
    <row r="58" spans="2:15" x14ac:dyDescent="0.2">
      <c r="B58" s="31">
        <v>124000000000001</v>
      </c>
      <c r="C58" s="19"/>
      <c r="D58" s="17" t="str">
        <f>IF(EXACT($B58, ""), "", IF((FLOOR($B58/1000000000000, 1) = 124), VLOOKUP($B58, '[4]DataLookUp - InstitutionBranch'!$B$4:$C$2000, 2, FALSE), IF((FLOOR($B58/1000000000000, 1) = 25), VLOOKUP($B58, [3]DataLookUp!$B$4:$D$2000, 2, FALSE), "xx")))</f>
        <v>PT. QDC Technologies</v>
      </c>
      <c r="E58" s="1" t="s">
        <v>347</v>
      </c>
      <c r="G58" s="25" t="s">
        <v>332</v>
      </c>
      <c r="I58" s="25" t="s">
        <v>366</v>
      </c>
      <c r="M58" s="38">
        <f t="shared" ca="1" si="1"/>
        <v>167000000000055</v>
      </c>
      <c r="N58" s="6" t="str">
        <f t="shared" si="2"/>
        <v>PERFORM "SchData-OLTP-Master"."Func_TblBankAccount_SET"(varSystemLoginSession, null, null, null, null, null, varInstitutionBranchID, varBaseCurrencyID, , '7240741347', '', 62000000000001, 124000000000001);</v>
      </c>
    </row>
    <row r="59" spans="2:15" x14ac:dyDescent="0.2">
      <c r="B59" s="31">
        <v>124000000000001</v>
      </c>
      <c r="C59" s="20"/>
      <c r="D59" s="17" t="str">
        <f>IF(EXACT($B59, ""), "", IF((FLOOR($B59/1000000000000, 1) = 124), VLOOKUP($B59, '[4]DataLookUp - InstitutionBranch'!$B$4:$C$2000, 2, FALSE), IF((FLOOR($B59/1000000000000, 1) = 25), VLOOKUP($B59, [3]DataLookUp!$B$4:$D$2000, 2, FALSE), "xx")))</f>
        <v>PT. QDC Technologies</v>
      </c>
      <c r="E59" s="1" t="s">
        <v>356</v>
      </c>
      <c r="G59" s="25" t="s">
        <v>261</v>
      </c>
      <c r="I59" s="25" t="s">
        <v>366</v>
      </c>
      <c r="M59" s="38">
        <f t="shared" ca="1" si="1"/>
        <v>167000000000056</v>
      </c>
      <c r="N59" s="6" t="str">
        <f t="shared" si="2"/>
        <v>PERFORM "SchData-OLTP-Master"."Func_TblBankAccount_SET"(varSystemLoginSession, null, null, null, null, null, varInstitutionBranchID, varBaseCurrencyID, , '0100201300000052', '', 62000000000001, 124000000000001);</v>
      </c>
    </row>
    <row r="60" spans="2:15" ht="6" customHeight="1" x14ac:dyDescent="0.2">
      <c r="B60" s="32"/>
      <c r="C60" s="21"/>
      <c r="D60" s="22"/>
      <c r="E60" s="22"/>
      <c r="F60" s="55"/>
      <c r="G60" s="55"/>
      <c r="H60" s="22"/>
      <c r="I60" s="27"/>
      <c r="J60" s="23"/>
      <c r="K60" s="24"/>
      <c r="L60" s="2"/>
      <c r="M60" s="38">
        <f t="shared" ca="1" si="1"/>
        <v>167000000000056</v>
      </c>
      <c r="N60" s="7"/>
      <c r="O60" s="2"/>
    </row>
    <row r="61" spans="2:15" x14ac:dyDescent="0.2">
      <c r="B61" s="39">
        <v>25000000000439</v>
      </c>
      <c r="C61" s="40" t="str">
        <f>_xlfn.IFNA(IF(EXACT($B61, ""), "", VLOOKUP($B61, [2]DataLookUp!$C$4:$G$999, 3, FALSE )), "")</f>
        <v>030717839</v>
      </c>
      <c r="D61" s="41" t="str">
        <f>IF(EXACT($B61, ""), "", IF((FLOOR($B61/1000000000000, 1) = 124), VLOOKUP($B61, '[4]DataLookUp - InstitutionBranch'!$B$4:$C$97, 2, FALSE), IF((FLOOR($B61/1000000000000, 1) = 25), VLOOKUP($B61, [3]DataLookUp!$B$4:$D$632, 2, FALSE), "xx")))</f>
        <v>Teguh Pratama Januzir Sukin</v>
      </c>
      <c r="E61" s="42" t="s">
        <v>197</v>
      </c>
      <c r="F61" s="59">
        <f ca="1">IF(EXACT(E61, ""), "", VLOOKUP($E61, OFFSET([1]MAIN!$B$2, 0, 0, 100, 6), 5, FALSE))</f>
        <v>166000000000005</v>
      </c>
      <c r="G61" s="43" t="s">
        <v>78</v>
      </c>
      <c r="H61" s="42" t="s">
        <v>81</v>
      </c>
      <c r="I61" s="43" t="s">
        <v>366</v>
      </c>
      <c r="M61" s="38">
        <f t="shared" ca="1" si="1"/>
        <v>167000000000057</v>
      </c>
      <c r="N61" s="6" t="str">
        <f t="shared" ref="N61:N92" ca="1" si="3">IF(EXACT(B61, ""), "", CONCATENATE("PERFORM ""SchData-OLTP-Master"".""Func_TblBankAccount_SET""(varSystemLoginSession, null, null, null, null, null, varInstitutionBranchID, varBaseCurrencyID, ", F61, ", '", G61, "', '", H61, "', ", I61, ", ", B61, ");"))</f>
        <v>PERFORM "SchData-OLTP-Master"."Func_TblBankAccount_SET"(varSystemLoginSession, null, null, null, null, null, varInstitutionBranchID, varBaseCurrencyID, 166000000000005, '6550289791', 'Teguh Pratama Januzir S', 62000000000001, 25000000000439);</v>
      </c>
    </row>
    <row r="62" spans="2:15" x14ac:dyDescent="0.2">
      <c r="B62" s="31">
        <v>25000000000439</v>
      </c>
      <c r="C62" s="44" t="str">
        <f>_xlfn.IFNA(IF(EXACT($B62, ""), "", VLOOKUP($B62, [2]DataLookUp!$C$4:$G$999, 3, FALSE )), "")</f>
        <v>030717839</v>
      </c>
      <c r="D62" s="45" t="str">
        <f>IF(EXACT($B62, ""), "", IF((FLOOR($B62/1000000000000, 1) = 124), VLOOKUP($B62, '[4]DataLookUp - InstitutionBranch'!$B$4:$C$97, 2, FALSE), IF((FLOOR($B62/1000000000000, 1) = 25), VLOOKUP($B62, [3]DataLookUp!$B$4:$D$632, 2, FALSE), "xx")))</f>
        <v>Teguh Pratama Januzir Sukin</v>
      </c>
      <c r="E62" s="46" t="s">
        <v>198</v>
      </c>
      <c r="F62" s="60">
        <f ca="1">IF(EXACT(E62, ""), "", VLOOKUP($E62, OFFSET([1]MAIN!$B$2, 0, 0, 100, 6), 5, FALSE))</f>
        <v>166000000000001</v>
      </c>
      <c r="G62" s="47" t="s">
        <v>79</v>
      </c>
      <c r="H62" s="46" t="s">
        <v>82</v>
      </c>
      <c r="I62" s="47" t="s">
        <v>366</v>
      </c>
      <c r="M62" s="38">
        <f t="shared" ca="1" si="1"/>
        <v>167000000000058</v>
      </c>
      <c r="N62" s="6" t="str">
        <f t="shared" ca="1" si="3"/>
        <v>PERFORM "SchData-OLTP-Master"."Func_TblBankAccount_SET"(varSystemLoginSession, null, null, null, null, null, varInstitutionBranchID, varBaseCurrencyID, 166000000000001, '121-00-0599441-7', 'Teguh Pratama Januzi', 62000000000001, 25000000000439);</v>
      </c>
    </row>
    <row r="63" spans="2:15" x14ac:dyDescent="0.2">
      <c r="B63" s="31">
        <v>25000000000439</v>
      </c>
      <c r="C63" s="44" t="str">
        <f>_xlfn.IFNA(IF(EXACT($B63, ""), "", VLOOKUP($B63, [2]DataLookUp!$C$4:$G$999, 3, FALSE )), "")</f>
        <v>030717839</v>
      </c>
      <c r="D63" s="45" t="str">
        <f>IF(EXACT($B63, ""), "", IF((FLOOR($B63/1000000000000, 1) = 124), VLOOKUP($B63, '[4]DataLookUp - InstitutionBranch'!$B$4:$C$97, 2, FALSE), IF((FLOOR($B63/1000000000000, 1) = 25), VLOOKUP($B63, [3]DataLookUp!$B$4:$D$632, 2, FALSE), "xx")))</f>
        <v>Teguh Pratama Januzir Sukin</v>
      </c>
      <c r="E63" s="46" t="s">
        <v>199</v>
      </c>
      <c r="F63" s="60">
        <f ca="1">IF(EXACT(E63, ""), "", VLOOKUP($E63, OFFSET([1]MAIN!$B$2, 0, 0, 100, 6), 5, FALSE))</f>
        <v>166000000000002</v>
      </c>
      <c r="G63" s="47" t="s">
        <v>80</v>
      </c>
      <c r="H63" s="46" t="s">
        <v>82</v>
      </c>
      <c r="I63" s="47" t="s">
        <v>366</v>
      </c>
      <c r="M63" s="38">
        <f t="shared" ca="1" si="1"/>
        <v>167000000000059</v>
      </c>
      <c r="N63" s="6" t="str">
        <f t="shared" ca="1" si="3"/>
        <v>PERFORM "SchData-OLTP-Master"."Func_TblBankAccount_SET"(varSystemLoginSession, null, null, null, null, null, varInstitutionBranchID, varBaseCurrencyID, 166000000000002, '0206-01-095647-50-4', 'Teguh Pratama Januzi', 62000000000001, 25000000000439);</v>
      </c>
    </row>
    <row r="64" spans="2:15" x14ac:dyDescent="0.2">
      <c r="B64" s="31">
        <v>25000000000382</v>
      </c>
      <c r="C64" s="44" t="str">
        <f>_xlfn.IFNA(IF(EXACT($B64, ""), "", VLOOKUP($B64, [2]DataLookUp!$C$4:$G$999, 3, FALSE )), "")</f>
        <v>210904088</v>
      </c>
      <c r="D64" s="45" t="str">
        <f>IF(EXACT($B64, ""), "", IF((FLOOR($B64/1000000000000, 1) = 124), VLOOKUP($B64, '[4]DataLookUp - InstitutionBranch'!$B$4:$C$97, 2, FALSE), IF((FLOOR($B64/1000000000000, 1) = 25), VLOOKUP($B64, [3]DataLookUp!$B$4:$D$632, 2, FALSE), "xx")))</f>
        <v>Abdul Samad</v>
      </c>
      <c r="E64" s="46" t="s">
        <v>197</v>
      </c>
      <c r="F64" s="60">
        <f ca="1">IF(EXACT(E64, ""), "", VLOOKUP($E64, OFFSET([1]MAIN!$B$2, 0, 0, 100, 6), 5, FALSE))</f>
        <v>166000000000005</v>
      </c>
      <c r="G64" s="47" t="s">
        <v>0</v>
      </c>
      <c r="H64" s="46" t="s">
        <v>74</v>
      </c>
      <c r="I64" s="47" t="s">
        <v>366</v>
      </c>
      <c r="M64" s="38">
        <f t="shared" ca="1" si="1"/>
        <v>167000000000060</v>
      </c>
      <c r="N64" s="6" t="str">
        <f t="shared" ca="1" si="3"/>
        <v>PERFORM "SchData-OLTP-Master"."Func_TblBankAccount_SET"(varSystemLoginSession, null, null, null, null, null, varInstitutionBranchID, varBaseCurrencyID, 166000000000005, '0060262641', 'Abd Samad', 62000000000001, 25000000000382);</v>
      </c>
    </row>
    <row r="65" spans="2:14" x14ac:dyDescent="0.2">
      <c r="B65" s="31">
        <v>25000000000514</v>
      </c>
      <c r="C65" s="44" t="str">
        <f>_xlfn.IFNA(IF(EXACT($B65, ""), "", VLOOKUP($B65, [2]DataLookUp!$C$4:$G$999, 3, FALSE )), "")</f>
        <v>110422962</v>
      </c>
      <c r="D65" s="45" t="str">
        <f>IF(EXACT($B65, ""), "", IF((FLOOR($B65/1000000000000, 1) = 124), VLOOKUP($B65, '[4]DataLookUp - InstitutionBranch'!$B$4:$C$97, 2, FALSE), IF((FLOOR($B65/1000000000000, 1) = 25), VLOOKUP($B65, [3]DataLookUp!$B$4:$D$632, 2, FALSE), "xx")))</f>
        <v>Achmad Yunadi</v>
      </c>
      <c r="E65" s="46" t="s">
        <v>197</v>
      </c>
      <c r="F65" s="60">
        <f ca="1">IF(EXACT(E65, ""), "", VLOOKUP($E65, OFFSET([1]MAIN!$B$2, 0, 0, 100, 6), 5, FALSE))</f>
        <v>166000000000005</v>
      </c>
      <c r="G65" s="47">
        <v>2040089643</v>
      </c>
      <c r="H65" s="46" t="s">
        <v>148</v>
      </c>
      <c r="I65" s="47" t="s">
        <v>366</v>
      </c>
      <c r="M65" s="38">
        <f t="shared" ca="1" si="1"/>
        <v>167000000000061</v>
      </c>
      <c r="N65" s="6" t="str">
        <f t="shared" ca="1" si="3"/>
        <v>PERFORM "SchData-OLTP-Master"."Func_TblBankAccount_SET"(varSystemLoginSession, null, null, null, null, null, varInstitutionBranchID, varBaseCurrencyID, 166000000000005, '2040089643', 'Achmad Yunadi', 62000000000001, 25000000000514);</v>
      </c>
    </row>
    <row r="66" spans="2:14" x14ac:dyDescent="0.2">
      <c r="B66" s="31">
        <v>25000000000012</v>
      </c>
      <c r="C66" s="44" t="str">
        <f>_xlfn.IFNA(IF(EXACT($B66, ""), "", VLOOKUP($B66, [2]DataLookUp!$C$4:$G$999, 3, FALSE )), "")</f>
        <v>010703020</v>
      </c>
      <c r="D66" s="45" t="str">
        <f>IF(EXACT($B66, ""), "", IF((FLOOR($B66/1000000000000, 1) = 124), VLOOKUP($B66, '[4]DataLookUp - InstitutionBranch'!$B$4:$C$97, 2, FALSE), IF((FLOOR($B66/1000000000000, 1) = 25), VLOOKUP($B66, [3]DataLookUp!$B$4:$D$632, 2, FALSE), "xx")))</f>
        <v>Agnes Sutedja</v>
      </c>
      <c r="E66" s="46" t="s">
        <v>197</v>
      </c>
      <c r="F66" s="60">
        <f ca="1">IF(EXACT(E66, ""), "", VLOOKUP($E66, OFFSET([1]MAIN!$B$2, 0, 0, 100, 6), 5, FALSE))</f>
        <v>166000000000005</v>
      </c>
      <c r="G66" s="47" t="s">
        <v>83</v>
      </c>
      <c r="H66" s="46" t="s">
        <v>149</v>
      </c>
      <c r="I66" s="47" t="s">
        <v>366</v>
      </c>
      <c r="M66" s="38">
        <f t="shared" ca="1" si="1"/>
        <v>167000000000062</v>
      </c>
      <c r="N66" s="6" t="str">
        <f t="shared" ca="1" si="3"/>
        <v>PERFORM "SchData-OLTP-Master"."Func_TblBankAccount_SET"(varSystemLoginSession, null, null, null, null, null, varInstitutionBranchID, varBaseCurrencyID, 166000000000005, '0350780718', 'The Giok Ing Agnes Suted', 62000000000001, 25000000000012);</v>
      </c>
    </row>
    <row r="67" spans="2:14" x14ac:dyDescent="0.2">
      <c r="B67" s="31">
        <v>25000000000549</v>
      </c>
      <c r="C67" s="44" t="str">
        <f>_xlfn.IFNA(IF(EXACT($B67, ""), "", VLOOKUP($B67, [2]DataLookUp!$C$4:$G$999, 3, FALSE )), "")</f>
        <v>311022972</v>
      </c>
      <c r="D67" s="45" t="str">
        <f>IF(EXACT($B67, ""), "", IF((FLOOR($B67/1000000000000, 1) = 124), VLOOKUP($B67, '[4]DataLookUp - InstitutionBranch'!$B$4:$C$97, 2, FALSE), IF((FLOOR($B67/1000000000000, 1) = 25), VLOOKUP($B67, [3]DataLookUp!$B$4:$D$632, 2, FALSE), "xx")))</f>
        <v>Agus Nuryadi</v>
      </c>
      <c r="E67" s="46" t="s">
        <v>197</v>
      </c>
      <c r="F67" s="60">
        <f ca="1">IF(EXACT(E67, ""), "", VLOOKUP($E67, OFFSET([1]MAIN!$B$2, 0, 0, 100, 6), 5, FALSE))</f>
        <v>166000000000005</v>
      </c>
      <c r="G67" s="47">
        <v>6821221339</v>
      </c>
      <c r="H67" s="46" t="s">
        <v>150</v>
      </c>
      <c r="I67" s="47" t="s">
        <v>366</v>
      </c>
      <c r="M67" s="38">
        <f t="shared" ca="1" si="1"/>
        <v>167000000000063</v>
      </c>
      <c r="N67" s="6" t="str">
        <f t="shared" ca="1" si="3"/>
        <v>PERFORM "SchData-OLTP-Master"."Func_TblBankAccount_SET"(varSystemLoginSession, null, null, null, null, null, varInstitutionBranchID, varBaseCurrencyID, 166000000000005, '6821221339', 'Agus Nuryadi', 62000000000001, 25000000000549);</v>
      </c>
    </row>
    <row r="68" spans="2:14" x14ac:dyDescent="0.2">
      <c r="B68" s="31">
        <v>25000000000015</v>
      </c>
      <c r="C68" s="44" t="str">
        <f>_xlfn.IFNA(IF(EXACT($B68, ""), "", VLOOKUP($B68, [2]DataLookUp!$C$4:$G$999, 3, FALSE )), "")</f>
        <v>130223978</v>
      </c>
      <c r="D68" s="45" t="str">
        <f>IF(EXACT($B68, ""), "", IF((FLOOR($B68/1000000000000, 1) = 124), VLOOKUP($B68, '[4]DataLookUp - InstitutionBranch'!$B$4:$C$97, 2, FALSE), IF((FLOOR($B68/1000000000000, 1) = 25), VLOOKUP($B68, [3]DataLookUp!$B$4:$D$632, 2, FALSE), "xx")))</f>
        <v>Agus Salim</v>
      </c>
      <c r="E68" s="46" t="s">
        <v>197</v>
      </c>
      <c r="F68" s="60">
        <f ca="1">IF(EXACT(E68, ""), "", VLOOKUP($E68, OFFSET([1]MAIN!$B$2, 0, 0, 100, 6), 5, FALSE))</f>
        <v>166000000000005</v>
      </c>
      <c r="G68" s="47">
        <v>5750423347</v>
      </c>
      <c r="H68" s="46" t="s">
        <v>87</v>
      </c>
      <c r="I68" s="47" t="s">
        <v>366</v>
      </c>
      <c r="M68" s="38">
        <f t="shared" ca="1" si="1"/>
        <v>167000000000064</v>
      </c>
      <c r="N68" s="6" t="str">
        <f t="shared" ca="1" si="3"/>
        <v>PERFORM "SchData-OLTP-Master"."Func_TblBankAccount_SET"(varSystemLoginSession, null, null, null, null, null, varInstitutionBranchID, varBaseCurrencyID, 166000000000005, '5750423347', 'Agus Salim', 62000000000001, 25000000000015);</v>
      </c>
    </row>
    <row r="69" spans="2:14" x14ac:dyDescent="0.2">
      <c r="B69" s="31">
        <v>25000000000019</v>
      </c>
      <c r="C69" s="44" t="str">
        <f>_xlfn.IFNA(IF(EXACT($B69, ""), "", VLOOKUP($B69, [2]DataLookUp!$C$4:$G$999, 3, FALSE )), "")</f>
        <v>150506222</v>
      </c>
      <c r="D69" s="45" t="str">
        <f>IF(EXACT($B69, ""), "", IF((FLOOR($B69/1000000000000, 1) = 124), VLOOKUP($B69, '[4]DataLookUp - InstitutionBranch'!$B$4:$C$97, 2, FALSE), IF((FLOOR($B69/1000000000000, 1) = 25), VLOOKUP($B69, [3]DataLookUp!$B$4:$D$632, 2, FALSE), "xx")))</f>
        <v>Ahmad Syaifulloh</v>
      </c>
      <c r="E69" s="46" t="s">
        <v>197</v>
      </c>
      <c r="F69" s="60">
        <f ca="1">IF(EXACT(E69, ""), "", VLOOKUP($E69, OFFSET([1]MAIN!$B$2, 0, 0, 100, 6), 5, FALSE))</f>
        <v>166000000000005</v>
      </c>
      <c r="G69" s="47">
        <v>7150306269</v>
      </c>
      <c r="H69" s="46" t="s">
        <v>88</v>
      </c>
      <c r="I69" s="47" t="s">
        <v>366</v>
      </c>
      <c r="M69" s="38">
        <f t="shared" ref="M69:M132" ca="1" si="4" xml:space="preserve"> M68 + IF(EXACT(N69, ""), 0, 1)</f>
        <v>167000000000065</v>
      </c>
      <c r="N69" s="6" t="str">
        <f t="shared" ca="1" si="3"/>
        <v>PERFORM "SchData-OLTP-Master"."Func_TblBankAccount_SET"(varSystemLoginSession, null, null, null, null, null, varInstitutionBranchID, varBaseCurrencyID, 166000000000005, '7150306269', 'Ahmad Syaifulloh', 62000000000001, 25000000000019);</v>
      </c>
    </row>
    <row r="70" spans="2:14" x14ac:dyDescent="0.2">
      <c r="B70" s="31">
        <v>25000000000513</v>
      </c>
      <c r="C70" s="44" t="str">
        <f>_xlfn.IFNA(IF(EXACT($B70, ""), "", VLOOKUP($B70, [2]DataLookUp!$C$4:$G$999, 3, FALSE )), "")</f>
        <v>191022969</v>
      </c>
      <c r="D70" s="45" t="str">
        <f>IF(EXACT($B70, ""), "", IF((FLOOR($B70/1000000000000, 1) = 124), VLOOKUP($B70, '[4]DataLookUp - InstitutionBranch'!$B$4:$C$97, 2, FALSE), IF((FLOOR($B70/1000000000000, 1) = 25), VLOOKUP($B70, [3]DataLookUp!$B$4:$D$632, 2, FALSE), "xx")))</f>
        <v>Ahmad Choerul</v>
      </c>
      <c r="E70" s="46" t="s">
        <v>197</v>
      </c>
      <c r="F70" s="60">
        <f ca="1">IF(EXACT(E70, ""), "", VLOOKUP($E70, OFFSET([1]MAIN!$B$2, 0, 0, 100, 6), 5, FALSE))</f>
        <v>166000000000005</v>
      </c>
      <c r="G70" s="47">
        <v>2670159496</v>
      </c>
      <c r="H70" s="46" t="s">
        <v>89</v>
      </c>
      <c r="I70" s="47" t="s">
        <v>366</v>
      </c>
      <c r="M70" s="38">
        <f t="shared" ca="1" si="4"/>
        <v>167000000000066</v>
      </c>
      <c r="N70" s="6" t="str">
        <f t="shared" ca="1" si="3"/>
        <v>PERFORM "SchData-OLTP-Master"."Func_TblBankAccount_SET"(varSystemLoginSession, null, null, null, null, null, varInstitutionBranchID, varBaseCurrencyID, 166000000000005, '2670159496', 'Ahmad Choerul', 62000000000001, 25000000000513);</v>
      </c>
    </row>
    <row r="71" spans="2:14" x14ac:dyDescent="0.2">
      <c r="B71" s="31">
        <v>25000000000023</v>
      </c>
      <c r="C71" s="44" t="str">
        <f>_xlfn.IFNA(IF(EXACT($B71, ""), "", VLOOKUP($B71, [2]DataLookUp!$C$4:$G$999, 3, FALSE )), "")</f>
        <v>141020935</v>
      </c>
      <c r="D71" s="45" t="str">
        <f>IF(EXACT($B71, ""), "", IF((FLOOR($B71/1000000000000, 1) = 124), VLOOKUP($B71, '[4]DataLookUp - InstitutionBranch'!$B$4:$C$97, 2, FALSE), IF((FLOOR($B71/1000000000000, 1) = 25), VLOOKUP($B71, [3]DataLookUp!$B$4:$D$632, 2, FALSE), "xx")))</f>
        <v>Aldi Mulyadi</v>
      </c>
      <c r="E71" s="46" t="s">
        <v>197</v>
      </c>
      <c r="F71" s="60">
        <f ca="1">IF(EXACT(E71, ""), "", VLOOKUP($E71, OFFSET([1]MAIN!$B$2, 0, 0, 100, 6), 5, FALSE))</f>
        <v>166000000000005</v>
      </c>
      <c r="G71" s="47">
        <v>5520607058</v>
      </c>
      <c r="H71" s="46" t="s">
        <v>90</v>
      </c>
      <c r="I71" s="47" t="s">
        <v>366</v>
      </c>
      <c r="M71" s="38">
        <f t="shared" ca="1" si="4"/>
        <v>167000000000067</v>
      </c>
      <c r="N71" s="6" t="str">
        <f t="shared" ca="1" si="3"/>
        <v>PERFORM "SchData-OLTP-Master"."Func_TblBankAccount_SET"(varSystemLoginSession, null, null, null, null, null, varInstitutionBranchID, varBaseCurrencyID, 166000000000005, '5520607058', 'Aldi Mulyadi', 62000000000001, 25000000000023);</v>
      </c>
    </row>
    <row r="72" spans="2:14" x14ac:dyDescent="0.2">
      <c r="B72" s="31">
        <v>25000000000039</v>
      </c>
      <c r="C72" s="44" t="str">
        <f>_xlfn.IFNA(IF(EXACT($B72, ""), "", VLOOKUP($B72, [2]DataLookUp!$C$4:$G$999, 3, FALSE )), "")</f>
        <v>100419903</v>
      </c>
      <c r="D72" s="45" t="str">
        <f>IF(EXACT($B72, ""), "", IF((FLOOR($B72/1000000000000, 1) = 124), VLOOKUP($B72, '[4]DataLookUp - InstitutionBranch'!$B$4:$C$97, 2, FALSE), IF((FLOOR($B72/1000000000000, 1) = 25), VLOOKUP($B72, [3]DataLookUp!$B$4:$D$632, 2, FALSE), "xx")))</f>
        <v>Annisa Dewi Arumsari</v>
      </c>
      <c r="E72" s="46" t="s">
        <v>197</v>
      </c>
      <c r="F72" s="60">
        <f ca="1">IF(EXACT(E72, ""), "", VLOOKUP($E72, OFFSET([1]MAIN!$B$2, 0, 0, 100, 6), 5, FALSE))</f>
        <v>166000000000005</v>
      </c>
      <c r="G72" s="47">
        <v>5520537742</v>
      </c>
      <c r="H72" s="46" t="s">
        <v>91</v>
      </c>
      <c r="I72" s="47" t="s">
        <v>366</v>
      </c>
      <c r="M72" s="38">
        <f t="shared" ca="1" si="4"/>
        <v>167000000000068</v>
      </c>
      <c r="N72" s="6" t="str">
        <f t="shared" ca="1" si="3"/>
        <v>PERFORM "SchData-OLTP-Master"."Func_TblBankAccount_SET"(varSystemLoginSession, null, null, null, null, null, varInstitutionBranchID, varBaseCurrencyID, 166000000000005, '5520537742', 'Annisa Dewi Arumsari', 62000000000001, 25000000000039);</v>
      </c>
    </row>
    <row r="73" spans="2:14" x14ac:dyDescent="0.2">
      <c r="B73" s="31">
        <v>25000000000044</v>
      </c>
      <c r="C73" s="44" t="str">
        <f>_xlfn.IFNA(IF(EXACT($B73, ""), "", VLOOKUP($B73, [2]DataLookUp!$C$4:$G$999, 3, FALSE )), "")</f>
        <v>310821007</v>
      </c>
      <c r="D73" s="45" t="str">
        <f>IF(EXACT($B73, ""), "", IF((FLOOR($B73/1000000000000, 1) = 124), VLOOKUP($B73, '[4]DataLookUp - InstitutionBranch'!$B$4:$C$97, 2, FALSE), IF((FLOOR($B73/1000000000000, 1) = 25), VLOOKUP($B73, [3]DataLookUp!$B$4:$D$632, 2, FALSE), "xx")))</f>
        <v>Anugerah Januariansyah</v>
      </c>
      <c r="E73" s="46" t="s">
        <v>197</v>
      </c>
      <c r="F73" s="60">
        <f ca="1">IF(EXACT(E73, ""), "", VLOOKUP($E73, OFFSET([1]MAIN!$B$2, 0, 0, 100, 6), 5, FALSE))</f>
        <v>166000000000005</v>
      </c>
      <c r="G73" s="47" t="s">
        <v>137</v>
      </c>
      <c r="H73" s="46" t="s">
        <v>92</v>
      </c>
      <c r="I73" s="47" t="s">
        <v>366</v>
      </c>
      <c r="M73" s="38">
        <f t="shared" ca="1" si="4"/>
        <v>167000000000069</v>
      </c>
      <c r="N73" s="6" t="str">
        <f t="shared" ca="1" si="3"/>
        <v>PERFORM "SchData-OLTP-Master"."Func_TblBankAccount_SET"(varSystemLoginSession, null, null, null, null, null, varInstitutionBranchID, varBaseCurrencyID, 166000000000005, '4565061969', 'Anugerah Januariansyah', 62000000000001, 25000000000044);</v>
      </c>
    </row>
    <row r="74" spans="2:14" x14ac:dyDescent="0.2">
      <c r="B74" s="31">
        <v>25000000000075</v>
      </c>
      <c r="C74" s="44" t="str">
        <f>_xlfn.IFNA(IF(EXACT($B74, ""), "", VLOOKUP($B74, [2]DataLookUp!$C$4:$G$999, 3, FALSE )), "")</f>
        <v>100920934</v>
      </c>
      <c r="D74" s="45" t="str">
        <f>IF(EXACT($B74, ""), "", IF((FLOOR($B74/1000000000000, 1) = 124), VLOOKUP($B74, '[4]DataLookUp - InstitutionBranch'!$B$4:$C$97, 2, FALSE), IF((FLOOR($B74/1000000000000, 1) = 25), VLOOKUP($B74, [3]DataLookUp!$B$4:$D$632, 2, FALSE), "xx")))</f>
        <v>Belina Lindarwani</v>
      </c>
      <c r="E74" s="46" t="s">
        <v>197</v>
      </c>
      <c r="F74" s="60">
        <f ca="1">IF(EXACT(E74, ""), "", VLOOKUP($E74, OFFSET([1]MAIN!$B$2, 0, 0, 100, 6), 5, FALSE))</f>
        <v>166000000000005</v>
      </c>
      <c r="G74" s="47">
        <v>5520579321</v>
      </c>
      <c r="H74" s="46" t="s">
        <v>93</v>
      </c>
      <c r="I74" s="47" t="s">
        <v>366</v>
      </c>
      <c r="M74" s="38">
        <f t="shared" ca="1" si="4"/>
        <v>167000000000070</v>
      </c>
      <c r="N74" s="6" t="str">
        <f t="shared" ca="1" si="3"/>
        <v>PERFORM "SchData-OLTP-Master"."Func_TblBankAccount_SET"(varSystemLoginSession, null, null, null, null, null, varInstitutionBranchID, varBaseCurrencyID, 166000000000005, '5520579321', 'Belina Lindarwani', 62000000000001, 25000000000075);</v>
      </c>
    </row>
    <row r="75" spans="2:14" x14ac:dyDescent="0.2">
      <c r="B75" s="31">
        <v>25000000000082</v>
      </c>
      <c r="C75" s="44" t="str">
        <f>_xlfn.IFNA(IF(EXACT($B75, ""), "", VLOOKUP($B75, [2]DataLookUp!$C$4:$G$999, 3, FALSE )), "")</f>
        <v>060515769</v>
      </c>
      <c r="D75" s="45" t="str">
        <f>IF(EXACT($B75, ""), "", IF((FLOOR($B75/1000000000000, 1) = 124), VLOOKUP($B75, '[4]DataLookUp - InstitutionBranch'!$B$4:$C$97, 2, FALSE), IF((FLOOR($B75/1000000000000, 1) = 25), VLOOKUP($B75, [3]DataLookUp!$B$4:$D$632, 2, FALSE), "xx")))</f>
        <v>Budianto</v>
      </c>
      <c r="E75" s="46" t="s">
        <v>197</v>
      </c>
      <c r="F75" s="60">
        <f ca="1">IF(EXACT(E75, ""), "", VLOOKUP($E75, OFFSET([1]MAIN!$B$2, 0, 0, 100, 6), 5, FALSE))</f>
        <v>166000000000005</v>
      </c>
      <c r="G75" s="47">
        <v>1280247568</v>
      </c>
      <c r="H75" s="46" t="s">
        <v>94</v>
      </c>
      <c r="I75" s="47" t="s">
        <v>366</v>
      </c>
      <c r="M75" s="38">
        <f t="shared" ca="1" si="4"/>
        <v>167000000000071</v>
      </c>
      <c r="N75" s="6" t="str">
        <f t="shared" ca="1" si="3"/>
        <v>PERFORM "SchData-OLTP-Master"."Func_TblBankAccount_SET"(varSystemLoginSession, null, null, null, null, null, varInstitutionBranchID, varBaseCurrencyID, 166000000000005, '1280247568', 'Budianto', 62000000000001, 25000000000082);</v>
      </c>
    </row>
    <row r="76" spans="2:14" x14ac:dyDescent="0.2">
      <c r="B76" s="31">
        <v>25000000000092</v>
      </c>
      <c r="C76" s="44" t="str">
        <f>_xlfn.IFNA(IF(EXACT($B76, ""), "", VLOOKUP($B76, [2]DataLookUp!$C$4:$G$999, 3, FALSE )), "")</f>
        <v>031212631</v>
      </c>
      <c r="D76" s="45" t="str">
        <f>IF(EXACT($B76, ""), "", IF((FLOOR($B76/1000000000000, 1) = 124), VLOOKUP($B76, '[4]DataLookUp - InstitutionBranch'!$B$4:$C$97, 2, FALSE), IF((FLOOR($B76/1000000000000, 1) = 25), VLOOKUP($B76, [3]DataLookUp!$B$4:$D$632, 2, FALSE), "xx")))</f>
        <v>Darsito</v>
      </c>
      <c r="E76" s="46" t="s">
        <v>197</v>
      </c>
      <c r="F76" s="60">
        <f ca="1">IF(EXACT(E76, ""), "", VLOOKUP($E76, OFFSET([1]MAIN!$B$2, 0, 0, 100, 6), 5, FALSE))</f>
        <v>166000000000005</v>
      </c>
      <c r="G76" s="47">
        <v>2211206120</v>
      </c>
      <c r="H76" s="46" t="s">
        <v>151</v>
      </c>
      <c r="I76" s="47" t="s">
        <v>366</v>
      </c>
      <c r="M76" s="38">
        <f t="shared" ca="1" si="4"/>
        <v>167000000000072</v>
      </c>
      <c r="N76" s="6" t="str">
        <f t="shared" ca="1" si="3"/>
        <v>PERFORM "SchData-OLTP-Master"."Func_TblBankAccount_SET"(varSystemLoginSession, null, null, null, null, null, varInstitutionBranchID, varBaseCurrencyID, 166000000000005, '2211206120', 'Darsito S Pd', 62000000000001, 25000000000092);</v>
      </c>
    </row>
    <row r="77" spans="2:14" x14ac:dyDescent="0.2">
      <c r="B77" s="31">
        <v>25000000000094</v>
      </c>
      <c r="C77" s="44" t="str">
        <f>_xlfn.IFNA(IF(EXACT($B77, ""), "", VLOOKUP($B77, [2]DataLookUp!$C$4:$G$999, 3, FALSE )), "")</f>
        <v>171215791</v>
      </c>
      <c r="D77" s="45" t="str">
        <f>IF(EXACT($B77, ""), "", IF((FLOOR($B77/1000000000000, 1) = 124), VLOOKUP($B77, '[4]DataLookUp - InstitutionBranch'!$B$4:$C$97, 2, FALSE), IF((FLOOR($B77/1000000000000, 1) = 25), VLOOKUP($B77, [3]DataLookUp!$B$4:$D$632, 2, FALSE), "xx")))</f>
        <v>Deddy Rochman</v>
      </c>
      <c r="E77" s="46" t="s">
        <v>197</v>
      </c>
      <c r="F77" s="60">
        <f ca="1">IF(EXACT(E77, ""), "", VLOOKUP($E77, OFFSET([1]MAIN!$B$2, 0, 0, 100, 6), 5, FALSE))</f>
        <v>166000000000005</v>
      </c>
      <c r="G77" s="47">
        <v>2839669733</v>
      </c>
      <c r="H77" s="46" t="s">
        <v>95</v>
      </c>
      <c r="I77" s="47" t="s">
        <v>366</v>
      </c>
      <c r="M77" s="38">
        <f t="shared" ca="1" si="4"/>
        <v>167000000000073</v>
      </c>
      <c r="N77" s="6" t="str">
        <f t="shared" ca="1" si="3"/>
        <v>PERFORM "SchData-OLTP-Master"."Func_TblBankAccount_SET"(varSystemLoginSession, null, null, null, null, null, varInstitutionBranchID, varBaseCurrencyID, 166000000000005, '2839669733', 'Dedi Rohman', 62000000000001, 25000000000094);</v>
      </c>
    </row>
    <row r="78" spans="2:14" x14ac:dyDescent="0.2">
      <c r="B78" s="31">
        <v>25000000000106</v>
      </c>
      <c r="C78" s="44" t="str">
        <f>_xlfn.IFNA(IF(EXACT($B78, ""), "", VLOOKUP($B78, [2]DataLookUp!$C$4:$G$999, 3, FALSE )), "")</f>
        <v>010605133</v>
      </c>
      <c r="D78" s="45" t="str">
        <f>IF(EXACT($B78, ""), "", IF((FLOOR($B78/1000000000000, 1) = 124), VLOOKUP($B78, '[4]DataLookUp - InstitutionBranch'!$B$4:$C$97, 2, FALSE), IF((FLOOR($B78/1000000000000, 1) = 25), VLOOKUP($B78, [3]DataLookUp!$B$4:$D$632, 2, FALSE), "xx")))</f>
        <v>Dionesius Sostenist Duka</v>
      </c>
      <c r="E78" s="46" t="s">
        <v>197</v>
      </c>
      <c r="F78" s="60">
        <f ca="1">IF(EXACT(E78, ""), "", VLOOKUP($E78, OFFSET([1]MAIN!$B$2, 0, 0, 100, 6), 5, FALSE))</f>
        <v>166000000000005</v>
      </c>
      <c r="G78" s="47">
        <v>2731371123</v>
      </c>
      <c r="H78" s="46" t="s">
        <v>96</v>
      </c>
      <c r="I78" s="47" t="s">
        <v>366</v>
      </c>
      <c r="M78" s="38">
        <f t="shared" ca="1" si="4"/>
        <v>167000000000074</v>
      </c>
      <c r="N78" s="6" t="str">
        <f t="shared" ca="1" si="3"/>
        <v>PERFORM "SchData-OLTP-Master"."Func_TblBankAccount_SET"(varSystemLoginSession, null, null, null, null, null, varInstitutionBranchID, varBaseCurrencyID, 166000000000005, '2731371123', 'Dionesius Sostenist Duka', 62000000000001, 25000000000106);</v>
      </c>
    </row>
    <row r="79" spans="2:14" x14ac:dyDescent="0.2">
      <c r="B79" s="31">
        <v>25000000000116</v>
      </c>
      <c r="C79" s="44" t="str">
        <f>_xlfn.IFNA(IF(EXACT($B79, ""), "", VLOOKUP($B79, [2]DataLookUp!$C$4:$G$999, 3, FALSE )), "")</f>
        <v>040803040</v>
      </c>
      <c r="D79" s="45" t="str">
        <f>IF(EXACT($B79, ""), "", IF((FLOOR($B79/1000000000000, 1) = 124), VLOOKUP($B79, '[4]DataLookUp - InstitutionBranch'!$B$4:$C$97, 2, FALSE), IF((FLOOR($B79/1000000000000, 1) = 25), VLOOKUP($B79, [3]DataLookUp!$B$4:$D$632, 2, FALSE), "xx")))</f>
        <v>Edi Waluyo</v>
      </c>
      <c r="E79" s="46" t="s">
        <v>197</v>
      </c>
      <c r="F79" s="60">
        <f ca="1">IF(EXACT(E79, ""), "", VLOOKUP($E79, OFFSET([1]MAIN!$B$2, 0, 0, 100, 6), 5, FALSE))</f>
        <v>166000000000005</v>
      </c>
      <c r="G79" s="47" t="s">
        <v>138</v>
      </c>
      <c r="H79" s="46" t="s">
        <v>97</v>
      </c>
      <c r="I79" s="47" t="s">
        <v>366</v>
      </c>
      <c r="M79" s="38">
        <f t="shared" ca="1" si="4"/>
        <v>167000000000075</v>
      </c>
      <c r="N79" s="6" t="str">
        <f t="shared" ca="1" si="3"/>
        <v>PERFORM "SchData-OLTP-Master"."Func_TblBankAccount_SET"(varSystemLoginSession, null, null, null, null, null, varInstitutionBranchID, varBaseCurrencyID, 166000000000005, '0060185646', 'Edi Waluyo', 62000000000001, 25000000000116);</v>
      </c>
    </row>
    <row r="80" spans="2:14" x14ac:dyDescent="0.2">
      <c r="B80" s="31">
        <v>25000000000123</v>
      </c>
      <c r="C80" s="44" t="str">
        <f>_xlfn.IFNA(IF(EXACT($B80, ""), "", VLOOKUP($B80, [2]DataLookUp!$C$4:$G$999, 3, FALSE )), "")</f>
        <v>200420932</v>
      </c>
      <c r="D80" s="45" t="str">
        <f>IF(EXACT($B80, ""), "", IF((FLOOR($B80/1000000000000, 1) = 124), VLOOKUP($B80, '[4]DataLookUp - InstitutionBranch'!$B$4:$C$97, 2, FALSE), IF((FLOOR($B80/1000000000000, 1) = 25), VLOOKUP($B80, [3]DataLookUp!$B$4:$D$632, 2, FALSE), "xx")))</f>
        <v>Eka Bagus Dwi Putra</v>
      </c>
      <c r="E80" s="46" t="s">
        <v>197</v>
      </c>
      <c r="F80" s="60">
        <f ca="1">IF(EXACT(E80, ""), "", VLOOKUP($E80, OFFSET([1]MAIN!$B$2, 0, 0, 100, 6), 5, FALSE))</f>
        <v>166000000000005</v>
      </c>
      <c r="G80" s="56">
        <v>5211078091</v>
      </c>
      <c r="H80" s="46" t="s">
        <v>98</v>
      </c>
      <c r="I80" s="47" t="s">
        <v>366</v>
      </c>
      <c r="M80" s="38">
        <f t="shared" ca="1" si="4"/>
        <v>167000000000076</v>
      </c>
      <c r="N80" s="6" t="str">
        <f t="shared" ca="1" si="3"/>
        <v>PERFORM "SchData-OLTP-Master"."Func_TblBankAccount_SET"(varSystemLoginSession, null, null, null, null, null, varInstitutionBranchID, varBaseCurrencyID, 166000000000005, '5211078091', 'Eka Bagus Dwi Putra', 62000000000001, 25000000000123);</v>
      </c>
    </row>
    <row r="81" spans="1:14" x14ac:dyDescent="0.2">
      <c r="B81" s="31">
        <v>25000000000125</v>
      </c>
      <c r="C81" s="44" t="str">
        <f>_xlfn.IFNA(IF(EXACT($B81, ""), "", VLOOKUP($B81, [2]DataLookUp!$C$4:$G$999, 3, FALSE )), "")</f>
        <v>060121944</v>
      </c>
      <c r="D81" s="45" t="str">
        <f>IF(EXACT($B81, ""), "", IF((FLOOR($B81/1000000000000, 1) = 124), VLOOKUP($B81, '[4]DataLookUp - InstitutionBranch'!$B$4:$C$97, 2, FALSE), IF((FLOOR($B81/1000000000000, 1) = 25), VLOOKUP($B81, [3]DataLookUp!$B$4:$D$632, 2, FALSE), "xx")))</f>
        <v>Eka Purwanti</v>
      </c>
      <c r="E81" s="46" t="s">
        <v>197</v>
      </c>
      <c r="F81" s="60">
        <f ca="1">IF(EXACT(E81, ""), "", VLOOKUP($E81, OFFSET([1]MAIN!$B$2, 0, 0, 100, 6), 5, FALSE))</f>
        <v>166000000000005</v>
      </c>
      <c r="G81" s="56">
        <v>5855178874</v>
      </c>
      <c r="H81" s="46" t="s">
        <v>99</v>
      </c>
      <c r="I81" s="47" t="s">
        <v>366</v>
      </c>
      <c r="M81" s="38">
        <f t="shared" ca="1" si="4"/>
        <v>167000000000077</v>
      </c>
      <c r="N81" s="6" t="str">
        <f t="shared" ca="1" si="3"/>
        <v>PERFORM "SchData-OLTP-Master"."Func_TblBankAccount_SET"(varSystemLoginSession, null, null, null, null, null, varInstitutionBranchID, varBaseCurrencyID, 166000000000005, '5855178874', 'Eka Purwanti', 62000000000001, 25000000000125);</v>
      </c>
    </row>
    <row r="82" spans="1:14" x14ac:dyDescent="0.2">
      <c r="B82" s="31">
        <v>25000000000138</v>
      </c>
      <c r="C82" s="44" t="str">
        <f>_xlfn.IFNA(IF(EXACT($B82, ""), "", VLOOKUP($B82, [2]DataLookUp!$C$4:$G$999, 3, FALSE )), "")</f>
        <v>010806250</v>
      </c>
      <c r="D82" s="45" t="str">
        <f>IF(EXACT($B82, ""), "", IF((FLOOR($B82/1000000000000, 1) = 124), VLOOKUP($B82, '[4]DataLookUp - InstitutionBranch'!$B$4:$C$97, 2, FALSE), IF((FLOOR($B82/1000000000000, 1) = 25), VLOOKUP($B82, [3]DataLookUp!$B$4:$D$632, 2, FALSE), "xx")))</f>
        <v>Endang Sutrisna</v>
      </c>
      <c r="E82" s="46" t="s">
        <v>197</v>
      </c>
      <c r="F82" s="60">
        <f ca="1">IF(EXACT(E82, ""), "", VLOOKUP($E82, OFFSET([1]MAIN!$B$2, 0, 0, 100, 6), 5, FALSE))</f>
        <v>166000000000005</v>
      </c>
      <c r="G82" s="56">
        <v>5750226541</v>
      </c>
      <c r="H82" s="46" t="s">
        <v>100</v>
      </c>
      <c r="I82" s="47" t="s">
        <v>366</v>
      </c>
      <c r="M82" s="38">
        <f t="shared" ca="1" si="4"/>
        <v>167000000000078</v>
      </c>
      <c r="N82" s="6" t="str">
        <f t="shared" ca="1" si="3"/>
        <v>PERFORM "SchData-OLTP-Master"."Func_TblBankAccount_SET"(varSystemLoginSession, null, null, null, null, null, varInstitutionBranchID, varBaseCurrencyID, 166000000000005, '5750226541', 'Endang Sutrisno', 62000000000001, 25000000000138);</v>
      </c>
    </row>
    <row r="83" spans="1:14" x14ac:dyDescent="0.2">
      <c r="A83" s="9"/>
      <c r="B83" s="31">
        <v>25000000000522</v>
      </c>
      <c r="C83" s="44" t="str">
        <f>_xlfn.IFNA(IF(EXACT($B83, ""), "", VLOOKUP($B83, [2]DataLookUp!$C$4:$G$999, 3, FALSE )), "")</f>
        <v>191022968</v>
      </c>
      <c r="D83" s="45" t="str">
        <f>IF(EXACT($B83, ""), "", IF((FLOOR($B83/1000000000000, 1) = 124), VLOOKUP($B83, '[4]DataLookUp - InstitutionBranch'!$B$4:$C$97, 2, FALSE), IF((FLOOR($B83/1000000000000, 1) = 25), VLOOKUP($B83, [3]DataLookUp!$B$4:$D$632, 2, FALSE), "xx")))</f>
        <v>Ferdian Kriswantoro</v>
      </c>
      <c r="E83" s="46" t="s">
        <v>197</v>
      </c>
      <c r="F83" s="60">
        <f ca="1">IF(EXACT(E83, ""), "", VLOOKUP($E83, OFFSET([1]MAIN!$B$2, 0, 0, 100, 6), 5, FALSE))</f>
        <v>166000000000005</v>
      </c>
      <c r="G83" s="56">
        <v>8760378217</v>
      </c>
      <c r="H83" s="46" t="s">
        <v>101</v>
      </c>
      <c r="I83" s="47" t="s">
        <v>366</v>
      </c>
      <c r="M83" s="38">
        <f t="shared" ca="1" si="4"/>
        <v>167000000000079</v>
      </c>
      <c r="N83" s="6" t="str">
        <f t="shared" ca="1" si="3"/>
        <v>PERFORM "SchData-OLTP-Master"."Func_TblBankAccount_SET"(varSystemLoginSession, null, null, null, null, null, varInstitutionBranchID, varBaseCurrencyID, 166000000000005, '8760378217', 'Ferdian Kriswantoro', 62000000000001, 25000000000522);</v>
      </c>
    </row>
    <row r="84" spans="1:14" x14ac:dyDescent="0.2">
      <c r="B84" s="31">
        <v>25000000000159</v>
      </c>
      <c r="C84" s="44" t="str">
        <f>_xlfn.IFNA(IF(EXACT($B84, ""), "", VLOOKUP($B84, [2]DataLookUp!$C$4:$G$999, 3, FALSE )), "")</f>
        <v>181114748</v>
      </c>
      <c r="D84" s="45" t="str">
        <f>IF(EXACT($B84, ""), "", IF((FLOOR($B84/1000000000000, 1) = 124), VLOOKUP($B84, '[4]DataLookUp - InstitutionBranch'!$B$4:$C$97, 2, FALSE), IF((FLOOR($B84/1000000000000, 1) = 25), VLOOKUP($B84, [3]DataLookUp!$B$4:$D$632, 2, FALSE), "xx")))</f>
        <v>Frando Judi Siahaan</v>
      </c>
      <c r="E84" s="46" t="s">
        <v>197</v>
      </c>
      <c r="F84" s="60">
        <f ca="1">IF(EXACT(E84, ""), "", VLOOKUP($E84, OFFSET([1]MAIN!$B$2, 0, 0, 100, 6), 5, FALSE))</f>
        <v>166000000000005</v>
      </c>
      <c r="G84" s="56">
        <v>8200472447</v>
      </c>
      <c r="H84" s="46" t="s">
        <v>102</v>
      </c>
      <c r="I84" s="47" t="s">
        <v>366</v>
      </c>
      <c r="M84" s="38">
        <f t="shared" ca="1" si="4"/>
        <v>167000000000080</v>
      </c>
      <c r="N84" s="6" t="str">
        <f t="shared" ca="1" si="3"/>
        <v>PERFORM "SchData-OLTP-Master"."Func_TblBankAccount_SET"(varSystemLoginSession, null, null, null, null, null, varInstitutionBranchID, varBaseCurrencyID, 166000000000005, '8200472447', 'Frando Judi Siahaan', 62000000000001, 25000000000159);</v>
      </c>
    </row>
    <row r="85" spans="1:14" x14ac:dyDescent="0.2">
      <c r="B85" s="31">
        <v>25000000000168</v>
      </c>
      <c r="C85" s="44" t="str">
        <f>_xlfn.IFNA(IF(EXACT($B85, ""), "", VLOOKUP($B85, [2]DataLookUp!$C$4:$G$999, 3, FALSE )), "")</f>
        <v>070806256</v>
      </c>
      <c r="D85" s="45" t="str">
        <f>IF(EXACT($B85, ""), "", IF((FLOOR($B85/1000000000000, 1) = 124), VLOOKUP($B85, '[4]DataLookUp - InstitutionBranch'!$B$4:$C$97, 2, FALSE), IF((FLOOR($B85/1000000000000, 1) = 25), VLOOKUP($B85, [3]DataLookUp!$B$4:$D$632, 2, FALSE), "xx")))</f>
        <v>Gunawan</v>
      </c>
      <c r="E85" s="46" t="s">
        <v>197</v>
      </c>
      <c r="F85" s="60">
        <f ca="1">IF(EXACT(E85, ""), "", VLOOKUP($E85, OFFSET([1]MAIN!$B$2, 0, 0, 100, 6), 5, FALSE))</f>
        <v>166000000000005</v>
      </c>
      <c r="G85" s="56">
        <v>1281467889</v>
      </c>
      <c r="H85" s="46" t="s">
        <v>152</v>
      </c>
      <c r="I85" s="47" t="s">
        <v>366</v>
      </c>
      <c r="M85" s="38">
        <f t="shared" ca="1" si="4"/>
        <v>167000000000081</v>
      </c>
      <c r="N85" s="6" t="str">
        <f t="shared" ca="1" si="3"/>
        <v>PERFORM "SchData-OLTP-Master"."Func_TblBankAccount_SET"(varSystemLoginSession, null, null, null, null, null, varInstitutionBranchID, varBaseCurrencyID, 166000000000005, '1281467889', 'Gunawan Ir', 62000000000001, 25000000000168);</v>
      </c>
    </row>
    <row r="86" spans="1:14" x14ac:dyDescent="0.2">
      <c r="B86" s="31">
        <v>25000000000434</v>
      </c>
      <c r="C86" s="44" t="str">
        <f>_xlfn.IFNA(IF(EXACT($B86, ""), "", VLOOKUP($B86, [2]DataLookUp!$C$4:$G$999, 3, FALSE )), "")</f>
        <v>070703034</v>
      </c>
      <c r="D86" s="45" t="str">
        <f>IF(EXACT($B86, ""), "", IF((FLOOR($B86/1000000000000, 1) = 124), VLOOKUP($B86, '[4]DataLookUp - InstitutionBranch'!$B$4:$C$97, 2, FALSE), IF((FLOOR($B86/1000000000000, 1) = 25), VLOOKUP($B86, [3]DataLookUp!$B$4:$D$632, 2, FALSE), "xx")))</f>
        <v>Tajuddin Assubki Ismail</v>
      </c>
      <c r="E86" s="46" t="s">
        <v>197</v>
      </c>
      <c r="F86" s="60">
        <f ca="1">IF(EXACT(E86, ""), "", VLOOKUP($E86, OFFSET([1]MAIN!$B$2, 0, 0, 100, 6), 5, FALSE))</f>
        <v>166000000000005</v>
      </c>
      <c r="G86" s="56">
        <v>3191643869</v>
      </c>
      <c r="H86" s="46" t="s">
        <v>153</v>
      </c>
      <c r="I86" s="47" t="s">
        <v>366</v>
      </c>
      <c r="M86" s="38">
        <f t="shared" ca="1" si="4"/>
        <v>167000000000082</v>
      </c>
      <c r="N86" s="6" t="str">
        <f t="shared" ca="1" si="3"/>
        <v>PERFORM "SchData-OLTP-Master"."Func_TblBankAccount_SET"(varSystemLoginSession, null, null, null, null, null, varInstitutionBranchID, varBaseCurrencyID, 166000000000005, '3191643869', 'H T Assubki Ismail Ir', 62000000000001, 25000000000434);</v>
      </c>
    </row>
    <row r="87" spans="1:14" x14ac:dyDescent="0.2">
      <c r="B87" s="31">
        <v>25000000000196</v>
      </c>
      <c r="C87" s="44" t="str">
        <f>_xlfn.IFNA(IF(EXACT($B87, ""), "", VLOOKUP($B87, [2]DataLookUp!$C$4:$G$999, 3, FALSE )), "")</f>
        <v>191015786</v>
      </c>
      <c r="D87" s="45" t="str">
        <f>IF(EXACT($B87, ""), "", IF((FLOOR($B87/1000000000000, 1) = 124), VLOOKUP($B87, '[4]DataLookUp - InstitutionBranch'!$B$4:$C$97, 2, FALSE), IF((FLOOR($B87/1000000000000, 1) = 25), VLOOKUP($B87, [3]DataLookUp!$B$4:$D$632, 2, FALSE), "xx")))</f>
        <v>Icha Mailinda Syamsoedin</v>
      </c>
      <c r="E87" s="46" t="s">
        <v>197</v>
      </c>
      <c r="F87" s="60">
        <f ca="1">IF(EXACT(E87, ""), "", VLOOKUP($E87, OFFSET([1]MAIN!$B$2, 0, 0, 100, 6), 5, FALSE))</f>
        <v>166000000000005</v>
      </c>
      <c r="G87" s="56">
        <v>5520226500</v>
      </c>
      <c r="H87" s="46" t="s">
        <v>103</v>
      </c>
      <c r="I87" s="47" t="s">
        <v>366</v>
      </c>
      <c r="M87" s="38">
        <f t="shared" ca="1" si="4"/>
        <v>167000000000083</v>
      </c>
      <c r="N87" s="6" t="str">
        <f t="shared" ca="1" si="3"/>
        <v>PERFORM "SchData-OLTP-Master"."Func_TblBankAccount_SET"(varSystemLoginSession, null, null, null, null, null, varInstitutionBranchID, varBaseCurrencyID, 166000000000005, '5520226500', 'Icha Mailinda', 62000000000001, 25000000000196);</v>
      </c>
    </row>
    <row r="88" spans="1:14" x14ac:dyDescent="0.2">
      <c r="B88" s="31">
        <v>25000000000204</v>
      </c>
      <c r="C88" s="44" t="str">
        <f>_xlfn.IFNA(IF(EXACT($B88, ""), "", VLOOKUP($B88, [2]DataLookUp!$C$4:$G$999, 3, FALSE )), "")</f>
        <v>170217825</v>
      </c>
      <c r="D88" s="45" t="str">
        <f>IF(EXACT($B88, ""), "", IF((FLOOR($B88/1000000000000, 1) = 124), VLOOKUP($B88, '[4]DataLookUp - InstitutionBranch'!$B$4:$C$97, 2, FALSE), IF((FLOOR($B88/1000000000000, 1) = 25), VLOOKUP($B88, [3]DataLookUp!$B$4:$D$632, 2, FALSE), "xx")))</f>
        <v>Ilham Akbar</v>
      </c>
      <c r="E88" s="46" t="s">
        <v>197</v>
      </c>
      <c r="F88" s="60">
        <f ca="1">IF(EXACT(E88, ""), "", VLOOKUP($E88, OFFSET([1]MAIN!$B$2, 0, 0, 100, 6), 5, FALSE))</f>
        <v>166000000000005</v>
      </c>
      <c r="G88" s="56">
        <v>5520464753</v>
      </c>
      <c r="H88" s="46" t="s">
        <v>104</v>
      </c>
      <c r="I88" s="47" t="s">
        <v>366</v>
      </c>
      <c r="M88" s="38">
        <f t="shared" ca="1" si="4"/>
        <v>167000000000084</v>
      </c>
      <c r="N88" s="6" t="str">
        <f t="shared" ca="1" si="3"/>
        <v>PERFORM "SchData-OLTP-Master"."Func_TblBankAccount_SET"(varSystemLoginSession, null, null, null, null, null, varInstitutionBranchID, varBaseCurrencyID, 166000000000005, '5520464753', 'Ilham', 62000000000001, 25000000000204);</v>
      </c>
    </row>
    <row r="89" spans="1:14" x14ac:dyDescent="0.2">
      <c r="B89" s="31">
        <v>25000000000527</v>
      </c>
      <c r="C89" s="44" t="str">
        <f>_xlfn.IFNA(IF(EXACT($B89, ""), "", VLOOKUP($B89, [2]DataLookUp!$C$4:$G$999, 3, FALSE )), "")</f>
        <v>040822965</v>
      </c>
      <c r="D89" s="45" t="str">
        <f>IF(EXACT($B89, ""), "", IF((FLOOR($B89/1000000000000, 1) = 124), VLOOKUP($B89, '[4]DataLookUp - InstitutionBranch'!$B$4:$C$97, 2, FALSE), IF((FLOOR($B89/1000000000000, 1) = 25), VLOOKUP($B89, [3]DataLookUp!$B$4:$D$632, 2, FALSE), "xx")))</f>
        <v>Irma Maulidawati</v>
      </c>
      <c r="E89" s="46" t="s">
        <v>197</v>
      </c>
      <c r="F89" s="60">
        <f ca="1">IF(EXACT(E89, ""), "", VLOOKUP($E89, OFFSET([1]MAIN!$B$2, 0, 0, 100, 6), 5, FALSE))</f>
        <v>166000000000005</v>
      </c>
      <c r="G89" s="56">
        <v>5520696425</v>
      </c>
      <c r="H89" s="46" t="s">
        <v>105</v>
      </c>
      <c r="I89" s="47" t="s">
        <v>366</v>
      </c>
      <c r="M89" s="38">
        <f t="shared" ca="1" si="4"/>
        <v>167000000000085</v>
      </c>
      <c r="N89" s="6" t="str">
        <f t="shared" ca="1" si="3"/>
        <v>PERFORM "SchData-OLTP-Master"."Func_TblBankAccount_SET"(varSystemLoginSession, null, null, null, null, null, varInstitutionBranchID, varBaseCurrencyID, 166000000000005, '5520696425', 'Irma Maulidawati', 62000000000001, 25000000000527);</v>
      </c>
    </row>
    <row r="90" spans="1:14" x14ac:dyDescent="0.2">
      <c r="B90" s="31">
        <v>25000000000217</v>
      </c>
      <c r="C90" s="44" t="str">
        <f>_xlfn.IFNA(IF(EXACT($B90, ""), "", VLOOKUP($B90, [2]DataLookUp!$C$4:$G$999, 3, FALSE )), "")</f>
        <v>150805153</v>
      </c>
      <c r="D90" s="45" t="str">
        <f>IF(EXACT($B90, ""), "", IF((FLOOR($B90/1000000000000, 1) = 124), VLOOKUP($B90, '[4]DataLookUp - InstitutionBranch'!$B$4:$C$97, 2, FALSE), IF((FLOOR($B90/1000000000000, 1) = 25), VLOOKUP($B90, [3]DataLookUp!$B$4:$D$632, 2, FALSE), "xx")))</f>
        <v>Isa Taufiq</v>
      </c>
      <c r="E90" s="46" t="s">
        <v>197</v>
      </c>
      <c r="F90" s="60">
        <f ca="1">IF(EXACT(E90, ""), "", VLOOKUP($E90, OFFSET([1]MAIN!$B$2, 0, 0, 100, 6), 5, FALSE))</f>
        <v>166000000000005</v>
      </c>
      <c r="G90" s="56">
        <v>7660328771</v>
      </c>
      <c r="H90" s="46" t="s">
        <v>154</v>
      </c>
      <c r="I90" s="47" t="s">
        <v>366</v>
      </c>
      <c r="M90" s="38">
        <f t="shared" ca="1" si="4"/>
        <v>167000000000086</v>
      </c>
      <c r="N90" s="6" t="str">
        <f t="shared" ca="1" si="3"/>
        <v>PERFORM "SchData-OLTP-Master"."Func_TblBankAccount_SET"(varSystemLoginSession, null, null, null, null, null, varInstitutionBranchID, varBaseCurrencyID, 166000000000005, '7660328771', 'Isa Taufiq', 62000000000001, 25000000000217);</v>
      </c>
    </row>
    <row r="91" spans="1:14" x14ac:dyDescent="0.2">
      <c r="B91" s="31">
        <v>25000000000528</v>
      </c>
      <c r="C91" s="44" t="str">
        <f>_xlfn.IFNA(IF(EXACT($B91, ""), "", VLOOKUP($B91, [2]DataLookUp!$C$4:$G$999, 3, FALSE )), "")</f>
        <v>170322960</v>
      </c>
      <c r="D91" s="45" t="str">
        <f>IF(EXACT($B91, ""), "", IF((FLOOR($B91/1000000000000, 1) = 124), VLOOKUP($B91, '[4]DataLookUp - InstitutionBranch'!$B$4:$C$97, 2, FALSE), IF((FLOOR($B91/1000000000000, 1) = 25), VLOOKUP($B91, [3]DataLookUp!$B$4:$D$632, 2, FALSE), "xx")))</f>
        <v>Istikaro Fauziah</v>
      </c>
      <c r="E91" s="46" t="s">
        <v>197</v>
      </c>
      <c r="F91" s="60">
        <f ca="1">IF(EXACT(E91, ""), "", VLOOKUP($E91, OFFSET([1]MAIN!$B$2, 0, 0, 100, 6), 5, FALSE))</f>
        <v>166000000000005</v>
      </c>
      <c r="G91" s="56">
        <v>4980153300</v>
      </c>
      <c r="H91" s="46" t="s">
        <v>106</v>
      </c>
      <c r="I91" s="47" t="s">
        <v>366</v>
      </c>
      <c r="M91" s="38">
        <f t="shared" ca="1" si="4"/>
        <v>167000000000087</v>
      </c>
      <c r="N91" s="6" t="str">
        <f t="shared" ca="1" si="3"/>
        <v>PERFORM "SchData-OLTP-Master"."Func_TblBankAccount_SET"(varSystemLoginSession, null, null, null, null, null, varInstitutionBranchID, varBaseCurrencyID, 166000000000005, '4980153300', 'Istikaro Fauziah', 62000000000001, 25000000000528);</v>
      </c>
    </row>
    <row r="92" spans="1:14" x14ac:dyDescent="0.2">
      <c r="B92" s="31">
        <v>25000000000232</v>
      </c>
      <c r="C92" s="44" t="str">
        <f>_xlfn.IFNA(IF(EXACT($B92, ""), "", VLOOKUP($B92, [2]DataLookUp!$C$4:$G$999, 3, FALSE )), "")</f>
        <v>040515767</v>
      </c>
      <c r="D92" s="45" t="str">
        <f>IF(EXACT($B92, ""), "", IF((FLOOR($B92/1000000000000, 1) = 124), VLOOKUP($B92, '[4]DataLookUp - InstitutionBranch'!$B$4:$C$97, 2, FALSE), IF((FLOOR($B92/1000000000000, 1) = 25), VLOOKUP($B92, [3]DataLookUp!$B$4:$D$632, 2, FALSE), "xx")))</f>
        <v>Jimmywal</v>
      </c>
      <c r="E92" s="46" t="s">
        <v>197</v>
      </c>
      <c r="F92" s="60">
        <f ca="1">IF(EXACT(E92, ""), "", VLOOKUP($E92, OFFSET([1]MAIN!$B$2, 0, 0, 100, 6), 5, FALSE))</f>
        <v>166000000000005</v>
      </c>
      <c r="G92" s="56">
        <v>5520190068</v>
      </c>
      <c r="H92" s="46" t="s">
        <v>155</v>
      </c>
      <c r="I92" s="47" t="s">
        <v>366</v>
      </c>
      <c r="M92" s="38">
        <f t="shared" ca="1" si="4"/>
        <v>167000000000088</v>
      </c>
      <c r="N92" s="6" t="str">
        <f t="shared" ca="1" si="3"/>
        <v>PERFORM "SchData-OLTP-Master"."Func_TblBankAccount_SET"(varSystemLoginSession, null, null, null, null, null, varInstitutionBranchID, varBaseCurrencyID, 166000000000005, '5520190068', 'Jimmywal Amd', 62000000000001, 25000000000232);</v>
      </c>
    </row>
    <row r="93" spans="1:14" x14ac:dyDescent="0.2">
      <c r="B93" s="31">
        <v>25000000000253</v>
      </c>
      <c r="C93" s="44" t="str">
        <f>_xlfn.IFNA(IF(EXACT($B93, ""), "", VLOOKUP($B93, [2]DataLookUp!$C$4:$G$999, 3, FALSE )), "")</f>
        <v>190803044</v>
      </c>
      <c r="D93" s="45" t="str">
        <f>IF(EXACT($B93, ""), "", IF((FLOOR($B93/1000000000000, 1) = 124), VLOOKUP($B93, '[4]DataLookUp - InstitutionBranch'!$B$4:$C$97, 2, FALSE), IF((FLOOR($B93/1000000000000, 1) = 25), VLOOKUP($B93, [3]DataLookUp!$B$4:$D$632, 2, FALSE), "xx")))</f>
        <v>Kornelius Sakan</v>
      </c>
      <c r="E93" s="46" t="s">
        <v>197</v>
      </c>
      <c r="F93" s="60">
        <f ca="1">IF(EXACT(E93, ""), "", VLOOKUP($E93, OFFSET([1]MAIN!$B$2, 0, 0, 100, 6), 5, FALSE))</f>
        <v>166000000000005</v>
      </c>
      <c r="G93" s="56" t="s">
        <v>139</v>
      </c>
      <c r="H93" s="46" t="s">
        <v>107</v>
      </c>
      <c r="I93" s="47" t="s">
        <v>366</v>
      </c>
      <c r="M93" s="38">
        <f t="shared" ca="1" si="4"/>
        <v>167000000000089</v>
      </c>
      <c r="N93" s="6" t="str">
        <f t="shared" ref="N93:N124" ca="1" si="5">IF(EXACT(B93, ""), "", CONCATENATE("PERFORM ""SchData-OLTP-Master"".""Func_TblBankAccount_SET""(varSystemLoginSession, null, null, null, null, null, varInstitutionBranchID, varBaseCurrencyID, ", F93, ", '", G93, "', '", H93, "', ", I93, ", ", B93, ");"))</f>
        <v>PERFORM "SchData-OLTP-Master"."Func_TblBankAccount_SET"(varSystemLoginSession, null, null, null, null, null, varInstitutionBranchID, varBaseCurrencyID, 166000000000005, '0060238634', 'Kornelius Sakan', 62000000000001, 25000000000253);</v>
      </c>
    </row>
    <row r="94" spans="1:14" x14ac:dyDescent="0.2">
      <c r="B94" s="31">
        <v>25000000000157</v>
      </c>
      <c r="C94" s="44" t="str">
        <f>_xlfn.IFNA(IF(EXACT($B94, ""), "", VLOOKUP($B94, [2]DataLookUp!$C$4:$G$999, 3, FALSE )), "")</f>
        <v>070305123</v>
      </c>
      <c r="D94" s="45" t="str">
        <f>IF(EXACT($B94, ""), "", IF((FLOOR($B94/1000000000000, 1) = 124), VLOOKUP($B94, '[4]DataLookUp - InstitutionBranch'!$B$4:$C$97, 2, FALSE), IF((FLOOR($B94/1000000000000, 1) = 25), VLOOKUP($B94, [3]DataLookUp!$B$4:$D$632, 2, FALSE), "xx")))</f>
        <v>Fitriastuti Kurnia</v>
      </c>
      <c r="E94" s="46" t="s">
        <v>197</v>
      </c>
      <c r="F94" s="60">
        <f ca="1">IF(EXACT(E94, ""), "", VLOOKUP($E94, OFFSET([1]MAIN!$B$2, 0, 0, 100, 6), 5, FALSE))</f>
        <v>166000000000005</v>
      </c>
      <c r="G94" s="56" t="s">
        <v>140</v>
      </c>
      <c r="H94" s="46" t="s">
        <v>108</v>
      </c>
      <c r="I94" s="47" t="s">
        <v>366</v>
      </c>
      <c r="M94" s="38">
        <f t="shared" ca="1" si="4"/>
        <v>167000000000090</v>
      </c>
      <c r="N94" s="6" t="str">
        <f t="shared" ca="1" si="5"/>
        <v>PERFORM "SchData-OLTP-Master"."Func_TblBankAccount_SET"(varSystemLoginSession, null, null, null, null, null, varInstitutionBranchID, varBaseCurrencyID, 166000000000005, '0060202915', 'Kurnia Fitriastuti', 62000000000001, 25000000000157);</v>
      </c>
    </row>
    <row r="95" spans="1:14" x14ac:dyDescent="0.2">
      <c r="B95" s="31">
        <v>25000000000262</v>
      </c>
      <c r="C95" s="44" t="str">
        <f>_xlfn.IFNA(IF(EXACT($B95, ""), "", VLOOKUP($B95, [2]DataLookUp!$C$4:$G$999, 3, FALSE )), "")</f>
        <v>170918883</v>
      </c>
      <c r="D95" s="45" t="str">
        <f>IF(EXACT($B95, ""), "", IF((FLOOR($B95/1000000000000, 1) = 124), VLOOKUP($B95, '[4]DataLookUp - InstitutionBranch'!$B$4:$C$97, 2, FALSE), IF((FLOOR($B95/1000000000000, 1) = 25), VLOOKUP($B95, [3]DataLookUp!$B$4:$D$632, 2, FALSE), "xx")))</f>
        <v>Lisma Natalia</v>
      </c>
      <c r="E95" s="46" t="s">
        <v>197</v>
      </c>
      <c r="F95" s="60">
        <f ca="1">IF(EXACT(E95, ""), "", VLOOKUP($E95, OFFSET([1]MAIN!$B$2, 0, 0, 100, 6), 5, FALSE))</f>
        <v>166000000000005</v>
      </c>
      <c r="G95" s="56" t="s">
        <v>141</v>
      </c>
      <c r="H95" s="46" t="s">
        <v>109</v>
      </c>
      <c r="I95" s="47" t="s">
        <v>366</v>
      </c>
      <c r="M95" s="38">
        <f t="shared" ca="1" si="4"/>
        <v>167000000000091</v>
      </c>
      <c r="N95" s="6" t="str">
        <f t="shared" ca="1" si="5"/>
        <v>PERFORM "SchData-OLTP-Master"."Func_TblBankAccount_SET"(varSystemLoginSession, null, null, null, null, null, varInstitutionBranchID, varBaseCurrencyID, 166000000000005, '5520514947', 'Lisma Natalia', 62000000000001, 25000000000262);</v>
      </c>
    </row>
    <row r="96" spans="1:14" x14ac:dyDescent="0.2">
      <c r="B96" s="31">
        <v>25000000000155</v>
      </c>
      <c r="C96" s="44" t="str">
        <f>_xlfn.IFNA(IF(EXACT($B96, ""), "", VLOOKUP($B96, [2]DataLookUp!$C$4:$G$999, 3, FALSE )), "")</f>
        <v>160916799</v>
      </c>
      <c r="D96" s="45" t="str">
        <f>IF(EXACT($B96, ""), "", IF((FLOOR($B96/1000000000000, 1) = 124), VLOOKUP($B96, '[4]DataLookUp - InstitutionBranch'!$B$4:$C$97, 2, FALSE), IF((FLOOR($B96/1000000000000, 1) = 25), VLOOKUP($B96, [3]DataLookUp!$B$4:$D$632, 2, FALSE), "xx")))</f>
        <v>M. Fikri Caesarandi Hasibuan</v>
      </c>
      <c r="E96" s="46" t="s">
        <v>197</v>
      </c>
      <c r="F96" s="60">
        <f ca="1">IF(EXACT(E96, ""), "", VLOOKUP($E96, OFFSET([1]MAIN!$B$2, 0, 0, 100, 6), 5, FALSE))</f>
        <v>166000000000005</v>
      </c>
      <c r="G96" s="56">
        <v>7865198493</v>
      </c>
      <c r="H96" s="46" t="s">
        <v>156</v>
      </c>
      <c r="I96" s="47" t="s">
        <v>366</v>
      </c>
      <c r="M96" s="38">
        <f t="shared" ca="1" si="4"/>
        <v>167000000000092</v>
      </c>
      <c r="N96" s="6" t="str">
        <f t="shared" ca="1" si="5"/>
        <v>PERFORM "SchData-OLTP-Master"."Func_TblBankAccount_SET"(varSystemLoginSession, null, null, null, null, null, varInstitutionBranchID, varBaseCurrencyID, 166000000000005, '7865198493', 'M Fikri Caesarandi Hasib', 62000000000001, 25000000000155);</v>
      </c>
    </row>
    <row r="97" spans="1:14" x14ac:dyDescent="0.2">
      <c r="B97" s="31">
        <v>25000000000276</v>
      </c>
      <c r="C97" s="44" t="str">
        <f>_xlfn.IFNA(IF(EXACT($B97, ""), "", VLOOKUP($B97, [2]DataLookUp!$C$4:$G$999, 3, FALSE )), "")</f>
        <v>010513665</v>
      </c>
      <c r="D97" s="45" t="str">
        <f>IF(EXACT($B97, ""), "", IF((FLOOR($B97/1000000000000, 1) = 124), VLOOKUP($B97, '[4]DataLookUp - InstitutionBranch'!$B$4:$C$97, 2, FALSE), IF((FLOOR($B97/1000000000000, 1) = 25), VLOOKUP($B97, [3]DataLookUp!$B$4:$D$632, 2, FALSE), "xx")))</f>
        <v>Marten Tabun</v>
      </c>
      <c r="E97" s="46" t="s">
        <v>197</v>
      </c>
      <c r="F97" s="60">
        <f ca="1">IF(EXACT(E97, ""), "", VLOOKUP($E97, OFFSET([1]MAIN!$B$2, 0, 0, 100, 6), 5, FALSE))</f>
        <v>166000000000005</v>
      </c>
      <c r="G97" s="56">
        <v>5750336223</v>
      </c>
      <c r="H97" s="46" t="s">
        <v>110</v>
      </c>
      <c r="I97" s="47" t="s">
        <v>366</v>
      </c>
      <c r="M97" s="38">
        <f t="shared" ca="1" si="4"/>
        <v>167000000000093</v>
      </c>
      <c r="N97" s="6" t="str">
        <f t="shared" ca="1" si="5"/>
        <v>PERFORM "SchData-OLTP-Master"."Func_TblBankAccount_SET"(varSystemLoginSession, null, null, null, null, null, varInstitutionBranchID, varBaseCurrencyID, 166000000000005, '5750336223', 'Marthen Tabun', 62000000000001, 25000000000276);</v>
      </c>
    </row>
    <row r="98" spans="1:14" x14ac:dyDescent="0.2">
      <c r="A98" s="10"/>
      <c r="B98" s="31">
        <v>25000000000553</v>
      </c>
      <c r="C98" s="44" t="str">
        <f>_xlfn.IFNA(IF(EXACT($B98, ""), "", VLOOKUP($B98, [2]DataLookUp!$C$4:$G$999, 3, FALSE )), "")</f>
        <v>010803042</v>
      </c>
      <c r="D98" s="45" t="str">
        <f>IF(EXACT($B98, ""), "", IF((FLOOR($B98/1000000000000, 1) = 124), VLOOKUP($B98, '[4]DataLookUp - InstitutionBranch'!$B$4:$C$97, 2, FALSE), IF((FLOOR($B98/1000000000000, 1) = 25), VLOOKUP($B98, [3]DataLookUp!$B$4:$D$632, 2, FALSE), "xx")))</f>
        <v>Masimin</v>
      </c>
      <c r="E98" s="46" t="s">
        <v>197</v>
      </c>
      <c r="F98" s="60">
        <f ca="1">IF(EXACT(E98, ""), "", VLOOKUP($E98, OFFSET([1]MAIN!$B$2, 0, 0, 100, 6), 5, FALSE))</f>
        <v>166000000000005</v>
      </c>
      <c r="G98" s="56" t="s">
        <v>142</v>
      </c>
      <c r="H98" s="46" t="s">
        <v>111</v>
      </c>
      <c r="I98" s="47" t="s">
        <v>366</v>
      </c>
      <c r="M98" s="38">
        <f t="shared" ca="1" si="4"/>
        <v>167000000000094</v>
      </c>
      <c r="N98" s="6" t="str">
        <f t="shared" ca="1" si="5"/>
        <v>PERFORM "SchData-OLTP-Master"."Func_TblBankAccount_SET"(varSystemLoginSession, null, null, null, null, null, varInstitutionBranchID, varBaseCurrencyID, 166000000000005, '0350189041', 'Masimin', 62000000000001, 25000000000553);</v>
      </c>
    </row>
    <row r="99" spans="1:14" x14ac:dyDescent="0.2">
      <c r="B99" s="31">
        <v>25000000000301</v>
      </c>
      <c r="C99" s="44" t="str">
        <f>_xlfn.IFNA(IF(EXACT($B99, ""), "", VLOOKUP($B99, [2]DataLookUp!$C$4:$G$999, 3, FALSE )), "")</f>
        <v>030105116</v>
      </c>
      <c r="D99" s="45" t="str">
        <f>IF(EXACT($B99, ""), "", IF((FLOOR($B99/1000000000000, 1) = 124), VLOOKUP($B99, '[4]DataLookUp - InstitutionBranch'!$B$4:$C$97, 2, FALSE), IF((FLOOR($B99/1000000000000, 1) = 25), VLOOKUP($B99, [3]DataLookUp!$B$4:$D$632, 2, FALSE), "xx")))</f>
        <v>Mullan Tresna</v>
      </c>
      <c r="E99" s="46" t="s">
        <v>197</v>
      </c>
      <c r="F99" s="60">
        <f ca="1">IF(EXACT(E99, ""), "", VLOOKUP($E99, OFFSET([1]MAIN!$B$2, 0, 0, 100, 6), 5, FALSE))</f>
        <v>166000000000005</v>
      </c>
      <c r="G99" s="56">
        <v>7660282321</v>
      </c>
      <c r="H99" s="46" t="s">
        <v>112</v>
      </c>
      <c r="I99" s="47" t="s">
        <v>366</v>
      </c>
      <c r="M99" s="38">
        <f t="shared" ca="1" si="4"/>
        <v>167000000000095</v>
      </c>
      <c r="N99" s="6" t="str">
        <f t="shared" ca="1" si="5"/>
        <v>PERFORM "SchData-OLTP-Master"."Func_TblBankAccount_SET"(varSystemLoginSession, null, null, null, null, null, varInstitutionBranchID, varBaseCurrencyID, 166000000000005, '7660282321', 'Mullan Tresna', 62000000000001, 25000000000301);</v>
      </c>
    </row>
    <row r="100" spans="1:14" x14ac:dyDescent="0.2">
      <c r="B100" s="31">
        <v>25000000000307</v>
      </c>
      <c r="C100" s="44" t="str">
        <f>_xlfn.IFNA(IF(EXACT($B100, ""), "", VLOOKUP($B100, [2]DataLookUp!$C$4:$G$999, 3, FALSE )), "")</f>
        <v>061106279</v>
      </c>
      <c r="D100" s="45" t="str">
        <f>IF(EXACT($B100, ""), "", IF((FLOOR($B100/1000000000000, 1) = 124), VLOOKUP($B100, '[4]DataLookUp - InstitutionBranch'!$B$4:$C$97, 2, FALSE), IF((FLOOR($B100/1000000000000, 1) = 25), VLOOKUP($B100, [3]DataLookUp!$B$4:$D$632, 2, FALSE), "xx")))</f>
        <v>Nandang Effendi</v>
      </c>
      <c r="E100" s="46" t="s">
        <v>197</v>
      </c>
      <c r="F100" s="60">
        <f ca="1">IF(EXACT(E100, ""), "", VLOOKUP($E100, OFFSET([1]MAIN!$B$2, 0, 0, 100, 6), 5, FALSE))</f>
        <v>166000000000005</v>
      </c>
      <c r="G100" s="56">
        <v>7000245156</v>
      </c>
      <c r="H100" s="46" t="s">
        <v>157</v>
      </c>
      <c r="I100" s="47" t="s">
        <v>366</v>
      </c>
      <c r="M100" s="38">
        <f t="shared" ca="1" si="4"/>
        <v>167000000000096</v>
      </c>
      <c r="N100" s="6" t="str">
        <f t="shared" ca="1" si="5"/>
        <v>PERFORM "SchData-OLTP-Master"."Func_TblBankAccount_SET"(varSystemLoginSession, null, null, null, null, null, varInstitutionBranchID, varBaseCurrencyID, 166000000000005, '7000245156', 'H Nandang Effendi', 62000000000001, 25000000000307);</v>
      </c>
    </row>
    <row r="101" spans="1:14" x14ac:dyDescent="0.2">
      <c r="B101" s="31">
        <v>25000000000325</v>
      </c>
      <c r="C101" s="44" t="str">
        <f>_xlfn.IFNA(IF(EXACT($B101, ""), "", VLOOKUP($B101, [2]DataLookUp!$C$4:$G$999, 3, FALSE )), "")</f>
        <v>070518868</v>
      </c>
      <c r="D101" s="45" t="str">
        <f>IF(EXACT($B101, ""), "", IF((FLOOR($B101/1000000000000, 1) = 124), VLOOKUP($B101, '[4]DataLookUp - InstitutionBranch'!$B$4:$C$97, 2, FALSE), IF((FLOOR($B101/1000000000000, 1) = 25), VLOOKUP($B101, [3]DataLookUp!$B$4:$D$632, 2, FALSE), "xx")))</f>
        <v>Panca Yudi Baskoro</v>
      </c>
      <c r="E101" s="46" t="s">
        <v>197</v>
      </c>
      <c r="F101" s="60">
        <f ca="1">IF(EXACT(E101, ""), "", VLOOKUP($E101, OFFSET([1]MAIN!$B$2, 0, 0, 100, 6), 5, FALSE))</f>
        <v>166000000000005</v>
      </c>
      <c r="G101" s="56">
        <v>8760571998</v>
      </c>
      <c r="H101" s="46" t="s">
        <v>113</v>
      </c>
      <c r="I101" s="47" t="s">
        <v>366</v>
      </c>
      <c r="M101" s="38">
        <f t="shared" ca="1" si="4"/>
        <v>167000000000097</v>
      </c>
      <c r="N101" s="6" t="str">
        <f t="shared" ca="1" si="5"/>
        <v>PERFORM "SchData-OLTP-Master"."Func_TblBankAccount_SET"(varSystemLoginSession, null, null, null, null, null, varInstitutionBranchID, varBaseCurrencyID, 166000000000005, '8760571998', 'Panca Yudi Baskoro', 62000000000001, 25000000000325);</v>
      </c>
    </row>
    <row r="102" spans="1:14" x14ac:dyDescent="0.2">
      <c r="B102" s="31">
        <v>25000000000273</v>
      </c>
      <c r="C102" s="44" t="str">
        <f>_xlfn.IFNA(IF(EXACT($B102, ""), "", VLOOKUP($B102, [2]DataLookUp!$C$4:$G$999, 3, FALSE )), "")</f>
        <v>160603011</v>
      </c>
      <c r="D102" s="45" t="str">
        <f>IF(EXACT($B102, ""), "", IF((FLOOR($B102/1000000000000, 1) = 124), VLOOKUP($B102, '[4]DataLookUp - InstitutionBranch'!$B$4:$C$97, 2, FALSE), IF((FLOOR($B102/1000000000000, 1) = 25), VLOOKUP($B102, [3]DataLookUp!$B$4:$D$632, 2, FALSE), "xx")))</f>
        <v>Pantas Banjarnahor Marbun</v>
      </c>
      <c r="E102" s="46" t="s">
        <v>197</v>
      </c>
      <c r="F102" s="60">
        <f ca="1">IF(EXACT(E102, ""), "", VLOOKUP($E102, OFFSET([1]MAIN!$B$2, 0, 0, 100, 6), 5, FALSE))</f>
        <v>166000000000005</v>
      </c>
      <c r="G102" s="56" t="s">
        <v>143</v>
      </c>
      <c r="H102" s="46" t="s">
        <v>158</v>
      </c>
      <c r="I102" s="47" t="s">
        <v>366</v>
      </c>
      <c r="M102" s="38">
        <f t="shared" ca="1" si="4"/>
        <v>167000000000098</v>
      </c>
      <c r="N102" s="6" t="str">
        <f t="shared" ca="1" si="5"/>
        <v>PERFORM "SchData-OLTP-Master"."Func_TblBankAccount_SET"(varSystemLoginSession, null, null, null, null, null, varInstitutionBranchID, varBaseCurrencyID, 166000000000005, '0060098298', 'Pantas Banjar Nahor', 62000000000001, 25000000000273);</v>
      </c>
    </row>
    <row r="103" spans="1:14" x14ac:dyDescent="0.2">
      <c r="B103" s="31">
        <v>25000000000330</v>
      </c>
      <c r="C103" s="44" t="str">
        <f>_xlfn.IFNA(IF(EXACT($B103, ""), "", VLOOKUP($B103, [2]DataLookUp!$C$4:$G$999, 3, FALSE )), "")</f>
        <v>260115754</v>
      </c>
      <c r="D103" s="45" t="str">
        <f>IF(EXACT($B103, ""), "", IF((FLOOR($B103/1000000000000, 1) = 124), VLOOKUP($B103, '[4]DataLookUp - InstitutionBranch'!$B$4:$C$97, 2, FALSE), IF((FLOOR($B103/1000000000000, 1) = 25), VLOOKUP($B103, [3]DataLookUp!$B$4:$D$632, 2, FALSE), "xx")))</f>
        <v>Prayanti Dewi Anggraini</v>
      </c>
      <c r="E103" s="46" t="s">
        <v>197</v>
      </c>
      <c r="F103" s="60">
        <f ca="1">IF(EXACT(E103, ""), "", VLOOKUP($E103, OFFSET([1]MAIN!$B$2, 0, 0, 100, 6), 5, FALSE))</f>
        <v>166000000000005</v>
      </c>
      <c r="G103" s="56">
        <v>3831252381</v>
      </c>
      <c r="H103" s="46" t="s">
        <v>114</v>
      </c>
      <c r="I103" s="47" t="s">
        <v>366</v>
      </c>
      <c r="M103" s="38">
        <f t="shared" ca="1" si="4"/>
        <v>167000000000099</v>
      </c>
      <c r="N103" s="6" t="str">
        <f t="shared" ca="1" si="5"/>
        <v>PERFORM "SchData-OLTP-Master"."Func_TblBankAccount_SET"(varSystemLoginSession, null, null, null, null, null, varInstitutionBranchID, varBaseCurrencyID, 166000000000005, '3831252381', 'Prayanti Dewi Anggraini', 62000000000001, 25000000000330);</v>
      </c>
    </row>
    <row r="104" spans="1:14" x14ac:dyDescent="0.2">
      <c r="B104" s="31">
        <v>25000000000352</v>
      </c>
      <c r="C104" s="44" t="str">
        <f>_xlfn.IFNA(IF(EXACT($B104, ""), "", VLOOKUP($B104, [2]DataLookUp!$C$4:$G$999, 3, FALSE )), "")</f>
        <v>221110557</v>
      </c>
      <c r="D104" s="45" t="str">
        <f>IF(EXACT($B104, ""), "", IF((FLOOR($B104/1000000000000, 1) = 124), VLOOKUP($B104, '[4]DataLookUp - InstitutionBranch'!$B$4:$C$97, 2, FALSE), IF((FLOOR($B104/1000000000000, 1) = 25), VLOOKUP($B104, [3]DataLookUp!$B$4:$D$632, 2, FALSE), "xx")))</f>
        <v>Rhino Priawan</v>
      </c>
      <c r="E104" s="46" t="s">
        <v>197</v>
      </c>
      <c r="F104" s="60">
        <f ca="1">IF(EXACT(E104, ""), "", VLOOKUP($E104, OFFSET([1]MAIN!$B$2, 0, 0, 100, 6), 5, FALSE))</f>
        <v>166000000000005</v>
      </c>
      <c r="G104" s="56">
        <v>7660268949</v>
      </c>
      <c r="H104" s="46" t="s">
        <v>115</v>
      </c>
      <c r="I104" s="47" t="s">
        <v>366</v>
      </c>
      <c r="M104" s="38">
        <f t="shared" ca="1" si="4"/>
        <v>167000000000100</v>
      </c>
      <c r="N104" s="6" t="str">
        <f t="shared" ca="1" si="5"/>
        <v>PERFORM "SchData-OLTP-Master"."Func_TblBankAccount_SET"(varSystemLoginSession, null, null, null, null, null, varInstitutionBranchID, varBaseCurrencyID, 166000000000005, '7660268949', 'Rhino Priawan', 62000000000001, 25000000000352);</v>
      </c>
    </row>
    <row r="105" spans="1:14" x14ac:dyDescent="0.2">
      <c r="B105" s="31">
        <v>25000000000509</v>
      </c>
      <c r="C105" s="44" t="str">
        <f>_xlfn.IFNA(IF(EXACT($B105, ""), "", VLOOKUP($B105, [2]DataLookUp!$C$4:$G$999, 3, FALSE )), "")</f>
        <v>260716795</v>
      </c>
      <c r="D105" s="45" t="str">
        <f>IF(EXACT($B105, ""), "", IF((FLOOR($B105/1000000000000, 1) = 124), VLOOKUP($B105, '[4]DataLookUp - InstitutionBranch'!$B$4:$C$97, 2, FALSE), IF((FLOOR($B105/1000000000000, 1) = 25), VLOOKUP($B105, [3]DataLookUp!$B$4:$D$632, 2, FALSE), "xx")))</f>
        <v>Riza Emir Subekti</v>
      </c>
      <c r="E105" s="46" t="s">
        <v>197</v>
      </c>
      <c r="F105" s="60">
        <f ca="1">IF(EXACT(E105, ""), "", VLOOKUP($E105, OFFSET([1]MAIN!$B$2, 0, 0, 100, 6), 5, FALSE))</f>
        <v>166000000000005</v>
      </c>
      <c r="G105" s="56">
        <v>2170088924</v>
      </c>
      <c r="H105" s="46" t="s">
        <v>116</v>
      </c>
      <c r="I105" s="47" t="s">
        <v>366</v>
      </c>
      <c r="M105" s="38">
        <f t="shared" ca="1" si="4"/>
        <v>167000000000101</v>
      </c>
      <c r="N105" s="6" t="str">
        <f t="shared" ca="1" si="5"/>
        <v>PERFORM "SchData-OLTP-Master"."Func_TblBankAccount_SET"(varSystemLoginSession, null, null, null, null, null, varInstitutionBranchID, varBaseCurrencyID, 166000000000005, '2170088924', 'Riza Emir Subekti', 62000000000001, 25000000000509);</v>
      </c>
    </row>
    <row r="106" spans="1:14" x14ac:dyDescent="0.2">
      <c r="B106" s="31">
        <v>25000000000381</v>
      </c>
      <c r="C106" s="44" t="str">
        <f>_xlfn.IFNA(IF(EXACT($B106, ""), "", VLOOKUP($B106, [2]DataLookUp!$C$4:$G$999, 3, FALSE )), "")</f>
        <v>161220941</v>
      </c>
      <c r="D106" s="45" t="str">
        <f>IF(EXACT($B106, ""), "", IF((FLOOR($B106/1000000000000, 1) = 124), VLOOKUP($B106, '[4]DataLookUp - InstitutionBranch'!$B$4:$C$97, 2, FALSE), IF((FLOOR($B106/1000000000000, 1) = 25), VLOOKUP($B106, [3]DataLookUp!$B$4:$D$632, 2, FALSE), "xx")))</f>
        <v>Sakinah Tantriani Lubis</v>
      </c>
      <c r="E106" s="46" t="s">
        <v>197</v>
      </c>
      <c r="F106" s="60">
        <f ca="1">IF(EXACT(E106, ""), "", VLOOKUP($E106, OFFSET([1]MAIN!$B$2, 0, 0, 100, 6), 5, FALSE))</f>
        <v>166000000000005</v>
      </c>
      <c r="G106" s="56">
        <v>5025005331</v>
      </c>
      <c r="H106" s="46" t="s">
        <v>159</v>
      </c>
      <c r="I106" s="47" t="s">
        <v>366</v>
      </c>
      <c r="M106" s="38">
        <f t="shared" ca="1" si="4"/>
        <v>167000000000102</v>
      </c>
      <c r="N106" s="6" t="str">
        <f t="shared" ca="1" si="5"/>
        <v>PERFORM "SchData-OLTP-Master"."Func_TblBankAccount_SET"(varSystemLoginSession, null, null, null, null, null, varInstitutionBranchID, varBaseCurrencyID, 166000000000005, '5025005331', 'Sakinah Tantriani', 62000000000001, 25000000000381);</v>
      </c>
    </row>
    <row r="107" spans="1:14" x14ac:dyDescent="0.2">
      <c r="B107" s="31">
        <v>25000000000391</v>
      </c>
      <c r="C107" s="44" t="str">
        <f>_xlfn.IFNA(IF(EXACT($B107, ""), "", VLOOKUP($B107, [2]DataLookUp!$C$4:$G$999, 3, FALSE )), "")</f>
        <v>141118892</v>
      </c>
      <c r="D107" s="45" t="str">
        <f>IF(EXACT($B107, ""), "", IF((FLOOR($B107/1000000000000, 1) = 124), VLOOKUP($B107, '[4]DataLookUp - InstitutionBranch'!$B$4:$C$97, 2, FALSE), IF((FLOOR($B107/1000000000000, 1) = 25), VLOOKUP($B107, [3]DataLookUp!$B$4:$D$632, 2, FALSE), "xx")))</f>
        <v>Seftiyan Hadi Maulana</v>
      </c>
      <c r="E107" s="46" t="s">
        <v>197</v>
      </c>
      <c r="F107" s="60">
        <f ca="1">IF(EXACT(E107, ""), "", VLOOKUP($E107, OFFSET([1]MAIN!$B$2, 0, 0, 100, 6), 5, FALSE))</f>
        <v>166000000000005</v>
      </c>
      <c r="G107" s="56" t="s">
        <v>144</v>
      </c>
      <c r="H107" s="46" t="s">
        <v>117</v>
      </c>
      <c r="I107" s="47" t="s">
        <v>366</v>
      </c>
      <c r="M107" s="38">
        <f t="shared" ca="1" si="4"/>
        <v>167000000000103</v>
      </c>
      <c r="N107" s="6" t="str">
        <f t="shared" ca="1" si="5"/>
        <v>PERFORM "SchData-OLTP-Master"."Func_TblBankAccount_SET"(varSystemLoginSession, null, null, null, null, null, varInstitutionBranchID, varBaseCurrencyID, 166000000000005, '5325315714', 'Seftiyan Hadi Maulana', 62000000000001, 25000000000391);</v>
      </c>
    </row>
    <row r="108" spans="1:14" x14ac:dyDescent="0.2">
      <c r="B108" s="31">
        <v>25000000000393</v>
      </c>
      <c r="C108" s="44" t="str">
        <f>_xlfn.IFNA(IF(EXACT($B108, ""), "", VLOOKUP($B108, [2]DataLookUp!$C$4:$G$999, 3, FALSE )), "")</f>
        <v>130906272</v>
      </c>
      <c r="D108" s="45" t="str">
        <f>IF(EXACT($B108, ""), "", IF((FLOOR($B108/1000000000000, 1) = 124), VLOOKUP($B108, '[4]DataLookUp - InstitutionBranch'!$B$4:$C$97, 2, FALSE), IF((FLOOR($B108/1000000000000, 1) = 25), VLOOKUP($B108, [3]DataLookUp!$B$4:$D$632, 2, FALSE), "xx")))</f>
        <v>Setiadi</v>
      </c>
      <c r="E108" s="46" t="s">
        <v>197</v>
      </c>
      <c r="F108" s="60">
        <f ca="1">IF(EXACT(E108, ""), "", VLOOKUP($E108, OFFSET([1]MAIN!$B$2, 0, 0, 100, 6), 5, FALSE))</f>
        <v>166000000000005</v>
      </c>
      <c r="G108" s="56">
        <v>2101238654</v>
      </c>
      <c r="H108" s="46" t="s">
        <v>118</v>
      </c>
      <c r="I108" s="47" t="s">
        <v>366</v>
      </c>
      <c r="M108" s="38">
        <f t="shared" ca="1" si="4"/>
        <v>167000000000104</v>
      </c>
      <c r="N108" s="6" t="str">
        <f t="shared" ca="1" si="5"/>
        <v>PERFORM "SchData-OLTP-Master"."Func_TblBankAccount_SET"(varSystemLoginSession, null, null, null, null, null, varInstitutionBranchID, varBaseCurrencyID, 166000000000005, '2101238654', 'Setiadi', 62000000000001, 25000000000393);</v>
      </c>
    </row>
    <row r="109" spans="1:14" x14ac:dyDescent="0.2">
      <c r="B109" s="31">
        <v>25000000000397</v>
      </c>
      <c r="C109" s="44" t="str">
        <f>_xlfn.IFNA(IF(EXACT($B109, ""), "", VLOOKUP($B109, [2]DataLookUp!$C$4:$G$999, 3, FALSE )), "")</f>
        <v>240518874</v>
      </c>
      <c r="D109" s="45" t="str">
        <f>IF(EXACT($B109, ""), "", IF((FLOOR($B109/1000000000000, 1) = 124), VLOOKUP($B109, '[4]DataLookUp - InstitutionBranch'!$B$4:$C$97, 2, FALSE), IF((FLOOR($B109/1000000000000, 1) = 25), VLOOKUP($B109, [3]DataLookUp!$B$4:$D$632, 2, FALSE), "xx")))</f>
        <v>Sholehah</v>
      </c>
      <c r="E109" s="46" t="s">
        <v>197</v>
      </c>
      <c r="F109" s="60">
        <f ca="1">IF(EXACT(E109, ""), "", VLOOKUP($E109, OFFSET([1]MAIN!$B$2, 0, 0, 100, 6), 5, FALSE))</f>
        <v>166000000000005</v>
      </c>
      <c r="G109" s="56" t="s">
        <v>72</v>
      </c>
      <c r="H109" s="46" t="s">
        <v>73</v>
      </c>
      <c r="I109" s="47" t="s">
        <v>366</v>
      </c>
      <c r="M109" s="38">
        <f t="shared" ca="1" si="4"/>
        <v>167000000000105</v>
      </c>
      <c r="N109" s="6" t="str">
        <f t="shared" ca="1" si="5"/>
        <v>PERFORM "SchData-OLTP-Master"."Func_TblBankAccount_SET"(varSystemLoginSession, null, null, null, null, null, varInstitutionBranchID, varBaseCurrencyID, 166000000000005, '0670059618', 'Sholehah', 62000000000001, 25000000000397);</v>
      </c>
    </row>
    <row r="110" spans="1:14" x14ac:dyDescent="0.2">
      <c r="B110" s="31">
        <v>25000000000412</v>
      </c>
      <c r="C110" s="44" t="str">
        <f>_xlfn.IFNA(IF(EXACT($B110, ""), "", VLOOKUP($B110, [2]DataLookUp!$C$4:$G$999, 3, FALSE )), "")</f>
        <v>010507354</v>
      </c>
      <c r="D110" s="45" t="str">
        <f>IF(EXACT($B110, ""), "", IF((FLOOR($B110/1000000000000, 1) = 124), VLOOKUP($B110, '[4]DataLookUp - InstitutionBranch'!$B$4:$C$97, 2, FALSE), IF((FLOOR($B110/1000000000000, 1) = 25), VLOOKUP($B110, [3]DataLookUp!$B$4:$D$632, 2, FALSE), "xx")))</f>
        <v>Sudarlan</v>
      </c>
      <c r="E110" s="46" t="s">
        <v>197</v>
      </c>
      <c r="F110" s="60">
        <f ca="1">IF(EXACT(E110, ""), "", VLOOKUP($E110, OFFSET([1]MAIN!$B$2, 0, 0, 100, 6), 5, FALSE))</f>
        <v>166000000000005</v>
      </c>
      <c r="G110" s="56">
        <v>5750223151</v>
      </c>
      <c r="H110" s="46" t="s">
        <v>119</v>
      </c>
      <c r="I110" s="47" t="s">
        <v>366</v>
      </c>
      <c r="M110" s="38">
        <f t="shared" ca="1" si="4"/>
        <v>167000000000106</v>
      </c>
      <c r="N110" s="6" t="str">
        <f t="shared" ca="1" si="5"/>
        <v>PERFORM "SchData-OLTP-Master"."Func_TblBankAccount_SET"(varSystemLoginSession, null, null, null, null, null, varInstitutionBranchID, varBaseCurrencyID, 166000000000005, '5750223151', 'Sudarlan', 62000000000001, 25000000000412);</v>
      </c>
    </row>
    <row r="111" spans="1:14" x14ac:dyDescent="0.2">
      <c r="B111" s="31">
        <v>25000000000413</v>
      </c>
      <c r="C111" s="44" t="str">
        <f>_xlfn.IFNA(IF(EXACT($B111, ""), "", VLOOKUP($B111, [2]DataLookUp!$C$4:$G$999, 3, FALSE )), "")</f>
        <v>140421948</v>
      </c>
      <c r="D111" s="45" t="str">
        <f>IF(EXACT($B111, ""), "", IF((FLOOR($B111/1000000000000, 1) = 124), VLOOKUP($B111, '[4]DataLookUp - InstitutionBranch'!$B$4:$C$97, 2, FALSE), IF((FLOOR($B111/1000000000000, 1) = 25), VLOOKUP($B111, [3]DataLookUp!$B$4:$D$632, 2, FALSE), "xx")))</f>
        <v>Sufie Amalia</v>
      </c>
      <c r="E111" s="46" t="s">
        <v>197</v>
      </c>
      <c r="F111" s="60">
        <f ca="1">IF(EXACT(E111, ""), "", VLOOKUP($E111, OFFSET([1]MAIN!$B$2, 0, 0, 100, 6), 5, FALSE))</f>
        <v>166000000000005</v>
      </c>
      <c r="G111" s="56">
        <v>5490332288</v>
      </c>
      <c r="H111" s="46" t="s">
        <v>120</v>
      </c>
      <c r="I111" s="47" t="s">
        <v>366</v>
      </c>
      <c r="M111" s="38">
        <f t="shared" ca="1" si="4"/>
        <v>167000000000107</v>
      </c>
      <c r="N111" s="6" t="str">
        <f t="shared" ca="1" si="5"/>
        <v>PERFORM "SchData-OLTP-Master"."Func_TblBankAccount_SET"(varSystemLoginSession, null, null, null, null, null, varInstitutionBranchID, varBaseCurrencyID, 166000000000005, '5490332288', 'Sufie Amalia', 62000000000001, 25000000000413);</v>
      </c>
    </row>
    <row r="112" spans="1:14" x14ac:dyDescent="0.2">
      <c r="B112" s="31">
        <v>25000000000428</v>
      </c>
      <c r="C112" s="44" t="str">
        <f>_xlfn.IFNA(IF(EXACT($B112, ""), "", VLOOKUP($B112, [2]DataLookUp!$C$4:$G$999, 3, FALSE )), "")</f>
        <v>261219925</v>
      </c>
      <c r="D112" s="45" t="str">
        <f>IF(EXACT($B112, ""), "", IF((FLOOR($B112/1000000000000, 1) = 124), VLOOKUP($B112, '[4]DataLookUp - InstitutionBranch'!$B$4:$C$97, 2, FALSE), IF((FLOOR($B112/1000000000000, 1) = 25), VLOOKUP($B112, [3]DataLookUp!$B$4:$D$632, 2, FALSE), "xx")))</f>
        <v>Suyanto</v>
      </c>
      <c r="E112" s="46" t="s">
        <v>197</v>
      </c>
      <c r="F112" s="60">
        <f ca="1">IF(EXACT(E112, ""), "", VLOOKUP($E112, OFFSET([1]MAIN!$B$2, 0, 0, 100, 6), 5, FALSE))</f>
        <v>166000000000005</v>
      </c>
      <c r="G112" s="56">
        <v>1280421665</v>
      </c>
      <c r="H112" s="46" t="s">
        <v>121</v>
      </c>
      <c r="I112" s="47" t="s">
        <v>366</v>
      </c>
      <c r="M112" s="38">
        <f t="shared" ca="1" si="4"/>
        <v>167000000000108</v>
      </c>
      <c r="N112" s="6" t="str">
        <f t="shared" ca="1" si="5"/>
        <v>PERFORM "SchData-OLTP-Master"."Func_TblBankAccount_SET"(varSystemLoginSession, null, null, null, null, null, varInstitutionBranchID, varBaseCurrencyID, 166000000000005, '1280421665', 'Suyanto', 62000000000001, 25000000000428);</v>
      </c>
    </row>
    <row r="113" spans="2:14" x14ac:dyDescent="0.2">
      <c r="B113" s="31">
        <v>25000000000278</v>
      </c>
      <c r="C113" s="44" t="str">
        <f>_xlfn.IFNA(IF(EXACT($B113, ""), "", VLOOKUP($B113, [2]DataLookUp!$C$4:$G$999, 3, FALSE )), "")</f>
        <v>010210516</v>
      </c>
      <c r="D113" s="45" t="str">
        <f>IF(EXACT($B113, ""), "", IF((FLOOR($B113/1000000000000, 1) = 124), VLOOKUP($B113, '[4]DataLookUp - InstitutionBranch'!$B$4:$C$97, 2, FALSE), IF((FLOOR($B113/1000000000000, 1) = 25), VLOOKUP($B113, [3]DataLookUp!$B$4:$D$632, 2, FALSE), "xx")))</f>
        <v>T. Marungkil U. S. Sagala</v>
      </c>
      <c r="E113" s="46" t="s">
        <v>197</v>
      </c>
      <c r="F113" s="60">
        <f ca="1">IF(EXACT(E113, ""), "", VLOOKUP($E113, OFFSET([1]MAIN!$B$2, 0, 0, 100, 6), 5, FALSE))</f>
        <v>166000000000005</v>
      </c>
      <c r="G113" s="56">
        <v>7660251671</v>
      </c>
      <c r="H113" s="46" t="s">
        <v>160</v>
      </c>
      <c r="I113" s="47" t="s">
        <v>366</v>
      </c>
      <c r="M113" s="38">
        <f t="shared" ca="1" si="4"/>
        <v>167000000000109</v>
      </c>
      <c r="N113" s="6" t="str">
        <f t="shared" ca="1" si="5"/>
        <v>PERFORM "SchData-OLTP-Master"."Func_TblBankAccount_SET"(varSystemLoginSession, null, null, null, null, null, varInstitutionBranchID, varBaseCurrencyID, 166000000000005, '7660251671', 'T Marungkil U S Sagala', 62000000000001, 25000000000278);</v>
      </c>
    </row>
    <row r="114" spans="2:14" x14ac:dyDescent="0.2">
      <c r="B114" s="31">
        <v>25000000000452</v>
      </c>
      <c r="C114" s="44" t="str">
        <f>_xlfn.IFNA(IF(EXACT($B114, ""), "", VLOOKUP($B114, [2]DataLookUp!$C$4:$G$999, 3, FALSE )), "")</f>
        <v>090818879</v>
      </c>
      <c r="D114" s="45" t="str">
        <f>IF(EXACT($B114, ""), "", IF((FLOOR($B114/1000000000000, 1) = 124), VLOOKUP($B114, '[4]DataLookUp - InstitutionBranch'!$B$4:$C$97, 2, FALSE), IF((FLOOR($B114/1000000000000, 1) = 25), VLOOKUP($B114, [3]DataLookUp!$B$4:$D$632, 2, FALSE), "xx")))</f>
        <v>Turita Pramuning Marantina</v>
      </c>
      <c r="E114" s="46" t="s">
        <v>197</v>
      </c>
      <c r="F114" s="60">
        <f ca="1">IF(EXACT(E114, ""), "", VLOOKUP($E114, OFFSET([1]MAIN!$B$2, 0, 0, 100, 6), 5, FALSE))</f>
        <v>166000000000005</v>
      </c>
      <c r="G114" s="56" t="s">
        <v>145</v>
      </c>
      <c r="H114" s="46" t="s">
        <v>161</v>
      </c>
      <c r="I114" s="47" t="s">
        <v>366</v>
      </c>
      <c r="M114" s="38">
        <f t="shared" ca="1" si="4"/>
        <v>167000000000110</v>
      </c>
      <c r="N114" s="6" t="str">
        <f t="shared" ca="1" si="5"/>
        <v>PERFORM "SchData-OLTP-Master"."Func_TblBankAccount_SET"(varSystemLoginSession, null, null, null, null, null, varInstitutionBranchID, varBaseCurrencyID, 166000000000005, '3751363751', 'Turita Pramuning M Ir', 62000000000001, 25000000000452);</v>
      </c>
    </row>
    <row r="115" spans="2:14" x14ac:dyDescent="0.2">
      <c r="B115" s="31">
        <v>25000000000467</v>
      </c>
      <c r="C115" s="44" t="str">
        <f>_xlfn.IFNA(IF(EXACT($B115, ""), "", VLOOKUP($B115, [2]DataLookUp!$C$4:$G$999, 3, FALSE )), "")</f>
        <v>040219900</v>
      </c>
      <c r="D115" s="45" t="str">
        <f>IF(EXACT($B115, ""), "", IF((FLOOR($B115/1000000000000, 1) = 124), VLOOKUP($B115, '[4]DataLookUp - InstitutionBranch'!$B$4:$C$97, 2, FALSE), IF((FLOOR($B115/1000000000000, 1) = 25), VLOOKUP($B115, [3]DataLookUp!$B$4:$D$632, 2, FALSE), "xx")))</f>
        <v>Wahyu Ramadhani</v>
      </c>
      <c r="E115" s="46" t="s">
        <v>197</v>
      </c>
      <c r="F115" s="60">
        <f ca="1">IF(EXACT(E115, ""), "", VLOOKUP($E115, OFFSET([1]MAIN!$B$2, 0, 0, 100, 6), 5, FALSE))</f>
        <v>166000000000005</v>
      </c>
      <c r="G115" s="56">
        <v>5520532155</v>
      </c>
      <c r="H115" s="46" t="s">
        <v>122</v>
      </c>
      <c r="I115" s="47" t="s">
        <v>366</v>
      </c>
      <c r="M115" s="38">
        <f t="shared" ca="1" si="4"/>
        <v>167000000000111</v>
      </c>
      <c r="N115" s="6" t="str">
        <f t="shared" ca="1" si="5"/>
        <v>PERFORM "SchData-OLTP-Master"."Func_TblBankAccount_SET"(varSystemLoginSession, null, null, null, null, null, varInstitutionBranchID, varBaseCurrencyID, 166000000000005, '5520532155', 'Wahyu Ramadhani', 62000000000001, 25000000000467);</v>
      </c>
    </row>
    <row r="116" spans="2:14" x14ac:dyDescent="0.2">
      <c r="B116" s="31">
        <v>25000000000542</v>
      </c>
      <c r="C116" s="44" t="str">
        <f>_xlfn.IFNA(IF(EXACT($B116, ""), "", VLOOKUP($B116, [2]DataLookUp!$C$4:$G$999, 3, FALSE )), "")</f>
        <v>240122958</v>
      </c>
      <c r="D116" s="45" t="str">
        <f>IF(EXACT($B116, ""), "", IF((FLOOR($B116/1000000000000, 1) = 124), VLOOKUP($B116, '[4]DataLookUp - InstitutionBranch'!$B$4:$C$97, 2, FALSE), IF((FLOOR($B116/1000000000000, 1) = 25), VLOOKUP($B116, [3]DataLookUp!$B$4:$D$632, 2, FALSE), "xx")))</f>
        <v>Wardah Laily Khoiriyah</v>
      </c>
      <c r="E116" s="46" t="s">
        <v>197</v>
      </c>
      <c r="F116" s="60">
        <f ca="1">IF(EXACT(E116, ""), "", VLOOKUP($E116, OFFSET([1]MAIN!$B$2, 0, 0, 100, 6), 5, FALSE))</f>
        <v>166000000000005</v>
      </c>
      <c r="G116" s="56">
        <v>8670430678</v>
      </c>
      <c r="H116" s="46" t="s">
        <v>123</v>
      </c>
      <c r="I116" s="47" t="s">
        <v>366</v>
      </c>
      <c r="M116" s="38">
        <f t="shared" ca="1" si="4"/>
        <v>167000000000112</v>
      </c>
      <c r="N116" s="6" t="str">
        <f t="shared" ca="1" si="5"/>
        <v>PERFORM "SchData-OLTP-Master"."Func_TblBankAccount_SET"(varSystemLoginSession, null, null, null, null, null, varInstitutionBranchID, varBaseCurrencyID, 166000000000005, '8670430678', 'Wardah Laily Khoiriyah', 62000000000001, 25000000000542);</v>
      </c>
    </row>
    <row r="117" spans="2:14" x14ac:dyDescent="0.2">
      <c r="B117" s="31">
        <v>25000000000474</v>
      </c>
      <c r="C117" s="44" t="str">
        <f>_xlfn.IFNA(IF(EXACT($B117, ""), "", VLOOKUP($B117, [2]DataLookUp!$C$4:$G$999, 3, FALSE )), "")</f>
        <v>280618877</v>
      </c>
      <c r="D117" s="45" t="str">
        <f>IF(EXACT($B117, ""), "", IF((FLOOR($B117/1000000000000, 1) = 124), VLOOKUP($B117, '[4]DataLookUp - InstitutionBranch'!$B$4:$C$97, 2, FALSE), IF((FLOOR($B117/1000000000000, 1) = 25), VLOOKUP($B117, [3]DataLookUp!$B$4:$D$632, 2, FALSE), "xx")))</f>
        <v>Wisnu Ardian</v>
      </c>
      <c r="E117" s="46" t="s">
        <v>197</v>
      </c>
      <c r="F117" s="60">
        <f ca="1">IF(EXACT(E117, ""), "", VLOOKUP($E117, OFFSET([1]MAIN!$B$2, 0, 0, 100, 6), 5, FALSE))</f>
        <v>166000000000005</v>
      </c>
      <c r="G117" s="56">
        <v>2910590742</v>
      </c>
      <c r="H117" s="46" t="s">
        <v>124</v>
      </c>
      <c r="I117" s="47" t="s">
        <v>366</v>
      </c>
      <c r="M117" s="38">
        <f t="shared" ca="1" si="4"/>
        <v>167000000000113</v>
      </c>
      <c r="N117" s="6" t="str">
        <f t="shared" ca="1" si="5"/>
        <v>PERFORM "SchData-OLTP-Master"."Func_TblBankAccount_SET"(varSystemLoginSession, null, null, null, null, null, varInstitutionBranchID, varBaseCurrencyID, 166000000000005, '2910590742', 'Wisnu Ardian', 62000000000001, 25000000000474);</v>
      </c>
    </row>
    <row r="118" spans="2:14" x14ac:dyDescent="0.2">
      <c r="B118" s="31">
        <v>25000000000544</v>
      </c>
      <c r="C118" s="44" t="str">
        <f>_xlfn.IFNA(IF(EXACT($B118, ""), "", VLOOKUP($B118, [2]DataLookUp!$C$4:$G$999, 3, FALSE )), "")</f>
        <v>180822966</v>
      </c>
      <c r="D118" s="45" t="str">
        <f>IF(EXACT($B118, ""), "", IF((FLOOR($B118/1000000000000, 1) = 124), VLOOKUP($B118, '[4]DataLookUp - InstitutionBranch'!$B$4:$C$97, 2, FALSE), IF((FLOOR($B118/1000000000000, 1) = 25), VLOOKUP($B118, [3]DataLookUp!$B$4:$D$632, 2, FALSE), "xx")))</f>
        <v>Wulanraniasih</v>
      </c>
      <c r="E118" s="46" t="s">
        <v>197</v>
      </c>
      <c r="F118" s="60">
        <f ca="1">IF(EXACT(E118, ""), "", VLOOKUP($E118, OFFSET([1]MAIN!$B$2, 0, 0, 100, 6), 5, FALSE))</f>
        <v>166000000000005</v>
      </c>
      <c r="G118" s="56">
        <v>6860316941</v>
      </c>
      <c r="H118" s="46" t="s">
        <v>125</v>
      </c>
      <c r="I118" s="47" t="s">
        <v>366</v>
      </c>
      <c r="M118" s="38">
        <f t="shared" ca="1" si="4"/>
        <v>167000000000114</v>
      </c>
      <c r="N118" s="6" t="str">
        <f t="shared" ca="1" si="5"/>
        <v>PERFORM "SchData-OLTP-Master"."Func_TblBankAccount_SET"(varSystemLoginSession, null, null, null, null, null, varInstitutionBranchID, varBaseCurrencyID, 166000000000005, '6860316941', 'Wulanraniasih', 62000000000001, 25000000000544);</v>
      </c>
    </row>
    <row r="119" spans="2:14" x14ac:dyDescent="0.2">
      <c r="B119" s="31">
        <v>25000000000487</v>
      </c>
      <c r="C119" s="44" t="str">
        <f>_xlfn.IFNA(IF(EXACT($B119, ""), "", VLOOKUP($B119, [2]DataLookUp!$C$4:$G$999, 3, FALSE )), "")</f>
        <v>160714734</v>
      </c>
      <c r="D119" s="45" t="str">
        <f>IF(EXACT($B119, ""), "", IF((FLOOR($B119/1000000000000, 1) = 124), VLOOKUP($B119, '[4]DataLookUp - InstitutionBranch'!$B$4:$C$97, 2, FALSE), IF((FLOOR($B119/1000000000000, 1) = 25), VLOOKUP($B119, [3]DataLookUp!$B$4:$D$632, 2, FALSE), "xx")))</f>
        <v>Yuliandaru Suryoatmodjo</v>
      </c>
      <c r="E119" s="46" t="s">
        <v>197</v>
      </c>
      <c r="F119" s="60">
        <f ca="1">IF(EXACT(E119, ""), "", VLOOKUP($E119, OFFSET([1]MAIN!$B$2, 0, 0, 100, 6), 5, FALSE))</f>
        <v>166000000000005</v>
      </c>
      <c r="G119" s="56">
        <v>3721127379</v>
      </c>
      <c r="H119" s="46" t="s">
        <v>126</v>
      </c>
      <c r="I119" s="47" t="s">
        <v>366</v>
      </c>
      <c r="M119" s="38">
        <f t="shared" ca="1" si="4"/>
        <v>167000000000115</v>
      </c>
      <c r="N119" s="6" t="str">
        <f t="shared" ca="1" si="5"/>
        <v>PERFORM "SchData-OLTP-Master"."Func_TblBankAccount_SET"(varSystemLoginSession, null, null, null, null, null, varInstitutionBranchID, varBaseCurrencyID, 166000000000005, '3721127379', 'Yuliandaru Suryoatmodjo', 62000000000001, 25000000000487);</v>
      </c>
    </row>
    <row r="120" spans="2:14" x14ac:dyDescent="0.2">
      <c r="B120" s="31">
        <v>25000000000497</v>
      </c>
      <c r="C120" s="44" t="str">
        <f>_xlfn.IFNA(IF(EXACT($B120, ""), "", VLOOKUP($B120, [2]DataLookUp!$C$4:$G$999, 3, FALSE )), "")</f>
        <v>090819915</v>
      </c>
      <c r="D120" s="45" t="str">
        <f>IF(EXACT($B120, ""), "", IF((FLOOR($B120/1000000000000, 1) = 124), VLOOKUP($B120, '[4]DataLookUp - InstitutionBranch'!$B$4:$C$97, 2, FALSE), IF((FLOOR($B120/1000000000000, 1) = 25), VLOOKUP($B120, [3]DataLookUp!$B$4:$D$632, 2, FALSE), "xx")))</f>
        <v>Zainudin Anwar</v>
      </c>
      <c r="E120" s="46" t="s">
        <v>197</v>
      </c>
      <c r="F120" s="60">
        <f ca="1">IF(EXACT(E120, ""), "", VLOOKUP($E120, OFFSET([1]MAIN!$B$2, 0, 0, 100, 6), 5, FALSE))</f>
        <v>166000000000005</v>
      </c>
      <c r="G120" s="56">
        <v>5520552261</v>
      </c>
      <c r="H120" s="46" t="s">
        <v>127</v>
      </c>
      <c r="I120" s="47" t="s">
        <v>366</v>
      </c>
      <c r="M120" s="38">
        <f t="shared" ca="1" si="4"/>
        <v>167000000000116</v>
      </c>
      <c r="N120" s="6" t="str">
        <f t="shared" ca="1" si="5"/>
        <v>PERFORM "SchData-OLTP-Master"."Func_TblBankAccount_SET"(varSystemLoginSession, null, null, null, null, null, varInstitutionBranchID, varBaseCurrencyID, 166000000000005, '5520552261', 'Zainudin Anwar', 62000000000001, 25000000000497);</v>
      </c>
    </row>
    <row r="121" spans="2:14" x14ac:dyDescent="0.2">
      <c r="B121" s="31">
        <v>25000000000556</v>
      </c>
      <c r="C121" s="44" t="str">
        <f>_xlfn.IFNA(IF(EXACT($B121, ""), "", VLOOKUP($B121, [2]DataLookUp!$C$4:$G$999, 3, FALSE )), "")</f>
        <v/>
      </c>
      <c r="D121" s="45" t="str">
        <f>IF(EXACT($B121, ""), "", IF((FLOOR($B121/1000000000000, 1) = 124), VLOOKUP($B121, '[4]DataLookUp - InstitutionBranch'!$B$4:$C$97, 2, FALSE), IF((FLOOR($B121/1000000000000, 1) = 25), VLOOKUP($B121, [3]DataLookUp!$B$4:$D$632, 2, FALSE), "xx")))</f>
        <v>Yusarman</v>
      </c>
      <c r="E121" s="46" t="s">
        <v>197</v>
      </c>
      <c r="F121" s="60">
        <f ca="1">IF(EXACT(E121, ""), "", VLOOKUP($E121, OFFSET([1]MAIN!$B$2, 0, 0, 100, 6), 5, FALSE))</f>
        <v>166000000000005</v>
      </c>
      <c r="G121" s="56" t="s">
        <v>146</v>
      </c>
      <c r="H121" s="46" t="s">
        <v>128</v>
      </c>
      <c r="I121" s="47" t="s">
        <v>366</v>
      </c>
      <c r="M121" s="38">
        <f t="shared" ca="1" si="4"/>
        <v>167000000000117</v>
      </c>
      <c r="N121" s="6" t="str">
        <f t="shared" ca="1" si="5"/>
        <v>PERFORM "SchData-OLTP-Master"."Func_TblBankAccount_SET"(varSystemLoginSession, null, null, null, null, null, varInstitutionBranchID, varBaseCurrencyID, 166000000000005, '0011754723', 'Yusarman SH', 62000000000001, 25000000000556);</v>
      </c>
    </row>
    <row r="122" spans="2:14" x14ac:dyDescent="0.2">
      <c r="B122" s="31">
        <v>25000000000237</v>
      </c>
      <c r="C122" s="44" t="str">
        <f>_xlfn.IFNA(IF(EXACT($B122, ""), "", VLOOKUP($B122, [2]DataLookUp!$C$4:$G$999, 3, FALSE )), "")</f>
        <v/>
      </c>
      <c r="D122" s="45" t="str">
        <f>IF(EXACT($B122, ""), "", IF((FLOOR($B122/1000000000000, 1) = 124), VLOOKUP($B122, '[4]DataLookUp - InstitutionBranch'!$B$4:$C$97, 2, FALSE), IF((FLOOR($B122/1000000000000, 1) = 25), VLOOKUP($B122, [3]DataLookUp!$B$4:$D$632, 2, FALSE), "xx")))</f>
        <v>Jonhar Aziz</v>
      </c>
      <c r="E122" s="46" t="s">
        <v>197</v>
      </c>
      <c r="F122" s="60">
        <f ca="1">IF(EXACT(E122, ""), "", VLOOKUP($E122, OFFSET([1]MAIN!$B$2, 0, 0, 100, 6), 5, FALSE))</f>
        <v>166000000000005</v>
      </c>
      <c r="G122" s="56">
        <v>2821395781</v>
      </c>
      <c r="H122" s="46" t="s">
        <v>129</v>
      </c>
      <c r="I122" s="47" t="s">
        <v>366</v>
      </c>
      <c r="M122" s="38">
        <f t="shared" ca="1" si="4"/>
        <v>167000000000118</v>
      </c>
      <c r="N122" s="6" t="str">
        <f t="shared" ca="1" si="5"/>
        <v>PERFORM "SchData-OLTP-Master"."Func_TblBankAccount_SET"(varSystemLoginSession, null, null, null, null, null, varInstitutionBranchID, varBaseCurrencyID, 166000000000005, '2821395781', 'Jonhar Aziz', 62000000000001, 25000000000237);</v>
      </c>
    </row>
    <row r="123" spans="2:14" x14ac:dyDescent="0.2">
      <c r="B123" s="31">
        <v>25000000000555</v>
      </c>
      <c r="C123" s="44" t="str">
        <f>_xlfn.IFNA(IF(EXACT($B123, ""), "", VLOOKUP($B123, [2]DataLookUp!$C$4:$G$999, 3, FALSE )), "")</f>
        <v/>
      </c>
      <c r="D123" s="45" t="str">
        <f>IF(EXACT($B123, ""), "", IF((FLOOR($B123/1000000000000, 1) = 124), VLOOKUP($B123, '[4]DataLookUp - InstitutionBranch'!$B$4:$C$97, 2, FALSE), IF((FLOOR($B123/1000000000000, 1) = 25), VLOOKUP($B123, [3]DataLookUp!$B$4:$D$632, 2, FALSE), "xx")))</f>
        <v>Wartono</v>
      </c>
      <c r="E123" s="46" t="s">
        <v>197</v>
      </c>
      <c r="F123" s="60">
        <f ca="1">IF(EXACT(E123, ""), "", VLOOKUP($E123, OFFSET([1]MAIN!$B$2, 0, 0, 100, 6), 5, FALSE))</f>
        <v>166000000000005</v>
      </c>
      <c r="G123" s="56">
        <v>2281429789</v>
      </c>
      <c r="H123" s="46" t="s">
        <v>130</v>
      </c>
      <c r="I123" s="47" t="s">
        <v>366</v>
      </c>
      <c r="M123" s="38">
        <f t="shared" ca="1" si="4"/>
        <v>167000000000119</v>
      </c>
      <c r="N123" s="6" t="str">
        <f t="shared" ca="1" si="5"/>
        <v>PERFORM "SchData-OLTP-Master"."Func_TblBankAccount_SET"(varSystemLoginSession, null, null, null, null, null, varInstitutionBranchID, varBaseCurrencyID, 166000000000005, '2281429789', 'Wartono', 62000000000001, 25000000000555);</v>
      </c>
    </row>
    <row r="124" spans="2:14" x14ac:dyDescent="0.2">
      <c r="B124" s="31">
        <v>25000000000554</v>
      </c>
      <c r="C124" s="44" t="str">
        <f>_xlfn.IFNA(IF(EXACT($B124, ""), "", VLOOKUP($B124, [2]DataLookUp!$C$4:$G$999, 3, FALSE )), "")</f>
        <v/>
      </c>
      <c r="D124" s="45" t="str">
        <f>IF(EXACT($B124, ""), "", IF((FLOOR($B124/1000000000000, 1) = 124), VLOOKUP($B124, '[4]DataLookUp - InstitutionBranch'!$B$4:$C$97, 2, FALSE), IF((FLOOR($B124/1000000000000, 1) = 25), VLOOKUP($B124, [3]DataLookUp!$B$4:$D$632, 2, FALSE), "xx")))</f>
        <v>Santoso Dwi Cahyo</v>
      </c>
      <c r="E124" s="46" t="s">
        <v>197</v>
      </c>
      <c r="F124" s="60">
        <f ca="1">IF(EXACT(E124, ""), "", VLOOKUP($E124, OFFSET([1]MAIN!$B$2, 0, 0, 100, 6), 5, FALSE))</f>
        <v>166000000000005</v>
      </c>
      <c r="G124" s="56">
        <v>5750622536</v>
      </c>
      <c r="H124" s="46" t="s">
        <v>162</v>
      </c>
      <c r="I124" s="47" t="s">
        <v>366</v>
      </c>
      <c r="M124" s="38">
        <f t="shared" ca="1" si="4"/>
        <v>167000000000120</v>
      </c>
      <c r="N124" s="6" t="str">
        <f t="shared" ca="1" si="5"/>
        <v>PERFORM "SchData-OLTP-Master"."Func_TblBankAccount_SET"(varSystemLoginSession, null, null, null, null, null, varInstitutionBranchID, varBaseCurrencyID, 166000000000005, '5750622536', 'Santoso Dwi Cahyo', 62000000000001, 25000000000554);</v>
      </c>
    </row>
    <row r="125" spans="2:14" x14ac:dyDescent="0.2">
      <c r="B125" s="31">
        <v>25000000000536</v>
      </c>
      <c r="C125" s="44" t="str">
        <f>_xlfn.IFNA(IF(EXACT($B125, ""), "", VLOOKUP($B125, [2]DataLookUp!$C$4:$G$999, 3, FALSE )), "")</f>
        <v>051023981</v>
      </c>
      <c r="D125" s="45" t="str">
        <f>IF(EXACT($B125, ""), "", IF((FLOOR($B125/1000000000000, 1) = 124), VLOOKUP($B125, '[4]DataLookUp - InstitutionBranch'!$B$4:$C$97, 2, FALSE), IF((FLOOR($B125/1000000000000, 1) = 25), VLOOKUP($B125, [3]DataLookUp!$B$4:$D$632, 2, FALSE), "xx")))</f>
        <v>Restu Dwi Anjayani</v>
      </c>
      <c r="E125" s="46" t="s">
        <v>197</v>
      </c>
      <c r="F125" s="60">
        <f ca="1">IF(EXACT(E125, ""), "", VLOOKUP($E125, OFFSET([1]MAIN!$B$2, 0, 0, 100, 6), 5, FALSE))</f>
        <v>166000000000005</v>
      </c>
      <c r="G125" s="56">
        <v>4860276548</v>
      </c>
      <c r="H125" s="46" t="s">
        <v>131</v>
      </c>
      <c r="I125" s="47" t="s">
        <v>366</v>
      </c>
      <c r="M125" s="38">
        <f t="shared" ca="1" si="4"/>
        <v>167000000000121</v>
      </c>
      <c r="N125" s="6" t="str">
        <f t="shared" ref="N125:N132" ca="1" si="6">IF(EXACT(B125, ""), "", CONCATENATE("PERFORM ""SchData-OLTP-Master"".""Func_TblBankAccount_SET""(varSystemLoginSession, null, null, null, null, null, varInstitutionBranchID, varBaseCurrencyID, ", F125, ", '", G125, "', '", H125, "', ", I125, ", ", B125, ");"))</f>
        <v>PERFORM "SchData-OLTP-Master"."Func_TblBankAccount_SET"(varSystemLoginSession, null, null, null, null, null, varInstitutionBranchID, varBaseCurrencyID, 166000000000005, '4860276548', 'Restu Dwi Anjayani', 62000000000001, 25000000000536);</v>
      </c>
    </row>
    <row r="126" spans="2:14" x14ac:dyDescent="0.2">
      <c r="B126" s="31">
        <v>25000000000535</v>
      </c>
      <c r="C126" s="44" t="str">
        <f>_xlfn.IFNA(IF(EXACT($B126, ""), "", VLOOKUP($B126, [2]DataLookUp!$C$4:$G$999, 3, FALSE )), "")</f>
        <v/>
      </c>
      <c r="D126" s="45" t="str">
        <f>IF(EXACT($B126, ""), "", IF((FLOOR($B126/1000000000000, 1) = 124), VLOOKUP($B126, '[4]DataLookUp - InstitutionBranch'!$B$4:$C$97, 2, FALSE), IF((FLOOR($B126/1000000000000, 1) = 25), VLOOKUP($B126, [3]DataLookUp!$B$4:$D$632, 2, FALSE), "xx")))</f>
        <v>Oqi Suhaqi Yunus</v>
      </c>
      <c r="E126" s="46" t="s">
        <v>197</v>
      </c>
      <c r="F126" s="60">
        <f ca="1">IF(EXACT(E126, ""), "", VLOOKUP($E126, OFFSET([1]MAIN!$B$2, 0, 0, 100, 6), 5, FALSE))</f>
        <v>166000000000005</v>
      </c>
      <c r="G126" s="56">
        <v>6540386232</v>
      </c>
      <c r="H126" s="46" t="s">
        <v>132</v>
      </c>
      <c r="I126" s="47" t="s">
        <v>366</v>
      </c>
      <c r="M126" s="38">
        <f t="shared" ca="1" si="4"/>
        <v>167000000000122</v>
      </c>
      <c r="N126" s="6" t="str">
        <f t="shared" ca="1" si="6"/>
        <v>PERFORM "SchData-OLTP-Master"."Func_TblBankAccount_SET"(varSystemLoginSession, null, null, null, null, null, varInstitutionBranchID, varBaseCurrencyID, 166000000000005, '6540386232', 'Oqi Suhaqi Yunus', 62000000000001, 25000000000535);</v>
      </c>
    </row>
    <row r="127" spans="2:14" x14ac:dyDescent="0.2">
      <c r="B127" s="31">
        <v>25000000000546</v>
      </c>
      <c r="C127" s="44" t="str">
        <f>_xlfn.IFNA(IF(EXACT($B127, ""), "", VLOOKUP($B127, [2]DataLookUp!$C$4:$G$999, 3, FALSE )), "")</f>
        <v/>
      </c>
      <c r="D127" s="45" t="str">
        <f>IF(EXACT($B127, ""), "", IF((FLOOR($B127/1000000000000, 1) = 124), VLOOKUP($B127, '[4]DataLookUp - InstitutionBranch'!$B$4:$C$97, 2, FALSE), IF((FLOOR($B127/1000000000000, 1) = 25), VLOOKUP($B127, [3]DataLookUp!$B$4:$D$632, 2, FALSE), "xx")))</f>
        <v>Yusuf Fathurahman</v>
      </c>
      <c r="E127" s="46" t="s">
        <v>197</v>
      </c>
      <c r="F127" s="60">
        <f ca="1">IF(EXACT(E127, ""), "", VLOOKUP($E127, OFFSET([1]MAIN!$B$2, 0, 0, 100, 6), 5, FALSE))</f>
        <v>166000000000005</v>
      </c>
      <c r="G127" s="57" t="s">
        <v>72</v>
      </c>
      <c r="H127" s="46" t="s">
        <v>201</v>
      </c>
      <c r="I127" s="47" t="s">
        <v>366</v>
      </c>
      <c r="M127" s="38">
        <f t="shared" ca="1" si="4"/>
        <v>167000000000123</v>
      </c>
      <c r="N127" s="6" t="str">
        <f t="shared" ca="1" si="6"/>
        <v>PERFORM "SchData-OLTP-Master"."Func_TblBankAccount_SET"(varSystemLoginSession, null, null, null, null, null, varInstitutionBranchID, varBaseCurrencyID, 166000000000005, '0670059618', 'Yusuf Fathurahman-sho', 62000000000001, 25000000000546);</v>
      </c>
    </row>
    <row r="128" spans="2:14" x14ac:dyDescent="0.2">
      <c r="B128" s="31">
        <v>25000000000531</v>
      </c>
      <c r="C128" s="44" t="str">
        <f>_xlfn.IFNA(IF(EXACT($B128, ""), "", VLOOKUP($B128, [2]DataLookUp!$C$4:$G$999, 3, FALSE )), "")</f>
        <v/>
      </c>
      <c r="D128" s="45" t="str">
        <f>IF(EXACT($B128, ""), "", IF((FLOOR($B128/1000000000000, 1) = 124), VLOOKUP($B128, '[4]DataLookUp - InstitutionBranch'!$B$4:$C$97, 2, FALSE), IF((FLOOR($B128/1000000000000, 1) = 25), VLOOKUP($B128, [3]DataLookUp!$B$4:$D$632, 2, FALSE), "xx")))</f>
        <v>Muhammad Syarifudin</v>
      </c>
      <c r="E128" s="46" t="s">
        <v>197</v>
      </c>
      <c r="F128" s="60">
        <f ca="1">IF(EXACT(E128, ""), "", VLOOKUP($E128, OFFSET([1]MAIN!$B$2, 0, 0, 100, 6), 5, FALSE))</f>
        <v>166000000000005</v>
      </c>
      <c r="G128" s="57" t="s">
        <v>72</v>
      </c>
      <c r="H128" s="46" t="s">
        <v>133</v>
      </c>
      <c r="I128" s="47" t="s">
        <v>366</v>
      </c>
      <c r="M128" s="38">
        <f t="shared" ca="1" si="4"/>
        <v>167000000000124</v>
      </c>
      <c r="N128" s="6" t="str">
        <f t="shared" ca="1" si="6"/>
        <v>PERFORM "SchData-OLTP-Master"."Func_TblBankAccount_SET"(varSystemLoginSession, null, null, null, null, null, varInstitutionBranchID, varBaseCurrencyID, 166000000000005, '0670059618', 'Muhammad Syarifudin', 62000000000001, 25000000000531);</v>
      </c>
    </row>
    <row r="129" spans="2:14" x14ac:dyDescent="0.2">
      <c r="B129" s="31">
        <v>25000000000520</v>
      </c>
      <c r="C129" s="44" t="str">
        <f>_xlfn.IFNA(IF(EXACT($B129, ""), "", VLOOKUP($B129, [2]DataLookUp!$C$4:$G$999, 3, FALSE )), "")</f>
        <v/>
      </c>
      <c r="D129" s="45" t="str">
        <f>IF(EXACT($B129, ""), "", IF((FLOOR($B129/1000000000000, 1) = 124), VLOOKUP($B129, '[4]DataLookUp - InstitutionBranch'!$B$4:$C$97, 2, FALSE), IF((FLOOR($B129/1000000000000, 1) = 25), VLOOKUP($B129, [3]DataLookUp!$B$4:$D$632, 2, FALSE), "xx")))</f>
        <v>Dian Setiawan</v>
      </c>
      <c r="E129" s="46" t="s">
        <v>197</v>
      </c>
      <c r="F129" s="60">
        <f ca="1">IF(EXACT(E129, ""), "", VLOOKUP($E129, OFFSET([1]MAIN!$B$2, 0, 0, 100, 6), 5, FALSE))</f>
        <v>166000000000005</v>
      </c>
      <c r="G129" s="57" t="s">
        <v>72</v>
      </c>
      <c r="H129" s="46" t="s">
        <v>134</v>
      </c>
      <c r="I129" s="47" t="s">
        <v>366</v>
      </c>
      <c r="M129" s="38">
        <f t="shared" ca="1" si="4"/>
        <v>167000000000125</v>
      </c>
      <c r="N129" s="6" t="str">
        <f t="shared" ca="1" si="6"/>
        <v>PERFORM "SchData-OLTP-Master"."Func_TblBankAccount_SET"(varSystemLoginSession, null, null, null, null, null, varInstitutionBranchID, varBaseCurrencyID, 166000000000005, '0670059618', 'Dian Setiawan', 62000000000001, 25000000000520);</v>
      </c>
    </row>
    <row r="130" spans="2:14" x14ac:dyDescent="0.2">
      <c r="B130" s="31">
        <v>25000000000530</v>
      </c>
      <c r="C130" s="44" t="str">
        <f>_xlfn.IFNA(IF(EXACT($B130, ""), "", VLOOKUP($B130, [2]DataLookUp!$C$4:$G$999, 3, FALSE )), "")</f>
        <v/>
      </c>
      <c r="D130" s="45" t="str">
        <f>IF(EXACT($B130, ""), "", IF((FLOOR($B130/1000000000000, 1) = 124), VLOOKUP($B130, '[4]DataLookUp - InstitutionBranch'!$B$4:$C$97, 2, FALSE), IF((FLOOR($B130/1000000000000, 1) = 25), VLOOKUP($B130, [3]DataLookUp!$B$4:$D$632, 2, FALSE), "xx")))</f>
        <v>Muhammad Sholikhun</v>
      </c>
      <c r="E130" s="46" t="s">
        <v>197</v>
      </c>
      <c r="F130" s="60">
        <f ca="1">IF(EXACT(E130, ""), "", VLOOKUP($E130, OFFSET([1]MAIN!$B$2, 0, 0, 100, 6), 5, FALSE))</f>
        <v>166000000000005</v>
      </c>
      <c r="G130" s="57" t="s">
        <v>72</v>
      </c>
      <c r="H130" s="46" t="s">
        <v>200</v>
      </c>
      <c r="I130" s="47" t="s">
        <v>366</v>
      </c>
      <c r="M130" s="38">
        <f t="shared" ca="1" si="4"/>
        <v>167000000000126</v>
      </c>
      <c r="N130" s="6" t="str">
        <f t="shared" ca="1" si="6"/>
        <v>PERFORM "SchData-OLTP-Master"."Func_TblBankAccount_SET"(varSystemLoginSession, null, null, null, null, null, varInstitutionBranchID, varBaseCurrencyID, 166000000000005, '0670059618', 'Muhammad Sholikun', 62000000000001, 25000000000530);</v>
      </c>
    </row>
    <row r="131" spans="2:14" x14ac:dyDescent="0.2">
      <c r="B131" s="31">
        <v>25000000000539</v>
      </c>
      <c r="C131" s="44" t="str">
        <f>_xlfn.IFNA(IF(EXACT($B131, ""), "", VLOOKUP($B131, [2]DataLookUp!$C$4:$G$999, 3, FALSE )), "")</f>
        <v/>
      </c>
      <c r="D131" s="45" t="str">
        <f>IF(EXACT($B131, ""), "", IF((FLOOR($B131/1000000000000, 1) = 124), VLOOKUP($B131, '[4]DataLookUp - InstitutionBranch'!$B$4:$C$97, 2, FALSE), IF((FLOOR($B131/1000000000000, 1) = 25), VLOOKUP($B131, [3]DataLookUp!$B$4:$D$632, 2, FALSE), "xx")))</f>
        <v>Samta Harahap</v>
      </c>
      <c r="E131" s="46" t="s">
        <v>197</v>
      </c>
      <c r="F131" s="60">
        <f ca="1">IF(EXACT(E131, ""), "", VLOOKUP($E131, OFFSET([1]MAIN!$B$2, 0, 0, 100, 6), 5, FALSE))</f>
        <v>166000000000005</v>
      </c>
      <c r="G131" s="56">
        <v>8681161864</v>
      </c>
      <c r="H131" s="46" t="s">
        <v>135</v>
      </c>
      <c r="I131" s="47" t="s">
        <v>366</v>
      </c>
      <c r="M131" s="38">
        <f t="shared" ca="1" si="4"/>
        <v>167000000000127</v>
      </c>
      <c r="N131" s="6" t="str">
        <f t="shared" ca="1" si="6"/>
        <v>PERFORM "SchData-OLTP-Master"."Func_TblBankAccount_SET"(varSystemLoginSession, null, null, null, null, null, varInstitutionBranchID, varBaseCurrencyID, 166000000000005, '8681161864', 'Samta Harahap', 62000000000001, 25000000000539);</v>
      </c>
    </row>
    <row r="132" spans="2:14" x14ac:dyDescent="0.2">
      <c r="B132" s="31">
        <v>25000000000529</v>
      </c>
      <c r="C132" s="44" t="str">
        <f>_xlfn.IFNA(IF(EXACT($B132, ""), "", VLOOKUP($B132, [2]DataLookUp!$C$4:$G$999, 3, FALSE )), "")</f>
        <v/>
      </c>
      <c r="D132" s="45" t="str">
        <f>IF(EXACT($B132, ""), "", IF((FLOOR($B132/1000000000000, 1) = 124), VLOOKUP($B132, '[4]DataLookUp - InstitutionBranch'!$B$4:$C$97, 2, FALSE), IF((FLOOR($B132/1000000000000, 1) = 25), VLOOKUP($B132, [3]DataLookUp!$B$4:$D$632, 2, FALSE), "xx")))</f>
        <v>Muhammad Lukbani</v>
      </c>
      <c r="E132" s="46" t="s">
        <v>197</v>
      </c>
      <c r="F132" s="60">
        <f ca="1">IF(EXACT(E132, ""), "", VLOOKUP($E132, OFFSET([1]MAIN!$B$2, 0, 0, 100, 6), 5, FALSE))</f>
        <v>166000000000005</v>
      </c>
      <c r="G132" s="56">
        <v>7125461581</v>
      </c>
      <c r="H132" s="46" t="s">
        <v>136</v>
      </c>
      <c r="I132" s="47" t="s">
        <v>366</v>
      </c>
      <c r="M132" s="38">
        <f t="shared" ca="1" si="4"/>
        <v>167000000000128</v>
      </c>
      <c r="N132" s="6" t="str">
        <f t="shared" ca="1" si="6"/>
        <v>PERFORM "SchData-OLTP-Master"."Func_TblBankAccount_SET"(varSystemLoginSession, null, null, null, null, null, varInstitutionBranchID, varBaseCurrencyID, 166000000000005, '7125461581', 'Muhammad Lukbani', 62000000000001, 25000000000529);</v>
      </c>
    </row>
    <row r="133" spans="2:14" x14ac:dyDescent="0.2">
      <c r="B133" s="31">
        <v>25000000000557</v>
      </c>
      <c r="C133" s="44" t="str">
        <f>_xlfn.IFNA(IF(EXACT($B133, ""), "", VLOOKUP($B133, [2]DataLookUp!$C$4:$G$999, 3, FALSE )), "")</f>
        <v/>
      </c>
      <c r="D133" s="45" t="str">
        <f>IF(EXACT($B133, ""), "", IF((FLOOR($B133/1000000000000, 1) = 124), VLOOKUP($B133, '[4]DataLookUp - InstitutionBranch'!$B$4:$C$97, 2, FALSE), IF((FLOOR($B133/1000000000000, 1) = 25), VLOOKUP($B133, [3]DataLookUp!$B$4:$D$632, 2, FALSE), "xx")))</f>
        <v>Abdul Rachman</v>
      </c>
      <c r="E133" s="46"/>
      <c r="F133" s="60" t="str">
        <f ca="1">IF(EXACT(E133, ""), "", VLOOKUP($E133, OFFSET([1]MAIN!$B$2, 0, 0, 100, 6), 5, FALSE))</f>
        <v/>
      </c>
      <c r="G133" s="47"/>
      <c r="H133" s="46"/>
      <c r="I133" s="47" t="s">
        <v>366</v>
      </c>
      <c r="M133" s="38">
        <f t="shared" ref="M133:M143" ca="1" si="7" xml:space="preserve"> M132 + IF(EXACT(N133, ""), 0, 1)</f>
        <v>167000000000129</v>
      </c>
      <c r="N133" s="6" t="str">
        <f t="shared" ref="N133:N143" ca="1" si="8">IF(EXACT(B133, ""), "", CONCATENATE("PERFORM ""SchData-OLTP-Master"".""Func_TblBankAccount_SET""(varSystemLoginSession, null, null, null, null, null, varInstitutionBranchID, varBaseCurrencyID, ", F133, ", '", G133, "', '", H133, "', ", I133, ", ", B133, ");"))</f>
        <v>PERFORM "SchData-OLTP-Master"."Func_TblBankAccount_SET"(varSystemLoginSession, null, null, null, null, null, varInstitutionBranchID, varBaseCurrencyID, , '', '', 62000000000001, 25000000000557);</v>
      </c>
    </row>
    <row r="134" spans="2:14" x14ac:dyDescent="0.2">
      <c r="B134" s="31">
        <v>25000000000558</v>
      </c>
      <c r="C134" s="44" t="str">
        <f>_xlfn.IFNA(IF(EXACT($B134, ""), "", VLOOKUP($B134, [2]DataLookUp!$C$4:$G$999, 3, FALSE )), "")</f>
        <v/>
      </c>
      <c r="D134" s="45" t="str">
        <f>IF(EXACT($B134, ""), "", IF((FLOOR($B134/1000000000000, 1) = 124), VLOOKUP($B134, '[4]DataLookUp - InstitutionBranch'!$B$4:$C$97, 2, FALSE), IF((FLOOR($B134/1000000000000, 1) = 25), VLOOKUP($B134, [3]DataLookUp!$B$4:$D$632, 2, FALSE), "xx")))</f>
        <v>Aden Bagus</v>
      </c>
      <c r="E134" s="46"/>
      <c r="F134" s="60" t="str">
        <f ca="1">IF(EXACT(E134, ""), "", VLOOKUP($E134, OFFSET([1]MAIN!$B$2, 0, 0, 100, 6), 5, FALSE))</f>
        <v/>
      </c>
      <c r="G134" s="47"/>
      <c r="H134" s="46"/>
      <c r="I134" s="47" t="s">
        <v>366</v>
      </c>
      <c r="M134" s="38">
        <f t="shared" ca="1" si="7"/>
        <v>167000000000130</v>
      </c>
      <c r="N134" s="6" t="str">
        <f t="shared" ca="1" si="8"/>
        <v>PERFORM "SchData-OLTP-Master"."Func_TblBankAccount_SET"(varSystemLoginSession, null, null, null, null, null, varInstitutionBranchID, varBaseCurrencyID, , '', '', 62000000000001, 25000000000558);</v>
      </c>
    </row>
    <row r="135" spans="2:14" x14ac:dyDescent="0.2">
      <c r="B135" s="31">
        <v>25000000000017</v>
      </c>
      <c r="C135" s="44"/>
      <c r="D135" s="45" t="str">
        <f>IF(EXACT($B135, ""), "", IF((FLOOR($B135/1000000000000, 1) = 124), VLOOKUP($B135, '[4]DataLookUp - InstitutionBranch'!$B$4:$C$97, 2, FALSE), IF((FLOOR($B135/1000000000000, 1) = 25), VLOOKUP($B135, [3]DataLookUp!$B$4:$D$632, 2, FALSE), "xx")))</f>
        <v>Ahmad Faiz Haems Muda</v>
      </c>
      <c r="E135" s="46" t="s">
        <v>197</v>
      </c>
      <c r="F135" s="60">
        <f ca="1">IF(EXACT(E135, ""), "", VLOOKUP($E135, OFFSET([1]MAIN!$B$2, 0, 0, 100, 6), 5, FALSE))</f>
        <v>166000000000005</v>
      </c>
      <c r="G135" s="47" t="s">
        <v>420</v>
      </c>
      <c r="H135" s="46" t="s">
        <v>419</v>
      </c>
      <c r="I135" s="47" t="s">
        <v>366</v>
      </c>
      <c r="M135" s="38">
        <f t="shared" ca="1" si="7"/>
        <v>167000000000131</v>
      </c>
      <c r="N135" s="6" t="str">
        <f t="shared" ca="1" si="8"/>
        <v>PERFORM "SchData-OLTP-Master"."Func_TblBankAccount_SET"(varSystemLoginSession, null, null, null, null, null, varInstitutionBranchID, varBaseCurrencyID, 166000000000005, '2302269280', 'Ahmad Faiz Haems Muda', 62000000000001, 25000000000017);</v>
      </c>
    </row>
    <row r="136" spans="2:14" x14ac:dyDescent="0.2">
      <c r="B136" s="31">
        <v>25000000000167</v>
      </c>
      <c r="C136" s="44"/>
      <c r="D136" s="45" t="str">
        <f>IF(EXACT($B136, ""), "", IF((FLOOR($B136/1000000000000, 1) = 124), VLOOKUP($B136, '[4]DataLookUp - InstitutionBranch'!$B$4:$C$97, 2, FALSE), IF((FLOOR($B136/1000000000000, 1) = 25), VLOOKUP($B136, [3]DataLookUp!$B$4:$D$632, 2, FALSE), "xx")))</f>
        <v>Grace Kurniawan</v>
      </c>
      <c r="E136" s="46" t="s">
        <v>197</v>
      </c>
      <c r="F136" s="60">
        <f ca="1">IF(EXACT(E136, ""), "", VLOOKUP($E136, OFFSET([1]MAIN!$B$2, 0, 0, 100, 6), 5, FALSE))</f>
        <v>166000000000005</v>
      </c>
      <c r="G136" s="47" t="s">
        <v>425</v>
      </c>
      <c r="H136" s="46" t="s">
        <v>424</v>
      </c>
      <c r="I136" s="47" t="s">
        <v>366</v>
      </c>
      <c r="M136" s="38">
        <f t="shared" ca="1" si="7"/>
        <v>167000000000132</v>
      </c>
      <c r="N136" s="6" t="str">
        <f t="shared" ca="1" si="8"/>
        <v>PERFORM "SchData-OLTP-Master"."Func_TblBankAccount_SET"(varSystemLoginSession, null, null, null, null, null, varInstitutionBranchID, varBaseCurrencyID, 166000000000005, '4271122556', 'Grace Kurniawan', 62000000000001, 25000000000167);</v>
      </c>
    </row>
    <row r="137" spans="2:14" x14ac:dyDescent="0.2">
      <c r="B137" s="31">
        <v>25000000000051</v>
      </c>
      <c r="C137" s="44"/>
      <c r="D137" s="45" t="str">
        <f>IF(EXACT($B137, ""), "", IF((FLOOR($B137/1000000000000, 1) = 124), VLOOKUP($B137, '[4]DataLookUp - InstitutionBranch'!$B$4:$C$97, 2, FALSE), IF((FLOOR($B137/1000000000000, 1) = 25), VLOOKUP($B137, [3]DataLookUp!$B$4:$D$632, 2, FALSE), "xx")))</f>
        <v>Ares S. Mauboi</v>
      </c>
      <c r="E137" s="46" t="s">
        <v>199</v>
      </c>
      <c r="F137" s="60">
        <f ca="1">IF(EXACT(E137, ""), "", VLOOKUP($E137, OFFSET([1]MAIN!$B$2, 0, 0, 100, 6), 5, FALSE))</f>
        <v>166000000000002</v>
      </c>
      <c r="G137" s="47" t="s">
        <v>417</v>
      </c>
      <c r="H137" s="46" t="s">
        <v>418</v>
      </c>
      <c r="I137" s="47" t="s">
        <v>366</v>
      </c>
      <c r="M137" s="38">
        <f t="shared" ca="1" si="7"/>
        <v>167000000000133</v>
      </c>
      <c r="N137" s="6" t="str">
        <f t="shared" ca="1" si="8"/>
        <v>PERFORM "SchData-OLTP-Master"."Func_TblBankAccount_SET"(varSystemLoginSession, null, null, null, null, null, varInstitutionBranchID, varBaseCurrencyID, 166000000000002, '034101074863509', 'Ares S. Mauboi', 62000000000001, 25000000000051);</v>
      </c>
    </row>
    <row r="138" spans="2:14" x14ac:dyDescent="0.2">
      <c r="B138" s="31">
        <v>25000000000517</v>
      </c>
      <c r="C138" s="44"/>
      <c r="D138" s="45" t="str">
        <f>IF(EXACT($B138, ""), "", IF((FLOOR($B138/1000000000000, 1) = 124), VLOOKUP($B138, '[4]DataLookUp - InstitutionBranch'!$B$4:$C$97, 2, FALSE), IF((FLOOR($B138/1000000000000, 1) = 25), VLOOKUP($B138, [3]DataLookUp!$B$4:$D$632, 2, FALSE), "xx")))</f>
        <v>Cahyana</v>
      </c>
      <c r="E138" s="46" t="s">
        <v>199</v>
      </c>
      <c r="F138" s="60">
        <f ca="1">IF(EXACT(E138, ""), "", VLOOKUP($E138, OFFSET([1]MAIN!$B$2, 0, 0, 100, 6), 5, FALSE))</f>
        <v>166000000000002</v>
      </c>
      <c r="G138" s="47" t="s">
        <v>412</v>
      </c>
      <c r="H138" s="46" t="str">
        <f>_xlfn.IFNA(IF(EXACT($B138, ""), "", VLOOKUP($B138, [3]DataLookUp!$B$4:$D$999, 2, FALSE )), "")</f>
        <v>Cahyana</v>
      </c>
      <c r="I138" s="47" t="s">
        <v>366</v>
      </c>
      <c r="M138" s="38">
        <f t="shared" ca="1" si="7"/>
        <v>167000000000134</v>
      </c>
      <c r="N138" s="6" t="str">
        <f t="shared" ca="1" si="8"/>
        <v>PERFORM "SchData-OLTP-Master"."Func_TblBankAccount_SET"(varSystemLoginSession, null, null, null, null, null, varInstitutionBranchID, varBaseCurrencyID, 166000000000002, '727401009580534', 'Cahyana', 62000000000001, 25000000000517);</v>
      </c>
    </row>
    <row r="139" spans="2:14" x14ac:dyDescent="0.2">
      <c r="B139" s="31">
        <v>25000000000093</v>
      </c>
      <c r="C139" s="44"/>
      <c r="D139" s="45" t="str">
        <f>IF(EXACT($B139, ""), "", IF((FLOOR($B139/1000000000000, 1) = 124), VLOOKUP($B139, '[4]DataLookUp - InstitutionBranch'!$B$4:$C$97, 2, FALSE), IF((FLOOR($B139/1000000000000, 1) = 25), VLOOKUP($B139, [3]DataLookUp!$B$4:$D$632, 2, FALSE), "xx")))</f>
        <v>Davit Lumban Gaol</v>
      </c>
      <c r="E139" s="46" t="s">
        <v>199</v>
      </c>
      <c r="F139" s="60">
        <f ca="1">IF(EXACT(E139, ""), "", VLOOKUP($E139, OFFSET([1]MAIN!$B$2, 0, 0, 100, 6), 5, FALSE))</f>
        <v>166000000000002</v>
      </c>
      <c r="G139" s="47" t="s">
        <v>410</v>
      </c>
      <c r="H139" s="46" t="s">
        <v>411</v>
      </c>
      <c r="I139" s="47" t="s">
        <v>366</v>
      </c>
      <c r="M139" s="38">
        <f t="shared" ca="1" si="7"/>
        <v>167000000000135</v>
      </c>
      <c r="N139" s="6" t="str">
        <f t="shared" ca="1" si="8"/>
        <v>PERFORM "SchData-OLTP-Master"."Func_TblBankAccount_SET"(varSystemLoginSession, null, null, null, null, null, varInstitutionBranchID, varBaseCurrencyID, 166000000000002, '033601013930530', 'Davit Lumban Gaol', 62000000000001, 25000000000093);</v>
      </c>
    </row>
    <row r="140" spans="2:14" x14ac:dyDescent="0.2">
      <c r="B140" s="31">
        <v>25000000000550</v>
      </c>
      <c r="C140" s="44"/>
      <c r="D140" s="45" t="str">
        <f>IF(EXACT($B140, ""), "", IF((FLOOR($B140/1000000000000, 1) = 124), VLOOKUP($B140, '[4]DataLookUp - InstitutionBranch'!$B$4:$C$97, 2, FALSE), IF((FLOOR($B140/1000000000000, 1) = 25), VLOOKUP($B140, [3]DataLookUp!$B$4:$D$632, 2, FALSE), "xx")))</f>
        <v>Dian Tri Rahmawati</v>
      </c>
      <c r="E140" s="46" t="s">
        <v>199</v>
      </c>
      <c r="F140" s="60">
        <f ca="1">IF(EXACT(E140, ""), "", VLOOKUP($E140, OFFSET([1]MAIN!$B$2, 0, 0, 100, 6), 5, FALSE))</f>
        <v>166000000000002</v>
      </c>
      <c r="G140" s="47" t="s">
        <v>408</v>
      </c>
      <c r="H140" s="46" t="s">
        <v>409</v>
      </c>
      <c r="I140" s="47" t="s">
        <v>366</v>
      </c>
      <c r="M140" s="38">
        <f t="shared" ca="1" si="7"/>
        <v>167000000000136</v>
      </c>
      <c r="N140" s="6" t="str">
        <f t="shared" ca="1" si="8"/>
        <v>PERFORM "SchData-OLTP-Master"."Func_TblBankAccount_SET"(varSystemLoginSession, null, null, null, null, null, varInstitutionBranchID, varBaseCurrencyID, 166000000000002, '212401007578533 ', 'Dian Tri Rahmawati', 62000000000001, 25000000000550);</v>
      </c>
    </row>
    <row r="141" spans="2:14" x14ac:dyDescent="0.2">
      <c r="B141" s="31">
        <v>25000000000120</v>
      </c>
      <c r="C141" s="44"/>
      <c r="D141" s="45" t="str">
        <f>IF(EXACT($B141, ""), "", IF((FLOOR($B141/1000000000000, 1) = 124), VLOOKUP($B141, '[4]DataLookUp - InstitutionBranch'!$B$4:$C$97, 2, FALSE), IF((FLOOR($B141/1000000000000, 1) = 25), VLOOKUP($B141, [3]DataLookUp!$B$4:$D$632, 2, FALSE), "xx")))</f>
        <v>Edy Syahputra Situmeang</v>
      </c>
      <c r="E141" s="46" t="s">
        <v>199</v>
      </c>
      <c r="F141" s="60">
        <f ca="1">IF(EXACT(E141, ""), "", VLOOKUP($E141, OFFSET([1]MAIN!$B$2, 0, 0, 100, 6), 5, FALSE))</f>
        <v>166000000000002</v>
      </c>
      <c r="G141" s="47" t="s">
        <v>407</v>
      </c>
      <c r="H141" s="46" t="s">
        <v>406</v>
      </c>
      <c r="I141" s="47" t="s">
        <v>366</v>
      </c>
      <c r="M141" s="38">
        <f t="shared" ca="1" si="7"/>
        <v>167000000000137</v>
      </c>
      <c r="N141" s="6" t="str">
        <f t="shared" ca="1" si="8"/>
        <v>PERFORM "SchData-OLTP-Master"."Func_TblBankAccount_SET"(varSystemLoginSession, null, null, null, null, null, varInstitutionBranchID, varBaseCurrencyID, 166000000000002, '353201013523538', 'Edy Syahputra Situmeang', 62000000000001, 25000000000120);</v>
      </c>
    </row>
    <row r="142" spans="2:14" x14ac:dyDescent="0.2">
      <c r="B142" s="31">
        <v>25000000000521</v>
      </c>
      <c r="C142" s="44"/>
      <c r="D142" s="45" t="str">
        <f>IF(EXACT($B142, ""), "", IF((FLOOR($B142/1000000000000, 1) = 124), VLOOKUP($B142, '[4]DataLookUp - InstitutionBranch'!$B$4:$C$97, 2, FALSE), IF((FLOOR($B142/1000000000000, 1) = 25), VLOOKUP($B142, [3]DataLookUp!$B$4:$D$632, 2, FALSE), "xx")))</f>
        <v>Fabrian Danang Destiyara</v>
      </c>
      <c r="E142" s="46" t="s">
        <v>199</v>
      </c>
      <c r="F142" s="60">
        <f ca="1">IF(EXACT(E142, ""), "", VLOOKUP($E142, OFFSET([1]MAIN!$B$2, 0, 0, 100, 6), 5, FALSE))</f>
        <v>166000000000002</v>
      </c>
      <c r="G142" s="47" t="s">
        <v>405</v>
      </c>
      <c r="H142" s="46" t="s">
        <v>404</v>
      </c>
      <c r="I142" s="47" t="s">
        <v>366</v>
      </c>
      <c r="M142" s="38">
        <f t="shared" ca="1" si="7"/>
        <v>167000000000138</v>
      </c>
      <c r="N142" s="6" t="str">
        <f t="shared" ca="1" si="8"/>
        <v>PERFORM "SchData-OLTP-Master"."Func_TblBankAccount_SET"(varSystemLoginSession, null, null, null, null, null, varInstitutionBranchID, varBaseCurrencyID, 166000000000002, '122301024676505', 'Fabrian Danang Destiyara', 62000000000001, 25000000000521);</v>
      </c>
    </row>
    <row r="143" spans="2:14" x14ac:dyDescent="0.2">
      <c r="B143" s="31">
        <v>25000000000551</v>
      </c>
      <c r="C143" s="44"/>
      <c r="D143" s="45" t="str">
        <f>IF(EXACT($B143, ""), "", IF((FLOOR($B143/1000000000000, 1) = 124), VLOOKUP($B143, '[4]DataLookUp - InstitutionBranch'!$B$4:$C$97, 2, FALSE), IF((FLOOR($B143/1000000000000, 1) = 25), VLOOKUP($B143, [3]DataLookUp!$B$4:$D$632, 2, FALSE), "xx")))</f>
        <v>Langgeng Eko Dwiantoro</v>
      </c>
      <c r="E143" s="46" t="s">
        <v>197</v>
      </c>
      <c r="F143" s="60">
        <f ca="1">IF(EXACT(E143, ""), "", VLOOKUP($E143, OFFSET([1]MAIN!$B$2, 0, 0, 100, 6), 5, FALSE))</f>
        <v>166000000000005</v>
      </c>
      <c r="G143" s="47" t="s">
        <v>400</v>
      </c>
      <c r="H143" s="46" t="s">
        <v>399</v>
      </c>
      <c r="I143" s="47" t="s">
        <v>366</v>
      </c>
      <c r="M143" s="38">
        <f t="shared" ca="1" si="7"/>
        <v>167000000000139</v>
      </c>
      <c r="N143" s="6" t="str">
        <f t="shared" ca="1" si="8"/>
        <v>PERFORM "SchData-OLTP-Master"."Func_TblBankAccount_SET"(varSystemLoginSession, null, null, null, null, null, varInstitutionBranchID, varBaseCurrencyID, 166000000000005, '0021817308', 'Langgeng Eko Dwiantoro', 62000000000001, 25000000000551);</v>
      </c>
    </row>
    <row r="144" spans="2:14" x14ac:dyDescent="0.2">
      <c r="B144" s="31">
        <v>25000000000551</v>
      </c>
      <c r="C144" s="44"/>
      <c r="D144" s="45" t="str">
        <f>IF(EXACT($B144, ""), "", IF((FLOOR($B144/1000000000000, 1) = 124), VLOOKUP($B144, '[4]DataLookUp - InstitutionBranch'!$B$4:$C$97, 2, FALSE), IF((FLOOR($B144/1000000000000, 1) = 25), VLOOKUP($B144, [3]DataLookUp!$B$4:$D$632, 2, FALSE), "xx")))</f>
        <v>Langgeng Eko Dwiantoro</v>
      </c>
      <c r="E144" s="46" t="s">
        <v>199</v>
      </c>
      <c r="F144" s="60">
        <f ca="1">IF(EXACT(E144, ""), "", VLOOKUP($E144, OFFSET([1]MAIN!$B$2, 0, 0, 100, 6), 5, FALSE))</f>
        <v>166000000000002</v>
      </c>
      <c r="G144" s="47" t="s">
        <v>401</v>
      </c>
      <c r="H144" s="46" t="s">
        <v>399</v>
      </c>
      <c r="I144" s="47" t="s">
        <v>366</v>
      </c>
      <c r="M144" s="38">
        <f t="shared" ref="M144:M149" ca="1" si="9" xml:space="preserve"> M143 + IF(EXACT(N144, ""), 0, 1)</f>
        <v>167000000000140</v>
      </c>
      <c r="N144" s="6" t="str">
        <f t="shared" ref="N144:N149" ca="1" si="10">IF(EXACT(B144, ""), "", CONCATENATE("PERFORM ""SchData-OLTP-Master"".""Func_TblBankAccount_SET""(varSystemLoginSession, null, null, null, null, null, varInstitutionBranchID, varBaseCurrencyID, ", F144, ", '", G144, "', '", H144, "', ", I144, ", ", B144, ");"))</f>
        <v>PERFORM "SchData-OLTP-Master"."Func_TblBankAccount_SET"(varSystemLoginSession, null, null, null, null, null, varInstitutionBranchID, varBaseCurrencyID, 166000000000002, '034101013725530', 'Langgeng Eko Dwiantoro', 62000000000001, 25000000000551);</v>
      </c>
    </row>
    <row r="145" spans="2:14" x14ac:dyDescent="0.2">
      <c r="B145" s="31">
        <v>25000000000372</v>
      </c>
      <c r="C145" s="44"/>
      <c r="D145" s="45" t="str">
        <f>IF(EXACT($B145, ""), "", IF((FLOOR($B145/1000000000000, 1) = 124), VLOOKUP($B145, '[4]DataLookUp - InstitutionBranch'!$B$4:$C$97, 2, FALSE), IF((FLOOR($B145/1000000000000, 1) = 25), VLOOKUP($B145, [3]DataLookUp!$B$4:$D$632, 2, FALSE), "xx")))</f>
        <v>Roy Aditya</v>
      </c>
      <c r="E145" s="46" t="s">
        <v>199</v>
      </c>
      <c r="F145" s="60">
        <f ca="1">IF(EXACT(E145, ""), "", VLOOKUP($E145, OFFSET([1]MAIN!$B$2, 0, 0, 100, 6), 5, FALSE))</f>
        <v>166000000000002</v>
      </c>
      <c r="G145" s="47" t="s">
        <v>398</v>
      </c>
      <c r="H145" s="46" t="s">
        <v>397</v>
      </c>
      <c r="I145" s="47" t="s">
        <v>366</v>
      </c>
      <c r="M145" s="38">
        <f t="shared" ca="1" si="9"/>
        <v>167000000000141</v>
      </c>
      <c r="N145" s="6" t="str">
        <f t="shared" ca="1" si="10"/>
        <v>PERFORM "SchData-OLTP-Master"."Func_TblBankAccount_SET"(varSystemLoginSession, null, null, null, null, null, varInstitutionBranchID, varBaseCurrencyID, 166000000000002, '034101085528508', 'Roy Aditya', 62000000000001, 25000000000372);</v>
      </c>
    </row>
    <row r="146" spans="2:14" x14ac:dyDescent="0.2">
      <c r="B146" s="31">
        <v>25000000000415</v>
      </c>
      <c r="C146" s="44"/>
      <c r="D146" s="45" t="str">
        <f>IF(EXACT($B146, ""), "", IF((FLOOR($B146/1000000000000, 1) = 124), VLOOKUP($B146, '[4]DataLookUp - InstitutionBranch'!$B$4:$C$97, 2, FALSE), IF((FLOOR($B146/1000000000000, 1) = 25), VLOOKUP($B146, [3]DataLookUp!$B$4:$D$632, 2, FALSE), "xx")))</f>
        <v>Sugiarto</v>
      </c>
      <c r="E146" s="46" t="s">
        <v>199</v>
      </c>
      <c r="F146" s="60">
        <f ca="1">IF(EXACT(E146, ""), "", VLOOKUP($E146, OFFSET([1]MAIN!$B$2, 0, 0, 100, 6), 5, FALSE))</f>
        <v>166000000000002</v>
      </c>
      <c r="G146" s="47" t="s">
        <v>451</v>
      </c>
      <c r="H146" s="46" t="s">
        <v>452</v>
      </c>
      <c r="I146" s="47" t="s">
        <v>366</v>
      </c>
      <c r="M146" s="38"/>
    </row>
    <row r="147" spans="2:14" x14ac:dyDescent="0.2">
      <c r="B147" s="31">
        <v>25000000000548</v>
      </c>
      <c r="C147" s="44"/>
      <c r="D147" s="45" t="str">
        <f>IF(EXACT($B147, ""), "", IF((FLOOR($B147/1000000000000, 1) = 124), VLOOKUP($B147, '[4]DataLookUp - InstitutionBranch'!$B$4:$C$97, 2, FALSE), IF((FLOOR($B147/1000000000000, 1) = 25), VLOOKUP($B147, [3]DataLookUp!$B$4:$D$632, 2, FALSE), "xx")))</f>
        <v>Sulaeman</v>
      </c>
      <c r="E147" s="46" t="s">
        <v>199</v>
      </c>
      <c r="F147" s="60">
        <f ca="1">IF(EXACT(E147, ""), "", VLOOKUP($E147, OFFSET([1]MAIN!$B$2, 0, 0, 100, 6), 5, FALSE))</f>
        <v>166000000000002</v>
      </c>
      <c r="G147" s="47" t="s">
        <v>450</v>
      </c>
      <c r="H147" s="46" t="s">
        <v>449</v>
      </c>
      <c r="I147" s="47" t="s">
        <v>366</v>
      </c>
      <c r="M147" s="38">
        <f ca="1" xml:space="preserve"> M145 + IF(EXACT(N147, ""), 0, 1)</f>
        <v>167000000000142</v>
      </c>
      <c r="N147" s="6" t="str">
        <f t="shared" ca="1" si="10"/>
        <v>PERFORM "SchData-OLTP-Master"."Func_TblBankAccount_SET"(varSystemLoginSession, null, null, null, null, null, varInstitutionBranchID, varBaseCurrencyID, 166000000000002, '034101082539500', 'Sulaeman', 62000000000001, 25000000000548);</v>
      </c>
    </row>
    <row r="148" spans="2:14" x14ac:dyDescent="0.2">
      <c r="B148" s="31">
        <v>25000000000458</v>
      </c>
      <c r="C148" s="44"/>
      <c r="D148" s="45" t="str">
        <f>IF(EXACT($B148, ""), "", IF((FLOOR($B148/1000000000000, 1) = 124), VLOOKUP($B148, '[4]DataLookUp - InstitutionBranch'!$B$4:$C$97, 2, FALSE), IF((FLOOR($B148/1000000000000, 1) = 25), VLOOKUP($B148, [3]DataLookUp!$B$4:$D$632, 2, FALSE), "xx")))</f>
        <v>Urbanus Boimau</v>
      </c>
      <c r="E148" s="46" t="s">
        <v>199</v>
      </c>
      <c r="F148" s="60">
        <f ca="1">IF(EXACT(E148, ""), "", VLOOKUP($E148, OFFSET([1]MAIN!$B$2, 0, 0, 100, 6), 5, FALSE))</f>
        <v>166000000000002</v>
      </c>
      <c r="G148" s="47" t="s">
        <v>387</v>
      </c>
      <c r="H148" s="46" t="s">
        <v>388</v>
      </c>
      <c r="I148" s="47" t="s">
        <v>366</v>
      </c>
      <c r="M148" s="38">
        <f t="shared" ca="1" si="9"/>
        <v>167000000000143</v>
      </c>
      <c r="N148" s="6" t="str">
        <f t="shared" ca="1" si="10"/>
        <v>PERFORM "SchData-OLTP-Master"."Func_TblBankAccount_SET"(varSystemLoginSession, null, null, null, null, null, varInstitutionBranchID, varBaseCurrencyID, 166000000000002, '026901024911506', 'Urbanus Boimau', 62000000000001, 25000000000458);</v>
      </c>
    </row>
    <row r="149" spans="2:14" x14ac:dyDescent="0.2">
      <c r="B149" s="31">
        <v>25000000000559</v>
      </c>
      <c r="C149" s="44" t="str">
        <f>_xlfn.IFNA(IF(EXACT($B149, ""), "", VLOOKUP($B149, [2]DataLookUp!$C$4:$G$999, 3, FALSE )), "")</f>
        <v>010224985</v>
      </c>
      <c r="D149" s="45" t="str">
        <f>IF(EXACT($B149, ""), "", IF((FLOOR($B149/1000000000000, 1) = 124), VLOOKUP($B149, '[4]DataLookUp - InstitutionBranch'!$B$4:$C$97, 2, FALSE), IF((FLOOR($B149/1000000000000, 1) = 25), VLOOKUP($B149, [3]DataLookUp!$B$4:$D$632, 2, FALSE), "xx")))</f>
        <v>Adhe Kurniawan</v>
      </c>
      <c r="E149" s="46" t="s">
        <v>197</v>
      </c>
      <c r="F149" s="60">
        <f ca="1">IF(EXACT(E149, ""), "", VLOOKUP($E149, OFFSET([1]MAIN!$B$2, 0, 0, 100, 6), 5, FALSE))</f>
        <v>166000000000005</v>
      </c>
      <c r="G149" s="47" t="s">
        <v>422</v>
      </c>
      <c r="H149" s="46" t="s">
        <v>421</v>
      </c>
      <c r="I149" s="47" t="s">
        <v>366</v>
      </c>
      <c r="M149" s="38">
        <f t="shared" ca="1" si="9"/>
        <v>167000000000144</v>
      </c>
      <c r="N149" s="6" t="str">
        <f t="shared" ca="1" si="10"/>
        <v>PERFORM "SchData-OLTP-Master"."Func_TblBankAccount_SET"(varSystemLoginSession, null, null, null, null, null, varInstitutionBranchID, varBaseCurrencyID, 166000000000005, '5520769236', 'Adhe Kurniawan', 62000000000001, 25000000000559);</v>
      </c>
    </row>
    <row r="150" spans="2:14" x14ac:dyDescent="0.2">
      <c r="B150" s="31">
        <v>25000000000559</v>
      </c>
      <c r="C150" s="44" t="str">
        <f>_xlfn.IFNA(IF(EXACT($B150, ""), "", VLOOKUP($B150, [2]DataLookUp!$C$4:$G$999, 3, FALSE )), "")</f>
        <v>010224985</v>
      </c>
      <c r="D150" s="45" t="str">
        <f>IF(EXACT($B150, ""), "", IF((FLOOR($B150/1000000000000, 1) = 124), VLOOKUP($B150, '[4]DataLookUp - InstitutionBranch'!$B$4:$C$97, 2, FALSE), IF((FLOOR($B150/1000000000000, 1) = 25), VLOOKUP($B150, [3]DataLookUp!$B$4:$D$632, 2, FALSE), "xx")))</f>
        <v>Adhe Kurniawan</v>
      </c>
      <c r="E150" s="46" t="s">
        <v>199</v>
      </c>
      <c r="F150" s="60">
        <f ca="1">IF(EXACT(E150, ""), "", VLOOKUP($E150, OFFSET([1]MAIN!$B$2, 0, 0, 100, 6), 5, FALSE))</f>
        <v>166000000000002</v>
      </c>
      <c r="G150" s="47" t="s">
        <v>423</v>
      </c>
      <c r="H150" s="46" t="s">
        <v>421</v>
      </c>
      <c r="I150" s="47" t="s">
        <v>366</v>
      </c>
      <c r="M150" s="38">
        <f t="shared" ref="M150:M208" ca="1" si="11" xml:space="preserve"> M149 + IF(EXACT(N150, ""), 0, 1)</f>
        <v>167000000000145</v>
      </c>
      <c r="N150" s="6" t="str">
        <f t="shared" ref="N150:N208" ca="1" si="12">IF(EXACT(B150, ""), "", CONCATENATE("PERFORM ""SchData-OLTP-Master"".""Func_TblBankAccount_SET""(varSystemLoginSession, null, null, null, null, null, varInstitutionBranchID, varBaseCurrencyID, ", F150, ", '", G150, "', '", H150, "', ", I150, ", ", B150, ");"))</f>
        <v>PERFORM "SchData-OLTP-Master"."Func_TblBankAccount_SET"(varSystemLoginSession, null, null, null, null, null, varInstitutionBranchID, varBaseCurrencyID, 166000000000002, '069501008650509', 'Adhe Kurniawan', 62000000000001, 25000000000559);</v>
      </c>
    </row>
    <row r="151" spans="2:14" x14ac:dyDescent="0.2">
      <c r="B151" s="31">
        <v>25000000000560</v>
      </c>
      <c r="C151" s="44" t="str">
        <f>_xlfn.IFNA(IF(EXACT($B151, ""), "", VLOOKUP($B151, [2]DataLookUp!$C$4:$G$999, 3, FALSE )), "")</f>
        <v/>
      </c>
      <c r="D151" s="45" t="str">
        <f>IF(EXACT($B151, ""), "", IF((FLOOR($B151/1000000000000, 1) = 124), VLOOKUP($B151, '[4]DataLookUp - InstitutionBranch'!$B$4:$C$97, 2, FALSE), IF((FLOOR($B151/1000000000000, 1) = 25), VLOOKUP($B151, [3]DataLookUp!$B$4:$D$632, 2, FALSE), "xx")))</f>
        <v>Ahmad Fauzi</v>
      </c>
      <c r="E151" s="46"/>
      <c r="F151" s="60" t="str">
        <f ca="1">IF(EXACT(E151, ""), "", VLOOKUP($E151, OFFSET([1]MAIN!$B$2, 0, 0, 100, 6), 5, FALSE))</f>
        <v/>
      </c>
      <c r="G151" s="47"/>
      <c r="H151" s="46"/>
      <c r="I151" s="47"/>
      <c r="M151" s="38">
        <f t="shared" ca="1" si="11"/>
        <v>167000000000146</v>
      </c>
      <c r="N151" s="6" t="str">
        <f t="shared" ca="1" si="12"/>
        <v>PERFORM "SchData-OLTP-Master"."Func_TblBankAccount_SET"(varSystemLoginSession, null, null, null, null, null, varInstitutionBranchID, varBaseCurrencyID, , '', '', , 25000000000560);</v>
      </c>
    </row>
    <row r="152" spans="2:14" x14ac:dyDescent="0.2">
      <c r="B152" s="31">
        <v>25000000000561</v>
      </c>
      <c r="C152" s="44" t="str">
        <f>_xlfn.IFNA(IF(EXACT($B152, ""), "", VLOOKUP($B152, [2]DataLookUp!$C$4:$G$999, 3, FALSE )), "")</f>
        <v/>
      </c>
      <c r="D152" s="45" t="str">
        <f>IF(EXACT($B152, ""), "", IF((FLOOR($B152/1000000000000, 1) = 124), VLOOKUP($B152, '[4]DataLookUp - InstitutionBranch'!$B$4:$C$97, 2, FALSE), IF((FLOOR($B152/1000000000000, 1) = 25), VLOOKUP($B152, [3]DataLookUp!$B$4:$D$632, 2, FALSE), "xx")))</f>
        <v>Ahmad Gunawan</v>
      </c>
      <c r="E152" s="46"/>
      <c r="F152" s="60" t="str">
        <f ca="1">IF(EXACT(E152, ""), "", VLOOKUP($E152, OFFSET([1]MAIN!$B$2, 0, 0, 100, 6), 5, FALSE))</f>
        <v/>
      </c>
      <c r="G152" s="47"/>
      <c r="H152" s="46"/>
      <c r="I152" s="47"/>
      <c r="M152" s="38">
        <f t="shared" ca="1" si="11"/>
        <v>167000000000147</v>
      </c>
      <c r="N152" s="6" t="str">
        <f t="shared" ca="1" si="12"/>
        <v>PERFORM "SchData-OLTP-Master"."Func_TblBankAccount_SET"(varSystemLoginSession, null, null, null, null, null, varInstitutionBranchID, varBaseCurrencyID, , '', '', , 25000000000561);</v>
      </c>
    </row>
    <row r="153" spans="2:14" x14ac:dyDescent="0.2">
      <c r="B153" s="31">
        <v>25000000000562</v>
      </c>
      <c r="C153" s="44" t="str">
        <f>_xlfn.IFNA(IF(EXACT($B153, ""), "", VLOOKUP($B153, [2]DataLookUp!$C$4:$G$999, 3, FALSE )), "")</f>
        <v/>
      </c>
      <c r="D153" s="45" t="str">
        <f>IF(EXACT($B153, ""), "", IF((FLOOR($B153/1000000000000, 1) = 124), VLOOKUP($B153, '[4]DataLookUp - InstitutionBranch'!$B$4:$C$97, 2, FALSE), IF((FLOOR($B153/1000000000000, 1) = 25), VLOOKUP($B153, [3]DataLookUp!$B$4:$D$632, 2, FALSE), "xx")))</f>
        <v>Andri Andriyan</v>
      </c>
      <c r="E153" s="46"/>
      <c r="F153" s="60" t="str">
        <f ca="1">IF(EXACT(E153, ""), "", VLOOKUP($E153, OFFSET([1]MAIN!$B$2, 0, 0, 100, 6), 5, FALSE))</f>
        <v/>
      </c>
      <c r="G153" s="47"/>
      <c r="H153" s="46"/>
      <c r="I153" s="47"/>
      <c r="M153" s="38">
        <f t="shared" ca="1" si="11"/>
        <v>167000000000148</v>
      </c>
      <c r="N153" s="6" t="str">
        <f t="shared" ca="1" si="12"/>
        <v>PERFORM "SchData-OLTP-Master"."Func_TblBankAccount_SET"(varSystemLoginSession, null, null, null, null, null, varInstitutionBranchID, varBaseCurrencyID, , '', '', , 25000000000562);</v>
      </c>
    </row>
    <row r="154" spans="2:14" x14ac:dyDescent="0.2">
      <c r="B154" s="31">
        <v>25000000000563</v>
      </c>
      <c r="C154" s="44" t="str">
        <f>_xlfn.IFNA(IF(EXACT($B154, ""), "", VLOOKUP($B154, [2]DataLookUp!$C$4:$G$999, 3, FALSE )), "")</f>
        <v/>
      </c>
      <c r="D154" s="45" t="str">
        <f>IF(EXACT($B154, ""), "", IF((FLOOR($B154/1000000000000, 1) = 124), VLOOKUP($B154, '[4]DataLookUp - InstitutionBranch'!$B$4:$C$97, 2, FALSE), IF((FLOOR($B154/1000000000000, 1) = 25), VLOOKUP($B154, [3]DataLookUp!$B$4:$D$632, 2, FALSE), "xx")))</f>
        <v>Budi Sulistianto</v>
      </c>
      <c r="E154" s="46"/>
      <c r="F154" s="60" t="str">
        <f ca="1">IF(EXACT(E154, ""), "", VLOOKUP($E154, OFFSET([1]MAIN!$B$2, 0, 0, 100, 6), 5, FALSE))</f>
        <v/>
      </c>
      <c r="G154" s="47"/>
      <c r="H154" s="46"/>
      <c r="I154" s="47"/>
      <c r="M154" s="38">
        <f t="shared" ca="1" si="11"/>
        <v>167000000000149</v>
      </c>
      <c r="N154" s="6" t="str">
        <f t="shared" ca="1" si="12"/>
        <v>PERFORM "SchData-OLTP-Master"."Func_TblBankAccount_SET"(varSystemLoginSession, null, null, null, null, null, varInstitutionBranchID, varBaseCurrencyID, , '', '', , 25000000000563);</v>
      </c>
    </row>
    <row r="155" spans="2:14" x14ac:dyDescent="0.2">
      <c r="B155" s="31">
        <v>25000000000564</v>
      </c>
      <c r="C155" s="44" t="str">
        <f>_xlfn.IFNA(IF(EXACT($B155, ""), "", VLOOKUP($B155, [2]DataLookUp!$C$4:$G$999, 3, FALSE )), "")</f>
        <v/>
      </c>
      <c r="D155" s="45" t="str">
        <f>IF(EXACT($B155, ""), "", IF((FLOOR($B155/1000000000000, 1) = 124), VLOOKUP($B155, '[4]DataLookUp - InstitutionBranch'!$B$4:$C$97, 2, FALSE), IF((FLOOR($B155/1000000000000, 1) = 25), VLOOKUP($B155, [3]DataLookUp!$B$4:$D$632, 2, FALSE), "xx")))</f>
        <v>Eka Budi</v>
      </c>
      <c r="E155" s="46"/>
      <c r="F155" s="60" t="str">
        <f ca="1">IF(EXACT(E155, ""), "", VLOOKUP($E155, OFFSET([1]MAIN!$B$2, 0, 0, 100, 6), 5, FALSE))</f>
        <v/>
      </c>
      <c r="G155" s="47"/>
      <c r="H155" s="46"/>
      <c r="I155" s="47"/>
      <c r="M155" s="38">
        <f t="shared" ca="1" si="11"/>
        <v>167000000000150</v>
      </c>
      <c r="N155" s="6" t="str">
        <f t="shared" ca="1" si="12"/>
        <v>PERFORM "SchData-OLTP-Master"."Func_TblBankAccount_SET"(varSystemLoginSession, null, null, null, null, null, varInstitutionBranchID, varBaseCurrencyID, , '', '', , 25000000000564);</v>
      </c>
    </row>
    <row r="156" spans="2:14" x14ac:dyDescent="0.2">
      <c r="B156" s="31">
        <v>25000000000126</v>
      </c>
      <c r="C156" s="44"/>
      <c r="D156" s="45" t="str">
        <f>IF(EXACT($B156, ""), "", IF((FLOOR($B156/1000000000000, 1) = 124), VLOOKUP($B156, '[4]DataLookUp - InstitutionBranch'!$B$4:$C$97, 2, FALSE), IF((FLOOR($B156/1000000000000, 1) = 25), VLOOKUP($B156, [3]DataLookUp!$B$4:$D$632, 2, FALSE), "xx")))</f>
        <v>Eka Kurniawan Hidayatullah</v>
      </c>
      <c r="E156" s="46" t="s">
        <v>197</v>
      </c>
      <c r="F156" s="60">
        <f ca="1">IF(EXACT(E156, ""), "", VLOOKUP($E156, OFFSET([1]MAIN!$B$2, 0, 0, 100, 6), 5, FALSE))</f>
        <v>166000000000005</v>
      </c>
      <c r="G156" s="47" t="s">
        <v>438</v>
      </c>
      <c r="H156" s="46" t="s">
        <v>439</v>
      </c>
      <c r="I156" s="47" t="s">
        <v>366</v>
      </c>
      <c r="M156" s="38">
        <f t="shared" ca="1" si="11"/>
        <v>167000000000151</v>
      </c>
      <c r="N156" s="6" t="str">
        <f t="shared" ca="1" si="12"/>
        <v>PERFORM "SchData-OLTP-Master"."Func_TblBankAccount_SET"(varSystemLoginSession, null, null, null, null, null, varInstitutionBranchID, varBaseCurrencyID, 166000000000005, '5520776887', 'Eka Kurniawan Hidayatullah', 62000000000001, 25000000000126);</v>
      </c>
    </row>
    <row r="157" spans="2:14" x14ac:dyDescent="0.2">
      <c r="B157" s="31">
        <v>25000000000565</v>
      </c>
      <c r="C157" s="44" t="str">
        <f>_xlfn.IFNA(IF(EXACT($B157, ""), "", VLOOKUP($B157, [2]DataLookUp!$C$4:$G$999, 3, FALSE )), "")</f>
        <v/>
      </c>
      <c r="D157" s="45" t="str">
        <f>IF(EXACT($B157, ""), "", IF((FLOOR($B157/1000000000000, 1) = 124), VLOOKUP($B157, '[4]DataLookUp - InstitutionBranch'!$B$4:$C$97, 2, FALSE), IF((FLOOR($B157/1000000000000, 1) = 25), VLOOKUP($B157, [3]DataLookUp!$B$4:$D$632, 2, FALSE), "xx")))</f>
        <v>Haerul Gunawan</v>
      </c>
      <c r="E157" s="46"/>
      <c r="F157" s="60" t="str">
        <f ca="1">IF(EXACT(E157, ""), "", VLOOKUP($E157, OFFSET([1]MAIN!$B$2, 0, 0, 100, 6), 5, FALSE))</f>
        <v/>
      </c>
      <c r="G157" s="47"/>
      <c r="H157" s="46"/>
      <c r="I157" s="47"/>
      <c r="M157" s="38">
        <f t="shared" ca="1" si="11"/>
        <v>167000000000152</v>
      </c>
      <c r="N157" s="6" t="str">
        <f t="shared" ca="1" si="12"/>
        <v>PERFORM "SchData-OLTP-Master"."Func_TblBankAccount_SET"(varSystemLoginSession, null, null, null, null, null, varInstitutionBranchID, varBaseCurrencyID, , '', '', , 25000000000565);</v>
      </c>
    </row>
    <row r="158" spans="2:14" x14ac:dyDescent="0.2">
      <c r="B158" s="31">
        <v>25000000000566</v>
      </c>
      <c r="C158" s="44" t="str">
        <f>_xlfn.IFNA(IF(EXACT($B158, ""), "", VLOOKUP($B158, [2]DataLookUp!$C$4:$G$999, 3, FALSE )), "")</f>
        <v/>
      </c>
      <c r="D158" s="45" t="str">
        <f>IF(EXACT($B158, ""), "", IF((FLOOR($B158/1000000000000, 1) = 124), VLOOKUP($B158, '[4]DataLookUp - InstitutionBranch'!$B$4:$C$97, 2, FALSE), IF((FLOOR($B158/1000000000000, 1) = 25), VLOOKUP($B158, [3]DataLookUp!$B$4:$D$632, 2, FALSE), "xx")))</f>
        <v>Irvan Agus</v>
      </c>
      <c r="E158" s="46"/>
      <c r="F158" s="60" t="str">
        <f ca="1">IF(EXACT(E158, ""), "", VLOOKUP($E158, OFFSET([1]MAIN!$B$2, 0, 0, 100, 6), 5, FALSE))</f>
        <v/>
      </c>
      <c r="G158" s="47"/>
      <c r="H158" s="46"/>
      <c r="I158" s="47"/>
      <c r="M158" s="38">
        <f t="shared" ca="1" si="11"/>
        <v>167000000000153</v>
      </c>
      <c r="N158" s="6" t="str">
        <f t="shared" ca="1" si="12"/>
        <v>PERFORM "SchData-OLTP-Master"."Func_TblBankAccount_SET"(varSystemLoginSession, null, null, null, null, null, varInstitutionBranchID, varBaseCurrencyID, , '', '', , 25000000000566);</v>
      </c>
    </row>
    <row r="159" spans="2:14" x14ac:dyDescent="0.2">
      <c r="B159" s="31">
        <v>25000000000567</v>
      </c>
      <c r="C159" s="44" t="str">
        <f>_xlfn.IFNA(IF(EXACT($B159, ""), "", VLOOKUP($B159, [2]DataLookUp!$C$4:$G$999, 3, FALSE )), "")</f>
        <v/>
      </c>
      <c r="D159" s="45" t="str">
        <f>IF(EXACT($B159, ""), "", IF((FLOOR($B159/1000000000000, 1) = 124), VLOOKUP($B159, '[4]DataLookUp - InstitutionBranch'!$B$4:$C$97, 2, FALSE), IF((FLOOR($B159/1000000000000, 1) = 25), VLOOKUP($B159, [3]DataLookUp!$B$4:$D$632, 2, FALSE), "xx")))</f>
        <v>Joshika Pradirga</v>
      </c>
      <c r="E159" s="46"/>
      <c r="F159" s="60" t="str">
        <f ca="1">IF(EXACT(E159, ""), "", VLOOKUP($E159, OFFSET([1]MAIN!$B$2, 0, 0, 100, 6), 5, FALSE))</f>
        <v/>
      </c>
      <c r="G159" s="47"/>
      <c r="H159" s="46"/>
      <c r="I159" s="47"/>
      <c r="M159" s="38">
        <f t="shared" ca="1" si="11"/>
        <v>167000000000154</v>
      </c>
      <c r="N159" s="6" t="str">
        <f t="shared" ca="1" si="12"/>
        <v>PERFORM "SchData-OLTP-Master"."Func_TblBankAccount_SET"(varSystemLoginSession, null, null, null, null, null, varInstitutionBranchID, varBaseCurrencyID, , '', '', , 25000000000567);</v>
      </c>
    </row>
    <row r="160" spans="2:14" x14ac:dyDescent="0.2">
      <c r="B160" s="31">
        <v>25000000000568</v>
      </c>
      <c r="C160" s="44" t="str">
        <f>_xlfn.IFNA(IF(EXACT($B160, ""), "", VLOOKUP($B160, [2]DataLookUp!$C$4:$G$999, 3, FALSE )), "")</f>
        <v/>
      </c>
      <c r="D160" s="45" t="str">
        <f>IF(EXACT($B160, ""), "", IF((FLOOR($B160/1000000000000, 1) = 124), VLOOKUP($B160, '[4]DataLookUp - InstitutionBranch'!$B$4:$C$97, 2, FALSE), IF((FLOOR($B160/1000000000000, 1) = 25), VLOOKUP($B160, [3]DataLookUp!$B$4:$D$632, 2, FALSE), "xx")))</f>
        <v>Khaidir</v>
      </c>
      <c r="E160" s="46"/>
      <c r="F160" s="60" t="str">
        <f ca="1">IF(EXACT(E160, ""), "", VLOOKUP($E160, OFFSET([1]MAIN!$B$2, 0, 0, 100, 6), 5, FALSE))</f>
        <v/>
      </c>
      <c r="G160" s="47"/>
      <c r="H160" s="46"/>
      <c r="I160" s="47"/>
      <c r="M160" s="38">
        <f t="shared" ca="1" si="11"/>
        <v>167000000000155</v>
      </c>
      <c r="N160" s="6" t="str">
        <f t="shared" ca="1" si="12"/>
        <v>PERFORM "SchData-OLTP-Master"."Func_TblBankAccount_SET"(varSystemLoginSession, null, null, null, null, null, varInstitutionBranchID, varBaseCurrencyID, , '', '', , 25000000000568);</v>
      </c>
    </row>
    <row r="161" spans="2:14" x14ac:dyDescent="0.2">
      <c r="B161" s="31">
        <v>25000000000569</v>
      </c>
      <c r="C161" s="44" t="str">
        <f>_xlfn.IFNA(IF(EXACT($B161, ""), "", VLOOKUP($B161, [2]DataLookUp!$C$4:$G$999, 3, FALSE )), "")</f>
        <v/>
      </c>
      <c r="D161" s="45" t="str">
        <f>IF(EXACT($B161, ""), "", IF((FLOOR($B161/1000000000000, 1) = 124), VLOOKUP($B161, '[4]DataLookUp - InstitutionBranch'!$B$4:$C$97, 2, FALSE), IF((FLOOR($B161/1000000000000, 1) = 25), VLOOKUP($B161, [3]DataLookUp!$B$4:$D$632, 2, FALSE), "xx")))</f>
        <v>Latip Muhlanto</v>
      </c>
      <c r="E161" s="46"/>
      <c r="F161" s="60" t="str">
        <f ca="1">IF(EXACT(E161, ""), "", VLOOKUP($E161, OFFSET([1]MAIN!$B$2, 0, 0, 100, 6), 5, FALSE))</f>
        <v/>
      </c>
      <c r="G161" s="47"/>
      <c r="H161" s="46"/>
      <c r="I161" s="47"/>
      <c r="M161" s="38">
        <f t="shared" ca="1" si="11"/>
        <v>167000000000156</v>
      </c>
      <c r="N161" s="6" t="str">
        <f t="shared" ca="1" si="12"/>
        <v>PERFORM "SchData-OLTP-Master"."Func_TblBankAccount_SET"(varSystemLoginSession, null, null, null, null, null, varInstitutionBranchID, varBaseCurrencyID, , '', '', , 25000000000569);</v>
      </c>
    </row>
    <row r="162" spans="2:14" x14ac:dyDescent="0.2">
      <c r="B162" s="31">
        <v>25000000000570</v>
      </c>
      <c r="C162" s="44" t="str">
        <f>_xlfn.IFNA(IF(EXACT($B162, ""), "", VLOOKUP($B162, [2]DataLookUp!$C$4:$G$999, 3, FALSE )), "")</f>
        <v/>
      </c>
      <c r="D162" s="45" t="str">
        <f>IF(EXACT($B162, ""), "", IF((FLOOR($B162/1000000000000, 1) = 124), VLOOKUP($B162, '[4]DataLookUp - InstitutionBranch'!$B$4:$C$97, 2, FALSE), IF((FLOOR($B162/1000000000000, 1) = 25), VLOOKUP($B162, [3]DataLookUp!$B$4:$D$632, 2, FALSE), "xx")))</f>
        <v>Leonardo Putra</v>
      </c>
      <c r="E162" s="46"/>
      <c r="F162" s="60" t="str">
        <f ca="1">IF(EXACT(E162, ""), "", VLOOKUP($E162, OFFSET([1]MAIN!$B$2, 0, 0, 100, 6), 5, FALSE))</f>
        <v/>
      </c>
      <c r="G162" s="47"/>
      <c r="H162" s="46"/>
      <c r="I162" s="47"/>
      <c r="M162" s="38">
        <f t="shared" ca="1" si="11"/>
        <v>167000000000157</v>
      </c>
      <c r="N162" s="6" t="str">
        <f t="shared" ca="1" si="12"/>
        <v>PERFORM "SchData-OLTP-Master"."Func_TblBankAccount_SET"(varSystemLoginSession, null, null, null, null, null, varInstitutionBranchID, varBaseCurrencyID, , '', '', , 25000000000570);</v>
      </c>
    </row>
    <row r="163" spans="2:14" x14ac:dyDescent="0.2">
      <c r="B163" s="31">
        <v>25000000000571</v>
      </c>
      <c r="C163" s="44" t="str">
        <f>_xlfn.IFNA(IF(EXACT($B163, ""), "", VLOOKUP($B163, [2]DataLookUp!$C$4:$G$999, 3, FALSE )), "")</f>
        <v/>
      </c>
      <c r="D163" s="45" t="str">
        <f>IF(EXACT($B163, ""), "", IF((FLOOR($B163/1000000000000, 1) = 124), VLOOKUP($B163, '[4]DataLookUp - InstitutionBranch'!$B$4:$C$97, 2, FALSE), IF((FLOOR($B163/1000000000000, 1) = 25), VLOOKUP($B163, [3]DataLookUp!$B$4:$D$632, 2, FALSE), "xx")))</f>
        <v>Muhammad Ramadani</v>
      </c>
      <c r="E163" s="46"/>
      <c r="F163" s="60" t="str">
        <f ca="1">IF(EXACT(E163, ""), "", VLOOKUP($E163, OFFSET([1]MAIN!$B$2, 0, 0, 100, 6), 5, FALSE))</f>
        <v/>
      </c>
      <c r="G163" s="47"/>
      <c r="H163" s="46"/>
      <c r="I163" s="47"/>
      <c r="M163" s="38">
        <f t="shared" ca="1" si="11"/>
        <v>167000000000158</v>
      </c>
      <c r="N163" s="6" t="str">
        <f t="shared" ca="1" si="12"/>
        <v>PERFORM "SchData-OLTP-Master"."Func_TblBankAccount_SET"(varSystemLoginSession, null, null, null, null, null, varInstitutionBranchID, varBaseCurrencyID, , '', '', , 25000000000571);</v>
      </c>
    </row>
    <row r="164" spans="2:14" x14ac:dyDescent="0.2">
      <c r="B164" s="31">
        <v>25000000000572</v>
      </c>
      <c r="C164" s="44" t="str">
        <f>_xlfn.IFNA(IF(EXACT($B164, ""), "", VLOOKUP($B164, [2]DataLookUp!$C$4:$G$999, 3, FALSE )), "")</f>
        <v/>
      </c>
      <c r="D164" s="45" t="str">
        <f>IF(EXACT($B164, ""), "", IF((FLOOR($B164/1000000000000, 1) = 124), VLOOKUP($B164, '[4]DataLookUp - InstitutionBranch'!$B$4:$C$97, 2, FALSE), IF((FLOOR($B164/1000000000000, 1) = 25), VLOOKUP($B164, [3]DataLookUp!$B$4:$D$632, 2, FALSE), "xx")))</f>
        <v>Musdalipa</v>
      </c>
      <c r="E164" s="46"/>
      <c r="F164" s="60" t="str">
        <f ca="1">IF(EXACT(E164, ""), "", VLOOKUP($E164, OFFSET([1]MAIN!$B$2, 0, 0, 100, 6), 5, FALSE))</f>
        <v/>
      </c>
      <c r="G164" s="47"/>
      <c r="H164" s="46"/>
      <c r="I164" s="47"/>
      <c r="M164" s="38">
        <f t="shared" ca="1" si="11"/>
        <v>167000000000159</v>
      </c>
      <c r="N164" s="6" t="str">
        <f t="shared" ca="1" si="12"/>
        <v>PERFORM "SchData-OLTP-Master"."Func_TblBankAccount_SET"(varSystemLoginSession, null, null, null, null, null, varInstitutionBranchID, varBaseCurrencyID, , '', '', , 25000000000572);</v>
      </c>
    </row>
    <row r="165" spans="2:14" x14ac:dyDescent="0.2">
      <c r="B165" s="31">
        <v>25000000000573</v>
      </c>
      <c r="C165" s="44" t="str">
        <f>_xlfn.IFNA(IF(EXACT($B165, ""), "", VLOOKUP($B165, [2]DataLookUp!$C$4:$G$999, 3, FALSE )), "")</f>
        <v/>
      </c>
      <c r="D165" s="45" t="str">
        <f>IF(EXACT($B165, ""), "", IF((FLOOR($B165/1000000000000, 1) = 124), VLOOKUP($B165, '[4]DataLookUp - InstitutionBranch'!$B$4:$C$97, 2, FALSE), IF((FLOOR($B165/1000000000000, 1) = 25), VLOOKUP($B165, [3]DataLookUp!$B$4:$D$632, 2, FALSE), "xx")))</f>
        <v>Nico Melky</v>
      </c>
      <c r="E165" s="46"/>
      <c r="F165" s="60" t="str">
        <f ca="1">IF(EXACT(E165, ""), "", VLOOKUP($E165, OFFSET([1]MAIN!$B$2, 0, 0, 100, 6), 5, FALSE))</f>
        <v/>
      </c>
      <c r="G165" s="47"/>
      <c r="H165" s="46"/>
      <c r="I165" s="47"/>
      <c r="M165" s="38">
        <f t="shared" ca="1" si="11"/>
        <v>167000000000160</v>
      </c>
      <c r="N165" s="6" t="str">
        <f t="shared" ca="1" si="12"/>
        <v>PERFORM "SchData-OLTP-Master"."Func_TblBankAccount_SET"(varSystemLoginSession, null, null, null, null, null, varInstitutionBranchID, varBaseCurrencyID, , '', '', , 25000000000573);</v>
      </c>
    </row>
    <row r="166" spans="2:14" x14ac:dyDescent="0.2">
      <c r="B166" s="31">
        <v>25000000000574</v>
      </c>
      <c r="C166" s="44" t="str">
        <f>_xlfn.IFNA(IF(EXACT($B166, ""), "", VLOOKUP($B166, [2]DataLookUp!$C$4:$G$999, 3, FALSE )), "")</f>
        <v>230924993</v>
      </c>
      <c r="D166" s="45" t="str">
        <f>IF(EXACT($B166, ""), "", IF((FLOOR($B166/1000000000000, 1) = 124), VLOOKUP($B166, '[4]DataLookUp - InstitutionBranch'!$B$4:$C$97, 2, FALSE), IF((FLOOR($B166/1000000000000, 1) = 25), VLOOKUP($B166, [3]DataLookUp!$B$4:$D$632, 2, FALSE), "xx")))</f>
        <v>Rahmata Novanisa</v>
      </c>
      <c r="E166" s="46" t="s">
        <v>197</v>
      </c>
      <c r="F166" s="60">
        <f ca="1">IF(EXACT(E166, ""), "", VLOOKUP($E166, OFFSET([1]MAIN!$B$2, 0, 0, 100, 6), 5, FALSE))</f>
        <v>166000000000005</v>
      </c>
      <c r="G166" s="47" t="s">
        <v>426</v>
      </c>
      <c r="H166" s="46" t="s">
        <v>427</v>
      </c>
      <c r="I166" s="47" t="s">
        <v>366</v>
      </c>
      <c r="M166" s="38">
        <f t="shared" ca="1" si="11"/>
        <v>167000000000161</v>
      </c>
      <c r="N166" s="6" t="str">
        <f t="shared" ca="1" si="12"/>
        <v>PERFORM "SchData-OLTP-Master"."Func_TblBankAccount_SET"(varSystemLoginSession, null, null, null, null, null, varInstitutionBranchID, varBaseCurrencyID, 166000000000005, '8020227444', 'Rahmata Novanisa', 62000000000001, 25000000000574);</v>
      </c>
    </row>
    <row r="167" spans="2:14" x14ac:dyDescent="0.2">
      <c r="B167" s="31">
        <v>25000000000575</v>
      </c>
      <c r="C167" s="44" t="str">
        <f>_xlfn.IFNA(IF(EXACT($B167, ""), "", VLOOKUP($B167, [2]DataLookUp!$C$4:$G$999, 3, FALSE )), "")</f>
        <v/>
      </c>
      <c r="D167" s="45" t="str">
        <f>IF(EXACT($B167, ""), "", IF((FLOOR($B167/1000000000000, 1) = 124), VLOOKUP($B167, '[4]DataLookUp - InstitutionBranch'!$B$4:$C$97, 2, FALSE), IF((FLOOR($B167/1000000000000, 1) = 25), VLOOKUP($B167, [3]DataLookUp!$B$4:$D$632, 2, FALSE), "xx")))</f>
        <v>Satrio Dhiaputra</v>
      </c>
      <c r="E167" s="46" t="s">
        <v>197</v>
      </c>
      <c r="F167" s="60">
        <f ca="1">IF(EXACT(E167, ""), "", VLOOKUP($E167, OFFSET([1]MAIN!$B$2, 0, 0, 100, 6), 5, FALSE))</f>
        <v>166000000000005</v>
      </c>
      <c r="G167" s="47" t="s">
        <v>428</v>
      </c>
      <c r="H167" s="46" t="s">
        <v>429</v>
      </c>
      <c r="I167" s="47" t="s">
        <v>366</v>
      </c>
      <c r="M167" s="38">
        <f t="shared" ca="1" si="11"/>
        <v>167000000000162</v>
      </c>
      <c r="N167" s="6" t="str">
        <f t="shared" ca="1" si="12"/>
        <v>PERFORM "SchData-OLTP-Master"."Func_TblBankAccount_SET"(varSystemLoginSession, null, null, null, null, null, varInstitutionBranchID, varBaseCurrencyID, 166000000000005, '0886361747', 'Satrio Dhiaputra', 62000000000001, 25000000000575);</v>
      </c>
    </row>
    <row r="168" spans="2:14" x14ac:dyDescent="0.2">
      <c r="B168" s="31">
        <v>25000000000576</v>
      </c>
      <c r="C168" s="44" t="str">
        <f>_xlfn.IFNA(IF(EXACT($B168, ""), "", VLOOKUP($B168, [2]DataLookUp!$C$4:$G$999, 3, FALSE )), "")</f>
        <v/>
      </c>
      <c r="D168" s="45" t="str">
        <f>IF(EXACT($B168, ""), "", IF((FLOOR($B168/1000000000000, 1) = 124), VLOOKUP($B168, '[4]DataLookUp - InstitutionBranch'!$B$4:$C$97, 2, FALSE), IF((FLOOR($B168/1000000000000, 1) = 25), VLOOKUP($B168, [3]DataLookUp!$B$4:$D$632, 2, FALSE), "xx")))</f>
        <v>Sudirman</v>
      </c>
      <c r="E168" s="46"/>
      <c r="F168" s="60" t="str">
        <f ca="1">IF(EXACT(E168, ""), "", VLOOKUP($E168, OFFSET([1]MAIN!$B$2, 0, 0, 100, 6), 5, FALSE))</f>
        <v/>
      </c>
      <c r="G168" s="47"/>
      <c r="H168" s="46"/>
      <c r="I168" s="47"/>
      <c r="M168" s="38">
        <f t="shared" ca="1" si="11"/>
        <v>167000000000163</v>
      </c>
      <c r="N168" s="6" t="str">
        <f t="shared" ca="1" si="12"/>
        <v>PERFORM "SchData-OLTP-Master"."Func_TblBankAccount_SET"(varSystemLoginSession, null, null, null, null, null, varInstitutionBranchID, varBaseCurrencyID, , '', '', , 25000000000576);</v>
      </c>
    </row>
    <row r="169" spans="2:14" x14ac:dyDescent="0.2">
      <c r="B169" s="31">
        <v>25000000000577</v>
      </c>
      <c r="C169" s="44" t="str">
        <f>_xlfn.IFNA(IF(EXACT($B169, ""), "", VLOOKUP($B169, [2]DataLookUp!$C$4:$G$999, 3, FALSE )), "")</f>
        <v/>
      </c>
      <c r="D169" s="45" t="str">
        <f>IF(EXACT($B169, ""), "", IF((FLOOR($B169/1000000000000, 1) = 124), VLOOKUP($B169, '[4]DataLookUp - InstitutionBranch'!$B$4:$C$97, 2, FALSE), IF((FLOOR($B169/1000000000000, 1) = 25), VLOOKUP($B169, [3]DataLookUp!$B$4:$D$632, 2, FALSE), "xx")))</f>
        <v>Suparji</v>
      </c>
      <c r="E169" s="46"/>
      <c r="F169" s="60" t="str">
        <f ca="1">IF(EXACT(E169, ""), "", VLOOKUP($E169, OFFSET([1]MAIN!$B$2, 0, 0, 100, 6), 5, FALSE))</f>
        <v/>
      </c>
      <c r="G169" s="47"/>
      <c r="H169" s="46"/>
      <c r="I169" s="47"/>
      <c r="M169" s="38">
        <f t="shared" ca="1" si="11"/>
        <v>167000000000164</v>
      </c>
      <c r="N169" s="6" t="str">
        <f t="shared" ca="1" si="12"/>
        <v>PERFORM "SchData-OLTP-Master"."Func_TblBankAccount_SET"(varSystemLoginSession, null, null, null, null, null, varInstitutionBranchID, varBaseCurrencyID, , '', '', , 25000000000577);</v>
      </c>
    </row>
    <row r="170" spans="2:14" x14ac:dyDescent="0.2">
      <c r="B170" s="31">
        <v>25000000000578</v>
      </c>
      <c r="C170" s="44" t="str">
        <f>_xlfn.IFNA(IF(EXACT($B170, ""), "", VLOOKUP($B170, [2]DataLookUp!$C$4:$G$999, 3, FALSE )), "")</f>
        <v/>
      </c>
      <c r="D170" s="45" t="str">
        <f>IF(EXACT($B170, ""), "", IF((FLOOR($B170/1000000000000, 1) = 124), VLOOKUP($B170, '[4]DataLookUp - InstitutionBranch'!$B$4:$C$97, 2, FALSE), IF((FLOOR($B170/1000000000000, 1) = 25), VLOOKUP($B170, [3]DataLookUp!$B$4:$D$632, 2, FALSE), "xx")))</f>
        <v>Taufik Iskandar</v>
      </c>
      <c r="E170" s="46"/>
      <c r="F170" s="60" t="str">
        <f ca="1">IF(EXACT(E170, ""), "", VLOOKUP($E170, OFFSET([1]MAIN!$B$2, 0, 0, 100, 6), 5, FALSE))</f>
        <v/>
      </c>
      <c r="G170" s="47"/>
      <c r="H170" s="46"/>
      <c r="I170" s="47"/>
      <c r="M170" s="38">
        <f t="shared" ca="1" si="11"/>
        <v>167000000000165</v>
      </c>
      <c r="N170" s="6" t="str">
        <f t="shared" ca="1" si="12"/>
        <v>PERFORM "SchData-OLTP-Master"."Func_TblBankAccount_SET"(varSystemLoginSession, null, null, null, null, null, varInstitutionBranchID, varBaseCurrencyID, , '', '', , 25000000000578);</v>
      </c>
    </row>
    <row r="171" spans="2:14" x14ac:dyDescent="0.2">
      <c r="B171" s="31">
        <v>25000000000579</v>
      </c>
      <c r="C171" s="44" t="str">
        <f>_xlfn.IFNA(IF(EXACT($B171, ""), "", VLOOKUP($B171, [2]DataLookUp!$C$4:$G$999, 3, FALSE )), "")</f>
        <v>280324989</v>
      </c>
      <c r="D171" s="45" t="str">
        <f>IF(EXACT($B171, ""), "", IF((FLOOR($B171/1000000000000, 1) = 124), VLOOKUP($B171, '[4]DataLookUp - InstitutionBranch'!$B$4:$C$97, 2, FALSE), IF((FLOOR($B171/1000000000000, 1) = 25), VLOOKUP($B171, [3]DataLookUp!$B$4:$D$632, 2, FALSE), "xx")))</f>
        <v>Tegar Hersaputra</v>
      </c>
      <c r="E171" s="46" t="s">
        <v>197</v>
      </c>
      <c r="F171" s="60">
        <f ca="1">IF(EXACT(E171, ""), "", VLOOKUP($E171, OFFSET([1]MAIN!$B$2, 0, 0, 100, 6), 5, FALSE))</f>
        <v>166000000000005</v>
      </c>
      <c r="G171" s="47" t="s">
        <v>440</v>
      </c>
      <c r="H171" s="46" t="s">
        <v>441</v>
      </c>
      <c r="I171" s="47" t="s">
        <v>366</v>
      </c>
      <c r="M171" s="38">
        <f t="shared" ca="1" si="11"/>
        <v>167000000000166</v>
      </c>
      <c r="N171" s="6" t="str">
        <f t="shared" ca="1" si="12"/>
        <v>PERFORM "SchData-OLTP-Master"."Func_TblBankAccount_SET"(varSystemLoginSession, null, null, null, null, null, varInstitutionBranchID, varBaseCurrencyID, 166000000000005, '8801497411', 'Tegar Hersaputra', 62000000000001, 25000000000579);</v>
      </c>
    </row>
    <row r="172" spans="2:14" x14ac:dyDescent="0.2">
      <c r="B172" s="31">
        <v>25000000000580</v>
      </c>
      <c r="C172" s="44" t="str">
        <f>_xlfn.IFNA(IF(EXACT($B172, ""), "", VLOOKUP($B172, [2]DataLookUp!$C$4:$G$999, 3, FALSE )), "")</f>
        <v/>
      </c>
      <c r="D172" s="45" t="str">
        <f>IF(EXACT($B172, ""), "", IF((FLOOR($B172/1000000000000, 1) = 124), VLOOKUP($B172, '[4]DataLookUp - InstitutionBranch'!$B$4:$C$97, 2, FALSE), IF((FLOOR($B172/1000000000000, 1) = 25), VLOOKUP($B172, [3]DataLookUp!$B$4:$D$632, 2, FALSE), "xx")))</f>
        <v>Togar Sihombing</v>
      </c>
      <c r="E172" s="46"/>
      <c r="F172" s="60" t="str">
        <f ca="1">IF(EXACT(E172, ""), "", VLOOKUP($E172, OFFSET([1]MAIN!$B$2, 0, 0, 100, 6), 5, FALSE))</f>
        <v/>
      </c>
      <c r="G172" s="47"/>
      <c r="H172" s="46"/>
      <c r="I172" s="47"/>
      <c r="M172" s="38">
        <f t="shared" ca="1" si="11"/>
        <v>167000000000167</v>
      </c>
      <c r="N172" s="6" t="str">
        <f t="shared" ca="1" si="12"/>
        <v>PERFORM "SchData-OLTP-Master"."Func_TblBankAccount_SET"(varSystemLoginSession, null, null, null, null, null, varInstitutionBranchID, varBaseCurrencyID, , '', '', , 25000000000580);</v>
      </c>
    </row>
    <row r="173" spans="2:14" x14ac:dyDescent="0.2">
      <c r="B173" s="31">
        <v>25000000000581</v>
      </c>
      <c r="C173" s="44" t="str">
        <f>_xlfn.IFNA(IF(EXACT($B173, ""), "", VLOOKUP($B173, [2]DataLookUp!$C$4:$G$999, 3, FALSE )), "")</f>
        <v>150724991</v>
      </c>
      <c r="D173" s="45" t="str">
        <f>IF(EXACT($B173, ""), "", IF((FLOOR($B173/1000000000000, 1) = 124), VLOOKUP($B173, '[4]DataLookUp - InstitutionBranch'!$B$4:$C$97, 2, FALSE), IF((FLOOR($B173/1000000000000, 1) = 25), VLOOKUP($B173, [3]DataLookUp!$B$4:$D$632, 2, FALSE), "xx")))</f>
        <v>Wisnu Trenggono Wirayuda</v>
      </c>
      <c r="E173" s="46" t="s">
        <v>197</v>
      </c>
      <c r="F173" s="60">
        <f ca="1">IF(EXACT(E173, ""), "", VLOOKUP($E173, OFFSET([1]MAIN!$B$2, 0, 0, 100, 6), 5, FALSE))</f>
        <v>166000000000005</v>
      </c>
      <c r="G173" s="47" t="s">
        <v>442</v>
      </c>
      <c r="H173" s="46" t="s">
        <v>443</v>
      </c>
      <c r="I173" s="47" t="s">
        <v>366</v>
      </c>
      <c r="M173" s="38">
        <f t="shared" ca="1" si="11"/>
        <v>167000000000168</v>
      </c>
      <c r="N173" s="6" t="str">
        <f t="shared" ca="1" si="12"/>
        <v>PERFORM "SchData-OLTP-Master"."Func_TblBankAccount_SET"(varSystemLoginSession, null, null, null, null, null, varInstitutionBranchID, varBaseCurrencyID, 166000000000005, ' 2730511712', 'Wisnu Trenggono Wirayuda', 62000000000001, 25000000000581);</v>
      </c>
    </row>
    <row r="174" spans="2:14" x14ac:dyDescent="0.2">
      <c r="B174" s="31">
        <v>25000000000582</v>
      </c>
      <c r="C174" s="44" t="str">
        <f>_xlfn.IFNA(IF(EXACT($B174, ""), "", VLOOKUP($B174, [2]DataLookUp!$C$4:$G$999, 3, FALSE )), "")</f>
        <v/>
      </c>
      <c r="D174" s="45" t="str">
        <f>IF(EXACT($B174, ""), "", IF((FLOOR($B174/1000000000000, 1) = 124), VLOOKUP($B174, '[4]DataLookUp - InstitutionBranch'!$B$4:$C$97, 2, FALSE), IF((FLOOR($B174/1000000000000, 1) = 25), VLOOKUP($B174, [3]DataLookUp!$B$4:$D$632, 2, FALSE), "xx")))</f>
        <v>Yogo</v>
      </c>
      <c r="E174" s="46"/>
      <c r="F174" s="60" t="str">
        <f ca="1">IF(EXACT(E174, ""), "", VLOOKUP($E174, OFFSET([1]MAIN!$B$2, 0, 0, 100, 6), 5, FALSE))</f>
        <v/>
      </c>
      <c r="G174" s="47"/>
      <c r="H174" s="46"/>
      <c r="I174" s="47"/>
      <c r="M174" s="38">
        <f t="shared" ca="1" si="11"/>
        <v>167000000000169</v>
      </c>
      <c r="N174" s="6" t="str">
        <f t="shared" ca="1" si="12"/>
        <v>PERFORM "SchData-OLTP-Master"."Func_TblBankAccount_SET"(varSystemLoginSession, null, null, null, null, null, varInstitutionBranchID, varBaseCurrencyID, , '', '', , 25000000000582);</v>
      </c>
    </row>
    <row r="175" spans="2:14" x14ac:dyDescent="0.2">
      <c r="B175" s="31">
        <v>25000000000583</v>
      </c>
      <c r="C175" s="44" t="str">
        <f>_xlfn.IFNA(IF(EXACT($B175, ""), "", VLOOKUP($B175, [2]DataLookUp!$C$4:$G$999, 3, FALSE )), "")</f>
        <v/>
      </c>
      <c r="D175" s="45" t="str">
        <f>IF(EXACT($B175, ""), "", IF((FLOOR($B175/1000000000000, 1) = 124), VLOOKUP($B175, '[4]DataLookUp - InstitutionBranch'!$B$4:$C$97, 2, FALSE), IF((FLOOR($B175/1000000000000, 1) = 25), VLOOKUP($B175, [3]DataLookUp!$B$4:$D$632, 2, FALSE), "xx")))</f>
        <v>Yustiana Firda</v>
      </c>
      <c r="E175" s="46"/>
      <c r="F175" s="60" t="str">
        <f ca="1">IF(EXACT(E175, ""), "", VLOOKUP($E175, OFFSET([1]MAIN!$B$2, 0, 0, 100, 6), 5, FALSE))</f>
        <v/>
      </c>
      <c r="G175" s="47"/>
      <c r="H175" s="46"/>
      <c r="I175" s="47"/>
      <c r="M175" s="38">
        <f t="shared" ca="1" si="11"/>
        <v>167000000000170</v>
      </c>
      <c r="N175" s="6" t="str">
        <f t="shared" ca="1" si="12"/>
        <v>PERFORM "SchData-OLTP-Master"."Func_TblBankAccount_SET"(varSystemLoginSession, null, null, null, null, null, varInstitutionBranchID, varBaseCurrencyID, , '', '', , 25000000000583);</v>
      </c>
    </row>
    <row r="176" spans="2:14" x14ac:dyDescent="0.2">
      <c r="B176" s="31">
        <v>25000000000584</v>
      </c>
      <c r="C176" s="44" t="str">
        <f>_xlfn.IFNA(IF(EXACT($B176, ""), "", VLOOKUP($B176, [2]DataLookUp!$C$4:$G$999, 3, FALSE )), "")</f>
        <v/>
      </c>
      <c r="D176" s="45" t="str">
        <f>IF(EXACT($B176, ""), "", IF((FLOOR($B176/1000000000000, 1) = 124), VLOOKUP($B176, '[4]DataLookUp - InstitutionBranch'!$B$4:$C$97, 2, FALSE), IF((FLOOR($B176/1000000000000, 1) = 25), VLOOKUP($B176, [3]DataLookUp!$B$4:$D$632, 2, FALSE), "xx")))</f>
        <v>Zainal Abidin</v>
      </c>
      <c r="E176" s="46"/>
      <c r="F176" s="60" t="str">
        <f ca="1">IF(EXACT(E176, ""), "", VLOOKUP($E176, OFFSET([1]MAIN!$B$2, 0, 0, 100, 6), 5, FALSE))</f>
        <v/>
      </c>
      <c r="G176" s="47"/>
      <c r="H176" s="46"/>
      <c r="I176" s="47"/>
      <c r="M176" s="38">
        <f t="shared" ca="1" si="11"/>
        <v>167000000000171</v>
      </c>
      <c r="N176" s="6" t="str">
        <f t="shared" ca="1" si="12"/>
        <v>PERFORM "SchData-OLTP-Master"."Func_TblBankAccount_SET"(varSystemLoginSession, null, null, null, null, null, varInstitutionBranchID, varBaseCurrencyID, , '', '', , 25000000000584);</v>
      </c>
    </row>
    <row r="177" spans="2:14" x14ac:dyDescent="0.2">
      <c r="B177" s="31">
        <v>25000000000585</v>
      </c>
      <c r="C177" s="44" t="str">
        <f>_xlfn.IFNA(IF(EXACT($B177, ""), "", VLOOKUP($B177, [2]DataLookUp!$C$4:$G$999, 3, FALSE )), "")</f>
        <v/>
      </c>
      <c r="D177" s="45" t="str">
        <f>IF(EXACT($B177, ""), "", IF((FLOOR($B177/1000000000000, 1) = 124), VLOOKUP($B177, '[4]DataLookUp - InstitutionBranch'!$B$4:$C$97, 2, FALSE), IF((FLOOR($B177/1000000000000, 1) = 25), VLOOKUP($B177, [3]DataLookUp!$B$4:$D$632, 2, FALSE), "xx")))</f>
        <v>Budi Sandika</v>
      </c>
      <c r="E177" s="46"/>
      <c r="F177" s="60" t="str">
        <f ca="1">IF(EXACT(E177, ""), "", VLOOKUP($E177, OFFSET([1]MAIN!$B$2, 0, 0, 100, 6), 5, FALSE))</f>
        <v/>
      </c>
      <c r="G177" s="47"/>
      <c r="H177" s="46"/>
      <c r="I177" s="47"/>
      <c r="M177" s="38">
        <f t="shared" ca="1" si="11"/>
        <v>167000000000172</v>
      </c>
      <c r="N177" s="6" t="str">
        <f t="shared" ca="1" si="12"/>
        <v>PERFORM "SchData-OLTP-Master"."Func_TblBankAccount_SET"(varSystemLoginSession, null, null, null, null, null, varInstitutionBranchID, varBaseCurrencyID, , '', '', , 25000000000585);</v>
      </c>
    </row>
    <row r="178" spans="2:14" x14ac:dyDescent="0.2">
      <c r="B178" s="31">
        <v>25000000000586</v>
      </c>
      <c r="C178" s="44" t="str">
        <f>_xlfn.IFNA(IF(EXACT($B178, ""), "", VLOOKUP($B178, [2]DataLookUp!$C$4:$G$999, 3, FALSE )), "")</f>
        <v/>
      </c>
      <c r="D178" s="45" t="str">
        <f>IF(EXACT($B178, ""), "", IF((FLOOR($B178/1000000000000, 1) = 124), VLOOKUP($B178, '[4]DataLookUp - InstitutionBranch'!$B$4:$C$97, 2, FALSE), IF((FLOOR($B178/1000000000000, 1) = 25), VLOOKUP($B178, [3]DataLookUp!$B$4:$D$632, 2, FALSE), "xx")))</f>
        <v>Fachri Azhar</v>
      </c>
      <c r="E178" s="46"/>
      <c r="F178" s="60" t="str">
        <f ca="1">IF(EXACT(E178, ""), "", VLOOKUP($E178, OFFSET([1]MAIN!$B$2, 0, 0, 100, 6), 5, FALSE))</f>
        <v/>
      </c>
      <c r="G178" s="47"/>
      <c r="H178" s="46"/>
      <c r="I178" s="47"/>
      <c r="M178" s="38">
        <f t="shared" ca="1" si="11"/>
        <v>167000000000173</v>
      </c>
      <c r="N178" s="6" t="str">
        <f t="shared" ca="1" si="12"/>
        <v>PERFORM "SchData-OLTP-Master"."Func_TblBankAccount_SET"(varSystemLoginSession, null, null, null, null, null, varInstitutionBranchID, varBaseCurrencyID, , '', '', , 25000000000586);</v>
      </c>
    </row>
    <row r="179" spans="2:14" x14ac:dyDescent="0.2">
      <c r="B179" s="31">
        <v>25000000000587</v>
      </c>
      <c r="C179" s="44" t="str">
        <f>_xlfn.IFNA(IF(EXACT($B179, ""), "", VLOOKUP($B179, [2]DataLookUp!$C$4:$G$999, 3, FALSE )), "")</f>
        <v/>
      </c>
      <c r="D179" s="45" t="str">
        <f>IF(EXACT($B179, ""), "", IF((FLOOR($B179/1000000000000, 1) = 124), VLOOKUP($B179, '[4]DataLookUp - InstitutionBranch'!$B$4:$C$97, 2, FALSE), IF((FLOOR($B179/1000000000000, 1) = 25), VLOOKUP($B179, [3]DataLookUp!$B$4:$D$632, 2, FALSE), "xx")))</f>
        <v>Firmansyah Awaludin</v>
      </c>
      <c r="E179" s="46"/>
      <c r="F179" s="60" t="str">
        <f ca="1">IF(EXACT(E179, ""), "", VLOOKUP($E179, OFFSET([1]MAIN!$B$2, 0, 0, 100, 6), 5, FALSE))</f>
        <v/>
      </c>
      <c r="G179" s="47"/>
      <c r="H179" s="46"/>
      <c r="I179" s="47"/>
      <c r="M179" s="38">
        <f t="shared" ca="1" si="11"/>
        <v>167000000000174</v>
      </c>
      <c r="N179" s="6" t="str">
        <f t="shared" ca="1" si="12"/>
        <v>PERFORM "SchData-OLTP-Master"."Func_TblBankAccount_SET"(varSystemLoginSession, null, null, null, null, null, varInstitutionBranchID, varBaseCurrencyID, , '', '', , 25000000000587);</v>
      </c>
    </row>
    <row r="180" spans="2:14" x14ac:dyDescent="0.2">
      <c r="B180" s="31">
        <v>25000000000588</v>
      </c>
      <c r="C180" s="44" t="str">
        <f>_xlfn.IFNA(IF(EXACT($B180, ""), "", VLOOKUP($B180, [2]DataLookUp!$C$4:$G$999, 3, FALSE )), "")</f>
        <v>030225999</v>
      </c>
      <c r="D180" s="45" t="str">
        <f>IF(EXACT($B180, ""), "", IF((FLOOR($B180/1000000000000, 1) = 124), VLOOKUP($B180, '[4]DataLookUp - InstitutionBranch'!$B$4:$C$97, 2, FALSE), IF((FLOOR($B180/1000000000000, 1) = 25), VLOOKUP($B180, [3]DataLookUp!$B$4:$D$632, 2, FALSE), "xx")))</f>
        <v>Iman Faisal Abdurahman</v>
      </c>
      <c r="E180" s="46" t="s">
        <v>199</v>
      </c>
      <c r="F180" s="60">
        <f ca="1">IF(EXACT(E180, ""), "", VLOOKUP($E180, OFFSET([1]MAIN!$B$2, 0, 0, 100, 6), 5, FALSE))</f>
        <v>166000000000002</v>
      </c>
      <c r="G180" s="47" t="s">
        <v>402</v>
      </c>
      <c r="H180" s="46" t="s">
        <v>403</v>
      </c>
      <c r="I180" s="47" t="s">
        <v>366</v>
      </c>
      <c r="M180" s="38">
        <f t="shared" ca="1" si="11"/>
        <v>167000000000175</v>
      </c>
      <c r="N180" s="6" t="str">
        <f t="shared" ca="1" si="12"/>
        <v>PERFORM "SchData-OLTP-Master"."Func_TblBankAccount_SET"(varSystemLoginSession, null, null, null, null, null, varInstitutionBranchID, varBaseCurrencyID, 166000000000002, '038401073431507', 'Iman Faisal Abdurahman', 62000000000001, 25000000000588);</v>
      </c>
    </row>
    <row r="181" spans="2:14" x14ac:dyDescent="0.2">
      <c r="B181" s="31">
        <v>25000000000589</v>
      </c>
      <c r="C181" s="44" t="str">
        <f>_xlfn.IFNA(IF(EXACT($B181, ""), "", VLOOKUP($B181, [2]DataLookUp!$C$4:$G$999, 3, FALSE )), "")</f>
        <v/>
      </c>
      <c r="D181" s="45" t="str">
        <f>IF(EXACT($B181, ""), "", IF((FLOOR($B181/1000000000000, 1) = 124), VLOOKUP($B181, '[4]DataLookUp - InstitutionBranch'!$B$4:$C$97, 2, FALSE), IF((FLOOR($B181/1000000000000, 1) = 25), VLOOKUP($B181, [3]DataLookUp!$B$4:$D$632, 2, FALSE), "xx")))</f>
        <v>Muhammad Irfan Alfikri Rayana</v>
      </c>
      <c r="E181" s="46"/>
      <c r="F181" s="60" t="str">
        <f ca="1">IF(EXACT(E181, ""), "", VLOOKUP($E181, OFFSET([1]MAIN!$B$2, 0, 0, 100, 6), 5, FALSE))</f>
        <v/>
      </c>
      <c r="G181" s="47"/>
      <c r="H181" s="46"/>
      <c r="I181" s="47"/>
      <c r="M181" s="38">
        <f t="shared" ca="1" si="11"/>
        <v>167000000000176</v>
      </c>
      <c r="N181" s="6" t="str">
        <f t="shared" ca="1" si="12"/>
        <v>PERFORM "SchData-OLTP-Master"."Func_TblBankAccount_SET"(varSystemLoginSession, null, null, null, null, null, varInstitutionBranchID, varBaseCurrencyID, , '', '', , 25000000000589);</v>
      </c>
    </row>
    <row r="182" spans="2:14" x14ac:dyDescent="0.2">
      <c r="B182" s="31">
        <v>25000000000590</v>
      </c>
      <c r="C182" s="44" t="str">
        <f>_xlfn.IFNA(IF(EXACT($B182, ""), "", VLOOKUP($B182, [2]DataLookUp!$C$4:$G$999, 3, FALSE )), "")</f>
        <v/>
      </c>
      <c r="D182" s="45" t="str">
        <f>IF(EXACT($B182, ""), "", IF((FLOOR($B182/1000000000000, 1) = 124), VLOOKUP($B182, '[4]DataLookUp - InstitutionBranch'!$B$4:$C$97, 2, FALSE), IF((FLOOR($B182/1000000000000, 1) = 25), VLOOKUP($B182, [3]DataLookUp!$B$4:$D$632, 2, FALSE), "xx")))</f>
        <v>Syafri Johansah</v>
      </c>
      <c r="E182" s="46"/>
      <c r="F182" s="60" t="str">
        <f ca="1">IF(EXACT(E182, ""), "", VLOOKUP($E182, OFFSET([1]MAIN!$B$2, 0, 0, 100, 6), 5, FALSE))</f>
        <v/>
      </c>
      <c r="G182" s="47"/>
      <c r="H182" s="46"/>
      <c r="I182" s="47"/>
      <c r="M182" s="38">
        <f t="shared" ca="1" si="11"/>
        <v>167000000000177</v>
      </c>
      <c r="N182" s="6" t="str">
        <f t="shared" ca="1" si="12"/>
        <v>PERFORM "SchData-OLTP-Master"."Func_TblBankAccount_SET"(varSystemLoginSession, null, null, null, null, null, varInstitutionBranchID, varBaseCurrencyID, , '', '', , 25000000000590);</v>
      </c>
    </row>
    <row r="183" spans="2:14" x14ac:dyDescent="0.2">
      <c r="B183" s="31">
        <v>25000000000591</v>
      </c>
      <c r="C183" s="44" t="str">
        <f>_xlfn.IFNA(IF(EXACT($B183, ""), "", VLOOKUP($B183, [2]DataLookUp!$C$4:$G$999, 3, FALSE )), "")</f>
        <v/>
      </c>
      <c r="D183" s="45" t="str">
        <f>IF(EXACT($B183, ""), "", IF((FLOOR($B183/1000000000000, 1) = 124), VLOOKUP($B183, '[4]DataLookUp - InstitutionBranch'!$B$4:$C$97, 2, FALSE), IF((FLOOR($B183/1000000000000, 1) = 25), VLOOKUP($B183, [3]DataLookUp!$B$4:$D$632, 2, FALSE), "xx")))</f>
        <v>Agus Sobar</v>
      </c>
      <c r="E183" s="46"/>
      <c r="F183" s="60" t="str">
        <f ca="1">IF(EXACT(E183, ""), "", VLOOKUP($E183, OFFSET([1]MAIN!$B$2, 0, 0, 100, 6), 5, FALSE))</f>
        <v/>
      </c>
      <c r="G183" s="47"/>
      <c r="H183" s="46"/>
      <c r="I183" s="47"/>
      <c r="M183" s="38">
        <f t="shared" ca="1" si="11"/>
        <v>167000000000178</v>
      </c>
      <c r="N183" s="6" t="str">
        <f t="shared" ca="1" si="12"/>
        <v>PERFORM "SchData-OLTP-Master"."Func_TblBankAccount_SET"(varSystemLoginSession, null, null, null, null, null, varInstitutionBranchID, varBaseCurrencyID, , '', '', , 25000000000591);</v>
      </c>
    </row>
    <row r="184" spans="2:14" x14ac:dyDescent="0.2">
      <c r="B184" s="31">
        <v>25000000000592</v>
      </c>
      <c r="C184" s="44" t="str">
        <f>_xlfn.IFNA(IF(EXACT($B184, ""), "", VLOOKUP($B184, [2]DataLookUp!$C$4:$G$999, 3, FALSE )), "")</f>
        <v>181124994</v>
      </c>
      <c r="D184" s="45" t="str">
        <f>IF(EXACT($B184, ""), "", IF((FLOOR($B184/1000000000000, 1) = 124), VLOOKUP($B184, '[4]DataLookUp - InstitutionBranch'!$B$4:$C$97, 2, FALSE), IF((FLOOR($B184/1000000000000, 1) = 25), VLOOKUP($B184, [3]DataLookUp!$B$4:$D$632, 2, FALSE), "xx")))</f>
        <v>Ahmad Sandi Asyuri</v>
      </c>
      <c r="E184" s="46" t="s">
        <v>197</v>
      </c>
      <c r="F184" s="60">
        <f ca="1">IF(EXACT(E184, ""), "", VLOOKUP($E184, OFFSET([1]MAIN!$B$2, 0, 0, 100, 6), 5, FALSE))</f>
        <v>166000000000005</v>
      </c>
      <c r="G184" s="47" t="s">
        <v>436</v>
      </c>
      <c r="H184" s="46" t="s">
        <v>437</v>
      </c>
      <c r="I184" s="47" t="s">
        <v>366</v>
      </c>
      <c r="M184" s="38">
        <f t="shared" ca="1" si="11"/>
        <v>167000000000179</v>
      </c>
      <c r="N184" s="6" t="str">
        <f t="shared" ca="1" si="12"/>
        <v>PERFORM "SchData-OLTP-Master"."Func_TblBankAccount_SET"(varSystemLoginSession, null, null, null, null, null, varInstitutionBranchID, varBaseCurrencyID, 166000000000005, '0354409671', 'Ahmad Sandi Asyuri', 62000000000001, 25000000000592);</v>
      </c>
    </row>
    <row r="185" spans="2:14" x14ac:dyDescent="0.2">
      <c r="B185" s="31">
        <v>25000000000593</v>
      </c>
      <c r="C185" s="44" t="str">
        <f>_xlfn.IFNA(IF(EXACT($B185, ""), "", VLOOKUP($B185, [2]DataLookUp!$C$4:$G$999, 3, FALSE )), "")</f>
        <v>0403251002</v>
      </c>
      <c r="D185" s="45" t="str">
        <f>IF(EXACT($B185, ""), "", IF((FLOOR($B185/1000000000000, 1) = 124), VLOOKUP($B185, '[4]DataLookUp - InstitutionBranch'!$B$4:$C$97, 2, FALSE), IF((FLOOR($B185/1000000000000, 1) = 25), VLOOKUP($B185, [3]DataLookUp!$B$4:$D$632, 2, FALSE), "xx")))</f>
        <v>Andi Mapasoro</v>
      </c>
      <c r="E185" s="46" t="s">
        <v>197</v>
      </c>
      <c r="F185" s="60">
        <f ca="1">IF(EXACT(E185, ""), "", VLOOKUP($E185, OFFSET([1]MAIN!$B$2, 0, 0, 100, 6), 5, FALSE))</f>
        <v>166000000000005</v>
      </c>
      <c r="G185" s="47" t="s">
        <v>434</v>
      </c>
      <c r="H185" s="46" t="s">
        <v>435</v>
      </c>
      <c r="I185" s="47" t="s">
        <v>366</v>
      </c>
      <c r="M185" s="38">
        <f t="shared" ca="1" si="11"/>
        <v>167000000000180</v>
      </c>
      <c r="N185" s="6" t="str">
        <f t="shared" ca="1" si="12"/>
        <v>PERFORM "SchData-OLTP-Master"."Func_TblBankAccount_SET"(varSystemLoginSession, null, null, null, null, null, varInstitutionBranchID, varBaseCurrencyID, 166000000000005, '7025035526', 'Andi Mapasoro', 62000000000001, 25000000000593);</v>
      </c>
    </row>
    <row r="186" spans="2:14" x14ac:dyDescent="0.2">
      <c r="B186" s="31">
        <v>25000000000594</v>
      </c>
      <c r="C186" s="44" t="str">
        <f>_xlfn.IFNA(IF(EXACT($B186, ""), "", VLOOKUP($B186, [2]DataLookUp!$C$4:$G$999, 3, FALSE )), "")</f>
        <v/>
      </c>
      <c r="D186" s="45" t="str">
        <f>IF(EXACT($B186, ""), "", IF((FLOOR($B186/1000000000000, 1) = 124), VLOOKUP($B186, '[4]DataLookUp - InstitutionBranch'!$B$4:$C$97, 2, FALSE), IF((FLOOR($B186/1000000000000, 1) = 25), VLOOKUP($B186, [3]DataLookUp!$B$4:$D$632, 2, FALSE), "xx")))</f>
        <v>Arie Gustaman</v>
      </c>
      <c r="E186" s="46"/>
      <c r="F186" s="60" t="str">
        <f ca="1">IF(EXACT(E186, ""), "", VLOOKUP($E186, OFFSET([1]MAIN!$B$2, 0, 0, 100, 6), 5, FALSE))</f>
        <v/>
      </c>
      <c r="G186" s="47"/>
      <c r="H186" s="46"/>
      <c r="I186" s="47"/>
      <c r="M186" s="38">
        <f t="shared" ca="1" si="11"/>
        <v>167000000000181</v>
      </c>
      <c r="N186" s="6" t="str">
        <f t="shared" ca="1" si="12"/>
        <v>PERFORM "SchData-OLTP-Master"."Func_TblBankAccount_SET"(varSystemLoginSession, null, null, null, null, null, varInstitutionBranchID, varBaseCurrencyID, , '', '', , 25000000000594);</v>
      </c>
    </row>
    <row r="187" spans="2:14" x14ac:dyDescent="0.2">
      <c r="B187" s="31">
        <v>25000000000595</v>
      </c>
      <c r="C187" s="44" t="str">
        <f>_xlfn.IFNA(IF(EXACT($B187, ""), "", VLOOKUP($B187, [2]DataLookUp!$C$4:$G$999, 3, FALSE )), "")</f>
        <v>120124984</v>
      </c>
      <c r="D187" s="45" t="str">
        <f>IF(EXACT($B187, ""), "", IF((FLOOR($B187/1000000000000, 1) = 124), VLOOKUP($B187, '[4]DataLookUp - InstitutionBranch'!$B$4:$C$97, 2, FALSE), IF((FLOOR($B187/1000000000000, 1) = 25), VLOOKUP($B187, [3]DataLookUp!$B$4:$D$632, 2, FALSE), "xx")))</f>
        <v>Arief Yulianto</v>
      </c>
      <c r="E187" s="46" t="s">
        <v>199</v>
      </c>
      <c r="F187" s="60">
        <f ca="1">IF(EXACT(E187, ""), "", VLOOKUP($E187, OFFSET([1]MAIN!$B$2, 0, 0, 100, 6), 5, FALSE))</f>
        <v>166000000000002</v>
      </c>
      <c r="G187" s="47" t="s">
        <v>415</v>
      </c>
      <c r="H187" s="46" t="s">
        <v>416</v>
      </c>
      <c r="I187" s="47" t="s">
        <v>366</v>
      </c>
      <c r="M187" s="38">
        <f t="shared" ca="1" si="11"/>
        <v>167000000000182</v>
      </c>
      <c r="N187" s="6" t="str">
        <f t="shared" ca="1" si="12"/>
        <v>PERFORM "SchData-OLTP-Master"."Func_TblBankAccount_SET"(varSystemLoginSession, null, null, null, null, null, varInstitutionBranchID, varBaseCurrencyID, 166000000000002, '669501015343535', 'Arief Yulianto', 62000000000001, 25000000000595);</v>
      </c>
    </row>
    <row r="188" spans="2:14" x14ac:dyDescent="0.2">
      <c r="B188" s="31">
        <v>25000000000596</v>
      </c>
      <c r="C188" s="44" t="str">
        <f>_xlfn.IFNA(IF(EXACT($B188, ""), "", VLOOKUP($B188, [2]DataLookUp!$C$4:$G$999, 3, FALSE )), "")</f>
        <v>010413650</v>
      </c>
      <c r="D188" s="45" t="str">
        <f>IF(EXACT($B188, ""), "", IF((FLOOR($B188/1000000000000, 1) = 124), VLOOKUP($B188, '[4]DataLookUp - InstitutionBranch'!$B$4:$C$97, 2, FALSE), IF((FLOOR($B188/1000000000000, 1) = 25), VLOOKUP($B188, [3]DataLookUp!$B$4:$D$632, 2, FALSE), "xx")))</f>
        <v>Burhan</v>
      </c>
      <c r="E188" s="46" t="s">
        <v>199</v>
      </c>
      <c r="F188" s="60">
        <f ca="1">IF(EXACT(E188, ""), "", VLOOKUP($E188, OFFSET([1]MAIN!$B$2, 0, 0, 100, 6), 5, FALSE))</f>
        <v>166000000000002</v>
      </c>
      <c r="G188" s="47" t="s">
        <v>413</v>
      </c>
      <c r="H188" s="46" t="s">
        <v>414</v>
      </c>
      <c r="I188" s="47" t="s">
        <v>366</v>
      </c>
      <c r="M188" s="38">
        <f t="shared" ca="1" si="11"/>
        <v>167000000000183</v>
      </c>
      <c r="N188" s="6" t="str">
        <f t="shared" ca="1" si="12"/>
        <v>PERFORM "SchData-OLTP-Master"."Func_TblBankAccount_SET"(varSystemLoginSession, null, null, null, null, null, varInstitutionBranchID, varBaseCurrencyID, 166000000000002, '034101074857508', 'Burhan', 62000000000001, 25000000000596);</v>
      </c>
    </row>
    <row r="189" spans="2:14" x14ac:dyDescent="0.2">
      <c r="B189" s="31">
        <v>25000000000597</v>
      </c>
      <c r="C189" s="44" t="str">
        <f>_xlfn.IFNA(IF(EXACT($B189, ""), "", VLOOKUP($B189, [2]DataLookUp!$C$4:$G$999, 3, FALSE )), "")</f>
        <v/>
      </c>
      <c r="D189" s="45" t="str">
        <f>IF(EXACT($B189, ""), "", IF((FLOOR($B189/1000000000000, 1) = 124), VLOOKUP($B189, '[4]DataLookUp - InstitutionBranch'!$B$4:$C$97, 2, FALSE), IF((FLOOR($B189/1000000000000, 1) = 25), VLOOKUP($B189, [3]DataLookUp!$B$4:$D$632, 2, FALSE), "xx")))</f>
        <v>Deby Syahputa</v>
      </c>
      <c r="E189" s="46"/>
      <c r="F189" s="60" t="str">
        <f ca="1">IF(EXACT(E189, ""), "", VLOOKUP($E189, OFFSET([1]MAIN!$B$2, 0, 0, 100, 6), 5, FALSE))</f>
        <v/>
      </c>
      <c r="G189" s="47"/>
      <c r="H189" s="46"/>
      <c r="I189" s="47"/>
      <c r="M189" s="38">
        <f t="shared" ca="1" si="11"/>
        <v>167000000000184</v>
      </c>
      <c r="N189" s="6" t="str">
        <f t="shared" ca="1" si="12"/>
        <v>PERFORM "SchData-OLTP-Master"."Func_TblBankAccount_SET"(varSystemLoginSession, null, null, null, null, null, varInstitutionBranchID, varBaseCurrencyID, , '', '', , 25000000000597);</v>
      </c>
    </row>
    <row r="190" spans="2:14" x14ac:dyDescent="0.2">
      <c r="B190" s="31">
        <v>25000000000598</v>
      </c>
      <c r="C190" s="44" t="str">
        <f>_xlfn.IFNA(IF(EXACT($B190, ""), "", VLOOKUP($B190, [2]DataLookUp!$C$4:$G$999, 3, FALSE )), "")</f>
        <v/>
      </c>
      <c r="D190" s="45" t="str">
        <f>IF(EXACT($B190, ""), "", IF((FLOOR($B190/1000000000000, 1) = 124), VLOOKUP($B190, '[4]DataLookUp - InstitutionBranch'!$B$4:$C$97, 2, FALSE), IF((FLOOR($B190/1000000000000, 1) = 25), VLOOKUP($B190, [3]DataLookUp!$B$4:$D$632, 2, FALSE), "xx")))</f>
        <v>Ibrahim Arya Yuda</v>
      </c>
      <c r="E190" s="46"/>
      <c r="F190" s="60" t="str">
        <f ca="1">IF(EXACT(E190, ""), "", VLOOKUP($E190, OFFSET([1]MAIN!$B$2, 0, 0, 100, 6), 5, FALSE))</f>
        <v/>
      </c>
      <c r="G190" s="47"/>
      <c r="H190" s="46"/>
      <c r="I190" s="47"/>
      <c r="M190" s="38">
        <f t="shared" ca="1" si="11"/>
        <v>167000000000185</v>
      </c>
      <c r="N190" s="6" t="str">
        <f t="shared" ca="1" si="12"/>
        <v>PERFORM "SchData-OLTP-Master"."Func_TblBankAccount_SET"(varSystemLoginSession, null, null, null, null, null, varInstitutionBranchID, varBaseCurrencyID, , '', '', , 25000000000598);</v>
      </c>
    </row>
    <row r="191" spans="2:14" x14ac:dyDescent="0.2">
      <c r="B191" s="31">
        <v>25000000000599</v>
      </c>
      <c r="C191" s="44" t="str">
        <f>_xlfn.IFNA(IF(EXACT($B191, ""), "", VLOOKUP($B191, [2]DataLookUp!$C$4:$G$999, 3, FALSE )), "")</f>
        <v/>
      </c>
      <c r="D191" s="45" t="str">
        <f>IF(EXACT($B191, ""), "", IF((FLOOR($B191/1000000000000, 1) = 124), VLOOKUP($B191, '[4]DataLookUp - InstitutionBranch'!$B$4:$C$97, 2, FALSE), IF((FLOOR($B191/1000000000000, 1) = 25), VLOOKUP($B191, [3]DataLookUp!$B$4:$D$632, 2, FALSE), "xx")))</f>
        <v>Jamil</v>
      </c>
      <c r="E191" s="46"/>
      <c r="F191" s="60" t="str">
        <f ca="1">IF(EXACT(E191, ""), "", VLOOKUP($E191, OFFSET([1]MAIN!$B$2, 0, 0, 100, 6), 5, FALSE))</f>
        <v/>
      </c>
      <c r="G191" s="47"/>
      <c r="H191" s="46"/>
      <c r="I191" s="47"/>
      <c r="M191" s="38">
        <f t="shared" ca="1" si="11"/>
        <v>167000000000186</v>
      </c>
      <c r="N191" s="6" t="str">
        <f t="shared" ca="1" si="12"/>
        <v>PERFORM "SchData-OLTP-Master"."Func_TblBankAccount_SET"(varSystemLoginSession, null, null, null, null, null, varInstitutionBranchID, varBaseCurrencyID, , '', '', , 25000000000599);</v>
      </c>
    </row>
    <row r="192" spans="2:14" x14ac:dyDescent="0.2">
      <c r="B192" s="31">
        <v>25000000000600</v>
      </c>
      <c r="C192" s="44" t="str">
        <f>_xlfn.IFNA(IF(EXACT($B192, ""), "", VLOOKUP($B192, [2]DataLookUp!$C$4:$G$999, 3, FALSE )), "")</f>
        <v/>
      </c>
      <c r="D192" s="45" t="str">
        <f>IF(EXACT($B192, ""), "", IF((FLOOR($B192/1000000000000, 1) = 124), VLOOKUP($B192, '[4]DataLookUp - InstitutionBranch'!$B$4:$C$97, 2, FALSE), IF((FLOOR($B192/1000000000000, 1) = 25), VLOOKUP($B192, [3]DataLookUp!$B$4:$D$632, 2, FALSE), "xx")))</f>
        <v>Kiki Prasetyo</v>
      </c>
      <c r="E192" s="46"/>
      <c r="F192" s="60" t="str">
        <f ca="1">IF(EXACT(E192, ""), "", VLOOKUP($E192, OFFSET([1]MAIN!$B$2, 0, 0, 100, 6), 5, FALSE))</f>
        <v/>
      </c>
      <c r="G192" s="47"/>
      <c r="H192" s="46"/>
      <c r="I192" s="47"/>
      <c r="M192" s="38">
        <f t="shared" ca="1" si="11"/>
        <v>167000000000187</v>
      </c>
      <c r="N192" s="6" t="str">
        <f t="shared" ca="1" si="12"/>
        <v>PERFORM "SchData-OLTP-Master"."Func_TblBankAccount_SET"(varSystemLoginSession, null, null, null, null, null, varInstitutionBranchID, varBaseCurrencyID, , '', '', , 25000000000600);</v>
      </c>
    </row>
    <row r="193" spans="2:14" x14ac:dyDescent="0.2">
      <c r="B193" s="31">
        <v>25000000000601</v>
      </c>
      <c r="C193" s="44" t="str">
        <f>_xlfn.IFNA(IF(EXACT($B193, ""), "", VLOOKUP($B193, [2]DataLookUp!$C$4:$G$999, 3, FALSE )), "")</f>
        <v>1206251007</v>
      </c>
      <c r="D193" s="45" t="str">
        <f>IF(EXACT($B193, ""), "", IF((FLOOR($B193/1000000000000, 1) = 124), VLOOKUP($B193, '[4]DataLookUp - InstitutionBranch'!$B$4:$C$97, 2, FALSE), IF((FLOOR($B193/1000000000000, 1) = 25), VLOOKUP($B193, [3]DataLookUp!$B$4:$D$632, 2, FALSE), "xx")))</f>
        <v>Mochamad Ulul Azmi Wira Utama</v>
      </c>
      <c r="E193" s="46"/>
      <c r="F193" s="60" t="str">
        <f ca="1">IF(EXACT(E193, ""), "", VLOOKUP($E193, OFFSET([1]MAIN!$B$2, 0, 0, 100, 6), 5, FALSE))</f>
        <v/>
      </c>
      <c r="G193" s="47"/>
      <c r="H193" s="46"/>
      <c r="I193" s="47"/>
      <c r="M193" s="38">
        <f t="shared" ca="1" si="11"/>
        <v>167000000000188</v>
      </c>
      <c r="N193" s="6" t="str">
        <f t="shared" ca="1" si="12"/>
        <v>PERFORM "SchData-OLTP-Master"."Func_TblBankAccount_SET"(varSystemLoginSession, null, null, null, null, null, varInstitutionBranchID, varBaseCurrencyID, , '', '', , 25000000000601);</v>
      </c>
    </row>
    <row r="194" spans="2:14" x14ac:dyDescent="0.2">
      <c r="B194" s="31">
        <v>25000000000602</v>
      </c>
      <c r="C194" s="44" t="str">
        <f>_xlfn.IFNA(IF(EXACT($B194, ""), "", VLOOKUP($B194, [2]DataLookUp!$C$4:$G$999, 3, FALSE )), "")</f>
        <v/>
      </c>
      <c r="D194" s="45" t="str">
        <f>IF(EXACT($B194, ""), "", IF((FLOOR($B194/1000000000000, 1) = 124), VLOOKUP($B194, '[4]DataLookUp - InstitutionBranch'!$B$4:$C$97, 2, FALSE), IF((FLOOR($B194/1000000000000, 1) = 25), VLOOKUP($B194, [3]DataLookUp!$B$4:$D$632, 2, FALSE), "xx")))</f>
        <v>Muhammad Bilal Sharony</v>
      </c>
      <c r="E194" s="46"/>
      <c r="F194" s="60" t="str">
        <f ca="1">IF(EXACT(E194, ""), "", VLOOKUP($E194, OFFSET([1]MAIN!$B$2, 0, 0, 100, 6), 5, FALSE))</f>
        <v/>
      </c>
      <c r="G194" s="47"/>
      <c r="H194" s="46"/>
      <c r="I194" s="47"/>
      <c r="M194" s="38">
        <f t="shared" ca="1" si="11"/>
        <v>167000000000189</v>
      </c>
      <c r="N194" s="6" t="str">
        <f t="shared" ca="1" si="12"/>
        <v>PERFORM "SchData-OLTP-Master"."Func_TblBankAccount_SET"(varSystemLoginSession, null, null, null, null, null, varInstitutionBranchID, varBaseCurrencyID, , '', '', , 25000000000602);</v>
      </c>
    </row>
    <row r="195" spans="2:14" x14ac:dyDescent="0.2">
      <c r="B195" s="31">
        <v>25000000000603</v>
      </c>
      <c r="C195" s="44" t="str">
        <f>_xlfn.IFNA(IF(EXACT($B195, ""), "", VLOOKUP($B195, [2]DataLookUp!$C$4:$G$999, 3, FALSE )), "")</f>
        <v/>
      </c>
      <c r="D195" s="45" t="str">
        <f>IF(EXACT($B195, ""), "", IF((FLOOR($B195/1000000000000, 1) = 124), VLOOKUP($B195, '[4]DataLookUp - InstitutionBranch'!$B$4:$C$97, 2, FALSE), IF((FLOOR($B195/1000000000000, 1) = 25), VLOOKUP($B195, [3]DataLookUp!$B$4:$D$632, 2, FALSE), "xx")))</f>
        <v>Muhammad Hairul</v>
      </c>
      <c r="E195" s="46"/>
      <c r="F195" s="60" t="str">
        <f ca="1">IF(EXACT(E195, ""), "", VLOOKUP($E195, OFFSET([1]MAIN!$B$2, 0, 0, 100, 6), 5, FALSE))</f>
        <v/>
      </c>
      <c r="G195" s="47"/>
      <c r="H195" s="46"/>
      <c r="I195" s="47"/>
      <c r="M195" s="38">
        <f t="shared" ca="1" si="11"/>
        <v>167000000000190</v>
      </c>
      <c r="N195" s="6" t="str">
        <f t="shared" ca="1" si="12"/>
        <v>PERFORM "SchData-OLTP-Master"."Func_TblBankAccount_SET"(varSystemLoginSession, null, null, null, null, null, varInstitutionBranchID, varBaseCurrencyID, , '', '', , 25000000000603);</v>
      </c>
    </row>
    <row r="196" spans="2:14" x14ac:dyDescent="0.2">
      <c r="B196" s="31">
        <v>25000000000604</v>
      </c>
      <c r="C196" s="44" t="str">
        <f>_xlfn.IFNA(IF(EXACT($B196, ""), "", VLOOKUP($B196, [2]DataLookUp!$C$4:$G$999, 3, FALSE )), "")</f>
        <v>230125998</v>
      </c>
      <c r="D196" s="45" t="str">
        <f>IF(EXACT($B196, ""), "", IF((FLOOR($B196/1000000000000, 1) = 124), VLOOKUP($B196, '[4]DataLookUp - InstitutionBranch'!$B$4:$C$97, 2, FALSE), IF((FLOOR($B196/1000000000000, 1) = 25), VLOOKUP($B196, [3]DataLookUp!$B$4:$D$632, 2, FALSE), "xx")))</f>
        <v>Muhammad Rizal</v>
      </c>
      <c r="E196" s="46"/>
      <c r="F196" s="60" t="str">
        <f ca="1">IF(EXACT(E196, ""), "", VLOOKUP($E196, OFFSET([1]MAIN!$B$2, 0, 0, 100, 6), 5, FALSE))</f>
        <v/>
      </c>
      <c r="G196" s="47"/>
      <c r="H196" s="46"/>
      <c r="I196" s="47"/>
      <c r="M196" s="38">
        <f t="shared" ca="1" si="11"/>
        <v>167000000000191</v>
      </c>
      <c r="N196" s="6" t="str">
        <f t="shared" ca="1" si="12"/>
        <v>PERFORM "SchData-OLTP-Master"."Func_TblBankAccount_SET"(varSystemLoginSession, null, null, null, null, null, varInstitutionBranchID, varBaseCurrencyID, , '', '', , 25000000000604);</v>
      </c>
    </row>
    <row r="197" spans="2:14" x14ac:dyDescent="0.2">
      <c r="B197" s="31">
        <v>25000000000605</v>
      </c>
      <c r="C197" s="44" t="str">
        <f>_xlfn.IFNA(IF(EXACT($B197, ""), "", VLOOKUP($B197, [2]DataLookUp!$C$4:$G$999, 3, FALSE )), "")</f>
        <v>2011251012</v>
      </c>
      <c r="D197" s="45" t="str">
        <f>IF(EXACT($B197, ""), "", IF((FLOOR($B197/1000000000000, 1) = 124), VLOOKUP($B197, '[4]DataLookUp - InstitutionBranch'!$B$4:$C$97, 2, FALSE), IF((FLOOR($B197/1000000000000, 1) = 25), VLOOKUP($B197, [3]DataLookUp!$B$4:$D$632, 2, FALSE), "xx")))</f>
        <v>Rahmad Dwifar</v>
      </c>
      <c r="E197" s="46"/>
      <c r="F197" s="60" t="str">
        <f ca="1">IF(EXACT(E197, ""), "", VLOOKUP($E197, OFFSET([1]MAIN!$B$2, 0, 0, 100, 6), 5, FALSE))</f>
        <v/>
      </c>
      <c r="G197" s="47"/>
      <c r="H197" s="46"/>
      <c r="I197" s="47"/>
      <c r="M197" s="38">
        <f t="shared" ca="1" si="11"/>
        <v>167000000000192</v>
      </c>
      <c r="N197" s="6" t="str">
        <f t="shared" ca="1" si="12"/>
        <v>PERFORM "SchData-OLTP-Master"."Func_TblBankAccount_SET"(varSystemLoginSession, null, null, null, null, null, varInstitutionBranchID, varBaseCurrencyID, , '', '', , 25000000000605);</v>
      </c>
    </row>
    <row r="198" spans="2:14" x14ac:dyDescent="0.2">
      <c r="B198" s="31">
        <v>25000000000606</v>
      </c>
      <c r="C198" s="44" t="str">
        <f>_xlfn.IFNA(IF(EXACT($B198, ""), "", VLOOKUP($B198, [2]DataLookUp!$C$4:$G$999, 3, FALSE )), "")</f>
        <v/>
      </c>
      <c r="D198" s="45" t="str">
        <f>IF(EXACT($B198, ""), "", IF((FLOOR($B198/1000000000000, 1) = 124), VLOOKUP($B198, '[4]DataLookUp - InstitutionBranch'!$B$4:$C$97, 2, FALSE), IF((FLOOR($B198/1000000000000, 1) = 25), VLOOKUP($B198, [3]DataLookUp!$B$4:$D$632, 2, FALSE), "xx")))</f>
        <v>Reza Sanjaya</v>
      </c>
      <c r="E198" s="46"/>
      <c r="F198" s="60" t="str">
        <f ca="1">IF(EXACT(E198, ""), "", VLOOKUP($E198, OFFSET([1]MAIN!$B$2, 0, 0, 100, 6), 5, FALSE))</f>
        <v/>
      </c>
      <c r="G198" s="47"/>
      <c r="H198" s="46"/>
      <c r="I198" s="47"/>
      <c r="M198" s="38">
        <f t="shared" ca="1" si="11"/>
        <v>167000000000193</v>
      </c>
      <c r="N198" s="6" t="str">
        <f t="shared" ca="1" si="12"/>
        <v>PERFORM "SchData-OLTP-Master"."Func_TblBankAccount_SET"(varSystemLoginSession, null, null, null, null, null, varInstitutionBranchID, varBaseCurrencyID, , '', '', , 25000000000606);</v>
      </c>
    </row>
    <row r="199" spans="2:14" x14ac:dyDescent="0.2">
      <c r="B199" s="31">
        <v>25000000000607</v>
      </c>
      <c r="C199" s="44" t="str">
        <f>_xlfn.IFNA(IF(EXACT($B199, ""), "", VLOOKUP($B199, [2]DataLookUp!$C$4:$G$999, 3, FALSE )), "")</f>
        <v>0603251003</v>
      </c>
      <c r="D199" s="45" t="str">
        <f>IF(EXACT($B199, ""), "", IF((FLOOR($B199/1000000000000, 1) = 124), VLOOKUP($B199, '[4]DataLookUp - InstitutionBranch'!$B$4:$C$97, 2, FALSE), IF((FLOOR($B199/1000000000000, 1) = 25), VLOOKUP($B199, [3]DataLookUp!$B$4:$D$632, 2, FALSE), "xx")))</f>
        <v>Ridwan Nur Muttaqin</v>
      </c>
      <c r="E199" s="46" t="s">
        <v>197</v>
      </c>
      <c r="F199" s="60">
        <f ca="1">IF(EXACT(E199, ""), "", VLOOKUP($E199, OFFSET([1]MAIN!$B$2, 0, 0, 100, 6), 5, FALSE))</f>
        <v>166000000000005</v>
      </c>
      <c r="G199" s="47" t="s">
        <v>430</v>
      </c>
      <c r="H199" s="46" t="s">
        <v>431</v>
      </c>
      <c r="I199" s="47" t="s">
        <v>366</v>
      </c>
      <c r="M199" s="38">
        <f t="shared" ca="1" si="11"/>
        <v>167000000000194</v>
      </c>
      <c r="N199" s="6" t="str">
        <f t="shared" ca="1" si="12"/>
        <v>PERFORM "SchData-OLTP-Master"."Func_TblBankAccount_SET"(varSystemLoginSession, null, null, null, null, null, varInstitutionBranchID, varBaseCurrencyID, 166000000000005, '7485341129', 'Ridwan Nur Muttaqin', 62000000000001, 25000000000607);</v>
      </c>
    </row>
    <row r="200" spans="2:14" x14ac:dyDescent="0.2">
      <c r="B200" s="31">
        <v>25000000000608</v>
      </c>
      <c r="C200" s="44" t="str">
        <f>_xlfn.IFNA(IF(EXACT($B200, ""), "", VLOOKUP($B200, [2]DataLookUp!$C$4:$G$999, 3, FALSE )), "")</f>
        <v/>
      </c>
      <c r="D200" s="45" t="str">
        <f>IF(EXACT($B200, ""), "", IF((FLOOR($B200/1000000000000, 1) = 124), VLOOKUP($B200, '[4]DataLookUp - InstitutionBranch'!$B$4:$C$97, 2, FALSE), IF((FLOOR($B200/1000000000000, 1) = 25), VLOOKUP($B200, [3]DataLookUp!$B$4:$D$632, 2, FALSE), "xx")))</f>
        <v xml:space="preserve">Risaldi </v>
      </c>
      <c r="E200" s="46"/>
      <c r="F200" s="60" t="str">
        <f ca="1">IF(EXACT(E200, ""), "", VLOOKUP($E200, OFFSET([1]MAIN!$B$2, 0, 0, 100, 6), 5, FALSE))</f>
        <v/>
      </c>
      <c r="G200" s="47"/>
      <c r="H200" s="46"/>
      <c r="I200" s="47"/>
      <c r="M200" s="38">
        <f t="shared" ca="1" si="11"/>
        <v>167000000000195</v>
      </c>
      <c r="N200" s="6" t="str">
        <f t="shared" ca="1" si="12"/>
        <v>PERFORM "SchData-OLTP-Master"."Func_TblBankAccount_SET"(varSystemLoginSession, null, null, null, null, null, varInstitutionBranchID, varBaseCurrencyID, , '', '', , 25000000000608);</v>
      </c>
    </row>
    <row r="201" spans="2:14" x14ac:dyDescent="0.2">
      <c r="B201" s="31">
        <v>25000000000609</v>
      </c>
      <c r="C201" s="44" t="str">
        <f>_xlfn.IFNA(IF(EXACT($B201, ""), "", VLOOKUP($B201, [2]DataLookUp!$C$4:$G$999, 3, FALSE )), "")</f>
        <v>2703251004</v>
      </c>
      <c r="D201" s="45" t="str">
        <f>IF(EXACT($B201, ""), "", IF((FLOOR($B201/1000000000000, 1) = 124), VLOOKUP($B201, '[4]DataLookUp - InstitutionBranch'!$B$4:$C$97, 2, FALSE), IF((FLOOR($B201/1000000000000, 1) = 25), VLOOKUP($B201, [3]DataLookUp!$B$4:$D$632, 2, FALSE), "xx")))</f>
        <v>Risty Alawiyah</v>
      </c>
      <c r="E201" s="46"/>
      <c r="F201" s="60" t="str">
        <f ca="1">IF(EXACT(E201, ""), "", VLOOKUP($E201, OFFSET([1]MAIN!$B$2, 0, 0, 100, 6), 5, FALSE))</f>
        <v/>
      </c>
      <c r="G201" s="47"/>
      <c r="H201" s="46"/>
      <c r="I201" s="47"/>
      <c r="M201" s="38">
        <f t="shared" ca="1" si="11"/>
        <v>167000000000196</v>
      </c>
      <c r="N201" s="6" t="str">
        <f t="shared" ca="1" si="12"/>
        <v>PERFORM "SchData-OLTP-Master"."Func_TblBankAccount_SET"(varSystemLoginSession, null, null, null, null, null, varInstitutionBranchID, varBaseCurrencyID, , '', '', , 25000000000609);</v>
      </c>
    </row>
    <row r="202" spans="2:14" x14ac:dyDescent="0.2">
      <c r="B202" s="31">
        <v>25000000000610</v>
      </c>
      <c r="C202" s="44" t="str">
        <f>_xlfn.IFNA(IF(EXACT($B202, ""), "", VLOOKUP($B202, [2]DataLookUp!$C$4:$G$999, 3, FALSE )), "")</f>
        <v>010413649</v>
      </c>
      <c r="D202" s="45" t="str">
        <f>IF(EXACT($B202, ""), "", IF((FLOOR($B202/1000000000000, 1) = 124), VLOOKUP($B202, '[4]DataLookUp - InstitutionBranch'!$B$4:$C$97, 2, FALSE), IF((FLOOR($B202/1000000000000, 1) = 25), VLOOKUP($B202, [3]DataLookUp!$B$4:$D$632, 2, FALSE), "xx")))</f>
        <v>Rustono</v>
      </c>
      <c r="E202" s="46" t="s">
        <v>199</v>
      </c>
      <c r="F202" s="60">
        <f ca="1">IF(EXACT(E202, ""), "", VLOOKUP($E202, OFFSET([1]MAIN!$B$2, 0, 0, 100, 6), 5, FALSE))</f>
        <v>166000000000002</v>
      </c>
      <c r="G202" s="47" t="s">
        <v>395</v>
      </c>
      <c r="H202" s="46" t="s">
        <v>396</v>
      </c>
      <c r="I202" s="47" t="s">
        <v>366</v>
      </c>
      <c r="M202" s="38">
        <f t="shared" ca="1" si="11"/>
        <v>167000000000197</v>
      </c>
      <c r="N202" s="6" t="str">
        <f t="shared" ca="1" si="12"/>
        <v>PERFORM "SchData-OLTP-Master"."Func_TblBankAccount_SET"(varSystemLoginSession, null, null, null, null, null, varInstitutionBranchID, varBaseCurrencyID, 166000000000002, '034101074859500', 'Rustono', 62000000000001, 25000000000610);</v>
      </c>
    </row>
    <row r="203" spans="2:14" x14ac:dyDescent="0.2">
      <c r="B203" s="31">
        <v>25000000000611</v>
      </c>
      <c r="C203" s="44" t="str">
        <f>_xlfn.IFNA(IF(EXACT($B203, ""), "", VLOOKUP($B203, [2]DataLookUp!$C$4:$G$999, 3, FALSE )), "")</f>
        <v>020916798</v>
      </c>
      <c r="D203" s="45" t="str">
        <f>IF(EXACT($B203, ""), "", IF((FLOOR($B203/1000000000000, 1) = 124), VLOOKUP($B203, '[4]DataLookUp - InstitutionBranch'!$B$4:$C$97, 2, FALSE), IF((FLOOR($B203/1000000000000, 1) = 25), VLOOKUP($B203, [3]DataLookUp!$B$4:$D$632, 2, FALSE), "xx")))</f>
        <v>Solihin</v>
      </c>
      <c r="E203" s="46" t="s">
        <v>199</v>
      </c>
      <c r="F203" s="60">
        <f ca="1">IF(EXACT(E203, ""), "", VLOOKUP($E203, OFFSET([1]MAIN!$B$2, 0, 0, 100, 6), 5, FALSE))</f>
        <v>166000000000002</v>
      </c>
      <c r="G203" s="47" t="s">
        <v>393</v>
      </c>
      <c r="H203" s="46" t="s">
        <v>394</v>
      </c>
      <c r="I203" s="47" t="s">
        <v>366</v>
      </c>
      <c r="M203" s="38">
        <f t="shared" ca="1" si="11"/>
        <v>167000000000198</v>
      </c>
      <c r="N203" s="6" t="str">
        <f t="shared" ca="1" si="12"/>
        <v>PERFORM "SchData-OLTP-Master"."Func_TblBankAccount_SET"(varSystemLoginSession, null, null, null, null, null, varInstitutionBranchID, varBaseCurrencyID, 166000000000002, '034101074862503', 'Solihin', 62000000000001, 25000000000611);</v>
      </c>
    </row>
    <row r="204" spans="2:14" x14ac:dyDescent="0.2">
      <c r="B204" s="31">
        <v>25000000000612</v>
      </c>
      <c r="C204" s="44" t="str">
        <f>_xlfn.IFNA(IF(EXACT($B204, ""), "", VLOOKUP($B204, [2]DataLookUp!$C$4:$G$999, 3, FALSE )), "")</f>
        <v>010413653</v>
      </c>
      <c r="D204" s="45" t="str">
        <f>IF(EXACT($B204, ""), "", IF((FLOOR($B204/1000000000000, 1) = 124), VLOOKUP($B204, '[4]DataLookUp - InstitutionBranch'!$B$4:$C$97, 2, FALSE), IF((FLOOR($B204/1000000000000, 1) = 25), VLOOKUP($B204, [3]DataLookUp!$B$4:$D$632, 2, FALSE), "xx")))</f>
        <v>Supriatna</v>
      </c>
      <c r="E204" s="46" t="s">
        <v>199</v>
      </c>
      <c r="F204" s="60">
        <f ca="1">IF(EXACT(E204, ""), "", VLOOKUP($E204, OFFSET([1]MAIN!$B$2, 0, 0, 100, 6), 5, FALSE))</f>
        <v>166000000000002</v>
      </c>
      <c r="G204" s="47" t="s">
        <v>391</v>
      </c>
      <c r="H204" s="46" t="s">
        <v>392</v>
      </c>
      <c r="I204" s="47" t="s">
        <v>366</v>
      </c>
      <c r="M204" s="38">
        <f t="shared" ca="1" si="11"/>
        <v>167000000000199</v>
      </c>
      <c r="N204" s="6" t="str">
        <f t="shared" ca="1" si="12"/>
        <v>PERFORM "SchData-OLTP-Master"."Func_TblBankAccount_SET"(varSystemLoginSession, null, null, null, null, null, varInstitutionBranchID, varBaseCurrencyID, 166000000000002, '034101074867503', 'Supriatna', 62000000000001, 25000000000612);</v>
      </c>
    </row>
    <row r="205" spans="2:14" x14ac:dyDescent="0.2">
      <c r="B205" s="31">
        <v>25000000000613</v>
      </c>
      <c r="C205" s="44" t="str">
        <f>_xlfn.IFNA(IF(EXACT($B205, ""), "", VLOOKUP($B205, [2]DataLookUp!$C$4:$G$999, 3, FALSE )), "")</f>
        <v/>
      </c>
      <c r="D205" s="45" t="str">
        <f>IF(EXACT($B205, ""), "", IF((FLOOR($B205/1000000000000, 1) = 124), VLOOKUP($B205, '[4]DataLookUp - InstitutionBranch'!$B$4:$C$97, 2, FALSE), IF((FLOOR($B205/1000000000000, 1) = 25), VLOOKUP($B205, [3]DataLookUp!$B$4:$D$632, 2, FALSE), "xx")))</f>
        <v>Taufik Aminudin</v>
      </c>
      <c r="E205" s="46" t="s">
        <v>199</v>
      </c>
      <c r="F205" s="60">
        <f ca="1">IF(EXACT(E205, ""), "", VLOOKUP($E205, OFFSET([1]MAIN!$B$2, 0, 0, 100, 6), 5, FALSE))</f>
        <v>166000000000002</v>
      </c>
      <c r="G205" s="47" t="s">
        <v>432</v>
      </c>
      <c r="H205" s="46" t="s">
        <v>433</v>
      </c>
      <c r="I205" s="47" t="s">
        <v>366</v>
      </c>
      <c r="M205" s="38">
        <f t="shared" ca="1" si="11"/>
        <v>167000000000200</v>
      </c>
      <c r="N205" s="6" t="str">
        <f t="shared" ca="1" si="12"/>
        <v>PERFORM "SchData-OLTP-Master"."Func_TblBankAccount_SET"(varSystemLoginSession, null, null, null, null, null, varInstitutionBranchID, varBaseCurrencyID, 166000000000002, '010201029577531', 'Taufik Aminudin', 62000000000001, 25000000000613);</v>
      </c>
    </row>
    <row r="206" spans="2:14" x14ac:dyDescent="0.2">
      <c r="B206" s="31">
        <v>25000000000614</v>
      </c>
      <c r="C206" s="44" t="str">
        <f>_xlfn.IFNA(IF(EXACT($B206, ""), "", VLOOKUP($B206, [2]DataLookUp!$C$4:$G$999, 3, FALSE )), "")</f>
        <v>300913696</v>
      </c>
      <c r="D206" s="45" t="str">
        <f>IF(EXACT($B206, ""), "", IF((FLOOR($B206/1000000000000, 1) = 124), VLOOKUP($B206, '[4]DataLookUp - InstitutionBranch'!$B$4:$C$97, 2, FALSE), IF((FLOOR($B206/1000000000000, 1) = 25), VLOOKUP($B206, [3]DataLookUp!$B$4:$D$632, 2, FALSE), "xx")))</f>
        <v>Timotius Tabun</v>
      </c>
      <c r="E206" s="46" t="s">
        <v>199</v>
      </c>
      <c r="F206" s="60">
        <f ca="1">IF(EXACT(E206, ""), "", VLOOKUP($E206, OFFSET([1]MAIN!$B$2, 0, 0, 100, 6), 5, FALSE))</f>
        <v>166000000000002</v>
      </c>
      <c r="G206" s="47" t="s">
        <v>389</v>
      </c>
      <c r="H206" s="46" t="s">
        <v>390</v>
      </c>
      <c r="I206" s="47" t="s">
        <v>366</v>
      </c>
      <c r="M206" s="38">
        <f t="shared" ca="1" si="11"/>
        <v>167000000000201</v>
      </c>
      <c r="N206" s="6" t="str">
        <f t="shared" ca="1" si="12"/>
        <v>PERFORM "SchData-OLTP-Master"."Func_TblBankAccount_SET"(varSystemLoginSession, null, null, null, null, null, varInstitutionBranchID, varBaseCurrencyID, 166000000000002, '034101074865501', 'Timotius Tabun', 62000000000001, 25000000000614);</v>
      </c>
    </row>
    <row r="207" spans="2:14" x14ac:dyDescent="0.2">
      <c r="B207" s="31">
        <v>25000000000615</v>
      </c>
      <c r="C207" s="44" t="str">
        <f>_xlfn.IFNA(IF(EXACT($B207, ""), "", VLOOKUP($B207, [2]DataLookUp!$C$4:$G$999, 3, FALSE )), "")</f>
        <v>0209251009</v>
      </c>
      <c r="D207" s="45" t="str">
        <f>IF(EXACT($B207, ""), "", IF((FLOOR($B207/1000000000000, 1) = 124), VLOOKUP($B207, '[4]DataLookUp - InstitutionBranch'!$B$4:$C$97, 2, FALSE), IF((FLOOR($B207/1000000000000, 1) = 25), VLOOKUP($B207, [3]DataLookUp!$B$4:$D$632, 2, FALSE), "xx")))</f>
        <v>Adi</v>
      </c>
      <c r="E207" s="46" t="s">
        <v>199</v>
      </c>
      <c r="F207" s="60">
        <f ca="1">IF(EXACT(E207, ""), "", VLOOKUP($E207, OFFSET([1]MAIN!$B$2, 0, 0, 100, 6), 5, FALSE))</f>
        <v>166000000000002</v>
      </c>
      <c r="G207" s="47"/>
      <c r="H207" s="46"/>
      <c r="I207" s="47"/>
      <c r="M207" s="38">
        <f t="shared" ca="1" si="11"/>
        <v>167000000000202</v>
      </c>
      <c r="N207" s="6" t="str">
        <f t="shared" ca="1" si="12"/>
        <v>PERFORM "SchData-OLTP-Master"."Func_TblBankAccount_SET"(varSystemLoginSession, null, null, null, null, null, varInstitutionBranchID, varBaseCurrencyID, 166000000000002, '', '', , 25000000000615);</v>
      </c>
    </row>
    <row r="208" spans="2:14" x14ac:dyDescent="0.2">
      <c r="B208" s="31"/>
      <c r="C208" s="16"/>
      <c r="D208" s="46"/>
      <c r="E208" s="46"/>
      <c r="F208" s="61"/>
      <c r="G208" s="47"/>
      <c r="H208" s="46"/>
      <c r="I208" s="47"/>
      <c r="M208" s="38">
        <f t="shared" ca="1" si="11"/>
        <v>167000000000202</v>
      </c>
      <c r="N208" s="6" t="str">
        <f t="shared" si="12"/>
        <v/>
      </c>
    </row>
    <row r="209" spans="2:9" x14ac:dyDescent="0.2">
      <c r="B209" s="31"/>
      <c r="C209" s="16"/>
      <c r="D209" s="46"/>
      <c r="E209" s="46"/>
      <c r="F209" s="61"/>
      <c r="G209" s="47"/>
      <c r="H209" s="46"/>
      <c r="I209" s="47"/>
    </row>
    <row r="210" spans="2:9" x14ac:dyDescent="0.2">
      <c r="B210" s="31"/>
      <c r="C210" s="16"/>
      <c r="D210" s="46"/>
      <c r="E210" s="46"/>
      <c r="F210" s="61"/>
      <c r="G210" s="47"/>
      <c r="H210" s="46"/>
      <c r="I210" s="47"/>
    </row>
    <row r="211" spans="2:9" x14ac:dyDescent="0.2">
      <c r="B211" s="31"/>
      <c r="C211" s="16"/>
      <c r="D211" s="46"/>
      <c r="E211" s="46"/>
      <c r="F211" s="61"/>
      <c r="G211" s="47"/>
      <c r="H211" s="46"/>
      <c r="I211" s="47"/>
    </row>
    <row r="212" spans="2:9" x14ac:dyDescent="0.2">
      <c r="B212" s="31"/>
      <c r="C212" s="16"/>
      <c r="D212" s="46"/>
      <c r="E212" s="46"/>
      <c r="F212" s="61"/>
      <c r="G212" s="47"/>
      <c r="H212" s="46"/>
      <c r="I212" s="47"/>
    </row>
    <row r="213" spans="2:9" x14ac:dyDescent="0.2">
      <c r="B213" s="31"/>
      <c r="C213" s="16"/>
      <c r="D213" s="46"/>
      <c r="E213" s="46"/>
      <c r="F213" s="61"/>
      <c r="G213" s="47"/>
      <c r="H213" s="46"/>
      <c r="I213" s="47"/>
    </row>
    <row r="214" spans="2:9" x14ac:dyDescent="0.2">
      <c r="B214" s="48"/>
      <c r="C214" s="49"/>
      <c r="D214" s="50"/>
      <c r="E214" s="50"/>
      <c r="F214" s="62"/>
      <c r="G214" s="51"/>
      <c r="H214" s="50"/>
      <c r="I214" s="51"/>
    </row>
  </sheetData>
  <conditionalFormatting sqref="M4:M59 M61:M146 M148:M208">
    <cfRule type="expression" dxfId="2" priority="3">
      <formula>EXACT(M3, M4)</formula>
    </cfRule>
  </conditionalFormatting>
  <conditionalFormatting sqref="M60">
    <cfRule type="expression" dxfId="1" priority="2">
      <formula>EXACT(M59, M60)</formula>
    </cfRule>
  </conditionalFormatting>
  <conditionalFormatting sqref="M147">
    <cfRule type="expression" dxfId="0" priority="5">
      <formula>EXACT(M145, M147)</formula>
    </cfRule>
  </conditionalFormatting>
  <pageMargins left="0.7" right="0.7" top="0.75" bottom="0.75" header="0.3" footer="0.3"/>
  <pageSetup orientation="portrait" horizontalDpi="300" verticalDpi="0" r:id="rId1"/>
  <ignoredErrors>
    <ignoredError sqref="G61 G66:G73 I61:I132 G64 I4:I55 G4:G59 H140 G166:G167 G135 G149:G150 G136:G139 G140 G141:G143 G146:G148 G151:G156 G168:G171 I166:I167 I135 I149:I150 I137:I139 I140 I141:I143 I146:I148 I151:I156 I136 I168:I171 I199:I206 G186:G206 I186:I188 G185 I185 G157:G165 I157:I165 G172:G173 I172:I173 G174:G184 I174:I184 I56:I59 I133:I134 G75:G130 I144:I145 G144:G14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58"/>
  <sheetViews>
    <sheetView workbookViewId="0">
      <selection activeCell="B33" sqref="B33"/>
    </sheetView>
  </sheetViews>
  <sheetFormatPr defaultRowHeight="15" x14ac:dyDescent="0.25"/>
  <cols>
    <col min="2" max="2" width="34.28515625" bestFit="1" customWidth="1"/>
    <col min="3" max="3" width="17.28515625" bestFit="1" customWidth="1"/>
    <col min="4" max="4" width="24.85546875" bestFit="1" customWidth="1"/>
    <col min="5" max="5" width="25.140625" bestFit="1" customWidth="1"/>
    <col min="6" max="6" width="48.85546875" bestFit="1" customWidth="1"/>
    <col min="7" max="7" width="9" bestFit="1" customWidth="1"/>
    <col min="8" max="8" width="12.7109375" bestFit="1" customWidth="1"/>
    <col min="9" max="9" width="48.28515625" bestFit="1" customWidth="1"/>
  </cols>
  <sheetData>
    <row r="2" spans="2:9" x14ac:dyDescent="0.25">
      <c r="B2" t="s">
        <v>202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 t="s">
        <v>370</v>
      </c>
    </row>
    <row r="3" spans="2:9" x14ac:dyDescent="0.25">
      <c r="B3" s="1" t="s">
        <v>197</v>
      </c>
      <c r="C3" t="s">
        <v>147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 t="s">
        <v>211</v>
      </c>
    </row>
    <row r="4" spans="2:9" x14ac:dyDescent="0.25">
      <c r="B4" s="1" t="s">
        <v>197</v>
      </c>
      <c r="C4" t="s">
        <v>335</v>
      </c>
      <c r="D4" t="s">
        <v>209</v>
      </c>
      <c r="E4" t="s">
        <v>336</v>
      </c>
      <c r="F4" t="s">
        <v>296</v>
      </c>
      <c r="G4" t="s">
        <v>219</v>
      </c>
      <c r="H4" t="s">
        <v>220</v>
      </c>
      <c r="I4" t="s">
        <v>373</v>
      </c>
    </row>
    <row r="5" spans="2:9" x14ac:dyDescent="0.25">
      <c r="B5" s="1" t="s">
        <v>197</v>
      </c>
      <c r="C5" t="s">
        <v>379</v>
      </c>
      <c r="D5" t="s">
        <v>209</v>
      </c>
      <c r="E5" t="s">
        <v>217</v>
      </c>
      <c r="F5" t="s">
        <v>296</v>
      </c>
      <c r="G5" t="s">
        <v>219</v>
      </c>
      <c r="H5" t="s">
        <v>220</v>
      </c>
      <c r="I5" t="s">
        <v>380</v>
      </c>
    </row>
    <row r="6" spans="2:9" x14ac:dyDescent="0.25">
      <c r="B6" s="1" t="s">
        <v>197</v>
      </c>
      <c r="C6" t="s">
        <v>212</v>
      </c>
      <c r="D6" t="s">
        <v>257</v>
      </c>
      <c r="E6" t="s">
        <v>258</v>
      </c>
      <c r="F6" t="s">
        <v>259</v>
      </c>
      <c r="G6" t="s">
        <v>219</v>
      </c>
      <c r="H6" t="s">
        <v>220</v>
      </c>
      <c r="I6" t="s">
        <v>374</v>
      </c>
    </row>
    <row r="7" spans="2:9" x14ac:dyDescent="0.25">
      <c r="B7" s="1" t="s">
        <v>197</v>
      </c>
      <c r="C7" t="s">
        <v>214</v>
      </c>
      <c r="D7" t="s">
        <v>260</v>
      </c>
      <c r="E7" t="s">
        <v>258</v>
      </c>
      <c r="F7" t="s">
        <v>259</v>
      </c>
      <c r="G7" t="s">
        <v>219</v>
      </c>
      <c r="H7" t="s">
        <v>220</v>
      </c>
      <c r="I7" t="s">
        <v>374</v>
      </c>
    </row>
    <row r="8" spans="2:9" x14ac:dyDescent="0.25">
      <c r="B8" s="1" t="s">
        <v>357</v>
      </c>
      <c r="C8" t="s">
        <v>303</v>
      </c>
      <c r="D8" t="s">
        <v>286</v>
      </c>
      <c r="E8" t="s">
        <v>226</v>
      </c>
      <c r="F8" t="s">
        <v>304</v>
      </c>
      <c r="G8" t="s">
        <v>219</v>
      </c>
      <c r="H8" t="s">
        <v>220</v>
      </c>
      <c r="I8" t="s">
        <v>211</v>
      </c>
    </row>
    <row r="9" spans="2:9" x14ac:dyDescent="0.25">
      <c r="B9" s="1" t="s">
        <v>357</v>
      </c>
      <c r="C9" t="s">
        <v>248</v>
      </c>
      <c r="D9" t="s">
        <v>222</v>
      </c>
      <c r="E9" t="s">
        <v>226</v>
      </c>
      <c r="F9" t="s">
        <v>249</v>
      </c>
      <c r="G9" t="s">
        <v>219</v>
      </c>
      <c r="H9" t="s">
        <v>220</v>
      </c>
      <c r="I9" t="s">
        <v>211</v>
      </c>
    </row>
    <row r="10" spans="2:9" x14ac:dyDescent="0.25">
      <c r="B10" s="1" t="s">
        <v>357</v>
      </c>
      <c r="C10" t="s">
        <v>266</v>
      </c>
      <c r="D10" t="s">
        <v>239</v>
      </c>
      <c r="E10" t="s">
        <v>226</v>
      </c>
      <c r="F10" t="s">
        <v>249</v>
      </c>
      <c r="G10" t="s">
        <v>219</v>
      </c>
      <c r="H10" t="s">
        <v>220</v>
      </c>
      <c r="I10" t="s">
        <v>211</v>
      </c>
    </row>
    <row r="11" spans="2:9" x14ac:dyDescent="0.25">
      <c r="B11" s="1" t="s">
        <v>357</v>
      </c>
      <c r="C11" t="s">
        <v>323</v>
      </c>
      <c r="D11" t="s">
        <v>209</v>
      </c>
      <c r="E11" t="s">
        <v>226</v>
      </c>
      <c r="F11" t="s">
        <v>324</v>
      </c>
      <c r="G11" t="s">
        <v>219</v>
      </c>
      <c r="H11" t="s">
        <v>220</v>
      </c>
      <c r="I11" t="s">
        <v>373</v>
      </c>
    </row>
    <row r="12" spans="2:9" x14ac:dyDescent="0.25">
      <c r="B12" s="1" t="s">
        <v>353</v>
      </c>
      <c r="C12" t="s">
        <v>245</v>
      </c>
      <c r="D12" t="s">
        <v>246</v>
      </c>
      <c r="E12" t="s">
        <v>226</v>
      </c>
      <c r="F12" t="s">
        <v>247</v>
      </c>
      <c r="G12" t="s">
        <v>219</v>
      </c>
      <c r="H12" t="s">
        <v>220</v>
      </c>
      <c r="I12" t="s">
        <v>211</v>
      </c>
    </row>
    <row r="13" spans="2:9" x14ac:dyDescent="0.25">
      <c r="B13" s="1" t="s">
        <v>353</v>
      </c>
      <c r="C13" t="s">
        <v>294</v>
      </c>
      <c r="D13" t="s">
        <v>209</v>
      </c>
      <c r="E13" t="s">
        <v>226</v>
      </c>
      <c r="F13" t="s">
        <v>295</v>
      </c>
      <c r="G13" t="s">
        <v>230</v>
      </c>
      <c r="H13" t="s">
        <v>220</v>
      </c>
      <c r="I13" t="s">
        <v>211</v>
      </c>
    </row>
    <row r="14" spans="2:9" x14ac:dyDescent="0.25">
      <c r="B14" s="1" t="s">
        <v>351</v>
      </c>
      <c r="C14" t="s">
        <v>273</v>
      </c>
      <c r="D14" t="s">
        <v>209</v>
      </c>
      <c r="E14" t="s">
        <v>274</v>
      </c>
      <c r="F14" t="s">
        <v>275</v>
      </c>
      <c r="G14" t="s">
        <v>219</v>
      </c>
      <c r="H14" t="s">
        <v>220</v>
      </c>
      <c r="I14" t="s">
        <v>375</v>
      </c>
    </row>
    <row r="15" spans="2:9" x14ac:dyDescent="0.25">
      <c r="B15" s="1" t="s">
        <v>351</v>
      </c>
      <c r="C15" t="s">
        <v>288</v>
      </c>
      <c r="D15" t="s">
        <v>289</v>
      </c>
      <c r="E15" t="s">
        <v>290</v>
      </c>
      <c r="F15" t="s">
        <v>275</v>
      </c>
      <c r="G15" t="s">
        <v>219</v>
      </c>
      <c r="H15" t="s">
        <v>220</v>
      </c>
      <c r="I15" t="s">
        <v>378</v>
      </c>
    </row>
    <row r="16" spans="2:9" x14ac:dyDescent="0.25">
      <c r="B16" s="1" t="s">
        <v>351</v>
      </c>
      <c r="C16" t="s">
        <v>267</v>
      </c>
      <c r="D16" t="s">
        <v>177</v>
      </c>
      <c r="E16" t="s">
        <v>268</v>
      </c>
      <c r="F16" t="s">
        <v>268</v>
      </c>
      <c r="G16" t="s">
        <v>219</v>
      </c>
      <c r="H16" t="s">
        <v>220</v>
      </c>
      <c r="I16" t="s">
        <v>268</v>
      </c>
    </row>
    <row r="17" spans="2:9" x14ac:dyDescent="0.25">
      <c r="B17" s="1" t="s">
        <v>198</v>
      </c>
      <c r="C17" t="s">
        <v>297</v>
      </c>
      <c r="D17" t="s">
        <v>286</v>
      </c>
      <c r="E17" t="s">
        <v>298</v>
      </c>
      <c r="F17" t="s">
        <v>299</v>
      </c>
      <c r="G17" t="s">
        <v>219</v>
      </c>
      <c r="H17" t="s">
        <v>220</v>
      </c>
      <c r="I17" t="s">
        <v>373</v>
      </c>
    </row>
    <row r="18" spans="2:9" x14ac:dyDescent="0.25">
      <c r="B18" s="1" t="s">
        <v>198</v>
      </c>
      <c r="C18" t="s">
        <v>329</v>
      </c>
      <c r="D18" t="s">
        <v>209</v>
      </c>
      <c r="E18" t="s">
        <v>330</v>
      </c>
      <c r="F18" t="s">
        <v>331</v>
      </c>
      <c r="G18" t="s">
        <v>219</v>
      </c>
      <c r="H18" t="s">
        <v>220</v>
      </c>
      <c r="I18" t="s">
        <v>373</v>
      </c>
    </row>
    <row r="19" spans="2:9" x14ac:dyDescent="0.25">
      <c r="B19" s="1" t="s">
        <v>352</v>
      </c>
      <c r="C19" t="s">
        <v>382</v>
      </c>
      <c r="D19" t="s">
        <v>209</v>
      </c>
      <c r="E19" t="s">
        <v>292</v>
      </c>
      <c r="F19" t="s">
        <v>383</v>
      </c>
      <c r="G19" t="s">
        <v>219</v>
      </c>
      <c r="H19" t="s">
        <v>220</v>
      </c>
      <c r="I19" t="s">
        <v>373</v>
      </c>
    </row>
    <row r="20" spans="2:9" x14ac:dyDescent="0.25">
      <c r="B20" s="1" t="s">
        <v>352</v>
      </c>
      <c r="C20" t="s">
        <v>282</v>
      </c>
      <c r="D20" t="s">
        <v>209</v>
      </c>
      <c r="E20" t="s">
        <v>283</v>
      </c>
      <c r="F20" t="s">
        <v>284</v>
      </c>
      <c r="G20" t="s">
        <v>219</v>
      </c>
      <c r="H20" t="s">
        <v>220</v>
      </c>
      <c r="I20" t="s">
        <v>211</v>
      </c>
    </row>
    <row r="21" spans="2:9" x14ac:dyDescent="0.25">
      <c r="B21" s="1" t="s">
        <v>352</v>
      </c>
      <c r="C21" t="s">
        <v>285</v>
      </c>
      <c r="D21" t="s">
        <v>286</v>
      </c>
      <c r="E21" t="s">
        <v>280</v>
      </c>
      <c r="F21" t="s">
        <v>287</v>
      </c>
      <c r="G21" t="s">
        <v>219</v>
      </c>
      <c r="H21" t="s">
        <v>220</v>
      </c>
      <c r="I21" t="s">
        <v>377</v>
      </c>
    </row>
    <row r="22" spans="2:9" x14ac:dyDescent="0.25">
      <c r="B22" s="1" t="s">
        <v>352</v>
      </c>
      <c r="C22" t="s">
        <v>279</v>
      </c>
      <c r="D22" t="s">
        <v>209</v>
      </c>
      <c r="E22" t="s">
        <v>280</v>
      </c>
      <c r="F22" t="s">
        <v>281</v>
      </c>
      <c r="G22" t="s">
        <v>219</v>
      </c>
      <c r="H22" t="s">
        <v>220</v>
      </c>
      <c r="I22" t="s">
        <v>377</v>
      </c>
    </row>
    <row r="23" spans="2:9" x14ac:dyDescent="0.25">
      <c r="B23" s="1" t="s">
        <v>352</v>
      </c>
      <c r="C23" t="s">
        <v>300</v>
      </c>
      <c r="D23" t="s">
        <v>209</v>
      </c>
      <c r="E23" t="s">
        <v>301</v>
      </c>
      <c r="F23" t="s">
        <v>302</v>
      </c>
      <c r="G23" t="s">
        <v>219</v>
      </c>
      <c r="H23" t="s">
        <v>220</v>
      </c>
      <c r="I23" t="s">
        <v>211</v>
      </c>
    </row>
    <row r="24" spans="2:9" x14ac:dyDescent="0.25">
      <c r="B24" s="1" t="s">
        <v>354</v>
      </c>
      <c r="C24" t="s">
        <v>325</v>
      </c>
      <c r="D24" t="s">
        <v>209</v>
      </c>
      <c r="E24" t="s">
        <v>321</v>
      </c>
      <c r="F24" t="s">
        <v>326</v>
      </c>
      <c r="G24" t="s">
        <v>219</v>
      </c>
      <c r="H24" t="s">
        <v>220</v>
      </c>
      <c r="I24" t="s">
        <v>381</v>
      </c>
    </row>
    <row r="25" spans="2:9" x14ac:dyDescent="0.25">
      <c r="B25" s="1" t="s">
        <v>350</v>
      </c>
      <c r="C25" t="s">
        <v>264</v>
      </c>
      <c r="D25" t="s">
        <v>209</v>
      </c>
      <c r="E25" t="s">
        <v>255</v>
      </c>
      <c r="F25" t="s">
        <v>265</v>
      </c>
      <c r="G25" t="s">
        <v>219</v>
      </c>
      <c r="H25" t="s">
        <v>220</v>
      </c>
      <c r="I25" t="s">
        <v>211</v>
      </c>
    </row>
    <row r="26" spans="2:9" x14ac:dyDescent="0.25">
      <c r="B26" s="1" t="s">
        <v>359</v>
      </c>
      <c r="C26" t="s">
        <v>311</v>
      </c>
      <c r="D26" t="s">
        <v>209</v>
      </c>
      <c r="E26" t="s">
        <v>312</v>
      </c>
      <c r="F26" t="s">
        <v>313</v>
      </c>
      <c r="G26" t="s">
        <v>219</v>
      </c>
      <c r="H26" t="s">
        <v>220</v>
      </c>
      <c r="I26" t="s">
        <v>373</v>
      </c>
    </row>
    <row r="27" spans="2:9" x14ac:dyDescent="0.25">
      <c r="B27" s="1" t="s">
        <v>349</v>
      </c>
      <c r="C27" t="s">
        <v>337</v>
      </c>
      <c r="D27" t="s">
        <v>209</v>
      </c>
      <c r="E27" t="s">
        <v>338</v>
      </c>
      <c r="F27" t="s">
        <v>339</v>
      </c>
      <c r="G27" t="s">
        <v>219</v>
      </c>
      <c r="H27" t="s">
        <v>220</v>
      </c>
      <c r="I27" t="s">
        <v>381</v>
      </c>
    </row>
    <row r="28" spans="2:9" x14ac:dyDescent="0.25">
      <c r="B28" s="1" t="s">
        <v>349</v>
      </c>
      <c r="C28" t="s">
        <v>291</v>
      </c>
      <c r="D28" t="s">
        <v>286</v>
      </c>
      <c r="E28" t="s">
        <v>292</v>
      </c>
      <c r="F28" t="s">
        <v>293</v>
      </c>
      <c r="G28" t="s">
        <v>219</v>
      </c>
      <c r="H28" t="s">
        <v>220</v>
      </c>
      <c r="I28" t="s">
        <v>292</v>
      </c>
    </row>
    <row r="29" spans="2:9" x14ac:dyDescent="0.25">
      <c r="B29" s="1" t="s">
        <v>349</v>
      </c>
      <c r="C29" t="s">
        <v>276</v>
      </c>
      <c r="D29" t="s">
        <v>209</v>
      </c>
      <c r="E29" t="s">
        <v>277</v>
      </c>
      <c r="F29" t="s">
        <v>278</v>
      </c>
      <c r="G29" t="s">
        <v>219</v>
      </c>
      <c r="H29" t="s">
        <v>220</v>
      </c>
      <c r="I29" t="s">
        <v>376</v>
      </c>
    </row>
    <row r="30" spans="2:9" x14ac:dyDescent="0.25">
      <c r="B30" s="1" t="s">
        <v>355</v>
      </c>
      <c r="C30" t="s">
        <v>254</v>
      </c>
      <c r="D30" t="s">
        <v>239</v>
      </c>
      <c r="E30" t="s">
        <v>255</v>
      </c>
      <c r="F30" t="s">
        <v>256</v>
      </c>
      <c r="G30" t="s">
        <v>219</v>
      </c>
      <c r="H30" t="s">
        <v>220</v>
      </c>
      <c r="I30" t="s">
        <v>373</v>
      </c>
    </row>
    <row r="31" spans="2:9" x14ac:dyDescent="0.25">
      <c r="B31" s="1" t="s">
        <v>163</v>
      </c>
      <c r="C31" t="s">
        <v>221</v>
      </c>
      <c r="D31" t="s">
        <v>222</v>
      </c>
      <c r="E31" t="s">
        <v>223</v>
      </c>
      <c r="F31" t="s">
        <v>224</v>
      </c>
      <c r="G31" t="s">
        <v>219</v>
      </c>
      <c r="H31" t="s">
        <v>220</v>
      </c>
      <c r="I31" t="s">
        <v>371</v>
      </c>
    </row>
    <row r="32" spans="2:9" x14ac:dyDescent="0.25">
      <c r="B32" s="1" t="s">
        <v>163</v>
      </c>
      <c r="C32" t="s">
        <v>228</v>
      </c>
      <c r="D32" t="s">
        <v>222</v>
      </c>
      <c r="E32" t="s">
        <v>229</v>
      </c>
      <c r="F32" t="s">
        <v>224</v>
      </c>
      <c r="G32" t="s">
        <v>230</v>
      </c>
      <c r="H32" t="s">
        <v>220</v>
      </c>
      <c r="I32" t="s">
        <v>371</v>
      </c>
    </row>
    <row r="33" spans="2:9" x14ac:dyDescent="0.25">
      <c r="B33" s="1" t="s">
        <v>163</v>
      </c>
      <c r="C33" t="s">
        <v>232</v>
      </c>
      <c r="D33" t="s">
        <v>209</v>
      </c>
      <c r="E33" t="s">
        <v>229</v>
      </c>
      <c r="F33" t="s">
        <v>224</v>
      </c>
      <c r="G33" t="s">
        <v>219</v>
      </c>
      <c r="H33" t="s">
        <v>220</v>
      </c>
      <c r="I33" t="s">
        <v>211</v>
      </c>
    </row>
    <row r="34" spans="2:9" x14ac:dyDescent="0.25">
      <c r="B34" s="1" t="s">
        <v>163</v>
      </c>
      <c r="C34" t="s">
        <v>231</v>
      </c>
      <c r="D34" t="s">
        <v>209</v>
      </c>
      <c r="E34" t="s">
        <v>229</v>
      </c>
      <c r="F34" t="s">
        <v>224</v>
      </c>
      <c r="G34" t="s">
        <v>230</v>
      </c>
      <c r="H34" t="s">
        <v>220</v>
      </c>
      <c r="I34" t="s">
        <v>211</v>
      </c>
    </row>
    <row r="35" spans="2:9" x14ac:dyDescent="0.25">
      <c r="B35" s="1" t="s">
        <v>199</v>
      </c>
      <c r="C35" t="s">
        <v>269</v>
      </c>
      <c r="D35" t="s">
        <v>178</v>
      </c>
      <c r="E35" t="s">
        <v>268</v>
      </c>
      <c r="F35" t="s">
        <v>268</v>
      </c>
      <c r="G35" t="s">
        <v>219</v>
      </c>
      <c r="H35" t="s">
        <v>220</v>
      </c>
      <c r="I35" t="s">
        <v>268</v>
      </c>
    </row>
    <row r="36" spans="2:9" x14ac:dyDescent="0.25">
      <c r="B36" s="1" t="s">
        <v>199</v>
      </c>
      <c r="C36" t="s">
        <v>238</v>
      </c>
      <c r="D36" t="s">
        <v>239</v>
      </c>
      <c r="E36" t="s">
        <v>240</v>
      </c>
      <c r="F36" t="s">
        <v>241</v>
      </c>
      <c r="G36" t="s">
        <v>219</v>
      </c>
      <c r="H36" t="s">
        <v>220</v>
      </c>
      <c r="I36" t="s">
        <v>373</v>
      </c>
    </row>
    <row r="37" spans="2:9" x14ac:dyDescent="0.25">
      <c r="B37" s="1" t="s">
        <v>199</v>
      </c>
      <c r="C37" t="s">
        <v>270</v>
      </c>
      <c r="D37" t="s">
        <v>209</v>
      </c>
      <c r="E37" t="s">
        <v>271</v>
      </c>
      <c r="F37" t="s">
        <v>272</v>
      </c>
      <c r="G37" t="s">
        <v>219</v>
      </c>
      <c r="H37" t="s">
        <v>220</v>
      </c>
      <c r="I37" t="s">
        <v>373</v>
      </c>
    </row>
    <row r="38" spans="2:9" x14ac:dyDescent="0.25">
      <c r="B38" s="1" t="s">
        <v>199</v>
      </c>
      <c r="C38" t="s">
        <v>309</v>
      </c>
      <c r="D38" t="s">
        <v>209</v>
      </c>
      <c r="E38" t="s">
        <v>271</v>
      </c>
      <c r="F38" t="s">
        <v>310</v>
      </c>
      <c r="G38" t="s">
        <v>219</v>
      </c>
      <c r="H38" t="s">
        <v>220</v>
      </c>
      <c r="I38" t="s">
        <v>373</v>
      </c>
    </row>
    <row r="39" spans="2:9" x14ac:dyDescent="0.25">
      <c r="B39" s="1" t="s">
        <v>199</v>
      </c>
      <c r="C39" t="s">
        <v>314</v>
      </c>
      <c r="D39" t="s">
        <v>209</v>
      </c>
      <c r="E39" t="s">
        <v>271</v>
      </c>
      <c r="F39" t="s">
        <v>272</v>
      </c>
      <c r="G39" t="s">
        <v>219</v>
      </c>
      <c r="H39" t="s">
        <v>220</v>
      </c>
      <c r="I39" t="s">
        <v>373</v>
      </c>
    </row>
    <row r="40" spans="2:9" x14ac:dyDescent="0.25">
      <c r="B40" s="1" t="s">
        <v>199</v>
      </c>
      <c r="C40" t="s">
        <v>315</v>
      </c>
      <c r="D40" t="s">
        <v>209</v>
      </c>
      <c r="E40" t="s">
        <v>271</v>
      </c>
      <c r="F40" t="s">
        <v>272</v>
      </c>
      <c r="G40" t="s">
        <v>219</v>
      </c>
      <c r="H40" t="s">
        <v>220</v>
      </c>
      <c r="I40" t="s">
        <v>373</v>
      </c>
    </row>
    <row r="41" spans="2:9" x14ac:dyDescent="0.25">
      <c r="B41" s="1" t="s">
        <v>199</v>
      </c>
      <c r="C41" t="s">
        <v>316</v>
      </c>
      <c r="D41" t="s">
        <v>209</v>
      </c>
      <c r="E41" t="s">
        <v>271</v>
      </c>
      <c r="F41" t="s">
        <v>272</v>
      </c>
      <c r="G41" t="s">
        <v>219</v>
      </c>
      <c r="H41" t="s">
        <v>220</v>
      </c>
      <c r="I41" t="s">
        <v>373</v>
      </c>
    </row>
    <row r="42" spans="2:9" x14ac:dyDescent="0.25">
      <c r="B42" s="1" t="s">
        <v>199</v>
      </c>
      <c r="C42" t="s">
        <v>317</v>
      </c>
      <c r="D42" t="s">
        <v>209</v>
      </c>
      <c r="E42" t="s">
        <v>271</v>
      </c>
      <c r="F42" t="s">
        <v>318</v>
      </c>
      <c r="G42" t="s">
        <v>219</v>
      </c>
      <c r="H42" t="s">
        <v>220</v>
      </c>
      <c r="I42" t="s">
        <v>373</v>
      </c>
    </row>
    <row r="43" spans="2:9" x14ac:dyDescent="0.25">
      <c r="B43" s="1" t="s">
        <v>199</v>
      </c>
      <c r="C43" t="s">
        <v>306</v>
      </c>
      <c r="D43" t="s">
        <v>209</v>
      </c>
      <c r="E43" t="s">
        <v>307</v>
      </c>
      <c r="F43" t="s">
        <v>308</v>
      </c>
      <c r="G43" t="s">
        <v>219</v>
      </c>
      <c r="H43" t="s">
        <v>220</v>
      </c>
      <c r="I43" t="s">
        <v>373</v>
      </c>
    </row>
    <row r="44" spans="2:9" x14ac:dyDescent="0.25">
      <c r="B44" s="1" t="s">
        <v>199</v>
      </c>
      <c r="C44" t="s">
        <v>384</v>
      </c>
      <c r="D44" t="s">
        <v>209</v>
      </c>
      <c r="E44" t="s">
        <v>307</v>
      </c>
      <c r="F44" t="s">
        <v>385</v>
      </c>
      <c r="G44" t="s">
        <v>219</v>
      </c>
      <c r="H44" t="s">
        <v>220</v>
      </c>
      <c r="I44" t="s">
        <v>373</v>
      </c>
    </row>
    <row r="45" spans="2:9" x14ac:dyDescent="0.25">
      <c r="B45" s="1" t="s">
        <v>199</v>
      </c>
      <c r="C45" t="s">
        <v>386</v>
      </c>
      <c r="D45" t="s">
        <v>209</v>
      </c>
      <c r="E45" t="s">
        <v>307</v>
      </c>
      <c r="F45" t="s">
        <v>385</v>
      </c>
      <c r="G45" t="s">
        <v>219</v>
      </c>
      <c r="H45" t="s">
        <v>220</v>
      </c>
      <c r="I45" t="s">
        <v>373</v>
      </c>
    </row>
    <row r="46" spans="2:9" x14ac:dyDescent="0.25">
      <c r="B46" s="1" t="s">
        <v>199</v>
      </c>
      <c r="C46" t="s">
        <v>319</v>
      </c>
      <c r="D46" t="s">
        <v>320</v>
      </c>
      <c r="E46" t="s">
        <v>321</v>
      </c>
      <c r="F46" t="s">
        <v>322</v>
      </c>
      <c r="G46" t="s">
        <v>219</v>
      </c>
      <c r="H46" t="s">
        <v>220</v>
      </c>
      <c r="I46" t="s">
        <v>376</v>
      </c>
    </row>
    <row r="47" spans="2:9" x14ac:dyDescent="0.25">
      <c r="B47" s="1" t="s">
        <v>199</v>
      </c>
      <c r="C47" t="s">
        <v>327</v>
      </c>
      <c r="D47" t="s">
        <v>209</v>
      </c>
      <c r="E47" t="s">
        <v>321</v>
      </c>
      <c r="F47" t="s">
        <v>328</v>
      </c>
      <c r="G47" t="s">
        <v>219</v>
      </c>
      <c r="H47" t="s">
        <v>220</v>
      </c>
      <c r="I47" t="s">
        <v>376</v>
      </c>
    </row>
    <row r="48" spans="2:9" x14ac:dyDescent="0.25">
      <c r="B48" s="1" t="s">
        <v>199</v>
      </c>
      <c r="C48" t="s">
        <v>242</v>
      </c>
      <c r="D48" t="s">
        <v>239</v>
      </c>
      <c r="E48" t="s">
        <v>243</v>
      </c>
      <c r="F48" t="s">
        <v>244</v>
      </c>
      <c r="G48" t="s">
        <v>219</v>
      </c>
      <c r="H48" t="s">
        <v>220</v>
      </c>
      <c r="I48" t="s">
        <v>292</v>
      </c>
    </row>
    <row r="49" spans="2:9" x14ac:dyDescent="0.25">
      <c r="B49" s="1" t="s">
        <v>199</v>
      </c>
      <c r="C49" t="s">
        <v>340</v>
      </c>
      <c r="D49" t="s">
        <v>209</v>
      </c>
      <c r="E49" t="s">
        <v>341</v>
      </c>
      <c r="F49" t="s">
        <v>342</v>
      </c>
      <c r="G49" t="s">
        <v>219</v>
      </c>
      <c r="H49" t="s">
        <v>220</v>
      </c>
      <c r="I49" t="s">
        <v>211</v>
      </c>
    </row>
    <row r="50" spans="2:9" x14ac:dyDescent="0.25">
      <c r="B50" s="1" t="s">
        <v>199</v>
      </c>
      <c r="C50" t="s">
        <v>343</v>
      </c>
      <c r="D50" t="s">
        <v>209</v>
      </c>
      <c r="E50" t="s">
        <v>341</v>
      </c>
      <c r="F50" t="s">
        <v>342</v>
      </c>
      <c r="G50" t="s">
        <v>219</v>
      </c>
      <c r="H50" t="s">
        <v>220</v>
      </c>
      <c r="I50" t="s">
        <v>373</v>
      </c>
    </row>
    <row r="51" spans="2:9" x14ac:dyDescent="0.25">
      <c r="B51" s="1" t="s">
        <v>348</v>
      </c>
      <c r="C51" t="s">
        <v>233</v>
      </c>
      <c r="D51" t="s">
        <v>209</v>
      </c>
      <c r="E51" t="s">
        <v>226</v>
      </c>
      <c r="F51" t="s">
        <v>227</v>
      </c>
      <c r="G51" t="s">
        <v>230</v>
      </c>
      <c r="H51" t="s">
        <v>220</v>
      </c>
      <c r="I51" t="s">
        <v>372</v>
      </c>
    </row>
    <row r="52" spans="2:9" x14ac:dyDescent="0.25">
      <c r="B52" s="1" t="s">
        <v>348</v>
      </c>
      <c r="C52" t="s">
        <v>234</v>
      </c>
      <c r="D52" t="s">
        <v>209</v>
      </c>
      <c r="E52" t="s">
        <v>226</v>
      </c>
      <c r="F52" t="s">
        <v>227</v>
      </c>
      <c r="G52" t="s">
        <v>230</v>
      </c>
      <c r="H52" t="s">
        <v>220</v>
      </c>
      <c r="I52" t="s">
        <v>372</v>
      </c>
    </row>
    <row r="53" spans="2:9" x14ac:dyDescent="0.25">
      <c r="B53" s="1" t="s">
        <v>348</v>
      </c>
      <c r="C53" t="s">
        <v>225</v>
      </c>
      <c r="D53" t="s">
        <v>222</v>
      </c>
      <c r="E53" t="s">
        <v>226</v>
      </c>
      <c r="F53" t="s">
        <v>227</v>
      </c>
      <c r="G53" t="s">
        <v>219</v>
      </c>
      <c r="H53" t="s">
        <v>220</v>
      </c>
      <c r="I53" t="s">
        <v>372</v>
      </c>
    </row>
    <row r="54" spans="2:9" x14ac:dyDescent="0.25">
      <c r="B54" s="1" t="s">
        <v>348</v>
      </c>
      <c r="C54" t="s">
        <v>235</v>
      </c>
      <c r="D54" t="s">
        <v>209</v>
      </c>
      <c r="E54" t="s">
        <v>226</v>
      </c>
      <c r="F54" t="s">
        <v>227</v>
      </c>
      <c r="G54" t="s">
        <v>219</v>
      </c>
      <c r="H54" t="s">
        <v>220</v>
      </c>
      <c r="I54" t="s">
        <v>372</v>
      </c>
    </row>
    <row r="55" spans="2:9" x14ac:dyDescent="0.25">
      <c r="B55" s="1" t="s">
        <v>347</v>
      </c>
      <c r="C55" t="s">
        <v>250</v>
      </c>
      <c r="D55" t="s">
        <v>251</v>
      </c>
      <c r="E55" t="s">
        <v>252</v>
      </c>
      <c r="F55" t="s">
        <v>253</v>
      </c>
      <c r="G55" t="s">
        <v>219</v>
      </c>
      <c r="H55" t="s">
        <v>220</v>
      </c>
      <c r="I55" t="s">
        <v>211</v>
      </c>
    </row>
    <row r="56" spans="2:9" x14ac:dyDescent="0.25">
      <c r="B56" s="1" t="s">
        <v>347</v>
      </c>
      <c r="C56" t="s">
        <v>344</v>
      </c>
      <c r="D56" t="s">
        <v>209</v>
      </c>
      <c r="E56" t="s">
        <v>345</v>
      </c>
      <c r="F56" t="s">
        <v>346</v>
      </c>
      <c r="G56" t="s">
        <v>219</v>
      </c>
      <c r="H56" t="s">
        <v>220</v>
      </c>
      <c r="I56" t="s">
        <v>373</v>
      </c>
    </row>
    <row r="57" spans="2:9" x14ac:dyDescent="0.25">
      <c r="B57" s="1" t="s">
        <v>347</v>
      </c>
      <c r="C57" t="s">
        <v>332</v>
      </c>
      <c r="D57" t="s">
        <v>209</v>
      </c>
      <c r="E57" t="s">
        <v>333</v>
      </c>
      <c r="F57" t="s">
        <v>334</v>
      </c>
      <c r="G57" t="s">
        <v>219</v>
      </c>
      <c r="H57" t="s">
        <v>220</v>
      </c>
      <c r="I57" t="s">
        <v>373</v>
      </c>
    </row>
    <row r="58" spans="2:9" x14ac:dyDescent="0.25">
      <c r="B58" s="1" t="s">
        <v>356</v>
      </c>
      <c r="C58" t="s">
        <v>261</v>
      </c>
      <c r="D58" t="s">
        <v>209</v>
      </c>
      <c r="E58" t="s">
        <v>262</v>
      </c>
      <c r="F58" t="s">
        <v>263</v>
      </c>
      <c r="G58" t="s">
        <v>219</v>
      </c>
      <c r="H58" t="s">
        <v>220</v>
      </c>
      <c r="I58" t="s">
        <v>263</v>
      </c>
    </row>
  </sheetData>
  <sortState ref="B3:I61">
    <sortCondition ref="B3:B61"/>
    <sortCondition ref="C3:C6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2"/>
  <sheetViews>
    <sheetView topLeftCell="A52" workbookViewId="0">
      <selection activeCell="E6" sqref="E6"/>
    </sheetView>
  </sheetViews>
  <sheetFormatPr defaultRowHeight="15" x14ac:dyDescent="0.25"/>
  <cols>
    <col min="2" max="2" width="29.140625" bestFit="1" customWidth="1"/>
    <col min="3" max="3" width="17.28515625" style="5" bestFit="1" customWidth="1"/>
    <col min="4" max="4" width="29.140625" hidden="1" customWidth="1"/>
    <col min="5" max="6" width="24.85546875" bestFit="1" customWidth="1"/>
    <col min="7" max="7" width="25.140625" bestFit="1" customWidth="1"/>
    <col min="8" max="8" width="48.85546875" bestFit="1" customWidth="1"/>
    <col min="9" max="9" width="9" bestFit="1" customWidth="1"/>
    <col min="10" max="10" width="12.7109375" bestFit="1" customWidth="1"/>
  </cols>
  <sheetData>
    <row r="1" spans="2:10" x14ac:dyDescent="0.25">
      <c r="B1" t="s">
        <v>363</v>
      </c>
    </row>
    <row r="2" spans="2:10" x14ac:dyDescent="0.25">
      <c r="B2" t="s">
        <v>361</v>
      </c>
      <c r="C2" s="5" t="s">
        <v>203</v>
      </c>
      <c r="E2" t="s">
        <v>202</v>
      </c>
      <c r="F2" t="s">
        <v>204</v>
      </c>
      <c r="G2" t="s">
        <v>205</v>
      </c>
      <c r="H2" t="s">
        <v>206</v>
      </c>
      <c r="I2" t="s">
        <v>207</v>
      </c>
      <c r="J2" t="s">
        <v>208</v>
      </c>
    </row>
    <row r="3" spans="2:10" x14ac:dyDescent="0.25">
      <c r="B3" s="1" t="s">
        <v>197</v>
      </c>
      <c r="C3" s="5" t="s">
        <v>147</v>
      </c>
      <c r="D3" s="1"/>
      <c r="E3" t="s">
        <v>75</v>
      </c>
      <c r="F3" t="s">
        <v>209</v>
      </c>
      <c r="G3" t="s">
        <v>210</v>
      </c>
      <c r="H3" t="s">
        <v>210</v>
      </c>
      <c r="I3" t="s">
        <v>210</v>
      </c>
      <c r="J3" t="s">
        <v>211</v>
      </c>
    </row>
    <row r="4" spans="2:10" x14ac:dyDescent="0.25">
      <c r="B4" s="1" t="s">
        <v>197</v>
      </c>
      <c r="C4" s="5" t="s">
        <v>212</v>
      </c>
      <c r="D4" s="1"/>
      <c r="E4" t="s">
        <v>75</v>
      </c>
      <c r="F4" t="s">
        <v>209</v>
      </c>
      <c r="G4" t="s">
        <v>210</v>
      </c>
      <c r="H4" t="s">
        <v>210</v>
      </c>
      <c r="I4" t="s">
        <v>210</v>
      </c>
      <c r="J4" t="s">
        <v>213</v>
      </c>
    </row>
    <row r="5" spans="2:10" x14ac:dyDescent="0.25">
      <c r="B5" s="1" t="s">
        <v>197</v>
      </c>
      <c r="C5" s="5" t="s">
        <v>214</v>
      </c>
      <c r="D5" s="1"/>
      <c r="E5" t="s">
        <v>75</v>
      </c>
      <c r="F5" t="s">
        <v>209</v>
      </c>
      <c r="G5" t="s">
        <v>210</v>
      </c>
      <c r="H5" t="s">
        <v>210</v>
      </c>
      <c r="I5" t="s">
        <v>210</v>
      </c>
      <c r="J5" t="s">
        <v>215</v>
      </c>
    </row>
    <row r="6" spans="2:10" x14ac:dyDescent="0.25">
      <c r="B6" s="1" t="s">
        <v>197</v>
      </c>
      <c r="C6" s="5" t="s">
        <v>147</v>
      </c>
      <c r="D6" s="1"/>
      <c r="E6" t="s">
        <v>75</v>
      </c>
      <c r="F6" t="s">
        <v>216</v>
      </c>
      <c r="G6" t="s">
        <v>217</v>
      </c>
      <c r="H6" t="s">
        <v>218</v>
      </c>
      <c r="I6" t="s">
        <v>219</v>
      </c>
      <c r="J6" t="s">
        <v>220</v>
      </c>
    </row>
    <row r="7" spans="2:10" x14ac:dyDescent="0.25">
      <c r="B7" s="1" t="s">
        <v>197</v>
      </c>
      <c r="C7" s="5" t="s">
        <v>212</v>
      </c>
      <c r="D7" s="1"/>
      <c r="E7" t="s">
        <v>172</v>
      </c>
      <c r="F7" t="s">
        <v>257</v>
      </c>
      <c r="G7" t="s">
        <v>258</v>
      </c>
      <c r="H7" t="s">
        <v>259</v>
      </c>
      <c r="I7" t="s">
        <v>219</v>
      </c>
      <c r="J7" t="s">
        <v>220</v>
      </c>
    </row>
    <row r="8" spans="2:10" x14ac:dyDescent="0.25">
      <c r="B8" s="1" t="s">
        <v>197</v>
      </c>
      <c r="C8" s="5" t="s">
        <v>214</v>
      </c>
      <c r="D8" s="1"/>
      <c r="E8" t="s">
        <v>173</v>
      </c>
      <c r="F8" t="s">
        <v>260</v>
      </c>
      <c r="G8" t="s">
        <v>258</v>
      </c>
      <c r="H8" t="s">
        <v>259</v>
      </c>
      <c r="I8" t="s">
        <v>219</v>
      </c>
      <c r="J8" t="s">
        <v>220</v>
      </c>
    </row>
    <row r="9" spans="2:10" x14ac:dyDescent="0.25">
      <c r="B9" s="1" t="s">
        <v>197</v>
      </c>
      <c r="C9" s="5" t="s">
        <v>362</v>
      </c>
      <c r="D9" s="1"/>
      <c r="E9" t="s">
        <v>75</v>
      </c>
      <c r="F9" t="s">
        <v>209</v>
      </c>
      <c r="G9" t="s">
        <v>217</v>
      </c>
      <c r="H9" t="s">
        <v>296</v>
      </c>
      <c r="I9" t="s">
        <v>219</v>
      </c>
      <c r="J9" t="s">
        <v>220</v>
      </c>
    </row>
    <row r="10" spans="2:10" x14ac:dyDescent="0.25">
      <c r="B10" s="1" t="s">
        <v>197</v>
      </c>
      <c r="C10" s="5" t="s">
        <v>335</v>
      </c>
      <c r="D10" s="1"/>
      <c r="E10" t="s">
        <v>192</v>
      </c>
      <c r="F10" t="s">
        <v>209</v>
      </c>
      <c r="G10" t="s">
        <v>336</v>
      </c>
      <c r="H10" t="s">
        <v>296</v>
      </c>
      <c r="I10" t="s">
        <v>219</v>
      </c>
      <c r="J10" t="s">
        <v>220</v>
      </c>
    </row>
    <row r="11" spans="2:10" x14ac:dyDescent="0.25">
      <c r="B11" s="1" t="s">
        <v>357</v>
      </c>
      <c r="C11" s="5" t="s">
        <v>248</v>
      </c>
      <c r="D11" s="1"/>
      <c r="E11" t="s">
        <v>169</v>
      </c>
      <c r="F11" t="s">
        <v>222</v>
      </c>
      <c r="G11" t="s">
        <v>226</v>
      </c>
      <c r="H11" t="s">
        <v>249</v>
      </c>
      <c r="I11" t="s">
        <v>219</v>
      </c>
      <c r="J11" t="s">
        <v>220</v>
      </c>
    </row>
    <row r="12" spans="2:10" x14ac:dyDescent="0.25">
      <c r="B12" s="1" t="s">
        <v>357</v>
      </c>
      <c r="C12" s="5" t="s">
        <v>266</v>
      </c>
      <c r="D12" s="1"/>
      <c r="E12" t="s">
        <v>176</v>
      </c>
      <c r="F12" t="s">
        <v>239</v>
      </c>
      <c r="G12" t="s">
        <v>226</v>
      </c>
      <c r="H12" t="s">
        <v>249</v>
      </c>
      <c r="I12" t="s">
        <v>219</v>
      </c>
      <c r="J12" t="s">
        <v>220</v>
      </c>
    </row>
    <row r="13" spans="2:10" x14ac:dyDescent="0.25">
      <c r="B13" s="1" t="s">
        <v>357</v>
      </c>
      <c r="C13" s="5" t="s">
        <v>303</v>
      </c>
      <c r="D13" s="1"/>
      <c r="E13" t="s">
        <v>183</v>
      </c>
      <c r="F13" t="s">
        <v>286</v>
      </c>
      <c r="G13" t="s">
        <v>226</v>
      </c>
      <c r="H13" t="s">
        <v>304</v>
      </c>
      <c r="I13" t="s">
        <v>219</v>
      </c>
      <c r="J13" t="s">
        <v>220</v>
      </c>
    </row>
    <row r="14" spans="2:10" x14ac:dyDescent="0.25">
      <c r="B14" s="1" t="s">
        <v>357</v>
      </c>
      <c r="C14" s="5" t="s">
        <v>323</v>
      </c>
      <c r="D14" s="1"/>
      <c r="E14" t="s">
        <v>188</v>
      </c>
      <c r="F14" t="s">
        <v>209</v>
      </c>
      <c r="G14" t="s">
        <v>226</v>
      </c>
      <c r="H14" t="s">
        <v>324</v>
      </c>
      <c r="I14" t="s">
        <v>219</v>
      </c>
      <c r="J14" t="s">
        <v>220</v>
      </c>
    </row>
    <row r="15" spans="2:10" x14ac:dyDescent="0.25">
      <c r="B15" s="1" t="s">
        <v>353</v>
      </c>
      <c r="C15" s="5" t="s">
        <v>245</v>
      </c>
      <c r="D15" s="1"/>
      <c r="E15" t="s">
        <v>168</v>
      </c>
      <c r="F15" t="s">
        <v>246</v>
      </c>
      <c r="G15" t="s">
        <v>226</v>
      </c>
      <c r="H15" t="s">
        <v>247</v>
      </c>
      <c r="I15" t="s">
        <v>219</v>
      </c>
      <c r="J15" t="s">
        <v>220</v>
      </c>
    </row>
    <row r="16" spans="2:10" x14ac:dyDescent="0.25">
      <c r="B16" s="1" t="s">
        <v>353</v>
      </c>
      <c r="C16" s="5" t="s">
        <v>294</v>
      </c>
      <c r="D16" s="1"/>
      <c r="E16" t="s">
        <v>168</v>
      </c>
      <c r="F16" t="s">
        <v>209</v>
      </c>
      <c r="G16" t="s">
        <v>226</v>
      </c>
      <c r="H16" t="s">
        <v>295</v>
      </c>
      <c r="I16" t="s">
        <v>230</v>
      </c>
      <c r="J16" t="s">
        <v>220</v>
      </c>
    </row>
    <row r="17" spans="2:10" x14ac:dyDescent="0.25">
      <c r="B17" s="1" t="s">
        <v>351</v>
      </c>
      <c r="C17" s="5" t="s">
        <v>267</v>
      </c>
      <c r="D17" s="1"/>
      <c r="E17" t="s">
        <v>177</v>
      </c>
      <c r="F17" t="s">
        <v>177</v>
      </c>
      <c r="G17" t="s">
        <v>268</v>
      </c>
      <c r="H17" t="s">
        <v>268</v>
      </c>
      <c r="I17" t="s">
        <v>219</v>
      </c>
      <c r="J17" t="s">
        <v>220</v>
      </c>
    </row>
    <row r="18" spans="2:10" x14ac:dyDescent="0.25">
      <c r="B18" s="1" t="s">
        <v>351</v>
      </c>
      <c r="C18" s="5" t="s">
        <v>273</v>
      </c>
      <c r="D18" s="1"/>
      <c r="E18" t="s">
        <v>179</v>
      </c>
      <c r="F18" t="s">
        <v>209</v>
      </c>
      <c r="G18" t="s">
        <v>274</v>
      </c>
      <c r="H18" t="s">
        <v>275</v>
      </c>
      <c r="I18" t="s">
        <v>219</v>
      </c>
      <c r="J18" t="s">
        <v>220</v>
      </c>
    </row>
    <row r="19" spans="2:10" x14ac:dyDescent="0.25">
      <c r="B19" s="1" t="s">
        <v>351</v>
      </c>
      <c r="C19" s="5" t="s">
        <v>288</v>
      </c>
      <c r="D19" s="1"/>
      <c r="E19" t="s">
        <v>179</v>
      </c>
      <c r="F19" t="s">
        <v>289</v>
      </c>
      <c r="G19" t="s">
        <v>290</v>
      </c>
      <c r="H19" t="s">
        <v>275</v>
      </c>
      <c r="I19" t="s">
        <v>219</v>
      </c>
      <c r="J19" t="s">
        <v>220</v>
      </c>
    </row>
    <row r="20" spans="2:10" x14ac:dyDescent="0.25">
      <c r="B20" s="1" t="s">
        <v>198</v>
      </c>
      <c r="C20" s="5" t="s">
        <v>297</v>
      </c>
      <c r="D20" s="1"/>
      <c r="E20" t="s">
        <v>76</v>
      </c>
      <c r="F20" t="s">
        <v>286</v>
      </c>
      <c r="G20" t="s">
        <v>298</v>
      </c>
      <c r="H20" t="s">
        <v>299</v>
      </c>
      <c r="I20" t="s">
        <v>219</v>
      </c>
      <c r="J20" t="s">
        <v>220</v>
      </c>
    </row>
    <row r="21" spans="2:10" x14ac:dyDescent="0.25">
      <c r="B21" s="1" t="s">
        <v>198</v>
      </c>
      <c r="C21" s="5" t="s">
        <v>329</v>
      </c>
      <c r="D21" s="1"/>
      <c r="E21" t="s">
        <v>190</v>
      </c>
      <c r="F21" t="s">
        <v>209</v>
      </c>
      <c r="G21" t="s">
        <v>330</v>
      </c>
      <c r="H21" t="s">
        <v>331</v>
      </c>
      <c r="I21" t="s">
        <v>219</v>
      </c>
      <c r="J21" t="s">
        <v>220</v>
      </c>
    </row>
    <row r="22" spans="2:10" x14ac:dyDescent="0.25">
      <c r="B22" s="1" t="s">
        <v>352</v>
      </c>
      <c r="C22" s="5" t="s">
        <v>279</v>
      </c>
      <c r="D22" s="1"/>
      <c r="E22" t="s">
        <v>181</v>
      </c>
      <c r="F22" t="s">
        <v>209</v>
      </c>
      <c r="G22" t="s">
        <v>280</v>
      </c>
      <c r="H22" t="s">
        <v>281</v>
      </c>
      <c r="I22" t="s">
        <v>219</v>
      </c>
      <c r="J22" t="s">
        <v>220</v>
      </c>
    </row>
    <row r="23" spans="2:10" x14ac:dyDescent="0.25">
      <c r="B23" s="1" t="s">
        <v>352</v>
      </c>
      <c r="C23" s="5" t="s">
        <v>282</v>
      </c>
      <c r="D23" s="1"/>
      <c r="E23" t="s">
        <v>181</v>
      </c>
      <c r="F23" t="s">
        <v>209</v>
      </c>
      <c r="G23" t="s">
        <v>283</v>
      </c>
      <c r="H23" t="s">
        <v>284</v>
      </c>
      <c r="I23" t="s">
        <v>219</v>
      </c>
      <c r="J23" t="s">
        <v>220</v>
      </c>
    </row>
    <row r="24" spans="2:10" x14ac:dyDescent="0.25">
      <c r="B24" s="1" t="s">
        <v>352</v>
      </c>
      <c r="C24" s="5" t="s">
        <v>285</v>
      </c>
      <c r="D24" s="1"/>
      <c r="E24" t="s">
        <v>181</v>
      </c>
      <c r="F24" t="s">
        <v>286</v>
      </c>
      <c r="G24" t="s">
        <v>280</v>
      </c>
      <c r="H24" t="s">
        <v>287</v>
      </c>
      <c r="I24" t="s">
        <v>219</v>
      </c>
      <c r="J24" t="s">
        <v>220</v>
      </c>
    </row>
    <row r="25" spans="2:10" x14ac:dyDescent="0.25">
      <c r="B25" s="1" t="s">
        <v>352</v>
      </c>
      <c r="C25" s="5" t="s">
        <v>300</v>
      </c>
      <c r="D25" s="1"/>
      <c r="E25" t="s">
        <v>182</v>
      </c>
      <c r="F25" t="s">
        <v>209</v>
      </c>
      <c r="G25" t="s">
        <v>301</v>
      </c>
      <c r="H25" t="s">
        <v>302</v>
      </c>
      <c r="I25" t="s">
        <v>219</v>
      </c>
      <c r="J25" t="s">
        <v>220</v>
      </c>
    </row>
    <row r="26" spans="2:10" x14ac:dyDescent="0.25">
      <c r="B26" s="1" t="s">
        <v>354</v>
      </c>
      <c r="C26" s="5" t="s">
        <v>325</v>
      </c>
      <c r="D26" s="1"/>
      <c r="E26" t="s">
        <v>189</v>
      </c>
      <c r="F26" t="s">
        <v>209</v>
      </c>
      <c r="G26" t="s">
        <v>321</v>
      </c>
      <c r="H26" t="s">
        <v>326</v>
      </c>
      <c r="I26" t="s">
        <v>219</v>
      </c>
      <c r="J26" t="s">
        <v>220</v>
      </c>
    </row>
    <row r="27" spans="2:10" x14ac:dyDescent="0.25">
      <c r="B27" s="1" t="s">
        <v>350</v>
      </c>
      <c r="C27" s="5" t="s">
        <v>264</v>
      </c>
      <c r="D27" s="1"/>
      <c r="E27" t="s">
        <v>175</v>
      </c>
      <c r="F27" t="s">
        <v>209</v>
      </c>
      <c r="G27" t="s">
        <v>255</v>
      </c>
      <c r="H27" t="s">
        <v>265</v>
      </c>
      <c r="I27" t="s">
        <v>219</v>
      </c>
      <c r="J27" t="s">
        <v>220</v>
      </c>
    </row>
    <row r="28" spans="2:10" x14ac:dyDescent="0.25">
      <c r="B28" s="1" t="s">
        <v>359</v>
      </c>
      <c r="C28" s="5" t="s">
        <v>311</v>
      </c>
      <c r="D28" s="1"/>
      <c r="E28" t="s">
        <v>187</v>
      </c>
      <c r="F28" t="s">
        <v>209</v>
      </c>
      <c r="G28" t="s">
        <v>312</v>
      </c>
      <c r="H28" t="s">
        <v>313</v>
      </c>
      <c r="I28" t="s">
        <v>219</v>
      </c>
      <c r="J28" t="s">
        <v>220</v>
      </c>
    </row>
    <row r="29" spans="2:10" x14ac:dyDescent="0.25">
      <c r="B29" s="1" t="s">
        <v>349</v>
      </c>
      <c r="C29" s="5" t="s">
        <v>276</v>
      </c>
      <c r="D29" s="1"/>
      <c r="E29" t="s">
        <v>180</v>
      </c>
      <c r="F29" t="s">
        <v>209</v>
      </c>
      <c r="G29" t="s">
        <v>277</v>
      </c>
      <c r="H29" t="s">
        <v>278</v>
      </c>
      <c r="I29" t="s">
        <v>219</v>
      </c>
      <c r="J29" t="s">
        <v>220</v>
      </c>
    </row>
    <row r="30" spans="2:10" x14ac:dyDescent="0.25">
      <c r="B30" s="1" t="s">
        <v>349</v>
      </c>
      <c r="C30" s="5" t="s">
        <v>291</v>
      </c>
      <c r="D30" s="1"/>
      <c r="E30" t="s">
        <v>180</v>
      </c>
      <c r="F30" t="s">
        <v>286</v>
      </c>
      <c r="G30" t="s">
        <v>292</v>
      </c>
      <c r="H30" t="s">
        <v>293</v>
      </c>
      <c r="I30" t="s">
        <v>219</v>
      </c>
      <c r="J30" t="s">
        <v>220</v>
      </c>
    </row>
    <row r="31" spans="2:10" x14ac:dyDescent="0.25">
      <c r="B31" s="1" t="s">
        <v>349</v>
      </c>
      <c r="C31" s="5" t="s">
        <v>337</v>
      </c>
      <c r="D31" s="1"/>
      <c r="E31" t="s">
        <v>193</v>
      </c>
      <c r="F31" t="s">
        <v>209</v>
      </c>
      <c r="G31" t="s">
        <v>338</v>
      </c>
      <c r="H31" t="s">
        <v>339</v>
      </c>
      <c r="I31" t="s">
        <v>219</v>
      </c>
      <c r="J31" t="s">
        <v>220</v>
      </c>
    </row>
    <row r="32" spans="2:10" x14ac:dyDescent="0.25">
      <c r="B32" s="1" t="s">
        <v>355</v>
      </c>
      <c r="C32" s="5" t="s">
        <v>254</v>
      </c>
      <c r="D32" s="1"/>
      <c r="E32" t="s">
        <v>171</v>
      </c>
      <c r="F32" t="s">
        <v>239</v>
      </c>
      <c r="G32" t="s">
        <v>255</v>
      </c>
      <c r="H32" t="s">
        <v>256</v>
      </c>
      <c r="I32" t="s">
        <v>219</v>
      </c>
      <c r="J32" t="s">
        <v>220</v>
      </c>
    </row>
    <row r="33" spans="2:10" x14ac:dyDescent="0.25">
      <c r="B33" s="1" t="s">
        <v>163</v>
      </c>
      <c r="C33" s="5" t="s">
        <v>221</v>
      </c>
      <c r="D33" s="1"/>
      <c r="E33" t="s">
        <v>163</v>
      </c>
      <c r="F33" t="s">
        <v>222</v>
      </c>
      <c r="G33" t="s">
        <v>223</v>
      </c>
      <c r="H33" t="s">
        <v>224</v>
      </c>
      <c r="I33" t="s">
        <v>219</v>
      </c>
      <c r="J33" t="s">
        <v>220</v>
      </c>
    </row>
    <row r="34" spans="2:10" x14ac:dyDescent="0.25">
      <c r="B34" s="1" t="s">
        <v>163</v>
      </c>
      <c r="C34" s="5" t="s">
        <v>228</v>
      </c>
      <c r="D34" s="1"/>
      <c r="E34" t="s">
        <v>163</v>
      </c>
      <c r="F34" t="s">
        <v>222</v>
      </c>
      <c r="G34" t="s">
        <v>229</v>
      </c>
      <c r="H34" t="s">
        <v>224</v>
      </c>
      <c r="I34" t="s">
        <v>230</v>
      </c>
      <c r="J34" t="s">
        <v>220</v>
      </c>
    </row>
    <row r="35" spans="2:10" x14ac:dyDescent="0.25">
      <c r="B35" s="1" t="s">
        <v>163</v>
      </c>
      <c r="C35" s="5" t="s">
        <v>231</v>
      </c>
      <c r="D35" s="1"/>
      <c r="E35" t="s">
        <v>165</v>
      </c>
      <c r="F35" t="s">
        <v>209</v>
      </c>
      <c r="G35" t="s">
        <v>229</v>
      </c>
      <c r="H35" t="s">
        <v>224</v>
      </c>
      <c r="I35" t="s">
        <v>230</v>
      </c>
      <c r="J35" t="s">
        <v>220</v>
      </c>
    </row>
    <row r="36" spans="2:10" x14ac:dyDescent="0.25">
      <c r="B36" s="1" t="s">
        <v>163</v>
      </c>
      <c r="C36" s="5" t="s">
        <v>232</v>
      </c>
      <c r="D36" s="1"/>
      <c r="E36" t="s">
        <v>165</v>
      </c>
      <c r="F36" t="s">
        <v>209</v>
      </c>
      <c r="G36" t="s">
        <v>229</v>
      </c>
      <c r="H36" t="s">
        <v>224</v>
      </c>
      <c r="I36" t="s">
        <v>219</v>
      </c>
      <c r="J36" t="s">
        <v>220</v>
      </c>
    </row>
    <row r="37" spans="2:10" x14ac:dyDescent="0.25">
      <c r="B37" s="1" t="s">
        <v>199</v>
      </c>
      <c r="C37" s="5" t="s">
        <v>238</v>
      </c>
      <c r="D37" s="1"/>
      <c r="E37" t="s">
        <v>77</v>
      </c>
      <c r="F37" t="s">
        <v>239</v>
      </c>
      <c r="G37" t="s">
        <v>240</v>
      </c>
      <c r="H37" t="s">
        <v>241</v>
      </c>
      <c r="I37" t="s">
        <v>219</v>
      </c>
      <c r="J37" t="s">
        <v>220</v>
      </c>
    </row>
    <row r="38" spans="2:10" x14ac:dyDescent="0.25">
      <c r="B38" s="1" t="s">
        <v>199</v>
      </c>
      <c r="C38" s="5" t="s">
        <v>242</v>
      </c>
      <c r="D38" s="1"/>
      <c r="E38" t="s">
        <v>77</v>
      </c>
      <c r="F38" t="s">
        <v>239</v>
      </c>
      <c r="G38" t="s">
        <v>243</v>
      </c>
      <c r="H38" t="s">
        <v>244</v>
      </c>
      <c r="I38" t="s">
        <v>219</v>
      </c>
      <c r="J38" t="s">
        <v>220</v>
      </c>
    </row>
    <row r="39" spans="2:10" x14ac:dyDescent="0.25">
      <c r="B39" s="1" t="s">
        <v>199</v>
      </c>
      <c r="C39" s="5" t="s">
        <v>269</v>
      </c>
      <c r="D39" s="1"/>
      <c r="E39" t="s">
        <v>178</v>
      </c>
      <c r="F39" t="s">
        <v>178</v>
      </c>
      <c r="G39" t="s">
        <v>268</v>
      </c>
      <c r="H39" t="s">
        <v>268</v>
      </c>
      <c r="I39" t="s">
        <v>219</v>
      </c>
      <c r="J39" t="s">
        <v>220</v>
      </c>
    </row>
    <row r="40" spans="2:10" x14ac:dyDescent="0.25">
      <c r="B40" s="1" t="s">
        <v>199</v>
      </c>
      <c r="C40" s="5" t="s">
        <v>270</v>
      </c>
      <c r="D40" s="1"/>
      <c r="E40" t="s">
        <v>77</v>
      </c>
      <c r="F40" t="s">
        <v>209</v>
      </c>
      <c r="G40" t="s">
        <v>271</v>
      </c>
      <c r="H40" t="s">
        <v>272</v>
      </c>
      <c r="I40" t="s">
        <v>219</v>
      </c>
      <c r="J40" t="s">
        <v>220</v>
      </c>
    </row>
    <row r="41" spans="2:10" x14ac:dyDescent="0.25">
      <c r="B41" s="1" t="s">
        <v>199</v>
      </c>
      <c r="C41" s="5" t="s">
        <v>306</v>
      </c>
      <c r="D41" s="1"/>
      <c r="E41" t="s">
        <v>77</v>
      </c>
      <c r="F41" t="s">
        <v>209</v>
      </c>
      <c r="G41" t="s">
        <v>307</v>
      </c>
      <c r="H41" t="s">
        <v>308</v>
      </c>
      <c r="I41" t="s">
        <v>219</v>
      </c>
      <c r="J41" t="s">
        <v>220</v>
      </c>
    </row>
    <row r="42" spans="2:10" x14ac:dyDescent="0.25">
      <c r="B42" s="1" t="s">
        <v>199</v>
      </c>
      <c r="C42" s="5" t="s">
        <v>309</v>
      </c>
      <c r="D42" s="1"/>
      <c r="E42" t="s">
        <v>77</v>
      </c>
      <c r="F42" t="s">
        <v>209</v>
      </c>
      <c r="G42" t="s">
        <v>271</v>
      </c>
      <c r="H42" t="s">
        <v>310</v>
      </c>
      <c r="I42" t="s">
        <v>219</v>
      </c>
      <c r="J42" t="s">
        <v>220</v>
      </c>
    </row>
    <row r="43" spans="2:10" x14ac:dyDescent="0.25">
      <c r="B43" s="1" t="s">
        <v>199</v>
      </c>
      <c r="C43" s="5" t="s">
        <v>314</v>
      </c>
      <c r="D43" s="1"/>
      <c r="E43" t="s">
        <v>77</v>
      </c>
      <c r="F43" t="s">
        <v>209</v>
      </c>
      <c r="G43" t="s">
        <v>271</v>
      </c>
      <c r="H43" t="s">
        <v>272</v>
      </c>
      <c r="I43" t="s">
        <v>219</v>
      </c>
      <c r="J43" t="s">
        <v>220</v>
      </c>
    </row>
    <row r="44" spans="2:10" x14ac:dyDescent="0.25">
      <c r="B44" s="1" t="s">
        <v>199</v>
      </c>
      <c r="C44" s="5" t="s">
        <v>315</v>
      </c>
      <c r="D44" s="1"/>
      <c r="E44" t="s">
        <v>77</v>
      </c>
      <c r="F44" t="s">
        <v>209</v>
      </c>
      <c r="G44" t="s">
        <v>271</v>
      </c>
      <c r="H44" t="s">
        <v>272</v>
      </c>
      <c r="I44" t="s">
        <v>219</v>
      </c>
      <c r="J44" t="s">
        <v>220</v>
      </c>
    </row>
    <row r="45" spans="2:10" x14ac:dyDescent="0.25">
      <c r="B45" s="1" t="s">
        <v>199</v>
      </c>
      <c r="C45" s="5" t="s">
        <v>316</v>
      </c>
      <c r="D45" s="1"/>
      <c r="E45" t="s">
        <v>77</v>
      </c>
      <c r="F45" t="s">
        <v>209</v>
      </c>
      <c r="G45" t="s">
        <v>271</v>
      </c>
      <c r="H45" t="s">
        <v>272</v>
      </c>
      <c r="I45" t="s">
        <v>219</v>
      </c>
      <c r="J45" t="s">
        <v>220</v>
      </c>
    </row>
    <row r="46" spans="2:10" x14ac:dyDescent="0.25">
      <c r="B46" s="1" t="s">
        <v>199</v>
      </c>
      <c r="C46" s="5" t="s">
        <v>317</v>
      </c>
      <c r="D46" s="1"/>
      <c r="E46" t="s">
        <v>77</v>
      </c>
      <c r="F46" t="s">
        <v>209</v>
      </c>
      <c r="G46" t="s">
        <v>271</v>
      </c>
      <c r="H46" t="s">
        <v>318</v>
      </c>
      <c r="I46" t="s">
        <v>219</v>
      </c>
      <c r="J46" t="s">
        <v>220</v>
      </c>
    </row>
    <row r="47" spans="2:10" x14ac:dyDescent="0.25">
      <c r="B47" s="1" t="s">
        <v>199</v>
      </c>
      <c r="C47" s="5" t="s">
        <v>319</v>
      </c>
      <c r="D47" s="1"/>
      <c r="E47" t="s">
        <v>77</v>
      </c>
      <c r="F47" t="s">
        <v>320</v>
      </c>
      <c r="G47" t="s">
        <v>321</v>
      </c>
      <c r="H47" t="s">
        <v>322</v>
      </c>
      <c r="I47" t="s">
        <v>219</v>
      </c>
      <c r="J47" t="s">
        <v>220</v>
      </c>
    </row>
    <row r="48" spans="2:10" x14ac:dyDescent="0.25">
      <c r="B48" s="1" t="s">
        <v>199</v>
      </c>
      <c r="C48" s="5" t="s">
        <v>327</v>
      </c>
      <c r="D48" s="1"/>
      <c r="E48" t="s">
        <v>77</v>
      </c>
      <c r="F48" t="s">
        <v>209</v>
      </c>
      <c r="G48" t="s">
        <v>321</v>
      </c>
      <c r="H48" t="s">
        <v>328</v>
      </c>
      <c r="I48" t="s">
        <v>219</v>
      </c>
      <c r="J48" t="s">
        <v>220</v>
      </c>
    </row>
    <row r="49" spans="2:10" x14ac:dyDescent="0.25">
      <c r="B49" s="1" t="s">
        <v>199</v>
      </c>
      <c r="C49" s="5" t="s">
        <v>340</v>
      </c>
      <c r="D49" s="1"/>
      <c r="E49" t="s">
        <v>194</v>
      </c>
      <c r="F49" t="s">
        <v>209</v>
      </c>
      <c r="G49" t="s">
        <v>341</v>
      </c>
      <c r="H49" t="s">
        <v>342</v>
      </c>
      <c r="I49" t="s">
        <v>219</v>
      </c>
      <c r="J49" t="s">
        <v>220</v>
      </c>
    </row>
    <row r="50" spans="2:10" x14ac:dyDescent="0.25">
      <c r="B50" s="1" t="s">
        <v>199</v>
      </c>
      <c r="C50" s="5" t="s">
        <v>343</v>
      </c>
      <c r="D50" s="1"/>
      <c r="E50" t="s">
        <v>195</v>
      </c>
      <c r="F50" t="s">
        <v>209</v>
      </c>
      <c r="G50" t="s">
        <v>341</v>
      </c>
      <c r="H50" t="s">
        <v>342</v>
      </c>
      <c r="I50" t="s">
        <v>219</v>
      </c>
      <c r="J50" t="s">
        <v>220</v>
      </c>
    </row>
    <row r="51" spans="2:10" x14ac:dyDescent="0.25">
      <c r="B51" s="1" t="s">
        <v>358</v>
      </c>
      <c r="C51" s="5" t="s">
        <v>250</v>
      </c>
      <c r="D51" s="1"/>
      <c r="E51" t="s">
        <v>170</v>
      </c>
      <c r="F51" t="s">
        <v>251</v>
      </c>
      <c r="G51" t="s">
        <v>252</v>
      </c>
      <c r="H51" t="s">
        <v>253</v>
      </c>
      <c r="I51" t="s">
        <v>219</v>
      </c>
      <c r="J51" t="s">
        <v>220</v>
      </c>
    </row>
    <row r="52" spans="2:10" x14ac:dyDescent="0.25">
      <c r="B52" s="1" t="s">
        <v>348</v>
      </c>
      <c r="C52" s="5" t="s">
        <v>225</v>
      </c>
      <c r="D52" s="1"/>
      <c r="E52" t="s">
        <v>164</v>
      </c>
      <c r="F52" t="s">
        <v>222</v>
      </c>
      <c r="G52" t="s">
        <v>226</v>
      </c>
      <c r="H52" t="s">
        <v>227</v>
      </c>
      <c r="I52" t="s">
        <v>219</v>
      </c>
      <c r="J52" t="s">
        <v>220</v>
      </c>
    </row>
    <row r="53" spans="2:10" x14ac:dyDescent="0.25">
      <c r="B53" s="1" t="s">
        <v>348</v>
      </c>
      <c r="C53" s="5" t="s">
        <v>233</v>
      </c>
      <c r="D53" s="1"/>
      <c r="E53" t="s">
        <v>166</v>
      </c>
      <c r="F53" t="s">
        <v>209</v>
      </c>
      <c r="G53" t="s">
        <v>226</v>
      </c>
      <c r="H53" t="s">
        <v>227</v>
      </c>
      <c r="I53" t="s">
        <v>230</v>
      </c>
      <c r="J53" t="s">
        <v>220</v>
      </c>
    </row>
    <row r="54" spans="2:10" x14ac:dyDescent="0.25">
      <c r="B54" s="1" t="s">
        <v>348</v>
      </c>
      <c r="C54" s="5" t="s">
        <v>234</v>
      </c>
      <c r="D54" s="1"/>
      <c r="E54" t="s">
        <v>166</v>
      </c>
      <c r="F54" t="s">
        <v>209</v>
      </c>
      <c r="G54" t="s">
        <v>226</v>
      </c>
      <c r="H54" t="s">
        <v>227</v>
      </c>
      <c r="I54" t="s">
        <v>230</v>
      </c>
      <c r="J54" t="s">
        <v>220</v>
      </c>
    </row>
    <row r="55" spans="2:10" x14ac:dyDescent="0.25">
      <c r="B55" s="1" t="s">
        <v>348</v>
      </c>
      <c r="C55" s="5" t="s">
        <v>235</v>
      </c>
      <c r="D55" s="1"/>
      <c r="E55" t="s">
        <v>166</v>
      </c>
      <c r="F55" t="s">
        <v>209</v>
      </c>
      <c r="G55" t="s">
        <v>226</v>
      </c>
      <c r="H55" t="s">
        <v>227</v>
      </c>
      <c r="I55" t="s">
        <v>219</v>
      </c>
      <c r="J55" t="s">
        <v>220</v>
      </c>
    </row>
    <row r="56" spans="2:10" x14ac:dyDescent="0.25">
      <c r="B56" s="1" t="s">
        <v>347</v>
      </c>
      <c r="C56" s="5" t="s">
        <v>332</v>
      </c>
      <c r="D56" s="1"/>
      <c r="E56" t="s">
        <v>191</v>
      </c>
      <c r="F56" t="s">
        <v>209</v>
      </c>
      <c r="G56" t="s">
        <v>333</v>
      </c>
      <c r="H56" t="s">
        <v>334</v>
      </c>
      <c r="I56" t="s">
        <v>219</v>
      </c>
      <c r="J56" t="s">
        <v>220</v>
      </c>
    </row>
    <row r="57" spans="2:10" x14ac:dyDescent="0.25">
      <c r="B57" s="1" t="s">
        <v>347</v>
      </c>
      <c r="C57" s="5" t="s">
        <v>344</v>
      </c>
      <c r="D57" s="1"/>
      <c r="E57" t="s">
        <v>196</v>
      </c>
      <c r="F57" t="s">
        <v>209</v>
      </c>
      <c r="G57" t="s">
        <v>345</v>
      </c>
      <c r="H57" t="s">
        <v>346</v>
      </c>
      <c r="I57" t="s">
        <v>219</v>
      </c>
      <c r="J57" t="s">
        <v>220</v>
      </c>
    </row>
    <row r="58" spans="2:10" x14ac:dyDescent="0.25">
      <c r="B58" s="1" t="s">
        <v>356</v>
      </c>
      <c r="C58" s="5" t="s">
        <v>261</v>
      </c>
      <c r="D58" s="1"/>
      <c r="E58" t="s">
        <v>174</v>
      </c>
      <c r="F58" t="s">
        <v>209</v>
      </c>
      <c r="G58" t="s">
        <v>262</v>
      </c>
      <c r="H58" t="s">
        <v>263</v>
      </c>
      <c r="I58" t="s">
        <v>219</v>
      </c>
      <c r="J58" t="s">
        <v>220</v>
      </c>
    </row>
    <row r="59" spans="2:10" x14ac:dyDescent="0.25">
      <c r="B59" s="1" t="s">
        <v>360</v>
      </c>
      <c r="C59" s="5" t="s">
        <v>236</v>
      </c>
      <c r="D59" s="1"/>
      <c r="E59" t="s">
        <v>167</v>
      </c>
      <c r="F59" t="s">
        <v>209</v>
      </c>
      <c r="G59" t="s">
        <v>211</v>
      </c>
      <c r="H59" t="s">
        <v>237</v>
      </c>
      <c r="I59" t="s">
        <v>219</v>
      </c>
      <c r="J59" t="s">
        <v>220</v>
      </c>
    </row>
    <row r="60" spans="2:10" x14ac:dyDescent="0.25">
      <c r="B60" s="1" t="s">
        <v>360</v>
      </c>
      <c r="C60" s="5" t="s">
        <v>305</v>
      </c>
      <c r="D60" s="1"/>
      <c r="E60" t="s">
        <v>184</v>
      </c>
      <c r="F60" t="s">
        <v>184</v>
      </c>
      <c r="G60" t="s">
        <v>209</v>
      </c>
      <c r="H60" t="s">
        <v>209</v>
      </c>
      <c r="I60" t="s">
        <v>219</v>
      </c>
      <c r="J60" t="s">
        <v>220</v>
      </c>
    </row>
    <row r="61" spans="2:10" x14ac:dyDescent="0.25">
      <c r="B61" s="1" t="s">
        <v>360</v>
      </c>
      <c r="C61" s="5" t="s">
        <v>305</v>
      </c>
      <c r="D61" s="1"/>
      <c r="E61" t="s">
        <v>185</v>
      </c>
      <c r="F61" t="s">
        <v>185</v>
      </c>
      <c r="G61" t="s">
        <v>209</v>
      </c>
      <c r="H61" t="s">
        <v>209</v>
      </c>
      <c r="I61" t="s">
        <v>219</v>
      </c>
      <c r="J61" t="s">
        <v>220</v>
      </c>
    </row>
    <row r="62" spans="2:10" x14ac:dyDescent="0.25">
      <c r="B62" s="1" t="s">
        <v>360</v>
      </c>
      <c r="C62" s="5" t="s">
        <v>305</v>
      </c>
      <c r="D62" s="1"/>
      <c r="E62" t="s">
        <v>186</v>
      </c>
      <c r="F62" t="s">
        <v>186</v>
      </c>
      <c r="G62" t="s">
        <v>209</v>
      </c>
      <c r="H62" t="s">
        <v>209</v>
      </c>
      <c r="I62" t="s">
        <v>219</v>
      </c>
      <c r="J62" t="s">
        <v>220</v>
      </c>
    </row>
  </sheetData>
  <sortState ref="B3:I62">
    <sortCondition ref="B3:B62"/>
  </sortState>
  <pageMargins left="0.7" right="0.7" top="0.75" bottom="0.75" header="0.3" footer="0.3"/>
  <ignoredErrors>
    <ignoredError sqref="C3:C9 C10:C6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72"/>
  <sheetViews>
    <sheetView topLeftCell="A61" workbookViewId="0">
      <selection activeCell="B67" sqref="B67"/>
    </sheetView>
  </sheetViews>
  <sheetFormatPr defaultRowHeight="15" x14ac:dyDescent="0.25"/>
  <sheetData>
    <row r="2" spans="2:2" x14ac:dyDescent="0.25">
      <c r="B2" t="s">
        <v>1</v>
      </c>
    </row>
    <row r="3" spans="2:2" x14ac:dyDescent="0.25">
      <c r="B3" t="s">
        <v>2</v>
      </c>
    </row>
    <row r="4" spans="2:2" x14ac:dyDescent="0.25">
      <c r="B4" t="s">
        <v>3</v>
      </c>
    </row>
    <row r="5" spans="2:2" x14ac:dyDescent="0.25">
      <c r="B5" t="s">
        <v>4</v>
      </c>
    </row>
    <row r="6" spans="2:2" x14ac:dyDescent="0.25">
      <c r="B6" t="s">
        <v>5</v>
      </c>
    </row>
    <row r="7" spans="2:2" x14ac:dyDescent="0.25">
      <c r="B7" t="s">
        <v>6</v>
      </c>
    </row>
    <row r="8" spans="2:2" x14ac:dyDescent="0.25">
      <c r="B8" t="s">
        <v>7</v>
      </c>
    </row>
    <row r="9" spans="2:2" x14ac:dyDescent="0.25">
      <c r="B9" t="s">
        <v>8</v>
      </c>
    </row>
    <row r="10" spans="2:2" x14ac:dyDescent="0.25">
      <c r="B10" t="s">
        <v>9</v>
      </c>
    </row>
    <row r="11" spans="2:2" x14ac:dyDescent="0.25">
      <c r="B11" t="s">
        <v>10</v>
      </c>
    </row>
    <row r="12" spans="2:2" x14ac:dyDescent="0.25">
      <c r="B12" t="s">
        <v>11</v>
      </c>
    </row>
    <row r="13" spans="2:2" x14ac:dyDescent="0.25">
      <c r="B13" t="s">
        <v>12</v>
      </c>
    </row>
    <row r="14" spans="2:2" x14ac:dyDescent="0.25">
      <c r="B14" t="s">
        <v>13</v>
      </c>
    </row>
    <row r="15" spans="2:2" x14ac:dyDescent="0.25">
      <c r="B15" t="s">
        <v>14</v>
      </c>
    </row>
    <row r="16" spans="2:2" x14ac:dyDescent="0.25">
      <c r="B16" t="s">
        <v>15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18</v>
      </c>
    </row>
    <row r="20" spans="2:2" x14ac:dyDescent="0.25">
      <c r="B20" t="s">
        <v>19</v>
      </c>
    </row>
    <row r="21" spans="2:2" x14ac:dyDescent="0.25">
      <c r="B21" t="s">
        <v>20</v>
      </c>
    </row>
    <row r="22" spans="2:2" x14ac:dyDescent="0.25">
      <c r="B22" t="s">
        <v>21</v>
      </c>
    </row>
    <row r="23" spans="2:2" x14ac:dyDescent="0.25">
      <c r="B23" t="s">
        <v>22</v>
      </c>
    </row>
    <row r="24" spans="2:2" x14ac:dyDescent="0.25">
      <c r="B24" t="s">
        <v>23</v>
      </c>
    </row>
    <row r="25" spans="2:2" x14ac:dyDescent="0.25">
      <c r="B25" t="s">
        <v>24</v>
      </c>
    </row>
    <row r="26" spans="2:2" x14ac:dyDescent="0.25">
      <c r="B26" t="s">
        <v>25</v>
      </c>
    </row>
    <row r="27" spans="2:2" x14ac:dyDescent="0.25">
      <c r="B27" t="s">
        <v>26</v>
      </c>
    </row>
    <row r="28" spans="2:2" x14ac:dyDescent="0.25">
      <c r="B28" t="s">
        <v>27</v>
      </c>
    </row>
    <row r="29" spans="2:2" x14ac:dyDescent="0.25">
      <c r="B29" t="s">
        <v>28</v>
      </c>
    </row>
    <row r="30" spans="2:2" x14ac:dyDescent="0.25">
      <c r="B30" t="s">
        <v>29</v>
      </c>
    </row>
    <row r="31" spans="2:2" x14ac:dyDescent="0.25">
      <c r="B31" t="s">
        <v>30</v>
      </c>
    </row>
    <row r="32" spans="2:2" x14ac:dyDescent="0.25">
      <c r="B32" t="s">
        <v>31</v>
      </c>
    </row>
    <row r="33" spans="2:2" x14ac:dyDescent="0.25">
      <c r="B33" t="s">
        <v>32</v>
      </c>
    </row>
    <row r="34" spans="2:2" x14ac:dyDescent="0.25">
      <c r="B34" t="s">
        <v>33</v>
      </c>
    </row>
    <row r="35" spans="2:2" x14ac:dyDescent="0.25">
      <c r="B35" t="s">
        <v>34</v>
      </c>
    </row>
    <row r="36" spans="2:2" x14ac:dyDescent="0.25">
      <c r="B36" t="s">
        <v>35</v>
      </c>
    </row>
    <row r="37" spans="2:2" x14ac:dyDescent="0.25">
      <c r="B37" t="s">
        <v>36</v>
      </c>
    </row>
    <row r="38" spans="2:2" x14ac:dyDescent="0.25">
      <c r="B38" t="s">
        <v>37</v>
      </c>
    </row>
    <row r="39" spans="2:2" x14ac:dyDescent="0.25">
      <c r="B39" t="s">
        <v>38</v>
      </c>
    </row>
    <row r="40" spans="2:2" x14ac:dyDescent="0.25">
      <c r="B40" t="s">
        <v>39</v>
      </c>
    </row>
    <row r="41" spans="2:2" x14ac:dyDescent="0.25">
      <c r="B41" t="s">
        <v>40</v>
      </c>
    </row>
    <row r="42" spans="2:2" x14ac:dyDescent="0.25">
      <c r="B42" t="s">
        <v>41</v>
      </c>
    </row>
    <row r="43" spans="2:2" x14ac:dyDescent="0.25">
      <c r="B43" t="s">
        <v>42</v>
      </c>
    </row>
    <row r="44" spans="2:2" x14ac:dyDescent="0.25">
      <c r="B44" t="s">
        <v>43</v>
      </c>
    </row>
    <row r="45" spans="2:2" x14ac:dyDescent="0.25">
      <c r="B45" t="s">
        <v>44</v>
      </c>
    </row>
    <row r="46" spans="2:2" x14ac:dyDescent="0.25">
      <c r="B46" t="s">
        <v>45</v>
      </c>
    </row>
    <row r="47" spans="2:2" x14ac:dyDescent="0.25">
      <c r="B47" t="s">
        <v>46</v>
      </c>
    </row>
    <row r="48" spans="2:2" x14ac:dyDescent="0.25">
      <c r="B48" t="s">
        <v>47</v>
      </c>
    </row>
    <row r="49" spans="2:2" x14ac:dyDescent="0.25">
      <c r="B49" t="s">
        <v>48</v>
      </c>
    </row>
    <row r="50" spans="2:2" x14ac:dyDescent="0.25">
      <c r="B50" t="s">
        <v>49</v>
      </c>
    </row>
    <row r="51" spans="2:2" x14ac:dyDescent="0.25">
      <c r="B51" t="s">
        <v>50</v>
      </c>
    </row>
    <row r="52" spans="2:2" x14ac:dyDescent="0.25">
      <c r="B52" t="s">
        <v>51</v>
      </c>
    </row>
    <row r="53" spans="2:2" x14ac:dyDescent="0.25">
      <c r="B53" t="s">
        <v>52</v>
      </c>
    </row>
    <row r="54" spans="2:2" x14ac:dyDescent="0.25">
      <c r="B54" t="s">
        <v>53</v>
      </c>
    </row>
    <row r="55" spans="2:2" x14ac:dyDescent="0.25">
      <c r="B55" t="s">
        <v>54</v>
      </c>
    </row>
    <row r="56" spans="2:2" x14ac:dyDescent="0.25">
      <c r="B56" t="s">
        <v>55</v>
      </c>
    </row>
    <row r="57" spans="2:2" x14ac:dyDescent="0.25">
      <c r="B57" t="s">
        <v>56</v>
      </c>
    </row>
    <row r="58" spans="2:2" x14ac:dyDescent="0.25">
      <c r="B58" t="s">
        <v>57</v>
      </c>
    </row>
    <row r="59" spans="2:2" x14ac:dyDescent="0.25">
      <c r="B59" t="s">
        <v>58</v>
      </c>
    </row>
    <row r="60" spans="2:2" x14ac:dyDescent="0.25">
      <c r="B60" t="s">
        <v>59</v>
      </c>
    </row>
    <row r="61" spans="2:2" x14ac:dyDescent="0.25">
      <c r="B61" t="s">
        <v>60</v>
      </c>
    </row>
    <row r="62" spans="2:2" x14ac:dyDescent="0.25">
      <c r="B62" t="s">
        <v>61</v>
      </c>
    </row>
    <row r="63" spans="2:2" x14ac:dyDescent="0.25">
      <c r="B63" t="s">
        <v>62</v>
      </c>
    </row>
    <row r="64" spans="2:2" x14ac:dyDescent="0.25">
      <c r="B64" t="s">
        <v>63</v>
      </c>
    </row>
    <row r="65" spans="2:2" x14ac:dyDescent="0.25">
      <c r="B65" t="s">
        <v>64</v>
      </c>
    </row>
    <row r="66" spans="2:2" x14ac:dyDescent="0.25">
      <c r="B66" t="s">
        <v>65</v>
      </c>
    </row>
    <row r="67" spans="2:2" x14ac:dyDescent="0.25">
      <c r="B67" t="s">
        <v>66</v>
      </c>
    </row>
    <row r="68" spans="2:2" x14ac:dyDescent="0.25">
      <c r="B68" t="s">
        <v>67</v>
      </c>
    </row>
    <row r="69" spans="2:2" x14ac:dyDescent="0.25">
      <c r="B69" t="s">
        <v>68</v>
      </c>
    </row>
    <row r="70" spans="2:2" x14ac:dyDescent="0.25">
      <c r="B70" t="s">
        <v>69</v>
      </c>
    </row>
    <row r="71" spans="2:2" x14ac:dyDescent="0.25">
      <c r="B71" t="s">
        <v>70</v>
      </c>
    </row>
    <row r="72" spans="2:2" x14ac:dyDescent="0.25">
      <c r="B72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2025-12-31T22:18:21Z</dcterms:modified>
</cp:coreProperties>
</file>