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 activeTab="1"/>
  </bookViews>
  <sheets>
    <sheet name="RAW - HP" sheetId="2" r:id="rId1"/>
    <sheet name="SEED" sheetId="4" r:id="rId2"/>
    <sheet name="DataLookUp" sheetId="5" r:id="rId3"/>
    <sheet name="REF - EmailAccountType" sheetId="3" r:id="rId4"/>
    <sheet name="Sheet1" sheetId="1" r:id="rId5"/>
  </sheets>
  <externalReferences>
    <externalReference r:id="rId6"/>
    <externalReference r:id="rId7"/>
  </externalReferences>
  <calcPr calcId="152511"/>
</workbook>
</file>

<file path=xl/calcChain.xml><?xml version="1.0" encoding="utf-8"?>
<calcChain xmlns="http://schemas.openxmlformats.org/spreadsheetml/2006/main">
  <c r="J6" i="4" l="1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5" i="4"/>
  <c r="J4" i="4"/>
  <c r="B201" i="5" l="1"/>
  <c r="B202" i="5"/>
  <c r="B205" i="5"/>
  <c r="B208" i="5"/>
  <c r="B217" i="5"/>
  <c r="B226" i="5"/>
  <c r="B227" i="5"/>
  <c r="B230" i="5"/>
  <c r="B231" i="5"/>
  <c r="B232" i="5"/>
  <c r="B233" i="5"/>
  <c r="B234" i="5"/>
  <c r="B235" i="5"/>
  <c r="B236" i="5"/>
  <c r="B242" i="5"/>
  <c r="B250" i="5"/>
  <c r="B251" i="5"/>
  <c r="B252" i="5"/>
  <c r="B253" i="5"/>
  <c r="B257" i="5"/>
  <c r="B258" i="5"/>
  <c r="B259" i="5"/>
  <c r="B260" i="5"/>
  <c r="B263" i="5"/>
  <c r="B266" i="5"/>
  <c r="B269" i="5"/>
  <c r="B270" i="5"/>
  <c r="B273" i="5"/>
  <c r="B279" i="5"/>
  <c r="B280" i="5"/>
  <c r="B281" i="5"/>
  <c r="B284" i="5"/>
  <c r="B285" i="5"/>
  <c r="B290" i="5"/>
  <c r="B291" i="5"/>
  <c r="B308" i="5"/>
  <c r="B309" i="5"/>
  <c r="B310" i="5"/>
  <c r="B311" i="5"/>
  <c r="B312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C308" i="5"/>
  <c r="C309" i="5"/>
  <c r="C310" i="5"/>
  <c r="C311" i="5"/>
  <c r="C312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266" i="5"/>
  <c r="C269" i="5"/>
  <c r="C270" i="5"/>
  <c r="C273" i="5"/>
  <c r="C279" i="5"/>
  <c r="C280" i="5"/>
  <c r="C281" i="5"/>
  <c r="C284" i="5"/>
  <c r="C285" i="5"/>
  <c r="C290" i="5"/>
  <c r="C291" i="5"/>
  <c r="C201" i="5"/>
  <c r="C202" i="5"/>
  <c r="C205" i="5"/>
  <c r="C208" i="5"/>
  <c r="C217" i="5"/>
  <c r="C226" i="5"/>
  <c r="C227" i="5"/>
  <c r="C230" i="5"/>
  <c r="C231" i="5"/>
  <c r="C232" i="5"/>
  <c r="C233" i="5"/>
  <c r="C234" i="5"/>
  <c r="C235" i="5"/>
  <c r="C236" i="5"/>
  <c r="C242" i="5"/>
  <c r="C250" i="5"/>
  <c r="C251" i="5"/>
  <c r="C252" i="5"/>
  <c r="C253" i="5"/>
  <c r="C257" i="5"/>
  <c r="C258" i="5"/>
  <c r="C259" i="5"/>
  <c r="C260" i="5"/>
  <c r="C263" i="5"/>
  <c r="I4" i="4" l="1"/>
  <c r="C70" i="4"/>
  <c r="C68" i="4"/>
  <c r="C67" i="4"/>
  <c r="C66" i="4"/>
  <c r="C63" i="4"/>
  <c r="C61" i="4"/>
  <c r="C58" i="4"/>
  <c r="C53" i="4"/>
  <c r="C44" i="4"/>
  <c r="C38" i="4"/>
  <c r="C37" i="4"/>
  <c r="C35" i="4"/>
  <c r="C34" i="4"/>
  <c r="C33" i="4"/>
  <c r="C32" i="4"/>
  <c r="C30" i="4"/>
  <c r="C29" i="4"/>
  <c r="C14" i="4"/>
  <c r="C13" i="4"/>
  <c r="C12" i="4"/>
  <c r="C9" i="4"/>
  <c r="C8" i="4"/>
  <c r="C7" i="4"/>
  <c r="C5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42" i="4"/>
  <c r="B4" i="5" l="1"/>
  <c r="I5" i="4"/>
  <c r="B5" i="5"/>
  <c r="I6" i="4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I34" i="4" s="1"/>
  <c r="I35" i="4" s="1"/>
  <c r="I36" i="4" s="1"/>
  <c r="I37" i="4" s="1"/>
  <c r="I38" i="4" s="1"/>
  <c r="I39" i="4" s="1"/>
  <c r="I40" i="4" s="1"/>
  <c r="I41" i="4" s="1"/>
  <c r="I42" i="4" s="1"/>
  <c r="I43" i="4" s="1"/>
  <c r="I44" i="4" s="1"/>
  <c r="I45" i="4" s="1"/>
  <c r="I46" i="4" s="1"/>
  <c r="I47" i="4" s="1"/>
  <c r="I48" i="4" s="1"/>
  <c r="I49" i="4" s="1"/>
  <c r="I50" i="4" s="1"/>
  <c r="I51" i="4" s="1"/>
  <c r="I52" i="4" s="1"/>
  <c r="I53" i="4" s="1"/>
  <c r="I54" i="4" s="1"/>
  <c r="I55" i="4" s="1"/>
  <c r="I56" i="4" s="1"/>
  <c r="I57" i="4" s="1"/>
  <c r="I58" i="4" s="1"/>
  <c r="I59" i="4" s="1"/>
  <c r="I60" i="4" s="1"/>
  <c r="I61" i="4" s="1"/>
  <c r="I62" i="4" s="1"/>
  <c r="I63" i="4" s="1"/>
  <c r="I64" i="4" s="1"/>
  <c r="I65" i="4" s="1"/>
  <c r="I66" i="4" s="1"/>
  <c r="I67" i="4" s="1"/>
  <c r="I68" i="4" s="1"/>
  <c r="I69" i="4" s="1"/>
  <c r="I70" i="4" s="1"/>
  <c r="I71" i="4" s="1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9" i="4"/>
  <c r="E8" i="4"/>
  <c r="E7" i="4"/>
  <c r="E6" i="4"/>
  <c r="E5" i="4"/>
  <c r="C5" i="5" s="1"/>
  <c r="E4" i="4"/>
  <c r="B6" i="5" l="1"/>
  <c r="B7" i="5" l="1"/>
  <c r="C7" i="5" s="1"/>
  <c r="B8" i="5" l="1"/>
  <c r="C8" i="5" s="1"/>
  <c r="C55" i="4"/>
  <c r="B9" i="5" l="1"/>
  <c r="C9" i="5" s="1"/>
  <c r="B10" i="5" l="1"/>
  <c r="C71" i="4"/>
  <c r="C69" i="4"/>
  <c r="C65" i="4"/>
  <c r="C64" i="4"/>
  <c r="C60" i="4"/>
  <c r="C59" i="4"/>
  <c r="C57" i="4"/>
  <c r="C56" i="4"/>
  <c r="C54" i="4"/>
  <c r="C50" i="4"/>
  <c r="C49" i="4"/>
  <c r="C48" i="4"/>
  <c r="C47" i="4"/>
  <c r="C46" i="4"/>
  <c r="C45" i="4"/>
  <c r="C43" i="4"/>
  <c r="C42" i="4"/>
  <c r="C41" i="4"/>
  <c r="C40" i="4"/>
  <c r="C39" i="4"/>
  <c r="C36" i="4"/>
  <c r="C31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1" i="4"/>
  <c r="C10" i="4"/>
  <c r="C10" i="5" s="1"/>
  <c r="C6" i="4"/>
  <c r="C6" i="5" s="1"/>
  <c r="C4" i="4"/>
  <c r="C4" i="5" s="1"/>
  <c r="C62" i="4"/>
  <c r="C52" i="4"/>
  <c r="C51" i="4"/>
  <c r="B11" i="5" l="1"/>
  <c r="C11" i="5" s="1"/>
  <c r="B12" i="5" l="1"/>
  <c r="C12" i="5" s="1"/>
  <c r="B13" i="5" l="1"/>
  <c r="C13" i="5" s="1"/>
  <c r="B14" i="5" l="1"/>
  <c r="C14" i="5" s="1"/>
  <c r="B15" i="5" l="1"/>
  <c r="C15" i="5" s="1"/>
  <c r="B16" i="5" l="1"/>
  <c r="C16" i="5" s="1"/>
  <c r="B17" i="5" l="1"/>
  <c r="C17" i="5" s="1"/>
  <c r="B18" i="5" l="1"/>
  <c r="C18" i="5" s="1"/>
  <c r="B19" i="5" l="1"/>
  <c r="C19" i="5" s="1"/>
  <c r="B20" i="5" l="1"/>
  <c r="C20" i="5" s="1"/>
  <c r="B21" i="5" l="1"/>
  <c r="C21" i="5" s="1"/>
  <c r="B22" i="5" l="1"/>
  <c r="C22" i="5" s="1"/>
  <c r="B23" i="5" l="1"/>
  <c r="C23" i="5" s="1"/>
  <c r="B24" i="5" l="1"/>
  <c r="C24" i="5" s="1"/>
  <c r="B25" i="5" l="1"/>
  <c r="C25" i="5" s="1"/>
  <c r="B26" i="5" l="1"/>
  <c r="C26" i="5" s="1"/>
  <c r="B27" i="5" l="1"/>
  <c r="C27" i="5" s="1"/>
  <c r="B28" i="5" l="1"/>
  <c r="C28" i="5" s="1"/>
  <c r="B29" i="5" l="1"/>
  <c r="C29" i="5" s="1"/>
  <c r="B30" i="5" l="1"/>
  <c r="C30" i="5" s="1"/>
  <c r="B31" i="5" l="1"/>
  <c r="C31" i="5" s="1"/>
  <c r="B32" i="5" l="1"/>
  <c r="C32" i="5" s="1"/>
  <c r="B33" i="5" l="1"/>
  <c r="C33" i="5" s="1"/>
  <c r="B34" i="5" l="1"/>
  <c r="C34" i="5" s="1"/>
  <c r="B35" i="5" l="1"/>
  <c r="C35" i="5" s="1"/>
  <c r="B36" i="5" l="1"/>
  <c r="C36" i="5" s="1"/>
  <c r="B37" i="5" l="1"/>
  <c r="C37" i="5" s="1"/>
  <c r="B38" i="5" l="1"/>
  <c r="C38" i="5" s="1"/>
  <c r="B39" i="5" l="1"/>
  <c r="C39" i="5" s="1"/>
  <c r="B40" i="5" l="1"/>
  <c r="C40" i="5" s="1"/>
  <c r="B41" i="5" l="1"/>
  <c r="C41" i="5" s="1"/>
  <c r="B42" i="5" l="1"/>
  <c r="C42" i="5" s="1"/>
  <c r="B43" i="5" l="1"/>
  <c r="C43" i="5" s="1"/>
  <c r="B44" i="5" l="1"/>
  <c r="C44" i="5" s="1"/>
  <c r="B45" i="5" l="1"/>
  <c r="C45" i="5" s="1"/>
  <c r="B46" i="5" l="1"/>
  <c r="C46" i="5" s="1"/>
  <c r="B47" i="5" l="1"/>
  <c r="C47" i="5" s="1"/>
  <c r="B48" i="5" l="1"/>
  <c r="C48" i="5" s="1"/>
  <c r="B49" i="5" l="1"/>
  <c r="C49" i="5" s="1"/>
  <c r="B50" i="5" l="1"/>
  <c r="C50" i="5" s="1"/>
  <c r="B51" i="5" l="1"/>
  <c r="C51" i="5" s="1"/>
  <c r="B52" i="5" l="1"/>
  <c r="C52" i="5" s="1"/>
  <c r="B53" i="5" l="1"/>
  <c r="C53" i="5" s="1"/>
  <c r="B54" i="5" l="1"/>
  <c r="C54" i="5" s="1"/>
  <c r="B55" i="5" l="1"/>
  <c r="C55" i="5" s="1"/>
  <c r="B56" i="5" l="1"/>
  <c r="C56" i="5" s="1"/>
  <c r="B57" i="5" l="1"/>
  <c r="C57" i="5" s="1"/>
  <c r="B58" i="5" l="1"/>
  <c r="C58" i="5" s="1"/>
  <c r="B59" i="5" l="1"/>
  <c r="C59" i="5" s="1"/>
  <c r="B60" i="5" l="1"/>
  <c r="C60" i="5" s="1"/>
  <c r="B61" i="5" l="1"/>
  <c r="C61" i="5" s="1"/>
  <c r="B62" i="5" l="1"/>
  <c r="C62" i="5" s="1"/>
  <c r="B63" i="5" l="1"/>
  <c r="C63" i="5" s="1"/>
  <c r="B64" i="5" l="1"/>
  <c r="C64" i="5" s="1"/>
  <c r="B65" i="5" l="1"/>
  <c r="C65" i="5" s="1"/>
  <c r="B66" i="5" l="1"/>
  <c r="C66" i="5" s="1"/>
  <c r="B67" i="5" l="1"/>
  <c r="C67" i="5" s="1"/>
  <c r="B68" i="5" l="1"/>
  <c r="C68" i="5" s="1"/>
  <c r="B69" i="5" l="1"/>
  <c r="C69" i="5" s="1"/>
  <c r="B70" i="5" l="1"/>
  <c r="C70" i="5" s="1"/>
  <c r="B71" i="5" l="1"/>
  <c r="C71" i="5" s="1"/>
  <c r="B72" i="5" l="1"/>
  <c r="C72" i="5" s="1"/>
  <c r="B73" i="5" l="1"/>
  <c r="C73" i="5" s="1"/>
  <c r="B74" i="5" l="1"/>
  <c r="C74" i="5" s="1"/>
  <c r="B75" i="5" l="1"/>
  <c r="C75" i="5" s="1"/>
  <c r="B76" i="5" l="1"/>
  <c r="C76" i="5" s="1"/>
  <c r="B77" i="5" l="1"/>
  <c r="C77" i="5" s="1"/>
  <c r="B78" i="5" l="1"/>
  <c r="C78" i="5" s="1"/>
  <c r="B79" i="5" l="1"/>
  <c r="C79" i="5" s="1"/>
  <c r="B80" i="5" l="1"/>
  <c r="C80" i="5" s="1"/>
  <c r="B81" i="5" l="1"/>
  <c r="C81" i="5" s="1"/>
  <c r="B82" i="5" l="1"/>
  <c r="C82" i="5" s="1"/>
  <c r="B83" i="5" l="1"/>
  <c r="C83" i="5" s="1"/>
  <c r="B84" i="5" l="1"/>
  <c r="C84" i="5" s="1"/>
  <c r="B85" i="5" l="1"/>
  <c r="C85" i="5" s="1"/>
  <c r="B86" i="5" l="1"/>
  <c r="C86" i="5" s="1"/>
  <c r="B87" i="5" l="1"/>
  <c r="C87" i="5" s="1"/>
  <c r="B88" i="5" l="1"/>
  <c r="C88" i="5" s="1"/>
  <c r="B89" i="5" l="1"/>
  <c r="C89" i="5" s="1"/>
  <c r="B90" i="5" l="1"/>
  <c r="C90" i="5" s="1"/>
  <c r="B91" i="5" l="1"/>
  <c r="C91" i="5" s="1"/>
  <c r="B92" i="5" l="1"/>
  <c r="C92" i="5" s="1"/>
  <c r="B93" i="5" l="1"/>
  <c r="C93" i="5" s="1"/>
  <c r="B94" i="5" l="1"/>
  <c r="C94" i="5" s="1"/>
  <c r="B95" i="5" l="1"/>
  <c r="C95" i="5" s="1"/>
  <c r="B96" i="5" l="1"/>
  <c r="C96" i="5" s="1"/>
  <c r="B97" i="5" l="1"/>
  <c r="C97" i="5" s="1"/>
  <c r="B98" i="5" l="1"/>
  <c r="C98" i="5" s="1"/>
  <c r="B99" i="5" l="1"/>
  <c r="C99" i="5" s="1"/>
  <c r="B100" i="5" l="1"/>
  <c r="C100" i="5" s="1"/>
  <c r="B101" i="5" l="1"/>
  <c r="C101" i="5" s="1"/>
  <c r="B102" i="5" l="1"/>
  <c r="C102" i="5" s="1"/>
  <c r="B103" i="5" l="1"/>
  <c r="C103" i="5" s="1"/>
  <c r="B104" i="5" l="1"/>
  <c r="C104" i="5" s="1"/>
  <c r="B105" i="5" l="1"/>
  <c r="C105" i="5" s="1"/>
  <c r="B106" i="5" l="1"/>
  <c r="C106" i="5" s="1"/>
  <c r="B107" i="5" l="1"/>
  <c r="C107" i="5" s="1"/>
  <c r="B108" i="5" l="1"/>
  <c r="C108" i="5" s="1"/>
  <c r="B109" i="5" l="1"/>
  <c r="C109" i="5" s="1"/>
  <c r="B110" i="5" l="1"/>
  <c r="C110" i="5" s="1"/>
  <c r="B111" i="5" l="1"/>
  <c r="C111" i="5" s="1"/>
  <c r="B112" i="5" l="1"/>
  <c r="C112" i="5" s="1"/>
  <c r="B113" i="5" l="1"/>
  <c r="C113" i="5" s="1"/>
  <c r="B114" i="5" l="1"/>
  <c r="C114" i="5" s="1"/>
  <c r="B115" i="5" l="1"/>
  <c r="C115" i="5" s="1"/>
  <c r="B116" i="5" l="1"/>
  <c r="C116" i="5" s="1"/>
  <c r="B117" i="5" l="1"/>
  <c r="C117" i="5" s="1"/>
  <c r="B118" i="5" l="1"/>
  <c r="C118" i="5" s="1"/>
  <c r="B119" i="5" l="1"/>
  <c r="C119" i="5" s="1"/>
  <c r="B120" i="5" l="1"/>
  <c r="C120" i="5" s="1"/>
  <c r="B121" i="5" l="1"/>
  <c r="C121" i="5" s="1"/>
  <c r="B122" i="5" l="1"/>
  <c r="C122" i="5" s="1"/>
  <c r="B123" i="5" l="1"/>
  <c r="C123" i="5" s="1"/>
  <c r="B124" i="5" l="1"/>
  <c r="C124" i="5" s="1"/>
  <c r="B125" i="5" l="1"/>
  <c r="C125" i="5" s="1"/>
  <c r="B126" i="5" l="1"/>
  <c r="C126" i="5" s="1"/>
  <c r="B127" i="5" l="1"/>
  <c r="C127" i="5" s="1"/>
  <c r="B128" i="5" l="1"/>
  <c r="C128" i="5" s="1"/>
  <c r="B129" i="5" l="1"/>
  <c r="C129" i="5" s="1"/>
  <c r="B130" i="5" l="1"/>
  <c r="C130" i="5" s="1"/>
  <c r="B131" i="5" l="1"/>
  <c r="C131" i="5" s="1"/>
  <c r="B132" i="5" l="1"/>
  <c r="C132" i="5" s="1"/>
  <c r="B133" i="5" l="1"/>
  <c r="C133" i="5" s="1"/>
  <c r="B134" i="5" l="1"/>
  <c r="C134" i="5" s="1"/>
  <c r="B135" i="5" l="1"/>
  <c r="C135" i="5" s="1"/>
  <c r="B136" i="5" l="1"/>
  <c r="C136" i="5" s="1"/>
  <c r="B137" i="5" l="1"/>
  <c r="C137" i="5" s="1"/>
  <c r="B138" i="5" l="1"/>
  <c r="C138" i="5" s="1"/>
  <c r="B139" i="5" l="1"/>
  <c r="C139" i="5" s="1"/>
  <c r="B140" i="5" l="1"/>
  <c r="C140" i="5" s="1"/>
  <c r="B141" i="5" l="1"/>
  <c r="C141" i="5" s="1"/>
  <c r="B142" i="5" l="1"/>
  <c r="C142" i="5" s="1"/>
  <c r="B143" i="5" l="1"/>
  <c r="C143" i="5" s="1"/>
  <c r="B144" i="5" l="1"/>
  <c r="C144" i="5" s="1"/>
  <c r="B145" i="5" l="1"/>
  <c r="C145" i="5" s="1"/>
  <c r="B146" i="5" l="1"/>
  <c r="C146" i="5" s="1"/>
  <c r="B147" i="5" l="1"/>
  <c r="C147" i="5" s="1"/>
  <c r="B148" i="5" l="1"/>
  <c r="C148" i="5" s="1"/>
  <c r="B149" i="5" l="1"/>
  <c r="C149" i="5" s="1"/>
  <c r="B150" i="5" l="1"/>
  <c r="C150" i="5" s="1"/>
  <c r="B151" i="5" l="1"/>
  <c r="C151" i="5" s="1"/>
  <c r="B152" i="5" l="1"/>
  <c r="C152" i="5" s="1"/>
  <c r="B153" i="5" l="1"/>
  <c r="C153" i="5" s="1"/>
  <c r="B154" i="5" l="1"/>
  <c r="C154" i="5" s="1"/>
  <c r="B155" i="5" l="1"/>
  <c r="C155" i="5" s="1"/>
  <c r="B156" i="5" l="1"/>
  <c r="C156" i="5" s="1"/>
  <c r="B157" i="5" l="1"/>
  <c r="C157" i="5" s="1"/>
  <c r="B158" i="5" l="1"/>
  <c r="C158" i="5" s="1"/>
  <c r="B159" i="5" l="1"/>
  <c r="C159" i="5" s="1"/>
  <c r="B160" i="5" l="1"/>
  <c r="C160" i="5" s="1"/>
  <c r="B161" i="5" l="1"/>
  <c r="C161" i="5" s="1"/>
  <c r="B162" i="5" l="1"/>
  <c r="C162" i="5" s="1"/>
  <c r="B163" i="5" l="1"/>
  <c r="C163" i="5" s="1"/>
  <c r="B164" i="5" l="1"/>
  <c r="C164" i="5" s="1"/>
  <c r="B165" i="5" l="1"/>
  <c r="C165" i="5" s="1"/>
  <c r="B166" i="5" l="1"/>
  <c r="C166" i="5" s="1"/>
  <c r="B167" i="5" l="1"/>
  <c r="C167" i="5" s="1"/>
  <c r="B168" i="5" l="1"/>
  <c r="C168" i="5" s="1"/>
  <c r="B169" i="5" l="1"/>
  <c r="C169" i="5" s="1"/>
  <c r="B170" i="5" l="1"/>
  <c r="C170" i="5" s="1"/>
  <c r="B171" i="5" l="1"/>
  <c r="C171" i="5" s="1"/>
  <c r="B172" i="5" l="1"/>
  <c r="C172" i="5" s="1"/>
  <c r="B173" i="5" l="1"/>
  <c r="C173" i="5" s="1"/>
  <c r="B174" i="5" l="1"/>
  <c r="C174" i="5" s="1"/>
  <c r="B175" i="5" l="1"/>
  <c r="C175" i="5" s="1"/>
  <c r="B176" i="5" l="1"/>
  <c r="C176" i="5" s="1"/>
  <c r="B177" i="5" l="1"/>
  <c r="C177" i="5" s="1"/>
  <c r="B178" i="5" l="1"/>
  <c r="C178" i="5" s="1"/>
  <c r="B179" i="5" l="1"/>
  <c r="C179" i="5" s="1"/>
  <c r="B180" i="5" l="1"/>
  <c r="C180" i="5" s="1"/>
  <c r="B181" i="5" l="1"/>
  <c r="C181" i="5" s="1"/>
  <c r="B182" i="5" l="1"/>
  <c r="C182" i="5" s="1"/>
  <c r="B183" i="5" l="1"/>
  <c r="C183" i="5" s="1"/>
  <c r="B184" i="5" l="1"/>
  <c r="C184" i="5" s="1"/>
  <c r="B185" i="5" l="1"/>
  <c r="C185" i="5" s="1"/>
  <c r="B186" i="5" l="1"/>
  <c r="C186" i="5" s="1"/>
  <c r="B187" i="5" l="1"/>
  <c r="C187" i="5" s="1"/>
  <c r="B188" i="5" l="1"/>
  <c r="C188" i="5" s="1"/>
  <c r="B189" i="5" l="1"/>
  <c r="C189" i="5" s="1"/>
  <c r="B190" i="5" l="1"/>
  <c r="C190" i="5" s="1"/>
  <c r="B191" i="5" l="1"/>
  <c r="C191" i="5" s="1"/>
  <c r="B192" i="5" l="1"/>
  <c r="C192" i="5" s="1"/>
  <c r="B193" i="5" l="1"/>
  <c r="C193" i="5" s="1"/>
  <c r="B194" i="5" l="1"/>
  <c r="C194" i="5" s="1"/>
  <c r="B195" i="5" l="1"/>
  <c r="C195" i="5" s="1"/>
  <c r="B196" i="5" l="1"/>
  <c r="C196" i="5" s="1"/>
  <c r="B197" i="5" l="1"/>
  <c r="C197" i="5" s="1"/>
  <c r="B198" i="5" l="1"/>
  <c r="C198" i="5" s="1"/>
  <c r="B199" i="5" l="1"/>
  <c r="C199" i="5" s="1"/>
  <c r="B200" i="5" l="1"/>
  <c r="C200" i="5" s="1"/>
  <c r="B203" i="5" l="1"/>
  <c r="C203" i="5" s="1"/>
  <c r="B204" i="5" l="1"/>
  <c r="C204" i="5" s="1"/>
  <c r="B206" i="5" l="1"/>
  <c r="C206" i="5" s="1"/>
  <c r="B207" i="5" l="1"/>
  <c r="C207" i="5" s="1"/>
  <c r="B209" i="5" l="1"/>
  <c r="C209" i="5" s="1"/>
  <c r="B210" i="5" l="1"/>
  <c r="C210" i="5" s="1"/>
  <c r="B211" i="5" l="1"/>
  <c r="C211" i="5" s="1"/>
  <c r="B212" i="5" l="1"/>
  <c r="C212" i="5" s="1"/>
  <c r="B213" i="5" l="1"/>
  <c r="C213" i="5" s="1"/>
  <c r="B214" i="5" l="1"/>
  <c r="C214" i="5" s="1"/>
  <c r="B215" i="5" l="1"/>
  <c r="C215" i="5" s="1"/>
  <c r="B216" i="5" l="1"/>
  <c r="C216" i="5" s="1"/>
  <c r="B218" i="5" l="1"/>
  <c r="C218" i="5" s="1"/>
  <c r="B219" i="5" l="1"/>
  <c r="C219" i="5" s="1"/>
  <c r="B220" i="5" l="1"/>
  <c r="C220" i="5" s="1"/>
  <c r="B221" i="5" l="1"/>
  <c r="C221" i="5" s="1"/>
  <c r="B222" i="5" l="1"/>
  <c r="C222" i="5" s="1"/>
  <c r="B223" i="5" l="1"/>
  <c r="C223" i="5" s="1"/>
  <c r="B224" i="5" l="1"/>
  <c r="C224" i="5" s="1"/>
  <c r="B225" i="5" l="1"/>
  <c r="C225" i="5" s="1"/>
  <c r="B228" i="5" l="1"/>
  <c r="C228" i="5" s="1"/>
  <c r="B229" i="5" l="1"/>
  <c r="C229" i="5" s="1"/>
  <c r="B237" i="5" l="1"/>
  <c r="C237" i="5" s="1"/>
  <c r="B238" i="5" l="1"/>
  <c r="C238" i="5" s="1"/>
  <c r="B239" i="5" l="1"/>
  <c r="C239" i="5" s="1"/>
  <c r="B240" i="5" l="1"/>
  <c r="C240" i="5" s="1"/>
  <c r="B241" i="5" l="1"/>
  <c r="C241" i="5" s="1"/>
  <c r="B243" i="5" l="1"/>
  <c r="C243" i="5" s="1"/>
  <c r="B244" i="5" l="1"/>
  <c r="C244" i="5" s="1"/>
  <c r="B245" i="5" l="1"/>
  <c r="C245" i="5" s="1"/>
  <c r="B246" i="5" l="1"/>
  <c r="C246" i="5" s="1"/>
  <c r="B247" i="5" l="1"/>
  <c r="C247" i="5" s="1"/>
  <c r="B248" i="5" l="1"/>
  <c r="C248" i="5" s="1"/>
  <c r="B249" i="5" l="1"/>
  <c r="C249" i="5" s="1"/>
  <c r="B254" i="5" l="1"/>
  <c r="C254" i="5" s="1"/>
  <c r="B255" i="5" l="1"/>
  <c r="C255" i="5" s="1"/>
  <c r="B256" i="5" l="1"/>
  <c r="C256" i="5" s="1"/>
  <c r="B261" i="5" l="1"/>
  <c r="C261" i="5" s="1"/>
  <c r="B262" i="5" l="1"/>
  <c r="C262" i="5" s="1"/>
  <c r="B264" i="5" l="1"/>
  <c r="C264" i="5" s="1"/>
  <c r="B265" i="5" l="1"/>
  <c r="C265" i="5" s="1"/>
  <c r="B267" i="5" l="1"/>
  <c r="C267" i="5" s="1"/>
  <c r="B268" i="5" l="1"/>
  <c r="C268" i="5" s="1"/>
  <c r="B271" i="5" l="1"/>
  <c r="C271" i="5" s="1"/>
  <c r="B272" i="5" l="1"/>
  <c r="C272" i="5" s="1"/>
  <c r="B274" i="5" l="1"/>
  <c r="C274" i="5" s="1"/>
  <c r="B275" i="5" l="1"/>
  <c r="C275" i="5" s="1"/>
  <c r="B276" i="5" l="1"/>
  <c r="C276" i="5" s="1"/>
  <c r="B277" i="5" l="1"/>
  <c r="C277" i="5" s="1"/>
  <c r="B278" i="5" l="1"/>
  <c r="C278" i="5" s="1"/>
  <c r="B282" i="5" l="1"/>
  <c r="C282" i="5" s="1"/>
  <c r="B283" i="5" l="1"/>
  <c r="C283" i="5" s="1"/>
  <c r="B286" i="5" l="1"/>
  <c r="C286" i="5" s="1"/>
  <c r="B287" i="5" l="1"/>
  <c r="C287" i="5" s="1"/>
  <c r="B288" i="5" l="1"/>
  <c r="C288" i="5" s="1"/>
  <c r="B289" i="5" l="1"/>
  <c r="C289" i="5" s="1"/>
  <c r="B292" i="5" l="1"/>
  <c r="C292" i="5" s="1"/>
  <c r="B293" i="5" l="1"/>
  <c r="C293" i="5" s="1"/>
  <c r="B294" i="5" l="1"/>
  <c r="C294" i="5" s="1"/>
  <c r="B295" i="5" l="1"/>
  <c r="C295" i="5" s="1"/>
  <c r="B296" i="5" l="1"/>
  <c r="C296" i="5" s="1"/>
  <c r="B297" i="5" l="1"/>
  <c r="C297" i="5" s="1"/>
  <c r="B298" i="5" l="1"/>
  <c r="C298" i="5" s="1"/>
  <c r="B299" i="5" l="1"/>
  <c r="C299" i="5" s="1"/>
  <c r="B300" i="5" l="1"/>
  <c r="C300" i="5" s="1"/>
  <c r="B301" i="5" l="1"/>
  <c r="C301" i="5" s="1"/>
  <c r="B302" i="5" l="1"/>
  <c r="C302" i="5" s="1"/>
  <c r="B303" i="5" l="1"/>
  <c r="C303" i="5" s="1"/>
  <c r="B304" i="5" l="1"/>
  <c r="C304" i="5" s="1"/>
  <c r="B305" i="5" l="1"/>
  <c r="C305" i="5" s="1"/>
  <c r="B306" i="5" l="1"/>
  <c r="C306" i="5" s="1"/>
  <c r="B307" i="5" l="1"/>
  <c r="C307" i="5" s="1"/>
  <c r="B313" i="5" l="1"/>
  <c r="C313" i="5" s="1"/>
  <c r="B314" i="5" l="1"/>
  <c r="C314" i="5" s="1"/>
  <c r="B315" i="5" l="1"/>
  <c r="C315" i="5" s="1"/>
  <c r="B316" i="5" l="1"/>
  <c r="C316" i="5" s="1"/>
  <c r="B317" i="5" l="1"/>
  <c r="C317" i="5" s="1"/>
  <c r="B319" i="5" l="1"/>
  <c r="C319" i="5" s="1"/>
  <c r="B318" i="5"/>
  <c r="C318" i="5" s="1"/>
</calcChain>
</file>

<file path=xl/sharedStrings.xml><?xml version="1.0" encoding="utf-8"?>
<sst xmlns="http://schemas.openxmlformats.org/spreadsheetml/2006/main" count="1217" uniqueCount="1012">
  <si>
    <t>Abdollah Syani Siregar</t>
  </si>
  <si>
    <t>Abdul Karim</t>
  </si>
  <si>
    <t>Abdul Rahman Sitompul</t>
  </si>
  <si>
    <t>Abdul Risan</t>
  </si>
  <si>
    <t>Abdullah Nabil</t>
  </si>
  <si>
    <t>Adhitya Danar</t>
  </si>
  <si>
    <t>Adi Ruswandi</t>
  </si>
  <si>
    <t>Adietya Dharmawan</t>
  </si>
  <si>
    <t>Aditya Yudha Prawira</t>
  </si>
  <si>
    <t>Adli Margie</t>
  </si>
  <si>
    <t>Afrida Eka Putri</t>
  </si>
  <si>
    <t>Agnes Sutedja</t>
  </si>
  <si>
    <t>Agung Hendarto</t>
  </si>
  <si>
    <t>Agus Priyatno Mahmudo</t>
  </si>
  <si>
    <t>Agus Salim</t>
  </si>
  <si>
    <t>Agus Tanto</t>
  </si>
  <si>
    <t>Ahmad Faiz Haems Muda</t>
  </si>
  <si>
    <t>Ahmad Faza</t>
  </si>
  <si>
    <t>Ahmad Syaifulloh</t>
  </si>
  <si>
    <t>Ahmad Zulkarnaen</t>
  </si>
  <si>
    <t>Ajan</t>
  </si>
  <si>
    <t>Al Amin</t>
  </si>
  <si>
    <t>Aldi Mulyadi</t>
  </si>
  <si>
    <t>Alexandri</t>
  </si>
  <si>
    <t>Alfaedi</t>
  </si>
  <si>
    <t>Ali Wahono</t>
  </si>
  <si>
    <t>Alphaliyanri Lasria</t>
  </si>
  <si>
    <t>Ambon Rumalean</t>
  </si>
  <si>
    <t>Amir Sofyan Hadi</t>
  </si>
  <si>
    <t>Anak Agung Netti Ariani</t>
  </si>
  <si>
    <t>Andri Gunawan</t>
  </si>
  <si>
    <t>Andri Herdiansyah</t>
  </si>
  <si>
    <t>Andrie</t>
  </si>
  <si>
    <t>Anggina Tri Yudandi</t>
  </si>
  <si>
    <t>Anggit Ismiyanto</t>
  </si>
  <si>
    <t>Anika Setyowati</t>
  </si>
  <si>
    <t>Anisah</t>
  </si>
  <si>
    <t>Anna Savitrie</t>
  </si>
  <si>
    <t>Annisa Dewi Arumsari</t>
  </si>
  <si>
    <t>Annyes Sri Maristi</t>
  </si>
  <si>
    <t>Antok</t>
  </si>
  <si>
    <t>Anton Iryanto</t>
  </si>
  <si>
    <t>Antony Pakpahan</t>
  </si>
  <si>
    <t>Anugerah Januariansyah</t>
  </si>
  <si>
    <t>Anwar Purnomo</t>
  </si>
  <si>
    <t>Ardhi Swasono</t>
  </si>
  <si>
    <t>Ardi</t>
  </si>
  <si>
    <t>Ardiansyah</t>
  </si>
  <si>
    <t>Ardisam</t>
  </si>
  <si>
    <t>Ardita</t>
  </si>
  <si>
    <t>Ares S. Mauboi</t>
  </si>
  <si>
    <t>Arfah Hanum</t>
  </si>
  <si>
    <t>Arfianti Haryani</t>
  </si>
  <si>
    <t>Ari Priwarsono</t>
  </si>
  <si>
    <t>Ari Yuniasmono</t>
  </si>
  <si>
    <t>Arif Gunawan</t>
  </si>
  <si>
    <t>Arif Prasetyo</t>
  </si>
  <si>
    <t>Arini</t>
  </si>
  <si>
    <t>Ario Setyo Gunawan</t>
  </si>
  <si>
    <t>Ario Yulianto Wibowo</t>
  </si>
  <si>
    <t>Aris Widodo Pamungkas</t>
  </si>
  <si>
    <t>Arjiyanto</t>
  </si>
  <si>
    <t>Arman</t>
  </si>
  <si>
    <t>Aryoko Sudiro</t>
  </si>
  <si>
    <t>Astamyugo</t>
  </si>
  <si>
    <t>Atmo Sastro Dinoto</t>
  </si>
  <si>
    <t>Awaludin</t>
  </si>
  <si>
    <t>Bachtiar</t>
  </si>
  <si>
    <t>Bambang Irawan</t>
  </si>
  <si>
    <t>Bambang Prihatin</t>
  </si>
  <si>
    <t>Bani Mustazeni</t>
  </si>
  <si>
    <t>Bardai</t>
  </si>
  <si>
    <t>Barika</t>
  </si>
  <si>
    <t>Bela Retmalantika</t>
  </si>
  <si>
    <t>Belina Lindarwani</t>
  </si>
  <si>
    <t>Benita Sofia</t>
  </si>
  <si>
    <t>Bherly Novrandy</t>
  </si>
  <si>
    <t>Binsar</t>
  </si>
  <si>
    <t>Bondhan Sosiarta</t>
  </si>
  <si>
    <t>Budi Pranata Sinaga</t>
  </si>
  <si>
    <t>Budi Satrio</t>
  </si>
  <si>
    <t>Budianto</t>
  </si>
  <si>
    <t>Budiman</t>
  </si>
  <si>
    <t>Cahyaning Annisa</t>
  </si>
  <si>
    <t>Cahyaningrum Widiastuti</t>
  </si>
  <si>
    <t>Cecep Maulana</t>
  </si>
  <si>
    <t>Chairul Musaddat</t>
  </si>
  <si>
    <t>Christianto</t>
  </si>
  <si>
    <t>Dadan Hermawan</t>
  </si>
  <si>
    <t>Dadan Suhendar</t>
  </si>
  <si>
    <t>Dadi Anda Zuchradi</t>
  </si>
  <si>
    <t>Darsito</t>
  </si>
  <si>
    <t>Davit Lumban Gaol</t>
  </si>
  <si>
    <t>Deddy Rochman</t>
  </si>
  <si>
    <t>Dedi Kusnadi</t>
  </si>
  <si>
    <t>Dedi Marciano Rizanur</t>
  </si>
  <si>
    <t>Dedi Rianto</t>
  </si>
  <si>
    <t>Dedi Syahputra</t>
  </si>
  <si>
    <t>Deni Setiawan</t>
  </si>
  <si>
    <t>Deny Adi Purnama</t>
  </si>
  <si>
    <t>Desi Herawati</t>
  </si>
  <si>
    <t>Desi Setiowati</t>
  </si>
  <si>
    <t>Dian Firdaus</t>
  </si>
  <si>
    <t>Dian Hariyana</t>
  </si>
  <si>
    <t>Dinnar Budiarti</t>
  </si>
  <si>
    <t>Dionesius Sostenist Duka</t>
  </si>
  <si>
    <t>Diyah Martina</t>
  </si>
  <si>
    <t>Djuang Tampubolon</t>
  </si>
  <si>
    <t>Dodit Widiarto</t>
  </si>
  <si>
    <t>Dony Darmawan</t>
  </si>
  <si>
    <t>Dony Setiawan</t>
  </si>
  <si>
    <t>Dudi Rustandi</t>
  </si>
  <si>
    <t>Dudung</t>
  </si>
  <si>
    <t>Dwi Joko</t>
  </si>
  <si>
    <t>Dwinanto Prabowo</t>
  </si>
  <si>
    <t>Edi Waluyo</t>
  </si>
  <si>
    <t>Edi Siswanto</t>
  </si>
  <si>
    <t>Edi Turnip</t>
  </si>
  <si>
    <t>Edy Putra Waskita</t>
  </si>
  <si>
    <t>Edy Syahputra Situmeang</t>
  </si>
  <si>
    <t>Effendi fendi</t>
  </si>
  <si>
    <t>Efrina Dwililia</t>
  </si>
  <si>
    <t>Eka Bagus Dwi Putra</t>
  </si>
  <si>
    <t>Eka Hamidah</t>
  </si>
  <si>
    <t>Eka Purwanti</t>
  </si>
  <si>
    <t>Eka Kurniawan Hidayatullah</t>
  </si>
  <si>
    <t>Eko Laksono</t>
  </si>
  <si>
    <t>Eko Syambudi</t>
  </si>
  <si>
    <t>Elieser Ferdy P.</t>
  </si>
  <si>
    <t>Elisa</t>
  </si>
  <si>
    <t>Elsa Jayanti</t>
  </si>
  <si>
    <t>Elsa Mardian</t>
  </si>
  <si>
    <t>Emir Paranita Nasution</t>
  </si>
  <si>
    <t>Enceng Hemawan</t>
  </si>
  <si>
    <t>Endang</t>
  </si>
  <si>
    <t>Endang Lestari</t>
  </si>
  <si>
    <t>Endang Sobari</t>
  </si>
  <si>
    <t>Endang Sutrisna</t>
  </si>
  <si>
    <t>Erfananda Rasyid</t>
  </si>
  <si>
    <t>Ernawati</t>
  </si>
  <si>
    <t>Erwin Firmansyah</t>
  </si>
  <si>
    <t>Erwin Said</t>
  </si>
  <si>
    <t>Esa Annahar</t>
  </si>
  <si>
    <t>Faiz Horifal</t>
  </si>
  <si>
    <t>Fani Dwi Astutik</t>
  </si>
  <si>
    <t>Fardi Nauli R</t>
  </si>
  <si>
    <t>Farekh Huzair</t>
  </si>
  <si>
    <t>Farhana</t>
  </si>
  <si>
    <t>Febriyanto Ahdiat</t>
  </si>
  <si>
    <t>Febryan Mahsyar</t>
  </si>
  <si>
    <t>Felpy</t>
  </si>
  <si>
    <t>Feri Priyanto</t>
  </si>
  <si>
    <t>Ferry P Simanjuntak</t>
  </si>
  <si>
    <t>Fikri</t>
  </si>
  <si>
    <t>M. Fikri Caesarandi Hasibuan</t>
  </si>
  <si>
    <t>Firman Akbar</t>
  </si>
  <si>
    <t>Fitriastuti Kurnia</t>
  </si>
  <si>
    <t>Francis Imanuel</t>
  </si>
  <si>
    <t>Frando Judi Siahaan</t>
  </si>
  <si>
    <t>Frederika Intan</t>
  </si>
  <si>
    <t>Fuad Febrian</t>
  </si>
  <si>
    <t>Wiyadianto</t>
  </si>
  <si>
    <t>Galuh Swastika</t>
  </si>
  <si>
    <t>Ganda Yuharis R.</t>
  </si>
  <si>
    <t>Gatot Harsono</t>
  </si>
  <si>
    <t>Gina Septa</t>
  </si>
  <si>
    <t>Grace Kurniawan</t>
  </si>
  <si>
    <t>Gunawan</t>
  </si>
  <si>
    <t>Gustia Rakhmanita</t>
  </si>
  <si>
    <t>Habib Abdullah</t>
  </si>
  <si>
    <t>Hadi Kasmuri</t>
  </si>
  <si>
    <t>Haikal</t>
  </si>
  <si>
    <t>Hanantowiryo Tamtama</t>
  </si>
  <si>
    <t>Handoko</t>
  </si>
  <si>
    <t>Hanif Ashari</t>
  </si>
  <si>
    <t>Hanif Eko Saputro</t>
  </si>
  <si>
    <t>Hardianto</t>
  </si>
  <si>
    <t>Harlen Amudi Purba</t>
  </si>
  <si>
    <t>Harry Isnaeni</t>
  </si>
  <si>
    <t>Hasan Gani</t>
  </si>
  <si>
    <t>Hasrul</t>
  </si>
  <si>
    <t>Hendar Pambudi</t>
  </si>
  <si>
    <t>Hendri Kustian</t>
  </si>
  <si>
    <t>Hendrik</t>
  </si>
  <si>
    <t>Herdi Yulia Rohmana</t>
  </si>
  <si>
    <t>Heri Susanto</t>
  </si>
  <si>
    <t>Herlin Juli Asri</t>
  </si>
  <si>
    <t>Herman Budoyo</t>
  </si>
  <si>
    <t>Herni Yuliati</t>
  </si>
  <si>
    <t>Hernita Dwi</t>
  </si>
  <si>
    <t>Herri Setyawan</t>
  </si>
  <si>
    <t>Heru Sugiri</t>
  </si>
  <si>
    <t>Hervian Bagus Saputra</t>
  </si>
  <si>
    <t>H.R. Marlina S. T. R.</t>
  </si>
  <si>
    <t>Ibrahim Soukani</t>
  </si>
  <si>
    <t>Icha Mailinda Syamsoedin</t>
  </si>
  <si>
    <t>Ichsanudin</t>
  </si>
  <si>
    <t>Ida Tri Wulaningsih</t>
  </si>
  <si>
    <t>Idham</t>
  </si>
  <si>
    <t>Idham Nasution</t>
  </si>
  <si>
    <t>Idian</t>
  </si>
  <si>
    <t>Ikun M. Soedrajat</t>
  </si>
  <si>
    <t>Ilham Arisyandy</t>
  </si>
  <si>
    <t>Ilham Akbar</t>
  </si>
  <si>
    <t>Imam Basuki</t>
  </si>
  <si>
    <t>Imam Mustofa</t>
  </si>
  <si>
    <t>Imam Safiiy</t>
  </si>
  <si>
    <t>Iman Hakiki</t>
  </si>
  <si>
    <t>Imelda Claudia</t>
  </si>
  <si>
    <t>Indawan Haryadi</t>
  </si>
  <si>
    <t>Indra Jaya</t>
  </si>
  <si>
    <t>Indra Muchtar</t>
  </si>
  <si>
    <t>Irvan</t>
  </si>
  <si>
    <t>Irvan Agus Dharma Eka Putra</t>
  </si>
  <si>
    <t>Irwan</t>
  </si>
  <si>
    <t>Isa Anshori</t>
  </si>
  <si>
    <t>Isa Taufiq</t>
  </si>
  <si>
    <t>Iskandarsyah</t>
  </si>
  <si>
    <t>Istanto Istanto</t>
  </si>
  <si>
    <t>Iswahyuni</t>
  </si>
  <si>
    <t>Iva Nurvahayati</t>
  </si>
  <si>
    <t>Iwan Setiawan</t>
  </si>
  <si>
    <t>Iwan Sumantri</t>
  </si>
  <si>
    <t>Iwan Wibawa</t>
  </si>
  <si>
    <t>Iyus Darwin</t>
  </si>
  <si>
    <t>Jaenudin</t>
  </si>
  <si>
    <t>Jaruli Samosir</t>
  </si>
  <si>
    <t>Jaya Ganef</t>
  </si>
  <si>
    <t>Jaya Sitepu</t>
  </si>
  <si>
    <t>Jeefrianda H. P. Sigalingging</t>
  </si>
  <si>
    <t>Jerry Djajasaputra</t>
  </si>
  <si>
    <t>Jimmywal</t>
  </si>
  <si>
    <t>Jodie Satria</t>
  </si>
  <si>
    <t>Johannes Silalahi</t>
  </si>
  <si>
    <t>Joko Wiyono</t>
  </si>
  <si>
    <t>Jondril Hantoni</t>
  </si>
  <si>
    <t>Jonhar Aziz</t>
  </si>
  <si>
    <t>Juan Talitha</t>
  </si>
  <si>
    <t>Juharja Juharja</t>
  </si>
  <si>
    <t>Juminar</t>
  </si>
  <si>
    <t>Jumino</t>
  </si>
  <si>
    <t>Junaedi</t>
  </si>
  <si>
    <t>Junaidi</t>
  </si>
  <si>
    <t>Jusuf Bobby Putra</t>
  </si>
  <si>
    <t>Jusuf Gandi</t>
  </si>
  <si>
    <t>Kahar Triyono</t>
  </si>
  <si>
    <t>Keila</t>
  </si>
  <si>
    <t>Kendra Daniswara</t>
  </si>
  <si>
    <t>Kevin Henokh Tambunan</t>
  </si>
  <si>
    <t>Khafid Fahrurrozi</t>
  </si>
  <si>
    <t>Kholik</t>
  </si>
  <si>
    <t>Kiki Mustikawati</t>
  </si>
  <si>
    <t>Kornelius Sakan</t>
  </si>
  <si>
    <t>Kosasih</t>
  </si>
  <si>
    <t>Krisnawan</t>
  </si>
  <si>
    <t>Kurniadi</t>
  </si>
  <si>
    <t>Kurniawan</t>
  </si>
  <si>
    <t>Laode</t>
  </si>
  <si>
    <t>Leo Nababan</t>
  </si>
  <si>
    <t>Liani Atmaningrum</t>
  </si>
  <si>
    <t>Liaseptriani Liaseptriani</t>
  </si>
  <si>
    <t>Lisma Natalia</t>
  </si>
  <si>
    <t>Listyo Hartanto</t>
  </si>
  <si>
    <t>M. Ari Ardizah Nasution</t>
  </si>
  <si>
    <t>M. Denny  Micrazudin</t>
  </si>
  <si>
    <t>M. Ridho Pramudia</t>
  </si>
  <si>
    <t>M. Rusdi</t>
  </si>
  <si>
    <t>M. Ervan Isyawal Akbar</t>
  </si>
  <si>
    <t>Maharani Tanjungsari</t>
  </si>
  <si>
    <t>Maharani Uthmaniah</t>
  </si>
  <si>
    <t>Manotar Tamba</t>
  </si>
  <si>
    <t>Maradona Manurung</t>
  </si>
  <si>
    <t>Pantas Banjarnahor Marbun</t>
  </si>
  <si>
    <t>Marcella Avia Ramadhinaningrum</t>
  </si>
  <si>
    <t>Marissa Watak</t>
  </si>
  <si>
    <t>Marten Tabun</t>
  </si>
  <si>
    <t>Martimbul Rahman</t>
  </si>
  <si>
    <t>T. Marungkil U. S. Sagala</t>
  </si>
  <si>
    <t>Marzuki</t>
  </si>
  <si>
    <t>Mashuri Mashuri</t>
  </si>
  <si>
    <t>Mat Soleh</t>
  </si>
  <si>
    <t>Mhd Syahputra</t>
  </si>
  <si>
    <t>Mia Puspitasari</t>
  </si>
  <si>
    <t>Midin Ena</t>
  </si>
  <si>
    <t>Miftakhul Muzakky</t>
  </si>
  <si>
    <t>Mista</t>
  </si>
  <si>
    <t>Mochamad Samman</t>
  </si>
  <si>
    <t>Moh. Afif</t>
  </si>
  <si>
    <t>Mohammad Arman Tompo</t>
  </si>
  <si>
    <t>Mohd. Elfan Pratama</t>
  </si>
  <si>
    <t>Monang Simarmata</t>
  </si>
  <si>
    <t>Moritz Thomsen Marbun</t>
  </si>
  <si>
    <t>Muhamad Hamdan Rifai</t>
  </si>
  <si>
    <t>Muhamad Ikhsan</t>
  </si>
  <si>
    <t>Muhamad Nurhamsach</t>
  </si>
  <si>
    <t>Muhammad Ardiansyah</t>
  </si>
  <si>
    <t>Muhammad Khadafy</t>
  </si>
  <si>
    <t>Muhammad Taufan</t>
  </si>
  <si>
    <t>Muklis</t>
  </si>
  <si>
    <t>Mulia Rohanson Harahap</t>
  </si>
  <si>
    <t>Mullan Tresna</t>
  </si>
  <si>
    <t>Mulyadi</t>
  </si>
  <si>
    <t>Mulyono</t>
  </si>
  <si>
    <t>Murdiansyah</t>
  </si>
  <si>
    <t>Mursalim</t>
  </si>
  <si>
    <t>Nancy Meriana Sinaga</t>
  </si>
  <si>
    <t>Nandang Effendi</t>
  </si>
  <si>
    <t>Narno</t>
  </si>
  <si>
    <t>Nasrul Anwar P.</t>
  </si>
  <si>
    <t>Nawal</t>
  </si>
  <si>
    <t>Nawir Lahamutu</t>
  </si>
  <si>
    <t>Nicky Kurnia</t>
  </si>
  <si>
    <t>Noercholis Firmansyah</t>
  </si>
  <si>
    <t>Nopitasari</t>
  </si>
  <si>
    <t>Nora Meilissa</t>
  </si>
  <si>
    <t>Novalia</t>
  </si>
  <si>
    <t>Novan Nugraha</t>
  </si>
  <si>
    <t>Nugraha</t>
  </si>
  <si>
    <t>Nugroho Putranto</t>
  </si>
  <si>
    <t>Nur Indra Sri Melati</t>
  </si>
  <si>
    <t>Nur Kusumowati</t>
  </si>
  <si>
    <t>Nurhidayat</t>
  </si>
  <si>
    <t>Otong Bustori</t>
  </si>
  <si>
    <t>Paino Suprayinto</t>
  </si>
  <si>
    <t>Panca Yudi Baskoro</t>
  </si>
  <si>
    <t>Panji Bima Santri</t>
  </si>
  <si>
    <t>Parulian Napitupulu</t>
  </si>
  <si>
    <t>Paryanto</t>
  </si>
  <si>
    <t>Pikri Hidayat</t>
  </si>
  <si>
    <t>Prayanti Dewi Anggraini</t>
  </si>
  <si>
    <t>Prayati Zai</t>
  </si>
  <si>
    <t>Pristu Andonoto</t>
  </si>
  <si>
    <t>Putra Perdana Tirtomoyo</t>
  </si>
  <si>
    <t>R. Lar Kumalaning Tresno</t>
  </si>
  <si>
    <t>Rachmad</t>
  </si>
  <si>
    <t>Radjiman</t>
  </si>
  <si>
    <t>Rafi Firman Saputra</t>
  </si>
  <si>
    <t>Rahmat Riyadi</t>
  </si>
  <si>
    <t>Rahmat Sirfano</t>
  </si>
  <si>
    <t>Rais Indra Noor</t>
  </si>
  <si>
    <t>Rakman A. Hadi</t>
  </si>
  <si>
    <t>Ramaizon</t>
  </si>
  <si>
    <t>Rangga Darmawan</t>
  </si>
  <si>
    <t>Raoli Nainggolan</t>
  </si>
  <si>
    <t>Rayan Suryadikara</t>
  </si>
  <si>
    <t>Redi Setiadi</t>
  </si>
  <si>
    <t>Redi Subekti</t>
  </si>
  <si>
    <t>Rendy Prananta Purba</t>
  </si>
  <si>
    <t>Reni Septiana</t>
  </si>
  <si>
    <t>Rere Ronggolawe</t>
  </si>
  <si>
    <t>Retnasha Gameswari</t>
  </si>
  <si>
    <t>Rhino Priawan</t>
  </si>
  <si>
    <t>Rian Yushak</t>
  </si>
  <si>
    <t>Riandi</t>
  </si>
  <si>
    <t>Ricky Samuel</t>
  </si>
  <si>
    <t>Ridwan Nurhadi</t>
  </si>
  <si>
    <t>Rifki</t>
  </si>
  <si>
    <t>Rika Ginting</t>
  </si>
  <si>
    <t>Riki Chairul Anwar</t>
  </si>
  <si>
    <t>Riki Evindra</t>
  </si>
  <si>
    <t>Rinaldi Asrin</t>
  </si>
  <si>
    <t>Rio Hakim</t>
  </si>
  <si>
    <t>Rio Martha</t>
  </si>
  <si>
    <t>Risdyanto Risdyanto</t>
  </si>
  <si>
    <t>Rizak Tri Septian</t>
  </si>
  <si>
    <t>Rizki Akbar</t>
  </si>
  <si>
    <t>Rizky Fauzy</t>
  </si>
  <si>
    <t>Rizky Reza Pradipta</t>
  </si>
  <si>
    <t>Rohendi Rohendi</t>
  </si>
  <si>
    <t>Rohmani</t>
  </si>
  <si>
    <t>Rommel Hutapea</t>
  </si>
  <si>
    <t>Roy Aditya</t>
  </si>
  <si>
    <t>Rubah</t>
  </si>
  <si>
    <t>Rudi Junaedi</t>
  </si>
  <si>
    <t>Ruswandi</t>
  </si>
  <si>
    <t>Ryan Bagus Sasminta</t>
  </si>
  <si>
    <t>Saarah Andriani</t>
  </si>
  <si>
    <t>Safira Nurbaiti</t>
  </si>
  <si>
    <t>Saifulloh</t>
  </si>
  <si>
    <t>Saifuloh</t>
  </si>
  <si>
    <t>Sakinah Tantriani Lubis</t>
  </si>
  <si>
    <t>Abdul Samad</t>
  </si>
  <si>
    <t>Samsul Hadi</t>
  </si>
  <si>
    <t>Sandika</t>
  </si>
  <si>
    <t>Sang Toga Sitompul</t>
  </si>
  <si>
    <t>Santi Dewi R. W.</t>
  </si>
  <si>
    <t>Sarah Sibarani</t>
  </si>
  <si>
    <t>Sarif Hidayatul Umah</t>
  </si>
  <si>
    <t>Satria Budi Raharja</t>
  </si>
  <si>
    <t>Saut M. P. L. Tobing</t>
  </si>
  <si>
    <t>Seftiyan Hadi Maulana</t>
  </si>
  <si>
    <t>Sena Andi Satria</t>
  </si>
  <si>
    <t>Setiadi</t>
  </si>
  <si>
    <t>Sherly Tamira</t>
  </si>
  <si>
    <t>Shihab</t>
  </si>
  <si>
    <t>Shobarin Jabar</t>
  </si>
  <si>
    <t>Sholehah</t>
  </si>
  <si>
    <t>Sigit Rudiantono</t>
  </si>
  <si>
    <t>Silvia Putri</t>
  </si>
  <si>
    <t>Simron Ronaldi Nasution</t>
  </si>
  <si>
    <t>Sinta Vera Trikawati</t>
  </si>
  <si>
    <t>Sir Muhammad Zafrulloh Khan</t>
  </si>
  <si>
    <t>Siska Marlina</t>
  </si>
  <si>
    <t>Siswanto</t>
  </si>
  <si>
    <t>Siti Mulyani</t>
  </si>
  <si>
    <t>Sjanti Devi</t>
  </si>
  <si>
    <t>Slamet Budi Setiawan</t>
  </si>
  <si>
    <t>Sofyan Maulana</t>
  </si>
  <si>
    <t>Subagio</t>
  </si>
  <si>
    <t>Suci Mardiana</t>
  </si>
  <si>
    <t>Suci Rachma Sari</t>
  </si>
  <si>
    <t>Sudarlan</t>
  </si>
  <si>
    <t>Sufie Amalia</t>
  </si>
  <si>
    <t>Sugeng Ismanto</t>
  </si>
  <si>
    <t>Sugiarto</t>
  </si>
  <si>
    <t>Sulih</t>
  </si>
  <si>
    <t>Sumadi</t>
  </si>
  <si>
    <t>Sumirat</t>
  </si>
  <si>
    <t>Sunaryati</t>
  </si>
  <si>
    <t>Supriyadi</t>
  </si>
  <si>
    <t>Suriono Suriono</t>
  </si>
  <si>
    <t>Surono</t>
  </si>
  <si>
    <t>Surtoyo Syukri</t>
  </si>
  <si>
    <t>Suryadi</t>
  </si>
  <si>
    <t>Susilawati</t>
  </si>
  <si>
    <t>Sutarno</t>
  </si>
  <si>
    <t>Sutra Riandi</t>
  </si>
  <si>
    <t>Suyanto</t>
  </si>
  <si>
    <t>Swar Jono</t>
  </si>
  <si>
    <t>Syafruddin</t>
  </si>
  <si>
    <t>Syafrudin Machmud</t>
  </si>
  <si>
    <t>Syahrizal</t>
  </si>
  <si>
    <t>Syaiful Idjam</t>
  </si>
  <si>
    <t>Tajuddin Assubki Ismail</t>
  </si>
  <si>
    <t>Taslim</t>
  </si>
  <si>
    <t>Taufik Mulia Pane</t>
  </si>
  <si>
    <t>Tedy Harseno</t>
  </si>
  <si>
    <t>Teguh Joko Pamuji</t>
  </si>
  <si>
    <t>Teguh Pratama Januzir Sukin</t>
  </si>
  <si>
    <t>Teguh Susanto</t>
  </si>
  <si>
    <t>Tenri Sumange</t>
  </si>
  <si>
    <t>Teuku Zulkifli</t>
  </si>
  <si>
    <t>Tiara Kemalasari</t>
  </si>
  <si>
    <t>Tjhang Linawati</t>
  </si>
  <si>
    <t>Totok Kristianto</t>
  </si>
  <si>
    <t>Tri Aji</t>
  </si>
  <si>
    <t>Tri M. Saputra</t>
  </si>
  <si>
    <t>Triani Irma</t>
  </si>
  <si>
    <t>Trisyanto</t>
  </si>
  <si>
    <t>Triwiarti Dibya</t>
  </si>
  <si>
    <t>Triyono</t>
  </si>
  <si>
    <t>Turita Pramuning Marantina</t>
  </si>
  <si>
    <t>Tutus Ary</t>
  </si>
  <si>
    <t>Ubaidillah</t>
  </si>
  <si>
    <t>Ujang Barma</t>
  </si>
  <si>
    <t>Ujang Suryana</t>
  </si>
  <si>
    <t>Ulman Juanda</t>
  </si>
  <si>
    <t>Urbanus Boimau</t>
  </si>
  <si>
    <t>Uswatun Hasamah</t>
  </si>
  <si>
    <t>Uswatun Khasanah</t>
  </si>
  <si>
    <t>Utami Dewi</t>
  </si>
  <si>
    <t>Utanto</t>
  </si>
  <si>
    <t>Veradita Yulanda</t>
  </si>
  <si>
    <t>Vidhy Kartika Putri</t>
  </si>
  <si>
    <t>Vonny Agram</t>
  </si>
  <si>
    <t>Wahyu</t>
  </si>
  <si>
    <t>Wahyu Ramadhani</t>
  </si>
  <si>
    <t>Wahyu Widodo</t>
  </si>
  <si>
    <t>Warsito Edy Saputra</t>
  </si>
  <si>
    <t>Weldi Wimar</t>
  </si>
  <si>
    <t>Wendy Septiyan</t>
  </si>
  <si>
    <t>Willy Indarto</t>
  </si>
  <si>
    <t>Winda Suherman</t>
  </si>
  <si>
    <t>Wisnu Ardian</t>
  </si>
  <si>
    <t>Wisudanto C. Suntoyo</t>
  </si>
  <si>
    <t>Yahya Adyasa Febriansyah</t>
  </si>
  <si>
    <t>Yakup Sunaryo</t>
  </si>
  <si>
    <t>Yanuar Tri Ananda</t>
  </si>
  <si>
    <t>Yasir Liem</t>
  </si>
  <si>
    <t>Yefri Hendrayani</t>
  </si>
  <si>
    <t>Yessi Setiarini</t>
  </si>
  <si>
    <t>Yorid Fae</t>
  </si>
  <si>
    <t>Yosef Hang Wan</t>
  </si>
  <si>
    <t>Yossie Deliana</t>
  </si>
  <si>
    <t>Yudi Rahmadi</t>
  </si>
  <si>
    <t>Yudo Jati Rahmat Satrio</t>
  </si>
  <si>
    <t>Yuliandaru Suryoatmodjo</t>
  </si>
  <si>
    <t>Yulianta</t>
  </si>
  <si>
    <t>Yulianti</t>
  </si>
  <si>
    <t>Yulius</t>
  </si>
  <si>
    <t>Yunni Sazili</t>
  </si>
  <si>
    <t>Yusman</t>
  </si>
  <si>
    <t>Yusri Azhar</t>
  </si>
  <si>
    <t>Zafrizal</t>
  </si>
  <si>
    <t>Zafrizal Rifla (Ucok)</t>
  </si>
  <si>
    <t>Zainuddin</t>
  </si>
  <si>
    <t>Zainudin Anwar</t>
  </si>
  <si>
    <t>Zaire Dite Biscaya</t>
  </si>
  <si>
    <t>Zalfi Yandri</t>
  </si>
  <si>
    <t>Zam Roji</t>
  </si>
  <si>
    <t>Zulfikar K. Siregar</t>
  </si>
  <si>
    <t>Adythia Adikara</t>
  </si>
  <si>
    <t>Agus Sopyan Hadi</t>
  </si>
  <si>
    <t>Azis Purwandana</t>
  </si>
  <si>
    <t>Heryanto</t>
  </si>
  <si>
    <t>Imran</t>
  </si>
  <si>
    <t>Khamim Taryono</t>
  </si>
  <si>
    <t>Rafi Artman Siddiq</t>
  </si>
  <si>
    <t>Riza Emir Subekti</t>
  </si>
  <si>
    <t>Slamet Riadi</t>
  </si>
  <si>
    <t>Wisnu Andra Isdianto</t>
  </si>
  <si>
    <t>Agus Budi Setiawan</t>
  </si>
  <si>
    <t>Ahmad Choerul</t>
  </si>
  <si>
    <t>Achmad Yunadi</t>
  </si>
  <si>
    <t>Asep mulyana</t>
  </si>
  <si>
    <t>Bagus Isdiantara</t>
  </si>
  <si>
    <t>Cahyana</t>
  </si>
  <si>
    <t>Dede Hartanto</t>
  </si>
  <si>
    <t>Denny Achmad Ferlando</t>
  </si>
  <si>
    <t>Dian Setiawan</t>
  </si>
  <si>
    <t>Fabrian Danang Destiyara</t>
  </si>
  <si>
    <t>Ferdian Kriswantoro</t>
  </si>
  <si>
    <t>Fuzi Mafrozi</t>
  </si>
  <si>
    <t>Gilang Setiawan</t>
  </si>
  <si>
    <t>Idris Affandi</t>
  </si>
  <si>
    <t>Indra Wijaya</t>
  </si>
  <si>
    <t>Irma Maulidawati</t>
  </si>
  <si>
    <t>Istikaro Fauziah</t>
  </si>
  <si>
    <t>Muhammad Lukbani</t>
  </si>
  <si>
    <t>Muhammad Sholikhun</t>
  </si>
  <si>
    <t>Muhammad Syarifudin</t>
  </si>
  <si>
    <t>Nadia Rizkiah</t>
  </si>
  <si>
    <t>Nikko Septian</t>
  </si>
  <si>
    <t>Novizan</t>
  </si>
  <si>
    <t>Oqi Suhaqi Yunus</t>
  </si>
  <si>
    <t>Restu Dwi Anjayani</t>
  </si>
  <si>
    <t>Rizal Amri</t>
  </si>
  <si>
    <t>Ronny Anindika Arnold</t>
  </si>
  <si>
    <t>Samta Harahap</t>
  </si>
  <si>
    <t>Vingky Hendriek Yomerlin</t>
  </si>
  <si>
    <t>Wahyu Teluk Naga</t>
  </si>
  <si>
    <t>Wardah Laily Khoiriyah</t>
  </si>
  <si>
    <t>Wawan Kusworo</t>
  </si>
  <si>
    <t>Wulanraniasih</t>
  </si>
  <si>
    <t>Yogi Perbangkara</t>
  </si>
  <si>
    <t>Yusuf Fathurahman</t>
  </si>
  <si>
    <t>Zeinurani</t>
  </si>
  <si>
    <t>Sulaeman</t>
  </si>
  <si>
    <t>Agus Nuryadi</t>
  </si>
  <si>
    <t>Dian Tri Rahmawati</t>
  </si>
  <si>
    <t>Langgeng Eko Dwiantoro</t>
  </si>
  <si>
    <t>Aldi Rizaldi</t>
  </si>
  <si>
    <t>Masimin</t>
  </si>
  <si>
    <t>Santoso Dwi Cahyo</t>
  </si>
  <si>
    <t>Wartono</t>
  </si>
  <si>
    <t>Yusarman</t>
  </si>
  <si>
    <t>Abdul Rachman</t>
  </si>
  <si>
    <t>Aden Bagus</t>
  </si>
  <si>
    <t>Adhe Kurniawan</t>
  </si>
  <si>
    <t>Ahmad Fauzi</t>
  </si>
  <si>
    <t>Ahmad Gunawan</t>
  </si>
  <si>
    <t>Andri Andriyan</t>
  </si>
  <si>
    <t>Budi Sulistianto</t>
  </si>
  <si>
    <t>Eka Budi</t>
  </si>
  <si>
    <t>Haerul Gunawan</t>
  </si>
  <si>
    <t>Irvan Agus</t>
  </si>
  <si>
    <t>Joshika Pradirga</t>
  </si>
  <si>
    <t>Khaidir</t>
  </si>
  <si>
    <t>Latip Muhlanto</t>
  </si>
  <si>
    <t>Leonardo Putra</t>
  </si>
  <si>
    <t>Muhammad Ramadani</t>
  </si>
  <si>
    <t>Musdalipa</t>
  </si>
  <si>
    <t>Nico Melky</t>
  </si>
  <si>
    <t>Rahmata Novanisa</t>
  </si>
  <si>
    <t>Satrio Dhiaputra</t>
  </si>
  <si>
    <t>Sudirman</t>
  </si>
  <si>
    <t>Suparji</t>
  </si>
  <si>
    <t>Taufik Iskandar</t>
  </si>
  <si>
    <t>Tegar Hersaputra</t>
  </si>
  <si>
    <t>Togar Sihombing</t>
  </si>
  <si>
    <t>Wisnu Trenggono Wirayuda</t>
  </si>
  <si>
    <t>Yogo</t>
  </si>
  <si>
    <t>Yustiana Firda</t>
  </si>
  <si>
    <t>Zainal Abidin</t>
  </si>
  <si>
    <t>Budi Sandika</t>
  </si>
  <si>
    <t>Fachri Azhar</t>
  </si>
  <si>
    <t>Firmansyah Awaludin</t>
  </si>
  <si>
    <t>Iman Faisal Abdurahman</t>
  </si>
  <si>
    <t>Muhammad Irfan Alfikri Rayana</t>
  </si>
  <si>
    <t>Syafri Johansah</t>
  </si>
  <si>
    <t>Agus Sobar</t>
  </si>
  <si>
    <t>Ahmad Sandi Asyuri</t>
  </si>
  <si>
    <t>Andi Mapasoro</t>
  </si>
  <si>
    <t>Arie Gustaman</t>
  </si>
  <si>
    <t>Arief Yulianto</t>
  </si>
  <si>
    <t>Burhan</t>
  </si>
  <si>
    <t>Deby Syahputa</t>
  </si>
  <si>
    <t>Ibrahim Arya Yuda</t>
  </si>
  <si>
    <t>Jamil</t>
  </si>
  <si>
    <t>Kiki Prasetyo</t>
  </si>
  <si>
    <t>Mochamad Ulul Azmi Wira Utama</t>
  </si>
  <si>
    <t>Muhammad Bilal Sharony</t>
  </si>
  <si>
    <t>Muhammad Hairul</t>
  </si>
  <si>
    <t>Muhammad Rizal</t>
  </si>
  <si>
    <t>Rahmad Dwifar</t>
  </si>
  <si>
    <t>Reza Sanjaya</t>
  </si>
  <si>
    <t>Ridwan Nur Muttaqin</t>
  </si>
  <si>
    <t xml:space="preserve">Risaldi </t>
  </si>
  <si>
    <t>Risty Alawiyah</t>
  </si>
  <si>
    <t>Rustono</t>
  </si>
  <si>
    <t>Solihin</t>
  </si>
  <si>
    <t>Supriatna</t>
  </si>
  <si>
    <t>Taufik Aminudin</t>
  </si>
  <si>
    <t>Timotius Tabun</t>
  </si>
  <si>
    <t>Elisa Krisnawati</t>
  </si>
  <si>
    <t>Anda Zuchradi Dadi</t>
  </si>
  <si>
    <t>Silvia Febi Putri</t>
  </si>
  <si>
    <t>Haikal Rizky</t>
  </si>
  <si>
    <t>Muhamad Nurhamsach P</t>
  </si>
  <si>
    <t>Efrina Dwi lilia</t>
  </si>
  <si>
    <t>Muhammad Nugroho Putranto</t>
  </si>
  <si>
    <t>Dudung Syafrudin</t>
  </si>
  <si>
    <t>Saarah Andriani Retnoasih</t>
  </si>
  <si>
    <t>Muhamad Hamdan Rifa'i</t>
  </si>
  <si>
    <t>Jodie Satria Effendi</t>
  </si>
  <si>
    <t>Rachmad Sirfano</t>
  </si>
  <si>
    <t>Raka Maulana Ibrahim</t>
  </si>
  <si>
    <t>Lucky Daniansyah</t>
  </si>
  <si>
    <t>Bahyu Sanciko</t>
  </si>
  <si>
    <t>Yusman W</t>
  </si>
  <si>
    <t>Vidhy Putri Kartika</t>
  </si>
  <si>
    <t>Rohendi</t>
  </si>
  <si>
    <t>Sherly Tamira Happy</t>
  </si>
  <si>
    <t>Hernita Dwi Cahyani Putri</t>
  </si>
  <si>
    <t>Eko Kurniawan</t>
  </si>
  <si>
    <t>Dony Setiyawan</t>
  </si>
  <si>
    <t>M Ari Ardizah Nasution</t>
  </si>
  <si>
    <t>Zaire Biscaya Dite</t>
  </si>
  <si>
    <t>Fuzi Mafhrozi</t>
  </si>
  <si>
    <t>Azis Purwadana</t>
  </si>
  <si>
    <t>H.T Assubki Ismail</t>
  </si>
  <si>
    <t>Kurnia Fitriastuti</t>
  </si>
  <si>
    <t>Ilham</t>
  </si>
  <si>
    <t>Dedi Rohman</t>
  </si>
  <si>
    <t>Abd Samad</t>
  </si>
  <si>
    <t>Yustiana Firda Apriani</t>
  </si>
  <si>
    <t>Ridha Nauval S</t>
  </si>
  <si>
    <t>Joshika Pradirga Utama</t>
  </si>
  <si>
    <t>Isa Taufik</t>
  </si>
  <si>
    <t>Abdul Rachman Nur Hanafi</t>
  </si>
  <si>
    <t>Satrio Dhiaputra Prayudi</t>
  </si>
  <si>
    <t>+62 878-7792-3708</t>
  </si>
  <si>
    <t>+62 812-9397-4227</t>
  </si>
  <si>
    <t>+62 856-9401-0438</t>
  </si>
  <si>
    <t>+62 838-7009-0020</t>
  </si>
  <si>
    <t>+62 857-2162-3338</t>
  </si>
  <si>
    <t>+62 813-8428-4951</t>
  </si>
  <si>
    <t>+62 838-7375-2989</t>
  </si>
  <si>
    <t>+62 822-6092-0555</t>
  </si>
  <si>
    <t>+62 822-5131-3575</t>
  </si>
  <si>
    <t>+62 812-4519-2298</t>
  </si>
  <si>
    <t>+62 813-1422-8295</t>
  </si>
  <si>
    <t>+62 857-2881-8103</t>
  </si>
  <si>
    <t>+62 812-2491-0322</t>
  </si>
  <si>
    <t>+62 818-0691-9844</t>
  </si>
  <si>
    <t>+62 857-6021-1355</t>
  </si>
  <si>
    <t>+62 812-8884-4266</t>
  </si>
  <si>
    <t>+62 856-7124-030</t>
  </si>
  <si>
    <t>+62 821-1395-1375</t>
  </si>
  <si>
    <t>+62 852-9500-0042</t>
  </si>
  <si>
    <t>+62 812-1021-3789</t>
  </si>
  <si>
    <t>+62 813-7695-3133</t>
  </si>
  <si>
    <t>+62 811-644-913</t>
  </si>
  <si>
    <t>+62 813-1920-7116</t>
  </si>
  <si>
    <t>+62 811-9568-886</t>
  </si>
  <si>
    <t>+62 8128-2230-665</t>
  </si>
  <si>
    <t>+62 812-8744-1774</t>
  </si>
  <si>
    <t>+62 857-7048-1711</t>
  </si>
  <si>
    <t>+62 813-1690-6639</t>
  </si>
  <si>
    <t>+62 857-1519-9050</t>
  </si>
  <si>
    <t>+62 859-4561-9900</t>
  </si>
  <si>
    <t>+62 812-9902-0267</t>
  </si>
  <si>
    <t>+62 856-4156-8410</t>
  </si>
  <si>
    <t>+62 813-6291-9395</t>
  </si>
  <si>
    <t>+62 813-6193-0878</t>
  </si>
  <si>
    <t>+62 812-9102-5349</t>
  </si>
  <si>
    <t>+62 813-1818-7318</t>
  </si>
  <si>
    <t>+62 877-8419-0978</t>
  </si>
  <si>
    <t>+62 8574-1188-449</t>
  </si>
  <si>
    <t>+62 813-1846-0405</t>
  </si>
  <si>
    <t>+62 812-9586-6677</t>
  </si>
  <si>
    <t>+62 821-2144-4989</t>
  </si>
  <si>
    <t>+62 838-0664-3866</t>
  </si>
  <si>
    <t>+62 856-9438-7250</t>
  </si>
  <si>
    <t>+62 813-8432-9270</t>
  </si>
  <si>
    <t>+62 812-9912-9011</t>
  </si>
  <si>
    <t>+62 821-7308-7816</t>
  </si>
  <si>
    <t>+62 813-1886-3471</t>
  </si>
  <si>
    <t>+62 857-7326-1575</t>
  </si>
  <si>
    <t>+62 812-9699-123</t>
  </si>
  <si>
    <t>+62 895-3368-96672</t>
  </si>
  <si>
    <t>+62 812-2119-3402</t>
  </si>
  <si>
    <t>+62 877-8038-9758</t>
  </si>
  <si>
    <t>+62 821-1399-1950</t>
  </si>
  <si>
    <t>+62 813-8643-5585</t>
  </si>
  <si>
    <t>+62 813-8600-7788</t>
  </si>
  <si>
    <t>+62 813-1016-7838</t>
  </si>
  <si>
    <t>+62 813-9855-7959</t>
  </si>
  <si>
    <t>+62 853-7140-4163</t>
  </si>
  <si>
    <t>+62 812-6807-4074</t>
  </si>
  <si>
    <t>+62 857-7598-7323</t>
  </si>
  <si>
    <t>+62 822-5538-5557</t>
  </si>
  <si>
    <t>+62 812-9949-5209</t>
  </si>
  <si>
    <t>+62 812-9849-4325</t>
  </si>
  <si>
    <t>+62 812-8954-4005</t>
  </si>
  <si>
    <t>+62 821-3029-5392</t>
  </si>
  <si>
    <t>+62 813-3218-1409</t>
  </si>
  <si>
    <t>+62 813-8425-5855</t>
  </si>
  <si>
    <t>+62 821-1410-00545</t>
  </si>
  <si>
    <t>+62 851-6275-1360</t>
  </si>
  <si>
    <t>+62 856-7500-887</t>
  </si>
  <si>
    <t>+62 859-5982-2621</t>
  </si>
  <si>
    <t>+62 831-1250-5824</t>
  </si>
  <si>
    <t>+62 898-0269-288</t>
  </si>
  <si>
    <t>+62 811-1193-9034</t>
  </si>
  <si>
    <t>+62 877-4832-9110</t>
  </si>
  <si>
    <t>+62 812-8084-0848</t>
  </si>
  <si>
    <t>+62 823-3546-1142</t>
  </si>
  <si>
    <t>+62 857-4382-5555</t>
  </si>
  <si>
    <t>+62 812-1015-216</t>
  </si>
  <si>
    <t>+62 813-7544-0999</t>
  </si>
  <si>
    <t>+62 812-1320-5160</t>
  </si>
  <si>
    <t>+62 813-68061116</t>
  </si>
  <si>
    <t>+62 838-2329-6661</t>
  </si>
  <si>
    <t>Budi Rahardja</t>
  </si>
  <si>
    <t>Anna S Haryadi</t>
  </si>
  <si>
    <t>+62 817-4941-066</t>
  </si>
  <si>
    <t>+62 815-1420-0068</t>
  </si>
  <si>
    <t>Santoso Suwandi</t>
  </si>
  <si>
    <t>Priyadi</t>
  </si>
  <si>
    <t>Yusuf Iskandarsyah</t>
  </si>
  <si>
    <t>Habib Abdullah Wahab Muharram</t>
  </si>
  <si>
    <t>Andi Fathullah</t>
  </si>
  <si>
    <t>Muhayar</t>
  </si>
  <si>
    <t>Dwi Kristianto</t>
  </si>
  <si>
    <t>Jusuf Gandi Lumban Tobing</t>
  </si>
  <si>
    <t>Herman</t>
  </si>
  <si>
    <t>M Ridho Pramudia</t>
  </si>
  <si>
    <t>Binsar Hutabarat</t>
  </si>
  <si>
    <t>Jeefrianda HP. Sigalingging</t>
  </si>
  <si>
    <t>Mulyani bin H Junaidi</t>
  </si>
  <si>
    <t>Yeskiel Boki</t>
  </si>
  <si>
    <t>Dwi Joko Setio Tjaroko</t>
  </si>
  <si>
    <t>Taufiq Aminudin</t>
  </si>
  <si>
    <t>+62 896-9470-0522</t>
  </si>
  <si>
    <t>+62 857-7788-4428</t>
  </si>
  <si>
    <t>+62 812-1361-2811</t>
  </si>
  <si>
    <t>+62 895-1078-0429</t>
  </si>
  <si>
    <t>+62 813-1713-1650</t>
  </si>
  <si>
    <t>+62 813-6191-3004</t>
  </si>
  <si>
    <t>+62 813-1942-6812</t>
  </si>
  <si>
    <t>+62 821-6221-3821</t>
  </si>
  <si>
    <t>+62 823-6942-8777</t>
  </si>
  <si>
    <t>+62 856-0933-4286</t>
  </si>
  <si>
    <t>+62 878-8167-4480</t>
  </si>
  <si>
    <t>+62 811-133-616</t>
  </si>
  <si>
    <t>+62 895-0210-7482</t>
  </si>
  <si>
    <t>+62 813-8426-4004</t>
  </si>
  <si>
    <t>+62 856-7861-993</t>
  </si>
  <si>
    <t>+62 813-1095-1811</t>
  </si>
  <si>
    <t>+62 815-7300-5652</t>
  </si>
  <si>
    <t>+62 812-8098-7170</t>
  </si>
  <si>
    <t>+62 813-9623-7010</t>
  </si>
  <si>
    <t>+62 853-5998-3177</t>
  </si>
  <si>
    <t>+62 813-9722-3311</t>
  </si>
  <si>
    <t>+62 852-6129-3614</t>
  </si>
  <si>
    <t>+62 821-1481-1419</t>
  </si>
  <si>
    <t>+62 812-1387-3885</t>
  </si>
  <si>
    <t>+62 812-8588-1212</t>
  </si>
  <si>
    <t>+62 896-3212-8775</t>
  </si>
  <si>
    <t>+62 813-3820-0412</t>
  </si>
  <si>
    <t>Luthfiyyah</t>
  </si>
  <si>
    <t>Reza Novembrie</t>
  </si>
  <si>
    <t>Muhammad Diki Abdul Rahman</t>
  </si>
  <si>
    <t>Deni Setiady</t>
  </si>
  <si>
    <t>Sindy Setyaningrum</t>
  </si>
  <si>
    <t>+62 822-1915-8804</t>
  </si>
  <si>
    <t>+62 822-9981-4132</t>
  </si>
  <si>
    <t>+62 858-8167-5581</t>
  </si>
  <si>
    <t>+62 812-2528-5555</t>
  </si>
  <si>
    <t>Endang Sutrisno</t>
  </si>
  <si>
    <t>Icha Mailinda</t>
  </si>
  <si>
    <t>M Fikri Caesarandi Hasibuan</t>
  </si>
  <si>
    <t>Marthen Tabun</t>
  </si>
  <si>
    <t>T Marungkil U.S. Sagala</t>
  </si>
  <si>
    <t>Teguh Pratama Januzir</t>
  </si>
  <si>
    <t>Turita Pramuning M</t>
  </si>
  <si>
    <t>Zulfikar K Siregar IR</t>
  </si>
  <si>
    <t>+62 813-89851877</t>
  </si>
  <si>
    <t>+62 877-88980659</t>
  </si>
  <si>
    <t>+62 813-1789-7764</t>
  </si>
  <si>
    <t>+62 857-8278-6571</t>
  </si>
  <si>
    <t>+62 822-2570-8799</t>
  </si>
  <si>
    <t>+62 812-8235-6976</t>
  </si>
  <si>
    <t>+62 812-3694-9841</t>
  </si>
  <si>
    <t>+62 812-9831-1976</t>
  </si>
  <si>
    <t>+62 812-3386-8624</t>
  </si>
  <si>
    <t>+62 857-1960-7726</t>
  </si>
  <si>
    <t>+62 812-1875-9198</t>
  </si>
  <si>
    <t>+62 819-9994-5447</t>
  </si>
  <si>
    <t>+62 812-9294-620</t>
  </si>
  <si>
    <t>+62 878-8222-1308</t>
  </si>
  <si>
    <t>+62 878-8401-4359</t>
  </si>
  <si>
    <t>+62 897-7449-206</t>
  </si>
  <si>
    <t>+62 813-1132-2014</t>
  </si>
  <si>
    <t>+62 812-8002-0551</t>
  </si>
  <si>
    <t>+62 811-9728-227</t>
  </si>
  <si>
    <t>+62 812-6293-9221</t>
  </si>
  <si>
    <t>+62 852-8080-5771</t>
  </si>
  <si>
    <t>+62 812-8580-2247</t>
  </si>
  <si>
    <t>+62 812-2897-5977</t>
  </si>
  <si>
    <t>+62 815-8884-838</t>
  </si>
  <si>
    <t>+62 812-4152-1262</t>
  </si>
  <si>
    <t>+62 815-1394-8537</t>
  </si>
  <si>
    <t>+62 813-1894-0491</t>
  </si>
  <si>
    <t>+62 856-9296-5294</t>
  </si>
  <si>
    <t>+62 878-6983-2081</t>
  </si>
  <si>
    <t>+62 896-2474-6190</t>
  </si>
  <si>
    <t>+62 813-1420-5669</t>
  </si>
  <si>
    <t>+62 813-7307-5210</t>
  </si>
  <si>
    <t>+62 823-1055-5988</t>
  </si>
  <si>
    <t>+62 822-4343-9555</t>
  </si>
  <si>
    <t>+62 856-9369-4287</t>
  </si>
  <si>
    <t>+62 896-6615-1134</t>
  </si>
  <si>
    <t>+62 812-8934-9170</t>
  </si>
  <si>
    <t>+62 859-2070-7074</t>
  </si>
  <si>
    <t>+62 896-3011-7006</t>
  </si>
  <si>
    <t>+62 852-9624-8470</t>
  </si>
  <si>
    <t>+62 812-1080-840</t>
  </si>
  <si>
    <t>+62 811-1975-696</t>
  </si>
  <si>
    <t>+62 812-8425-4284</t>
  </si>
  <si>
    <t>+62 813-1458-9939</t>
  </si>
  <si>
    <t>+62 811-1137-275</t>
  </si>
  <si>
    <t>Ares S. Mauboy</t>
  </si>
  <si>
    <t>Adi</t>
  </si>
  <si>
    <t>+62 812-8326-4959</t>
  </si>
  <si>
    <t>+62 857-7006-7607</t>
  </si>
  <si>
    <t>+62 877-8435-5937</t>
  </si>
  <si>
    <t>+62 8121-8555-661</t>
  </si>
  <si>
    <t>+62 822-7398-5841</t>
  </si>
  <si>
    <t>+62 812-9465-7916</t>
  </si>
  <si>
    <t>+62 822-1385-9070</t>
  </si>
  <si>
    <t>+62 856-8100-752</t>
  </si>
  <si>
    <t>+62 838-0600-4470</t>
  </si>
  <si>
    <t>+62 831-4318-2038</t>
  </si>
  <si>
    <t>+62 819-3279-8900</t>
  </si>
  <si>
    <t>+62 896-3029-4828</t>
  </si>
  <si>
    <t>+62 858-1112-8435</t>
  </si>
  <si>
    <t>+62 896-4421-9358</t>
  </si>
  <si>
    <t>+62 857-1407-2656</t>
  </si>
  <si>
    <t>+62 812-9625-7489</t>
  </si>
  <si>
    <t>+62 812-8268-4357</t>
  </si>
  <si>
    <t>+62 821-4815-2759</t>
  </si>
  <si>
    <t>+62 812-8967-5850</t>
  </si>
  <si>
    <t>+62 822-8865-3239</t>
  </si>
  <si>
    <t>+62 813-3068-3991</t>
  </si>
  <si>
    <t>+62 856-0210-0410</t>
  </si>
  <si>
    <t>+62 896-8226-1128</t>
  </si>
  <si>
    <t>+62 812-9592-4499</t>
  </si>
  <si>
    <t>+62 812-2420-8139</t>
  </si>
  <si>
    <t>+62 818-2166-74</t>
  </si>
  <si>
    <t>Others</t>
  </si>
  <si>
    <t>Sys_PID</t>
  </si>
  <si>
    <t>Name</t>
  </si>
  <si>
    <t>Contact Number</t>
  </si>
  <si>
    <t>Holder Name</t>
  </si>
  <si>
    <t>DefaultEntity
_RefID</t>
  </si>
  <si>
    <t>Default Entity
Name</t>
  </si>
  <si>
    <t>SQL Syntax</t>
  </si>
  <si>
    <t>SYS_PID
Prediction</t>
  </si>
  <si>
    <t>Personal</t>
  </si>
  <si>
    <t>Business</t>
  </si>
  <si>
    <t>Email Account Type Name</t>
  </si>
  <si>
    <t>Email Account Type
_RefID</t>
  </si>
  <si>
    <t>Email Account</t>
  </si>
  <si>
    <t>anugrah_kry@yahoo.com</t>
  </si>
  <si>
    <t>maxcell_dpt@yahoo.co.id</t>
  </si>
  <si>
    <t>dndsurvey90@gmail.com</t>
  </si>
  <si>
    <t>ejbpbun@gmail.com</t>
  </si>
  <si>
    <t>gallazkateknik@gmail.com</t>
  </si>
  <si>
    <t>owner.grd@gmail.com</t>
  </si>
  <si>
    <t>punokawan_smrg@yahoo.co.id</t>
  </si>
  <si>
    <t>office@ptasrs.id</t>
  </si>
  <si>
    <t>info@biomedilab.co.id</t>
  </si>
  <si>
    <t>yehezkiel_jc@yahoo.com08</t>
  </si>
  <si>
    <t>pemudaban@ymail.com</t>
  </si>
  <si>
    <t>sigit.koentjoro@betonperkasa.c</t>
  </si>
  <si>
    <t>budilim.bip@gmail.com</t>
  </si>
  <si>
    <t>bintangvirgoutama@gmail.com</t>
  </si>
  <si>
    <t>service@bpi-id.com</t>
  </si>
  <si>
    <t>mentariplywood@yahoo.com</t>
  </si>
  <si>
    <t>Mona@cakrawalainternasional.co</t>
  </si>
  <si>
    <t>carolinetrans@yahoo.com</t>
  </si>
  <si>
    <t>citrabanjar@gmail.com / soleha</t>
  </si>
  <si>
    <t>sahat@datascrip.co.id</t>
  </si>
  <si>
    <t>indro@denko.co.id</t>
  </si>
  <si>
    <t>marketing.dwimitra@gmail.com</t>
  </si>
  <si>
    <t>adm.fortindo.id@gmail.com</t>
  </si>
  <si>
    <t>import1@gateway-id.com</t>
  </si>
  <si>
    <t>pt.geociptabangun@gmail.com</t>
  </si>
  <si>
    <t>infracoo.ip@gmail.com</t>
  </si>
  <si>
    <t>fendilab3@yahoo.com</t>
  </si>
  <si>
    <t>iradat_aman@cbn.net.id, alaydr</t>
  </si>
  <si>
    <t>marketing@jaringtelekom.co.id</t>
  </si>
  <si>
    <t>legal@jayabeton.com</t>
  </si>
  <si>
    <t>marketing.kamesa@gmail.com</t>
  </si>
  <si>
    <t>sales@kiranapurnama.sikadistri</t>
  </si>
  <si>
    <t>magna.beton@gmail.com</t>
  </si>
  <si>
    <t>admin@mandirimahadaya.co.id</t>
  </si>
  <si>
    <t>marketing.ptmei@gmail.com</t>
  </si>
  <si>
    <t>andrianna@mgte.co.id</t>
  </si>
  <si>
    <t>sales@multi-kabel.com</t>
  </si>
  <si>
    <t>rizaemir.emir@gmail.com</t>
  </si>
  <si>
    <t>mkt-jkt@ppi.co.id</t>
  </si>
  <si>
    <t>Nurhaeni@hartrodt.com</t>
  </si>
  <si>
    <t>info@pancasoft.com</t>
  </si>
  <si>
    <t>parardyo@gmail.com</t>
  </si>
  <si>
    <t>pelangiteknik@rocketmail.com</t>
  </si>
  <si>
    <t>sales5@powerindoperkasa.com</t>
  </si>
  <si>
    <t xml:space="preserve">primaindahlestari1@gmail.com; </t>
  </si>
  <si>
    <t>sales@pmeindo.com</t>
  </si>
  <si>
    <t>primatechjayaabadi@gmail.com</t>
  </si>
  <si>
    <t>corsec@rse.co.id</t>
  </si>
  <si>
    <t>royalmadanipersada@gmail.com</t>
  </si>
  <si>
    <t>procurement.admin@qdc.co.id</t>
  </si>
  <si>
    <t>chodrin.butar@se.com</t>
  </si>
  <si>
    <t>noviindri01@gmail.com</t>
  </si>
  <si>
    <t xml:space="preserve">Martinus.Lase@siemens.com </t>
  </si>
  <si>
    <t>djayaprint@gmail.com</t>
  </si>
  <si>
    <t>suryamas@cbn.net.id</t>
  </si>
  <si>
    <t>triotamatoya@gmail.com</t>
  </si>
  <si>
    <t>ve@voksel.co.id - sales@voksel</t>
  </si>
  <si>
    <t>kreatif@indo.net.id</t>
  </si>
  <si>
    <t>yudhaberkatlayana@gmail.com</t>
  </si>
  <si>
    <t>niaga.pusertif@pln.co.id</t>
  </si>
  <si>
    <t>admin@jualwaterstop.net</t>
  </si>
  <si>
    <t>mega9jaya@yahoo.co.id</t>
  </si>
  <si>
    <t>topswalayan@ymail.com</t>
  </si>
  <si>
    <t>iwanridwantaufiq@ymail.com, ha</t>
  </si>
  <si>
    <t xml:space="preserve">Dodi80magetan@gmail.com </t>
  </si>
  <si>
    <t>kliniksimpang5@gmail.com</t>
  </si>
  <si>
    <t>rsud.kolaka@yahoo.com</t>
  </si>
  <si>
    <t>Leonardo Sampetoding</t>
  </si>
  <si>
    <t>Maxcell Online Service</t>
  </si>
  <si>
    <t>DnD Survey Bandung</t>
  </si>
  <si>
    <t>Edi Nuryanto</t>
  </si>
  <si>
    <t>Wartim</t>
  </si>
  <si>
    <t>Sigit</t>
  </si>
  <si>
    <t>Heri</t>
  </si>
  <si>
    <t>Shira</t>
  </si>
  <si>
    <t>PT. Agape Biomedi Investama</t>
  </si>
  <si>
    <t>Yehezkiel Yosafat</t>
  </si>
  <si>
    <t>Pemuda</t>
  </si>
  <si>
    <t>Sigit Koencoro</t>
  </si>
  <si>
    <t>Budi Lim</t>
  </si>
  <si>
    <t>Zulkifli Z</t>
  </si>
  <si>
    <t>Yani</t>
  </si>
  <si>
    <t>Mona</t>
  </si>
  <si>
    <t>Dohar Lumbanraja</t>
  </si>
  <si>
    <t>Solehan</t>
  </si>
  <si>
    <t>Sahat</t>
  </si>
  <si>
    <t>Indro</t>
  </si>
  <si>
    <t>Devi</t>
  </si>
  <si>
    <t>Martin</t>
  </si>
  <si>
    <t>Fitri</t>
  </si>
  <si>
    <t>Yopi</t>
  </si>
  <si>
    <t>Fendi</t>
  </si>
  <si>
    <t>Zaenudin Hasan</t>
  </si>
  <si>
    <t>Eddy</t>
  </si>
  <si>
    <t>Reza</t>
  </si>
  <si>
    <t>Galih</t>
  </si>
  <si>
    <t>Dini</t>
  </si>
  <si>
    <t>Lukman</t>
  </si>
  <si>
    <t>PT Mandiri Maha Daya</t>
  </si>
  <si>
    <t>Cici</t>
  </si>
  <si>
    <t>Andrianna</t>
  </si>
  <si>
    <t>Arie Tri</t>
  </si>
  <si>
    <t>Kofi Wang / Ryan Iskan</t>
  </si>
  <si>
    <t>Agus Fatoni</t>
  </si>
  <si>
    <t>Nurhaeni</t>
  </si>
  <si>
    <t>Diah</t>
  </si>
  <si>
    <t>Dyan Parardyo</t>
  </si>
  <si>
    <t>Sifa</t>
  </si>
  <si>
    <t>Adie</t>
  </si>
  <si>
    <t>Ariawan Jatikusumo</t>
  </si>
  <si>
    <t>Dewi</t>
  </si>
  <si>
    <t>Honorius</t>
  </si>
  <si>
    <t>Insan Kurniawan</t>
  </si>
  <si>
    <t>Chodrin Butarbutar</t>
  </si>
  <si>
    <t>Andri / Novi Indri</t>
  </si>
  <si>
    <t>Martinus Lase</t>
  </si>
  <si>
    <t>Setia Kusuma</t>
  </si>
  <si>
    <t>Mahdan</t>
  </si>
  <si>
    <t>Edy Surya Tarigan</t>
  </si>
  <si>
    <t>Acai dan Rais</t>
  </si>
  <si>
    <t>Lina</t>
  </si>
  <si>
    <t>PLN (Persero) Pusat Sertifikasi</t>
  </si>
  <si>
    <t>Surya Pitono</t>
  </si>
  <si>
    <t>Djohan Halim</t>
  </si>
  <si>
    <t>Iwan Ridwan Taufiq</t>
  </si>
  <si>
    <t>Dodi</t>
  </si>
  <si>
    <t>Fangiwati Chandra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</si>
</sst>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sz val="10"/>
      <name val="Arial"/>
      <family val="2"/>
    </font>
    <font>
      <sz val="10"/>
      <color indexed="8"/>
      <name val="MS Sans Serif"/>
      <family val="2"/>
    </font>
    <font>
      <sz val="11"/>
      <name val="Calibri"/>
      <family val="2"/>
    </font>
    <font>
      <sz val="10"/>
      <color theme="1"/>
      <name val="Arial"/>
      <family val="2"/>
    </font>
    <font>
      <b/>
      <sz val="10"/>
      <color theme="1"/>
      <name val="Arial Narrow"/>
      <family val="2"/>
    </font>
    <font>
      <b/>
      <sz val="10"/>
      <color theme="0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i/>
      <sz val="10"/>
      <color theme="3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3" fillId="0" borderId="0"/>
    <xf numFmtId="43" fontId="4" fillId="0" borderId="0" applyFont="0" applyFill="0" applyBorder="0" applyAlignment="0" applyProtection="0"/>
    <xf numFmtId="0" fontId="5" fillId="0" borderId="0"/>
    <xf numFmtId="0" fontId="3" fillId="0" borderId="0"/>
    <xf numFmtId="0" fontId="4" fillId="0" borderId="0"/>
    <xf numFmtId="0" fontId="1" fillId="0" borderId="0"/>
    <xf numFmtId="0" fontId="6" fillId="0" borderId="0"/>
  </cellStyleXfs>
  <cellXfs count="41">
    <xf numFmtId="0" fontId="0" fillId="0" borderId="0" xfId="0"/>
    <xf numFmtId="1" fontId="2" fillId="0" borderId="0" xfId="0" applyNumberFormat="1" applyFont="1"/>
    <xf numFmtId="1" fontId="2" fillId="0" borderId="0" xfId="0" applyNumberFormat="1" applyFont="1" applyAlignment="1">
      <alignment horizontal="center"/>
    </xf>
    <xf numFmtId="0" fontId="2" fillId="2" borderId="1" xfId="0" applyFont="1" applyFill="1" applyBorder="1"/>
    <xf numFmtId="0" fontId="2" fillId="2" borderId="2" xfId="0" applyFont="1" applyFill="1" applyBorder="1"/>
    <xf numFmtId="0" fontId="2" fillId="0" borderId="0" xfId="0" applyFont="1"/>
    <xf numFmtId="49" fontId="0" fillId="0" borderId="0" xfId="0" applyNumberFormat="1"/>
    <xf numFmtId="49" fontId="0" fillId="0" borderId="0" xfId="0" quotePrefix="1" applyNumberFormat="1"/>
    <xf numFmtId="1" fontId="2" fillId="0" borderId="2" xfId="0" applyNumberFormat="1" applyFont="1" applyBorder="1"/>
    <xf numFmtId="0" fontId="2" fillId="0" borderId="2" xfId="0" applyFont="1" applyBorder="1"/>
    <xf numFmtId="1" fontId="2" fillId="0" borderId="3" xfId="0" applyNumberFormat="1" applyFont="1" applyBorder="1"/>
    <xf numFmtId="0" fontId="2" fillId="0" borderId="3" xfId="0" applyFont="1" applyBorder="1"/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2" fillId="5" borderId="6" xfId="0" applyFont="1" applyFill="1" applyBorder="1"/>
    <xf numFmtId="0" fontId="2" fillId="5" borderId="7" xfId="0" applyFont="1" applyFill="1" applyBorder="1"/>
    <xf numFmtId="0" fontId="7" fillId="3" borderId="1" xfId="0" applyFont="1" applyFill="1" applyBorder="1" applyAlignment="1">
      <alignment horizontal="center" vertical="center" wrapText="1"/>
    </xf>
    <xf numFmtId="1" fontId="7" fillId="3" borderId="4" xfId="0" applyNumberFormat="1" applyFont="1" applyFill="1" applyBorder="1" applyAlignment="1">
      <alignment horizontal="center" vertical="center" wrapText="1"/>
    </xf>
    <xf numFmtId="1" fontId="2" fillId="5" borderId="6" xfId="0" applyNumberFormat="1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1" fontId="2" fillId="0" borderId="2" xfId="0" applyNumberFormat="1" applyFont="1" applyBorder="1" applyAlignment="1">
      <alignment horizontal="center"/>
    </xf>
    <xf numFmtId="49" fontId="2" fillId="0" borderId="0" xfId="0" applyNumberFormat="1" applyFont="1"/>
    <xf numFmtId="49" fontId="7" fillId="3" borderId="1" xfId="0" applyNumberFormat="1" applyFont="1" applyFill="1" applyBorder="1" applyAlignment="1">
      <alignment horizontal="center" vertical="center" wrapText="1"/>
    </xf>
    <xf numFmtId="49" fontId="2" fillId="5" borderId="8" xfId="0" applyNumberFormat="1" applyFont="1" applyFill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1" fontId="7" fillId="3" borderId="1" xfId="0" applyNumberFormat="1" applyFont="1" applyFill="1" applyBorder="1" applyAlignment="1">
      <alignment horizontal="center" vertical="center" wrapText="1"/>
    </xf>
    <xf numFmtId="1" fontId="8" fillId="4" borderId="9" xfId="0" applyNumberFormat="1" applyFont="1" applyFill="1" applyBorder="1" applyAlignment="1">
      <alignment horizontal="center" vertical="center" wrapText="1"/>
    </xf>
    <xf numFmtId="1" fontId="8" fillId="4" borderId="10" xfId="0" applyNumberFormat="1" applyFont="1" applyFill="1" applyBorder="1" applyAlignment="1">
      <alignment horizontal="center" vertical="center" wrapText="1"/>
    </xf>
    <xf numFmtId="1" fontId="9" fillId="7" borderId="12" xfId="0" applyNumberFormat="1" applyFont="1" applyFill="1" applyBorder="1" applyAlignment="1"/>
    <xf numFmtId="1" fontId="10" fillId="6" borderId="2" xfId="0" applyNumberFormat="1" applyFont="1" applyFill="1" applyBorder="1" applyAlignment="1">
      <alignment horizontal="center"/>
    </xf>
    <xf numFmtId="0" fontId="11" fillId="0" borderId="2" xfId="0" applyFont="1" applyBorder="1"/>
    <xf numFmtId="0" fontId="2" fillId="0" borderId="0" xfId="0" applyFont="1" applyAlignment="1">
      <alignment horizontal="center"/>
    </xf>
    <xf numFmtId="1" fontId="9" fillId="7" borderId="11" xfId="0" applyNumberFormat="1" applyFont="1" applyFill="1" applyBorder="1" applyAlignment="1">
      <alignment horizontal="center"/>
    </xf>
    <xf numFmtId="1" fontId="2" fillId="5" borderId="8" xfId="0" applyNumberFormat="1" applyFont="1" applyFill="1" applyBorder="1" applyAlignment="1">
      <alignment horizontal="center"/>
    </xf>
    <xf numFmtId="1" fontId="2" fillId="5" borderId="8" xfId="0" applyNumberFormat="1" applyFont="1" applyFill="1" applyBorder="1"/>
    <xf numFmtId="1" fontId="2" fillId="6" borderId="2" xfId="0" applyNumberFormat="1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</cellXfs>
  <cellStyles count="8">
    <cellStyle name="Comma 3" xfId="2"/>
    <cellStyle name="Normal" xfId="0" builtinId="0"/>
    <cellStyle name="Normal 2" xfId="3"/>
    <cellStyle name="Normal 2 2" xfId="4"/>
    <cellStyle name="Normal 2 3" xfId="5"/>
    <cellStyle name="Normal 2 4 2" xfId="6"/>
    <cellStyle name="Normal 3" xfId="1"/>
    <cellStyle name="Normal 3 2" xfId="7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ster.TblPers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aster%20-%20Institu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urce"/>
      <sheetName val="MAIN"/>
      <sheetName val="DataLookUp"/>
      <sheetName val="Pindahan dari DB ERP Live"/>
      <sheetName val="Sheet1"/>
    </sheetNames>
    <sheetDataSet>
      <sheetData sheetId="0"/>
      <sheetData sheetId="1"/>
      <sheetData sheetId="2">
        <row r="4">
          <cell r="B4">
            <v>25000000000001</v>
          </cell>
          <cell r="C4" t="str">
            <v>Abdollah Syani Siregar</v>
          </cell>
        </row>
        <row r="5">
          <cell r="B5">
            <v>25000000000002</v>
          </cell>
          <cell r="C5" t="str">
            <v>Abdul Karim</v>
          </cell>
        </row>
        <row r="6">
          <cell r="B6">
            <v>25000000000003</v>
          </cell>
          <cell r="C6" t="str">
            <v>Abdul Rahman Sitompul</v>
          </cell>
        </row>
        <row r="7">
          <cell r="B7">
            <v>25000000000004</v>
          </cell>
          <cell r="C7" t="str">
            <v>Abdul Risan</v>
          </cell>
        </row>
        <row r="8">
          <cell r="B8">
            <v>25000000000005</v>
          </cell>
          <cell r="C8" t="str">
            <v>Abdullah Nabil</v>
          </cell>
        </row>
        <row r="9">
          <cell r="B9">
            <v>25000000000006</v>
          </cell>
          <cell r="C9" t="str">
            <v>Adhitya Danar</v>
          </cell>
        </row>
        <row r="10">
          <cell r="B10">
            <v>25000000000007</v>
          </cell>
          <cell r="C10" t="str">
            <v>Adi Ruswandi</v>
          </cell>
        </row>
        <row r="11">
          <cell r="B11">
            <v>25000000000008</v>
          </cell>
          <cell r="C11" t="str">
            <v>Adietya Dharmawan</v>
          </cell>
        </row>
        <row r="12">
          <cell r="B12">
            <v>25000000000009</v>
          </cell>
          <cell r="C12" t="str">
            <v>Aditya Yudha Prawira</v>
          </cell>
        </row>
        <row r="13">
          <cell r="B13">
            <v>25000000000010</v>
          </cell>
          <cell r="C13" t="str">
            <v>Adli Margie</v>
          </cell>
        </row>
        <row r="14">
          <cell r="B14">
            <v>25000000000011</v>
          </cell>
          <cell r="C14" t="str">
            <v>Afrida Eka Putri</v>
          </cell>
        </row>
        <row r="15">
          <cell r="B15">
            <v>25000000000012</v>
          </cell>
          <cell r="C15" t="str">
            <v>Agnes Sutedja</v>
          </cell>
        </row>
        <row r="16">
          <cell r="B16">
            <v>25000000000013</v>
          </cell>
          <cell r="C16" t="str">
            <v>Agung Hendarto</v>
          </cell>
        </row>
        <row r="17">
          <cell r="B17">
            <v>25000000000014</v>
          </cell>
          <cell r="C17" t="str">
            <v>Agus Priyatno Mahmudo</v>
          </cell>
        </row>
        <row r="18">
          <cell r="B18">
            <v>25000000000015</v>
          </cell>
          <cell r="C18" t="str">
            <v>Agus Salim</v>
          </cell>
        </row>
        <row r="19">
          <cell r="B19">
            <v>25000000000016</v>
          </cell>
          <cell r="C19" t="str">
            <v>Agus Tanto</v>
          </cell>
        </row>
        <row r="20">
          <cell r="B20">
            <v>25000000000017</v>
          </cell>
          <cell r="C20" t="str">
            <v>Ahmad Faiz Haems Muda</v>
          </cell>
        </row>
        <row r="21">
          <cell r="B21">
            <v>25000000000018</v>
          </cell>
          <cell r="C21" t="str">
            <v>Ahmad Faza</v>
          </cell>
        </row>
        <row r="22">
          <cell r="B22">
            <v>25000000000019</v>
          </cell>
          <cell r="C22" t="str">
            <v>Ahmad Syaifulloh</v>
          </cell>
        </row>
        <row r="23">
          <cell r="B23">
            <v>25000000000020</v>
          </cell>
          <cell r="C23" t="str">
            <v>Ahmad Zulkarnaen</v>
          </cell>
        </row>
        <row r="24">
          <cell r="B24">
            <v>25000000000021</v>
          </cell>
          <cell r="C24" t="str">
            <v>Ajan</v>
          </cell>
        </row>
        <row r="25">
          <cell r="B25">
            <v>25000000000022</v>
          </cell>
          <cell r="C25" t="str">
            <v>Al Amin</v>
          </cell>
        </row>
        <row r="26">
          <cell r="B26">
            <v>25000000000023</v>
          </cell>
          <cell r="C26" t="str">
            <v>Aldi Mulyadi</v>
          </cell>
        </row>
        <row r="27">
          <cell r="B27">
            <v>25000000000024</v>
          </cell>
          <cell r="C27" t="str">
            <v>Alexandri</v>
          </cell>
        </row>
        <row r="28">
          <cell r="B28">
            <v>25000000000025</v>
          </cell>
          <cell r="C28" t="str">
            <v>Alfaedi</v>
          </cell>
        </row>
        <row r="29">
          <cell r="B29">
            <v>25000000000026</v>
          </cell>
          <cell r="C29" t="str">
            <v>Ali Wahono</v>
          </cell>
        </row>
        <row r="30">
          <cell r="B30">
            <v>25000000000027</v>
          </cell>
          <cell r="C30" t="str">
            <v>Alphaliyanri Lasria</v>
          </cell>
        </row>
        <row r="31">
          <cell r="B31">
            <v>25000000000028</v>
          </cell>
          <cell r="C31" t="str">
            <v>Ambon Rumalean</v>
          </cell>
        </row>
        <row r="32">
          <cell r="B32">
            <v>25000000000029</v>
          </cell>
          <cell r="C32" t="str">
            <v>Amir Sofyan Hadi</v>
          </cell>
        </row>
        <row r="33">
          <cell r="B33">
            <v>25000000000030</v>
          </cell>
          <cell r="C33" t="str">
            <v>Anak Agung Netti Ariani</v>
          </cell>
        </row>
        <row r="34">
          <cell r="B34">
            <v>25000000000031</v>
          </cell>
          <cell r="C34" t="str">
            <v>Andri Gunawan</v>
          </cell>
        </row>
        <row r="35">
          <cell r="B35">
            <v>25000000000032</v>
          </cell>
          <cell r="C35" t="str">
            <v>Andri Herdiansyah</v>
          </cell>
        </row>
        <row r="36">
          <cell r="B36">
            <v>25000000000033</v>
          </cell>
          <cell r="C36" t="str">
            <v>Andrie</v>
          </cell>
        </row>
        <row r="37">
          <cell r="B37">
            <v>25000000000034</v>
          </cell>
          <cell r="C37" t="str">
            <v>Anggina Tri Yudandi</v>
          </cell>
        </row>
        <row r="38">
          <cell r="B38">
            <v>25000000000035</v>
          </cell>
          <cell r="C38" t="str">
            <v>Anggit Ismiyanto</v>
          </cell>
        </row>
        <row r="39">
          <cell r="B39">
            <v>25000000000036</v>
          </cell>
          <cell r="C39" t="str">
            <v>Anika Setyowati</v>
          </cell>
        </row>
        <row r="40">
          <cell r="B40">
            <v>25000000000037</v>
          </cell>
          <cell r="C40" t="str">
            <v>Anisah</v>
          </cell>
        </row>
        <row r="41">
          <cell r="B41">
            <v>25000000000038</v>
          </cell>
          <cell r="C41" t="str">
            <v>Anna Savitrie</v>
          </cell>
        </row>
        <row r="42">
          <cell r="B42">
            <v>25000000000039</v>
          </cell>
          <cell r="C42" t="str">
            <v>Annisa Dewi Arumsari</v>
          </cell>
        </row>
        <row r="43">
          <cell r="B43">
            <v>25000000000040</v>
          </cell>
          <cell r="C43" t="str">
            <v>Annyes Sri Maristi</v>
          </cell>
        </row>
        <row r="44">
          <cell r="B44">
            <v>25000000000041</v>
          </cell>
          <cell r="C44" t="str">
            <v>Antok</v>
          </cell>
        </row>
        <row r="45">
          <cell r="B45">
            <v>25000000000042</v>
          </cell>
          <cell r="C45" t="str">
            <v>Anton Iryanto</v>
          </cell>
        </row>
        <row r="46">
          <cell r="B46">
            <v>25000000000043</v>
          </cell>
          <cell r="C46" t="str">
            <v>Antony Pakpahan</v>
          </cell>
        </row>
        <row r="47">
          <cell r="B47">
            <v>25000000000044</v>
          </cell>
          <cell r="C47" t="str">
            <v>Anugerah Januariansyah</v>
          </cell>
        </row>
        <row r="48">
          <cell r="B48">
            <v>25000000000045</v>
          </cell>
          <cell r="C48" t="str">
            <v>Anwar Purnomo</v>
          </cell>
        </row>
        <row r="49">
          <cell r="B49">
            <v>25000000000046</v>
          </cell>
          <cell r="C49" t="str">
            <v>Ardhi Swasono</v>
          </cell>
        </row>
        <row r="50">
          <cell r="B50">
            <v>25000000000047</v>
          </cell>
          <cell r="C50" t="str">
            <v>Ardi</v>
          </cell>
        </row>
        <row r="51">
          <cell r="B51">
            <v>25000000000048</v>
          </cell>
          <cell r="C51" t="str">
            <v>Ardiansyah</v>
          </cell>
        </row>
        <row r="52">
          <cell r="B52">
            <v>25000000000049</v>
          </cell>
          <cell r="C52" t="str">
            <v>Ardisam</v>
          </cell>
        </row>
        <row r="53">
          <cell r="B53">
            <v>25000000000050</v>
          </cell>
          <cell r="C53" t="str">
            <v>Ardita</v>
          </cell>
        </row>
        <row r="54">
          <cell r="B54">
            <v>25000000000051</v>
          </cell>
          <cell r="C54" t="str">
            <v>Ares S. Mauboi</v>
          </cell>
        </row>
        <row r="55">
          <cell r="B55">
            <v>25000000000052</v>
          </cell>
          <cell r="C55" t="str">
            <v>Arfah Hanum</v>
          </cell>
        </row>
        <row r="56">
          <cell r="B56">
            <v>25000000000053</v>
          </cell>
          <cell r="C56" t="str">
            <v>Arfianti Haryani</v>
          </cell>
        </row>
        <row r="57">
          <cell r="B57">
            <v>25000000000054</v>
          </cell>
          <cell r="C57" t="str">
            <v>Ari Priwarsono</v>
          </cell>
        </row>
        <row r="58">
          <cell r="B58">
            <v>25000000000055</v>
          </cell>
          <cell r="C58" t="str">
            <v>Ari Yuniasmono</v>
          </cell>
        </row>
        <row r="59">
          <cell r="B59">
            <v>25000000000056</v>
          </cell>
          <cell r="C59" t="str">
            <v>Arif Gunawan</v>
          </cell>
        </row>
        <row r="60">
          <cell r="B60">
            <v>25000000000057</v>
          </cell>
          <cell r="C60" t="str">
            <v>Arif Prasetyo</v>
          </cell>
        </row>
        <row r="61">
          <cell r="B61">
            <v>25000000000058</v>
          </cell>
          <cell r="C61" t="str">
            <v>Arini</v>
          </cell>
        </row>
        <row r="62">
          <cell r="B62">
            <v>25000000000059</v>
          </cell>
          <cell r="C62" t="str">
            <v>Ario Setyo Gunawan</v>
          </cell>
        </row>
        <row r="63">
          <cell r="B63">
            <v>25000000000060</v>
          </cell>
          <cell r="C63" t="str">
            <v>Ario Yulianto Wibowo</v>
          </cell>
        </row>
        <row r="64">
          <cell r="B64">
            <v>25000000000061</v>
          </cell>
          <cell r="C64" t="str">
            <v>Aris Widodo Pamungkas</v>
          </cell>
        </row>
        <row r="65">
          <cell r="B65">
            <v>25000000000062</v>
          </cell>
          <cell r="C65" t="str">
            <v>Arjiyanto</v>
          </cell>
        </row>
        <row r="66">
          <cell r="B66">
            <v>25000000000063</v>
          </cell>
          <cell r="C66" t="str">
            <v>Arman</v>
          </cell>
        </row>
        <row r="67">
          <cell r="B67">
            <v>25000000000064</v>
          </cell>
          <cell r="C67" t="str">
            <v>Aryoko Sudiro</v>
          </cell>
        </row>
        <row r="68">
          <cell r="B68">
            <v>25000000000065</v>
          </cell>
          <cell r="C68" t="str">
            <v>Astamyugo</v>
          </cell>
        </row>
        <row r="69">
          <cell r="B69">
            <v>25000000000066</v>
          </cell>
          <cell r="C69" t="str">
            <v>Atmo Sastro Dinoto</v>
          </cell>
        </row>
        <row r="70">
          <cell r="B70">
            <v>25000000000067</v>
          </cell>
          <cell r="C70" t="str">
            <v>Awaludin</v>
          </cell>
        </row>
        <row r="71">
          <cell r="B71">
            <v>25000000000068</v>
          </cell>
          <cell r="C71" t="str">
            <v>Bachtiar</v>
          </cell>
        </row>
        <row r="72">
          <cell r="B72">
            <v>25000000000069</v>
          </cell>
          <cell r="C72" t="str">
            <v>Bambang Irawan</v>
          </cell>
        </row>
        <row r="73">
          <cell r="B73">
            <v>25000000000070</v>
          </cell>
          <cell r="C73" t="str">
            <v>Bambang Prihatin</v>
          </cell>
        </row>
        <row r="74">
          <cell r="B74">
            <v>25000000000071</v>
          </cell>
          <cell r="C74" t="str">
            <v>Bani Mustazeni</v>
          </cell>
        </row>
        <row r="75">
          <cell r="B75">
            <v>25000000000072</v>
          </cell>
          <cell r="C75" t="str">
            <v>Bardai</v>
          </cell>
        </row>
        <row r="76">
          <cell r="B76">
            <v>25000000000073</v>
          </cell>
          <cell r="C76" t="str">
            <v>Barika</v>
          </cell>
        </row>
        <row r="77">
          <cell r="B77">
            <v>25000000000074</v>
          </cell>
          <cell r="C77" t="str">
            <v>Bela Retmalantika</v>
          </cell>
        </row>
        <row r="78">
          <cell r="B78">
            <v>25000000000075</v>
          </cell>
          <cell r="C78" t="str">
            <v>Belina Lindarwani</v>
          </cell>
        </row>
        <row r="79">
          <cell r="B79">
            <v>25000000000076</v>
          </cell>
          <cell r="C79" t="str">
            <v>Benita Sofia</v>
          </cell>
        </row>
        <row r="80">
          <cell r="B80">
            <v>25000000000077</v>
          </cell>
          <cell r="C80" t="str">
            <v>Bherly Novrandy</v>
          </cell>
        </row>
        <row r="81">
          <cell r="B81">
            <v>25000000000078</v>
          </cell>
          <cell r="C81" t="str">
            <v>Binsar</v>
          </cell>
        </row>
        <row r="82">
          <cell r="B82">
            <v>25000000000079</v>
          </cell>
          <cell r="C82" t="str">
            <v>Bondhan Sosiarta</v>
          </cell>
        </row>
        <row r="83">
          <cell r="B83">
            <v>25000000000080</v>
          </cell>
          <cell r="C83" t="str">
            <v>Budi Pranata Sinaga</v>
          </cell>
        </row>
        <row r="84">
          <cell r="B84">
            <v>25000000000081</v>
          </cell>
          <cell r="C84" t="str">
            <v>Budi Satrio</v>
          </cell>
        </row>
        <row r="85">
          <cell r="B85">
            <v>25000000000082</v>
          </cell>
          <cell r="C85" t="str">
            <v>Budianto</v>
          </cell>
        </row>
        <row r="86">
          <cell r="B86">
            <v>25000000000083</v>
          </cell>
          <cell r="C86" t="str">
            <v>Budiman</v>
          </cell>
        </row>
        <row r="87">
          <cell r="B87">
            <v>25000000000084</v>
          </cell>
          <cell r="C87" t="str">
            <v>Cahyaning Annisa</v>
          </cell>
        </row>
        <row r="88">
          <cell r="B88">
            <v>25000000000085</v>
          </cell>
          <cell r="C88" t="str">
            <v>Cahyaningrum Widiastuti</v>
          </cell>
        </row>
        <row r="89">
          <cell r="B89">
            <v>25000000000086</v>
          </cell>
          <cell r="C89" t="str">
            <v>Cecep Maulana</v>
          </cell>
        </row>
        <row r="90">
          <cell r="B90">
            <v>25000000000087</v>
          </cell>
          <cell r="C90" t="str">
            <v>Chairul Musaddat</v>
          </cell>
        </row>
        <row r="91">
          <cell r="B91">
            <v>25000000000088</v>
          </cell>
          <cell r="C91" t="str">
            <v>Christianto</v>
          </cell>
        </row>
        <row r="92">
          <cell r="B92">
            <v>25000000000089</v>
          </cell>
          <cell r="C92" t="str">
            <v>Dadan Hermawan</v>
          </cell>
        </row>
        <row r="93">
          <cell r="B93">
            <v>25000000000090</v>
          </cell>
          <cell r="C93" t="str">
            <v>Dadan Suhendar</v>
          </cell>
        </row>
        <row r="94">
          <cell r="B94">
            <v>25000000000091</v>
          </cell>
          <cell r="C94" t="str">
            <v>Dadi Anda Zuchradi</v>
          </cell>
        </row>
        <row r="95">
          <cell r="B95">
            <v>25000000000092</v>
          </cell>
          <cell r="C95" t="str">
            <v>Darsito</v>
          </cell>
        </row>
        <row r="96">
          <cell r="B96">
            <v>25000000000093</v>
          </cell>
          <cell r="C96" t="str">
            <v>Davit Lumban Gaol</v>
          </cell>
        </row>
        <row r="97">
          <cell r="B97">
            <v>25000000000094</v>
          </cell>
          <cell r="C97" t="str">
            <v>Deddy Rochman</v>
          </cell>
        </row>
        <row r="98">
          <cell r="B98">
            <v>25000000000095</v>
          </cell>
          <cell r="C98" t="str">
            <v>Dedi Kusnadi</v>
          </cell>
        </row>
        <row r="99">
          <cell r="B99">
            <v>25000000000096</v>
          </cell>
          <cell r="C99" t="str">
            <v>Dedi Marciano Rizanur</v>
          </cell>
        </row>
        <row r="100">
          <cell r="B100">
            <v>25000000000097</v>
          </cell>
          <cell r="C100" t="str">
            <v>Dedi Rianto</v>
          </cell>
        </row>
        <row r="101">
          <cell r="B101">
            <v>25000000000098</v>
          </cell>
          <cell r="C101" t="str">
            <v>Dedi Syahputra</v>
          </cell>
        </row>
        <row r="102">
          <cell r="B102">
            <v>25000000000099</v>
          </cell>
          <cell r="C102" t="str">
            <v>Deni Setiawan</v>
          </cell>
        </row>
        <row r="103">
          <cell r="B103">
            <v>25000000000100</v>
          </cell>
          <cell r="C103" t="str">
            <v>Deny Adi Purnama</v>
          </cell>
        </row>
        <row r="104">
          <cell r="B104">
            <v>25000000000101</v>
          </cell>
          <cell r="C104" t="str">
            <v>Desi Herawati</v>
          </cell>
        </row>
        <row r="105">
          <cell r="B105">
            <v>25000000000102</v>
          </cell>
          <cell r="C105" t="str">
            <v>Desi Setiowati</v>
          </cell>
        </row>
        <row r="106">
          <cell r="B106">
            <v>25000000000103</v>
          </cell>
          <cell r="C106" t="str">
            <v>Dian Firdaus</v>
          </cell>
        </row>
        <row r="107">
          <cell r="B107">
            <v>25000000000104</v>
          </cell>
          <cell r="C107" t="str">
            <v>Dian Hariyana</v>
          </cell>
        </row>
        <row r="108">
          <cell r="B108">
            <v>25000000000105</v>
          </cell>
          <cell r="C108" t="str">
            <v>Dinnar Budiarti</v>
          </cell>
        </row>
        <row r="109">
          <cell r="B109">
            <v>25000000000106</v>
          </cell>
          <cell r="C109" t="str">
            <v>Dionesius Sostenist Duka</v>
          </cell>
        </row>
        <row r="110">
          <cell r="B110">
            <v>25000000000107</v>
          </cell>
          <cell r="C110" t="str">
            <v>Diyah Martina</v>
          </cell>
        </row>
        <row r="111">
          <cell r="B111">
            <v>25000000000108</v>
          </cell>
          <cell r="C111" t="str">
            <v>Djuang Tampubolon</v>
          </cell>
        </row>
        <row r="112">
          <cell r="B112">
            <v>25000000000109</v>
          </cell>
          <cell r="C112" t="str">
            <v>Dodit Widiarto</v>
          </cell>
        </row>
        <row r="113">
          <cell r="B113">
            <v>25000000000110</v>
          </cell>
          <cell r="C113" t="str">
            <v>Dony Darmawan</v>
          </cell>
        </row>
        <row r="114">
          <cell r="B114">
            <v>25000000000111</v>
          </cell>
          <cell r="C114" t="str">
            <v>Dony Setiawan</v>
          </cell>
        </row>
        <row r="115">
          <cell r="B115">
            <v>25000000000112</v>
          </cell>
          <cell r="C115" t="str">
            <v>Dudi Rustandi</v>
          </cell>
        </row>
        <row r="116">
          <cell r="B116">
            <v>25000000000113</v>
          </cell>
          <cell r="C116" t="str">
            <v>Dudung</v>
          </cell>
        </row>
        <row r="117">
          <cell r="B117">
            <v>25000000000114</v>
          </cell>
          <cell r="C117" t="str">
            <v>Dwi Joko Setio Tjaroko</v>
          </cell>
        </row>
        <row r="118">
          <cell r="B118">
            <v>25000000000115</v>
          </cell>
          <cell r="C118" t="str">
            <v>Dwinanto Prabowo</v>
          </cell>
        </row>
        <row r="119">
          <cell r="B119">
            <v>25000000000116</v>
          </cell>
          <cell r="C119" t="str">
            <v>Edi Waluyo</v>
          </cell>
        </row>
        <row r="120">
          <cell r="B120">
            <v>25000000000117</v>
          </cell>
          <cell r="C120" t="str">
            <v>Edi Siswanto</v>
          </cell>
        </row>
        <row r="121">
          <cell r="B121">
            <v>25000000000118</v>
          </cell>
          <cell r="C121" t="str">
            <v>Edi Turnip</v>
          </cell>
        </row>
        <row r="122">
          <cell r="B122">
            <v>25000000000119</v>
          </cell>
          <cell r="C122" t="str">
            <v>Edy Putra Waskita</v>
          </cell>
        </row>
        <row r="123">
          <cell r="B123">
            <v>25000000000120</v>
          </cell>
          <cell r="C123" t="str">
            <v>Edy Syahputra Situmeang</v>
          </cell>
        </row>
        <row r="124">
          <cell r="B124">
            <v>25000000000121</v>
          </cell>
          <cell r="C124" t="str">
            <v>Effendi fendi</v>
          </cell>
        </row>
        <row r="125">
          <cell r="B125">
            <v>25000000000122</v>
          </cell>
          <cell r="C125" t="str">
            <v>Efrina Dwililia</v>
          </cell>
        </row>
        <row r="126">
          <cell r="B126">
            <v>25000000000123</v>
          </cell>
          <cell r="C126" t="str">
            <v>Eka Bagus Dwi Putra</v>
          </cell>
        </row>
        <row r="127">
          <cell r="B127">
            <v>25000000000124</v>
          </cell>
          <cell r="C127" t="str">
            <v>Eka Hamidah</v>
          </cell>
        </row>
        <row r="128">
          <cell r="B128">
            <v>25000000000125</v>
          </cell>
          <cell r="C128" t="str">
            <v>Eka Purwanti</v>
          </cell>
        </row>
        <row r="129">
          <cell r="B129">
            <v>25000000000126</v>
          </cell>
          <cell r="C129" t="str">
            <v>Eka Kurniawan Hidayatullah</v>
          </cell>
        </row>
        <row r="130">
          <cell r="B130">
            <v>25000000000127</v>
          </cell>
          <cell r="C130" t="str">
            <v>Eko Laksono</v>
          </cell>
        </row>
        <row r="131">
          <cell r="B131">
            <v>25000000000128</v>
          </cell>
          <cell r="C131" t="str">
            <v>Eko Syambudi</v>
          </cell>
        </row>
        <row r="132">
          <cell r="B132">
            <v>25000000000129</v>
          </cell>
          <cell r="C132" t="str">
            <v>Elieser Ferdy P.</v>
          </cell>
        </row>
        <row r="133">
          <cell r="B133">
            <v>25000000000130</v>
          </cell>
          <cell r="C133" t="str">
            <v>Elisa</v>
          </cell>
        </row>
        <row r="134">
          <cell r="B134">
            <v>25000000000131</v>
          </cell>
          <cell r="C134" t="str">
            <v>Elsa Jayanti</v>
          </cell>
        </row>
        <row r="135">
          <cell r="B135">
            <v>25000000000132</v>
          </cell>
          <cell r="C135" t="str">
            <v>Elsa Mardian</v>
          </cell>
        </row>
        <row r="136">
          <cell r="B136">
            <v>25000000000133</v>
          </cell>
          <cell r="C136" t="str">
            <v>Emir Paranita Nasution</v>
          </cell>
        </row>
        <row r="137">
          <cell r="B137">
            <v>25000000000134</v>
          </cell>
          <cell r="C137" t="str">
            <v>Enceng Hemawan</v>
          </cell>
        </row>
        <row r="138">
          <cell r="B138">
            <v>25000000000135</v>
          </cell>
          <cell r="C138" t="str">
            <v>Endang</v>
          </cell>
        </row>
        <row r="139">
          <cell r="B139">
            <v>25000000000136</v>
          </cell>
          <cell r="C139" t="str">
            <v>Endang Lestari</v>
          </cell>
        </row>
        <row r="140">
          <cell r="B140">
            <v>25000000000137</v>
          </cell>
          <cell r="C140" t="str">
            <v>Endang Sobari</v>
          </cell>
        </row>
        <row r="141">
          <cell r="B141">
            <v>25000000000138</v>
          </cell>
          <cell r="C141" t="str">
            <v>Endang Sutrisna</v>
          </cell>
        </row>
        <row r="142">
          <cell r="B142">
            <v>25000000000139</v>
          </cell>
          <cell r="C142" t="str">
            <v>Erfananda Rasyid</v>
          </cell>
        </row>
        <row r="143">
          <cell r="B143">
            <v>25000000000140</v>
          </cell>
          <cell r="C143" t="str">
            <v>Ernawati</v>
          </cell>
        </row>
        <row r="144">
          <cell r="B144">
            <v>25000000000141</v>
          </cell>
          <cell r="C144" t="str">
            <v>Erwin Firmansyah</v>
          </cell>
        </row>
        <row r="145">
          <cell r="B145">
            <v>25000000000142</v>
          </cell>
          <cell r="C145" t="str">
            <v>Erwin Said</v>
          </cell>
        </row>
        <row r="146">
          <cell r="B146">
            <v>25000000000143</v>
          </cell>
          <cell r="C146" t="str">
            <v>Esa Annahar</v>
          </cell>
        </row>
        <row r="147">
          <cell r="B147">
            <v>25000000000144</v>
          </cell>
          <cell r="C147" t="str">
            <v>Faiz Horifal</v>
          </cell>
        </row>
        <row r="148">
          <cell r="B148">
            <v>25000000000145</v>
          </cell>
          <cell r="C148" t="str">
            <v>Fani Dwi Astutik</v>
          </cell>
        </row>
        <row r="149">
          <cell r="B149">
            <v>25000000000146</v>
          </cell>
          <cell r="C149" t="str">
            <v>Fardi Nauli R</v>
          </cell>
        </row>
        <row r="150">
          <cell r="B150">
            <v>25000000000147</v>
          </cell>
          <cell r="C150" t="str">
            <v>Farekh Huzair</v>
          </cell>
        </row>
        <row r="151">
          <cell r="B151">
            <v>25000000000148</v>
          </cell>
          <cell r="C151" t="str">
            <v>Farhana</v>
          </cell>
        </row>
        <row r="152">
          <cell r="B152">
            <v>25000000000149</v>
          </cell>
          <cell r="C152" t="str">
            <v>Febriyanto Ahdiat</v>
          </cell>
        </row>
        <row r="153">
          <cell r="B153">
            <v>25000000000150</v>
          </cell>
          <cell r="C153" t="str">
            <v>Febryan Mahsyar</v>
          </cell>
        </row>
        <row r="154">
          <cell r="B154">
            <v>25000000000151</v>
          </cell>
          <cell r="C154" t="str">
            <v>Felpy</v>
          </cell>
        </row>
        <row r="155">
          <cell r="B155">
            <v>25000000000152</v>
          </cell>
          <cell r="C155" t="str">
            <v>Feri Priyanto</v>
          </cell>
        </row>
        <row r="156">
          <cell r="B156">
            <v>25000000000153</v>
          </cell>
          <cell r="C156" t="str">
            <v>Ferry P Simanjuntak</v>
          </cell>
        </row>
        <row r="157">
          <cell r="B157">
            <v>25000000000154</v>
          </cell>
          <cell r="C157" t="str">
            <v>Fikri</v>
          </cell>
        </row>
        <row r="158">
          <cell r="B158">
            <v>25000000000155</v>
          </cell>
          <cell r="C158" t="str">
            <v>M. Fikri Caesarandi Hasibuan</v>
          </cell>
        </row>
        <row r="159">
          <cell r="B159">
            <v>25000000000156</v>
          </cell>
          <cell r="C159" t="str">
            <v>Firman Akbar</v>
          </cell>
        </row>
        <row r="160">
          <cell r="B160">
            <v>25000000000157</v>
          </cell>
          <cell r="C160" t="str">
            <v>Fitriastuti Kurnia</v>
          </cell>
        </row>
        <row r="161">
          <cell r="B161">
            <v>25000000000158</v>
          </cell>
          <cell r="C161" t="str">
            <v>Francis Imanuel</v>
          </cell>
        </row>
        <row r="162">
          <cell r="B162">
            <v>25000000000159</v>
          </cell>
          <cell r="C162" t="str">
            <v>Frando Judi Siahaan</v>
          </cell>
        </row>
        <row r="163">
          <cell r="B163">
            <v>25000000000160</v>
          </cell>
          <cell r="C163" t="str">
            <v>Frederika Intan</v>
          </cell>
        </row>
        <row r="164">
          <cell r="B164">
            <v>25000000000161</v>
          </cell>
          <cell r="C164" t="str">
            <v>Fuad Febrian</v>
          </cell>
        </row>
        <row r="165">
          <cell r="B165">
            <v>25000000000162</v>
          </cell>
          <cell r="C165" t="str">
            <v>Wiyadianto</v>
          </cell>
        </row>
        <row r="166">
          <cell r="B166">
            <v>25000000000163</v>
          </cell>
          <cell r="C166" t="str">
            <v>Galuh Swastika</v>
          </cell>
        </row>
        <row r="167">
          <cell r="B167">
            <v>25000000000164</v>
          </cell>
          <cell r="C167" t="str">
            <v>Ganda Yuharis R.</v>
          </cell>
        </row>
        <row r="168">
          <cell r="B168">
            <v>25000000000165</v>
          </cell>
          <cell r="C168" t="str">
            <v>Gatot Harsono</v>
          </cell>
        </row>
        <row r="169">
          <cell r="B169">
            <v>25000000000166</v>
          </cell>
          <cell r="C169" t="str">
            <v>Gina Septa</v>
          </cell>
        </row>
        <row r="170">
          <cell r="B170">
            <v>25000000000167</v>
          </cell>
          <cell r="C170" t="str">
            <v>Grace Kurniawan</v>
          </cell>
        </row>
        <row r="171">
          <cell r="B171">
            <v>25000000000168</v>
          </cell>
          <cell r="C171" t="str">
            <v>Gunawan</v>
          </cell>
        </row>
        <row r="172">
          <cell r="B172">
            <v>25000000000169</v>
          </cell>
          <cell r="C172" t="str">
            <v>Gustia Rakhmanita</v>
          </cell>
        </row>
        <row r="173">
          <cell r="B173">
            <v>25000000000170</v>
          </cell>
          <cell r="C173" t="str">
            <v>Habib Abdullah</v>
          </cell>
        </row>
        <row r="174">
          <cell r="B174">
            <v>25000000000171</v>
          </cell>
          <cell r="C174" t="str">
            <v>Hadi Kasmuri</v>
          </cell>
        </row>
        <row r="175">
          <cell r="B175">
            <v>25000000000172</v>
          </cell>
          <cell r="C175" t="str">
            <v>Haikal</v>
          </cell>
        </row>
        <row r="176">
          <cell r="B176">
            <v>25000000000173</v>
          </cell>
          <cell r="C176" t="str">
            <v>Hanantowiryo Tamtama</v>
          </cell>
        </row>
        <row r="177">
          <cell r="B177">
            <v>25000000000174</v>
          </cell>
          <cell r="C177" t="str">
            <v>Handoko</v>
          </cell>
        </row>
        <row r="178">
          <cell r="B178">
            <v>25000000000175</v>
          </cell>
          <cell r="C178" t="str">
            <v>Hanif Ashari</v>
          </cell>
        </row>
        <row r="179">
          <cell r="B179">
            <v>25000000000176</v>
          </cell>
          <cell r="C179" t="str">
            <v>Hanif Eko Saputro</v>
          </cell>
        </row>
        <row r="180">
          <cell r="B180">
            <v>25000000000177</v>
          </cell>
          <cell r="C180" t="str">
            <v>Hardianto</v>
          </cell>
        </row>
        <row r="181">
          <cell r="B181">
            <v>25000000000178</v>
          </cell>
          <cell r="C181" t="str">
            <v>Harlen Amudi Purba</v>
          </cell>
        </row>
        <row r="182">
          <cell r="B182">
            <v>25000000000179</v>
          </cell>
          <cell r="C182" t="str">
            <v>Harry Isnaeni</v>
          </cell>
        </row>
        <row r="183">
          <cell r="B183">
            <v>25000000000180</v>
          </cell>
          <cell r="C183" t="str">
            <v>Hasan Gani</v>
          </cell>
        </row>
        <row r="184">
          <cell r="B184">
            <v>25000000000181</v>
          </cell>
          <cell r="C184" t="str">
            <v>Hasrul</v>
          </cell>
        </row>
        <row r="185">
          <cell r="B185">
            <v>25000000000182</v>
          </cell>
          <cell r="C185" t="str">
            <v>Hendar Pambudi</v>
          </cell>
        </row>
        <row r="186">
          <cell r="B186">
            <v>25000000000183</v>
          </cell>
          <cell r="C186" t="str">
            <v>Hendri Kustian</v>
          </cell>
        </row>
        <row r="187">
          <cell r="B187">
            <v>25000000000184</v>
          </cell>
          <cell r="C187" t="str">
            <v>Hendrik</v>
          </cell>
        </row>
        <row r="188">
          <cell r="B188">
            <v>25000000000185</v>
          </cell>
          <cell r="C188" t="str">
            <v>Herdi Yulia Rohmana</v>
          </cell>
        </row>
        <row r="189">
          <cell r="B189">
            <v>25000000000186</v>
          </cell>
          <cell r="C189" t="str">
            <v>Heri Susanto</v>
          </cell>
        </row>
        <row r="190">
          <cell r="B190">
            <v>25000000000187</v>
          </cell>
          <cell r="C190" t="str">
            <v>Herlin Juli Asri</v>
          </cell>
        </row>
        <row r="191">
          <cell r="B191">
            <v>25000000000188</v>
          </cell>
          <cell r="C191" t="str">
            <v>Herman Budoyo</v>
          </cell>
        </row>
        <row r="192">
          <cell r="B192">
            <v>25000000000189</v>
          </cell>
          <cell r="C192" t="str">
            <v>Herni Yuliati</v>
          </cell>
        </row>
        <row r="193">
          <cell r="B193">
            <v>25000000000190</v>
          </cell>
          <cell r="C193" t="str">
            <v>Hernita Dwi</v>
          </cell>
        </row>
        <row r="194">
          <cell r="B194">
            <v>25000000000191</v>
          </cell>
          <cell r="C194" t="str">
            <v>Herri Setyawan</v>
          </cell>
        </row>
        <row r="195">
          <cell r="B195">
            <v>25000000000192</v>
          </cell>
          <cell r="C195" t="str">
            <v>Heru Sugiri</v>
          </cell>
        </row>
        <row r="196">
          <cell r="B196">
            <v>25000000000193</v>
          </cell>
          <cell r="C196" t="str">
            <v>Hervian Bagus Saputra</v>
          </cell>
        </row>
        <row r="197">
          <cell r="B197">
            <v>25000000000194</v>
          </cell>
          <cell r="C197" t="str">
            <v>H.R. Marlina S. T. R.</v>
          </cell>
        </row>
        <row r="198">
          <cell r="B198">
            <v>25000000000195</v>
          </cell>
          <cell r="C198" t="str">
            <v>Ibrahim Soukani</v>
          </cell>
        </row>
        <row r="199">
          <cell r="B199">
            <v>25000000000196</v>
          </cell>
          <cell r="C199" t="str">
            <v>Icha Mailinda Syamsoedin</v>
          </cell>
        </row>
        <row r="200">
          <cell r="B200">
            <v>25000000000197</v>
          </cell>
          <cell r="C200" t="str">
            <v>Ichsanudin</v>
          </cell>
        </row>
        <row r="201">
          <cell r="B201">
            <v>25000000000198</v>
          </cell>
          <cell r="C201" t="str">
            <v>Ida Tri Wulaningsih</v>
          </cell>
        </row>
        <row r="202">
          <cell r="B202">
            <v>25000000000199</v>
          </cell>
          <cell r="C202" t="str">
            <v>Idham</v>
          </cell>
        </row>
        <row r="203">
          <cell r="B203">
            <v>25000000000200</v>
          </cell>
          <cell r="C203" t="str">
            <v>Idham Nasution</v>
          </cell>
        </row>
        <row r="204">
          <cell r="B204">
            <v>25000000000201</v>
          </cell>
          <cell r="C204" t="str">
            <v>Idian</v>
          </cell>
        </row>
        <row r="205">
          <cell r="B205">
            <v>25000000000202</v>
          </cell>
          <cell r="C205" t="str">
            <v>Ikun M. Soedrajat</v>
          </cell>
        </row>
        <row r="206">
          <cell r="B206">
            <v>25000000000203</v>
          </cell>
          <cell r="C206" t="str">
            <v>Ilham Arisyandy</v>
          </cell>
        </row>
        <row r="207">
          <cell r="B207">
            <v>25000000000204</v>
          </cell>
          <cell r="C207" t="str">
            <v>Ilham Akbar</v>
          </cell>
        </row>
        <row r="208">
          <cell r="B208">
            <v>25000000000205</v>
          </cell>
          <cell r="C208" t="str">
            <v>Imam Basuki</v>
          </cell>
        </row>
        <row r="209">
          <cell r="B209">
            <v>25000000000206</v>
          </cell>
          <cell r="C209" t="str">
            <v>Imam Mustofa</v>
          </cell>
        </row>
        <row r="210">
          <cell r="B210">
            <v>25000000000207</v>
          </cell>
          <cell r="C210" t="str">
            <v>Imam Safiiy</v>
          </cell>
        </row>
        <row r="211">
          <cell r="B211">
            <v>25000000000208</v>
          </cell>
          <cell r="C211" t="str">
            <v>Iman Hakiki</v>
          </cell>
        </row>
        <row r="212">
          <cell r="B212">
            <v>25000000000209</v>
          </cell>
          <cell r="C212" t="str">
            <v>Imelda Claudia</v>
          </cell>
        </row>
        <row r="213">
          <cell r="B213">
            <v>25000000000210</v>
          </cell>
          <cell r="C213" t="str">
            <v>Indawan Haryadi</v>
          </cell>
        </row>
        <row r="214">
          <cell r="B214">
            <v>25000000000211</v>
          </cell>
          <cell r="C214" t="str">
            <v>Indra Jaya</v>
          </cell>
        </row>
        <row r="215">
          <cell r="B215">
            <v>25000000000212</v>
          </cell>
          <cell r="C215" t="str">
            <v>Indra Muchtar</v>
          </cell>
        </row>
        <row r="216">
          <cell r="B216">
            <v>25000000000213</v>
          </cell>
          <cell r="C216" t="str">
            <v>Irvan</v>
          </cell>
        </row>
        <row r="217">
          <cell r="B217">
            <v>25000000000214</v>
          </cell>
          <cell r="C217" t="str">
            <v>Irvan Agus Dharma Eka Putra</v>
          </cell>
        </row>
        <row r="218">
          <cell r="B218">
            <v>25000000000215</v>
          </cell>
          <cell r="C218" t="str">
            <v>Irwan</v>
          </cell>
        </row>
        <row r="219">
          <cell r="B219">
            <v>25000000000216</v>
          </cell>
          <cell r="C219" t="str">
            <v>Isa Anshori</v>
          </cell>
        </row>
        <row r="220">
          <cell r="B220">
            <v>25000000000217</v>
          </cell>
          <cell r="C220" t="str">
            <v>Isa Taufiq</v>
          </cell>
        </row>
        <row r="221">
          <cell r="B221">
            <v>25000000000218</v>
          </cell>
          <cell r="C221" t="str">
            <v>Iskandarsyah</v>
          </cell>
        </row>
        <row r="222">
          <cell r="B222">
            <v>25000000000219</v>
          </cell>
          <cell r="C222" t="str">
            <v>Istanto Istanto</v>
          </cell>
        </row>
        <row r="223">
          <cell r="B223">
            <v>25000000000220</v>
          </cell>
          <cell r="C223" t="str">
            <v>Iswahyuni</v>
          </cell>
        </row>
        <row r="224">
          <cell r="B224">
            <v>25000000000221</v>
          </cell>
          <cell r="C224" t="str">
            <v>Iva Nurvahayati</v>
          </cell>
        </row>
        <row r="225">
          <cell r="B225">
            <v>25000000000222</v>
          </cell>
          <cell r="C225" t="str">
            <v>Iwan Setiawan</v>
          </cell>
        </row>
        <row r="226">
          <cell r="B226">
            <v>25000000000223</v>
          </cell>
          <cell r="C226" t="str">
            <v>Iwan Sumantri</v>
          </cell>
        </row>
        <row r="227">
          <cell r="B227">
            <v>25000000000224</v>
          </cell>
          <cell r="C227" t="str">
            <v>Iwan Wibawa</v>
          </cell>
        </row>
        <row r="228">
          <cell r="B228">
            <v>25000000000225</v>
          </cell>
          <cell r="C228" t="str">
            <v>Iyus Darwin</v>
          </cell>
        </row>
        <row r="229">
          <cell r="B229">
            <v>25000000000226</v>
          </cell>
          <cell r="C229" t="str">
            <v>Jaenudin</v>
          </cell>
        </row>
        <row r="230">
          <cell r="B230">
            <v>25000000000227</v>
          </cell>
          <cell r="C230" t="str">
            <v>Jaruli Samosir</v>
          </cell>
        </row>
        <row r="231">
          <cell r="B231">
            <v>25000000000228</v>
          </cell>
          <cell r="C231" t="str">
            <v>Jaya Ganef</v>
          </cell>
        </row>
        <row r="232">
          <cell r="B232">
            <v>25000000000229</v>
          </cell>
          <cell r="C232" t="str">
            <v>Jaya Sitepu</v>
          </cell>
        </row>
        <row r="233">
          <cell r="B233">
            <v>25000000000230</v>
          </cell>
          <cell r="C233" t="str">
            <v>Jeefrianda H. P. Sigalingging</v>
          </cell>
        </row>
        <row r="234">
          <cell r="B234">
            <v>25000000000231</v>
          </cell>
          <cell r="C234" t="str">
            <v>Jerry Djajasaputra</v>
          </cell>
        </row>
        <row r="235">
          <cell r="B235">
            <v>25000000000232</v>
          </cell>
          <cell r="C235" t="str">
            <v>Jimmywal</v>
          </cell>
        </row>
        <row r="236">
          <cell r="B236">
            <v>25000000000233</v>
          </cell>
          <cell r="C236" t="str">
            <v>Jodie Satria</v>
          </cell>
        </row>
        <row r="237">
          <cell r="B237">
            <v>25000000000234</v>
          </cell>
          <cell r="C237" t="str">
            <v>Johannes Silalahi</v>
          </cell>
        </row>
        <row r="238">
          <cell r="B238">
            <v>25000000000235</v>
          </cell>
          <cell r="C238" t="str">
            <v>Joko Wiyono</v>
          </cell>
        </row>
        <row r="239">
          <cell r="B239">
            <v>25000000000236</v>
          </cell>
          <cell r="C239" t="str">
            <v>Jondril Hantoni</v>
          </cell>
        </row>
        <row r="240">
          <cell r="B240">
            <v>25000000000237</v>
          </cell>
          <cell r="C240" t="str">
            <v>Jonhar Aziz</v>
          </cell>
        </row>
        <row r="241">
          <cell r="B241">
            <v>25000000000238</v>
          </cell>
          <cell r="C241" t="str">
            <v>Juan Talitha</v>
          </cell>
        </row>
        <row r="242">
          <cell r="B242">
            <v>25000000000239</v>
          </cell>
          <cell r="C242" t="str">
            <v>Juharja Juharja</v>
          </cell>
        </row>
        <row r="243">
          <cell r="B243">
            <v>25000000000240</v>
          </cell>
          <cell r="C243" t="str">
            <v>Juminar</v>
          </cell>
        </row>
        <row r="244">
          <cell r="B244">
            <v>25000000000241</v>
          </cell>
          <cell r="C244" t="str">
            <v>Jumino</v>
          </cell>
        </row>
        <row r="245">
          <cell r="B245">
            <v>25000000000242</v>
          </cell>
          <cell r="C245" t="str">
            <v>Junaedi</v>
          </cell>
        </row>
        <row r="246">
          <cell r="B246">
            <v>25000000000243</v>
          </cell>
          <cell r="C246" t="str">
            <v>Junaidi</v>
          </cell>
        </row>
        <row r="247">
          <cell r="B247">
            <v>25000000000244</v>
          </cell>
          <cell r="C247" t="str">
            <v>Jusuf Bobby Putra</v>
          </cell>
        </row>
        <row r="248">
          <cell r="B248">
            <v>25000000000245</v>
          </cell>
          <cell r="C248" t="str">
            <v>Jusuf Gandi</v>
          </cell>
        </row>
        <row r="249">
          <cell r="B249">
            <v>25000000000246</v>
          </cell>
          <cell r="C249" t="str">
            <v>Kahar Triyono</v>
          </cell>
        </row>
        <row r="250">
          <cell r="B250">
            <v>25000000000247</v>
          </cell>
          <cell r="C250" t="str">
            <v>Keila</v>
          </cell>
        </row>
        <row r="251">
          <cell r="B251">
            <v>25000000000248</v>
          </cell>
          <cell r="C251" t="str">
            <v>Kendra Daniswara</v>
          </cell>
        </row>
        <row r="252">
          <cell r="B252">
            <v>25000000000249</v>
          </cell>
          <cell r="C252" t="str">
            <v>Kevin Henokh Tambunan</v>
          </cell>
        </row>
        <row r="253">
          <cell r="B253">
            <v>25000000000250</v>
          </cell>
          <cell r="C253" t="str">
            <v>Khafid Fahrurrozi</v>
          </cell>
        </row>
        <row r="254">
          <cell r="B254">
            <v>25000000000251</v>
          </cell>
          <cell r="C254" t="str">
            <v>Kholik</v>
          </cell>
        </row>
        <row r="255">
          <cell r="B255">
            <v>25000000000252</v>
          </cell>
          <cell r="C255" t="str">
            <v>Kiki Mustikawati</v>
          </cell>
        </row>
        <row r="256">
          <cell r="B256">
            <v>25000000000253</v>
          </cell>
          <cell r="C256" t="str">
            <v>Kornelius Sakan</v>
          </cell>
        </row>
        <row r="257">
          <cell r="B257">
            <v>25000000000254</v>
          </cell>
          <cell r="C257" t="str">
            <v>Kosasih</v>
          </cell>
        </row>
        <row r="258">
          <cell r="B258">
            <v>25000000000255</v>
          </cell>
          <cell r="C258" t="str">
            <v>Krisnawan</v>
          </cell>
        </row>
        <row r="259">
          <cell r="B259">
            <v>25000000000256</v>
          </cell>
          <cell r="C259" t="str">
            <v>Kurniadi</v>
          </cell>
        </row>
        <row r="260">
          <cell r="B260">
            <v>25000000000257</v>
          </cell>
          <cell r="C260" t="str">
            <v>Kurniawan</v>
          </cell>
        </row>
        <row r="261">
          <cell r="B261">
            <v>25000000000258</v>
          </cell>
          <cell r="C261" t="str">
            <v>Laode</v>
          </cell>
        </row>
        <row r="262">
          <cell r="B262">
            <v>25000000000259</v>
          </cell>
          <cell r="C262" t="str">
            <v>Leo Nababan</v>
          </cell>
        </row>
        <row r="263">
          <cell r="B263">
            <v>25000000000260</v>
          </cell>
          <cell r="C263" t="str">
            <v>Liani Atmaningrum</v>
          </cell>
        </row>
        <row r="264">
          <cell r="B264">
            <v>25000000000261</v>
          </cell>
          <cell r="C264" t="str">
            <v>Liaseptriani Liaseptriani</v>
          </cell>
        </row>
        <row r="265">
          <cell r="B265">
            <v>25000000000262</v>
          </cell>
          <cell r="C265" t="str">
            <v>Lisma Natalia</v>
          </cell>
        </row>
        <row r="266">
          <cell r="B266">
            <v>25000000000263</v>
          </cell>
          <cell r="C266" t="str">
            <v>Listyo Hartanto</v>
          </cell>
        </row>
        <row r="267">
          <cell r="B267">
            <v>25000000000264</v>
          </cell>
          <cell r="C267" t="str">
            <v>M. Ari Ardizah Nasution</v>
          </cell>
        </row>
        <row r="268">
          <cell r="B268">
            <v>25000000000265</v>
          </cell>
          <cell r="C268" t="str">
            <v>M. Denny  Micrazudin</v>
          </cell>
        </row>
        <row r="269">
          <cell r="B269">
            <v>25000000000266</v>
          </cell>
          <cell r="C269" t="str">
            <v>M. Ridho Pramudia</v>
          </cell>
        </row>
        <row r="270">
          <cell r="B270">
            <v>25000000000267</v>
          </cell>
          <cell r="C270" t="str">
            <v>M. Rusdi</v>
          </cell>
        </row>
        <row r="271">
          <cell r="B271">
            <v>25000000000268</v>
          </cell>
          <cell r="C271" t="str">
            <v>M. Ervan Isyawal Akbar</v>
          </cell>
        </row>
        <row r="272">
          <cell r="B272">
            <v>25000000000269</v>
          </cell>
          <cell r="C272" t="str">
            <v>Maharani Tanjungsari</v>
          </cell>
        </row>
        <row r="273">
          <cell r="B273">
            <v>25000000000270</v>
          </cell>
          <cell r="C273" t="str">
            <v>Maharani Uthmaniah</v>
          </cell>
        </row>
        <row r="274">
          <cell r="B274">
            <v>25000000000271</v>
          </cell>
          <cell r="C274" t="str">
            <v>Manotar Tamba</v>
          </cell>
        </row>
        <row r="275">
          <cell r="B275">
            <v>25000000000272</v>
          </cell>
          <cell r="C275" t="str">
            <v>Maradona Manurung</v>
          </cell>
        </row>
        <row r="276">
          <cell r="B276">
            <v>25000000000273</v>
          </cell>
          <cell r="C276" t="str">
            <v>Pantas Banjarnahor Marbun</v>
          </cell>
        </row>
        <row r="277">
          <cell r="B277">
            <v>25000000000274</v>
          </cell>
          <cell r="C277" t="str">
            <v>Marcella Avia Ramadhinaningrum</v>
          </cell>
        </row>
        <row r="278">
          <cell r="B278">
            <v>25000000000275</v>
          </cell>
          <cell r="C278" t="str">
            <v>Marissa Watak</v>
          </cell>
        </row>
        <row r="279">
          <cell r="B279">
            <v>25000000000276</v>
          </cell>
          <cell r="C279" t="str">
            <v>Marten Tabun</v>
          </cell>
        </row>
        <row r="280">
          <cell r="B280">
            <v>25000000000277</v>
          </cell>
          <cell r="C280" t="str">
            <v>Martimbul Rahman</v>
          </cell>
        </row>
        <row r="281">
          <cell r="B281">
            <v>25000000000278</v>
          </cell>
          <cell r="C281" t="str">
            <v>T. Marungkil U. S. Sagala</v>
          </cell>
        </row>
        <row r="282">
          <cell r="B282">
            <v>25000000000279</v>
          </cell>
          <cell r="C282" t="str">
            <v>Marzuki</v>
          </cell>
        </row>
        <row r="283">
          <cell r="B283">
            <v>25000000000280</v>
          </cell>
          <cell r="C283" t="str">
            <v>Mashuri Mashuri</v>
          </cell>
        </row>
        <row r="284">
          <cell r="B284">
            <v>25000000000281</v>
          </cell>
          <cell r="C284" t="str">
            <v>Mat Soleh</v>
          </cell>
        </row>
        <row r="285">
          <cell r="B285">
            <v>25000000000282</v>
          </cell>
          <cell r="C285" t="str">
            <v>Mhd Syahputra</v>
          </cell>
        </row>
        <row r="286">
          <cell r="B286">
            <v>25000000000283</v>
          </cell>
          <cell r="C286" t="str">
            <v>Mia Puspitasari</v>
          </cell>
        </row>
        <row r="287">
          <cell r="B287">
            <v>25000000000284</v>
          </cell>
          <cell r="C287" t="str">
            <v>Midin Ena</v>
          </cell>
        </row>
        <row r="288">
          <cell r="B288">
            <v>25000000000285</v>
          </cell>
          <cell r="C288" t="str">
            <v>Miftakhul Muzakky</v>
          </cell>
        </row>
        <row r="289">
          <cell r="B289">
            <v>25000000000286</v>
          </cell>
          <cell r="C289" t="str">
            <v>Mista</v>
          </cell>
        </row>
        <row r="290">
          <cell r="B290">
            <v>25000000000287</v>
          </cell>
          <cell r="C290" t="str">
            <v>Mochamad Samman</v>
          </cell>
        </row>
        <row r="291">
          <cell r="B291">
            <v>25000000000288</v>
          </cell>
          <cell r="C291" t="str">
            <v>Moh. Afif</v>
          </cell>
        </row>
        <row r="292">
          <cell r="B292">
            <v>25000000000289</v>
          </cell>
          <cell r="C292" t="str">
            <v>Mohammad Arman Tompo</v>
          </cell>
        </row>
        <row r="293">
          <cell r="B293">
            <v>25000000000290</v>
          </cell>
          <cell r="C293" t="str">
            <v>Mohd. Elfan Pratama</v>
          </cell>
        </row>
        <row r="294">
          <cell r="B294">
            <v>25000000000291</v>
          </cell>
          <cell r="C294" t="str">
            <v>Monang Simarmata</v>
          </cell>
        </row>
        <row r="295">
          <cell r="B295">
            <v>25000000000292</v>
          </cell>
          <cell r="C295" t="str">
            <v>Moritz Thomsen Marbun</v>
          </cell>
        </row>
        <row r="296">
          <cell r="B296">
            <v>25000000000293</v>
          </cell>
          <cell r="C296" t="str">
            <v>Muhamad Hamdan Rifai</v>
          </cell>
        </row>
        <row r="297">
          <cell r="B297">
            <v>25000000000294</v>
          </cell>
          <cell r="C297" t="str">
            <v>Muhamad Ikhsan</v>
          </cell>
        </row>
        <row r="298">
          <cell r="B298">
            <v>25000000000295</v>
          </cell>
          <cell r="C298" t="str">
            <v>Muhamad Nurhamsach</v>
          </cell>
        </row>
        <row r="299">
          <cell r="B299">
            <v>25000000000296</v>
          </cell>
          <cell r="C299" t="str">
            <v>Muhammad Ardiansyah</v>
          </cell>
        </row>
        <row r="300">
          <cell r="B300">
            <v>25000000000297</v>
          </cell>
          <cell r="C300" t="str">
            <v>Muhammad Khadafy</v>
          </cell>
        </row>
        <row r="301">
          <cell r="B301">
            <v>25000000000298</v>
          </cell>
          <cell r="C301" t="str">
            <v>Muhammad Taufan</v>
          </cell>
        </row>
        <row r="302">
          <cell r="B302">
            <v>25000000000299</v>
          </cell>
          <cell r="C302" t="str">
            <v>Muklis</v>
          </cell>
        </row>
        <row r="303">
          <cell r="B303">
            <v>25000000000300</v>
          </cell>
          <cell r="C303" t="str">
            <v>Mulia Rohanson Harahap</v>
          </cell>
        </row>
        <row r="304">
          <cell r="B304">
            <v>25000000000301</v>
          </cell>
          <cell r="C304" t="str">
            <v>Mullan Tresna</v>
          </cell>
        </row>
        <row r="305">
          <cell r="B305">
            <v>25000000000302</v>
          </cell>
          <cell r="C305" t="str">
            <v>Mulyadi</v>
          </cell>
        </row>
        <row r="306">
          <cell r="B306">
            <v>25000000000303</v>
          </cell>
          <cell r="C306" t="str">
            <v>Mulyono</v>
          </cell>
        </row>
        <row r="307">
          <cell r="B307">
            <v>25000000000304</v>
          </cell>
          <cell r="C307" t="str">
            <v>Murdiansyah</v>
          </cell>
        </row>
        <row r="308">
          <cell r="B308">
            <v>25000000000305</v>
          </cell>
          <cell r="C308" t="str">
            <v>Mursalim</v>
          </cell>
        </row>
        <row r="309">
          <cell r="B309">
            <v>25000000000306</v>
          </cell>
          <cell r="C309" t="str">
            <v>Nancy Meriana Sinaga</v>
          </cell>
        </row>
        <row r="310">
          <cell r="B310">
            <v>25000000000307</v>
          </cell>
          <cell r="C310" t="str">
            <v>Nandang Effendi</v>
          </cell>
        </row>
        <row r="311">
          <cell r="B311">
            <v>25000000000308</v>
          </cell>
          <cell r="C311" t="str">
            <v>Narno</v>
          </cell>
        </row>
        <row r="312">
          <cell r="B312">
            <v>25000000000309</v>
          </cell>
          <cell r="C312" t="str">
            <v>Nasrul Anwar P.</v>
          </cell>
        </row>
        <row r="313">
          <cell r="B313">
            <v>25000000000310</v>
          </cell>
          <cell r="C313" t="str">
            <v>Nawal</v>
          </cell>
        </row>
        <row r="314">
          <cell r="B314">
            <v>25000000000311</v>
          </cell>
          <cell r="C314" t="str">
            <v>Nawir Lahamutu</v>
          </cell>
        </row>
        <row r="315">
          <cell r="B315">
            <v>25000000000312</v>
          </cell>
          <cell r="C315" t="str">
            <v>Nicky Kurnia</v>
          </cell>
        </row>
        <row r="316">
          <cell r="B316">
            <v>25000000000313</v>
          </cell>
          <cell r="C316" t="str">
            <v>Noercholis Firmansyah</v>
          </cell>
        </row>
        <row r="317">
          <cell r="B317">
            <v>25000000000314</v>
          </cell>
          <cell r="C317" t="str">
            <v>Nopitasari</v>
          </cell>
        </row>
        <row r="318">
          <cell r="B318">
            <v>25000000000315</v>
          </cell>
          <cell r="C318" t="str">
            <v>Nora Meilissa</v>
          </cell>
        </row>
        <row r="319">
          <cell r="B319">
            <v>25000000000316</v>
          </cell>
          <cell r="C319" t="str">
            <v>Novalia</v>
          </cell>
        </row>
        <row r="320">
          <cell r="B320">
            <v>25000000000317</v>
          </cell>
          <cell r="C320" t="str">
            <v>Novan Nugraha</v>
          </cell>
        </row>
        <row r="321">
          <cell r="B321">
            <v>25000000000318</v>
          </cell>
          <cell r="C321" t="str">
            <v>Nugraha</v>
          </cell>
        </row>
        <row r="322">
          <cell r="B322">
            <v>25000000000319</v>
          </cell>
          <cell r="C322" t="str">
            <v>Nugroho Putranto</v>
          </cell>
        </row>
        <row r="323">
          <cell r="B323">
            <v>25000000000320</v>
          </cell>
          <cell r="C323" t="str">
            <v>Nur Indra Sri Melati</v>
          </cell>
        </row>
        <row r="324">
          <cell r="B324">
            <v>25000000000321</v>
          </cell>
          <cell r="C324" t="str">
            <v>Nur Kusumowati</v>
          </cell>
        </row>
        <row r="325">
          <cell r="B325">
            <v>25000000000322</v>
          </cell>
          <cell r="C325" t="str">
            <v>Nurhidayat</v>
          </cell>
        </row>
        <row r="326">
          <cell r="B326">
            <v>25000000000323</v>
          </cell>
          <cell r="C326" t="str">
            <v>Otong Bustori</v>
          </cell>
        </row>
        <row r="327">
          <cell r="B327">
            <v>25000000000324</v>
          </cell>
          <cell r="C327" t="str">
            <v>Paino Suprayinto</v>
          </cell>
        </row>
        <row r="328">
          <cell r="B328">
            <v>25000000000325</v>
          </cell>
          <cell r="C328" t="str">
            <v>Panca Yudi Baskoro</v>
          </cell>
        </row>
        <row r="329">
          <cell r="B329">
            <v>25000000000326</v>
          </cell>
          <cell r="C329" t="str">
            <v>Panji Bima Santri</v>
          </cell>
        </row>
        <row r="330">
          <cell r="B330">
            <v>25000000000327</v>
          </cell>
          <cell r="C330" t="str">
            <v>Parulian Napitupulu</v>
          </cell>
        </row>
        <row r="331">
          <cell r="B331">
            <v>25000000000328</v>
          </cell>
          <cell r="C331" t="str">
            <v>Paryanto</v>
          </cell>
        </row>
        <row r="332">
          <cell r="B332">
            <v>25000000000329</v>
          </cell>
          <cell r="C332" t="str">
            <v>Pikri Hidayat</v>
          </cell>
        </row>
        <row r="333">
          <cell r="B333">
            <v>25000000000330</v>
          </cell>
          <cell r="C333" t="str">
            <v>Prayanti Dewi Anggraini</v>
          </cell>
        </row>
        <row r="334">
          <cell r="B334">
            <v>25000000000331</v>
          </cell>
          <cell r="C334" t="str">
            <v>Prayati Zai</v>
          </cell>
        </row>
        <row r="335">
          <cell r="B335">
            <v>25000000000332</v>
          </cell>
          <cell r="C335" t="str">
            <v>Pristu Andonoto</v>
          </cell>
        </row>
        <row r="336">
          <cell r="B336">
            <v>25000000000333</v>
          </cell>
          <cell r="C336" t="str">
            <v>Putra Perdana Tirtomoyo</v>
          </cell>
        </row>
        <row r="337">
          <cell r="B337">
            <v>25000000000334</v>
          </cell>
          <cell r="C337" t="str">
            <v>R. Lar Kumalaning Tresno</v>
          </cell>
        </row>
        <row r="338">
          <cell r="B338">
            <v>25000000000335</v>
          </cell>
          <cell r="C338" t="str">
            <v>Rachmad</v>
          </cell>
        </row>
        <row r="339">
          <cell r="B339">
            <v>25000000000336</v>
          </cell>
          <cell r="C339" t="str">
            <v>Radjiman</v>
          </cell>
        </row>
        <row r="340">
          <cell r="B340">
            <v>25000000000337</v>
          </cell>
          <cell r="C340" t="str">
            <v>Rafi Firman Saputra</v>
          </cell>
        </row>
        <row r="341">
          <cell r="B341">
            <v>25000000000338</v>
          </cell>
          <cell r="C341" t="str">
            <v>Rahmat Riyadi</v>
          </cell>
        </row>
        <row r="342">
          <cell r="B342">
            <v>25000000000339</v>
          </cell>
          <cell r="C342" t="str">
            <v>Rahmat Sirfano</v>
          </cell>
        </row>
        <row r="343">
          <cell r="B343">
            <v>25000000000340</v>
          </cell>
          <cell r="C343" t="str">
            <v>Rais Indra Noor</v>
          </cell>
        </row>
        <row r="344">
          <cell r="B344">
            <v>25000000000341</v>
          </cell>
          <cell r="C344" t="str">
            <v>Rakman A. Hadi</v>
          </cell>
        </row>
        <row r="345">
          <cell r="B345">
            <v>25000000000342</v>
          </cell>
          <cell r="C345" t="str">
            <v>Ramaizon</v>
          </cell>
        </row>
        <row r="346">
          <cell r="B346">
            <v>25000000000343</v>
          </cell>
          <cell r="C346" t="str">
            <v>Rangga Darmawan</v>
          </cell>
        </row>
        <row r="347">
          <cell r="B347">
            <v>25000000000344</v>
          </cell>
          <cell r="C347" t="str">
            <v>Raoli Nainggolan</v>
          </cell>
        </row>
        <row r="348">
          <cell r="B348">
            <v>25000000000345</v>
          </cell>
          <cell r="C348" t="str">
            <v>Rayan Suryadikara</v>
          </cell>
        </row>
        <row r="349">
          <cell r="B349">
            <v>25000000000346</v>
          </cell>
          <cell r="C349" t="str">
            <v>Redi Setiadi</v>
          </cell>
        </row>
        <row r="350">
          <cell r="B350">
            <v>25000000000347</v>
          </cell>
          <cell r="C350" t="str">
            <v>Redi Subekti</v>
          </cell>
        </row>
        <row r="351">
          <cell r="B351">
            <v>25000000000348</v>
          </cell>
          <cell r="C351" t="str">
            <v>Rendy Prananta Purba</v>
          </cell>
        </row>
        <row r="352">
          <cell r="B352">
            <v>25000000000349</v>
          </cell>
          <cell r="C352" t="str">
            <v>Reni Septiana</v>
          </cell>
        </row>
        <row r="353">
          <cell r="B353">
            <v>25000000000350</v>
          </cell>
          <cell r="C353" t="str">
            <v>Rere Ronggolawe</v>
          </cell>
        </row>
        <row r="354">
          <cell r="B354">
            <v>25000000000351</v>
          </cell>
          <cell r="C354" t="str">
            <v>Retnasha Gameswari</v>
          </cell>
        </row>
        <row r="355">
          <cell r="B355">
            <v>25000000000352</v>
          </cell>
          <cell r="C355" t="str">
            <v>Rhino Priawan</v>
          </cell>
        </row>
        <row r="356">
          <cell r="B356">
            <v>25000000000353</v>
          </cell>
          <cell r="C356" t="str">
            <v>Rian Yushak</v>
          </cell>
        </row>
        <row r="357">
          <cell r="B357">
            <v>25000000000354</v>
          </cell>
          <cell r="C357" t="str">
            <v>Riandi</v>
          </cell>
        </row>
        <row r="358">
          <cell r="B358">
            <v>25000000000355</v>
          </cell>
          <cell r="C358" t="str">
            <v>Ricky Samuel</v>
          </cell>
        </row>
        <row r="359">
          <cell r="B359">
            <v>25000000000356</v>
          </cell>
          <cell r="C359" t="str">
            <v>Ridwan Nurhadi</v>
          </cell>
        </row>
        <row r="360">
          <cell r="B360">
            <v>25000000000357</v>
          </cell>
          <cell r="C360" t="str">
            <v>Rifki</v>
          </cell>
        </row>
        <row r="361">
          <cell r="B361">
            <v>25000000000358</v>
          </cell>
          <cell r="C361" t="str">
            <v>Rika Ginting</v>
          </cell>
        </row>
        <row r="362">
          <cell r="B362">
            <v>25000000000359</v>
          </cell>
          <cell r="C362" t="str">
            <v>Riki Chairul Anwar</v>
          </cell>
        </row>
        <row r="363">
          <cell r="B363">
            <v>25000000000360</v>
          </cell>
          <cell r="C363" t="str">
            <v>Riki Evindra</v>
          </cell>
        </row>
        <row r="364">
          <cell r="B364">
            <v>25000000000361</v>
          </cell>
          <cell r="C364" t="str">
            <v>Rinaldi Asrin</v>
          </cell>
        </row>
        <row r="365">
          <cell r="B365">
            <v>25000000000362</v>
          </cell>
          <cell r="C365" t="str">
            <v>Rio Hakim</v>
          </cell>
        </row>
        <row r="366">
          <cell r="B366">
            <v>25000000000363</v>
          </cell>
          <cell r="C366" t="str">
            <v>Rio Martha</v>
          </cell>
        </row>
        <row r="367">
          <cell r="B367">
            <v>25000000000364</v>
          </cell>
          <cell r="C367" t="str">
            <v>Risdyanto Risdyanto</v>
          </cell>
        </row>
        <row r="368">
          <cell r="B368">
            <v>25000000000365</v>
          </cell>
          <cell r="C368" t="str">
            <v>Rizak Tri Septian</v>
          </cell>
        </row>
        <row r="369">
          <cell r="B369">
            <v>25000000000366</v>
          </cell>
          <cell r="C369" t="str">
            <v>Rizki Akbar</v>
          </cell>
        </row>
        <row r="370">
          <cell r="B370">
            <v>25000000000367</v>
          </cell>
          <cell r="C370" t="str">
            <v>Rizky Fauzy</v>
          </cell>
        </row>
        <row r="371">
          <cell r="B371">
            <v>25000000000368</v>
          </cell>
          <cell r="C371" t="str">
            <v>Rizky Reza Pradipta</v>
          </cell>
        </row>
        <row r="372">
          <cell r="B372">
            <v>25000000000369</v>
          </cell>
          <cell r="C372" t="str">
            <v>Rohendi Rohendi</v>
          </cell>
        </row>
        <row r="373">
          <cell r="B373">
            <v>25000000000370</v>
          </cell>
          <cell r="C373" t="str">
            <v>Rohmani</v>
          </cell>
        </row>
        <row r="374">
          <cell r="B374">
            <v>25000000000371</v>
          </cell>
          <cell r="C374" t="str">
            <v>Rommel Hutapea</v>
          </cell>
        </row>
        <row r="375">
          <cell r="B375">
            <v>25000000000372</v>
          </cell>
          <cell r="C375" t="str">
            <v>Roy Aditya</v>
          </cell>
        </row>
        <row r="376">
          <cell r="B376">
            <v>25000000000373</v>
          </cell>
          <cell r="C376" t="str">
            <v>Rubah</v>
          </cell>
        </row>
        <row r="377">
          <cell r="B377">
            <v>25000000000374</v>
          </cell>
          <cell r="C377" t="str">
            <v>Rudi Junaedi</v>
          </cell>
        </row>
        <row r="378">
          <cell r="B378">
            <v>25000000000375</v>
          </cell>
          <cell r="C378" t="str">
            <v>Ruswandi</v>
          </cell>
        </row>
        <row r="379">
          <cell r="B379">
            <v>25000000000376</v>
          </cell>
          <cell r="C379" t="str">
            <v>Ryan Bagus Sasminta</v>
          </cell>
        </row>
        <row r="380">
          <cell r="B380">
            <v>25000000000377</v>
          </cell>
          <cell r="C380" t="str">
            <v>Saarah Andriani</v>
          </cell>
        </row>
        <row r="381">
          <cell r="B381">
            <v>25000000000378</v>
          </cell>
          <cell r="C381" t="str">
            <v>Safira Nurbaiti</v>
          </cell>
        </row>
        <row r="382">
          <cell r="B382">
            <v>25000000000379</v>
          </cell>
          <cell r="C382" t="str">
            <v>Saifulloh</v>
          </cell>
        </row>
        <row r="383">
          <cell r="B383">
            <v>25000000000380</v>
          </cell>
          <cell r="C383" t="str">
            <v>Saifuloh</v>
          </cell>
        </row>
        <row r="384">
          <cell r="B384">
            <v>25000000000381</v>
          </cell>
          <cell r="C384" t="str">
            <v>Sakinah Tantriani Lubis</v>
          </cell>
        </row>
        <row r="385">
          <cell r="B385">
            <v>25000000000382</v>
          </cell>
          <cell r="C385" t="str">
            <v>Abdul Samad</v>
          </cell>
        </row>
        <row r="386">
          <cell r="B386">
            <v>25000000000383</v>
          </cell>
          <cell r="C386" t="str">
            <v>Samsul Hadi</v>
          </cell>
        </row>
        <row r="387">
          <cell r="B387">
            <v>25000000000384</v>
          </cell>
          <cell r="C387" t="str">
            <v>Sandika</v>
          </cell>
        </row>
        <row r="388">
          <cell r="B388">
            <v>25000000000385</v>
          </cell>
          <cell r="C388" t="str">
            <v>Sang Toga Sitompul</v>
          </cell>
        </row>
        <row r="389">
          <cell r="B389">
            <v>25000000000386</v>
          </cell>
          <cell r="C389" t="str">
            <v>Santi Dewi R. W.</v>
          </cell>
        </row>
        <row r="390">
          <cell r="B390">
            <v>25000000000387</v>
          </cell>
          <cell r="C390" t="str">
            <v>Sarah Sibarani</v>
          </cell>
        </row>
        <row r="391">
          <cell r="B391">
            <v>25000000000388</v>
          </cell>
          <cell r="C391" t="str">
            <v>Sarif Hidayatul Umah</v>
          </cell>
        </row>
        <row r="392">
          <cell r="B392">
            <v>25000000000389</v>
          </cell>
          <cell r="C392" t="str">
            <v>Satria Budi Raharja</v>
          </cell>
        </row>
        <row r="393">
          <cell r="B393">
            <v>25000000000390</v>
          </cell>
          <cell r="C393" t="str">
            <v>Saut M. P. L. Tobing</v>
          </cell>
        </row>
        <row r="394">
          <cell r="B394">
            <v>25000000000391</v>
          </cell>
          <cell r="C394" t="str">
            <v>Seftiyan Hadi Maulana</v>
          </cell>
        </row>
        <row r="395">
          <cell r="B395">
            <v>25000000000392</v>
          </cell>
          <cell r="C395" t="str">
            <v>Sena Andi Satria</v>
          </cell>
        </row>
        <row r="396">
          <cell r="B396">
            <v>25000000000393</v>
          </cell>
          <cell r="C396" t="str">
            <v>Setiadi</v>
          </cell>
        </row>
        <row r="397">
          <cell r="B397">
            <v>25000000000394</v>
          </cell>
          <cell r="C397" t="str">
            <v>Sherly Tamira</v>
          </cell>
        </row>
        <row r="398">
          <cell r="B398">
            <v>25000000000395</v>
          </cell>
          <cell r="C398" t="str">
            <v>Shihab</v>
          </cell>
        </row>
        <row r="399">
          <cell r="B399">
            <v>25000000000396</v>
          </cell>
          <cell r="C399" t="str">
            <v>Shobarin Jabar</v>
          </cell>
        </row>
        <row r="400">
          <cell r="B400">
            <v>25000000000397</v>
          </cell>
          <cell r="C400" t="str">
            <v>Sholehah</v>
          </cell>
        </row>
        <row r="401">
          <cell r="B401">
            <v>25000000000398</v>
          </cell>
          <cell r="C401" t="str">
            <v>Sigit Rudiantono</v>
          </cell>
        </row>
        <row r="402">
          <cell r="B402">
            <v>25000000000399</v>
          </cell>
          <cell r="C402" t="str">
            <v>Silvia Putri</v>
          </cell>
        </row>
        <row r="403">
          <cell r="B403">
            <v>25000000000400</v>
          </cell>
          <cell r="C403" t="str">
            <v>Simron Ronaldi Nasution</v>
          </cell>
        </row>
        <row r="404">
          <cell r="B404">
            <v>25000000000401</v>
          </cell>
          <cell r="C404" t="str">
            <v>Sinta Vera Trikawati</v>
          </cell>
        </row>
        <row r="405">
          <cell r="B405">
            <v>25000000000402</v>
          </cell>
          <cell r="C405" t="str">
            <v>Sir Muhammad Zafrulloh Khan</v>
          </cell>
        </row>
        <row r="406">
          <cell r="B406">
            <v>25000000000403</v>
          </cell>
          <cell r="C406" t="str">
            <v>Siska Marlina</v>
          </cell>
        </row>
        <row r="407">
          <cell r="B407">
            <v>25000000000404</v>
          </cell>
          <cell r="C407" t="str">
            <v>Siswanto</v>
          </cell>
        </row>
        <row r="408">
          <cell r="B408">
            <v>25000000000405</v>
          </cell>
          <cell r="C408" t="str">
            <v>Siti Mulyani</v>
          </cell>
        </row>
        <row r="409">
          <cell r="B409">
            <v>25000000000406</v>
          </cell>
          <cell r="C409" t="str">
            <v>Sjanti Devi</v>
          </cell>
        </row>
        <row r="410">
          <cell r="B410">
            <v>25000000000407</v>
          </cell>
          <cell r="C410" t="str">
            <v>Slamet Budi Setiawan</v>
          </cell>
        </row>
        <row r="411">
          <cell r="B411">
            <v>25000000000408</v>
          </cell>
          <cell r="C411" t="str">
            <v>Sofyan Maulana</v>
          </cell>
        </row>
        <row r="412">
          <cell r="B412">
            <v>25000000000409</v>
          </cell>
          <cell r="C412" t="str">
            <v>Subagio</v>
          </cell>
        </row>
        <row r="413">
          <cell r="B413">
            <v>25000000000410</v>
          </cell>
          <cell r="C413" t="str">
            <v>Suci Mardiana</v>
          </cell>
        </row>
        <row r="414">
          <cell r="B414">
            <v>25000000000411</v>
          </cell>
          <cell r="C414" t="str">
            <v>Suci Rachma Sari</v>
          </cell>
        </row>
        <row r="415">
          <cell r="B415">
            <v>25000000000412</v>
          </cell>
          <cell r="C415" t="str">
            <v>Sudarlan</v>
          </cell>
        </row>
        <row r="416">
          <cell r="B416">
            <v>25000000000413</v>
          </cell>
          <cell r="C416" t="str">
            <v>Sufie Amalia</v>
          </cell>
        </row>
        <row r="417">
          <cell r="B417">
            <v>25000000000414</v>
          </cell>
          <cell r="C417" t="str">
            <v>Sugeng Ismanto</v>
          </cell>
        </row>
        <row r="418">
          <cell r="B418">
            <v>25000000000415</v>
          </cell>
          <cell r="C418" t="str">
            <v>Sugiarto</v>
          </cell>
        </row>
        <row r="419">
          <cell r="B419">
            <v>25000000000416</v>
          </cell>
          <cell r="C419" t="str">
            <v>Sulih</v>
          </cell>
        </row>
        <row r="420">
          <cell r="B420">
            <v>25000000000417</v>
          </cell>
          <cell r="C420" t="str">
            <v>Sumadi</v>
          </cell>
        </row>
        <row r="421">
          <cell r="B421">
            <v>25000000000418</v>
          </cell>
          <cell r="C421" t="str">
            <v>Sumirat</v>
          </cell>
        </row>
        <row r="422">
          <cell r="B422">
            <v>25000000000419</v>
          </cell>
          <cell r="C422" t="str">
            <v>Sunaryati</v>
          </cell>
        </row>
        <row r="423">
          <cell r="B423">
            <v>25000000000420</v>
          </cell>
          <cell r="C423" t="str">
            <v>Supriyadi</v>
          </cell>
        </row>
        <row r="424">
          <cell r="B424">
            <v>25000000000421</v>
          </cell>
          <cell r="C424" t="str">
            <v>Suriono Suriono</v>
          </cell>
        </row>
        <row r="425">
          <cell r="B425">
            <v>25000000000422</v>
          </cell>
          <cell r="C425" t="str">
            <v>Surono</v>
          </cell>
        </row>
        <row r="426">
          <cell r="B426">
            <v>25000000000423</v>
          </cell>
          <cell r="C426" t="str">
            <v>Surtoyo Syukri</v>
          </cell>
        </row>
        <row r="427">
          <cell r="B427">
            <v>25000000000424</v>
          </cell>
          <cell r="C427" t="str">
            <v>Suryadi</v>
          </cell>
        </row>
        <row r="428">
          <cell r="B428">
            <v>25000000000425</v>
          </cell>
          <cell r="C428" t="str">
            <v>Susilawati</v>
          </cell>
        </row>
        <row r="429">
          <cell r="B429">
            <v>25000000000426</v>
          </cell>
          <cell r="C429" t="str">
            <v>Sutarno</v>
          </cell>
        </row>
        <row r="430">
          <cell r="B430">
            <v>25000000000427</v>
          </cell>
          <cell r="C430" t="str">
            <v>Sutra Riandi</v>
          </cell>
        </row>
        <row r="431">
          <cell r="B431">
            <v>25000000000428</v>
          </cell>
          <cell r="C431" t="str">
            <v>Suyanto</v>
          </cell>
        </row>
        <row r="432">
          <cell r="B432">
            <v>25000000000429</v>
          </cell>
          <cell r="C432" t="str">
            <v>Swar Jono</v>
          </cell>
        </row>
        <row r="433">
          <cell r="B433">
            <v>25000000000430</v>
          </cell>
          <cell r="C433" t="str">
            <v>Syafruddin</v>
          </cell>
        </row>
        <row r="434">
          <cell r="B434">
            <v>25000000000431</v>
          </cell>
          <cell r="C434" t="str">
            <v>Syafrudin Machmud</v>
          </cell>
        </row>
        <row r="435">
          <cell r="B435">
            <v>25000000000432</v>
          </cell>
          <cell r="C435" t="str">
            <v>Syahrizal</v>
          </cell>
        </row>
        <row r="436">
          <cell r="B436">
            <v>25000000000433</v>
          </cell>
          <cell r="C436" t="str">
            <v>Syaiful Idjam</v>
          </cell>
        </row>
        <row r="437">
          <cell r="B437">
            <v>25000000000434</v>
          </cell>
          <cell r="C437" t="str">
            <v>Tajuddin Assubki Ismail</v>
          </cell>
        </row>
        <row r="438">
          <cell r="B438">
            <v>25000000000435</v>
          </cell>
          <cell r="C438" t="str">
            <v>Taslim</v>
          </cell>
        </row>
        <row r="439">
          <cell r="B439">
            <v>25000000000436</v>
          </cell>
          <cell r="C439" t="str">
            <v>Taufik Mulia Pane</v>
          </cell>
        </row>
        <row r="440">
          <cell r="B440">
            <v>25000000000437</v>
          </cell>
          <cell r="C440" t="str">
            <v>Tedy Harseno</v>
          </cell>
        </row>
        <row r="441">
          <cell r="B441">
            <v>25000000000438</v>
          </cell>
          <cell r="C441" t="str">
            <v>Teguh Joko Pamuji</v>
          </cell>
        </row>
        <row r="442">
          <cell r="B442">
            <v>25000000000439</v>
          </cell>
          <cell r="C442" t="str">
            <v>Teguh Pratama Januzir Sukin</v>
          </cell>
        </row>
        <row r="443">
          <cell r="B443">
            <v>25000000000440</v>
          </cell>
          <cell r="C443" t="str">
            <v>Teguh Susanto</v>
          </cell>
        </row>
        <row r="444">
          <cell r="B444">
            <v>25000000000441</v>
          </cell>
          <cell r="C444" t="str">
            <v>Tenri Sumange</v>
          </cell>
        </row>
        <row r="445">
          <cell r="B445">
            <v>25000000000442</v>
          </cell>
          <cell r="C445" t="str">
            <v>Teuku Zulkifli</v>
          </cell>
        </row>
        <row r="446">
          <cell r="B446">
            <v>25000000000443</v>
          </cell>
          <cell r="C446" t="str">
            <v>Tiara Kemalasari</v>
          </cell>
        </row>
        <row r="447">
          <cell r="B447">
            <v>25000000000444</v>
          </cell>
          <cell r="C447" t="str">
            <v>Tjhang Linawati</v>
          </cell>
        </row>
        <row r="448">
          <cell r="B448">
            <v>25000000000445</v>
          </cell>
          <cell r="C448" t="str">
            <v>Totok Kristianto</v>
          </cell>
        </row>
        <row r="449">
          <cell r="B449">
            <v>25000000000446</v>
          </cell>
          <cell r="C449" t="str">
            <v>Tri Aji</v>
          </cell>
        </row>
        <row r="450">
          <cell r="B450">
            <v>25000000000447</v>
          </cell>
          <cell r="C450" t="str">
            <v>Tri M. Saputra</v>
          </cell>
        </row>
        <row r="451">
          <cell r="B451">
            <v>25000000000448</v>
          </cell>
          <cell r="C451" t="str">
            <v>Triani Irma</v>
          </cell>
        </row>
        <row r="452">
          <cell r="B452">
            <v>25000000000449</v>
          </cell>
          <cell r="C452" t="str">
            <v>Trisyanto</v>
          </cell>
        </row>
        <row r="453">
          <cell r="B453">
            <v>25000000000450</v>
          </cell>
          <cell r="C453" t="str">
            <v>Triwiarti Dibya</v>
          </cell>
        </row>
        <row r="454">
          <cell r="B454">
            <v>25000000000451</v>
          </cell>
          <cell r="C454" t="str">
            <v>Triyono</v>
          </cell>
        </row>
        <row r="455">
          <cell r="B455">
            <v>25000000000452</v>
          </cell>
          <cell r="C455" t="str">
            <v>Turita Pramuning Marantina</v>
          </cell>
        </row>
        <row r="456">
          <cell r="B456">
            <v>25000000000453</v>
          </cell>
          <cell r="C456" t="str">
            <v>Tutus Ary</v>
          </cell>
        </row>
        <row r="457">
          <cell r="B457">
            <v>25000000000454</v>
          </cell>
          <cell r="C457" t="str">
            <v>Ubaidillah</v>
          </cell>
        </row>
        <row r="458">
          <cell r="B458">
            <v>25000000000455</v>
          </cell>
          <cell r="C458" t="str">
            <v>Ujang Barma</v>
          </cell>
        </row>
        <row r="459">
          <cell r="B459">
            <v>25000000000456</v>
          </cell>
          <cell r="C459" t="str">
            <v>Ujang Suryana</v>
          </cell>
        </row>
        <row r="460">
          <cell r="B460">
            <v>25000000000457</v>
          </cell>
          <cell r="C460" t="str">
            <v>Ulman Juanda</v>
          </cell>
        </row>
        <row r="461">
          <cell r="B461">
            <v>25000000000458</v>
          </cell>
          <cell r="C461" t="str">
            <v>Urbanus Boimau</v>
          </cell>
        </row>
        <row r="462">
          <cell r="B462">
            <v>25000000000459</v>
          </cell>
          <cell r="C462" t="str">
            <v>Uswatun Hasamah</v>
          </cell>
        </row>
        <row r="463">
          <cell r="B463">
            <v>25000000000460</v>
          </cell>
          <cell r="C463" t="str">
            <v>Uswatun Khasanah</v>
          </cell>
        </row>
        <row r="464">
          <cell r="B464">
            <v>25000000000461</v>
          </cell>
          <cell r="C464" t="str">
            <v>Utami Dewi</v>
          </cell>
        </row>
        <row r="465">
          <cell r="B465">
            <v>25000000000462</v>
          </cell>
          <cell r="C465" t="str">
            <v>Utanto</v>
          </cell>
        </row>
        <row r="466">
          <cell r="B466">
            <v>25000000000463</v>
          </cell>
          <cell r="C466" t="str">
            <v>Veradita Yulanda</v>
          </cell>
        </row>
        <row r="467">
          <cell r="B467">
            <v>25000000000464</v>
          </cell>
          <cell r="C467" t="str">
            <v>Vidhy Kartika Putri</v>
          </cell>
        </row>
        <row r="468">
          <cell r="B468">
            <v>25000000000465</v>
          </cell>
          <cell r="C468" t="str">
            <v>Vonny Agram</v>
          </cell>
        </row>
        <row r="469">
          <cell r="B469">
            <v>25000000000466</v>
          </cell>
          <cell r="C469" t="str">
            <v>Wahyu</v>
          </cell>
        </row>
        <row r="470">
          <cell r="B470">
            <v>25000000000467</v>
          </cell>
          <cell r="C470" t="str">
            <v>Wahyu Ramadhani</v>
          </cell>
        </row>
        <row r="471">
          <cell r="B471">
            <v>25000000000468</v>
          </cell>
          <cell r="C471" t="str">
            <v>Wahyu Widodo</v>
          </cell>
        </row>
        <row r="472">
          <cell r="B472">
            <v>25000000000469</v>
          </cell>
          <cell r="C472" t="str">
            <v>Warsito Edy Saputra</v>
          </cell>
        </row>
        <row r="473">
          <cell r="B473">
            <v>25000000000470</v>
          </cell>
          <cell r="C473" t="str">
            <v>Weldi Wimar</v>
          </cell>
        </row>
        <row r="474">
          <cell r="B474">
            <v>25000000000471</v>
          </cell>
          <cell r="C474" t="str">
            <v>Wendy Septiyan</v>
          </cell>
        </row>
        <row r="475">
          <cell r="B475">
            <v>25000000000472</v>
          </cell>
          <cell r="C475" t="str">
            <v>Willy Indarto</v>
          </cell>
        </row>
        <row r="476">
          <cell r="B476">
            <v>25000000000473</v>
          </cell>
          <cell r="C476" t="str">
            <v>Winda Suherman</v>
          </cell>
        </row>
        <row r="477">
          <cell r="B477">
            <v>25000000000474</v>
          </cell>
          <cell r="C477" t="str">
            <v>Wisnu Ardian</v>
          </cell>
        </row>
        <row r="478">
          <cell r="B478">
            <v>25000000000475</v>
          </cell>
          <cell r="C478" t="str">
            <v>Wisudanto C. Suntoyo</v>
          </cell>
        </row>
        <row r="479">
          <cell r="B479">
            <v>25000000000476</v>
          </cell>
          <cell r="C479" t="str">
            <v>Yahya Adyasa Febriansyah</v>
          </cell>
        </row>
        <row r="480">
          <cell r="B480">
            <v>25000000000477</v>
          </cell>
          <cell r="C480" t="str">
            <v>Yakup Sunaryo</v>
          </cell>
        </row>
        <row r="481">
          <cell r="B481">
            <v>25000000000478</v>
          </cell>
          <cell r="C481" t="str">
            <v>Yanuar Tri Ananda</v>
          </cell>
        </row>
        <row r="482">
          <cell r="B482">
            <v>25000000000479</v>
          </cell>
          <cell r="C482" t="str">
            <v>Yasir Liem</v>
          </cell>
        </row>
        <row r="483">
          <cell r="B483">
            <v>25000000000480</v>
          </cell>
          <cell r="C483" t="str">
            <v>Yefri Hendrayani</v>
          </cell>
        </row>
        <row r="484">
          <cell r="B484">
            <v>25000000000481</v>
          </cell>
          <cell r="C484" t="str">
            <v>Yessi Setiarini</v>
          </cell>
        </row>
        <row r="485">
          <cell r="B485">
            <v>25000000000482</v>
          </cell>
          <cell r="C485" t="str">
            <v>Yorid Fae</v>
          </cell>
        </row>
        <row r="486">
          <cell r="B486">
            <v>25000000000483</v>
          </cell>
          <cell r="C486" t="str">
            <v>Yosef Hang Wan</v>
          </cell>
        </row>
        <row r="487">
          <cell r="B487">
            <v>25000000000484</v>
          </cell>
          <cell r="C487" t="str">
            <v>Yossie Deliana</v>
          </cell>
        </row>
        <row r="488">
          <cell r="B488">
            <v>25000000000485</v>
          </cell>
          <cell r="C488" t="str">
            <v>Yudi Rahmadi</v>
          </cell>
        </row>
        <row r="489">
          <cell r="B489">
            <v>25000000000486</v>
          </cell>
          <cell r="C489" t="str">
            <v>Yudo Jati Rahmat Satrio</v>
          </cell>
        </row>
        <row r="490">
          <cell r="B490">
            <v>25000000000487</v>
          </cell>
          <cell r="C490" t="str">
            <v>Yuliandaru Suryoatmodjo</v>
          </cell>
        </row>
        <row r="491">
          <cell r="B491">
            <v>25000000000488</v>
          </cell>
          <cell r="C491" t="str">
            <v>Yulianta</v>
          </cell>
        </row>
        <row r="492">
          <cell r="B492">
            <v>25000000000489</v>
          </cell>
          <cell r="C492" t="str">
            <v>Yulianti</v>
          </cell>
        </row>
        <row r="493">
          <cell r="B493">
            <v>25000000000490</v>
          </cell>
          <cell r="C493" t="str">
            <v>Yulius</v>
          </cell>
        </row>
        <row r="494">
          <cell r="B494">
            <v>25000000000491</v>
          </cell>
          <cell r="C494" t="str">
            <v>Yunni Sazili</v>
          </cell>
        </row>
        <row r="495">
          <cell r="B495">
            <v>25000000000492</v>
          </cell>
          <cell r="C495" t="str">
            <v>Yusman</v>
          </cell>
        </row>
        <row r="496">
          <cell r="B496">
            <v>25000000000493</v>
          </cell>
          <cell r="C496" t="str">
            <v>Yusri Azhar</v>
          </cell>
        </row>
        <row r="497">
          <cell r="B497">
            <v>25000000000494</v>
          </cell>
          <cell r="C497" t="str">
            <v>Zafrizal</v>
          </cell>
        </row>
        <row r="498">
          <cell r="B498">
            <v>25000000000495</v>
          </cell>
          <cell r="C498" t="str">
            <v>Zafrizal Rifla (Ucok)</v>
          </cell>
        </row>
        <row r="499">
          <cell r="B499">
            <v>25000000000496</v>
          </cell>
          <cell r="C499" t="str">
            <v>Zainuddin</v>
          </cell>
        </row>
        <row r="500">
          <cell r="B500">
            <v>25000000000497</v>
          </cell>
          <cell r="C500" t="str">
            <v>Zainudin Anwar</v>
          </cell>
        </row>
        <row r="501">
          <cell r="B501">
            <v>25000000000498</v>
          </cell>
          <cell r="C501" t="str">
            <v>Zaire Dite Biscaya</v>
          </cell>
        </row>
        <row r="502">
          <cell r="B502">
            <v>25000000000499</v>
          </cell>
          <cell r="C502" t="str">
            <v>Zalfi Yandri</v>
          </cell>
        </row>
        <row r="503">
          <cell r="B503">
            <v>25000000000500</v>
          </cell>
          <cell r="C503" t="str">
            <v>Zam Roji</v>
          </cell>
        </row>
        <row r="504">
          <cell r="B504">
            <v>25000000000501</v>
          </cell>
          <cell r="C504" t="str">
            <v>Zulfikar K. Siregar</v>
          </cell>
        </row>
        <row r="505">
          <cell r="B505">
            <v>25000000000502</v>
          </cell>
          <cell r="C505" t="str">
            <v>Adythia Adikara</v>
          </cell>
        </row>
        <row r="506">
          <cell r="B506">
            <v>25000000000503</v>
          </cell>
          <cell r="C506" t="str">
            <v>Agus Sopyan Hadi</v>
          </cell>
        </row>
        <row r="507">
          <cell r="B507">
            <v>25000000000504</v>
          </cell>
          <cell r="C507" t="str">
            <v>Azis Purwandana</v>
          </cell>
        </row>
        <row r="508">
          <cell r="B508">
            <v>25000000000505</v>
          </cell>
          <cell r="C508" t="str">
            <v>Heryanto</v>
          </cell>
        </row>
        <row r="509">
          <cell r="B509">
            <v>25000000000506</v>
          </cell>
          <cell r="C509" t="str">
            <v>Imran</v>
          </cell>
        </row>
        <row r="510">
          <cell r="B510">
            <v>25000000000507</v>
          </cell>
          <cell r="C510" t="str">
            <v>Khamim Taryono</v>
          </cell>
        </row>
        <row r="511">
          <cell r="B511">
            <v>25000000000508</v>
          </cell>
          <cell r="C511" t="str">
            <v>Rafi Artman Siddiq</v>
          </cell>
        </row>
        <row r="512">
          <cell r="B512">
            <v>25000000000509</v>
          </cell>
          <cell r="C512" t="str">
            <v>Riza Emir Subekti</v>
          </cell>
        </row>
        <row r="513">
          <cell r="B513">
            <v>25000000000510</v>
          </cell>
          <cell r="C513" t="str">
            <v>Slamet Riadi</v>
          </cell>
        </row>
        <row r="514">
          <cell r="B514">
            <v>25000000000511</v>
          </cell>
          <cell r="C514" t="str">
            <v>Wisnu Andra Isdianto</v>
          </cell>
        </row>
        <row r="515">
          <cell r="B515">
            <v>25000000000512</v>
          </cell>
          <cell r="C515" t="str">
            <v>Agus Budi Setiawan</v>
          </cell>
        </row>
        <row r="516">
          <cell r="B516">
            <v>25000000000513</v>
          </cell>
          <cell r="C516" t="str">
            <v>Ahmad Choerul</v>
          </cell>
        </row>
        <row r="517">
          <cell r="B517">
            <v>25000000000514</v>
          </cell>
          <cell r="C517" t="str">
            <v>Achmad Yunadi</v>
          </cell>
        </row>
        <row r="518">
          <cell r="B518">
            <v>25000000000515</v>
          </cell>
          <cell r="C518" t="str">
            <v>Asep mulyana</v>
          </cell>
        </row>
        <row r="519">
          <cell r="B519">
            <v>25000000000516</v>
          </cell>
          <cell r="C519" t="str">
            <v>Bagus Isdiantara</v>
          </cell>
        </row>
        <row r="520">
          <cell r="B520">
            <v>25000000000517</v>
          </cell>
          <cell r="C520" t="str">
            <v>Cahyana</v>
          </cell>
        </row>
        <row r="521">
          <cell r="B521">
            <v>25000000000518</v>
          </cell>
          <cell r="C521" t="str">
            <v>Dede Hartanto</v>
          </cell>
        </row>
        <row r="522">
          <cell r="B522">
            <v>25000000000519</v>
          </cell>
          <cell r="C522" t="str">
            <v>Denny Achmad Ferlando</v>
          </cell>
        </row>
        <row r="523">
          <cell r="B523">
            <v>25000000000520</v>
          </cell>
          <cell r="C523" t="str">
            <v>Dian Setiawan</v>
          </cell>
        </row>
        <row r="524">
          <cell r="B524">
            <v>25000000000521</v>
          </cell>
          <cell r="C524" t="str">
            <v>Fabrian Danang Destiyara</v>
          </cell>
        </row>
        <row r="525">
          <cell r="B525">
            <v>25000000000522</v>
          </cell>
          <cell r="C525" t="str">
            <v>Ferdian Kriswantoro</v>
          </cell>
        </row>
        <row r="526">
          <cell r="B526">
            <v>25000000000523</v>
          </cell>
          <cell r="C526" t="str">
            <v>Fuzi Mafrozi</v>
          </cell>
        </row>
        <row r="527">
          <cell r="B527">
            <v>25000000000524</v>
          </cell>
          <cell r="C527" t="str">
            <v>Gilang Setiawan</v>
          </cell>
        </row>
        <row r="528">
          <cell r="B528">
            <v>25000000000525</v>
          </cell>
          <cell r="C528" t="str">
            <v>Idris Affandi</v>
          </cell>
        </row>
        <row r="529">
          <cell r="B529">
            <v>25000000000526</v>
          </cell>
          <cell r="C529" t="str">
            <v>Indra Wijaya</v>
          </cell>
        </row>
        <row r="530">
          <cell r="B530">
            <v>25000000000527</v>
          </cell>
          <cell r="C530" t="str">
            <v>Irma Maulidawati</v>
          </cell>
        </row>
        <row r="531">
          <cell r="B531">
            <v>25000000000528</v>
          </cell>
          <cell r="C531" t="str">
            <v>Istikaro Fauziah</v>
          </cell>
        </row>
        <row r="532">
          <cell r="B532">
            <v>25000000000529</v>
          </cell>
          <cell r="C532" t="str">
            <v>Muhammad Lukbani</v>
          </cell>
        </row>
        <row r="533">
          <cell r="B533">
            <v>25000000000530</v>
          </cell>
          <cell r="C533" t="str">
            <v>Muhammad Sholikhun</v>
          </cell>
        </row>
        <row r="534">
          <cell r="B534">
            <v>25000000000531</v>
          </cell>
          <cell r="C534" t="str">
            <v>Muhammad Syarifudin</v>
          </cell>
        </row>
        <row r="535">
          <cell r="B535">
            <v>25000000000532</v>
          </cell>
          <cell r="C535" t="str">
            <v>Nadia Rizkiah</v>
          </cell>
        </row>
        <row r="536">
          <cell r="B536">
            <v>25000000000533</v>
          </cell>
          <cell r="C536" t="str">
            <v>Nikko Septian</v>
          </cell>
        </row>
        <row r="537">
          <cell r="B537">
            <v>25000000000534</v>
          </cell>
          <cell r="C537" t="str">
            <v>Novizan</v>
          </cell>
        </row>
        <row r="538">
          <cell r="B538">
            <v>25000000000535</v>
          </cell>
          <cell r="C538" t="str">
            <v>Oqi Suhaqi Yunus</v>
          </cell>
        </row>
        <row r="539">
          <cell r="B539">
            <v>25000000000536</v>
          </cell>
          <cell r="C539" t="str">
            <v>Restu Dwi Anjayani</v>
          </cell>
        </row>
        <row r="540">
          <cell r="B540">
            <v>25000000000537</v>
          </cell>
          <cell r="C540" t="str">
            <v>Rizal Amri</v>
          </cell>
        </row>
        <row r="541">
          <cell r="B541">
            <v>25000000000538</v>
          </cell>
          <cell r="C541" t="str">
            <v>Ronny Anindika Arnold</v>
          </cell>
        </row>
        <row r="542">
          <cell r="B542">
            <v>25000000000539</v>
          </cell>
          <cell r="C542" t="str">
            <v>Samta Harahap</v>
          </cell>
        </row>
        <row r="543">
          <cell r="B543">
            <v>25000000000540</v>
          </cell>
          <cell r="C543" t="str">
            <v>Vingky Hendriek Yomerlin</v>
          </cell>
        </row>
        <row r="544">
          <cell r="B544">
            <v>25000000000541</v>
          </cell>
          <cell r="C544" t="str">
            <v>Wahyu Teluk Naga</v>
          </cell>
        </row>
        <row r="545">
          <cell r="B545">
            <v>25000000000542</v>
          </cell>
          <cell r="C545" t="str">
            <v>Wardah Laily Khoiriyah</v>
          </cell>
        </row>
        <row r="546">
          <cell r="B546">
            <v>25000000000543</v>
          </cell>
          <cell r="C546" t="str">
            <v>Wawan Kusworo</v>
          </cell>
        </row>
        <row r="547">
          <cell r="B547">
            <v>25000000000544</v>
          </cell>
          <cell r="C547" t="str">
            <v>Wulanraniasih</v>
          </cell>
        </row>
        <row r="548">
          <cell r="B548">
            <v>25000000000545</v>
          </cell>
          <cell r="C548" t="str">
            <v>Yogi Perbangkara</v>
          </cell>
        </row>
        <row r="549">
          <cell r="B549">
            <v>25000000000546</v>
          </cell>
          <cell r="C549" t="str">
            <v>Yusuf Fathurahman</v>
          </cell>
        </row>
        <row r="550">
          <cell r="B550">
            <v>25000000000547</v>
          </cell>
          <cell r="C550" t="str">
            <v>Zeinurani</v>
          </cell>
        </row>
        <row r="551">
          <cell r="B551">
            <v>25000000000548</v>
          </cell>
          <cell r="C551" t="str">
            <v>Sulaeman</v>
          </cell>
        </row>
        <row r="552">
          <cell r="B552">
            <v>25000000000549</v>
          </cell>
          <cell r="C552" t="str">
            <v>Agus Nuryadi</v>
          </cell>
        </row>
        <row r="553">
          <cell r="B553">
            <v>25000000000550</v>
          </cell>
          <cell r="C553" t="str">
            <v>Dian Tri Rahmawati</v>
          </cell>
        </row>
        <row r="554">
          <cell r="B554">
            <v>25000000000551</v>
          </cell>
          <cell r="C554" t="str">
            <v>Langgeng Eko Dwiantoro</v>
          </cell>
        </row>
        <row r="555">
          <cell r="B555">
            <v>25000000000552</v>
          </cell>
          <cell r="C555" t="str">
            <v>Aldi Rizaldi</v>
          </cell>
        </row>
        <row r="556">
          <cell r="B556">
            <v>25000000000553</v>
          </cell>
          <cell r="C556" t="str">
            <v>Masimin</v>
          </cell>
        </row>
        <row r="557">
          <cell r="B557">
            <v>25000000000554</v>
          </cell>
          <cell r="C557" t="str">
            <v>Santoso Dwi Cahyo</v>
          </cell>
        </row>
        <row r="558">
          <cell r="B558">
            <v>25000000000555</v>
          </cell>
          <cell r="C558" t="str">
            <v>Wartono</v>
          </cell>
        </row>
        <row r="559">
          <cell r="B559">
            <v>25000000000556</v>
          </cell>
          <cell r="C559" t="str">
            <v>Yusarman</v>
          </cell>
        </row>
        <row r="560">
          <cell r="B560">
            <v>25000000000557</v>
          </cell>
          <cell r="C560" t="str">
            <v>Abdul Rachman</v>
          </cell>
        </row>
        <row r="561">
          <cell r="B561">
            <v>25000000000558</v>
          </cell>
          <cell r="C561" t="str">
            <v>Aden Bagus</v>
          </cell>
        </row>
        <row r="562">
          <cell r="B562">
            <v>25000000000559</v>
          </cell>
          <cell r="C562" t="str">
            <v>Adhe Kurniawan</v>
          </cell>
        </row>
        <row r="563">
          <cell r="B563">
            <v>25000000000560</v>
          </cell>
          <cell r="C563" t="str">
            <v>Ahmad Fauzi</v>
          </cell>
        </row>
        <row r="564">
          <cell r="B564">
            <v>25000000000561</v>
          </cell>
          <cell r="C564" t="str">
            <v>Ahmad Gunawan</v>
          </cell>
        </row>
        <row r="565">
          <cell r="B565">
            <v>25000000000562</v>
          </cell>
          <cell r="C565" t="str">
            <v>Andri Andriyan</v>
          </cell>
        </row>
        <row r="566">
          <cell r="B566">
            <v>25000000000563</v>
          </cell>
          <cell r="C566" t="str">
            <v>Budi Sulistianto</v>
          </cell>
        </row>
        <row r="567">
          <cell r="B567">
            <v>25000000000564</v>
          </cell>
          <cell r="C567" t="str">
            <v>Eka Budi</v>
          </cell>
        </row>
        <row r="568">
          <cell r="B568">
            <v>25000000000565</v>
          </cell>
          <cell r="C568" t="str">
            <v>Haerul Gunawan</v>
          </cell>
        </row>
        <row r="569">
          <cell r="B569">
            <v>25000000000566</v>
          </cell>
          <cell r="C569" t="str">
            <v>Irvan Agus</v>
          </cell>
        </row>
        <row r="570">
          <cell r="B570">
            <v>25000000000567</v>
          </cell>
          <cell r="C570" t="str">
            <v>Joshika Pradirga</v>
          </cell>
        </row>
        <row r="571">
          <cell r="B571">
            <v>25000000000568</v>
          </cell>
          <cell r="C571" t="str">
            <v>Khaidir</v>
          </cell>
        </row>
        <row r="572">
          <cell r="B572">
            <v>25000000000569</v>
          </cell>
          <cell r="C572" t="str">
            <v>Latip Muhlanto</v>
          </cell>
        </row>
        <row r="573">
          <cell r="B573">
            <v>25000000000570</v>
          </cell>
          <cell r="C573" t="str">
            <v>Leonardo Putra</v>
          </cell>
        </row>
        <row r="574">
          <cell r="B574">
            <v>25000000000571</v>
          </cell>
          <cell r="C574" t="str">
            <v>Muhammad Ramadani</v>
          </cell>
        </row>
        <row r="575">
          <cell r="B575">
            <v>25000000000572</v>
          </cell>
          <cell r="C575" t="str">
            <v>Musdalipa</v>
          </cell>
        </row>
        <row r="576">
          <cell r="B576">
            <v>25000000000573</v>
          </cell>
          <cell r="C576" t="str">
            <v>Nico Melky</v>
          </cell>
        </row>
        <row r="577">
          <cell r="B577">
            <v>25000000000574</v>
          </cell>
          <cell r="C577" t="str">
            <v>Rahmata Novanisa</v>
          </cell>
        </row>
        <row r="578">
          <cell r="B578">
            <v>25000000000575</v>
          </cell>
          <cell r="C578" t="str">
            <v>Satrio Dhiaputra</v>
          </cell>
        </row>
        <row r="579">
          <cell r="B579">
            <v>25000000000576</v>
          </cell>
          <cell r="C579" t="str">
            <v>Sudirman</v>
          </cell>
        </row>
        <row r="580">
          <cell r="B580">
            <v>25000000000577</v>
          </cell>
          <cell r="C580" t="str">
            <v>Suparji</v>
          </cell>
        </row>
        <row r="581">
          <cell r="B581">
            <v>25000000000578</v>
          </cell>
          <cell r="C581" t="str">
            <v>Taufik Iskandar</v>
          </cell>
        </row>
        <row r="582">
          <cell r="B582">
            <v>25000000000579</v>
          </cell>
          <cell r="C582" t="str">
            <v>Tegar Hersaputra</v>
          </cell>
        </row>
        <row r="583">
          <cell r="B583">
            <v>25000000000580</v>
          </cell>
          <cell r="C583" t="str">
            <v>Togar Sihombing</v>
          </cell>
        </row>
        <row r="584">
          <cell r="B584">
            <v>25000000000581</v>
          </cell>
          <cell r="C584" t="str">
            <v>Wisnu Trenggono Wirayuda</v>
          </cell>
        </row>
        <row r="585">
          <cell r="B585">
            <v>25000000000582</v>
          </cell>
          <cell r="C585" t="str">
            <v>Yogo</v>
          </cell>
        </row>
        <row r="586">
          <cell r="B586">
            <v>25000000000583</v>
          </cell>
          <cell r="C586" t="str">
            <v>Yustiana Firda</v>
          </cell>
        </row>
        <row r="587">
          <cell r="B587">
            <v>25000000000584</v>
          </cell>
          <cell r="C587" t="str">
            <v>Zainal Abidin</v>
          </cell>
        </row>
        <row r="588">
          <cell r="B588">
            <v>25000000000585</v>
          </cell>
          <cell r="C588" t="str">
            <v>Budi Sandika</v>
          </cell>
        </row>
        <row r="589">
          <cell r="B589">
            <v>25000000000586</v>
          </cell>
          <cell r="C589" t="str">
            <v>Fachri Azhar</v>
          </cell>
        </row>
        <row r="590">
          <cell r="B590">
            <v>25000000000587</v>
          </cell>
          <cell r="C590" t="str">
            <v>Firmansyah Awaludin</v>
          </cell>
        </row>
        <row r="591">
          <cell r="B591">
            <v>25000000000588</v>
          </cell>
          <cell r="C591" t="str">
            <v>Iman Faisal Abdurahman</v>
          </cell>
        </row>
        <row r="592">
          <cell r="B592">
            <v>25000000000589</v>
          </cell>
          <cell r="C592" t="str">
            <v>Muhammad Irfan Alfikri Rayana</v>
          </cell>
        </row>
        <row r="593">
          <cell r="B593">
            <v>25000000000590</v>
          </cell>
          <cell r="C593" t="str">
            <v>Syafri Johansah</v>
          </cell>
        </row>
        <row r="594">
          <cell r="B594">
            <v>25000000000591</v>
          </cell>
          <cell r="C594" t="str">
            <v>Agus Sobar</v>
          </cell>
        </row>
        <row r="595">
          <cell r="B595">
            <v>25000000000592</v>
          </cell>
          <cell r="C595" t="str">
            <v>Ahmad Sandi Asyuri</v>
          </cell>
        </row>
        <row r="596">
          <cell r="B596">
            <v>25000000000593</v>
          </cell>
          <cell r="C596" t="str">
            <v>Andi Mapasoro</v>
          </cell>
        </row>
        <row r="597">
          <cell r="B597">
            <v>25000000000594</v>
          </cell>
          <cell r="C597" t="str">
            <v>Arie Gustaman</v>
          </cell>
        </row>
        <row r="598">
          <cell r="B598">
            <v>25000000000595</v>
          </cell>
          <cell r="C598" t="str">
            <v>Arief Yulianto</v>
          </cell>
        </row>
        <row r="599">
          <cell r="B599">
            <v>25000000000596</v>
          </cell>
          <cell r="C599" t="str">
            <v>Burhan</v>
          </cell>
        </row>
        <row r="600">
          <cell r="B600">
            <v>25000000000597</v>
          </cell>
          <cell r="C600" t="str">
            <v>Deby Syahputa</v>
          </cell>
        </row>
        <row r="601">
          <cell r="B601">
            <v>25000000000598</v>
          </cell>
          <cell r="C601" t="str">
            <v>Ibrahim Arya Yuda</v>
          </cell>
        </row>
        <row r="602">
          <cell r="B602">
            <v>25000000000599</v>
          </cell>
          <cell r="C602" t="str">
            <v>Jamil</v>
          </cell>
        </row>
        <row r="603">
          <cell r="B603">
            <v>25000000000600</v>
          </cell>
          <cell r="C603" t="str">
            <v>Kiki Prasetyo</v>
          </cell>
        </row>
        <row r="604">
          <cell r="B604">
            <v>25000000000601</v>
          </cell>
          <cell r="C604" t="str">
            <v>Mochamad Ulul Azmi Wira Utama</v>
          </cell>
        </row>
        <row r="605">
          <cell r="B605">
            <v>25000000000602</v>
          </cell>
          <cell r="C605" t="str">
            <v>Muhammad Bilal Sharony</v>
          </cell>
        </row>
        <row r="606">
          <cell r="B606">
            <v>25000000000603</v>
          </cell>
          <cell r="C606" t="str">
            <v>Muhammad Hairul</v>
          </cell>
        </row>
        <row r="607">
          <cell r="B607">
            <v>25000000000604</v>
          </cell>
          <cell r="C607" t="str">
            <v>Muhammad Rizal</v>
          </cell>
        </row>
        <row r="608">
          <cell r="B608">
            <v>25000000000605</v>
          </cell>
          <cell r="C608" t="str">
            <v>Rahmad Dwifar</v>
          </cell>
        </row>
        <row r="609">
          <cell r="B609">
            <v>25000000000606</v>
          </cell>
          <cell r="C609" t="str">
            <v>Reza Sanjaya</v>
          </cell>
        </row>
        <row r="610">
          <cell r="B610">
            <v>25000000000607</v>
          </cell>
          <cell r="C610" t="str">
            <v>Ridwan Nur Muttaqin</v>
          </cell>
        </row>
        <row r="611">
          <cell r="B611">
            <v>25000000000608</v>
          </cell>
          <cell r="C611" t="str">
            <v xml:space="preserve">Risaldi </v>
          </cell>
        </row>
        <row r="612">
          <cell r="B612">
            <v>25000000000609</v>
          </cell>
          <cell r="C612" t="str">
            <v>Risty Alawiyah</v>
          </cell>
        </row>
        <row r="613">
          <cell r="B613">
            <v>25000000000610</v>
          </cell>
          <cell r="C613" t="str">
            <v>Rustono</v>
          </cell>
        </row>
        <row r="614">
          <cell r="B614">
            <v>25000000000611</v>
          </cell>
          <cell r="C614" t="str">
            <v>Solihin</v>
          </cell>
        </row>
        <row r="615">
          <cell r="B615">
            <v>25000000000612</v>
          </cell>
          <cell r="C615" t="str">
            <v>Supriatna</v>
          </cell>
        </row>
        <row r="616">
          <cell r="B616">
            <v>25000000000613</v>
          </cell>
          <cell r="C616" t="str">
            <v>Taufik Aminudin</v>
          </cell>
        </row>
        <row r="617">
          <cell r="B617">
            <v>25000000000614</v>
          </cell>
          <cell r="C617" t="str">
            <v>Timotius Tabun</v>
          </cell>
        </row>
        <row r="618">
          <cell r="B618">
            <v>25000000000615</v>
          </cell>
          <cell r="C618" t="str">
            <v>Adi</v>
          </cell>
        </row>
      </sheetData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F - InstitutionType"/>
      <sheetName val="SEED - Institution"/>
      <sheetName val="DataLookUp - Institution"/>
      <sheetName val="SEED - InstitutionBranch"/>
      <sheetName val="DataLookUp - InstitutionBranch"/>
      <sheetName val="SEED - Customer"/>
      <sheetName val="DataLookUp - Customer"/>
      <sheetName val="SEED - Supplier"/>
      <sheetName val="DataLookUp - Supplier"/>
      <sheetName val="RAW EDITED 3 Years"/>
      <sheetName val="Transform Contact Email"/>
      <sheetName val="Transform Contact"/>
      <sheetName val="Telp Fax Merge"/>
      <sheetName val="EMail Merge"/>
      <sheetName val="SQL - Customer"/>
      <sheetName val="Sheet1"/>
      <sheetName val="RAW - Customer"/>
      <sheetName val="SQL - Supplier"/>
      <sheetName val="RAW - Supplier"/>
    </sheetNames>
    <sheetDataSet>
      <sheetData sheetId="0"/>
      <sheetData sheetId="1"/>
      <sheetData sheetId="2"/>
      <sheetData sheetId="3"/>
      <sheetData sheetId="4">
        <row r="4">
          <cell r="B4">
            <v>124000000000001</v>
          </cell>
          <cell r="C4" t="str">
            <v>PT. QDC Technologies</v>
          </cell>
        </row>
        <row r="5">
          <cell r="B5">
            <v>124000000000002</v>
          </cell>
          <cell r="C5" t="str">
            <v>PT. Infra Media Dinamika</v>
          </cell>
        </row>
        <row r="6">
          <cell r="B6">
            <v>124000000000003</v>
          </cell>
          <cell r="C6" t="str">
            <v>PT. Daya Hidro Dinamika</v>
          </cell>
        </row>
        <row r="7">
          <cell r="B7">
            <v>124000000000004</v>
          </cell>
          <cell r="C7" t="str">
            <v>PT. Energi Mekar Lestari</v>
          </cell>
        </row>
        <row r="8">
          <cell r="B8">
            <v>124000000000005</v>
          </cell>
          <cell r="C8" t="str">
            <v>PT. KHA</v>
          </cell>
        </row>
        <row r="9">
          <cell r="B9">
            <v>124000000000006</v>
          </cell>
          <cell r="C9" t="str">
            <v>PT. Abhitama Citra Abadi</v>
          </cell>
        </row>
        <row r="10">
          <cell r="B10">
            <v>124000000000007</v>
          </cell>
          <cell r="C10" t="str">
            <v>PT. Abiyasa Tunggal</v>
          </cell>
        </row>
        <row r="11">
          <cell r="B11">
            <v>124000000000008</v>
          </cell>
          <cell r="C11" t="str">
            <v>PT. Aplika Nusa Lintas Arta</v>
          </cell>
        </row>
        <row r="12">
          <cell r="B12">
            <v>124000000000009</v>
          </cell>
          <cell r="C12" t="str">
            <v>PT. Bakrie Telecom, Tbk</v>
          </cell>
        </row>
        <row r="13">
          <cell r="B13">
            <v>124000000000010</v>
          </cell>
          <cell r="C13" t="str">
            <v>PT. Bukaka Teknik Utama, Tbk</v>
          </cell>
        </row>
        <row r="14">
          <cell r="B14">
            <v>124000000000011</v>
          </cell>
          <cell r="C14" t="str">
            <v>PT. Citra Panji Manunggal</v>
          </cell>
        </row>
        <row r="15">
          <cell r="B15">
            <v>124000000000012</v>
          </cell>
          <cell r="C15" t="str">
            <v>PT. Dayamitra Telekomunikasi</v>
          </cell>
        </row>
        <row r="16">
          <cell r="B16">
            <v>124000000000013</v>
          </cell>
          <cell r="C16" t="str">
            <v>Departemen Dalam Negeri</v>
          </cell>
        </row>
        <row r="17">
          <cell r="B17">
            <v>124000000000014</v>
          </cell>
          <cell r="C17" t="str">
            <v>PT. Duta Hita Jaya</v>
          </cell>
        </row>
        <row r="18">
          <cell r="B18">
            <v>124000000000015</v>
          </cell>
          <cell r="C18" t="str">
            <v>PT. Duta Pertiwi, Tbk</v>
          </cell>
        </row>
        <row r="19">
          <cell r="B19">
            <v>124000000000016</v>
          </cell>
          <cell r="C19" t="str">
            <v>PT. Duta Realtindo Perkasa</v>
          </cell>
        </row>
        <row r="20">
          <cell r="B20">
            <v>124000000000017</v>
          </cell>
          <cell r="C20" t="str">
            <v>PT. Energi Mekar Lestari</v>
          </cell>
        </row>
        <row r="21">
          <cell r="B21">
            <v>124000000000018</v>
          </cell>
          <cell r="C21" t="str">
            <v>PT. Ericsson Indonesia</v>
          </cell>
        </row>
        <row r="22">
          <cell r="B22">
            <v>124000000000019</v>
          </cell>
          <cell r="C22" t="str">
            <v>PT. Esa Mitra Teknologi</v>
          </cell>
        </row>
        <row r="23">
          <cell r="B23">
            <v>124000000000020</v>
          </cell>
          <cell r="C23" t="str">
            <v>PT. First Media, Tbk</v>
          </cell>
        </row>
        <row r="24">
          <cell r="B24">
            <v>124000000000021</v>
          </cell>
          <cell r="C24" t="str">
            <v xml:space="preserve">Flexi </v>
          </cell>
        </row>
        <row r="25">
          <cell r="B25">
            <v>124000000000022</v>
          </cell>
          <cell r="C25" t="str">
            <v>Flexi Mitrayasa</v>
          </cell>
        </row>
        <row r="26">
          <cell r="B26">
            <v>124000000000023</v>
          </cell>
          <cell r="C26" t="str">
            <v>PT. Huawei Tech Investment</v>
          </cell>
        </row>
        <row r="27">
          <cell r="B27">
            <v>124000000000024</v>
          </cell>
          <cell r="C27" t="str">
            <v>PT. Hutchinson 3 Indonesia</v>
          </cell>
        </row>
        <row r="28">
          <cell r="B28">
            <v>124000000000025</v>
          </cell>
          <cell r="C28" t="str">
            <v>PT. Indoprima Seluler</v>
          </cell>
        </row>
        <row r="29">
          <cell r="B29">
            <v>124000000000026</v>
          </cell>
          <cell r="C29" t="str">
            <v>PT. Indosat, Tbk [a.k.a : Indosat]</v>
          </cell>
        </row>
        <row r="30">
          <cell r="B30">
            <v>124000000000027</v>
          </cell>
          <cell r="C30" t="str">
            <v>PT. Industri Telekomunikasi Indonesia (Persero) [a.k.a : INTI]</v>
          </cell>
        </row>
        <row r="31">
          <cell r="B31">
            <v>124000000000028</v>
          </cell>
          <cell r="C31" t="str">
            <v>PT. Infrastruktur Bisnis Sejahtera</v>
          </cell>
        </row>
        <row r="32">
          <cell r="B32">
            <v>124000000000029</v>
          </cell>
          <cell r="C32" t="str">
            <v>PT. Intershop Prima Center</v>
          </cell>
        </row>
        <row r="33">
          <cell r="B33">
            <v>124000000000030</v>
          </cell>
          <cell r="C33" t="str">
            <v>PT. Inti Bangun Sejahtera, Tbk</v>
          </cell>
        </row>
        <row r="34">
          <cell r="B34">
            <v>124000000000031</v>
          </cell>
          <cell r="C34" t="str">
            <v>PT. Karya Mitra Nugraha</v>
          </cell>
        </row>
        <row r="35">
          <cell r="B35">
            <v>124000000000032</v>
          </cell>
          <cell r="C35" t="str">
            <v>PT. Lektrika Karyatama</v>
          </cell>
        </row>
        <row r="36">
          <cell r="B36">
            <v>124000000000033</v>
          </cell>
          <cell r="C36" t="str">
            <v>PT. Link Net</v>
          </cell>
        </row>
        <row r="37">
          <cell r="B37">
            <v>124000000000034</v>
          </cell>
          <cell r="C37" t="str">
            <v>PT. Lintas Teknologi Indonesia</v>
          </cell>
        </row>
        <row r="38">
          <cell r="B38">
            <v>124000000000035</v>
          </cell>
          <cell r="C38" t="str">
            <v>PT. Mega Eltra</v>
          </cell>
        </row>
        <row r="39">
          <cell r="B39">
            <v>124000000000036</v>
          </cell>
          <cell r="C39" t="str">
            <v>PT. Megatel Jaya Swastikarya</v>
          </cell>
        </row>
        <row r="40">
          <cell r="B40">
            <v>124000000000037</v>
          </cell>
          <cell r="C40" t="str">
            <v>PT. Nokia Indonesia</v>
          </cell>
        </row>
        <row r="41">
          <cell r="B41">
            <v>124000000000038</v>
          </cell>
          <cell r="C41" t="str">
            <v>PT. Nokia Siemens Network Indonesia</v>
          </cell>
        </row>
        <row r="42">
          <cell r="B42">
            <v>124000000000039</v>
          </cell>
          <cell r="C42" t="str">
            <v>PT. Pertamina Geothermal Energy</v>
          </cell>
        </row>
        <row r="43">
          <cell r="B43">
            <v>124000000000040</v>
          </cell>
          <cell r="C43" t="str">
            <v>PT. Pelayanan Listrik Nasional (Persero) - Kantor Pusat</v>
          </cell>
        </row>
        <row r="44">
          <cell r="B44">
            <v>124000000000041</v>
          </cell>
          <cell r="C44" t="str">
            <v>PT. Pelayanan Listrik Nasional (Persero) - Batam</v>
          </cell>
        </row>
        <row r="45">
          <cell r="B45">
            <v>124000000000042</v>
          </cell>
          <cell r="C45" t="str">
            <v>PT. Pelayanan Listrik Nasional (Persero) - P3B Jawa Bali APP Cawang</v>
          </cell>
        </row>
        <row r="46">
          <cell r="B46">
            <v>124000000000043</v>
          </cell>
          <cell r="C46" t="str">
            <v>PT. Pelayanan Listrik Nasional (Persero) - Unit Induk Pembangunan V</v>
          </cell>
        </row>
        <row r="47">
          <cell r="B47">
            <v>124000000000044</v>
          </cell>
          <cell r="C47" t="str">
            <v>PT. Pelayanan Listrik Nasional (Persero) - Unit Induk Pembangunan Nusa Tenggara</v>
          </cell>
        </row>
        <row r="48">
          <cell r="B48">
            <v>124000000000045</v>
          </cell>
          <cell r="C48" t="str">
            <v>PT. Pelayanan Listrik Nasional (Persero) - Unit Induk Pembangunan XIII</v>
          </cell>
        </row>
        <row r="49">
          <cell r="B49">
            <v>124000000000046</v>
          </cell>
          <cell r="C49" t="str">
            <v>PT. Pelayanan Listrik Nasional (Persero) - P2B Jawa Bali APB Jawa Tengah &amp; DIY</v>
          </cell>
        </row>
        <row r="50">
          <cell r="B50">
            <v>124000000000047</v>
          </cell>
          <cell r="C50" t="str">
            <v>PT. Pelayanan Listrik Nasional (Persero) - Unit Induk Pembangunan II</v>
          </cell>
        </row>
        <row r="51">
          <cell r="B51">
            <v>124000000000048</v>
          </cell>
          <cell r="C51" t="str">
            <v>PT. Pelayanan Listrik Nasional (Persero) - Unit Induk Pembangunan Interkoneksi Sumatera Jawa</v>
          </cell>
        </row>
        <row r="52">
          <cell r="B52">
            <v>124000000000049</v>
          </cell>
          <cell r="C52" t="str">
            <v>PT. Pelayanan Listrik Nasional (Persero) - Unit Induk Pembangunan X</v>
          </cell>
        </row>
        <row r="53">
          <cell r="B53">
            <v>124000000000050</v>
          </cell>
          <cell r="C53" t="str">
            <v xml:space="preserve">PT. Pelayanan Listrik Nasional (Persero) - Unit Induk Pembangunan JBT II </v>
          </cell>
        </row>
        <row r="54">
          <cell r="B54">
            <v>124000000000051</v>
          </cell>
          <cell r="C54" t="str">
            <v>PT. Protelindo [a.k.a : PLN]</v>
          </cell>
        </row>
        <row r="55">
          <cell r="B55">
            <v>124000000000052</v>
          </cell>
          <cell r="C55" t="str">
            <v>PT. Ramayana Lestari Sentosa, Tbk [a.k.a : Ramayana Departement Store]</v>
          </cell>
        </row>
        <row r="56">
          <cell r="B56">
            <v>124000000000053</v>
          </cell>
          <cell r="C56" t="str">
            <v>PT. Rekadaya Elektrika</v>
          </cell>
        </row>
        <row r="57">
          <cell r="B57">
            <v>124000000000054</v>
          </cell>
          <cell r="C57" t="str">
            <v>CV. Sejahtera Mandiri</v>
          </cell>
        </row>
        <row r="58">
          <cell r="B58">
            <v>124000000000055</v>
          </cell>
          <cell r="C58" t="str">
            <v>PT. Sigindo Kemas</v>
          </cell>
        </row>
        <row r="59">
          <cell r="B59">
            <v>124000000000056</v>
          </cell>
          <cell r="C59" t="str">
            <v>PT. Smart Telecom</v>
          </cell>
        </row>
        <row r="60">
          <cell r="B60">
            <v>124000000000057</v>
          </cell>
          <cell r="C60" t="str">
            <v>PT. Telekomunikasi Indonesia (Persero), Tbk [a.k.a : Telkom] - Bandung</v>
          </cell>
        </row>
        <row r="61">
          <cell r="B61">
            <v>124000000000058</v>
          </cell>
          <cell r="C61" t="str">
            <v>PT. Telekomunikasi Selular, Tbk [a.k.a : Telkomsel] - Jakarta</v>
          </cell>
        </row>
        <row r="62">
          <cell r="B62">
            <v>124000000000059</v>
          </cell>
          <cell r="C62" t="str">
            <v>PT. Telkom Akses</v>
          </cell>
        </row>
        <row r="63">
          <cell r="B63">
            <v>124000000000060</v>
          </cell>
          <cell r="C63" t="str">
            <v>PT. Tosan Permai Lestari</v>
          </cell>
        </row>
        <row r="64">
          <cell r="B64">
            <v>124000000000061</v>
          </cell>
          <cell r="C64" t="str">
            <v>PT. Tower Capital Indonesia</v>
          </cell>
        </row>
        <row r="65">
          <cell r="B65">
            <v>124000000000062</v>
          </cell>
          <cell r="C65" t="str">
            <v>PT. Waskita Karya (Persero), Tbk</v>
          </cell>
        </row>
        <row r="66">
          <cell r="B66">
            <v>124000000000063</v>
          </cell>
          <cell r="C66" t="str">
            <v>PT. Widodo Karya Sejahtera</v>
          </cell>
        </row>
        <row r="67">
          <cell r="B67">
            <v>124000000000064</v>
          </cell>
          <cell r="C67" t="str">
            <v>PT. XL Axiata, Tbk [a.k.a : XL]</v>
          </cell>
        </row>
        <row r="68">
          <cell r="B68">
            <v>124000000000065</v>
          </cell>
          <cell r="C68" t="str">
            <v>PT. XL Mitrayasa</v>
          </cell>
        </row>
        <row r="69">
          <cell r="B69">
            <v>124000000000066</v>
          </cell>
          <cell r="C69" t="str">
            <v>PT. ZTE Indonesia</v>
          </cell>
        </row>
        <row r="70">
          <cell r="B70">
            <v>124000000000067</v>
          </cell>
          <cell r="C70" t="str">
            <v>PT. Sansaine Exindo</v>
          </cell>
        </row>
        <row r="71">
          <cell r="B71">
            <v>124000000000068</v>
          </cell>
          <cell r="C71" t="str">
            <v>Indo Jaya Scaffolding</v>
          </cell>
        </row>
        <row r="72">
          <cell r="B72">
            <v>124000000000069</v>
          </cell>
          <cell r="C72" t="str">
            <v>PT. Pembangunan Perumahan (Persero), Tbk [a.k.a : PP]</v>
          </cell>
        </row>
        <row r="73">
          <cell r="B73">
            <v>124000000000070</v>
          </cell>
          <cell r="C73" t="str">
            <v>Linus Nusa Express</v>
          </cell>
        </row>
        <row r="74">
          <cell r="B74">
            <v>124000000000071</v>
          </cell>
          <cell r="C74" t="str">
            <v>PT. Penjaminan Jamkrindo Syariah</v>
          </cell>
        </row>
        <row r="75">
          <cell r="B75">
            <v>124000000000072</v>
          </cell>
          <cell r="C75" t="str">
            <v>PT. Larsen And Tourbo</v>
          </cell>
        </row>
        <row r="76">
          <cell r="B76">
            <v>124000000000073</v>
          </cell>
          <cell r="C76" t="str">
            <v>PT. Pelayanan Listrik Nasional (Persero) - Unit Induk Pembangunan Kalimantan Bagian Barat</v>
          </cell>
        </row>
        <row r="77">
          <cell r="B77">
            <v>124000000000074</v>
          </cell>
          <cell r="C77" t="str">
            <v>PT. Pelayanan Listrik Nasional (Persero) - Unit Induk Pembangunan Sumatera Bagian Tengah</v>
          </cell>
        </row>
        <row r="78">
          <cell r="B78">
            <v>124000000000075</v>
          </cell>
          <cell r="C78" t="str">
            <v xml:space="preserve">PT. Asuransi Sinar Mas </v>
          </cell>
        </row>
        <row r="79">
          <cell r="B79">
            <v>124000000000076</v>
          </cell>
          <cell r="C79" t="str">
            <v>Agung Jaya</v>
          </cell>
        </row>
        <row r="80">
          <cell r="B80">
            <v>124000000000077</v>
          </cell>
          <cell r="C80" t="str">
            <v>Aji Perkasa</v>
          </cell>
        </row>
        <row r="81">
          <cell r="B81">
            <v>124000000000078</v>
          </cell>
          <cell r="C81" t="str">
            <v>Aledro Duta Jaya</v>
          </cell>
        </row>
        <row r="82">
          <cell r="B82">
            <v>124000000000079</v>
          </cell>
          <cell r="C82" t="str">
            <v>Alpine Cool Utama</v>
          </cell>
        </row>
        <row r="83">
          <cell r="B83">
            <v>124000000000080</v>
          </cell>
          <cell r="C83" t="str">
            <v>Alumagada Jaya Mandiri</v>
          </cell>
        </row>
        <row r="84">
          <cell r="B84">
            <v>124000000000081</v>
          </cell>
          <cell r="C84" t="str">
            <v>PT. Karawang Dinamika Lestari</v>
          </cell>
        </row>
        <row r="85">
          <cell r="B85">
            <v>124000000000082</v>
          </cell>
          <cell r="C85" t="str">
            <v>KSO WST-QDC</v>
          </cell>
        </row>
        <row r="86">
          <cell r="B86">
            <v>124000000000083</v>
          </cell>
          <cell r="C86" t="str">
            <v>PT. Adhi Commuter Properti</v>
          </cell>
        </row>
        <row r="87">
          <cell r="B87">
            <v>124000000000084</v>
          </cell>
          <cell r="C87" t="str">
            <v xml:space="preserve">PT. Pelayanan Listrik Nasional (Persero) - Penyaluran dan Pusat Pengaturan </v>
          </cell>
        </row>
        <row r="88">
          <cell r="B88">
            <v>124000000000085</v>
          </cell>
          <cell r="C88" t="str">
            <v>CV. Alfa Link Mandiri</v>
          </cell>
        </row>
        <row r="89">
          <cell r="B89">
            <v>124000000000086</v>
          </cell>
          <cell r="C89" t="str">
            <v>CV. Alodia Makmur Abadi</v>
          </cell>
        </row>
        <row r="90">
          <cell r="B90">
            <v>124000000000087</v>
          </cell>
          <cell r="C90" t="str">
            <v>CV. Anugerah Karya Magantha</v>
          </cell>
        </row>
        <row r="91">
          <cell r="B91">
            <v>124000000000088</v>
          </cell>
          <cell r="C91" t="str">
            <v>CV. Artha Jaya Mulya</v>
          </cell>
        </row>
        <row r="92">
          <cell r="B92">
            <v>124000000000089</v>
          </cell>
          <cell r="C92" t="str">
            <v>CV. Borneo Geotec Engginering</v>
          </cell>
        </row>
        <row r="93">
          <cell r="B93">
            <v>124000000000090</v>
          </cell>
          <cell r="C93" t="str">
            <v>CV. Cipta Aneka Sarana</v>
          </cell>
        </row>
        <row r="94">
          <cell r="B94">
            <v>124000000000091</v>
          </cell>
          <cell r="C94" t="str">
            <v xml:space="preserve">CV. Didi Dan Darwis Survey </v>
          </cell>
        </row>
        <row r="95">
          <cell r="B95">
            <v>124000000000092</v>
          </cell>
          <cell r="C95" t="str">
            <v>CV. Dinargeo Survey</v>
          </cell>
        </row>
        <row r="96">
          <cell r="B96">
            <v>124000000000093</v>
          </cell>
          <cell r="C96" t="str">
            <v>CV. Direct Linus Logistik</v>
          </cell>
        </row>
        <row r="97">
          <cell r="B97">
            <v>124000000000094</v>
          </cell>
          <cell r="C97" t="str">
            <v>CV. Edi Jaya Bangunan</v>
          </cell>
        </row>
        <row r="98">
          <cell r="B98">
            <v>124000000000095</v>
          </cell>
          <cell r="C98" t="str">
            <v>CV. Elang Sega</v>
          </cell>
        </row>
        <row r="99">
          <cell r="B99">
            <v>124000000000096</v>
          </cell>
          <cell r="C99" t="str">
            <v>CV. Gallazka Teknik</v>
          </cell>
        </row>
        <row r="100">
          <cell r="B100">
            <v>124000000000097</v>
          </cell>
          <cell r="C100" t="str">
            <v>CV. Ghania Mandiri</v>
          </cell>
        </row>
        <row r="101">
          <cell r="B101">
            <v>124000000000098</v>
          </cell>
          <cell r="C101" t="str">
            <v>CV. Istana Gemilang Mandiri</v>
          </cell>
        </row>
        <row r="102">
          <cell r="B102">
            <v>124000000000099</v>
          </cell>
          <cell r="C102" t="str">
            <v>CV. Jember Elektrindo Gemilang</v>
          </cell>
        </row>
        <row r="103">
          <cell r="B103">
            <v>124000000000100</v>
          </cell>
          <cell r="C103" t="str">
            <v>CV. Karya Baru</v>
          </cell>
        </row>
        <row r="104">
          <cell r="B104">
            <v>124000000000101</v>
          </cell>
          <cell r="C104" t="str">
            <v>CV. Kawan Inti Jaya</v>
          </cell>
        </row>
        <row r="105">
          <cell r="B105">
            <v>124000000000102</v>
          </cell>
          <cell r="C105" t="str">
            <v>CV. Laba Mandiri Lapaopao</v>
          </cell>
        </row>
        <row r="106">
          <cell r="B106">
            <v>124000000000103</v>
          </cell>
          <cell r="C106" t="str">
            <v>CV. Mitra Bengawan Trans</v>
          </cell>
        </row>
        <row r="107">
          <cell r="B107">
            <v>124000000000104</v>
          </cell>
          <cell r="C107" t="str">
            <v>CV. Mulia Jaya Steel</v>
          </cell>
        </row>
        <row r="108">
          <cell r="B108">
            <v>124000000000105</v>
          </cell>
          <cell r="C108" t="str">
            <v>CV. Muzima</v>
          </cell>
        </row>
        <row r="109">
          <cell r="B109">
            <v>124000000000106</v>
          </cell>
          <cell r="C109" t="str">
            <v>CV. Punokawan</v>
          </cell>
        </row>
        <row r="110">
          <cell r="B110">
            <v>124000000000107</v>
          </cell>
          <cell r="C110" t="str">
            <v>CV. Putra Bintang Api</v>
          </cell>
        </row>
        <row r="111">
          <cell r="B111">
            <v>124000000000108</v>
          </cell>
          <cell r="C111" t="str">
            <v>CV. Sangiang Teknik Perkasa</v>
          </cell>
        </row>
        <row r="112">
          <cell r="B112">
            <v>124000000000109</v>
          </cell>
          <cell r="C112" t="str">
            <v>CV. Siliwangi jaya</v>
          </cell>
        </row>
        <row r="113">
          <cell r="B113">
            <v>124000000000110</v>
          </cell>
          <cell r="C113" t="str">
            <v>CV. Sukses Indo Pratama</v>
          </cell>
        </row>
        <row r="114">
          <cell r="B114">
            <v>124000000000111</v>
          </cell>
          <cell r="C114" t="str">
            <v>CV. Sumber Rezeki</v>
          </cell>
        </row>
        <row r="115">
          <cell r="B115">
            <v>124000000000112</v>
          </cell>
          <cell r="C115" t="str">
            <v>CV. Sumber Sarana Karya</v>
          </cell>
        </row>
        <row r="116">
          <cell r="B116">
            <v>124000000000113</v>
          </cell>
          <cell r="C116" t="str">
            <v>CV. Surya Pandawa Nusa</v>
          </cell>
        </row>
        <row r="117">
          <cell r="B117">
            <v>124000000000114</v>
          </cell>
          <cell r="C117" t="str">
            <v>PT. Abadi Rajawali Semesta</v>
          </cell>
        </row>
        <row r="118">
          <cell r="B118">
            <v>124000000000115</v>
          </cell>
          <cell r="C118" t="str">
            <v>PT. Adibrata Graha</v>
          </cell>
        </row>
        <row r="119">
          <cell r="B119">
            <v>124000000000116</v>
          </cell>
          <cell r="C119" t="str">
            <v>PT. Aegisindo Mitra Sejati</v>
          </cell>
        </row>
        <row r="120">
          <cell r="B120">
            <v>124000000000117</v>
          </cell>
          <cell r="C120" t="str">
            <v>PT. Agape Biomedi Investama</v>
          </cell>
        </row>
        <row r="121">
          <cell r="B121">
            <v>124000000000118</v>
          </cell>
          <cell r="C121" t="str">
            <v>PT. Ali Sejahtera</v>
          </cell>
        </row>
        <row r="122">
          <cell r="B122">
            <v>124000000000119</v>
          </cell>
          <cell r="C122" t="str">
            <v>PT. Andalan Dinamika Konstrukindo</v>
          </cell>
        </row>
        <row r="123">
          <cell r="B123">
            <v>124000000000120</v>
          </cell>
          <cell r="C123" t="str">
            <v>PT. Aneza Persada Abadi</v>
          </cell>
        </row>
        <row r="124">
          <cell r="B124">
            <v>124000000000121</v>
          </cell>
          <cell r="C124" t="str">
            <v>PT. Asiatronic Indo Makmur</v>
          </cell>
        </row>
        <row r="125">
          <cell r="B125">
            <v>124000000000122</v>
          </cell>
          <cell r="C125" t="str">
            <v>PT. Asuransi Asei Indonesia</v>
          </cell>
        </row>
        <row r="126">
          <cell r="B126">
            <v>124000000000123</v>
          </cell>
          <cell r="C126" t="str">
            <v>PT. Asuransi Multi Artha Guna</v>
          </cell>
        </row>
        <row r="127">
          <cell r="B127">
            <v>124000000000124</v>
          </cell>
          <cell r="C127" t="str">
            <v>PT. Asuransi Perisai Listrik Nasional</v>
          </cell>
        </row>
        <row r="128">
          <cell r="B128">
            <v>124000000000125</v>
          </cell>
          <cell r="C128" t="str">
            <v>PT. Bangun Rancang Indonesia Kita</v>
          </cell>
        </row>
        <row r="129">
          <cell r="B129">
            <v>124000000000126</v>
          </cell>
          <cell r="C129" t="str">
            <v>PT. Beringin Floratama Megah</v>
          </cell>
        </row>
        <row r="130">
          <cell r="B130">
            <v>124000000000127</v>
          </cell>
          <cell r="C130" t="str">
            <v>PT. Berkah Tirta Wahana</v>
          </cell>
        </row>
        <row r="131">
          <cell r="B131">
            <v>124000000000128</v>
          </cell>
          <cell r="C131" t="str">
            <v>PT. Berkat Sahabat Sejati</v>
          </cell>
        </row>
        <row r="132">
          <cell r="B132">
            <v>124000000000129</v>
          </cell>
          <cell r="C132" t="str">
            <v>PT. Best Energy System</v>
          </cell>
        </row>
        <row r="133">
          <cell r="B133">
            <v>124000000000130</v>
          </cell>
          <cell r="C133" t="str">
            <v>PT. Beton Perkasa Wijaksana</v>
          </cell>
        </row>
        <row r="134">
          <cell r="B134">
            <v>124000000000131</v>
          </cell>
          <cell r="C134" t="str">
            <v>PT. Bhirawa Metal Mandiri</v>
          </cell>
        </row>
        <row r="135">
          <cell r="B135">
            <v>124000000000132</v>
          </cell>
          <cell r="C135" t="str">
            <v>PT. Bigi Multi Internasional</v>
          </cell>
        </row>
        <row r="136">
          <cell r="B136">
            <v>124000000000133</v>
          </cell>
          <cell r="C136" t="str">
            <v xml:space="preserve">PT. Bintang Indah Persada </v>
          </cell>
        </row>
        <row r="137">
          <cell r="B137">
            <v>124000000000134</v>
          </cell>
          <cell r="C137" t="str">
            <v>PT. Bintang Virgo Utama</v>
          </cell>
        </row>
        <row r="138">
          <cell r="B138">
            <v>124000000000135</v>
          </cell>
          <cell r="C138" t="str">
            <v>PT. Biro Klasifikasi Indonesia</v>
          </cell>
        </row>
        <row r="139">
          <cell r="B139">
            <v>124000000000136</v>
          </cell>
          <cell r="C139" t="str">
            <v>PT. Blue Power International</v>
          </cell>
        </row>
        <row r="140">
          <cell r="B140">
            <v>124000000000137</v>
          </cell>
          <cell r="C140" t="str">
            <v>PT. Bosowa Asuransi</v>
          </cell>
        </row>
        <row r="141">
          <cell r="B141">
            <v>124000000000138</v>
          </cell>
          <cell r="C141" t="str">
            <v>PT. Buana Tirta Semesta</v>
          </cell>
        </row>
        <row r="142">
          <cell r="B142">
            <v>124000000000139</v>
          </cell>
          <cell r="C142" t="str">
            <v>PT. Cahaya Mentari Cemerlang</v>
          </cell>
        </row>
        <row r="143">
          <cell r="B143">
            <v>124000000000140</v>
          </cell>
          <cell r="C143" t="str">
            <v>PT. Cakrawala Persada Internasional</v>
          </cell>
        </row>
        <row r="144">
          <cell r="B144">
            <v>124000000000141</v>
          </cell>
          <cell r="C144" t="str">
            <v xml:space="preserve">PT. Caroline Trans Mandiri </v>
          </cell>
        </row>
        <row r="145">
          <cell r="B145">
            <v>124000000000142</v>
          </cell>
          <cell r="C145" t="str">
            <v xml:space="preserve">PT. Cita Baja </v>
          </cell>
        </row>
        <row r="146">
          <cell r="B146">
            <v>124000000000143</v>
          </cell>
          <cell r="C146" t="str">
            <v>PT. Citra Banjar Abadi</v>
          </cell>
        </row>
        <row r="147">
          <cell r="B147">
            <v>124000000000144</v>
          </cell>
          <cell r="C147" t="str">
            <v xml:space="preserve">PT. Datascrip </v>
          </cell>
        </row>
        <row r="148">
          <cell r="B148">
            <v>124000000000145</v>
          </cell>
          <cell r="C148" t="str">
            <v xml:space="preserve">PT. Denko Wahana Sakti </v>
          </cell>
        </row>
        <row r="149">
          <cell r="B149">
            <v>124000000000146</v>
          </cell>
          <cell r="C149" t="str">
            <v>PT. Detech Profesional Indonesia</v>
          </cell>
        </row>
        <row r="150">
          <cell r="B150">
            <v>124000000000147</v>
          </cell>
          <cell r="C150" t="str">
            <v>PT. Dharma Lautan Utama</v>
          </cell>
        </row>
        <row r="151">
          <cell r="B151">
            <v>124000000000148</v>
          </cell>
          <cell r="C151" t="str">
            <v>PT. Dinar Energi Utama</v>
          </cell>
        </row>
        <row r="152">
          <cell r="B152">
            <v>124000000000149</v>
          </cell>
          <cell r="C152" t="str">
            <v>PT. Dirgatz Indonesia</v>
          </cell>
        </row>
        <row r="153">
          <cell r="B153">
            <v>124000000000150</v>
          </cell>
          <cell r="C153" t="str">
            <v>PT. Duta Realtindo Perkasa</v>
          </cell>
        </row>
        <row r="154">
          <cell r="B154">
            <v>124000000000151</v>
          </cell>
          <cell r="C154" t="str">
            <v>PT. Dwimitra Sejahtera Bersama</v>
          </cell>
        </row>
        <row r="155">
          <cell r="B155">
            <v>124000000000152</v>
          </cell>
          <cell r="C155" t="str">
            <v>PT. Elbion Karya Solusi</v>
          </cell>
        </row>
        <row r="156">
          <cell r="B156">
            <v>124000000000153</v>
          </cell>
          <cell r="C156" t="str">
            <v xml:space="preserve">PT. Fortindo Maju Bersama </v>
          </cell>
        </row>
        <row r="157">
          <cell r="B157">
            <v>124000000000154</v>
          </cell>
          <cell r="C157" t="str">
            <v>PT. Gateway Container Line Indonesia</v>
          </cell>
        </row>
        <row r="158">
          <cell r="B158">
            <v>124000000000155</v>
          </cell>
          <cell r="C158" t="str">
            <v>PT. Geo Cipta Bangun</v>
          </cell>
        </row>
        <row r="159">
          <cell r="B159">
            <v>124000000000156</v>
          </cell>
          <cell r="C159" t="str">
            <v>PT. Geo Metri Indonesia</v>
          </cell>
        </row>
        <row r="160">
          <cell r="B160">
            <v>124000000000157</v>
          </cell>
          <cell r="C160" t="str">
            <v>PT. Geotechnical Systemindo</v>
          </cell>
        </row>
        <row r="161">
          <cell r="B161">
            <v>124000000000158</v>
          </cell>
          <cell r="C161" t="str">
            <v>PT. Gerindo Tehnik</v>
          </cell>
        </row>
        <row r="162">
          <cell r="B162">
            <v>124000000000159</v>
          </cell>
          <cell r="C162" t="str">
            <v>PT. Giapindo King Stone</v>
          </cell>
        </row>
        <row r="163">
          <cell r="B163">
            <v>124000000000160</v>
          </cell>
          <cell r="C163" t="str">
            <v>PT. Givro Multi Teknik Perkasa</v>
          </cell>
        </row>
        <row r="164">
          <cell r="B164">
            <v>124000000000161</v>
          </cell>
          <cell r="C164" t="str">
            <v>PT. Globalindo Energi Perkasa</v>
          </cell>
        </row>
        <row r="165">
          <cell r="B165">
            <v>124000000000162</v>
          </cell>
          <cell r="C165" t="str">
            <v>PT. Harapan Mitra Pengusaha Nusantara</v>
          </cell>
        </row>
        <row r="166">
          <cell r="B166">
            <v>124000000000163</v>
          </cell>
          <cell r="C166" t="str">
            <v>PT. Hartelindo Telco Utama</v>
          </cell>
        </row>
        <row r="167">
          <cell r="B167">
            <v>124000000000164</v>
          </cell>
          <cell r="C167" t="str">
            <v>PT. Hesindo Karya Pratama</v>
          </cell>
        </row>
        <row r="168">
          <cell r="B168">
            <v>124000000000165</v>
          </cell>
          <cell r="C168" t="str">
            <v>PT. Hijrah Insan Karima</v>
          </cell>
        </row>
        <row r="169">
          <cell r="B169">
            <v>124000000000166</v>
          </cell>
          <cell r="C169" t="str">
            <v>PT. Hitachi Sakti Energy Indonesia</v>
          </cell>
        </row>
        <row r="170">
          <cell r="B170">
            <v>124000000000167</v>
          </cell>
          <cell r="C170" t="str">
            <v>PT. Indah Logistik Cargo</v>
          </cell>
        </row>
        <row r="171">
          <cell r="B171">
            <v>124000000000168</v>
          </cell>
          <cell r="C171" t="str">
            <v xml:space="preserve">PT. Infra Media Dinamika </v>
          </cell>
        </row>
        <row r="172">
          <cell r="B172">
            <v>124000000000169</v>
          </cell>
          <cell r="C172" t="str">
            <v>PT. Infracoo Pengadaan Indonesia</v>
          </cell>
        </row>
        <row r="173">
          <cell r="B173">
            <v>124000000000170</v>
          </cell>
          <cell r="C173" t="str">
            <v>PT. Inti Teknologi Indonesia Utama</v>
          </cell>
        </row>
        <row r="174">
          <cell r="B174">
            <v>124000000000171</v>
          </cell>
          <cell r="C174" t="str">
            <v>PT. Iradat Aman Globalindo</v>
          </cell>
        </row>
        <row r="175">
          <cell r="B175">
            <v>124000000000172</v>
          </cell>
          <cell r="C175" t="str">
            <v>PT. Jaring Permata Samudra</v>
          </cell>
        </row>
        <row r="176">
          <cell r="B176">
            <v>124000000000173</v>
          </cell>
          <cell r="C176" t="str">
            <v>PT. Jaring Telekomunikasi Indonesia</v>
          </cell>
        </row>
        <row r="177">
          <cell r="B177">
            <v>124000000000174</v>
          </cell>
          <cell r="C177" t="str">
            <v>PT. Jaya Beton Indonesia</v>
          </cell>
        </row>
        <row r="178">
          <cell r="B178">
            <v>124000000000175</v>
          </cell>
          <cell r="C178" t="str">
            <v>PT. Jogatama Mandauputra</v>
          </cell>
        </row>
        <row r="179">
          <cell r="B179">
            <v>124000000000176</v>
          </cell>
          <cell r="C179" t="str">
            <v>PT. Joko Mas Pancang</v>
          </cell>
        </row>
        <row r="180">
          <cell r="B180">
            <v>124000000000177</v>
          </cell>
          <cell r="C180" t="str">
            <v>PT. Kalimantan Beton Perkasa</v>
          </cell>
        </row>
        <row r="181">
          <cell r="B181">
            <v>124000000000178</v>
          </cell>
          <cell r="C181" t="str">
            <v>PT. Kalimantan Prakarsa Mandiri</v>
          </cell>
        </row>
        <row r="182">
          <cell r="B182">
            <v>124000000000179</v>
          </cell>
          <cell r="C182" t="str">
            <v>PT. Karya Mega Sarana</v>
          </cell>
        </row>
        <row r="183">
          <cell r="B183">
            <v>124000000000180</v>
          </cell>
          <cell r="C183" t="str">
            <v>PT. Kawan Kita Anugerah Makmur</v>
          </cell>
        </row>
        <row r="184">
          <cell r="B184">
            <v>124000000000181</v>
          </cell>
          <cell r="C184" t="str">
            <v xml:space="preserve">PT. Kesuma  </v>
          </cell>
        </row>
        <row r="185">
          <cell r="B185">
            <v>124000000000182</v>
          </cell>
          <cell r="C185" t="str">
            <v>PT. Kirana Purnama</v>
          </cell>
        </row>
        <row r="186">
          <cell r="B186">
            <v>124000000000183</v>
          </cell>
          <cell r="C186" t="str">
            <v>PT. Macika Indo Sarana Transport</v>
          </cell>
        </row>
        <row r="187">
          <cell r="B187">
            <v>124000000000184</v>
          </cell>
          <cell r="C187" t="str">
            <v>PT. Magna Beton Indonesia</v>
          </cell>
        </row>
        <row r="188">
          <cell r="B188">
            <v>124000000000185</v>
          </cell>
          <cell r="C188" t="str">
            <v>PT. Mandiri Maha Daya</v>
          </cell>
        </row>
        <row r="189">
          <cell r="B189">
            <v>124000000000186</v>
          </cell>
          <cell r="C189" t="str">
            <v>PT. Markoen Engineering Indonesia</v>
          </cell>
        </row>
        <row r="190">
          <cell r="B190">
            <v>124000000000187</v>
          </cell>
          <cell r="C190" t="str">
            <v>PT. Mediantara General Sistemindo</v>
          </cell>
        </row>
        <row r="191">
          <cell r="B191">
            <v>124000000000188</v>
          </cell>
          <cell r="C191" t="str">
            <v>PT. Mega Perkakas Abadi</v>
          </cell>
        </row>
        <row r="192">
          <cell r="B192">
            <v>124000000000189</v>
          </cell>
          <cell r="C192" t="str">
            <v xml:space="preserve">PT. Meratus Line </v>
          </cell>
        </row>
        <row r="193">
          <cell r="B193">
            <v>124000000000190</v>
          </cell>
          <cell r="C193" t="str">
            <v>PT. Mitra Abadi Hanafindo</v>
          </cell>
        </row>
        <row r="194">
          <cell r="B194">
            <v>124000000000191</v>
          </cell>
          <cell r="C194" t="str">
            <v>PT. Mitra Putra Profitamas</v>
          </cell>
        </row>
        <row r="195">
          <cell r="B195">
            <v>124000000000192</v>
          </cell>
          <cell r="C195" t="str">
            <v>PT. Mixindo Abadi Karya</v>
          </cell>
        </row>
        <row r="196">
          <cell r="B196">
            <v>124000000000193</v>
          </cell>
          <cell r="C196" t="str">
            <v xml:space="preserve">PT. Mollindo Cipta Mandiri </v>
          </cell>
        </row>
        <row r="197">
          <cell r="B197">
            <v>124000000000194</v>
          </cell>
          <cell r="C197" t="str">
            <v>PT. Multi Guna Trans Energi</v>
          </cell>
        </row>
        <row r="198">
          <cell r="B198">
            <v>124000000000195</v>
          </cell>
          <cell r="C198" t="str">
            <v>PT. Multi Kencana Niagatama</v>
          </cell>
        </row>
        <row r="199">
          <cell r="B199">
            <v>124000000000196</v>
          </cell>
          <cell r="C199" t="str">
            <v>PT. Mutiara Timur Truss</v>
          </cell>
        </row>
        <row r="200">
          <cell r="B200">
            <v>124000000000197</v>
          </cell>
          <cell r="C200" t="str">
            <v>PT. Nariza Teknik Inspeksi</v>
          </cell>
        </row>
        <row r="201">
          <cell r="B201">
            <v>124000000000198</v>
          </cell>
          <cell r="C201" t="str">
            <v>PT. Netcom Technology</v>
          </cell>
        </row>
        <row r="202">
          <cell r="B202">
            <v>124000000000199</v>
          </cell>
          <cell r="C202" t="str">
            <v>PT. NR Electric Jakarta</v>
          </cell>
        </row>
        <row r="203">
          <cell r="B203">
            <v>124000000000200</v>
          </cell>
          <cell r="C203" t="str">
            <v>PT. Nuansa Dharma Cipta</v>
          </cell>
        </row>
        <row r="204">
          <cell r="B204">
            <v>124000000000201</v>
          </cell>
          <cell r="C204" t="str">
            <v>PT. Orion Teknik Solusindo</v>
          </cell>
        </row>
        <row r="205">
          <cell r="B205">
            <v>124000000000202</v>
          </cell>
          <cell r="C205" t="str">
            <v>PT. Orix Indonesia Finance</v>
          </cell>
        </row>
        <row r="206">
          <cell r="B206">
            <v>124000000000203</v>
          </cell>
          <cell r="C206" t="str">
            <v>PT. Pacific Prestress Indonesia</v>
          </cell>
        </row>
        <row r="207">
          <cell r="B207">
            <v>124000000000204</v>
          </cell>
          <cell r="C207" t="str">
            <v>PT. Panah Perdana Logisindo</v>
          </cell>
        </row>
        <row r="208">
          <cell r="B208">
            <v>124000000000205</v>
          </cell>
          <cell r="C208" t="str">
            <v>PT. Panca Infosoft Pionir Indonesia</v>
          </cell>
        </row>
        <row r="209">
          <cell r="B209">
            <v>124000000000206</v>
          </cell>
          <cell r="C209" t="str">
            <v>PT. Panca Logam Sukses Mandiri</v>
          </cell>
        </row>
        <row r="210">
          <cell r="B210">
            <v>124000000000207</v>
          </cell>
          <cell r="C210" t="str">
            <v>PT. Panca Utama Selaras</v>
          </cell>
        </row>
        <row r="211">
          <cell r="B211">
            <v>124000000000208</v>
          </cell>
          <cell r="C211" t="str">
            <v xml:space="preserve">PT. Panghegar Mitra Utama   </v>
          </cell>
        </row>
        <row r="212">
          <cell r="B212">
            <v>124000000000209</v>
          </cell>
          <cell r="C212" t="str">
            <v>PT. Pas Jaya Mandiri</v>
          </cell>
        </row>
        <row r="213">
          <cell r="B213">
            <v>124000000000210</v>
          </cell>
          <cell r="C213" t="str">
            <v>PT. Pelangi Teknik Indonesia</v>
          </cell>
        </row>
        <row r="214">
          <cell r="B214">
            <v>124000000000211</v>
          </cell>
          <cell r="C214" t="str">
            <v>PT. Perusahaan Bongkar Muatadi Purusa</v>
          </cell>
        </row>
        <row r="215">
          <cell r="B215">
            <v>124000000000212</v>
          </cell>
          <cell r="C215" t="str">
            <v>PT. Petromas Kencana (Ottoban Indonesia)</v>
          </cell>
        </row>
        <row r="216">
          <cell r="B216">
            <v>124000000000213</v>
          </cell>
          <cell r="C216" t="str">
            <v>PT. Ponti Suri Group</v>
          </cell>
        </row>
        <row r="217">
          <cell r="B217">
            <v>124000000000214</v>
          </cell>
          <cell r="C217" t="str">
            <v>PT. Powerindo Prima Perkasa</v>
          </cell>
        </row>
        <row r="218">
          <cell r="B218">
            <v>124000000000215</v>
          </cell>
          <cell r="C218" t="str">
            <v>PT. Pratama Prima Bajatama</v>
          </cell>
        </row>
        <row r="219">
          <cell r="B219">
            <v>124000000000216</v>
          </cell>
          <cell r="C219" t="str">
            <v>PT. PRI Indonesia</v>
          </cell>
        </row>
        <row r="220">
          <cell r="B220">
            <v>124000000000217</v>
          </cell>
          <cell r="C220" t="str">
            <v>PT. Prima Indah Lestari</v>
          </cell>
        </row>
        <row r="221">
          <cell r="B221">
            <v>124000000000218</v>
          </cell>
          <cell r="C221" t="str">
            <v xml:space="preserve">PT. Prima Mitra Elektrindo </v>
          </cell>
        </row>
        <row r="222">
          <cell r="B222">
            <v>124000000000219</v>
          </cell>
          <cell r="C222" t="str">
            <v>PT. Primatech Jaya Abadi</v>
          </cell>
        </row>
        <row r="223">
          <cell r="B223">
            <v>124000000000220</v>
          </cell>
          <cell r="C223" t="str">
            <v>PT. Putra Langgeng Anugerah</v>
          </cell>
        </row>
        <row r="224">
          <cell r="B224">
            <v>124000000000221</v>
          </cell>
          <cell r="C224" t="str">
            <v>PT. Putraguna Jayamulia</v>
          </cell>
        </row>
        <row r="225">
          <cell r="B225">
            <v>124000000000222</v>
          </cell>
          <cell r="C225" t="str">
            <v>PT. Putratel Andalan Sukses</v>
          </cell>
        </row>
        <row r="226">
          <cell r="B226">
            <v>124000000000223</v>
          </cell>
          <cell r="C226" t="str">
            <v xml:space="preserve">PT. Radian Sarana Elektrika   </v>
          </cell>
        </row>
        <row r="227">
          <cell r="B227">
            <v>124000000000224</v>
          </cell>
          <cell r="C227" t="str">
            <v>PT. Raj Prima</v>
          </cell>
        </row>
        <row r="228">
          <cell r="B228">
            <v>124000000000225</v>
          </cell>
          <cell r="C228" t="str">
            <v>PT. Rangka Raya</v>
          </cell>
        </row>
        <row r="229">
          <cell r="B229">
            <v>124000000000226</v>
          </cell>
          <cell r="C229" t="str">
            <v>PT. Riau Crane Perkasa</v>
          </cell>
        </row>
        <row r="230">
          <cell r="B230">
            <v>124000000000227</v>
          </cell>
          <cell r="C230" t="str">
            <v>PT. Royal Madani Persada</v>
          </cell>
        </row>
        <row r="231">
          <cell r="B231">
            <v>124000000000228</v>
          </cell>
          <cell r="C231" t="str">
            <v>PT. Salaeurih Muda Perkasa</v>
          </cell>
        </row>
        <row r="232">
          <cell r="B232">
            <v>124000000000229</v>
          </cell>
          <cell r="C232" t="str">
            <v>PT. Salam Pacific Indonesia Lines</v>
          </cell>
        </row>
        <row r="233">
          <cell r="B233">
            <v>124000000000230</v>
          </cell>
          <cell r="C233" t="str">
            <v>PT. Schneider Indonesia</v>
          </cell>
        </row>
        <row r="234">
          <cell r="B234">
            <v>124000000000231</v>
          </cell>
          <cell r="C234" t="str">
            <v>PT. Sentosa Prima Mandiri</v>
          </cell>
        </row>
        <row r="235">
          <cell r="B235">
            <v>124000000000232</v>
          </cell>
          <cell r="C235" t="str">
            <v xml:space="preserve">PT. Siemens Indonesia </v>
          </cell>
        </row>
        <row r="236">
          <cell r="B236">
            <v>124000000000233</v>
          </cell>
          <cell r="C236" t="str">
            <v>PT. Siemon Damai Jaya Abadi</v>
          </cell>
        </row>
        <row r="237">
          <cell r="B237">
            <v>124000000000234</v>
          </cell>
          <cell r="C237" t="str">
            <v>PT. Silica Central Asia</v>
          </cell>
        </row>
        <row r="238">
          <cell r="B238">
            <v>124000000000235</v>
          </cell>
          <cell r="C238" t="str">
            <v>PT. Simetrik Integrasi</v>
          </cell>
        </row>
        <row r="239">
          <cell r="B239">
            <v>124000000000236</v>
          </cell>
          <cell r="C239" t="str">
            <v>PT. Sinar Laut Mandiri</v>
          </cell>
        </row>
        <row r="240">
          <cell r="B240">
            <v>124000000000237</v>
          </cell>
          <cell r="C240" t="str">
            <v>PT. Sinergi Garuda Nusantara</v>
          </cell>
        </row>
        <row r="241">
          <cell r="B241">
            <v>124000000000238</v>
          </cell>
          <cell r="C241" t="str">
            <v>PT. Sinergi Karsa Utama</v>
          </cell>
        </row>
        <row r="242">
          <cell r="B242">
            <v>124000000000239</v>
          </cell>
          <cell r="C242" t="str">
            <v>PT. Sintra Sinarindo Elektrik</v>
          </cell>
        </row>
        <row r="243">
          <cell r="B243">
            <v>124000000000240</v>
          </cell>
          <cell r="C243" t="str">
            <v>PT. Siscom Technologies</v>
          </cell>
        </row>
        <row r="244">
          <cell r="B244">
            <v>124000000000241</v>
          </cell>
          <cell r="C244" t="str">
            <v>PT. Subur Buana Raya</v>
          </cell>
        </row>
        <row r="245">
          <cell r="B245">
            <v>124000000000242</v>
          </cell>
          <cell r="C245" t="str">
            <v xml:space="preserve">PT. Sukses Perkasa Forestama </v>
          </cell>
        </row>
        <row r="246">
          <cell r="B246">
            <v>124000000000243</v>
          </cell>
          <cell r="C246" t="str">
            <v xml:space="preserve">PT. Suryamas Elsindo Primatama </v>
          </cell>
        </row>
        <row r="247">
          <cell r="B247">
            <v>124000000000244</v>
          </cell>
          <cell r="C247" t="str">
            <v>PT. Temas Tbk</v>
          </cell>
        </row>
        <row r="248">
          <cell r="B248">
            <v>124000000000245</v>
          </cell>
          <cell r="C248" t="str">
            <v>PT. Tirtakencana Tatawarna</v>
          </cell>
        </row>
        <row r="249">
          <cell r="B249">
            <v>124000000000246</v>
          </cell>
          <cell r="C249" t="str">
            <v>PT. Tri Artha Manunggal</v>
          </cell>
        </row>
        <row r="250">
          <cell r="B250">
            <v>124000000000247</v>
          </cell>
          <cell r="C250" t="str">
            <v>PT. Tri Karya Teslatama</v>
          </cell>
        </row>
        <row r="251">
          <cell r="B251">
            <v>124000000000248</v>
          </cell>
          <cell r="C251" t="str">
            <v>PT. Tribaja Karya Sejahtera</v>
          </cell>
        </row>
        <row r="252">
          <cell r="B252">
            <v>124000000000249</v>
          </cell>
          <cell r="C252" t="str">
            <v>PT. Triotama Toya Energi</v>
          </cell>
        </row>
        <row r="253">
          <cell r="B253">
            <v>124000000000250</v>
          </cell>
          <cell r="C253" t="str">
            <v xml:space="preserve">PT. Twink Indonesia </v>
          </cell>
        </row>
        <row r="254">
          <cell r="B254">
            <v>124000000000251</v>
          </cell>
          <cell r="C254" t="str">
            <v xml:space="preserve">PT. Vector Info Technologies </v>
          </cell>
        </row>
        <row r="255">
          <cell r="B255">
            <v>124000000000252</v>
          </cell>
          <cell r="C255" t="str">
            <v>PT. Vins Teknik Internusa</v>
          </cell>
        </row>
        <row r="256">
          <cell r="B256">
            <v>124000000000253</v>
          </cell>
          <cell r="C256" t="str">
            <v xml:space="preserve">PT. Voksel Electric Tbk </v>
          </cell>
        </row>
        <row r="257">
          <cell r="B257">
            <v>124000000000254</v>
          </cell>
          <cell r="C257" t="str">
            <v>PT. Widya Prima Utama</v>
          </cell>
        </row>
        <row r="258">
          <cell r="B258">
            <v>124000000000255</v>
          </cell>
          <cell r="C258" t="str">
            <v xml:space="preserve">PT. Yanmarindo Perkasa </v>
          </cell>
        </row>
        <row r="259">
          <cell r="B259">
            <v>124000000000256</v>
          </cell>
          <cell r="C259" t="str">
            <v>PT. Yudha Berkat Layana</v>
          </cell>
        </row>
        <row r="260">
          <cell r="B260">
            <v>124000000000257</v>
          </cell>
          <cell r="C260" t="str">
            <v xml:space="preserve">PT. ZTT Cable Indonesia     </v>
          </cell>
        </row>
        <row r="261">
          <cell r="B261">
            <v>124000000000258</v>
          </cell>
          <cell r="C261" t="str">
            <v>PT. KMI Wire and Cable, Tbk [a.k.a : Kabel Metal Indonesia]</v>
          </cell>
        </row>
        <row r="262">
          <cell r="B262">
            <v>124000000000259</v>
          </cell>
          <cell r="C262" t="str">
            <v>PT. Kokoh Inti Arebama, Tbk</v>
          </cell>
        </row>
        <row r="263">
          <cell r="B263">
            <v>124000000000260</v>
          </cell>
          <cell r="C263" t="str">
            <v>BPJS Ketenagakerjaan</v>
          </cell>
        </row>
        <row r="264">
          <cell r="B264">
            <v>124000000000261</v>
          </cell>
          <cell r="C264" t="str">
            <v>BPJS Kesehatan</v>
          </cell>
        </row>
        <row r="265">
          <cell r="B265">
            <v>124000000000262</v>
          </cell>
          <cell r="C265" t="str">
            <v>PT. Bank Rakyat Indonesia (Persero), Tbk</v>
          </cell>
        </row>
        <row r="266">
          <cell r="B266">
            <v>124000000000263</v>
          </cell>
          <cell r="C266" t="str">
            <v xml:space="preserve">Koperasi Mekar - Jakarta Selatan </v>
          </cell>
        </row>
        <row r="267">
          <cell r="B267">
            <v>124000000000264</v>
          </cell>
          <cell r="C267" t="str">
            <v>PT. Pelayanan Listrik Nasional (Persero) - Pusat Sertifikasi</v>
          </cell>
        </row>
        <row r="268">
          <cell r="B268">
            <v>124000000000265</v>
          </cell>
          <cell r="C268" t="str">
            <v>UD. Athar Marzuki Plywood</v>
          </cell>
        </row>
        <row r="269">
          <cell r="B269">
            <v>124000000000266</v>
          </cell>
          <cell r="C269" t="str">
            <v>UD. Gajah Mungkur</v>
          </cell>
        </row>
        <row r="270">
          <cell r="B270">
            <v>124000000000267</v>
          </cell>
          <cell r="C270" t="str">
            <v>UD. Kalam Hidup kendari</v>
          </cell>
        </row>
        <row r="271">
          <cell r="B271">
            <v>124000000000268</v>
          </cell>
          <cell r="C271" t="str">
            <v>UD. Mandiri Jaya</v>
          </cell>
        </row>
        <row r="272">
          <cell r="B272">
            <v>124000000000269</v>
          </cell>
          <cell r="C272" t="str">
            <v>UD. Subur</v>
          </cell>
        </row>
        <row r="273">
          <cell r="B273">
            <v>124000000000270</v>
          </cell>
          <cell r="C273" t="str">
            <v>UD. Thufail</v>
          </cell>
        </row>
        <row r="274">
          <cell r="B274">
            <v>124000000000271</v>
          </cell>
          <cell r="C274" t="str">
            <v>TB. Asep Saprudin</v>
          </cell>
        </row>
        <row r="275">
          <cell r="B275">
            <v>124000000000272</v>
          </cell>
          <cell r="C275" t="str">
            <v>TB. Berkah Sentosa</v>
          </cell>
        </row>
        <row r="276">
          <cell r="B276">
            <v>124000000000273</v>
          </cell>
          <cell r="C276" t="str">
            <v>TB. Berkat Orang Tua</v>
          </cell>
        </row>
        <row r="277">
          <cell r="B277">
            <v>124000000000274</v>
          </cell>
          <cell r="C277" t="str">
            <v>TB. Cipta Bangun</v>
          </cell>
        </row>
        <row r="278">
          <cell r="B278">
            <v>124000000000275</v>
          </cell>
          <cell r="C278" t="str">
            <v>TB. Karta Jaya</v>
          </cell>
        </row>
        <row r="279">
          <cell r="B279">
            <v>124000000000276</v>
          </cell>
          <cell r="C279" t="str">
            <v>TB. Roma Bangunan</v>
          </cell>
        </row>
        <row r="280">
          <cell r="B280">
            <v>124000000000277</v>
          </cell>
          <cell r="C280" t="str">
            <v>TB. Sumber Jaya Bangunan</v>
          </cell>
        </row>
        <row r="281">
          <cell r="B281">
            <v>124000000000278</v>
          </cell>
          <cell r="C281" t="str">
            <v>Toko Agen Kaca Kita Yakin</v>
          </cell>
        </row>
        <row r="282">
          <cell r="B282">
            <v>124000000000279</v>
          </cell>
          <cell r="C282" t="str">
            <v>Toko Akbar Seng</v>
          </cell>
        </row>
        <row r="283">
          <cell r="B283">
            <v>124000000000280</v>
          </cell>
          <cell r="C283" t="str">
            <v>Toko Berkah</v>
          </cell>
        </row>
        <row r="284">
          <cell r="B284">
            <v>124000000000281</v>
          </cell>
          <cell r="C284" t="str">
            <v>Toko Buana Tunggal</v>
          </cell>
        </row>
        <row r="285">
          <cell r="B285">
            <v>124000000000282</v>
          </cell>
          <cell r="C285" t="str">
            <v>Toko Dunia Elektronik</v>
          </cell>
        </row>
        <row r="286">
          <cell r="B286">
            <v>124000000000283</v>
          </cell>
          <cell r="C286" t="str">
            <v>Toko Fajar Timur Motor</v>
          </cell>
        </row>
        <row r="287">
          <cell r="B287">
            <v>124000000000284</v>
          </cell>
          <cell r="C287" t="str">
            <v xml:space="preserve">Toko Global Teknik     </v>
          </cell>
        </row>
        <row r="288">
          <cell r="B288">
            <v>124000000000285</v>
          </cell>
          <cell r="C288" t="str">
            <v>Toko Glodok Teknik Diesel</v>
          </cell>
        </row>
        <row r="289">
          <cell r="B289">
            <v>124000000000286</v>
          </cell>
          <cell r="C289" t="str">
            <v>Toko GLX - Ariyati</v>
          </cell>
        </row>
        <row r="290">
          <cell r="B290">
            <v>124000000000287</v>
          </cell>
          <cell r="C290" t="str">
            <v>Toko Inpaco</v>
          </cell>
        </row>
        <row r="291">
          <cell r="B291">
            <v>124000000000288</v>
          </cell>
          <cell r="C291" t="str">
            <v xml:space="preserve">Toko Intan Bangunan </v>
          </cell>
        </row>
        <row r="292">
          <cell r="B292">
            <v>124000000000289</v>
          </cell>
          <cell r="C292" t="str">
            <v>Toko Intan Motor</v>
          </cell>
        </row>
        <row r="293">
          <cell r="B293">
            <v>124000000000290</v>
          </cell>
          <cell r="C293" t="str">
            <v>Toko Jalajah Karya Teknik</v>
          </cell>
        </row>
        <row r="294">
          <cell r="B294">
            <v>124000000000291</v>
          </cell>
          <cell r="C294" t="str">
            <v>Toko JualWaterStop.NET</v>
          </cell>
        </row>
        <row r="295">
          <cell r="B295">
            <v>124000000000292</v>
          </cell>
          <cell r="C295" t="str">
            <v>Toko Marpoyan Teknik Diesel</v>
          </cell>
        </row>
        <row r="296">
          <cell r="B296">
            <v>124000000000293</v>
          </cell>
          <cell r="C296" t="str">
            <v>Toko Mega Diesel</v>
          </cell>
        </row>
        <row r="297">
          <cell r="B297">
            <v>124000000000294</v>
          </cell>
          <cell r="C297" t="str">
            <v xml:space="preserve">Toko Mega Jaya </v>
          </cell>
        </row>
        <row r="298">
          <cell r="B298">
            <v>124000000000295</v>
          </cell>
          <cell r="C298" t="str">
            <v>Toko Meubel Dani</v>
          </cell>
        </row>
        <row r="299">
          <cell r="B299">
            <v>124000000000296</v>
          </cell>
          <cell r="C299" t="str">
            <v>Toko Murah Rezeki</v>
          </cell>
        </row>
        <row r="300">
          <cell r="B300">
            <v>124000000000297</v>
          </cell>
          <cell r="C300" t="str">
            <v>Toko Ocu Intan</v>
          </cell>
        </row>
        <row r="301">
          <cell r="B301">
            <v>124000000000298</v>
          </cell>
          <cell r="C301" t="str">
            <v>Toko Pasar Minggu Tehnik</v>
          </cell>
        </row>
        <row r="302">
          <cell r="B302">
            <v>124000000000299</v>
          </cell>
          <cell r="C302" t="str">
            <v>Toko Restia</v>
          </cell>
        </row>
        <row r="303">
          <cell r="B303">
            <v>124000000000300</v>
          </cell>
          <cell r="C303" t="str">
            <v>Toko S Three Sane Security System</v>
          </cell>
        </row>
        <row r="304">
          <cell r="B304">
            <v>124000000000301</v>
          </cell>
          <cell r="C304" t="str">
            <v>Toko Sarana Jaya Abadi</v>
          </cell>
        </row>
        <row r="305">
          <cell r="B305">
            <v>124000000000302</v>
          </cell>
          <cell r="C305" t="str">
            <v>Toko Sekawan Jaya Safety</v>
          </cell>
        </row>
        <row r="306">
          <cell r="B306">
            <v>124000000000303</v>
          </cell>
          <cell r="C306" t="str">
            <v>Toko Sentral Elektronik</v>
          </cell>
        </row>
        <row r="307">
          <cell r="B307">
            <v>124000000000304</v>
          </cell>
          <cell r="C307" t="str">
            <v>Toko Sinar Baja qq Syafir Ottong</v>
          </cell>
        </row>
        <row r="308">
          <cell r="B308">
            <v>124000000000305</v>
          </cell>
          <cell r="C308" t="str">
            <v xml:space="preserve">Toko Sinar Baut </v>
          </cell>
        </row>
        <row r="309">
          <cell r="B309">
            <v>124000000000306</v>
          </cell>
          <cell r="C309" t="str">
            <v>Toko Sinar Listrik</v>
          </cell>
        </row>
        <row r="310">
          <cell r="B310">
            <v>124000000000307</v>
          </cell>
          <cell r="C310" t="str">
            <v>Toko SKCR</v>
          </cell>
        </row>
        <row r="311">
          <cell r="B311">
            <v>124000000000308</v>
          </cell>
          <cell r="C311" t="str">
            <v>Toko Sumber Makmur</v>
          </cell>
        </row>
        <row r="312">
          <cell r="B312">
            <v>124000000000309</v>
          </cell>
          <cell r="C312" t="str">
            <v>Toko Sumber Terang</v>
          </cell>
        </row>
        <row r="313">
          <cell r="B313">
            <v>124000000000310</v>
          </cell>
          <cell r="C313" t="str">
            <v>Toko Suroto Motor</v>
          </cell>
        </row>
        <row r="314">
          <cell r="B314">
            <v>124000000000311</v>
          </cell>
          <cell r="C314" t="str">
            <v>Toko Surya Electrical</v>
          </cell>
        </row>
        <row r="315">
          <cell r="B315">
            <v>124000000000312</v>
          </cell>
          <cell r="C315" t="str">
            <v>Toko Top Listrik</v>
          </cell>
        </row>
        <row r="316">
          <cell r="B316">
            <v>124000000000313</v>
          </cell>
          <cell r="C316" t="str">
            <v>Toko Top Swalayan</v>
          </cell>
        </row>
        <row r="317">
          <cell r="B317">
            <v>124000000000314</v>
          </cell>
          <cell r="C317" t="str">
            <v>Toko Usaha Teknik Bersama</v>
          </cell>
        </row>
        <row r="318">
          <cell r="B318">
            <v>124000000000315</v>
          </cell>
          <cell r="C318" t="str">
            <v>Toko Online Tokopedia - Aji jaya tehnik</v>
          </cell>
        </row>
        <row r="319">
          <cell r="B319">
            <v>124000000000316</v>
          </cell>
          <cell r="C319" t="str">
            <v>Toko Online Tokopedia - Aksesmandiri</v>
          </cell>
        </row>
        <row r="320">
          <cell r="B320">
            <v>124000000000317</v>
          </cell>
          <cell r="C320" t="str">
            <v>Toko Online Tokopedia - aprofficialjkt</v>
          </cell>
        </row>
        <row r="321">
          <cell r="B321">
            <v>124000000000318</v>
          </cell>
          <cell r="C321" t="str">
            <v>Toko Online Tokopedia - Aurorae World</v>
          </cell>
        </row>
        <row r="322">
          <cell r="B322">
            <v>124000000000319</v>
          </cell>
          <cell r="C322" t="str">
            <v>Toko Online Tokopedia - Automa-88</v>
          </cell>
        </row>
        <row r="323">
          <cell r="B323">
            <v>124000000000320</v>
          </cell>
          <cell r="C323" t="str">
            <v>Toko Online Tokopedia - Baja Besi Perkasa</v>
          </cell>
        </row>
        <row r="324">
          <cell r="B324">
            <v>124000000000321</v>
          </cell>
          <cell r="C324" t="str">
            <v>Toko Online Tokopedia - BB Wing</v>
          </cell>
        </row>
        <row r="325">
          <cell r="B325">
            <v>124000000000322</v>
          </cell>
          <cell r="C325" t="str">
            <v>Toko Online Tokopedia - Best Electric 168</v>
          </cell>
        </row>
        <row r="326">
          <cell r="B326">
            <v>124000000000323</v>
          </cell>
          <cell r="C326" t="str">
            <v>Toko Online Tokopedia - Bina Electric</v>
          </cell>
        </row>
        <row r="327">
          <cell r="B327">
            <v>124000000000324</v>
          </cell>
          <cell r="C327" t="str">
            <v>Toko Online Tokopedia - Bintang-Electric</v>
          </cell>
        </row>
        <row r="328">
          <cell r="B328">
            <v>124000000000325</v>
          </cell>
          <cell r="C328" t="str">
            <v>Toko Online Tokopedia - BJ Telecom</v>
          </cell>
        </row>
        <row r="329">
          <cell r="B329">
            <v>124000000000326</v>
          </cell>
          <cell r="C329" t="str">
            <v>Toko Online Tokopedia - Budget Technology</v>
          </cell>
        </row>
        <row r="330">
          <cell r="B330">
            <v>124000000000327</v>
          </cell>
          <cell r="C330" t="str">
            <v>Toko Online Tokopedia - Cahaya Mitra Electrical</v>
          </cell>
        </row>
        <row r="331">
          <cell r="B331">
            <v>124000000000328</v>
          </cell>
          <cell r="C331" t="str">
            <v>Toko Online Tokopedia - Central Electrindo</v>
          </cell>
        </row>
        <row r="332">
          <cell r="B332">
            <v>124000000000329</v>
          </cell>
          <cell r="C332" t="str">
            <v>Toko Online Tokopedia - Damarstore01</v>
          </cell>
        </row>
        <row r="333">
          <cell r="B333">
            <v>124000000000330</v>
          </cell>
          <cell r="C333" t="str">
            <v>Toko Online Tokopedia - Dewa Listrik</v>
          </cell>
        </row>
        <row r="334">
          <cell r="B334">
            <v>124000000000331</v>
          </cell>
          <cell r="C334" t="str">
            <v>Toko Online Tokopedia - Distributor Kabel</v>
          </cell>
        </row>
        <row r="335">
          <cell r="B335">
            <v>124000000000332</v>
          </cell>
          <cell r="C335" t="str">
            <v>Toko Online Tokopedia - Doctor Electrical</v>
          </cell>
        </row>
        <row r="336">
          <cell r="B336">
            <v>124000000000333</v>
          </cell>
          <cell r="C336" t="str">
            <v xml:space="preserve">Toko Online Tokopedia - Dunia Ban Indonesia </v>
          </cell>
        </row>
        <row r="337">
          <cell r="B337">
            <v>124000000000334</v>
          </cell>
          <cell r="C337" t="str">
            <v>Toko Online Tokopedia - Eddy variasi motor</v>
          </cell>
        </row>
        <row r="338">
          <cell r="B338">
            <v>124000000000335</v>
          </cell>
          <cell r="C338" t="str">
            <v>Toko Online Tokopedia - Fixprint Plus</v>
          </cell>
        </row>
        <row r="339">
          <cell r="B339">
            <v>124000000000336</v>
          </cell>
          <cell r="C339" t="str">
            <v>Toko Online Tokopedia - Glodok Diesel</v>
          </cell>
        </row>
        <row r="340">
          <cell r="B340">
            <v>124000000000337</v>
          </cell>
          <cell r="C340" t="str">
            <v>Toko Online Tokopedia - GSC-CHEMTECH</v>
          </cell>
        </row>
        <row r="341">
          <cell r="B341">
            <v>124000000000338</v>
          </cell>
          <cell r="C341" t="str">
            <v>Toko Online Tokopedia - Gudang Listrik</v>
          </cell>
        </row>
        <row r="342">
          <cell r="B342">
            <v>124000000000339</v>
          </cell>
          <cell r="C342" t="str">
            <v>Toko Online Tokopedia - Gudang Power Tools</v>
          </cell>
        </row>
        <row r="343">
          <cell r="B343">
            <v>124000000000340</v>
          </cell>
          <cell r="C343" t="str">
            <v>Toko Online Tokopedia - Indah Jaya Tools</v>
          </cell>
        </row>
        <row r="344">
          <cell r="B344">
            <v>124000000000341</v>
          </cell>
          <cell r="C344" t="str">
            <v>Toko Online Tokopedia - Indo_Security</v>
          </cell>
        </row>
        <row r="345">
          <cell r="B345">
            <v>124000000000342</v>
          </cell>
          <cell r="C345" t="str">
            <v>Toko Online Tokopedia - Indotara Persada</v>
          </cell>
        </row>
        <row r="346">
          <cell r="B346">
            <v>124000000000343</v>
          </cell>
          <cell r="C346" t="str">
            <v>Toko Online Tokopedia - Iterno Listrik</v>
          </cell>
        </row>
        <row r="347">
          <cell r="B347">
            <v>124000000000344</v>
          </cell>
          <cell r="C347" t="str">
            <v>Toko Online Tokopedia - Jakarta.Gudang.Indonesia</v>
          </cell>
        </row>
        <row r="348">
          <cell r="B348">
            <v>124000000000345</v>
          </cell>
          <cell r="C348" t="str">
            <v>Toko Online Tokopedia - Kembar Makmur Abadi</v>
          </cell>
        </row>
        <row r="349">
          <cell r="B349">
            <v>124000000000346</v>
          </cell>
          <cell r="C349" t="str">
            <v>Toko Online Tokopedia - Kevin Electrical</v>
          </cell>
        </row>
        <row r="350">
          <cell r="B350">
            <v>124000000000347</v>
          </cell>
          <cell r="C350" t="str">
            <v>Toko Online Tokopedia - lapakcablegland</v>
          </cell>
        </row>
        <row r="351">
          <cell r="B351">
            <v>124000000000348</v>
          </cell>
          <cell r="C351" t="str">
            <v>Toko Online Tokopedia - LED Lighting Store</v>
          </cell>
        </row>
        <row r="352">
          <cell r="B352">
            <v>124000000000349</v>
          </cell>
          <cell r="C352" t="str">
            <v>Toko Online Tokopedia - Lima Kencana Utama</v>
          </cell>
        </row>
        <row r="353">
          <cell r="B353">
            <v>124000000000350</v>
          </cell>
          <cell r="C353" t="str">
            <v>Toko Online Tokopedia - Macro Panel Elektrik</v>
          </cell>
        </row>
        <row r="354">
          <cell r="B354">
            <v>124000000000351</v>
          </cell>
          <cell r="C354" t="str">
            <v>Toko Online Tokopedia - Megalistrik2</v>
          </cell>
        </row>
        <row r="355">
          <cell r="B355">
            <v>124000000000352</v>
          </cell>
          <cell r="C355" t="str">
            <v>Toko Online Tokopedia - MM Teknindo</v>
          </cell>
        </row>
        <row r="356">
          <cell r="B356">
            <v>124000000000353</v>
          </cell>
          <cell r="C356" t="str">
            <v>Toko Online Tokopedia - MMJ Tools</v>
          </cell>
        </row>
        <row r="357">
          <cell r="B357">
            <v>124000000000354</v>
          </cell>
          <cell r="C357" t="str">
            <v>Toko Online Tokopedia - Morning Star 1</v>
          </cell>
        </row>
        <row r="358">
          <cell r="B358">
            <v>124000000000355</v>
          </cell>
          <cell r="C358" t="str">
            <v>Toko Online Tokopedia - Multifungsi Online</v>
          </cell>
        </row>
        <row r="359">
          <cell r="B359">
            <v>124000000000356</v>
          </cell>
          <cell r="C359" t="str">
            <v>Toko Online Tokopedia - Niaga Abadi Kenari</v>
          </cell>
        </row>
        <row r="360">
          <cell r="B360">
            <v>124000000000357</v>
          </cell>
          <cell r="C360" t="str">
            <v xml:space="preserve">Toko Online Tokopedia - NVIDIA GeForce </v>
          </cell>
        </row>
        <row r="361">
          <cell r="B361">
            <v>124000000000358</v>
          </cell>
          <cell r="C361" t="str">
            <v>Toko Online Tokopedia - panelmas electric</v>
          </cell>
        </row>
        <row r="362">
          <cell r="B362">
            <v>124000000000359</v>
          </cell>
          <cell r="C362" t="str">
            <v>Toko Online Tokopedia - Protech Computer</v>
          </cell>
        </row>
        <row r="363">
          <cell r="B363">
            <v>124000000000360</v>
          </cell>
          <cell r="C363" t="str">
            <v>Toko Online Tokopedia - Puma Elektrik Niaga</v>
          </cell>
        </row>
        <row r="364">
          <cell r="B364">
            <v>124000000000361</v>
          </cell>
          <cell r="C364" t="str">
            <v>Toko Online Tokopedia - Raspberry Pi Distributor</v>
          </cell>
        </row>
        <row r="365">
          <cell r="B365">
            <v>124000000000362</v>
          </cell>
          <cell r="C365" t="str">
            <v>Toko Online Tokopedia - RFelektrik</v>
          </cell>
        </row>
        <row r="366">
          <cell r="B366">
            <v>124000000000363</v>
          </cell>
          <cell r="C366" t="str">
            <v>Toko Online Tokopedia - Riv ID</v>
          </cell>
        </row>
        <row r="367">
          <cell r="B367">
            <v>124000000000364</v>
          </cell>
          <cell r="C367" t="str">
            <v>Toko Online Tokopedia - Rizqiana Berkah</v>
          </cell>
        </row>
        <row r="368">
          <cell r="B368">
            <v>124000000000365</v>
          </cell>
          <cell r="C368" t="str">
            <v>Toko Online Tokopedia - Sarana Elektrik</v>
          </cell>
        </row>
        <row r="369">
          <cell r="B369">
            <v>124000000000366</v>
          </cell>
          <cell r="C369" t="str">
            <v>Toko Online Tokopedia - Sochi Smart Shop</v>
          </cell>
        </row>
        <row r="370">
          <cell r="B370">
            <v>124000000000367</v>
          </cell>
          <cell r="C370" t="str">
            <v>Toko Online Tokopedia - Solusi Material Bangunan Pondok Pinang</v>
          </cell>
        </row>
        <row r="371">
          <cell r="B371">
            <v>124000000000368</v>
          </cell>
          <cell r="C371" t="str">
            <v>Toko Online Tokopedia - Sumber Lighting Jaya</v>
          </cell>
        </row>
        <row r="372">
          <cell r="B372">
            <v>124000000000369</v>
          </cell>
          <cell r="C372" t="str">
            <v>Toko Online Tokopedia - Sumber Listrik Abadi</v>
          </cell>
        </row>
        <row r="373">
          <cell r="B373">
            <v>124000000000370</v>
          </cell>
          <cell r="C373" t="str">
            <v>Toko Online Tokopedia - Syafiqah Adv</v>
          </cell>
        </row>
        <row r="374">
          <cell r="B374">
            <v>124000000000371</v>
          </cell>
          <cell r="C374" t="str">
            <v>Toko Online Tokopedia - Tanelec</v>
          </cell>
        </row>
        <row r="375">
          <cell r="B375">
            <v>124000000000372</v>
          </cell>
          <cell r="C375" t="str">
            <v>Toko Online Tokopedia - Teknik Supplier.</v>
          </cell>
        </row>
        <row r="376">
          <cell r="B376">
            <v>124000000000373</v>
          </cell>
          <cell r="C376" t="str">
            <v>Toko Online Tokopedia - Toko Laris82</v>
          </cell>
        </row>
        <row r="377">
          <cell r="B377">
            <v>124000000000374</v>
          </cell>
          <cell r="C377" t="str">
            <v>Toko Online Tokopedia - Toko Listrik 68</v>
          </cell>
        </row>
        <row r="378">
          <cell r="B378">
            <v>124000000000375</v>
          </cell>
          <cell r="C378" t="str">
            <v>Toko Online Tokopedia - Tristar Teknik</v>
          </cell>
        </row>
        <row r="379">
          <cell r="B379">
            <v>124000000000376</v>
          </cell>
          <cell r="C379" t="str">
            <v>Toko Online Tokopedia - Uno Living Furniture</v>
          </cell>
        </row>
        <row r="380">
          <cell r="B380">
            <v>124000000000377</v>
          </cell>
          <cell r="C380" t="str">
            <v>Toko Online Tokopedia - US_Electronic</v>
          </cell>
        </row>
        <row r="381">
          <cell r="B381">
            <v>124000000000378</v>
          </cell>
          <cell r="C381" t="str">
            <v>Toko Online Tokopedia - VINS TEKNIK</v>
          </cell>
        </row>
        <row r="382">
          <cell r="B382">
            <v>124000000000379</v>
          </cell>
          <cell r="C382" t="str">
            <v>Toko Online Tokopedia - vsdpedia</v>
          </cell>
        </row>
        <row r="383">
          <cell r="B383">
            <v>124000000000380</v>
          </cell>
          <cell r="C383" t="str">
            <v>Mandor Abd Karim</v>
          </cell>
        </row>
        <row r="384">
          <cell r="B384">
            <v>124000000000381</v>
          </cell>
          <cell r="C384" t="str">
            <v>Mandor Ade Gunawan</v>
          </cell>
        </row>
        <row r="385">
          <cell r="B385">
            <v>124000000000382</v>
          </cell>
          <cell r="C385" t="str">
            <v>Mandor Adi Sutrisno</v>
          </cell>
        </row>
        <row r="386">
          <cell r="B386">
            <v>124000000000383</v>
          </cell>
          <cell r="C386" t="str">
            <v>Mandor Afrizal</v>
          </cell>
        </row>
        <row r="387">
          <cell r="B387">
            <v>124000000000384</v>
          </cell>
          <cell r="C387" t="str">
            <v>Mandor Ahmad Sholeh</v>
          </cell>
        </row>
        <row r="388">
          <cell r="B388">
            <v>124000000000385</v>
          </cell>
          <cell r="C388" t="str">
            <v>Mandor Ahmad Syamsudin</v>
          </cell>
        </row>
        <row r="389">
          <cell r="B389">
            <v>124000000000386</v>
          </cell>
          <cell r="C389" t="str">
            <v>Mandor Ajay</v>
          </cell>
        </row>
        <row r="390">
          <cell r="B390">
            <v>124000000000387</v>
          </cell>
          <cell r="C390" t="str">
            <v>Mandor Alfian Dani</v>
          </cell>
        </row>
        <row r="391">
          <cell r="B391">
            <v>124000000000388</v>
          </cell>
          <cell r="C391" t="str">
            <v>Mandor Alimuddin</v>
          </cell>
        </row>
        <row r="392">
          <cell r="B392">
            <v>124000000000389</v>
          </cell>
          <cell r="C392" t="str">
            <v>Mandor Ari Setiawan</v>
          </cell>
        </row>
        <row r="393">
          <cell r="B393">
            <v>124000000000390</v>
          </cell>
          <cell r="C393" t="str">
            <v>Mandor Baharuddin</v>
          </cell>
        </row>
        <row r="394">
          <cell r="B394">
            <v>124000000000391</v>
          </cell>
          <cell r="C394" t="str">
            <v>Mandor Balduin Situmorang</v>
          </cell>
        </row>
        <row r="395">
          <cell r="B395">
            <v>124000000000392</v>
          </cell>
          <cell r="C395" t="str">
            <v>Mandor Budi Prihatin</v>
          </cell>
        </row>
        <row r="396">
          <cell r="B396">
            <v>124000000000393</v>
          </cell>
          <cell r="C396" t="str">
            <v>Mandor Burhanudin</v>
          </cell>
        </row>
        <row r="397">
          <cell r="B397">
            <v>124000000000394</v>
          </cell>
          <cell r="C397" t="str">
            <v>Mandor Dian Effendi</v>
          </cell>
        </row>
        <row r="398">
          <cell r="B398">
            <v>124000000000395</v>
          </cell>
          <cell r="C398" t="str">
            <v>Mandor Dwi Trisno Utomo</v>
          </cell>
        </row>
        <row r="399">
          <cell r="B399">
            <v>124000000000396</v>
          </cell>
          <cell r="C399" t="str">
            <v>Mandor Erizal</v>
          </cell>
        </row>
        <row r="400">
          <cell r="B400">
            <v>124000000000397</v>
          </cell>
          <cell r="C400" t="str">
            <v>Mandor Galih Ramadhan</v>
          </cell>
        </row>
        <row r="401">
          <cell r="B401">
            <v>124000000000398</v>
          </cell>
          <cell r="C401" t="str">
            <v>Mandor Haerul Gunawan</v>
          </cell>
        </row>
        <row r="402">
          <cell r="B402">
            <v>124000000000399</v>
          </cell>
          <cell r="C402" t="str">
            <v>Mandor Harno</v>
          </cell>
        </row>
        <row r="403">
          <cell r="B403">
            <v>124000000000400</v>
          </cell>
          <cell r="C403" t="str">
            <v>Mandor Haswanuddin</v>
          </cell>
        </row>
        <row r="404">
          <cell r="B404">
            <v>124000000000401</v>
          </cell>
          <cell r="C404" t="str">
            <v>Mandor Heryanto Tanjong</v>
          </cell>
        </row>
        <row r="405">
          <cell r="B405">
            <v>124000000000402</v>
          </cell>
          <cell r="C405" t="str">
            <v>Mandor Iwan Risnawan</v>
          </cell>
        </row>
        <row r="406">
          <cell r="B406">
            <v>124000000000403</v>
          </cell>
          <cell r="C406" t="str">
            <v>Mandor Jaelani W</v>
          </cell>
        </row>
        <row r="407">
          <cell r="B407">
            <v>124000000000404</v>
          </cell>
          <cell r="C407" t="str">
            <v>Mandor Jusrial</v>
          </cell>
        </row>
        <row r="408">
          <cell r="B408">
            <v>124000000000405</v>
          </cell>
          <cell r="C408" t="str">
            <v>Mandor Kasiyono</v>
          </cell>
        </row>
        <row r="409">
          <cell r="B409">
            <v>124000000000406</v>
          </cell>
          <cell r="C409" t="str">
            <v>Mandor Lulus Pastiono</v>
          </cell>
        </row>
        <row r="410">
          <cell r="B410">
            <v>124000000000407</v>
          </cell>
          <cell r="C410" t="str">
            <v>Mandor M. Nasir</v>
          </cell>
        </row>
        <row r="411">
          <cell r="B411">
            <v>124000000000408</v>
          </cell>
          <cell r="C411" t="str">
            <v>Mandor Maikel</v>
          </cell>
        </row>
        <row r="412">
          <cell r="B412">
            <v>124000000000409</v>
          </cell>
          <cell r="C412" t="str">
            <v>Mandor Moh Agus Muslimin</v>
          </cell>
        </row>
        <row r="413">
          <cell r="B413">
            <v>124000000000410</v>
          </cell>
          <cell r="C413" t="str">
            <v>Mandor Muchribian Novianto</v>
          </cell>
        </row>
        <row r="414">
          <cell r="B414">
            <v>124000000000411</v>
          </cell>
          <cell r="C414" t="str">
            <v>Mandor Muh Amir Pasang</v>
          </cell>
        </row>
        <row r="415">
          <cell r="B415">
            <v>124000000000412</v>
          </cell>
          <cell r="C415" t="str">
            <v>Mandor Muntaji</v>
          </cell>
        </row>
        <row r="416">
          <cell r="B416">
            <v>124000000000413</v>
          </cell>
          <cell r="C416" t="str">
            <v>Mandor Nanda Arista</v>
          </cell>
        </row>
        <row r="417">
          <cell r="B417">
            <v>124000000000414</v>
          </cell>
          <cell r="C417" t="str">
            <v>Mandor Nardi Bin Suwirto</v>
          </cell>
        </row>
        <row r="418">
          <cell r="B418">
            <v>124000000000415</v>
          </cell>
          <cell r="C418" t="str">
            <v>Mandor Pirmansyah</v>
          </cell>
        </row>
        <row r="419">
          <cell r="B419">
            <v>124000000000416</v>
          </cell>
          <cell r="C419" t="str">
            <v>Mandor Pristianda Erwin Pauzi</v>
          </cell>
        </row>
        <row r="420">
          <cell r="B420">
            <v>124000000000417</v>
          </cell>
          <cell r="C420" t="str">
            <v>Mandor Priyo Handoko</v>
          </cell>
        </row>
        <row r="421">
          <cell r="B421">
            <v>124000000000418</v>
          </cell>
          <cell r="C421" t="str">
            <v>Mandor Ricardo Manurung</v>
          </cell>
        </row>
        <row r="422">
          <cell r="B422">
            <v>124000000000419</v>
          </cell>
          <cell r="C422" t="str">
            <v>Mandor Ryan Prasetyo</v>
          </cell>
        </row>
        <row r="423">
          <cell r="B423">
            <v>124000000000420</v>
          </cell>
          <cell r="C423" t="str">
            <v>Mandor Sattria</v>
          </cell>
        </row>
        <row r="424">
          <cell r="B424">
            <v>124000000000421</v>
          </cell>
          <cell r="C424" t="str">
            <v>Mandor Solikhin</v>
          </cell>
        </row>
        <row r="425">
          <cell r="B425">
            <v>124000000000422</v>
          </cell>
          <cell r="C425" t="str">
            <v>Mandor Suhendri</v>
          </cell>
        </row>
        <row r="426">
          <cell r="B426">
            <v>124000000000423</v>
          </cell>
          <cell r="C426" t="str">
            <v>Mandor Sunanda</v>
          </cell>
        </row>
        <row r="427">
          <cell r="B427">
            <v>124000000000424</v>
          </cell>
          <cell r="C427" t="str">
            <v xml:space="preserve">Mandor Sunardi </v>
          </cell>
        </row>
        <row r="428">
          <cell r="B428">
            <v>124000000000425</v>
          </cell>
          <cell r="C428" t="str">
            <v>Mandor Suprianto</v>
          </cell>
        </row>
        <row r="429">
          <cell r="B429">
            <v>124000000000426</v>
          </cell>
          <cell r="C429" t="str">
            <v>Mandor Susanto</v>
          </cell>
        </row>
        <row r="430">
          <cell r="B430">
            <v>124000000000427</v>
          </cell>
          <cell r="C430" t="str">
            <v>Mandor Sutikno</v>
          </cell>
        </row>
        <row r="431">
          <cell r="B431">
            <v>124000000000428</v>
          </cell>
          <cell r="C431" t="str">
            <v>Mandor Sutoyo Bin Durajak</v>
          </cell>
        </row>
        <row r="432">
          <cell r="B432">
            <v>124000000000429</v>
          </cell>
          <cell r="C432" t="str">
            <v>Mandor Suwarjono</v>
          </cell>
        </row>
        <row r="433">
          <cell r="B433">
            <v>124000000000430</v>
          </cell>
          <cell r="C433" t="str">
            <v>Mandor Suyoto</v>
          </cell>
        </row>
        <row r="434">
          <cell r="B434">
            <v>124000000000431</v>
          </cell>
          <cell r="C434" t="str">
            <v xml:space="preserve">Mandor Tajudin  </v>
          </cell>
        </row>
        <row r="435">
          <cell r="B435">
            <v>124000000000432</v>
          </cell>
          <cell r="C435" t="str">
            <v>Mandor Teguh Ari Wibowo</v>
          </cell>
        </row>
        <row r="436">
          <cell r="B436">
            <v>124000000000433</v>
          </cell>
          <cell r="C436" t="str">
            <v>Mandor Tengku Wahyudi</v>
          </cell>
        </row>
        <row r="437">
          <cell r="B437">
            <v>124000000000434</v>
          </cell>
          <cell r="C437" t="str">
            <v>Mandor Usman</v>
          </cell>
        </row>
        <row r="438">
          <cell r="B438">
            <v>124000000000435</v>
          </cell>
          <cell r="C438" t="str">
            <v>Mandor Yeyet Abdulrahman</v>
          </cell>
        </row>
        <row r="439">
          <cell r="B439">
            <v>124000000000436</v>
          </cell>
          <cell r="C439" t="str">
            <v>Mandor Yosefa Trisna Aroma Furi</v>
          </cell>
        </row>
        <row r="440">
          <cell r="B440">
            <v>124000000000437</v>
          </cell>
          <cell r="C440" t="str">
            <v>Mandor Zepridani M K</v>
          </cell>
        </row>
        <row r="441">
          <cell r="B441">
            <v>124000000000438</v>
          </cell>
          <cell r="C441" t="str">
            <v>Ade Saputra</v>
          </cell>
        </row>
        <row r="442">
          <cell r="B442">
            <v>124000000000439</v>
          </cell>
          <cell r="C442" t="str">
            <v>Aef Sugihartono</v>
          </cell>
        </row>
        <row r="443">
          <cell r="B443">
            <v>124000000000440</v>
          </cell>
          <cell r="C443" t="str">
            <v>Agung Pranata</v>
          </cell>
        </row>
        <row r="444">
          <cell r="B444">
            <v>124000000000441</v>
          </cell>
          <cell r="C444" t="str">
            <v>Ahmad Hamidi</v>
          </cell>
        </row>
        <row r="445">
          <cell r="B445">
            <v>124000000000442</v>
          </cell>
          <cell r="C445" t="str">
            <v>Ahmad Suhadi</v>
          </cell>
        </row>
        <row r="446">
          <cell r="B446">
            <v>124000000000443</v>
          </cell>
          <cell r="C446" t="str">
            <v>Ali Mufti Wardhani</v>
          </cell>
        </row>
        <row r="447">
          <cell r="B447">
            <v>124000000000444</v>
          </cell>
          <cell r="C447" t="str">
            <v>Ali Sopandi</v>
          </cell>
        </row>
        <row r="448">
          <cell r="B448">
            <v>124000000000445</v>
          </cell>
          <cell r="C448" t="str">
            <v>Ardhis Collection</v>
          </cell>
        </row>
        <row r="449">
          <cell r="B449">
            <v>124000000000446</v>
          </cell>
          <cell r="C449" t="str">
            <v>Arsyad</v>
          </cell>
        </row>
        <row r="450">
          <cell r="B450">
            <v>124000000000447</v>
          </cell>
          <cell r="C450" t="str">
            <v xml:space="preserve">Asuransi Ramayana </v>
          </cell>
        </row>
        <row r="451">
          <cell r="B451">
            <v>124000000000448</v>
          </cell>
          <cell r="C451" t="str">
            <v>Barokah Bengkel Las</v>
          </cell>
        </row>
        <row r="452">
          <cell r="B452">
            <v>124000000000449</v>
          </cell>
          <cell r="C452" t="str">
            <v>Batik Air Cargo</v>
          </cell>
        </row>
        <row r="453">
          <cell r="B453">
            <v>124000000000450</v>
          </cell>
          <cell r="C453" t="str">
            <v>Bengkel Mobil dan Las Heri</v>
          </cell>
        </row>
        <row r="454">
          <cell r="B454">
            <v>124000000000451</v>
          </cell>
          <cell r="C454" t="str">
            <v>Bunyamin Majid</v>
          </cell>
        </row>
        <row r="455">
          <cell r="B455">
            <v>124000000000452</v>
          </cell>
          <cell r="C455" t="str">
            <v>Bustami</v>
          </cell>
        </row>
        <row r="456">
          <cell r="B456">
            <v>124000000000453</v>
          </cell>
          <cell r="C456" t="str">
            <v>Cargo Nusantara Express</v>
          </cell>
        </row>
        <row r="457">
          <cell r="B457">
            <v>124000000000454</v>
          </cell>
          <cell r="C457" t="str">
            <v>Damarra Rezza</v>
          </cell>
        </row>
        <row r="458">
          <cell r="B458">
            <v>124000000000455</v>
          </cell>
          <cell r="C458" t="str">
            <v>Darmawan Dwi Sanjaya</v>
          </cell>
        </row>
        <row r="459">
          <cell r="B459">
            <v>124000000000456</v>
          </cell>
          <cell r="C459" t="str">
            <v>Devit Kustianto</v>
          </cell>
        </row>
        <row r="460">
          <cell r="B460">
            <v>124000000000457</v>
          </cell>
          <cell r="C460" t="str">
            <v>Didik Haryadi</v>
          </cell>
        </row>
        <row r="461">
          <cell r="B461">
            <v>124000000000458</v>
          </cell>
          <cell r="C461" t="str">
            <v>Didin</v>
          </cell>
        </row>
        <row r="462">
          <cell r="B462">
            <v>124000000000459</v>
          </cell>
          <cell r="C462" t="str">
            <v>Djumsadi</v>
          </cell>
        </row>
        <row r="463">
          <cell r="B463">
            <v>124000000000460</v>
          </cell>
          <cell r="C463" t="str">
            <v xml:space="preserve">Dodi Tri Prasetyo         </v>
          </cell>
        </row>
        <row r="464">
          <cell r="B464">
            <v>124000000000461</v>
          </cell>
          <cell r="C464" t="str">
            <v>Dwi Hariyanto</v>
          </cell>
        </row>
        <row r="465">
          <cell r="B465">
            <v>124000000000462</v>
          </cell>
          <cell r="C465" t="str">
            <v>Eda Hartini</v>
          </cell>
        </row>
        <row r="466">
          <cell r="B466">
            <v>124000000000463</v>
          </cell>
          <cell r="C466" t="str">
            <v>Efo Akmal</v>
          </cell>
        </row>
        <row r="467">
          <cell r="B467">
            <v>124000000000464</v>
          </cell>
          <cell r="C467" t="str">
            <v>Erie Herliana</v>
          </cell>
        </row>
        <row r="468">
          <cell r="B468">
            <v>124000000000465</v>
          </cell>
          <cell r="C468" t="str">
            <v>Etty Irawaty</v>
          </cell>
        </row>
        <row r="469">
          <cell r="B469">
            <v>124000000000466</v>
          </cell>
          <cell r="C469" t="str">
            <v>Finus Arifin</v>
          </cell>
        </row>
        <row r="470">
          <cell r="B470">
            <v>124000000000467</v>
          </cell>
          <cell r="C470" t="str">
            <v>H. Juhriyanto</v>
          </cell>
        </row>
        <row r="471">
          <cell r="B471">
            <v>124000000000468</v>
          </cell>
          <cell r="C471" t="str">
            <v>Haerudin</v>
          </cell>
        </row>
        <row r="472">
          <cell r="B472">
            <v>124000000000469</v>
          </cell>
          <cell r="C472" t="str">
            <v>Hajaratul Aswad</v>
          </cell>
        </row>
        <row r="473">
          <cell r="B473">
            <v>124000000000470</v>
          </cell>
          <cell r="C473" t="str">
            <v>Hajrawati</v>
          </cell>
        </row>
        <row r="474">
          <cell r="B474">
            <v>124000000000471</v>
          </cell>
          <cell r="C474" t="str">
            <v>Hanafi Surya</v>
          </cell>
        </row>
        <row r="475">
          <cell r="B475">
            <v>124000000000472</v>
          </cell>
          <cell r="C475" t="str">
            <v>Harun Nur Rasyid</v>
          </cell>
        </row>
        <row r="476">
          <cell r="B476">
            <v>124000000000473</v>
          </cell>
          <cell r="C476" t="str">
            <v>Hasnida</v>
          </cell>
        </row>
        <row r="477">
          <cell r="B477">
            <v>124000000000474</v>
          </cell>
          <cell r="C477" t="str">
            <v>Hendri Rahmat - Kepala Lab. Univ. Lancang Kuning</v>
          </cell>
        </row>
        <row r="478">
          <cell r="B478">
            <v>124000000000475</v>
          </cell>
          <cell r="C478" t="str">
            <v>Herdi Riawan</v>
          </cell>
        </row>
        <row r="479">
          <cell r="B479">
            <v>124000000000476</v>
          </cell>
          <cell r="C479" t="str">
            <v>Holid Gilpani</v>
          </cell>
        </row>
        <row r="480">
          <cell r="B480">
            <v>124000000000477</v>
          </cell>
          <cell r="C480" t="str">
            <v>Hunan Lingte Technology Co., Ltd</v>
          </cell>
        </row>
        <row r="481">
          <cell r="B481">
            <v>124000000000478</v>
          </cell>
          <cell r="C481" t="str">
            <v>Ikhwan Nauli Lubis</v>
          </cell>
        </row>
        <row r="482">
          <cell r="B482">
            <v>124000000000479</v>
          </cell>
          <cell r="C482" t="str">
            <v>Irhamsyah Purba</v>
          </cell>
        </row>
        <row r="483">
          <cell r="B483">
            <v>124000000000480</v>
          </cell>
          <cell r="C483" t="str">
            <v>Irma</v>
          </cell>
        </row>
        <row r="484">
          <cell r="B484">
            <v>124000000000481</v>
          </cell>
          <cell r="C484" t="str">
            <v>Istanto</v>
          </cell>
        </row>
        <row r="485">
          <cell r="B485">
            <v>124000000000482</v>
          </cell>
          <cell r="C485" t="str">
            <v>Kamil</v>
          </cell>
        </row>
        <row r="486">
          <cell r="B486">
            <v>124000000000483</v>
          </cell>
          <cell r="C486" t="str">
            <v>Klinik Pratama Simpang Lima Husada</v>
          </cell>
        </row>
        <row r="487">
          <cell r="B487">
            <v>124000000000484</v>
          </cell>
          <cell r="C487" t="str">
            <v>KSO.Sucofindo-Surveyor Indonesia</v>
          </cell>
        </row>
        <row r="488">
          <cell r="B488">
            <v>124000000000485</v>
          </cell>
          <cell r="C488" t="str">
            <v>Laboratorium Unit Pengelola Penilaian Kesesuaian Bahan dan Barang Teknik</v>
          </cell>
        </row>
        <row r="489">
          <cell r="B489">
            <v>124000000000486</v>
          </cell>
          <cell r="C489" t="str">
            <v>Marhaeni</v>
          </cell>
        </row>
        <row r="490">
          <cell r="B490">
            <v>124000000000487</v>
          </cell>
          <cell r="C490" t="str">
            <v>Mudji Irmawan Arkani</v>
          </cell>
        </row>
        <row r="491">
          <cell r="B491">
            <v>124000000000488</v>
          </cell>
          <cell r="C491" t="str">
            <v>Mukhlas. A</v>
          </cell>
        </row>
        <row r="492">
          <cell r="B492">
            <v>124000000000489</v>
          </cell>
          <cell r="C492" t="str">
            <v>Musdawaty</v>
          </cell>
        </row>
        <row r="493">
          <cell r="B493">
            <v>124000000000490</v>
          </cell>
          <cell r="C493" t="str">
            <v xml:space="preserve">Mustakim </v>
          </cell>
        </row>
        <row r="494">
          <cell r="B494">
            <v>124000000000491</v>
          </cell>
          <cell r="C494" t="str">
            <v>Mustari</v>
          </cell>
        </row>
        <row r="495">
          <cell r="B495">
            <v>124000000000492</v>
          </cell>
          <cell r="C495" t="str">
            <v>Narkum</v>
          </cell>
        </row>
        <row r="496">
          <cell r="B496">
            <v>124000000000493</v>
          </cell>
          <cell r="C496" t="str">
            <v>Neny Suissa Sitorus</v>
          </cell>
        </row>
        <row r="497">
          <cell r="B497">
            <v>124000000000494</v>
          </cell>
          <cell r="C497" t="str">
            <v>Oscar</v>
          </cell>
        </row>
        <row r="498">
          <cell r="B498">
            <v>124000000000495</v>
          </cell>
          <cell r="C498" t="str">
            <v>Pardi</v>
          </cell>
        </row>
        <row r="499">
          <cell r="B499">
            <v>124000000000496</v>
          </cell>
          <cell r="C499" t="str">
            <v>Raminto</v>
          </cell>
        </row>
        <row r="500">
          <cell r="B500">
            <v>124000000000497</v>
          </cell>
          <cell r="C500" t="str">
            <v>Rocki Sitepu</v>
          </cell>
        </row>
        <row r="501">
          <cell r="B501">
            <v>124000000000498</v>
          </cell>
          <cell r="C501" t="str">
            <v>RS Benyamin Guluh</v>
          </cell>
        </row>
        <row r="502">
          <cell r="B502">
            <v>124000000000499</v>
          </cell>
          <cell r="C502" t="str">
            <v xml:space="preserve">RS Keluarga Husada </v>
          </cell>
        </row>
        <row r="503">
          <cell r="B503">
            <v>124000000000500</v>
          </cell>
          <cell r="C503" t="str">
            <v>RSUD Dr. R. Soedjati</v>
          </cell>
        </row>
        <row r="504">
          <cell r="B504">
            <v>124000000000501</v>
          </cell>
          <cell r="C504" t="str">
            <v>Rudi Hardianto</v>
          </cell>
        </row>
        <row r="505">
          <cell r="B505">
            <v>124000000000502</v>
          </cell>
          <cell r="C505" t="str">
            <v>Siemens Energy Global GmbH &amp; Co. KG - SE GT S TSE AR Departement</v>
          </cell>
        </row>
        <row r="506">
          <cell r="B506">
            <v>124000000000503</v>
          </cell>
          <cell r="C506" t="str">
            <v>Suci Nurul Utami Putri</v>
          </cell>
        </row>
        <row r="507">
          <cell r="B507">
            <v>124000000000504</v>
          </cell>
          <cell r="C507" t="str">
            <v>Suparno</v>
          </cell>
        </row>
        <row r="508">
          <cell r="B508">
            <v>124000000000505</v>
          </cell>
          <cell r="C508" t="str">
            <v xml:space="preserve">Surnadi </v>
          </cell>
        </row>
        <row r="509">
          <cell r="B509">
            <v>124000000000506</v>
          </cell>
          <cell r="C509" t="str">
            <v>Suroto</v>
          </cell>
        </row>
        <row r="510">
          <cell r="B510">
            <v>124000000000507</v>
          </cell>
          <cell r="C510" t="str">
            <v>Syafir Ottong</v>
          </cell>
        </row>
        <row r="511">
          <cell r="B511">
            <v>124000000000508</v>
          </cell>
          <cell r="C511" t="str">
            <v>Syahrian</v>
          </cell>
        </row>
        <row r="512">
          <cell r="B512">
            <v>124000000000509</v>
          </cell>
          <cell r="C512" t="str">
            <v>Tjoe Tjhoen Song</v>
          </cell>
        </row>
        <row r="513">
          <cell r="B513">
            <v>124000000000510</v>
          </cell>
          <cell r="C513" t="str">
            <v>Wilda Trans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1"/>
  <sheetViews>
    <sheetView topLeftCell="A257" workbookViewId="0">
      <selection activeCell="C276" sqref="C276"/>
    </sheetView>
  </sheetViews>
  <sheetFormatPr defaultRowHeight="15" x14ac:dyDescent="0.25"/>
  <cols>
    <col min="2" max="2" width="11" bestFit="1" customWidth="1"/>
    <col min="3" max="3" width="31.42578125" bestFit="1" customWidth="1"/>
    <col min="4" max="4" width="18.140625" style="6" bestFit="1" customWidth="1"/>
    <col min="5" max="5" width="17" bestFit="1" customWidth="1"/>
  </cols>
  <sheetData>
    <row r="2" spans="2:3" x14ac:dyDescent="0.25">
      <c r="B2">
        <v>250117820</v>
      </c>
      <c r="C2" t="s">
        <v>492</v>
      </c>
    </row>
    <row r="3" spans="2:3" x14ac:dyDescent="0.25">
      <c r="B3">
        <v>140612611</v>
      </c>
      <c r="C3" t="s">
        <v>305</v>
      </c>
    </row>
    <row r="4" spans="2:3" x14ac:dyDescent="0.25">
      <c r="B4">
        <v>210807401</v>
      </c>
      <c r="C4" t="s">
        <v>162</v>
      </c>
    </row>
    <row r="5" spans="2:3" x14ac:dyDescent="0.25">
      <c r="B5">
        <v>310717841</v>
      </c>
      <c r="C5" t="s">
        <v>269</v>
      </c>
    </row>
    <row r="6" spans="2:3" x14ac:dyDescent="0.25">
      <c r="B6">
        <v>50913684</v>
      </c>
      <c r="C6" t="s">
        <v>614</v>
      </c>
    </row>
    <row r="7" spans="2:3" x14ac:dyDescent="0.25">
      <c r="B7">
        <v>261016808</v>
      </c>
      <c r="C7" t="s">
        <v>267</v>
      </c>
    </row>
    <row r="8" spans="2:3" x14ac:dyDescent="0.25">
      <c r="B8">
        <v>161213705</v>
      </c>
      <c r="C8" t="s">
        <v>86</v>
      </c>
    </row>
    <row r="9" spans="2:3" x14ac:dyDescent="0.25">
      <c r="B9">
        <v>140410529</v>
      </c>
      <c r="C9" t="s">
        <v>615</v>
      </c>
    </row>
    <row r="10" spans="2:3" x14ac:dyDescent="0.25">
      <c r="B10">
        <v>10703025</v>
      </c>
      <c r="C10" t="s">
        <v>209</v>
      </c>
    </row>
    <row r="11" spans="2:3" x14ac:dyDescent="0.25">
      <c r="B11">
        <v>130217822</v>
      </c>
      <c r="C11" t="s">
        <v>282</v>
      </c>
    </row>
    <row r="12" spans="2:3" x14ac:dyDescent="0.25">
      <c r="B12">
        <v>10314719</v>
      </c>
      <c r="C12" t="s">
        <v>330</v>
      </c>
    </row>
    <row r="13" spans="2:3" x14ac:dyDescent="0.25">
      <c r="B13">
        <v>211117851</v>
      </c>
      <c r="C13" t="s">
        <v>616</v>
      </c>
    </row>
    <row r="14" spans="2:3" x14ac:dyDescent="0.25">
      <c r="B14">
        <v>50418864</v>
      </c>
      <c r="C14" t="s">
        <v>289</v>
      </c>
    </row>
    <row r="15" spans="2:3" x14ac:dyDescent="0.25">
      <c r="B15">
        <v>280817844</v>
      </c>
      <c r="C15" t="s">
        <v>462</v>
      </c>
    </row>
    <row r="16" spans="2:3" x14ac:dyDescent="0.25">
      <c r="B16">
        <v>91204114</v>
      </c>
      <c r="C16" t="s">
        <v>108</v>
      </c>
    </row>
    <row r="17" spans="2:3" x14ac:dyDescent="0.25">
      <c r="B17">
        <v>10217828</v>
      </c>
      <c r="C17" t="s">
        <v>617</v>
      </c>
    </row>
    <row r="18" spans="2:3" x14ac:dyDescent="0.25">
      <c r="B18">
        <v>230817842</v>
      </c>
      <c r="C18" t="s">
        <v>391</v>
      </c>
    </row>
    <row r="19" spans="2:3" x14ac:dyDescent="0.25">
      <c r="B19">
        <v>250817843</v>
      </c>
      <c r="C19" t="s">
        <v>618</v>
      </c>
    </row>
    <row r="20" spans="2:3" x14ac:dyDescent="0.25">
      <c r="B20">
        <v>140518869</v>
      </c>
      <c r="C20" t="s">
        <v>437</v>
      </c>
    </row>
    <row r="21" spans="2:3" x14ac:dyDescent="0.25">
      <c r="B21">
        <v>90407339</v>
      </c>
      <c r="C21" t="s">
        <v>619</v>
      </c>
    </row>
    <row r="22" spans="2:3" x14ac:dyDescent="0.25">
      <c r="B22">
        <v>101016801</v>
      </c>
      <c r="C22" t="s">
        <v>111</v>
      </c>
    </row>
    <row r="23" spans="2:3" x14ac:dyDescent="0.25">
      <c r="B23">
        <v>90810548</v>
      </c>
      <c r="C23" t="s">
        <v>620</v>
      </c>
    </row>
    <row r="24" spans="2:3" x14ac:dyDescent="0.25">
      <c r="B24">
        <v>200417834</v>
      </c>
      <c r="C24" t="s">
        <v>331</v>
      </c>
    </row>
    <row r="25" spans="2:3" x14ac:dyDescent="0.25">
      <c r="B25">
        <v>210803045</v>
      </c>
      <c r="C25" t="s">
        <v>241</v>
      </c>
    </row>
    <row r="26" spans="2:3" x14ac:dyDescent="0.25">
      <c r="B26">
        <v>151112629</v>
      </c>
      <c r="C26" t="s">
        <v>339</v>
      </c>
    </row>
    <row r="27" spans="2:3" x14ac:dyDescent="0.25">
      <c r="B27">
        <v>210916800</v>
      </c>
      <c r="C27" t="s">
        <v>380</v>
      </c>
    </row>
    <row r="28" spans="2:3" x14ac:dyDescent="0.25">
      <c r="B28">
        <v>181110556</v>
      </c>
      <c r="C28" t="s">
        <v>416</v>
      </c>
    </row>
    <row r="29" spans="2:3" x14ac:dyDescent="0.25">
      <c r="B29">
        <v>160603001</v>
      </c>
      <c r="C29" t="s">
        <v>6</v>
      </c>
    </row>
    <row r="30" spans="2:3" x14ac:dyDescent="0.25">
      <c r="B30">
        <v>271016809</v>
      </c>
      <c r="C30" t="s">
        <v>138</v>
      </c>
    </row>
    <row r="31" spans="2:3" x14ac:dyDescent="0.25">
      <c r="B31">
        <v>110418866</v>
      </c>
      <c r="C31" t="s">
        <v>621</v>
      </c>
    </row>
    <row r="32" spans="2:3" x14ac:dyDescent="0.25">
      <c r="B32">
        <v>61217853</v>
      </c>
      <c r="C32" t="s">
        <v>25</v>
      </c>
    </row>
    <row r="33" spans="2:3" x14ac:dyDescent="0.25">
      <c r="B33">
        <v>190318862</v>
      </c>
      <c r="C33" t="s">
        <v>622</v>
      </c>
    </row>
    <row r="34" spans="2:3" x14ac:dyDescent="0.25">
      <c r="B34">
        <v>101218895</v>
      </c>
      <c r="C34" t="s">
        <v>243</v>
      </c>
    </row>
    <row r="35" spans="2:3" x14ac:dyDescent="0.25">
      <c r="B35">
        <v>121118889</v>
      </c>
      <c r="C35" t="s">
        <v>295</v>
      </c>
    </row>
    <row r="36" spans="2:3" x14ac:dyDescent="0.25">
      <c r="B36">
        <v>311012625</v>
      </c>
      <c r="C36" t="s">
        <v>405</v>
      </c>
    </row>
    <row r="37" spans="2:3" x14ac:dyDescent="0.25">
      <c r="B37">
        <v>20516793</v>
      </c>
      <c r="C37" t="s">
        <v>62</v>
      </c>
    </row>
    <row r="38" spans="2:3" x14ac:dyDescent="0.25">
      <c r="B38">
        <v>180917845</v>
      </c>
      <c r="C38" t="s">
        <v>248</v>
      </c>
    </row>
    <row r="39" spans="2:3" x14ac:dyDescent="0.25">
      <c r="B39">
        <v>20418863</v>
      </c>
      <c r="C39" t="s">
        <v>36</v>
      </c>
    </row>
    <row r="40" spans="2:3" x14ac:dyDescent="0.25">
      <c r="B40">
        <v>120318861</v>
      </c>
      <c r="C40" t="s">
        <v>146</v>
      </c>
    </row>
    <row r="41" spans="2:3" x14ac:dyDescent="0.25">
      <c r="B41">
        <v>280319902</v>
      </c>
      <c r="C41" t="s">
        <v>131</v>
      </c>
    </row>
    <row r="42" spans="2:3" x14ac:dyDescent="0.25">
      <c r="B42">
        <v>11117850</v>
      </c>
      <c r="C42" t="s">
        <v>359</v>
      </c>
    </row>
    <row r="43" spans="2:3" x14ac:dyDescent="0.25">
      <c r="B43">
        <v>230119899</v>
      </c>
      <c r="C43" t="s">
        <v>65</v>
      </c>
    </row>
    <row r="44" spans="2:3" x14ac:dyDescent="0.25">
      <c r="B44">
        <v>71116810</v>
      </c>
      <c r="C44" t="s">
        <v>623</v>
      </c>
    </row>
    <row r="45" spans="2:3" x14ac:dyDescent="0.25">
      <c r="B45">
        <v>160217824</v>
      </c>
      <c r="C45" t="s">
        <v>344</v>
      </c>
    </row>
    <row r="46" spans="2:3" x14ac:dyDescent="0.25">
      <c r="B46">
        <v>200519910</v>
      </c>
      <c r="C46" t="s">
        <v>39</v>
      </c>
    </row>
    <row r="47" spans="2:3" x14ac:dyDescent="0.25">
      <c r="B47">
        <v>250618876</v>
      </c>
      <c r="C47" t="s">
        <v>624</v>
      </c>
    </row>
    <row r="48" spans="2:3" x14ac:dyDescent="0.25">
      <c r="B48">
        <v>31115789</v>
      </c>
      <c r="C48" t="s">
        <v>303</v>
      </c>
    </row>
    <row r="49" spans="2:4" x14ac:dyDescent="0.25">
      <c r="B49">
        <v>200212602</v>
      </c>
      <c r="C49" t="s">
        <v>317</v>
      </c>
    </row>
    <row r="50" spans="2:4" x14ac:dyDescent="0.25">
      <c r="B50">
        <v>270917846</v>
      </c>
      <c r="C50" t="s">
        <v>410</v>
      </c>
    </row>
    <row r="51" spans="2:4" x14ac:dyDescent="0.25">
      <c r="B51">
        <v>30915783</v>
      </c>
      <c r="C51" t="s">
        <v>625</v>
      </c>
    </row>
    <row r="52" spans="2:4" x14ac:dyDescent="0.25">
      <c r="B52">
        <v>11216815</v>
      </c>
      <c r="C52" t="s">
        <v>271</v>
      </c>
    </row>
    <row r="53" spans="2:4" x14ac:dyDescent="0.25">
      <c r="B53">
        <v>150419906</v>
      </c>
      <c r="C53" t="s">
        <v>626</v>
      </c>
    </row>
    <row r="54" spans="2:4" x14ac:dyDescent="0.25">
      <c r="B54">
        <v>120419904</v>
      </c>
      <c r="C54" t="s">
        <v>202</v>
      </c>
    </row>
    <row r="55" spans="2:4" x14ac:dyDescent="0.25">
      <c r="B55">
        <v>10318860</v>
      </c>
      <c r="C55" t="s">
        <v>498</v>
      </c>
    </row>
    <row r="56" spans="2:4" x14ac:dyDescent="0.25">
      <c r="B56">
        <v>210618875</v>
      </c>
      <c r="C56" t="s">
        <v>225</v>
      </c>
    </row>
    <row r="57" spans="2:4" x14ac:dyDescent="0.25">
      <c r="B57">
        <v>150419905</v>
      </c>
      <c r="C57" t="s">
        <v>249</v>
      </c>
      <c r="D57" s="6" t="s">
        <v>651</v>
      </c>
    </row>
    <row r="58" spans="2:4" x14ac:dyDescent="0.25">
      <c r="B58">
        <v>11018884</v>
      </c>
      <c r="C58" t="s">
        <v>627</v>
      </c>
      <c r="D58" s="6" t="s">
        <v>652</v>
      </c>
    </row>
    <row r="59" spans="2:4" x14ac:dyDescent="0.25">
      <c r="B59">
        <v>100918881</v>
      </c>
      <c r="C59" t="s">
        <v>352</v>
      </c>
      <c r="D59" s="6" t="s">
        <v>653</v>
      </c>
    </row>
    <row r="60" spans="2:4" x14ac:dyDescent="0.25">
      <c r="B60">
        <v>20519907</v>
      </c>
      <c r="C60" t="s">
        <v>628</v>
      </c>
      <c r="D60" s="6" t="s">
        <v>867</v>
      </c>
    </row>
    <row r="61" spans="2:4" x14ac:dyDescent="0.25">
      <c r="B61">
        <v>111103059</v>
      </c>
      <c r="C61" t="s">
        <v>629</v>
      </c>
      <c r="D61" s="6" t="s">
        <v>654</v>
      </c>
    </row>
    <row r="62" spans="2:4" x14ac:dyDescent="0.25">
      <c r="B62">
        <v>81012521</v>
      </c>
      <c r="C62" t="s">
        <v>46</v>
      </c>
      <c r="D62" s="6" t="s">
        <v>868</v>
      </c>
    </row>
    <row r="63" spans="2:4" x14ac:dyDescent="0.25">
      <c r="B63">
        <v>251016807</v>
      </c>
      <c r="C63" t="s">
        <v>2</v>
      </c>
    </row>
    <row r="64" spans="2:4" x14ac:dyDescent="0.25">
      <c r="B64">
        <v>120417831</v>
      </c>
      <c r="C64" t="s">
        <v>140</v>
      </c>
      <c r="D64" s="6" t="s">
        <v>655</v>
      </c>
    </row>
    <row r="65" spans="2:4" x14ac:dyDescent="0.25">
      <c r="B65">
        <v>290118856</v>
      </c>
      <c r="C65" t="s">
        <v>327</v>
      </c>
      <c r="D65" s="6" t="s">
        <v>656</v>
      </c>
    </row>
    <row r="66" spans="2:4" x14ac:dyDescent="0.25">
      <c r="B66">
        <v>111018884</v>
      </c>
      <c r="C66" t="s">
        <v>630</v>
      </c>
      <c r="D66" s="6" t="s">
        <v>657</v>
      </c>
    </row>
    <row r="67" spans="2:4" x14ac:dyDescent="0.25">
      <c r="B67">
        <v>10317827</v>
      </c>
      <c r="C67" t="s">
        <v>631</v>
      </c>
      <c r="D67" s="6" t="s">
        <v>658</v>
      </c>
    </row>
    <row r="68" spans="2:4" x14ac:dyDescent="0.25">
      <c r="B68">
        <v>71217854</v>
      </c>
      <c r="C68" t="s">
        <v>34</v>
      </c>
      <c r="D68" s="6" t="s">
        <v>659</v>
      </c>
    </row>
    <row r="69" spans="2:4" x14ac:dyDescent="0.25">
      <c r="B69">
        <v>100613675</v>
      </c>
      <c r="C69" t="s">
        <v>155</v>
      </c>
      <c r="D69" s="6" t="s">
        <v>660</v>
      </c>
    </row>
    <row r="70" spans="2:4" x14ac:dyDescent="0.25">
      <c r="B70">
        <v>231219923</v>
      </c>
      <c r="C70" t="s">
        <v>160</v>
      </c>
      <c r="D70" s="6" t="s">
        <v>661</v>
      </c>
    </row>
    <row r="71" spans="2:4" x14ac:dyDescent="0.25">
      <c r="B71">
        <v>90819916</v>
      </c>
      <c r="C71" t="s">
        <v>415</v>
      </c>
      <c r="D71" s="6" t="s">
        <v>662</v>
      </c>
    </row>
    <row r="72" spans="2:4" x14ac:dyDescent="0.25">
      <c r="B72">
        <v>140518870</v>
      </c>
      <c r="C72" t="s">
        <v>191</v>
      </c>
      <c r="D72" s="6" t="s">
        <v>663</v>
      </c>
    </row>
    <row r="73" spans="2:4" x14ac:dyDescent="0.25">
      <c r="B73">
        <v>221007407</v>
      </c>
      <c r="C73" t="s">
        <v>360</v>
      </c>
      <c r="D73" s="6" t="s">
        <v>664</v>
      </c>
    </row>
    <row r="74" spans="2:4" x14ac:dyDescent="0.25">
      <c r="B74">
        <v>100220928</v>
      </c>
      <c r="C74" t="s">
        <v>336</v>
      </c>
      <c r="D74" s="6" t="s">
        <v>665</v>
      </c>
    </row>
    <row r="75" spans="2:4" x14ac:dyDescent="0.25">
      <c r="B75">
        <v>160718878</v>
      </c>
      <c r="C75" t="s">
        <v>332</v>
      </c>
      <c r="D75" s="6" t="s">
        <v>666</v>
      </c>
    </row>
    <row r="76" spans="2:4" x14ac:dyDescent="0.25">
      <c r="B76">
        <v>100918882</v>
      </c>
      <c r="C76" t="s">
        <v>364</v>
      </c>
      <c r="D76" s="6" t="s">
        <v>667</v>
      </c>
    </row>
    <row r="77" spans="2:4" x14ac:dyDescent="0.25">
      <c r="B77">
        <v>110119897</v>
      </c>
      <c r="C77" t="s">
        <v>499</v>
      </c>
      <c r="D77" s="6" t="s">
        <v>668</v>
      </c>
    </row>
    <row r="78" spans="2:4" x14ac:dyDescent="0.25">
      <c r="B78">
        <v>131219922</v>
      </c>
      <c r="C78" t="s">
        <v>347</v>
      </c>
      <c r="D78" s="6" t="s">
        <v>669</v>
      </c>
    </row>
    <row r="79" spans="2:4" x14ac:dyDescent="0.25">
      <c r="B79">
        <v>221007408</v>
      </c>
      <c r="C79" t="s">
        <v>322</v>
      </c>
      <c r="D79" s="6" t="s">
        <v>670</v>
      </c>
    </row>
    <row r="80" spans="2:4" x14ac:dyDescent="0.25">
      <c r="B80">
        <v>290118859</v>
      </c>
      <c r="C80" t="s">
        <v>298</v>
      </c>
      <c r="D80" s="6" t="s">
        <v>671</v>
      </c>
    </row>
    <row r="81" spans="2:5" x14ac:dyDescent="0.25">
      <c r="B81">
        <v>50617837</v>
      </c>
      <c r="C81" t="s">
        <v>424</v>
      </c>
      <c r="D81" s="6" t="s">
        <v>672</v>
      </c>
    </row>
    <row r="82" spans="2:5" x14ac:dyDescent="0.25">
      <c r="B82">
        <v>31218894</v>
      </c>
      <c r="C82" t="s">
        <v>186</v>
      </c>
      <c r="D82" s="6" t="s">
        <v>673</v>
      </c>
    </row>
    <row r="83" spans="2:5" x14ac:dyDescent="0.25">
      <c r="B83">
        <v>271120940</v>
      </c>
      <c r="C83" t="s">
        <v>632</v>
      </c>
      <c r="D83" s="6" t="s">
        <v>674</v>
      </c>
      <c r="E83" t="s">
        <v>675</v>
      </c>
    </row>
    <row r="84" spans="2:5" x14ac:dyDescent="0.25">
      <c r="B84">
        <v>111218896</v>
      </c>
      <c r="C84" t="s">
        <v>296</v>
      </c>
      <c r="D84" s="6" t="s">
        <v>676</v>
      </c>
    </row>
    <row r="85" spans="2:5" x14ac:dyDescent="0.25">
      <c r="B85">
        <v>251119920</v>
      </c>
      <c r="C85" t="s">
        <v>633</v>
      </c>
      <c r="D85" s="6" t="s">
        <v>677</v>
      </c>
    </row>
    <row r="86" spans="2:5" x14ac:dyDescent="0.25">
      <c r="B86">
        <v>271217855</v>
      </c>
      <c r="C86" t="s">
        <v>28</v>
      </c>
      <c r="D86" s="6" t="s">
        <v>678</v>
      </c>
    </row>
    <row r="87" spans="2:5" x14ac:dyDescent="0.25">
      <c r="B87">
        <v>140319901</v>
      </c>
      <c r="C87" t="s">
        <v>70</v>
      </c>
      <c r="D87" s="6" t="s">
        <v>679</v>
      </c>
    </row>
    <row r="88" spans="2:5" x14ac:dyDescent="0.25">
      <c r="B88">
        <v>120220929</v>
      </c>
      <c r="C88" t="s">
        <v>634</v>
      </c>
      <c r="D88" s="6" t="s">
        <v>680</v>
      </c>
    </row>
    <row r="89" spans="2:5" x14ac:dyDescent="0.25">
      <c r="B89">
        <v>140518871</v>
      </c>
      <c r="C89" t="s">
        <v>144</v>
      </c>
      <c r="D89" s="6" t="s">
        <v>681</v>
      </c>
    </row>
    <row r="90" spans="2:5" x14ac:dyDescent="0.25">
      <c r="B90">
        <v>10719913</v>
      </c>
      <c r="C90" t="s">
        <v>635</v>
      </c>
      <c r="D90" s="6" t="s">
        <v>682</v>
      </c>
    </row>
    <row r="91" spans="2:5" x14ac:dyDescent="0.25">
      <c r="B91">
        <v>90315759</v>
      </c>
      <c r="C91" t="s">
        <v>636</v>
      </c>
      <c r="D91" s="6" t="s">
        <v>683</v>
      </c>
    </row>
    <row r="92" spans="2:5" x14ac:dyDescent="0.25">
      <c r="B92">
        <v>110621951</v>
      </c>
      <c r="C92" t="s">
        <v>276</v>
      </c>
      <c r="D92" s="6" t="s">
        <v>684</v>
      </c>
    </row>
    <row r="93" spans="2:5" x14ac:dyDescent="0.25">
      <c r="B93">
        <v>140708474</v>
      </c>
      <c r="C93" t="s">
        <v>637</v>
      </c>
      <c r="D93" s="6" t="s">
        <v>685</v>
      </c>
    </row>
    <row r="94" spans="2:5" x14ac:dyDescent="0.25">
      <c r="B94">
        <v>31005165</v>
      </c>
      <c r="C94" t="s">
        <v>204</v>
      </c>
      <c r="D94" s="6" t="s">
        <v>686</v>
      </c>
    </row>
    <row r="95" spans="2:5" x14ac:dyDescent="0.25">
      <c r="B95">
        <v>150721949</v>
      </c>
      <c r="C95" t="s">
        <v>510</v>
      </c>
      <c r="D95" s="6" t="s">
        <v>687</v>
      </c>
    </row>
    <row r="96" spans="2:5" x14ac:dyDescent="0.25">
      <c r="B96">
        <v>291121956</v>
      </c>
      <c r="C96" t="s">
        <v>533</v>
      </c>
    </row>
    <row r="97" spans="2:4" x14ac:dyDescent="0.25">
      <c r="B97">
        <v>130921953</v>
      </c>
      <c r="C97" t="s">
        <v>507</v>
      </c>
      <c r="D97" s="6" t="s">
        <v>688</v>
      </c>
    </row>
    <row r="98" spans="2:4" x14ac:dyDescent="0.25">
      <c r="B98">
        <v>20518867</v>
      </c>
      <c r="C98" t="s">
        <v>99</v>
      </c>
      <c r="D98" s="6" t="s">
        <v>689</v>
      </c>
    </row>
    <row r="99" spans="2:4" x14ac:dyDescent="0.25">
      <c r="B99">
        <v>140518872</v>
      </c>
      <c r="C99" t="s">
        <v>313</v>
      </c>
      <c r="D99" s="6" t="s">
        <v>690</v>
      </c>
    </row>
    <row r="100" spans="2:4" x14ac:dyDescent="0.25">
      <c r="B100">
        <v>171121955</v>
      </c>
      <c r="C100" t="s">
        <v>511</v>
      </c>
      <c r="D100" s="6" t="s">
        <v>691</v>
      </c>
    </row>
    <row r="101" spans="2:4" x14ac:dyDescent="0.25">
      <c r="B101">
        <v>161120938</v>
      </c>
      <c r="C101" t="s">
        <v>470</v>
      </c>
      <c r="D101" s="6" t="s">
        <v>692</v>
      </c>
    </row>
    <row r="102" spans="2:4" x14ac:dyDescent="0.25">
      <c r="B102">
        <v>301017849</v>
      </c>
      <c r="C102" t="s">
        <v>333</v>
      </c>
      <c r="D102" s="6" t="s">
        <v>693</v>
      </c>
    </row>
    <row r="103" spans="2:4" x14ac:dyDescent="0.25">
      <c r="B103">
        <v>260606236</v>
      </c>
      <c r="C103" t="s">
        <v>182</v>
      </c>
      <c r="D103" s="6" t="s">
        <v>694</v>
      </c>
    </row>
    <row r="104" spans="2:4" x14ac:dyDescent="0.25">
      <c r="B104">
        <v>171016802</v>
      </c>
      <c r="C104" t="s">
        <v>387</v>
      </c>
      <c r="D104" s="6" t="s">
        <v>695</v>
      </c>
    </row>
    <row r="105" spans="2:4" x14ac:dyDescent="0.25">
      <c r="B105">
        <v>30221945</v>
      </c>
      <c r="C105" t="s">
        <v>377</v>
      </c>
    </row>
    <row r="106" spans="2:4" x14ac:dyDescent="0.25">
      <c r="B106">
        <v>131221957</v>
      </c>
      <c r="C106" t="s">
        <v>539</v>
      </c>
      <c r="D106" s="6" t="s">
        <v>696</v>
      </c>
    </row>
    <row r="107" spans="2:4" x14ac:dyDescent="0.25">
      <c r="B107">
        <v>10803042</v>
      </c>
      <c r="C107" t="s">
        <v>552</v>
      </c>
      <c r="D107" s="6" t="s">
        <v>697</v>
      </c>
    </row>
    <row r="108" spans="2:4" x14ac:dyDescent="0.25">
      <c r="B108">
        <v>80321946</v>
      </c>
      <c r="C108" t="s">
        <v>7</v>
      </c>
      <c r="D108" s="6" t="s">
        <v>698</v>
      </c>
    </row>
    <row r="109" spans="2:4" x14ac:dyDescent="0.25">
      <c r="B109">
        <v>200105119</v>
      </c>
      <c r="C109" t="s">
        <v>425</v>
      </c>
      <c r="D109" s="6" t="s">
        <v>699</v>
      </c>
    </row>
    <row r="110" spans="2:4" x14ac:dyDescent="0.25">
      <c r="B110">
        <v>40722964</v>
      </c>
      <c r="C110" t="s">
        <v>638</v>
      </c>
      <c r="D110" s="6" t="s">
        <v>700</v>
      </c>
    </row>
    <row r="111" spans="2:4" x14ac:dyDescent="0.25">
      <c r="B111">
        <v>20120919</v>
      </c>
      <c r="C111" t="s">
        <v>384</v>
      </c>
      <c r="D111" s="6" t="s">
        <v>701</v>
      </c>
    </row>
    <row r="112" spans="2:4" x14ac:dyDescent="0.25">
      <c r="B112">
        <v>170522963</v>
      </c>
      <c r="C112" t="s">
        <v>518</v>
      </c>
      <c r="D112" s="6" t="s">
        <v>702</v>
      </c>
    </row>
    <row r="113" spans="2:4" x14ac:dyDescent="0.25">
      <c r="B113">
        <v>241219924</v>
      </c>
      <c r="C113" t="s">
        <v>639</v>
      </c>
      <c r="D113" s="6" t="s">
        <v>703</v>
      </c>
    </row>
    <row r="114" spans="2:4" x14ac:dyDescent="0.25">
      <c r="B114">
        <v>161220941</v>
      </c>
      <c r="C114" t="s">
        <v>380</v>
      </c>
    </row>
    <row r="115" spans="2:4" x14ac:dyDescent="0.25">
      <c r="B115">
        <v>70518868</v>
      </c>
      <c r="C115" t="s">
        <v>324</v>
      </c>
      <c r="D115" s="6" t="s">
        <v>704</v>
      </c>
    </row>
    <row r="116" spans="2:4" x14ac:dyDescent="0.25">
      <c r="B116">
        <v>280618877</v>
      </c>
      <c r="C116" t="s">
        <v>473</v>
      </c>
      <c r="D116" s="6" t="s">
        <v>705</v>
      </c>
    </row>
    <row r="117" spans="2:4" x14ac:dyDescent="0.25">
      <c r="B117">
        <v>70703034</v>
      </c>
      <c r="C117" t="s">
        <v>640</v>
      </c>
      <c r="D117" s="6" t="s">
        <v>706</v>
      </c>
    </row>
    <row r="118" spans="2:4" x14ac:dyDescent="0.25">
      <c r="B118">
        <v>211222971</v>
      </c>
      <c r="C118" t="s">
        <v>536</v>
      </c>
      <c r="D118" s="6" t="s">
        <v>869</v>
      </c>
    </row>
    <row r="119" spans="2:4" x14ac:dyDescent="0.25">
      <c r="B119">
        <v>70305123</v>
      </c>
      <c r="C119" t="s">
        <v>641</v>
      </c>
      <c r="D119" s="6" t="s">
        <v>707</v>
      </c>
    </row>
    <row r="120" spans="2:4" x14ac:dyDescent="0.25">
      <c r="B120">
        <v>181114748</v>
      </c>
      <c r="C120" t="s">
        <v>158</v>
      </c>
      <c r="D120" s="6" t="s">
        <v>708</v>
      </c>
    </row>
    <row r="121" spans="2:4" x14ac:dyDescent="0.25">
      <c r="B121">
        <v>260115754</v>
      </c>
      <c r="C121" t="s">
        <v>329</v>
      </c>
      <c r="D121" s="6" t="s">
        <v>709</v>
      </c>
    </row>
    <row r="122" spans="2:4" x14ac:dyDescent="0.25">
      <c r="B122">
        <v>130223978</v>
      </c>
      <c r="C122" t="s">
        <v>14</v>
      </c>
      <c r="D122" s="6" t="s">
        <v>710</v>
      </c>
    </row>
    <row r="123" spans="2:4" x14ac:dyDescent="0.25">
      <c r="B123">
        <v>170217825</v>
      </c>
      <c r="C123" t="s">
        <v>642</v>
      </c>
      <c r="D123" s="6" t="s">
        <v>711</v>
      </c>
    </row>
    <row r="124" spans="2:4" x14ac:dyDescent="0.25">
      <c r="B124">
        <v>100419903</v>
      </c>
      <c r="C124" t="s">
        <v>38</v>
      </c>
      <c r="D124" s="6" t="s">
        <v>712</v>
      </c>
    </row>
    <row r="125" spans="2:4" x14ac:dyDescent="0.25">
      <c r="C125" t="s">
        <v>513</v>
      </c>
      <c r="D125" s="6" t="s">
        <v>713</v>
      </c>
    </row>
    <row r="126" spans="2:4" x14ac:dyDescent="0.25">
      <c r="B126">
        <v>50123975</v>
      </c>
      <c r="C126" t="s">
        <v>99</v>
      </c>
      <c r="D126" s="6" t="s">
        <v>689</v>
      </c>
    </row>
    <row r="127" spans="2:4" x14ac:dyDescent="0.25">
      <c r="B127">
        <v>40219900</v>
      </c>
      <c r="C127" t="s">
        <v>466</v>
      </c>
      <c r="D127" s="6" t="s">
        <v>714</v>
      </c>
    </row>
    <row r="128" spans="2:4" x14ac:dyDescent="0.25">
      <c r="B128">
        <v>171215791</v>
      </c>
      <c r="C128" t="s">
        <v>643</v>
      </c>
      <c r="D128" s="6" t="s">
        <v>715</v>
      </c>
    </row>
    <row r="129" spans="2:4" x14ac:dyDescent="0.25">
      <c r="B129">
        <v>311022972</v>
      </c>
      <c r="C129" t="s">
        <v>548</v>
      </c>
    </row>
    <row r="130" spans="2:4" x14ac:dyDescent="0.25">
      <c r="B130">
        <v>210904088</v>
      </c>
      <c r="C130" t="s">
        <v>644</v>
      </c>
      <c r="D130" s="6" t="s">
        <v>716</v>
      </c>
    </row>
    <row r="131" spans="2:4" x14ac:dyDescent="0.25">
      <c r="B131">
        <v>150506222</v>
      </c>
      <c r="C131" t="s">
        <v>18</v>
      </c>
      <c r="D131" s="6" t="s">
        <v>717</v>
      </c>
    </row>
    <row r="132" spans="2:4" x14ac:dyDescent="0.25">
      <c r="B132">
        <v>191022968</v>
      </c>
      <c r="C132" t="s">
        <v>521</v>
      </c>
      <c r="D132" s="6" t="s">
        <v>718</v>
      </c>
    </row>
    <row r="133" spans="2:4" x14ac:dyDescent="0.25">
      <c r="B133">
        <v>180822966</v>
      </c>
      <c r="C133" t="s">
        <v>543</v>
      </c>
      <c r="D133" s="6" t="s">
        <v>719</v>
      </c>
    </row>
    <row r="134" spans="2:4" x14ac:dyDescent="0.25">
      <c r="B134">
        <v>120923980</v>
      </c>
      <c r="C134" t="s">
        <v>645</v>
      </c>
    </row>
    <row r="135" spans="2:4" x14ac:dyDescent="0.25">
      <c r="B135">
        <v>140421948</v>
      </c>
      <c r="C135" t="s">
        <v>412</v>
      </c>
      <c r="D135" s="6" t="s">
        <v>720</v>
      </c>
    </row>
    <row r="136" spans="2:4" x14ac:dyDescent="0.25">
      <c r="B136">
        <v>61123983</v>
      </c>
      <c r="C136" t="s">
        <v>646</v>
      </c>
      <c r="D136" s="6" t="s">
        <v>721</v>
      </c>
    </row>
    <row r="137" spans="2:4" x14ac:dyDescent="0.25">
      <c r="B137">
        <v>141020935</v>
      </c>
      <c r="C137" t="s">
        <v>22</v>
      </c>
      <c r="D137" s="6" t="s">
        <v>722</v>
      </c>
    </row>
    <row r="138" spans="2:4" x14ac:dyDescent="0.25">
      <c r="B138">
        <v>100724990</v>
      </c>
      <c r="C138" t="s">
        <v>647</v>
      </c>
    </row>
    <row r="139" spans="2:4" x14ac:dyDescent="0.25">
      <c r="B139">
        <v>150805153</v>
      </c>
      <c r="C139" t="s">
        <v>648</v>
      </c>
      <c r="D139" s="6" t="s">
        <v>723</v>
      </c>
    </row>
    <row r="140" spans="2:4" x14ac:dyDescent="0.25">
      <c r="B140">
        <v>11123982</v>
      </c>
      <c r="C140" t="s">
        <v>649</v>
      </c>
      <c r="D140" s="6" t="s">
        <v>724</v>
      </c>
    </row>
    <row r="141" spans="2:4" x14ac:dyDescent="0.25">
      <c r="B141">
        <v>10224986</v>
      </c>
      <c r="C141" t="s">
        <v>570</v>
      </c>
      <c r="D141" s="6" t="s">
        <v>725</v>
      </c>
    </row>
    <row r="142" spans="2:4" x14ac:dyDescent="0.25">
      <c r="B142">
        <v>271222973</v>
      </c>
      <c r="C142" t="s">
        <v>546</v>
      </c>
      <c r="D142" s="6" t="s">
        <v>726</v>
      </c>
    </row>
    <row r="143" spans="2:4" x14ac:dyDescent="0.25">
      <c r="B143">
        <v>180324988</v>
      </c>
      <c r="C143" t="s">
        <v>650</v>
      </c>
      <c r="D143" s="6" t="s">
        <v>727</v>
      </c>
    </row>
    <row r="144" spans="2:4" x14ac:dyDescent="0.25">
      <c r="B144">
        <v>310821007</v>
      </c>
      <c r="C144" t="s">
        <v>43</v>
      </c>
      <c r="D144" s="6" t="s">
        <v>728</v>
      </c>
    </row>
    <row r="145" spans="2:4" x14ac:dyDescent="0.25">
      <c r="B145">
        <v>2804251006</v>
      </c>
      <c r="C145" t="s">
        <v>599</v>
      </c>
      <c r="D145" s="6" t="s">
        <v>729</v>
      </c>
    </row>
    <row r="146" spans="2:4" x14ac:dyDescent="0.25">
      <c r="B146">
        <v>160603011</v>
      </c>
      <c r="C146" t="s">
        <v>272</v>
      </c>
      <c r="D146" s="6" t="s">
        <v>730</v>
      </c>
    </row>
    <row r="147" spans="2:4" x14ac:dyDescent="0.25">
      <c r="B147">
        <v>91224995</v>
      </c>
      <c r="C147" t="s">
        <v>586</v>
      </c>
      <c r="D147" s="6" t="s">
        <v>731</v>
      </c>
    </row>
    <row r="148" spans="2:4" x14ac:dyDescent="0.25">
      <c r="B148">
        <v>2702251001</v>
      </c>
      <c r="C148" t="s">
        <v>588</v>
      </c>
      <c r="D148" s="6" t="s">
        <v>732</v>
      </c>
    </row>
    <row r="149" spans="2:4" x14ac:dyDescent="0.25">
      <c r="B149">
        <v>261219925</v>
      </c>
      <c r="C149" t="s">
        <v>427</v>
      </c>
      <c r="D149" s="6" t="s">
        <v>733</v>
      </c>
    </row>
    <row r="150" spans="2:4" x14ac:dyDescent="0.25">
      <c r="B150">
        <v>11003051</v>
      </c>
      <c r="C150" t="s">
        <v>180</v>
      </c>
    </row>
    <row r="151" spans="2:4" x14ac:dyDescent="0.25">
      <c r="B151">
        <v>61017848</v>
      </c>
      <c r="C151" t="s">
        <v>734</v>
      </c>
    </row>
    <row r="152" spans="2:4" x14ac:dyDescent="0.25">
      <c r="B152">
        <v>90707388</v>
      </c>
      <c r="C152" t="s">
        <v>236</v>
      </c>
    </row>
    <row r="153" spans="2:4" x14ac:dyDescent="0.25">
      <c r="B153">
        <v>141112633</v>
      </c>
      <c r="C153" t="s">
        <v>735</v>
      </c>
      <c r="D153" s="6" t="s">
        <v>736</v>
      </c>
    </row>
    <row r="154" spans="2:4" x14ac:dyDescent="0.25">
      <c r="B154">
        <v>81220942</v>
      </c>
      <c r="C154" t="s">
        <v>435</v>
      </c>
    </row>
    <row r="155" spans="2:4" x14ac:dyDescent="0.25">
      <c r="B155">
        <v>10813678</v>
      </c>
      <c r="C155" t="s">
        <v>251</v>
      </c>
      <c r="D155" s="6" t="s">
        <v>737</v>
      </c>
    </row>
    <row r="156" spans="2:4" x14ac:dyDescent="0.25">
      <c r="B156">
        <v>11216814</v>
      </c>
      <c r="C156" t="s">
        <v>58</v>
      </c>
    </row>
    <row r="157" spans="2:4" x14ac:dyDescent="0.25">
      <c r="B157">
        <v>10218857</v>
      </c>
      <c r="C157" t="s">
        <v>738</v>
      </c>
    </row>
    <row r="158" spans="2:4" x14ac:dyDescent="0.25">
      <c r="B158">
        <v>160313012</v>
      </c>
      <c r="C158" t="s">
        <v>739</v>
      </c>
    </row>
    <row r="159" spans="2:4" x14ac:dyDescent="0.25">
      <c r="B159">
        <v>40418865</v>
      </c>
      <c r="C159" t="s">
        <v>740</v>
      </c>
    </row>
    <row r="160" spans="2:4" x14ac:dyDescent="0.25">
      <c r="B160">
        <v>210518873</v>
      </c>
      <c r="C160" t="s">
        <v>307</v>
      </c>
    </row>
    <row r="161" spans="2:4" x14ac:dyDescent="0.25">
      <c r="B161">
        <v>310718879</v>
      </c>
      <c r="C161" t="s">
        <v>61</v>
      </c>
    </row>
    <row r="162" spans="2:4" x14ac:dyDescent="0.25">
      <c r="B162">
        <v>280217829</v>
      </c>
      <c r="C162" t="s">
        <v>741</v>
      </c>
    </row>
    <row r="163" spans="2:4" x14ac:dyDescent="0.25">
      <c r="B163">
        <v>210617840</v>
      </c>
      <c r="C163" t="s">
        <v>742</v>
      </c>
    </row>
    <row r="164" spans="2:4" x14ac:dyDescent="0.25">
      <c r="B164">
        <v>241018887</v>
      </c>
      <c r="C164" t="s">
        <v>743</v>
      </c>
    </row>
    <row r="165" spans="2:4" x14ac:dyDescent="0.25">
      <c r="B165">
        <v>170119898</v>
      </c>
      <c r="C165" t="s">
        <v>455</v>
      </c>
    </row>
    <row r="166" spans="2:4" x14ac:dyDescent="0.25">
      <c r="B166">
        <v>150719914</v>
      </c>
      <c r="C166" t="s">
        <v>59</v>
      </c>
    </row>
    <row r="167" spans="2:4" x14ac:dyDescent="0.25">
      <c r="B167">
        <v>20519908</v>
      </c>
      <c r="C167" t="s">
        <v>234</v>
      </c>
      <c r="D167" s="6" t="s">
        <v>754</v>
      </c>
    </row>
    <row r="168" spans="2:4" x14ac:dyDescent="0.25">
      <c r="B168">
        <v>21219921</v>
      </c>
      <c r="C168" t="s">
        <v>286</v>
      </c>
      <c r="D168" s="6" t="s">
        <v>755</v>
      </c>
    </row>
    <row r="169" spans="2:4" x14ac:dyDescent="0.25">
      <c r="B169">
        <v>231015787</v>
      </c>
      <c r="C169" t="s">
        <v>1</v>
      </c>
      <c r="D169" s="6" t="s">
        <v>756</v>
      </c>
    </row>
    <row r="170" spans="2:4" x14ac:dyDescent="0.25">
      <c r="B170">
        <v>60519909</v>
      </c>
      <c r="C170" t="s">
        <v>342</v>
      </c>
      <c r="D170" s="6" t="s">
        <v>757</v>
      </c>
    </row>
    <row r="171" spans="2:4" x14ac:dyDescent="0.25">
      <c r="B171">
        <v>71019917</v>
      </c>
      <c r="C171" t="s">
        <v>744</v>
      </c>
      <c r="D171" s="6" t="s">
        <v>758</v>
      </c>
    </row>
    <row r="172" spans="2:4" x14ac:dyDescent="0.25">
      <c r="B172">
        <v>220517836</v>
      </c>
      <c r="C172" t="s">
        <v>745</v>
      </c>
      <c r="D172" s="6" t="s">
        <v>759</v>
      </c>
    </row>
    <row r="173" spans="2:4" x14ac:dyDescent="0.25">
      <c r="B173">
        <v>60420930</v>
      </c>
      <c r="C173" t="s">
        <v>746</v>
      </c>
      <c r="D173" s="6" t="s">
        <v>760</v>
      </c>
    </row>
    <row r="174" spans="2:4" x14ac:dyDescent="0.25">
      <c r="B174">
        <v>121118891</v>
      </c>
      <c r="C174" t="s">
        <v>281</v>
      </c>
      <c r="D174" s="6" t="s">
        <v>761</v>
      </c>
    </row>
    <row r="175" spans="2:4" x14ac:dyDescent="0.25">
      <c r="B175">
        <v>181018886</v>
      </c>
      <c r="C175" t="s">
        <v>299</v>
      </c>
    </row>
    <row r="176" spans="2:4" x14ac:dyDescent="0.25">
      <c r="B176">
        <v>290317835</v>
      </c>
      <c r="C176" t="s">
        <v>177</v>
      </c>
      <c r="D176" s="6" t="s">
        <v>762</v>
      </c>
    </row>
    <row r="177" spans="2:4" x14ac:dyDescent="0.25">
      <c r="B177">
        <v>71118888</v>
      </c>
      <c r="C177" t="s">
        <v>747</v>
      </c>
      <c r="D177" s="6" t="s">
        <v>763</v>
      </c>
    </row>
    <row r="178" spans="2:4" x14ac:dyDescent="0.25">
      <c r="B178">
        <v>300120926</v>
      </c>
      <c r="C178" t="s">
        <v>124</v>
      </c>
      <c r="D178" s="6" t="s">
        <v>764</v>
      </c>
    </row>
    <row r="179" spans="2:4" x14ac:dyDescent="0.25">
      <c r="B179">
        <v>30220927</v>
      </c>
      <c r="C179" t="s">
        <v>254</v>
      </c>
      <c r="D179" s="6" t="s">
        <v>765</v>
      </c>
    </row>
    <row r="180" spans="2:4" x14ac:dyDescent="0.25">
      <c r="B180">
        <v>181120939</v>
      </c>
      <c r="C180" t="s">
        <v>149</v>
      </c>
      <c r="D180" s="6" t="s">
        <v>766</v>
      </c>
    </row>
    <row r="181" spans="2:4" x14ac:dyDescent="0.25">
      <c r="B181">
        <v>280621950</v>
      </c>
      <c r="C181" t="s">
        <v>506</v>
      </c>
      <c r="D181" s="6" t="s">
        <v>767</v>
      </c>
    </row>
    <row r="182" spans="2:4" x14ac:dyDescent="0.25">
      <c r="B182">
        <v>121118890</v>
      </c>
      <c r="C182" t="s">
        <v>100</v>
      </c>
      <c r="D182" s="6" t="s">
        <v>768</v>
      </c>
    </row>
    <row r="183" spans="2:4" x14ac:dyDescent="0.25">
      <c r="B183">
        <v>110121943</v>
      </c>
      <c r="C183" t="s">
        <v>551</v>
      </c>
      <c r="D183" s="6" t="s">
        <v>769</v>
      </c>
    </row>
    <row r="184" spans="2:4" x14ac:dyDescent="0.25">
      <c r="B184">
        <v>91120937</v>
      </c>
      <c r="C184" t="s">
        <v>741</v>
      </c>
      <c r="D184" s="6" t="s">
        <v>770</v>
      </c>
    </row>
    <row r="185" spans="2:4" x14ac:dyDescent="0.25">
      <c r="B185">
        <v>140420931</v>
      </c>
      <c r="C185" t="s">
        <v>3</v>
      </c>
      <c r="D185" s="6" t="s">
        <v>771</v>
      </c>
    </row>
    <row r="186" spans="2:4" x14ac:dyDescent="0.25">
      <c r="B186">
        <v>21120936</v>
      </c>
      <c r="C186" t="s">
        <v>370</v>
      </c>
      <c r="D186" s="6" t="s">
        <v>772</v>
      </c>
    </row>
    <row r="187" spans="2:4" x14ac:dyDescent="0.25">
      <c r="B187">
        <v>70617838</v>
      </c>
      <c r="C187" t="s">
        <v>119</v>
      </c>
      <c r="D187" s="6" t="s">
        <v>773</v>
      </c>
    </row>
    <row r="188" spans="2:4" x14ac:dyDescent="0.25">
      <c r="B188">
        <v>160313010</v>
      </c>
      <c r="C188" t="s">
        <v>748</v>
      </c>
      <c r="D188" s="6" t="s">
        <v>774</v>
      </c>
    </row>
    <row r="189" spans="2:4" x14ac:dyDescent="0.25">
      <c r="B189">
        <v>261118893</v>
      </c>
      <c r="C189" t="s">
        <v>749</v>
      </c>
      <c r="D189" s="6" t="s">
        <v>775</v>
      </c>
    </row>
    <row r="190" spans="2:4" x14ac:dyDescent="0.25">
      <c r="B190">
        <v>10413651</v>
      </c>
      <c r="C190" t="s">
        <v>750</v>
      </c>
      <c r="D190" s="6" t="s">
        <v>776</v>
      </c>
    </row>
    <row r="191" spans="2:4" x14ac:dyDescent="0.25">
      <c r="B191">
        <v>240620933</v>
      </c>
      <c r="C191" t="s">
        <v>751</v>
      </c>
      <c r="D191" s="6" t="s">
        <v>777</v>
      </c>
    </row>
    <row r="192" spans="2:4" x14ac:dyDescent="0.25">
      <c r="B192">
        <v>171016803</v>
      </c>
      <c r="C192" t="s">
        <v>752</v>
      </c>
      <c r="D192" s="6" t="s">
        <v>778</v>
      </c>
    </row>
    <row r="193" spans="2:4" x14ac:dyDescent="0.25">
      <c r="B193">
        <v>220221946</v>
      </c>
      <c r="C193" t="s">
        <v>213</v>
      </c>
      <c r="D193" s="6" t="s">
        <v>779</v>
      </c>
    </row>
    <row r="194" spans="2:4" x14ac:dyDescent="0.25">
      <c r="B194">
        <v>240225998</v>
      </c>
      <c r="C194" t="s">
        <v>753</v>
      </c>
      <c r="D194" s="6" t="s">
        <v>780</v>
      </c>
    </row>
    <row r="195" spans="2:4" x14ac:dyDescent="0.25">
      <c r="B195">
        <v>11018004</v>
      </c>
      <c r="C195" t="s">
        <v>781</v>
      </c>
    </row>
    <row r="196" spans="2:4" x14ac:dyDescent="0.25">
      <c r="B196">
        <v>280119005</v>
      </c>
      <c r="C196" t="s">
        <v>782</v>
      </c>
    </row>
    <row r="197" spans="2:4" x14ac:dyDescent="0.25">
      <c r="B197">
        <v>250220009</v>
      </c>
      <c r="C197" t="s">
        <v>783</v>
      </c>
      <c r="D197" s="6" t="s">
        <v>786</v>
      </c>
    </row>
    <row r="198" spans="2:4" x14ac:dyDescent="0.25">
      <c r="B198">
        <v>10818003</v>
      </c>
      <c r="C198" t="s">
        <v>784</v>
      </c>
    </row>
    <row r="199" spans="2:4" x14ac:dyDescent="0.25">
      <c r="B199">
        <v>10419008</v>
      </c>
      <c r="C199" t="s">
        <v>143</v>
      </c>
      <c r="D199" s="6" t="s">
        <v>787</v>
      </c>
    </row>
    <row r="200" spans="2:4" x14ac:dyDescent="0.25">
      <c r="B200">
        <v>130319006</v>
      </c>
      <c r="C200" t="s">
        <v>785</v>
      </c>
      <c r="D200" s="6" t="s">
        <v>788</v>
      </c>
    </row>
    <row r="201" spans="2:4" x14ac:dyDescent="0.25">
      <c r="B201">
        <v>10818001</v>
      </c>
      <c r="C201" t="s">
        <v>200</v>
      </c>
      <c r="D201" s="6" t="s">
        <v>789</v>
      </c>
    </row>
    <row r="202" spans="2:4" x14ac:dyDescent="0.25">
      <c r="B202">
        <v>403251002</v>
      </c>
      <c r="C202" t="s">
        <v>592</v>
      </c>
      <c r="D202" s="6" t="s">
        <v>798</v>
      </c>
    </row>
    <row r="203" spans="2:4" x14ac:dyDescent="0.25">
      <c r="B203">
        <v>181124994</v>
      </c>
      <c r="C203" t="s">
        <v>591</v>
      </c>
      <c r="D203" s="6" t="s">
        <v>799</v>
      </c>
    </row>
    <row r="204" spans="2:4" x14ac:dyDescent="0.25">
      <c r="B204">
        <v>10703020</v>
      </c>
      <c r="C204" t="s">
        <v>11</v>
      </c>
      <c r="D204" s="6" t="s">
        <v>800</v>
      </c>
    </row>
    <row r="205" spans="2:4" x14ac:dyDescent="0.25">
      <c r="B205">
        <v>191022969</v>
      </c>
      <c r="C205" t="s">
        <v>512</v>
      </c>
      <c r="D205" s="6" t="s">
        <v>801</v>
      </c>
    </row>
    <row r="206" spans="2:4" x14ac:dyDescent="0.25">
      <c r="B206">
        <v>100920934</v>
      </c>
      <c r="C206" t="s">
        <v>74</v>
      </c>
      <c r="D206" s="6" t="s">
        <v>802</v>
      </c>
    </row>
    <row r="207" spans="2:4" x14ac:dyDescent="0.25">
      <c r="B207">
        <v>60515769</v>
      </c>
      <c r="C207" t="s">
        <v>81</v>
      </c>
      <c r="D207" s="6" t="s">
        <v>803</v>
      </c>
    </row>
    <row r="208" spans="2:4" x14ac:dyDescent="0.25">
      <c r="B208">
        <v>31212631</v>
      </c>
      <c r="C208" t="s">
        <v>91</v>
      </c>
      <c r="D208" s="6" t="s">
        <v>804</v>
      </c>
    </row>
    <row r="209" spans="2:4" x14ac:dyDescent="0.25">
      <c r="B209">
        <v>10605133</v>
      </c>
      <c r="C209" t="s">
        <v>105</v>
      </c>
      <c r="D209" s="6" t="s">
        <v>805</v>
      </c>
    </row>
    <row r="210" spans="2:4" x14ac:dyDescent="0.25">
      <c r="B210">
        <v>40803040</v>
      </c>
      <c r="C210" t="s">
        <v>115</v>
      </c>
      <c r="D210" s="6" t="s">
        <v>806</v>
      </c>
    </row>
    <row r="211" spans="2:4" x14ac:dyDescent="0.25">
      <c r="B211">
        <v>200420932</v>
      </c>
      <c r="C211" t="s">
        <v>122</v>
      </c>
      <c r="D211" s="6" t="s">
        <v>807</v>
      </c>
    </row>
    <row r="212" spans="2:4" x14ac:dyDescent="0.25">
      <c r="B212">
        <v>120324987</v>
      </c>
      <c r="C212" t="s">
        <v>125</v>
      </c>
      <c r="D212" s="6" t="s">
        <v>808</v>
      </c>
    </row>
    <row r="213" spans="2:4" x14ac:dyDescent="0.25">
      <c r="B213">
        <v>60121944</v>
      </c>
      <c r="C213" t="s">
        <v>124</v>
      </c>
      <c r="D213" s="6" t="s">
        <v>764</v>
      </c>
    </row>
    <row r="214" spans="2:4" x14ac:dyDescent="0.25">
      <c r="B214">
        <v>10806250</v>
      </c>
      <c r="C214" t="s">
        <v>790</v>
      </c>
      <c r="D214" s="6" t="s">
        <v>809</v>
      </c>
    </row>
    <row r="215" spans="2:4" x14ac:dyDescent="0.25">
      <c r="B215">
        <v>70806256</v>
      </c>
      <c r="C215" t="s">
        <v>167</v>
      </c>
      <c r="D215" s="6" t="s">
        <v>810</v>
      </c>
    </row>
    <row r="216" spans="2:4" x14ac:dyDescent="0.25">
      <c r="B216">
        <v>191015786</v>
      </c>
      <c r="C216" t="s">
        <v>791</v>
      </c>
      <c r="D216" s="6" t="s">
        <v>811</v>
      </c>
    </row>
    <row r="217" spans="2:4" x14ac:dyDescent="0.25">
      <c r="B217">
        <v>40822965</v>
      </c>
      <c r="C217" t="s">
        <v>526</v>
      </c>
      <c r="D217" s="6" t="s">
        <v>812</v>
      </c>
    </row>
    <row r="218" spans="2:4" x14ac:dyDescent="0.25">
      <c r="B218">
        <v>170322960</v>
      </c>
      <c r="C218" t="s">
        <v>527</v>
      </c>
      <c r="D218" s="6" t="s">
        <v>813</v>
      </c>
    </row>
    <row r="219" spans="2:4" x14ac:dyDescent="0.25">
      <c r="B219">
        <v>40515767</v>
      </c>
      <c r="C219" t="s">
        <v>231</v>
      </c>
      <c r="D219" s="6" t="s">
        <v>814</v>
      </c>
    </row>
    <row r="220" spans="2:4" x14ac:dyDescent="0.25">
      <c r="B220">
        <v>190803044</v>
      </c>
      <c r="C220" t="s">
        <v>252</v>
      </c>
      <c r="D220" s="6" t="s">
        <v>815</v>
      </c>
    </row>
    <row r="221" spans="2:4" x14ac:dyDescent="0.25">
      <c r="B221">
        <v>170918883</v>
      </c>
      <c r="C221" t="s">
        <v>261</v>
      </c>
      <c r="D221" s="6" t="s">
        <v>816</v>
      </c>
    </row>
    <row r="222" spans="2:4" x14ac:dyDescent="0.25">
      <c r="B222">
        <v>160916799</v>
      </c>
      <c r="C222" t="s">
        <v>792</v>
      </c>
      <c r="D222" s="6" t="s">
        <v>817</v>
      </c>
    </row>
    <row r="223" spans="2:4" x14ac:dyDescent="0.25">
      <c r="B223">
        <v>10513665</v>
      </c>
      <c r="C223" t="s">
        <v>793</v>
      </c>
      <c r="D223" s="6" t="s">
        <v>818</v>
      </c>
    </row>
    <row r="224" spans="2:4" x14ac:dyDescent="0.25">
      <c r="B224">
        <v>1206251007</v>
      </c>
      <c r="C224" t="s">
        <v>600</v>
      </c>
      <c r="D224" s="6" t="s">
        <v>819</v>
      </c>
    </row>
    <row r="225" spans="2:4" x14ac:dyDescent="0.25">
      <c r="B225">
        <v>230125998</v>
      </c>
      <c r="C225" t="s">
        <v>603</v>
      </c>
      <c r="D225" s="6" t="s">
        <v>820</v>
      </c>
    </row>
    <row r="226" spans="2:4" x14ac:dyDescent="0.25">
      <c r="B226">
        <v>30105116</v>
      </c>
      <c r="C226" t="s">
        <v>300</v>
      </c>
      <c r="D226" s="6" t="s">
        <v>821</v>
      </c>
    </row>
    <row r="227" spans="2:4" x14ac:dyDescent="0.25">
      <c r="B227">
        <v>61106279</v>
      </c>
      <c r="C227" t="s">
        <v>306</v>
      </c>
      <c r="D227" s="6" t="s">
        <v>822</v>
      </c>
    </row>
    <row r="228" spans="2:4" x14ac:dyDescent="0.25">
      <c r="B228">
        <v>230924993</v>
      </c>
      <c r="C228" t="s">
        <v>573</v>
      </c>
      <c r="D228" s="6" t="s">
        <v>866</v>
      </c>
    </row>
    <row r="229" spans="2:4" x14ac:dyDescent="0.25">
      <c r="B229">
        <v>2011251012</v>
      </c>
      <c r="C229" t="s">
        <v>604</v>
      </c>
      <c r="D229" s="7" t="s">
        <v>864</v>
      </c>
    </row>
    <row r="230" spans="2:4" x14ac:dyDescent="0.25">
      <c r="B230">
        <v>51023981</v>
      </c>
      <c r="C230" t="s">
        <v>535</v>
      </c>
      <c r="D230" s="6" t="s">
        <v>823</v>
      </c>
    </row>
    <row r="231" spans="2:4" x14ac:dyDescent="0.25">
      <c r="B231">
        <v>603251003</v>
      </c>
      <c r="C231" t="s">
        <v>606</v>
      </c>
      <c r="D231" s="6" t="s">
        <v>865</v>
      </c>
    </row>
    <row r="232" spans="2:4" x14ac:dyDescent="0.25">
      <c r="B232">
        <v>2703251004</v>
      </c>
      <c r="C232" t="s">
        <v>608</v>
      </c>
    </row>
    <row r="233" spans="2:4" x14ac:dyDescent="0.25">
      <c r="B233">
        <v>221110557</v>
      </c>
      <c r="C233" t="s">
        <v>351</v>
      </c>
      <c r="D233" s="6" t="s">
        <v>824</v>
      </c>
    </row>
    <row r="234" spans="2:4" x14ac:dyDescent="0.25">
      <c r="B234">
        <v>141118892</v>
      </c>
      <c r="C234" t="s">
        <v>390</v>
      </c>
      <c r="D234" s="6" t="s">
        <v>825</v>
      </c>
    </row>
    <row r="235" spans="2:4" x14ac:dyDescent="0.25">
      <c r="B235">
        <v>130906272</v>
      </c>
      <c r="C235" t="s">
        <v>392</v>
      </c>
      <c r="D235" s="6" t="s">
        <v>826</v>
      </c>
    </row>
    <row r="236" spans="2:4" x14ac:dyDescent="0.25">
      <c r="B236">
        <v>240518874</v>
      </c>
      <c r="C236" t="s">
        <v>396</v>
      </c>
      <c r="D236" s="6" t="s">
        <v>827</v>
      </c>
    </row>
    <row r="237" spans="2:4" x14ac:dyDescent="0.25">
      <c r="B237">
        <v>10507354</v>
      </c>
      <c r="C237" t="s">
        <v>411</v>
      </c>
      <c r="D237" s="6" t="s">
        <v>828</v>
      </c>
    </row>
    <row r="238" spans="2:4" x14ac:dyDescent="0.25">
      <c r="B238">
        <v>10210516</v>
      </c>
      <c r="C238" t="s">
        <v>794</v>
      </c>
      <c r="D238" s="6" t="s">
        <v>829</v>
      </c>
    </row>
    <row r="239" spans="2:4" x14ac:dyDescent="0.25">
      <c r="B239">
        <v>280324989</v>
      </c>
      <c r="C239" t="s">
        <v>578</v>
      </c>
      <c r="D239" s="6" t="s">
        <v>830</v>
      </c>
    </row>
    <row r="240" spans="2:4" x14ac:dyDescent="0.25">
      <c r="B240">
        <v>30717839</v>
      </c>
      <c r="C240" t="s">
        <v>795</v>
      </c>
      <c r="D240" s="6" t="s">
        <v>870</v>
      </c>
    </row>
    <row r="241" spans="2:4" x14ac:dyDescent="0.25">
      <c r="B241">
        <v>90818879</v>
      </c>
      <c r="C241" t="s">
        <v>796</v>
      </c>
      <c r="D241" s="6" t="s">
        <v>831</v>
      </c>
    </row>
    <row r="242" spans="2:4" x14ac:dyDescent="0.25">
      <c r="B242">
        <v>240122958</v>
      </c>
      <c r="C242" t="s">
        <v>541</v>
      </c>
      <c r="D242" s="6" t="s">
        <v>832</v>
      </c>
    </row>
    <row r="243" spans="2:4" x14ac:dyDescent="0.25">
      <c r="B243">
        <v>150724991</v>
      </c>
      <c r="C243" t="s">
        <v>580</v>
      </c>
      <c r="D243" s="6" t="s">
        <v>833</v>
      </c>
    </row>
    <row r="244" spans="2:4" x14ac:dyDescent="0.25">
      <c r="B244">
        <v>260123977</v>
      </c>
      <c r="C244" t="s">
        <v>544</v>
      </c>
      <c r="D244" s="6" t="s">
        <v>834</v>
      </c>
    </row>
    <row r="245" spans="2:4" x14ac:dyDescent="0.25">
      <c r="B245">
        <v>160714734</v>
      </c>
      <c r="C245" t="s">
        <v>486</v>
      </c>
      <c r="D245" s="6" t="s">
        <v>835</v>
      </c>
    </row>
    <row r="246" spans="2:4" x14ac:dyDescent="0.25">
      <c r="B246">
        <v>90819915</v>
      </c>
      <c r="C246" t="s">
        <v>496</v>
      </c>
      <c r="D246" s="6" t="s">
        <v>836</v>
      </c>
    </row>
    <row r="247" spans="2:4" x14ac:dyDescent="0.25">
      <c r="B247">
        <v>3107251008</v>
      </c>
      <c r="C247" t="s">
        <v>797</v>
      </c>
      <c r="D247" s="6" t="s">
        <v>837</v>
      </c>
    </row>
    <row r="248" spans="2:4" x14ac:dyDescent="0.25">
      <c r="B248">
        <v>160603000</v>
      </c>
      <c r="C248" t="s">
        <v>346</v>
      </c>
      <c r="D248" s="6" t="s">
        <v>838</v>
      </c>
    </row>
    <row r="249" spans="2:4" x14ac:dyDescent="0.25">
      <c r="B249">
        <v>10218858</v>
      </c>
      <c r="C249" t="s">
        <v>166</v>
      </c>
      <c r="D249" s="6" t="s">
        <v>839</v>
      </c>
    </row>
    <row r="250" spans="2:4" x14ac:dyDescent="0.25">
      <c r="B250">
        <v>10224985</v>
      </c>
      <c r="C250" t="s">
        <v>558</v>
      </c>
      <c r="D250" s="6" t="s">
        <v>840</v>
      </c>
    </row>
    <row r="251" spans="2:4" x14ac:dyDescent="0.25">
      <c r="B251">
        <v>280314716</v>
      </c>
      <c r="C251" t="s">
        <v>16</v>
      </c>
      <c r="D251" s="6" t="s">
        <v>841</v>
      </c>
    </row>
    <row r="252" spans="2:4" x14ac:dyDescent="0.25">
      <c r="B252">
        <v>260716795</v>
      </c>
      <c r="C252" t="s">
        <v>508</v>
      </c>
      <c r="D252" s="6" t="s">
        <v>842</v>
      </c>
    </row>
    <row r="253" spans="2:4" x14ac:dyDescent="0.25">
      <c r="B253">
        <v>160313008</v>
      </c>
      <c r="C253" t="s">
        <v>843</v>
      </c>
      <c r="D253" s="6" t="s">
        <v>845</v>
      </c>
    </row>
    <row r="254" spans="2:4" x14ac:dyDescent="0.25">
      <c r="B254">
        <v>120124984</v>
      </c>
      <c r="C254" t="s">
        <v>594</v>
      </c>
      <c r="D254" s="6" t="s">
        <v>846</v>
      </c>
    </row>
    <row r="255" spans="2:4" x14ac:dyDescent="0.25">
      <c r="B255">
        <v>10413650</v>
      </c>
      <c r="C255" t="s">
        <v>595</v>
      </c>
      <c r="D255" s="6" t="s">
        <v>847</v>
      </c>
    </row>
    <row r="256" spans="2:4" x14ac:dyDescent="0.25">
      <c r="B256">
        <v>90821952</v>
      </c>
      <c r="C256" t="s">
        <v>516</v>
      </c>
      <c r="D256" s="6" t="s">
        <v>848</v>
      </c>
    </row>
    <row r="257" spans="2:5" x14ac:dyDescent="0.25">
      <c r="B257">
        <v>170417832</v>
      </c>
      <c r="C257" t="s">
        <v>92</v>
      </c>
      <c r="D257" s="6" t="s">
        <v>849</v>
      </c>
    </row>
    <row r="258" spans="2:5" x14ac:dyDescent="0.25">
      <c r="B258">
        <v>31022970</v>
      </c>
      <c r="C258" t="s">
        <v>549</v>
      </c>
      <c r="D258" s="6" t="s">
        <v>850</v>
      </c>
    </row>
    <row r="259" spans="2:5" x14ac:dyDescent="0.25">
      <c r="B259">
        <v>701251000</v>
      </c>
      <c r="C259" t="s">
        <v>119</v>
      </c>
      <c r="D259" s="6" t="s">
        <v>773</v>
      </c>
    </row>
    <row r="260" spans="2:5" x14ac:dyDescent="0.25">
      <c r="B260">
        <v>110523979</v>
      </c>
      <c r="C260" t="s">
        <v>520</v>
      </c>
      <c r="D260" s="6" t="s">
        <v>851</v>
      </c>
    </row>
    <row r="261" spans="2:5" x14ac:dyDescent="0.25">
      <c r="B261">
        <v>30225999</v>
      </c>
      <c r="C261" t="s">
        <v>587</v>
      </c>
      <c r="D261" s="6" t="s">
        <v>852</v>
      </c>
    </row>
    <row r="262" spans="2:5" x14ac:dyDescent="0.25">
      <c r="B262">
        <v>50422961</v>
      </c>
      <c r="C262" t="s">
        <v>550</v>
      </c>
      <c r="D262" s="6" t="s">
        <v>853</v>
      </c>
      <c r="E262" t="s">
        <v>854</v>
      </c>
    </row>
    <row r="263" spans="2:5" x14ac:dyDescent="0.25">
      <c r="B263">
        <v>160921954</v>
      </c>
      <c r="C263" t="s">
        <v>371</v>
      </c>
      <c r="D263" s="6" t="s">
        <v>855</v>
      </c>
    </row>
    <row r="264" spans="2:5" x14ac:dyDescent="0.25">
      <c r="B264">
        <v>10413649</v>
      </c>
      <c r="C264" t="s">
        <v>609</v>
      </c>
      <c r="D264" s="6" t="s">
        <v>856</v>
      </c>
    </row>
    <row r="265" spans="2:5" x14ac:dyDescent="0.25">
      <c r="B265">
        <v>20916798</v>
      </c>
      <c r="C265" t="s">
        <v>610</v>
      </c>
      <c r="D265" s="6" t="s">
        <v>857</v>
      </c>
    </row>
    <row r="266" spans="2:5" x14ac:dyDescent="0.25">
      <c r="B266">
        <v>80822967</v>
      </c>
      <c r="C266" t="s">
        <v>414</v>
      </c>
      <c r="D266" s="6" t="s">
        <v>858</v>
      </c>
    </row>
    <row r="267" spans="2:5" x14ac:dyDescent="0.25">
      <c r="B267">
        <v>20123976</v>
      </c>
      <c r="C267" t="s">
        <v>547</v>
      </c>
      <c r="D267" s="6" t="s">
        <v>859</v>
      </c>
    </row>
    <row r="268" spans="2:5" x14ac:dyDescent="0.25">
      <c r="B268">
        <v>10413653</v>
      </c>
      <c r="C268" t="s">
        <v>611</v>
      </c>
      <c r="D268" s="6" t="s">
        <v>860</v>
      </c>
    </row>
    <row r="269" spans="2:5" x14ac:dyDescent="0.25">
      <c r="B269">
        <v>300913696</v>
      </c>
      <c r="C269" t="s">
        <v>613</v>
      </c>
      <c r="D269" s="6" t="s">
        <v>861</v>
      </c>
    </row>
    <row r="270" spans="2:5" x14ac:dyDescent="0.25">
      <c r="B270">
        <v>10906267</v>
      </c>
      <c r="C270" t="s">
        <v>457</v>
      </c>
      <c r="D270" s="6" t="s">
        <v>862</v>
      </c>
    </row>
    <row r="271" spans="2:5" x14ac:dyDescent="0.25">
      <c r="B271">
        <v>209251009</v>
      </c>
      <c r="C271" t="s">
        <v>844</v>
      </c>
      <c r="D271" s="6" t="s">
        <v>863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J71"/>
  <sheetViews>
    <sheetView tabSelected="1" zoomScale="80" zoomScaleNormal="80" workbookViewId="0">
      <pane xSplit="4" ySplit="3" topLeftCell="E49" activePane="bottomRight" state="frozen"/>
      <selection pane="topRight" activeCell="C1" sqref="C1"/>
      <selection pane="bottomLeft" activeCell="A4" sqref="A4"/>
      <selection pane="bottomRight" activeCell="G14" sqref="G14"/>
    </sheetView>
  </sheetViews>
  <sheetFormatPr defaultRowHeight="12.75" x14ac:dyDescent="0.2"/>
  <cols>
    <col min="1" max="1" width="2.85546875" style="5" customWidth="1"/>
    <col min="2" max="2" width="14.85546875" style="2" bestFit="1" customWidth="1"/>
    <col min="3" max="3" width="88.85546875" style="5" bestFit="1" customWidth="1"/>
    <col min="4" max="4" width="18" style="2" bestFit="1" customWidth="1"/>
    <col min="5" max="5" width="14.85546875" style="33" customWidth="1"/>
    <col min="6" max="6" width="26.5703125" style="22" bestFit="1" customWidth="1"/>
    <col min="7" max="7" width="26.28515625" style="5" bestFit="1" customWidth="1"/>
    <col min="8" max="8" width="2.85546875" style="5" customWidth="1"/>
    <col min="9" max="9" width="17.28515625" style="33" bestFit="1" customWidth="1"/>
    <col min="10" max="16384" width="9.140625" style="5"/>
  </cols>
  <sheetData>
    <row r="1" spans="2:10" ht="15" customHeight="1" thickBot="1" x14ac:dyDescent="0.25"/>
    <row r="2" spans="2:10" ht="25.5" x14ac:dyDescent="0.2">
      <c r="B2" s="17" t="s">
        <v>876</v>
      </c>
      <c r="C2" s="27" t="s">
        <v>877</v>
      </c>
      <c r="D2" s="27" t="s">
        <v>883</v>
      </c>
      <c r="E2" s="16" t="s">
        <v>882</v>
      </c>
      <c r="F2" s="23" t="s">
        <v>884</v>
      </c>
      <c r="G2" s="13" t="s">
        <v>875</v>
      </c>
      <c r="I2" s="28" t="s">
        <v>879</v>
      </c>
      <c r="J2" s="29" t="s">
        <v>878</v>
      </c>
    </row>
    <row r="3" spans="2:10" ht="13.5" thickBot="1" x14ac:dyDescent="0.25">
      <c r="B3" s="18"/>
      <c r="C3" s="36"/>
      <c r="D3" s="35"/>
      <c r="E3" s="38"/>
      <c r="F3" s="24"/>
      <c r="G3" s="15"/>
      <c r="I3" s="34">
        <v>286000000000000</v>
      </c>
      <c r="J3" s="30"/>
    </row>
    <row r="4" spans="2:10" x14ac:dyDescent="0.2">
      <c r="B4" s="19">
        <v>124000000000087</v>
      </c>
      <c r="C4" s="3" t="str">
        <f>IF(EXACT($B4, ""), "", IF((($B4 - MOD($B4, 1000000000000))/1000000000000)=25, CONCATENATE("Person - ", VLOOKUP($B4, [1]DataLookUp!$B$4:$C$2000, 2, FALSE)), IF((($B4 - MOD($B4, 1000000000000))/1000000000000)=124, CONCATENATE("Institution - ", VLOOKUP($B4, '[2]DataLookUp - InstitutionBranch'!$B$4:$C$2000, 2, FALSE)), "")))</f>
        <v>Institution - CV. Anugerah Karya Magantha</v>
      </c>
      <c r="D4" s="19">
        <v>287000000000003</v>
      </c>
      <c r="E4" s="39" t="str">
        <f>IF(EXACT($D4, ""), "", VLOOKUP($D4, 'REF - EmailAccountType'!$B$4:$C$7, 2, FALSE))</f>
        <v>Business</v>
      </c>
      <c r="F4" s="25" t="s">
        <v>885</v>
      </c>
      <c r="G4" s="20" t="s">
        <v>952</v>
      </c>
      <c r="I4" s="31">
        <f xml:space="preserve"> I3 + IF(EXACT(J4, ""), 0, 1)</f>
        <v>286000000000001</v>
      </c>
      <c r="J4" s="32" t="str">
        <f>IF(EXACT(F4, ""), "", CONCATENATE("PERFORM ""SchData-OLTP-Master"".""Func_TblEMailAccount_SET""(varSystemLoginSession::bigint, null::bigint, null::varchar, null::timestamptz, null::timestamptz, null::varchar, varInstitutionBranchID::bigint, varBaseCurrencyID::bigint, ", IF(EXACT($D4, ""), "NULL", ""&amp;$D4&amp;""), "::bigint, ", IF(EXACT($F4, ""), "NULL", "'"&amp;$F4&amp;"'"), "::varchar, ", IF(EXACT($G4, ""), "NULL", "'"&amp;$G4&amp;"'"), "::varchar, ", IF(EXACT($B4, ""), "NULL", "'"&amp;$B4&amp;"'"), "::bigint);"))</f>
        <v>PERFORM "SchData-OLTP-Master"."Func_TblEMailAccount_SET"(varSystemLoginSession::bigint, null::bigint, null::varchar, null::timestamptz, null::timestamptz, null::varchar, varInstitutionBranchID::bigint, varBaseCurrencyID::bigint, 287000000000003::bigint, 'anugrah_kry@yahoo.com'::varchar, 'Leonardo Sampetoding'::varchar, '124000000000087'::bigint);</v>
      </c>
    </row>
    <row r="5" spans="2:10" x14ac:dyDescent="0.2">
      <c r="B5" s="21">
        <v>124000000000090</v>
      </c>
      <c r="C5" s="4" t="str">
        <f>IF(EXACT($B5, ""), "", IF((($B5 - MOD($B5, 1000000000000))/1000000000000)=25, CONCATENATE("Person - ", VLOOKUP($B5, [1]DataLookUp!$B$4:$C$2000, 2, FALSE)), IF((($B5 - MOD($B5, 1000000000000))/1000000000000)=124, CONCATENATE("Institution - ", VLOOKUP($B5, '[2]DataLookUp - InstitutionBranch'!$B$4:$C$2000, 2, FALSE)), "")))</f>
        <v>Institution - CV. Cipta Aneka Sarana</v>
      </c>
      <c r="D5" s="21">
        <v>287000000000003</v>
      </c>
      <c r="E5" s="40" t="str">
        <f>IF(EXACT($D5, ""), "", VLOOKUP($D5, 'REF - EmailAccountType'!$B$4:$C$7, 2, FALSE))</f>
        <v>Business</v>
      </c>
      <c r="F5" s="26" t="s">
        <v>886</v>
      </c>
      <c r="G5" s="9" t="s">
        <v>953</v>
      </c>
      <c r="I5" s="31">
        <f t="shared" ref="I5" si="0" xml:space="preserve"> I4 + IF(EXACT(J5, ""), 0, 1)</f>
        <v>286000000000002</v>
      </c>
      <c r="J5" s="32" t="str">
        <f t="shared" ref="J5:J68" si="1">IF(EXACT(F5, ""), "", CONCATENATE("PERFORM ""SchData-OLTP-Master"".""Func_TblEMailAccount_SET""(varSystemLoginSession::bigint, null::bigint, null::varchar, null::timestamptz, null::timestamptz, null::varchar, varInstitutionBranchID::bigint, varBaseCurrencyID::bigint, ", IF(EXACT($D5, ""), "NULL", ""&amp;$D5&amp;""), "::bigint, ", IF(EXACT($F5, ""), "NULL", "'"&amp;$F5&amp;"'"), "::varchar, ", IF(EXACT($G5, ""), "NULL", "'"&amp;$G5&amp;"'"), "::varchar, ", IF(EXACT($B5, ""), "NULL", "'"&amp;$B5&amp;"'"), "::bigint);"))</f>
        <v>PERFORM "SchData-OLTP-Master"."Func_TblEMailAccount_SET"(varSystemLoginSession::bigint, null::bigint, null::varchar, null::timestamptz, null::timestamptz, null::varchar, varInstitutionBranchID::bigint, varBaseCurrencyID::bigint, 287000000000003::bigint, 'maxcell_dpt@yahoo.co.id'::varchar, 'Maxcell Online Service'::varchar, '124000000000090'::bigint);</v>
      </c>
    </row>
    <row r="6" spans="2:10" x14ac:dyDescent="0.2">
      <c r="B6" s="21">
        <v>124000000000091</v>
      </c>
      <c r="C6" s="4" t="str">
        <f>IF(EXACT($B6, ""), "", IF((($B6 - MOD($B6, 1000000000000))/1000000000000)=25, CONCATENATE("Person - ", VLOOKUP($B6, [1]DataLookUp!$B$4:$C$2000, 2, FALSE)), IF((($B6 - MOD($B6, 1000000000000))/1000000000000)=124, CONCATENATE("Institution - ", VLOOKUP($B6, '[2]DataLookUp - InstitutionBranch'!$B$4:$C$2000, 2, FALSE)), "")))</f>
        <v xml:space="preserve">Institution - CV. Didi Dan Darwis Survey </v>
      </c>
      <c r="D6" s="21">
        <v>287000000000003</v>
      </c>
      <c r="E6" s="40" t="str">
        <f>IF(EXACT($D6, ""), "", VLOOKUP($D6, 'REF - EmailAccountType'!$B$4:$C$7, 2, FALSE))</f>
        <v>Business</v>
      </c>
      <c r="F6" s="26" t="s">
        <v>887</v>
      </c>
      <c r="G6" s="9" t="s">
        <v>954</v>
      </c>
      <c r="I6" s="31">
        <f t="shared" ref="I6:I69" si="2" xml:space="preserve"> I5 + IF(EXACT(J6, ""), 0, 1)</f>
        <v>286000000000003</v>
      </c>
      <c r="J6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'dndsurvey90@gmail.com'::varchar, 'DnD Survey Bandung'::varchar, '124000000000091'::bigint);</v>
      </c>
    </row>
    <row r="7" spans="2:10" x14ac:dyDescent="0.2">
      <c r="B7" s="21">
        <v>124000000000094</v>
      </c>
      <c r="C7" s="4" t="str">
        <f>IF(EXACT($B7, ""), "", IF((($B7 - MOD($B7, 1000000000000))/1000000000000)=25, CONCATENATE("Person - ", VLOOKUP($B7, [1]DataLookUp!$B$4:$C$2000, 2, FALSE)), IF((($B7 - MOD($B7, 1000000000000))/1000000000000)=124, CONCATENATE("Institution - ", VLOOKUP($B7, '[2]DataLookUp - InstitutionBranch'!$B$4:$C$2000, 2, FALSE)), "")))</f>
        <v>Institution - CV. Edi Jaya Bangunan</v>
      </c>
      <c r="D7" s="21">
        <v>287000000000003</v>
      </c>
      <c r="E7" s="40" t="str">
        <f>IF(EXACT($D7, ""), "", VLOOKUP($D7, 'REF - EmailAccountType'!$B$4:$C$7, 2, FALSE))</f>
        <v>Business</v>
      </c>
      <c r="F7" s="26" t="s">
        <v>888</v>
      </c>
      <c r="G7" s="9" t="s">
        <v>955</v>
      </c>
      <c r="I7" s="31">
        <f t="shared" si="2"/>
        <v>286000000000004</v>
      </c>
      <c r="J7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'ejbpbun@gmail.com'::varchar, 'Edi Nuryanto'::varchar, '124000000000094'::bigint);</v>
      </c>
    </row>
    <row r="8" spans="2:10" x14ac:dyDescent="0.2">
      <c r="B8" s="21">
        <v>124000000000096</v>
      </c>
      <c r="C8" s="4" t="str">
        <f>IF(EXACT($B8, ""), "", IF((($B8 - MOD($B8, 1000000000000))/1000000000000)=25, CONCATENATE("Person - ", VLOOKUP($B8, [1]DataLookUp!$B$4:$C$2000, 2, FALSE)), IF((($B8 - MOD($B8, 1000000000000))/1000000000000)=124, CONCATENATE("Institution - ", VLOOKUP($B8, '[2]DataLookUp - InstitutionBranch'!$B$4:$C$2000, 2, FALSE)), "")))</f>
        <v>Institution - CV. Gallazka Teknik</v>
      </c>
      <c r="D8" s="21">
        <v>287000000000003</v>
      </c>
      <c r="E8" s="40" t="str">
        <f>IF(EXACT($D8, ""), "", VLOOKUP($D8, 'REF - EmailAccountType'!$B$4:$C$7, 2, FALSE))</f>
        <v>Business</v>
      </c>
      <c r="F8" s="26" t="s">
        <v>889</v>
      </c>
      <c r="G8" s="9" t="s">
        <v>956</v>
      </c>
      <c r="I8" s="31">
        <f t="shared" si="2"/>
        <v>286000000000005</v>
      </c>
      <c r="J8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'gallazkateknik@gmail.com'::varchar, 'Wartim'::varchar, '124000000000096'::bigint);</v>
      </c>
    </row>
    <row r="9" spans="2:10" x14ac:dyDescent="0.2">
      <c r="B9" s="21">
        <v>124000000000099</v>
      </c>
      <c r="C9" s="4" t="str">
        <f>IF(EXACT($B9, ""), "", IF((($B9 - MOD($B9, 1000000000000))/1000000000000)=25, CONCATENATE("Person - ", VLOOKUP($B9, [1]DataLookUp!$B$4:$C$2000, 2, FALSE)), IF((($B9 - MOD($B9, 1000000000000))/1000000000000)=124, CONCATENATE("Institution - ", VLOOKUP($B9, '[2]DataLookUp - InstitutionBranch'!$B$4:$C$2000, 2, FALSE)), "")))</f>
        <v>Institution - CV. Jember Elektrindo Gemilang</v>
      </c>
      <c r="D9" s="21">
        <v>287000000000003</v>
      </c>
      <c r="E9" s="40" t="str">
        <f>IF(EXACT($D9, ""), "", VLOOKUP($D9, 'REF - EmailAccountType'!$B$4:$C$7, 2, FALSE))</f>
        <v>Business</v>
      </c>
      <c r="F9" s="26" t="s">
        <v>890</v>
      </c>
      <c r="G9" s="9" t="s">
        <v>957</v>
      </c>
      <c r="I9" s="31">
        <f t="shared" si="2"/>
        <v>286000000000006</v>
      </c>
      <c r="J9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'owner.grd@gmail.com'::varchar, 'Sigit'::varchar, '124000000000099'::bigint);</v>
      </c>
    </row>
    <row r="10" spans="2:10" x14ac:dyDescent="0.2">
      <c r="B10" s="21">
        <v>124000000000106</v>
      </c>
      <c r="C10" s="4" t="str">
        <f>IF(EXACT($B10, ""), "", IF((($B10 - MOD($B10, 1000000000000))/1000000000000)=25, CONCATENATE("Person - ", VLOOKUP($B10, [1]DataLookUp!$B$4:$C$2000, 2, FALSE)), IF((($B10 - MOD($B10, 1000000000000))/1000000000000)=124, CONCATENATE("Institution - ", VLOOKUP($B10, '[2]DataLookUp - InstitutionBranch'!$B$4:$C$2000, 2, FALSE)), "")))</f>
        <v>Institution - CV. Punokawan</v>
      </c>
      <c r="D10" s="21">
        <v>287000000000003</v>
      </c>
      <c r="E10" s="40" t="str">
        <f>IF(EXACT($D10, ""), "", VLOOKUP($D10, 'REF - EmailAccountType'!$B$4:$C$7, 2, FALSE))</f>
        <v>Business</v>
      </c>
      <c r="F10" s="26" t="s">
        <v>891</v>
      </c>
      <c r="G10" s="9" t="s">
        <v>958</v>
      </c>
      <c r="I10" s="31">
        <f t="shared" si="2"/>
        <v>286000000000007</v>
      </c>
      <c r="J10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'punokawan_smrg@yahoo.co.id'::varchar, 'Heri'::varchar, '124000000000106'::bigint);</v>
      </c>
    </row>
    <row r="11" spans="2:10" x14ac:dyDescent="0.2">
      <c r="B11" s="21">
        <v>124000000000114</v>
      </c>
      <c r="C11" s="4" t="str">
        <f>IF(EXACT($B11, ""), "", IF((($B11 - MOD($B11, 1000000000000))/1000000000000)=25, CONCATENATE("Person - ", VLOOKUP($B11, [1]DataLookUp!$B$4:$C$2000, 2, FALSE)), IF((($B11 - MOD($B11, 1000000000000))/1000000000000)=124, CONCATENATE("Institution - ", VLOOKUP($B11, '[2]DataLookUp - InstitutionBranch'!$B$4:$C$2000, 2, FALSE)), "")))</f>
        <v>Institution - PT. Abadi Rajawali Semesta</v>
      </c>
      <c r="D11" s="21">
        <v>287000000000003</v>
      </c>
      <c r="E11" s="40" t="str">
        <f>IF(EXACT($D11, ""), "", VLOOKUP($D11, 'REF - EmailAccountType'!$B$4:$C$7, 2, FALSE))</f>
        <v>Business</v>
      </c>
      <c r="F11" s="26" t="s">
        <v>892</v>
      </c>
      <c r="G11" s="9" t="s">
        <v>959</v>
      </c>
      <c r="I11" s="31">
        <f t="shared" si="2"/>
        <v>286000000000008</v>
      </c>
      <c r="J11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'office@ptasrs.id'::varchar, 'Shira'::varchar, '124000000000114'::bigint);</v>
      </c>
    </row>
    <row r="12" spans="2:10" x14ac:dyDescent="0.2">
      <c r="B12" s="21">
        <v>124000000000117</v>
      </c>
      <c r="C12" s="4" t="str">
        <f>IF(EXACT($B12, ""), "", IF((($B12 - MOD($B12, 1000000000000))/1000000000000)=25, CONCATENATE("Person - ", VLOOKUP($B12, [1]DataLookUp!$B$4:$C$2000, 2, FALSE)), IF((($B12 - MOD($B12, 1000000000000))/1000000000000)=124, CONCATENATE("Institution - ", VLOOKUP($B12, '[2]DataLookUp - InstitutionBranch'!$B$4:$C$2000, 2, FALSE)), "")))</f>
        <v>Institution - PT. Agape Biomedi Investama</v>
      </c>
      <c r="D12" s="21">
        <v>287000000000003</v>
      </c>
      <c r="E12" s="40" t="str">
        <f>IF(EXACT($D12, ""), "", VLOOKUP($D12, 'REF - EmailAccountType'!$B$4:$C$7, 2, FALSE))</f>
        <v>Business</v>
      </c>
      <c r="F12" s="26" t="s">
        <v>893</v>
      </c>
      <c r="G12" s="9" t="s">
        <v>960</v>
      </c>
      <c r="I12" s="31">
        <f t="shared" si="2"/>
        <v>286000000000009</v>
      </c>
      <c r="J12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'info@biomedilab.co.id'::varchar, 'PT. Agape Biomedi Investama'::varchar, '124000000000117'::bigint);</v>
      </c>
    </row>
    <row r="13" spans="2:10" x14ac:dyDescent="0.2">
      <c r="B13" s="21">
        <v>124000000000121</v>
      </c>
      <c r="C13" s="4" t="str">
        <f>IF(EXACT($B13, ""), "", IF((($B13 - MOD($B13, 1000000000000))/1000000000000)=25, CONCATENATE("Person - ", VLOOKUP($B13, [1]DataLookUp!$B$4:$C$2000, 2, FALSE)), IF((($B13 - MOD($B13, 1000000000000))/1000000000000)=124, CONCATENATE("Institution - ", VLOOKUP($B13, '[2]DataLookUp - InstitutionBranch'!$B$4:$C$2000, 2, FALSE)), "")))</f>
        <v>Institution - PT. Asiatronic Indo Makmur</v>
      </c>
      <c r="D13" s="21">
        <v>287000000000003</v>
      </c>
      <c r="E13" s="40" t="str">
        <f>IF(EXACT($D13, ""), "", VLOOKUP($D13, 'REF - EmailAccountType'!$B$4:$C$7, 2, FALSE))</f>
        <v>Business</v>
      </c>
      <c r="F13" s="26" t="s">
        <v>894</v>
      </c>
      <c r="G13" s="9" t="s">
        <v>961</v>
      </c>
      <c r="I13" s="31">
        <f t="shared" si="2"/>
        <v>286000000000010</v>
      </c>
      <c r="J13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'yehezkiel_jc@yahoo.com08'::varchar, 'Yehezkiel Yosafat'::varchar, '124000000000121'::bigint);</v>
      </c>
    </row>
    <row r="14" spans="2:10" x14ac:dyDescent="0.2">
      <c r="B14" s="21">
        <v>124000000000128</v>
      </c>
      <c r="C14" s="4" t="str">
        <f>IF(EXACT($B14, ""), "", IF((($B14 - MOD($B14, 1000000000000))/1000000000000)=25, CONCATENATE("Person - ", VLOOKUP($B14, [1]DataLookUp!$B$4:$C$2000, 2, FALSE)), IF((($B14 - MOD($B14, 1000000000000))/1000000000000)=124, CONCATENATE("Institution - ", VLOOKUP($B14, '[2]DataLookUp - InstitutionBranch'!$B$4:$C$2000, 2, FALSE)), "")))</f>
        <v>Institution - PT. Berkat Sahabat Sejati</v>
      </c>
      <c r="D14" s="21">
        <v>287000000000003</v>
      </c>
      <c r="E14" s="40" t="str">
        <f>IF(EXACT($D14, ""), "", VLOOKUP($D14, 'REF - EmailAccountType'!$B$4:$C$7, 2, FALSE))</f>
        <v>Business</v>
      </c>
      <c r="F14" s="26" t="s">
        <v>895</v>
      </c>
      <c r="G14" s="9" t="s">
        <v>962</v>
      </c>
      <c r="I14" s="31">
        <f t="shared" si="2"/>
        <v>286000000000011</v>
      </c>
      <c r="J14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'pemudaban@ymail.com'::varchar, 'Pemuda'::varchar, '124000000000128'::bigint);</v>
      </c>
    </row>
    <row r="15" spans="2:10" x14ac:dyDescent="0.2">
      <c r="B15" s="21">
        <v>124000000000130</v>
      </c>
      <c r="C15" s="4" t="str">
        <f>IF(EXACT($B15, ""), "", IF((($B15 - MOD($B15, 1000000000000))/1000000000000)=25, CONCATENATE("Person - ", VLOOKUP($B15, [1]DataLookUp!$B$4:$C$2000, 2, FALSE)), IF((($B15 - MOD($B15, 1000000000000))/1000000000000)=124, CONCATENATE("Institution - ", VLOOKUP($B15, '[2]DataLookUp - InstitutionBranch'!$B$4:$C$2000, 2, FALSE)), "")))</f>
        <v>Institution - PT. Beton Perkasa Wijaksana</v>
      </c>
      <c r="D15" s="21">
        <v>287000000000003</v>
      </c>
      <c r="E15" s="40" t="str">
        <f>IF(EXACT($D15, ""), "", VLOOKUP($D15, 'REF - EmailAccountType'!$B$4:$C$7, 2, FALSE))</f>
        <v>Business</v>
      </c>
      <c r="F15" s="26" t="s">
        <v>896</v>
      </c>
      <c r="G15" s="9" t="s">
        <v>963</v>
      </c>
      <c r="I15" s="31">
        <f t="shared" si="2"/>
        <v>286000000000012</v>
      </c>
      <c r="J15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'sigit.koentjoro@betonperkasa.c'::varchar, 'Sigit Koencoro'::varchar, '124000000000130'::bigint);</v>
      </c>
    </row>
    <row r="16" spans="2:10" x14ac:dyDescent="0.2">
      <c r="B16" s="21">
        <v>124000000000133</v>
      </c>
      <c r="C16" s="4" t="str">
        <f>IF(EXACT($B16, ""), "", IF((($B16 - MOD($B16, 1000000000000))/1000000000000)=25, CONCATENATE("Person - ", VLOOKUP($B16, [1]DataLookUp!$B$4:$C$2000, 2, FALSE)), IF((($B16 - MOD($B16, 1000000000000))/1000000000000)=124, CONCATENATE("Institution - ", VLOOKUP($B16, '[2]DataLookUp - InstitutionBranch'!$B$4:$C$2000, 2, FALSE)), "")))</f>
        <v xml:space="preserve">Institution - PT. Bintang Indah Persada </v>
      </c>
      <c r="D16" s="21">
        <v>287000000000003</v>
      </c>
      <c r="E16" s="40" t="str">
        <f>IF(EXACT($D16, ""), "", VLOOKUP($D16, 'REF - EmailAccountType'!$B$4:$C$7, 2, FALSE))</f>
        <v>Business</v>
      </c>
      <c r="F16" s="26" t="s">
        <v>897</v>
      </c>
      <c r="G16" s="9" t="s">
        <v>964</v>
      </c>
      <c r="I16" s="31">
        <f t="shared" si="2"/>
        <v>286000000000013</v>
      </c>
      <c r="J16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'budilim.bip@gmail.com'::varchar, 'Budi Lim'::varchar, '124000000000133'::bigint);</v>
      </c>
    </row>
    <row r="17" spans="2:10" x14ac:dyDescent="0.2">
      <c r="B17" s="21">
        <v>124000000000134</v>
      </c>
      <c r="C17" s="4" t="str">
        <f>IF(EXACT($B17, ""), "", IF((($B17 - MOD($B17, 1000000000000))/1000000000000)=25, CONCATENATE("Person - ", VLOOKUP($B17, [1]DataLookUp!$B$4:$C$2000, 2, FALSE)), IF((($B17 - MOD($B17, 1000000000000))/1000000000000)=124, CONCATENATE("Institution - ", VLOOKUP($B17, '[2]DataLookUp - InstitutionBranch'!$B$4:$C$2000, 2, FALSE)), "")))</f>
        <v>Institution - PT. Bintang Virgo Utama</v>
      </c>
      <c r="D17" s="21">
        <v>287000000000003</v>
      </c>
      <c r="E17" s="40" t="str">
        <f>IF(EXACT($D17, ""), "", VLOOKUP($D17, 'REF - EmailAccountType'!$B$4:$C$7, 2, FALSE))</f>
        <v>Business</v>
      </c>
      <c r="F17" s="26" t="s">
        <v>898</v>
      </c>
      <c r="G17" s="9" t="s">
        <v>965</v>
      </c>
      <c r="I17" s="31">
        <f t="shared" si="2"/>
        <v>286000000000014</v>
      </c>
      <c r="J17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'bintangvirgoutama@gmail.com'::varchar, 'Zulkifli Z'::varchar, '124000000000134'::bigint);</v>
      </c>
    </row>
    <row r="18" spans="2:10" x14ac:dyDescent="0.2">
      <c r="B18" s="21">
        <v>124000000000136</v>
      </c>
      <c r="C18" s="4" t="str">
        <f>IF(EXACT($B18, ""), "", IF((($B18 - MOD($B18, 1000000000000))/1000000000000)=25, CONCATENATE("Person - ", VLOOKUP($B18, [1]DataLookUp!$B$4:$C$2000, 2, FALSE)), IF((($B18 - MOD($B18, 1000000000000))/1000000000000)=124, CONCATENATE("Institution - ", VLOOKUP($B18, '[2]DataLookUp - InstitutionBranch'!$B$4:$C$2000, 2, FALSE)), "")))</f>
        <v>Institution - PT. Blue Power International</v>
      </c>
      <c r="D18" s="21">
        <v>287000000000003</v>
      </c>
      <c r="E18" s="40" t="str">
        <f>IF(EXACT($D18, ""), "", VLOOKUP($D18, 'REF - EmailAccountType'!$B$4:$C$7, 2, FALSE))</f>
        <v>Business</v>
      </c>
      <c r="F18" s="26" t="s">
        <v>899</v>
      </c>
      <c r="G18" s="9" t="s">
        <v>966</v>
      </c>
      <c r="I18" s="31">
        <f t="shared" si="2"/>
        <v>286000000000015</v>
      </c>
      <c r="J18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'service@bpi-id.com'::varchar, 'Yani'::varchar, '124000000000136'::bigint);</v>
      </c>
    </row>
    <row r="19" spans="2:10" x14ac:dyDescent="0.2">
      <c r="B19" s="21">
        <v>124000000000139</v>
      </c>
      <c r="C19" s="4" t="str">
        <f>IF(EXACT($B19, ""), "", IF((($B19 - MOD($B19, 1000000000000))/1000000000000)=25, CONCATENATE("Person - ", VLOOKUP($B19, [1]DataLookUp!$B$4:$C$2000, 2, FALSE)), IF((($B19 - MOD($B19, 1000000000000))/1000000000000)=124, CONCATENATE("Institution - ", VLOOKUP($B19, '[2]DataLookUp - InstitutionBranch'!$B$4:$C$2000, 2, FALSE)), "")))</f>
        <v>Institution - PT. Cahaya Mentari Cemerlang</v>
      </c>
      <c r="D19" s="21">
        <v>287000000000003</v>
      </c>
      <c r="E19" s="40" t="str">
        <f>IF(EXACT($D19, ""), "", VLOOKUP($D19, 'REF - EmailAccountType'!$B$4:$C$7, 2, FALSE))</f>
        <v>Business</v>
      </c>
      <c r="F19" s="26" t="s">
        <v>900</v>
      </c>
      <c r="G19" s="9"/>
      <c r="I19" s="31">
        <f t="shared" si="2"/>
        <v>286000000000016</v>
      </c>
      <c r="J19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'mentariplywood@yahoo.com'::varchar, NULL::varchar, '124000000000139'::bigint);</v>
      </c>
    </row>
    <row r="20" spans="2:10" x14ac:dyDescent="0.2">
      <c r="B20" s="21">
        <v>124000000000140</v>
      </c>
      <c r="C20" s="4" t="str">
        <f>IF(EXACT($B20, ""), "", IF((($B20 - MOD($B20, 1000000000000))/1000000000000)=25, CONCATENATE("Person - ", VLOOKUP($B20, [1]DataLookUp!$B$4:$C$2000, 2, FALSE)), IF((($B20 - MOD($B20, 1000000000000))/1000000000000)=124, CONCATENATE("Institution - ", VLOOKUP($B20, '[2]DataLookUp - InstitutionBranch'!$B$4:$C$2000, 2, FALSE)), "")))</f>
        <v>Institution - PT. Cakrawala Persada Internasional</v>
      </c>
      <c r="D20" s="21">
        <v>287000000000003</v>
      </c>
      <c r="E20" s="40" t="str">
        <f>IF(EXACT($D20, ""), "", VLOOKUP($D20, 'REF - EmailAccountType'!$B$4:$C$7, 2, FALSE))</f>
        <v>Business</v>
      </c>
      <c r="F20" s="26" t="s">
        <v>901</v>
      </c>
      <c r="G20" s="9" t="s">
        <v>967</v>
      </c>
      <c r="I20" s="31">
        <f t="shared" si="2"/>
        <v>286000000000017</v>
      </c>
      <c r="J20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'Mona@cakrawalainternasional.co'::varchar, 'Mona'::varchar, '124000000000140'::bigint);</v>
      </c>
    </row>
    <row r="21" spans="2:10" x14ac:dyDescent="0.2">
      <c r="B21" s="21">
        <v>124000000000141</v>
      </c>
      <c r="C21" s="4" t="str">
        <f>IF(EXACT($B21, ""), "", IF((($B21 - MOD($B21, 1000000000000))/1000000000000)=25, CONCATENATE("Person - ", VLOOKUP($B21, [1]DataLookUp!$B$4:$C$2000, 2, FALSE)), IF((($B21 - MOD($B21, 1000000000000))/1000000000000)=124, CONCATENATE("Institution - ", VLOOKUP($B21, '[2]DataLookUp - InstitutionBranch'!$B$4:$C$2000, 2, FALSE)), "")))</f>
        <v xml:space="preserve">Institution - PT. Caroline Trans Mandiri </v>
      </c>
      <c r="D21" s="21">
        <v>287000000000003</v>
      </c>
      <c r="E21" s="40" t="str">
        <f>IF(EXACT($D21, ""), "", VLOOKUP($D21, 'REF - EmailAccountType'!$B$4:$C$7, 2, FALSE))</f>
        <v>Business</v>
      </c>
      <c r="F21" s="26" t="s">
        <v>902</v>
      </c>
      <c r="G21" s="9" t="s">
        <v>968</v>
      </c>
      <c r="I21" s="31">
        <f t="shared" si="2"/>
        <v>286000000000018</v>
      </c>
      <c r="J21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'carolinetrans@yahoo.com'::varchar, 'Dohar Lumbanraja'::varchar, '124000000000141'::bigint);</v>
      </c>
    </row>
    <row r="22" spans="2:10" x14ac:dyDescent="0.2">
      <c r="B22" s="21">
        <v>124000000000143</v>
      </c>
      <c r="C22" s="4" t="str">
        <f>IF(EXACT($B22, ""), "", IF((($B22 - MOD($B22, 1000000000000))/1000000000000)=25, CONCATENATE("Person - ", VLOOKUP($B22, [1]DataLookUp!$B$4:$C$2000, 2, FALSE)), IF((($B22 - MOD($B22, 1000000000000))/1000000000000)=124, CONCATENATE("Institution - ", VLOOKUP($B22, '[2]DataLookUp - InstitutionBranch'!$B$4:$C$2000, 2, FALSE)), "")))</f>
        <v>Institution - PT. Citra Banjar Abadi</v>
      </c>
      <c r="D22" s="21">
        <v>287000000000003</v>
      </c>
      <c r="E22" s="40" t="str">
        <f>IF(EXACT($D22, ""), "", VLOOKUP($D22, 'REF - EmailAccountType'!$B$4:$C$7, 2, FALSE))</f>
        <v>Business</v>
      </c>
      <c r="F22" s="26" t="s">
        <v>903</v>
      </c>
      <c r="G22" s="9" t="s">
        <v>969</v>
      </c>
      <c r="I22" s="31">
        <f t="shared" si="2"/>
        <v>286000000000019</v>
      </c>
      <c r="J22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'citrabanjar@gmail.com / soleha'::varchar, 'Solehan'::varchar, '124000000000143'::bigint);</v>
      </c>
    </row>
    <row r="23" spans="2:10" x14ac:dyDescent="0.2">
      <c r="B23" s="21">
        <v>124000000000144</v>
      </c>
      <c r="C23" s="4" t="str">
        <f>IF(EXACT($B23, ""), "", IF((($B23 - MOD($B23, 1000000000000))/1000000000000)=25, CONCATENATE("Person - ", VLOOKUP($B23, [1]DataLookUp!$B$4:$C$2000, 2, FALSE)), IF((($B23 - MOD($B23, 1000000000000))/1000000000000)=124, CONCATENATE("Institution - ", VLOOKUP($B23, '[2]DataLookUp - InstitutionBranch'!$B$4:$C$2000, 2, FALSE)), "")))</f>
        <v xml:space="preserve">Institution - PT. Datascrip </v>
      </c>
      <c r="D23" s="21">
        <v>287000000000003</v>
      </c>
      <c r="E23" s="40" t="str">
        <f>IF(EXACT($D23, ""), "", VLOOKUP($D23, 'REF - EmailAccountType'!$B$4:$C$7, 2, FALSE))</f>
        <v>Business</v>
      </c>
      <c r="F23" s="26" t="s">
        <v>904</v>
      </c>
      <c r="G23" s="9" t="s">
        <v>970</v>
      </c>
      <c r="I23" s="31">
        <f t="shared" si="2"/>
        <v>286000000000020</v>
      </c>
      <c r="J23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'sahat@datascrip.co.id'::varchar, 'Sahat'::varchar, '124000000000144'::bigint);</v>
      </c>
    </row>
    <row r="24" spans="2:10" x14ac:dyDescent="0.2">
      <c r="B24" s="21">
        <v>124000000000145</v>
      </c>
      <c r="C24" s="4" t="str">
        <f>IF(EXACT($B24, ""), "", IF((($B24 - MOD($B24, 1000000000000))/1000000000000)=25, CONCATENATE("Person - ", VLOOKUP($B24, [1]DataLookUp!$B$4:$C$2000, 2, FALSE)), IF((($B24 - MOD($B24, 1000000000000))/1000000000000)=124, CONCATENATE("Institution - ", VLOOKUP($B24, '[2]DataLookUp - InstitutionBranch'!$B$4:$C$2000, 2, FALSE)), "")))</f>
        <v xml:space="preserve">Institution - PT. Denko Wahana Sakti </v>
      </c>
      <c r="D24" s="21">
        <v>287000000000003</v>
      </c>
      <c r="E24" s="40" t="str">
        <f>IF(EXACT($D24, ""), "", VLOOKUP($D24, 'REF - EmailAccountType'!$B$4:$C$7, 2, FALSE))</f>
        <v>Business</v>
      </c>
      <c r="F24" s="26" t="s">
        <v>905</v>
      </c>
      <c r="G24" s="9" t="s">
        <v>971</v>
      </c>
      <c r="I24" s="31">
        <f t="shared" si="2"/>
        <v>286000000000021</v>
      </c>
      <c r="J24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'indro@denko.co.id'::varchar, 'Indro'::varchar, '124000000000145'::bigint);</v>
      </c>
    </row>
    <row r="25" spans="2:10" x14ac:dyDescent="0.2">
      <c r="B25" s="21">
        <v>124000000000151</v>
      </c>
      <c r="C25" s="4" t="str">
        <f>IF(EXACT($B25, ""), "", IF((($B25 - MOD($B25, 1000000000000))/1000000000000)=25, CONCATENATE("Person - ", VLOOKUP($B25, [1]DataLookUp!$B$4:$C$2000, 2, FALSE)), IF((($B25 - MOD($B25, 1000000000000))/1000000000000)=124, CONCATENATE("Institution - ", VLOOKUP($B25, '[2]DataLookUp - InstitutionBranch'!$B$4:$C$2000, 2, FALSE)), "")))</f>
        <v>Institution - PT. Dwimitra Sejahtera Bersama</v>
      </c>
      <c r="D25" s="21">
        <v>287000000000003</v>
      </c>
      <c r="E25" s="40" t="str">
        <f>IF(EXACT($D25, ""), "", VLOOKUP($D25, 'REF - EmailAccountType'!$B$4:$C$7, 2, FALSE))</f>
        <v>Business</v>
      </c>
      <c r="F25" s="26" t="s">
        <v>906</v>
      </c>
      <c r="G25" s="9" t="s">
        <v>972</v>
      </c>
      <c r="I25" s="31">
        <f t="shared" si="2"/>
        <v>286000000000022</v>
      </c>
      <c r="J25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'marketing.dwimitra@gmail.com'::varchar, 'Devi'::varchar, '124000000000151'::bigint);</v>
      </c>
    </row>
    <row r="26" spans="2:10" x14ac:dyDescent="0.2">
      <c r="B26" s="21">
        <v>124000000000153</v>
      </c>
      <c r="C26" s="4" t="str">
        <f>IF(EXACT($B26, ""), "", IF((($B26 - MOD($B26, 1000000000000))/1000000000000)=25, CONCATENATE("Person - ", VLOOKUP($B26, [1]DataLookUp!$B$4:$C$2000, 2, FALSE)), IF((($B26 - MOD($B26, 1000000000000))/1000000000000)=124, CONCATENATE("Institution - ", VLOOKUP($B26, '[2]DataLookUp - InstitutionBranch'!$B$4:$C$2000, 2, FALSE)), "")))</f>
        <v xml:space="preserve">Institution - PT. Fortindo Maju Bersama </v>
      </c>
      <c r="D26" s="21">
        <v>287000000000003</v>
      </c>
      <c r="E26" s="40" t="str">
        <f>IF(EXACT($D26, ""), "", VLOOKUP($D26, 'REF - EmailAccountType'!$B$4:$C$7, 2, FALSE))</f>
        <v>Business</v>
      </c>
      <c r="F26" s="26" t="s">
        <v>907</v>
      </c>
      <c r="G26" s="9" t="s">
        <v>973</v>
      </c>
      <c r="I26" s="31">
        <f t="shared" si="2"/>
        <v>286000000000023</v>
      </c>
      <c r="J26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'adm.fortindo.id@gmail.com'::varchar, 'Martin'::varchar, '124000000000153'::bigint);</v>
      </c>
    </row>
    <row r="27" spans="2:10" x14ac:dyDescent="0.2">
      <c r="B27" s="21">
        <v>124000000000154</v>
      </c>
      <c r="C27" s="4" t="str">
        <f>IF(EXACT($B27, ""), "", IF((($B27 - MOD($B27, 1000000000000))/1000000000000)=25, CONCATENATE("Person - ", VLOOKUP($B27, [1]DataLookUp!$B$4:$C$2000, 2, FALSE)), IF((($B27 - MOD($B27, 1000000000000))/1000000000000)=124, CONCATENATE("Institution - ", VLOOKUP($B27, '[2]DataLookUp - InstitutionBranch'!$B$4:$C$2000, 2, FALSE)), "")))</f>
        <v>Institution - PT. Gateway Container Line Indonesia</v>
      </c>
      <c r="D27" s="21">
        <v>287000000000003</v>
      </c>
      <c r="E27" s="40" t="str">
        <f>IF(EXACT($D27, ""), "", VLOOKUP($D27, 'REF - EmailAccountType'!$B$4:$C$7, 2, FALSE))</f>
        <v>Business</v>
      </c>
      <c r="F27" s="26" t="s">
        <v>908</v>
      </c>
      <c r="G27" s="9" t="s">
        <v>974</v>
      </c>
      <c r="I27" s="31">
        <f t="shared" si="2"/>
        <v>286000000000024</v>
      </c>
      <c r="J27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'import1@gateway-id.com'::varchar, 'Fitri'::varchar, '124000000000154'::bigint);</v>
      </c>
    </row>
    <row r="28" spans="2:10" x14ac:dyDescent="0.2">
      <c r="B28" s="21">
        <v>124000000000155</v>
      </c>
      <c r="C28" s="4" t="str">
        <f>IF(EXACT($B28, ""), "", IF((($B28 - MOD($B28, 1000000000000))/1000000000000)=25, CONCATENATE("Person - ", VLOOKUP($B28, [1]DataLookUp!$B$4:$C$2000, 2, FALSE)), IF((($B28 - MOD($B28, 1000000000000))/1000000000000)=124, CONCATENATE("Institution - ", VLOOKUP($B28, '[2]DataLookUp - InstitutionBranch'!$B$4:$C$2000, 2, FALSE)), "")))</f>
        <v>Institution - PT. Geo Cipta Bangun</v>
      </c>
      <c r="D28" s="21">
        <v>287000000000003</v>
      </c>
      <c r="E28" s="40" t="str">
        <f>IF(EXACT($D28, ""), "", VLOOKUP($D28, 'REF - EmailAccountType'!$B$4:$C$7, 2, FALSE))</f>
        <v>Business</v>
      </c>
      <c r="F28" s="26" t="s">
        <v>909</v>
      </c>
      <c r="G28" s="9" t="s">
        <v>975</v>
      </c>
      <c r="I28" s="31">
        <f t="shared" si="2"/>
        <v>286000000000025</v>
      </c>
      <c r="J28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'pt.geociptabangun@gmail.com'::varchar, 'Yopi'::varchar, '124000000000155'::bigint);</v>
      </c>
    </row>
    <row r="29" spans="2:10" x14ac:dyDescent="0.2">
      <c r="B29" s="21">
        <v>124000000000169</v>
      </c>
      <c r="C29" s="4" t="str">
        <f>IF(EXACT($B29, ""), "", IF((($B29 - MOD($B29, 1000000000000))/1000000000000)=25, CONCATENATE("Person - ", VLOOKUP($B29, [1]DataLookUp!$B$4:$C$2000, 2, FALSE)), IF((($B29 - MOD($B29, 1000000000000))/1000000000000)=124, CONCATENATE("Institution - ", VLOOKUP($B29, '[2]DataLookUp - InstitutionBranch'!$B$4:$C$2000, 2, FALSE)), "")))</f>
        <v>Institution - PT. Infracoo Pengadaan Indonesia</v>
      </c>
      <c r="D29" s="21">
        <v>287000000000003</v>
      </c>
      <c r="E29" s="40" t="str">
        <f>IF(EXACT($D29, ""), "", VLOOKUP($D29, 'REF - EmailAccountType'!$B$4:$C$7, 2, FALSE))</f>
        <v>Business</v>
      </c>
      <c r="F29" s="26" t="s">
        <v>910</v>
      </c>
      <c r="G29" s="9"/>
      <c r="I29" s="31">
        <f t="shared" si="2"/>
        <v>286000000000026</v>
      </c>
      <c r="J29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'infracoo.ip@gmail.com'::varchar, NULL::varchar, '124000000000169'::bigint);</v>
      </c>
    </row>
    <row r="30" spans="2:10" x14ac:dyDescent="0.2">
      <c r="B30" s="21">
        <v>124000000000170</v>
      </c>
      <c r="C30" s="4" t="str">
        <f>IF(EXACT($B30, ""), "", IF((($B30 - MOD($B30, 1000000000000))/1000000000000)=25, CONCATENATE("Person - ", VLOOKUP($B30, [1]DataLookUp!$B$4:$C$2000, 2, FALSE)), IF((($B30 - MOD($B30, 1000000000000))/1000000000000)=124, CONCATENATE("Institution - ", VLOOKUP($B30, '[2]DataLookUp - InstitutionBranch'!$B$4:$C$2000, 2, FALSE)), "")))</f>
        <v>Institution - PT. Inti Teknologi Indonesia Utama</v>
      </c>
      <c r="D30" s="21">
        <v>287000000000003</v>
      </c>
      <c r="E30" s="40" t="str">
        <f>IF(EXACT($D30, ""), "", VLOOKUP($D30, 'REF - EmailAccountType'!$B$4:$C$7, 2, FALSE))</f>
        <v>Business</v>
      </c>
      <c r="F30" s="26" t="s">
        <v>911</v>
      </c>
      <c r="G30" s="9" t="s">
        <v>976</v>
      </c>
      <c r="I30" s="31">
        <f t="shared" si="2"/>
        <v>286000000000027</v>
      </c>
      <c r="J30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'fendilab3@yahoo.com'::varchar, 'Fendi'::varchar, '124000000000170'::bigint);</v>
      </c>
    </row>
    <row r="31" spans="2:10" x14ac:dyDescent="0.2">
      <c r="B31" s="21">
        <v>124000000000171</v>
      </c>
      <c r="C31" s="4" t="str">
        <f>IF(EXACT($B31, ""), "", IF((($B31 - MOD($B31, 1000000000000))/1000000000000)=25, CONCATENATE("Person - ", VLOOKUP($B31, [1]DataLookUp!$B$4:$C$2000, 2, FALSE)), IF((($B31 - MOD($B31, 1000000000000))/1000000000000)=124, CONCATENATE("Institution - ", VLOOKUP($B31, '[2]DataLookUp - InstitutionBranch'!$B$4:$C$2000, 2, FALSE)), "")))</f>
        <v>Institution - PT. Iradat Aman Globalindo</v>
      </c>
      <c r="D31" s="21">
        <v>287000000000003</v>
      </c>
      <c r="E31" s="40" t="str">
        <f>IF(EXACT($D31, ""), "", VLOOKUP($D31, 'REF - EmailAccountType'!$B$4:$C$7, 2, FALSE))</f>
        <v>Business</v>
      </c>
      <c r="F31" s="26" t="s">
        <v>912</v>
      </c>
      <c r="G31" s="9" t="s">
        <v>977</v>
      </c>
      <c r="I31" s="31">
        <f t="shared" si="2"/>
        <v>286000000000028</v>
      </c>
      <c r="J31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'iradat_aman@cbn.net.id, alaydr'::varchar, 'Zaenudin Hasan'::varchar, '124000000000171'::bigint);</v>
      </c>
    </row>
    <row r="32" spans="2:10" x14ac:dyDescent="0.2">
      <c r="B32" s="21">
        <v>124000000000173</v>
      </c>
      <c r="C32" s="4" t="str">
        <f>IF(EXACT($B32, ""), "", IF((($B32 - MOD($B32, 1000000000000))/1000000000000)=25, CONCATENATE("Person - ", VLOOKUP($B32, [1]DataLookUp!$B$4:$C$2000, 2, FALSE)), IF((($B32 - MOD($B32, 1000000000000))/1000000000000)=124, CONCATENATE("Institution - ", VLOOKUP($B32, '[2]DataLookUp - InstitutionBranch'!$B$4:$C$2000, 2, FALSE)), "")))</f>
        <v>Institution - PT. Jaring Telekomunikasi Indonesia</v>
      </c>
      <c r="D32" s="21">
        <v>287000000000003</v>
      </c>
      <c r="E32" s="40" t="str">
        <f>IF(EXACT($D32, ""), "", VLOOKUP($D32, 'REF - EmailAccountType'!$B$4:$C$7, 2, FALSE))</f>
        <v>Business</v>
      </c>
      <c r="F32" s="26" t="s">
        <v>913</v>
      </c>
      <c r="G32" s="9" t="s">
        <v>978</v>
      </c>
      <c r="I32" s="31">
        <f t="shared" si="2"/>
        <v>286000000000029</v>
      </c>
      <c r="J32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'marketing@jaringtelekom.co.id'::varchar, 'Eddy'::varchar, '124000000000173'::bigint);</v>
      </c>
    </row>
    <row r="33" spans="2:10" x14ac:dyDescent="0.2">
      <c r="B33" s="21">
        <v>124000000000174</v>
      </c>
      <c r="C33" s="4" t="str">
        <f>IF(EXACT($B33, ""), "", IF((($B33 - MOD($B33, 1000000000000))/1000000000000)=25, CONCATENATE("Person - ", VLOOKUP($B33, [1]DataLookUp!$B$4:$C$2000, 2, FALSE)), IF((($B33 - MOD($B33, 1000000000000))/1000000000000)=124, CONCATENATE("Institution - ", VLOOKUP($B33, '[2]DataLookUp - InstitutionBranch'!$B$4:$C$2000, 2, FALSE)), "")))</f>
        <v>Institution - PT. Jaya Beton Indonesia</v>
      </c>
      <c r="D33" s="21">
        <v>287000000000003</v>
      </c>
      <c r="E33" s="40" t="str">
        <f>IF(EXACT($D33, ""), "", VLOOKUP($D33, 'REF - EmailAccountType'!$B$4:$C$7, 2, FALSE))</f>
        <v>Business</v>
      </c>
      <c r="F33" s="26" t="s">
        <v>914</v>
      </c>
      <c r="G33" s="9" t="s">
        <v>979</v>
      </c>
      <c r="I33" s="31">
        <f t="shared" si="2"/>
        <v>286000000000030</v>
      </c>
      <c r="J33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'legal@jayabeton.com'::varchar, 'Reza'::varchar, '124000000000174'::bigint);</v>
      </c>
    </row>
    <row r="34" spans="2:10" x14ac:dyDescent="0.2">
      <c r="B34" s="21">
        <v>124000000000179</v>
      </c>
      <c r="C34" s="4" t="str">
        <f>IF(EXACT($B34, ""), "", IF((($B34 - MOD($B34, 1000000000000))/1000000000000)=25, CONCATENATE("Person - ", VLOOKUP($B34, [1]DataLookUp!$B$4:$C$2000, 2, FALSE)), IF((($B34 - MOD($B34, 1000000000000))/1000000000000)=124, CONCATENATE("Institution - ", VLOOKUP($B34, '[2]DataLookUp - InstitutionBranch'!$B$4:$C$2000, 2, FALSE)), "")))</f>
        <v>Institution - PT. Karya Mega Sarana</v>
      </c>
      <c r="D34" s="21">
        <v>287000000000003</v>
      </c>
      <c r="E34" s="40" t="str">
        <f>IF(EXACT($D34, ""), "", VLOOKUP($D34, 'REF - EmailAccountType'!$B$4:$C$7, 2, FALSE))</f>
        <v>Business</v>
      </c>
      <c r="F34" s="26" t="s">
        <v>915</v>
      </c>
      <c r="G34" s="9" t="s">
        <v>980</v>
      </c>
      <c r="I34" s="31">
        <f t="shared" si="2"/>
        <v>286000000000031</v>
      </c>
      <c r="J34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'marketing.kamesa@gmail.com'::varchar, 'Galih'::varchar, '124000000000179'::bigint);</v>
      </c>
    </row>
    <row r="35" spans="2:10" x14ac:dyDescent="0.2">
      <c r="B35" s="21">
        <v>124000000000182</v>
      </c>
      <c r="C35" s="4" t="str">
        <f>IF(EXACT($B35, ""), "", IF((($B35 - MOD($B35, 1000000000000))/1000000000000)=25, CONCATENATE("Person - ", VLOOKUP($B35, [1]DataLookUp!$B$4:$C$2000, 2, FALSE)), IF((($B35 - MOD($B35, 1000000000000))/1000000000000)=124, CONCATENATE("Institution - ", VLOOKUP($B35, '[2]DataLookUp - InstitutionBranch'!$B$4:$C$2000, 2, FALSE)), "")))</f>
        <v>Institution - PT. Kirana Purnama</v>
      </c>
      <c r="D35" s="21">
        <v>287000000000003</v>
      </c>
      <c r="E35" s="40" t="str">
        <f>IF(EXACT($D35, ""), "", VLOOKUP($D35, 'REF - EmailAccountType'!$B$4:$C$7, 2, FALSE))</f>
        <v>Business</v>
      </c>
      <c r="F35" s="26" t="s">
        <v>916</v>
      </c>
      <c r="G35" s="9" t="s">
        <v>981</v>
      </c>
      <c r="I35" s="31">
        <f t="shared" si="2"/>
        <v>286000000000032</v>
      </c>
      <c r="J35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'sales@kiranapurnama.sikadistri'::varchar, 'Dini'::varchar, '124000000000182'::bigint);</v>
      </c>
    </row>
    <row r="36" spans="2:10" x14ac:dyDescent="0.2">
      <c r="B36" s="21">
        <v>124000000000184</v>
      </c>
      <c r="C36" s="4" t="str">
        <f>IF(EXACT($B36, ""), "", IF((($B36 - MOD($B36, 1000000000000))/1000000000000)=25, CONCATENATE("Person - ", VLOOKUP($B36, [1]DataLookUp!$B$4:$C$2000, 2, FALSE)), IF((($B36 - MOD($B36, 1000000000000))/1000000000000)=124, CONCATENATE("Institution - ", VLOOKUP($B36, '[2]DataLookUp - InstitutionBranch'!$B$4:$C$2000, 2, FALSE)), "")))</f>
        <v>Institution - PT. Magna Beton Indonesia</v>
      </c>
      <c r="D36" s="21">
        <v>287000000000003</v>
      </c>
      <c r="E36" s="40" t="str">
        <f>IF(EXACT($D36, ""), "", VLOOKUP($D36, 'REF - EmailAccountType'!$B$4:$C$7, 2, FALSE))</f>
        <v>Business</v>
      </c>
      <c r="F36" s="26" t="s">
        <v>917</v>
      </c>
      <c r="G36" s="9" t="s">
        <v>982</v>
      </c>
      <c r="I36" s="31">
        <f t="shared" si="2"/>
        <v>286000000000033</v>
      </c>
      <c r="J36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'magna.beton@gmail.com'::varchar, 'Lukman'::varchar, '124000000000184'::bigint);</v>
      </c>
    </row>
    <row r="37" spans="2:10" x14ac:dyDescent="0.2">
      <c r="B37" s="21">
        <v>124000000000185</v>
      </c>
      <c r="C37" s="4" t="str">
        <f>IF(EXACT($B37, ""), "", IF((($B37 - MOD($B37, 1000000000000))/1000000000000)=25, CONCATENATE("Person - ", VLOOKUP($B37, [1]DataLookUp!$B$4:$C$2000, 2, FALSE)), IF((($B37 - MOD($B37, 1000000000000))/1000000000000)=124, CONCATENATE("Institution - ", VLOOKUP($B37, '[2]DataLookUp - InstitutionBranch'!$B$4:$C$2000, 2, FALSE)), "")))</f>
        <v>Institution - PT. Mandiri Maha Daya</v>
      </c>
      <c r="D37" s="21">
        <v>287000000000003</v>
      </c>
      <c r="E37" s="40" t="str">
        <f>IF(EXACT($D37, ""), "", VLOOKUP($D37, 'REF - EmailAccountType'!$B$4:$C$7, 2, FALSE))</f>
        <v>Business</v>
      </c>
      <c r="F37" s="26" t="s">
        <v>918</v>
      </c>
      <c r="G37" s="9" t="s">
        <v>983</v>
      </c>
      <c r="I37" s="31">
        <f t="shared" si="2"/>
        <v>286000000000034</v>
      </c>
      <c r="J37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'admin@mandirimahadaya.co.id'::varchar, 'PT Mandiri Maha Daya'::varchar, '124000000000185'::bigint);</v>
      </c>
    </row>
    <row r="38" spans="2:10" x14ac:dyDescent="0.2">
      <c r="B38" s="21">
        <v>124000000000186</v>
      </c>
      <c r="C38" s="4" t="str">
        <f>IF(EXACT($B38, ""), "", IF((($B38 - MOD($B38, 1000000000000))/1000000000000)=25, CONCATENATE("Person - ", VLOOKUP($B38, [1]DataLookUp!$B$4:$C$2000, 2, FALSE)), IF((($B38 - MOD($B38, 1000000000000))/1000000000000)=124, CONCATENATE("Institution - ", VLOOKUP($B38, '[2]DataLookUp - InstitutionBranch'!$B$4:$C$2000, 2, FALSE)), "")))</f>
        <v>Institution - PT. Markoen Engineering Indonesia</v>
      </c>
      <c r="D38" s="21">
        <v>287000000000003</v>
      </c>
      <c r="E38" s="40" t="str">
        <f>IF(EXACT($D38, ""), "", VLOOKUP($D38, 'REF - EmailAccountType'!$B$4:$C$7, 2, FALSE))</f>
        <v>Business</v>
      </c>
      <c r="F38" s="26" t="s">
        <v>919</v>
      </c>
      <c r="G38" s="9" t="s">
        <v>984</v>
      </c>
      <c r="I38" s="31">
        <f t="shared" si="2"/>
        <v>286000000000035</v>
      </c>
      <c r="J38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'marketing.ptmei@gmail.com'::varchar, 'Cici'::varchar, '124000000000186'::bigint);</v>
      </c>
    </row>
    <row r="39" spans="2:10" x14ac:dyDescent="0.2">
      <c r="B39" s="21">
        <v>124000000000194</v>
      </c>
      <c r="C39" s="4" t="str">
        <f>IF(EXACT($B39, ""), "", IF((($B39 - MOD($B39, 1000000000000))/1000000000000)=25, CONCATENATE("Person - ", VLOOKUP($B39, [1]DataLookUp!$B$4:$C$2000, 2, FALSE)), IF((($B39 - MOD($B39, 1000000000000))/1000000000000)=124, CONCATENATE("Institution - ", VLOOKUP($B39, '[2]DataLookUp - InstitutionBranch'!$B$4:$C$2000, 2, FALSE)), "")))</f>
        <v>Institution - PT. Multi Guna Trans Energi</v>
      </c>
      <c r="D39" s="21">
        <v>287000000000003</v>
      </c>
      <c r="E39" s="40" t="str">
        <f>IF(EXACT($D39, ""), "", VLOOKUP($D39, 'REF - EmailAccountType'!$B$4:$C$7, 2, FALSE))</f>
        <v>Business</v>
      </c>
      <c r="F39" s="26" t="s">
        <v>920</v>
      </c>
      <c r="G39" s="9" t="s">
        <v>985</v>
      </c>
      <c r="I39" s="31">
        <f t="shared" si="2"/>
        <v>286000000000036</v>
      </c>
      <c r="J39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'andrianna@mgte.co.id'::varchar, 'Andrianna'::varchar, '124000000000194'::bigint);</v>
      </c>
    </row>
    <row r="40" spans="2:10" x14ac:dyDescent="0.2">
      <c r="B40" s="21">
        <v>124000000000195</v>
      </c>
      <c r="C40" s="4" t="str">
        <f>IF(EXACT($B40, ""), "", IF((($B40 - MOD($B40, 1000000000000))/1000000000000)=25, CONCATENATE("Person - ", VLOOKUP($B40, [1]DataLookUp!$B$4:$C$2000, 2, FALSE)), IF((($B40 - MOD($B40, 1000000000000))/1000000000000)=124, CONCATENATE("Institution - ", VLOOKUP($B40, '[2]DataLookUp - InstitutionBranch'!$B$4:$C$2000, 2, FALSE)), "")))</f>
        <v>Institution - PT. Multi Kencana Niagatama</v>
      </c>
      <c r="D40" s="21">
        <v>287000000000003</v>
      </c>
      <c r="E40" s="40" t="str">
        <f>IF(EXACT($D40, ""), "", VLOOKUP($D40, 'REF - EmailAccountType'!$B$4:$C$7, 2, FALSE))</f>
        <v>Business</v>
      </c>
      <c r="F40" s="26" t="s">
        <v>921</v>
      </c>
      <c r="G40" s="9" t="s">
        <v>986</v>
      </c>
      <c r="I40" s="31">
        <f t="shared" si="2"/>
        <v>286000000000037</v>
      </c>
      <c r="J40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'sales@multi-kabel.com'::varchar, 'Arie Tri'::varchar, '124000000000195'::bigint);</v>
      </c>
    </row>
    <row r="41" spans="2:10" x14ac:dyDescent="0.2">
      <c r="B41" s="21">
        <v>124000000000199</v>
      </c>
      <c r="C41" s="4" t="str">
        <f>IF(EXACT($B41, ""), "", IF((($B41 - MOD($B41, 1000000000000))/1000000000000)=25, CONCATENATE("Person - ", VLOOKUP($B41, [1]DataLookUp!$B$4:$C$2000, 2, FALSE)), IF((($B41 - MOD($B41, 1000000000000))/1000000000000)=124, CONCATENATE("Institution - ", VLOOKUP($B41, '[2]DataLookUp - InstitutionBranch'!$B$4:$C$2000, 2, FALSE)), "")))</f>
        <v>Institution - PT. NR Electric Jakarta</v>
      </c>
      <c r="D41" s="21">
        <v>287000000000003</v>
      </c>
      <c r="E41" s="40" t="str">
        <f>IF(EXACT($D41, ""), "", VLOOKUP($D41, 'REF - EmailAccountType'!$B$4:$C$7, 2, FALSE))</f>
        <v>Business</v>
      </c>
      <c r="F41" s="26" t="s">
        <v>922</v>
      </c>
      <c r="G41" s="9" t="s">
        <v>987</v>
      </c>
      <c r="I41" s="31">
        <f t="shared" si="2"/>
        <v>286000000000038</v>
      </c>
      <c r="J41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'rizaemir.emir@gmail.com'::varchar, 'Kofi Wang / Ryan Iskan'::varchar, '124000000000199'::bigint);</v>
      </c>
    </row>
    <row r="42" spans="2:10" x14ac:dyDescent="0.2">
      <c r="B42" s="21">
        <v>124000000000203</v>
      </c>
      <c r="C42" s="4" t="str">
        <f>IF(EXACT($B42, ""), "", IF((($B42 - MOD($B42, 1000000000000))/1000000000000)=25, CONCATENATE("Person - ", VLOOKUP($B42, [1]DataLookUp!$B$4:$C$2000, 2, FALSE)), IF((($B42 - MOD($B42, 1000000000000))/1000000000000)=124, CONCATENATE("Institution - ", VLOOKUP($B42, '[2]DataLookUp - InstitutionBranch'!$B$4:$C$2000, 2, FALSE)), "")))</f>
        <v>Institution - PT. Pacific Prestress Indonesia</v>
      </c>
      <c r="D42" s="21">
        <v>287000000000003</v>
      </c>
      <c r="E42" s="40" t="str">
        <f>IF(EXACT($D42, ""), "", VLOOKUP($D42, 'REF - EmailAccountType'!$B$4:$C$7, 2, FALSE))</f>
        <v>Business</v>
      </c>
      <c r="F42" s="26" t="s">
        <v>923</v>
      </c>
      <c r="G42" s="9" t="s">
        <v>988</v>
      </c>
      <c r="I42" s="31">
        <f t="shared" si="2"/>
        <v>286000000000039</v>
      </c>
      <c r="J42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'mkt-jkt@ppi.co.id'::varchar, 'Agus Fatoni'::varchar, '124000000000203'::bigint);</v>
      </c>
    </row>
    <row r="43" spans="2:10" x14ac:dyDescent="0.2">
      <c r="B43" s="21">
        <v>124000000000204</v>
      </c>
      <c r="C43" s="4" t="str">
        <f>IF(EXACT($B43, ""), "", IF((($B43 - MOD($B43, 1000000000000))/1000000000000)=25, CONCATENATE("Person - ", VLOOKUP($B43, [1]DataLookUp!$B$4:$C$2000, 2, FALSE)), IF((($B43 - MOD($B43, 1000000000000))/1000000000000)=124, CONCATENATE("Institution - ", VLOOKUP($B43, '[2]DataLookUp - InstitutionBranch'!$B$4:$C$2000, 2, FALSE)), "")))</f>
        <v>Institution - PT. Panah Perdana Logisindo</v>
      </c>
      <c r="D43" s="21">
        <v>287000000000003</v>
      </c>
      <c r="E43" s="40" t="str">
        <f>IF(EXACT($D43, ""), "", VLOOKUP($D43, 'REF - EmailAccountType'!$B$4:$C$7, 2, FALSE))</f>
        <v>Business</v>
      </c>
      <c r="F43" s="26" t="s">
        <v>924</v>
      </c>
      <c r="G43" s="9" t="s">
        <v>989</v>
      </c>
      <c r="I43" s="31">
        <f t="shared" si="2"/>
        <v>286000000000040</v>
      </c>
      <c r="J43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'Nurhaeni@hartrodt.com'::varchar, 'Nurhaeni'::varchar, '124000000000204'::bigint);</v>
      </c>
    </row>
    <row r="44" spans="2:10" x14ac:dyDescent="0.2">
      <c r="B44" s="21">
        <v>124000000000205</v>
      </c>
      <c r="C44" s="4" t="str">
        <f>IF(EXACT($B44, ""), "", IF((($B44 - MOD($B44, 1000000000000))/1000000000000)=25, CONCATENATE("Person - ", VLOOKUP($B44, [1]DataLookUp!$B$4:$C$2000, 2, FALSE)), IF((($B44 - MOD($B44, 1000000000000))/1000000000000)=124, CONCATENATE("Institution - ", VLOOKUP($B44, '[2]DataLookUp - InstitutionBranch'!$B$4:$C$2000, 2, FALSE)), "")))</f>
        <v>Institution - PT. Panca Infosoft Pionir Indonesia</v>
      </c>
      <c r="D44" s="21">
        <v>287000000000003</v>
      </c>
      <c r="E44" s="40" t="str">
        <f>IF(EXACT($D44, ""), "", VLOOKUP($D44, 'REF - EmailAccountType'!$B$4:$C$7, 2, FALSE))</f>
        <v>Business</v>
      </c>
      <c r="F44" s="26" t="s">
        <v>925</v>
      </c>
      <c r="G44" s="9" t="s">
        <v>990</v>
      </c>
      <c r="I44" s="31">
        <f t="shared" si="2"/>
        <v>286000000000041</v>
      </c>
      <c r="J44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'info@pancasoft.com'::varchar, 'Diah'::varchar, '124000000000205'::bigint);</v>
      </c>
    </row>
    <row r="45" spans="2:10" x14ac:dyDescent="0.2">
      <c r="B45" s="21">
        <v>124000000000207</v>
      </c>
      <c r="C45" s="4" t="str">
        <f>IF(EXACT($B45, ""), "", IF((($B45 - MOD($B45, 1000000000000))/1000000000000)=25, CONCATENATE("Person - ", VLOOKUP($B45, [1]DataLookUp!$B$4:$C$2000, 2, FALSE)), IF((($B45 - MOD($B45, 1000000000000))/1000000000000)=124, CONCATENATE("Institution - ", VLOOKUP($B45, '[2]DataLookUp - InstitutionBranch'!$B$4:$C$2000, 2, FALSE)), "")))</f>
        <v>Institution - PT. Panca Utama Selaras</v>
      </c>
      <c r="D45" s="21">
        <v>287000000000003</v>
      </c>
      <c r="E45" s="40" t="str">
        <f>IF(EXACT($D45, ""), "", VLOOKUP($D45, 'REF - EmailAccountType'!$B$4:$C$7, 2, FALSE))</f>
        <v>Business</v>
      </c>
      <c r="F45" s="26" t="s">
        <v>926</v>
      </c>
      <c r="G45" s="9" t="s">
        <v>991</v>
      </c>
      <c r="I45" s="31">
        <f t="shared" si="2"/>
        <v>286000000000042</v>
      </c>
      <c r="J45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'parardyo@gmail.com'::varchar, 'Dyan Parardyo'::varchar, '124000000000207'::bigint);</v>
      </c>
    </row>
    <row r="46" spans="2:10" x14ac:dyDescent="0.2">
      <c r="B46" s="21">
        <v>124000000000210</v>
      </c>
      <c r="C46" s="4" t="str">
        <f>IF(EXACT($B46, ""), "", IF((($B46 - MOD($B46, 1000000000000))/1000000000000)=25, CONCATENATE("Person - ", VLOOKUP($B46, [1]DataLookUp!$B$4:$C$2000, 2, FALSE)), IF((($B46 - MOD($B46, 1000000000000))/1000000000000)=124, CONCATENATE("Institution - ", VLOOKUP($B46, '[2]DataLookUp - InstitutionBranch'!$B$4:$C$2000, 2, FALSE)), "")))</f>
        <v>Institution - PT. Pelangi Teknik Indonesia</v>
      </c>
      <c r="D46" s="21">
        <v>287000000000003</v>
      </c>
      <c r="E46" s="40" t="str">
        <f>IF(EXACT($D46, ""), "", VLOOKUP($D46, 'REF - EmailAccountType'!$B$4:$C$7, 2, FALSE))</f>
        <v>Business</v>
      </c>
      <c r="F46" s="26" t="s">
        <v>927</v>
      </c>
      <c r="G46" s="9" t="s">
        <v>992</v>
      </c>
      <c r="I46" s="31">
        <f t="shared" si="2"/>
        <v>286000000000043</v>
      </c>
      <c r="J46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'pelangiteknik@rocketmail.com'::varchar, 'Sifa'::varchar, '124000000000210'::bigint);</v>
      </c>
    </row>
    <row r="47" spans="2:10" x14ac:dyDescent="0.2">
      <c r="B47" s="21">
        <v>124000000000214</v>
      </c>
      <c r="C47" s="4" t="str">
        <f>IF(EXACT($B47, ""), "", IF((($B47 - MOD($B47, 1000000000000))/1000000000000)=25, CONCATENATE("Person - ", VLOOKUP($B47, [1]DataLookUp!$B$4:$C$2000, 2, FALSE)), IF((($B47 - MOD($B47, 1000000000000))/1000000000000)=124, CONCATENATE("Institution - ", VLOOKUP($B47, '[2]DataLookUp - InstitutionBranch'!$B$4:$C$2000, 2, FALSE)), "")))</f>
        <v>Institution - PT. Powerindo Prima Perkasa</v>
      </c>
      <c r="D47" s="21">
        <v>287000000000003</v>
      </c>
      <c r="E47" s="40" t="str">
        <f>IF(EXACT($D47, ""), "", VLOOKUP($D47, 'REF - EmailAccountType'!$B$4:$C$7, 2, FALSE))</f>
        <v>Business</v>
      </c>
      <c r="F47" s="26" t="s">
        <v>928</v>
      </c>
      <c r="G47" s="9" t="s">
        <v>993</v>
      </c>
      <c r="I47" s="31">
        <f t="shared" si="2"/>
        <v>286000000000044</v>
      </c>
      <c r="J47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'sales5@powerindoperkasa.com'::varchar, 'Adie'::varchar, '124000000000214'::bigint);</v>
      </c>
    </row>
    <row r="48" spans="2:10" x14ac:dyDescent="0.2">
      <c r="B48" s="21">
        <v>124000000000217</v>
      </c>
      <c r="C48" s="4" t="str">
        <f>IF(EXACT($B48, ""), "", IF((($B48 - MOD($B48, 1000000000000))/1000000000000)=25, CONCATENATE("Person - ", VLOOKUP($B48, [1]DataLookUp!$B$4:$C$2000, 2, FALSE)), IF((($B48 - MOD($B48, 1000000000000))/1000000000000)=124, CONCATENATE("Institution - ", VLOOKUP($B48, '[2]DataLookUp - InstitutionBranch'!$B$4:$C$2000, 2, FALSE)), "")))</f>
        <v>Institution - PT. Prima Indah Lestari</v>
      </c>
      <c r="D48" s="21">
        <v>287000000000003</v>
      </c>
      <c r="E48" s="40" t="str">
        <f>IF(EXACT($D48, ""), "", VLOOKUP($D48, 'REF - EmailAccountType'!$B$4:$C$7, 2, FALSE))</f>
        <v>Business</v>
      </c>
      <c r="F48" s="26" t="s">
        <v>929</v>
      </c>
      <c r="G48" s="9" t="s">
        <v>994</v>
      </c>
      <c r="I48" s="31">
        <f t="shared" si="2"/>
        <v>286000000000045</v>
      </c>
      <c r="J48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'primaindahlestari1@gmail.com; '::varchar, 'Ariawan Jatikusumo'::varchar, '124000000000217'::bigint);</v>
      </c>
    </row>
    <row r="49" spans="2:10" x14ac:dyDescent="0.2">
      <c r="B49" s="21">
        <v>124000000000218</v>
      </c>
      <c r="C49" s="4" t="str">
        <f>IF(EXACT($B49, ""), "", IF((($B49 - MOD($B49, 1000000000000))/1000000000000)=25, CONCATENATE("Person - ", VLOOKUP($B49, [1]DataLookUp!$B$4:$C$2000, 2, FALSE)), IF((($B49 - MOD($B49, 1000000000000))/1000000000000)=124, CONCATENATE("Institution - ", VLOOKUP($B49, '[2]DataLookUp - InstitutionBranch'!$B$4:$C$2000, 2, FALSE)), "")))</f>
        <v xml:space="preserve">Institution - PT. Prima Mitra Elektrindo </v>
      </c>
      <c r="D49" s="21">
        <v>287000000000003</v>
      </c>
      <c r="E49" s="40" t="str">
        <f>IF(EXACT($D49, ""), "", VLOOKUP($D49, 'REF - EmailAccountType'!$B$4:$C$7, 2, FALSE))</f>
        <v>Business</v>
      </c>
      <c r="F49" s="26" t="s">
        <v>930</v>
      </c>
      <c r="G49" s="9" t="s">
        <v>995</v>
      </c>
      <c r="I49" s="31">
        <f t="shared" si="2"/>
        <v>286000000000046</v>
      </c>
      <c r="J49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'sales@pmeindo.com'::varchar, 'Dewi'::varchar, '124000000000218'::bigint);</v>
      </c>
    </row>
    <row r="50" spans="2:10" x14ac:dyDescent="0.2">
      <c r="B50" s="21">
        <v>124000000000219</v>
      </c>
      <c r="C50" s="4" t="str">
        <f>IF(EXACT($B50, ""), "", IF((($B50 - MOD($B50, 1000000000000))/1000000000000)=25, CONCATENATE("Person - ", VLOOKUP($B50, [1]DataLookUp!$B$4:$C$2000, 2, FALSE)), IF((($B50 - MOD($B50, 1000000000000))/1000000000000)=124, CONCATENATE("Institution - ", VLOOKUP($B50, '[2]DataLookUp - InstitutionBranch'!$B$4:$C$2000, 2, FALSE)), "")))</f>
        <v>Institution - PT. Primatech Jaya Abadi</v>
      </c>
      <c r="D50" s="21">
        <v>287000000000003</v>
      </c>
      <c r="E50" s="40" t="str">
        <f>IF(EXACT($D50, ""), "", VLOOKUP($D50, 'REF - EmailAccountType'!$B$4:$C$7, 2, FALSE))</f>
        <v>Business</v>
      </c>
      <c r="F50" s="26" t="s">
        <v>931</v>
      </c>
      <c r="G50" s="9" t="s">
        <v>996</v>
      </c>
      <c r="I50" s="31">
        <f t="shared" si="2"/>
        <v>286000000000047</v>
      </c>
      <c r="J50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'primatechjayaabadi@gmail.com'::varchar, 'Honorius'::varchar, '124000000000219'::bigint);</v>
      </c>
    </row>
    <row r="51" spans="2:10" x14ac:dyDescent="0.2">
      <c r="B51" s="21">
        <v>124000000000223</v>
      </c>
      <c r="C51" s="4" t="str">
        <f>IF(EXACT($B51, ""), "", IF((($B51 - MOD($B51, 1000000000000))/1000000000000)=25, CONCATENATE("Person - ", VLOOKUP($B51, [1]DataLookUp!$B$4:$C$2000, 2, FALSE)), IF((($B51 - MOD($B51, 1000000000000))/1000000000000)=124, CONCATENATE("Institution - ", VLOOKUP($B51, '[2]DataLookUp - InstitutionBranch'!$B$4:$C$2000, 2, FALSE)), "")))</f>
        <v xml:space="preserve">Institution - PT. Radian Sarana Elektrika   </v>
      </c>
      <c r="D51" s="21">
        <v>287000000000003</v>
      </c>
      <c r="E51" s="40" t="str">
        <f>IF(EXACT($D51, ""), "", VLOOKUP($D51, 'REF - EmailAccountType'!$B$4:$C$7, 2, FALSE))</f>
        <v>Business</v>
      </c>
      <c r="F51" s="26" t="s">
        <v>932</v>
      </c>
      <c r="G51" s="9"/>
      <c r="I51" s="31">
        <f t="shared" si="2"/>
        <v>286000000000048</v>
      </c>
      <c r="J51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'corsec@rse.co.id'::varchar, NULL::varchar, '124000000000223'::bigint);</v>
      </c>
    </row>
    <row r="52" spans="2:10" x14ac:dyDescent="0.2">
      <c r="B52" s="21">
        <v>124000000000227</v>
      </c>
      <c r="C52" s="4" t="str">
        <f>IF(EXACT($B52, ""), "", IF((($B52 - MOD($B52, 1000000000000))/1000000000000)=25, CONCATENATE("Person - ", VLOOKUP($B52, [1]DataLookUp!$B$4:$C$2000, 2, FALSE)), IF((($B52 - MOD($B52, 1000000000000))/1000000000000)=124, CONCATENATE("Institution - ", VLOOKUP($B52, '[2]DataLookUp - InstitutionBranch'!$B$4:$C$2000, 2, FALSE)), "")))</f>
        <v>Institution - PT. Royal Madani Persada</v>
      </c>
      <c r="D52" s="21">
        <v>287000000000003</v>
      </c>
      <c r="E52" s="40" t="str">
        <f>IF(EXACT($D52, ""), "", VLOOKUP($D52, 'REF - EmailAccountType'!$B$4:$C$7, 2, FALSE))</f>
        <v>Business</v>
      </c>
      <c r="F52" s="26" t="s">
        <v>933</v>
      </c>
      <c r="G52" s="9" t="s">
        <v>997</v>
      </c>
      <c r="I52" s="31">
        <f t="shared" si="2"/>
        <v>286000000000049</v>
      </c>
      <c r="J52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'royalmadanipersada@gmail.com'::varchar, 'Insan Kurniawan'::varchar, '124000000000227'::bigint);</v>
      </c>
    </row>
    <row r="53" spans="2:10" x14ac:dyDescent="0.2">
      <c r="B53" s="21">
        <v>124000000000229</v>
      </c>
      <c r="C53" s="4" t="str">
        <f>IF(EXACT($B53, ""), "", IF((($B53 - MOD($B53, 1000000000000))/1000000000000)=25, CONCATENATE("Person - ", VLOOKUP($B53, [1]DataLookUp!$B$4:$C$2000, 2, FALSE)), IF((($B53 - MOD($B53, 1000000000000))/1000000000000)=124, CONCATENATE("Institution - ", VLOOKUP($B53, '[2]DataLookUp - InstitutionBranch'!$B$4:$C$2000, 2, FALSE)), "")))</f>
        <v>Institution - PT. Salam Pacific Indonesia Lines</v>
      </c>
      <c r="D53" s="21">
        <v>287000000000003</v>
      </c>
      <c r="E53" s="40" t="str">
        <f>IF(EXACT($D53, ""), "", VLOOKUP($D53, 'REF - EmailAccountType'!$B$4:$C$7, 2, FALSE))</f>
        <v>Business</v>
      </c>
      <c r="F53" s="26" t="s">
        <v>934</v>
      </c>
      <c r="G53" s="9"/>
      <c r="I53" s="31">
        <f t="shared" si="2"/>
        <v>286000000000050</v>
      </c>
      <c r="J53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'procurement.admin@qdc.co.id'::varchar, NULL::varchar, '124000000000229'::bigint);</v>
      </c>
    </row>
    <row r="54" spans="2:10" x14ac:dyDescent="0.2">
      <c r="B54" s="21">
        <v>124000000000230</v>
      </c>
      <c r="C54" s="4" t="str">
        <f>IF(EXACT($B54, ""), "", IF((($B54 - MOD($B54, 1000000000000))/1000000000000)=25, CONCATENATE("Person - ", VLOOKUP($B54, [1]DataLookUp!$B$4:$C$2000, 2, FALSE)), IF((($B54 - MOD($B54, 1000000000000))/1000000000000)=124, CONCATENATE("Institution - ", VLOOKUP($B54, '[2]DataLookUp - InstitutionBranch'!$B$4:$C$2000, 2, FALSE)), "")))</f>
        <v>Institution - PT. Schneider Indonesia</v>
      </c>
      <c r="D54" s="21">
        <v>287000000000003</v>
      </c>
      <c r="E54" s="40" t="str">
        <f>IF(EXACT($D54, ""), "", VLOOKUP($D54, 'REF - EmailAccountType'!$B$4:$C$7, 2, FALSE))</f>
        <v>Business</v>
      </c>
      <c r="F54" s="26" t="s">
        <v>935</v>
      </c>
      <c r="G54" s="9" t="s">
        <v>998</v>
      </c>
      <c r="I54" s="31">
        <f t="shared" si="2"/>
        <v>286000000000051</v>
      </c>
      <c r="J54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'chodrin.butar@se.com'::varchar, 'Chodrin Butarbutar'::varchar, '124000000000230'::bigint);</v>
      </c>
    </row>
    <row r="55" spans="2:10" x14ac:dyDescent="0.2">
      <c r="B55" s="21">
        <v>124000000000231</v>
      </c>
      <c r="C55" s="4" t="str">
        <f>IF(EXACT($B55, ""), "", IF((($B55 - MOD($B55, 1000000000000))/1000000000000)=25, CONCATENATE("Person - ", VLOOKUP($B55, [1]DataLookUp!$B$4:$C$2000, 2, FALSE)), IF((($B55 - MOD($B55, 1000000000000))/1000000000000)=124, CONCATENATE("Institution - ", VLOOKUP($B55, '[2]DataLookUp - InstitutionBranch'!$B$4:$C$2000, 2, FALSE)), "")))</f>
        <v>Institution - PT. Sentosa Prima Mandiri</v>
      </c>
      <c r="D55" s="21">
        <v>287000000000003</v>
      </c>
      <c r="E55" s="40" t="str">
        <f>IF(EXACT($D55, ""), "", VLOOKUP($D55, 'REF - EmailAccountType'!$B$4:$C$7, 2, FALSE))</f>
        <v>Business</v>
      </c>
      <c r="F55" s="26" t="s">
        <v>936</v>
      </c>
      <c r="G55" s="9" t="s">
        <v>999</v>
      </c>
      <c r="I55" s="31">
        <f t="shared" si="2"/>
        <v>286000000000052</v>
      </c>
      <c r="J55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'noviindri01@gmail.com'::varchar, 'Andri / Novi Indri'::varchar, '124000000000231'::bigint);</v>
      </c>
    </row>
    <row r="56" spans="2:10" x14ac:dyDescent="0.2">
      <c r="B56" s="21">
        <v>124000000000232</v>
      </c>
      <c r="C56" s="4" t="str">
        <f>IF(EXACT($B56, ""), "", IF((($B56 - MOD($B56, 1000000000000))/1000000000000)=25, CONCATENATE("Person - ", VLOOKUP($B56, [1]DataLookUp!$B$4:$C$2000, 2, FALSE)), IF((($B56 - MOD($B56, 1000000000000))/1000000000000)=124, CONCATENATE("Institution - ", VLOOKUP($B56, '[2]DataLookUp - InstitutionBranch'!$B$4:$C$2000, 2, FALSE)), "")))</f>
        <v xml:space="preserve">Institution - PT. Siemens Indonesia </v>
      </c>
      <c r="D56" s="21">
        <v>287000000000003</v>
      </c>
      <c r="E56" s="40" t="str">
        <f>IF(EXACT($D56, ""), "", VLOOKUP($D56, 'REF - EmailAccountType'!$B$4:$C$7, 2, FALSE))</f>
        <v>Business</v>
      </c>
      <c r="F56" s="26" t="s">
        <v>937</v>
      </c>
      <c r="G56" s="9" t="s">
        <v>1000</v>
      </c>
      <c r="I56" s="31">
        <f t="shared" si="2"/>
        <v>286000000000053</v>
      </c>
      <c r="J56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'Martinus.Lase@siemens.com '::varchar, 'Martinus Lase'::varchar, '124000000000232'::bigint);</v>
      </c>
    </row>
    <row r="57" spans="2:10" x14ac:dyDescent="0.2">
      <c r="B57" s="21">
        <v>124000000000237</v>
      </c>
      <c r="C57" s="4" t="str">
        <f>IF(EXACT($B57, ""), "", IF((($B57 - MOD($B57, 1000000000000))/1000000000000)=25, CONCATENATE("Person - ", VLOOKUP($B57, [1]DataLookUp!$B$4:$C$2000, 2, FALSE)), IF((($B57 - MOD($B57, 1000000000000))/1000000000000)=124, CONCATENATE("Institution - ", VLOOKUP($B57, '[2]DataLookUp - InstitutionBranch'!$B$4:$C$2000, 2, FALSE)), "")))</f>
        <v>Institution - PT. Sinergi Garuda Nusantara</v>
      </c>
      <c r="D57" s="21">
        <v>287000000000003</v>
      </c>
      <c r="E57" s="40" t="str">
        <f>IF(EXACT($D57, ""), "", VLOOKUP($D57, 'REF - EmailAccountType'!$B$4:$C$7, 2, FALSE))</f>
        <v>Business</v>
      </c>
      <c r="F57" s="26" t="s">
        <v>938</v>
      </c>
      <c r="G57" s="9"/>
      <c r="I57" s="31">
        <f t="shared" si="2"/>
        <v>286000000000054</v>
      </c>
      <c r="J57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'djayaprint@gmail.com'::varchar, NULL::varchar, '124000000000237'::bigint);</v>
      </c>
    </row>
    <row r="58" spans="2:10" x14ac:dyDescent="0.2">
      <c r="B58" s="21">
        <v>124000000000243</v>
      </c>
      <c r="C58" s="4" t="str">
        <f>IF(EXACT($B58, ""), "", IF((($B58 - MOD($B58, 1000000000000))/1000000000000)=25, CONCATENATE("Person - ", VLOOKUP($B58, [1]DataLookUp!$B$4:$C$2000, 2, FALSE)), IF((($B58 - MOD($B58, 1000000000000))/1000000000000)=124, CONCATENATE("Institution - ", VLOOKUP($B58, '[2]DataLookUp - InstitutionBranch'!$B$4:$C$2000, 2, FALSE)), "")))</f>
        <v xml:space="preserve">Institution - PT. Suryamas Elsindo Primatama </v>
      </c>
      <c r="D58" s="21">
        <v>287000000000003</v>
      </c>
      <c r="E58" s="40" t="str">
        <f>IF(EXACT($D58, ""), "", VLOOKUP($D58, 'REF - EmailAccountType'!$B$4:$C$7, 2, FALSE))</f>
        <v>Business</v>
      </c>
      <c r="F58" s="26" t="s">
        <v>939</v>
      </c>
      <c r="G58" s="9" t="s">
        <v>1001</v>
      </c>
      <c r="I58" s="31">
        <f t="shared" si="2"/>
        <v>286000000000055</v>
      </c>
      <c r="J58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'suryamas@cbn.net.id'::varchar, 'Setia Kusuma'::varchar, '124000000000243'::bigint);</v>
      </c>
    </row>
    <row r="59" spans="2:10" x14ac:dyDescent="0.2">
      <c r="B59" s="21">
        <v>124000000000244</v>
      </c>
      <c r="C59" s="4" t="str">
        <f>IF(EXACT($B59, ""), "", IF((($B59 - MOD($B59, 1000000000000))/1000000000000)=25, CONCATENATE("Person - ", VLOOKUP($B59, [1]DataLookUp!$B$4:$C$2000, 2, FALSE)), IF((($B59 - MOD($B59, 1000000000000))/1000000000000)=124, CONCATENATE("Institution - ", VLOOKUP($B59, '[2]DataLookUp - InstitutionBranch'!$B$4:$C$2000, 2, FALSE)), "")))</f>
        <v>Institution - PT. Temas Tbk</v>
      </c>
      <c r="D59" s="21">
        <v>287000000000003</v>
      </c>
      <c r="E59" s="40" t="str">
        <f>IF(EXACT($D59, ""), "", VLOOKUP($D59, 'REF - EmailAccountType'!$B$4:$C$7, 2, FALSE))</f>
        <v>Business</v>
      </c>
      <c r="F59" s="26" t="s">
        <v>934</v>
      </c>
      <c r="G59" s="9"/>
      <c r="I59" s="31">
        <f t="shared" si="2"/>
        <v>286000000000056</v>
      </c>
      <c r="J59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'procurement.admin@qdc.co.id'::varchar, NULL::varchar, '124000000000244'::bigint);</v>
      </c>
    </row>
    <row r="60" spans="2:10" x14ac:dyDescent="0.2">
      <c r="B60" s="21">
        <v>124000000000249</v>
      </c>
      <c r="C60" s="4" t="str">
        <f>IF(EXACT($B60, ""), "", IF((($B60 - MOD($B60, 1000000000000))/1000000000000)=25, CONCATENATE("Person - ", VLOOKUP($B60, [1]DataLookUp!$B$4:$C$2000, 2, FALSE)), IF((($B60 - MOD($B60, 1000000000000))/1000000000000)=124, CONCATENATE("Institution - ", VLOOKUP($B60, '[2]DataLookUp - InstitutionBranch'!$B$4:$C$2000, 2, FALSE)), "")))</f>
        <v>Institution - PT. Triotama Toya Energi</v>
      </c>
      <c r="D60" s="21">
        <v>287000000000003</v>
      </c>
      <c r="E60" s="40" t="str">
        <f>IF(EXACT($D60, ""), "", VLOOKUP($D60, 'REF - EmailAccountType'!$B$4:$C$7, 2, FALSE))</f>
        <v>Business</v>
      </c>
      <c r="F60" s="26" t="s">
        <v>940</v>
      </c>
      <c r="G60" s="9" t="s">
        <v>1002</v>
      </c>
      <c r="I60" s="31">
        <f t="shared" si="2"/>
        <v>286000000000057</v>
      </c>
      <c r="J60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'triotamatoya@gmail.com'::varchar, 'Mahdan'::varchar, '124000000000249'::bigint);</v>
      </c>
    </row>
    <row r="61" spans="2:10" x14ac:dyDescent="0.2">
      <c r="B61" s="21">
        <v>124000000000253</v>
      </c>
      <c r="C61" s="4" t="str">
        <f>IF(EXACT($B61, ""), "", IF((($B61 - MOD($B61, 1000000000000))/1000000000000)=25, CONCATENATE("Person - ", VLOOKUP($B61, [1]DataLookUp!$B$4:$C$2000, 2, FALSE)), IF((($B61 - MOD($B61, 1000000000000))/1000000000000)=124, CONCATENATE("Institution - ", VLOOKUP($B61, '[2]DataLookUp - InstitutionBranch'!$B$4:$C$2000, 2, FALSE)), "")))</f>
        <v xml:space="preserve">Institution - PT. Voksel Electric Tbk </v>
      </c>
      <c r="D61" s="21">
        <v>287000000000003</v>
      </c>
      <c r="E61" s="40" t="str">
        <f>IF(EXACT($D61, ""), "", VLOOKUP($D61, 'REF - EmailAccountType'!$B$4:$C$7, 2, FALSE))</f>
        <v>Business</v>
      </c>
      <c r="F61" s="26" t="s">
        <v>941</v>
      </c>
      <c r="G61" s="9" t="s">
        <v>1003</v>
      </c>
      <c r="I61" s="31">
        <f t="shared" si="2"/>
        <v>286000000000058</v>
      </c>
      <c r="J61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've@voksel.co.id - sales@voksel'::varchar, 'Edy Surya Tarigan'::varchar, '124000000000253'::bigint);</v>
      </c>
    </row>
    <row r="62" spans="2:10" x14ac:dyDescent="0.2">
      <c r="B62" s="21">
        <v>124000000000255</v>
      </c>
      <c r="C62" s="4" t="str">
        <f>IF(EXACT($B62, ""), "", IF((($B62 - MOD($B62, 1000000000000))/1000000000000)=25, CONCATENATE("Person - ", VLOOKUP($B62, [1]DataLookUp!$B$4:$C$2000, 2, FALSE)), IF((($B62 - MOD($B62, 1000000000000))/1000000000000)=124, CONCATENATE("Institution - ", VLOOKUP($B62, '[2]DataLookUp - InstitutionBranch'!$B$4:$C$2000, 2, FALSE)), "")))</f>
        <v xml:space="preserve">Institution - PT. Yanmarindo Perkasa </v>
      </c>
      <c r="D62" s="21">
        <v>287000000000003</v>
      </c>
      <c r="E62" s="40" t="str">
        <f>IF(EXACT($D62, ""), "", VLOOKUP($D62, 'REF - EmailAccountType'!$B$4:$C$7, 2, FALSE))</f>
        <v>Business</v>
      </c>
      <c r="F62" s="26" t="s">
        <v>942</v>
      </c>
      <c r="G62" s="9" t="s">
        <v>1004</v>
      </c>
      <c r="I62" s="31">
        <f t="shared" si="2"/>
        <v>286000000000059</v>
      </c>
      <c r="J62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'kreatif@indo.net.id'::varchar, 'Acai dan Rais'::varchar, '124000000000255'::bigint);</v>
      </c>
    </row>
    <row r="63" spans="2:10" x14ac:dyDescent="0.2">
      <c r="B63" s="21">
        <v>124000000000256</v>
      </c>
      <c r="C63" s="4" t="str">
        <f>IF(EXACT($B63, ""), "", IF((($B63 - MOD($B63, 1000000000000))/1000000000000)=25, CONCATENATE("Person - ", VLOOKUP($B63, [1]DataLookUp!$B$4:$C$2000, 2, FALSE)), IF((($B63 - MOD($B63, 1000000000000))/1000000000000)=124, CONCATENATE("Institution - ", VLOOKUP($B63, '[2]DataLookUp - InstitutionBranch'!$B$4:$C$2000, 2, FALSE)), "")))</f>
        <v>Institution - PT. Yudha Berkat Layana</v>
      </c>
      <c r="D63" s="21">
        <v>287000000000003</v>
      </c>
      <c r="E63" s="40" t="str">
        <f>IF(EXACT($D63, ""), "", VLOOKUP($D63, 'REF - EmailAccountType'!$B$4:$C$7, 2, FALSE))</f>
        <v>Business</v>
      </c>
      <c r="F63" s="26" t="s">
        <v>943</v>
      </c>
      <c r="G63" s="9" t="s">
        <v>1005</v>
      </c>
      <c r="I63" s="31">
        <f t="shared" si="2"/>
        <v>286000000000060</v>
      </c>
      <c r="J63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'yudhaberkatlayana@gmail.com'::varchar, 'Lina'::varchar, '124000000000256'::bigint);</v>
      </c>
    </row>
    <row r="64" spans="2:10" x14ac:dyDescent="0.2">
      <c r="B64" s="21">
        <v>124000000000264</v>
      </c>
      <c r="C64" s="4" t="str">
        <f>IF(EXACT($B64, ""), "", IF((($B64 - MOD($B64, 1000000000000))/1000000000000)=25, CONCATENATE("Person - ", VLOOKUP($B64, [1]DataLookUp!$B$4:$C$2000, 2, FALSE)), IF((($B64 - MOD($B64, 1000000000000))/1000000000000)=124, CONCATENATE("Institution - ", VLOOKUP($B64, '[2]DataLookUp - InstitutionBranch'!$B$4:$C$2000, 2, FALSE)), "")))</f>
        <v>Institution - PT. Pelayanan Listrik Nasional (Persero) - Pusat Sertifikasi</v>
      </c>
      <c r="D64" s="21">
        <v>287000000000003</v>
      </c>
      <c r="E64" s="40" t="str">
        <f>IF(EXACT($D64, ""), "", VLOOKUP($D64, 'REF - EmailAccountType'!$B$4:$C$7, 2, FALSE))</f>
        <v>Business</v>
      </c>
      <c r="F64" s="26" t="s">
        <v>944</v>
      </c>
      <c r="G64" s="9" t="s">
        <v>1006</v>
      </c>
      <c r="I64" s="31">
        <f t="shared" si="2"/>
        <v>286000000000061</v>
      </c>
      <c r="J64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'niaga.pusertif@pln.co.id'::varchar, 'PLN (Persero) Pusat Sertifikasi'::varchar, '124000000000264'::bigint);</v>
      </c>
    </row>
    <row r="65" spans="2:10" x14ac:dyDescent="0.2">
      <c r="B65" s="21">
        <v>124000000000291</v>
      </c>
      <c r="C65" s="4" t="str">
        <f>IF(EXACT($B65, ""), "", IF((($B65 - MOD($B65, 1000000000000))/1000000000000)=25, CONCATENATE("Person - ", VLOOKUP($B65, [1]DataLookUp!$B$4:$C$2000, 2, FALSE)), IF((($B65 - MOD($B65, 1000000000000))/1000000000000)=124, CONCATENATE("Institution - ", VLOOKUP($B65, '[2]DataLookUp - InstitutionBranch'!$B$4:$C$2000, 2, FALSE)), "")))</f>
        <v>Institution - Toko JualWaterStop.NET</v>
      </c>
      <c r="D65" s="21">
        <v>287000000000003</v>
      </c>
      <c r="E65" s="40" t="str">
        <f>IF(EXACT($D65, ""), "", VLOOKUP($D65, 'REF - EmailAccountType'!$B$4:$C$7, 2, FALSE))</f>
        <v>Business</v>
      </c>
      <c r="F65" s="26" t="s">
        <v>945</v>
      </c>
      <c r="G65" s="9" t="s">
        <v>1007</v>
      </c>
      <c r="I65" s="31">
        <f t="shared" si="2"/>
        <v>286000000000062</v>
      </c>
      <c r="J65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'admin@jualwaterstop.net'::varchar, 'Surya Pitono'::varchar, '124000000000291'::bigint);</v>
      </c>
    </row>
    <row r="66" spans="2:10" x14ac:dyDescent="0.2">
      <c r="B66" s="21">
        <v>124000000000294</v>
      </c>
      <c r="C66" s="4" t="str">
        <f>IF(EXACT($B66, ""), "", IF((($B66 - MOD($B66, 1000000000000))/1000000000000)=25, CONCATENATE("Person - ", VLOOKUP($B66, [1]DataLookUp!$B$4:$C$2000, 2, FALSE)), IF((($B66 - MOD($B66, 1000000000000))/1000000000000)=124, CONCATENATE("Institution - ", VLOOKUP($B66, '[2]DataLookUp - InstitutionBranch'!$B$4:$C$2000, 2, FALSE)), "")))</f>
        <v xml:space="preserve">Institution - Toko Mega Jaya </v>
      </c>
      <c r="D66" s="21">
        <v>287000000000003</v>
      </c>
      <c r="E66" s="40" t="str">
        <f>IF(EXACT($D66, ""), "", VLOOKUP($D66, 'REF - EmailAccountType'!$B$4:$C$7, 2, FALSE))</f>
        <v>Business</v>
      </c>
      <c r="F66" s="26" t="s">
        <v>946</v>
      </c>
      <c r="G66" s="9" t="s">
        <v>1008</v>
      </c>
      <c r="I66" s="31">
        <f t="shared" si="2"/>
        <v>286000000000063</v>
      </c>
      <c r="J66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'mega9jaya@yahoo.co.id'::varchar, 'Djohan Halim'::varchar, '124000000000294'::bigint);</v>
      </c>
    </row>
    <row r="67" spans="2:10" x14ac:dyDescent="0.2">
      <c r="B67" s="21">
        <v>124000000000313</v>
      </c>
      <c r="C67" s="4" t="str">
        <f>IF(EXACT($B67, ""), "", IF((($B67 - MOD($B67, 1000000000000))/1000000000000)=25, CONCATENATE("Person - ", VLOOKUP($B67, [1]DataLookUp!$B$4:$C$2000, 2, FALSE)), IF((($B67 - MOD($B67, 1000000000000))/1000000000000)=124, CONCATENATE("Institution - ", VLOOKUP($B67, '[2]DataLookUp - InstitutionBranch'!$B$4:$C$2000, 2, FALSE)), "")))</f>
        <v>Institution - Toko Top Swalayan</v>
      </c>
      <c r="D67" s="21">
        <v>287000000000003</v>
      </c>
      <c r="E67" s="40" t="str">
        <f>IF(EXACT($D67, ""), "", VLOOKUP($D67, 'REF - EmailAccountType'!$B$4:$C$7, 2, FALSE))</f>
        <v>Business</v>
      </c>
      <c r="F67" s="26" t="s">
        <v>947</v>
      </c>
      <c r="G67" s="9"/>
      <c r="I67" s="31">
        <f t="shared" si="2"/>
        <v>286000000000064</v>
      </c>
      <c r="J67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'topswalayan@ymail.com'::varchar, NULL::varchar, '124000000000313'::bigint);</v>
      </c>
    </row>
    <row r="68" spans="2:10" x14ac:dyDescent="0.2">
      <c r="B68" s="21">
        <v>124000000000445</v>
      </c>
      <c r="C68" s="4" t="str">
        <f>IF(EXACT($B68, ""), "", IF((($B68 - MOD($B68, 1000000000000))/1000000000000)=25, CONCATENATE("Person - ", VLOOKUP($B68, [1]DataLookUp!$B$4:$C$2000, 2, FALSE)), IF((($B68 - MOD($B68, 1000000000000))/1000000000000)=124, CONCATENATE("Institution - ", VLOOKUP($B68, '[2]DataLookUp - InstitutionBranch'!$B$4:$C$2000, 2, FALSE)), "")))</f>
        <v>Institution - Ardhis Collection</v>
      </c>
      <c r="D68" s="21">
        <v>287000000000003</v>
      </c>
      <c r="E68" s="40" t="str">
        <f>IF(EXACT($D68, ""), "", VLOOKUP($D68, 'REF - EmailAccountType'!$B$4:$C$7, 2, FALSE))</f>
        <v>Business</v>
      </c>
      <c r="F68" s="26" t="s">
        <v>948</v>
      </c>
      <c r="G68" s="9" t="s">
        <v>1009</v>
      </c>
      <c r="I68" s="31">
        <f t="shared" si="2"/>
        <v>286000000000065</v>
      </c>
      <c r="J68" s="32" t="str">
        <f t="shared" si="1"/>
        <v>PERFORM "SchData-OLTP-Master"."Func_TblEMailAccount_SET"(varSystemLoginSession::bigint, null::bigint, null::varchar, null::timestamptz, null::timestamptz, null::varchar, varInstitutionBranchID::bigint, varBaseCurrencyID::bigint, 287000000000003::bigint, 'iwanridwantaufiq@ymail.com, ha'::varchar, 'Iwan Ridwan Taufiq'::varchar, '124000000000445'::bigint);</v>
      </c>
    </row>
    <row r="69" spans="2:10" x14ac:dyDescent="0.2">
      <c r="B69" s="21">
        <v>124000000000460</v>
      </c>
      <c r="C69" s="4" t="str">
        <f>IF(EXACT($B69, ""), "", IF((($B69 - MOD($B69, 1000000000000))/1000000000000)=25, CONCATENATE("Person - ", VLOOKUP($B69, [1]DataLookUp!$B$4:$C$2000, 2, FALSE)), IF((($B69 - MOD($B69, 1000000000000))/1000000000000)=124, CONCATENATE("Institution - ", VLOOKUP($B69, '[2]DataLookUp - InstitutionBranch'!$B$4:$C$2000, 2, FALSE)), "")))</f>
        <v xml:space="preserve">Institution - Dodi Tri Prasetyo         </v>
      </c>
      <c r="D69" s="21">
        <v>287000000000003</v>
      </c>
      <c r="E69" s="40" t="str">
        <f>IF(EXACT($D69, ""), "", VLOOKUP($D69, 'REF - EmailAccountType'!$B$4:$C$7, 2, FALSE))</f>
        <v>Business</v>
      </c>
      <c r="F69" s="26" t="s">
        <v>949</v>
      </c>
      <c r="G69" s="9" t="s">
        <v>1010</v>
      </c>
      <c r="I69" s="31">
        <f t="shared" si="2"/>
        <v>286000000000066</v>
      </c>
      <c r="J69" s="32" t="str">
        <f t="shared" ref="J69:J71" si="3">IF(EXACT(F69, ""), "", CONCATENATE("PERFORM ""SchData-OLTP-Master"".""Func_TblEMailAccount_SET""(varSystemLoginSession::bigint, null::bigint, null::varchar, null::timestamptz, null::timestamptz, null::varchar, varInstitutionBranchID::bigint, varBaseCurrencyID::bigint, ", IF(EXACT($D69, ""), "NULL", ""&amp;$D69&amp;""), "::bigint, ", IF(EXACT($F69, ""), "NULL", "'"&amp;$F69&amp;"'"), "::varchar, ", IF(EXACT($G69, ""), "NULL", "'"&amp;$G69&amp;"'"), "::varchar, ", IF(EXACT($B69, ""), "NULL", "'"&amp;$B69&amp;"'"), "::bigint);"))</f>
        <v>PERFORM "SchData-OLTP-Master"."Func_TblEMailAccount_SET"(varSystemLoginSession::bigint, null::bigint, null::varchar, null::timestamptz, null::timestamptz, null::varchar, varInstitutionBranchID::bigint, varBaseCurrencyID::bigint, 287000000000003::bigint, 'Dodi80magetan@gmail.com '::varchar, 'Dodi'::varchar, '124000000000460'::bigint);</v>
      </c>
    </row>
    <row r="70" spans="2:10" x14ac:dyDescent="0.2">
      <c r="B70" s="21">
        <v>124000000000483</v>
      </c>
      <c r="C70" s="4" t="str">
        <f>IF(EXACT($B70, ""), "", IF((($B70 - MOD($B70, 1000000000000))/1000000000000)=25, CONCATENATE("Person - ", VLOOKUP($B70, [1]DataLookUp!$B$4:$C$2000, 2, FALSE)), IF((($B70 - MOD($B70, 1000000000000))/1000000000000)=124, CONCATENATE("Institution - ", VLOOKUP($B70, '[2]DataLookUp - InstitutionBranch'!$B$4:$C$2000, 2, FALSE)), "")))</f>
        <v>Institution - Klinik Pratama Simpang Lima Husada</v>
      </c>
      <c r="D70" s="21">
        <v>287000000000003</v>
      </c>
      <c r="E70" s="40" t="str">
        <f>IF(EXACT($D70, ""), "", VLOOKUP($D70, 'REF - EmailAccountType'!$B$4:$C$7, 2, FALSE))</f>
        <v>Business</v>
      </c>
      <c r="F70" s="26" t="s">
        <v>950</v>
      </c>
      <c r="G70" s="9" t="s">
        <v>1011</v>
      </c>
      <c r="I70" s="31">
        <f t="shared" ref="I70:I71" si="4" xml:space="preserve"> I69 + IF(EXACT(J70, ""), 0, 1)</f>
        <v>286000000000067</v>
      </c>
      <c r="J70" s="32" t="str">
        <f t="shared" si="3"/>
        <v>PERFORM "SchData-OLTP-Master"."Func_TblEMailAccount_SET"(varSystemLoginSession::bigint, null::bigint, null::varchar, null::timestamptz, null::timestamptz, null::varchar, varInstitutionBranchID::bigint, varBaseCurrencyID::bigint, 287000000000003::bigint, 'kliniksimpang5@gmail.com'::varchar, 'Fangiwati Chandra'::varchar, '124000000000483'::bigint);</v>
      </c>
    </row>
    <row r="71" spans="2:10" x14ac:dyDescent="0.2">
      <c r="B71" s="21">
        <v>124000000000498</v>
      </c>
      <c r="C71" s="4" t="str">
        <f>IF(EXACT($B71, ""), "", IF((($B71 - MOD($B71, 1000000000000))/1000000000000)=25, CONCATENATE("Person - ", VLOOKUP($B71, [1]DataLookUp!$B$4:$C$2000, 2, FALSE)), IF((($B71 - MOD($B71, 1000000000000))/1000000000000)=124, CONCATENATE("Institution - ", VLOOKUP($B71, '[2]DataLookUp - InstitutionBranch'!$B$4:$C$2000, 2, FALSE)), "")))</f>
        <v>Institution - RS Benyamin Guluh</v>
      </c>
      <c r="D71" s="21">
        <v>287000000000003</v>
      </c>
      <c r="E71" s="40" t="str">
        <f>IF(EXACT($D71, ""), "", VLOOKUP($D71, 'REF - EmailAccountType'!$B$4:$C$7, 2, FALSE))</f>
        <v>Business</v>
      </c>
      <c r="F71" s="26" t="s">
        <v>951</v>
      </c>
      <c r="G71" s="9"/>
      <c r="I71" s="31">
        <f t="shared" si="4"/>
        <v>286000000000068</v>
      </c>
      <c r="J71" s="32" t="str">
        <f t="shared" si="3"/>
        <v>PERFORM "SchData-OLTP-Master"."Func_TblEMailAccount_SET"(varSystemLoginSession::bigint, null::bigint, null::varchar, null::timestamptz, null::timestamptz, null::varchar, varInstitutionBranchID::bigint, varBaseCurrencyID::bigint, 287000000000003::bigint, 'rsud.kolaka@yahoo.com'::varchar, NULL::varchar, '124000000000498'::bigint);</v>
      </c>
    </row>
  </sheetData>
  <conditionalFormatting sqref="I4:I71">
    <cfRule type="expression" dxfId="1" priority="37">
      <formula>EXACT(I3, I4)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C334"/>
  <sheetViews>
    <sheetView workbookViewId="0">
      <pane xSplit="2" ySplit="3" topLeftCell="C269" activePane="bottomRight" state="frozen"/>
      <selection pane="topRight" activeCell="C1" sqref="C1"/>
      <selection pane="bottomLeft" activeCell="A4" sqref="A4"/>
      <selection pane="bottomRight" activeCell="C327" sqref="C327"/>
    </sheetView>
  </sheetViews>
  <sheetFormatPr defaultRowHeight="12.75" x14ac:dyDescent="0.2"/>
  <cols>
    <col min="1" max="1" width="2.85546875" style="5" customWidth="1"/>
    <col min="2" max="2" width="14" style="5" bestFit="1" customWidth="1"/>
    <col min="3" max="3" width="105.85546875" style="5" bestFit="1" customWidth="1"/>
    <col min="4" max="16384" width="9.140625" style="5"/>
  </cols>
  <sheetData>
    <row r="1" spans="2:3" ht="13.5" thickBot="1" x14ac:dyDescent="0.25"/>
    <row r="2" spans="2:3" x14ac:dyDescent="0.2">
      <c r="B2" s="17" t="s">
        <v>872</v>
      </c>
      <c r="C2" s="27" t="s">
        <v>874</v>
      </c>
    </row>
    <row r="3" spans="2:3" ht="13.5" thickBot="1" x14ac:dyDescent="0.25">
      <c r="B3" s="18"/>
      <c r="C3" s="36"/>
    </row>
    <row r="4" spans="2:3" x14ac:dyDescent="0.2">
      <c r="B4" s="37">
        <f>IF(EXACT(SEED!$F4, ""), "", SEED!$I4)</f>
        <v>286000000000001</v>
      </c>
      <c r="C4" s="3" t="str">
        <f>IF(EXACT($B4, ""), "", CONCATENATE(SUBSTITUTE(SEED!$F4, "-", ""), " (", SEED!$E4, IF(EXACT(SEED!$C4, ""), "", CONCATENATE(" ►", SEED!$C4)), ")"))</f>
        <v>anugrah_kry@yahoo.com (Business ►Institution - CV. Anugerah Karya Magantha)</v>
      </c>
    </row>
    <row r="5" spans="2:3" x14ac:dyDescent="0.2">
      <c r="B5" s="37">
        <f>IF(EXACT(SEED!$F5, ""), "", SEED!$I5)</f>
        <v>286000000000002</v>
      </c>
      <c r="C5" s="4" t="str">
        <f>IF(EXACT($B5, ""), "", CONCATENATE(SUBSTITUTE(SEED!$F5, "-", ""), " (", SEED!$E5, IF(EXACT(SEED!$C5, ""), "", CONCATENATE(" ►", SEED!$C5)), ")"))</f>
        <v>maxcell_dpt@yahoo.co.id (Business ►Institution - CV. Cipta Aneka Sarana)</v>
      </c>
    </row>
    <row r="6" spans="2:3" x14ac:dyDescent="0.2">
      <c r="B6" s="37">
        <f>IF(EXACT(SEED!$F6, ""), "", SEED!$I6)</f>
        <v>286000000000003</v>
      </c>
      <c r="C6" s="4" t="str">
        <f>IF(EXACT($B6, ""), "", CONCATENATE(SUBSTITUTE(SEED!$F6, "-", ""), " (", SEED!$E6, IF(EXACT(SEED!$C6, ""), "", CONCATENATE(" ►", SEED!$C6)), ")"))</f>
        <v>dndsurvey90@gmail.com (Business ►Institution - CV. Didi Dan Darwis Survey )</v>
      </c>
    </row>
    <row r="7" spans="2:3" x14ac:dyDescent="0.2">
      <c r="B7" s="37">
        <f>IF(EXACT(SEED!$F7, ""), "", SEED!$I7)</f>
        <v>286000000000004</v>
      </c>
      <c r="C7" s="4" t="str">
        <f>IF(EXACT($B7, ""), "", CONCATENATE(SUBSTITUTE(SEED!$F7, "-", ""), " (", SEED!$E7, IF(EXACT(SEED!$C7, ""), "", CONCATENATE(" ►", SEED!$C7)), ")"))</f>
        <v>ejbpbun@gmail.com (Business ►Institution - CV. Edi Jaya Bangunan)</v>
      </c>
    </row>
    <row r="8" spans="2:3" x14ac:dyDescent="0.2">
      <c r="B8" s="37">
        <f>IF(EXACT(SEED!$F8, ""), "", SEED!$I8)</f>
        <v>286000000000005</v>
      </c>
      <c r="C8" s="4" t="str">
        <f>IF(EXACT($B8, ""), "", CONCATENATE(SUBSTITUTE(SEED!$F8, "-", ""), " (", SEED!$E8, IF(EXACT(SEED!$C8, ""), "", CONCATENATE(" ►", SEED!$C8)), ")"))</f>
        <v>gallazkateknik@gmail.com (Business ►Institution - CV. Gallazka Teknik)</v>
      </c>
    </row>
    <row r="9" spans="2:3" x14ac:dyDescent="0.2">
      <c r="B9" s="37">
        <f>IF(EXACT(SEED!$F9, ""), "", SEED!$I9)</f>
        <v>286000000000006</v>
      </c>
      <c r="C9" s="4" t="str">
        <f>IF(EXACT($B9, ""), "", CONCATENATE(SUBSTITUTE(SEED!$F9, "-", ""), " (", SEED!$E9, IF(EXACT(SEED!$C9, ""), "", CONCATENATE(" ►", SEED!$C9)), ")"))</f>
        <v>owner.grd@gmail.com (Business ►Institution - CV. Jember Elektrindo Gemilang)</v>
      </c>
    </row>
    <row r="10" spans="2:3" x14ac:dyDescent="0.2">
      <c r="B10" s="37">
        <f>IF(EXACT(SEED!$F10, ""), "", SEED!$I10)</f>
        <v>286000000000007</v>
      </c>
      <c r="C10" s="4" t="str">
        <f>IF(EXACT($B10, ""), "", CONCATENATE(SUBSTITUTE(SEED!$F10, "-", ""), " (", SEED!$E10, IF(EXACT(SEED!$C10, ""), "", CONCATENATE(" ►", SEED!$C10)), ")"))</f>
        <v>punokawan_smrg@yahoo.co.id (Business ►Institution - CV. Punokawan)</v>
      </c>
    </row>
    <row r="11" spans="2:3" x14ac:dyDescent="0.2">
      <c r="B11" s="37">
        <f>IF(EXACT(SEED!$F11, ""), "", SEED!$I11)</f>
        <v>286000000000008</v>
      </c>
      <c r="C11" s="4" t="str">
        <f>IF(EXACT($B11, ""), "", CONCATENATE(SUBSTITUTE(SEED!$F11, "-", ""), " (", SEED!$E11, IF(EXACT(SEED!$C11, ""), "", CONCATENATE(" ►", SEED!$C11)), ")"))</f>
        <v>office@ptasrs.id (Business ►Institution - PT. Abadi Rajawali Semesta)</v>
      </c>
    </row>
    <row r="12" spans="2:3" x14ac:dyDescent="0.2">
      <c r="B12" s="37">
        <f>IF(EXACT(SEED!$F12, ""), "", SEED!$I12)</f>
        <v>286000000000009</v>
      </c>
      <c r="C12" s="4" t="str">
        <f>IF(EXACT($B12, ""), "", CONCATENATE(SUBSTITUTE(SEED!$F12, "-", ""), " (", SEED!$E12, IF(EXACT(SEED!$C12, ""), "", CONCATENATE(" ►", SEED!$C12)), ")"))</f>
        <v>info@biomedilab.co.id (Business ►Institution - PT. Agape Biomedi Investama)</v>
      </c>
    </row>
    <row r="13" spans="2:3" x14ac:dyDescent="0.2">
      <c r="B13" s="37">
        <f>IF(EXACT(SEED!$F13, ""), "", SEED!$I13)</f>
        <v>286000000000010</v>
      </c>
      <c r="C13" s="4" t="str">
        <f>IF(EXACT($B13, ""), "", CONCATENATE(SUBSTITUTE(SEED!$F13, "-", ""), " (", SEED!$E13, IF(EXACT(SEED!$C13, ""), "", CONCATENATE(" ►", SEED!$C13)), ")"))</f>
        <v>yehezkiel_jc@yahoo.com08 (Business ►Institution - PT. Asiatronic Indo Makmur)</v>
      </c>
    </row>
    <row r="14" spans="2:3" x14ac:dyDescent="0.2">
      <c r="B14" s="37">
        <f>IF(EXACT(SEED!$F14, ""), "", SEED!$I14)</f>
        <v>286000000000011</v>
      </c>
      <c r="C14" s="4" t="str">
        <f>IF(EXACT($B14, ""), "", CONCATENATE(SUBSTITUTE(SEED!$F14, "-", ""), " (", SEED!$E14, IF(EXACT(SEED!$C14, ""), "", CONCATENATE(" ►", SEED!$C14)), ")"))</f>
        <v>pemudaban@ymail.com (Business ►Institution - PT. Berkat Sahabat Sejati)</v>
      </c>
    </row>
    <row r="15" spans="2:3" x14ac:dyDescent="0.2">
      <c r="B15" s="37">
        <f>IF(EXACT(SEED!$F15, ""), "", SEED!$I15)</f>
        <v>286000000000012</v>
      </c>
      <c r="C15" s="4" t="str">
        <f>IF(EXACT($B15, ""), "", CONCATENATE(SUBSTITUTE(SEED!$F15, "-", ""), " (", SEED!$E15, IF(EXACT(SEED!$C15, ""), "", CONCATENATE(" ►", SEED!$C15)), ")"))</f>
        <v>sigit.koentjoro@betonperkasa.c (Business ►Institution - PT. Beton Perkasa Wijaksana)</v>
      </c>
    </row>
    <row r="16" spans="2:3" x14ac:dyDescent="0.2">
      <c r="B16" s="37">
        <f>IF(EXACT(SEED!$F16, ""), "", SEED!$I16)</f>
        <v>286000000000013</v>
      </c>
      <c r="C16" s="4" t="str">
        <f>IF(EXACT($B16, ""), "", CONCATENATE(SUBSTITUTE(SEED!$F16, "-", ""), " (", SEED!$E16, IF(EXACT(SEED!$C16, ""), "", CONCATENATE(" ►", SEED!$C16)), ")"))</f>
        <v>budilim.bip@gmail.com (Business ►Institution - PT. Bintang Indah Persada )</v>
      </c>
    </row>
    <row r="17" spans="2:3" x14ac:dyDescent="0.2">
      <c r="B17" s="37">
        <f>IF(EXACT(SEED!$F17, ""), "", SEED!$I17)</f>
        <v>286000000000014</v>
      </c>
      <c r="C17" s="4" t="str">
        <f>IF(EXACT($B17, ""), "", CONCATENATE(SUBSTITUTE(SEED!$F17, "-", ""), " (", SEED!$E17, IF(EXACT(SEED!$C17, ""), "", CONCATENATE(" ►", SEED!$C17)), ")"))</f>
        <v>bintangvirgoutama@gmail.com (Business ►Institution - PT. Bintang Virgo Utama)</v>
      </c>
    </row>
    <row r="18" spans="2:3" x14ac:dyDescent="0.2">
      <c r="B18" s="37">
        <f>IF(EXACT(SEED!$F18, ""), "", SEED!$I18)</f>
        <v>286000000000015</v>
      </c>
      <c r="C18" s="4" t="str">
        <f>IF(EXACT($B18, ""), "", CONCATENATE(SUBSTITUTE(SEED!$F18, "-", ""), " (", SEED!$E18, IF(EXACT(SEED!$C18, ""), "", CONCATENATE(" ►", SEED!$C18)), ")"))</f>
        <v>service@bpiid.com (Business ►Institution - PT. Blue Power International)</v>
      </c>
    </row>
    <row r="19" spans="2:3" x14ac:dyDescent="0.2">
      <c r="B19" s="37">
        <f>IF(EXACT(SEED!$F19, ""), "", SEED!$I19)</f>
        <v>286000000000016</v>
      </c>
      <c r="C19" s="4" t="str">
        <f>IF(EXACT($B19, ""), "", CONCATENATE(SUBSTITUTE(SEED!$F19, "-", ""), " (", SEED!$E19, IF(EXACT(SEED!$C19, ""), "", CONCATENATE(" ►", SEED!$C19)), ")"))</f>
        <v>mentariplywood@yahoo.com (Business ►Institution - PT. Cahaya Mentari Cemerlang)</v>
      </c>
    </row>
    <row r="20" spans="2:3" x14ac:dyDescent="0.2">
      <c r="B20" s="37">
        <f>IF(EXACT(SEED!$F20, ""), "", SEED!$I20)</f>
        <v>286000000000017</v>
      </c>
      <c r="C20" s="4" t="str">
        <f>IF(EXACT($B20, ""), "", CONCATENATE(SUBSTITUTE(SEED!$F20, "-", ""), " (", SEED!$E20, IF(EXACT(SEED!$C20, ""), "", CONCATENATE(" ►", SEED!$C20)), ")"))</f>
        <v>Mona@cakrawalainternasional.co (Business ►Institution - PT. Cakrawala Persada Internasional)</v>
      </c>
    </row>
    <row r="21" spans="2:3" x14ac:dyDescent="0.2">
      <c r="B21" s="37">
        <f>IF(EXACT(SEED!$F21, ""), "", SEED!$I21)</f>
        <v>286000000000018</v>
      </c>
      <c r="C21" s="4" t="str">
        <f>IF(EXACT($B21, ""), "", CONCATENATE(SUBSTITUTE(SEED!$F21, "-", ""), " (", SEED!$E21, IF(EXACT(SEED!$C21, ""), "", CONCATENATE(" ►", SEED!$C21)), ")"))</f>
        <v>carolinetrans@yahoo.com (Business ►Institution - PT. Caroline Trans Mandiri )</v>
      </c>
    </row>
    <row r="22" spans="2:3" x14ac:dyDescent="0.2">
      <c r="B22" s="37">
        <f>IF(EXACT(SEED!$F22, ""), "", SEED!$I22)</f>
        <v>286000000000019</v>
      </c>
      <c r="C22" s="4" t="str">
        <f>IF(EXACT($B22, ""), "", CONCATENATE(SUBSTITUTE(SEED!$F22, "-", ""), " (", SEED!$E22, IF(EXACT(SEED!$C22, ""), "", CONCATENATE(" ►", SEED!$C22)), ")"))</f>
        <v>citrabanjar@gmail.com / soleha (Business ►Institution - PT. Citra Banjar Abadi)</v>
      </c>
    </row>
    <row r="23" spans="2:3" x14ac:dyDescent="0.2">
      <c r="B23" s="37">
        <f>IF(EXACT(SEED!$F23, ""), "", SEED!$I23)</f>
        <v>286000000000020</v>
      </c>
      <c r="C23" s="4" t="str">
        <f>IF(EXACT($B23, ""), "", CONCATENATE(SUBSTITUTE(SEED!$F23, "-", ""), " (", SEED!$E23, IF(EXACT(SEED!$C23, ""), "", CONCATENATE(" ►", SEED!$C23)), ")"))</f>
        <v>sahat@datascrip.co.id (Business ►Institution - PT. Datascrip )</v>
      </c>
    </row>
    <row r="24" spans="2:3" x14ac:dyDescent="0.2">
      <c r="B24" s="37">
        <f>IF(EXACT(SEED!$F24, ""), "", SEED!$I24)</f>
        <v>286000000000021</v>
      </c>
      <c r="C24" s="4" t="str">
        <f>IF(EXACT($B24, ""), "", CONCATENATE(SUBSTITUTE(SEED!$F24, "-", ""), " (", SEED!$E24, IF(EXACT(SEED!$C24, ""), "", CONCATENATE(" ►", SEED!$C24)), ")"))</f>
        <v>indro@denko.co.id (Business ►Institution - PT. Denko Wahana Sakti )</v>
      </c>
    </row>
    <row r="25" spans="2:3" x14ac:dyDescent="0.2">
      <c r="B25" s="37">
        <f>IF(EXACT(SEED!$F25, ""), "", SEED!$I25)</f>
        <v>286000000000022</v>
      </c>
      <c r="C25" s="4" t="str">
        <f>IF(EXACT($B25, ""), "", CONCATENATE(SUBSTITUTE(SEED!$F25, "-", ""), " (", SEED!$E25, IF(EXACT(SEED!$C25, ""), "", CONCATENATE(" ►", SEED!$C25)), ")"))</f>
        <v>marketing.dwimitra@gmail.com (Business ►Institution - PT. Dwimitra Sejahtera Bersama)</v>
      </c>
    </row>
    <row r="26" spans="2:3" x14ac:dyDescent="0.2">
      <c r="B26" s="37">
        <f>IF(EXACT(SEED!$F26, ""), "", SEED!$I26)</f>
        <v>286000000000023</v>
      </c>
      <c r="C26" s="4" t="str">
        <f>IF(EXACT($B26, ""), "", CONCATENATE(SUBSTITUTE(SEED!$F26, "-", ""), " (", SEED!$E26, IF(EXACT(SEED!$C26, ""), "", CONCATENATE(" ►", SEED!$C26)), ")"))</f>
        <v>adm.fortindo.id@gmail.com (Business ►Institution - PT. Fortindo Maju Bersama )</v>
      </c>
    </row>
    <row r="27" spans="2:3" x14ac:dyDescent="0.2">
      <c r="B27" s="37">
        <f>IF(EXACT(SEED!$F27, ""), "", SEED!$I27)</f>
        <v>286000000000024</v>
      </c>
      <c r="C27" s="4" t="str">
        <f>IF(EXACT($B27, ""), "", CONCATENATE(SUBSTITUTE(SEED!$F27, "-", ""), " (", SEED!$E27, IF(EXACT(SEED!$C27, ""), "", CONCATENATE(" ►", SEED!$C27)), ")"))</f>
        <v>import1@gatewayid.com (Business ►Institution - PT. Gateway Container Line Indonesia)</v>
      </c>
    </row>
    <row r="28" spans="2:3" x14ac:dyDescent="0.2">
      <c r="B28" s="37">
        <f>IF(EXACT(SEED!$F28, ""), "", SEED!$I28)</f>
        <v>286000000000025</v>
      </c>
      <c r="C28" s="4" t="str">
        <f>IF(EXACT($B28, ""), "", CONCATENATE(SUBSTITUTE(SEED!$F28, "-", ""), " (", SEED!$E28, IF(EXACT(SEED!$C28, ""), "", CONCATENATE(" ►", SEED!$C28)), ")"))</f>
        <v>pt.geociptabangun@gmail.com (Business ►Institution - PT. Geo Cipta Bangun)</v>
      </c>
    </row>
    <row r="29" spans="2:3" x14ac:dyDescent="0.2">
      <c r="B29" s="37">
        <f>IF(EXACT(SEED!$F29, ""), "", SEED!$I29)</f>
        <v>286000000000026</v>
      </c>
      <c r="C29" s="4" t="str">
        <f>IF(EXACT($B29, ""), "", CONCATENATE(SUBSTITUTE(SEED!$F29, "-", ""), " (", SEED!$E29, IF(EXACT(SEED!$C29, ""), "", CONCATENATE(" ►", SEED!$C29)), ")"))</f>
        <v>infracoo.ip@gmail.com (Business ►Institution - PT. Infracoo Pengadaan Indonesia)</v>
      </c>
    </row>
    <row r="30" spans="2:3" x14ac:dyDescent="0.2">
      <c r="B30" s="37">
        <f>IF(EXACT(SEED!$F30, ""), "", SEED!$I30)</f>
        <v>286000000000027</v>
      </c>
      <c r="C30" s="4" t="str">
        <f>IF(EXACT($B30, ""), "", CONCATENATE(SUBSTITUTE(SEED!$F30, "-", ""), " (", SEED!$E30, IF(EXACT(SEED!$C30, ""), "", CONCATENATE(" ►", SEED!$C30)), ")"))</f>
        <v>fendilab3@yahoo.com (Business ►Institution - PT. Inti Teknologi Indonesia Utama)</v>
      </c>
    </row>
    <row r="31" spans="2:3" x14ac:dyDescent="0.2">
      <c r="B31" s="37">
        <f>IF(EXACT(SEED!$F31, ""), "", SEED!$I31)</f>
        <v>286000000000028</v>
      </c>
      <c r="C31" s="4" t="str">
        <f>IF(EXACT($B31, ""), "", CONCATENATE(SUBSTITUTE(SEED!$F31, "-", ""), " (", SEED!$E31, IF(EXACT(SEED!$C31, ""), "", CONCATENATE(" ►", SEED!$C31)), ")"))</f>
        <v>iradat_aman@cbn.net.id, alaydr (Business ►Institution - PT. Iradat Aman Globalindo)</v>
      </c>
    </row>
    <row r="32" spans="2:3" x14ac:dyDescent="0.2">
      <c r="B32" s="37">
        <f>IF(EXACT(SEED!$F32, ""), "", SEED!$I32)</f>
        <v>286000000000029</v>
      </c>
      <c r="C32" s="4" t="str">
        <f>IF(EXACT($B32, ""), "", CONCATENATE(SUBSTITUTE(SEED!$F32, "-", ""), " (", SEED!$E32, IF(EXACT(SEED!$C32, ""), "", CONCATENATE(" ►", SEED!$C32)), ")"))</f>
        <v>marketing@jaringtelekom.co.id (Business ►Institution - PT. Jaring Telekomunikasi Indonesia)</v>
      </c>
    </row>
    <row r="33" spans="2:3" x14ac:dyDescent="0.2">
      <c r="B33" s="37">
        <f>IF(EXACT(SEED!$F33, ""), "", SEED!$I33)</f>
        <v>286000000000030</v>
      </c>
      <c r="C33" s="4" t="str">
        <f>IF(EXACT($B33, ""), "", CONCATENATE(SUBSTITUTE(SEED!$F33, "-", ""), " (", SEED!$E33, IF(EXACT(SEED!$C33, ""), "", CONCATENATE(" ►", SEED!$C33)), ")"))</f>
        <v>legal@jayabeton.com (Business ►Institution - PT. Jaya Beton Indonesia)</v>
      </c>
    </row>
    <row r="34" spans="2:3" x14ac:dyDescent="0.2">
      <c r="B34" s="37">
        <f>IF(EXACT(SEED!$F34, ""), "", SEED!$I34)</f>
        <v>286000000000031</v>
      </c>
      <c r="C34" s="4" t="str">
        <f>IF(EXACT($B34, ""), "", CONCATENATE(SUBSTITUTE(SEED!$F34, "-", ""), " (", SEED!$E34, IF(EXACT(SEED!$C34, ""), "", CONCATENATE(" ►", SEED!$C34)), ")"))</f>
        <v>marketing.kamesa@gmail.com (Business ►Institution - PT. Karya Mega Sarana)</v>
      </c>
    </row>
    <row r="35" spans="2:3" x14ac:dyDescent="0.2">
      <c r="B35" s="37">
        <f>IF(EXACT(SEED!$F35, ""), "", SEED!$I35)</f>
        <v>286000000000032</v>
      </c>
      <c r="C35" s="4" t="str">
        <f>IF(EXACT($B35, ""), "", CONCATENATE(SUBSTITUTE(SEED!$F35, "-", ""), " (", SEED!$E35, IF(EXACT(SEED!$C35, ""), "", CONCATENATE(" ►", SEED!$C35)), ")"))</f>
        <v>sales@kiranapurnama.sikadistri (Business ►Institution - PT. Kirana Purnama)</v>
      </c>
    </row>
    <row r="36" spans="2:3" x14ac:dyDescent="0.2">
      <c r="B36" s="37">
        <f>IF(EXACT(SEED!$F36, ""), "", SEED!$I36)</f>
        <v>286000000000033</v>
      </c>
      <c r="C36" s="4" t="str">
        <f>IF(EXACT($B36, ""), "", CONCATENATE(SUBSTITUTE(SEED!$F36, "-", ""), " (", SEED!$E36, IF(EXACT(SEED!$C36, ""), "", CONCATENATE(" ►", SEED!$C36)), ")"))</f>
        <v>magna.beton@gmail.com (Business ►Institution - PT. Magna Beton Indonesia)</v>
      </c>
    </row>
    <row r="37" spans="2:3" x14ac:dyDescent="0.2">
      <c r="B37" s="37">
        <f>IF(EXACT(SEED!$F37, ""), "", SEED!$I37)</f>
        <v>286000000000034</v>
      </c>
      <c r="C37" s="4" t="str">
        <f>IF(EXACT($B37, ""), "", CONCATENATE(SUBSTITUTE(SEED!$F37, "-", ""), " (", SEED!$E37, IF(EXACT(SEED!$C37, ""), "", CONCATENATE(" ►", SEED!$C37)), ")"))</f>
        <v>admin@mandirimahadaya.co.id (Business ►Institution - PT. Mandiri Maha Daya)</v>
      </c>
    </row>
    <row r="38" spans="2:3" x14ac:dyDescent="0.2">
      <c r="B38" s="37">
        <f>IF(EXACT(SEED!$F38, ""), "", SEED!$I38)</f>
        <v>286000000000035</v>
      </c>
      <c r="C38" s="4" t="str">
        <f>IF(EXACT($B38, ""), "", CONCATENATE(SUBSTITUTE(SEED!$F38, "-", ""), " (", SEED!$E38, IF(EXACT(SEED!$C38, ""), "", CONCATENATE(" ►", SEED!$C38)), ")"))</f>
        <v>marketing.ptmei@gmail.com (Business ►Institution - PT. Markoen Engineering Indonesia)</v>
      </c>
    </row>
    <row r="39" spans="2:3" x14ac:dyDescent="0.2">
      <c r="B39" s="37">
        <f>IF(EXACT(SEED!$F39, ""), "", SEED!$I39)</f>
        <v>286000000000036</v>
      </c>
      <c r="C39" s="4" t="str">
        <f>IF(EXACT($B39, ""), "", CONCATENATE(SUBSTITUTE(SEED!$F39, "-", ""), " (", SEED!$E39, IF(EXACT(SEED!$C39, ""), "", CONCATENATE(" ►", SEED!$C39)), ")"))</f>
        <v>andrianna@mgte.co.id (Business ►Institution - PT. Multi Guna Trans Energi)</v>
      </c>
    </row>
    <row r="40" spans="2:3" x14ac:dyDescent="0.2">
      <c r="B40" s="37">
        <f>IF(EXACT(SEED!$F40, ""), "", SEED!$I40)</f>
        <v>286000000000037</v>
      </c>
      <c r="C40" s="4" t="str">
        <f>IF(EXACT($B40, ""), "", CONCATENATE(SUBSTITUTE(SEED!$F40, "-", ""), " (", SEED!$E40, IF(EXACT(SEED!$C40, ""), "", CONCATENATE(" ►", SEED!$C40)), ")"))</f>
        <v>sales@multikabel.com (Business ►Institution - PT. Multi Kencana Niagatama)</v>
      </c>
    </row>
    <row r="41" spans="2:3" x14ac:dyDescent="0.2">
      <c r="B41" s="37">
        <f>IF(EXACT(SEED!$F41, ""), "", SEED!$I41)</f>
        <v>286000000000038</v>
      </c>
      <c r="C41" s="4" t="str">
        <f>IF(EXACT($B41, ""), "", CONCATENATE(SUBSTITUTE(SEED!$F41, "-", ""), " (", SEED!$E41, IF(EXACT(SEED!$C41, ""), "", CONCATENATE(" ►", SEED!$C41)), ")"))</f>
        <v>rizaemir.emir@gmail.com (Business ►Institution - PT. NR Electric Jakarta)</v>
      </c>
    </row>
    <row r="42" spans="2:3" x14ac:dyDescent="0.2">
      <c r="B42" s="37">
        <f>IF(EXACT(SEED!$F42, ""), "", SEED!$I42)</f>
        <v>286000000000039</v>
      </c>
      <c r="C42" s="4" t="str">
        <f>IF(EXACT($B42, ""), "", CONCATENATE(SUBSTITUTE(SEED!$F42, "-", ""), " (", SEED!$E42, IF(EXACT(SEED!$C42, ""), "", CONCATENATE(" ►", SEED!$C42)), ")"))</f>
        <v>mktjkt@ppi.co.id (Business ►Institution - PT. Pacific Prestress Indonesia)</v>
      </c>
    </row>
    <row r="43" spans="2:3" x14ac:dyDescent="0.2">
      <c r="B43" s="37">
        <f>IF(EXACT(SEED!$F43, ""), "", SEED!$I43)</f>
        <v>286000000000040</v>
      </c>
      <c r="C43" s="4" t="str">
        <f>IF(EXACT($B43, ""), "", CONCATENATE(SUBSTITUTE(SEED!$F43, "-", ""), " (", SEED!$E43, IF(EXACT(SEED!$C43, ""), "", CONCATENATE(" ►", SEED!$C43)), ")"))</f>
        <v>Nurhaeni@hartrodt.com (Business ►Institution - PT. Panah Perdana Logisindo)</v>
      </c>
    </row>
    <row r="44" spans="2:3" x14ac:dyDescent="0.2">
      <c r="B44" s="37">
        <f>IF(EXACT(SEED!$F44, ""), "", SEED!$I44)</f>
        <v>286000000000041</v>
      </c>
      <c r="C44" s="4" t="str">
        <f>IF(EXACT($B44, ""), "", CONCATENATE(SUBSTITUTE(SEED!$F44, "-", ""), " (", SEED!$E44, IF(EXACT(SEED!$C44, ""), "", CONCATENATE(" ►", SEED!$C44)), ")"))</f>
        <v>info@pancasoft.com (Business ►Institution - PT. Panca Infosoft Pionir Indonesia)</v>
      </c>
    </row>
    <row r="45" spans="2:3" x14ac:dyDescent="0.2">
      <c r="B45" s="37">
        <f>IF(EXACT(SEED!$F45, ""), "", SEED!$I45)</f>
        <v>286000000000042</v>
      </c>
      <c r="C45" s="4" t="str">
        <f>IF(EXACT($B45, ""), "", CONCATENATE(SUBSTITUTE(SEED!$F45, "-", ""), " (", SEED!$E45, IF(EXACT(SEED!$C45, ""), "", CONCATENATE(" ►", SEED!$C45)), ")"))</f>
        <v>parardyo@gmail.com (Business ►Institution - PT. Panca Utama Selaras)</v>
      </c>
    </row>
    <row r="46" spans="2:3" x14ac:dyDescent="0.2">
      <c r="B46" s="37">
        <f>IF(EXACT(SEED!$F46, ""), "", SEED!$I46)</f>
        <v>286000000000043</v>
      </c>
      <c r="C46" s="4" t="str">
        <f>IF(EXACT($B46, ""), "", CONCATENATE(SUBSTITUTE(SEED!$F46, "-", ""), " (", SEED!$E46, IF(EXACT(SEED!$C46, ""), "", CONCATENATE(" ►", SEED!$C46)), ")"))</f>
        <v>pelangiteknik@rocketmail.com (Business ►Institution - PT. Pelangi Teknik Indonesia)</v>
      </c>
    </row>
    <row r="47" spans="2:3" x14ac:dyDescent="0.2">
      <c r="B47" s="37">
        <f>IF(EXACT(SEED!$F47, ""), "", SEED!$I47)</f>
        <v>286000000000044</v>
      </c>
      <c r="C47" s="4" t="str">
        <f>IF(EXACT($B47, ""), "", CONCATENATE(SUBSTITUTE(SEED!$F47, "-", ""), " (", SEED!$E47, IF(EXACT(SEED!$C47, ""), "", CONCATENATE(" ►", SEED!$C47)), ")"))</f>
        <v>sales5@powerindoperkasa.com (Business ►Institution - PT. Powerindo Prima Perkasa)</v>
      </c>
    </row>
    <row r="48" spans="2:3" x14ac:dyDescent="0.2">
      <c r="B48" s="37">
        <f>IF(EXACT(SEED!$F48, ""), "", SEED!$I48)</f>
        <v>286000000000045</v>
      </c>
      <c r="C48" s="4" t="str">
        <f>IF(EXACT($B48, ""), "", CONCATENATE(SUBSTITUTE(SEED!$F48, "-", ""), " (", SEED!$E48, IF(EXACT(SEED!$C48, ""), "", CONCATENATE(" ►", SEED!$C48)), ")"))</f>
        <v>primaindahlestari1@gmail.com;  (Business ►Institution - PT. Prima Indah Lestari)</v>
      </c>
    </row>
    <row r="49" spans="2:3" x14ac:dyDescent="0.2">
      <c r="B49" s="37">
        <f>IF(EXACT(SEED!$F49, ""), "", SEED!$I49)</f>
        <v>286000000000046</v>
      </c>
      <c r="C49" s="4" t="str">
        <f>IF(EXACT($B49, ""), "", CONCATENATE(SUBSTITUTE(SEED!$F49, "-", ""), " (", SEED!$E49, IF(EXACT(SEED!$C49, ""), "", CONCATENATE(" ►", SEED!$C49)), ")"))</f>
        <v>sales@pmeindo.com (Business ►Institution - PT. Prima Mitra Elektrindo )</v>
      </c>
    </row>
    <row r="50" spans="2:3" x14ac:dyDescent="0.2">
      <c r="B50" s="37">
        <f>IF(EXACT(SEED!$F50, ""), "", SEED!$I50)</f>
        <v>286000000000047</v>
      </c>
      <c r="C50" s="4" t="str">
        <f>IF(EXACT($B50, ""), "", CONCATENATE(SUBSTITUTE(SEED!$F50, "-", ""), " (", SEED!$E50, IF(EXACT(SEED!$C50, ""), "", CONCATENATE(" ►", SEED!$C50)), ")"))</f>
        <v>primatechjayaabadi@gmail.com (Business ►Institution - PT. Primatech Jaya Abadi)</v>
      </c>
    </row>
    <row r="51" spans="2:3" x14ac:dyDescent="0.2">
      <c r="B51" s="37">
        <f>IF(EXACT(SEED!$F51, ""), "", SEED!$I51)</f>
        <v>286000000000048</v>
      </c>
      <c r="C51" s="4" t="str">
        <f>IF(EXACT($B51, ""), "", CONCATENATE(SUBSTITUTE(SEED!$F51, "-", ""), " (", SEED!$E51, IF(EXACT(SEED!$C51, ""), "", CONCATENATE(" ►", SEED!$C51)), ")"))</f>
        <v>corsec@rse.co.id (Business ►Institution - PT. Radian Sarana Elektrika   )</v>
      </c>
    </row>
    <row r="52" spans="2:3" x14ac:dyDescent="0.2">
      <c r="B52" s="37">
        <f>IF(EXACT(SEED!$F52, ""), "", SEED!$I52)</f>
        <v>286000000000049</v>
      </c>
      <c r="C52" s="4" t="str">
        <f>IF(EXACT($B52, ""), "", CONCATENATE(SUBSTITUTE(SEED!$F52, "-", ""), " (", SEED!$E52, IF(EXACT(SEED!$C52, ""), "", CONCATENATE(" ►", SEED!$C52)), ")"))</f>
        <v>royalmadanipersada@gmail.com (Business ►Institution - PT. Royal Madani Persada)</v>
      </c>
    </row>
    <row r="53" spans="2:3" x14ac:dyDescent="0.2">
      <c r="B53" s="37">
        <f>IF(EXACT(SEED!$F53, ""), "", SEED!$I53)</f>
        <v>286000000000050</v>
      </c>
      <c r="C53" s="4" t="str">
        <f>IF(EXACT($B53, ""), "", CONCATENATE(SUBSTITUTE(SEED!$F53, "-", ""), " (", SEED!$E53, IF(EXACT(SEED!$C53, ""), "", CONCATENATE(" ►", SEED!$C53)), ")"))</f>
        <v>procurement.admin@qdc.co.id (Business ►Institution - PT. Salam Pacific Indonesia Lines)</v>
      </c>
    </row>
    <row r="54" spans="2:3" x14ac:dyDescent="0.2">
      <c r="B54" s="37">
        <f>IF(EXACT(SEED!$F54, ""), "", SEED!$I54)</f>
        <v>286000000000051</v>
      </c>
      <c r="C54" s="4" t="str">
        <f>IF(EXACT($B54, ""), "", CONCATENATE(SUBSTITUTE(SEED!$F54, "-", ""), " (", SEED!$E54, IF(EXACT(SEED!$C54, ""), "", CONCATENATE(" ►", SEED!$C54)), ")"))</f>
        <v>chodrin.butar@se.com (Business ►Institution - PT. Schneider Indonesia)</v>
      </c>
    </row>
    <row r="55" spans="2:3" x14ac:dyDescent="0.2">
      <c r="B55" s="37">
        <f>IF(EXACT(SEED!$F55, ""), "", SEED!$I55)</f>
        <v>286000000000052</v>
      </c>
      <c r="C55" s="4" t="str">
        <f>IF(EXACT($B55, ""), "", CONCATENATE(SUBSTITUTE(SEED!$F55, "-", ""), " (", SEED!$E55, IF(EXACT(SEED!$C55, ""), "", CONCATENATE(" ►", SEED!$C55)), ")"))</f>
        <v>noviindri01@gmail.com (Business ►Institution - PT. Sentosa Prima Mandiri)</v>
      </c>
    </row>
    <row r="56" spans="2:3" x14ac:dyDescent="0.2">
      <c r="B56" s="37">
        <f>IF(EXACT(SEED!$F56, ""), "", SEED!$I56)</f>
        <v>286000000000053</v>
      </c>
      <c r="C56" s="4" t="str">
        <f>IF(EXACT($B56, ""), "", CONCATENATE(SUBSTITUTE(SEED!$F56, "-", ""), " (", SEED!$E56, IF(EXACT(SEED!$C56, ""), "", CONCATENATE(" ►", SEED!$C56)), ")"))</f>
        <v>Martinus.Lase@siemens.com  (Business ►Institution - PT. Siemens Indonesia )</v>
      </c>
    </row>
    <row r="57" spans="2:3" x14ac:dyDescent="0.2">
      <c r="B57" s="37">
        <f>IF(EXACT(SEED!$F57, ""), "", SEED!$I57)</f>
        <v>286000000000054</v>
      </c>
      <c r="C57" s="4" t="str">
        <f>IF(EXACT($B57, ""), "", CONCATENATE(SUBSTITUTE(SEED!$F57, "-", ""), " (", SEED!$E57, IF(EXACT(SEED!$C57, ""), "", CONCATENATE(" ►", SEED!$C57)), ")"))</f>
        <v>djayaprint@gmail.com (Business ►Institution - PT. Sinergi Garuda Nusantara)</v>
      </c>
    </row>
    <row r="58" spans="2:3" x14ac:dyDescent="0.2">
      <c r="B58" s="37">
        <f>IF(EXACT(SEED!$F58, ""), "", SEED!$I58)</f>
        <v>286000000000055</v>
      </c>
      <c r="C58" s="4" t="str">
        <f>IF(EXACT($B58, ""), "", CONCATENATE(SUBSTITUTE(SEED!$F58, "-", ""), " (", SEED!$E58, IF(EXACT(SEED!$C58, ""), "", CONCATENATE(" ►", SEED!$C58)), ")"))</f>
        <v>suryamas@cbn.net.id (Business ►Institution - PT. Suryamas Elsindo Primatama )</v>
      </c>
    </row>
    <row r="59" spans="2:3" x14ac:dyDescent="0.2">
      <c r="B59" s="37">
        <f>IF(EXACT(SEED!$F59, ""), "", SEED!$I59)</f>
        <v>286000000000056</v>
      </c>
      <c r="C59" s="4" t="str">
        <f>IF(EXACT($B59, ""), "", CONCATENATE(SUBSTITUTE(SEED!$F59, "-", ""), " (", SEED!$E59, IF(EXACT(SEED!$C59, ""), "", CONCATENATE(" ►", SEED!$C59)), ")"))</f>
        <v>procurement.admin@qdc.co.id (Business ►Institution - PT. Temas Tbk)</v>
      </c>
    </row>
    <row r="60" spans="2:3" x14ac:dyDescent="0.2">
      <c r="B60" s="37">
        <f>IF(EXACT(SEED!$F60, ""), "", SEED!$I60)</f>
        <v>286000000000057</v>
      </c>
      <c r="C60" s="4" t="str">
        <f>IF(EXACT($B60, ""), "", CONCATENATE(SUBSTITUTE(SEED!$F60, "-", ""), " (", SEED!$E60, IF(EXACT(SEED!$C60, ""), "", CONCATENATE(" ►", SEED!$C60)), ")"))</f>
        <v>triotamatoya@gmail.com (Business ►Institution - PT. Triotama Toya Energi)</v>
      </c>
    </row>
    <row r="61" spans="2:3" x14ac:dyDescent="0.2">
      <c r="B61" s="37">
        <f>IF(EXACT(SEED!$F61, ""), "", SEED!$I61)</f>
        <v>286000000000058</v>
      </c>
      <c r="C61" s="4" t="str">
        <f>IF(EXACT($B61, ""), "", CONCATENATE(SUBSTITUTE(SEED!$F61, "-", ""), " (", SEED!$E61, IF(EXACT(SEED!$C61, ""), "", CONCATENATE(" ►", SEED!$C61)), ")"))</f>
        <v>ve@voksel.co.id  sales@voksel (Business ►Institution - PT. Voksel Electric Tbk )</v>
      </c>
    </row>
    <row r="62" spans="2:3" x14ac:dyDescent="0.2">
      <c r="B62" s="37">
        <f>IF(EXACT(SEED!$F62, ""), "", SEED!$I62)</f>
        <v>286000000000059</v>
      </c>
      <c r="C62" s="4" t="str">
        <f>IF(EXACT($B62, ""), "", CONCATENATE(SUBSTITUTE(SEED!$F62, "-", ""), " (", SEED!$E62, IF(EXACT(SEED!$C62, ""), "", CONCATENATE(" ►", SEED!$C62)), ")"))</f>
        <v>kreatif@indo.net.id (Business ►Institution - PT. Yanmarindo Perkasa )</v>
      </c>
    </row>
    <row r="63" spans="2:3" x14ac:dyDescent="0.2">
      <c r="B63" s="37">
        <f>IF(EXACT(SEED!$F63, ""), "", SEED!$I63)</f>
        <v>286000000000060</v>
      </c>
      <c r="C63" s="4" t="str">
        <f>IF(EXACT($B63, ""), "", CONCATENATE(SUBSTITUTE(SEED!$F63, "-", ""), " (", SEED!$E63, IF(EXACT(SEED!$C63, ""), "", CONCATENATE(" ►", SEED!$C63)), ")"))</f>
        <v>yudhaberkatlayana@gmail.com (Business ►Institution - PT. Yudha Berkat Layana)</v>
      </c>
    </row>
    <row r="64" spans="2:3" x14ac:dyDescent="0.2">
      <c r="B64" s="37">
        <f>IF(EXACT(SEED!$F64, ""), "", SEED!$I64)</f>
        <v>286000000000061</v>
      </c>
      <c r="C64" s="4" t="str">
        <f>IF(EXACT($B64, ""), "", CONCATENATE(SUBSTITUTE(SEED!$F64, "-", ""), " (", SEED!$E64, IF(EXACT(SEED!$C64, ""), "", CONCATENATE(" ►", SEED!$C64)), ")"))</f>
        <v>niaga.pusertif@pln.co.id (Business ►Institution - PT. Pelayanan Listrik Nasional (Persero) - Pusat Sertifikasi)</v>
      </c>
    </row>
    <row r="65" spans="2:3" x14ac:dyDescent="0.2">
      <c r="B65" s="37">
        <f>IF(EXACT(SEED!$F65, ""), "", SEED!$I65)</f>
        <v>286000000000062</v>
      </c>
      <c r="C65" s="4" t="str">
        <f>IF(EXACT($B65, ""), "", CONCATENATE(SUBSTITUTE(SEED!$F65, "-", ""), " (", SEED!$E65, IF(EXACT(SEED!$C65, ""), "", CONCATENATE(" ►", SEED!$C65)), ")"))</f>
        <v>admin@jualwaterstop.net (Business ►Institution - Toko JualWaterStop.NET)</v>
      </c>
    </row>
    <row r="66" spans="2:3" x14ac:dyDescent="0.2">
      <c r="B66" s="37">
        <f>IF(EXACT(SEED!$F66, ""), "", SEED!$I66)</f>
        <v>286000000000063</v>
      </c>
      <c r="C66" s="4" t="str">
        <f>IF(EXACT($B66, ""), "", CONCATENATE(SUBSTITUTE(SEED!$F66, "-", ""), " (", SEED!$E66, IF(EXACT(SEED!$C66, ""), "", CONCATENATE(" ►", SEED!$C66)), ")"))</f>
        <v>mega9jaya@yahoo.co.id (Business ►Institution - Toko Mega Jaya )</v>
      </c>
    </row>
    <row r="67" spans="2:3" x14ac:dyDescent="0.2">
      <c r="B67" s="37">
        <f>IF(EXACT(SEED!$F67, ""), "", SEED!$I67)</f>
        <v>286000000000064</v>
      </c>
      <c r="C67" s="4" t="str">
        <f>IF(EXACT($B67, ""), "", CONCATENATE(SUBSTITUTE(SEED!$F67, "-", ""), " (", SEED!$E67, IF(EXACT(SEED!$C67, ""), "", CONCATENATE(" ►", SEED!$C67)), ")"))</f>
        <v>topswalayan@ymail.com (Business ►Institution - Toko Top Swalayan)</v>
      </c>
    </row>
    <row r="68" spans="2:3" x14ac:dyDescent="0.2">
      <c r="B68" s="37">
        <f>IF(EXACT(SEED!$F68, ""), "", SEED!$I68)</f>
        <v>286000000000065</v>
      </c>
      <c r="C68" s="4" t="str">
        <f>IF(EXACT($B68, ""), "", CONCATENATE(SUBSTITUTE(SEED!$F68, "-", ""), " (", SEED!$E68, IF(EXACT(SEED!$C68, ""), "", CONCATENATE(" ►", SEED!$C68)), ")"))</f>
        <v>iwanridwantaufiq@ymail.com, ha (Business ►Institution - Ardhis Collection)</v>
      </c>
    </row>
    <row r="69" spans="2:3" x14ac:dyDescent="0.2">
      <c r="B69" s="37">
        <f>IF(EXACT(SEED!$F69, ""), "", SEED!$I69)</f>
        <v>286000000000066</v>
      </c>
      <c r="C69" s="4" t="str">
        <f>IF(EXACT($B69, ""), "", CONCATENATE(SUBSTITUTE(SEED!$F69, "-", ""), " (", SEED!$E69, IF(EXACT(SEED!$C69, ""), "", CONCATENATE(" ►", SEED!$C69)), ")"))</f>
        <v>Dodi80magetan@gmail.com  (Business ►Institution - Dodi Tri Prasetyo         )</v>
      </c>
    </row>
    <row r="70" spans="2:3" x14ac:dyDescent="0.2">
      <c r="B70" s="37">
        <f>IF(EXACT(SEED!$F70, ""), "", SEED!$I70)</f>
        <v>286000000000067</v>
      </c>
      <c r="C70" s="4" t="str">
        <f>IF(EXACT($B70, ""), "", CONCATENATE(SUBSTITUTE(SEED!$F70, "-", ""), " (", SEED!$E70, IF(EXACT(SEED!$C70, ""), "", CONCATENATE(" ►", SEED!$C70)), ")"))</f>
        <v>kliniksimpang5@gmail.com (Business ►Institution - Klinik Pratama Simpang Lima Husada)</v>
      </c>
    </row>
    <row r="71" spans="2:3" x14ac:dyDescent="0.2">
      <c r="B71" s="37">
        <f>IF(EXACT(SEED!$F71, ""), "", SEED!$I71)</f>
        <v>286000000000068</v>
      </c>
      <c r="C71" s="4" t="str">
        <f>IF(EXACT($B71, ""), "", CONCATENATE(SUBSTITUTE(SEED!$F71, "-", ""), " (", SEED!$E71, IF(EXACT(SEED!$C71, ""), "", CONCATENATE(" ►", SEED!$C71)), ")"))</f>
        <v>rsud.kolaka@yahoo.com (Business ►Institution - RS Benyamin Guluh)</v>
      </c>
    </row>
    <row r="72" spans="2:3" x14ac:dyDescent="0.2">
      <c r="B72" s="37" t="e">
        <f>IF(EXACT(SEED!#REF!, ""), "", SEED!#REF!)</f>
        <v>#REF!</v>
      </c>
      <c r="C72" s="4" t="e">
        <f>IF(EXACT($B72, ""), "", CONCATENATE(SUBSTITUTE(SEED!#REF!, "-", ""), " (", SEED!#REF!, IF(EXACT(SEED!#REF!, ""), "", CONCATENATE(" ►", SEED!#REF!)), ")"))</f>
        <v>#REF!</v>
      </c>
    </row>
    <row r="73" spans="2:3" x14ac:dyDescent="0.2">
      <c r="B73" s="37" t="e">
        <f>IF(EXACT(SEED!#REF!, ""), "", SEED!#REF!)</f>
        <v>#REF!</v>
      </c>
      <c r="C73" s="4" t="e">
        <f>IF(EXACT($B73, ""), "", CONCATENATE(SUBSTITUTE(SEED!#REF!, "-", ""), " (", SEED!#REF!, IF(EXACT(SEED!#REF!, ""), "", CONCATENATE(" ►", SEED!#REF!)), ")"))</f>
        <v>#REF!</v>
      </c>
    </row>
    <row r="74" spans="2:3" x14ac:dyDescent="0.2">
      <c r="B74" s="37" t="e">
        <f>IF(EXACT(SEED!#REF!, ""), "", SEED!#REF!)</f>
        <v>#REF!</v>
      </c>
      <c r="C74" s="4" t="e">
        <f>IF(EXACT($B74, ""), "", CONCATENATE(SUBSTITUTE(SEED!#REF!, "-", ""), " (", SEED!#REF!, IF(EXACT(SEED!#REF!, ""), "", CONCATENATE(" ►", SEED!#REF!)), ")"))</f>
        <v>#REF!</v>
      </c>
    </row>
    <row r="75" spans="2:3" x14ac:dyDescent="0.2">
      <c r="B75" s="37" t="e">
        <f>IF(EXACT(SEED!#REF!, ""), "", SEED!#REF!)</f>
        <v>#REF!</v>
      </c>
      <c r="C75" s="4" t="e">
        <f>IF(EXACT($B75, ""), "", CONCATENATE(SUBSTITUTE(SEED!#REF!, "-", ""), " (", SEED!#REF!, IF(EXACT(SEED!#REF!, ""), "", CONCATENATE(" ►", SEED!#REF!)), ")"))</f>
        <v>#REF!</v>
      </c>
    </row>
    <row r="76" spans="2:3" x14ac:dyDescent="0.2">
      <c r="B76" s="37" t="e">
        <f>IF(EXACT(SEED!#REF!, ""), "", SEED!#REF!)</f>
        <v>#REF!</v>
      </c>
      <c r="C76" s="4" t="e">
        <f>IF(EXACT($B76, ""), "", CONCATENATE(SUBSTITUTE(SEED!#REF!, "-", ""), " (", SEED!#REF!, IF(EXACT(SEED!#REF!, ""), "", CONCATENATE(" ►", SEED!#REF!)), ")"))</f>
        <v>#REF!</v>
      </c>
    </row>
    <row r="77" spans="2:3" x14ac:dyDescent="0.2">
      <c r="B77" s="37" t="e">
        <f>IF(EXACT(SEED!#REF!, ""), "", SEED!#REF!)</f>
        <v>#REF!</v>
      </c>
      <c r="C77" s="4" t="e">
        <f>IF(EXACT($B77, ""), "", CONCATENATE(SUBSTITUTE(SEED!#REF!, "-", ""), " (", SEED!#REF!, IF(EXACT(SEED!#REF!, ""), "", CONCATENATE(" ►", SEED!#REF!)), ")"))</f>
        <v>#REF!</v>
      </c>
    </row>
    <row r="78" spans="2:3" x14ac:dyDescent="0.2">
      <c r="B78" s="37" t="e">
        <f>IF(EXACT(SEED!#REF!, ""), "", SEED!#REF!)</f>
        <v>#REF!</v>
      </c>
      <c r="C78" s="4" t="e">
        <f>IF(EXACT($B78, ""), "", CONCATENATE(SUBSTITUTE(SEED!#REF!, "-", ""), " (", SEED!#REF!, IF(EXACT(SEED!#REF!, ""), "", CONCATENATE(" ►", SEED!#REF!)), ")"))</f>
        <v>#REF!</v>
      </c>
    </row>
    <row r="79" spans="2:3" x14ac:dyDescent="0.2">
      <c r="B79" s="37" t="e">
        <f>IF(EXACT(SEED!#REF!, ""), "", SEED!#REF!)</f>
        <v>#REF!</v>
      </c>
      <c r="C79" s="4" t="e">
        <f>IF(EXACT($B79, ""), "", CONCATENATE(SUBSTITUTE(SEED!#REF!, "-", ""), " (", SEED!#REF!, IF(EXACT(SEED!#REF!, ""), "", CONCATENATE(" ►", SEED!#REF!)), ")"))</f>
        <v>#REF!</v>
      </c>
    </row>
    <row r="80" spans="2:3" x14ac:dyDescent="0.2">
      <c r="B80" s="37" t="e">
        <f>IF(EXACT(SEED!#REF!, ""), "", SEED!#REF!)</f>
        <v>#REF!</v>
      </c>
      <c r="C80" s="4" t="e">
        <f>IF(EXACT($B80, ""), "", CONCATENATE(SUBSTITUTE(SEED!#REF!, "-", ""), " (", SEED!#REF!, IF(EXACT(SEED!#REF!, ""), "", CONCATENATE(" ►", SEED!#REF!)), ")"))</f>
        <v>#REF!</v>
      </c>
    </row>
    <row r="81" spans="2:3" x14ac:dyDescent="0.2">
      <c r="B81" s="37" t="e">
        <f>IF(EXACT(SEED!#REF!, ""), "", SEED!#REF!)</f>
        <v>#REF!</v>
      </c>
      <c r="C81" s="4" t="e">
        <f>IF(EXACT($B81, ""), "", CONCATENATE(SUBSTITUTE(SEED!#REF!, "-", ""), " (", SEED!#REF!, IF(EXACT(SEED!#REF!, ""), "", CONCATENATE(" ►", SEED!#REF!)), ")"))</f>
        <v>#REF!</v>
      </c>
    </row>
    <row r="82" spans="2:3" x14ac:dyDescent="0.2">
      <c r="B82" s="37" t="e">
        <f>IF(EXACT(SEED!#REF!, ""), "", SEED!#REF!)</f>
        <v>#REF!</v>
      </c>
      <c r="C82" s="4" t="e">
        <f>IF(EXACT($B82, ""), "", CONCATENATE(SUBSTITUTE(SEED!#REF!, "-", ""), " (", SEED!#REF!, IF(EXACT(SEED!#REF!, ""), "", CONCATENATE(" ►", SEED!#REF!)), ")"))</f>
        <v>#REF!</v>
      </c>
    </row>
    <row r="83" spans="2:3" x14ac:dyDescent="0.2">
      <c r="B83" s="37" t="e">
        <f>IF(EXACT(SEED!#REF!, ""), "", SEED!#REF!)</f>
        <v>#REF!</v>
      </c>
      <c r="C83" s="4" t="e">
        <f>IF(EXACT($B83, ""), "", CONCATENATE(SUBSTITUTE(SEED!#REF!, "-", ""), " (", SEED!#REF!, IF(EXACT(SEED!#REF!, ""), "", CONCATENATE(" ►", SEED!#REF!)), ")"))</f>
        <v>#REF!</v>
      </c>
    </row>
    <row r="84" spans="2:3" x14ac:dyDescent="0.2">
      <c r="B84" s="37" t="e">
        <f>IF(EXACT(SEED!#REF!, ""), "", SEED!#REF!)</f>
        <v>#REF!</v>
      </c>
      <c r="C84" s="4" t="e">
        <f>IF(EXACT($B84, ""), "", CONCATENATE(SUBSTITUTE(SEED!#REF!, "-", ""), " (", SEED!#REF!, IF(EXACT(SEED!#REF!, ""), "", CONCATENATE(" ►", SEED!#REF!)), ")"))</f>
        <v>#REF!</v>
      </c>
    </row>
    <row r="85" spans="2:3" x14ac:dyDescent="0.2">
      <c r="B85" s="37" t="e">
        <f>IF(EXACT(SEED!#REF!, ""), "", SEED!#REF!)</f>
        <v>#REF!</v>
      </c>
      <c r="C85" s="4" t="e">
        <f>IF(EXACT($B85, ""), "", CONCATENATE(SUBSTITUTE(SEED!#REF!, "-", ""), " (", SEED!#REF!, IF(EXACT(SEED!#REF!, ""), "", CONCATENATE(" ►", SEED!#REF!)), ")"))</f>
        <v>#REF!</v>
      </c>
    </row>
    <row r="86" spans="2:3" x14ac:dyDescent="0.2">
      <c r="B86" s="37" t="e">
        <f>IF(EXACT(SEED!#REF!, ""), "", SEED!#REF!)</f>
        <v>#REF!</v>
      </c>
      <c r="C86" s="4" t="e">
        <f>IF(EXACT($B86, ""), "", CONCATENATE(SUBSTITUTE(SEED!#REF!, "-", ""), " (", SEED!#REF!, IF(EXACT(SEED!#REF!, ""), "", CONCATENATE(" ►", SEED!#REF!)), ")"))</f>
        <v>#REF!</v>
      </c>
    </row>
    <row r="87" spans="2:3" x14ac:dyDescent="0.2">
      <c r="B87" s="37" t="e">
        <f>IF(EXACT(SEED!#REF!, ""), "", SEED!#REF!)</f>
        <v>#REF!</v>
      </c>
      <c r="C87" s="4" t="e">
        <f>IF(EXACT($B87, ""), "", CONCATENATE(SUBSTITUTE(SEED!#REF!, "-", ""), " (", SEED!#REF!, IF(EXACT(SEED!#REF!, ""), "", CONCATENATE(" ►", SEED!#REF!)), ")"))</f>
        <v>#REF!</v>
      </c>
    </row>
    <row r="88" spans="2:3" x14ac:dyDescent="0.2">
      <c r="B88" s="37" t="e">
        <f>IF(EXACT(SEED!#REF!, ""), "", SEED!#REF!)</f>
        <v>#REF!</v>
      </c>
      <c r="C88" s="4" t="e">
        <f>IF(EXACT($B88, ""), "", CONCATENATE(SUBSTITUTE(SEED!#REF!, "-", ""), " (", SEED!#REF!, IF(EXACT(SEED!#REF!, ""), "", CONCATENATE(" ►", SEED!#REF!)), ")"))</f>
        <v>#REF!</v>
      </c>
    </row>
    <row r="89" spans="2:3" x14ac:dyDescent="0.2">
      <c r="B89" s="37" t="e">
        <f>IF(EXACT(SEED!#REF!, ""), "", SEED!#REF!)</f>
        <v>#REF!</v>
      </c>
      <c r="C89" s="4" t="e">
        <f>IF(EXACT($B89, ""), "", CONCATENATE(SUBSTITUTE(SEED!#REF!, "-", ""), " (", SEED!#REF!, IF(EXACT(SEED!#REF!, ""), "", CONCATENATE(" ►", SEED!#REF!)), ")"))</f>
        <v>#REF!</v>
      </c>
    </row>
    <row r="90" spans="2:3" x14ac:dyDescent="0.2">
      <c r="B90" s="37" t="e">
        <f>IF(EXACT(SEED!#REF!, ""), "", SEED!#REF!)</f>
        <v>#REF!</v>
      </c>
      <c r="C90" s="4" t="e">
        <f>IF(EXACT($B90, ""), "", CONCATENATE(SUBSTITUTE(SEED!#REF!, "-", ""), " (", SEED!#REF!, IF(EXACT(SEED!#REF!, ""), "", CONCATENATE(" ►", SEED!#REF!)), ")"))</f>
        <v>#REF!</v>
      </c>
    </row>
    <row r="91" spans="2:3" x14ac:dyDescent="0.2">
      <c r="B91" s="37" t="e">
        <f>IF(EXACT(SEED!#REF!, ""), "", SEED!#REF!)</f>
        <v>#REF!</v>
      </c>
      <c r="C91" s="4" t="e">
        <f>IF(EXACT($B91, ""), "", CONCATENATE(SUBSTITUTE(SEED!#REF!, "-", ""), " (", SEED!#REF!, IF(EXACT(SEED!#REF!, ""), "", CONCATENATE(" ►", SEED!#REF!)), ")"))</f>
        <v>#REF!</v>
      </c>
    </row>
    <row r="92" spans="2:3" x14ac:dyDescent="0.2">
      <c r="B92" s="37" t="e">
        <f>IF(EXACT(SEED!#REF!, ""), "", SEED!#REF!)</f>
        <v>#REF!</v>
      </c>
      <c r="C92" s="4" t="e">
        <f>IF(EXACT($B92, ""), "", CONCATENATE(SUBSTITUTE(SEED!#REF!, "-", ""), " (", SEED!#REF!, IF(EXACT(SEED!#REF!, ""), "", CONCATENATE(" ►", SEED!#REF!)), ")"))</f>
        <v>#REF!</v>
      </c>
    </row>
    <row r="93" spans="2:3" x14ac:dyDescent="0.2">
      <c r="B93" s="37" t="e">
        <f>IF(EXACT(SEED!#REF!, ""), "", SEED!#REF!)</f>
        <v>#REF!</v>
      </c>
      <c r="C93" s="4" t="e">
        <f>IF(EXACT($B93, ""), "", CONCATENATE(SUBSTITUTE(SEED!#REF!, "-", ""), " (", SEED!#REF!, IF(EXACT(SEED!#REF!, ""), "", CONCATENATE(" ►", SEED!#REF!)), ")"))</f>
        <v>#REF!</v>
      </c>
    </row>
    <row r="94" spans="2:3" x14ac:dyDescent="0.2">
      <c r="B94" s="37" t="e">
        <f>IF(EXACT(SEED!#REF!, ""), "", SEED!#REF!)</f>
        <v>#REF!</v>
      </c>
      <c r="C94" s="4" t="e">
        <f>IF(EXACT($B94, ""), "", CONCATENATE(SUBSTITUTE(SEED!#REF!, "-", ""), " (", SEED!#REF!, IF(EXACT(SEED!#REF!, ""), "", CONCATENATE(" ►", SEED!#REF!)), ")"))</f>
        <v>#REF!</v>
      </c>
    </row>
    <row r="95" spans="2:3" x14ac:dyDescent="0.2">
      <c r="B95" s="37" t="e">
        <f>IF(EXACT(SEED!#REF!, ""), "", SEED!#REF!)</f>
        <v>#REF!</v>
      </c>
      <c r="C95" s="4" t="e">
        <f>IF(EXACT($B95, ""), "", CONCATENATE(SUBSTITUTE(SEED!#REF!, "-", ""), " (", SEED!#REF!, IF(EXACT(SEED!#REF!, ""), "", CONCATENATE(" ►", SEED!#REF!)), ")"))</f>
        <v>#REF!</v>
      </c>
    </row>
    <row r="96" spans="2:3" x14ac:dyDescent="0.2">
      <c r="B96" s="37" t="e">
        <f>IF(EXACT(SEED!#REF!, ""), "", SEED!#REF!)</f>
        <v>#REF!</v>
      </c>
      <c r="C96" s="4" t="e">
        <f>IF(EXACT($B96, ""), "", CONCATENATE(SUBSTITUTE(SEED!#REF!, "-", ""), " (", SEED!#REF!, IF(EXACT(SEED!#REF!, ""), "", CONCATENATE(" ►", SEED!#REF!)), ")"))</f>
        <v>#REF!</v>
      </c>
    </row>
    <row r="97" spans="2:3" x14ac:dyDescent="0.2">
      <c r="B97" s="37" t="e">
        <f>IF(EXACT(SEED!#REF!, ""), "", SEED!#REF!)</f>
        <v>#REF!</v>
      </c>
      <c r="C97" s="4" t="e">
        <f>IF(EXACT($B97, ""), "", CONCATENATE(SUBSTITUTE(SEED!#REF!, "-", ""), " (", SEED!#REF!, IF(EXACT(SEED!#REF!, ""), "", CONCATENATE(" ►", SEED!#REF!)), ")"))</f>
        <v>#REF!</v>
      </c>
    </row>
    <row r="98" spans="2:3" x14ac:dyDescent="0.2">
      <c r="B98" s="37" t="e">
        <f>IF(EXACT(SEED!#REF!, ""), "", SEED!#REF!)</f>
        <v>#REF!</v>
      </c>
      <c r="C98" s="4" t="e">
        <f>IF(EXACT($B98, ""), "", CONCATENATE(SUBSTITUTE(SEED!#REF!, "-", ""), " (", SEED!#REF!, IF(EXACT(SEED!#REF!, ""), "", CONCATENATE(" ►", SEED!#REF!)), ")"))</f>
        <v>#REF!</v>
      </c>
    </row>
    <row r="99" spans="2:3" x14ac:dyDescent="0.2">
      <c r="B99" s="37" t="e">
        <f>IF(EXACT(SEED!#REF!, ""), "", SEED!#REF!)</f>
        <v>#REF!</v>
      </c>
      <c r="C99" s="4" t="e">
        <f>IF(EXACT($B99, ""), "", CONCATENATE(SUBSTITUTE(SEED!#REF!, "-", ""), " (", SEED!#REF!, IF(EXACT(SEED!#REF!, ""), "", CONCATENATE(" ►", SEED!#REF!)), ")"))</f>
        <v>#REF!</v>
      </c>
    </row>
    <row r="100" spans="2:3" x14ac:dyDescent="0.2">
      <c r="B100" s="37" t="e">
        <f>IF(EXACT(SEED!#REF!, ""), "", SEED!#REF!)</f>
        <v>#REF!</v>
      </c>
      <c r="C100" s="4" t="e">
        <f>IF(EXACT($B100, ""), "", CONCATENATE(SUBSTITUTE(SEED!#REF!, "-", ""), " (", SEED!#REF!, IF(EXACT(SEED!#REF!, ""), "", CONCATENATE(" ►", SEED!#REF!)), ")"))</f>
        <v>#REF!</v>
      </c>
    </row>
    <row r="101" spans="2:3" x14ac:dyDescent="0.2">
      <c r="B101" s="37" t="e">
        <f>IF(EXACT(SEED!#REF!, ""), "", SEED!#REF!)</f>
        <v>#REF!</v>
      </c>
      <c r="C101" s="4" t="e">
        <f>IF(EXACT($B101, ""), "", CONCATENATE(SUBSTITUTE(SEED!#REF!, "-", ""), " (", SEED!#REF!, IF(EXACT(SEED!#REF!, ""), "", CONCATENATE(" ►", SEED!#REF!)), ")"))</f>
        <v>#REF!</v>
      </c>
    </row>
    <row r="102" spans="2:3" x14ac:dyDescent="0.2">
      <c r="B102" s="37" t="e">
        <f>IF(EXACT(SEED!#REF!, ""), "", SEED!#REF!)</f>
        <v>#REF!</v>
      </c>
      <c r="C102" s="4" t="e">
        <f>IF(EXACT($B102, ""), "", CONCATENATE(SUBSTITUTE(SEED!#REF!, "-", ""), " (", SEED!#REF!, IF(EXACT(SEED!#REF!, ""), "", CONCATENATE(" ►", SEED!#REF!)), ")"))</f>
        <v>#REF!</v>
      </c>
    </row>
    <row r="103" spans="2:3" x14ac:dyDescent="0.2">
      <c r="B103" s="37" t="e">
        <f>IF(EXACT(SEED!#REF!, ""), "", SEED!#REF!)</f>
        <v>#REF!</v>
      </c>
      <c r="C103" s="4" t="e">
        <f>IF(EXACT($B103, ""), "", CONCATENATE(SUBSTITUTE(SEED!#REF!, "-", ""), " (", SEED!#REF!, IF(EXACT(SEED!#REF!, ""), "", CONCATENATE(" ►", SEED!#REF!)), ")"))</f>
        <v>#REF!</v>
      </c>
    </row>
    <row r="104" spans="2:3" x14ac:dyDescent="0.2">
      <c r="B104" s="37" t="e">
        <f>IF(EXACT(SEED!#REF!, ""), "", SEED!#REF!)</f>
        <v>#REF!</v>
      </c>
      <c r="C104" s="4" t="e">
        <f>IF(EXACT($B104, ""), "", CONCATENATE(SUBSTITUTE(SEED!#REF!, "-", ""), " (", SEED!#REF!, IF(EXACT(SEED!#REF!, ""), "", CONCATENATE(" ►", SEED!#REF!)), ")"))</f>
        <v>#REF!</v>
      </c>
    </row>
    <row r="105" spans="2:3" x14ac:dyDescent="0.2">
      <c r="B105" s="37" t="e">
        <f>IF(EXACT(SEED!#REF!, ""), "", SEED!#REF!)</f>
        <v>#REF!</v>
      </c>
      <c r="C105" s="4" t="e">
        <f>IF(EXACT($B105, ""), "", CONCATENATE(SUBSTITUTE(SEED!#REF!, "-", ""), " (", SEED!#REF!, IF(EXACT(SEED!#REF!, ""), "", CONCATENATE(" ►", SEED!#REF!)), ")"))</f>
        <v>#REF!</v>
      </c>
    </row>
    <row r="106" spans="2:3" x14ac:dyDescent="0.2">
      <c r="B106" s="37" t="e">
        <f>IF(EXACT(SEED!#REF!, ""), "", SEED!#REF!)</f>
        <v>#REF!</v>
      </c>
      <c r="C106" s="4" t="e">
        <f>IF(EXACT($B106, ""), "", CONCATENATE(SUBSTITUTE(SEED!#REF!, "-", ""), " (", SEED!#REF!, IF(EXACT(SEED!#REF!, ""), "", CONCATENATE(" ►", SEED!#REF!)), ")"))</f>
        <v>#REF!</v>
      </c>
    </row>
    <row r="107" spans="2:3" x14ac:dyDescent="0.2">
      <c r="B107" s="37" t="e">
        <f>IF(EXACT(SEED!#REF!, ""), "", SEED!#REF!)</f>
        <v>#REF!</v>
      </c>
      <c r="C107" s="4" t="e">
        <f>IF(EXACT($B107, ""), "", CONCATENATE(SUBSTITUTE(SEED!#REF!, "-", ""), " (", SEED!#REF!, IF(EXACT(SEED!#REF!, ""), "", CONCATENATE(" ►", SEED!#REF!)), ")"))</f>
        <v>#REF!</v>
      </c>
    </row>
    <row r="108" spans="2:3" x14ac:dyDescent="0.2">
      <c r="B108" s="37" t="e">
        <f>IF(EXACT(SEED!#REF!, ""), "", SEED!#REF!)</f>
        <v>#REF!</v>
      </c>
      <c r="C108" s="4" t="e">
        <f>IF(EXACT($B108, ""), "", CONCATENATE(SUBSTITUTE(SEED!#REF!, "-", ""), " (", SEED!#REF!, IF(EXACT(SEED!#REF!, ""), "", CONCATENATE(" ►", SEED!#REF!)), ")"))</f>
        <v>#REF!</v>
      </c>
    </row>
    <row r="109" spans="2:3" x14ac:dyDescent="0.2">
      <c r="B109" s="37" t="e">
        <f>IF(EXACT(SEED!#REF!, ""), "", SEED!#REF!)</f>
        <v>#REF!</v>
      </c>
      <c r="C109" s="4" t="e">
        <f>IF(EXACT($B109, ""), "", CONCATENATE(SUBSTITUTE(SEED!#REF!, "-", ""), " (", SEED!#REF!, IF(EXACT(SEED!#REF!, ""), "", CONCATENATE(" ►", SEED!#REF!)), ")"))</f>
        <v>#REF!</v>
      </c>
    </row>
    <row r="110" spans="2:3" x14ac:dyDescent="0.2">
      <c r="B110" s="37" t="e">
        <f>IF(EXACT(SEED!#REF!, ""), "", SEED!#REF!)</f>
        <v>#REF!</v>
      </c>
      <c r="C110" s="4" t="e">
        <f>IF(EXACT($B110, ""), "", CONCATENATE(SUBSTITUTE(SEED!#REF!, "-", ""), " (", SEED!#REF!, IF(EXACT(SEED!#REF!, ""), "", CONCATENATE(" ►", SEED!#REF!)), ")"))</f>
        <v>#REF!</v>
      </c>
    </row>
    <row r="111" spans="2:3" x14ac:dyDescent="0.2">
      <c r="B111" s="37" t="e">
        <f>IF(EXACT(SEED!#REF!, ""), "", SEED!#REF!)</f>
        <v>#REF!</v>
      </c>
      <c r="C111" s="4" t="e">
        <f>IF(EXACT($B111, ""), "", CONCATENATE(SUBSTITUTE(SEED!#REF!, "-", ""), " (", SEED!#REF!, IF(EXACT(SEED!#REF!, ""), "", CONCATENATE(" ►", SEED!#REF!)), ")"))</f>
        <v>#REF!</v>
      </c>
    </row>
    <row r="112" spans="2:3" x14ac:dyDescent="0.2">
      <c r="B112" s="37" t="e">
        <f>IF(EXACT(SEED!#REF!, ""), "", SEED!#REF!)</f>
        <v>#REF!</v>
      </c>
      <c r="C112" s="4" t="e">
        <f>IF(EXACT($B112, ""), "", CONCATENATE(SUBSTITUTE(SEED!#REF!, "-", ""), " (", SEED!#REF!, IF(EXACT(SEED!#REF!, ""), "", CONCATENATE(" ►", SEED!#REF!)), ")"))</f>
        <v>#REF!</v>
      </c>
    </row>
    <row r="113" spans="2:3" x14ac:dyDescent="0.2">
      <c r="B113" s="37" t="e">
        <f>IF(EXACT(SEED!#REF!, ""), "", SEED!#REF!)</f>
        <v>#REF!</v>
      </c>
      <c r="C113" s="4" t="e">
        <f>IF(EXACT($B113, ""), "", CONCATENATE(SUBSTITUTE(SEED!#REF!, "-", ""), " (", SEED!#REF!, IF(EXACT(SEED!#REF!, ""), "", CONCATENATE(" ►", SEED!#REF!)), ")"))</f>
        <v>#REF!</v>
      </c>
    </row>
    <row r="114" spans="2:3" x14ac:dyDescent="0.2">
      <c r="B114" s="37" t="e">
        <f>IF(EXACT(SEED!#REF!, ""), "", SEED!#REF!)</f>
        <v>#REF!</v>
      </c>
      <c r="C114" s="4" t="e">
        <f>IF(EXACT($B114, ""), "", CONCATENATE(SUBSTITUTE(SEED!#REF!, "-", ""), " (", SEED!#REF!, IF(EXACT(SEED!#REF!, ""), "", CONCATENATE(" ►", SEED!#REF!)), ")"))</f>
        <v>#REF!</v>
      </c>
    </row>
    <row r="115" spans="2:3" x14ac:dyDescent="0.2">
      <c r="B115" s="37" t="e">
        <f>IF(EXACT(SEED!#REF!, ""), "", SEED!#REF!)</f>
        <v>#REF!</v>
      </c>
      <c r="C115" s="4" t="e">
        <f>IF(EXACT($B115, ""), "", CONCATENATE(SUBSTITUTE(SEED!#REF!, "-", ""), " (", SEED!#REF!, IF(EXACT(SEED!#REF!, ""), "", CONCATENATE(" ►", SEED!#REF!)), ")"))</f>
        <v>#REF!</v>
      </c>
    </row>
    <row r="116" spans="2:3" x14ac:dyDescent="0.2">
      <c r="B116" s="37" t="e">
        <f>IF(EXACT(SEED!#REF!, ""), "", SEED!#REF!)</f>
        <v>#REF!</v>
      </c>
      <c r="C116" s="4" t="e">
        <f>IF(EXACT($B116, ""), "", CONCATENATE(SUBSTITUTE(SEED!#REF!, "-", ""), " (", SEED!#REF!, IF(EXACT(SEED!#REF!, ""), "", CONCATENATE(" ►", SEED!#REF!)), ")"))</f>
        <v>#REF!</v>
      </c>
    </row>
    <row r="117" spans="2:3" x14ac:dyDescent="0.2">
      <c r="B117" s="37" t="e">
        <f>IF(EXACT(SEED!#REF!, ""), "", SEED!#REF!)</f>
        <v>#REF!</v>
      </c>
      <c r="C117" s="4" t="e">
        <f>IF(EXACT($B117, ""), "", CONCATENATE(SUBSTITUTE(SEED!#REF!, "-", ""), " (", SEED!#REF!, IF(EXACT(SEED!#REF!, ""), "", CONCATENATE(" ►", SEED!#REF!)), ")"))</f>
        <v>#REF!</v>
      </c>
    </row>
    <row r="118" spans="2:3" x14ac:dyDescent="0.2">
      <c r="B118" s="37" t="e">
        <f>IF(EXACT(SEED!#REF!, ""), "", SEED!#REF!)</f>
        <v>#REF!</v>
      </c>
      <c r="C118" s="4" t="e">
        <f>IF(EXACT($B118, ""), "", CONCATENATE(SUBSTITUTE(SEED!#REF!, "-", ""), " (", SEED!#REF!, IF(EXACT(SEED!#REF!, ""), "", CONCATENATE(" ►", SEED!#REF!)), ")"))</f>
        <v>#REF!</v>
      </c>
    </row>
    <row r="119" spans="2:3" x14ac:dyDescent="0.2">
      <c r="B119" s="37" t="e">
        <f>IF(EXACT(SEED!#REF!, ""), "", SEED!#REF!)</f>
        <v>#REF!</v>
      </c>
      <c r="C119" s="4" t="e">
        <f>IF(EXACT($B119, ""), "", CONCATENATE(SUBSTITUTE(SEED!#REF!, "-", ""), " (", SEED!#REF!, IF(EXACT(SEED!#REF!, ""), "", CONCATENATE(" ►", SEED!#REF!)), ")"))</f>
        <v>#REF!</v>
      </c>
    </row>
    <row r="120" spans="2:3" x14ac:dyDescent="0.2">
      <c r="B120" s="37" t="e">
        <f>IF(EXACT(SEED!#REF!, ""), "", SEED!#REF!)</f>
        <v>#REF!</v>
      </c>
      <c r="C120" s="4" t="e">
        <f>IF(EXACT($B120, ""), "", CONCATENATE(SUBSTITUTE(SEED!#REF!, "-", ""), " (", SEED!#REF!, IF(EXACT(SEED!#REF!, ""), "", CONCATENATE(" ►", SEED!#REF!)), ")"))</f>
        <v>#REF!</v>
      </c>
    </row>
    <row r="121" spans="2:3" x14ac:dyDescent="0.2">
      <c r="B121" s="37" t="e">
        <f>IF(EXACT(SEED!#REF!, ""), "", SEED!#REF!)</f>
        <v>#REF!</v>
      </c>
      <c r="C121" s="4" t="e">
        <f>IF(EXACT($B121, ""), "", CONCATENATE(SUBSTITUTE(SEED!#REF!, "-", ""), " (", SEED!#REF!, IF(EXACT(SEED!#REF!, ""), "", CONCATENATE(" ►", SEED!#REF!)), ")"))</f>
        <v>#REF!</v>
      </c>
    </row>
    <row r="122" spans="2:3" x14ac:dyDescent="0.2">
      <c r="B122" s="37" t="e">
        <f>IF(EXACT(SEED!#REF!, ""), "", SEED!#REF!)</f>
        <v>#REF!</v>
      </c>
      <c r="C122" s="4" t="e">
        <f>IF(EXACT($B122, ""), "", CONCATENATE(SUBSTITUTE(SEED!#REF!, "-", ""), " (", SEED!#REF!, IF(EXACT(SEED!#REF!, ""), "", CONCATENATE(" ►", SEED!#REF!)), ")"))</f>
        <v>#REF!</v>
      </c>
    </row>
    <row r="123" spans="2:3" x14ac:dyDescent="0.2">
      <c r="B123" s="37" t="e">
        <f>IF(EXACT(SEED!#REF!, ""), "", SEED!#REF!)</f>
        <v>#REF!</v>
      </c>
      <c r="C123" s="4" t="e">
        <f>IF(EXACT($B123, ""), "", CONCATENATE(SUBSTITUTE(SEED!#REF!, "-", ""), " (", SEED!#REF!, IF(EXACT(SEED!#REF!, ""), "", CONCATENATE(" ►", SEED!#REF!)), ")"))</f>
        <v>#REF!</v>
      </c>
    </row>
    <row r="124" spans="2:3" x14ac:dyDescent="0.2">
      <c r="B124" s="37" t="e">
        <f>IF(EXACT(SEED!#REF!, ""), "", SEED!#REF!)</f>
        <v>#REF!</v>
      </c>
      <c r="C124" s="4" t="e">
        <f>IF(EXACT($B124, ""), "", CONCATENATE(SUBSTITUTE(SEED!#REF!, "-", ""), " (", SEED!#REF!, IF(EXACT(SEED!#REF!, ""), "", CONCATENATE(" ►", SEED!#REF!)), ")"))</f>
        <v>#REF!</v>
      </c>
    </row>
    <row r="125" spans="2:3" x14ac:dyDescent="0.2">
      <c r="B125" s="37" t="e">
        <f>IF(EXACT(SEED!#REF!, ""), "", SEED!#REF!)</f>
        <v>#REF!</v>
      </c>
      <c r="C125" s="4" t="e">
        <f>IF(EXACT($B125, ""), "", CONCATENATE(SUBSTITUTE(SEED!#REF!, "-", ""), " (", SEED!#REF!, IF(EXACT(SEED!#REF!, ""), "", CONCATENATE(" ►", SEED!#REF!)), ")"))</f>
        <v>#REF!</v>
      </c>
    </row>
    <row r="126" spans="2:3" x14ac:dyDescent="0.2">
      <c r="B126" s="37" t="e">
        <f>IF(EXACT(SEED!#REF!, ""), "", SEED!#REF!)</f>
        <v>#REF!</v>
      </c>
      <c r="C126" s="4" t="e">
        <f>IF(EXACT($B126, ""), "", CONCATENATE(SUBSTITUTE(SEED!#REF!, "-", ""), " (", SEED!#REF!, IF(EXACT(SEED!#REF!, ""), "", CONCATENATE(" ►", SEED!#REF!)), ")"))</f>
        <v>#REF!</v>
      </c>
    </row>
    <row r="127" spans="2:3" x14ac:dyDescent="0.2">
      <c r="B127" s="37" t="e">
        <f>IF(EXACT(SEED!#REF!, ""), "", SEED!#REF!)</f>
        <v>#REF!</v>
      </c>
      <c r="C127" s="4" t="e">
        <f>IF(EXACT($B127, ""), "", CONCATENATE(SUBSTITUTE(SEED!#REF!, "-", ""), " (", SEED!#REF!, IF(EXACT(SEED!#REF!, ""), "", CONCATENATE(" ►", SEED!#REF!)), ")"))</f>
        <v>#REF!</v>
      </c>
    </row>
    <row r="128" spans="2:3" x14ac:dyDescent="0.2">
      <c r="B128" s="37" t="e">
        <f>IF(EXACT(SEED!#REF!, ""), "", SEED!#REF!)</f>
        <v>#REF!</v>
      </c>
      <c r="C128" s="4" t="e">
        <f>IF(EXACT($B128, ""), "", CONCATENATE(SUBSTITUTE(SEED!#REF!, "-", ""), " (", SEED!#REF!, IF(EXACT(SEED!#REF!, ""), "", CONCATENATE(" ►", SEED!#REF!)), ")"))</f>
        <v>#REF!</v>
      </c>
    </row>
    <row r="129" spans="2:3" x14ac:dyDescent="0.2">
      <c r="B129" s="37" t="e">
        <f>IF(EXACT(SEED!#REF!, ""), "", SEED!#REF!)</f>
        <v>#REF!</v>
      </c>
      <c r="C129" s="4" t="e">
        <f>IF(EXACT($B129, ""), "", CONCATENATE(SUBSTITUTE(SEED!#REF!, "-", ""), " (", SEED!#REF!, IF(EXACT(SEED!#REF!, ""), "", CONCATENATE(" ►", SEED!#REF!)), ")"))</f>
        <v>#REF!</v>
      </c>
    </row>
    <row r="130" spans="2:3" x14ac:dyDescent="0.2">
      <c r="B130" s="37" t="e">
        <f>IF(EXACT(SEED!#REF!, ""), "", SEED!#REF!)</f>
        <v>#REF!</v>
      </c>
      <c r="C130" s="4" t="e">
        <f>IF(EXACT($B130, ""), "", CONCATENATE(SUBSTITUTE(SEED!#REF!, "-", ""), " (", SEED!#REF!, IF(EXACT(SEED!#REF!, ""), "", CONCATENATE(" ►", SEED!#REF!)), ")"))</f>
        <v>#REF!</v>
      </c>
    </row>
    <row r="131" spans="2:3" x14ac:dyDescent="0.2">
      <c r="B131" s="37" t="e">
        <f>IF(EXACT(SEED!#REF!, ""), "", SEED!#REF!)</f>
        <v>#REF!</v>
      </c>
      <c r="C131" s="4" t="e">
        <f>IF(EXACT($B131, ""), "", CONCATENATE(SUBSTITUTE(SEED!#REF!, "-", ""), " (", SEED!#REF!, IF(EXACT(SEED!#REF!, ""), "", CONCATENATE(" ►", SEED!#REF!)), ")"))</f>
        <v>#REF!</v>
      </c>
    </row>
    <row r="132" spans="2:3" x14ac:dyDescent="0.2">
      <c r="B132" s="37" t="e">
        <f>IF(EXACT(SEED!#REF!, ""), "", SEED!#REF!)</f>
        <v>#REF!</v>
      </c>
      <c r="C132" s="4" t="e">
        <f>IF(EXACT($B132, ""), "", CONCATENATE(SUBSTITUTE(SEED!#REF!, "-", ""), " (", SEED!#REF!, IF(EXACT(SEED!#REF!, ""), "", CONCATENATE(" ►", SEED!#REF!)), ")"))</f>
        <v>#REF!</v>
      </c>
    </row>
    <row r="133" spans="2:3" x14ac:dyDescent="0.2">
      <c r="B133" s="37" t="e">
        <f>IF(EXACT(SEED!#REF!, ""), "", SEED!#REF!)</f>
        <v>#REF!</v>
      </c>
      <c r="C133" s="4" t="e">
        <f>IF(EXACT($B133, ""), "", CONCATENATE(SUBSTITUTE(SEED!#REF!, "-", ""), " (", SEED!#REF!, IF(EXACT(SEED!#REF!, ""), "", CONCATENATE(" ►", SEED!#REF!)), ")"))</f>
        <v>#REF!</v>
      </c>
    </row>
    <row r="134" spans="2:3" x14ac:dyDescent="0.2">
      <c r="B134" s="37" t="e">
        <f>IF(EXACT(SEED!#REF!, ""), "", SEED!#REF!)</f>
        <v>#REF!</v>
      </c>
      <c r="C134" s="4" t="e">
        <f>IF(EXACT($B134, ""), "", CONCATENATE(SUBSTITUTE(SEED!#REF!, "-", ""), " (", SEED!#REF!, IF(EXACT(SEED!#REF!, ""), "", CONCATENATE(" ►", SEED!#REF!)), ")"))</f>
        <v>#REF!</v>
      </c>
    </row>
    <row r="135" spans="2:3" x14ac:dyDescent="0.2">
      <c r="B135" s="37" t="e">
        <f>IF(EXACT(SEED!#REF!, ""), "", SEED!#REF!)</f>
        <v>#REF!</v>
      </c>
      <c r="C135" s="4" t="e">
        <f>IF(EXACT($B135, ""), "", CONCATENATE(SUBSTITUTE(SEED!#REF!, "-", ""), " (", SEED!#REF!, IF(EXACT(SEED!#REF!, ""), "", CONCATENATE(" ►", SEED!#REF!)), ")"))</f>
        <v>#REF!</v>
      </c>
    </row>
    <row r="136" spans="2:3" x14ac:dyDescent="0.2">
      <c r="B136" s="37" t="e">
        <f>IF(EXACT(SEED!#REF!, ""), "", SEED!#REF!)</f>
        <v>#REF!</v>
      </c>
      <c r="C136" s="4" t="e">
        <f>IF(EXACT($B136, ""), "", CONCATENATE(SUBSTITUTE(SEED!#REF!, "-", ""), " (", SEED!#REF!, IF(EXACT(SEED!#REF!, ""), "", CONCATENATE(" ►", SEED!#REF!)), ")"))</f>
        <v>#REF!</v>
      </c>
    </row>
    <row r="137" spans="2:3" x14ac:dyDescent="0.2">
      <c r="B137" s="37" t="e">
        <f>IF(EXACT(SEED!#REF!, ""), "", SEED!#REF!)</f>
        <v>#REF!</v>
      </c>
      <c r="C137" s="4" t="e">
        <f>IF(EXACT($B137, ""), "", CONCATENATE(SUBSTITUTE(SEED!#REF!, "-", ""), " (", SEED!#REF!, IF(EXACT(SEED!#REF!, ""), "", CONCATENATE(" ►", SEED!#REF!)), ")"))</f>
        <v>#REF!</v>
      </c>
    </row>
    <row r="138" spans="2:3" x14ac:dyDescent="0.2">
      <c r="B138" s="37" t="e">
        <f>IF(EXACT(SEED!#REF!, ""), "", SEED!#REF!)</f>
        <v>#REF!</v>
      </c>
      <c r="C138" s="4" t="e">
        <f>IF(EXACT($B138, ""), "", CONCATENATE(SUBSTITUTE(SEED!#REF!, "-", ""), " (", SEED!#REF!, IF(EXACT(SEED!#REF!, ""), "", CONCATENATE(" ►", SEED!#REF!)), ")"))</f>
        <v>#REF!</v>
      </c>
    </row>
    <row r="139" spans="2:3" x14ac:dyDescent="0.2">
      <c r="B139" s="37" t="e">
        <f>IF(EXACT(SEED!#REF!, ""), "", SEED!#REF!)</f>
        <v>#REF!</v>
      </c>
      <c r="C139" s="4" t="e">
        <f>IF(EXACT($B139, ""), "", CONCATENATE(SUBSTITUTE(SEED!#REF!, "-", ""), " (", SEED!#REF!, IF(EXACT(SEED!#REF!, ""), "", CONCATENATE(" ►", SEED!#REF!)), ")"))</f>
        <v>#REF!</v>
      </c>
    </row>
    <row r="140" spans="2:3" x14ac:dyDescent="0.2">
      <c r="B140" s="37" t="e">
        <f>IF(EXACT(SEED!#REF!, ""), "", SEED!#REF!)</f>
        <v>#REF!</v>
      </c>
      <c r="C140" s="4" t="e">
        <f>IF(EXACT($B140, ""), "", CONCATENATE(SUBSTITUTE(SEED!#REF!, "-", ""), " (", SEED!#REF!, IF(EXACT(SEED!#REF!, ""), "", CONCATENATE(" ►", SEED!#REF!)), ")"))</f>
        <v>#REF!</v>
      </c>
    </row>
    <row r="141" spans="2:3" x14ac:dyDescent="0.2">
      <c r="B141" s="37" t="e">
        <f>IF(EXACT(SEED!#REF!, ""), "", SEED!#REF!)</f>
        <v>#REF!</v>
      </c>
      <c r="C141" s="4" t="e">
        <f>IF(EXACT($B141, ""), "", CONCATENATE(SUBSTITUTE(SEED!#REF!, "-", ""), " (", SEED!#REF!, IF(EXACT(SEED!#REF!, ""), "", CONCATENATE(" ►", SEED!#REF!)), ")"))</f>
        <v>#REF!</v>
      </c>
    </row>
    <row r="142" spans="2:3" x14ac:dyDescent="0.2">
      <c r="B142" s="37" t="e">
        <f>IF(EXACT(SEED!#REF!, ""), "", SEED!#REF!)</f>
        <v>#REF!</v>
      </c>
      <c r="C142" s="4" t="e">
        <f>IF(EXACT($B142, ""), "", CONCATENATE(SUBSTITUTE(SEED!#REF!, "-", ""), " (", SEED!#REF!, IF(EXACT(SEED!#REF!, ""), "", CONCATENATE(" ►", SEED!#REF!)), ")"))</f>
        <v>#REF!</v>
      </c>
    </row>
    <row r="143" spans="2:3" x14ac:dyDescent="0.2">
      <c r="B143" s="37" t="e">
        <f>IF(EXACT(SEED!#REF!, ""), "", SEED!#REF!)</f>
        <v>#REF!</v>
      </c>
      <c r="C143" s="4" t="e">
        <f>IF(EXACT($B143, ""), "", CONCATENATE(SUBSTITUTE(SEED!#REF!, "-", ""), " (", SEED!#REF!, IF(EXACT(SEED!#REF!, ""), "", CONCATENATE(" ►", SEED!#REF!)), ")"))</f>
        <v>#REF!</v>
      </c>
    </row>
    <row r="144" spans="2:3" x14ac:dyDescent="0.2">
      <c r="B144" s="37" t="e">
        <f>IF(EXACT(SEED!#REF!, ""), "", SEED!#REF!)</f>
        <v>#REF!</v>
      </c>
      <c r="C144" s="4" t="e">
        <f>IF(EXACT($B144, ""), "", CONCATENATE(SUBSTITUTE(SEED!#REF!, "-", ""), " (", SEED!#REF!, IF(EXACT(SEED!#REF!, ""), "", CONCATENATE(" ►", SEED!#REF!)), ")"))</f>
        <v>#REF!</v>
      </c>
    </row>
    <row r="145" spans="2:3" x14ac:dyDescent="0.2">
      <c r="B145" s="37" t="e">
        <f>IF(EXACT(SEED!#REF!, ""), "", SEED!#REF!)</f>
        <v>#REF!</v>
      </c>
      <c r="C145" s="4" t="e">
        <f>IF(EXACT($B145, ""), "", CONCATENATE(SUBSTITUTE(SEED!#REF!, "-", ""), " (", SEED!#REF!, IF(EXACT(SEED!#REF!, ""), "", CONCATENATE(" ►", SEED!#REF!)), ")"))</f>
        <v>#REF!</v>
      </c>
    </row>
    <row r="146" spans="2:3" x14ac:dyDescent="0.2">
      <c r="B146" s="37" t="e">
        <f>IF(EXACT(SEED!#REF!, ""), "", SEED!#REF!)</f>
        <v>#REF!</v>
      </c>
      <c r="C146" s="4" t="e">
        <f>IF(EXACT($B146, ""), "", CONCATENATE(SUBSTITUTE(SEED!#REF!, "-", ""), " (", SEED!#REF!, IF(EXACT(SEED!#REF!, ""), "", CONCATENATE(" ►", SEED!#REF!)), ")"))</f>
        <v>#REF!</v>
      </c>
    </row>
    <row r="147" spans="2:3" x14ac:dyDescent="0.2">
      <c r="B147" s="37" t="e">
        <f>IF(EXACT(SEED!#REF!, ""), "", SEED!#REF!)</f>
        <v>#REF!</v>
      </c>
      <c r="C147" s="4" t="e">
        <f>IF(EXACT($B147, ""), "", CONCATENATE(SUBSTITUTE(SEED!#REF!, "-", ""), " (", SEED!#REF!, IF(EXACT(SEED!#REF!, ""), "", CONCATENATE(" ►", SEED!#REF!)), ")"))</f>
        <v>#REF!</v>
      </c>
    </row>
    <row r="148" spans="2:3" x14ac:dyDescent="0.2">
      <c r="B148" s="37" t="e">
        <f>IF(EXACT(SEED!#REF!, ""), "", SEED!#REF!)</f>
        <v>#REF!</v>
      </c>
      <c r="C148" s="4" t="e">
        <f>IF(EXACT($B148, ""), "", CONCATENATE(SUBSTITUTE(SEED!#REF!, "-", ""), " (", SEED!#REF!, IF(EXACT(SEED!#REF!, ""), "", CONCATENATE(" ►", SEED!#REF!)), ")"))</f>
        <v>#REF!</v>
      </c>
    </row>
    <row r="149" spans="2:3" x14ac:dyDescent="0.2">
      <c r="B149" s="37" t="e">
        <f>IF(EXACT(SEED!#REF!, ""), "", SEED!#REF!)</f>
        <v>#REF!</v>
      </c>
      <c r="C149" s="4" t="e">
        <f>IF(EXACT($B149, ""), "", CONCATENATE(SUBSTITUTE(SEED!#REF!, "-", ""), " (", SEED!#REF!, IF(EXACT(SEED!#REF!, ""), "", CONCATENATE(" ►", SEED!#REF!)), ")"))</f>
        <v>#REF!</v>
      </c>
    </row>
    <row r="150" spans="2:3" x14ac:dyDescent="0.2">
      <c r="B150" s="37" t="e">
        <f>IF(EXACT(SEED!#REF!, ""), "", SEED!#REF!)</f>
        <v>#REF!</v>
      </c>
      <c r="C150" s="4" t="e">
        <f>IF(EXACT($B150, ""), "", CONCATENATE(SUBSTITUTE(SEED!#REF!, "-", ""), " (", SEED!#REF!, IF(EXACT(SEED!#REF!, ""), "", CONCATENATE(" ►", SEED!#REF!)), ")"))</f>
        <v>#REF!</v>
      </c>
    </row>
    <row r="151" spans="2:3" x14ac:dyDescent="0.2">
      <c r="B151" s="37" t="e">
        <f>IF(EXACT(SEED!#REF!, ""), "", SEED!#REF!)</f>
        <v>#REF!</v>
      </c>
      <c r="C151" s="4" t="e">
        <f>IF(EXACT($B151, ""), "", CONCATENATE(SUBSTITUTE(SEED!#REF!, "-", ""), " (", SEED!#REF!, IF(EXACT(SEED!#REF!, ""), "", CONCATENATE(" ►", SEED!#REF!)), ")"))</f>
        <v>#REF!</v>
      </c>
    </row>
    <row r="152" spans="2:3" x14ac:dyDescent="0.2">
      <c r="B152" s="37" t="e">
        <f>IF(EXACT(SEED!#REF!, ""), "", SEED!#REF!)</f>
        <v>#REF!</v>
      </c>
      <c r="C152" s="4" t="e">
        <f>IF(EXACT($B152, ""), "", CONCATENATE(SUBSTITUTE(SEED!#REF!, "-", ""), " (", SEED!#REF!, IF(EXACT(SEED!#REF!, ""), "", CONCATENATE(" ►", SEED!#REF!)), ")"))</f>
        <v>#REF!</v>
      </c>
    </row>
    <row r="153" spans="2:3" x14ac:dyDescent="0.2">
      <c r="B153" s="37" t="e">
        <f>IF(EXACT(SEED!#REF!, ""), "", SEED!#REF!)</f>
        <v>#REF!</v>
      </c>
      <c r="C153" s="4" t="e">
        <f>IF(EXACT($B153, ""), "", CONCATENATE(SUBSTITUTE(SEED!#REF!, "-", ""), " (", SEED!#REF!, IF(EXACT(SEED!#REF!, ""), "", CONCATENATE(" ►", SEED!#REF!)), ")"))</f>
        <v>#REF!</v>
      </c>
    </row>
    <row r="154" spans="2:3" x14ac:dyDescent="0.2">
      <c r="B154" s="37" t="e">
        <f>IF(EXACT(SEED!#REF!, ""), "", SEED!#REF!)</f>
        <v>#REF!</v>
      </c>
      <c r="C154" s="4" t="e">
        <f>IF(EXACT($B154, ""), "", CONCATENATE(SUBSTITUTE(SEED!#REF!, "-", ""), " (", SEED!#REF!, IF(EXACT(SEED!#REF!, ""), "", CONCATENATE(" ►", SEED!#REF!)), ")"))</f>
        <v>#REF!</v>
      </c>
    </row>
    <row r="155" spans="2:3" x14ac:dyDescent="0.2">
      <c r="B155" s="37" t="e">
        <f>IF(EXACT(SEED!#REF!, ""), "", SEED!#REF!)</f>
        <v>#REF!</v>
      </c>
      <c r="C155" s="4" t="e">
        <f>IF(EXACT($B155, ""), "", CONCATENATE(SUBSTITUTE(SEED!#REF!, "-", ""), " (", SEED!#REF!, IF(EXACT(SEED!#REF!, ""), "", CONCATENATE(" ►", SEED!#REF!)), ")"))</f>
        <v>#REF!</v>
      </c>
    </row>
    <row r="156" spans="2:3" x14ac:dyDescent="0.2">
      <c r="B156" s="37" t="e">
        <f>IF(EXACT(SEED!#REF!, ""), "", SEED!#REF!)</f>
        <v>#REF!</v>
      </c>
      <c r="C156" s="4" t="e">
        <f>IF(EXACT($B156, ""), "", CONCATENATE(SUBSTITUTE(SEED!#REF!, "-", ""), " (", SEED!#REF!, IF(EXACT(SEED!#REF!, ""), "", CONCATENATE(" ►", SEED!#REF!)), ")"))</f>
        <v>#REF!</v>
      </c>
    </row>
    <row r="157" spans="2:3" x14ac:dyDescent="0.2">
      <c r="B157" s="37" t="e">
        <f>IF(EXACT(SEED!#REF!, ""), "", SEED!#REF!)</f>
        <v>#REF!</v>
      </c>
      <c r="C157" s="4" t="e">
        <f>IF(EXACT($B157, ""), "", CONCATENATE(SUBSTITUTE(SEED!#REF!, "-", ""), " (", SEED!#REF!, IF(EXACT(SEED!#REF!, ""), "", CONCATENATE(" ►", SEED!#REF!)), ")"))</f>
        <v>#REF!</v>
      </c>
    </row>
    <row r="158" spans="2:3" x14ac:dyDescent="0.2">
      <c r="B158" s="37" t="e">
        <f>IF(EXACT(SEED!#REF!, ""), "", SEED!#REF!)</f>
        <v>#REF!</v>
      </c>
      <c r="C158" s="4" t="e">
        <f>IF(EXACT($B158, ""), "", CONCATENATE(SUBSTITUTE(SEED!#REF!, "-", ""), " (", SEED!#REF!, IF(EXACT(SEED!#REF!, ""), "", CONCATENATE(" ►", SEED!#REF!)), ")"))</f>
        <v>#REF!</v>
      </c>
    </row>
    <row r="159" spans="2:3" x14ac:dyDescent="0.2">
      <c r="B159" s="37" t="e">
        <f>IF(EXACT(SEED!#REF!, ""), "", SEED!#REF!)</f>
        <v>#REF!</v>
      </c>
      <c r="C159" s="4" t="e">
        <f>IF(EXACT($B159, ""), "", CONCATENATE(SUBSTITUTE(SEED!#REF!, "-", ""), " (", SEED!#REF!, IF(EXACT(SEED!#REF!, ""), "", CONCATENATE(" ►", SEED!#REF!)), ")"))</f>
        <v>#REF!</v>
      </c>
    </row>
    <row r="160" spans="2:3" x14ac:dyDescent="0.2">
      <c r="B160" s="37" t="e">
        <f>IF(EXACT(SEED!#REF!, ""), "", SEED!#REF!)</f>
        <v>#REF!</v>
      </c>
      <c r="C160" s="4" t="e">
        <f>IF(EXACT($B160, ""), "", CONCATENATE(SUBSTITUTE(SEED!#REF!, "-", ""), " (", SEED!#REF!, IF(EXACT(SEED!#REF!, ""), "", CONCATENATE(" ►", SEED!#REF!)), ")"))</f>
        <v>#REF!</v>
      </c>
    </row>
    <row r="161" spans="2:3" x14ac:dyDescent="0.2">
      <c r="B161" s="37" t="e">
        <f>IF(EXACT(SEED!#REF!, ""), "", SEED!#REF!)</f>
        <v>#REF!</v>
      </c>
      <c r="C161" s="4" t="e">
        <f>IF(EXACT($B161, ""), "", CONCATENATE(SUBSTITUTE(SEED!#REF!, "-", ""), " (", SEED!#REF!, IF(EXACT(SEED!#REF!, ""), "", CONCATENATE(" ►", SEED!#REF!)), ")"))</f>
        <v>#REF!</v>
      </c>
    </row>
    <row r="162" spans="2:3" x14ac:dyDescent="0.2">
      <c r="B162" s="37" t="e">
        <f>IF(EXACT(SEED!#REF!, ""), "", SEED!#REF!)</f>
        <v>#REF!</v>
      </c>
      <c r="C162" s="4" t="e">
        <f>IF(EXACT($B162, ""), "", CONCATENATE(SUBSTITUTE(SEED!#REF!, "-", ""), " (", SEED!#REF!, IF(EXACT(SEED!#REF!, ""), "", CONCATENATE(" ►", SEED!#REF!)), ")"))</f>
        <v>#REF!</v>
      </c>
    </row>
    <row r="163" spans="2:3" x14ac:dyDescent="0.2">
      <c r="B163" s="37" t="e">
        <f>IF(EXACT(SEED!#REF!, ""), "", SEED!#REF!)</f>
        <v>#REF!</v>
      </c>
      <c r="C163" s="4" t="e">
        <f>IF(EXACT($B163, ""), "", CONCATENATE(SUBSTITUTE(SEED!#REF!, "-", ""), " (", SEED!#REF!, IF(EXACT(SEED!#REF!, ""), "", CONCATENATE(" ►", SEED!#REF!)), ")"))</f>
        <v>#REF!</v>
      </c>
    </row>
    <row r="164" spans="2:3" x14ac:dyDescent="0.2">
      <c r="B164" s="37" t="e">
        <f>IF(EXACT(SEED!#REF!, ""), "", SEED!#REF!)</f>
        <v>#REF!</v>
      </c>
      <c r="C164" s="4" t="e">
        <f>IF(EXACT($B164, ""), "", CONCATENATE(SUBSTITUTE(SEED!#REF!, "-", ""), " (", SEED!#REF!, IF(EXACT(SEED!#REF!, ""), "", CONCATENATE(" ►", SEED!#REF!)), ")"))</f>
        <v>#REF!</v>
      </c>
    </row>
    <row r="165" spans="2:3" x14ac:dyDescent="0.2">
      <c r="B165" s="37" t="e">
        <f>IF(EXACT(SEED!#REF!, ""), "", SEED!#REF!)</f>
        <v>#REF!</v>
      </c>
      <c r="C165" s="4" t="e">
        <f>IF(EXACT($B165, ""), "", CONCATENATE(SUBSTITUTE(SEED!#REF!, "-", ""), " (", SEED!#REF!, IF(EXACT(SEED!#REF!, ""), "", CONCATENATE(" ►", SEED!#REF!)), ")"))</f>
        <v>#REF!</v>
      </c>
    </row>
    <row r="166" spans="2:3" x14ac:dyDescent="0.2">
      <c r="B166" s="37" t="e">
        <f>IF(EXACT(SEED!#REF!, ""), "", SEED!#REF!)</f>
        <v>#REF!</v>
      </c>
      <c r="C166" s="4" t="e">
        <f>IF(EXACT($B166, ""), "", CONCATENATE(SUBSTITUTE(SEED!#REF!, "-", ""), " (", SEED!#REF!, IF(EXACT(SEED!#REF!, ""), "", CONCATENATE(" ►", SEED!#REF!)), ")"))</f>
        <v>#REF!</v>
      </c>
    </row>
    <row r="167" spans="2:3" x14ac:dyDescent="0.2">
      <c r="B167" s="37" t="e">
        <f>IF(EXACT(SEED!#REF!, ""), "", SEED!#REF!)</f>
        <v>#REF!</v>
      </c>
      <c r="C167" s="4" t="e">
        <f>IF(EXACT($B167, ""), "", CONCATENATE(SUBSTITUTE(SEED!#REF!, "-", ""), " (", SEED!#REF!, IF(EXACT(SEED!#REF!, ""), "", CONCATENATE(" ►", SEED!#REF!)), ")"))</f>
        <v>#REF!</v>
      </c>
    </row>
    <row r="168" spans="2:3" x14ac:dyDescent="0.2">
      <c r="B168" s="37" t="e">
        <f>IF(EXACT(SEED!#REF!, ""), "", SEED!#REF!)</f>
        <v>#REF!</v>
      </c>
      <c r="C168" s="4" t="e">
        <f>IF(EXACT($B168, ""), "", CONCATENATE(SUBSTITUTE(SEED!#REF!, "-", ""), " (", SEED!#REF!, IF(EXACT(SEED!#REF!, ""), "", CONCATENATE(" ►", SEED!#REF!)), ")"))</f>
        <v>#REF!</v>
      </c>
    </row>
    <row r="169" spans="2:3" x14ac:dyDescent="0.2">
      <c r="B169" s="37" t="e">
        <f>IF(EXACT(SEED!#REF!, ""), "", SEED!#REF!)</f>
        <v>#REF!</v>
      </c>
      <c r="C169" s="4" t="e">
        <f>IF(EXACT($B169, ""), "", CONCATENATE(SUBSTITUTE(SEED!#REF!, "-", ""), " (", SEED!#REF!, IF(EXACT(SEED!#REF!, ""), "", CONCATENATE(" ►", SEED!#REF!)), ")"))</f>
        <v>#REF!</v>
      </c>
    </row>
    <row r="170" spans="2:3" x14ac:dyDescent="0.2">
      <c r="B170" s="37" t="e">
        <f>IF(EXACT(SEED!#REF!, ""), "", SEED!#REF!)</f>
        <v>#REF!</v>
      </c>
      <c r="C170" s="4" t="e">
        <f>IF(EXACT($B170, ""), "", CONCATENATE(SUBSTITUTE(SEED!#REF!, "-", ""), " (", SEED!#REF!, IF(EXACT(SEED!#REF!, ""), "", CONCATENATE(" ►", SEED!#REF!)), ")"))</f>
        <v>#REF!</v>
      </c>
    </row>
    <row r="171" spans="2:3" x14ac:dyDescent="0.2">
      <c r="B171" s="37" t="e">
        <f>IF(EXACT(SEED!#REF!, ""), "", SEED!#REF!)</f>
        <v>#REF!</v>
      </c>
      <c r="C171" s="4" t="e">
        <f>IF(EXACT($B171, ""), "", CONCATENATE(SUBSTITUTE(SEED!#REF!, "-", ""), " (", SEED!#REF!, IF(EXACT(SEED!#REF!, ""), "", CONCATENATE(" ►", SEED!#REF!)), ")"))</f>
        <v>#REF!</v>
      </c>
    </row>
    <row r="172" spans="2:3" x14ac:dyDescent="0.2">
      <c r="B172" s="37" t="e">
        <f>IF(EXACT(SEED!#REF!, ""), "", SEED!#REF!)</f>
        <v>#REF!</v>
      </c>
      <c r="C172" s="4" t="e">
        <f>IF(EXACT($B172, ""), "", CONCATENATE(SUBSTITUTE(SEED!#REF!, "-", ""), " (", SEED!#REF!, IF(EXACT(SEED!#REF!, ""), "", CONCATENATE(" ►", SEED!#REF!)), ")"))</f>
        <v>#REF!</v>
      </c>
    </row>
    <row r="173" spans="2:3" x14ac:dyDescent="0.2">
      <c r="B173" s="37" t="e">
        <f>IF(EXACT(SEED!#REF!, ""), "", SEED!#REF!)</f>
        <v>#REF!</v>
      </c>
      <c r="C173" s="4" t="e">
        <f>IF(EXACT($B173, ""), "", CONCATENATE(SUBSTITUTE(SEED!#REF!, "-", ""), " (", SEED!#REF!, IF(EXACT(SEED!#REF!, ""), "", CONCATENATE(" ►", SEED!#REF!)), ")"))</f>
        <v>#REF!</v>
      </c>
    </row>
    <row r="174" spans="2:3" x14ac:dyDescent="0.2">
      <c r="B174" s="37" t="e">
        <f>IF(EXACT(SEED!#REF!, ""), "", SEED!#REF!)</f>
        <v>#REF!</v>
      </c>
      <c r="C174" s="4" t="e">
        <f>IF(EXACT($B174, ""), "", CONCATENATE(SUBSTITUTE(SEED!#REF!, "-", ""), " (", SEED!#REF!, IF(EXACT(SEED!#REF!, ""), "", CONCATENATE(" ►", SEED!#REF!)), ")"))</f>
        <v>#REF!</v>
      </c>
    </row>
    <row r="175" spans="2:3" x14ac:dyDescent="0.2">
      <c r="B175" s="37" t="e">
        <f>IF(EXACT(SEED!#REF!, ""), "", SEED!#REF!)</f>
        <v>#REF!</v>
      </c>
      <c r="C175" s="4" t="e">
        <f>IF(EXACT($B175, ""), "", CONCATENATE(SUBSTITUTE(SEED!#REF!, "-", ""), " (", SEED!#REF!, IF(EXACT(SEED!#REF!, ""), "", CONCATENATE(" ►", SEED!#REF!)), ")"))</f>
        <v>#REF!</v>
      </c>
    </row>
    <row r="176" spans="2:3" x14ac:dyDescent="0.2">
      <c r="B176" s="37" t="e">
        <f>IF(EXACT(SEED!#REF!, ""), "", SEED!#REF!)</f>
        <v>#REF!</v>
      </c>
      <c r="C176" s="4" t="e">
        <f>IF(EXACT($B176, ""), "", CONCATENATE(SUBSTITUTE(SEED!#REF!, "-", ""), " (", SEED!#REF!, IF(EXACT(SEED!#REF!, ""), "", CONCATENATE(" ►", SEED!#REF!)), ")"))</f>
        <v>#REF!</v>
      </c>
    </row>
    <row r="177" spans="2:3" x14ac:dyDescent="0.2">
      <c r="B177" s="37" t="e">
        <f>IF(EXACT(SEED!#REF!, ""), "", SEED!#REF!)</f>
        <v>#REF!</v>
      </c>
      <c r="C177" s="4" t="e">
        <f>IF(EXACT($B177, ""), "", CONCATENATE(SUBSTITUTE(SEED!#REF!, "-", ""), " (", SEED!#REF!, IF(EXACT(SEED!#REF!, ""), "", CONCATENATE(" ►", SEED!#REF!)), ")"))</f>
        <v>#REF!</v>
      </c>
    </row>
    <row r="178" spans="2:3" x14ac:dyDescent="0.2">
      <c r="B178" s="37" t="e">
        <f>IF(EXACT(SEED!#REF!, ""), "", SEED!#REF!)</f>
        <v>#REF!</v>
      </c>
      <c r="C178" s="4" t="e">
        <f>IF(EXACT($B178, ""), "", CONCATENATE(SUBSTITUTE(SEED!#REF!, "-", ""), " (", SEED!#REF!, IF(EXACT(SEED!#REF!, ""), "", CONCATENATE(" ►", SEED!#REF!)), ")"))</f>
        <v>#REF!</v>
      </c>
    </row>
    <row r="179" spans="2:3" x14ac:dyDescent="0.2">
      <c r="B179" s="37" t="e">
        <f>IF(EXACT(SEED!#REF!, ""), "", SEED!#REF!)</f>
        <v>#REF!</v>
      </c>
      <c r="C179" s="4" t="e">
        <f>IF(EXACT($B179, ""), "", CONCATENATE(SUBSTITUTE(SEED!#REF!, "-", ""), " (", SEED!#REF!, IF(EXACT(SEED!#REF!, ""), "", CONCATENATE(" ►", SEED!#REF!)), ")"))</f>
        <v>#REF!</v>
      </c>
    </row>
    <row r="180" spans="2:3" x14ac:dyDescent="0.2">
      <c r="B180" s="37" t="e">
        <f>IF(EXACT(SEED!#REF!, ""), "", SEED!#REF!)</f>
        <v>#REF!</v>
      </c>
      <c r="C180" s="4" t="e">
        <f>IF(EXACT($B180, ""), "", CONCATENATE(SUBSTITUTE(SEED!#REF!, "-", ""), " (", SEED!#REF!, IF(EXACT(SEED!#REF!, ""), "", CONCATENATE(" ►", SEED!#REF!)), ")"))</f>
        <v>#REF!</v>
      </c>
    </row>
    <row r="181" spans="2:3" x14ac:dyDescent="0.2">
      <c r="B181" s="37" t="e">
        <f>IF(EXACT(SEED!#REF!, ""), "", SEED!#REF!)</f>
        <v>#REF!</v>
      </c>
      <c r="C181" s="4" t="e">
        <f>IF(EXACT($B181, ""), "", CONCATENATE(SUBSTITUTE(SEED!#REF!, "-", ""), " (", SEED!#REF!, IF(EXACT(SEED!#REF!, ""), "", CONCATENATE(" ►", SEED!#REF!)), ")"))</f>
        <v>#REF!</v>
      </c>
    </row>
    <row r="182" spans="2:3" x14ac:dyDescent="0.2">
      <c r="B182" s="37" t="e">
        <f>IF(EXACT(SEED!#REF!, ""), "", SEED!#REF!)</f>
        <v>#REF!</v>
      </c>
      <c r="C182" s="4" t="e">
        <f>IF(EXACT($B182, ""), "", CONCATENATE(SUBSTITUTE(SEED!#REF!, "-", ""), " (", SEED!#REF!, IF(EXACT(SEED!#REF!, ""), "", CONCATENATE(" ►", SEED!#REF!)), ")"))</f>
        <v>#REF!</v>
      </c>
    </row>
    <row r="183" spans="2:3" x14ac:dyDescent="0.2">
      <c r="B183" s="37" t="e">
        <f>IF(EXACT(SEED!#REF!, ""), "", SEED!#REF!)</f>
        <v>#REF!</v>
      </c>
      <c r="C183" s="4" t="e">
        <f>IF(EXACT($B183, ""), "", CONCATENATE(SUBSTITUTE(SEED!#REF!, "-", ""), " (", SEED!#REF!, IF(EXACT(SEED!#REF!, ""), "", CONCATENATE(" ►", SEED!#REF!)), ")"))</f>
        <v>#REF!</v>
      </c>
    </row>
    <row r="184" spans="2:3" x14ac:dyDescent="0.2">
      <c r="B184" s="37" t="e">
        <f>IF(EXACT(SEED!#REF!, ""), "", SEED!#REF!)</f>
        <v>#REF!</v>
      </c>
      <c r="C184" s="4" t="e">
        <f>IF(EXACT($B184, ""), "", CONCATENATE(SUBSTITUTE(SEED!#REF!, "-", ""), " (", SEED!#REF!, IF(EXACT(SEED!#REF!, ""), "", CONCATENATE(" ►", SEED!#REF!)), ")"))</f>
        <v>#REF!</v>
      </c>
    </row>
    <row r="185" spans="2:3" x14ac:dyDescent="0.2">
      <c r="B185" s="37" t="e">
        <f>IF(EXACT(SEED!#REF!, ""), "", SEED!#REF!)</f>
        <v>#REF!</v>
      </c>
      <c r="C185" s="4" t="e">
        <f>IF(EXACT($B185, ""), "", CONCATENATE(SUBSTITUTE(SEED!#REF!, "-", ""), " (", SEED!#REF!, IF(EXACT(SEED!#REF!, ""), "", CONCATENATE(" ►", SEED!#REF!)), ")"))</f>
        <v>#REF!</v>
      </c>
    </row>
    <row r="186" spans="2:3" x14ac:dyDescent="0.2">
      <c r="B186" s="37" t="e">
        <f>IF(EXACT(SEED!#REF!, ""), "", SEED!#REF!)</f>
        <v>#REF!</v>
      </c>
      <c r="C186" s="4" t="e">
        <f>IF(EXACT($B186, ""), "", CONCATENATE(SUBSTITUTE(SEED!#REF!, "-", ""), " (", SEED!#REF!, IF(EXACT(SEED!#REF!, ""), "", CONCATENATE(" ►", SEED!#REF!)), ")"))</f>
        <v>#REF!</v>
      </c>
    </row>
    <row r="187" spans="2:3" x14ac:dyDescent="0.2">
      <c r="B187" s="37" t="e">
        <f>IF(EXACT(SEED!#REF!, ""), "", SEED!#REF!)</f>
        <v>#REF!</v>
      </c>
      <c r="C187" s="4" t="e">
        <f>IF(EXACT($B187, ""), "", CONCATENATE(SUBSTITUTE(SEED!#REF!, "-", ""), " (", SEED!#REF!, IF(EXACT(SEED!#REF!, ""), "", CONCATENATE(" ►", SEED!#REF!)), ")"))</f>
        <v>#REF!</v>
      </c>
    </row>
    <row r="188" spans="2:3" x14ac:dyDescent="0.2">
      <c r="B188" s="37" t="e">
        <f>IF(EXACT(SEED!#REF!, ""), "", SEED!#REF!)</f>
        <v>#REF!</v>
      </c>
      <c r="C188" s="4" t="e">
        <f>IF(EXACT($B188, ""), "", CONCATENATE(SUBSTITUTE(SEED!#REF!, "-", ""), " (", SEED!#REF!, IF(EXACT(SEED!#REF!, ""), "", CONCATENATE(" ►", SEED!#REF!)), ")"))</f>
        <v>#REF!</v>
      </c>
    </row>
    <row r="189" spans="2:3" x14ac:dyDescent="0.2">
      <c r="B189" s="37" t="e">
        <f>IF(EXACT(SEED!#REF!, ""), "", SEED!#REF!)</f>
        <v>#REF!</v>
      </c>
      <c r="C189" s="4" t="e">
        <f>IF(EXACT($B189, ""), "", CONCATENATE(SUBSTITUTE(SEED!#REF!, "-", ""), " (", SEED!#REF!, IF(EXACT(SEED!#REF!, ""), "", CONCATENATE(" ►", SEED!#REF!)), ")"))</f>
        <v>#REF!</v>
      </c>
    </row>
    <row r="190" spans="2:3" x14ac:dyDescent="0.2">
      <c r="B190" s="37" t="e">
        <f>IF(EXACT(SEED!#REF!, ""), "", SEED!#REF!)</f>
        <v>#REF!</v>
      </c>
      <c r="C190" s="4" t="e">
        <f>IF(EXACT($B190, ""), "", CONCATENATE(SUBSTITUTE(SEED!#REF!, "-", ""), " (", SEED!#REF!, IF(EXACT(SEED!#REF!, ""), "", CONCATENATE(" ►", SEED!#REF!)), ")"))</f>
        <v>#REF!</v>
      </c>
    </row>
    <row r="191" spans="2:3" x14ac:dyDescent="0.2">
      <c r="B191" s="37" t="e">
        <f>IF(EXACT(SEED!#REF!, ""), "", SEED!#REF!)</f>
        <v>#REF!</v>
      </c>
      <c r="C191" s="4" t="e">
        <f>IF(EXACT($B191, ""), "", CONCATENATE(SUBSTITUTE(SEED!#REF!, "-", ""), " (", SEED!#REF!, IF(EXACT(SEED!#REF!, ""), "", CONCATENATE(" ►", SEED!#REF!)), ")"))</f>
        <v>#REF!</v>
      </c>
    </row>
    <row r="192" spans="2:3" x14ac:dyDescent="0.2">
      <c r="B192" s="37" t="e">
        <f>IF(EXACT(SEED!#REF!, ""), "", SEED!#REF!)</f>
        <v>#REF!</v>
      </c>
      <c r="C192" s="4" t="e">
        <f>IF(EXACT($B192, ""), "", CONCATENATE(SUBSTITUTE(SEED!#REF!, "-", ""), " (", SEED!#REF!, IF(EXACT(SEED!#REF!, ""), "", CONCATENATE(" ►", SEED!#REF!)), ")"))</f>
        <v>#REF!</v>
      </c>
    </row>
    <row r="193" spans="2:3" x14ac:dyDescent="0.2">
      <c r="B193" s="37" t="e">
        <f>IF(EXACT(SEED!#REF!, ""), "", SEED!#REF!)</f>
        <v>#REF!</v>
      </c>
      <c r="C193" s="4" t="e">
        <f>IF(EXACT($B193, ""), "", CONCATENATE(SUBSTITUTE(SEED!#REF!, "-", ""), " (", SEED!#REF!, IF(EXACT(SEED!#REF!, ""), "", CONCATENATE(" ►", SEED!#REF!)), ")"))</f>
        <v>#REF!</v>
      </c>
    </row>
    <row r="194" spans="2:3" x14ac:dyDescent="0.2">
      <c r="B194" s="37" t="e">
        <f>IF(EXACT(SEED!#REF!, ""), "", SEED!#REF!)</f>
        <v>#REF!</v>
      </c>
      <c r="C194" s="4" t="e">
        <f>IF(EXACT($B194, ""), "", CONCATENATE(SUBSTITUTE(SEED!#REF!, "-", ""), " (", SEED!#REF!, IF(EXACT(SEED!#REF!, ""), "", CONCATENATE(" ►", SEED!#REF!)), ")"))</f>
        <v>#REF!</v>
      </c>
    </row>
    <row r="195" spans="2:3" x14ac:dyDescent="0.2">
      <c r="B195" s="37" t="e">
        <f>IF(EXACT(SEED!#REF!, ""), "", SEED!#REF!)</f>
        <v>#REF!</v>
      </c>
      <c r="C195" s="4" t="e">
        <f>IF(EXACT($B195, ""), "", CONCATENATE(SUBSTITUTE(SEED!#REF!, "-", ""), " (", SEED!#REF!, IF(EXACT(SEED!#REF!, ""), "", CONCATENATE(" ►", SEED!#REF!)), ")"))</f>
        <v>#REF!</v>
      </c>
    </row>
    <row r="196" spans="2:3" x14ac:dyDescent="0.2">
      <c r="B196" s="37" t="e">
        <f>IF(EXACT(SEED!#REF!, ""), "", SEED!#REF!)</f>
        <v>#REF!</v>
      </c>
      <c r="C196" s="4" t="e">
        <f>IF(EXACT($B196, ""), "", CONCATENATE(SUBSTITUTE(SEED!#REF!, "-", ""), " (", SEED!#REF!, IF(EXACT(SEED!#REF!, ""), "", CONCATENATE(" ►", SEED!#REF!)), ")"))</f>
        <v>#REF!</v>
      </c>
    </row>
    <row r="197" spans="2:3" x14ac:dyDescent="0.2">
      <c r="B197" s="37" t="e">
        <f>IF(EXACT(SEED!#REF!, ""), "", SEED!#REF!)</f>
        <v>#REF!</v>
      </c>
      <c r="C197" s="4" t="e">
        <f>IF(EXACT($B197, ""), "", CONCATENATE(SUBSTITUTE(SEED!#REF!, "-", ""), " (", SEED!#REF!, IF(EXACT(SEED!#REF!, ""), "", CONCATENATE(" ►", SEED!#REF!)), ")"))</f>
        <v>#REF!</v>
      </c>
    </row>
    <row r="198" spans="2:3" x14ac:dyDescent="0.2">
      <c r="B198" s="37" t="e">
        <f>IF(EXACT(SEED!#REF!, ""), "", SEED!#REF!)</f>
        <v>#REF!</v>
      </c>
      <c r="C198" s="4" t="e">
        <f>IF(EXACT($B198, ""), "", CONCATENATE(SUBSTITUTE(SEED!#REF!, "-", ""), " (", SEED!#REF!, IF(EXACT(SEED!#REF!, ""), "", CONCATENATE(" ►", SEED!#REF!)), ")"))</f>
        <v>#REF!</v>
      </c>
    </row>
    <row r="199" spans="2:3" x14ac:dyDescent="0.2">
      <c r="B199" s="37" t="e">
        <f>IF(EXACT(SEED!#REF!, ""), "", SEED!#REF!)</f>
        <v>#REF!</v>
      </c>
      <c r="C199" s="4" t="e">
        <f>IF(EXACT($B199, ""), "", CONCATENATE(SUBSTITUTE(SEED!#REF!, "-", ""), " (", SEED!#REF!, IF(EXACT(SEED!#REF!, ""), "", CONCATENATE(" ►", SEED!#REF!)), ")"))</f>
        <v>#REF!</v>
      </c>
    </row>
    <row r="200" spans="2:3" x14ac:dyDescent="0.2">
      <c r="B200" s="37" t="e">
        <f>IF(EXACT(SEED!#REF!, ""), "", SEED!#REF!)</f>
        <v>#REF!</v>
      </c>
      <c r="C200" s="4" t="e">
        <f>IF(EXACT($B200, ""), "", CONCATENATE(SUBSTITUTE(SEED!#REF!, "-", ""), " (", SEED!#REF!, IF(EXACT(SEED!#REF!, ""), "", CONCATENATE(" ►", SEED!#REF!)), ")"))</f>
        <v>#REF!</v>
      </c>
    </row>
    <row r="201" spans="2:3" x14ac:dyDescent="0.2">
      <c r="B201" s="37" t="e">
        <f>IF(EXACT(SEED!#REF!, ""), "", SEED!#REF!)</f>
        <v>#REF!</v>
      </c>
      <c r="C201" s="4" t="e">
        <f>IF(EXACT($B201, ""), "", CONCATENATE(SUBSTITUTE(SEED!#REF!, "-", ""), " (", SEED!#REF!, IF(EXACT(SEED!#REF!, ""), "", CONCATENATE(" ►", SEED!#REF!)), ")"))</f>
        <v>#REF!</v>
      </c>
    </row>
    <row r="202" spans="2:3" x14ac:dyDescent="0.2">
      <c r="B202" s="37" t="e">
        <f>IF(EXACT(SEED!#REF!, ""), "", SEED!#REF!)</f>
        <v>#REF!</v>
      </c>
      <c r="C202" s="4" t="e">
        <f>IF(EXACT($B202, ""), "", CONCATENATE(SUBSTITUTE(SEED!#REF!, "-", ""), " (", SEED!#REF!, IF(EXACT(SEED!#REF!, ""), "", CONCATENATE(" ►", SEED!#REF!)), ")"))</f>
        <v>#REF!</v>
      </c>
    </row>
    <row r="203" spans="2:3" x14ac:dyDescent="0.2">
      <c r="B203" s="37" t="e">
        <f>IF(EXACT(SEED!#REF!, ""), "", SEED!#REF!)</f>
        <v>#REF!</v>
      </c>
      <c r="C203" s="4" t="e">
        <f>IF(EXACT($B203, ""), "", CONCATENATE(SUBSTITUTE(SEED!#REF!, "-", ""), " (", SEED!#REF!, IF(EXACT(SEED!#REF!, ""), "", CONCATENATE(" ►", SEED!#REF!)), ")"))</f>
        <v>#REF!</v>
      </c>
    </row>
    <row r="204" spans="2:3" x14ac:dyDescent="0.2">
      <c r="B204" s="37" t="e">
        <f>IF(EXACT(SEED!#REF!, ""), "", SEED!#REF!)</f>
        <v>#REF!</v>
      </c>
      <c r="C204" s="4" t="e">
        <f>IF(EXACT($B204, ""), "", CONCATENATE(SUBSTITUTE(SEED!#REF!, "-", ""), " (", SEED!#REF!, IF(EXACT(SEED!#REF!, ""), "", CONCATENATE(" ►", SEED!#REF!)), ")"))</f>
        <v>#REF!</v>
      </c>
    </row>
    <row r="205" spans="2:3" x14ac:dyDescent="0.2">
      <c r="B205" s="37" t="e">
        <f>IF(EXACT(SEED!#REF!, ""), "", SEED!#REF!)</f>
        <v>#REF!</v>
      </c>
      <c r="C205" s="4" t="e">
        <f>IF(EXACT($B205, ""), "", CONCATENATE(SUBSTITUTE(SEED!#REF!, "-", ""), " (", SEED!#REF!, IF(EXACT(SEED!#REF!, ""), "", CONCATENATE(" ►", SEED!#REF!)), ")"))</f>
        <v>#REF!</v>
      </c>
    </row>
    <row r="206" spans="2:3" x14ac:dyDescent="0.2">
      <c r="B206" s="37" t="e">
        <f>IF(EXACT(SEED!#REF!, ""), "", SEED!#REF!)</f>
        <v>#REF!</v>
      </c>
      <c r="C206" s="4" t="e">
        <f>IF(EXACT($B206, ""), "", CONCATENATE(SUBSTITUTE(SEED!#REF!, "-", ""), " (", SEED!#REF!, IF(EXACT(SEED!#REF!, ""), "", CONCATENATE(" ►", SEED!#REF!)), ")"))</f>
        <v>#REF!</v>
      </c>
    </row>
    <row r="207" spans="2:3" x14ac:dyDescent="0.2">
      <c r="B207" s="37" t="e">
        <f>IF(EXACT(SEED!#REF!, ""), "", SEED!#REF!)</f>
        <v>#REF!</v>
      </c>
      <c r="C207" s="4" t="e">
        <f>IF(EXACT($B207, ""), "", CONCATENATE(SUBSTITUTE(SEED!#REF!, "-", ""), " (", SEED!#REF!, IF(EXACT(SEED!#REF!, ""), "", CONCATENATE(" ►", SEED!#REF!)), ")"))</f>
        <v>#REF!</v>
      </c>
    </row>
    <row r="208" spans="2:3" x14ac:dyDescent="0.2">
      <c r="B208" s="37" t="e">
        <f>IF(EXACT(SEED!#REF!, ""), "", SEED!#REF!)</f>
        <v>#REF!</v>
      </c>
      <c r="C208" s="4" t="e">
        <f>IF(EXACT($B208, ""), "", CONCATENATE(SUBSTITUTE(SEED!#REF!, "-", ""), " (", SEED!#REF!, IF(EXACT(SEED!#REF!, ""), "", CONCATENATE(" ►", SEED!#REF!)), ")"))</f>
        <v>#REF!</v>
      </c>
    </row>
    <row r="209" spans="2:3" x14ac:dyDescent="0.2">
      <c r="B209" s="37" t="e">
        <f>IF(EXACT(SEED!#REF!, ""), "", SEED!#REF!)</f>
        <v>#REF!</v>
      </c>
      <c r="C209" s="4" t="e">
        <f>IF(EXACT($B209, ""), "", CONCATENATE(SUBSTITUTE(SEED!#REF!, "-", ""), " (", SEED!#REF!, IF(EXACT(SEED!#REF!, ""), "", CONCATENATE(" ►", SEED!#REF!)), ")"))</f>
        <v>#REF!</v>
      </c>
    </row>
    <row r="210" spans="2:3" x14ac:dyDescent="0.2">
      <c r="B210" s="37" t="e">
        <f>IF(EXACT(SEED!#REF!, ""), "", SEED!#REF!)</f>
        <v>#REF!</v>
      </c>
      <c r="C210" s="4" t="e">
        <f>IF(EXACT($B210, ""), "", CONCATENATE(SUBSTITUTE(SEED!#REF!, "-", ""), " (", SEED!#REF!, IF(EXACT(SEED!#REF!, ""), "", CONCATENATE(" ►", SEED!#REF!)), ")"))</f>
        <v>#REF!</v>
      </c>
    </row>
    <row r="211" spans="2:3" x14ac:dyDescent="0.2">
      <c r="B211" s="37" t="e">
        <f>IF(EXACT(SEED!#REF!, ""), "", SEED!#REF!)</f>
        <v>#REF!</v>
      </c>
      <c r="C211" s="4" t="e">
        <f>IF(EXACT($B211, ""), "", CONCATENATE(SUBSTITUTE(SEED!#REF!, "-", ""), " (", SEED!#REF!, IF(EXACT(SEED!#REF!, ""), "", CONCATENATE(" ►", SEED!#REF!)), ")"))</f>
        <v>#REF!</v>
      </c>
    </row>
    <row r="212" spans="2:3" x14ac:dyDescent="0.2">
      <c r="B212" s="37" t="e">
        <f>IF(EXACT(SEED!#REF!, ""), "", SEED!#REF!)</f>
        <v>#REF!</v>
      </c>
      <c r="C212" s="4" t="e">
        <f>IF(EXACT($B212, ""), "", CONCATENATE(SUBSTITUTE(SEED!#REF!, "-", ""), " (", SEED!#REF!, IF(EXACT(SEED!#REF!, ""), "", CONCATENATE(" ►", SEED!#REF!)), ")"))</f>
        <v>#REF!</v>
      </c>
    </row>
    <row r="213" spans="2:3" x14ac:dyDescent="0.2">
      <c r="B213" s="37" t="e">
        <f>IF(EXACT(SEED!#REF!, ""), "", SEED!#REF!)</f>
        <v>#REF!</v>
      </c>
      <c r="C213" s="4" t="e">
        <f>IF(EXACT($B213, ""), "", CONCATENATE(SUBSTITUTE(SEED!#REF!, "-", ""), " (", SEED!#REF!, IF(EXACT(SEED!#REF!, ""), "", CONCATENATE(" ►", SEED!#REF!)), ")"))</f>
        <v>#REF!</v>
      </c>
    </row>
    <row r="214" spans="2:3" x14ac:dyDescent="0.2">
      <c r="B214" s="37" t="e">
        <f>IF(EXACT(SEED!#REF!, ""), "", SEED!#REF!)</f>
        <v>#REF!</v>
      </c>
      <c r="C214" s="4" t="e">
        <f>IF(EXACT($B214, ""), "", CONCATENATE(SUBSTITUTE(SEED!#REF!, "-", ""), " (", SEED!#REF!, IF(EXACT(SEED!#REF!, ""), "", CONCATENATE(" ►", SEED!#REF!)), ")"))</f>
        <v>#REF!</v>
      </c>
    </row>
    <row r="215" spans="2:3" x14ac:dyDescent="0.2">
      <c r="B215" s="37" t="e">
        <f>IF(EXACT(SEED!#REF!, ""), "", SEED!#REF!)</f>
        <v>#REF!</v>
      </c>
      <c r="C215" s="4" t="e">
        <f>IF(EXACT($B215, ""), "", CONCATENATE(SUBSTITUTE(SEED!#REF!, "-", ""), " (", SEED!#REF!, IF(EXACT(SEED!#REF!, ""), "", CONCATENATE(" ►", SEED!#REF!)), ")"))</f>
        <v>#REF!</v>
      </c>
    </row>
    <row r="216" spans="2:3" x14ac:dyDescent="0.2">
      <c r="B216" s="37" t="e">
        <f>IF(EXACT(SEED!#REF!, ""), "", SEED!#REF!)</f>
        <v>#REF!</v>
      </c>
      <c r="C216" s="4" t="e">
        <f>IF(EXACT($B216, ""), "", CONCATENATE(SUBSTITUTE(SEED!#REF!, "-", ""), " (", SEED!#REF!, IF(EXACT(SEED!#REF!, ""), "", CONCATENATE(" ►", SEED!#REF!)), ")"))</f>
        <v>#REF!</v>
      </c>
    </row>
    <row r="217" spans="2:3" x14ac:dyDescent="0.2">
      <c r="B217" s="37" t="e">
        <f>IF(EXACT(SEED!#REF!, ""), "", SEED!#REF!)</f>
        <v>#REF!</v>
      </c>
      <c r="C217" s="4" t="e">
        <f>IF(EXACT($B217, ""), "", CONCATENATE(SUBSTITUTE(SEED!#REF!, "-", ""), " (", SEED!#REF!, IF(EXACT(SEED!#REF!, ""), "", CONCATENATE(" ►", SEED!#REF!)), ")"))</f>
        <v>#REF!</v>
      </c>
    </row>
    <row r="218" spans="2:3" x14ac:dyDescent="0.2">
      <c r="B218" s="37" t="e">
        <f>IF(EXACT(SEED!#REF!, ""), "", SEED!#REF!)</f>
        <v>#REF!</v>
      </c>
      <c r="C218" s="4" t="e">
        <f>IF(EXACT($B218, ""), "", CONCATENATE(SUBSTITUTE(SEED!#REF!, "-", ""), " (", SEED!#REF!, IF(EXACT(SEED!#REF!, ""), "", CONCATENATE(" ►", SEED!#REF!)), ")"))</f>
        <v>#REF!</v>
      </c>
    </row>
    <row r="219" spans="2:3" x14ac:dyDescent="0.2">
      <c r="B219" s="37" t="e">
        <f>IF(EXACT(SEED!#REF!, ""), "", SEED!#REF!)</f>
        <v>#REF!</v>
      </c>
      <c r="C219" s="4" t="e">
        <f>IF(EXACT($B219, ""), "", CONCATENATE(SUBSTITUTE(SEED!#REF!, "-", ""), " (", SEED!#REF!, IF(EXACT(SEED!#REF!, ""), "", CONCATENATE(" ►", SEED!#REF!)), ")"))</f>
        <v>#REF!</v>
      </c>
    </row>
    <row r="220" spans="2:3" x14ac:dyDescent="0.2">
      <c r="B220" s="37" t="e">
        <f>IF(EXACT(SEED!#REF!, ""), "", SEED!#REF!)</f>
        <v>#REF!</v>
      </c>
      <c r="C220" s="4" t="e">
        <f>IF(EXACT($B220, ""), "", CONCATENATE(SUBSTITUTE(SEED!#REF!, "-", ""), " (", SEED!#REF!, IF(EXACT(SEED!#REF!, ""), "", CONCATENATE(" ►", SEED!#REF!)), ")"))</f>
        <v>#REF!</v>
      </c>
    </row>
    <row r="221" spans="2:3" x14ac:dyDescent="0.2">
      <c r="B221" s="37" t="e">
        <f>IF(EXACT(SEED!#REF!, ""), "", SEED!#REF!)</f>
        <v>#REF!</v>
      </c>
      <c r="C221" s="4" t="e">
        <f>IF(EXACT($B221, ""), "", CONCATENATE(SUBSTITUTE(SEED!#REF!, "-", ""), " (", SEED!#REF!, IF(EXACT(SEED!#REF!, ""), "", CONCATENATE(" ►", SEED!#REF!)), ")"))</f>
        <v>#REF!</v>
      </c>
    </row>
    <row r="222" spans="2:3" x14ac:dyDescent="0.2">
      <c r="B222" s="37" t="e">
        <f>IF(EXACT(SEED!#REF!, ""), "", SEED!#REF!)</f>
        <v>#REF!</v>
      </c>
      <c r="C222" s="4" t="e">
        <f>IF(EXACT($B222, ""), "", CONCATENATE(SUBSTITUTE(SEED!#REF!, "-", ""), " (", SEED!#REF!, IF(EXACT(SEED!#REF!, ""), "", CONCATENATE(" ►", SEED!#REF!)), ")"))</f>
        <v>#REF!</v>
      </c>
    </row>
    <row r="223" spans="2:3" x14ac:dyDescent="0.2">
      <c r="B223" s="37" t="e">
        <f>IF(EXACT(SEED!#REF!, ""), "", SEED!#REF!)</f>
        <v>#REF!</v>
      </c>
      <c r="C223" s="4" t="e">
        <f>IF(EXACT($B223, ""), "", CONCATENATE(SUBSTITUTE(SEED!#REF!, "-", ""), " (", SEED!#REF!, IF(EXACT(SEED!#REF!, ""), "", CONCATENATE(" ►", SEED!#REF!)), ")"))</f>
        <v>#REF!</v>
      </c>
    </row>
    <row r="224" spans="2:3" x14ac:dyDescent="0.2">
      <c r="B224" s="37" t="e">
        <f>IF(EXACT(SEED!#REF!, ""), "", SEED!#REF!)</f>
        <v>#REF!</v>
      </c>
      <c r="C224" s="4" t="e">
        <f>IF(EXACT($B224, ""), "", CONCATENATE(SUBSTITUTE(SEED!#REF!, "-", ""), " (", SEED!#REF!, IF(EXACT(SEED!#REF!, ""), "", CONCATENATE(" ►", SEED!#REF!)), ")"))</f>
        <v>#REF!</v>
      </c>
    </row>
    <row r="225" spans="2:3" x14ac:dyDescent="0.2">
      <c r="B225" s="37" t="e">
        <f>IF(EXACT(SEED!#REF!, ""), "", SEED!#REF!)</f>
        <v>#REF!</v>
      </c>
      <c r="C225" s="4" t="e">
        <f>IF(EXACT($B225, ""), "", CONCATENATE(SUBSTITUTE(SEED!#REF!, "-", ""), " (", SEED!#REF!, IF(EXACT(SEED!#REF!, ""), "", CONCATENATE(" ►", SEED!#REF!)), ")"))</f>
        <v>#REF!</v>
      </c>
    </row>
    <row r="226" spans="2:3" x14ac:dyDescent="0.2">
      <c r="B226" s="37" t="e">
        <f>IF(EXACT(SEED!#REF!, ""), "", SEED!#REF!)</f>
        <v>#REF!</v>
      </c>
      <c r="C226" s="4" t="e">
        <f>IF(EXACT($B226, ""), "", CONCATENATE(SUBSTITUTE(SEED!#REF!, "-", ""), " (", SEED!#REF!, IF(EXACT(SEED!#REF!, ""), "", CONCATENATE(" ►", SEED!#REF!)), ")"))</f>
        <v>#REF!</v>
      </c>
    </row>
    <row r="227" spans="2:3" x14ac:dyDescent="0.2">
      <c r="B227" s="37" t="e">
        <f>IF(EXACT(SEED!#REF!, ""), "", SEED!#REF!)</f>
        <v>#REF!</v>
      </c>
      <c r="C227" s="4" t="e">
        <f>IF(EXACT($B227, ""), "", CONCATENATE(SUBSTITUTE(SEED!#REF!, "-", ""), " (", SEED!#REF!, IF(EXACT(SEED!#REF!, ""), "", CONCATENATE(" ►", SEED!#REF!)), ")"))</f>
        <v>#REF!</v>
      </c>
    </row>
    <row r="228" spans="2:3" x14ac:dyDescent="0.2">
      <c r="B228" s="37" t="e">
        <f>IF(EXACT(SEED!#REF!, ""), "", SEED!#REF!)</f>
        <v>#REF!</v>
      </c>
      <c r="C228" s="4" t="e">
        <f>IF(EXACT($B228, ""), "", CONCATENATE(SUBSTITUTE(SEED!#REF!, "-", ""), " (", SEED!#REF!, IF(EXACT(SEED!#REF!, ""), "", CONCATENATE(" ►", SEED!#REF!)), ")"))</f>
        <v>#REF!</v>
      </c>
    </row>
    <row r="229" spans="2:3" x14ac:dyDescent="0.2">
      <c r="B229" s="37" t="e">
        <f>IF(EXACT(SEED!#REF!, ""), "", SEED!#REF!)</f>
        <v>#REF!</v>
      </c>
      <c r="C229" s="4" t="e">
        <f>IF(EXACT($B229, ""), "", CONCATENATE(SUBSTITUTE(SEED!#REF!, "-", ""), " (", SEED!#REF!, IF(EXACT(SEED!#REF!, ""), "", CONCATENATE(" ►", SEED!#REF!)), ")"))</f>
        <v>#REF!</v>
      </c>
    </row>
    <row r="230" spans="2:3" x14ac:dyDescent="0.2">
      <c r="B230" s="37" t="e">
        <f>IF(EXACT(SEED!#REF!, ""), "", SEED!#REF!)</f>
        <v>#REF!</v>
      </c>
      <c r="C230" s="4" t="e">
        <f>IF(EXACT($B230, ""), "", CONCATENATE(SUBSTITUTE(SEED!#REF!, "-", ""), " (", SEED!#REF!, IF(EXACT(SEED!#REF!, ""), "", CONCATENATE(" ►", SEED!#REF!)), ")"))</f>
        <v>#REF!</v>
      </c>
    </row>
    <row r="231" spans="2:3" x14ac:dyDescent="0.2">
      <c r="B231" s="37" t="e">
        <f>IF(EXACT(SEED!#REF!, ""), "", SEED!#REF!)</f>
        <v>#REF!</v>
      </c>
      <c r="C231" s="4" t="e">
        <f>IF(EXACT($B231, ""), "", CONCATENATE(SUBSTITUTE(SEED!#REF!, "-", ""), " (", SEED!#REF!, IF(EXACT(SEED!#REF!, ""), "", CONCATENATE(" ►", SEED!#REF!)), ")"))</f>
        <v>#REF!</v>
      </c>
    </row>
    <row r="232" spans="2:3" x14ac:dyDescent="0.2">
      <c r="B232" s="37" t="e">
        <f>IF(EXACT(SEED!#REF!, ""), "", SEED!#REF!)</f>
        <v>#REF!</v>
      </c>
      <c r="C232" s="4" t="e">
        <f>IF(EXACT($B232, ""), "", CONCATENATE(SUBSTITUTE(SEED!#REF!, "-", ""), " (", SEED!#REF!, IF(EXACT(SEED!#REF!, ""), "", CONCATENATE(" ►", SEED!#REF!)), ")"))</f>
        <v>#REF!</v>
      </c>
    </row>
    <row r="233" spans="2:3" x14ac:dyDescent="0.2">
      <c r="B233" s="37" t="e">
        <f>IF(EXACT(SEED!#REF!, ""), "", SEED!#REF!)</f>
        <v>#REF!</v>
      </c>
      <c r="C233" s="4" t="e">
        <f>IF(EXACT($B233, ""), "", CONCATENATE(SUBSTITUTE(SEED!#REF!, "-", ""), " (", SEED!#REF!, IF(EXACT(SEED!#REF!, ""), "", CONCATENATE(" ►", SEED!#REF!)), ")"))</f>
        <v>#REF!</v>
      </c>
    </row>
    <row r="234" spans="2:3" x14ac:dyDescent="0.2">
      <c r="B234" s="37" t="e">
        <f>IF(EXACT(SEED!#REF!, ""), "", SEED!#REF!)</f>
        <v>#REF!</v>
      </c>
      <c r="C234" s="4" t="e">
        <f>IF(EXACT($B234, ""), "", CONCATENATE(SUBSTITUTE(SEED!#REF!, "-", ""), " (", SEED!#REF!, IF(EXACT(SEED!#REF!, ""), "", CONCATENATE(" ►", SEED!#REF!)), ")"))</f>
        <v>#REF!</v>
      </c>
    </row>
    <row r="235" spans="2:3" x14ac:dyDescent="0.2">
      <c r="B235" s="37" t="e">
        <f>IF(EXACT(SEED!#REF!, ""), "", SEED!#REF!)</f>
        <v>#REF!</v>
      </c>
      <c r="C235" s="4" t="e">
        <f>IF(EXACT($B235, ""), "", CONCATENATE(SUBSTITUTE(SEED!#REF!, "-", ""), " (", SEED!#REF!, IF(EXACT(SEED!#REF!, ""), "", CONCATENATE(" ►", SEED!#REF!)), ")"))</f>
        <v>#REF!</v>
      </c>
    </row>
    <row r="236" spans="2:3" x14ac:dyDescent="0.2">
      <c r="B236" s="37" t="e">
        <f>IF(EXACT(SEED!#REF!, ""), "", SEED!#REF!)</f>
        <v>#REF!</v>
      </c>
      <c r="C236" s="4" t="e">
        <f>IF(EXACT($B236, ""), "", CONCATENATE(SUBSTITUTE(SEED!#REF!, "-", ""), " (", SEED!#REF!, IF(EXACT(SEED!#REF!, ""), "", CONCATENATE(" ►", SEED!#REF!)), ")"))</f>
        <v>#REF!</v>
      </c>
    </row>
    <row r="237" spans="2:3" x14ac:dyDescent="0.2">
      <c r="B237" s="37" t="e">
        <f>IF(EXACT(SEED!#REF!, ""), "", SEED!#REF!)</f>
        <v>#REF!</v>
      </c>
      <c r="C237" s="4" t="e">
        <f>IF(EXACT($B237, ""), "", CONCATENATE(SUBSTITUTE(SEED!#REF!, "-", ""), " (", SEED!#REF!, IF(EXACT(SEED!#REF!, ""), "", CONCATENATE(" ►", SEED!#REF!)), ")"))</f>
        <v>#REF!</v>
      </c>
    </row>
    <row r="238" spans="2:3" x14ac:dyDescent="0.2">
      <c r="B238" s="37" t="e">
        <f>IF(EXACT(SEED!#REF!, ""), "", SEED!#REF!)</f>
        <v>#REF!</v>
      </c>
      <c r="C238" s="4" t="e">
        <f>IF(EXACT($B238, ""), "", CONCATENATE(SUBSTITUTE(SEED!#REF!, "-", ""), " (", SEED!#REF!, IF(EXACT(SEED!#REF!, ""), "", CONCATENATE(" ►", SEED!#REF!)), ")"))</f>
        <v>#REF!</v>
      </c>
    </row>
    <row r="239" spans="2:3" x14ac:dyDescent="0.2">
      <c r="B239" s="37" t="e">
        <f>IF(EXACT(SEED!#REF!, ""), "", SEED!#REF!)</f>
        <v>#REF!</v>
      </c>
      <c r="C239" s="4" t="e">
        <f>IF(EXACT($B239, ""), "", CONCATENATE(SUBSTITUTE(SEED!#REF!, "-", ""), " (", SEED!#REF!, IF(EXACT(SEED!#REF!, ""), "", CONCATENATE(" ►", SEED!#REF!)), ")"))</f>
        <v>#REF!</v>
      </c>
    </row>
    <row r="240" spans="2:3" x14ac:dyDescent="0.2">
      <c r="B240" s="37" t="e">
        <f>IF(EXACT(SEED!#REF!, ""), "", SEED!#REF!)</f>
        <v>#REF!</v>
      </c>
      <c r="C240" s="4" t="e">
        <f>IF(EXACT($B240, ""), "", CONCATENATE(SUBSTITUTE(SEED!#REF!, "-", ""), " (", SEED!#REF!, IF(EXACT(SEED!#REF!, ""), "", CONCATENATE(" ►", SEED!#REF!)), ")"))</f>
        <v>#REF!</v>
      </c>
    </row>
    <row r="241" spans="2:3" x14ac:dyDescent="0.2">
      <c r="B241" s="37" t="e">
        <f>IF(EXACT(SEED!#REF!, ""), "", SEED!#REF!)</f>
        <v>#REF!</v>
      </c>
      <c r="C241" s="4" t="e">
        <f>IF(EXACT($B241, ""), "", CONCATENATE(SUBSTITUTE(SEED!#REF!, "-", ""), " (", SEED!#REF!, IF(EXACT(SEED!#REF!, ""), "", CONCATENATE(" ►", SEED!#REF!)), ")"))</f>
        <v>#REF!</v>
      </c>
    </row>
    <row r="242" spans="2:3" x14ac:dyDescent="0.2">
      <c r="B242" s="37" t="e">
        <f>IF(EXACT(SEED!#REF!, ""), "", SEED!#REF!)</f>
        <v>#REF!</v>
      </c>
      <c r="C242" s="4" t="e">
        <f>IF(EXACT($B242, ""), "", CONCATENATE(SUBSTITUTE(SEED!#REF!, "-", ""), " (", SEED!#REF!, IF(EXACT(SEED!#REF!, ""), "", CONCATENATE(" ►", SEED!#REF!)), ")"))</f>
        <v>#REF!</v>
      </c>
    </row>
    <row r="243" spans="2:3" x14ac:dyDescent="0.2">
      <c r="B243" s="37" t="e">
        <f>IF(EXACT(SEED!#REF!, ""), "", SEED!#REF!)</f>
        <v>#REF!</v>
      </c>
      <c r="C243" s="4" t="e">
        <f>IF(EXACT($B243, ""), "", CONCATENATE(SUBSTITUTE(SEED!#REF!, "-", ""), " (", SEED!#REF!, IF(EXACT(SEED!#REF!, ""), "", CONCATENATE(" ►", SEED!#REF!)), ")"))</f>
        <v>#REF!</v>
      </c>
    </row>
    <row r="244" spans="2:3" x14ac:dyDescent="0.2">
      <c r="B244" s="37" t="e">
        <f>IF(EXACT(SEED!#REF!, ""), "", SEED!#REF!)</f>
        <v>#REF!</v>
      </c>
      <c r="C244" s="4" t="e">
        <f>IF(EXACT($B244, ""), "", CONCATENATE(SUBSTITUTE(SEED!#REF!, "-", ""), " (", SEED!#REF!, IF(EXACT(SEED!#REF!, ""), "", CONCATENATE(" ►", SEED!#REF!)), ")"))</f>
        <v>#REF!</v>
      </c>
    </row>
    <row r="245" spans="2:3" x14ac:dyDescent="0.2">
      <c r="B245" s="37" t="e">
        <f>IF(EXACT(SEED!#REF!, ""), "", SEED!#REF!)</f>
        <v>#REF!</v>
      </c>
      <c r="C245" s="4" t="e">
        <f>IF(EXACT($B245, ""), "", CONCATENATE(SUBSTITUTE(SEED!#REF!, "-", ""), " (", SEED!#REF!, IF(EXACT(SEED!#REF!, ""), "", CONCATENATE(" ►", SEED!#REF!)), ")"))</f>
        <v>#REF!</v>
      </c>
    </row>
    <row r="246" spans="2:3" x14ac:dyDescent="0.2">
      <c r="B246" s="37" t="e">
        <f>IF(EXACT(SEED!#REF!, ""), "", SEED!#REF!)</f>
        <v>#REF!</v>
      </c>
      <c r="C246" s="4" t="e">
        <f>IF(EXACT($B246, ""), "", CONCATENATE(SUBSTITUTE(SEED!#REF!, "-", ""), " (", SEED!#REF!, IF(EXACT(SEED!#REF!, ""), "", CONCATENATE(" ►", SEED!#REF!)), ")"))</f>
        <v>#REF!</v>
      </c>
    </row>
    <row r="247" spans="2:3" x14ac:dyDescent="0.2">
      <c r="B247" s="37" t="e">
        <f>IF(EXACT(SEED!#REF!, ""), "", SEED!#REF!)</f>
        <v>#REF!</v>
      </c>
      <c r="C247" s="4" t="e">
        <f>IF(EXACT($B247, ""), "", CONCATENATE(SUBSTITUTE(SEED!#REF!, "-", ""), " (", SEED!#REF!, IF(EXACT(SEED!#REF!, ""), "", CONCATENATE(" ►", SEED!#REF!)), ")"))</f>
        <v>#REF!</v>
      </c>
    </row>
    <row r="248" spans="2:3" x14ac:dyDescent="0.2">
      <c r="B248" s="37" t="e">
        <f>IF(EXACT(SEED!#REF!, ""), "", SEED!#REF!)</f>
        <v>#REF!</v>
      </c>
      <c r="C248" s="4" t="e">
        <f>IF(EXACT($B248, ""), "", CONCATENATE(SUBSTITUTE(SEED!#REF!, "-", ""), " (", SEED!#REF!, IF(EXACT(SEED!#REF!, ""), "", CONCATENATE(" ►", SEED!#REF!)), ")"))</f>
        <v>#REF!</v>
      </c>
    </row>
    <row r="249" spans="2:3" x14ac:dyDescent="0.2">
      <c r="B249" s="37" t="e">
        <f>IF(EXACT(SEED!#REF!, ""), "", SEED!#REF!)</f>
        <v>#REF!</v>
      </c>
      <c r="C249" s="4" t="e">
        <f>IF(EXACT($B249, ""), "", CONCATENATE(SUBSTITUTE(SEED!#REF!, "-", ""), " (", SEED!#REF!, IF(EXACT(SEED!#REF!, ""), "", CONCATENATE(" ►", SEED!#REF!)), ")"))</f>
        <v>#REF!</v>
      </c>
    </row>
    <row r="250" spans="2:3" x14ac:dyDescent="0.2">
      <c r="B250" s="37" t="e">
        <f>IF(EXACT(SEED!#REF!, ""), "", SEED!#REF!)</f>
        <v>#REF!</v>
      </c>
      <c r="C250" s="4" t="e">
        <f>IF(EXACT($B250, ""), "", CONCATENATE(SUBSTITUTE(SEED!#REF!, "-", ""), " (", SEED!#REF!, IF(EXACT(SEED!#REF!, ""), "", CONCATENATE(" ►", SEED!#REF!)), ")"))</f>
        <v>#REF!</v>
      </c>
    </row>
    <row r="251" spans="2:3" x14ac:dyDescent="0.2">
      <c r="B251" s="37" t="e">
        <f>IF(EXACT(SEED!#REF!, ""), "", SEED!#REF!)</f>
        <v>#REF!</v>
      </c>
      <c r="C251" s="4" t="e">
        <f>IF(EXACT($B251, ""), "", CONCATENATE(SUBSTITUTE(SEED!#REF!, "-", ""), " (", SEED!#REF!, IF(EXACT(SEED!#REF!, ""), "", CONCATENATE(" ►", SEED!#REF!)), ")"))</f>
        <v>#REF!</v>
      </c>
    </row>
    <row r="252" spans="2:3" x14ac:dyDescent="0.2">
      <c r="B252" s="37" t="e">
        <f>IF(EXACT(SEED!#REF!, ""), "", SEED!#REF!)</f>
        <v>#REF!</v>
      </c>
      <c r="C252" s="4" t="e">
        <f>IF(EXACT($B252, ""), "", CONCATENATE(SUBSTITUTE(SEED!#REF!, "-", ""), " (", SEED!#REF!, IF(EXACT(SEED!#REF!, ""), "", CONCATENATE(" ►", SEED!#REF!)), ")"))</f>
        <v>#REF!</v>
      </c>
    </row>
    <row r="253" spans="2:3" x14ac:dyDescent="0.2">
      <c r="B253" s="37" t="e">
        <f>IF(EXACT(SEED!#REF!, ""), "", SEED!#REF!)</f>
        <v>#REF!</v>
      </c>
      <c r="C253" s="4" t="e">
        <f>IF(EXACT($B253, ""), "", CONCATENATE(SUBSTITUTE(SEED!#REF!, "-", ""), " (", SEED!#REF!, IF(EXACT(SEED!#REF!, ""), "", CONCATENATE(" ►", SEED!#REF!)), ")"))</f>
        <v>#REF!</v>
      </c>
    </row>
    <row r="254" spans="2:3" x14ac:dyDescent="0.2">
      <c r="B254" s="37" t="e">
        <f>IF(EXACT(SEED!#REF!, ""), "", SEED!#REF!)</f>
        <v>#REF!</v>
      </c>
      <c r="C254" s="4" t="e">
        <f>IF(EXACT($B254, ""), "", CONCATENATE(SUBSTITUTE(SEED!#REF!, "-", ""), " (", SEED!#REF!, IF(EXACT(SEED!#REF!, ""), "", CONCATENATE(" ►", SEED!#REF!)), ")"))</f>
        <v>#REF!</v>
      </c>
    </row>
    <row r="255" spans="2:3" x14ac:dyDescent="0.2">
      <c r="B255" s="37" t="e">
        <f>IF(EXACT(SEED!#REF!, ""), "", SEED!#REF!)</f>
        <v>#REF!</v>
      </c>
      <c r="C255" s="4" t="e">
        <f>IF(EXACT($B255, ""), "", CONCATENATE(SUBSTITUTE(SEED!#REF!, "-", ""), " (", SEED!#REF!, IF(EXACT(SEED!#REF!, ""), "", CONCATENATE(" ►", SEED!#REF!)), ")"))</f>
        <v>#REF!</v>
      </c>
    </row>
    <row r="256" spans="2:3" x14ac:dyDescent="0.2">
      <c r="B256" s="37" t="e">
        <f>IF(EXACT(SEED!#REF!, ""), "", SEED!#REF!)</f>
        <v>#REF!</v>
      </c>
      <c r="C256" s="4" t="e">
        <f>IF(EXACT($B256, ""), "", CONCATENATE(SUBSTITUTE(SEED!#REF!, "-", ""), " (", SEED!#REF!, IF(EXACT(SEED!#REF!, ""), "", CONCATENATE(" ►", SEED!#REF!)), ")"))</f>
        <v>#REF!</v>
      </c>
    </row>
    <row r="257" spans="2:3" x14ac:dyDescent="0.2">
      <c r="B257" s="37" t="e">
        <f>IF(EXACT(SEED!#REF!, ""), "", SEED!#REF!)</f>
        <v>#REF!</v>
      </c>
      <c r="C257" s="4" t="e">
        <f>IF(EXACT($B257, ""), "", CONCATENATE(SUBSTITUTE(SEED!#REF!, "-", ""), " (", SEED!#REF!, IF(EXACT(SEED!#REF!, ""), "", CONCATENATE(" ►", SEED!#REF!)), ")"))</f>
        <v>#REF!</v>
      </c>
    </row>
    <row r="258" spans="2:3" x14ac:dyDescent="0.2">
      <c r="B258" s="37" t="e">
        <f>IF(EXACT(SEED!#REF!, ""), "", SEED!#REF!)</f>
        <v>#REF!</v>
      </c>
      <c r="C258" s="4" t="e">
        <f>IF(EXACT($B258, ""), "", CONCATENATE(SUBSTITUTE(SEED!#REF!, "-", ""), " (", SEED!#REF!, IF(EXACT(SEED!#REF!, ""), "", CONCATENATE(" ►", SEED!#REF!)), ")"))</f>
        <v>#REF!</v>
      </c>
    </row>
    <row r="259" spans="2:3" x14ac:dyDescent="0.2">
      <c r="B259" s="37" t="e">
        <f>IF(EXACT(SEED!#REF!, ""), "", SEED!#REF!)</f>
        <v>#REF!</v>
      </c>
      <c r="C259" s="4" t="e">
        <f>IF(EXACT($B259, ""), "", CONCATENATE(SUBSTITUTE(SEED!#REF!, "-", ""), " (", SEED!#REF!, IF(EXACT(SEED!#REF!, ""), "", CONCATENATE(" ►", SEED!#REF!)), ")"))</f>
        <v>#REF!</v>
      </c>
    </row>
    <row r="260" spans="2:3" x14ac:dyDescent="0.2">
      <c r="B260" s="37" t="e">
        <f>IF(EXACT(SEED!#REF!, ""), "", SEED!#REF!)</f>
        <v>#REF!</v>
      </c>
      <c r="C260" s="4" t="e">
        <f>IF(EXACT($B260, ""), "", CONCATENATE(SUBSTITUTE(SEED!#REF!, "-", ""), " (", SEED!#REF!, IF(EXACT(SEED!#REF!, ""), "", CONCATENATE(" ►", SEED!#REF!)), ")"))</f>
        <v>#REF!</v>
      </c>
    </row>
    <row r="261" spans="2:3" x14ac:dyDescent="0.2">
      <c r="B261" s="37" t="e">
        <f>IF(EXACT(SEED!#REF!, ""), "", SEED!#REF!)</f>
        <v>#REF!</v>
      </c>
      <c r="C261" s="4" t="e">
        <f>IF(EXACT($B261, ""), "", CONCATENATE(SUBSTITUTE(SEED!#REF!, "-", ""), " (", SEED!#REF!, IF(EXACT(SEED!#REF!, ""), "", CONCATENATE(" ►", SEED!#REF!)), ")"))</f>
        <v>#REF!</v>
      </c>
    </row>
    <row r="262" spans="2:3" x14ac:dyDescent="0.2">
      <c r="B262" s="37" t="e">
        <f>IF(EXACT(SEED!#REF!, ""), "", SEED!#REF!)</f>
        <v>#REF!</v>
      </c>
      <c r="C262" s="4" t="e">
        <f>IF(EXACT($B262, ""), "", CONCATENATE(SUBSTITUTE(SEED!#REF!, "-", ""), " (", SEED!#REF!, IF(EXACT(SEED!#REF!, ""), "", CONCATENATE(" ►", SEED!#REF!)), ")"))</f>
        <v>#REF!</v>
      </c>
    </row>
    <row r="263" spans="2:3" x14ac:dyDescent="0.2">
      <c r="B263" s="37" t="e">
        <f>IF(EXACT(SEED!#REF!, ""), "", SEED!#REF!)</f>
        <v>#REF!</v>
      </c>
      <c r="C263" s="4" t="e">
        <f>IF(EXACT($B263, ""), "", CONCATENATE(SUBSTITUTE(SEED!#REF!, "-", ""), " (", SEED!#REF!, IF(EXACT(SEED!#REF!, ""), "", CONCATENATE(" ►", SEED!#REF!)), ")"))</f>
        <v>#REF!</v>
      </c>
    </row>
    <row r="264" spans="2:3" x14ac:dyDescent="0.2">
      <c r="B264" s="37" t="e">
        <f>IF(EXACT(SEED!#REF!, ""), "", SEED!#REF!)</f>
        <v>#REF!</v>
      </c>
      <c r="C264" s="4" t="e">
        <f>IF(EXACT($B264, ""), "", CONCATENATE(SUBSTITUTE(SEED!#REF!, "-", ""), " (", SEED!#REF!, IF(EXACT(SEED!#REF!, ""), "", CONCATENATE(" ►", SEED!#REF!)), ")"))</f>
        <v>#REF!</v>
      </c>
    </row>
    <row r="265" spans="2:3" x14ac:dyDescent="0.2">
      <c r="B265" s="37" t="e">
        <f>IF(EXACT(SEED!#REF!, ""), "", SEED!#REF!)</f>
        <v>#REF!</v>
      </c>
      <c r="C265" s="4" t="e">
        <f>IF(EXACT($B265, ""), "", CONCATENATE(SUBSTITUTE(SEED!#REF!, "-", ""), " (", SEED!#REF!, IF(EXACT(SEED!#REF!, ""), "", CONCATENATE(" ►", SEED!#REF!)), ")"))</f>
        <v>#REF!</v>
      </c>
    </row>
    <row r="266" spans="2:3" x14ac:dyDescent="0.2">
      <c r="B266" s="37" t="e">
        <f>IF(EXACT(SEED!#REF!, ""), "", SEED!#REF!)</f>
        <v>#REF!</v>
      </c>
      <c r="C266" s="4" t="e">
        <f>IF(EXACT($B266, ""), "", CONCATENATE(SUBSTITUTE(SEED!#REF!, "-", ""), " (", SEED!#REF!, IF(EXACT(SEED!#REF!, ""), "", CONCATENATE(" ►", SEED!#REF!)), ")"))</f>
        <v>#REF!</v>
      </c>
    </row>
    <row r="267" spans="2:3" x14ac:dyDescent="0.2">
      <c r="B267" s="37" t="e">
        <f>IF(EXACT(SEED!#REF!, ""), "", SEED!#REF!)</f>
        <v>#REF!</v>
      </c>
      <c r="C267" s="4" t="e">
        <f>IF(EXACT($B267, ""), "", CONCATENATE(SUBSTITUTE(SEED!#REF!, "-", ""), " (", SEED!#REF!, IF(EXACT(SEED!#REF!, ""), "", CONCATENATE(" ►", SEED!#REF!)), ")"))</f>
        <v>#REF!</v>
      </c>
    </row>
    <row r="268" spans="2:3" x14ac:dyDescent="0.2">
      <c r="B268" s="37" t="e">
        <f>IF(EXACT(SEED!#REF!, ""), "", SEED!#REF!)</f>
        <v>#REF!</v>
      </c>
      <c r="C268" s="4" t="e">
        <f>IF(EXACT($B268, ""), "", CONCATENATE(SUBSTITUTE(SEED!#REF!, "-", ""), " (", SEED!#REF!, IF(EXACT(SEED!#REF!, ""), "", CONCATENATE(" ►", SEED!#REF!)), ")"))</f>
        <v>#REF!</v>
      </c>
    </row>
    <row r="269" spans="2:3" x14ac:dyDescent="0.2">
      <c r="B269" s="37" t="e">
        <f>IF(EXACT(SEED!#REF!, ""), "", SEED!#REF!)</f>
        <v>#REF!</v>
      </c>
      <c r="C269" s="4" t="e">
        <f>IF(EXACT($B269, ""), "", CONCATENATE(SUBSTITUTE(SEED!#REF!, "-", ""), " (", SEED!#REF!, IF(EXACT(SEED!#REF!, ""), "", CONCATENATE(" ►", SEED!#REF!)), ")"))</f>
        <v>#REF!</v>
      </c>
    </row>
    <row r="270" spans="2:3" x14ac:dyDescent="0.2">
      <c r="B270" s="37" t="e">
        <f>IF(EXACT(SEED!#REF!, ""), "", SEED!#REF!)</f>
        <v>#REF!</v>
      </c>
      <c r="C270" s="4" t="e">
        <f>IF(EXACT($B270, ""), "", CONCATENATE(SUBSTITUTE(SEED!#REF!, "-", ""), " (", SEED!#REF!, IF(EXACT(SEED!#REF!, ""), "", CONCATENATE(" ►", SEED!#REF!)), ")"))</f>
        <v>#REF!</v>
      </c>
    </row>
    <row r="271" spans="2:3" x14ac:dyDescent="0.2">
      <c r="B271" s="37" t="e">
        <f>IF(EXACT(SEED!#REF!, ""), "", SEED!#REF!)</f>
        <v>#REF!</v>
      </c>
      <c r="C271" s="4" t="e">
        <f>IF(EXACT($B271, ""), "", CONCATENATE(SUBSTITUTE(SEED!#REF!, "-", ""), " (", SEED!#REF!, IF(EXACT(SEED!#REF!, ""), "", CONCATENATE(" ►", SEED!#REF!)), ")"))</f>
        <v>#REF!</v>
      </c>
    </row>
    <row r="272" spans="2:3" x14ac:dyDescent="0.2">
      <c r="B272" s="37" t="e">
        <f>IF(EXACT(SEED!#REF!, ""), "", SEED!#REF!)</f>
        <v>#REF!</v>
      </c>
      <c r="C272" s="4" t="e">
        <f>IF(EXACT($B272, ""), "", CONCATENATE(SUBSTITUTE(SEED!#REF!, "-", ""), " (", SEED!#REF!, IF(EXACT(SEED!#REF!, ""), "", CONCATENATE(" ►", SEED!#REF!)), ")"))</f>
        <v>#REF!</v>
      </c>
    </row>
    <row r="273" spans="2:3" x14ac:dyDescent="0.2">
      <c r="B273" s="37" t="e">
        <f>IF(EXACT(SEED!#REF!, ""), "", SEED!#REF!)</f>
        <v>#REF!</v>
      </c>
      <c r="C273" s="4" t="e">
        <f>IF(EXACT($B273, ""), "", CONCATENATE(SUBSTITUTE(SEED!#REF!, "-", ""), " (", SEED!#REF!, IF(EXACT(SEED!#REF!, ""), "", CONCATENATE(" ►", SEED!#REF!)), ")"))</f>
        <v>#REF!</v>
      </c>
    </row>
    <row r="274" spans="2:3" x14ac:dyDescent="0.2">
      <c r="B274" s="37" t="e">
        <f>IF(EXACT(SEED!#REF!, ""), "", SEED!#REF!)</f>
        <v>#REF!</v>
      </c>
      <c r="C274" s="4" t="e">
        <f>IF(EXACT($B274, ""), "", CONCATENATE(SUBSTITUTE(SEED!#REF!, "-", ""), " (", SEED!#REF!, IF(EXACT(SEED!#REF!, ""), "", CONCATENATE(" ►", SEED!#REF!)), ")"))</f>
        <v>#REF!</v>
      </c>
    </row>
    <row r="275" spans="2:3" x14ac:dyDescent="0.2">
      <c r="B275" s="37" t="e">
        <f>IF(EXACT(SEED!#REF!, ""), "", SEED!#REF!)</f>
        <v>#REF!</v>
      </c>
      <c r="C275" s="4" t="e">
        <f>IF(EXACT($B275, ""), "", CONCATENATE(SUBSTITUTE(SEED!#REF!, "-", ""), " (", SEED!#REF!, IF(EXACT(SEED!#REF!, ""), "", CONCATENATE(" ►", SEED!#REF!)), ")"))</f>
        <v>#REF!</v>
      </c>
    </row>
    <row r="276" spans="2:3" x14ac:dyDescent="0.2">
      <c r="B276" s="37" t="e">
        <f>IF(EXACT(SEED!#REF!, ""), "", SEED!#REF!)</f>
        <v>#REF!</v>
      </c>
      <c r="C276" s="4" t="e">
        <f>IF(EXACT($B276, ""), "", CONCATENATE(SUBSTITUTE(SEED!#REF!, "-", ""), " (", SEED!#REF!, IF(EXACT(SEED!#REF!, ""), "", CONCATENATE(" ►", SEED!#REF!)), ")"))</f>
        <v>#REF!</v>
      </c>
    </row>
    <row r="277" spans="2:3" x14ac:dyDescent="0.2">
      <c r="B277" s="37" t="e">
        <f>IF(EXACT(SEED!#REF!, ""), "", SEED!#REF!)</f>
        <v>#REF!</v>
      </c>
      <c r="C277" s="4" t="e">
        <f>IF(EXACT($B277, ""), "", CONCATENATE(SUBSTITUTE(SEED!#REF!, "-", ""), " (", SEED!#REF!, IF(EXACT(SEED!#REF!, ""), "", CONCATENATE(" ►", SEED!#REF!)), ")"))</f>
        <v>#REF!</v>
      </c>
    </row>
    <row r="278" spans="2:3" x14ac:dyDescent="0.2">
      <c r="B278" s="37" t="e">
        <f>IF(EXACT(SEED!#REF!, ""), "", SEED!#REF!)</f>
        <v>#REF!</v>
      </c>
      <c r="C278" s="4" t="e">
        <f>IF(EXACT($B278, ""), "", CONCATENATE(SUBSTITUTE(SEED!#REF!, "-", ""), " (", SEED!#REF!, IF(EXACT(SEED!#REF!, ""), "", CONCATENATE(" ►", SEED!#REF!)), ")"))</f>
        <v>#REF!</v>
      </c>
    </row>
    <row r="279" spans="2:3" x14ac:dyDescent="0.2">
      <c r="B279" s="37" t="e">
        <f>IF(EXACT(SEED!#REF!, ""), "", SEED!#REF!)</f>
        <v>#REF!</v>
      </c>
      <c r="C279" s="4" t="e">
        <f>IF(EXACT($B279, ""), "", CONCATENATE(SUBSTITUTE(SEED!#REF!, "-", ""), " (", SEED!#REF!, IF(EXACT(SEED!#REF!, ""), "", CONCATENATE(" ►", SEED!#REF!)), ")"))</f>
        <v>#REF!</v>
      </c>
    </row>
    <row r="280" spans="2:3" x14ac:dyDescent="0.2">
      <c r="B280" s="37" t="e">
        <f>IF(EXACT(SEED!#REF!, ""), "", SEED!#REF!)</f>
        <v>#REF!</v>
      </c>
      <c r="C280" s="4" t="e">
        <f>IF(EXACT($B280, ""), "", CONCATENATE(SUBSTITUTE(SEED!#REF!, "-", ""), " (", SEED!#REF!, IF(EXACT(SEED!#REF!, ""), "", CONCATENATE(" ►", SEED!#REF!)), ")"))</f>
        <v>#REF!</v>
      </c>
    </row>
    <row r="281" spans="2:3" x14ac:dyDescent="0.2">
      <c r="B281" s="37" t="e">
        <f>IF(EXACT(SEED!#REF!, ""), "", SEED!#REF!)</f>
        <v>#REF!</v>
      </c>
      <c r="C281" s="4" t="e">
        <f>IF(EXACT($B281, ""), "", CONCATENATE(SUBSTITUTE(SEED!#REF!, "-", ""), " (", SEED!#REF!, IF(EXACT(SEED!#REF!, ""), "", CONCATENATE(" ►", SEED!#REF!)), ")"))</f>
        <v>#REF!</v>
      </c>
    </row>
    <row r="282" spans="2:3" x14ac:dyDescent="0.2">
      <c r="B282" s="37" t="e">
        <f>IF(EXACT(SEED!#REF!, ""), "", SEED!#REF!)</f>
        <v>#REF!</v>
      </c>
      <c r="C282" s="4" t="e">
        <f>IF(EXACT($B282, ""), "", CONCATENATE(SUBSTITUTE(SEED!#REF!, "-", ""), " (", SEED!#REF!, IF(EXACT(SEED!#REF!, ""), "", CONCATENATE(" ►", SEED!#REF!)), ")"))</f>
        <v>#REF!</v>
      </c>
    </row>
    <row r="283" spans="2:3" x14ac:dyDescent="0.2">
      <c r="B283" s="37" t="e">
        <f>IF(EXACT(SEED!#REF!, ""), "", SEED!#REF!)</f>
        <v>#REF!</v>
      </c>
      <c r="C283" s="4" t="e">
        <f>IF(EXACT($B283, ""), "", CONCATENATE(SUBSTITUTE(SEED!#REF!, "-", ""), " (", SEED!#REF!, IF(EXACT(SEED!#REF!, ""), "", CONCATENATE(" ►", SEED!#REF!)), ")"))</f>
        <v>#REF!</v>
      </c>
    </row>
    <row r="284" spans="2:3" x14ac:dyDescent="0.2">
      <c r="B284" s="37" t="e">
        <f>IF(EXACT(SEED!#REF!, ""), "", SEED!#REF!)</f>
        <v>#REF!</v>
      </c>
      <c r="C284" s="4" t="e">
        <f>IF(EXACT($B284, ""), "", CONCATENATE(SUBSTITUTE(SEED!#REF!, "-", ""), " (", SEED!#REF!, IF(EXACT(SEED!#REF!, ""), "", CONCATENATE(" ►", SEED!#REF!)), ")"))</f>
        <v>#REF!</v>
      </c>
    </row>
    <row r="285" spans="2:3" x14ac:dyDescent="0.2">
      <c r="B285" s="37" t="e">
        <f>IF(EXACT(SEED!#REF!, ""), "", SEED!#REF!)</f>
        <v>#REF!</v>
      </c>
      <c r="C285" s="4" t="e">
        <f>IF(EXACT($B285, ""), "", CONCATENATE(SUBSTITUTE(SEED!#REF!, "-", ""), " (", SEED!#REF!, IF(EXACT(SEED!#REF!, ""), "", CONCATENATE(" ►", SEED!#REF!)), ")"))</f>
        <v>#REF!</v>
      </c>
    </row>
    <row r="286" spans="2:3" x14ac:dyDescent="0.2">
      <c r="B286" s="37" t="e">
        <f>IF(EXACT(SEED!#REF!, ""), "", SEED!#REF!)</f>
        <v>#REF!</v>
      </c>
      <c r="C286" s="4" t="e">
        <f>IF(EXACT($B286, ""), "", CONCATENATE(SUBSTITUTE(SEED!#REF!, "-", ""), " (", SEED!#REF!, IF(EXACT(SEED!#REF!, ""), "", CONCATENATE(" ►", SEED!#REF!)), ")"))</f>
        <v>#REF!</v>
      </c>
    </row>
    <row r="287" spans="2:3" x14ac:dyDescent="0.2">
      <c r="B287" s="37" t="e">
        <f>IF(EXACT(SEED!#REF!, ""), "", SEED!#REF!)</f>
        <v>#REF!</v>
      </c>
      <c r="C287" s="4" t="e">
        <f>IF(EXACT($B287, ""), "", CONCATENATE(SUBSTITUTE(SEED!#REF!, "-", ""), " (", SEED!#REF!, IF(EXACT(SEED!#REF!, ""), "", CONCATENATE(" ►", SEED!#REF!)), ")"))</f>
        <v>#REF!</v>
      </c>
    </row>
    <row r="288" spans="2:3" x14ac:dyDescent="0.2">
      <c r="B288" s="37" t="e">
        <f>IF(EXACT(SEED!#REF!, ""), "", SEED!#REF!)</f>
        <v>#REF!</v>
      </c>
      <c r="C288" s="4" t="e">
        <f>IF(EXACT($B288, ""), "", CONCATENATE(SUBSTITUTE(SEED!#REF!, "-", ""), " (", SEED!#REF!, IF(EXACT(SEED!#REF!, ""), "", CONCATENATE(" ►", SEED!#REF!)), ")"))</f>
        <v>#REF!</v>
      </c>
    </row>
    <row r="289" spans="2:3" x14ac:dyDescent="0.2">
      <c r="B289" s="37" t="e">
        <f>IF(EXACT(SEED!#REF!, ""), "", SEED!#REF!)</f>
        <v>#REF!</v>
      </c>
      <c r="C289" s="4" t="e">
        <f>IF(EXACT($B289, ""), "", CONCATENATE(SUBSTITUTE(SEED!#REF!, "-", ""), " (", SEED!#REF!, IF(EXACT(SEED!#REF!, ""), "", CONCATENATE(" ►", SEED!#REF!)), ")"))</f>
        <v>#REF!</v>
      </c>
    </row>
    <row r="290" spans="2:3" x14ac:dyDescent="0.2">
      <c r="B290" s="37" t="e">
        <f>IF(EXACT(SEED!#REF!, ""), "", SEED!#REF!)</f>
        <v>#REF!</v>
      </c>
      <c r="C290" s="4" t="e">
        <f>IF(EXACT($B290, ""), "", CONCATENATE(SUBSTITUTE(SEED!#REF!, "-", ""), " (", SEED!#REF!, IF(EXACT(SEED!#REF!, ""), "", CONCATENATE(" ►", SEED!#REF!)), ")"))</f>
        <v>#REF!</v>
      </c>
    </row>
    <row r="291" spans="2:3" x14ac:dyDescent="0.2">
      <c r="B291" s="37" t="e">
        <f>IF(EXACT(SEED!#REF!, ""), "", SEED!#REF!)</f>
        <v>#REF!</v>
      </c>
      <c r="C291" s="4" t="e">
        <f>IF(EXACT($B291, ""), "", CONCATENATE(SUBSTITUTE(SEED!#REF!, "-", ""), " (", SEED!#REF!, IF(EXACT(SEED!#REF!, ""), "", CONCATENATE(" ►", SEED!#REF!)), ")"))</f>
        <v>#REF!</v>
      </c>
    </row>
    <row r="292" spans="2:3" x14ac:dyDescent="0.2">
      <c r="B292" s="37" t="e">
        <f>IF(EXACT(SEED!#REF!, ""), "", SEED!#REF!)</f>
        <v>#REF!</v>
      </c>
      <c r="C292" s="4" t="e">
        <f>IF(EXACT($B292, ""), "", CONCATENATE(SUBSTITUTE(SEED!#REF!, "-", ""), " (", SEED!#REF!, IF(EXACT(SEED!#REF!, ""), "", CONCATENATE(" ►", SEED!#REF!)), ")"))</f>
        <v>#REF!</v>
      </c>
    </row>
    <row r="293" spans="2:3" x14ac:dyDescent="0.2">
      <c r="B293" s="37" t="e">
        <f>IF(EXACT(SEED!#REF!, ""), "", SEED!#REF!)</f>
        <v>#REF!</v>
      </c>
      <c r="C293" s="4" t="e">
        <f>IF(EXACT($B293, ""), "", CONCATENATE(SUBSTITUTE(SEED!#REF!, "-", ""), " (", SEED!#REF!, IF(EXACT(SEED!#REF!, ""), "", CONCATENATE(" ►", SEED!#REF!)), ")"))</f>
        <v>#REF!</v>
      </c>
    </row>
    <row r="294" spans="2:3" x14ac:dyDescent="0.2">
      <c r="B294" s="37" t="e">
        <f>IF(EXACT(SEED!#REF!, ""), "", SEED!#REF!)</f>
        <v>#REF!</v>
      </c>
      <c r="C294" s="4" t="e">
        <f>IF(EXACT($B294, ""), "", CONCATENATE(SUBSTITUTE(SEED!#REF!, "-", ""), " (", SEED!#REF!, IF(EXACT(SEED!#REF!, ""), "", CONCATENATE(" ►", SEED!#REF!)), ")"))</f>
        <v>#REF!</v>
      </c>
    </row>
    <row r="295" spans="2:3" x14ac:dyDescent="0.2">
      <c r="B295" s="37" t="e">
        <f>IF(EXACT(SEED!#REF!, ""), "", SEED!#REF!)</f>
        <v>#REF!</v>
      </c>
      <c r="C295" s="4" t="e">
        <f>IF(EXACT($B295, ""), "", CONCATENATE(SUBSTITUTE(SEED!#REF!, "-", ""), " (", SEED!#REF!, IF(EXACT(SEED!#REF!, ""), "", CONCATENATE(" ►", SEED!#REF!)), ")"))</f>
        <v>#REF!</v>
      </c>
    </row>
    <row r="296" spans="2:3" x14ac:dyDescent="0.2">
      <c r="B296" s="37" t="e">
        <f>IF(EXACT(SEED!#REF!, ""), "", SEED!#REF!)</f>
        <v>#REF!</v>
      </c>
      <c r="C296" s="4" t="e">
        <f>IF(EXACT($B296, ""), "", CONCATENATE(SUBSTITUTE(SEED!#REF!, "-", ""), " (", SEED!#REF!, IF(EXACT(SEED!#REF!, ""), "", CONCATENATE(" ►", SEED!#REF!)), ")"))</f>
        <v>#REF!</v>
      </c>
    </row>
    <row r="297" spans="2:3" x14ac:dyDescent="0.2">
      <c r="B297" s="37" t="e">
        <f>IF(EXACT(SEED!#REF!, ""), "", SEED!#REF!)</f>
        <v>#REF!</v>
      </c>
      <c r="C297" s="4" t="e">
        <f>IF(EXACT($B297, ""), "", CONCATENATE(SUBSTITUTE(SEED!#REF!, "-", ""), " (", SEED!#REF!, IF(EXACT(SEED!#REF!, ""), "", CONCATENATE(" ►", SEED!#REF!)), ")"))</f>
        <v>#REF!</v>
      </c>
    </row>
    <row r="298" spans="2:3" x14ac:dyDescent="0.2">
      <c r="B298" s="37" t="e">
        <f>IF(EXACT(SEED!#REF!, ""), "", SEED!#REF!)</f>
        <v>#REF!</v>
      </c>
      <c r="C298" s="4" t="e">
        <f>IF(EXACT($B298, ""), "", CONCATENATE(SUBSTITUTE(SEED!#REF!, "-", ""), " (", SEED!#REF!, IF(EXACT(SEED!#REF!, ""), "", CONCATENATE(" ►", SEED!#REF!)), ")"))</f>
        <v>#REF!</v>
      </c>
    </row>
    <row r="299" spans="2:3" x14ac:dyDescent="0.2">
      <c r="B299" s="37" t="e">
        <f>IF(EXACT(SEED!#REF!, ""), "", SEED!#REF!)</f>
        <v>#REF!</v>
      </c>
      <c r="C299" s="4" t="e">
        <f>IF(EXACT($B299, ""), "", CONCATENATE(SUBSTITUTE(SEED!#REF!, "-", ""), " (", SEED!#REF!, IF(EXACT(SEED!#REF!, ""), "", CONCATENATE(" ►", SEED!#REF!)), ")"))</f>
        <v>#REF!</v>
      </c>
    </row>
    <row r="300" spans="2:3" x14ac:dyDescent="0.2">
      <c r="B300" s="37" t="e">
        <f>IF(EXACT(SEED!#REF!, ""), "", SEED!#REF!)</f>
        <v>#REF!</v>
      </c>
      <c r="C300" s="4" t="e">
        <f>IF(EXACT($B300, ""), "", CONCATENATE(SUBSTITUTE(SEED!#REF!, "-", ""), " (", SEED!#REF!, IF(EXACT(SEED!#REF!, ""), "", CONCATENATE(" ►", SEED!#REF!)), ")"))</f>
        <v>#REF!</v>
      </c>
    </row>
    <row r="301" spans="2:3" x14ac:dyDescent="0.2">
      <c r="B301" s="37" t="e">
        <f>IF(EXACT(SEED!#REF!, ""), "", SEED!#REF!)</f>
        <v>#REF!</v>
      </c>
      <c r="C301" s="4" t="e">
        <f>IF(EXACT($B301, ""), "", CONCATENATE(SUBSTITUTE(SEED!#REF!, "-", ""), " (", SEED!#REF!, IF(EXACT(SEED!#REF!, ""), "", CONCATENATE(" ►", SEED!#REF!)), ")"))</f>
        <v>#REF!</v>
      </c>
    </row>
    <row r="302" spans="2:3" x14ac:dyDescent="0.2">
      <c r="B302" s="37" t="e">
        <f>IF(EXACT(SEED!#REF!, ""), "", SEED!#REF!)</f>
        <v>#REF!</v>
      </c>
      <c r="C302" s="4" t="e">
        <f>IF(EXACT($B302, ""), "", CONCATENATE(SUBSTITUTE(SEED!#REF!, "-", ""), " (", SEED!#REF!, IF(EXACT(SEED!#REF!, ""), "", CONCATENATE(" ►", SEED!#REF!)), ")"))</f>
        <v>#REF!</v>
      </c>
    </row>
    <row r="303" spans="2:3" x14ac:dyDescent="0.2">
      <c r="B303" s="37" t="e">
        <f>IF(EXACT(SEED!#REF!, ""), "", SEED!#REF!)</f>
        <v>#REF!</v>
      </c>
      <c r="C303" s="4" t="e">
        <f>IF(EXACT($B303, ""), "", CONCATENATE(SUBSTITUTE(SEED!#REF!, "-", ""), " (", SEED!#REF!, IF(EXACT(SEED!#REF!, ""), "", CONCATENATE(" ►", SEED!#REF!)), ")"))</f>
        <v>#REF!</v>
      </c>
    </row>
    <row r="304" spans="2:3" x14ac:dyDescent="0.2">
      <c r="B304" s="37" t="e">
        <f>IF(EXACT(SEED!#REF!, ""), "", SEED!#REF!)</f>
        <v>#REF!</v>
      </c>
      <c r="C304" s="4" t="e">
        <f>IF(EXACT($B304, ""), "", CONCATENATE(SUBSTITUTE(SEED!#REF!, "-", ""), " (", SEED!#REF!, IF(EXACT(SEED!#REF!, ""), "", CONCATENATE(" ►", SEED!#REF!)), ")"))</f>
        <v>#REF!</v>
      </c>
    </row>
    <row r="305" spans="2:3" x14ac:dyDescent="0.2">
      <c r="B305" s="37" t="e">
        <f>IF(EXACT(SEED!#REF!, ""), "", SEED!#REF!)</f>
        <v>#REF!</v>
      </c>
      <c r="C305" s="4" t="e">
        <f>IF(EXACT($B305, ""), "", CONCATENATE(SUBSTITUTE(SEED!#REF!, "-", ""), " (", SEED!#REF!, IF(EXACT(SEED!#REF!, ""), "", CONCATENATE(" ►", SEED!#REF!)), ")"))</f>
        <v>#REF!</v>
      </c>
    </row>
    <row r="306" spans="2:3" x14ac:dyDescent="0.2">
      <c r="B306" s="37" t="e">
        <f>IF(EXACT(SEED!#REF!, ""), "", SEED!#REF!)</f>
        <v>#REF!</v>
      </c>
      <c r="C306" s="4" t="e">
        <f>IF(EXACT($B306, ""), "", CONCATENATE(SUBSTITUTE(SEED!#REF!, "-", ""), " (", SEED!#REF!, IF(EXACT(SEED!#REF!, ""), "", CONCATENATE(" ►", SEED!#REF!)), ")"))</f>
        <v>#REF!</v>
      </c>
    </row>
    <row r="307" spans="2:3" x14ac:dyDescent="0.2">
      <c r="B307" s="37" t="e">
        <f>IF(EXACT(SEED!#REF!, ""), "", SEED!#REF!)</f>
        <v>#REF!</v>
      </c>
      <c r="C307" s="4" t="e">
        <f>IF(EXACT($B307, ""), "", CONCATENATE(SUBSTITUTE(SEED!#REF!, "-", ""), " (", SEED!#REF!, IF(EXACT(SEED!#REF!, ""), "", CONCATENATE(" ►", SEED!#REF!)), ")"))</f>
        <v>#REF!</v>
      </c>
    </row>
    <row r="308" spans="2:3" x14ac:dyDescent="0.2">
      <c r="B308" s="37" t="e">
        <f>IF(EXACT(SEED!#REF!, ""), "", SEED!#REF!)</f>
        <v>#REF!</v>
      </c>
      <c r="C308" s="4" t="e">
        <f>IF(EXACT($B308, ""), "", CONCATENATE(SUBSTITUTE(SEED!#REF!, "-", ""), " (", SEED!#REF!, IF(EXACT(SEED!#REF!, ""), "", CONCATENATE(" ►", SEED!#REF!)), ")"))</f>
        <v>#REF!</v>
      </c>
    </row>
    <row r="309" spans="2:3" x14ac:dyDescent="0.2">
      <c r="B309" s="37" t="e">
        <f>IF(EXACT(SEED!#REF!, ""), "", SEED!#REF!)</f>
        <v>#REF!</v>
      </c>
      <c r="C309" s="4" t="e">
        <f>IF(EXACT($B309, ""), "", CONCATENATE(SUBSTITUTE(SEED!#REF!, "-", ""), " (", SEED!#REF!, IF(EXACT(SEED!#REF!, ""), "", CONCATENATE(" ►", SEED!#REF!)), ")"))</f>
        <v>#REF!</v>
      </c>
    </row>
    <row r="310" spans="2:3" x14ac:dyDescent="0.2">
      <c r="B310" s="37" t="e">
        <f>IF(EXACT(SEED!#REF!, ""), "", SEED!#REF!)</f>
        <v>#REF!</v>
      </c>
      <c r="C310" s="4" t="e">
        <f>IF(EXACT($B310, ""), "", CONCATENATE(SUBSTITUTE(SEED!#REF!, "-", ""), " (", SEED!#REF!, IF(EXACT(SEED!#REF!, ""), "", CONCATENATE(" ►", SEED!#REF!)), ")"))</f>
        <v>#REF!</v>
      </c>
    </row>
    <row r="311" spans="2:3" x14ac:dyDescent="0.2">
      <c r="B311" s="37" t="e">
        <f>IF(EXACT(SEED!#REF!, ""), "", SEED!#REF!)</f>
        <v>#REF!</v>
      </c>
      <c r="C311" s="4" t="e">
        <f>IF(EXACT($B311, ""), "", CONCATENATE(SUBSTITUTE(SEED!#REF!, "-", ""), " (", SEED!#REF!, IF(EXACT(SEED!#REF!, ""), "", CONCATENATE(" ►", SEED!#REF!)), ")"))</f>
        <v>#REF!</v>
      </c>
    </row>
    <row r="312" spans="2:3" x14ac:dyDescent="0.2">
      <c r="B312" s="37" t="e">
        <f>IF(EXACT(SEED!#REF!, ""), "", SEED!#REF!)</f>
        <v>#REF!</v>
      </c>
      <c r="C312" s="4" t="e">
        <f>IF(EXACT($B312, ""), "", CONCATENATE(SUBSTITUTE(SEED!#REF!, "-", ""), " (", SEED!#REF!, IF(EXACT(SEED!#REF!, ""), "", CONCATENATE(" ►", SEED!#REF!)), ")"))</f>
        <v>#REF!</v>
      </c>
    </row>
    <row r="313" spans="2:3" x14ac:dyDescent="0.2">
      <c r="B313" s="37" t="e">
        <f>IF(EXACT(SEED!#REF!, ""), "", SEED!#REF!)</f>
        <v>#REF!</v>
      </c>
      <c r="C313" s="4" t="e">
        <f>IF(EXACT($B313, ""), "", CONCATENATE(SUBSTITUTE(SEED!#REF!, "-", ""), " (", SEED!#REF!, IF(EXACT(SEED!#REF!, ""), "", CONCATENATE(" ►", SEED!#REF!)), ")"))</f>
        <v>#REF!</v>
      </c>
    </row>
    <row r="314" spans="2:3" x14ac:dyDescent="0.2">
      <c r="B314" s="37" t="e">
        <f>IF(EXACT(SEED!#REF!, ""), "", SEED!#REF!)</f>
        <v>#REF!</v>
      </c>
      <c r="C314" s="4" t="e">
        <f>IF(EXACT($B314, ""), "", CONCATENATE(SUBSTITUTE(SEED!#REF!, "-", ""), " (", SEED!#REF!, IF(EXACT(SEED!#REF!, ""), "", CONCATENATE(" ►", SEED!#REF!)), ")"))</f>
        <v>#REF!</v>
      </c>
    </row>
    <row r="315" spans="2:3" x14ac:dyDescent="0.2">
      <c r="B315" s="37" t="e">
        <f>IF(EXACT(SEED!#REF!, ""), "", SEED!#REF!)</f>
        <v>#REF!</v>
      </c>
      <c r="C315" s="4" t="e">
        <f>IF(EXACT($B315, ""), "", CONCATENATE(SUBSTITUTE(SEED!#REF!, "-", ""), " (", SEED!#REF!, IF(EXACT(SEED!#REF!, ""), "", CONCATENATE(" ►", SEED!#REF!)), ")"))</f>
        <v>#REF!</v>
      </c>
    </row>
    <row r="316" spans="2:3" x14ac:dyDescent="0.2">
      <c r="B316" s="37" t="e">
        <f>IF(EXACT(SEED!#REF!, ""), "", SEED!#REF!)</f>
        <v>#REF!</v>
      </c>
      <c r="C316" s="4" t="e">
        <f>IF(EXACT($B316, ""), "", CONCATENATE(SUBSTITUTE(SEED!#REF!, "-", ""), " (", SEED!#REF!, IF(EXACT(SEED!#REF!, ""), "", CONCATENATE(" ►", SEED!#REF!)), ")"))</f>
        <v>#REF!</v>
      </c>
    </row>
    <row r="317" spans="2:3" x14ac:dyDescent="0.2">
      <c r="B317" s="37" t="e">
        <f>IF(EXACT(SEED!#REF!, ""), "", SEED!#REF!)</f>
        <v>#REF!</v>
      </c>
      <c r="C317" s="4" t="e">
        <f>IF(EXACT($B317, ""), "", CONCATENATE(SUBSTITUTE(SEED!#REF!, "-", ""), " (", SEED!#REF!, IF(EXACT(SEED!#REF!, ""), "", CONCATENATE(" ►", SEED!#REF!)), ")"))</f>
        <v>#REF!</v>
      </c>
    </row>
    <row r="318" spans="2:3" x14ac:dyDescent="0.2">
      <c r="B318" s="37" t="e">
        <f>IF(EXACT(SEED!#REF!, ""), "", SEED!#REF!)</f>
        <v>#REF!</v>
      </c>
      <c r="C318" s="4" t="e">
        <f>IF(EXACT($B318, ""), "", CONCATENATE(SUBSTITUTE(SEED!#REF!, "-", ""), " (", SEED!#REF!, IF(EXACT(SEED!#REF!, ""), "", CONCATENATE(" ►", SEED!#REF!)), ")"))</f>
        <v>#REF!</v>
      </c>
    </row>
    <row r="319" spans="2:3" x14ac:dyDescent="0.2">
      <c r="B319" s="37" t="e">
        <f>IF(EXACT(SEED!#REF!, ""), "", SEED!#REF!)</f>
        <v>#REF!</v>
      </c>
      <c r="C319" s="4" t="e">
        <f>IF(EXACT($B319, ""), "", CONCATENATE(SUBSTITUTE(SEED!#REF!, "-", ""), " (", SEED!#REF!, IF(EXACT(SEED!#REF!, ""), "", CONCATENATE(" ►", SEED!#REF!)), ")"))</f>
        <v>#REF!</v>
      </c>
    </row>
    <row r="320" spans="2:3" x14ac:dyDescent="0.2">
      <c r="B320" s="37" t="str">
        <f>IF(EXACT(SEED!$F72, ""), "", SEED!$I72)</f>
        <v/>
      </c>
      <c r="C320" s="4" t="str">
        <f>IF(EXACT($B320, ""), "", CONCATENATE(SUBSTITUTE(SEED!$F72, "-", ""), " (", SEED!$E72, IF(EXACT(SEED!$C72, ""), "", CONCATENATE(" ►", SEED!$C72)), ")"))</f>
        <v/>
      </c>
    </row>
    <row r="321" spans="2:3" x14ac:dyDescent="0.2">
      <c r="B321" s="37" t="str">
        <f>IF(EXACT(SEED!$F73, ""), "", SEED!$I73)</f>
        <v/>
      </c>
      <c r="C321" s="4" t="str">
        <f>IF(EXACT($B321, ""), "", CONCATENATE(SUBSTITUTE(SEED!$F73, "-", ""), " (", SEED!$E73, IF(EXACT(SEED!$C73, ""), "", CONCATENATE(" ►", SEED!$C73)), ")"))</f>
        <v/>
      </c>
    </row>
    <row r="322" spans="2:3" x14ac:dyDescent="0.2">
      <c r="B322" s="37" t="str">
        <f>IF(EXACT(SEED!$F74, ""), "", SEED!$I74)</f>
        <v/>
      </c>
      <c r="C322" s="4" t="str">
        <f>IF(EXACT($B322, ""), "", CONCATENATE(SUBSTITUTE(SEED!$F74, "-", ""), " (", SEED!$E74, IF(EXACT(SEED!$C74, ""), "", CONCATENATE(" ►", SEED!$C74)), ")"))</f>
        <v/>
      </c>
    </row>
    <row r="323" spans="2:3" x14ac:dyDescent="0.2">
      <c r="B323" s="37" t="str">
        <f>IF(EXACT(SEED!$F75, ""), "", SEED!$I75)</f>
        <v/>
      </c>
      <c r="C323" s="4" t="str">
        <f>IF(EXACT($B323, ""), "", CONCATENATE(SUBSTITUTE(SEED!$F75, "-", ""), " (", SEED!$E75, IF(EXACT(SEED!$C75, ""), "", CONCATENATE(" ►", SEED!$C75)), ")"))</f>
        <v/>
      </c>
    </row>
    <row r="324" spans="2:3" x14ac:dyDescent="0.2">
      <c r="B324" s="37" t="str">
        <f>IF(EXACT(SEED!$F76, ""), "", SEED!$I76)</f>
        <v/>
      </c>
      <c r="C324" s="4" t="str">
        <f>IF(EXACT($B324, ""), "", CONCATENATE(SUBSTITUTE(SEED!$F76, "-", ""), " (", SEED!$E76, IF(EXACT(SEED!$C76, ""), "", CONCATENATE(" ►", SEED!$C76)), ")"))</f>
        <v/>
      </c>
    </row>
    <row r="325" spans="2:3" x14ac:dyDescent="0.2">
      <c r="B325" s="37" t="str">
        <f>IF(EXACT(SEED!$F77, ""), "", SEED!$I77)</f>
        <v/>
      </c>
      <c r="C325" s="4" t="str">
        <f>IF(EXACT($B325, ""), "", CONCATENATE(SUBSTITUTE(SEED!$F77, "-", ""), " (", SEED!$E77, IF(EXACT(SEED!$C77, ""), "", CONCATENATE(" ►", SEED!$C77)), ")"))</f>
        <v/>
      </c>
    </row>
    <row r="326" spans="2:3" x14ac:dyDescent="0.2">
      <c r="B326" s="37" t="str">
        <f>IF(EXACT(SEED!$F78, ""), "", SEED!$I78)</f>
        <v/>
      </c>
      <c r="C326" s="4" t="str">
        <f>IF(EXACT($B326, ""), "", CONCATENATE(SUBSTITUTE(SEED!$F78, "-", ""), " (", SEED!$E78, IF(EXACT(SEED!$C78, ""), "", CONCATENATE(" ►", SEED!$C78)), ")"))</f>
        <v/>
      </c>
    </row>
    <row r="327" spans="2:3" x14ac:dyDescent="0.2">
      <c r="B327" s="37" t="str">
        <f>IF(EXACT(SEED!$F79, ""), "", SEED!$I79)</f>
        <v/>
      </c>
      <c r="C327" s="4" t="str">
        <f>IF(EXACT($B327, ""), "", CONCATENATE(SUBSTITUTE(SEED!$F79, "-", ""), " (", SEED!$E79, IF(EXACT(SEED!$C79, ""), "", CONCATENATE(" ►", SEED!$C79)), ")"))</f>
        <v/>
      </c>
    </row>
    <row r="328" spans="2:3" x14ac:dyDescent="0.2">
      <c r="B328" s="37" t="str">
        <f>IF(EXACT(SEED!$F80, ""), "", SEED!$I80)</f>
        <v/>
      </c>
      <c r="C328" s="4" t="str">
        <f>IF(EXACT($B328, ""), "", CONCATENATE(SUBSTITUTE(SEED!$F80, "-", ""), " (", SEED!$E80, IF(EXACT(SEED!$C80, ""), "", CONCATENATE(" ►", SEED!$C80)), ")"))</f>
        <v/>
      </c>
    </row>
    <row r="329" spans="2:3" x14ac:dyDescent="0.2">
      <c r="B329" s="37" t="str">
        <f>IF(EXACT(SEED!$F81, ""), "", SEED!$I81)</f>
        <v/>
      </c>
      <c r="C329" s="4" t="str">
        <f>IF(EXACT($B329, ""), "", CONCATENATE(SUBSTITUTE(SEED!$F81, "-", ""), " (", SEED!$E81, IF(EXACT(SEED!$C81, ""), "", CONCATENATE(" ►", SEED!$C81)), ")"))</f>
        <v/>
      </c>
    </row>
    <row r="330" spans="2:3" x14ac:dyDescent="0.2">
      <c r="B330" s="37" t="str">
        <f>IF(EXACT(SEED!$F82, ""), "", SEED!$I82)</f>
        <v/>
      </c>
      <c r="C330" s="4" t="str">
        <f>IF(EXACT($B330, ""), "", CONCATENATE(SUBSTITUTE(SEED!$F82, "-", ""), " (", SEED!$E82, IF(EXACT(SEED!$C82, ""), "", CONCATENATE(" ►", SEED!$C82)), ")"))</f>
        <v/>
      </c>
    </row>
    <row r="331" spans="2:3" x14ac:dyDescent="0.2">
      <c r="B331" s="37" t="str">
        <f>IF(EXACT(SEED!$F83, ""), "", SEED!$I83)</f>
        <v/>
      </c>
      <c r="C331" s="4" t="str">
        <f>IF(EXACT($B331, ""), "", CONCATENATE(SUBSTITUTE(SEED!$F83, "-", ""), " (", SEED!$E83, IF(EXACT(SEED!$C83, ""), "", CONCATENATE(" ►", SEED!$C83)), ")"))</f>
        <v/>
      </c>
    </row>
    <row r="332" spans="2:3" x14ac:dyDescent="0.2">
      <c r="B332" s="37" t="str">
        <f>IF(EXACT(SEED!$F84, ""), "", SEED!$I84)</f>
        <v/>
      </c>
      <c r="C332" s="4" t="str">
        <f>IF(EXACT($B332, ""), "", CONCATENATE(SUBSTITUTE(SEED!$F84, "-", ""), " (", SEED!$E84, IF(EXACT(SEED!$C84, ""), "", CONCATENATE(" ►", SEED!$C84)), ")"))</f>
        <v/>
      </c>
    </row>
    <row r="333" spans="2:3" x14ac:dyDescent="0.2">
      <c r="B333" s="37" t="str">
        <f>IF(EXACT(SEED!$F85, ""), "", SEED!$I85)</f>
        <v/>
      </c>
      <c r="C333" s="4" t="str">
        <f>IF(EXACT($B333, ""), "", CONCATENATE(SUBSTITUTE(SEED!$F85, "-", ""), " (", SEED!$E85, IF(EXACT(SEED!$C85, ""), "", CONCATENATE(" ►", SEED!$C85)), ")"))</f>
        <v/>
      </c>
    </row>
    <row r="334" spans="2:3" x14ac:dyDescent="0.2">
      <c r="B334" s="37" t="str">
        <f>IF(EXACT(SEED!$F86, ""), "", SEED!$I86)</f>
        <v/>
      </c>
      <c r="C334" s="4" t="str">
        <f>IF(EXACT($B334, ""), "", CONCATENATE(SUBSTITUTE(SEED!$F86, "-", ""), " (", SEED!$E86, IF(EXACT(SEED!$C86, ""), "", CONCATENATE(" ►", SEED!$C86)), ")"))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B1:C7"/>
  <sheetViews>
    <sheetView workbookViewId="0">
      <selection activeCell="B6" sqref="B6"/>
    </sheetView>
  </sheetViews>
  <sheetFormatPr defaultRowHeight="12.75" x14ac:dyDescent="0.2"/>
  <cols>
    <col min="1" max="1" width="9.140625" style="5"/>
    <col min="2" max="2" width="16.140625" style="1" bestFit="1" customWidth="1"/>
    <col min="3" max="3" width="10.28515625" style="5" bestFit="1" customWidth="1"/>
    <col min="4" max="16384" width="9.140625" style="5"/>
  </cols>
  <sheetData>
    <row r="1" spans="2:3" ht="13.5" thickBot="1" x14ac:dyDescent="0.25"/>
    <row r="2" spans="2:3" x14ac:dyDescent="0.2">
      <c r="B2" s="12" t="s">
        <v>872</v>
      </c>
      <c r="C2" s="13" t="s">
        <v>873</v>
      </c>
    </row>
    <row r="3" spans="2:3" ht="13.5" thickBot="1" x14ac:dyDescent="0.25">
      <c r="B3" s="14"/>
      <c r="C3" s="15"/>
    </row>
    <row r="4" spans="2:3" x14ac:dyDescent="0.2">
      <c r="B4" s="8">
        <v>287000000000001</v>
      </c>
      <c r="C4" s="9" t="s">
        <v>871</v>
      </c>
    </row>
    <row r="5" spans="2:3" x14ac:dyDescent="0.2">
      <c r="B5" s="8">
        <v>287000000000002</v>
      </c>
      <c r="C5" s="9" t="s">
        <v>880</v>
      </c>
    </row>
    <row r="6" spans="2:3" x14ac:dyDescent="0.2">
      <c r="B6" s="8">
        <v>287000000000003</v>
      </c>
      <c r="C6" s="9" t="s">
        <v>881</v>
      </c>
    </row>
    <row r="7" spans="2:3" x14ac:dyDescent="0.2">
      <c r="B7" s="10"/>
      <c r="C7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C617"/>
  <sheetViews>
    <sheetView topLeftCell="A16" workbookViewId="0">
      <selection activeCell="D8" sqref="D8"/>
    </sheetView>
  </sheetViews>
  <sheetFormatPr defaultRowHeight="12.75" x14ac:dyDescent="0.2"/>
  <cols>
    <col min="1" max="1" width="9.140625" style="5"/>
    <col min="2" max="2" width="15.140625" style="2" bestFit="1" customWidth="1"/>
    <col min="3" max="3" width="31.28515625" style="5" bestFit="1" customWidth="1"/>
    <col min="4" max="16384" width="9.140625" style="5"/>
  </cols>
  <sheetData>
    <row r="4" spans="2:3" x14ac:dyDescent="0.2">
      <c r="B4" s="2">
        <v>25000000000001</v>
      </c>
      <c r="C4" s="5" t="s">
        <v>0</v>
      </c>
    </row>
    <row r="5" spans="2:3" x14ac:dyDescent="0.2">
      <c r="B5" s="2">
        <v>25000000000002</v>
      </c>
      <c r="C5" s="5" t="s">
        <v>1</v>
      </c>
    </row>
    <row r="6" spans="2:3" x14ac:dyDescent="0.2">
      <c r="B6" s="2">
        <v>25000000000003</v>
      </c>
      <c r="C6" s="5" t="s">
        <v>2</v>
      </c>
    </row>
    <row r="7" spans="2:3" x14ac:dyDescent="0.2">
      <c r="B7" s="2">
        <v>25000000000004</v>
      </c>
      <c r="C7" s="5" t="s">
        <v>3</v>
      </c>
    </row>
    <row r="8" spans="2:3" x14ac:dyDescent="0.2">
      <c r="B8" s="2">
        <v>25000000000005</v>
      </c>
      <c r="C8" s="5" t="s">
        <v>4</v>
      </c>
    </row>
    <row r="9" spans="2:3" x14ac:dyDescent="0.2">
      <c r="B9" s="2">
        <v>25000000000006</v>
      </c>
      <c r="C9" s="5" t="s">
        <v>5</v>
      </c>
    </row>
    <row r="10" spans="2:3" x14ac:dyDescent="0.2">
      <c r="B10" s="2">
        <v>25000000000007</v>
      </c>
      <c r="C10" s="5" t="s">
        <v>6</v>
      </c>
    </row>
    <row r="11" spans="2:3" x14ac:dyDescent="0.2">
      <c r="B11" s="2">
        <v>25000000000008</v>
      </c>
      <c r="C11" s="5" t="s">
        <v>7</v>
      </c>
    </row>
    <row r="12" spans="2:3" x14ac:dyDescent="0.2">
      <c r="B12" s="2">
        <v>25000000000009</v>
      </c>
      <c r="C12" s="5" t="s">
        <v>8</v>
      </c>
    </row>
    <row r="13" spans="2:3" x14ac:dyDescent="0.2">
      <c r="B13" s="2">
        <v>25000000000010</v>
      </c>
      <c r="C13" s="5" t="s">
        <v>9</v>
      </c>
    </row>
    <row r="14" spans="2:3" x14ac:dyDescent="0.2">
      <c r="B14" s="2">
        <v>25000000000011</v>
      </c>
      <c r="C14" s="5" t="s">
        <v>10</v>
      </c>
    </row>
    <row r="15" spans="2:3" x14ac:dyDescent="0.2">
      <c r="B15" s="2">
        <v>25000000000012</v>
      </c>
      <c r="C15" s="5" t="s">
        <v>11</v>
      </c>
    </row>
    <row r="16" spans="2:3" x14ac:dyDescent="0.2">
      <c r="B16" s="2">
        <v>25000000000013</v>
      </c>
      <c r="C16" s="5" t="s">
        <v>12</v>
      </c>
    </row>
    <row r="17" spans="2:3" x14ac:dyDescent="0.2">
      <c r="B17" s="2">
        <v>25000000000014</v>
      </c>
      <c r="C17" s="5" t="s">
        <v>13</v>
      </c>
    </row>
    <row r="18" spans="2:3" x14ac:dyDescent="0.2">
      <c r="B18" s="2">
        <v>25000000000015</v>
      </c>
      <c r="C18" s="5" t="s">
        <v>14</v>
      </c>
    </row>
    <row r="19" spans="2:3" x14ac:dyDescent="0.2">
      <c r="B19" s="2">
        <v>25000000000016</v>
      </c>
      <c r="C19" s="5" t="s">
        <v>15</v>
      </c>
    </row>
    <row r="20" spans="2:3" x14ac:dyDescent="0.2">
      <c r="B20" s="2">
        <v>25000000000017</v>
      </c>
      <c r="C20" s="5" t="s">
        <v>16</v>
      </c>
    </row>
    <row r="21" spans="2:3" x14ac:dyDescent="0.2">
      <c r="B21" s="2">
        <v>25000000000018</v>
      </c>
      <c r="C21" s="5" t="s">
        <v>17</v>
      </c>
    </row>
    <row r="22" spans="2:3" x14ac:dyDescent="0.2">
      <c r="B22" s="2">
        <v>25000000000019</v>
      </c>
      <c r="C22" s="5" t="s">
        <v>18</v>
      </c>
    </row>
    <row r="23" spans="2:3" x14ac:dyDescent="0.2">
      <c r="B23" s="2">
        <v>25000000000020</v>
      </c>
      <c r="C23" s="5" t="s">
        <v>19</v>
      </c>
    </row>
    <row r="24" spans="2:3" x14ac:dyDescent="0.2">
      <c r="B24" s="2">
        <v>25000000000021</v>
      </c>
      <c r="C24" s="5" t="s">
        <v>20</v>
      </c>
    </row>
    <row r="25" spans="2:3" x14ac:dyDescent="0.2">
      <c r="B25" s="2">
        <v>25000000000022</v>
      </c>
      <c r="C25" s="5" t="s">
        <v>21</v>
      </c>
    </row>
    <row r="26" spans="2:3" x14ac:dyDescent="0.2">
      <c r="B26" s="2">
        <v>25000000000023</v>
      </c>
      <c r="C26" s="5" t="s">
        <v>22</v>
      </c>
    </row>
    <row r="27" spans="2:3" x14ac:dyDescent="0.2">
      <c r="B27" s="2">
        <v>25000000000024</v>
      </c>
      <c r="C27" s="5" t="s">
        <v>23</v>
      </c>
    </row>
    <row r="28" spans="2:3" x14ac:dyDescent="0.2">
      <c r="B28" s="2">
        <v>25000000000025</v>
      </c>
      <c r="C28" s="5" t="s">
        <v>24</v>
      </c>
    </row>
    <row r="29" spans="2:3" x14ac:dyDescent="0.2">
      <c r="B29" s="2">
        <v>25000000000026</v>
      </c>
      <c r="C29" s="5" t="s">
        <v>25</v>
      </c>
    </row>
    <row r="30" spans="2:3" x14ac:dyDescent="0.2">
      <c r="B30" s="2">
        <v>25000000000027</v>
      </c>
      <c r="C30" s="5" t="s">
        <v>26</v>
      </c>
    </row>
    <row r="31" spans="2:3" x14ac:dyDescent="0.2">
      <c r="B31" s="2">
        <v>25000000000028</v>
      </c>
      <c r="C31" s="5" t="s">
        <v>27</v>
      </c>
    </row>
    <row r="32" spans="2:3" x14ac:dyDescent="0.2">
      <c r="B32" s="2">
        <v>25000000000029</v>
      </c>
      <c r="C32" s="5" t="s">
        <v>28</v>
      </c>
    </row>
    <row r="33" spans="2:3" x14ac:dyDescent="0.2">
      <c r="B33" s="2">
        <v>25000000000030</v>
      </c>
      <c r="C33" s="5" t="s">
        <v>29</v>
      </c>
    </row>
    <row r="34" spans="2:3" x14ac:dyDescent="0.2">
      <c r="B34" s="2">
        <v>25000000000031</v>
      </c>
      <c r="C34" s="5" t="s">
        <v>30</v>
      </c>
    </row>
    <row r="35" spans="2:3" x14ac:dyDescent="0.2">
      <c r="B35" s="2">
        <v>25000000000032</v>
      </c>
      <c r="C35" s="5" t="s">
        <v>31</v>
      </c>
    </row>
    <row r="36" spans="2:3" x14ac:dyDescent="0.2">
      <c r="B36" s="2">
        <v>25000000000033</v>
      </c>
      <c r="C36" s="5" t="s">
        <v>32</v>
      </c>
    </row>
    <row r="37" spans="2:3" x14ac:dyDescent="0.2">
      <c r="B37" s="2">
        <v>25000000000034</v>
      </c>
      <c r="C37" s="5" t="s">
        <v>33</v>
      </c>
    </row>
    <row r="38" spans="2:3" x14ac:dyDescent="0.2">
      <c r="B38" s="2">
        <v>25000000000035</v>
      </c>
      <c r="C38" s="5" t="s">
        <v>34</v>
      </c>
    </row>
    <row r="39" spans="2:3" x14ac:dyDescent="0.2">
      <c r="B39" s="2">
        <v>25000000000036</v>
      </c>
      <c r="C39" s="5" t="s">
        <v>35</v>
      </c>
    </row>
    <row r="40" spans="2:3" x14ac:dyDescent="0.2">
      <c r="B40" s="2">
        <v>25000000000037</v>
      </c>
      <c r="C40" s="5" t="s">
        <v>36</v>
      </c>
    </row>
    <row r="41" spans="2:3" x14ac:dyDescent="0.2">
      <c r="B41" s="2">
        <v>25000000000038</v>
      </c>
      <c r="C41" s="5" t="s">
        <v>37</v>
      </c>
    </row>
    <row r="42" spans="2:3" x14ac:dyDescent="0.2">
      <c r="B42" s="2">
        <v>25000000000039</v>
      </c>
      <c r="C42" s="5" t="s">
        <v>38</v>
      </c>
    </row>
    <row r="43" spans="2:3" x14ac:dyDescent="0.2">
      <c r="B43" s="2">
        <v>25000000000040</v>
      </c>
      <c r="C43" s="5" t="s">
        <v>39</v>
      </c>
    </row>
    <row r="44" spans="2:3" x14ac:dyDescent="0.2">
      <c r="B44" s="2">
        <v>25000000000041</v>
      </c>
      <c r="C44" s="5" t="s">
        <v>40</v>
      </c>
    </row>
    <row r="45" spans="2:3" x14ac:dyDescent="0.2">
      <c r="B45" s="2">
        <v>25000000000042</v>
      </c>
      <c r="C45" s="5" t="s">
        <v>41</v>
      </c>
    </row>
    <row r="46" spans="2:3" x14ac:dyDescent="0.2">
      <c r="B46" s="2">
        <v>25000000000043</v>
      </c>
      <c r="C46" s="5" t="s">
        <v>42</v>
      </c>
    </row>
    <row r="47" spans="2:3" x14ac:dyDescent="0.2">
      <c r="B47" s="2">
        <v>25000000000044</v>
      </c>
      <c r="C47" s="5" t="s">
        <v>43</v>
      </c>
    </row>
    <row r="48" spans="2:3" x14ac:dyDescent="0.2">
      <c r="B48" s="2">
        <v>25000000000045</v>
      </c>
      <c r="C48" s="5" t="s">
        <v>44</v>
      </c>
    </row>
    <row r="49" spans="2:3" x14ac:dyDescent="0.2">
      <c r="B49" s="2">
        <v>25000000000046</v>
      </c>
      <c r="C49" s="5" t="s">
        <v>45</v>
      </c>
    </row>
    <row r="50" spans="2:3" x14ac:dyDescent="0.2">
      <c r="B50" s="2">
        <v>25000000000047</v>
      </c>
      <c r="C50" s="5" t="s">
        <v>46</v>
      </c>
    </row>
    <row r="51" spans="2:3" x14ac:dyDescent="0.2">
      <c r="B51" s="2">
        <v>25000000000048</v>
      </c>
      <c r="C51" s="5" t="s">
        <v>47</v>
      </c>
    </row>
    <row r="52" spans="2:3" x14ac:dyDescent="0.2">
      <c r="B52" s="2">
        <v>25000000000049</v>
      </c>
      <c r="C52" s="5" t="s">
        <v>48</v>
      </c>
    </row>
    <row r="53" spans="2:3" x14ac:dyDescent="0.2">
      <c r="B53" s="2">
        <v>25000000000050</v>
      </c>
      <c r="C53" s="5" t="s">
        <v>49</v>
      </c>
    </row>
    <row r="54" spans="2:3" x14ac:dyDescent="0.2">
      <c r="B54" s="2">
        <v>25000000000051</v>
      </c>
      <c r="C54" s="5" t="s">
        <v>50</v>
      </c>
    </row>
    <row r="55" spans="2:3" x14ac:dyDescent="0.2">
      <c r="B55" s="2">
        <v>25000000000052</v>
      </c>
      <c r="C55" s="5" t="s">
        <v>51</v>
      </c>
    </row>
    <row r="56" spans="2:3" x14ac:dyDescent="0.2">
      <c r="B56" s="2">
        <v>25000000000053</v>
      </c>
      <c r="C56" s="5" t="s">
        <v>52</v>
      </c>
    </row>
    <row r="57" spans="2:3" x14ac:dyDescent="0.2">
      <c r="B57" s="2">
        <v>25000000000054</v>
      </c>
      <c r="C57" s="5" t="s">
        <v>53</v>
      </c>
    </row>
    <row r="58" spans="2:3" x14ac:dyDescent="0.2">
      <c r="B58" s="2">
        <v>25000000000055</v>
      </c>
      <c r="C58" s="5" t="s">
        <v>54</v>
      </c>
    </row>
    <row r="59" spans="2:3" x14ac:dyDescent="0.2">
      <c r="B59" s="2">
        <v>25000000000056</v>
      </c>
      <c r="C59" s="5" t="s">
        <v>55</v>
      </c>
    </row>
    <row r="60" spans="2:3" x14ac:dyDescent="0.2">
      <c r="B60" s="2">
        <v>25000000000057</v>
      </c>
      <c r="C60" s="5" t="s">
        <v>56</v>
      </c>
    </row>
    <row r="61" spans="2:3" x14ac:dyDescent="0.2">
      <c r="B61" s="2">
        <v>25000000000058</v>
      </c>
      <c r="C61" s="5" t="s">
        <v>57</v>
      </c>
    </row>
    <row r="62" spans="2:3" x14ac:dyDescent="0.2">
      <c r="B62" s="2">
        <v>25000000000059</v>
      </c>
      <c r="C62" s="5" t="s">
        <v>58</v>
      </c>
    </row>
    <row r="63" spans="2:3" x14ac:dyDescent="0.2">
      <c r="B63" s="2">
        <v>25000000000060</v>
      </c>
      <c r="C63" s="5" t="s">
        <v>59</v>
      </c>
    </row>
    <row r="64" spans="2:3" x14ac:dyDescent="0.2">
      <c r="B64" s="2">
        <v>25000000000061</v>
      </c>
      <c r="C64" s="5" t="s">
        <v>60</v>
      </c>
    </row>
    <row r="65" spans="2:3" x14ac:dyDescent="0.2">
      <c r="B65" s="2">
        <v>25000000000062</v>
      </c>
      <c r="C65" s="5" t="s">
        <v>61</v>
      </c>
    </row>
    <row r="66" spans="2:3" x14ac:dyDescent="0.2">
      <c r="B66" s="2">
        <v>25000000000063</v>
      </c>
      <c r="C66" s="5" t="s">
        <v>62</v>
      </c>
    </row>
    <row r="67" spans="2:3" x14ac:dyDescent="0.2">
      <c r="B67" s="2">
        <v>25000000000064</v>
      </c>
      <c r="C67" s="5" t="s">
        <v>63</v>
      </c>
    </row>
    <row r="68" spans="2:3" x14ac:dyDescent="0.2">
      <c r="B68" s="2">
        <v>25000000000065</v>
      </c>
      <c r="C68" s="5" t="s">
        <v>64</v>
      </c>
    </row>
    <row r="69" spans="2:3" x14ac:dyDescent="0.2">
      <c r="B69" s="2">
        <v>25000000000066</v>
      </c>
      <c r="C69" s="5" t="s">
        <v>65</v>
      </c>
    </row>
    <row r="70" spans="2:3" x14ac:dyDescent="0.2">
      <c r="B70" s="2">
        <v>25000000000067</v>
      </c>
      <c r="C70" s="5" t="s">
        <v>66</v>
      </c>
    </row>
    <row r="71" spans="2:3" x14ac:dyDescent="0.2">
      <c r="B71" s="2">
        <v>25000000000068</v>
      </c>
      <c r="C71" s="5" t="s">
        <v>67</v>
      </c>
    </row>
    <row r="72" spans="2:3" x14ac:dyDescent="0.2">
      <c r="B72" s="2">
        <v>25000000000069</v>
      </c>
      <c r="C72" s="5" t="s">
        <v>68</v>
      </c>
    </row>
    <row r="73" spans="2:3" x14ac:dyDescent="0.2">
      <c r="B73" s="2">
        <v>25000000000070</v>
      </c>
      <c r="C73" s="5" t="s">
        <v>69</v>
      </c>
    </row>
    <row r="74" spans="2:3" x14ac:dyDescent="0.2">
      <c r="B74" s="2">
        <v>25000000000071</v>
      </c>
      <c r="C74" s="5" t="s">
        <v>70</v>
      </c>
    </row>
    <row r="75" spans="2:3" x14ac:dyDescent="0.2">
      <c r="B75" s="2">
        <v>25000000000072</v>
      </c>
      <c r="C75" s="5" t="s">
        <v>71</v>
      </c>
    </row>
    <row r="76" spans="2:3" x14ac:dyDescent="0.2">
      <c r="B76" s="2">
        <v>25000000000073</v>
      </c>
      <c r="C76" s="5" t="s">
        <v>72</v>
      </c>
    </row>
    <row r="77" spans="2:3" x14ac:dyDescent="0.2">
      <c r="B77" s="2">
        <v>25000000000074</v>
      </c>
      <c r="C77" s="5" t="s">
        <v>73</v>
      </c>
    </row>
    <row r="78" spans="2:3" x14ac:dyDescent="0.2">
      <c r="B78" s="2">
        <v>25000000000075</v>
      </c>
      <c r="C78" s="5" t="s">
        <v>74</v>
      </c>
    </row>
    <row r="79" spans="2:3" x14ac:dyDescent="0.2">
      <c r="B79" s="2">
        <v>25000000000076</v>
      </c>
      <c r="C79" s="5" t="s">
        <v>75</v>
      </c>
    </row>
    <row r="80" spans="2:3" x14ac:dyDescent="0.2">
      <c r="B80" s="2">
        <v>25000000000077</v>
      </c>
      <c r="C80" s="5" t="s">
        <v>76</v>
      </c>
    </row>
    <row r="81" spans="2:3" x14ac:dyDescent="0.2">
      <c r="B81" s="2">
        <v>25000000000078</v>
      </c>
      <c r="C81" s="5" t="s">
        <v>77</v>
      </c>
    </row>
    <row r="82" spans="2:3" x14ac:dyDescent="0.2">
      <c r="B82" s="2">
        <v>25000000000079</v>
      </c>
      <c r="C82" s="5" t="s">
        <v>78</v>
      </c>
    </row>
    <row r="83" spans="2:3" x14ac:dyDescent="0.2">
      <c r="B83" s="2">
        <v>25000000000080</v>
      </c>
      <c r="C83" s="5" t="s">
        <v>79</v>
      </c>
    </row>
    <row r="84" spans="2:3" x14ac:dyDescent="0.2">
      <c r="B84" s="2">
        <v>25000000000081</v>
      </c>
      <c r="C84" s="5" t="s">
        <v>80</v>
      </c>
    </row>
    <row r="85" spans="2:3" x14ac:dyDescent="0.2">
      <c r="B85" s="2">
        <v>25000000000082</v>
      </c>
      <c r="C85" s="5" t="s">
        <v>81</v>
      </c>
    </row>
    <row r="86" spans="2:3" x14ac:dyDescent="0.2">
      <c r="B86" s="2">
        <v>25000000000083</v>
      </c>
      <c r="C86" s="5" t="s">
        <v>82</v>
      </c>
    </row>
    <row r="87" spans="2:3" x14ac:dyDescent="0.2">
      <c r="B87" s="2">
        <v>25000000000084</v>
      </c>
      <c r="C87" s="5" t="s">
        <v>83</v>
      </c>
    </row>
    <row r="88" spans="2:3" x14ac:dyDescent="0.2">
      <c r="B88" s="2">
        <v>25000000000085</v>
      </c>
      <c r="C88" s="5" t="s">
        <v>84</v>
      </c>
    </row>
    <row r="89" spans="2:3" x14ac:dyDescent="0.2">
      <c r="B89" s="2">
        <v>25000000000086</v>
      </c>
      <c r="C89" s="5" t="s">
        <v>85</v>
      </c>
    </row>
    <row r="90" spans="2:3" x14ac:dyDescent="0.2">
      <c r="B90" s="2">
        <v>25000000000087</v>
      </c>
      <c r="C90" s="5" t="s">
        <v>86</v>
      </c>
    </row>
    <row r="91" spans="2:3" x14ac:dyDescent="0.2">
      <c r="B91" s="2">
        <v>25000000000088</v>
      </c>
      <c r="C91" s="5" t="s">
        <v>87</v>
      </c>
    </row>
    <row r="92" spans="2:3" x14ac:dyDescent="0.2">
      <c r="B92" s="2">
        <v>25000000000089</v>
      </c>
      <c r="C92" s="5" t="s">
        <v>88</v>
      </c>
    </row>
    <row r="93" spans="2:3" x14ac:dyDescent="0.2">
      <c r="B93" s="2">
        <v>25000000000090</v>
      </c>
      <c r="C93" s="5" t="s">
        <v>89</v>
      </c>
    </row>
    <row r="94" spans="2:3" x14ac:dyDescent="0.2">
      <c r="B94" s="2">
        <v>25000000000091</v>
      </c>
      <c r="C94" s="5" t="s">
        <v>90</v>
      </c>
    </row>
    <row r="95" spans="2:3" x14ac:dyDescent="0.2">
      <c r="B95" s="2">
        <v>25000000000092</v>
      </c>
      <c r="C95" s="5" t="s">
        <v>91</v>
      </c>
    </row>
    <row r="96" spans="2:3" x14ac:dyDescent="0.2">
      <c r="B96" s="2">
        <v>25000000000093</v>
      </c>
      <c r="C96" s="5" t="s">
        <v>92</v>
      </c>
    </row>
    <row r="97" spans="2:3" x14ac:dyDescent="0.2">
      <c r="B97" s="2">
        <v>25000000000094</v>
      </c>
      <c r="C97" s="5" t="s">
        <v>93</v>
      </c>
    </row>
    <row r="98" spans="2:3" x14ac:dyDescent="0.2">
      <c r="B98" s="2">
        <v>25000000000095</v>
      </c>
      <c r="C98" s="5" t="s">
        <v>94</v>
      </c>
    </row>
    <row r="99" spans="2:3" x14ac:dyDescent="0.2">
      <c r="B99" s="2">
        <v>25000000000096</v>
      </c>
      <c r="C99" s="5" t="s">
        <v>95</v>
      </c>
    </row>
    <row r="100" spans="2:3" x14ac:dyDescent="0.2">
      <c r="B100" s="2">
        <v>25000000000097</v>
      </c>
      <c r="C100" s="5" t="s">
        <v>96</v>
      </c>
    </row>
    <row r="101" spans="2:3" x14ac:dyDescent="0.2">
      <c r="B101" s="2">
        <v>25000000000098</v>
      </c>
      <c r="C101" s="5" t="s">
        <v>97</v>
      </c>
    </row>
    <row r="102" spans="2:3" x14ac:dyDescent="0.2">
      <c r="B102" s="2">
        <v>25000000000099</v>
      </c>
      <c r="C102" s="5" t="s">
        <v>98</v>
      </c>
    </row>
    <row r="103" spans="2:3" x14ac:dyDescent="0.2">
      <c r="B103" s="2">
        <v>25000000000100</v>
      </c>
      <c r="C103" s="5" t="s">
        <v>99</v>
      </c>
    </row>
    <row r="104" spans="2:3" x14ac:dyDescent="0.2">
      <c r="B104" s="2">
        <v>25000000000101</v>
      </c>
      <c r="C104" s="5" t="s">
        <v>100</v>
      </c>
    </row>
    <row r="105" spans="2:3" x14ac:dyDescent="0.2">
      <c r="B105" s="2">
        <v>25000000000102</v>
      </c>
      <c r="C105" s="5" t="s">
        <v>101</v>
      </c>
    </row>
    <row r="106" spans="2:3" x14ac:dyDescent="0.2">
      <c r="B106" s="2">
        <v>25000000000103</v>
      </c>
      <c r="C106" s="5" t="s">
        <v>102</v>
      </c>
    </row>
    <row r="107" spans="2:3" x14ac:dyDescent="0.2">
      <c r="B107" s="2">
        <v>25000000000104</v>
      </c>
      <c r="C107" s="5" t="s">
        <v>103</v>
      </c>
    </row>
    <row r="108" spans="2:3" x14ac:dyDescent="0.2">
      <c r="B108" s="2">
        <v>25000000000105</v>
      </c>
      <c r="C108" s="5" t="s">
        <v>104</v>
      </c>
    </row>
    <row r="109" spans="2:3" x14ac:dyDescent="0.2">
      <c r="B109" s="2">
        <v>25000000000106</v>
      </c>
      <c r="C109" s="5" t="s">
        <v>105</v>
      </c>
    </row>
    <row r="110" spans="2:3" x14ac:dyDescent="0.2">
      <c r="B110" s="2">
        <v>25000000000107</v>
      </c>
      <c r="C110" s="5" t="s">
        <v>106</v>
      </c>
    </row>
    <row r="111" spans="2:3" x14ac:dyDescent="0.2">
      <c r="B111" s="2">
        <v>25000000000108</v>
      </c>
      <c r="C111" s="5" t="s">
        <v>107</v>
      </c>
    </row>
    <row r="112" spans="2:3" x14ac:dyDescent="0.2">
      <c r="B112" s="2">
        <v>25000000000109</v>
      </c>
      <c r="C112" s="5" t="s">
        <v>108</v>
      </c>
    </row>
    <row r="113" spans="2:3" x14ac:dyDescent="0.2">
      <c r="B113" s="2">
        <v>25000000000110</v>
      </c>
      <c r="C113" s="5" t="s">
        <v>109</v>
      </c>
    </row>
    <row r="114" spans="2:3" x14ac:dyDescent="0.2">
      <c r="B114" s="2">
        <v>25000000000111</v>
      </c>
      <c r="C114" s="5" t="s">
        <v>110</v>
      </c>
    </row>
    <row r="115" spans="2:3" x14ac:dyDescent="0.2">
      <c r="B115" s="2">
        <v>25000000000112</v>
      </c>
      <c r="C115" s="5" t="s">
        <v>111</v>
      </c>
    </row>
    <row r="116" spans="2:3" x14ac:dyDescent="0.2">
      <c r="B116" s="2">
        <v>25000000000113</v>
      </c>
      <c r="C116" s="5" t="s">
        <v>112</v>
      </c>
    </row>
    <row r="117" spans="2:3" x14ac:dyDescent="0.2">
      <c r="B117" s="2">
        <v>25000000000114</v>
      </c>
      <c r="C117" s="5" t="s">
        <v>113</v>
      </c>
    </row>
    <row r="118" spans="2:3" x14ac:dyDescent="0.2">
      <c r="B118" s="2">
        <v>25000000000115</v>
      </c>
      <c r="C118" s="5" t="s">
        <v>114</v>
      </c>
    </row>
    <row r="119" spans="2:3" x14ac:dyDescent="0.2">
      <c r="B119" s="2">
        <v>25000000000116</v>
      </c>
      <c r="C119" s="5" t="s">
        <v>115</v>
      </c>
    </row>
    <row r="120" spans="2:3" x14ac:dyDescent="0.2">
      <c r="B120" s="2">
        <v>25000000000117</v>
      </c>
      <c r="C120" s="5" t="s">
        <v>116</v>
      </c>
    </row>
    <row r="121" spans="2:3" x14ac:dyDescent="0.2">
      <c r="B121" s="2">
        <v>25000000000118</v>
      </c>
      <c r="C121" s="5" t="s">
        <v>117</v>
      </c>
    </row>
    <row r="122" spans="2:3" x14ac:dyDescent="0.2">
      <c r="B122" s="2">
        <v>25000000000119</v>
      </c>
      <c r="C122" s="5" t="s">
        <v>118</v>
      </c>
    </row>
    <row r="123" spans="2:3" x14ac:dyDescent="0.2">
      <c r="B123" s="2">
        <v>25000000000120</v>
      </c>
      <c r="C123" s="5" t="s">
        <v>119</v>
      </c>
    </row>
    <row r="124" spans="2:3" x14ac:dyDescent="0.2">
      <c r="B124" s="2">
        <v>25000000000121</v>
      </c>
      <c r="C124" s="5" t="s">
        <v>120</v>
      </c>
    </row>
    <row r="125" spans="2:3" x14ac:dyDescent="0.2">
      <c r="B125" s="2">
        <v>25000000000122</v>
      </c>
      <c r="C125" s="5" t="s">
        <v>121</v>
      </c>
    </row>
    <row r="126" spans="2:3" x14ac:dyDescent="0.2">
      <c r="B126" s="2">
        <v>25000000000123</v>
      </c>
      <c r="C126" s="5" t="s">
        <v>122</v>
      </c>
    </row>
    <row r="127" spans="2:3" x14ac:dyDescent="0.2">
      <c r="B127" s="2">
        <v>25000000000124</v>
      </c>
      <c r="C127" s="5" t="s">
        <v>123</v>
      </c>
    </row>
    <row r="128" spans="2:3" x14ac:dyDescent="0.2">
      <c r="B128" s="2">
        <v>25000000000125</v>
      </c>
      <c r="C128" s="5" t="s">
        <v>124</v>
      </c>
    </row>
    <row r="129" spans="2:3" x14ac:dyDescent="0.2">
      <c r="B129" s="2">
        <v>25000000000126</v>
      </c>
      <c r="C129" s="5" t="s">
        <v>125</v>
      </c>
    </row>
    <row r="130" spans="2:3" x14ac:dyDescent="0.2">
      <c r="B130" s="2">
        <v>25000000000127</v>
      </c>
      <c r="C130" s="5" t="s">
        <v>126</v>
      </c>
    </row>
    <row r="131" spans="2:3" x14ac:dyDescent="0.2">
      <c r="B131" s="2">
        <v>25000000000128</v>
      </c>
      <c r="C131" s="5" t="s">
        <v>127</v>
      </c>
    </row>
    <row r="132" spans="2:3" x14ac:dyDescent="0.2">
      <c r="B132" s="2">
        <v>25000000000129</v>
      </c>
      <c r="C132" s="5" t="s">
        <v>128</v>
      </c>
    </row>
    <row r="133" spans="2:3" x14ac:dyDescent="0.2">
      <c r="B133" s="2">
        <v>25000000000130</v>
      </c>
      <c r="C133" s="5" t="s">
        <v>129</v>
      </c>
    </row>
    <row r="134" spans="2:3" x14ac:dyDescent="0.2">
      <c r="B134" s="2">
        <v>25000000000131</v>
      </c>
      <c r="C134" s="5" t="s">
        <v>130</v>
      </c>
    </row>
    <row r="135" spans="2:3" x14ac:dyDescent="0.2">
      <c r="B135" s="2">
        <v>25000000000132</v>
      </c>
      <c r="C135" s="5" t="s">
        <v>131</v>
      </c>
    </row>
    <row r="136" spans="2:3" x14ac:dyDescent="0.2">
      <c r="B136" s="2">
        <v>25000000000133</v>
      </c>
      <c r="C136" s="5" t="s">
        <v>132</v>
      </c>
    </row>
    <row r="137" spans="2:3" x14ac:dyDescent="0.2">
      <c r="B137" s="2">
        <v>25000000000134</v>
      </c>
      <c r="C137" s="5" t="s">
        <v>133</v>
      </c>
    </row>
    <row r="138" spans="2:3" x14ac:dyDescent="0.2">
      <c r="B138" s="2">
        <v>25000000000135</v>
      </c>
      <c r="C138" s="5" t="s">
        <v>134</v>
      </c>
    </row>
    <row r="139" spans="2:3" x14ac:dyDescent="0.2">
      <c r="B139" s="2">
        <v>25000000000136</v>
      </c>
      <c r="C139" s="5" t="s">
        <v>135</v>
      </c>
    </row>
    <row r="140" spans="2:3" x14ac:dyDescent="0.2">
      <c r="B140" s="2">
        <v>25000000000137</v>
      </c>
      <c r="C140" s="5" t="s">
        <v>136</v>
      </c>
    </row>
    <row r="141" spans="2:3" x14ac:dyDescent="0.2">
      <c r="B141" s="2">
        <v>25000000000138</v>
      </c>
      <c r="C141" s="5" t="s">
        <v>137</v>
      </c>
    </row>
    <row r="142" spans="2:3" x14ac:dyDescent="0.2">
      <c r="B142" s="2">
        <v>25000000000139</v>
      </c>
      <c r="C142" s="5" t="s">
        <v>138</v>
      </c>
    </row>
    <row r="143" spans="2:3" x14ac:dyDescent="0.2">
      <c r="B143" s="2">
        <v>25000000000140</v>
      </c>
      <c r="C143" s="5" t="s">
        <v>139</v>
      </c>
    </row>
    <row r="144" spans="2:3" x14ac:dyDescent="0.2">
      <c r="B144" s="2">
        <v>25000000000141</v>
      </c>
      <c r="C144" s="5" t="s">
        <v>140</v>
      </c>
    </row>
    <row r="145" spans="2:3" x14ac:dyDescent="0.2">
      <c r="B145" s="2">
        <v>25000000000142</v>
      </c>
      <c r="C145" s="5" t="s">
        <v>141</v>
      </c>
    </row>
    <row r="146" spans="2:3" x14ac:dyDescent="0.2">
      <c r="B146" s="2">
        <v>25000000000143</v>
      </c>
      <c r="C146" s="5" t="s">
        <v>142</v>
      </c>
    </row>
    <row r="147" spans="2:3" x14ac:dyDescent="0.2">
      <c r="B147" s="2">
        <v>25000000000144</v>
      </c>
      <c r="C147" s="5" t="s">
        <v>143</v>
      </c>
    </row>
    <row r="148" spans="2:3" x14ac:dyDescent="0.2">
      <c r="B148" s="2">
        <v>25000000000145</v>
      </c>
      <c r="C148" s="5" t="s">
        <v>144</v>
      </c>
    </row>
    <row r="149" spans="2:3" x14ac:dyDescent="0.2">
      <c r="B149" s="2">
        <v>25000000000146</v>
      </c>
      <c r="C149" s="5" t="s">
        <v>145</v>
      </c>
    </row>
    <row r="150" spans="2:3" x14ac:dyDescent="0.2">
      <c r="B150" s="2">
        <v>25000000000147</v>
      </c>
      <c r="C150" s="5" t="s">
        <v>146</v>
      </c>
    </row>
    <row r="151" spans="2:3" x14ac:dyDescent="0.2">
      <c r="B151" s="2">
        <v>25000000000148</v>
      </c>
      <c r="C151" s="5" t="s">
        <v>147</v>
      </c>
    </row>
    <row r="152" spans="2:3" x14ac:dyDescent="0.2">
      <c r="B152" s="2">
        <v>25000000000149</v>
      </c>
      <c r="C152" s="5" t="s">
        <v>148</v>
      </c>
    </row>
    <row r="153" spans="2:3" x14ac:dyDescent="0.2">
      <c r="B153" s="2">
        <v>25000000000150</v>
      </c>
      <c r="C153" s="5" t="s">
        <v>149</v>
      </c>
    </row>
    <row r="154" spans="2:3" x14ac:dyDescent="0.2">
      <c r="B154" s="2">
        <v>25000000000151</v>
      </c>
      <c r="C154" s="5" t="s">
        <v>150</v>
      </c>
    </row>
    <row r="155" spans="2:3" x14ac:dyDescent="0.2">
      <c r="B155" s="2">
        <v>25000000000152</v>
      </c>
      <c r="C155" s="5" t="s">
        <v>151</v>
      </c>
    </row>
    <row r="156" spans="2:3" x14ac:dyDescent="0.2">
      <c r="B156" s="2">
        <v>25000000000153</v>
      </c>
      <c r="C156" s="5" t="s">
        <v>152</v>
      </c>
    </row>
    <row r="157" spans="2:3" x14ac:dyDescent="0.2">
      <c r="B157" s="2">
        <v>25000000000154</v>
      </c>
      <c r="C157" s="5" t="s">
        <v>153</v>
      </c>
    </row>
    <row r="158" spans="2:3" x14ac:dyDescent="0.2">
      <c r="B158" s="2">
        <v>25000000000155</v>
      </c>
      <c r="C158" s="5" t="s">
        <v>154</v>
      </c>
    </row>
    <row r="159" spans="2:3" x14ac:dyDescent="0.2">
      <c r="B159" s="2">
        <v>25000000000156</v>
      </c>
      <c r="C159" s="5" t="s">
        <v>155</v>
      </c>
    </row>
    <row r="160" spans="2:3" x14ac:dyDescent="0.2">
      <c r="B160" s="2">
        <v>25000000000157</v>
      </c>
      <c r="C160" s="5" t="s">
        <v>156</v>
      </c>
    </row>
    <row r="161" spans="2:3" x14ac:dyDescent="0.2">
      <c r="B161" s="2">
        <v>25000000000158</v>
      </c>
      <c r="C161" s="5" t="s">
        <v>157</v>
      </c>
    </row>
    <row r="162" spans="2:3" x14ac:dyDescent="0.2">
      <c r="B162" s="2">
        <v>25000000000159</v>
      </c>
      <c r="C162" s="5" t="s">
        <v>158</v>
      </c>
    </row>
    <row r="163" spans="2:3" x14ac:dyDescent="0.2">
      <c r="B163" s="2">
        <v>25000000000160</v>
      </c>
      <c r="C163" s="5" t="s">
        <v>159</v>
      </c>
    </row>
    <row r="164" spans="2:3" x14ac:dyDescent="0.2">
      <c r="B164" s="2">
        <v>25000000000161</v>
      </c>
      <c r="C164" s="5" t="s">
        <v>160</v>
      </c>
    </row>
    <row r="165" spans="2:3" x14ac:dyDescent="0.2">
      <c r="B165" s="2">
        <v>25000000000162</v>
      </c>
      <c r="C165" s="5" t="s">
        <v>161</v>
      </c>
    </row>
    <row r="166" spans="2:3" x14ac:dyDescent="0.2">
      <c r="B166" s="2">
        <v>25000000000163</v>
      </c>
      <c r="C166" s="5" t="s">
        <v>162</v>
      </c>
    </row>
    <row r="167" spans="2:3" x14ac:dyDescent="0.2">
      <c r="B167" s="2">
        <v>25000000000164</v>
      </c>
      <c r="C167" s="5" t="s">
        <v>163</v>
      </c>
    </row>
    <row r="168" spans="2:3" x14ac:dyDescent="0.2">
      <c r="B168" s="2">
        <v>25000000000165</v>
      </c>
      <c r="C168" s="5" t="s">
        <v>164</v>
      </c>
    </row>
    <row r="169" spans="2:3" x14ac:dyDescent="0.2">
      <c r="B169" s="2">
        <v>25000000000166</v>
      </c>
      <c r="C169" s="5" t="s">
        <v>165</v>
      </c>
    </row>
    <row r="170" spans="2:3" x14ac:dyDescent="0.2">
      <c r="B170" s="2">
        <v>25000000000167</v>
      </c>
      <c r="C170" s="5" t="s">
        <v>166</v>
      </c>
    </row>
    <row r="171" spans="2:3" x14ac:dyDescent="0.2">
      <c r="B171" s="2">
        <v>25000000000168</v>
      </c>
      <c r="C171" s="5" t="s">
        <v>167</v>
      </c>
    </row>
    <row r="172" spans="2:3" x14ac:dyDescent="0.2">
      <c r="B172" s="2">
        <v>25000000000169</v>
      </c>
      <c r="C172" s="5" t="s">
        <v>168</v>
      </c>
    </row>
    <row r="173" spans="2:3" x14ac:dyDescent="0.2">
      <c r="B173" s="2">
        <v>25000000000170</v>
      </c>
      <c r="C173" s="5" t="s">
        <v>169</v>
      </c>
    </row>
    <row r="174" spans="2:3" x14ac:dyDescent="0.2">
      <c r="B174" s="2">
        <v>25000000000171</v>
      </c>
      <c r="C174" s="5" t="s">
        <v>170</v>
      </c>
    </row>
    <row r="175" spans="2:3" x14ac:dyDescent="0.2">
      <c r="B175" s="2">
        <v>25000000000172</v>
      </c>
      <c r="C175" s="5" t="s">
        <v>171</v>
      </c>
    </row>
    <row r="176" spans="2:3" x14ac:dyDescent="0.2">
      <c r="B176" s="2">
        <v>25000000000173</v>
      </c>
      <c r="C176" s="5" t="s">
        <v>172</v>
      </c>
    </row>
    <row r="177" spans="2:3" x14ac:dyDescent="0.2">
      <c r="B177" s="2">
        <v>25000000000174</v>
      </c>
      <c r="C177" s="5" t="s">
        <v>173</v>
      </c>
    </row>
    <row r="178" spans="2:3" x14ac:dyDescent="0.2">
      <c r="B178" s="2">
        <v>25000000000175</v>
      </c>
      <c r="C178" s="5" t="s">
        <v>174</v>
      </c>
    </row>
    <row r="179" spans="2:3" x14ac:dyDescent="0.2">
      <c r="B179" s="2">
        <v>25000000000176</v>
      </c>
      <c r="C179" s="5" t="s">
        <v>175</v>
      </c>
    </row>
    <row r="180" spans="2:3" x14ac:dyDescent="0.2">
      <c r="B180" s="2">
        <v>25000000000177</v>
      </c>
      <c r="C180" s="5" t="s">
        <v>176</v>
      </c>
    </row>
    <row r="181" spans="2:3" x14ac:dyDescent="0.2">
      <c r="B181" s="2">
        <v>25000000000178</v>
      </c>
      <c r="C181" s="5" t="s">
        <v>177</v>
      </c>
    </row>
    <row r="182" spans="2:3" x14ac:dyDescent="0.2">
      <c r="B182" s="2">
        <v>25000000000179</v>
      </c>
      <c r="C182" s="5" t="s">
        <v>178</v>
      </c>
    </row>
    <row r="183" spans="2:3" x14ac:dyDescent="0.2">
      <c r="B183" s="2">
        <v>25000000000180</v>
      </c>
      <c r="C183" s="5" t="s">
        <v>179</v>
      </c>
    </row>
    <row r="184" spans="2:3" x14ac:dyDescent="0.2">
      <c r="B184" s="2">
        <v>25000000000181</v>
      </c>
      <c r="C184" s="5" t="s">
        <v>180</v>
      </c>
    </row>
    <row r="185" spans="2:3" x14ac:dyDescent="0.2">
      <c r="B185" s="2">
        <v>25000000000182</v>
      </c>
      <c r="C185" s="5" t="s">
        <v>181</v>
      </c>
    </row>
    <row r="186" spans="2:3" x14ac:dyDescent="0.2">
      <c r="B186" s="2">
        <v>25000000000183</v>
      </c>
      <c r="C186" s="5" t="s">
        <v>182</v>
      </c>
    </row>
    <row r="187" spans="2:3" x14ac:dyDescent="0.2">
      <c r="B187" s="2">
        <v>25000000000184</v>
      </c>
      <c r="C187" s="5" t="s">
        <v>183</v>
      </c>
    </row>
    <row r="188" spans="2:3" x14ac:dyDescent="0.2">
      <c r="B188" s="2">
        <v>25000000000185</v>
      </c>
      <c r="C188" s="5" t="s">
        <v>184</v>
      </c>
    </row>
    <row r="189" spans="2:3" x14ac:dyDescent="0.2">
      <c r="B189" s="2">
        <v>25000000000186</v>
      </c>
      <c r="C189" s="5" t="s">
        <v>185</v>
      </c>
    </row>
    <row r="190" spans="2:3" x14ac:dyDescent="0.2">
      <c r="B190" s="2">
        <v>25000000000187</v>
      </c>
      <c r="C190" s="5" t="s">
        <v>186</v>
      </c>
    </row>
    <row r="191" spans="2:3" x14ac:dyDescent="0.2">
      <c r="B191" s="2">
        <v>25000000000188</v>
      </c>
      <c r="C191" s="5" t="s">
        <v>187</v>
      </c>
    </row>
    <row r="192" spans="2:3" x14ac:dyDescent="0.2">
      <c r="B192" s="2">
        <v>25000000000189</v>
      </c>
      <c r="C192" s="5" t="s">
        <v>188</v>
      </c>
    </row>
    <row r="193" spans="2:3" x14ac:dyDescent="0.2">
      <c r="B193" s="2">
        <v>25000000000190</v>
      </c>
      <c r="C193" s="5" t="s">
        <v>189</v>
      </c>
    </row>
    <row r="194" spans="2:3" x14ac:dyDescent="0.2">
      <c r="B194" s="2">
        <v>25000000000191</v>
      </c>
      <c r="C194" s="5" t="s">
        <v>190</v>
      </c>
    </row>
    <row r="195" spans="2:3" x14ac:dyDescent="0.2">
      <c r="B195" s="2">
        <v>25000000000192</v>
      </c>
      <c r="C195" s="5" t="s">
        <v>191</v>
      </c>
    </row>
    <row r="196" spans="2:3" x14ac:dyDescent="0.2">
      <c r="B196" s="2">
        <v>25000000000193</v>
      </c>
      <c r="C196" s="5" t="s">
        <v>192</v>
      </c>
    </row>
    <row r="197" spans="2:3" x14ac:dyDescent="0.2">
      <c r="B197" s="2">
        <v>25000000000194</v>
      </c>
      <c r="C197" s="5" t="s">
        <v>193</v>
      </c>
    </row>
    <row r="198" spans="2:3" x14ac:dyDescent="0.2">
      <c r="B198" s="2">
        <v>25000000000195</v>
      </c>
      <c r="C198" s="5" t="s">
        <v>194</v>
      </c>
    </row>
    <row r="199" spans="2:3" x14ac:dyDescent="0.2">
      <c r="B199" s="2">
        <v>25000000000196</v>
      </c>
      <c r="C199" s="5" t="s">
        <v>195</v>
      </c>
    </row>
    <row r="200" spans="2:3" x14ac:dyDescent="0.2">
      <c r="B200" s="2">
        <v>25000000000197</v>
      </c>
      <c r="C200" s="5" t="s">
        <v>196</v>
      </c>
    </row>
    <row r="201" spans="2:3" x14ac:dyDescent="0.2">
      <c r="B201" s="2">
        <v>25000000000198</v>
      </c>
      <c r="C201" s="5" t="s">
        <v>197</v>
      </c>
    </row>
    <row r="202" spans="2:3" x14ac:dyDescent="0.2">
      <c r="B202" s="2">
        <v>25000000000199</v>
      </c>
      <c r="C202" s="5" t="s">
        <v>198</v>
      </c>
    </row>
    <row r="203" spans="2:3" x14ac:dyDescent="0.2">
      <c r="B203" s="2">
        <v>25000000000200</v>
      </c>
      <c r="C203" s="5" t="s">
        <v>199</v>
      </c>
    </row>
    <row r="204" spans="2:3" x14ac:dyDescent="0.2">
      <c r="B204" s="2">
        <v>25000000000201</v>
      </c>
      <c r="C204" s="5" t="s">
        <v>200</v>
      </c>
    </row>
    <row r="205" spans="2:3" x14ac:dyDescent="0.2">
      <c r="B205" s="2">
        <v>25000000000202</v>
      </c>
      <c r="C205" s="5" t="s">
        <v>201</v>
      </c>
    </row>
    <row r="206" spans="2:3" x14ac:dyDescent="0.2">
      <c r="B206" s="2">
        <v>25000000000203</v>
      </c>
      <c r="C206" s="5" t="s">
        <v>202</v>
      </c>
    </row>
    <row r="207" spans="2:3" x14ac:dyDescent="0.2">
      <c r="B207" s="2">
        <v>25000000000204</v>
      </c>
      <c r="C207" s="5" t="s">
        <v>203</v>
      </c>
    </row>
    <row r="208" spans="2:3" x14ac:dyDescent="0.2">
      <c r="B208" s="2">
        <v>25000000000205</v>
      </c>
      <c r="C208" s="5" t="s">
        <v>204</v>
      </c>
    </row>
    <row r="209" spans="2:3" x14ac:dyDescent="0.2">
      <c r="B209" s="2">
        <v>25000000000206</v>
      </c>
      <c r="C209" s="5" t="s">
        <v>205</v>
      </c>
    </row>
    <row r="210" spans="2:3" x14ac:dyDescent="0.2">
      <c r="B210" s="2">
        <v>25000000000207</v>
      </c>
      <c r="C210" s="5" t="s">
        <v>206</v>
      </c>
    </row>
    <row r="211" spans="2:3" x14ac:dyDescent="0.2">
      <c r="B211" s="2">
        <v>25000000000208</v>
      </c>
      <c r="C211" s="5" t="s">
        <v>207</v>
      </c>
    </row>
    <row r="212" spans="2:3" x14ac:dyDescent="0.2">
      <c r="B212" s="2">
        <v>25000000000209</v>
      </c>
      <c r="C212" s="5" t="s">
        <v>208</v>
      </c>
    </row>
    <row r="213" spans="2:3" x14ac:dyDescent="0.2">
      <c r="B213" s="2">
        <v>25000000000210</v>
      </c>
      <c r="C213" s="5" t="s">
        <v>209</v>
      </c>
    </row>
    <row r="214" spans="2:3" x14ac:dyDescent="0.2">
      <c r="B214" s="2">
        <v>25000000000211</v>
      </c>
      <c r="C214" s="5" t="s">
        <v>210</v>
      </c>
    </row>
    <row r="215" spans="2:3" x14ac:dyDescent="0.2">
      <c r="B215" s="2">
        <v>25000000000212</v>
      </c>
      <c r="C215" s="5" t="s">
        <v>211</v>
      </c>
    </row>
    <row r="216" spans="2:3" x14ac:dyDescent="0.2">
      <c r="B216" s="2">
        <v>25000000000213</v>
      </c>
      <c r="C216" s="5" t="s">
        <v>212</v>
      </c>
    </row>
    <row r="217" spans="2:3" x14ac:dyDescent="0.2">
      <c r="B217" s="2">
        <v>25000000000214</v>
      </c>
      <c r="C217" s="5" t="s">
        <v>213</v>
      </c>
    </row>
    <row r="218" spans="2:3" x14ac:dyDescent="0.2">
      <c r="B218" s="2">
        <v>25000000000215</v>
      </c>
      <c r="C218" s="5" t="s">
        <v>214</v>
      </c>
    </row>
    <row r="219" spans="2:3" x14ac:dyDescent="0.2">
      <c r="B219" s="2">
        <v>25000000000216</v>
      </c>
      <c r="C219" s="5" t="s">
        <v>215</v>
      </c>
    </row>
    <row r="220" spans="2:3" x14ac:dyDescent="0.2">
      <c r="B220" s="2">
        <v>25000000000217</v>
      </c>
      <c r="C220" s="5" t="s">
        <v>216</v>
      </c>
    </row>
    <row r="221" spans="2:3" x14ac:dyDescent="0.2">
      <c r="B221" s="2">
        <v>25000000000218</v>
      </c>
      <c r="C221" s="5" t="s">
        <v>217</v>
      </c>
    </row>
    <row r="222" spans="2:3" x14ac:dyDescent="0.2">
      <c r="B222" s="2">
        <v>25000000000219</v>
      </c>
      <c r="C222" s="5" t="s">
        <v>218</v>
      </c>
    </row>
    <row r="223" spans="2:3" x14ac:dyDescent="0.2">
      <c r="B223" s="2">
        <v>25000000000220</v>
      </c>
      <c r="C223" s="5" t="s">
        <v>219</v>
      </c>
    </row>
    <row r="224" spans="2:3" x14ac:dyDescent="0.2">
      <c r="B224" s="2">
        <v>25000000000221</v>
      </c>
      <c r="C224" s="5" t="s">
        <v>220</v>
      </c>
    </row>
    <row r="225" spans="2:3" x14ac:dyDescent="0.2">
      <c r="B225" s="2">
        <v>25000000000222</v>
      </c>
      <c r="C225" s="5" t="s">
        <v>221</v>
      </c>
    </row>
    <row r="226" spans="2:3" x14ac:dyDescent="0.2">
      <c r="B226" s="2">
        <v>25000000000223</v>
      </c>
      <c r="C226" s="5" t="s">
        <v>222</v>
      </c>
    </row>
    <row r="227" spans="2:3" x14ac:dyDescent="0.2">
      <c r="B227" s="2">
        <v>25000000000224</v>
      </c>
      <c r="C227" s="5" t="s">
        <v>223</v>
      </c>
    </row>
    <row r="228" spans="2:3" x14ac:dyDescent="0.2">
      <c r="B228" s="2">
        <v>25000000000225</v>
      </c>
      <c r="C228" s="5" t="s">
        <v>224</v>
      </c>
    </row>
    <row r="229" spans="2:3" x14ac:dyDescent="0.2">
      <c r="B229" s="2">
        <v>25000000000226</v>
      </c>
      <c r="C229" s="5" t="s">
        <v>225</v>
      </c>
    </row>
    <row r="230" spans="2:3" x14ac:dyDescent="0.2">
      <c r="B230" s="2">
        <v>25000000000227</v>
      </c>
      <c r="C230" s="5" t="s">
        <v>226</v>
      </c>
    </row>
    <row r="231" spans="2:3" x14ac:dyDescent="0.2">
      <c r="B231" s="2">
        <v>25000000000228</v>
      </c>
      <c r="C231" s="5" t="s">
        <v>227</v>
      </c>
    </row>
    <row r="232" spans="2:3" x14ac:dyDescent="0.2">
      <c r="B232" s="2">
        <v>25000000000229</v>
      </c>
      <c r="C232" s="5" t="s">
        <v>228</v>
      </c>
    </row>
    <row r="233" spans="2:3" x14ac:dyDescent="0.2">
      <c r="B233" s="2">
        <v>25000000000230</v>
      </c>
      <c r="C233" s="5" t="s">
        <v>229</v>
      </c>
    </row>
    <row r="234" spans="2:3" x14ac:dyDescent="0.2">
      <c r="B234" s="2">
        <v>25000000000231</v>
      </c>
      <c r="C234" s="5" t="s">
        <v>230</v>
      </c>
    </row>
    <row r="235" spans="2:3" x14ac:dyDescent="0.2">
      <c r="B235" s="2">
        <v>25000000000232</v>
      </c>
      <c r="C235" s="5" t="s">
        <v>231</v>
      </c>
    </row>
    <row r="236" spans="2:3" x14ac:dyDescent="0.2">
      <c r="B236" s="2">
        <v>25000000000233</v>
      </c>
      <c r="C236" s="5" t="s">
        <v>232</v>
      </c>
    </row>
    <row r="237" spans="2:3" x14ac:dyDescent="0.2">
      <c r="B237" s="2">
        <v>25000000000234</v>
      </c>
      <c r="C237" s="5" t="s">
        <v>233</v>
      </c>
    </row>
    <row r="238" spans="2:3" x14ac:dyDescent="0.2">
      <c r="B238" s="2">
        <v>25000000000235</v>
      </c>
      <c r="C238" s="5" t="s">
        <v>234</v>
      </c>
    </row>
    <row r="239" spans="2:3" x14ac:dyDescent="0.2">
      <c r="B239" s="2">
        <v>25000000000236</v>
      </c>
      <c r="C239" s="5" t="s">
        <v>235</v>
      </c>
    </row>
    <row r="240" spans="2:3" x14ac:dyDescent="0.2">
      <c r="B240" s="2">
        <v>25000000000237</v>
      </c>
      <c r="C240" s="5" t="s">
        <v>236</v>
      </c>
    </row>
    <row r="241" spans="2:3" x14ac:dyDescent="0.2">
      <c r="B241" s="2">
        <v>25000000000238</v>
      </c>
      <c r="C241" s="5" t="s">
        <v>237</v>
      </c>
    </row>
    <row r="242" spans="2:3" x14ac:dyDescent="0.2">
      <c r="B242" s="2">
        <v>25000000000239</v>
      </c>
      <c r="C242" s="5" t="s">
        <v>238</v>
      </c>
    </row>
    <row r="243" spans="2:3" x14ac:dyDescent="0.2">
      <c r="B243" s="2">
        <v>25000000000240</v>
      </c>
      <c r="C243" s="5" t="s">
        <v>239</v>
      </c>
    </row>
    <row r="244" spans="2:3" x14ac:dyDescent="0.2">
      <c r="B244" s="2">
        <v>25000000000241</v>
      </c>
      <c r="C244" s="5" t="s">
        <v>240</v>
      </c>
    </row>
    <row r="245" spans="2:3" x14ac:dyDescent="0.2">
      <c r="B245" s="2">
        <v>25000000000242</v>
      </c>
      <c r="C245" s="5" t="s">
        <v>241</v>
      </c>
    </row>
    <row r="246" spans="2:3" x14ac:dyDescent="0.2">
      <c r="B246" s="2">
        <v>25000000000243</v>
      </c>
      <c r="C246" s="5" t="s">
        <v>242</v>
      </c>
    </row>
    <row r="247" spans="2:3" x14ac:dyDescent="0.2">
      <c r="B247" s="2">
        <v>25000000000244</v>
      </c>
      <c r="C247" s="5" t="s">
        <v>243</v>
      </c>
    </row>
    <row r="248" spans="2:3" x14ac:dyDescent="0.2">
      <c r="B248" s="2">
        <v>25000000000245</v>
      </c>
      <c r="C248" s="5" t="s">
        <v>244</v>
      </c>
    </row>
    <row r="249" spans="2:3" x14ac:dyDescent="0.2">
      <c r="B249" s="2">
        <v>25000000000246</v>
      </c>
      <c r="C249" s="5" t="s">
        <v>245</v>
      </c>
    </row>
    <row r="250" spans="2:3" x14ac:dyDescent="0.2">
      <c r="B250" s="2">
        <v>25000000000247</v>
      </c>
      <c r="C250" s="5" t="s">
        <v>246</v>
      </c>
    </row>
    <row r="251" spans="2:3" x14ac:dyDescent="0.2">
      <c r="B251" s="2">
        <v>25000000000248</v>
      </c>
      <c r="C251" s="5" t="s">
        <v>247</v>
      </c>
    </row>
    <row r="252" spans="2:3" x14ac:dyDescent="0.2">
      <c r="B252" s="2">
        <v>25000000000249</v>
      </c>
      <c r="C252" s="5" t="s">
        <v>248</v>
      </c>
    </row>
    <row r="253" spans="2:3" x14ac:dyDescent="0.2">
      <c r="B253" s="2">
        <v>25000000000250</v>
      </c>
      <c r="C253" s="5" t="s">
        <v>249</v>
      </c>
    </row>
    <row r="254" spans="2:3" x14ac:dyDescent="0.2">
      <c r="B254" s="2">
        <v>25000000000251</v>
      </c>
      <c r="C254" s="5" t="s">
        <v>250</v>
      </c>
    </row>
    <row r="255" spans="2:3" x14ac:dyDescent="0.2">
      <c r="B255" s="2">
        <v>25000000000252</v>
      </c>
      <c r="C255" s="5" t="s">
        <v>251</v>
      </c>
    </row>
    <row r="256" spans="2:3" x14ac:dyDescent="0.2">
      <c r="B256" s="2">
        <v>25000000000253</v>
      </c>
      <c r="C256" s="5" t="s">
        <v>252</v>
      </c>
    </row>
    <row r="257" spans="2:3" x14ac:dyDescent="0.2">
      <c r="B257" s="2">
        <v>25000000000254</v>
      </c>
      <c r="C257" s="5" t="s">
        <v>253</v>
      </c>
    </row>
    <row r="258" spans="2:3" x14ac:dyDescent="0.2">
      <c r="B258" s="2">
        <v>25000000000255</v>
      </c>
      <c r="C258" s="5" t="s">
        <v>254</v>
      </c>
    </row>
    <row r="259" spans="2:3" x14ac:dyDescent="0.2">
      <c r="B259" s="2">
        <v>25000000000256</v>
      </c>
      <c r="C259" s="5" t="s">
        <v>255</v>
      </c>
    </row>
    <row r="260" spans="2:3" x14ac:dyDescent="0.2">
      <c r="B260" s="2">
        <v>25000000000257</v>
      </c>
      <c r="C260" s="5" t="s">
        <v>256</v>
      </c>
    </row>
    <row r="261" spans="2:3" x14ac:dyDescent="0.2">
      <c r="B261" s="2">
        <v>25000000000258</v>
      </c>
      <c r="C261" s="5" t="s">
        <v>257</v>
      </c>
    </row>
    <row r="262" spans="2:3" x14ac:dyDescent="0.2">
      <c r="B262" s="2">
        <v>25000000000259</v>
      </c>
      <c r="C262" s="5" t="s">
        <v>258</v>
      </c>
    </row>
    <row r="263" spans="2:3" x14ac:dyDescent="0.2">
      <c r="B263" s="2">
        <v>25000000000260</v>
      </c>
      <c r="C263" s="5" t="s">
        <v>259</v>
      </c>
    </row>
    <row r="264" spans="2:3" x14ac:dyDescent="0.2">
      <c r="B264" s="2">
        <v>25000000000261</v>
      </c>
      <c r="C264" s="5" t="s">
        <v>260</v>
      </c>
    </row>
    <row r="265" spans="2:3" x14ac:dyDescent="0.2">
      <c r="B265" s="2">
        <v>25000000000262</v>
      </c>
      <c r="C265" s="5" t="s">
        <v>261</v>
      </c>
    </row>
    <row r="266" spans="2:3" x14ac:dyDescent="0.2">
      <c r="B266" s="2">
        <v>25000000000263</v>
      </c>
      <c r="C266" s="5" t="s">
        <v>262</v>
      </c>
    </row>
    <row r="267" spans="2:3" x14ac:dyDescent="0.2">
      <c r="B267" s="2">
        <v>25000000000264</v>
      </c>
      <c r="C267" s="5" t="s">
        <v>263</v>
      </c>
    </row>
    <row r="268" spans="2:3" x14ac:dyDescent="0.2">
      <c r="B268" s="2">
        <v>25000000000265</v>
      </c>
      <c r="C268" s="5" t="s">
        <v>264</v>
      </c>
    </row>
    <row r="269" spans="2:3" x14ac:dyDescent="0.2">
      <c r="B269" s="2">
        <v>25000000000266</v>
      </c>
      <c r="C269" s="5" t="s">
        <v>265</v>
      </c>
    </row>
    <row r="270" spans="2:3" x14ac:dyDescent="0.2">
      <c r="B270" s="2">
        <v>25000000000267</v>
      </c>
      <c r="C270" s="5" t="s">
        <v>266</v>
      </c>
    </row>
    <row r="271" spans="2:3" x14ac:dyDescent="0.2">
      <c r="B271" s="2">
        <v>25000000000268</v>
      </c>
      <c r="C271" s="5" t="s">
        <v>267</v>
      </c>
    </row>
    <row r="272" spans="2:3" x14ac:dyDescent="0.2">
      <c r="B272" s="2">
        <v>25000000000269</v>
      </c>
      <c r="C272" s="5" t="s">
        <v>268</v>
      </c>
    </row>
    <row r="273" spans="2:3" x14ac:dyDescent="0.2">
      <c r="B273" s="2">
        <v>25000000000270</v>
      </c>
      <c r="C273" s="5" t="s">
        <v>269</v>
      </c>
    </row>
    <row r="274" spans="2:3" x14ac:dyDescent="0.2">
      <c r="B274" s="2">
        <v>25000000000271</v>
      </c>
      <c r="C274" s="5" t="s">
        <v>270</v>
      </c>
    </row>
    <row r="275" spans="2:3" x14ac:dyDescent="0.2">
      <c r="B275" s="2">
        <v>25000000000272</v>
      </c>
      <c r="C275" s="5" t="s">
        <v>271</v>
      </c>
    </row>
    <row r="276" spans="2:3" x14ac:dyDescent="0.2">
      <c r="B276" s="2">
        <v>25000000000273</v>
      </c>
      <c r="C276" s="5" t="s">
        <v>272</v>
      </c>
    </row>
    <row r="277" spans="2:3" x14ac:dyDescent="0.2">
      <c r="B277" s="2">
        <v>25000000000274</v>
      </c>
      <c r="C277" s="5" t="s">
        <v>273</v>
      </c>
    </row>
    <row r="278" spans="2:3" x14ac:dyDescent="0.2">
      <c r="B278" s="2">
        <v>25000000000275</v>
      </c>
      <c r="C278" s="5" t="s">
        <v>274</v>
      </c>
    </row>
    <row r="279" spans="2:3" x14ac:dyDescent="0.2">
      <c r="B279" s="2">
        <v>25000000000276</v>
      </c>
      <c r="C279" s="5" t="s">
        <v>275</v>
      </c>
    </row>
    <row r="280" spans="2:3" x14ac:dyDescent="0.2">
      <c r="B280" s="2">
        <v>25000000000277</v>
      </c>
      <c r="C280" s="5" t="s">
        <v>276</v>
      </c>
    </row>
    <row r="281" spans="2:3" x14ac:dyDescent="0.2">
      <c r="B281" s="2">
        <v>25000000000278</v>
      </c>
      <c r="C281" s="5" t="s">
        <v>277</v>
      </c>
    </row>
    <row r="282" spans="2:3" x14ac:dyDescent="0.2">
      <c r="B282" s="2">
        <v>25000000000279</v>
      </c>
      <c r="C282" s="5" t="s">
        <v>278</v>
      </c>
    </row>
    <row r="283" spans="2:3" x14ac:dyDescent="0.2">
      <c r="B283" s="2">
        <v>25000000000280</v>
      </c>
      <c r="C283" s="5" t="s">
        <v>279</v>
      </c>
    </row>
    <row r="284" spans="2:3" x14ac:dyDescent="0.2">
      <c r="B284" s="2">
        <v>25000000000281</v>
      </c>
      <c r="C284" s="5" t="s">
        <v>280</v>
      </c>
    </row>
    <row r="285" spans="2:3" x14ac:dyDescent="0.2">
      <c r="B285" s="2">
        <v>25000000000282</v>
      </c>
      <c r="C285" s="5" t="s">
        <v>281</v>
      </c>
    </row>
    <row r="286" spans="2:3" x14ac:dyDescent="0.2">
      <c r="B286" s="2">
        <v>25000000000283</v>
      </c>
      <c r="C286" s="5" t="s">
        <v>282</v>
      </c>
    </row>
    <row r="287" spans="2:3" x14ac:dyDescent="0.2">
      <c r="B287" s="2">
        <v>25000000000284</v>
      </c>
      <c r="C287" s="5" t="s">
        <v>283</v>
      </c>
    </row>
    <row r="288" spans="2:3" x14ac:dyDescent="0.2">
      <c r="B288" s="2">
        <v>25000000000285</v>
      </c>
      <c r="C288" s="5" t="s">
        <v>284</v>
      </c>
    </row>
    <row r="289" spans="2:3" x14ac:dyDescent="0.2">
      <c r="B289" s="2">
        <v>25000000000286</v>
      </c>
      <c r="C289" s="5" t="s">
        <v>285</v>
      </c>
    </row>
    <row r="290" spans="2:3" x14ac:dyDescent="0.2">
      <c r="B290" s="2">
        <v>25000000000287</v>
      </c>
      <c r="C290" s="5" t="s">
        <v>286</v>
      </c>
    </row>
    <row r="291" spans="2:3" x14ac:dyDescent="0.2">
      <c r="B291" s="2">
        <v>25000000000288</v>
      </c>
      <c r="C291" s="5" t="s">
        <v>287</v>
      </c>
    </row>
    <row r="292" spans="2:3" x14ac:dyDescent="0.2">
      <c r="B292" s="2">
        <v>25000000000289</v>
      </c>
      <c r="C292" s="5" t="s">
        <v>288</v>
      </c>
    </row>
    <row r="293" spans="2:3" x14ac:dyDescent="0.2">
      <c r="B293" s="2">
        <v>25000000000290</v>
      </c>
      <c r="C293" s="5" t="s">
        <v>289</v>
      </c>
    </row>
    <row r="294" spans="2:3" x14ac:dyDescent="0.2">
      <c r="B294" s="2">
        <v>25000000000291</v>
      </c>
      <c r="C294" s="5" t="s">
        <v>290</v>
      </c>
    </row>
    <row r="295" spans="2:3" x14ac:dyDescent="0.2">
      <c r="B295" s="2">
        <v>25000000000292</v>
      </c>
      <c r="C295" s="5" t="s">
        <v>291</v>
      </c>
    </row>
    <row r="296" spans="2:3" x14ac:dyDescent="0.2">
      <c r="B296" s="2">
        <v>25000000000293</v>
      </c>
      <c r="C296" s="5" t="s">
        <v>292</v>
      </c>
    </row>
    <row r="297" spans="2:3" x14ac:dyDescent="0.2">
      <c r="B297" s="2">
        <v>25000000000294</v>
      </c>
      <c r="C297" s="5" t="s">
        <v>293</v>
      </c>
    </row>
    <row r="298" spans="2:3" x14ac:dyDescent="0.2">
      <c r="B298" s="2">
        <v>25000000000295</v>
      </c>
      <c r="C298" s="5" t="s">
        <v>294</v>
      </c>
    </row>
    <row r="299" spans="2:3" x14ac:dyDescent="0.2">
      <c r="B299" s="2">
        <v>25000000000296</v>
      </c>
      <c r="C299" s="5" t="s">
        <v>295</v>
      </c>
    </row>
    <row r="300" spans="2:3" x14ac:dyDescent="0.2">
      <c r="B300" s="2">
        <v>25000000000297</v>
      </c>
      <c r="C300" s="5" t="s">
        <v>296</v>
      </c>
    </row>
    <row r="301" spans="2:3" x14ac:dyDescent="0.2">
      <c r="B301" s="2">
        <v>25000000000298</v>
      </c>
      <c r="C301" s="5" t="s">
        <v>297</v>
      </c>
    </row>
    <row r="302" spans="2:3" x14ac:dyDescent="0.2">
      <c r="B302" s="2">
        <v>25000000000299</v>
      </c>
      <c r="C302" s="5" t="s">
        <v>298</v>
      </c>
    </row>
    <row r="303" spans="2:3" x14ac:dyDescent="0.2">
      <c r="B303" s="2">
        <v>25000000000300</v>
      </c>
      <c r="C303" s="5" t="s">
        <v>299</v>
      </c>
    </row>
    <row r="304" spans="2:3" x14ac:dyDescent="0.2">
      <c r="B304" s="2">
        <v>25000000000301</v>
      </c>
      <c r="C304" s="5" t="s">
        <v>300</v>
      </c>
    </row>
    <row r="305" spans="2:3" x14ac:dyDescent="0.2">
      <c r="B305" s="2">
        <v>25000000000302</v>
      </c>
      <c r="C305" s="5" t="s">
        <v>301</v>
      </c>
    </row>
    <row r="306" spans="2:3" x14ac:dyDescent="0.2">
      <c r="B306" s="2">
        <v>25000000000303</v>
      </c>
      <c r="C306" s="5" t="s">
        <v>302</v>
      </c>
    </row>
    <row r="307" spans="2:3" x14ac:dyDescent="0.2">
      <c r="B307" s="2">
        <v>25000000000304</v>
      </c>
      <c r="C307" s="5" t="s">
        <v>303</v>
      </c>
    </row>
    <row r="308" spans="2:3" x14ac:dyDescent="0.2">
      <c r="B308" s="2">
        <v>25000000000305</v>
      </c>
      <c r="C308" s="5" t="s">
        <v>304</v>
      </c>
    </row>
    <row r="309" spans="2:3" x14ac:dyDescent="0.2">
      <c r="B309" s="2">
        <v>25000000000306</v>
      </c>
      <c r="C309" s="5" t="s">
        <v>305</v>
      </c>
    </row>
    <row r="310" spans="2:3" x14ac:dyDescent="0.2">
      <c r="B310" s="2">
        <v>25000000000307</v>
      </c>
      <c r="C310" s="5" t="s">
        <v>306</v>
      </c>
    </row>
    <row r="311" spans="2:3" x14ac:dyDescent="0.2">
      <c r="B311" s="2">
        <v>25000000000308</v>
      </c>
      <c r="C311" s="5" t="s">
        <v>307</v>
      </c>
    </row>
    <row r="312" spans="2:3" x14ac:dyDescent="0.2">
      <c r="B312" s="2">
        <v>25000000000309</v>
      </c>
      <c r="C312" s="5" t="s">
        <v>308</v>
      </c>
    </row>
    <row r="313" spans="2:3" x14ac:dyDescent="0.2">
      <c r="B313" s="2">
        <v>25000000000310</v>
      </c>
      <c r="C313" s="5" t="s">
        <v>309</v>
      </c>
    </row>
    <row r="314" spans="2:3" x14ac:dyDescent="0.2">
      <c r="B314" s="2">
        <v>25000000000311</v>
      </c>
      <c r="C314" s="5" t="s">
        <v>310</v>
      </c>
    </row>
    <row r="315" spans="2:3" x14ac:dyDescent="0.2">
      <c r="B315" s="2">
        <v>25000000000312</v>
      </c>
      <c r="C315" s="5" t="s">
        <v>311</v>
      </c>
    </row>
    <row r="316" spans="2:3" x14ac:dyDescent="0.2">
      <c r="B316" s="2">
        <v>25000000000313</v>
      </c>
      <c r="C316" s="5" t="s">
        <v>312</v>
      </c>
    </row>
    <row r="317" spans="2:3" x14ac:dyDescent="0.2">
      <c r="B317" s="2">
        <v>25000000000314</v>
      </c>
      <c r="C317" s="5" t="s">
        <v>313</v>
      </c>
    </row>
    <row r="318" spans="2:3" x14ac:dyDescent="0.2">
      <c r="B318" s="2">
        <v>25000000000315</v>
      </c>
      <c r="C318" s="5" t="s">
        <v>314</v>
      </c>
    </row>
    <row r="319" spans="2:3" x14ac:dyDescent="0.2">
      <c r="B319" s="2">
        <v>25000000000316</v>
      </c>
      <c r="C319" s="5" t="s">
        <v>315</v>
      </c>
    </row>
    <row r="320" spans="2:3" x14ac:dyDescent="0.2">
      <c r="B320" s="2">
        <v>25000000000317</v>
      </c>
      <c r="C320" s="5" t="s">
        <v>316</v>
      </c>
    </row>
    <row r="321" spans="2:3" x14ac:dyDescent="0.2">
      <c r="B321" s="2">
        <v>25000000000318</v>
      </c>
      <c r="C321" s="5" t="s">
        <v>317</v>
      </c>
    </row>
    <row r="322" spans="2:3" x14ac:dyDescent="0.2">
      <c r="B322" s="2">
        <v>25000000000319</v>
      </c>
      <c r="C322" s="5" t="s">
        <v>318</v>
      </c>
    </row>
    <row r="323" spans="2:3" x14ac:dyDescent="0.2">
      <c r="B323" s="2">
        <v>25000000000320</v>
      </c>
      <c r="C323" s="5" t="s">
        <v>319</v>
      </c>
    </row>
    <row r="324" spans="2:3" x14ac:dyDescent="0.2">
      <c r="B324" s="2">
        <v>25000000000321</v>
      </c>
      <c r="C324" s="5" t="s">
        <v>320</v>
      </c>
    </row>
    <row r="325" spans="2:3" x14ac:dyDescent="0.2">
      <c r="B325" s="2">
        <v>25000000000322</v>
      </c>
      <c r="C325" s="5" t="s">
        <v>321</v>
      </c>
    </row>
    <row r="326" spans="2:3" x14ac:dyDescent="0.2">
      <c r="B326" s="2">
        <v>25000000000323</v>
      </c>
      <c r="C326" s="5" t="s">
        <v>322</v>
      </c>
    </row>
    <row r="327" spans="2:3" x14ac:dyDescent="0.2">
      <c r="B327" s="2">
        <v>25000000000324</v>
      </c>
      <c r="C327" s="5" t="s">
        <v>323</v>
      </c>
    </row>
    <row r="328" spans="2:3" x14ac:dyDescent="0.2">
      <c r="B328" s="2">
        <v>25000000000325</v>
      </c>
      <c r="C328" s="5" t="s">
        <v>324</v>
      </c>
    </row>
    <row r="329" spans="2:3" x14ac:dyDescent="0.2">
      <c r="B329" s="2">
        <v>25000000000326</v>
      </c>
      <c r="C329" s="5" t="s">
        <v>325</v>
      </c>
    </row>
    <row r="330" spans="2:3" x14ac:dyDescent="0.2">
      <c r="B330" s="2">
        <v>25000000000327</v>
      </c>
      <c r="C330" s="5" t="s">
        <v>326</v>
      </c>
    </row>
    <row r="331" spans="2:3" x14ac:dyDescent="0.2">
      <c r="B331" s="2">
        <v>25000000000328</v>
      </c>
      <c r="C331" s="5" t="s">
        <v>327</v>
      </c>
    </row>
    <row r="332" spans="2:3" x14ac:dyDescent="0.2">
      <c r="B332" s="2">
        <v>25000000000329</v>
      </c>
      <c r="C332" s="5" t="s">
        <v>328</v>
      </c>
    </row>
    <row r="333" spans="2:3" x14ac:dyDescent="0.2">
      <c r="B333" s="2">
        <v>25000000000330</v>
      </c>
      <c r="C333" s="5" t="s">
        <v>329</v>
      </c>
    </row>
    <row r="334" spans="2:3" x14ac:dyDescent="0.2">
      <c r="B334" s="2">
        <v>25000000000331</v>
      </c>
      <c r="C334" s="5" t="s">
        <v>330</v>
      </c>
    </row>
    <row r="335" spans="2:3" x14ac:dyDescent="0.2">
      <c r="B335" s="2">
        <v>25000000000332</v>
      </c>
      <c r="C335" s="5" t="s">
        <v>331</v>
      </c>
    </row>
    <row r="336" spans="2:3" x14ac:dyDescent="0.2">
      <c r="B336" s="2">
        <v>25000000000333</v>
      </c>
      <c r="C336" s="5" t="s">
        <v>332</v>
      </c>
    </row>
    <row r="337" spans="2:3" x14ac:dyDescent="0.2">
      <c r="B337" s="2">
        <v>25000000000334</v>
      </c>
      <c r="C337" s="5" t="s">
        <v>333</v>
      </c>
    </row>
    <row r="338" spans="2:3" x14ac:dyDescent="0.2">
      <c r="B338" s="2">
        <v>25000000000335</v>
      </c>
      <c r="C338" s="5" t="s">
        <v>334</v>
      </c>
    </row>
    <row r="339" spans="2:3" x14ac:dyDescent="0.2">
      <c r="B339" s="2">
        <v>25000000000336</v>
      </c>
      <c r="C339" s="5" t="s">
        <v>335</v>
      </c>
    </row>
    <row r="340" spans="2:3" x14ac:dyDescent="0.2">
      <c r="B340" s="2">
        <v>25000000000337</v>
      </c>
      <c r="C340" s="5" t="s">
        <v>336</v>
      </c>
    </row>
    <row r="341" spans="2:3" x14ac:dyDescent="0.2">
      <c r="B341" s="2">
        <v>25000000000338</v>
      </c>
      <c r="C341" s="5" t="s">
        <v>337</v>
      </c>
    </row>
    <row r="342" spans="2:3" x14ac:dyDescent="0.2">
      <c r="B342" s="2">
        <v>25000000000339</v>
      </c>
      <c r="C342" s="5" t="s">
        <v>338</v>
      </c>
    </row>
    <row r="343" spans="2:3" x14ac:dyDescent="0.2">
      <c r="B343" s="2">
        <v>25000000000340</v>
      </c>
      <c r="C343" s="5" t="s">
        <v>339</v>
      </c>
    </row>
    <row r="344" spans="2:3" x14ac:dyDescent="0.2">
      <c r="B344" s="2">
        <v>25000000000341</v>
      </c>
      <c r="C344" s="5" t="s">
        <v>340</v>
      </c>
    </row>
    <row r="345" spans="2:3" x14ac:dyDescent="0.2">
      <c r="B345" s="2">
        <v>25000000000342</v>
      </c>
      <c r="C345" s="5" t="s">
        <v>341</v>
      </c>
    </row>
    <row r="346" spans="2:3" x14ac:dyDescent="0.2">
      <c r="B346" s="2">
        <v>25000000000343</v>
      </c>
      <c r="C346" s="5" t="s">
        <v>342</v>
      </c>
    </row>
    <row r="347" spans="2:3" x14ac:dyDescent="0.2">
      <c r="B347" s="2">
        <v>25000000000344</v>
      </c>
      <c r="C347" s="5" t="s">
        <v>343</v>
      </c>
    </row>
    <row r="348" spans="2:3" x14ac:dyDescent="0.2">
      <c r="B348" s="2">
        <v>25000000000345</v>
      </c>
      <c r="C348" s="5" t="s">
        <v>344</v>
      </c>
    </row>
    <row r="349" spans="2:3" x14ac:dyDescent="0.2">
      <c r="B349" s="2">
        <v>25000000000346</v>
      </c>
      <c r="C349" s="5" t="s">
        <v>345</v>
      </c>
    </row>
    <row r="350" spans="2:3" x14ac:dyDescent="0.2">
      <c r="B350" s="2">
        <v>25000000000347</v>
      </c>
      <c r="C350" s="5" t="s">
        <v>346</v>
      </c>
    </row>
    <row r="351" spans="2:3" x14ac:dyDescent="0.2">
      <c r="B351" s="2">
        <v>25000000000348</v>
      </c>
      <c r="C351" s="5" t="s">
        <v>347</v>
      </c>
    </row>
    <row r="352" spans="2:3" x14ac:dyDescent="0.2">
      <c r="B352" s="2">
        <v>25000000000349</v>
      </c>
      <c r="C352" s="5" t="s">
        <v>348</v>
      </c>
    </row>
    <row r="353" spans="2:3" x14ac:dyDescent="0.2">
      <c r="B353" s="2">
        <v>25000000000350</v>
      </c>
      <c r="C353" s="5" t="s">
        <v>349</v>
      </c>
    </row>
    <row r="354" spans="2:3" x14ac:dyDescent="0.2">
      <c r="B354" s="2">
        <v>25000000000351</v>
      </c>
      <c r="C354" s="5" t="s">
        <v>350</v>
      </c>
    </row>
    <row r="355" spans="2:3" x14ac:dyDescent="0.2">
      <c r="B355" s="2">
        <v>25000000000352</v>
      </c>
      <c r="C355" s="5" t="s">
        <v>351</v>
      </c>
    </row>
    <row r="356" spans="2:3" x14ac:dyDescent="0.2">
      <c r="B356" s="2">
        <v>25000000000353</v>
      </c>
      <c r="C356" s="5" t="s">
        <v>352</v>
      </c>
    </row>
    <row r="357" spans="2:3" x14ac:dyDescent="0.2">
      <c r="B357" s="2">
        <v>25000000000354</v>
      </c>
      <c r="C357" s="5" t="s">
        <v>353</v>
      </c>
    </row>
    <row r="358" spans="2:3" x14ac:dyDescent="0.2">
      <c r="B358" s="2">
        <v>25000000000355</v>
      </c>
      <c r="C358" s="5" t="s">
        <v>354</v>
      </c>
    </row>
    <row r="359" spans="2:3" x14ac:dyDescent="0.2">
      <c r="B359" s="2">
        <v>25000000000356</v>
      </c>
      <c r="C359" s="5" t="s">
        <v>355</v>
      </c>
    </row>
    <row r="360" spans="2:3" x14ac:dyDescent="0.2">
      <c r="B360" s="2">
        <v>25000000000357</v>
      </c>
      <c r="C360" s="5" t="s">
        <v>356</v>
      </c>
    </row>
    <row r="361" spans="2:3" x14ac:dyDescent="0.2">
      <c r="B361" s="2">
        <v>25000000000358</v>
      </c>
      <c r="C361" s="5" t="s">
        <v>357</v>
      </c>
    </row>
    <row r="362" spans="2:3" x14ac:dyDescent="0.2">
      <c r="B362" s="2">
        <v>25000000000359</v>
      </c>
      <c r="C362" s="5" t="s">
        <v>358</v>
      </c>
    </row>
    <row r="363" spans="2:3" x14ac:dyDescent="0.2">
      <c r="B363" s="2">
        <v>25000000000360</v>
      </c>
      <c r="C363" s="5" t="s">
        <v>359</v>
      </c>
    </row>
    <row r="364" spans="2:3" x14ac:dyDescent="0.2">
      <c r="B364" s="2">
        <v>25000000000361</v>
      </c>
      <c r="C364" s="5" t="s">
        <v>360</v>
      </c>
    </row>
    <row r="365" spans="2:3" x14ac:dyDescent="0.2">
      <c r="B365" s="2">
        <v>25000000000362</v>
      </c>
      <c r="C365" s="5" t="s">
        <v>361</v>
      </c>
    </row>
    <row r="366" spans="2:3" x14ac:dyDescent="0.2">
      <c r="B366" s="2">
        <v>25000000000363</v>
      </c>
      <c r="C366" s="5" t="s">
        <v>362</v>
      </c>
    </row>
    <row r="367" spans="2:3" x14ac:dyDescent="0.2">
      <c r="B367" s="2">
        <v>25000000000364</v>
      </c>
      <c r="C367" s="5" t="s">
        <v>363</v>
      </c>
    </row>
    <row r="368" spans="2:3" x14ac:dyDescent="0.2">
      <c r="B368" s="2">
        <v>25000000000365</v>
      </c>
      <c r="C368" s="5" t="s">
        <v>364</v>
      </c>
    </row>
    <row r="369" spans="2:3" x14ac:dyDescent="0.2">
      <c r="B369" s="2">
        <v>25000000000366</v>
      </c>
      <c r="C369" s="5" t="s">
        <v>365</v>
      </c>
    </row>
    <row r="370" spans="2:3" x14ac:dyDescent="0.2">
      <c r="B370" s="2">
        <v>25000000000367</v>
      </c>
      <c r="C370" s="5" t="s">
        <v>366</v>
      </c>
    </row>
    <row r="371" spans="2:3" x14ac:dyDescent="0.2">
      <c r="B371" s="2">
        <v>25000000000368</v>
      </c>
      <c r="C371" s="5" t="s">
        <v>367</v>
      </c>
    </row>
    <row r="372" spans="2:3" x14ac:dyDescent="0.2">
      <c r="B372" s="2">
        <v>25000000000369</v>
      </c>
      <c r="C372" s="5" t="s">
        <v>368</v>
      </c>
    </row>
    <row r="373" spans="2:3" x14ac:dyDescent="0.2">
      <c r="B373" s="2">
        <v>25000000000370</v>
      </c>
      <c r="C373" s="5" t="s">
        <v>369</v>
      </c>
    </row>
    <row r="374" spans="2:3" x14ac:dyDescent="0.2">
      <c r="B374" s="2">
        <v>25000000000371</v>
      </c>
      <c r="C374" s="5" t="s">
        <v>370</v>
      </c>
    </row>
    <row r="375" spans="2:3" x14ac:dyDescent="0.2">
      <c r="B375" s="2">
        <v>25000000000372</v>
      </c>
      <c r="C375" s="5" t="s">
        <v>371</v>
      </c>
    </row>
    <row r="376" spans="2:3" x14ac:dyDescent="0.2">
      <c r="B376" s="2">
        <v>25000000000373</v>
      </c>
      <c r="C376" s="5" t="s">
        <v>372</v>
      </c>
    </row>
    <row r="377" spans="2:3" x14ac:dyDescent="0.2">
      <c r="B377" s="2">
        <v>25000000000374</v>
      </c>
      <c r="C377" s="5" t="s">
        <v>373</v>
      </c>
    </row>
    <row r="378" spans="2:3" x14ac:dyDescent="0.2">
      <c r="B378" s="2">
        <v>25000000000375</v>
      </c>
      <c r="C378" s="5" t="s">
        <v>374</v>
      </c>
    </row>
    <row r="379" spans="2:3" x14ac:dyDescent="0.2">
      <c r="B379" s="2">
        <v>25000000000376</v>
      </c>
      <c r="C379" s="5" t="s">
        <v>375</v>
      </c>
    </row>
    <row r="380" spans="2:3" x14ac:dyDescent="0.2">
      <c r="B380" s="2">
        <v>25000000000377</v>
      </c>
      <c r="C380" s="5" t="s">
        <v>376</v>
      </c>
    </row>
    <row r="381" spans="2:3" x14ac:dyDescent="0.2">
      <c r="B381" s="2">
        <v>25000000000378</v>
      </c>
      <c r="C381" s="5" t="s">
        <v>377</v>
      </c>
    </row>
    <row r="382" spans="2:3" x14ac:dyDescent="0.2">
      <c r="B382" s="2">
        <v>25000000000379</v>
      </c>
      <c r="C382" s="5" t="s">
        <v>378</v>
      </c>
    </row>
    <row r="383" spans="2:3" x14ac:dyDescent="0.2">
      <c r="B383" s="2">
        <v>25000000000380</v>
      </c>
      <c r="C383" s="5" t="s">
        <v>379</v>
      </c>
    </row>
    <row r="384" spans="2:3" x14ac:dyDescent="0.2">
      <c r="B384" s="2">
        <v>25000000000381</v>
      </c>
      <c r="C384" s="5" t="s">
        <v>380</v>
      </c>
    </row>
    <row r="385" spans="2:3" x14ac:dyDescent="0.2">
      <c r="B385" s="2">
        <v>25000000000382</v>
      </c>
      <c r="C385" s="5" t="s">
        <v>381</v>
      </c>
    </row>
    <row r="386" spans="2:3" x14ac:dyDescent="0.2">
      <c r="B386" s="2">
        <v>25000000000383</v>
      </c>
      <c r="C386" s="5" t="s">
        <v>382</v>
      </c>
    </row>
    <row r="387" spans="2:3" x14ac:dyDescent="0.2">
      <c r="B387" s="2">
        <v>25000000000384</v>
      </c>
      <c r="C387" s="5" t="s">
        <v>383</v>
      </c>
    </row>
    <row r="388" spans="2:3" x14ac:dyDescent="0.2">
      <c r="B388" s="2">
        <v>25000000000385</v>
      </c>
      <c r="C388" s="5" t="s">
        <v>384</v>
      </c>
    </row>
    <row r="389" spans="2:3" x14ac:dyDescent="0.2">
      <c r="B389" s="2">
        <v>25000000000386</v>
      </c>
      <c r="C389" s="5" t="s">
        <v>385</v>
      </c>
    </row>
    <row r="390" spans="2:3" x14ac:dyDescent="0.2">
      <c r="B390" s="2">
        <v>25000000000387</v>
      </c>
      <c r="C390" s="5" t="s">
        <v>386</v>
      </c>
    </row>
    <row r="391" spans="2:3" x14ac:dyDescent="0.2">
      <c r="B391" s="2">
        <v>25000000000388</v>
      </c>
      <c r="C391" s="5" t="s">
        <v>387</v>
      </c>
    </row>
    <row r="392" spans="2:3" x14ac:dyDescent="0.2">
      <c r="B392" s="2">
        <v>25000000000389</v>
      </c>
      <c r="C392" s="5" t="s">
        <v>388</v>
      </c>
    </row>
    <row r="393" spans="2:3" x14ac:dyDescent="0.2">
      <c r="B393" s="2">
        <v>25000000000390</v>
      </c>
      <c r="C393" s="5" t="s">
        <v>389</v>
      </c>
    </row>
    <row r="394" spans="2:3" x14ac:dyDescent="0.2">
      <c r="B394" s="2">
        <v>25000000000391</v>
      </c>
      <c r="C394" s="5" t="s">
        <v>390</v>
      </c>
    </row>
    <row r="395" spans="2:3" x14ac:dyDescent="0.2">
      <c r="B395" s="2">
        <v>25000000000392</v>
      </c>
      <c r="C395" s="5" t="s">
        <v>391</v>
      </c>
    </row>
    <row r="396" spans="2:3" x14ac:dyDescent="0.2">
      <c r="B396" s="2">
        <v>25000000000393</v>
      </c>
      <c r="C396" s="5" t="s">
        <v>392</v>
      </c>
    </row>
    <row r="397" spans="2:3" x14ac:dyDescent="0.2">
      <c r="B397" s="2">
        <v>25000000000394</v>
      </c>
      <c r="C397" s="5" t="s">
        <v>393</v>
      </c>
    </row>
    <row r="398" spans="2:3" x14ac:dyDescent="0.2">
      <c r="B398" s="2">
        <v>25000000000395</v>
      </c>
      <c r="C398" s="5" t="s">
        <v>394</v>
      </c>
    </row>
    <row r="399" spans="2:3" x14ac:dyDescent="0.2">
      <c r="B399" s="2">
        <v>25000000000396</v>
      </c>
      <c r="C399" s="5" t="s">
        <v>395</v>
      </c>
    </row>
    <row r="400" spans="2:3" x14ac:dyDescent="0.2">
      <c r="B400" s="2">
        <v>25000000000397</v>
      </c>
      <c r="C400" s="5" t="s">
        <v>396</v>
      </c>
    </row>
    <row r="401" spans="2:3" x14ac:dyDescent="0.2">
      <c r="B401" s="2">
        <v>25000000000398</v>
      </c>
      <c r="C401" s="5" t="s">
        <v>397</v>
      </c>
    </row>
    <row r="402" spans="2:3" x14ac:dyDescent="0.2">
      <c r="B402" s="2">
        <v>25000000000399</v>
      </c>
      <c r="C402" s="5" t="s">
        <v>398</v>
      </c>
    </row>
    <row r="403" spans="2:3" x14ac:dyDescent="0.2">
      <c r="B403" s="2">
        <v>25000000000400</v>
      </c>
      <c r="C403" s="5" t="s">
        <v>399</v>
      </c>
    </row>
    <row r="404" spans="2:3" x14ac:dyDescent="0.2">
      <c r="B404" s="2">
        <v>25000000000401</v>
      </c>
      <c r="C404" s="5" t="s">
        <v>400</v>
      </c>
    </row>
    <row r="405" spans="2:3" x14ac:dyDescent="0.2">
      <c r="B405" s="2">
        <v>25000000000402</v>
      </c>
      <c r="C405" s="5" t="s">
        <v>401</v>
      </c>
    </row>
    <row r="406" spans="2:3" x14ac:dyDescent="0.2">
      <c r="B406" s="2">
        <v>25000000000403</v>
      </c>
      <c r="C406" s="5" t="s">
        <v>402</v>
      </c>
    </row>
    <row r="407" spans="2:3" x14ac:dyDescent="0.2">
      <c r="B407" s="2">
        <v>25000000000404</v>
      </c>
      <c r="C407" s="5" t="s">
        <v>403</v>
      </c>
    </row>
    <row r="408" spans="2:3" x14ac:dyDescent="0.2">
      <c r="B408" s="2">
        <v>25000000000405</v>
      </c>
      <c r="C408" s="5" t="s">
        <v>404</v>
      </c>
    </row>
    <row r="409" spans="2:3" x14ac:dyDescent="0.2">
      <c r="B409" s="2">
        <v>25000000000406</v>
      </c>
      <c r="C409" s="5" t="s">
        <v>405</v>
      </c>
    </row>
    <row r="410" spans="2:3" x14ac:dyDescent="0.2">
      <c r="B410" s="2">
        <v>25000000000407</v>
      </c>
      <c r="C410" s="5" t="s">
        <v>406</v>
      </c>
    </row>
    <row r="411" spans="2:3" x14ac:dyDescent="0.2">
      <c r="B411" s="2">
        <v>25000000000408</v>
      </c>
      <c r="C411" s="5" t="s">
        <v>407</v>
      </c>
    </row>
    <row r="412" spans="2:3" x14ac:dyDescent="0.2">
      <c r="B412" s="2">
        <v>25000000000409</v>
      </c>
      <c r="C412" s="5" t="s">
        <v>408</v>
      </c>
    </row>
    <row r="413" spans="2:3" x14ac:dyDescent="0.2">
      <c r="B413" s="2">
        <v>25000000000410</v>
      </c>
      <c r="C413" s="5" t="s">
        <v>409</v>
      </c>
    </row>
    <row r="414" spans="2:3" x14ac:dyDescent="0.2">
      <c r="B414" s="2">
        <v>25000000000411</v>
      </c>
      <c r="C414" s="5" t="s">
        <v>410</v>
      </c>
    </row>
    <row r="415" spans="2:3" x14ac:dyDescent="0.2">
      <c r="B415" s="2">
        <v>25000000000412</v>
      </c>
      <c r="C415" s="5" t="s">
        <v>411</v>
      </c>
    </row>
    <row r="416" spans="2:3" x14ac:dyDescent="0.2">
      <c r="B416" s="2">
        <v>25000000000413</v>
      </c>
      <c r="C416" s="5" t="s">
        <v>412</v>
      </c>
    </row>
    <row r="417" spans="2:3" x14ac:dyDescent="0.2">
      <c r="B417" s="2">
        <v>25000000000414</v>
      </c>
      <c r="C417" s="5" t="s">
        <v>413</v>
      </c>
    </row>
    <row r="418" spans="2:3" x14ac:dyDescent="0.2">
      <c r="B418" s="2">
        <v>25000000000415</v>
      </c>
      <c r="C418" s="5" t="s">
        <v>414</v>
      </c>
    </row>
    <row r="419" spans="2:3" x14ac:dyDescent="0.2">
      <c r="B419" s="2">
        <v>25000000000416</v>
      </c>
      <c r="C419" s="5" t="s">
        <v>415</v>
      </c>
    </row>
    <row r="420" spans="2:3" x14ac:dyDescent="0.2">
      <c r="B420" s="2">
        <v>25000000000417</v>
      </c>
      <c r="C420" s="5" t="s">
        <v>416</v>
      </c>
    </row>
    <row r="421" spans="2:3" x14ac:dyDescent="0.2">
      <c r="B421" s="2">
        <v>25000000000418</v>
      </c>
      <c r="C421" s="5" t="s">
        <v>417</v>
      </c>
    </row>
    <row r="422" spans="2:3" x14ac:dyDescent="0.2">
      <c r="B422" s="2">
        <v>25000000000419</v>
      </c>
      <c r="C422" s="5" t="s">
        <v>418</v>
      </c>
    </row>
    <row r="423" spans="2:3" x14ac:dyDescent="0.2">
      <c r="B423" s="2">
        <v>25000000000420</v>
      </c>
      <c r="C423" s="5" t="s">
        <v>419</v>
      </c>
    </row>
    <row r="424" spans="2:3" x14ac:dyDescent="0.2">
      <c r="B424" s="2">
        <v>25000000000421</v>
      </c>
      <c r="C424" s="5" t="s">
        <v>420</v>
      </c>
    </row>
    <row r="425" spans="2:3" x14ac:dyDescent="0.2">
      <c r="B425" s="2">
        <v>25000000000422</v>
      </c>
      <c r="C425" s="5" t="s">
        <v>421</v>
      </c>
    </row>
    <row r="426" spans="2:3" x14ac:dyDescent="0.2">
      <c r="B426" s="2">
        <v>25000000000423</v>
      </c>
      <c r="C426" s="5" t="s">
        <v>422</v>
      </c>
    </row>
    <row r="427" spans="2:3" x14ac:dyDescent="0.2">
      <c r="B427" s="2">
        <v>25000000000424</v>
      </c>
      <c r="C427" s="5" t="s">
        <v>423</v>
      </c>
    </row>
    <row r="428" spans="2:3" x14ac:dyDescent="0.2">
      <c r="B428" s="2">
        <v>25000000000425</v>
      </c>
      <c r="C428" s="5" t="s">
        <v>424</v>
      </c>
    </row>
    <row r="429" spans="2:3" x14ac:dyDescent="0.2">
      <c r="B429" s="2">
        <v>25000000000426</v>
      </c>
      <c r="C429" s="5" t="s">
        <v>425</v>
      </c>
    </row>
    <row r="430" spans="2:3" x14ac:dyDescent="0.2">
      <c r="B430" s="2">
        <v>25000000000427</v>
      </c>
      <c r="C430" s="5" t="s">
        <v>426</v>
      </c>
    </row>
    <row r="431" spans="2:3" x14ac:dyDescent="0.2">
      <c r="B431" s="2">
        <v>25000000000428</v>
      </c>
      <c r="C431" s="5" t="s">
        <v>427</v>
      </c>
    </row>
    <row r="432" spans="2:3" x14ac:dyDescent="0.2">
      <c r="B432" s="2">
        <v>25000000000429</v>
      </c>
      <c r="C432" s="5" t="s">
        <v>428</v>
      </c>
    </row>
    <row r="433" spans="2:3" x14ac:dyDescent="0.2">
      <c r="B433" s="2">
        <v>25000000000430</v>
      </c>
      <c r="C433" s="5" t="s">
        <v>429</v>
      </c>
    </row>
    <row r="434" spans="2:3" x14ac:dyDescent="0.2">
      <c r="B434" s="2">
        <v>25000000000431</v>
      </c>
      <c r="C434" s="5" t="s">
        <v>430</v>
      </c>
    </row>
    <row r="435" spans="2:3" x14ac:dyDescent="0.2">
      <c r="B435" s="2">
        <v>25000000000432</v>
      </c>
      <c r="C435" s="5" t="s">
        <v>431</v>
      </c>
    </row>
    <row r="436" spans="2:3" x14ac:dyDescent="0.2">
      <c r="B436" s="2">
        <v>25000000000433</v>
      </c>
      <c r="C436" s="5" t="s">
        <v>432</v>
      </c>
    </row>
    <row r="437" spans="2:3" x14ac:dyDescent="0.2">
      <c r="B437" s="2">
        <v>25000000000434</v>
      </c>
      <c r="C437" s="5" t="s">
        <v>433</v>
      </c>
    </row>
    <row r="438" spans="2:3" x14ac:dyDescent="0.2">
      <c r="B438" s="2">
        <v>25000000000435</v>
      </c>
      <c r="C438" s="5" t="s">
        <v>434</v>
      </c>
    </row>
    <row r="439" spans="2:3" x14ac:dyDescent="0.2">
      <c r="B439" s="2">
        <v>25000000000436</v>
      </c>
      <c r="C439" s="5" t="s">
        <v>435</v>
      </c>
    </row>
    <row r="440" spans="2:3" x14ac:dyDescent="0.2">
      <c r="B440" s="2">
        <v>25000000000437</v>
      </c>
      <c r="C440" s="5" t="s">
        <v>436</v>
      </c>
    </row>
    <row r="441" spans="2:3" x14ac:dyDescent="0.2">
      <c r="B441" s="2">
        <v>25000000000438</v>
      </c>
      <c r="C441" s="5" t="s">
        <v>437</v>
      </c>
    </row>
    <row r="442" spans="2:3" x14ac:dyDescent="0.2">
      <c r="B442" s="2">
        <v>25000000000439</v>
      </c>
      <c r="C442" s="5" t="s">
        <v>438</v>
      </c>
    </row>
    <row r="443" spans="2:3" x14ac:dyDescent="0.2">
      <c r="B443" s="2">
        <v>25000000000440</v>
      </c>
      <c r="C443" s="5" t="s">
        <v>439</v>
      </c>
    </row>
    <row r="444" spans="2:3" x14ac:dyDescent="0.2">
      <c r="B444" s="2">
        <v>25000000000441</v>
      </c>
      <c r="C444" s="5" t="s">
        <v>440</v>
      </c>
    </row>
    <row r="445" spans="2:3" x14ac:dyDescent="0.2">
      <c r="B445" s="2">
        <v>25000000000442</v>
      </c>
      <c r="C445" s="5" t="s">
        <v>441</v>
      </c>
    </row>
    <row r="446" spans="2:3" x14ac:dyDescent="0.2">
      <c r="B446" s="2">
        <v>25000000000443</v>
      </c>
      <c r="C446" s="5" t="s">
        <v>442</v>
      </c>
    </row>
    <row r="447" spans="2:3" x14ac:dyDescent="0.2">
      <c r="B447" s="2">
        <v>25000000000444</v>
      </c>
      <c r="C447" s="5" t="s">
        <v>443</v>
      </c>
    </row>
    <row r="448" spans="2:3" x14ac:dyDescent="0.2">
      <c r="B448" s="2">
        <v>25000000000445</v>
      </c>
      <c r="C448" s="5" t="s">
        <v>444</v>
      </c>
    </row>
    <row r="449" spans="2:3" x14ac:dyDescent="0.2">
      <c r="B449" s="2">
        <v>25000000000446</v>
      </c>
      <c r="C449" s="5" t="s">
        <v>445</v>
      </c>
    </row>
    <row r="450" spans="2:3" x14ac:dyDescent="0.2">
      <c r="B450" s="2">
        <v>25000000000447</v>
      </c>
      <c r="C450" s="5" t="s">
        <v>446</v>
      </c>
    </row>
    <row r="451" spans="2:3" x14ac:dyDescent="0.2">
      <c r="B451" s="2">
        <v>25000000000448</v>
      </c>
      <c r="C451" s="5" t="s">
        <v>447</v>
      </c>
    </row>
    <row r="452" spans="2:3" x14ac:dyDescent="0.2">
      <c r="B452" s="2">
        <v>25000000000449</v>
      </c>
      <c r="C452" s="5" t="s">
        <v>448</v>
      </c>
    </row>
    <row r="453" spans="2:3" x14ac:dyDescent="0.2">
      <c r="B453" s="2">
        <v>25000000000450</v>
      </c>
      <c r="C453" s="5" t="s">
        <v>449</v>
      </c>
    </row>
    <row r="454" spans="2:3" x14ac:dyDescent="0.2">
      <c r="B454" s="2">
        <v>25000000000451</v>
      </c>
      <c r="C454" s="5" t="s">
        <v>450</v>
      </c>
    </row>
    <row r="455" spans="2:3" x14ac:dyDescent="0.2">
      <c r="B455" s="2">
        <v>25000000000452</v>
      </c>
      <c r="C455" s="5" t="s">
        <v>451</v>
      </c>
    </row>
    <row r="456" spans="2:3" x14ac:dyDescent="0.2">
      <c r="B456" s="2">
        <v>25000000000453</v>
      </c>
      <c r="C456" s="5" t="s">
        <v>452</v>
      </c>
    </row>
    <row r="457" spans="2:3" x14ac:dyDescent="0.2">
      <c r="B457" s="2">
        <v>25000000000454</v>
      </c>
      <c r="C457" s="5" t="s">
        <v>453</v>
      </c>
    </row>
    <row r="458" spans="2:3" x14ac:dyDescent="0.2">
      <c r="B458" s="2">
        <v>25000000000455</v>
      </c>
      <c r="C458" s="5" t="s">
        <v>454</v>
      </c>
    </row>
    <row r="459" spans="2:3" x14ac:dyDescent="0.2">
      <c r="B459" s="2">
        <v>25000000000456</v>
      </c>
      <c r="C459" s="5" t="s">
        <v>455</v>
      </c>
    </row>
    <row r="460" spans="2:3" x14ac:dyDescent="0.2">
      <c r="B460" s="2">
        <v>25000000000457</v>
      </c>
      <c r="C460" s="5" t="s">
        <v>456</v>
      </c>
    </row>
    <row r="461" spans="2:3" x14ac:dyDescent="0.2">
      <c r="B461" s="2">
        <v>25000000000458</v>
      </c>
      <c r="C461" s="5" t="s">
        <v>457</v>
      </c>
    </row>
    <row r="462" spans="2:3" x14ac:dyDescent="0.2">
      <c r="B462" s="2">
        <v>25000000000459</v>
      </c>
      <c r="C462" s="5" t="s">
        <v>458</v>
      </c>
    </row>
    <row r="463" spans="2:3" x14ac:dyDescent="0.2">
      <c r="B463" s="2">
        <v>25000000000460</v>
      </c>
      <c r="C463" s="5" t="s">
        <v>459</v>
      </c>
    </row>
    <row r="464" spans="2:3" x14ac:dyDescent="0.2">
      <c r="B464" s="2">
        <v>25000000000461</v>
      </c>
      <c r="C464" s="5" t="s">
        <v>460</v>
      </c>
    </row>
    <row r="465" spans="2:3" x14ac:dyDescent="0.2">
      <c r="B465" s="2">
        <v>25000000000462</v>
      </c>
      <c r="C465" s="5" t="s">
        <v>461</v>
      </c>
    </row>
    <row r="466" spans="2:3" x14ac:dyDescent="0.2">
      <c r="B466" s="2">
        <v>25000000000463</v>
      </c>
      <c r="C466" s="5" t="s">
        <v>462</v>
      </c>
    </row>
    <row r="467" spans="2:3" x14ac:dyDescent="0.2">
      <c r="B467" s="2">
        <v>25000000000464</v>
      </c>
      <c r="C467" s="5" t="s">
        <v>463</v>
      </c>
    </row>
    <row r="468" spans="2:3" x14ac:dyDescent="0.2">
      <c r="B468" s="2">
        <v>25000000000465</v>
      </c>
      <c r="C468" s="5" t="s">
        <v>464</v>
      </c>
    </row>
    <row r="469" spans="2:3" x14ac:dyDescent="0.2">
      <c r="B469" s="2">
        <v>25000000000466</v>
      </c>
      <c r="C469" s="5" t="s">
        <v>465</v>
      </c>
    </row>
    <row r="470" spans="2:3" x14ac:dyDescent="0.2">
      <c r="B470" s="2">
        <v>25000000000467</v>
      </c>
      <c r="C470" s="5" t="s">
        <v>466</v>
      </c>
    </row>
    <row r="471" spans="2:3" x14ac:dyDescent="0.2">
      <c r="B471" s="2">
        <v>25000000000468</v>
      </c>
      <c r="C471" s="5" t="s">
        <v>467</v>
      </c>
    </row>
    <row r="472" spans="2:3" x14ac:dyDescent="0.2">
      <c r="B472" s="2">
        <v>25000000000469</v>
      </c>
      <c r="C472" s="5" t="s">
        <v>468</v>
      </c>
    </row>
    <row r="473" spans="2:3" x14ac:dyDescent="0.2">
      <c r="B473" s="2">
        <v>25000000000470</v>
      </c>
      <c r="C473" s="5" t="s">
        <v>469</v>
      </c>
    </row>
    <row r="474" spans="2:3" x14ac:dyDescent="0.2">
      <c r="B474" s="2">
        <v>25000000000471</v>
      </c>
      <c r="C474" s="5" t="s">
        <v>470</v>
      </c>
    </row>
    <row r="475" spans="2:3" x14ac:dyDescent="0.2">
      <c r="B475" s="2">
        <v>25000000000472</v>
      </c>
      <c r="C475" s="5" t="s">
        <v>471</v>
      </c>
    </row>
    <row r="476" spans="2:3" x14ac:dyDescent="0.2">
      <c r="B476" s="2">
        <v>25000000000473</v>
      </c>
      <c r="C476" s="5" t="s">
        <v>472</v>
      </c>
    </row>
    <row r="477" spans="2:3" x14ac:dyDescent="0.2">
      <c r="B477" s="2">
        <v>25000000000474</v>
      </c>
      <c r="C477" s="5" t="s">
        <v>473</v>
      </c>
    </row>
    <row r="478" spans="2:3" x14ac:dyDescent="0.2">
      <c r="B478" s="2">
        <v>25000000000475</v>
      </c>
      <c r="C478" s="5" t="s">
        <v>474</v>
      </c>
    </row>
    <row r="479" spans="2:3" x14ac:dyDescent="0.2">
      <c r="B479" s="2">
        <v>25000000000476</v>
      </c>
      <c r="C479" s="5" t="s">
        <v>475</v>
      </c>
    </row>
    <row r="480" spans="2:3" x14ac:dyDescent="0.2">
      <c r="B480" s="2">
        <v>25000000000477</v>
      </c>
      <c r="C480" s="5" t="s">
        <v>476</v>
      </c>
    </row>
    <row r="481" spans="2:3" x14ac:dyDescent="0.2">
      <c r="B481" s="2">
        <v>25000000000478</v>
      </c>
      <c r="C481" s="5" t="s">
        <v>477</v>
      </c>
    </row>
    <row r="482" spans="2:3" x14ac:dyDescent="0.2">
      <c r="B482" s="2">
        <v>25000000000479</v>
      </c>
      <c r="C482" s="5" t="s">
        <v>478</v>
      </c>
    </row>
    <row r="483" spans="2:3" x14ac:dyDescent="0.2">
      <c r="B483" s="2">
        <v>25000000000480</v>
      </c>
      <c r="C483" s="5" t="s">
        <v>479</v>
      </c>
    </row>
    <row r="484" spans="2:3" x14ac:dyDescent="0.2">
      <c r="B484" s="2">
        <v>25000000000481</v>
      </c>
      <c r="C484" s="5" t="s">
        <v>480</v>
      </c>
    </row>
    <row r="485" spans="2:3" x14ac:dyDescent="0.2">
      <c r="B485" s="2">
        <v>25000000000482</v>
      </c>
      <c r="C485" s="5" t="s">
        <v>481</v>
      </c>
    </row>
    <row r="486" spans="2:3" x14ac:dyDescent="0.2">
      <c r="B486" s="2">
        <v>25000000000483</v>
      </c>
      <c r="C486" s="5" t="s">
        <v>482</v>
      </c>
    </row>
    <row r="487" spans="2:3" x14ac:dyDescent="0.2">
      <c r="B487" s="2">
        <v>25000000000484</v>
      </c>
      <c r="C487" s="5" t="s">
        <v>483</v>
      </c>
    </row>
    <row r="488" spans="2:3" x14ac:dyDescent="0.2">
      <c r="B488" s="2">
        <v>25000000000485</v>
      </c>
      <c r="C488" s="5" t="s">
        <v>484</v>
      </c>
    </row>
    <row r="489" spans="2:3" x14ac:dyDescent="0.2">
      <c r="B489" s="2">
        <v>25000000000486</v>
      </c>
      <c r="C489" s="5" t="s">
        <v>485</v>
      </c>
    </row>
    <row r="490" spans="2:3" x14ac:dyDescent="0.2">
      <c r="B490" s="2">
        <v>25000000000487</v>
      </c>
      <c r="C490" s="5" t="s">
        <v>486</v>
      </c>
    </row>
    <row r="491" spans="2:3" x14ac:dyDescent="0.2">
      <c r="B491" s="2">
        <v>25000000000488</v>
      </c>
      <c r="C491" s="5" t="s">
        <v>487</v>
      </c>
    </row>
    <row r="492" spans="2:3" x14ac:dyDescent="0.2">
      <c r="B492" s="2">
        <v>25000000000489</v>
      </c>
      <c r="C492" s="5" t="s">
        <v>488</v>
      </c>
    </row>
    <row r="493" spans="2:3" x14ac:dyDescent="0.2">
      <c r="B493" s="2">
        <v>25000000000490</v>
      </c>
      <c r="C493" s="5" t="s">
        <v>489</v>
      </c>
    </row>
    <row r="494" spans="2:3" x14ac:dyDescent="0.2">
      <c r="B494" s="2">
        <v>25000000000491</v>
      </c>
      <c r="C494" s="5" t="s">
        <v>490</v>
      </c>
    </row>
    <row r="495" spans="2:3" x14ac:dyDescent="0.2">
      <c r="B495" s="2">
        <v>25000000000492</v>
      </c>
      <c r="C495" s="5" t="s">
        <v>491</v>
      </c>
    </row>
    <row r="496" spans="2:3" x14ac:dyDescent="0.2">
      <c r="B496" s="2">
        <v>25000000000493</v>
      </c>
      <c r="C496" s="5" t="s">
        <v>492</v>
      </c>
    </row>
    <row r="497" spans="2:3" x14ac:dyDescent="0.2">
      <c r="B497" s="2">
        <v>25000000000494</v>
      </c>
      <c r="C497" s="5" t="s">
        <v>493</v>
      </c>
    </row>
    <row r="498" spans="2:3" x14ac:dyDescent="0.2">
      <c r="B498" s="2">
        <v>25000000000495</v>
      </c>
      <c r="C498" s="5" t="s">
        <v>494</v>
      </c>
    </row>
    <row r="499" spans="2:3" x14ac:dyDescent="0.2">
      <c r="B499" s="2">
        <v>25000000000496</v>
      </c>
      <c r="C499" s="5" t="s">
        <v>495</v>
      </c>
    </row>
    <row r="500" spans="2:3" x14ac:dyDescent="0.2">
      <c r="B500" s="2">
        <v>25000000000497</v>
      </c>
      <c r="C500" s="5" t="s">
        <v>496</v>
      </c>
    </row>
    <row r="501" spans="2:3" x14ac:dyDescent="0.2">
      <c r="B501" s="2">
        <v>25000000000498</v>
      </c>
      <c r="C501" s="5" t="s">
        <v>497</v>
      </c>
    </row>
    <row r="502" spans="2:3" x14ac:dyDescent="0.2">
      <c r="B502" s="2">
        <v>25000000000499</v>
      </c>
      <c r="C502" s="5" t="s">
        <v>498</v>
      </c>
    </row>
    <row r="503" spans="2:3" x14ac:dyDescent="0.2">
      <c r="B503" s="2">
        <v>25000000000500</v>
      </c>
      <c r="C503" s="5" t="s">
        <v>499</v>
      </c>
    </row>
    <row r="504" spans="2:3" x14ac:dyDescent="0.2">
      <c r="B504" s="2">
        <v>25000000000501</v>
      </c>
      <c r="C504" s="5" t="s">
        <v>500</v>
      </c>
    </row>
    <row r="505" spans="2:3" x14ac:dyDescent="0.2">
      <c r="B505" s="2">
        <v>25000000000502</v>
      </c>
      <c r="C505" s="5" t="s">
        <v>501</v>
      </c>
    </row>
    <row r="506" spans="2:3" x14ac:dyDescent="0.2">
      <c r="B506" s="2">
        <v>25000000000503</v>
      </c>
      <c r="C506" s="5" t="s">
        <v>502</v>
      </c>
    </row>
    <row r="507" spans="2:3" x14ac:dyDescent="0.2">
      <c r="B507" s="2">
        <v>25000000000504</v>
      </c>
      <c r="C507" s="5" t="s">
        <v>503</v>
      </c>
    </row>
    <row r="508" spans="2:3" x14ac:dyDescent="0.2">
      <c r="B508" s="2">
        <v>25000000000505</v>
      </c>
      <c r="C508" s="5" t="s">
        <v>504</v>
      </c>
    </row>
    <row r="509" spans="2:3" x14ac:dyDescent="0.2">
      <c r="B509" s="2">
        <v>25000000000506</v>
      </c>
      <c r="C509" s="5" t="s">
        <v>505</v>
      </c>
    </row>
    <row r="510" spans="2:3" x14ac:dyDescent="0.2">
      <c r="B510" s="2">
        <v>25000000000507</v>
      </c>
      <c r="C510" s="5" t="s">
        <v>506</v>
      </c>
    </row>
    <row r="511" spans="2:3" x14ac:dyDescent="0.2">
      <c r="B511" s="2">
        <v>25000000000508</v>
      </c>
      <c r="C511" s="5" t="s">
        <v>507</v>
      </c>
    </row>
    <row r="512" spans="2:3" x14ac:dyDescent="0.2">
      <c r="B512" s="2">
        <v>25000000000509</v>
      </c>
      <c r="C512" s="5" t="s">
        <v>508</v>
      </c>
    </row>
    <row r="513" spans="2:3" x14ac:dyDescent="0.2">
      <c r="B513" s="2">
        <v>25000000000510</v>
      </c>
      <c r="C513" s="5" t="s">
        <v>509</v>
      </c>
    </row>
    <row r="514" spans="2:3" x14ac:dyDescent="0.2">
      <c r="B514" s="2">
        <v>25000000000511</v>
      </c>
      <c r="C514" s="5" t="s">
        <v>510</v>
      </c>
    </row>
    <row r="515" spans="2:3" x14ac:dyDescent="0.2">
      <c r="B515" s="2">
        <v>25000000000512</v>
      </c>
      <c r="C515" s="5" t="s">
        <v>511</v>
      </c>
    </row>
    <row r="516" spans="2:3" x14ac:dyDescent="0.2">
      <c r="B516" s="2">
        <v>25000000000513</v>
      </c>
      <c r="C516" s="5" t="s">
        <v>512</v>
      </c>
    </row>
    <row r="517" spans="2:3" x14ac:dyDescent="0.2">
      <c r="B517" s="2">
        <v>25000000000514</v>
      </c>
      <c r="C517" s="5" t="s">
        <v>513</v>
      </c>
    </row>
    <row r="518" spans="2:3" x14ac:dyDescent="0.2">
      <c r="B518" s="2">
        <v>25000000000515</v>
      </c>
      <c r="C518" s="5" t="s">
        <v>514</v>
      </c>
    </row>
    <row r="519" spans="2:3" x14ac:dyDescent="0.2">
      <c r="B519" s="2">
        <v>25000000000516</v>
      </c>
      <c r="C519" s="5" t="s">
        <v>515</v>
      </c>
    </row>
    <row r="520" spans="2:3" x14ac:dyDescent="0.2">
      <c r="B520" s="2">
        <v>25000000000517</v>
      </c>
      <c r="C520" s="5" t="s">
        <v>516</v>
      </c>
    </row>
    <row r="521" spans="2:3" x14ac:dyDescent="0.2">
      <c r="B521" s="2">
        <v>25000000000518</v>
      </c>
      <c r="C521" s="5" t="s">
        <v>517</v>
      </c>
    </row>
    <row r="522" spans="2:3" x14ac:dyDescent="0.2">
      <c r="B522" s="2">
        <v>25000000000519</v>
      </c>
      <c r="C522" s="5" t="s">
        <v>518</v>
      </c>
    </row>
    <row r="523" spans="2:3" x14ac:dyDescent="0.2">
      <c r="B523" s="2">
        <v>25000000000520</v>
      </c>
      <c r="C523" s="5" t="s">
        <v>519</v>
      </c>
    </row>
    <row r="524" spans="2:3" x14ac:dyDescent="0.2">
      <c r="B524" s="2">
        <v>25000000000521</v>
      </c>
      <c r="C524" s="5" t="s">
        <v>520</v>
      </c>
    </row>
    <row r="525" spans="2:3" x14ac:dyDescent="0.2">
      <c r="B525" s="2">
        <v>25000000000522</v>
      </c>
      <c r="C525" s="5" t="s">
        <v>521</v>
      </c>
    </row>
    <row r="526" spans="2:3" x14ac:dyDescent="0.2">
      <c r="B526" s="2">
        <v>25000000000523</v>
      </c>
      <c r="C526" s="5" t="s">
        <v>522</v>
      </c>
    </row>
    <row r="527" spans="2:3" x14ac:dyDescent="0.2">
      <c r="B527" s="2">
        <v>25000000000524</v>
      </c>
      <c r="C527" s="5" t="s">
        <v>523</v>
      </c>
    </row>
    <row r="528" spans="2:3" x14ac:dyDescent="0.2">
      <c r="B528" s="2">
        <v>25000000000525</v>
      </c>
      <c r="C528" s="5" t="s">
        <v>524</v>
      </c>
    </row>
    <row r="529" spans="2:3" x14ac:dyDescent="0.2">
      <c r="B529" s="2">
        <v>25000000000526</v>
      </c>
      <c r="C529" s="5" t="s">
        <v>525</v>
      </c>
    </row>
    <row r="530" spans="2:3" x14ac:dyDescent="0.2">
      <c r="B530" s="2">
        <v>25000000000527</v>
      </c>
      <c r="C530" s="5" t="s">
        <v>526</v>
      </c>
    </row>
    <row r="531" spans="2:3" x14ac:dyDescent="0.2">
      <c r="B531" s="2">
        <v>25000000000528</v>
      </c>
      <c r="C531" s="5" t="s">
        <v>527</v>
      </c>
    </row>
    <row r="532" spans="2:3" x14ac:dyDescent="0.2">
      <c r="B532" s="2">
        <v>25000000000529</v>
      </c>
      <c r="C532" s="5" t="s">
        <v>528</v>
      </c>
    </row>
    <row r="533" spans="2:3" x14ac:dyDescent="0.2">
      <c r="B533" s="2">
        <v>25000000000530</v>
      </c>
      <c r="C533" s="5" t="s">
        <v>529</v>
      </c>
    </row>
    <row r="534" spans="2:3" x14ac:dyDescent="0.2">
      <c r="B534" s="2">
        <v>25000000000531</v>
      </c>
      <c r="C534" s="5" t="s">
        <v>530</v>
      </c>
    </row>
    <row r="535" spans="2:3" x14ac:dyDescent="0.2">
      <c r="B535" s="2">
        <v>25000000000532</v>
      </c>
      <c r="C535" s="5" t="s">
        <v>531</v>
      </c>
    </row>
    <row r="536" spans="2:3" x14ac:dyDescent="0.2">
      <c r="B536" s="2">
        <v>25000000000533</v>
      </c>
      <c r="C536" s="5" t="s">
        <v>532</v>
      </c>
    </row>
    <row r="537" spans="2:3" x14ac:dyDescent="0.2">
      <c r="B537" s="2">
        <v>25000000000534</v>
      </c>
      <c r="C537" s="5" t="s">
        <v>533</v>
      </c>
    </row>
    <row r="538" spans="2:3" x14ac:dyDescent="0.2">
      <c r="B538" s="2">
        <v>25000000000535</v>
      </c>
      <c r="C538" s="5" t="s">
        <v>534</v>
      </c>
    </row>
    <row r="539" spans="2:3" x14ac:dyDescent="0.2">
      <c r="B539" s="2">
        <v>25000000000536</v>
      </c>
      <c r="C539" s="5" t="s">
        <v>535</v>
      </c>
    </row>
    <row r="540" spans="2:3" x14ac:dyDescent="0.2">
      <c r="B540" s="2">
        <v>25000000000537</v>
      </c>
      <c r="C540" s="5" t="s">
        <v>536</v>
      </c>
    </row>
    <row r="541" spans="2:3" x14ac:dyDescent="0.2">
      <c r="B541" s="2">
        <v>25000000000538</v>
      </c>
      <c r="C541" s="5" t="s">
        <v>537</v>
      </c>
    </row>
    <row r="542" spans="2:3" x14ac:dyDescent="0.2">
      <c r="B542" s="2">
        <v>25000000000539</v>
      </c>
      <c r="C542" s="5" t="s">
        <v>538</v>
      </c>
    </row>
    <row r="543" spans="2:3" x14ac:dyDescent="0.2">
      <c r="B543" s="2">
        <v>25000000000540</v>
      </c>
      <c r="C543" s="5" t="s">
        <v>539</v>
      </c>
    </row>
    <row r="544" spans="2:3" x14ac:dyDescent="0.2">
      <c r="B544" s="2">
        <v>25000000000541</v>
      </c>
      <c r="C544" s="5" t="s">
        <v>540</v>
      </c>
    </row>
    <row r="545" spans="2:3" x14ac:dyDescent="0.2">
      <c r="B545" s="2">
        <v>25000000000542</v>
      </c>
      <c r="C545" s="5" t="s">
        <v>541</v>
      </c>
    </row>
    <row r="546" spans="2:3" x14ac:dyDescent="0.2">
      <c r="B546" s="2">
        <v>25000000000543</v>
      </c>
      <c r="C546" s="5" t="s">
        <v>542</v>
      </c>
    </row>
    <row r="547" spans="2:3" x14ac:dyDescent="0.2">
      <c r="B547" s="2">
        <v>25000000000544</v>
      </c>
      <c r="C547" s="5" t="s">
        <v>543</v>
      </c>
    </row>
    <row r="548" spans="2:3" x14ac:dyDescent="0.2">
      <c r="B548" s="2">
        <v>25000000000545</v>
      </c>
      <c r="C548" s="5" t="s">
        <v>544</v>
      </c>
    </row>
    <row r="549" spans="2:3" x14ac:dyDescent="0.2">
      <c r="B549" s="2">
        <v>25000000000546</v>
      </c>
      <c r="C549" s="5" t="s">
        <v>545</v>
      </c>
    </row>
    <row r="550" spans="2:3" x14ac:dyDescent="0.2">
      <c r="B550" s="2">
        <v>25000000000547</v>
      </c>
      <c r="C550" s="5" t="s">
        <v>546</v>
      </c>
    </row>
    <row r="551" spans="2:3" x14ac:dyDescent="0.2">
      <c r="B551" s="2">
        <v>25000000000548</v>
      </c>
      <c r="C551" s="5" t="s">
        <v>547</v>
      </c>
    </row>
    <row r="552" spans="2:3" x14ac:dyDescent="0.2">
      <c r="B552" s="2">
        <v>25000000000549</v>
      </c>
      <c r="C552" s="5" t="s">
        <v>548</v>
      </c>
    </row>
    <row r="553" spans="2:3" x14ac:dyDescent="0.2">
      <c r="B553" s="2">
        <v>25000000000550</v>
      </c>
      <c r="C553" s="5" t="s">
        <v>549</v>
      </c>
    </row>
    <row r="554" spans="2:3" x14ac:dyDescent="0.2">
      <c r="B554" s="2">
        <v>25000000000551</v>
      </c>
      <c r="C554" s="5" t="s">
        <v>550</v>
      </c>
    </row>
    <row r="555" spans="2:3" x14ac:dyDescent="0.2">
      <c r="B555" s="2">
        <v>25000000000552</v>
      </c>
      <c r="C555" s="5" t="s">
        <v>551</v>
      </c>
    </row>
    <row r="556" spans="2:3" x14ac:dyDescent="0.2">
      <c r="B556" s="2">
        <v>25000000000553</v>
      </c>
      <c r="C556" s="5" t="s">
        <v>552</v>
      </c>
    </row>
    <row r="557" spans="2:3" x14ac:dyDescent="0.2">
      <c r="B557" s="2">
        <v>25000000000554</v>
      </c>
      <c r="C557" s="5" t="s">
        <v>553</v>
      </c>
    </row>
    <row r="558" spans="2:3" x14ac:dyDescent="0.2">
      <c r="B558" s="2">
        <v>25000000000555</v>
      </c>
      <c r="C558" s="5" t="s">
        <v>554</v>
      </c>
    </row>
    <row r="559" spans="2:3" x14ac:dyDescent="0.2">
      <c r="B559" s="2">
        <v>25000000000556</v>
      </c>
      <c r="C559" s="5" t="s">
        <v>555</v>
      </c>
    </row>
    <row r="560" spans="2:3" x14ac:dyDescent="0.2">
      <c r="B560" s="2">
        <v>25000000000557</v>
      </c>
      <c r="C560" s="5" t="s">
        <v>556</v>
      </c>
    </row>
    <row r="561" spans="2:3" x14ac:dyDescent="0.2">
      <c r="B561" s="2">
        <v>25000000000558</v>
      </c>
      <c r="C561" s="5" t="s">
        <v>557</v>
      </c>
    </row>
    <row r="562" spans="2:3" x14ac:dyDescent="0.2">
      <c r="B562" s="2">
        <v>25000000000559</v>
      </c>
      <c r="C562" s="5" t="s">
        <v>558</v>
      </c>
    </row>
    <row r="563" spans="2:3" x14ac:dyDescent="0.2">
      <c r="B563" s="2">
        <v>25000000000560</v>
      </c>
      <c r="C563" s="5" t="s">
        <v>559</v>
      </c>
    </row>
    <row r="564" spans="2:3" x14ac:dyDescent="0.2">
      <c r="B564" s="2">
        <v>25000000000561</v>
      </c>
      <c r="C564" s="5" t="s">
        <v>560</v>
      </c>
    </row>
    <row r="565" spans="2:3" x14ac:dyDescent="0.2">
      <c r="B565" s="2">
        <v>25000000000562</v>
      </c>
      <c r="C565" s="5" t="s">
        <v>561</v>
      </c>
    </row>
    <row r="566" spans="2:3" x14ac:dyDescent="0.2">
      <c r="B566" s="2">
        <v>25000000000563</v>
      </c>
      <c r="C566" s="5" t="s">
        <v>562</v>
      </c>
    </row>
    <row r="567" spans="2:3" x14ac:dyDescent="0.2">
      <c r="B567" s="2">
        <v>25000000000564</v>
      </c>
      <c r="C567" s="5" t="s">
        <v>563</v>
      </c>
    </row>
    <row r="568" spans="2:3" x14ac:dyDescent="0.2">
      <c r="B568" s="2">
        <v>25000000000565</v>
      </c>
      <c r="C568" s="5" t="s">
        <v>564</v>
      </c>
    </row>
    <row r="569" spans="2:3" x14ac:dyDescent="0.2">
      <c r="B569" s="2">
        <v>25000000000566</v>
      </c>
      <c r="C569" s="5" t="s">
        <v>565</v>
      </c>
    </row>
    <row r="570" spans="2:3" x14ac:dyDescent="0.2">
      <c r="B570" s="2">
        <v>25000000000567</v>
      </c>
      <c r="C570" s="5" t="s">
        <v>566</v>
      </c>
    </row>
    <row r="571" spans="2:3" x14ac:dyDescent="0.2">
      <c r="B571" s="2">
        <v>25000000000568</v>
      </c>
      <c r="C571" s="5" t="s">
        <v>567</v>
      </c>
    </row>
    <row r="572" spans="2:3" x14ac:dyDescent="0.2">
      <c r="B572" s="2">
        <v>25000000000569</v>
      </c>
      <c r="C572" s="5" t="s">
        <v>568</v>
      </c>
    </row>
    <row r="573" spans="2:3" x14ac:dyDescent="0.2">
      <c r="B573" s="2">
        <v>25000000000570</v>
      </c>
      <c r="C573" s="5" t="s">
        <v>569</v>
      </c>
    </row>
    <row r="574" spans="2:3" x14ac:dyDescent="0.2">
      <c r="B574" s="2">
        <v>25000000000571</v>
      </c>
      <c r="C574" s="5" t="s">
        <v>570</v>
      </c>
    </row>
    <row r="575" spans="2:3" x14ac:dyDescent="0.2">
      <c r="B575" s="2">
        <v>25000000000572</v>
      </c>
      <c r="C575" s="5" t="s">
        <v>571</v>
      </c>
    </row>
    <row r="576" spans="2:3" x14ac:dyDescent="0.2">
      <c r="B576" s="2">
        <v>25000000000573</v>
      </c>
      <c r="C576" s="5" t="s">
        <v>572</v>
      </c>
    </row>
    <row r="577" spans="2:3" x14ac:dyDescent="0.2">
      <c r="B577" s="2">
        <v>25000000000574</v>
      </c>
      <c r="C577" s="5" t="s">
        <v>573</v>
      </c>
    </row>
    <row r="578" spans="2:3" x14ac:dyDescent="0.2">
      <c r="B578" s="2">
        <v>25000000000575</v>
      </c>
      <c r="C578" s="5" t="s">
        <v>574</v>
      </c>
    </row>
    <row r="579" spans="2:3" x14ac:dyDescent="0.2">
      <c r="B579" s="2">
        <v>25000000000576</v>
      </c>
      <c r="C579" s="5" t="s">
        <v>575</v>
      </c>
    </row>
    <row r="580" spans="2:3" x14ac:dyDescent="0.2">
      <c r="B580" s="2">
        <v>25000000000577</v>
      </c>
      <c r="C580" s="5" t="s">
        <v>576</v>
      </c>
    </row>
    <row r="581" spans="2:3" x14ac:dyDescent="0.2">
      <c r="B581" s="2">
        <v>25000000000578</v>
      </c>
      <c r="C581" s="5" t="s">
        <v>577</v>
      </c>
    </row>
    <row r="582" spans="2:3" x14ac:dyDescent="0.2">
      <c r="B582" s="2">
        <v>25000000000579</v>
      </c>
      <c r="C582" s="5" t="s">
        <v>578</v>
      </c>
    </row>
    <row r="583" spans="2:3" x14ac:dyDescent="0.2">
      <c r="B583" s="2">
        <v>25000000000580</v>
      </c>
      <c r="C583" s="5" t="s">
        <v>579</v>
      </c>
    </row>
    <row r="584" spans="2:3" x14ac:dyDescent="0.2">
      <c r="B584" s="2">
        <v>25000000000581</v>
      </c>
      <c r="C584" s="5" t="s">
        <v>580</v>
      </c>
    </row>
    <row r="585" spans="2:3" x14ac:dyDescent="0.2">
      <c r="B585" s="2">
        <v>25000000000582</v>
      </c>
      <c r="C585" s="5" t="s">
        <v>581</v>
      </c>
    </row>
    <row r="586" spans="2:3" x14ac:dyDescent="0.2">
      <c r="B586" s="2">
        <v>25000000000583</v>
      </c>
      <c r="C586" s="5" t="s">
        <v>582</v>
      </c>
    </row>
    <row r="587" spans="2:3" x14ac:dyDescent="0.2">
      <c r="B587" s="2">
        <v>25000000000584</v>
      </c>
      <c r="C587" s="5" t="s">
        <v>583</v>
      </c>
    </row>
    <row r="588" spans="2:3" x14ac:dyDescent="0.2">
      <c r="B588" s="2">
        <v>25000000000585</v>
      </c>
      <c r="C588" s="5" t="s">
        <v>584</v>
      </c>
    </row>
    <row r="589" spans="2:3" x14ac:dyDescent="0.2">
      <c r="B589" s="2">
        <v>25000000000586</v>
      </c>
      <c r="C589" s="5" t="s">
        <v>585</v>
      </c>
    </row>
    <row r="590" spans="2:3" x14ac:dyDescent="0.2">
      <c r="B590" s="2">
        <v>25000000000587</v>
      </c>
      <c r="C590" s="5" t="s">
        <v>586</v>
      </c>
    </row>
    <row r="591" spans="2:3" x14ac:dyDescent="0.2">
      <c r="B591" s="2">
        <v>25000000000588</v>
      </c>
      <c r="C591" s="5" t="s">
        <v>587</v>
      </c>
    </row>
    <row r="592" spans="2:3" x14ac:dyDescent="0.2">
      <c r="B592" s="2">
        <v>25000000000589</v>
      </c>
      <c r="C592" s="5" t="s">
        <v>588</v>
      </c>
    </row>
    <row r="593" spans="2:3" x14ac:dyDescent="0.2">
      <c r="B593" s="2">
        <v>25000000000590</v>
      </c>
      <c r="C593" s="5" t="s">
        <v>589</v>
      </c>
    </row>
    <row r="594" spans="2:3" x14ac:dyDescent="0.2">
      <c r="B594" s="2">
        <v>25000000000591</v>
      </c>
      <c r="C594" s="5" t="s">
        <v>590</v>
      </c>
    </row>
    <row r="595" spans="2:3" x14ac:dyDescent="0.2">
      <c r="B595" s="2">
        <v>25000000000592</v>
      </c>
      <c r="C595" s="5" t="s">
        <v>591</v>
      </c>
    </row>
    <row r="596" spans="2:3" x14ac:dyDescent="0.2">
      <c r="B596" s="2">
        <v>25000000000593</v>
      </c>
      <c r="C596" s="5" t="s">
        <v>592</v>
      </c>
    </row>
    <row r="597" spans="2:3" x14ac:dyDescent="0.2">
      <c r="B597" s="2">
        <v>25000000000594</v>
      </c>
      <c r="C597" s="5" t="s">
        <v>593</v>
      </c>
    </row>
    <row r="598" spans="2:3" x14ac:dyDescent="0.2">
      <c r="B598" s="2">
        <v>25000000000595</v>
      </c>
      <c r="C598" s="5" t="s">
        <v>594</v>
      </c>
    </row>
    <row r="599" spans="2:3" x14ac:dyDescent="0.2">
      <c r="B599" s="2">
        <v>25000000000596</v>
      </c>
      <c r="C599" s="5" t="s">
        <v>595</v>
      </c>
    </row>
    <row r="600" spans="2:3" x14ac:dyDescent="0.2">
      <c r="B600" s="2">
        <v>25000000000597</v>
      </c>
      <c r="C600" s="5" t="s">
        <v>596</v>
      </c>
    </row>
    <row r="601" spans="2:3" x14ac:dyDescent="0.2">
      <c r="B601" s="2">
        <v>25000000000598</v>
      </c>
      <c r="C601" s="5" t="s">
        <v>597</v>
      </c>
    </row>
    <row r="602" spans="2:3" x14ac:dyDescent="0.2">
      <c r="B602" s="2">
        <v>25000000000599</v>
      </c>
      <c r="C602" s="5" t="s">
        <v>598</v>
      </c>
    </row>
    <row r="603" spans="2:3" x14ac:dyDescent="0.2">
      <c r="B603" s="2">
        <v>25000000000600</v>
      </c>
      <c r="C603" s="5" t="s">
        <v>599</v>
      </c>
    </row>
    <row r="604" spans="2:3" x14ac:dyDescent="0.2">
      <c r="B604" s="2">
        <v>25000000000601</v>
      </c>
      <c r="C604" s="5" t="s">
        <v>600</v>
      </c>
    </row>
    <row r="605" spans="2:3" x14ac:dyDescent="0.2">
      <c r="B605" s="2">
        <v>25000000000602</v>
      </c>
      <c r="C605" s="5" t="s">
        <v>601</v>
      </c>
    </row>
    <row r="606" spans="2:3" x14ac:dyDescent="0.2">
      <c r="B606" s="2">
        <v>25000000000603</v>
      </c>
      <c r="C606" s="5" t="s">
        <v>602</v>
      </c>
    </row>
    <row r="607" spans="2:3" x14ac:dyDescent="0.2">
      <c r="B607" s="2">
        <v>25000000000604</v>
      </c>
      <c r="C607" s="5" t="s">
        <v>603</v>
      </c>
    </row>
    <row r="608" spans="2:3" x14ac:dyDescent="0.2">
      <c r="B608" s="2">
        <v>25000000000605</v>
      </c>
      <c r="C608" s="5" t="s">
        <v>604</v>
      </c>
    </row>
    <row r="609" spans="2:3" x14ac:dyDescent="0.2">
      <c r="B609" s="2">
        <v>25000000000606</v>
      </c>
      <c r="C609" s="5" t="s">
        <v>605</v>
      </c>
    </row>
    <row r="610" spans="2:3" x14ac:dyDescent="0.2">
      <c r="B610" s="2">
        <v>25000000000607</v>
      </c>
      <c r="C610" s="5" t="s">
        <v>606</v>
      </c>
    </row>
    <row r="611" spans="2:3" x14ac:dyDescent="0.2">
      <c r="B611" s="2">
        <v>25000000000608</v>
      </c>
      <c r="C611" s="5" t="s">
        <v>607</v>
      </c>
    </row>
    <row r="612" spans="2:3" x14ac:dyDescent="0.2">
      <c r="B612" s="2">
        <v>25000000000609</v>
      </c>
      <c r="C612" s="5" t="s">
        <v>608</v>
      </c>
    </row>
    <row r="613" spans="2:3" x14ac:dyDescent="0.2">
      <c r="B613" s="2">
        <v>25000000000610</v>
      </c>
      <c r="C613" s="5" t="s">
        <v>609</v>
      </c>
    </row>
    <row r="614" spans="2:3" x14ac:dyDescent="0.2">
      <c r="B614" s="2">
        <v>25000000000611</v>
      </c>
      <c r="C614" s="5" t="s">
        <v>610</v>
      </c>
    </row>
    <row r="615" spans="2:3" x14ac:dyDescent="0.2">
      <c r="B615" s="2">
        <v>25000000000612</v>
      </c>
      <c r="C615" s="5" t="s">
        <v>611</v>
      </c>
    </row>
    <row r="616" spans="2:3" x14ac:dyDescent="0.2">
      <c r="B616" s="2">
        <v>25000000000613</v>
      </c>
      <c r="C616" s="5" t="s">
        <v>612</v>
      </c>
    </row>
    <row r="617" spans="2:3" x14ac:dyDescent="0.2">
      <c r="B617" s="2">
        <v>25000000000614</v>
      </c>
      <c r="C617" s="5" t="s">
        <v>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- HP</vt:lpstr>
      <vt:lpstr>SEED</vt:lpstr>
      <vt:lpstr>DataLookUp</vt:lpstr>
      <vt:lpstr>REF - EmailAccountType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2026-01-13T11:25:40Z</dcterms:modified>
</cp:coreProperties>
</file>