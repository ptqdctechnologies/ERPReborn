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585" activeTab="1"/>
  </bookViews>
  <sheets>
    <sheet name="MAIN" sheetId="1" r:id="rId1"/>
    <sheet name="DataLookUp" sheetId="2" r:id="rId2"/>
  </sheets>
  <calcPr calcId="152511"/>
</workbook>
</file>

<file path=xl/calcChain.xml><?xml version="1.0" encoding="utf-8"?>
<calcChain xmlns="http://schemas.openxmlformats.org/spreadsheetml/2006/main">
  <c r="G44" i="1" l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" i="1"/>
  <c r="B83" i="2" l="1"/>
  <c r="C83" i="2"/>
  <c r="B84" i="2"/>
  <c r="C84" i="2"/>
  <c r="B85" i="2"/>
  <c r="C85" i="2"/>
  <c r="B86" i="2"/>
  <c r="C86" i="2"/>
  <c r="B87" i="2"/>
  <c r="C87" i="2"/>
  <c r="B88" i="2"/>
  <c r="C88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C14" i="2"/>
  <c r="C13" i="2"/>
  <c r="C12" i="2"/>
  <c r="C11" i="2"/>
  <c r="C10" i="2"/>
  <c r="C9" i="2"/>
  <c r="C8" i="2"/>
  <c r="C7" i="2"/>
  <c r="C6" i="2"/>
  <c r="C5" i="2"/>
  <c r="C4" i="2"/>
  <c r="B14" i="2"/>
  <c r="B13" i="2"/>
  <c r="B12" i="2"/>
  <c r="B11" i="2"/>
  <c r="B10" i="2"/>
  <c r="B9" i="2"/>
  <c r="B8" i="2"/>
  <c r="B7" i="2"/>
  <c r="B6" i="2"/>
  <c r="B5" i="2"/>
  <c r="B4" i="2"/>
  <c r="C2" i="2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E5" i="1"/>
  <c r="E4" i="1"/>
  <c r="D4" i="1" l="1"/>
  <c r="D5" i="1" s="1"/>
</calcChain>
</file>

<file path=xl/sharedStrings.xml><?xml version="1.0" encoding="utf-8"?>
<sst xmlns="http://schemas.openxmlformats.org/spreadsheetml/2006/main" count="69" uniqueCount="69">
  <si>
    <t>Super User</t>
  </si>
  <si>
    <t>Guest</t>
  </si>
  <si>
    <t>Share Holder</t>
  </si>
  <si>
    <t>Stack Holder</t>
  </si>
  <si>
    <t>Public Accounting Firm</t>
  </si>
  <si>
    <t>Director</t>
  </si>
  <si>
    <t>Commissary</t>
  </si>
  <si>
    <t>President Director</t>
  </si>
  <si>
    <t>Finance Director</t>
  </si>
  <si>
    <t>Operational Director</t>
  </si>
  <si>
    <t>Information Technology Director</t>
  </si>
  <si>
    <t>Marketing Director</t>
  </si>
  <si>
    <t>Finance, Accounting, &amp; Tax General Manager</t>
  </si>
  <si>
    <t>HR, GA, &amp; TAM General Manager</t>
  </si>
  <si>
    <t>Sales General Manager</t>
  </si>
  <si>
    <t>Finance Manager</t>
  </si>
  <si>
    <t>Cashier &amp; Treasury Staff</t>
  </si>
  <si>
    <t>Cost Controller Staff</t>
  </si>
  <si>
    <t>Accounting &amp; Tax Manager</t>
  </si>
  <si>
    <t>Accounting &amp; Tax Staff</t>
  </si>
  <si>
    <t>IT System Manager</t>
  </si>
  <si>
    <t>IT System Engineer Staff</t>
  </si>
  <si>
    <t>IT Software Engineer Staff</t>
  </si>
  <si>
    <t>Project General Manager</t>
  </si>
  <si>
    <t>Project Management Officer</t>
  </si>
  <si>
    <t>Project Manager</t>
  </si>
  <si>
    <t>Site Manager</t>
  </si>
  <si>
    <t>Project Controller Staff</t>
  </si>
  <si>
    <t>Project Administrator Staff</t>
  </si>
  <si>
    <t>Project Worker Staff</t>
  </si>
  <si>
    <t>Procurement Manager</t>
  </si>
  <si>
    <t>Procurement Staff</t>
  </si>
  <si>
    <t>Sales Manager</t>
  </si>
  <si>
    <t>Health Safety Environment Manager</t>
  </si>
  <si>
    <t>Health Safety Environment Staff</t>
  </si>
  <si>
    <t>Human Resource Development Manager</t>
  </si>
  <si>
    <t>Human Resource Development Staff</t>
  </si>
  <si>
    <t>Tools And Asset Manager</t>
  </si>
  <si>
    <t>Tools And Asset Staff</t>
  </si>
  <si>
    <t>General Affairs Manager</t>
  </si>
  <si>
    <t>General Affairs Staff</t>
  </si>
  <si>
    <t>Legal Manager</t>
  </si>
  <si>
    <t>Legal Staff</t>
  </si>
  <si>
    <t>User Role Name</t>
  </si>
  <si>
    <t>SYS_PID Prediction</t>
  </si>
  <si>
    <t>SQL Syntax</t>
  </si>
  <si>
    <t>Engineering Manager</t>
  </si>
  <si>
    <t>Engineering Staff</t>
  </si>
  <si>
    <t>IT System Engineer Coordinator</t>
  </si>
  <si>
    <t>IT Software Engineer Coordinator</t>
  </si>
  <si>
    <t>Procurement Coordinator</t>
  </si>
  <si>
    <t>Sales Coordinator</t>
  </si>
  <si>
    <t>Sales Estimator Coordinator</t>
  </si>
  <si>
    <t>Health Safety Environment Coordinator</t>
  </si>
  <si>
    <t>Human Resource Development Coordinator</t>
  </si>
  <si>
    <t>General Affairs Coordinator</t>
  </si>
  <si>
    <t>Legal Coordinator</t>
  </si>
  <si>
    <t>Tools And Asset Coordinator</t>
  </si>
  <si>
    <t>Engineering Coordinator</t>
  </si>
  <si>
    <t>Accounting &amp; Tax Coordinator</t>
  </si>
  <si>
    <t>Cashier &amp; Treasury Coordinator</t>
  </si>
  <si>
    <t>Cost Controller Coordinator</t>
  </si>
  <si>
    <t>Project Worker Coordinator</t>
  </si>
  <si>
    <t>Project Administrator Coordinator</t>
  </si>
  <si>
    <t>Project Controller Coordinator</t>
  </si>
  <si>
    <t>Default Employee Role</t>
  </si>
  <si>
    <t>Bid And Sales Administrator Staff</t>
  </si>
  <si>
    <t>Sales Estimator Staff</t>
  </si>
  <si>
    <t>Sys_PID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</si>
</sst>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Fill="1"/>
    <xf numFmtId="0" fontId="1" fillId="0" borderId="1" xfId="0" applyFont="1" applyFill="1" applyBorder="1"/>
    <xf numFmtId="0" fontId="1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/>
    <xf numFmtId="1" fontId="2" fillId="3" borderId="5" xfId="0" applyNumberFormat="1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1" fontId="4" fillId="6" borderId="7" xfId="0" applyNumberFormat="1" applyFont="1" applyFill="1" applyBorder="1" applyAlignment="1"/>
    <xf numFmtId="1" fontId="4" fillId="6" borderId="8" xfId="0" applyNumberFormat="1" applyFont="1" applyFill="1" applyBorder="1" applyAlignment="1"/>
    <xf numFmtId="0" fontId="6" fillId="0" borderId="1" xfId="0" applyFont="1" applyBorder="1"/>
    <xf numFmtId="1" fontId="5" fillId="2" borderId="1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0" fontId="1" fillId="0" borderId="9" xfId="0" applyFont="1" applyBorder="1"/>
    <xf numFmtId="1" fontId="3" fillId="4" borderId="10" xfId="0" applyNumberFormat="1" applyFont="1" applyFill="1" applyBorder="1" applyAlignment="1">
      <alignment horizontal="center" vertical="center" wrapText="1"/>
    </xf>
    <xf numFmtId="1" fontId="1" fillId="5" borderId="12" xfId="0" applyNumberFormat="1" applyFont="1" applyFill="1" applyBorder="1" applyAlignment="1">
      <alignment horizontal="center"/>
    </xf>
    <xf numFmtId="1" fontId="1" fillId="0" borderId="0" xfId="0" applyNumberFormat="1" applyFont="1"/>
    <xf numFmtId="1" fontId="1" fillId="7" borderId="11" xfId="0" applyNumberFormat="1" applyFont="1" applyFill="1" applyBorder="1"/>
    <xf numFmtId="1" fontId="1" fillId="7" borderId="1" xfId="0" applyNumberFormat="1" applyFont="1" applyFill="1" applyBorder="1"/>
    <xf numFmtId="0" fontId="1" fillId="8" borderId="11" xfId="0" applyFont="1" applyFill="1" applyBorder="1"/>
    <xf numFmtId="0" fontId="1" fillId="8" borderId="1" xfId="0" applyFont="1" applyFill="1" applyBorder="1"/>
    <xf numFmtId="1" fontId="3" fillId="4" borderId="13" xfId="0" applyNumberFormat="1" applyFont="1" applyFill="1" applyBorder="1" applyAlignment="1">
      <alignment horizontal="center" vertical="center" wrapText="1"/>
    </xf>
    <xf numFmtId="1" fontId="1" fillId="5" borderId="14" xfId="0" applyNumberFormat="1" applyFont="1" applyFill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defaultRowHeight="12.75" x14ac:dyDescent="0.2"/>
  <cols>
    <col min="1" max="1" width="2.85546875" style="1" customWidth="1"/>
    <col min="2" max="2" width="32.7109375" style="1" bestFit="1" customWidth="1"/>
    <col min="3" max="3" width="2.85546875" style="3" customWidth="1"/>
    <col min="4" max="4" width="13.140625" style="2" bestFit="1" customWidth="1"/>
    <col min="5" max="5" width="22.28515625" style="1" customWidth="1"/>
    <col min="6" max="16384" width="9.140625" style="1"/>
  </cols>
  <sheetData>
    <row r="1" spans="2:7" ht="13.5" thickBot="1" x14ac:dyDescent="0.25"/>
    <row r="2" spans="2:7" ht="25.5" x14ac:dyDescent="0.2">
      <c r="B2" s="6" t="s">
        <v>43</v>
      </c>
      <c r="D2" s="8" t="s">
        <v>44</v>
      </c>
      <c r="E2" s="9" t="s">
        <v>45</v>
      </c>
    </row>
    <row r="3" spans="2:7" ht="13.5" thickBot="1" x14ac:dyDescent="0.25">
      <c r="B3" s="7"/>
      <c r="D3" s="10">
        <v>95000000000000</v>
      </c>
      <c r="E3" s="11"/>
    </row>
    <row r="4" spans="2:7" x14ac:dyDescent="0.2">
      <c r="B4" s="4" t="s">
        <v>0</v>
      </c>
      <c r="D4" s="13">
        <f xml:space="preserve"> D3 + IF(EXACT(E4, ""), 0, 1)</f>
        <v>95000000000001</v>
      </c>
      <c r="E4" s="12" t="str">
        <f>IF(EXACT(B4, ""), "", CONCATENATE("PERFORM ""SchSysConfig"".""Func_TblAppObject_UserRole_SET""(varSystemLoginSession, null::bigint, null::varchar, null::timestamptz, null::timestamptz, null::varchar, varInstitutionBranchID, varBaseCurrencyID, ", (IF(EXACT(B4, ""), "NULL", CONCATENATE("'", B4, "'"))),"::varchar);"))</f>
        <v>PERFORM "SchSysConfig"."Func_TblAppObject_UserRole_SET"(varSystemLoginSession, null::bigint, null::varchar, null::timestamptz, null::timestamptz, null::varchar, varInstitutionBranchID, varBaseCurrencyID, 'Super User'::varchar);</v>
      </c>
      <c r="G4" s="1" t="str">
        <f>IF(EXACT($E4,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IF(EXACT($B4, ""), "null", CONCATENATE("'", SUBSTITUTE($B4, "'", "\'"), "'")), "::varchar",
")))::varchar;"))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'Super User'::varchar)))::varchar;</v>
      </c>
    </row>
    <row r="5" spans="2:7" x14ac:dyDescent="0.2">
      <c r="B5" s="4" t="s">
        <v>1</v>
      </c>
      <c r="D5" s="13">
        <f xml:space="preserve"> D4 + IF(EXACT(E5, ""), 0, 1)</f>
        <v>95000000000002</v>
      </c>
      <c r="E5" s="12" t="str">
        <f t="shared" ref="E5:E71" si="0">IF(EXACT(B5, ""), "", CONCATENATE("PERFORM ""SchSysConfig"".""Func_TblAppObject_UserRole_SET""(varSystemLoginSession, null::bigint, null::varchar, null::timestamptz, null::timestamptz, null::varchar, varInstitutionBranchID, varBaseCurrencyID, ", (IF(EXACT(B5, ""), "NULL", CONCATENATE("'", B5, "'"))),"::varchar);"))</f>
        <v>PERFORM "SchSysConfig"."Func_TblAppObject_UserRole_SET"(varSystemLoginSession, null::bigint, null::varchar, null::timestamptz, null::timestamptz, null::varchar, varInstitutionBranchID, varBaseCurrencyID, 'Guest'::varchar);</v>
      </c>
      <c r="G5" s="1" t="str">
        <f t="shared" ref="G5:G68" si="1">IF(EXACT($E5,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IF(EXACT($B5, ""), "null", CONCATENATE("'", SUBSTITUTE($B5, "'", "\'"), "'")), "::varchar",
")))::varchar;"))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'Guest'::varchar)))::varchar;</v>
      </c>
    </row>
    <row r="6" spans="2:7" x14ac:dyDescent="0.2">
      <c r="B6" s="4"/>
      <c r="D6" s="13">
        <f t="shared" ref="D6:D69" si="2" xml:space="preserve"> D5 + IF(EXACT(E6, ""), 0, 1)</f>
        <v>95000000000002</v>
      </c>
      <c r="E6" s="12" t="str">
        <f t="shared" si="0"/>
        <v/>
      </c>
      <c r="G6" s="1" t="str">
        <f t="shared" si="1"/>
        <v/>
      </c>
    </row>
    <row r="7" spans="2:7" x14ac:dyDescent="0.2">
      <c r="B7" s="4" t="s">
        <v>65</v>
      </c>
      <c r="D7" s="13">
        <f t="shared" si="2"/>
        <v>95000000000003</v>
      </c>
      <c r="E7" s="12" t="str">
        <f t="shared" si="0"/>
        <v>PERFORM "SchSysConfig"."Func_TblAppObject_UserRole_SET"(varSystemLoginSession, null::bigint, null::varchar, null::timestamptz, null::timestamptz, null::varchar, varInstitutionBranchID, varBaseCurrencyID, 'Default Employee Role'::varchar);</v>
      </c>
      <c r="G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'Default Employee Role'::varchar)))::varchar;</v>
      </c>
    </row>
    <row r="8" spans="2:7" x14ac:dyDescent="0.2">
      <c r="B8" s="4"/>
      <c r="D8" s="13">
        <f t="shared" si="2"/>
        <v>95000000000003</v>
      </c>
      <c r="E8" s="12" t="str">
        <f t="shared" si="0"/>
        <v/>
      </c>
      <c r="G8" s="1" t="str">
        <f t="shared" si="1"/>
        <v/>
      </c>
    </row>
    <row r="9" spans="2:7" x14ac:dyDescent="0.2">
      <c r="B9" s="4" t="s">
        <v>2</v>
      </c>
      <c r="D9" s="13">
        <f t="shared" si="2"/>
        <v>95000000000004</v>
      </c>
      <c r="E9" s="12" t="str">
        <f t="shared" si="0"/>
        <v>PERFORM "SchSysConfig"."Func_TblAppObject_UserRole_SET"(varSystemLoginSession, null::bigint, null::varchar, null::timestamptz, null::timestamptz, null::varchar, varInstitutionBranchID, varBaseCurrencyID, 'Share Holder'::varchar);</v>
      </c>
      <c r="G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'Share Holder'::varchar)))::varchar;</v>
      </c>
    </row>
    <row r="10" spans="2:7" x14ac:dyDescent="0.2">
      <c r="B10" s="4" t="s">
        <v>3</v>
      </c>
      <c r="D10" s="13">
        <f t="shared" si="2"/>
        <v>95000000000005</v>
      </c>
      <c r="E10" s="12" t="str">
        <f t="shared" si="0"/>
        <v>PERFORM "SchSysConfig"."Func_TblAppObject_UserRole_SET"(varSystemLoginSession, null::bigint, null::varchar, null::timestamptz, null::timestamptz, null::varchar, varInstitutionBranchID, varBaseCurrencyID, 'Stack Holder'::varchar);</v>
      </c>
      <c r="G1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'Stack Holder'::varchar)))::varchar;</v>
      </c>
    </row>
    <row r="11" spans="2:7" x14ac:dyDescent="0.2">
      <c r="B11" s="4" t="s">
        <v>4</v>
      </c>
      <c r="D11" s="13">
        <f t="shared" si="2"/>
        <v>95000000000006</v>
      </c>
      <c r="E11" s="12" t="str">
        <f t="shared" si="0"/>
        <v>PERFORM "SchSysConfig"."Func_TblAppObject_UserRole_SET"(varSystemLoginSession, null::bigint, null::varchar, null::timestamptz, null::timestamptz, null::varchar, varInstitutionBranchID, varBaseCurrencyID, 'Public Accounting Firm'::varchar);</v>
      </c>
      <c r="G1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'Public Accounting Firm'::varchar)))::varchar;</v>
      </c>
    </row>
    <row r="12" spans="2:7" x14ac:dyDescent="0.2">
      <c r="B12" s="4" t="s">
        <v>6</v>
      </c>
      <c r="D12" s="13">
        <f t="shared" si="2"/>
        <v>95000000000007</v>
      </c>
      <c r="E12" s="12" t="str">
        <f t="shared" si="0"/>
        <v>PERFORM "SchSysConfig"."Func_TblAppObject_UserRole_SET"(varSystemLoginSession, null::bigint, null::varchar, null::timestamptz, null::timestamptz, null::varchar, varInstitutionBranchID, varBaseCurrencyID, 'Commissary'::varchar);</v>
      </c>
      <c r="G1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'Commissary'::varchar)))::varchar;</v>
      </c>
    </row>
    <row r="13" spans="2:7" x14ac:dyDescent="0.2">
      <c r="B13" s="4"/>
      <c r="D13" s="13">
        <f t="shared" si="2"/>
        <v>95000000000007</v>
      </c>
      <c r="E13" s="12" t="str">
        <f t="shared" si="0"/>
        <v/>
      </c>
      <c r="G13" s="1" t="str">
        <f t="shared" si="1"/>
        <v/>
      </c>
    </row>
    <row r="14" spans="2:7" x14ac:dyDescent="0.2">
      <c r="B14" s="4" t="s">
        <v>5</v>
      </c>
      <c r="D14" s="13">
        <f t="shared" si="2"/>
        <v>95000000000008</v>
      </c>
      <c r="E14" s="12" t="str">
        <f t="shared" si="0"/>
        <v>PERFORM "SchSysConfig"."Func_TblAppObject_UserRole_SET"(varSystemLoginSession, null::bigint, null::varchar, null::timestamptz, null::timestamptz, null::varchar, varInstitutionBranchID, varBaseCurrencyID, 'Director'::varchar);</v>
      </c>
      <c r="G1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'Director'::varchar)))::varchar;</v>
      </c>
    </row>
    <row r="15" spans="2:7" x14ac:dyDescent="0.2">
      <c r="B15" s="4" t="s">
        <v>7</v>
      </c>
      <c r="D15" s="13">
        <f t="shared" si="2"/>
        <v>95000000000009</v>
      </c>
      <c r="E15" s="12" t="str">
        <f t="shared" si="0"/>
        <v>PERFORM "SchSysConfig"."Func_TblAppObject_UserRole_SET"(varSystemLoginSession, null::bigint, null::varchar, null::timestamptz, null::timestamptz, null::varchar, varInstitutionBranchID, varBaseCurrencyID, 'President Director'::varchar);</v>
      </c>
      <c r="G1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'President Director'::varchar)))::varchar;</v>
      </c>
    </row>
    <row r="16" spans="2:7" x14ac:dyDescent="0.2">
      <c r="B16" s="4" t="s">
        <v>8</v>
      </c>
      <c r="D16" s="13">
        <f t="shared" si="2"/>
        <v>95000000000010</v>
      </c>
      <c r="E16" s="12" t="str">
        <f t="shared" si="0"/>
        <v>PERFORM "SchSysConfig"."Func_TblAppObject_UserRole_SET"(varSystemLoginSession, null::bigint, null::varchar, null::timestamptz, null::timestamptz, null::varchar, varInstitutionBranchID, varBaseCurrencyID, 'Finance Director'::varchar);</v>
      </c>
      <c r="G1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'Finance Director'::varchar)))::varchar;</v>
      </c>
    </row>
    <row r="17" spans="2:7" x14ac:dyDescent="0.2">
      <c r="B17" s="4" t="s">
        <v>9</v>
      </c>
      <c r="D17" s="13">
        <f t="shared" si="2"/>
        <v>95000000000011</v>
      </c>
      <c r="E17" s="12" t="str">
        <f t="shared" si="0"/>
        <v>PERFORM "SchSysConfig"."Func_TblAppObject_UserRole_SET"(varSystemLoginSession, null::bigint, null::varchar, null::timestamptz, null::timestamptz, null::varchar, varInstitutionBranchID, varBaseCurrencyID, 'Operational Director'::varchar);</v>
      </c>
      <c r="G1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'Operational Director'::varchar)))::varchar;</v>
      </c>
    </row>
    <row r="18" spans="2:7" x14ac:dyDescent="0.2">
      <c r="B18" s="4" t="s">
        <v>11</v>
      </c>
      <c r="D18" s="13">
        <f t="shared" si="2"/>
        <v>95000000000012</v>
      </c>
      <c r="E18" s="12" t="str">
        <f t="shared" si="0"/>
        <v>PERFORM "SchSysConfig"."Func_TblAppObject_UserRole_SET"(varSystemLoginSession, null::bigint, null::varchar, null::timestamptz, null::timestamptz, null::varchar, varInstitutionBranchID, varBaseCurrencyID, 'Marketing Director'::varchar);</v>
      </c>
      <c r="G1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'Marketing Director'::varchar)))::varchar;</v>
      </c>
    </row>
    <row r="19" spans="2:7" x14ac:dyDescent="0.2">
      <c r="B19" s="4" t="s">
        <v>10</v>
      </c>
      <c r="D19" s="13">
        <f t="shared" si="2"/>
        <v>95000000000013</v>
      </c>
      <c r="E19" s="12" t="str">
        <f t="shared" si="0"/>
        <v>PERFORM "SchSysConfig"."Func_TblAppObject_UserRole_SET"(varSystemLoginSession, null::bigint, null::varchar, null::timestamptz, null::timestamptz, null::varchar, varInstitutionBranchID, varBaseCurrencyID, 'Information Technology Director'::varchar);</v>
      </c>
      <c r="G1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'Information Technology Director'::varchar)))::varchar;</v>
      </c>
    </row>
    <row r="20" spans="2:7" x14ac:dyDescent="0.2">
      <c r="B20" s="4"/>
      <c r="D20" s="13">
        <f t="shared" si="2"/>
        <v>95000000000013</v>
      </c>
      <c r="E20" s="12" t="str">
        <f t="shared" si="0"/>
        <v/>
      </c>
      <c r="G20" s="1" t="str">
        <f t="shared" si="1"/>
        <v/>
      </c>
    </row>
    <row r="21" spans="2:7" x14ac:dyDescent="0.2">
      <c r="B21" s="4" t="s">
        <v>23</v>
      </c>
      <c r="D21" s="13">
        <f t="shared" si="2"/>
        <v>95000000000014</v>
      </c>
      <c r="E21" s="12" t="str">
        <f t="shared" si="0"/>
        <v>PERFORM "SchSysConfig"."Func_TblAppObject_UserRole_SET"(varSystemLoginSession, null::bigint, null::varchar, null::timestamptz, null::timestamptz, null::varchar, varInstitutionBranchID, varBaseCurrencyID, 'Project General Manager'::varchar);</v>
      </c>
      <c r="G2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General Manager'::varchar)))::varchar;</v>
      </c>
    </row>
    <row r="22" spans="2:7" x14ac:dyDescent="0.2">
      <c r="B22" s="4" t="s">
        <v>24</v>
      </c>
      <c r="D22" s="13">
        <f t="shared" si="2"/>
        <v>95000000000015</v>
      </c>
      <c r="E22" s="12" t="str">
        <f t="shared" si="0"/>
        <v>PERFORM "SchSysConfig"."Func_TblAppObject_UserRole_SET"(varSystemLoginSession, null::bigint, null::varchar, null::timestamptz, null::timestamptz, null::varchar, varInstitutionBranchID, varBaseCurrencyID, 'Project Management Officer'::varchar);</v>
      </c>
      <c r="G2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Management Officer'::varchar)))::varchar;</v>
      </c>
    </row>
    <row r="23" spans="2:7" x14ac:dyDescent="0.2">
      <c r="B23" s="4" t="s">
        <v>12</v>
      </c>
      <c r="D23" s="13">
        <f t="shared" si="2"/>
        <v>95000000000016</v>
      </c>
      <c r="E23" s="12" t="str">
        <f t="shared" si="0"/>
        <v>PERFORM "SchSysConfig"."Func_TblAppObject_UserRole_SET"(varSystemLoginSession, null::bigint, null::varchar, null::timestamptz, null::timestamptz, null::varchar, varInstitutionBranchID, varBaseCurrencyID, 'Finance, Accounting, &amp; Tax General Manager'::varchar);</v>
      </c>
      <c r="G2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'Finance, Accounting, &amp; Tax General Manager'::varchar)))::varchar;</v>
      </c>
    </row>
    <row r="24" spans="2:7" x14ac:dyDescent="0.2">
      <c r="B24" s="4" t="s">
        <v>13</v>
      </c>
      <c r="D24" s="13">
        <f t="shared" si="2"/>
        <v>95000000000017</v>
      </c>
      <c r="E24" s="12" t="str">
        <f t="shared" si="0"/>
        <v>PERFORM "SchSysConfig"."Func_TblAppObject_UserRole_SET"(varSystemLoginSession, null::bigint, null::varchar, null::timestamptz, null::timestamptz, null::varchar, varInstitutionBranchID, varBaseCurrencyID, 'HR, GA, &amp; TAM General Manager'::varchar);</v>
      </c>
      <c r="G2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'HR, GA, &amp; TAM General Manager'::varchar)))::varchar;</v>
      </c>
    </row>
    <row r="25" spans="2:7" x14ac:dyDescent="0.2">
      <c r="B25" s="4" t="s">
        <v>14</v>
      </c>
      <c r="D25" s="13">
        <f t="shared" si="2"/>
        <v>95000000000018</v>
      </c>
      <c r="E25" s="12" t="str">
        <f t="shared" si="0"/>
        <v>PERFORM "SchSysConfig"."Func_TblAppObject_UserRole_SET"(varSystemLoginSession, null::bigint, null::varchar, null::timestamptz, null::timestamptz, null::varchar, varInstitutionBranchID, varBaseCurrencyID, 'Sales General Manager'::varchar);</v>
      </c>
      <c r="G2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General Manager'::varchar)))::varchar;</v>
      </c>
    </row>
    <row r="26" spans="2:7" x14ac:dyDescent="0.2">
      <c r="B26" s="4"/>
      <c r="D26" s="13">
        <f t="shared" si="2"/>
        <v>95000000000018</v>
      </c>
      <c r="E26" s="12" t="str">
        <f t="shared" si="0"/>
        <v/>
      </c>
      <c r="G26" s="1" t="str">
        <f t="shared" si="1"/>
        <v/>
      </c>
    </row>
    <row r="27" spans="2:7" x14ac:dyDescent="0.2">
      <c r="B27" s="4" t="s">
        <v>25</v>
      </c>
      <c r="D27" s="13">
        <f t="shared" si="2"/>
        <v>95000000000019</v>
      </c>
      <c r="E27" s="12" t="str">
        <f t="shared" si="0"/>
        <v>PERFORM "SchSysConfig"."Func_TblAppObject_UserRole_SET"(varSystemLoginSession, null::bigint, null::varchar, null::timestamptz, null::timestamptz, null::varchar, varInstitutionBranchID, varBaseCurrencyID, 'Project Manager'::varchar);</v>
      </c>
      <c r="G2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Manager'::varchar)))::varchar;</v>
      </c>
    </row>
    <row r="28" spans="2:7" x14ac:dyDescent="0.2">
      <c r="B28" s="4" t="s">
        <v>26</v>
      </c>
      <c r="D28" s="13">
        <f t="shared" si="2"/>
        <v>95000000000020</v>
      </c>
      <c r="E28" s="12" t="str">
        <f t="shared" si="0"/>
        <v>PERFORM "SchSysConfig"."Func_TblAppObject_UserRole_SET"(varSystemLoginSession, null::bigint, null::varchar, null::timestamptz, null::timestamptz, null::varchar, varInstitutionBranchID, varBaseCurrencyID, 'Site Manager'::varchar);</v>
      </c>
      <c r="G2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'Site Manager'::varchar)))::varchar;</v>
      </c>
    </row>
    <row r="29" spans="2:7" x14ac:dyDescent="0.2">
      <c r="B29" s="4" t="s">
        <v>64</v>
      </c>
      <c r="D29" s="13">
        <f t="shared" si="2"/>
        <v>95000000000021</v>
      </c>
      <c r="E29" s="12" t="str">
        <f t="shared" si="0"/>
        <v>PERFORM "SchSysConfig"."Func_TblAppObject_UserRole_SET"(varSystemLoginSession, null::bigint, null::varchar, null::timestamptz, null::timestamptz, null::varchar, varInstitutionBranchID, varBaseCurrencyID, 'Project Controller Coordinator'::varchar);</v>
      </c>
      <c r="G2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Controller Coordinator'::varchar)))::varchar;</v>
      </c>
    </row>
    <row r="30" spans="2:7" x14ac:dyDescent="0.2">
      <c r="B30" s="4" t="s">
        <v>27</v>
      </c>
      <c r="D30" s="13">
        <f t="shared" si="2"/>
        <v>95000000000022</v>
      </c>
      <c r="E30" s="12" t="str">
        <f t="shared" si="0"/>
        <v>PERFORM "SchSysConfig"."Func_TblAppObject_UserRole_SET"(varSystemLoginSession, null::bigint, null::varchar, null::timestamptz, null::timestamptz, null::varchar, varInstitutionBranchID, varBaseCurrencyID, 'Project Controller Staff'::varchar);</v>
      </c>
      <c r="G3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Controller Staff'::varchar)))::varchar;</v>
      </c>
    </row>
    <row r="31" spans="2:7" x14ac:dyDescent="0.2">
      <c r="B31" s="4" t="s">
        <v>63</v>
      </c>
      <c r="D31" s="13">
        <f t="shared" si="2"/>
        <v>95000000000023</v>
      </c>
      <c r="E31" s="12" t="str">
        <f t="shared" si="0"/>
        <v>PERFORM "SchSysConfig"."Func_TblAppObject_UserRole_SET"(varSystemLoginSession, null::bigint, null::varchar, null::timestamptz, null::timestamptz, null::varchar, varInstitutionBranchID, varBaseCurrencyID, 'Project Administrator Coordinator'::varchar);</v>
      </c>
      <c r="G3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Administrator Coordinator'::varchar)))::varchar;</v>
      </c>
    </row>
    <row r="32" spans="2:7" x14ac:dyDescent="0.2">
      <c r="B32" s="4" t="s">
        <v>28</v>
      </c>
      <c r="D32" s="13">
        <f t="shared" si="2"/>
        <v>95000000000024</v>
      </c>
      <c r="E32" s="12" t="str">
        <f t="shared" si="0"/>
        <v>PERFORM "SchSysConfig"."Func_TblAppObject_UserRole_SET"(varSystemLoginSession, null::bigint, null::varchar, null::timestamptz, null::timestamptz, null::varchar, varInstitutionBranchID, varBaseCurrencyID, 'Project Administrator Staff'::varchar);</v>
      </c>
      <c r="G3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Administrator Staff'::varchar)))::varchar;</v>
      </c>
    </row>
    <row r="33" spans="2:7" x14ac:dyDescent="0.2">
      <c r="B33" s="4" t="s">
        <v>62</v>
      </c>
      <c r="D33" s="13">
        <f t="shared" si="2"/>
        <v>95000000000025</v>
      </c>
      <c r="E33" s="12" t="str">
        <f t="shared" si="0"/>
        <v>PERFORM "SchSysConfig"."Func_TblAppObject_UserRole_SET"(varSystemLoginSession, null::bigint, null::varchar, null::timestamptz, null::timestamptz, null::varchar, varInstitutionBranchID, varBaseCurrencyID, 'Project Worker Coordinator'::varchar);</v>
      </c>
      <c r="G3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Worker Coordinator'::varchar)))::varchar;</v>
      </c>
    </row>
    <row r="34" spans="2:7" x14ac:dyDescent="0.2">
      <c r="B34" s="4" t="s">
        <v>29</v>
      </c>
      <c r="D34" s="13">
        <f t="shared" si="2"/>
        <v>95000000000026</v>
      </c>
      <c r="E34" s="12" t="str">
        <f t="shared" si="0"/>
        <v>PERFORM "SchSysConfig"."Func_TblAppObject_UserRole_SET"(varSystemLoginSession, null::bigint, null::varchar, null::timestamptz, null::timestamptz, null::varchar, varInstitutionBranchID, varBaseCurrencyID, 'Project Worker Staff'::varchar);</v>
      </c>
      <c r="G3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Worker Staff'::varchar)))::varchar;</v>
      </c>
    </row>
    <row r="35" spans="2:7" x14ac:dyDescent="0.2">
      <c r="B35" s="4"/>
      <c r="D35" s="13">
        <f t="shared" si="2"/>
        <v>95000000000026</v>
      </c>
      <c r="E35" s="12" t="str">
        <f t="shared" si="0"/>
        <v/>
      </c>
      <c r="G35" s="1" t="str">
        <f t="shared" si="1"/>
        <v/>
      </c>
    </row>
    <row r="36" spans="2:7" x14ac:dyDescent="0.2">
      <c r="B36" s="4" t="s">
        <v>15</v>
      </c>
      <c r="D36" s="13">
        <f t="shared" si="2"/>
        <v>95000000000027</v>
      </c>
      <c r="E36" s="12" t="str">
        <f t="shared" si="0"/>
        <v>PERFORM "SchSysConfig"."Func_TblAppObject_UserRole_SET"(varSystemLoginSession, null::bigint, null::varchar, null::timestamptz, null::timestamptz, null::varchar, varInstitutionBranchID, varBaseCurrencyID, 'Finance Manager'::varchar);</v>
      </c>
      <c r="G3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'Finance Manager'::varchar)))::varchar;</v>
      </c>
    </row>
    <row r="37" spans="2:7" x14ac:dyDescent="0.2">
      <c r="B37" s="4" t="s">
        <v>60</v>
      </c>
      <c r="D37" s="13">
        <f t="shared" si="2"/>
        <v>95000000000028</v>
      </c>
      <c r="E37" s="12" t="str">
        <f t="shared" si="0"/>
        <v>PERFORM "SchSysConfig"."Func_TblAppObject_UserRole_SET"(varSystemLoginSession, null::bigint, null::varchar, null::timestamptz, null::timestamptz, null::varchar, varInstitutionBranchID, varBaseCurrencyID, 'Cashier &amp; Treasury Coordinator'::varchar);</v>
      </c>
      <c r="G3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'Cashier &amp; Treasury Coordinator'::varchar)))::varchar;</v>
      </c>
    </row>
    <row r="38" spans="2:7" x14ac:dyDescent="0.2">
      <c r="B38" s="4" t="s">
        <v>16</v>
      </c>
      <c r="D38" s="13">
        <f t="shared" si="2"/>
        <v>95000000000029</v>
      </c>
      <c r="E38" s="12" t="str">
        <f t="shared" si="0"/>
        <v>PERFORM "SchSysConfig"."Func_TblAppObject_UserRole_SET"(varSystemLoginSession, null::bigint, null::varchar, null::timestamptz, null::timestamptz, null::varchar, varInstitutionBranchID, varBaseCurrencyID, 'Cashier &amp; Treasury Staff'::varchar);</v>
      </c>
      <c r="G3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'Cashier &amp; Treasury Staff'::varchar)))::varchar;</v>
      </c>
    </row>
    <row r="39" spans="2:7" x14ac:dyDescent="0.2">
      <c r="B39" s="4" t="s">
        <v>61</v>
      </c>
      <c r="D39" s="13">
        <f t="shared" si="2"/>
        <v>95000000000030</v>
      </c>
      <c r="E39" s="12" t="str">
        <f t="shared" si="0"/>
        <v>PERFORM "SchSysConfig"."Func_TblAppObject_UserRole_SET"(varSystemLoginSession, null::bigint, null::varchar, null::timestamptz, null::timestamptz, null::varchar, varInstitutionBranchID, varBaseCurrencyID, 'Cost Controller Coordinator'::varchar);</v>
      </c>
      <c r="G3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'Cost Controller Coordinator'::varchar)))::varchar;</v>
      </c>
    </row>
    <row r="40" spans="2:7" x14ac:dyDescent="0.2">
      <c r="B40" s="4" t="s">
        <v>17</v>
      </c>
      <c r="D40" s="13">
        <f t="shared" si="2"/>
        <v>95000000000031</v>
      </c>
      <c r="E40" s="12" t="str">
        <f t="shared" si="0"/>
        <v>PERFORM "SchSysConfig"."Func_TblAppObject_UserRole_SET"(varSystemLoginSession, null::bigint, null::varchar, null::timestamptz, null::timestamptz, null::varchar, varInstitutionBranchID, varBaseCurrencyID, 'Cost Controller Staff'::varchar);</v>
      </c>
      <c r="G4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'Cost Controller Staff'::varchar)))::varchar;</v>
      </c>
    </row>
    <row r="41" spans="2:7" x14ac:dyDescent="0.2">
      <c r="B41" s="4"/>
      <c r="D41" s="13">
        <f t="shared" si="2"/>
        <v>95000000000031</v>
      </c>
      <c r="E41" s="12" t="str">
        <f t="shared" si="0"/>
        <v/>
      </c>
      <c r="G41" s="1" t="str">
        <f t="shared" si="1"/>
        <v/>
      </c>
    </row>
    <row r="42" spans="2:7" x14ac:dyDescent="0.2">
      <c r="B42" s="4" t="s">
        <v>18</v>
      </c>
      <c r="D42" s="13">
        <f t="shared" si="2"/>
        <v>95000000000032</v>
      </c>
      <c r="E42" s="12" t="str">
        <f t="shared" si="0"/>
        <v>PERFORM "SchSysConfig"."Func_TblAppObject_UserRole_SET"(varSystemLoginSession, null::bigint, null::varchar, null::timestamptz, null::timestamptz, null::varchar, varInstitutionBranchID, varBaseCurrencyID, 'Accounting &amp; Tax Manager'::varchar);</v>
      </c>
      <c r="G4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'Accounting &amp; Tax Manager'::varchar)))::varchar;</v>
      </c>
    </row>
    <row r="43" spans="2:7" x14ac:dyDescent="0.2">
      <c r="B43" s="4" t="s">
        <v>59</v>
      </c>
      <c r="D43" s="13">
        <f t="shared" si="2"/>
        <v>95000000000033</v>
      </c>
      <c r="E43" s="12" t="str">
        <f t="shared" si="0"/>
        <v>PERFORM "SchSysConfig"."Func_TblAppObject_UserRole_SET"(varSystemLoginSession, null::bigint, null::varchar, null::timestamptz, null::timestamptz, null::varchar, varInstitutionBranchID, varBaseCurrencyID, 'Accounting &amp; Tax Coordinator'::varchar);</v>
      </c>
      <c r="G4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'Accounting &amp; Tax Coordinator'::varchar)))::varchar;</v>
      </c>
    </row>
    <row r="44" spans="2:7" x14ac:dyDescent="0.2">
      <c r="B44" s="4" t="s">
        <v>19</v>
      </c>
      <c r="D44" s="13">
        <f t="shared" si="2"/>
        <v>95000000000034</v>
      </c>
      <c r="E44" s="12" t="str">
        <f t="shared" si="0"/>
        <v>PERFORM "SchSysConfig"."Func_TblAppObject_UserRole_SET"(varSystemLoginSession, null::bigint, null::varchar, null::timestamptz, null::timestamptz, null::varchar, varInstitutionBranchID, varBaseCurrencyID, 'Accounting &amp; Tax Staff'::varchar);</v>
      </c>
      <c r="G4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'Accounting &amp; Tax Staff'::varchar)))::varchar;</v>
      </c>
    </row>
    <row r="45" spans="2:7" x14ac:dyDescent="0.2">
      <c r="B45" s="4"/>
      <c r="D45" s="13">
        <f t="shared" si="2"/>
        <v>95000000000034</v>
      </c>
      <c r="E45" s="12" t="str">
        <f t="shared" si="0"/>
        <v/>
      </c>
      <c r="G45" s="1" t="str">
        <f t="shared" si="1"/>
        <v/>
      </c>
    </row>
    <row r="46" spans="2:7" x14ac:dyDescent="0.2">
      <c r="B46" s="4" t="s">
        <v>20</v>
      </c>
      <c r="D46" s="13">
        <f t="shared" si="2"/>
        <v>95000000000035</v>
      </c>
      <c r="E46" s="12" t="str">
        <f t="shared" si="0"/>
        <v>PERFORM "SchSysConfig"."Func_TblAppObject_UserRole_SET"(varSystemLoginSession, null::bigint, null::varchar, null::timestamptz, null::timestamptz, null::varchar, varInstitutionBranchID, varBaseCurrencyID, 'IT System Manager'::varchar);</v>
      </c>
      <c r="G4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'IT System Manager'::varchar)))::varchar;</v>
      </c>
    </row>
    <row r="47" spans="2:7" x14ac:dyDescent="0.2">
      <c r="B47" s="4" t="s">
        <v>48</v>
      </c>
      <c r="D47" s="13">
        <f t="shared" si="2"/>
        <v>95000000000036</v>
      </c>
      <c r="E47" s="12" t="str">
        <f t="shared" si="0"/>
        <v>PERFORM "SchSysConfig"."Func_TblAppObject_UserRole_SET"(varSystemLoginSession, null::bigint, null::varchar, null::timestamptz, null::timestamptz, null::varchar, varInstitutionBranchID, varBaseCurrencyID, 'IT System Engineer Coordinator'::varchar);</v>
      </c>
      <c r="G4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'IT System Engineer Coordinator'::varchar)))::varchar;</v>
      </c>
    </row>
    <row r="48" spans="2:7" x14ac:dyDescent="0.2">
      <c r="B48" s="4" t="s">
        <v>21</v>
      </c>
      <c r="D48" s="13">
        <f t="shared" si="2"/>
        <v>95000000000037</v>
      </c>
      <c r="E48" s="12" t="str">
        <f t="shared" si="0"/>
        <v>PERFORM "SchSysConfig"."Func_TblAppObject_UserRole_SET"(varSystemLoginSession, null::bigint, null::varchar, null::timestamptz, null::timestamptz, null::varchar, varInstitutionBranchID, varBaseCurrencyID, 'IT System Engineer Staff'::varchar);</v>
      </c>
      <c r="G4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'IT System Engineer Staff'::varchar)))::varchar;</v>
      </c>
    </row>
    <row r="49" spans="2:7" x14ac:dyDescent="0.2">
      <c r="B49" s="4" t="s">
        <v>49</v>
      </c>
      <c r="D49" s="13">
        <f t="shared" si="2"/>
        <v>95000000000038</v>
      </c>
      <c r="E49" s="12" t="str">
        <f t="shared" si="0"/>
        <v>PERFORM "SchSysConfig"."Func_TblAppObject_UserRole_SET"(varSystemLoginSession, null::bigint, null::varchar, null::timestamptz, null::timestamptz, null::varchar, varInstitutionBranchID, varBaseCurrencyID, 'IT Software Engineer Coordinator'::varchar);</v>
      </c>
      <c r="G4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'IT Software Engineer Coordinator'::varchar)))::varchar;</v>
      </c>
    </row>
    <row r="50" spans="2:7" x14ac:dyDescent="0.2">
      <c r="B50" s="4" t="s">
        <v>22</v>
      </c>
      <c r="D50" s="13">
        <f t="shared" si="2"/>
        <v>95000000000039</v>
      </c>
      <c r="E50" s="12" t="str">
        <f t="shared" si="0"/>
        <v>PERFORM "SchSysConfig"."Func_TblAppObject_UserRole_SET"(varSystemLoginSession, null::bigint, null::varchar, null::timestamptz, null::timestamptz, null::varchar, varInstitutionBranchID, varBaseCurrencyID, 'IT Software Engineer Staff'::varchar);</v>
      </c>
      <c r="G5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'IT Software Engineer Staff'::varchar)))::varchar;</v>
      </c>
    </row>
    <row r="51" spans="2:7" x14ac:dyDescent="0.2">
      <c r="B51" s="4"/>
      <c r="D51" s="13">
        <f t="shared" si="2"/>
        <v>95000000000039</v>
      </c>
      <c r="E51" s="12" t="str">
        <f t="shared" si="0"/>
        <v/>
      </c>
      <c r="G51" s="1" t="str">
        <f t="shared" si="1"/>
        <v/>
      </c>
    </row>
    <row r="52" spans="2:7" x14ac:dyDescent="0.2">
      <c r="B52" s="4" t="s">
        <v>30</v>
      </c>
      <c r="D52" s="13">
        <f t="shared" si="2"/>
        <v>95000000000040</v>
      </c>
      <c r="E52" s="12" t="str">
        <f t="shared" si="0"/>
        <v>PERFORM "SchSysConfig"."Func_TblAppObject_UserRole_SET"(varSystemLoginSession, null::bigint, null::varchar, null::timestamptz, null::timestamptz, null::varchar, varInstitutionBranchID, varBaseCurrencyID, 'Procurement Manager'::varchar);</v>
      </c>
      <c r="G5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'Procurement Manager'::varchar)))::varchar;</v>
      </c>
    </row>
    <row r="53" spans="2:7" x14ac:dyDescent="0.2">
      <c r="B53" s="4" t="s">
        <v>50</v>
      </c>
      <c r="D53" s="13">
        <f t="shared" si="2"/>
        <v>95000000000041</v>
      </c>
      <c r="E53" s="12" t="str">
        <f t="shared" si="0"/>
        <v>PERFORM "SchSysConfig"."Func_TblAppObject_UserRole_SET"(varSystemLoginSession, null::bigint, null::varchar, null::timestamptz, null::timestamptz, null::varchar, varInstitutionBranchID, varBaseCurrencyID, 'Procurement Coordinator'::varchar);</v>
      </c>
      <c r="G5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'Procurement Coordinator'::varchar)))::varchar;</v>
      </c>
    </row>
    <row r="54" spans="2:7" x14ac:dyDescent="0.2">
      <c r="B54" s="4" t="s">
        <v>31</v>
      </c>
      <c r="D54" s="13">
        <f t="shared" si="2"/>
        <v>95000000000042</v>
      </c>
      <c r="E54" s="12" t="str">
        <f t="shared" si="0"/>
        <v>PERFORM "SchSysConfig"."Func_TblAppObject_UserRole_SET"(varSystemLoginSession, null::bigint, null::varchar, null::timestamptz, null::timestamptz, null::varchar, varInstitutionBranchID, varBaseCurrencyID, 'Procurement Staff'::varchar);</v>
      </c>
      <c r="G5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'Procurement Staff'::varchar)))::varchar;</v>
      </c>
    </row>
    <row r="55" spans="2:7" x14ac:dyDescent="0.2">
      <c r="B55" s="4"/>
      <c r="D55" s="13">
        <f t="shared" si="2"/>
        <v>95000000000042</v>
      </c>
      <c r="E55" s="12" t="str">
        <f t="shared" si="0"/>
        <v/>
      </c>
      <c r="G55" s="1" t="str">
        <f t="shared" si="1"/>
        <v/>
      </c>
    </row>
    <row r="56" spans="2:7" x14ac:dyDescent="0.2">
      <c r="B56" s="4" t="s">
        <v>32</v>
      </c>
      <c r="D56" s="13">
        <f t="shared" si="2"/>
        <v>95000000000043</v>
      </c>
      <c r="E56" s="12" t="str">
        <f t="shared" si="0"/>
        <v>PERFORM "SchSysConfig"."Func_TblAppObject_UserRole_SET"(varSystemLoginSession, null::bigint, null::varchar, null::timestamptz, null::timestamptz, null::varchar, varInstitutionBranchID, varBaseCurrencyID, 'Sales Manager'::varchar);</v>
      </c>
      <c r="G5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Manager'::varchar)))::varchar;</v>
      </c>
    </row>
    <row r="57" spans="2:7" x14ac:dyDescent="0.2">
      <c r="B57" s="4" t="s">
        <v>51</v>
      </c>
      <c r="D57" s="13">
        <f t="shared" si="2"/>
        <v>95000000000044</v>
      </c>
      <c r="E57" s="12" t="str">
        <f t="shared" si="0"/>
        <v>PERFORM "SchSysConfig"."Func_TblAppObject_UserRole_SET"(varSystemLoginSession, null::bigint, null::varchar, null::timestamptz, null::timestamptz, null::varchar, varInstitutionBranchID, varBaseCurrencyID, 'Sales Coordinator'::varchar);</v>
      </c>
      <c r="G5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Coordinator'::varchar)))::varchar;</v>
      </c>
    </row>
    <row r="58" spans="2:7" x14ac:dyDescent="0.2">
      <c r="B58" s="4" t="s">
        <v>66</v>
      </c>
      <c r="D58" s="13">
        <f t="shared" si="2"/>
        <v>95000000000045</v>
      </c>
      <c r="E58" s="12" t="str">
        <f t="shared" si="0"/>
        <v>PERFORM "SchSysConfig"."Func_TblAppObject_UserRole_SET"(varSystemLoginSession, null::bigint, null::varchar, null::timestamptz, null::timestamptz, null::varchar, varInstitutionBranchID, varBaseCurrencyID, 'Bid And Sales Administrator Staff'::varchar);</v>
      </c>
      <c r="G5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'Bid And Sales Administrator Staff'::varchar)))::varchar;</v>
      </c>
    </row>
    <row r="59" spans="2:7" x14ac:dyDescent="0.2">
      <c r="B59" s="4" t="s">
        <v>52</v>
      </c>
      <c r="D59" s="13">
        <f t="shared" si="2"/>
        <v>95000000000046</v>
      </c>
      <c r="E59" s="12" t="str">
        <f t="shared" si="0"/>
        <v>PERFORM "SchSysConfig"."Func_TblAppObject_UserRole_SET"(varSystemLoginSession, null::bigint, null::varchar, null::timestamptz, null::timestamptz, null::varchar, varInstitutionBranchID, varBaseCurrencyID, 'Sales Estimator Coordinator'::varchar);</v>
      </c>
      <c r="G5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Estimator Coordinator'::varchar)))::varchar;</v>
      </c>
    </row>
    <row r="60" spans="2:7" x14ac:dyDescent="0.2">
      <c r="B60" s="4" t="s">
        <v>67</v>
      </c>
      <c r="D60" s="13">
        <f t="shared" si="2"/>
        <v>95000000000047</v>
      </c>
      <c r="E60" s="12" t="str">
        <f t="shared" si="0"/>
        <v>PERFORM "SchSysConfig"."Func_TblAppObject_UserRole_SET"(varSystemLoginSession, null::bigint, null::varchar, null::timestamptz, null::timestamptz, null::varchar, varInstitutionBranchID, varBaseCurrencyID, 'Sales Estimator Staff'::varchar);</v>
      </c>
      <c r="G6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Estimator Staff'::varchar)))::varchar;</v>
      </c>
    </row>
    <row r="61" spans="2:7" x14ac:dyDescent="0.2">
      <c r="B61" s="4"/>
      <c r="D61" s="13">
        <f t="shared" si="2"/>
        <v>95000000000047</v>
      </c>
      <c r="E61" s="12" t="str">
        <f t="shared" si="0"/>
        <v/>
      </c>
      <c r="G61" s="1" t="str">
        <f t="shared" si="1"/>
        <v/>
      </c>
    </row>
    <row r="62" spans="2:7" x14ac:dyDescent="0.2">
      <c r="B62" s="4" t="s">
        <v>33</v>
      </c>
      <c r="D62" s="13">
        <f t="shared" si="2"/>
        <v>95000000000048</v>
      </c>
      <c r="E62" s="12" t="str">
        <f t="shared" si="0"/>
        <v>PERFORM "SchSysConfig"."Func_TblAppObject_UserRole_SET"(varSystemLoginSession, null::bigint, null::varchar, null::timestamptz, null::timestamptz, null::varchar, varInstitutionBranchID, varBaseCurrencyID, 'Health Safety Environment Manager'::varchar);</v>
      </c>
      <c r="G6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'Health Safety Environment Manager'::varchar)))::varchar;</v>
      </c>
    </row>
    <row r="63" spans="2:7" x14ac:dyDescent="0.2">
      <c r="B63" s="4" t="s">
        <v>53</v>
      </c>
      <c r="D63" s="13">
        <f t="shared" si="2"/>
        <v>95000000000049</v>
      </c>
      <c r="E63" s="12" t="str">
        <f t="shared" si="0"/>
        <v>PERFORM "SchSysConfig"."Func_TblAppObject_UserRole_SET"(varSystemLoginSession, null::bigint, null::varchar, null::timestamptz, null::timestamptz, null::varchar, varInstitutionBranchID, varBaseCurrencyID, 'Health Safety Environment Coordinator'::varchar);</v>
      </c>
      <c r="G6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'Health Safety Environment Coordinator'::varchar)))::varchar;</v>
      </c>
    </row>
    <row r="64" spans="2:7" x14ac:dyDescent="0.2">
      <c r="B64" s="4" t="s">
        <v>34</v>
      </c>
      <c r="D64" s="13">
        <f t="shared" si="2"/>
        <v>95000000000050</v>
      </c>
      <c r="E64" s="12" t="str">
        <f t="shared" si="0"/>
        <v>PERFORM "SchSysConfig"."Func_TblAppObject_UserRole_SET"(varSystemLoginSession, null::bigint, null::varchar, null::timestamptz, null::timestamptz, null::varchar, varInstitutionBranchID, varBaseCurrencyID, 'Health Safety Environment Staff'::varchar);</v>
      </c>
      <c r="G6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'Health Safety Environment Staff'::varchar)))::varchar;</v>
      </c>
    </row>
    <row r="65" spans="2:7" x14ac:dyDescent="0.2">
      <c r="B65" s="4"/>
      <c r="D65" s="13">
        <f t="shared" si="2"/>
        <v>95000000000050</v>
      </c>
      <c r="E65" s="12" t="str">
        <f t="shared" si="0"/>
        <v/>
      </c>
      <c r="G65" s="1" t="str">
        <f t="shared" si="1"/>
        <v/>
      </c>
    </row>
    <row r="66" spans="2:7" x14ac:dyDescent="0.2">
      <c r="B66" s="4" t="s">
        <v>35</v>
      </c>
      <c r="D66" s="13">
        <f t="shared" si="2"/>
        <v>95000000000051</v>
      </c>
      <c r="E66" s="12" t="str">
        <f t="shared" si="0"/>
        <v>PERFORM "SchSysConfig"."Func_TblAppObject_UserRole_SET"(varSystemLoginSession, null::bigint, null::varchar, null::timestamptz, null::timestamptz, null::varchar, varInstitutionBranchID, varBaseCurrencyID, 'Human Resource Development Manager'::varchar);</v>
      </c>
      <c r="G6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'Human Resource Development Manager'::varchar)))::varchar;</v>
      </c>
    </row>
    <row r="67" spans="2:7" x14ac:dyDescent="0.2">
      <c r="B67" s="4" t="s">
        <v>54</v>
      </c>
      <c r="D67" s="13">
        <f t="shared" si="2"/>
        <v>95000000000052</v>
      </c>
      <c r="E67" s="12" t="str">
        <f t="shared" si="0"/>
        <v>PERFORM "SchSysConfig"."Func_TblAppObject_UserRole_SET"(varSystemLoginSession, null::bigint, null::varchar, null::timestamptz, null::timestamptz, null::varchar, varInstitutionBranchID, varBaseCurrencyID, 'Human Resource Development Coordinator'::varchar);</v>
      </c>
      <c r="G6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'Human Resource Development Coordinator'::varchar)))::varchar;</v>
      </c>
    </row>
    <row r="68" spans="2:7" x14ac:dyDescent="0.2">
      <c r="B68" s="4" t="s">
        <v>36</v>
      </c>
      <c r="D68" s="13">
        <f t="shared" si="2"/>
        <v>95000000000053</v>
      </c>
      <c r="E68" s="12" t="str">
        <f t="shared" si="0"/>
        <v>PERFORM "SchSysConfig"."Func_TblAppObject_UserRole_SET"(varSystemLoginSession, null::bigint, null::varchar, null::timestamptz, null::timestamptz, null::varchar, varInstitutionBranchID, varBaseCurrencyID, 'Human Resource Development Staff'::varchar);</v>
      </c>
      <c r="G6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'Human Resource Development Staff'::varchar)))::varchar;</v>
      </c>
    </row>
    <row r="69" spans="2:7" x14ac:dyDescent="0.2">
      <c r="B69" s="4"/>
      <c r="D69" s="13">
        <f t="shared" si="2"/>
        <v>95000000000053</v>
      </c>
      <c r="E69" s="12" t="str">
        <f t="shared" si="0"/>
        <v/>
      </c>
      <c r="G69" s="1" t="str">
        <f t="shared" ref="G69:G84" si="3">IF(EXACT($E69,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IF(EXACT($B69, ""), "null", CONCATENATE("'", SUBSTITUTE($B69, "'", "\'"), "'")), "::varchar",
")))::varchar;"))</f>
        <v/>
      </c>
    </row>
    <row r="70" spans="2:7" x14ac:dyDescent="0.2">
      <c r="B70" s="4" t="s">
        <v>39</v>
      </c>
      <c r="D70" s="13">
        <f t="shared" ref="D70:D84" si="4" xml:space="preserve"> D69 + IF(EXACT(E70, ""), 0, 1)</f>
        <v>95000000000054</v>
      </c>
      <c r="E70" s="12" t="str">
        <f t="shared" si="0"/>
        <v>PERFORM "SchSysConfig"."Func_TblAppObject_UserRole_SET"(varSystemLoginSession, null::bigint, null::varchar, null::timestamptz, null::timestamptz, null::varchar, varInstitutionBranchID, varBaseCurrencyID, 'General Affairs Manager'::varchar);</v>
      </c>
      <c r="G70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'General Affairs Manager'::varchar)))::varchar;</v>
      </c>
    </row>
    <row r="71" spans="2:7" x14ac:dyDescent="0.2">
      <c r="B71" s="4" t="s">
        <v>55</v>
      </c>
      <c r="D71" s="13">
        <f t="shared" si="4"/>
        <v>95000000000055</v>
      </c>
      <c r="E71" s="12" t="str">
        <f t="shared" si="0"/>
        <v>PERFORM "SchSysConfig"."Func_TblAppObject_UserRole_SET"(varSystemLoginSession, null::bigint, null::varchar, null::timestamptz, null::timestamptz, null::varchar, varInstitutionBranchID, varBaseCurrencyID, 'General Affairs Coordinator'::varchar);</v>
      </c>
      <c r="G71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'General Affairs Coordinator'::varchar)))::varchar;</v>
      </c>
    </row>
    <row r="72" spans="2:7" x14ac:dyDescent="0.2">
      <c r="B72" s="4" t="s">
        <v>40</v>
      </c>
      <c r="D72" s="13">
        <f t="shared" si="4"/>
        <v>95000000000056</v>
      </c>
      <c r="E72" s="12" t="str">
        <f t="shared" ref="E72:E84" si="5">IF(EXACT(B72, ""), "", CONCATENATE("PERFORM ""SchSysConfig"".""Func_TblAppObject_UserRole_SET""(varSystemLoginSession, null::bigint, null::varchar, null::timestamptz, null::timestamptz, null::varchar, varInstitutionBranchID, varBaseCurrencyID, ", (IF(EXACT(B72, ""), "NULL", CONCATENATE("'", B72, "'"))),"::varchar);"))</f>
        <v>PERFORM "SchSysConfig"."Func_TblAppObject_UserRole_SET"(varSystemLoginSession, null::bigint, null::varchar, null::timestamptz, null::timestamptz, null::varchar, varInstitutionBranchID, varBaseCurrencyID, 'General Affairs Staff'::varchar);</v>
      </c>
      <c r="G72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'General Affairs Staff'::varchar)))::varchar;</v>
      </c>
    </row>
    <row r="73" spans="2:7" x14ac:dyDescent="0.2">
      <c r="B73" s="4"/>
      <c r="D73" s="13">
        <f t="shared" si="4"/>
        <v>95000000000056</v>
      </c>
      <c r="E73" s="12" t="str">
        <f t="shared" si="5"/>
        <v/>
      </c>
      <c r="G73" s="1" t="str">
        <f t="shared" si="3"/>
        <v/>
      </c>
    </row>
    <row r="74" spans="2:7" x14ac:dyDescent="0.2">
      <c r="B74" s="4" t="s">
        <v>41</v>
      </c>
      <c r="D74" s="13">
        <f t="shared" si="4"/>
        <v>95000000000057</v>
      </c>
      <c r="E74" s="12" t="str">
        <f t="shared" si="5"/>
        <v>PERFORM "SchSysConfig"."Func_TblAppObject_UserRole_SET"(varSystemLoginSession, null::bigint, null::varchar, null::timestamptz, null::timestamptz, null::varchar, varInstitutionBranchID, varBaseCurrencyID, 'Legal Manager'::varchar);</v>
      </c>
      <c r="G74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'Legal Manager'::varchar)))::varchar;</v>
      </c>
    </row>
    <row r="75" spans="2:7" x14ac:dyDescent="0.2">
      <c r="B75" s="4" t="s">
        <v>56</v>
      </c>
      <c r="D75" s="13">
        <f t="shared" si="4"/>
        <v>95000000000058</v>
      </c>
      <c r="E75" s="12" t="str">
        <f t="shared" si="5"/>
        <v>PERFORM "SchSysConfig"."Func_TblAppObject_UserRole_SET"(varSystemLoginSession, null::bigint, null::varchar, null::timestamptz, null::timestamptz, null::varchar, varInstitutionBranchID, varBaseCurrencyID, 'Legal Coordinator'::varchar);</v>
      </c>
      <c r="G75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'Legal Coordinator'::varchar)))::varchar;</v>
      </c>
    </row>
    <row r="76" spans="2:7" x14ac:dyDescent="0.2">
      <c r="B76" s="4" t="s">
        <v>42</v>
      </c>
      <c r="D76" s="13">
        <f t="shared" si="4"/>
        <v>95000000000059</v>
      </c>
      <c r="E76" s="12" t="str">
        <f t="shared" si="5"/>
        <v>PERFORM "SchSysConfig"."Func_TblAppObject_UserRole_SET"(varSystemLoginSession, null::bigint, null::varchar, null::timestamptz, null::timestamptz, null::varchar, varInstitutionBranchID, varBaseCurrencyID, 'Legal Staff'::varchar);</v>
      </c>
      <c r="G76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'Legal Staff'::varchar)))::varchar;</v>
      </c>
    </row>
    <row r="77" spans="2:7" x14ac:dyDescent="0.2">
      <c r="B77" s="4"/>
      <c r="D77" s="13">
        <f t="shared" si="4"/>
        <v>95000000000059</v>
      </c>
      <c r="E77" s="12" t="str">
        <f t="shared" si="5"/>
        <v/>
      </c>
      <c r="G77" s="1" t="str">
        <f t="shared" si="3"/>
        <v/>
      </c>
    </row>
    <row r="78" spans="2:7" x14ac:dyDescent="0.2">
      <c r="B78" s="4" t="s">
        <v>37</v>
      </c>
      <c r="D78" s="13">
        <f t="shared" si="4"/>
        <v>95000000000060</v>
      </c>
      <c r="E78" s="12" t="str">
        <f t="shared" si="5"/>
        <v>PERFORM "SchSysConfig"."Func_TblAppObject_UserRole_SET"(varSystemLoginSession, null::bigint, null::varchar, null::timestamptz, null::timestamptz, null::varchar, varInstitutionBranchID, varBaseCurrencyID, 'Tools And Asset Manager'::varchar);</v>
      </c>
      <c r="G78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'Tools And Asset Manager'::varchar)))::varchar;</v>
      </c>
    </row>
    <row r="79" spans="2:7" x14ac:dyDescent="0.2">
      <c r="B79" s="4" t="s">
        <v>57</v>
      </c>
      <c r="D79" s="13">
        <f t="shared" si="4"/>
        <v>95000000000061</v>
      </c>
      <c r="E79" s="12" t="str">
        <f t="shared" si="5"/>
        <v>PERFORM "SchSysConfig"."Func_TblAppObject_UserRole_SET"(varSystemLoginSession, null::bigint, null::varchar, null::timestamptz, null::timestamptz, null::varchar, varInstitutionBranchID, varBaseCurrencyID, 'Tools And Asset Coordinator'::varchar);</v>
      </c>
      <c r="G79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'Tools And Asset Coordinator'::varchar)))::varchar;</v>
      </c>
    </row>
    <row r="80" spans="2:7" x14ac:dyDescent="0.2">
      <c r="B80" s="4" t="s">
        <v>38</v>
      </c>
      <c r="D80" s="13">
        <f t="shared" si="4"/>
        <v>95000000000062</v>
      </c>
      <c r="E80" s="12" t="str">
        <f t="shared" si="5"/>
        <v>PERFORM "SchSysConfig"."Func_TblAppObject_UserRole_SET"(varSystemLoginSession, null::bigint, null::varchar, null::timestamptz, null::timestamptz, null::varchar, varInstitutionBranchID, varBaseCurrencyID, 'Tools And Asset Staff'::varchar);</v>
      </c>
      <c r="G80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'Tools And Asset Staff'::varchar)))::varchar;</v>
      </c>
    </row>
    <row r="81" spans="2:7" x14ac:dyDescent="0.2">
      <c r="B81" s="4"/>
      <c r="D81" s="13">
        <f t="shared" si="4"/>
        <v>95000000000062</v>
      </c>
      <c r="E81" s="12" t="str">
        <f t="shared" si="5"/>
        <v/>
      </c>
      <c r="G81" s="1" t="str">
        <f t="shared" si="3"/>
        <v/>
      </c>
    </row>
    <row r="82" spans="2:7" x14ac:dyDescent="0.2">
      <c r="B82" s="4" t="s">
        <v>46</v>
      </c>
      <c r="D82" s="13">
        <f t="shared" si="4"/>
        <v>95000000000063</v>
      </c>
      <c r="E82" s="12" t="str">
        <f t="shared" si="5"/>
        <v>PERFORM "SchSysConfig"."Func_TblAppObject_UserRole_SET"(varSystemLoginSession, null::bigint, null::varchar, null::timestamptz, null::timestamptz, null::varchar, varInstitutionBranchID, varBaseCurrencyID, 'Engineering Manager'::varchar);</v>
      </c>
      <c r="G82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'Engineering Manager'::varchar)))::varchar;</v>
      </c>
    </row>
    <row r="83" spans="2:7" x14ac:dyDescent="0.2">
      <c r="B83" s="4" t="s">
        <v>58</v>
      </c>
      <c r="D83" s="13">
        <f t="shared" si="4"/>
        <v>95000000000064</v>
      </c>
      <c r="E83" s="12" t="str">
        <f t="shared" si="5"/>
        <v>PERFORM "SchSysConfig"."Func_TblAppObject_UserRole_SET"(varSystemLoginSession, null::bigint, null::varchar, null::timestamptz, null::timestamptz, null::varchar, varInstitutionBranchID, varBaseCurrencyID, 'Engineering Coordinator'::varchar);</v>
      </c>
      <c r="G83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'Engineering Coordinator'::varchar)))::varchar;</v>
      </c>
    </row>
    <row r="84" spans="2:7" x14ac:dyDescent="0.2">
      <c r="B84" s="4" t="s">
        <v>47</v>
      </c>
      <c r="D84" s="13">
        <f t="shared" si="4"/>
        <v>95000000000065</v>
      </c>
      <c r="E84" s="12" t="str">
        <f t="shared" si="5"/>
        <v>PERFORM "SchSysConfig"."Func_TblAppObject_UserRole_SET"(varSystemLoginSession, null::bigint, null::varchar, null::timestamptz, null::timestamptz, null::varchar, varInstitutionBranchID, varBaseCurrencyID, 'Engineering Staff'::varchar);</v>
      </c>
      <c r="G84" s="1" t="str">
        <f t="shared" si="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'Engineering Staff'::varchar)))::varchar;</v>
      </c>
    </row>
    <row r="85" spans="2:7" x14ac:dyDescent="0.2">
      <c r="B85" s="5"/>
      <c r="D85" s="14"/>
      <c r="E85" s="15"/>
    </row>
  </sheetData>
  <conditionalFormatting sqref="D4:D84">
    <cfRule type="expression" dxfId="1" priority="19">
      <formula>EXACT(D3, D4)</formula>
    </cfRule>
  </conditionalFormatting>
  <conditionalFormatting sqref="D85">
    <cfRule type="expression" dxfId="0" priority="21">
      <formula>EXACT(D80, D85)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C88"/>
  <sheetViews>
    <sheetView tabSelected="1" workbookViewId="0">
      <selection activeCell="H83" sqref="H83"/>
    </sheetView>
  </sheetViews>
  <sheetFormatPr defaultRowHeight="15" x14ac:dyDescent="0.25"/>
  <cols>
    <col min="1" max="1" width="3" customWidth="1"/>
    <col min="2" max="2" width="13.140625" style="18" bestFit="1" customWidth="1"/>
    <col min="3" max="3" width="31.28515625" style="1" customWidth="1"/>
  </cols>
  <sheetData>
    <row r="1" spans="2:3" ht="15.75" thickBot="1" x14ac:dyDescent="0.3"/>
    <row r="2" spans="2:3" x14ac:dyDescent="0.25">
      <c r="B2" s="16" t="s">
        <v>68</v>
      </c>
      <c r="C2" s="23" t="str">
        <f>MAIN!B2</f>
        <v>User Role Name</v>
      </c>
    </row>
    <row r="3" spans="2:3" ht="15.75" thickBot="1" x14ac:dyDescent="0.3">
      <c r="B3" s="17"/>
      <c r="C3" s="24"/>
    </row>
    <row r="4" spans="2:3" x14ac:dyDescent="0.25">
      <c r="B4" s="19">
        <f>IF(EXACT(MAIN!$B4, ""), "", MAIN!$D4)</f>
        <v>95000000000001</v>
      </c>
      <c r="C4" s="21" t="str">
        <f>IF(EXACT(B4, ""), "", MAIN!B4)</f>
        <v>Super User</v>
      </c>
    </row>
    <row r="5" spans="2:3" x14ac:dyDescent="0.25">
      <c r="B5" s="20">
        <f>IF(EXACT(MAIN!$B5, ""), "", MAIN!$D5)</f>
        <v>95000000000002</v>
      </c>
      <c r="C5" s="22" t="str">
        <f>IF(EXACT(B5, ""), "", MAIN!B5)</f>
        <v>Guest</v>
      </c>
    </row>
    <row r="6" spans="2:3" x14ac:dyDescent="0.25">
      <c r="B6" s="20" t="str">
        <f>IF(EXACT(MAIN!$B6, ""), "", MAIN!$D6)</f>
        <v/>
      </c>
      <c r="C6" s="22" t="str">
        <f>IF(EXACT(B6, ""), "", MAIN!B6)</f>
        <v/>
      </c>
    </row>
    <row r="7" spans="2:3" x14ac:dyDescent="0.25">
      <c r="B7" s="20">
        <f>IF(EXACT(MAIN!$B7, ""), "", MAIN!$D7)</f>
        <v>95000000000003</v>
      </c>
      <c r="C7" s="22" t="str">
        <f>IF(EXACT(B7, ""), "", MAIN!B7)</f>
        <v>Default Employee Role</v>
      </c>
    </row>
    <row r="8" spans="2:3" x14ac:dyDescent="0.25">
      <c r="B8" s="20" t="str">
        <f>IF(EXACT(MAIN!$B8, ""), "", MAIN!$D8)</f>
        <v/>
      </c>
      <c r="C8" s="22" t="str">
        <f>IF(EXACT(B8, ""), "", MAIN!B8)</f>
        <v/>
      </c>
    </row>
    <row r="9" spans="2:3" x14ac:dyDescent="0.25">
      <c r="B9" s="20">
        <f>IF(EXACT(MAIN!$B9, ""), "", MAIN!$D9)</f>
        <v>95000000000004</v>
      </c>
      <c r="C9" s="22" t="str">
        <f>IF(EXACT(B9, ""), "", MAIN!B9)</f>
        <v>Share Holder</v>
      </c>
    </row>
    <row r="10" spans="2:3" x14ac:dyDescent="0.25">
      <c r="B10" s="20">
        <f>IF(EXACT(MAIN!$B10, ""), "", MAIN!$D10)</f>
        <v>95000000000005</v>
      </c>
      <c r="C10" s="22" t="str">
        <f>IF(EXACT(B10, ""), "", MAIN!B10)</f>
        <v>Stack Holder</v>
      </c>
    </row>
    <row r="11" spans="2:3" x14ac:dyDescent="0.25">
      <c r="B11" s="20">
        <f>IF(EXACT(MAIN!$B11, ""), "", MAIN!$D11)</f>
        <v>95000000000006</v>
      </c>
      <c r="C11" s="22" t="str">
        <f>IF(EXACT(B11, ""), "", MAIN!B11)</f>
        <v>Public Accounting Firm</v>
      </c>
    </row>
    <row r="12" spans="2:3" x14ac:dyDescent="0.25">
      <c r="B12" s="20">
        <f>IF(EXACT(MAIN!$B12, ""), "", MAIN!$D12)</f>
        <v>95000000000007</v>
      </c>
      <c r="C12" s="22" t="str">
        <f>IF(EXACT(B12, ""), "", MAIN!B12)</f>
        <v>Commissary</v>
      </c>
    </row>
    <row r="13" spans="2:3" x14ac:dyDescent="0.25">
      <c r="B13" s="20" t="str">
        <f>IF(EXACT(MAIN!$B13, ""), "", MAIN!$D13)</f>
        <v/>
      </c>
      <c r="C13" s="22" t="str">
        <f>IF(EXACT(B13, ""), "", MAIN!B13)</f>
        <v/>
      </c>
    </row>
    <row r="14" spans="2:3" x14ac:dyDescent="0.25">
      <c r="B14" s="20">
        <f>IF(EXACT(MAIN!$B14, ""), "", MAIN!$D14)</f>
        <v>95000000000008</v>
      </c>
      <c r="C14" s="22" t="str">
        <f>IF(EXACT(B14, ""), "", MAIN!B14)</f>
        <v>Director</v>
      </c>
    </row>
    <row r="15" spans="2:3" x14ac:dyDescent="0.25">
      <c r="B15" s="20">
        <f>IF(EXACT(MAIN!$B15, ""), "", MAIN!$D15)</f>
        <v>95000000000009</v>
      </c>
      <c r="C15" s="22" t="str">
        <f>IF(EXACT(B15, ""), "", MAIN!B15)</f>
        <v>President Director</v>
      </c>
    </row>
    <row r="16" spans="2:3" x14ac:dyDescent="0.25">
      <c r="B16" s="20">
        <f>IF(EXACT(MAIN!$B16, ""), "", MAIN!$D16)</f>
        <v>95000000000010</v>
      </c>
      <c r="C16" s="22" t="str">
        <f>IF(EXACT(B16, ""), "", MAIN!B16)</f>
        <v>Finance Director</v>
      </c>
    </row>
    <row r="17" spans="2:3" x14ac:dyDescent="0.25">
      <c r="B17" s="20">
        <f>IF(EXACT(MAIN!$B17, ""), "", MAIN!$D17)</f>
        <v>95000000000011</v>
      </c>
      <c r="C17" s="22" t="str">
        <f>IF(EXACT(B17, ""), "", MAIN!B17)</f>
        <v>Operational Director</v>
      </c>
    </row>
    <row r="18" spans="2:3" x14ac:dyDescent="0.25">
      <c r="B18" s="20">
        <f>IF(EXACT(MAIN!$B18, ""), "", MAIN!$D18)</f>
        <v>95000000000012</v>
      </c>
      <c r="C18" s="22" t="str">
        <f>IF(EXACT(B18, ""), "", MAIN!B18)</f>
        <v>Marketing Director</v>
      </c>
    </row>
    <row r="19" spans="2:3" x14ac:dyDescent="0.25">
      <c r="B19" s="20">
        <f>IF(EXACT(MAIN!$B19, ""), "", MAIN!$D19)</f>
        <v>95000000000013</v>
      </c>
      <c r="C19" s="22" t="str">
        <f>IF(EXACT(B19, ""), "", MAIN!B19)</f>
        <v>Information Technology Director</v>
      </c>
    </row>
    <row r="20" spans="2:3" x14ac:dyDescent="0.25">
      <c r="B20" s="20" t="str">
        <f>IF(EXACT(MAIN!$B20, ""), "", MAIN!$D20)</f>
        <v/>
      </c>
      <c r="C20" s="22" t="str">
        <f>IF(EXACT(B20, ""), "", MAIN!B20)</f>
        <v/>
      </c>
    </row>
    <row r="21" spans="2:3" x14ac:dyDescent="0.25">
      <c r="B21" s="20">
        <f>IF(EXACT(MAIN!$B21, ""), "", MAIN!$D21)</f>
        <v>95000000000014</v>
      </c>
      <c r="C21" s="22" t="str">
        <f>IF(EXACT(B21, ""), "", MAIN!B21)</f>
        <v>Project General Manager</v>
      </c>
    </row>
    <row r="22" spans="2:3" x14ac:dyDescent="0.25">
      <c r="B22" s="20">
        <f>IF(EXACT(MAIN!$B22, ""), "", MAIN!$D22)</f>
        <v>95000000000015</v>
      </c>
      <c r="C22" s="22" t="str">
        <f>IF(EXACT(B22, ""), "", MAIN!B22)</f>
        <v>Project Management Officer</v>
      </c>
    </row>
    <row r="23" spans="2:3" x14ac:dyDescent="0.25">
      <c r="B23" s="20">
        <f>IF(EXACT(MAIN!$B23, ""), "", MAIN!$D23)</f>
        <v>95000000000016</v>
      </c>
      <c r="C23" s="22" t="str">
        <f>IF(EXACT(B23, ""), "", MAIN!B23)</f>
        <v>Finance, Accounting, &amp; Tax General Manager</v>
      </c>
    </row>
    <row r="24" spans="2:3" x14ac:dyDescent="0.25">
      <c r="B24" s="20">
        <f>IF(EXACT(MAIN!$B24, ""), "", MAIN!$D24)</f>
        <v>95000000000017</v>
      </c>
      <c r="C24" s="22" t="str">
        <f>IF(EXACT(B24, ""), "", MAIN!B24)</f>
        <v>HR, GA, &amp; TAM General Manager</v>
      </c>
    </row>
    <row r="25" spans="2:3" x14ac:dyDescent="0.25">
      <c r="B25" s="20">
        <f>IF(EXACT(MAIN!$B25, ""), "", MAIN!$D25)</f>
        <v>95000000000018</v>
      </c>
      <c r="C25" s="22" t="str">
        <f>IF(EXACT(B25, ""), "", MAIN!B25)</f>
        <v>Sales General Manager</v>
      </c>
    </row>
    <row r="26" spans="2:3" x14ac:dyDescent="0.25">
      <c r="B26" s="20" t="str">
        <f>IF(EXACT(MAIN!$B26, ""), "", MAIN!$D26)</f>
        <v/>
      </c>
      <c r="C26" s="22" t="str">
        <f>IF(EXACT(B26, ""), "", MAIN!B26)</f>
        <v/>
      </c>
    </row>
    <row r="27" spans="2:3" x14ac:dyDescent="0.25">
      <c r="B27" s="20">
        <f>IF(EXACT(MAIN!$B27, ""), "", MAIN!$D27)</f>
        <v>95000000000019</v>
      </c>
      <c r="C27" s="22" t="str">
        <f>IF(EXACT(B27, ""), "", MAIN!B27)</f>
        <v>Project Manager</v>
      </c>
    </row>
    <row r="28" spans="2:3" x14ac:dyDescent="0.25">
      <c r="B28" s="20">
        <f>IF(EXACT(MAIN!$B28, ""), "", MAIN!$D28)</f>
        <v>95000000000020</v>
      </c>
      <c r="C28" s="22" t="str">
        <f>IF(EXACT(B28, ""), "", MAIN!B28)</f>
        <v>Site Manager</v>
      </c>
    </row>
    <row r="29" spans="2:3" x14ac:dyDescent="0.25">
      <c r="B29" s="20">
        <f>IF(EXACT(MAIN!$B29, ""), "", MAIN!$D29)</f>
        <v>95000000000021</v>
      </c>
      <c r="C29" s="22" t="str">
        <f>IF(EXACT(B29, ""), "", MAIN!B29)</f>
        <v>Project Controller Coordinator</v>
      </c>
    </row>
    <row r="30" spans="2:3" x14ac:dyDescent="0.25">
      <c r="B30" s="20">
        <f>IF(EXACT(MAIN!$B30, ""), "", MAIN!$D30)</f>
        <v>95000000000022</v>
      </c>
      <c r="C30" s="22" t="str">
        <f>IF(EXACT(B30, ""), "", MAIN!B30)</f>
        <v>Project Controller Staff</v>
      </c>
    </row>
    <row r="31" spans="2:3" x14ac:dyDescent="0.25">
      <c r="B31" s="20">
        <f>IF(EXACT(MAIN!$B31, ""), "", MAIN!$D31)</f>
        <v>95000000000023</v>
      </c>
      <c r="C31" s="22" t="str">
        <f>IF(EXACT(B31, ""), "", MAIN!B31)</f>
        <v>Project Administrator Coordinator</v>
      </c>
    </row>
    <row r="32" spans="2:3" x14ac:dyDescent="0.25">
      <c r="B32" s="20">
        <f>IF(EXACT(MAIN!$B32, ""), "", MAIN!$D32)</f>
        <v>95000000000024</v>
      </c>
      <c r="C32" s="22" t="str">
        <f>IF(EXACT(B32, ""), "", MAIN!B32)</f>
        <v>Project Administrator Staff</v>
      </c>
    </row>
    <row r="33" spans="2:3" x14ac:dyDescent="0.25">
      <c r="B33" s="20">
        <f>IF(EXACT(MAIN!$B33, ""), "", MAIN!$D33)</f>
        <v>95000000000025</v>
      </c>
      <c r="C33" s="22" t="str">
        <f>IF(EXACT(B33, ""), "", MAIN!B33)</f>
        <v>Project Worker Coordinator</v>
      </c>
    </row>
    <row r="34" spans="2:3" x14ac:dyDescent="0.25">
      <c r="B34" s="20">
        <f>IF(EXACT(MAIN!$B34, ""), "", MAIN!$D34)</f>
        <v>95000000000026</v>
      </c>
      <c r="C34" s="22" t="str">
        <f>IF(EXACT(B34, ""), "", MAIN!B34)</f>
        <v>Project Worker Staff</v>
      </c>
    </row>
    <row r="35" spans="2:3" x14ac:dyDescent="0.25">
      <c r="B35" s="20" t="str">
        <f>IF(EXACT(MAIN!$B35, ""), "", MAIN!$D35)</f>
        <v/>
      </c>
      <c r="C35" s="22" t="str">
        <f>IF(EXACT(B35, ""), "", MAIN!B35)</f>
        <v/>
      </c>
    </row>
    <row r="36" spans="2:3" x14ac:dyDescent="0.25">
      <c r="B36" s="20">
        <f>IF(EXACT(MAIN!$B36, ""), "", MAIN!$D36)</f>
        <v>95000000000027</v>
      </c>
      <c r="C36" s="22" t="str">
        <f>IF(EXACT(B36, ""), "", MAIN!B36)</f>
        <v>Finance Manager</v>
      </c>
    </row>
    <row r="37" spans="2:3" x14ac:dyDescent="0.25">
      <c r="B37" s="20">
        <f>IF(EXACT(MAIN!$B37, ""), "", MAIN!$D37)</f>
        <v>95000000000028</v>
      </c>
      <c r="C37" s="22" t="str">
        <f>IF(EXACT(B37, ""), "", MAIN!B37)</f>
        <v>Cashier &amp; Treasury Coordinator</v>
      </c>
    </row>
    <row r="38" spans="2:3" x14ac:dyDescent="0.25">
      <c r="B38" s="20">
        <f>IF(EXACT(MAIN!$B38, ""), "", MAIN!$D38)</f>
        <v>95000000000029</v>
      </c>
      <c r="C38" s="22" t="str">
        <f>IF(EXACT(B38, ""), "", MAIN!B38)</f>
        <v>Cashier &amp; Treasury Staff</v>
      </c>
    </row>
    <row r="39" spans="2:3" x14ac:dyDescent="0.25">
      <c r="B39" s="20">
        <f>IF(EXACT(MAIN!$B39, ""), "", MAIN!$D39)</f>
        <v>95000000000030</v>
      </c>
      <c r="C39" s="22" t="str">
        <f>IF(EXACT(B39, ""), "", MAIN!B39)</f>
        <v>Cost Controller Coordinator</v>
      </c>
    </row>
    <row r="40" spans="2:3" x14ac:dyDescent="0.25">
      <c r="B40" s="20">
        <f>IF(EXACT(MAIN!$B40, ""), "", MAIN!$D40)</f>
        <v>95000000000031</v>
      </c>
      <c r="C40" s="22" t="str">
        <f>IF(EXACT(B40, ""), "", MAIN!B40)</f>
        <v>Cost Controller Staff</v>
      </c>
    </row>
    <row r="41" spans="2:3" x14ac:dyDescent="0.25">
      <c r="B41" s="20" t="str">
        <f>IF(EXACT(MAIN!$B41, ""), "", MAIN!$D41)</f>
        <v/>
      </c>
      <c r="C41" s="22" t="str">
        <f>IF(EXACT(B41, ""), "", MAIN!B41)</f>
        <v/>
      </c>
    </row>
    <row r="42" spans="2:3" x14ac:dyDescent="0.25">
      <c r="B42" s="20">
        <f>IF(EXACT(MAIN!$B42, ""), "", MAIN!$D42)</f>
        <v>95000000000032</v>
      </c>
      <c r="C42" s="22" t="str">
        <f>IF(EXACT(B42, ""), "", MAIN!B42)</f>
        <v>Accounting &amp; Tax Manager</v>
      </c>
    </row>
    <row r="43" spans="2:3" x14ac:dyDescent="0.25">
      <c r="B43" s="20">
        <f>IF(EXACT(MAIN!$B43, ""), "", MAIN!$D43)</f>
        <v>95000000000033</v>
      </c>
      <c r="C43" s="22" t="str">
        <f>IF(EXACT(B43, ""), "", MAIN!B43)</f>
        <v>Accounting &amp; Tax Coordinator</v>
      </c>
    </row>
    <row r="44" spans="2:3" x14ac:dyDescent="0.25">
      <c r="B44" s="20">
        <f>IF(EXACT(MAIN!$B44, ""), "", MAIN!$D44)</f>
        <v>95000000000034</v>
      </c>
      <c r="C44" s="22" t="str">
        <f>IF(EXACT(B44, ""), "", MAIN!B44)</f>
        <v>Accounting &amp; Tax Staff</v>
      </c>
    </row>
    <row r="45" spans="2:3" x14ac:dyDescent="0.25">
      <c r="B45" s="20" t="str">
        <f>IF(EXACT(MAIN!$B45, ""), "", MAIN!$D45)</f>
        <v/>
      </c>
      <c r="C45" s="22" t="str">
        <f>IF(EXACT(B45, ""), "", MAIN!B45)</f>
        <v/>
      </c>
    </row>
    <row r="46" spans="2:3" x14ac:dyDescent="0.25">
      <c r="B46" s="20">
        <f>IF(EXACT(MAIN!$B46, ""), "", MAIN!$D46)</f>
        <v>95000000000035</v>
      </c>
      <c r="C46" s="22" t="str">
        <f>IF(EXACT(B46, ""), "", MAIN!B46)</f>
        <v>IT System Manager</v>
      </c>
    </row>
    <row r="47" spans="2:3" x14ac:dyDescent="0.25">
      <c r="B47" s="20">
        <f>IF(EXACT(MAIN!$B47, ""), "", MAIN!$D47)</f>
        <v>95000000000036</v>
      </c>
      <c r="C47" s="22" t="str">
        <f>IF(EXACT(B47, ""), "", MAIN!B47)</f>
        <v>IT System Engineer Coordinator</v>
      </c>
    </row>
    <row r="48" spans="2:3" x14ac:dyDescent="0.25">
      <c r="B48" s="20">
        <f>IF(EXACT(MAIN!$B48, ""), "", MAIN!$D48)</f>
        <v>95000000000037</v>
      </c>
      <c r="C48" s="22" t="str">
        <f>IF(EXACT(B48, ""), "", MAIN!B48)</f>
        <v>IT System Engineer Staff</v>
      </c>
    </row>
    <row r="49" spans="2:3" x14ac:dyDescent="0.25">
      <c r="B49" s="20">
        <f>IF(EXACT(MAIN!$B49, ""), "", MAIN!$D49)</f>
        <v>95000000000038</v>
      </c>
      <c r="C49" s="22" t="str">
        <f>IF(EXACT(B49, ""), "", MAIN!B49)</f>
        <v>IT Software Engineer Coordinator</v>
      </c>
    </row>
    <row r="50" spans="2:3" x14ac:dyDescent="0.25">
      <c r="B50" s="20">
        <f>IF(EXACT(MAIN!$B50, ""), "", MAIN!$D50)</f>
        <v>95000000000039</v>
      </c>
      <c r="C50" s="22" t="str">
        <f>IF(EXACT(B50, ""), "", MAIN!B50)</f>
        <v>IT Software Engineer Staff</v>
      </c>
    </row>
    <row r="51" spans="2:3" x14ac:dyDescent="0.25">
      <c r="B51" s="20" t="str">
        <f>IF(EXACT(MAIN!$B51, ""), "", MAIN!$D51)</f>
        <v/>
      </c>
      <c r="C51" s="22" t="str">
        <f>IF(EXACT(B51, ""), "", MAIN!B51)</f>
        <v/>
      </c>
    </row>
    <row r="52" spans="2:3" x14ac:dyDescent="0.25">
      <c r="B52" s="20">
        <f>IF(EXACT(MAIN!$B52, ""), "", MAIN!$D52)</f>
        <v>95000000000040</v>
      </c>
      <c r="C52" s="22" t="str">
        <f>IF(EXACT(B52, ""), "", MAIN!B52)</f>
        <v>Procurement Manager</v>
      </c>
    </row>
    <row r="53" spans="2:3" x14ac:dyDescent="0.25">
      <c r="B53" s="20">
        <f>IF(EXACT(MAIN!$B53, ""), "", MAIN!$D53)</f>
        <v>95000000000041</v>
      </c>
      <c r="C53" s="22" t="str">
        <f>IF(EXACT(B53, ""), "", MAIN!B53)</f>
        <v>Procurement Coordinator</v>
      </c>
    </row>
    <row r="54" spans="2:3" x14ac:dyDescent="0.25">
      <c r="B54" s="20">
        <f>IF(EXACT(MAIN!$B54, ""), "", MAIN!$D54)</f>
        <v>95000000000042</v>
      </c>
      <c r="C54" s="22" t="str">
        <f>IF(EXACT(B54, ""), "", MAIN!B54)</f>
        <v>Procurement Staff</v>
      </c>
    </row>
    <row r="55" spans="2:3" x14ac:dyDescent="0.25">
      <c r="B55" s="20" t="str">
        <f>IF(EXACT(MAIN!$B55, ""), "", MAIN!$D55)</f>
        <v/>
      </c>
      <c r="C55" s="22" t="str">
        <f>IF(EXACT(B55, ""), "", MAIN!B55)</f>
        <v/>
      </c>
    </row>
    <row r="56" spans="2:3" x14ac:dyDescent="0.25">
      <c r="B56" s="20">
        <f>IF(EXACT(MAIN!$B56, ""), "", MAIN!$D56)</f>
        <v>95000000000043</v>
      </c>
      <c r="C56" s="22" t="str">
        <f>IF(EXACT(B56, ""), "", MAIN!B56)</f>
        <v>Sales Manager</v>
      </c>
    </row>
    <row r="57" spans="2:3" x14ac:dyDescent="0.25">
      <c r="B57" s="20">
        <f>IF(EXACT(MAIN!$B57, ""), "", MAIN!$D57)</f>
        <v>95000000000044</v>
      </c>
      <c r="C57" s="22" t="str">
        <f>IF(EXACT(B57, ""), "", MAIN!B57)</f>
        <v>Sales Coordinator</v>
      </c>
    </row>
    <row r="58" spans="2:3" x14ac:dyDescent="0.25">
      <c r="B58" s="20">
        <f>IF(EXACT(MAIN!$B58, ""), "", MAIN!$D58)</f>
        <v>95000000000045</v>
      </c>
      <c r="C58" s="22" t="str">
        <f>IF(EXACT(B58, ""), "", MAIN!B58)</f>
        <v>Bid And Sales Administrator Staff</v>
      </c>
    </row>
    <row r="59" spans="2:3" x14ac:dyDescent="0.25">
      <c r="B59" s="20">
        <f>IF(EXACT(MAIN!$B59, ""), "", MAIN!$D59)</f>
        <v>95000000000046</v>
      </c>
      <c r="C59" s="22" t="str">
        <f>IF(EXACT(B59, ""), "", MAIN!B59)</f>
        <v>Sales Estimator Coordinator</v>
      </c>
    </row>
    <row r="60" spans="2:3" x14ac:dyDescent="0.25">
      <c r="B60" s="20">
        <f>IF(EXACT(MAIN!$B60, ""), "", MAIN!$D60)</f>
        <v>95000000000047</v>
      </c>
      <c r="C60" s="22" t="str">
        <f>IF(EXACT(B60, ""), "", MAIN!B60)</f>
        <v>Sales Estimator Staff</v>
      </c>
    </row>
    <row r="61" spans="2:3" x14ac:dyDescent="0.25">
      <c r="B61" s="20" t="str">
        <f>IF(EXACT(MAIN!$B61, ""), "", MAIN!$D61)</f>
        <v/>
      </c>
      <c r="C61" s="22" t="str">
        <f>IF(EXACT(B61, ""), "", MAIN!B61)</f>
        <v/>
      </c>
    </row>
    <row r="62" spans="2:3" x14ac:dyDescent="0.25">
      <c r="B62" s="20">
        <f>IF(EXACT(MAIN!$B62, ""), "", MAIN!$D62)</f>
        <v>95000000000048</v>
      </c>
      <c r="C62" s="22" t="str">
        <f>IF(EXACT(B62, ""), "", MAIN!B62)</f>
        <v>Health Safety Environment Manager</v>
      </c>
    </row>
    <row r="63" spans="2:3" x14ac:dyDescent="0.25">
      <c r="B63" s="20">
        <f>IF(EXACT(MAIN!$B63, ""), "", MAIN!$D63)</f>
        <v>95000000000049</v>
      </c>
      <c r="C63" s="22" t="str">
        <f>IF(EXACT(B63, ""), "", MAIN!B63)</f>
        <v>Health Safety Environment Coordinator</v>
      </c>
    </row>
    <row r="64" spans="2:3" x14ac:dyDescent="0.25">
      <c r="B64" s="20">
        <f>IF(EXACT(MAIN!$B64, ""), "", MAIN!$D64)</f>
        <v>95000000000050</v>
      </c>
      <c r="C64" s="22" t="str">
        <f>IF(EXACT(B64, ""), "", MAIN!B64)</f>
        <v>Health Safety Environment Staff</v>
      </c>
    </row>
    <row r="65" spans="2:3" x14ac:dyDescent="0.25">
      <c r="B65" s="20" t="str">
        <f>IF(EXACT(MAIN!$B65, ""), "", MAIN!$D65)</f>
        <v/>
      </c>
      <c r="C65" s="22" t="str">
        <f>IF(EXACT(B65, ""), "", MAIN!B65)</f>
        <v/>
      </c>
    </row>
    <row r="66" spans="2:3" x14ac:dyDescent="0.25">
      <c r="B66" s="20">
        <f>IF(EXACT(MAIN!$B66, ""), "", MAIN!$D66)</f>
        <v>95000000000051</v>
      </c>
      <c r="C66" s="22" t="str">
        <f>IF(EXACT(B66, ""), "", MAIN!B66)</f>
        <v>Human Resource Development Manager</v>
      </c>
    </row>
    <row r="67" spans="2:3" x14ac:dyDescent="0.25">
      <c r="B67" s="20">
        <f>IF(EXACT(MAIN!$B67, ""), "", MAIN!$D67)</f>
        <v>95000000000052</v>
      </c>
      <c r="C67" s="22" t="str">
        <f>IF(EXACT(B67, ""), "", MAIN!B67)</f>
        <v>Human Resource Development Coordinator</v>
      </c>
    </row>
    <row r="68" spans="2:3" x14ac:dyDescent="0.25">
      <c r="B68" s="20">
        <f>IF(EXACT(MAIN!$B68, ""), "", MAIN!$D68)</f>
        <v>95000000000053</v>
      </c>
      <c r="C68" s="22" t="str">
        <f>IF(EXACT(B68, ""), "", MAIN!B68)</f>
        <v>Human Resource Development Staff</v>
      </c>
    </row>
    <row r="69" spans="2:3" x14ac:dyDescent="0.25">
      <c r="B69" s="20" t="str">
        <f>IF(EXACT(MAIN!$B69, ""), "", MAIN!$D69)</f>
        <v/>
      </c>
      <c r="C69" s="22" t="str">
        <f>IF(EXACT(B69, ""), "", MAIN!B69)</f>
        <v/>
      </c>
    </row>
    <row r="70" spans="2:3" x14ac:dyDescent="0.25">
      <c r="B70" s="20">
        <f>IF(EXACT(MAIN!$B70, ""), "", MAIN!$D70)</f>
        <v>95000000000054</v>
      </c>
      <c r="C70" s="22" t="str">
        <f>IF(EXACT(B70, ""), "", MAIN!B70)</f>
        <v>General Affairs Manager</v>
      </c>
    </row>
    <row r="71" spans="2:3" x14ac:dyDescent="0.25">
      <c r="B71" s="20">
        <f>IF(EXACT(MAIN!$B71, ""), "", MAIN!$D71)</f>
        <v>95000000000055</v>
      </c>
      <c r="C71" s="22" t="str">
        <f>IF(EXACT(B71, ""), "", MAIN!B71)</f>
        <v>General Affairs Coordinator</v>
      </c>
    </row>
    <row r="72" spans="2:3" x14ac:dyDescent="0.25">
      <c r="B72" s="20">
        <f>IF(EXACT(MAIN!$B72, ""), "", MAIN!$D72)</f>
        <v>95000000000056</v>
      </c>
      <c r="C72" s="22" t="str">
        <f>IF(EXACT(B72, ""), "", MAIN!B72)</f>
        <v>General Affairs Staff</v>
      </c>
    </row>
    <row r="73" spans="2:3" x14ac:dyDescent="0.25">
      <c r="B73" s="20" t="str">
        <f>IF(EXACT(MAIN!$B73, ""), "", MAIN!$D73)</f>
        <v/>
      </c>
      <c r="C73" s="22" t="str">
        <f>IF(EXACT(B73, ""), "", MAIN!B73)</f>
        <v/>
      </c>
    </row>
    <row r="74" spans="2:3" x14ac:dyDescent="0.25">
      <c r="B74" s="20">
        <f>IF(EXACT(MAIN!$B74, ""), "", MAIN!$D74)</f>
        <v>95000000000057</v>
      </c>
      <c r="C74" s="22" t="str">
        <f>IF(EXACT(B74, ""), "", MAIN!B74)</f>
        <v>Legal Manager</v>
      </c>
    </row>
    <row r="75" spans="2:3" x14ac:dyDescent="0.25">
      <c r="B75" s="20">
        <f>IF(EXACT(MAIN!$B75, ""), "", MAIN!$D75)</f>
        <v>95000000000058</v>
      </c>
      <c r="C75" s="22" t="str">
        <f>IF(EXACT(B75, ""), "", MAIN!B75)</f>
        <v>Legal Coordinator</v>
      </c>
    </row>
    <row r="76" spans="2:3" x14ac:dyDescent="0.25">
      <c r="B76" s="20">
        <f>IF(EXACT(MAIN!$B76, ""), "", MAIN!$D76)</f>
        <v>95000000000059</v>
      </c>
      <c r="C76" s="22" t="str">
        <f>IF(EXACT(B76, ""), "", MAIN!B76)</f>
        <v>Legal Staff</v>
      </c>
    </row>
    <row r="77" spans="2:3" x14ac:dyDescent="0.25">
      <c r="B77" s="20" t="str">
        <f>IF(EXACT(MAIN!$B77, ""), "", MAIN!$D77)</f>
        <v/>
      </c>
      <c r="C77" s="22" t="str">
        <f>IF(EXACT(B77, ""), "", MAIN!B77)</f>
        <v/>
      </c>
    </row>
    <row r="78" spans="2:3" x14ac:dyDescent="0.25">
      <c r="B78" s="20">
        <f>IF(EXACT(MAIN!$B78, ""), "", MAIN!$D78)</f>
        <v>95000000000060</v>
      </c>
      <c r="C78" s="22" t="str">
        <f>IF(EXACT(B78, ""), "", MAIN!B78)</f>
        <v>Tools And Asset Manager</v>
      </c>
    </row>
    <row r="79" spans="2:3" x14ac:dyDescent="0.25">
      <c r="B79" s="20">
        <f>IF(EXACT(MAIN!$B79, ""), "", MAIN!$D79)</f>
        <v>95000000000061</v>
      </c>
      <c r="C79" s="22" t="str">
        <f>IF(EXACT(B79, ""), "", MAIN!B79)</f>
        <v>Tools And Asset Coordinator</v>
      </c>
    </row>
    <row r="80" spans="2:3" x14ac:dyDescent="0.25">
      <c r="B80" s="20">
        <f>IF(EXACT(MAIN!$B80, ""), "", MAIN!$D80)</f>
        <v>95000000000062</v>
      </c>
      <c r="C80" s="22" t="str">
        <f>IF(EXACT(B80, ""), "", MAIN!B80)</f>
        <v>Tools And Asset Staff</v>
      </c>
    </row>
    <row r="81" spans="2:3" x14ac:dyDescent="0.25">
      <c r="B81" s="20" t="str">
        <f>IF(EXACT(MAIN!$B81, ""), "", MAIN!$D81)</f>
        <v/>
      </c>
      <c r="C81" s="22" t="str">
        <f>IF(EXACT(B81, ""), "", MAIN!B81)</f>
        <v/>
      </c>
    </row>
    <row r="82" spans="2:3" x14ac:dyDescent="0.25">
      <c r="B82" s="20">
        <f>IF(EXACT(MAIN!$B82, ""), "", MAIN!$D82)</f>
        <v>95000000000063</v>
      </c>
      <c r="C82" s="22" t="str">
        <f>IF(EXACT(B82, ""), "", MAIN!B82)</f>
        <v>Engineering Manager</v>
      </c>
    </row>
    <row r="83" spans="2:3" x14ac:dyDescent="0.25">
      <c r="B83" s="20">
        <f>IF(EXACT(MAIN!$B83, ""), "", MAIN!$D83)</f>
        <v>95000000000064</v>
      </c>
      <c r="C83" s="22" t="str">
        <f>IF(EXACT(B83, ""), "", MAIN!B83)</f>
        <v>Engineering Coordinator</v>
      </c>
    </row>
    <row r="84" spans="2:3" x14ac:dyDescent="0.25">
      <c r="B84" s="20">
        <f>IF(EXACT(MAIN!$B84, ""), "", MAIN!$D84)</f>
        <v>95000000000065</v>
      </c>
      <c r="C84" s="22" t="str">
        <f>IF(EXACT(B84, ""), "", MAIN!B84)</f>
        <v>Engineering Staff</v>
      </c>
    </row>
    <row r="85" spans="2:3" x14ac:dyDescent="0.25">
      <c r="B85" s="20" t="str">
        <f>IF(EXACT(MAIN!$B85, ""), "", MAIN!$D85)</f>
        <v/>
      </c>
      <c r="C85" s="22" t="str">
        <f>IF(EXACT(B85, ""), "", MAIN!B85)</f>
        <v/>
      </c>
    </row>
    <row r="86" spans="2:3" x14ac:dyDescent="0.25">
      <c r="B86" s="20" t="str">
        <f>IF(EXACT(MAIN!$B86, ""), "", MAIN!$D86)</f>
        <v/>
      </c>
      <c r="C86" s="22" t="str">
        <f>IF(EXACT(B86, ""), "", MAIN!B86)</f>
        <v/>
      </c>
    </row>
    <row r="87" spans="2:3" x14ac:dyDescent="0.25">
      <c r="B87" s="20" t="str">
        <f>IF(EXACT(MAIN!$B87, ""), "", MAIN!$D87)</f>
        <v/>
      </c>
      <c r="C87" s="22" t="str">
        <f>IF(EXACT(B87, ""), "", MAIN!B87)</f>
        <v/>
      </c>
    </row>
    <row r="88" spans="2:3" x14ac:dyDescent="0.25">
      <c r="B88" s="20" t="str">
        <f>IF(EXACT(MAIN!$B88, ""), "", MAIN!$D88)</f>
        <v/>
      </c>
      <c r="C88" s="22" t="str">
        <f>IF(EXACT(B88, ""), "", MAIN!B88)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2026-06-25T04:42:23Z</dcterms:modified>
</cp:coreProperties>
</file>