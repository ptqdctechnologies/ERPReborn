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EED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B546" i="1" l="1"/>
  <c r="C546" i="1"/>
  <c r="D546" i="1"/>
  <c r="G546" i="1"/>
  <c r="F546" i="1" s="1"/>
  <c r="G7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D325" i="1"/>
  <c r="B326" i="1"/>
  <c r="C326" i="1"/>
  <c r="D326" i="1"/>
  <c r="B327" i="1"/>
  <c r="C327" i="1"/>
  <c r="D327" i="1"/>
  <c r="B328" i="1"/>
  <c r="C328" i="1"/>
  <c r="D328" i="1"/>
  <c r="B329" i="1"/>
  <c r="C329" i="1"/>
  <c r="D329" i="1"/>
  <c r="B330" i="1"/>
  <c r="C330" i="1"/>
  <c r="D330" i="1"/>
  <c r="B331" i="1"/>
  <c r="C331" i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/>
  <c r="D336" i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D341" i="1"/>
  <c r="B342" i="1"/>
  <c r="C342" i="1"/>
  <c r="D342" i="1"/>
  <c r="B343" i="1"/>
  <c r="C343" i="1"/>
  <c r="D343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B348" i="1"/>
  <c r="C348" i="1"/>
  <c r="D348" i="1"/>
  <c r="B349" i="1"/>
  <c r="C349" i="1"/>
  <c r="D349" i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/>
  <c r="D376" i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D389" i="1"/>
  <c r="B390" i="1"/>
  <c r="C390" i="1"/>
  <c r="D390" i="1"/>
  <c r="B391" i="1"/>
  <c r="C391" i="1"/>
  <c r="D391" i="1"/>
  <c r="B392" i="1"/>
  <c r="C392" i="1"/>
  <c r="D392" i="1"/>
  <c r="B393" i="1"/>
  <c r="C393" i="1"/>
  <c r="D393" i="1"/>
  <c r="B394" i="1"/>
  <c r="C394" i="1"/>
  <c r="D394" i="1"/>
  <c r="B395" i="1"/>
  <c r="C395" i="1"/>
  <c r="D395" i="1"/>
  <c r="B396" i="1"/>
  <c r="C396" i="1"/>
  <c r="D396" i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405" i="1"/>
  <c r="C405" i="1"/>
  <c r="D405" i="1"/>
  <c r="B406" i="1"/>
  <c r="C406" i="1"/>
  <c r="D406" i="1"/>
  <c r="B407" i="1"/>
  <c r="C407" i="1"/>
  <c r="D407" i="1"/>
  <c r="B408" i="1"/>
  <c r="C408" i="1"/>
  <c r="D408" i="1"/>
  <c r="B409" i="1"/>
  <c r="C409" i="1"/>
  <c r="D409" i="1"/>
  <c r="B410" i="1"/>
  <c r="C410" i="1"/>
  <c r="D410" i="1"/>
  <c r="B411" i="1"/>
  <c r="C411" i="1"/>
  <c r="D411" i="1"/>
  <c r="B412" i="1"/>
  <c r="C412" i="1"/>
  <c r="D412" i="1"/>
  <c r="B413" i="1"/>
  <c r="C413" i="1"/>
  <c r="D413" i="1"/>
  <c r="B414" i="1"/>
  <c r="C414" i="1"/>
  <c r="D414" i="1"/>
  <c r="B415" i="1"/>
  <c r="C415" i="1"/>
  <c r="D415" i="1"/>
  <c r="B416" i="1"/>
  <c r="C416" i="1"/>
  <c r="D416" i="1"/>
  <c r="B417" i="1"/>
  <c r="C417" i="1"/>
  <c r="D417" i="1"/>
  <c r="B418" i="1"/>
  <c r="C418" i="1"/>
  <c r="D418" i="1"/>
  <c r="B419" i="1"/>
  <c r="C419" i="1"/>
  <c r="D419" i="1"/>
  <c r="B420" i="1"/>
  <c r="C420" i="1"/>
  <c r="D420" i="1"/>
  <c r="B421" i="1"/>
  <c r="C421" i="1"/>
  <c r="D421" i="1"/>
  <c r="B422" i="1"/>
  <c r="C422" i="1"/>
  <c r="D422" i="1"/>
  <c r="B423" i="1"/>
  <c r="C423" i="1"/>
  <c r="D423" i="1"/>
  <c r="B424" i="1"/>
  <c r="C424" i="1"/>
  <c r="D424" i="1"/>
  <c r="B425" i="1"/>
  <c r="C425" i="1"/>
  <c r="D425" i="1"/>
  <c r="B426" i="1"/>
  <c r="C426" i="1"/>
  <c r="D426" i="1"/>
  <c r="B427" i="1"/>
  <c r="C427" i="1"/>
  <c r="D427" i="1"/>
  <c r="B428" i="1"/>
  <c r="C428" i="1"/>
  <c r="D428" i="1"/>
  <c r="B429" i="1"/>
  <c r="C429" i="1"/>
  <c r="D429" i="1"/>
  <c r="B430" i="1"/>
  <c r="C430" i="1"/>
  <c r="D430" i="1"/>
  <c r="B431" i="1"/>
  <c r="C431" i="1"/>
  <c r="D431" i="1"/>
  <c r="B432" i="1"/>
  <c r="C432" i="1"/>
  <c r="D432" i="1"/>
  <c r="B433" i="1"/>
  <c r="C433" i="1"/>
  <c r="D433" i="1"/>
  <c r="B434" i="1"/>
  <c r="C434" i="1"/>
  <c r="D434" i="1"/>
  <c r="B435" i="1"/>
  <c r="C435" i="1"/>
  <c r="D435" i="1"/>
  <c r="B436" i="1"/>
  <c r="C436" i="1"/>
  <c r="D436" i="1"/>
  <c r="B437" i="1"/>
  <c r="C437" i="1"/>
  <c r="D437" i="1"/>
  <c r="B438" i="1"/>
  <c r="C438" i="1"/>
  <c r="D438" i="1"/>
  <c r="B439" i="1"/>
  <c r="C439" i="1"/>
  <c r="D439" i="1"/>
  <c r="B440" i="1"/>
  <c r="C440" i="1"/>
  <c r="D440" i="1"/>
  <c r="B441" i="1"/>
  <c r="C441" i="1"/>
  <c r="D441" i="1"/>
  <c r="B442" i="1"/>
  <c r="C442" i="1"/>
  <c r="D442" i="1"/>
  <c r="B443" i="1"/>
  <c r="C443" i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D449" i="1"/>
  <c r="B450" i="1"/>
  <c r="C450" i="1"/>
  <c r="D450" i="1"/>
  <c r="B451" i="1"/>
  <c r="C451" i="1"/>
  <c r="D451" i="1"/>
  <c r="B452" i="1"/>
  <c r="C452" i="1"/>
  <c r="D452" i="1"/>
  <c r="B453" i="1"/>
  <c r="C453" i="1"/>
  <c r="D453" i="1"/>
  <c r="B454" i="1"/>
  <c r="C454" i="1"/>
  <c r="D454" i="1"/>
  <c r="B455" i="1"/>
  <c r="C455" i="1"/>
  <c r="D455" i="1"/>
  <c r="B456" i="1"/>
  <c r="C456" i="1"/>
  <c r="D456" i="1"/>
  <c r="B457" i="1"/>
  <c r="C457" i="1"/>
  <c r="D457" i="1"/>
  <c r="B458" i="1"/>
  <c r="C458" i="1"/>
  <c r="D458" i="1"/>
  <c r="B459" i="1"/>
  <c r="C459" i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D469" i="1"/>
  <c r="B470" i="1"/>
  <c r="C470" i="1"/>
  <c r="D470" i="1"/>
  <c r="B471" i="1"/>
  <c r="C471" i="1"/>
  <c r="D471" i="1"/>
  <c r="B472" i="1"/>
  <c r="C472" i="1"/>
  <c r="D472" i="1"/>
  <c r="B473" i="1"/>
  <c r="C473" i="1"/>
  <c r="D473" i="1"/>
  <c r="B474" i="1"/>
  <c r="C474" i="1"/>
  <c r="D474" i="1"/>
  <c r="B475" i="1"/>
  <c r="C475" i="1"/>
  <c r="D475" i="1"/>
  <c r="B476" i="1"/>
  <c r="C476" i="1"/>
  <c r="D476" i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D481" i="1"/>
  <c r="B482" i="1"/>
  <c r="C482" i="1"/>
  <c r="D482" i="1"/>
  <c r="B483" i="1"/>
  <c r="C483" i="1"/>
  <c r="D483" i="1"/>
  <c r="B484" i="1"/>
  <c r="C484" i="1"/>
  <c r="D484" i="1"/>
  <c r="B485" i="1"/>
  <c r="C485" i="1"/>
  <c r="D485" i="1"/>
  <c r="B486" i="1"/>
  <c r="C486" i="1"/>
  <c r="D486" i="1"/>
  <c r="B487" i="1"/>
  <c r="C487" i="1"/>
  <c r="D487" i="1"/>
  <c r="B488" i="1"/>
  <c r="C488" i="1"/>
  <c r="D488" i="1"/>
  <c r="B489" i="1"/>
  <c r="C489" i="1"/>
  <c r="D489" i="1"/>
  <c r="B490" i="1"/>
  <c r="C490" i="1"/>
  <c r="D490" i="1"/>
  <c r="B491" i="1"/>
  <c r="C491" i="1"/>
  <c r="D491" i="1"/>
  <c r="B492" i="1"/>
  <c r="C492" i="1"/>
  <c r="D492" i="1"/>
  <c r="B493" i="1"/>
  <c r="C493" i="1"/>
  <c r="D493" i="1"/>
  <c r="B494" i="1"/>
  <c r="C494" i="1"/>
  <c r="D494" i="1"/>
  <c r="B495" i="1"/>
  <c r="C495" i="1"/>
  <c r="D495" i="1"/>
  <c r="B496" i="1"/>
  <c r="C496" i="1"/>
  <c r="D496" i="1"/>
  <c r="B497" i="1"/>
  <c r="C497" i="1"/>
  <c r="D497" i="1"/>
  <c r="B498" i="1"/>
  <c r="C498" i="1"/>
  <c r="D498" i="1"/>
  <c r="B499" i="1"/>
  <c r="C499" i="1"/>
  <c r="D499" i="1"/>
  <c r="B500" i="1"/>
  <c r="C500" i="1"/>
  <c r="D500" i="1"/>
  <c r="B501" i="1"/>
  <c r="C501" i="1"/>
  <c r="D501" i="1"/>
  <c r="B502" i="1"/>
  <c r="C502" i="1"/>
  <c r="D502" i="1"/>
  <c r="B503" i="1"/>
  <c r="C503" i="1"/>
  <c r="D503" i="1"/>
  <c r="B504" i="1"/>
  <c r="C504" i="1"/>
  <c r="D504" i="1"/>
  <c r="B505" i="1"/>
  <c r="C505" i="1"/>
  <c r="D505" i="1"/>
  <c r="B506" i="1"/>
  <c r="C506" i="1"/>
  <c r="D506" i="1"/>
  <c r="B507" i="1"/>
  <c r="C507" i="1"/>
  <c r="D507" i="1"/>
  <c r="B508" i="1"/>
  <c r="C508" i="1"/>
  <c r="D508" i="1"/>
  <c r="B509" i="1"/>
  <c r="C509" i="1"/>
  <c r="D509" i="1"/>
  <c r="B510" i="1"/>
  <c r="C510" i="1"/>
  <c r="D510" i="1"/>
  <c r="B511" i="1"/>
  <c r="C511" i="1"/>
  <c r="D511" i="1"/>
  <c r="B512" i="1"/>
  <c r="C512" i="1"/>
  <c r="D512" i="1"/>
  <c r="B513" i="1"/>
  <c r="C513" i="1"/>
  <c r="D513" i="1"/>
  <c r="B514" i="1"/>
  <c r="C514" i="1"/>
  <c r="D514" i="1"/>
  <c r="B515" i="1"/>
  <c r="C515" i="1"/>
  <c r="D515" i="1"/>
  <c r="B516" i="1"/>
  <c r="C516" i="1"/>
  <c r="D516" i="1"/>
  <c r="B517" i="1"/>
  <c r="C517" i="1"/>
  <c r="D517" i="1"/>
  <c r="B518" i="1"/>
  <c r="C518" i="1"/>
  <c r="D518" i="1"/>
  <c r="B519" i="1"/>
  <c r="C519" i="1"/>
  <c r="D519" i="1"/>
  <c r="B520" i="1"/>
  <c r="C520" i="1"/>
  <c r="D520" i="1"/>
  <c r="B521" i="1"/>
  <c r="C521" i="1"/>
  <c r="D521" i="1"/>
  <c r="B522" i="1"/>
  <c r="C522" i="1"/>
  <c r="D522" i="1"/>
  <c r="B523" i="1"/>
  <c r="C523" i="1"/>
  <c r="D523" i="1"/>
  <c r="B524" i="1"/>
  <c r="C524" i="1"/>
  <c r="D524" i="1"/>
  <c r="B525" i="1"/>
  <c r="C525" i="1"/>
  <c r="D525" i="1"/>
  <c r="B526" i="1"/>
  <c r="C526" i="1"/>
  <c r="D526" i="1"/>
  <c r="B527" i="1"/>
  <c r="C527" i="1"/>
  <c r="D527" i="1"/>
  <c r="B528" i="1"/>
  <c r="C528" i="1"/>
  <c r="D528" i="1"/>
  <c r="B529" i="1"/>
  <c r="C529" i="1"/>
  <c r="D529" i="1"/>
  <c r="B530" i="1"/>
  <c r="C530" i="1"/>
  <c r="D530" i="1"/>
  <c r="B531" i="1"/>
  <c r="C531" i="1"/>
  <c r="D531" i="1"/>
  <c r="B532" i="1"/>
  <c r="C532" i="1"/>
  <c r="D532" i="1"/>
  <c r="B533" i="1"/>
  <c r="C533" i="1"/>
  <c r="D533" i="1"/>
  <c r="B534" i="1"/>
  <c r="C534" i="1"/>
  <c r="D534" i="1"/>
  <c r="B535" i="1"/>
  <c r="C535" i="1"/>
  <c r="D535" i="1"/>
  <c r="B536" i="1"/>
  <c r="C536" i="1"/>
  <c r="D536" i="1"/>
  <c r="B537" i="1"/>
  <c r="C537" i="1"/>
  <c r="D537" i="1"/>
  <c r="B538" i="1"/>
  <c r="C538" i="1"/>
  <c r="D538" i="1"/>
  <c r="B539" i="1"/>
  <c r="C539" i="1"/>
  <c r="D539" i="1"/>
  <c r="B540" i="1"/>
  <c r="C540" i="1"/>
  <c r="D540" i="1"/>
  <c r="B541" i="1"/>
  <c r="C541" i="1"/>
  <c r="D541" i="1"/>
  <c r="B542" i="1"/>
  <c r="C542" i="1"/>
  <c r="D542" i="1"/>
  <c r="B543" i="1"/>
  <c r="C543" i="1"/>
  <c r="D543" i="1"/>
  <c r="B544" i="1"/>
  <c r="C544" i="1"/>
  <c r="D544" i="1"/>
  <c r="B545" i="1"/>
  <c r="C545" i="1"/>
  <c r="D545" i="1"/>
  <c r="F91" i="1" l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D4" i="1"/>
  <c r="B4" i="1"/>
  <c r="B5" i="1" l="1"/>
  <c r="B6" i="1" l="1"/>
  <c r="C4" i="1" l="1"/>
  <c r="G4" i="1" s="1"/>
  <c r="F4" i="1" s="1"/>
  <c r="C5" i="1" l="1"/>
  <c r="D5" i="1"/>
  <c r="G5" i="1" l="1"/>
  <c r="F5" i="1" s="1"/>
  <c r="C6" i="1"/>
  <c r="D6" i="1" l="1"/>
  <c r="G6" i="1" s="1"/>
  <c r="F6" i="1" s="1"/>
</calcChain>
</file>

<file path=xl/sharedStrings.xml><?xml version="1.0" encoding="utf-8"?>
<sst xmlns="http://schemas.openxmlformats.org/spreadsheetml/2006/main" count="5" uniqueCount="5">
  <si>
    <t>ChartOfAccount_RefID</t>
  </si>
  <si>
    <t>ParentChartOfAccount_RefID</t>
  </si>
  <si>
    <t>Sequence</t>
  </si>
  <si>
    <t>SYS_PID Prediction</t>
  </si>
  <si>
    <t>SQL 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</si>
</sst>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rgb="FFC0000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i/>
      <sz val="10"/>
      <color rgb="FF00206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/>
    <xf numFmtId="1" fontId="1" fillId="4" borderId="3" xfId="0" applyNumberFormat="1" applyFont="1" applyFill="1" applyBorder="1" applyAlignment="1">
      <alignment horizontal="center"/>
    </xf>
    <xf numFmtId="1" fontId="1" fillId="4" borderId="5" xfId="0" applyNumberFormat="1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 vertical="center" wrapText="1"/>
    </xf>
    <xf numFmtId="1" fontId="4" fillId="5" borderId="7" xfId="0" applyNumberFormat="1" applyFont="1" applyFill="1" applyBorder="1" applyAlignment="1">
      <alignment horizontal="center" vertical="center" wrapText="1"/>
    </xf>
    <xf numFmtId="1" fontId="5" fillId="6" borderId="8" xfId="0" applyNumberFormat="1" applyFont="1" applyFill="1" applyBorder="1" applyAlignment="1"/>
    <xf numFmtId="1" fontId="5" fillId="6" borderId="9" xfId="0" applyNumberFormat="1" applyFont="1" applyFill="1" applyBorder="1" applyAlignment="1"/>
    <xf numFmtId="1" fontId="6" fillId="4" borderId="5" xfId="0" applyNumberFormat="1" applyFont="1" applyFill="1" applyBorder="1" applyAlignment="1">
      <alignment horizontal="center"/>
    </xf>
    <xf numFmtId="0" fontId="7" fillId="0" borderId="0" xfId="0" applyFont="1"/>
    <xf numFmtId="0" fontId="2" fillId="2" borderId="10" xfId="0" applyFont="1" applyFill="1" applyBorder="1" applyAlignment="1">
      <alignment horizontal="center" vertical="center" wrapText="1"/>
    </xf>
    <xf numFmtId="0" fontId="1" fillId="3" borderId="11" xfId="0" applyFont="1" applyFill="1" applyBorder="1"/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counting.TblChartOfAccou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"/>
      <sheetName val="DataLookUp"/>
      <sheetName val="COA Baru"/>
      <sheetName val="QDC COA"/>
      <sheetName val="Auto Link"/>
      <sheetName val="Refer"/>
    </sheetNames>
    <sheetDataSet>
      <sheetData sheetId="0">
        <row r="5">
          <cell r="B5" t="str">
            <v>1-0000</v>
          </cell>
          <cell r="AD5">
            <v>1</v>
          </cell>
          <cell r="AE5">
            <v>1</v>
          </cell>
          <cell r="AF5">
            <v>1</v>
          </cell>
          <cell r="AH5">
            <v>1</v>
          </cell>
          <cell r="AI5">
            <v>1</v>
          </cell>
          <cell r="AV5">
            <v>65000000000001</v>
          </cell>
          <cell r="AW5" t="str">
            <v>null</v>
          </cell>
        </row>
        <row r="6">
          <cell r="D6" t="str">
            <v>1-1000</v>
          </cell>
          <cell r="AD6">
            <v>1</v>
          </cell>
          <cell r="AE6">
            <v>2</v>
          </cell>
          <cell r="AF6">
            <v>1</v>
          </cell>
          <cell r="AH6">
            <v>1</v>
          </cell>
          <cell r="AI6">
            <v>1</v>
          </cell>
          <cell r="AV6">
            <v>65000000000002</v>
          </cell>
          <cell r="AW6">
            <v>65000000000001</v>
          </cell>
        </row>
        <row r="7">
          <cell r="F7" t="str">
            <v>1-1100</v>
          </cell>
          <cell r="AD7">
            <v>1</v>
          </cell>
          <cell r="AE7">
            <v>2</v>
          </cell>
          <cell r="AF7">
            <v>2</v>
          </cell>
          <cell r="AH7">
            <v>1</v>
          </cell>
          <cell r="AI7">
            <v>1</v>
          </cell>
          <cell r="AV7">
            <v>65000000000003</v>
          </cell>
          <cell r="AW7">
            <v>65000000000002</v>
          </cell>
        </row>
        <row r="8">
          <cell r="H8" t="str">
            <v>1-1101</v>
          </cell>
          <cell r="AD8">
            <v>1</v>
          </cell>
          <cell r="AE8">
            <v>2</v>
          </cell>
          <cell r="AF8">
            <v>2</v>
          </cell>
          <cell r="AH8">
            <v>1</v>
          </cell>
          <cell r="AI8">
            <v>1</v>
          </cell>
          <cell r="AV8">
            <v>65000000000004</v>
          </cell>
          <cell r="AW8">
            <v>65000000000003</v>
          </cell>
        </row>
        <row r="9">
          <cell r="J9" t="str">
            <v>1-1101.01</v>
          </cell>
          <cell r="AD9">
            <v>1</v>
          </cell>
          <cell r="AE9">
            <v>2</v>
          </cell>
          <cell r="AF9">
            <v>2</v>
          </cell>
          <cell r="AH9">
            <v>2</v>
          </cell>
          <cell r="AI9">
            <v>1</v>
          </cell>
          <cell r="AV9">
            <v>65000000000005</v>
          </cell>
          <cell r="AW9">
            <v>65000000000004</v>
          </cell>
        </row>
        <row r="10">
          <cell r="H10" t="str">
            <v>1-1102</v>
          </cell>
          <cell r="AD10">
            <v>1</v>
          </cell>
          <cell r="AE10">
            <v>2</v>
          </cell>
          <cell r="AF10">
            <v>2</v>
          </cell>
          <cell r="AH10">
            <v>1</v>
          </cell>
          <cell r="AI10">
            <v>1</v>
          </cell>
          <cell r="AV10">
            <v>65000000000006</v>
          </cell>
          <cell r="AW10">
            <v>65000000000003</v>
          </cell>
        </row>
        <row r="11">
          <cell r="J11" t="str">
            <v>1-1102.01</v>
          </cell>
          <cell r="AD11">
            <v>1</v>
          </cell>
          <cell r="AE11">
            <v>2</v>
          </cell>
          <cell r="AF11">
            <v>2</v>
          </cell>
          <cell r="AH11">
            <v>2</v>
          </cell>
          <cell r="AI11">
            <v>1</v>
          </cell>
          <cell r="AV11">
            <v>65000000000007</v>
          </cell>
          <cell r="AW11">
            <v>65000000000006</v>
          </cell>
        </row>
        <row r="12">
          <cell r="J12" t="str">
            <v>1-1102.02</v>
          </cell>
          <cell r="AD12">
            <v>1</v>
          </cell>
          <cell r="AE12">
            <v>2</v>
          </cell>
          <cell r="AF12">
            <v>2</v>
          </cell>
          <cell r="AH12">
            <v>3</v>
          </cell>
          <cell r="AI12">
            <v>1</v>
          </cell>
          <cell r="AV12">
            <v>65000000000008</v>
          </cell>
          <cell r="AW12">
            <v>65000000000006</v>
          </cell>
        </row>
        <row r="13">
          <cell r="H13" t="str">
            <v>1-1103</v>
          </cell>
          <cell r="AD13">
            <v>1</v>
          </cell>
          <cell r="AE13">
            <v>2</v>
          </cell>
          <cell r="AF13">
            <v>2</v>
          </cell>
          <cell r="AH13">
            <v>1</v>
          </cell>
          <cell r="AI13">
            <v>1</v>
          </cell>
          <cell r="AV13">
            <v>65000000000009</v>
          </cell>
          <cell r="AW13">
            <v>65000000000003</v>
          </cell>
        </row>
        <row r="14">
          <cell r="J14" t="str">
            <v>1-1103.01</v>
          </cell>
          <cell r="AD14">
            <v>1</v>
          </cell>
          <cell r="AE14">
            <v>2</v>
          </cell>
          <cell r="AF14">
            <v>2</v>
          </cell>
          <cell r="AH14">
            <v>2</v>
          </cell>
          <cell r="AI14">
            <v>1</v>
          </cell>
          <cell r="AV14">
            <v>65000000000010</v>
          </cell>
          <cell r="AW14">
            <v>65000000000009</v>
          </cell>
        </row>
        <row r="15">
          <cell r="J15" t="str">
            <v>1-1103.02</v>
          </cell>
          <cell r="AD15">
            <v>1</v>
          </cell>
          <cell r="AE15">
            <v>2</v>
          </cell>
          <cell r="AF15">
            <v>2</v>
          </cell>
          <cell r="AH15">
            <v>3</v>
          </cell>
          <cell r="AI15">
            <v>1</v>
          </cell>
          <cell r="AV15">
            <v>65000000000011</v>
          </cell>
          <cell r="AW15">
            <v>0</v>
          </cell>
        </row>
        <row r="16">
          <cell r="F16" t="str">
            <v>1-1200</v>
          </cell>
          <cell r="AD16">
            <v>1</v>
          </cell>
          <cell r="AE16">
            <v>2</v>
          </cell>
          <cell r="AF16">
            <v>3</v>
          </cell>
          <cell r="AH16">
            <v>1</v>
          </cell>
          <cell r="AI16">
            <v>1</v>
          </cell>
          <cell r="AV16">
            <v>65000000000012</v>
          </cell>
          <cell r="AW16">
            <v>65000000000009</v>
          </cell>
        </row>
        <row r="17">
          <cell r="H17" t="str">
            <v>1-1201</v>
          </cell>
          <cell r="AD17">
            <v>1</v>
          </cell>
          <cell r="AE17">
            <v>2</v>
          </cell>
          <cell r="AF17">
            <v>3</v>
          </cell>
          <cell r="AH17">
            <v>1</v>
          </cell>
          <cell r="AI17">
            <v>1</v>
          </cell>
          <cell r="AV17">
            <v>65000000000013</v>
          </cell>
          <cell r="AW17">
            <v>65000000000003</v>
          </cell>
        </row>
        <row r="18">
          <cell r="J18" t="str">
            <v>1-1201.01</v>
          </cell>
          <cell r="AD18">
            <v>1</v>
          </cell>
          <cell r="AE18">
            <v>2</v>
          </cell>
          <cell r="AF18">
            <v>3</v>
          </cell>
          <cell r="AH18">
            <v>2</v>
          </cell>
          <cell r="AI18">
            <v>1</v>
          </cell>
          <cell r="AV18">
            <v>65000000000014</v>
          </cell>
          <cell r="AW18">
            <v>65000000000013</v>
          </cell>
        </row>
        <row r="19">
          <cell r="J19" t="str">
            <v>1-1201.02</v>
          </cell>
          <cell r="AD19">
            <v>1</v>
          </cell>
          <cell r="AE19">
            <v>2</v>
          </cell>
          <cell r="AF19">
            <v>3</v>
          </cell>
          <cell r="AH19">
            <v>3</v>
          </cell>
          <cell r="AI19">
            <v>1</v>
          </cell>
          <cell r="AV19">
            <v>65000000000015</v>
          </cell>
          <cell r="AW19">
            <v>65000000000013</v>
          </cell>
        </row>
        <row r="20">
          <cell r="H20" t="str">
            <v>1-1202</v>
          </cell>
          <cell r="AD20">
            <v>1</v>
          </cell>
          <cell r="AE20">
            <v>2</v>
          </cell>
          <cell r="AF20">
            <v>3</v>
          </cell>
          <cell r="AH20">
            <v>1</v>
          </cell>
          <cell r="AI20">
            <v>1</v>
          </cell>
          <cell r="AV20">
            <v>65000000000016</v>
          </cell>
          <cell r="AW20">
            <v>65000000000003</v>
          </cell>
        </row>
        <row r="21">
          <cell r="J21" t="str">
            <v>1-1202.01</v>
          </cell>
          <cell r="AD21">
            <v>1</v>
          </cell>
          <cell r="AE21">
            <v>2</v>
          </cell>
          <cell r="AF21">
            <v>3</v>
          </cell>
          <cell r="AH21">
            <v>2</v>
          </cell>
          <cell r="AI21">
            <v>1</v>
          </cell>
          <cell r="AV21">
            <v>65000000000017</v>
          </cell>
          <cell r="AW21">
            <v>65000000000016</v>
          </cell>
        </row>
        <row r="22">
          <cell r="J22" t="str">
            <v>1-1202.02</v>
          </cell>
          <cell r="AD22">
            <v>1</v>
          </cell>
          <cell r="AE22">
            <v>2</v>
          </cell>
          <cell r="AF22">
            <v>3</v>
          </cell>
          <cell r="AH22">
            <v>3</v>
          </cell>
          <cell r="AI22">
            <v>1</v>
          </cell>
          <cell r="AV22">
            <v>65000000000018</v>
          </cell>
          <cell r="AW22">
            <v>65000000000016</v>
          </cell>
        </row>
        <row r="23">
          <cell r="H23" t="str">
            <v>1-1203</v>
          </cell>
          <cell r="AD23">
            <v>1</v>
          </cell>
          <cell r="AE23">
            <v>2</v>
          </cell>
          <cell r="AF23">
            <v>3</v>
          </cell>
          <cell r="AH23">
            <v>1</v>
          </cell>
          <cell r="AI23">
            <v>1</v>
          </cell>
          <cell r="AV23">
            <v>65000000000019</v>
          </cell>
          <cell r="AW23">
            <v>65000000000003</v>
          </cell>
        </row>
        <row r="24">
          <cell r="J24" t="str">
            <v>1-1203.01</v>
          </cell>
          <cell r="AD24">
            <v>1</v>
          </cell>
          <cell r="AE24">
            <v>2</v>
          </cell>
          <cell r="AF24">
            <v>3</v>
          </cell>
          <cell r="AH24">
            <v>2</v>
          </cell>
          <cell r="AI24">
            <v>1</v>
          </cell>
          <cell r="AV24">
            <v>65000000000020</v>
          </cell>
          <cell r="AW24">
            <v>65000000000019</v>
          </cell>
        </row>
        <row r="25">
          <cell r="J25" t="str">
            <v>1-1203.02</v>
          </cell>
          <cell r="AD25">
            <v>1</v>
          </cell>
          <cell r="AE25">
            <v>2</v>
          </cell>
          <cell r="AF25">
            <v>3</v>
          </cell>
          <cell r="AH25">
            <v>3</v>
          </cell>
          <cell r="AI25">
            <v>1</v>
          </cell>
          <cell r="AV25">
            <v>65000000000021</v>
          </cell>
          <cell r="AW25">
            <v>65000000000019</v>
          </cell>
        </row>
        <row r="26">
          <cell r="H26" t="str">
            <v>1-1204</v>
          </cell>
          <cell r="AD26">
            <v>1</v>
          </cell>
          <cell r="AE26">
            <v>2</v>
          </cell>
          <cell r="AF26">
            <v>3</v>
          </cell>
          <cell r="AH26">
            <v>1</v>
          </cell>
          <cell r="AI26">
            <v>1</v>
          </cell>
          <cell r="AV26">
            <v>65000000000022</v>
          </cell>
          <cell r="AW26">
            <v>65000000000003</v>
          </cell>
        </row>
        <row r="27">
          <cell r="J27" t="str">
            <v>1-1204.01</v>
          </cell>
          <cell r="AD27">
            <v>1</v>
          </cell>
          <cell r="AE27">
            <v>2</v>
          </cell>
          <cell r="AF27">
            <v>3</v>
          </cell>
          <cell r="AH27">
            <v>2</v>
          </cell>
          <cell r="AI27">
            <v>1</v>
          </cell>
          <cell r="AV27">
            <v>65000000000023</v>
          </cell>
          <cell r="AW27">
            <v>65000000000022</v>
          </cell>
        </row>
        <row r="28">
          <cell r="J28" t="str">
            <v>1-1204.02</v>
          </cell>
          <cell r="AD28">
            <v>1</v>
          </cell>
          <cell r="AE28">
            <v>2</v>
          </cell>
          <cell r="AF28">
            <v>3</v>
          </cell>
          <cell r="AH28">
            <v>3</v>
          </cell>
          <cell r="AI28">
            <v>1</v>
          </cell>
          <cell r="AV28">
            <v>65000000000024</v>
          </cell>
          <cell r="AW28">
            <v>65000000000022</v>
          </cell>
        </row>
        <row r="29">
          <cell r="F29" t="str">
            <v>1-1300</v>
          </cell>
          <cell r="AD29">
            <v>1</v>
          </cell>
          <cell r="AE29">
            <v>2</v>
          </cell>
          <cell r="AF29">
            <v>4</v>
          </cell>
          <cell r="AH29">
            <v>1</v>
          </cell>
          <cell r="AI29">
            <v>1</v>
          </cell>
          <cell r="AV29">
            <v>65000000000025</v>
          </cell>
          <cell r="AW29">
            <v>65000000000002</v>
          </cell>
        </row>
        <row r="30">
          <cell r="H30" t="str">
            <v>1-1301</v>
          </cell>
          <cell r="AD30">
            <v>1</v>
          </cell>
          <cell r="AE30">
            <v>2</v>
          </cell>
          <cell r="AF30">
            <v>4</v>
          </cell>
          <cell r="AH30">
            <v>1</v>
          </cell>
          <cell r="AI30">
            <v>1</v>
          </cell>
          <cell r="AV30">
            <v>65000000000026</v>
          </cell>
          <cell r="AW30">
            <v>65000000000025</v>
          </cell>
        </row>
        <row r="31">
          <cell r="J31" t="str">
            <v>1-1301.01</v>
          </cell>
          <cell r="AD31">
            <v>1</v>
          </cell>
          <cell r="AE31">
            <v>2</v>
          </cell>
          <cell r="AF31">
            <v>4</v>
          </cell>
          <cell r="AH31">
            <v>2</v>
          </cell>
          <cell r="AI31">
            <v>1</v>
          </cell>
          <cell r="AV31">
            <v>65000000000027</v>
          </cell>
          <cell r="AW31">
            <v>65000000000026</v>
          </cell>
        </row>
        <row r="32">
          <cell r="F32" t="str">
            <v>1-1400</v>
          </cell>
          <cell r="AD32">
            <v>1</v>
          </cell>
          <cell r="AE32">
            <v>2</v>
          </cell>
          <cell r="AF32">
            <v>5</v>
          </cell>
          <cell r="AH32">
            <v>1</v>
          </cell>
          <cell r="AI32">
            <v>1</v>
          </cell>
          <cell r="AV32">
            <v>65000000000028</v>
          </cell>
          <cell r="AW32">
            <v>65000000000002</v>
          </cell>
        </row>
        <row r="33">
          <cell r="J33" t="str">
            <v>1-1400.01</v>
          </cell>
          <cell r="AD33">
            <v>1</v>
          </cell>
          <cell r="AE33">
            <v>2</v>
          </cell>
          <cell r="AF33">
            <v>5</v>
          </cell>
          <cell r="AH33">
            <v>2</v>
          </cell>
          <cell r="AI33">
            <v>1</v>
          </cell>
          <cell r="AV33">
            <v>65000000000029</v>
          </cell>
          <cell r="AW33">
            <v>65000000000028</v>
          </cell>
        </row>
        <row r="34">
          <cell r="F34" t="str">
            <v>1-1500</v>
          </cell>
          <cell r="AD34">
            <v>1</v>
          </cell>
          <cell r="AE34">
            <v>2</v>
          </cell>
          <cell r="AF34">
            <v>6</v>
          </cell>
          <cell r="AH34">
            <v>2</v>
          </cell>
          <cell r="AI34">
            <v>1</v>
          </cell>
          <cell r="AV34">
            <v>65000000000030</v>
          </cell>
          <cell r="AW34">
            <v>65000000000002</v>
          </cell>
        </row>
        <row r="35">
          <cell r="H35" t="str">
            <v>1-1501</v>
          </cell>
          <cell r="AD35">
            <v>1</v>
          </cell>
          <cell r="AE35">
            <v>2</v>
          </cell>
          <cell r="AF35">
            <v>6</v>
          </cell>
          <cell r="AH35">
            <v>1</v>
          </cell>
          <cell r="AI35">
            <v>1</v>
          </cell>
          <cell r="AV35">
            <v>65000000000031</v>
          </cell>
          <cell r="AW35">
            <v>65000000000030</v>
          </cell>
        </row>
        <row r="36">
          <cell r="J36" t="str">
            <v>1-1501.01</v>
          </cell>
          <cell r="AD36">
            <v>1</v>
          </cell>
          <cell r="AE36">
            <v>2</v>
          </cell>
          <cell r="AF36">
            <v>6</v>
          </cell>
          <cell r="AH36">
            <v>2</v>
          </cell>
          <cell r="AI36">
            <v>1</v>
          </cell>
          <cell r="AV36">
            <v>65000000000032</v>
          </cell>
          <cell r="AW36">
            <v>65000000000031</v>
          </cell>
        </row>
        <row r="37">
          <cell r="H37" t="str">
            <v>1-1502</v>
          </cell>
          <cell r="AD37">
            <v>1</v>
          </cell>
          <cell r="AE37">
            <v>2</v>
          </cell>
          <cell r="AF37">
            <v>6</v>
          </cell>
          <cell r="AH37">
            <v>1</v>
          </cell>
          <cell r="AI37">
            <v>1</v>
          </cell>
          <cell r="AV37">
            <v>65000000000033</v>
          </cell>
          <cell r="AW37">
            <v>65000000000030</v>
          </cell>
        </row>
        <row r="38">
          <cell r="J38" t="str">
            <v>1-1502.01</v>
          </cell>
          <cell r="AD38">
            <v>1</v>
          </cell>
          <cell r="AE38">
            <v>2</v>
          </cell>
          <cell r="AF38">
            <v>6</v>
          </cell>
          <cell r="AH38">
            <v>2</v>
          </cell>
          <cell r="AI38">
            <v>1</v>
          </cell>
          <cell r="AV38">
            <v>65000000000034</v>
          </cell>
          <cell r="AW38">
            <v>65000000000033</v>
          </cell>
        </row>
        <row r="39">
          <cell r="H39" t="str">
            <v>1-1503</v>
          </cell>
          <cell r="AD39">
            <v>1</v>
          </cell>
          <cell r="AE39">
            <v>2</v>
          </cell>
          <cell r="AF39">
            <v>6</v>
          </cell>
          <cell r="AH39">
            <v>1</v>
          </cell>
          <cell r="AI39">
            <v>1</v>
          </cell>
          <cell r="AV39">
            <v>65000000000035</v>
          </cell>
          <cell r="AW39">
            <v>65000000000030</v>
          </cell>
        </row>
        <row r="40">
          <cell r="J40" t="str">
            <v>1-1503.01</v>
          </cell>
          <cell r="AD40">
            <v>1</v>
          </cell>
          <cell r="AE40">
            <v>2</v>
          </cell>
          <cell r="AF40">
            <v>6</v>
          </cell>
          <cell r="AH40">
            <v>2</v>
          </cell>
          <cell r="AI40">
            <v>1</v>
          </cell>
          <cell r="AV40">
            <v>65000000000036</v>
          </cell>
          <cell r="AW40">
            <v>65000000000035</v>
          </cell>
        </row>
        <row r="41">
          <cell r="H41" t="str">
            <v>1-1504</v>
          </cell>
          <cell r="AD41">
            <v>1</v>
          </cell>
          <cell r="AE41">
            <v>2</v>
          </cell>
          <cell r="AF41">
            <v>6</v>
          </cell>
          <cell r="AH41">
            <v>1</v>
          </cell>
          <cell r="AI41">
            <v>1</v>
          </cell>
          <cell r="AV41">
            <v>65000000000037</v>
          </cell>
          <cell r="AW41">
            <v>65000000000030</v>
          </cell>
        </row>
        <row r="42">
          <cell r="J42" t="str">
            <v>1-1504.01</v>
          </cell>
          <cell r="AD42">
            <v>1</v>
          </cell>
          <cell r="AE42">
            <v>2</v>
          </cell>
          <cell r="AF42">
            <v>6</v>
          </cell>
          <cell r="AH42">
            <v>2</v>
          </cell>
          <cell r="AI42">
            <v>1</v>
          </cell>
          <cell r="AV42">
            <v>65000000000038</v>
          </cell>
          <cell r="AW42">
            <v>65000000000037</v>
          </cell>
        </row>
        <row r="43">
          <cell r="F43" t="str">
            <v>1-1600</v>
          </cell>
          <cell r="AD43">
            <v>1</v>
          </cell>
          <cell r="AE43">
            <v>2</v>
          </cell>
          <cell r="AF43">
            <v>7</v>
          </cell>
          <cell r="AH43">
            <v>1</v>
          </cell>
          <cell r="AI43">
            <v>1</v>
          </cell>
          <cell r="AV43">
            <v>65000000000039</v>
          </cell>
          <cell r="AW43">
            <v>65000000000002</v>
          </cell>
        </row>
        <row r="44">
          <cell r="J44" t="str">
            <v>1-1600.01</v>
          </cell>
          <cell r="AD44">
            <v>1</v>
          </cell>
          <cell r="AE44">
            <v>2</v>
          </cell>
          <cell r="AF44">
            <v>7</v>
          </cell>
          <cell r="AH44">
            <v>2</v>
          </cell>
          <cell r="AI44">
            <v>1</v>
          </cell>
          <cell r="AV44">
            <v>65000000000040</v>
          </cell>
          <cell r="AW44">
            <v>65000000000039</v>
          </cell>
        </row>
        <row r="45">
          <cell r="F45" t="str">
            <v>1-1700</v>
          </cell>
          <cell r="AD45">
            <v>1</v>
          </cell>
          <cell r="AE45">
            <v>2</v>
          </cell>
          <cell r="AF45">
            <v>8</v>
          </cell>
          <cell r="AH45">
            <v>2</v>
          </cell>
          <cell r="AI45">
            <v>1</v>
          </cell>
          <cell r="AV45">
            <v>65000000000041</v>
          </cell>
          <cell r="AW45">
            <v>65000000000002</v>
          </cell>
        </row>
        <row r="46">
          <cell r="J46" t="str">
            <v>1-1700.01</v>
          </cell>
          <cell r="AD46">
            <v>1</v>
          </cell>
          <cell r="AE46">
            <v>2</v>
          </cell>
          <cell r="AF46">
            <v>8</v>
          </cell>
          <cell r="AH46">
            <v>3</v>
          </cell>
          <cell r="AI46">
            <v>1</v>
          </cell>
          <cell r="AV46">
            <v>65000000000042</v>
          </cell>
          <cell r="AW46">
            <v>65000000000041</v>
          </cell>
        </row>
        <row r="47">
          <cell r="F47" t="str">
            <v>1-1900</v>
          </cell>
          <cell r="AD47">
            <v>1</v>
          </cell>
          <cell r="AE47">
            <v>2</v>
          </cell>
          <cell r="AF47">
            <v>9</v>
          </cell>
          <cell r="AH47">
            <v>3</v>
          </cell>
          <cell r="AI47">
            <v>1</v>
          </cell>
          <cell r="AV47">
            <v>65000000000043</v>
          </cell>
          <cell r="AW47">
            <v>65000000000002</v>
          </cell>
        </row>
        <row r="48">
          <cell r="H48" t="str">
            <v>1-1901</v>
          </cell>
          <cell r="AD48">
            <v>1</v>
          </cell>
          <cell r="AE48">
            <v>2</v>
          </cell>
          <cell r="AF48">
            <v>9</v>
          </cell>
          <cell r="AH48">
            <v>1</v>
          </cell>
          <cell r="AI48">
            <v>1</v>
          </cell>
          <cell r="AV48">
            <v>65000000000044</v>
          </cell>
          <cell r="AW48">
            <v>65000000000043</v>
          </cell>
        </row>
        <row r="49">
          <cell r="J49" t="str">
            <v>1-1901.01</v>
          </cell>
          <cell r="AD49">
            <v>1</v>
          </cell>
          <cell r="AE49">
            <v>2</v>
          </cell>
          <cell r="AF49">
            <v>9</v>
          </cell>
          <cell r="AH49">
            <v>2</v>
          </cell>
          <cell r="AI49">
            <v>1</v>
          </cell>
          <cell r="AV49">
            <v>65000000000045</v>
          </cell>
          <cell r="AW49">
            <v>65000000000044</v>
          </cell>
        </row>
        <row r="50">
          <cell r="H50" t="str">
            <v>1-1902</v>
          </cell>
          <cell r="AD50">
            <v>1</v>
          </cell>
          <cell r="AE50">
            <v>2</v>
          </cell>
          <cell r="AF50">
            <v>9</v>
          </cell>
          <cell r="AH50">
            <v>1</v>
          </cell>
          <cell r="AI50">
            <v>1</v>
          </cell>
          <cell r="AV50">
            <v>65000000000046</v>
          </cell>
          <cell r="AW50">
            <v>65000000000043</v>
          </cell>
        </row>
        <row r="51">
          <cell r="J51" t="str">
            <v>1-1902.01</v>
          </cell>
          <cell r="AD51">
            <v>1</v>
          </cell>
          <cell r="AE51">
            <v>2</v>
          </cell>
          <cell r="AF51">
            <v>9</v>
          </cell>
          <cell r="AH51">
            <v>2</v>
          </cell>
          <cell r="AI51">
            <v>1</v>
          </cell>
          <cell r="AV51">
            <v>65000000000047</v>
          </cell>
          <cell r="AW51">
            <v>65000000000046</v>
          </cell>
        </row>
        <row r="52">
          <cell r="H52" t="str">
            <v>1-1903</v>
          </cell>
          <cell r="AD52">
            <v>1</v>
          </cell>
          <cell r="AE52">
            <v>2</v>
          </cell>
          <cell r="AF52">
            <v>9</v>
          </cell>
          <cell r="AH52">
            <v>1</v>
          </cell>
          <cell r="AI52">
            <v>1</v>
          </cell>
          <cell r="AV52">
            <v>65000000000048</v>
          </cell>
          <cell r="AW52">
            <v>65000000000043</v>
          </cell>
        </row>
        <row r="53">
          <cell r="J53" t="str">
            <v>1-1903.01</v>
          </cell>
          <cell r="AD53">
            <v>1</v>
          </cell>
          <cell r="AE53">
            <v>2</v>
          </cell>
          <cell r="AF53">
            <v>9</v>
          </cell>
          <cell r="AH53">
            <v>2</v>
          </cell>
          <cell r="AI53">
            <v>1</v>
          </cell>
          <cell r="AV53">
            <v>65000000000049</v>
          </cell>
          <cell r="AW53">
            <v>65000000000048</v>
          </cell>
        </row>
        <row r="54">
          <cell r="H54" t="str">
            <v>1-1904</v>
          </cell>
          <cell r="AD54">
            <v>1</v>
          </cell>
          <cell r="AE54">
            <v>2</v>
          </cell>
          <cell r="AF54">
            <v>9</v>
          </cell>
          <cell r="AH54">
            <v>1</v>
          </cell>
          <cell r="AI54">
            <v>1</v>
          </cell>
          <cell r="AV54">
            <v>65000000000050</v>
          </cell>
          <cell r="AW54">
            <v>65000000000043</v>
          </cell>
        </row>
        <row r="55">
          <cell r="J55" t="str">
            <v>1-1904.01</v>
          </cell>
          <cell r="AD55">
            <v>1</v>
          </cell>
          <cell r="AE55">
            <v>2</v>
          </cell>
          <cell r="AF55">
            <v>9</v>
          </cell>
          <cell r="AH55">
            <v>2</v>
          </cell>
          <cell r="AI55">
            <v>1</v>
          </cell>
          <cell r="AV55">
            <v>65000000000051</v>
          </cell>
          <cell r="AW55">
            <v>65000000000050</v>
          </cell>
        </row>
        <row r="56">
          <cell r="H56" t="str">
            <v>1-1905</v>
          </cell>
          <cell r="AD56">
            <v>1</v>
          </cell>
          <cell r="AE56">
            <v>2</v>
          </cell>
          <cell r="AF56">
            <v>9</v>
          </cell>
          <cell r="AH56">
            <v>1</v>
          </cell>
          <cell r="AI56">
            <v>1</v>
          </cell>
          <cell r="AV56">
            <v>65000000000052</v>
          </cell>
          <cell r="AW56">
            <v>65000000000043</v>
          </cell>
        </row>
        <row r="57">
          <cell r="J57" t="str">
            <v>1-1905.01</v>
          </cell>
          <cell r="AD57">
            <v>1</v>
          </cell>
          <cell r="AE57">
            <v>2</v>
          </cell>
          <cell r="AF57">
            <v>9</v>
          </cell>
          <cell r="AH57">
            <v>2</v>
          </cell>
          <cell r="AI57">
            <v>1</v>
          </cell>
          <cell r="AV57">
            <v>65000000000053</v>
          </cell>
          <cell r="AW57">
            <v>65000000000052</v>
          </cell>
        </row>
        <row r="58">
          <cell r="H58" t="str">
            <v>1-1999</v>
          </cell>
          <cell r="AD58">
            <v>1</v>
          </cell>
          <cell r="AE58">
            <v>2</v>
          </cell>
          <cell r="AF58">
            <v>9</v>
          </cell>
          <cell r="AH58">
            <v>1</v>
          </cell>
          <cell r="AI58">
            <v>1</v>
          </cell>
          <cell r="AV58">
            <v>65000000000054</v>
          </cell>
          <cell r="AW58">
            <v>65000000000043</v>
          </cell>
        </row>
        <row r="59">
          <cell r="J59" t="str">
            <v>1-1999.01</v>
          </cell>
          <cell r="AD59">
            <v>1</v>
          </cell>
          <cell r="AE59">
            <v>2</v>
          </cell>
          <cell r="AF59">
            <v>9</v>
          </cell>
          <cell r="AH59">
            <v>2</v>
          </cell>
          <cell r="AI59">
            <v>1</v>
          </cell>
          <cell r="AV59">
            <v>65000000000055</v>
          </cell>
          <cell r="AW59">
            <v>65000000000054</v>
          </cell>
        </row>
        <row r="60">
          <cell r="D60" t="str">
            <v>1-2000</v>
          </cell>
          <cell r="AD60">
            <v>1</v>
          </cell>
          <cell r="AE60">
            <v>3</v>
          </cell>
          <cell r="AF60">
            <v>1</v>
          </cell>
          <cell r="AH60">
            <v>1</v>
          </cell>
          <cell r="AI60">
            <v>1</v>
          </cell>
          <cell r="AV60">
            <v>65000000000056</v>
          </cell>
          <cell r="AW60">
            <v>65000000000001</v>
          </cell>
        </row>
        <row r="61">
          <cell r="H61" t="str">
            <v>1-2001</v>
          </cell>
          <cell r="AD61">
            <v>1</v>
          </cell>
          <cell r="AE61">
            <v>3</v>
          </cell>
          <cell r="AF61">
            <v>1</v>
          </cell>
          <cell r="AH61">
            <v>1</v>
          </cell>
          <cell r="AI61">
            <v>1</v>
          </cell>
          <cell r="AV61">
            <v>65000000000057</v>
          </cell>
          <cell r="AW61">
            <v>65000000000056</v>
          </cell>
        </row>
        <row r="62">
          <cell r="J62" t="str">
            <v>1-2001.01</v>
          </cell>
          <cell r="AD62">
            <v>1</v>
          </cell>
          <cell r="AE62">
            <v>3</v>
          </cell>
          <cell r="AF62">
            <v>1</v>
          </cell>
          <cell r="AH62">
            <v>2</v>
          </cell>
          <cell r="AI62">
            <v>1</v>
          </cell>
          <cell r="AV62">
            <v>65000000000058</v>
          </cell>
          <cell r="AW62">
            <v>65000000000057</v>
          </cell>
        </row>
        <row r="63">
          <cell r="D63" t="str">
            <v>1-3000</v>
          </cell>
          <cell r="AD63">
            <v>1</v>
          </cell>
          <cell r="AE63">
            <v>4</v>
          </cell>
          <cell r="AF63">
            <v>1</v>
          </cell>
          <cell r="AH63">
            <v>2</v>
          </cell>
          <cell r="AI63">
            <v>1</v>
          </cell>
          <cell r="AV63">
            <v>65000000000059</v>
          </cell>
          <cell r="AW63">
            <v>65000000000001</v>
          </cell>
        </row>
        <row r="64">
          <cell r="F64" t="str">
            <v>1-3100</v>
          </cell>
          <cell r="AD64">
            <v>1</v>
          </cell>
          <cell r="AE64">
            <v>4</v>
          </cell>
          <cell r="AF64">
            <v>2</v>
          </cell>
          <cell r="AH64">
            <v>1</v>
          </cell>
          <cell r="AI64">
            <v>1</v>
          </cell>
          <cell r="AV64">
            <v>65000000000060</v>
          </cell>
          <cell r="AW64">
            <v>65000000000059</v>
          </cell>
        </row>
        <row r="65">
          <cell r="H65" t="str">
            <v>1-3101</v>
          </cell>
          <cell r="AD65">
            <v>1</v>
          </cell>
          <cell r="AE65">
            <v>4</v>
          </cell>
          <cell r="AF65">
            <v>2</v>
          </cell>
          <cell r="AH65">
            <v>1</v>
          </cell>
          <cell r="AI65">
            <v>1</v>
          </cell>
          <cell r="AV65">
            <v>65000000000061</v>
          </cell>
          <cell r="AW65">
            <v>65000000000060</v>
          </cell>
        </row>
        <row r="66">
          <cell r="J66" t="str">
            <v>1-3101.01</v>
          </cell>
          <cell r="AD66">
            <v>1</v>
          </cell>
          <cell r="AE66">
            <v>4</v>
          </cell>
          <cell r="AF66">
            <v>2</v>
          </cell>
          <cell r="AH66">
            <v>2</v>
          </cell>
          <cell r="AI66">
            <v>1</v>
          </cell>
          <cell r="AV66">
            <v>65000000000062</v>
          </cell>
          <cell r="AW66">
            <v>65000000000061</v>
          </cell>
        </row>
        <row r="67">
          <cell r="H67" t="str">
            <v>1-3102</v>
          </cell>
          <cell r="AD67">
            <v>1</v>
          </cell>
          <cell r="AE67">
            <v>4</v>
          </cell>
          <cell r="AF67">
            <v>2</v>
          </cell>
          <cell r="AH67">
            <v>1</v>
          </cell>
          <cell r="AI67">
            <v>1</v>
          </cell>
          <cell r="AV67">
            <v>65000000000063</v>
          </cell>
          <cell r="AW67">
            <v>65000000000060</v>
          </cell>
        </row>
        <row r="68">
          <cell r="J68" t="str">
            <v>1-3102.01</v>
          </cell>
          <cell r="AD68">
            <v>1</v>
          </cell>
          <cell r="AE68">
            <v>4</v>
          </cell>
          <cell r="AF68">
            <v>2</v>
          </cell>
          <cell r="AH68">
            <v>2</v>
          </cell>
          <cell r="AI68">
            <v>1</v>
          </cell>
          <cell r="AV68">
            <v>65000000000064</v>
          </cell>
          <cell r="AW68">
            <v>65000000000063</v>
          </cell>
        </row>
        <row r="69">
          <cell r="H69" t="str">
            <v>1-3103</v>
          </cell>
          <cell r="AD69">
            <v>1</v>
          </cell>
          <cell r="AE69">
            <v>4</v>
          </cell>
          <cell r="AF69">
            <v>2</v>
          </cell>
          <cell r="AH69">
            <v>1</v>
          </cell>
          <cell r="AI69">
            <v>1</v>
          </cell>
          <cell r="AV69">
            <v>65000000000065</v>
          </cell>
          <cell r="AW69">
            <v>65000000000060</v>
          </cell>
        </row>
        <row r="70">
          <cell r="J70" t="str">
            <v>1-3103.01</v>
          </cell>
          <cell r="AD70">
            <v>1</v>
          </cell>
          <cell r="AE70">
            <v>4</v>
          </cell>
          <cell r="AF70">
            <v>2</v>
          </cell>
          <cell r="AH70">
            <v>2</v>
          </cell>
          <cell r="AI70">
            <v>1</v>
          </cell>
          <cell r="AV70">
            <v>65000000000066</v>
          </cell>
          <cell r="AW70">
            <v>65000000000065</v>
          </cell>
        </row>
        <row r="71">
          <cell r="H71" t="str">
            <v>1-3104</v>
          </cell>
          <cell r="AD71">
            <v>1</v>
          </cell>
          <cell r="AE71">
            <v>4</v>
          </cell>
          <cell r="AF71">
            <v>2</v>
          </cell>
          <cell r="AH71">
            <v>1</v>
          </cell>
          <cell r="AI71">
            <v>1</v>
          </cell>
          <cell r="AV71">
            <v>65000000000067</v>
          </cell>
          <cell r="AW71">
            <v>65000000000060</v>
          </cell>
        </row>
        <row r="72">
          <cell r="J72" t="str">
            <v>1-3104.01</v>
          </cell>
          <cell r="AD72">
            <v>1</v>
          </cell>
          <cell r="AE72">
            <v>4</v>
          </cell>
          <cell r="AF72">
            <v>2</v>
          </cell>
          <cell r="AH72">
            <v>2</v>
          </cell>
          <cell r="AI72">
            <v>1</v>
          </cell>
          <cell r="AV72">
            <v>65000000000068</v>
          </cell>
          <cell r="AW72">
            <v>65000000000067</v>
          </cell>
        </row>
        <row r="73">
          <cell r="H73" t="str">
            <v>1-3105</v>
          </cell>
          <cell r="AD73">
            <v>1</v>
          </cell>
          <cell r="AE73">
            <v>4</v>
          </cell>
          <cell r="AF73">
            <v>2</v>
          </cell>
          <cell r="AH73">
            <v>1</v>
          </cell>
          <cell r="AI73">
            <v>1</v>
          </cell>
          <cell r="AV73">
            <v>65000000000069</v>
          </cell>
          <cell r="AW73">
            <v>65000000000060</v>
          </cell>
        </row>
        <row r="74">
          <cell r="J74" t="str">
            <v>1-3105.01</v>
          </cell>
          <cell r="AD74">
            <v>1</v>
          </cell>
          <cell r="AE74">
            <v>4</v>
          </cell>
          <cell r="AF74">
            <v>2</v>
          </cell>
          <cell r="AH74">
            <v>2</v>
          </cell>
          <cell r="AI74">
            <v>1</v>
          </cell>
          <cell r="AV74">
            <v>65000000000070</v>
          </cell>
          <cell r="AW74">
            <v>65000000000069</v>
          </cell>
        </row>
        <row r="75">
          <cell r="H75" t="str">
            <v>1-3106</v>
          </cell>
          <cell r="AD75">
            <v>1</v>
          </cell>
          <cell r="AE75">
            <v>4</v>
          </cell>
          <cell r="AF75">
            <v>2</v>
          </cell>
          <cell r="AH75">
            <v>1</v>
          </cell>
          <cell r="AI75">
            <v>1</v>
          </cell>
          <cell r="AV75">
            <v>65000000000071</v>
          </cell>
          <cell r="AW75">
            <v>65000000000060</v>
          </cell>
        </row>
        <row r="76">
          <cell r="J76" t="str">
            <v>1-3106.01</v>
          </cell>
          <cell r="AD76">
            <v>1</v>
          </cell>
          <cell r="AE76">
            <v>4</v>
          </cell>
          <cell r="AF76">
            <v>2</v>
          </cell>
          <cell r="AH76">
            <v>2</v>
          </cell>
          <cell r="AI76">
            <v>1</v>
          </cell>
          <cell r="AV76">
            <v>65000000000072</v>
          </cell>
          <cell r="AW76">
            <v>65000000000071</v>
          </cell>
        </row>
        <row r="77">
          <cell r="H77" t="str">
            <v>1-3107</v>
          </cell>
          <cell r="AD77">
            <v>1</v>
          </cell>
          <cell r="AE77">
            <v>4</v>
          </cell>
          <cell r="AF77">
            <v>2</v>
          </cell>
          <cell r="AH77">
            <v>1</v>
          </cell>
          <cell r="AI77">
            <v>1</v>
          </cell>
          <cell r="AV77">
            <v>65000000000073</v>
          </cell>
          <cell r="AW77">
            <v>65000000000060</v>
          </cell>
        </row>
        <row r="78">
          <cell r="J78" t="str">
            <v>1-3107.01</v>
          </cell>
          <cell r="AD78">
            <v>1</v>
          </cell>
          <cell r="AE78">
            <v>4</v>
          </cell>
          <cell r="AF78">
            <v>2</v>
          </cell>
          <cell r="AH78">
            <v>2</v>
          </cell>
          <cell r="AI78">
            <v>1</v>
          </cell>
          <cell r="AV78">
            <v>65000000000074</v>
          </cell>
          <cell r="AW78">
            <v>65000000000073</v>
          </cell>
        </row>
        <row r="79">
          <cell r="H79" t="str">
            <v>1-3108</v>
          </cell>
          <cell r="AD79">
            <v>1</v>
          </cell>
          <cell r="AE79">
            <v>4</v>
          </cell>
          <cell r="AF79">
            <v>2</v>
          </cell>
          <cell r="AH79">
            <v>1</v>
          </cell>
          <cell r="AI79">
            <v>1</v>
          </cell>
          <cell r="AV79">
            <v>65000000000075</v>
          </cell>
          <cell r="AW79">
            <v>65000000000060</v>
          </cell>
        </row>
        <row r="80">
          <cell r="J80" t="str">
            <v>1-3108.01</v>
          </cell>
          <cell r="AD80">
            <v>1</v>
          </cell>
          <cell r="AE80">
            <v>4</v>
          </cell>
          <cell r="AF80">
            <v>2</v>
          </cell>
          <cell r="AH80">
            <v>2</v>
          </cell>
          <cell r="AI80">
            <v>1</v>
          </cell>
          <cell r="AV80">
            <v>65000000000076</v>
          </cell>
          <cell r="AW80">
            <v>65000000000075</v>
          </cell>
        </row>
        <row r="81">
          <cell r="H81" t="str">
            <v>1-3109</v>
          </cell>
          <cell r="AD81">
            <v>1</v>
          </cell>
          <cell r="AE81">
            <v>4</v>
          </cell>
          <cell r="AF81">
            <v>2</v>
          </cell>
          <cell r="AH81">
            <v>1</v>
          </cell>
          <cell r="AI81">
            <v>1</v>
          </cell>
          <cell r="AV81">
            <v>65000000000077</v>
          </cell>
          <cell r="AW81">
            <v>65000000000060</v>
          </cell>
        </row>
        <row r="82">
          <cell r="J82" t="str">
            <v>1-3109.01</v>
          </cell>
          <cell r="AD82">
            <v>1</v>
          </cell>
          <cell r="AE82">
            <v>4</v>
          </cell>
          <cell r="AF82">
            <v>2</v>
          </cell>
          <cell r="AH82">
            <v>2</v>
          </cell>
          <cell r="AI82">
            <v>1</v>
          </cell>
          <cell r="AV82">
            <v>65000000000078</v>
          </cell>
          <cell r="AW82">
            <v>65000000000077</v>
          </cell>
        </row>
        <row r="83">
          <cell r="H83" t="str">
            <v>1-3110</v>
          </cell>
          <cell r="AD83">
            <v>1</v>
          </cell>
          <cell r="AE83">
            <v>4</v>
          </cell>
          <cell r="AF83">
            <v>2</v>
          </cell>
          <cell r="AH83">
            <v>1</v>
          </cell>
          <cell r="AI83">
            <v>1</v>
          </cell>
          <cell r="AV83">
            <v>65000000000079</v>
          </cell>
          <cell r="AW83">
            <v>65000000000060</v>
          </cell>
        </row>
        <row r="84">
          <cell r="J84" t="str">
            <v>1-3110.01</v>
          </cell>
          <cell r="AD84">
            <v>1</v>
          </cell>
          <cell r="AE84">
            <v>4</v>
          </cell>
          <cell r="AF84">
            <v>2</v>
          </cell>
          <cell r="AH84">
            <v>2</v>
          </cell>
          <cell r="AI84">
            <v>1</v>
          </cell>
          <cell r="AV84">
            <v>65000000000080</v>
          </cell>
          <cell r="AW84">
            <v>65000000000079</v>
          </cell>
        </row>
        <row r="85">
          <cell r="H85" t="str">
            <v>1-3111</v>
          </cell>
          <cell r="AD85">
            <v>1</v>
          </cell>
          <cell r="AE85">
            <v>4</v>
          </cell>
          <cell r="AF85">
            <v>2</v>
          </cell>
          <cell r="AH85">
            <v>1</v>
          </cell>
          <cell r="AI85">
            <v>1</v>
          </cell>
          <cell r="AV85">
            <v>65000000000081</v>
          </cell>
          <cell r="AW85">
            <v>65000000000060</v>
          </cell>
        </row>
        <row r="86">
          <cell r="J86" t="str">
            <v>1-3111.01</v>
          </cell>
          <cell r="AD86">
            <v>1</v>
          </cell>
          <cell r="AE86">
            <v>4</v>
          </cell>
          <cell r="AF86">
            <v>2</v>
          </cell>
          <cell r="AH86">
            <v>2</v>
          </cell>
          <cell r="AI86">
            <v>1</v>
          </cell>
          <cell r="AV86">
            <v>65000000000082</v>
          </cell>
          <cell r="AW86">
            <v>65000000000081</v>
          </cell>
        </row>
        <row r="87">
          <cell r="F87" t="str">
            <v>1-3200</v>
          </cell>
          <cell r="AD87">
            <v>1</v>
          </cell>
          <cell r="AE87">
            <v>4</v>
          </cell>
          <cell r="AF87">
            <v>3</v>
          </cell>
          <cell r="AH87">
            <v>1</v>
          </cell>
          <cell r="AI87">
            <v>1</v>
          </cell>
          <cell r="AV87">
            <v>65000000000083</v>
          </cell>
          <cell r="AW87">
            <v>65000000000059</v>
          </cell>
        </row>
        <row r="88">
          <cell r="H88" t="str">
            <v>1-3201</v>
          </cell>
          <cell r="AD88">
            <v>1</v>
          </cell>
          <cell r="AE88">
            <v>4</v>
          </cell>
          <cell r="AF88">
            <v>3</v>
          </cell>
          <cell r="AH88">
            <v>1</v>
          </cell>
          <cell r="AI88">
            <v>1</v>
          </cell>
          <cell r="AV88">
            <v>65000000000084</v>
          </cell>
          <cell r="AW88">
            <v>65000000000083</v>
          </cell>
        </row>
        <row r="89">
          <cell r="J89" t="str">
            <v>1-3201.01</v>
          </cell>
          <cell r="AD89">
            <v>1</v>
          </cell>
          <cell r="AE89">
            <v>4</v>
          </cell>
          <cell r="AF89">
            <v>3</v>
          </cell>
          <cell r="AH89">
            <v>2</v>
          </cell>
          <cell r="AI89">
            <v>1</v>
          </cell>
          <cell r="AV89">
            <v>65000000000085</v>
          </cell>
          <cell r="AW89">
            <v>65000000000084</v>
          </cell>
        </row>
        <row r="90">
          <cell r="H90" t="str">
            <v>1-3202</v>
          </cell>
          <cell r="AD90">
            <v>1</v>
          </cell>
          <cell r="AE90">
            <v>4</v>
          </cell>
          <cell r="AF90">
            <v>3</v>
          </cell>
          <cell r="AH90">
            <v>1</v>
          </cell>
          <cell r="AI90">
            <v>1</v>
          </cell>
          <cell r="AV90">
            <v>65000000000086</v>
          </cell>
          <cell r="AW90">
            <v>65000000000083</v>
          </cell>
        </row>
        <row r="91">
          <cell r="J91" t="str">
            <v>1-3202.01</v>
          </cell>
          <cell r="AD91">
            <v>1</v>
          </cell>
          <cell r="AE91">
            <v>4</v>
          </cell>
          <cell r="AF91">
            <v>3</v>
          </cell>
          <cell r="AH91">
            <v>2</v>
          </cell>
          <cell r="AI91">
            <v>1</v>
          </cell>
          <cell r="AV91">
            <v>65000000000087</v>
          </cell>
          <cell r="AW91">
            <v>65000000000086</v>
          </cell>
        </row>
        <row r="92">
          <cell r="H92" t="str">
            <v>1-3203</v>
          </cell>
          <cell r="AD92">
            <v>1</v>
          </cell>
          <cell r="AE92">
            <v>4</v>
          </cell>
          <cell r="AF92">
            <v>3</v>
          </cell>
          <cell r="AH92">
            <v>1</v>
          </cell>
          <cell r="AI92">
            <v>1</v>
          </cell>
          <cell r="AV92">
            <v>65000000000088</v>
          </cell>
          <cell r="AW92">
            <v>65000000000083</v>
          </cell>
        </row>
        <row r="93">
          <cell r="J93" t="str">
            <v>1-3203.01</v>
          </cell>
          <cell r="AD93">
            <v>1</v>
          </cell>
          <cell r="AE93">
            <v>4</v>
          </cell>
          <cell r="AF93">
            <v>3</v>
          </cell>
          <cell r="AH93">
            <v>2</v>
          </cell>
          <cell r="AI93">
            <v>1</v>
          </cell>
          <cell r="AV93">
            <v>65000000000089</v>
          </cell>
          <cell r="AW93">
            <v>65000000000088</v>
          </cell>
        </row>
        <row r="94">
          <cell r="H94" t="str">
            <v>1-3204</v>
          </cell>
          <cell r="AD94">
            <v>1</v>
          </cell>
          <cell r="AE94">
            <v>4</v>
          </cell>
          <cell r="AF94">
            <v>3</v>
          </cell>
          <cell r="AH94">
            <v>1</v>
          </cell>
          <cell r="AI94">
            <v>1</v>
          </cell>
          <cell r="AV94">
            <v>65000000000090</v>
          </cell>
          <cell r="AW94">
            <v>65000000000083</v>
          </cell>
        </row>
        <row r="95">
          <cell r="J95" t="str">
            <v>1-3204.01</v>
          </cell>
          <cell r="AD95">
            <v>1</v>
          </cell>
          <cell r="AE95">
            <v>4</v>
          </cell>
          <cell r="AF95">
            <v>3</v>
          </cell>
          <cell r="AH95">
            <v>2</v>
          </cell>
          <cell r="AI95">
            <v>1</v>
          </cell>
          <cell r="AV95">
            <v>65000000000091</v>
          </cell>
          <cell r="AW95">
            <v>65000000000090</v>
          </cell>
        </row>
        <row r="96">
          <cell r="H96" t="str">
            <v>1-3205</v>
          </cell>
          <cell r="AD96">
            <v>1</v>
          </cell>
          <cell r="AE96">
            <v>4</v>
          </cell>
          <cell r="AF96">
            <v>3</v>
          </cell>
          <cell r="AH96">
            <v>1</v>
          </cell>
          <cell r="AI96">
            <v>1</v>
          </cell>
          <cell r="AV96">
            <v>65000000000092</v>
          </cell>
          <cell r="AW96">
            <v>65000000000083</v>
          </cell>
        </row>
        <row r="97">
          <cell r="J97" t="str">
            <v>1-3205.01</v>
          </cell>
          <cell r="AD97">
            <v>1</v>
          </cell>
          <cell r="AE97">
            <v>4</v>
          </cell>
          <cell r="AF97">
            <v>3</v>
          </cell>
          <cell r="AH97">
            <v>2</v>
          </cell>
          <cell r="AI97">
            <v>1</v>
          </cell>
          <cell r="AV97">
            <v>65000000000093</v>
          </cell>
          <cell r="AW97">
            <v>65000000000092</v>
          </cell>
        </row>
        <row r="98">
          <cell r="H98" t="str">
            <v>1-3206</v>
          </cell>
          <cell r="AD98">
            <v>1</v>
          </cell>
          <cell r="AE98">
            <v>4</v>
          </cell>
          <cell r="AF98">
            <v>3</v>
          </cell>
          <cell r="AH98">
            <v>1</v>
          </cell>
          <cell r="AI98">
            <v>1</v>
          </cell>
          <cell r="AV98">
            <v>65000000000094</v>
          </cell>
          <cell r="AW98">
            <v>65000000000083</v>
          </cell>
        </row>
        <row r="99">
          <cell r="J99" t="str">
            <v>1-3206.01</v>
          </cell>
          <cell r="AD99">
            <v>1</v>
          </cell>
          <cell r="AE99">
            <v>4</v>
          </cell>
          <cell r="AF99">
            <v>3</v>
          </cell>
          <cell r="AH99">
            <v>2</v>
          </cell>
          <cell r="AI99">
            <v>1</v>
          </cell>
          <cell r="AV99">
            <v>65000000000095</v>
          </cell>
          <cell r="AW99">
            <v>65000000000094</v>
          </cell>
        </row>
        <row r="100">
          <cell r="H100" t="str">
            <v>1-3207</v>
          </cell>
          <cell r="AD100">
            <v>1</v>
          </cell>
          <cell r="AE100">
            <v>4</v>
          </cell>
          <cell r="AF100">
            <v>3</v>
          </cell>
          <cell r="AH100">
            <v>1</v>
          </cell>
          <cell r="AI100">
            <v>1</v>
          </cell>
          <cell r="AV100">
            <v>65000000000096</v>
          </cell>
          <cell r="AW100">
            <v>65000000000083</v>
          </cell>
        </row>
        <row r="101">
          <cell r="J101" t="str">
            <v>1-3207.01</v>
          </cell>
          <cell r="AD101">
            <v>1</v>
          </cell>
          <cell r="AE101">
            <v>4</v>
          </cell>
          <cell r="AF101">
            <v>3</v>
          </cell>
          <cell r="AH101">
            <v>2</v>
          </cell>
          <cell r="AI101">
            <v>1</v>
          </cell>
          <cell r="AV101">
            <v>65000000000097</v>
          </cell>
          <cell r="AW101">
            <v>65000000000096</v>
          </cell>
        </row>
        <row r="102">
          <cell r="H102" t="str">
            <v>1-3208</v>
          </cell>
          <cell r="AD102">
            <v>1</v>
          </cell>
          <cell r="AE102">
            <v>4</v>
          </cell>
          <cell r="AF102">
            <v>3</v>
          </cell>
          <cell r="AH102">
            <v>1</v>
          </cell>
          <cell r="AI102">
            <v>1</v>
          </cell>
          <cell r="AV102">
            <v>65000000000098</v>
          </cell>
          <cell r="AW102">
            <v>65000000000083</v>
          </cell>
        </row>
        <row r="103">
          <cell r="J103" t="str">
            <v>1-3208.01</v>
          </cell>
          <cell r="AD103">
            <v>1</v>
          </cell>
          <cell r="AE103">
            <v>4</v>
          </cell>
          <cell r="AF103">
            <v>3</v>
          </cell>
          <cell r="AH103">
            <v>2</v>
          </cell>
          <cell r="AI103">
            <v>1</v>
          </cell>
          <cell r="AV103">
            <v>65000000000099</v>
          </cell>
          <cell r="AW103">
            <v>65000000000098</v>
          </cell>
        </row>
        <row r="104">
          <cell r="H104" t="str">
            <v>1-3209</v>
          </cell>
          <cell r="AD104">
            <v>1</v>
          </cell>
          <cell r="AE104">
            <v>4</v>
          </cell>
          <cell r="AF104">
            <v>3</v>
          </cell>
          <cell r="AH104">
            <v>1</v>
          </cell>
          <cell r="AI104">
            <v>1</v>
          </cell>
          <cell r="AV104">
            <v>65000000000100</v>
          </cell>
          <cell r="AW104">
            <v>65000000000083</v>
          </cell>
        </row>
        <row r="105">
          <cell r="J105" t="str">
            <v>1-3209.01</v>
          </cell>
          <cell r="AD105">
            <v>1</v>
          </cell>
          <cell r="AE105">
            <v>4</v>
          </cell>
          <cell r="AF105">
            <v>3</v>
          </cell>
          <cell r="AH105">
            <v>2</v>
          </cell>
          <cell r="AI105">
            <v>1</v>
          </cell>
          <cell r="AV105">
            <v>65000000000101</v>
          </cell>
          <cell r="AW105">
            <v>65000000000100</v>
          </cell>
        </row>
        <row r="106">
          <cell r="H106" t="str">
            <v>1-3210</v>
          </cell>
          <cell r="AD106">
            <v>1</v>
          </cell>
          <cell r="AE106">
            <v>4</v>
          </cell>
          <cell r="AF106">
            <v>3</v>
          </cell>
          <cell r="AH106">
            <v>1</v>
          </cell>
          <cell r="AI106">
            <v>1</v>
          </cell>
          <cell r="AV106">
            <v>65000000000102</v>
          </cell>
          <cell r="AW106">
            <v>65000000000083</v>
          </cell>
        </row>
        <row r="107">
          <cell r="J107" t="str">
            <v>1-3210.01</v>
          </cell>
          <cell r="AD107">
            <v>1</v>
          </cell>
          <cell r="AE107">
            <v>4</v>
          </cell>
          <cell r="AF107">
            <v>3</v>
          </cell>
          <cell r="AH107">
            <v>2</v>
          </cell>
          <cell r="AI107">
            <v>1</v>
          </cell>
          <cell r="AV107">
            <v>65000000000103</v>
          </cell>
          <cell r="AW107">
            <v>65000000000102</v>
          </cell>
        </row>
        <row r="108">
          <cell r="AD108">
            <v>1</v>
          </cell>
          <cell r="AE108">
            <v>4</v>
          </cell>
          <cell r="AF108">
            <v>3</v>
          </cell>
          <cell r="AH108">
            <v>2</v>
          </cell>
          <cell r="AI108">
            <v>1</v>
          </cell>
          <cell r="AV108" t="str">
            <v/>
          </cell>
          <cell r="AW108" t="str">
            <v>null</v>
          </cell>
        </row>
        <row r="109">
          <cell r="D109" t="str">
            <v>1-4000</v>
          </cell>
          <cell r="AD109">
            <v>1</v>
          </cell>
          <cell r="AE109">
            <v>5</v>
          </cell>
          <cell r="AF109">
            <v>1</v>
          </cell>
          <cell r="AH109">
            <v>1</v>
          </cell>
          <cell r="AI109">
            <v>1</v>
          </cell>
          <cell r="AV109">
            <v>65000000000104</v>
          </cell>
          <cell r="AW109">
            <v>65000000000001</v>
          </cell>
        </row>
        <row r="110">
          <cell r="J110" t="str">
            <v>1-4000.01</v>
          </cell>
          <cell r="AD110">
            <v>1</v>
          </cell>
          <cell r="AE110">
            <v>5</v>
          </cell>
          <cell r="AF110">
            <v>1</v>
          </cell>
          <cell r="AH110">
            <v>2</v>
          </cell>
          <cell r="AI110">
            <v>1</v>
          </cell>
          <cell r="AV110">
            <v>65000000000105</v>
          </cell>
          <cell r="AW110">
            <v>65000000000104</v>
          </cell>
        </row>
        <row r="111">
          <cell r="D111" t="str">
            <v>1-5000</v>
          </cell>
          <cell r="AD111">
            <v>1</v>
          </cell>
          <cell r="AE111">
            <v>6</v>
          </cell>
          <cell r="AF111">
            <v>1</v>
          </cell>
          <cell r="AH111">
            <v>2</v>
          </cell>
          <cell r="AI111">
            <v>1</v>
          </cell>
          <cell r="AV111">
            <v>65000000000106</v>
          </cell>
          <cell r="AW111">
            <v>65000000000001</v>
          </cell>
        </row>
        <row r="112">
          <cell r="F112" t="str">
            <v>1-5100</v>
          </cell>
          <cell r="AD112">
            <v>1</v>
          </cell>
          <cell r="AE112">
            <v>6</v>
          </cell>
          <cell r="AF112">
            <v>2</v>
          </cell>
          <cell r="AH112">
            <v>2</v>
          </cell>
          <cell r="AI112">
            <v>1</v>
          </cell>
          <cell r="AV112">
            <v>65000000000107</v>
          </cell>
          <cell r="AW112">
            <v>65000000000106</v>
          </cell>
        </row>
        <row r="113">
          <cell r="H113" t="str">
            <v>1-5101</v>
          </cell>
          <cell r="AD113">
            <v>1</v>
          </cell>
          <cell r="AE113">
            <v>6</v>
          </cell>
          <cell r="AF113">
            <v>2</v>
          </cell>
          <cell r="AH113">
            <v>1</v>
          </cell>
          <cell r="AI113">
            <v>1</v>
          </cell>
          <cell r="AV113">
            <v>65000000000108</v>
          </cell>
          <cell r="AW113">
            <v>65000000000107</v>
          </cell>
        </row>
        <row r="114">
          <cell r="J114" t="str">
            <v>1-5101.01</v>
          </cell>
          <cell r="AD114">
            <v>1</v>
          </cell>
          <cell r="AE114">
            <v>6</v>
          </cell>
          <cell r="AF114">
            <v>2</v>
          </cell>
          <cell r="AH114">
            <v>2</v>
          </cell>
          <cell r="AI114">
            <v>1</v>
          </cell>
          <cell r="AV114">
            <v>65000000000109</v>
          </cell>
          <cell r="AW114">
            <v>65000000000108</v>
          </cell>
        </row>
        <row r="115">
          <cell r="H115" t="str">
            <v>1-5102</v>
          </cell>
          <cell r="AD115">
            <v>1</v>
          </cell>
          <cell r="AE115">
            <v>6</v>
          </cell>
          <cell r="AF115">
            <v>2</v>
          </cell>
          <cell r="AH115">
            <v>1</v>
          </cell>
          <cell r="AI115">
            <v>1</v>
          </cell>
          <cell r="AV115">
            <v>65000000000110</v>
          </cell>
          <cell r="AW115">
            <v>65000000000107</v>
          </cell>
        </row>
        <row r="116">
          <cell r="J116" t="str">
            <v>1-5102.01</v>
          </cell>
          <cell r="AD116">
            <v>1</v>
          </cell>
          <cell r="AE116">
            <v>6</v>
          </cell>
          <cell r="AF116">
            <v>2</v>
          </cell>
          <cell r="AH116">
            <v>2</v>
          </cell>
          <cell r="AI116">
            <v>1</v>
          </cell>
          <cell r="AV116">
            <v>65000000000111</v>
          </cell>
          <cell r="AW116">
            <v>65000000000110</v>
          </cell>
        </row>
        <row r="117">
          <cell r="H117" t="str">
            <v>1-5103</v>
          </cell>
          <cell r="AD117">
            <v>1</v>
          </cell>
          <cell r="AE117">
            <v>6</v>
          </cell>
          <cell r="AF117">
            <v>2</v>
          </cell>
          <cell r="AH117">
            <v>1</v>
          </cell>
          <cell r="AI117">
            <v>1</v>
          </cell>
          <cell r="AV117">
            <v>65000000000112</v>
          </cell>
          <cell r="AW117">
            <v>65000000000107</v>
          </cell>
        </row>
        <row r="118">
          <cell r="J118" t="str">
            <v>1-5103.01</v>
          </cell>
          <cell r="AD118">
            <v>1</v>
          </cell>
          <cell r="AE118">
            <v>6</v>
          </cell>
          <cell r="AF118">
            <v>2</v>
          </cell>
          <cell r="AH118">
            <v>2</v>
          </cell>
          <cell r="AI118">
            <v>1</v>
          </cell>
          <cell r="AV118">
            <v>65000000000113</v>
          </cell>
          <cell r="AW118">
            <v>65000000000112</v>
          </cell>
        </row>
        <row r="119">
          <cell r="AD119">
            <v>1</v>
          </cell>
          <cell r="AE119">
            <v>6</v>
          </cell>
          <cell r="AF119">
            <v>2</v>
          </cell>
          <cell r="AH119">
            <v>2</v>
          </cell>
          <cell r="AI119">
            <v>1</v>
          </cell>
          <cell r="AV119" t="str">
            <v/>
          </cell>
          <cell r="AW119" t="str">
            <v>null</v>
          </cell>
        </row>
        <row r="120">
          <cell r="B120" t="str">
            <v>2-0000</v>
          </cell>
          <cell r="AD120">
            <v>2</v>
          </cell>
          <cell r="AE120">
            <v>1</v>
          </cell>
          <cell r="AF120">
            <v>1</v>
          </cell>
          <cell r="AH120">
            <v>1</v>
          </cell>
          <cell r="AI120">
            <v>1</v>
          </cell>
          <cell r="AV120">
            <v>65000000000114</v>
          </cell>
          <cell r="AW120" t="str">
            <v>null</v>
          </cell>
        </row>
        <row r="121">
          <cell r="D121" t="str">
            <v>2-1000</v>
          </cell>
          <cell r="AD121">
            <v>2</v>
          </cell>
          <cell r="AE121">
            <v>2</v>
          </cell>
          <cell r="AF121">
            <v>1</v>
          </cell>
          <cell r="AH121">
            <v>1</v>
          </cell>
          <cell r="AI121">
            <v>1</v>
          </cell>
          <cell r="AV121">
            <v>65000000000115</v>
          </cell>
          <cell r="AW121">
            <v>65000000000114</v>
          </cell>
        </row>
        <row r="122">
          <cell r="H122" t="str">
            <v>2-1001</v>
          </cell>
          <cell r="AD122">
            <v>2</v>
          </cell>
          <cell r="AE122">
            <v>2</v>
          </cell>
          <cell r="AF122">
            <v>1</v>
          </cell>
          <cell r="AH122">
            <v>1</v>
          </cell>
          <cell r="AI122">
            <v>1</v>
          </cell>
          <cell r="AV122">
            <v>65000000000116</v>
          </cell>
          <cell r="AW122">
            <v>65000000000115</v>
          </cell>
        </row>
        <row r="123">
          <cell r="J123" t="str">
            <v>2-1001.01</v>
          </cell>
          <cell r="AD123">
            <v>2</v>
          </cell>
          <cell r="AE123">
            <v>2</v>
          </cell>
          <cell r="AF123">
            <v>1</v>
          </cell>
          <cell r="AH123">
            <v>2</v>
          </cell>
          <cell r="AI123">
            <v>1</v>
          </cell>
          <cell r="AV123">
            <v>65000000000117</v>
          </cell>
          <cell r="AW123">
            <v>65000000000116</v>
          </cell>
        </row>
        <row r="124">
          <cell r="J124" t="str">
            <v>2-1001.02</v>
          </cell>
          <cell r="AD124">
            <v>2</v>
          </cell>
          <cell r="AE124">
            <v>2</v>
          </cell>
          <cell r="AF124">
            <v>1</v>
          </cell>
          <cell r="AH124">
            <v>3</v>
          </cell>
          <cell r="AI124">
            <v>1</v>
          </cell>
          <cell r="AV124">
            <v>65000000000118</v>
          </cell>
          <cell r="AW124">
            <v>65000000000116</v>
          </cell>
        </row>
        <row r="125">
          <cell r="J125" t="str">
            <v>2-1001.03</v>
          </cell>
          <cell r="AD125">
            <v>2</v>
          </cell>
          <cell r="AE125">
            <v>2</v>
          </cell>
          <cell r="AF125">
            <v>1</v>
          </cell>
          <cell r="AH125">
            <v>4</v>
          </cell>
          <cell r="AI125">
            <v>1</v>
          </cell>
          <cell r="AV125">
            <v>65000000000119</v>
          </cell>
          <cell r="AW125">
            <v>65000000000116</v>
          </cell>
        </row>
        <row r="126">
          <cell r="H126" t="str">
            <v>2-1002</v>
          </cell>
          <cell r="AD126">
            <v>2</v>
          </cell>
          <cell r="AE126">
            <v>2</v>
          </cell>
          <cell r="AF126">
            <v>1</v>
          </cell>
          <cell r="AH126">
            <v>1</v>
          </cell>
          <cell r="AI126">
            <v>1</v>
          </cell>
          <cell r="AV126">
            <v>65000000000120</v>
          </cell>
          <cell r="AW126">
            <v>65000000000115</v>
          </cell>
        </row>
        <row r="127">
          <cell r="J127" t="str">
            <v>2-1002.01</v>
          </cell>
          <cell r="AD127">
            <v>2</v>
          </cell>
          <cell r="AE127">
            <v>2</v>
          </cell>
          <cell r="AF127">
            <v>1</v>
          </cell>
          <cell r="AH127">
            <v>2</v>
          </cell>
          <cell r="AI127">
            <v>1</v>
          </cell>
          <cell r="AV127">
            <v>65000000000121</v>
          </cell>
          <cell r="AW127">
            <v>65000000000120</v>
          </cell>
        </row>
        <row r="128">
          <cell r="H128" t="str">
            <v>2-1003</v>
          </cell>
          <cell r="AD128">
            <v>2</v>
          </cell>
          <cell r="AE128">
            <v>2</v>
          </cell>
          <cell r="AF128">
            <v>1</v>
          </cell>
          <cell r="AH128">
            <v>1</v>
          </cell>
          <cell r="AI128">
            <v>1</v>
          </cell>
          <cell r="AV128">
            <v>65000000000122</v>
          </cell>
          <cell r="AW128">
            <v>65000000000115</v>
          </cell>
        </row>
        <row r="129">
          <cell r="J129" t="str">
            <v>2-1003.01</v>
          </cell>
          <cell r="AD129">
            <v>2</v>
          </cell>
          <cell r="AE129">
            <v>2</v>
          </cell>
          <cell r="AF129">
            <v>1</v>
          </cell>
          <cell r="AH129">
            <v>2</v>
          </cell>
          <cell r="AI129">
            <v>1</v>
          </cell>
          <cell r="AV129">
            <v>65000000000123</v>
          </cell>
          <cell r="AW129">
            <v>65000000000122</v>
          </cell>
        </row>
        <row r="130">
          <cell r="J130" t="str">
            <v>2-1003.02</v>
          </cell>
          <cell r="AD130">
            <v>2</v>
          </cell>
          <cell r="AE130">
            <v>2</v>
          </cell>
          <cell r="AF130">
            <v>1</v>
          </cell>
          <cell r="AH130">
            <v>3</v>
          </cell>
          <cell r="AI130">
            <v>1</v>
          </cell>
          <cell r="AV130">
            <v>65000000000124</v>
          </cell>
          <cell r="AW130">
            <v>65000000000122</v>
          </cell>
        </row>
        <row r="131">
          <cell r="H131" t="str">
            <v>2-1004</v>
          </cell>
          <cell r="AD131">
            <v>2</v>
          </cell>
          <cell r="AE131">
            <v>2</v>
          </cell>
          <cell r="AF131">
            <v>1</v>
          </cell>
          <cell r="AH131">
            <v>1</v>
          </cell>
          <cell r="AI131">
            <v>1</v>
          </cell>
          <cell r="AV131">
            <v>65000000000125</v>
          </cell>
          <cell r="AW131">
            <v>65000000000115</v>
          </cell>
        </row>
        <row r="132">
          <cell r="J132" t="str">
            <v>2-1004.01</v>
          </cell>
          <cell r="AD132">
            <v>2</v>
          </cell>
          <cell r="AE132">
            <v>2</v>
          </cell>
          <cell r="AF132">
            <v>1</v>
          </cell>
          <cell r="AH132">
            <v>2</v>
          </cell>
          <cell r="AI132">
            <v>1</v>
          </cell>
          <cell r="AV132">
            <v>65000000000126</v>
          </cell>
          <cell r="AW132">
            <v>65000000000125</v>
          </cell>
        </row>
        <row r="133">
          <cell r="H133" t="str">
            <v>2-1005</v>
          </cell>
          <cell r="AD133">
            <v>2</v>
          </cell>
          <cell r="AE133">
            <v>2</v>
          </cell>
          <cell r="AF133">
            <v>1</v>
          </cell>
          <cell r="AH133">
            <v>1</v>
          </cell>
          <cell r="AI133">
            <v>1</v>
          </cell>
          <cell r="AV133">
            <v>65000000000127</v>
          </cell>
          <cell r="AW133">
            <v>65000000000115</v>
          </cell>
        </row>
        <row r="134">
          <cell r="J134" t="str">
            <v>2-1005.01</v>
          </cell>
          <cell r="AD134">
            <v>2</v>
          </cell>
          <cell r="AE134">
            <v>2</v>
          </cell>
          <cell r="AF134">
            <v>1</v>
          </cell>
          <cell r="AH134">
            <v>2</v>
          </cell>
          <cell r="AI134">
            <v>1</v>
          </cell>
          <cell r="AV134">
            <v>65000000000128</v>
          </cell>
          <cell r="AW134">
            <v>65000000000127</v>
          </cell>
        </row>
        <row r="135">
          <cell r="H135" t="str">
            <v>2-1006</v>
          </cell>
          <cell r="AD135">
            <v>2</v>
          </cell>
          <cell r="AE135">
            <v>2</v>
          </cell>
          <cell r="AF135">
            <v>1</v>
          </cell>
          <cell r="AH135">
            <v>1</v>
          </cell>
          <cell r="AI135">
            <v>1</v>
          </cell>
          <cell r="AV135">
            <v>65000000000129</v>
          </cell>
          <cell r="AW135">
            <v>65000000000115</v>
          </cell>
        </row>
        <row r="136">
          <cell r="J136" t="str">
            <v>2-1006.01</v>
          </cell>
          <cell r="AD136">
            <v>2</v>
          </cell>
          <cell r="AE136">
            <v>2</v>
          </cell>
          <cell r="AF136">
            <v>1</v>
          </cell>
          <cell r="AH136">
            <v>2</v>
          </cell>
          <cell r="AI136">
            <v>1</v>
          </cell>
          <cell r="AV136">
            <v>65000000000130</v>
          </cell>
          <cell r="AW136">
            <v>65000000000129</v>
          </cell>
        </row>
        <row r="137">
          <cell r="F137" t="str">
            <v>2-1100</v>
          </cell>
          <cell r="AD137">
            <v>2</v>
          </cell>
          <cell r="AE137">
            <v>2</v>
          </cell>
          <cell r="AF137">
            <v>2</v>
          </cell>
          <cell r="AH137">
            <v>1</v>
          </cell>
          <cell r="AI137">
            <v>1</v>
          </cell>
          <cell r="AV137">
            <v>65000000000131</v>
          </cell>
          <cell r="AW137">
            <v>65000000000115</v>
          </cell>
        </row>
        <row r="138">
          <cell r="H138" t="str">
            <v>2-1101</v>
          </cell>
          <cell r="AD138">
            <v>2</v>
          </cell>
          <cell r="AE138">
            <v>2</v>
          </cell>
          <cell r="AF138">
            <v>2</v>
          </cell>
          <cell r="AH138">
            <v>1</v>
          </cell>
          <cell r="AI138">
            <v>1</v>
          </cell>
          <cell r="AV138">
            <v>65000000000132</v>
          </cell>
          <cell r="AW138">
            <v>65000000000131</v>
          </cell>
        </row>
        <row r="139">
          <cell r="J139" t="str">
            <v>2-1101.01</v>
          </cell>
          <cell r="AD139">
            <v>2</v>
          </cell>
          <cell r="AE139">
            <v>2</v>
          </cell>
          <cell r="AF139">
            <v>2</v>
          </cell>
          <cell r="AH139">
            <v>2</v>
          </cell>
          <cell r="AI139">
            <v>1</v>
          </cell>
          <cell r="AV139">
            <v>65000000000133</v>
          </cell>
          <cell r="AW139">
            <v>65000000000132</v>
          </cell>
        </row>
        <row r="140">
          <cell r="H140" t="str">
            <v>2-1102</v>
          </cell>
          <cell r="AD140">
            <v>2</v>
          </cell>
          <cell r="AE140">
            <v>2</v>
          </cell>
          <cell r="AF140">
            <v>2</v>
          </cell>
          <cell r="AH140">
            <v>1</v>
          </cell>
          <cell r="AI140">
            <v>1</v>
          </cell>
          <cell r="AV140">
            <v>65000000000134</v>
          </cell>
          <cell r="AW140">
            <v>65000000000131</v>
          </cell>
        </row>
        <row r="141">
          <cell r="J141" t="str">
            <v>2-1102.01</v>
          </cell>
          <cell r="AD141">
            <v>2</v>
          </cell>
          <cell r="AE141">
            <v>2</v>
          </cell>
          <cell r="AF141">
            <v>2</v>
          </cell>
          <cell r="AH141">
            <v>2</v>
          </cell>
          <cell r="AI141">
            <v>1</v>
          </cell>
          <cell r="AV141">
            <v>65000000000135</v>
          </cell>
          <cell r="AW141">
            <v>65000000000134</v>
          </cell>
        </row>
        <row r="142">
          <cell r="H142" t="str">
            <v>2-1103</v>
          </cell>
          <cell r="AD142">
            <v>2</v>
          </cell>
          <cell r="AE142">
            <v>2</v>
          </cell>
          <cell r="AF142">
            <v>2</v>
          </cell>
          <cell r="AH142">
            <v>1</v>
          </cell>
          <cell r="AI142">
            <v>1</v>
          </cell>
          <cell r="AV142">
            <v>65000000000136</v>
          </cell>
          <cell r="AW142">
            <v>65000000000131</v>
          </cell>
        </row>
        <row r="143">
          <cell r="J143" t="str">
            <v>2-1103.01</v>
          </cell>
          <cell r="AD143">
            <v>2</v>
          </cell>
          <cell r="AE143">
            <v>2</v>
          </cell>
          <cell r="AF143">
            <v>2</v>
          </cell>
          <cell r="AH143">
            <v>2</v>
          </cell>
          <cell r="AI143">
            <v>1</v>
          </cell>
          <cell r="AV143">
            <v>65000000000137</v>
          </cell>
          <cell r="AW143">
            <v>65000000000136</v>
          </cell>
        </row>
        <row r="144">
          <cell r="H144" t="str">
            <v>2-1104</v>
          </cell>
          <cell r="AD144">
            <v>2</v>
          </cell>
          <cell r="AE144">
            <v>2</v>
          </cell>
          <cell r="AF144">
            <v>2</v>
          </cell>
          <cell r="AH144">
            <v>1</v>
          </cell>
          <cell r="AI144">
            <v>1</v>
          </cell>
          <cell r="AV144">
            <v>65000000000138</v>
          </cell>
          <cell r="AW144">
            <v>65000000000131</v>
          </cell>
        </row>
        <row r="145">
          <cell r="J145" t="str">
            <v>2-1104.01</v>
          </cell>
          <cell r="AD145">
            <v>2</v>
          </cell>
          <cell r="AE145">
            <v>2</v>
          </cell>
          <cell r="AF145">
            <v>2</v>
          </cell>
          <cell r="AH145">
            <v>2</v>
          </cell>
          <cell r="AI145">
            <v>1</v>
          </cell>
          <cell r="AV145">
            <v>65000000000139</v>
          </cell>
          <cell r="AW145">
            <v>65000000000138</v>
          </cell>
        </row>
        <row r="146">
          <cell r="H146" t="str">
            <v>2-1105</v>
          </cell>
          <cell r="AD146">
            <v>2</v>
          </cell>
          <cell r="AE146">
            <v>2</v>
          </cell>
          <cell r="AF146">
            <v>2</v>
          </cell>
          <cell r="AH146">
            <v>1</v>
          </cell>
          <cell r="AI146">
            <v>1</v>
          </cell>
          <cell r="AV146">
            <v>65000000000140</v>
          </cell>
          <cell r="AW146">
            <v>65000000000131</v>
          </cell>
        </row>
        <row r="147">
          <cell r="J147" t="str">
            <v>2-1105.01</v>
          </cell>
          <cell r="AD147">
            <v>2</v>
          </cell>
          <cell r="AE147">
            <v>2</v>
          </cell>
          <cell r="AF147">
            <v>2</v>
          </cell>
          <cell r="AH147">
            <v>2</v>
          </cell>
          <cell r="AI147">
            <v>1</v>
          </cell>
          <cell r="AV147">
            <v>65000000000141</v>
          </cell>
          <cell r="AW147">
            <v>65000000000140</v>
          </cell>
        </row>
        <row r="148">
          <cell r="H148" t="str">
            <v>2-1106</v>
          </cell>
          <cell r="AD148">
            <v>2</v>
          </cell>
          <cell r="AE148">
            <v>2</v>
          </cell>
          <cell r="AF148">
            <v>2</v>
          </cell>
          <cell r="AH148">
            <v>1</v>
          </cell>
          <cell r="AI148">
            <v>1</v>
          </cell>
          <cell r="AV148">
            <v>65000000000142</v>
          </cell>
          <cell r="AW148">
            <v>65000000000131</v>
          </cell>
        </row>
        <row r="149">
          <cell r="J149" t="str">
            <v>2-1106.01</v>
          </cell>
          <cell r="AD149">
            <v>2</v>
          </cell>
          <cell r="AE149">
            <v>2</v>
          </cell>
          <cell r="AF149">
            <v>2</v>
          </cell>
          <cell r="AH149">
            <v>2</v>
          </cell>
          <cell r="AI149">
            <v>1</v>
          </cell>
          <cell r="AV149">
            <v>65000000000143</v>
          </cell>
          <cell r="AW149">
            <v>65000000000142</v>
          </cell>
        </row>
        <row r="150">
          <cell r="H150" t="str">
            <v>2-1107</v>
          </cell>
          <cell r="AD150">
            <v>2</v>
          </cell>
          <cell r="AE150">
            <v>2</v>
          </cell>
          <cell r="AF150">
            <v>2</v>
          </cell>
          <cell r="AH150">
            <v>1</v>
          </cell>
          <cell r="AI150">
            <v>1</v>
          </cell>
          <cell r="AV150">
            <v>65000000000144</v>
          </cell>
          <cell r="AW150">
            <v>65000000000131</v>
          </cell>
        </row>
        <row r="151">
          <cell r="J151" t="str">
            <v>2-1107.01</v>
          </cell>
          <cell r="AD151">
            <v>2</v>
          </cell>
          <cell r="AE151">
            <v>2</v>
          </cell>
          <cell r="AF151">
            <v>2</v>
          </cell>
          <cell r="AH151">
            <v>2</v>
          </cell>
          <cell r="AI151">
            <v>1</v>
          </cell>
          <cell r="AV151">
            <v>65000000000145</v>
          </cell>
          <cell r="AW151">
            <v>65000000000144</v>
          </cell>
        </row>
        <row r="152">
          <cell r="H152" t="str">
            <v>2-1108</v>
          </cell>
          <cell r="AD152">
            <v>2</v>
          </cell>
          <cell r="AE152">
            <v>2</v>
          </cell>
          <cell r="AF152">
            <v>2</v>
          </cell>
          <cell r="AH152">
            <v>1</v>
          </cell>
          <cell r="AI152">
            <v>1</v>
          </cell>
          <cell r="AV152">
            <v>65000000000146</v>
          </cell>
          <cell r="AW152">
            <v>65000000000131</v>
          </cell>
        </row>
        <row r="153">
          <cell r="J153" t="str">
            <v>2-1108.01</v>
          </cell>
          <cell r="AD153">
            <v>2</v>
          </cell>
          <cell r="AE153">
            <v>2</v>
          </cell>
          <cell r="AF153">
            <v>2</v>
          </cell>
          <cell r="AH153">
            <v>2</v>
          </cell>
          <cell r="AI153">
            <v>1</v>
          </cell>
          <cell r="AV153">
            <v>65000000000147</v>
          </cell>
          <cell r="AW153">
            <v>65000000000146</v>
          </cell>
        </row>
        <row r="154">
          <cell r="H154" t="str">
            <v>2-1109</v>
          </cell>
          <cell r="AD154">
            <v>2</v>
          </cell>
          <cell r="AE154">
            <v>2</v>
          </cell>
          <cell r="AF154">
            <v>2</v>
          </cell>
          <cell r="AH154">
            <v>1</v>
          </cell>
          <cell r="AI154">
            <v>1</v>
          </cell>
          <cell r="AV154">
            <v>65000000000148</v>
          </cell>
          <cell r="AW154">
            <v>65000000000131</v>
          </cell>
        </row>
        <row r="155">
          <cell r="J155" t="str">
            <v>2-1109.01</v>
          </cell>
          <cell r="AD155">
            <v>2</v>
          </cell>
          <cell r="AE155">
            <v>2</v>
          </cell>
          <cell r="AF155">
            <v>2</v>
          </cell>
          <cell r="AH155">
            <v>2</v>
          </cell>
          <cell r="AI155">
            <v>1</v>
          </cell>
          <cell r="AV155">
            <v>65000000000149</v>
          </cell>
          <cell r="AW155">
            <v>65000000000148</v>
          </cell>
        </row>
        <row r="156">
          <cell r="F156" t="str">
            <v>2-1200</v>
          </cell>
          <cell r="AD156">
            <v>2</v>
          </cell>
          <cell r="AE156">
            <v>2</v>
          </cell>
          <cell r="AF156">
            <v>3</v>
          </cell>
          <cell r="AH156">
            <v>1</v>
          </cell>
          <cell r="AI156">
            <v>1</v>
          </cell>
          <cell r="AV156">
            <v>65000000000150</v>
          </cell>
          <cell r="AW156">
            <v>65000000000115</v>
          </cell>
        </row>
        <row r="157">
          <cell r="J157" t="str">
            <v>2-1200.01</v>
          </cell>
          <cell r="AD157">
            <v>2</v>
          </cell>
          <cell r="AE157">
            <v>2</v>
          </cell>
          <cell r="AF157">
            <v>3</v>
          </cell>
          <cell r="AH157">
            <v>2</v>
          </cell>
          <cell r="AI157">
            <v>1</v>
          </cell>
          <cell r="AV157">
            <v>65000000000151</v>
          </cell>
          <cell r="AW157">
            <v>65000000000150</v>
          </cell>
        </row>
        <row r="158">
          <cell r="D158" t="str">
            <v>2-2000</v>
          </cell>
          <cell r="AD158">
            <v>2</v>
          </cell>
          <cell r="AE158">
            <v>3</v>
          </cell>
          <cell r="AF158">
            <v>1</v>
          </cell>
          <cell r="AH158">
            <v>2</v>
          </cell>
          <cell r="AI158">
            <v>1</v>
          </cell>
          <cell r="AV158">
            <v>65000000000152</v>
          </cell>
          <cell r="AW158">
            <v>65000000000114</v>
          </cell>
        </row>
        <row r="159">
          <cell r="H159" t="str">
            <v>2-2001</v>
          </cell>
          <cell r="AD159">
            <v>2</v>
          </cell>
          <cell r="AE159">
            <v>3</v>
          </cell>
          <cell r="AF159">
            <v>1</v>
          </cell>
          <cell r="AH159">
            <v>1</v>
          </cell>
          <cell r="AI159">
            <v>1</v>
          </cell>
          <cell r="AV159">
            <v>65000000000153</v>
          </cell>
          <cell r="AW159">
            <v>65000000000152</v>
          </cell>
        </row>
        <row r="160">
          <cell r="J160" t="str">
            <v>2-2001.01</v>
          </cell>
          <cell r="AD160">
            <v>2</v>
          </cell>
          <cell r="AE160">
            <v>3</v>
          </cell>
          <cell r="AF160">
            <v>1</v>
          </cell>
          <cell r="AH160">
            <v>2</v>
          </cell>
          <cell r="AI160">
            <v>1</v>
          </cell>
          <cell r="AV160">
            <v>65000000000154</v>
          </cell>
          <cell r="AW160">
            <v>65000000000153</v>
          </cell>
        </row>
        <row r="161">
          <cell r="H161" t="str">
            <v>2-2002</v>
          </cell>
          <cell r="AD161">
            <v>2</v>
          </cell>
          <cell r="AE161">
            <v>3</v>
          </cell>
          <cell r="AF161">
            <v>1</v>
          </cell>
          <cell r="AH161">
            <v>1</v>
          </cell>
          <cell r="AI161">
            <v>1</v>
          </cell>
          <cell r="AV161">
            <v>65000000000155</v>
          </cell>
          <cell r="AW161">
            <v>65000000000152</v>
          </cell>
        </row>
        <row r="162">
          <cell r="J162" t="str">
            <v>2-2002.01</v>
          </cell>
          <cell r="AD162">
            <v>2</v>
          </cell>
          <cell r="AE162">
            <v>3</v>
          </cell>
          <cell r="AF162">
            <v>1</v>
          </cell>
          <cell r="AH162">
            <v>2</v>
          </cell>
          <cell r="AI162">
            <v>1</v>
          </cell>
          <cell r="AV162">
            <v>65000000000156</v>
          </cell>
          <cell r="AW162">
            <v>65000000000155</v>
          </cell>
        </row>
        <row r="163">
          <cell r="AD163">
            <v>2</v>
          </cell>
          <cell r="AE163">
            <v>3</v>
          </cell>
          <cell r="AF163">
            <v>1</v>
          </cell>
          <cell r="AH163">
            <v>2</v>
          </cell>
          <cell r="AI163">
            <v>1</v>
          </cell>
          <cell r="AV163" t="str">
            <v/>
          </cell>
          <cell r="AW163" t="str">
            <v>null</v>
          </cell>
        </row>
        <row r="164">
          <cell r="D164" t="str">
            <v>2-3000</v>
          </cell>
          <cell r="AD164">
            <v>2</v>
          </cell>
          <cell r="AE164">
            <v>4</v>
          </cell>
          <cell r="AF164">
            <v>1</v>
          </cell>
          <cell r="AH164">
            <v>2</v>
          </cell>
          <cell r="AI164">
            <v>1</v>
          </cell>
          <cell r="AV164">
            <v>65000000000157</v>
          </cell>
          <cell r="AW164">
            <v>65000000000114</v>
          </cell>
        </row>
        <row r="165">
          <cell r="H165" t="str">
            <v>2-3001</v>
          </cell>
          <cell r="AD165">
            <v>2</v>
          </cell>
          <cell r="AE165">
            <v>4</v>
          </cell>
          <cell r="AF165">
            <v>1</v>
          </cell>
          <cell r="AH165">
            <v>1</v>
          </cell>
          <cell r="AI165">
            <v>1</v>
          </cell>
          <cell r="AV165">
            <v>65000000000158</v>
          </cell>
          <cell r="AW165">
            <v>65000000000157</v>
          </cell>
        </row>
        <row r="166">
          <cell r="J166" t="str">
            <v>2-3001.01</v>
          </cell>
          <cell r="AD166">
            <v>2</v>
          </cell>
          <cell r="AE166">
            <v>4</v>
          </cell>
          <cell r="AF166">
            <v>1</v>
          </cell>
          <cell r="AH166">
            <v>2</v>
          </cell>
          <cell r="AI166">
            <v>1</v>
          </cell>
          <cell r="AV166">
            <v>65000000000159</v>
          </cell>
          <cell r="AW166">
            <v>65000000000158</v>
          </cell>
        </row>
        <row r="167">
          <cell r="J167" t="str">
            <v>2-3001.01</v>
          </cell>
          <cell r="AD167">
            <v>2</v>
          </cell>
          <cell r="AE167">
            <v>4</v>
          </cell>
          <cell r="AF167">
            <v>1</v>
          </cell>
          <cell r="AH167">
            <v>3</v>
          </cell>
          <cell r="AI167">
            <v>1</v>
          </cell>
          <cell r="AV167">
            <v>65000000000160</v>
          </cell>
          <cell r="AW167">
            <v>65000000000158</v>
          </cell>
        </row>
        <row r="168">
          <cell r="AD168">
            <v>2</v>
          </cell>
          <cell r="AE168">
            <v>4</v>
          </cell>
          <cell r="AF168">
            <v>1</v>
          </cell>
          <cell r="AH168">
            <v>3</v>
          </cell>
          <cell r="AI168">
            <v>1</v>
          </cell>
          <cell r="AV168" t="str">
            <v/>
          </cell>
          <cell r="AW168" t="str">
            <v>null</v>
          </cell>
        </row>
        <row r="169">
          <cell r="B169" t="str">
            <v>3-0000</v>
          </cell>
          <cell r="AD169">
            <v>3</v>
          </cell>
          <cell r="AE169">
            <v>1</v>
          </cell>
          <cell r="AF169">
            <v>1</v>
          </cell>
          <cell r="AH169">
            <v>3</v>
          </cell>
          <cell r="AI169">
            <v>1</v>
          </cell>
          <cell r="AV169">
            <v>65000000000161</v>
          </cell>
          <cell r="AW169" t="str">
            <v>null</v>
          </cell>
        </row>
        <row r="170">
          <cell r="D170" t="str">
            <v>3-1000</v>
          </cell>
          <cell r="AD170">
            <v>3</v>
          </cell>
          <cell r="AE170">
            <v>2</v>
          </cell>
          <cell r="AF170">
            <v>1</v>
          </cell>
          <cell r="AH170">
            <v>3</v>
          </cell>
          <cell r="AI170">
            <v>1</v>
          </cell>
          <cell r="AV170">
            <v>65000000000162</v>
          </cell>
          <cell r="AW170">
            <v>65000000000161</v>
          </cell>
        </row>
        <row r="171">
          <cell r="J171" t="str">
            <v>3-1000.01</v>
          </cell>
          <cell r="AD171">
            <v>3</v>
          </cell>
          <cell r="AE171">
            <v>2</v>
          </cell>
          <cell r="AF171">
            <v>1</v>
          </cell>
          <cell r="AH171">
            <v>4</v>
          </cell>
          <cell r="AI171">
            <v>1</v>
          </cell>
          <cell r="AV171">
            <v>65000000000163</v>
          </cell>
          <cell r="AW171">
            <v>65000000000162</v>
          </cell>
        </row>
        <row r="172">
          <cell r="D172" t="str">
            <v>3-2000</v>
          </cell>
          <cell r="AD172">
            <v>3</v>
          </cell>
          <cell r="AE172">
            <v>3</v>
          </cell>
          <cell r="AF172">
            <v>1</v>
          </cell>
          <cell r="AH172">
            <v>4</v>
          </cell>
          <cell r="AI172">
            <v>1</v>
          </cell>
          <cell r="AV172">
            <v>65000000000164</v>
          </cell>
          <cell r="AW172">
            <v>65000000000161</v>
          </cell>
        </row>
        <row r="173">
          <cell r="J173" t="str">
            <v>3-2000.01</v>
          </cell>
          <cell r="AD173">
            <v>3</v>
          </cell>
          <cell r="AE173">
            <v>3</v>
          </cell>
          <cell r="AF173">
            <v>1</v>
          </cell>
          <cell r="AH173">
            <v>5</v>
          </cell>
          <cell r="AI173">
            <v>1</v>
          </cell>
          <cell r="AV173">
            <v>65000000000165</v>
          </cell>
          <cell r="AW173">
            <v>65000000000164</v>
          </cell>
        </row>
        <row r="174">
          <cell r="D174" t="str">
            <v>3-3000</v>
          </cell>
          <cell r="AD174">
            <v>3</v>
          </cell>
          <cell r="AE174">
            <v>4</v>
          </cell>
          <cell r="AF174">
            <v>1</v>
          </cell>
          <cell r="AH174">
            <v>5</v>
          </cell>
          <cell r="AI174">
            <v>1</v>
          </cell>
          <cell r="AV174">
            <v>65000000000166</v>
          </cell>
          <cell r="AW174">
            <v>65000000000161</v>
          </cell>
        </row>
        <row r="175">
          <cell r="J175" t="str">
            <v>3-3000.01</v>
          </cell>
          <cell r="AD175">
            <v>3</v>
          </cell>
          <cell r="AE175">
            <v>4</v>
          </cell>
          <cell r="AF175">
            <v>1</v>
          </cell>
          <cell r="AH175">
            <v>6</v>
          </cell>
          <cell r="AI175">
            <v>1</v>
          </cell>
          <cell r="AV175">
            <v>65000000000167</v>
          </cell>
          <cell r="AW175">
            <v>65000000000166</v>
          </cell>
        </row>
        <row r="176">
          <cell r="D176" t="str">
            <v>3-9000</v>
          </cell>
          <cell r="AD176">
            <v>3</v>
          </cell>
          <cell r="AE176">
            <v>5</v>
          </cell>
          <cell r="AF176">
            <v>1</v>
          </cell>
          <cell r="AH176">
            <v>6</v>
          </cell>
          <cell r="AI176">
            <v>1</v>
          </cell>
          <cell r="AV176">
            <v>65000000000168</v>
          </cell>
          <cell r="AW176">
            <v>65000000000161</v>
          </cell>
        </row>
        <row r="177">
          <cell r="J177" t="str">
            <v>3-9000.01</v>
          </cell>
          <cell r="AD177">
            <v>3</v>
          </cell>
          <cell r="AE177">
            <v>5</v>
          </cell>
          <cell r="AF177">
            <v>1</v>
          </cell>
          <cell r="AH177">
            <v>7</v>
          </cell>
          <cell r="AI177">
            <v>1</v>
          </cell>
          <cell r="AV177">
            <v>65000000000169</v>
          </cell>
          <cell r="AW177">
            <v>65000000000168</v>
          </cell>
        </row>
        <row r="178">
          <cell r="AD178">
            <v>3</v>
          </cell>
          <cell r="AE178">
            <v>5</v>
          </cell>
          <cell r="AF178">
            <v>1</v>
          </cell>
          <cell r="AH178">
            <v>7</v>
          </cell>
          <cell r="AI178">
            <v>1</v>
          </cell>
          <cell r="AV178" t="str">
            <v/>
          </cell>
          <cell r="AW178" t="str">
            <v>null</v>
          </cell>
        </row>
        <row r="179">
          <cell r="B179" t="str">
            <v>4-0000</v>
          </cell>
          <cell r="AD179">
            <v>4</v>
          </cell>
          <cell r="AE179">
            <v>1</v>
          </cell>
          <cell r="AF179">
            <v>1</v>
          </cell>
          <cell r="AH179">
            <v>7</v>
          </cell>
          <cell r="AI179">
            <v>1</v>
          </cell>
          <cell r="AV179">
            <v>65000000000170</v>
          </cell>
          <cell r="AW179" t="str">
            <v>null</v>
          </cell>
        </row>
        <row r="180">
          <cell r="D180" t="str">
            <v>4-1000</v>
          </cell>
          <cell r="AD180">
            <v>4</v>
          </cell>
          <cell r="AE180">
            <v>2</v>
          </cell>
          <cell r="AF180">
            <v>1</v>
          </cell>
          <cell r="AH180">
            <v>7</v>
          </cell>
          <cell r="AI180">
            <v>1</v>
          </cell>
          <cell r="AV180">
            <v>65000000000171</v>
          </cell>
          <cell r="AW180">
            <v>65000000000170</v>
          </cell>
        </row>
        <row r="181">
          <cell r="H181" t="str">
            <v>4-1001</v>
          </cell>
          <cell r="AD181">
            <v>4</v>
          </cell>
          <cell r="AE181">
            <v>2</v>
          </cell>
          <cell r="AF181">
            <v>1</v>
          </cell>
          <cell r="AH181">
            <v>1</v>
          </cell>
          <cell r="AI181">
            <v>1</v>
          </cell>
          <cell r="AV181">
            <v>65000000000172</v>
          </cell>
          <cell r="AW181">
            <v>65000000000171</v>
          </cell>
        </row>
        <row r="182">
          <cell r="J182" t="str">
            <v>4-1001.01</v>
          </cell>
          <cell r="AD182">
            <v>4</v>
          </cell>
          <cell r="AE182">
            <v>2</v>
          </cell>
          <cell r="AF182">
            <v>1</v>
          </cell>
          <cell r="AH182">
            <v>2</v>
          </cell>
          <cell r="AI182">
            <v>1</v>
          </cell>
          <cell r="AV182">
            <v>65000000000173</v>
          </cell>
          <cell r="AW182">
            <v>65000000000172</v>
          </cell>
        </row>
        <row r="183">
          <cell r="D183" t="str">
            <v>4-2000</v>
          </cell>
          <cell r="AD183">
            <v>4</v>
          </cell>
          <cell r="AE183">
            <v>3</v>
          </cell>
          <cell r="AF183">
            <v>1</v>
          </cell>
          <cell r="AH183">
            <v>2</v>
          </cell>
          <cell r="AI183">
            <v>1</v>
          </cell>
          <cell r="AV183">
            <v>65000000000174</v>
          </cell>
          <cell r="AW183">
            <v>65000000000170</v>
          </cell>
        </row>
        <row r="184">
          <cell r="H184" t="str">
            <v>4-2001</v>
          </cell>
          <cell r="AD184">
            <v>4</v>
          </cell>
          <cell r="AE184">
            <v>3</v>
          </cell>
          <cell r="AF184">
            <v>1</v>
          </cell>
          <cell r="AH184">
            <v>1</v>
          </cell>
          <cell r="AI184">
            <v>1</v>
          </cell>
          <cell r="AV184">
            <v>65000000000175</v>
          </cell>
          <cell r="AW184">
            <v>65000000000174</v>
          </cell>
        </row>
        <row r="185">
          <cell r="J185" t="str">
            <v>4-2001.01</v>
          </cell>
          <cell r="AD185">
            <v>4</v>
          </cell>
          <cell r="AE185">
            <v>3</v>
          </cell>
          <cell r="AF185">
            <v>1</v>
          </cell>
          <cell r="AH185">
            <v>2</v>
          </cell>
          <cell r="AI185">
            <v>1</v>
          </cell>
          <cell r="AV185">
            <v>65000000000176</v>
          </cell>
          <cell r="AW185">
            <v>65000000000175</v>
          </cell>
        </row>
        <row r="186">
          <cell r="D186" t="str">
            <v>4-3000</v>
          </cell>
          <cell r="AD186">
            <v>4</v>
          </cell>
          <cell r="AE186">
            <v>4</v>
          </cell>
          <cell r="AF186">
            <v>1</v>
          </cell>
          <cell r="AH186">
            <v>2</v>
          </cell>
          <cell r="AI186">
            <v>1</v>
          </cell>
          <cell r="AV186">
            <v>65000000000177</v>
          </cell>
          <cell r="AW186">
            <v>65000000000170</v>
          </cell>
        </row>
        <row r="187">
          <cell r="H187" t="str">
            <v>4-3001</v>
          </cell>
          <cell r="AD187">
            <v>4</v>
          </cell>
          <cell r="AE187">
            <v>4</v>
          </cell>
          <cell r="AF187">
            <v>1</v>
          </cell>
          <cell r="AH187">
            <v>1</v>
          </cell>
          <cell r="AI187">
            <v>1</v>
          </cell>
          <cell r="AV187">
            <v>65000000000178</v>
          </cell>
          <cell r="AW187">
            <v>65000000000177</v>
          </cell>
        </row>
        <row r="188">
          <cell r="J188" t="str">
            <v>4-3001.01</v>
          </cell>
          <cell r="AD188">
            <v>4</v>
          </cell>
          <cell r="AE188">
            <v>4</v>
          </cell>
          <cell r="AF188">
            <v>1</v>
          </cell>
          <cell r="AH188">
            <v>2</v>
          </cell>
          <cell r="AI188">
            <v>1</v>
          </cell>
          <cell r="AV188">
            <v>65000000000179</v>
          </cell>
          <cell r="AW188">
            <v>65000000000178</v>
          </cell>
        </row>
        <row r="189">
          <cell r="D189" t="str">
            <v>4-4000</v>
          </cell>
          <cell r="AD189">
            <v>4</v>
          </cell>
          <cell r="AE189">
            <v>5</v>
          </cell>
          <cell r="AF189">
            <v>1</v>
          </cell>
          <cell r="AH189">
            <v>2</v>
          </cell>
          <cell r="AI189">
            <v>1</v>
          </cell>
          <cell r="AV189">
            <v>65000000000180</v>
          </cell>
          <cell r="AW189">
            <v>65000000000170</v>
          </cell>
        </row>
        <row r="190">
          <cell r="H190" t="str">
            <v>4-4001</v>
          </cell>
          <cell r="AD190">
            <v>4</v>
          </cell>
          <cell r="AE190">
            <v>5</v>
          </cell>
          <cell r="AF190">
            <v>1</v>
          </cell>
          <cell r="AH190">
            <v>1</v>
          </cell>
          <cell r="AI190">
            <v>1</v>
          </cell>
          <cell r="AV190">
            <v>65000000000181</v>
          </cell>
          <cell r="AW190">
            <v>65000000000180</v>
          </cell>
        </row>
        <row r="191">
          <cell r="J191" t="str">
            <v>4-4001.01</v>
          </cell>
          <cell r="AD191">
            <v>4</v>
          </cell>
          <cell r="AE191">
            <v>5</v>
          </cell>
          <cell r="AF191">
            <v>1</v>
          </cell>
          <cell r="AH191">
            <v>2</v>
          </cell>
          <cell r="AI191">
            <v>1</v>
          </cell>
          <cell r="AV191">
            <v>65000000000182</v>
          </cell>
          <cell r="AW191">
            <v>65000000000181</v>
          </cell>
        </row>
        <row r="192">
          <cell r="D192" t="str">
            <v>4-5000</v>
          </cell>
          <cell r="AD192">
            <v>4</v>
          </cell>
          <cell r="AE192">
            <v>6</v>
          </cell>
          <cell r="AF192">
            <v>1</v>
          </cell>
          <cell r="AH192">
            <v>2</v>
          </cell>
          <cell r="AI192">
            <v>1</v>
          </cell>
          <cell r="AV192">
            <v>65000000000183</v>
          </cell>
          <cell r="AW192">
            <v>65000000000170</v>
          </cell>
        </row>
        <row r="193">
          <cell r="H193" t="str">
            <v>4-5001</v>
          </cell>
          <cell r="AD193">
            <v>4</v>
          </cell>
          <cell r="AE193">
            <v>6</v>
          </cell>
          <cell r="AF193">
            <v>1</v>
          </cell>
          <cell r="AH193">
            <v>1</v>
          </cell>
          <cell r="AI193">
            <v>1</v>
          </cell>
          <cell r="AV193">
            <v>65000000000184</v>
          </cell>
          <cell r="AW193">
            <v>65000000000183</v>
          </cell>
        </row>
        <row r="194">
          <cell r="J194" t="str">
            <v>4-5001.01</v>
          </cell>
          <cell r="AD194">
            <v>4</v>
          </cell>
          <cell r="AE194">
            <v>6</v>
          </cell>
          <cell r="AF194">
            <v>1</v>
          </cell>
          <cell r="AH194">
            <v>2</v>
          </cell>
          <cell r="AI194">
            <v>1</v>
          </cell>
          <cell r="AV194">
            <v>65000000000185</v>
          </cell>
          <cell r="AW194">
            <v>65000000000184</v>
          </cell>
        </row>
        <row r="195">
          <cell r="D195" t="str">
            <v>4-6000</v>
          </cell>
          <cell r="AD195">
            <v>4</v>
          </cell>
          <cell r="AE195">
            <v>7</v>
          </cell>
          <cell r="AF195">
            <v>1</v>
          </cell>
          <cell r="AH195">
            <v>2</v>
          </cell>
          <cell r="AI195">
            <v>1</v>
          </cell>
          <cell r="AV195">
            <v>65000000000186</v>
          </cell>
          <cell r="AW195">
            <v>65000000000170</v>
          </cell>
        </row>
        <row r="196">
          <cell r="H196" t="str">
            <v>4-6001</v>
          </cell>
          <cell r="AD196">
            <v>4</v>
          </cell>
          <cell r="AE196">
            <v>7</v>
          </cell>
          <cell r="AF196">
            <v>1</v>
          </cell>
          <cell r="AH196">
            <v>1</v>
          </cell>
          <cell r="AI196">
            <v>1</v>
          </cell>
          <cell r="AV196">
            <v>65000000000187</v>
          </cell>
          <cell r="AW196">
            <v>65000000000186</v>
          </cell>
        </row>
        <row r="197">
          <cell r="J197" t="str">
            <v>4-6001.01</v>
          </cell>
          <cell r="AD197">
            <v>4</v>
          </cell>
          <cell r="AE197">
            <v>7</v>
          </cell>
          <cell r="AF197">
            <v>1</v>
          </cell>
          <cell r="AH197">
            <v>2</v>
          </cell>
          <cell r="AI197">
            <v>1</v>
          </cell>
          <cell r="AV197">
            <v>65000000000188</v>
          </cell>
          <cell r="AW197">
            <v>65000000000187</v>
          </cell>
        </row>
        <row r="198">
          <cell r="AD198">
            <v>4</v>
          </cell>
          <cell r="AE198">
            <v>7</v>
          </cell>
          <cell r="AF198">
            <v>1</v>
          </cell>
          <cell r="AH198">
            <v>2</v>
          </cell>
          <cell r="AI198">
            <v>1</v>
          </cell>
          <cell r="AV198" t="str">
            <v/>
          </cell>
          <cell r="AW198" t="str">
            <v>null</v>
          </cell>
        </row>
        <row r="199">
          <cell r="B199" t="str">
            <v>5-0000</v>
          </cell>
          <cell r="AD199">
            <v>5</v>
          </cell>
          <cell r="AE199">
            <v>1</v>
          </cell>
          <cell r="AF199">
            <v>1</v>
          </cell>
          <cell r="AH199">
            <v>2</v>
          </cell>
          <cell r="AI199">
            <v>1</v>
          </cell>
          <cell r="AV199">
            <v>65000000000189</v>
          </cell>
          <cell r="AW199" t="str">
            <v>null</v>
          </cell>
        </row>
        <row r="200">
          <cell r="D200" t="str">
            <v>5-1000</v>
          </cell>
          <cell r="AD200">
            <v>5</v>
          </cell>
          <cell r="AE200">
            <v>2</v>
          </cell>
          <cell r="AF200">
            <v>1</v>
          </cell>
          <cell r="AH200">
            <v>2</v>
          </cell>
          <cell r="AI200">
            <v>1</v>
          </cell>
          <cell r="AV200">
            <v>65000000000190</v>
          </cell>
          <cell r="AW200">
            <v>65000000000189</v>
          </cell>
        </row>
        <row r="201">
          <cell r="H201" t="str">
            <v>5-1001</v>
          </cell>
          <cell r="AD201">
            <v>5</v>
          </cell>
          <cell r="AE201">
            <v>2</v>
          </cell>
          <cell r="AF201">
            <v>1</v>
          </cell>
          <cell r="AH201">
            <v>1</v>
          </cell>
          <cell r="AI201">
            <v>1</v>
          </cell>
          <cell r="AV201">
            <v>65000000000191</v>
          </cell>
          <cell r="AW201">
            <v>65000000000190</v>
          </cell>
        </row>
        <row r="202">
          <cell r="J202" t="str">
            <v>5-1001.01</v>
          </cell>
          <cell r="AD202">
            <v>5</v>
          </cell>
          <cell r="AE202">
            <v>2</v>
          </cell>
          <cell r="AF202">
            <v>1</v>
          </cell>
          <cell r="AH202">
            <v>2</v>
          </cell>
          <cell r="AI202">
            <v>1</v>
          </cell>
          <cell r="AV202">
            <v>65000000000192</v>
          </cell>
          <cell r="AW202">
            <v>65000000000191</v>
          </cell>
        </row>
        <row r="203">
          <cell r="H203" t="str">
            <v>5-1002</v>
          </cell>
          <cell r="AD203">
            <v>5</v>
          </cell>
          <cell r="AE203">
            <v>2</v>
          </cell>
          <cell r="AF203">
            <v>1</v>
          </cell>
          <cell r="AH203">
            <v>1</v>
          </cell>
          <cell r="AI203">
            <v>1</v>
          </cell>
          <cell r="AV203">
            <v>65000000000193</v>
          </cell>
          <cell r="AW203">
            <v>65000000000190</v>
          </cell>
        </row>
        <row r="204">
          <cell r="J204" t="str">
            <v>5-1002.01</v>
          </cell>
          <cell r="AD204">
            <v>5</v>
          </cell>
          <cell r="AE204">
            <v>2</v>
          </cell>
          <cell r="AF204">
            <v>1</v>
          </cell>
          <cell r="AH204">
            <v>2</v>
          </cell>
          <cell r="AI204">
            <v>1</v>
          </cell>
          <cell r="AV204">
            <v>65000000000194</v>
          </cell>
          <cell r="AW204">
            <v>65000000000193</v>
          </cell>
        </row>
        <row r="205">
          <cell r="H205" t="str">
            <v>5-1003</v>
          </cell>
          <cell r="AD205">
            <v>5</v>
          </cell>
          <cell r="AE205">
            <v>2</v>
          </cell>
          <cell r="AF205">
            <v>1</v>
          </cell>
          <cell r="AH205">
            <v>1</v>
          </cell>
          <cell r="AI205">
            <v>1</v>
          </cell>
          <cell r="AV205">
            <v>65000000000195</v>
          </cell>
          <cell r="AW205">
            <v>65000000000190</v>
          </cell>
        </row>
        <row r="206">
          <cell r="J206" t="str">
            <v>5-1003.01</v>
          </cell>
          <cell r="AD206">
            <v>5</v>
          </cell>
          <cell r="AE206">
            <v>2</v>
          </cell>
          <cell r="AF206">
            <v>1</v>
          </cell>
          <cell r="AH206">
            <v>2</v>
          </cell>
          <cell r="AI206">
            <v>1</v>
          </cell>
          <cell r="AV206">
            <v>65000000000196</v>
          </cell>
          <cell r="AW206">
            <v>65000000000195</v>
          </cell>
        </row>
        <row r="207">
          <cell r="H207" t="str">
            <v>5-1004</v>
          </cell>
          <cell r="AD207">
            <v>5</v>
          </cell>
          <cell r="AE207">
            <v>2</v>
          </cell>
          <cell r="AF207">
            <v>1</v>
          </cell>
          <cell r="AH207">
            <v>1</v>
          </cell>
          <cell r="AI207">
            <v>1</v>
          </cell>
          <cell r="AV207">
            <v>65000000000197</v>
          </cell>
          <cell r="AW207">
            <v>65000000000190</v>
          </cell>
        </row>
        <row r="208">
          <cell r="J208" t="str">
            <v>5-1004.01</v>
          </cell>
          <cell r="AD208">
            <v>5</v>
          </cell>
          <cell r="AE208">
            <v>2</v>
          </cell>
          <cell r="AF208">
            <v>1</v>
          </cell>
          <cell r="AH208">
            <v>2</v>
          </cell>
          <cell r="AI208">
            <v>1</v>
          </cell>
          <cell r="AV208">
            <v>65000000000198</v>
          </cell>
          <cell r="AW208">
            <v>65000000000197</v>
          </cell>
        </row>
        <row r="209">
          <cell r="H209" t="str">
            <v>5-1005</v>
          </cell>
          <cell r="AD209">
            <v>5</v>
          </cell>
          <cell r="AE209">
            <v>2</v>
          </cell>
          <cell r="AF209">
            <v>1</v>
          </cell>
          <cell r="AH209">
            <v>1</v>
          </cell>
          <cell r="AI209">
            <v>1</v>
          </cell>
          <cell r="AV209">
            <v>65000000000199</v>
          </cell>
          <cell r="AW209">
            <v>65000000000190</v>
          </cell>
        </row>
        <row r="210">
          <cell r="J210" t="str">
            <v>5-1005.01</v>
          </cell>
          <cell r="AD210">
            <v>5</v>
          </cell>
          <cell r="AE210">
            <v>2</v>
          </cell>
          <cell r="AF210">
            <v>1</v>
          </cell>
          <cell r="AH210">
            <v>2</v>
          </cell>
          <cell r="AI210">
            <v>1</v>
          </cell>
          <cell r="AV210">
            <v>65000000000200</v>
          </cell>
          <cell r="AW210">
            <v>65000000000199</v>
          </cell>
        </row>
        <row r="211">
          <cell r="H211" t="str">
            <v>5-1006</v>
          </cell>
          <cell r="AD211">
            <v>5</v>
          </cell>
          <cell r="AE211">
            <v>2</v>
          </cell>
          <cell r="AF211">
            <v>1</v>
          </cell>
          <cell r="AH211">
            <v>1</v>
          </cell>
          <cell r="AI211">
            <v>1</v>
          </cell>
          <cell r="AV211">
            <v>65000000000201</v>
          </cell>
          <cell r="AW211">
            <v>65000000000190</v>
          </cell>
        </row>
        <row r="212">
          <cell r="J212" t="str">
            <v>5-1006.01</v>
          </cell>
          <cell r="AD212">
            <v>5</v>
          </cell>
          <cell r="AE212">
            <v>2</v>
          </cell>
          <cell r="AF212">
            <v>1</v>
          </cell>
          <cell r="AH212">
            <v>2</v>
          </cell>
          <cell r="AI212">
            <v>1</v>
          </cell>
          <cell r="AV212">
            <v>65000000000202</v>
          </cell>
          <cell r="AW212">
            <v>65000000000201</v>
          </cell>
        </row>
        <row r="213">
          <cell r="H213" t="str">
            <v>5-1007</v>
          </cell>
          <cell r="AD213">
            <v>5</v>
          </cell>
          <cell r="AE213">
            <v>2</v>
          </cell>
          <cell r="AF213">
            <v>1</v>
          </cell>
          <cell r="AH213">
            <v>1</v>
          </cell>
          <cell r="AI213">
            <v>1</v>
          </cell>
          <cell r="AV213">
            <v>65000000000203</v>
          </cell>
          <cell r="AW213">
            <v>65000000000190</v>
          </cell>
        </row>
        <row r="214">
          <cell r="J214" t="str">
            <v>5-1007.01</v>
          </cell>
          <cell r="AD214">
            <v>5</v>
          </cell>
          <cell r="AE214">
            <v>2</v>
          </cell>
          <cell r="AF214">
            <v>1</v>
          </cell>
          <cell r="AH214">
            <v>2</v>
          </cell>
          <cell r="AI214">
            <v>1</v>
          </cell>
          <cell r="AV214">
            <v>65000000000204</v>
          </cell>
          <cell r="AW214">
            <v>65000000000203</v>
          </cell>
        </row>
        <row r="215">
          <cell r="H215" t="str">
            <v>5-1008</v>
          </cell>
          <cell r="AD215">
            <v>5</v>
          </cell>
          <cell r="AE215">
            <v>2</v>
          </cell>
          <cell r="AF215">
            <v>1</v>
          </cell>
          <cell r="AH215">
            <v>1</v>
          </cell>
          <cell r="AI215">
            <v>1</v>
          </cell>
          <cell r="AV215">
            <v>65000000000205</v>
          </cell>
          <cell r="AW215">
            <v>65000000000190</v>
          </cell>
        </row>
        <row r="216">
          <cell r="J216" t="str">
            <v>5-1008.01</v>
          </cell>
          <cell r="AD216">
            <v>5</v>
          </cell>
          <cell r="AE216">
            <v>2</v>
          </cell>
          <cell r="AF216">
            <v>1</v>
          </cell>
          <cell r="AH216">
            <v>2</v>
          </cell>
          <cell r="AI216">
            <v>1</v>
          </cell>
          <cell r="AV216">
            <v>65000000000206</v>
          </cell>
          <cell r="AW216">
            <v>65000000000205</v>
          </cell>
        </row>
        <row r="217">
          <cell r="H217" t="str">
            <v>5-1009</v>
          </cell>
          <cell r="AD217">
            <v>5</v>
          </cell>
          <cell r="AE217">
            <v>2</v>
          </cell>
          <cell r="AF217">
            <v>1</v>
          </cell>
          <cell r="AH217">
            <v>1</v>
          </cell>
          <cell r="AI217">
            <v>1</v>
          </cell>
          <cell r="AV217">
            <v>65000000000207</v>
          </cell>
          <cell r="AW217">
            <v>65000000000190</v>
          </cell>
        </row>
        <row r="218">
          <cell r="J218" t="str">
            <v>5-1009.01</v>
          </cell>
          <cell r="AD218">
            <v>5</v>
          </cell>
          <cell r="AE218">
            <v>2</v>
          </cell>
          <cell r="AF218">
            <v>1</v>
          </cell>
          <cell r="AH218">
            <v>2</v>
          </cell>
          <cell r="AI218">
            <v>1</v>
          </cell>
          <cell r="AV218">
            <v>65000000000208</v>
          </cell>
          <cell r="AW218">
            <v>65000000000207</v>
          </cell>
        </row>
        <row r="219">
          <cell r="H219" t="str">
            <v>5-1010</v>
          </cell>
          <cell r="AD219">
            <v>5</v>
          </cell>
          <cell r="AE219">
            <v>2</v>
          </cell>
          <cell r="AF219">
            <v>1</v>
          </cell>
          <cell r="AH219">
            <v>1</v>
          </cell>
          <cell r="AI219">
            <v>1</v>
          </cell>
          <cell r="AV219">
            <v>65000000000209</v>
          </cell>
          <cell r="AW219">
            <v>65000000000190</v>
          </cell>
        </row>
        <row r="220">
          <cell r="J220" t="str">
            <v>5-1010.01</v>
          </cell>
          <cell r="AD220">
            <v>5</v>
          </cell>
          <cell r="AE220">
            <v>2</v>
          </cell>
          <cell r="AF220">
            <v>1</v>
          </cell>
          <cell r="AH220">
            <v>2</v>
          </cell>
          <cell r="AI220">
            <v>1</v>
          </cell>
          <cell r="AV220">
            <v>65000000000210</v>
          </cell>
          <cell r="AW220">
            <v>65000000000209</v>
          </cell>
        </row>
        <row r="221">
          <cell r="H221" t="str">
            <v>5-1099</v>
          </cell>
          <cell r="AD221">
            <v>5</v>
          </cell>
          <cell r="AE221">
            <v>2</v>
          </cell>
          <cell r="AF221">
            <v>1</v>
          </cell>
          <cell r="AH221">
            <v>1</v>
          </cell>
          <cell r="AI221">
            <v>1</v>
          </cell>
          <cell r="AV221">
            <v>65000000000211</v>
          </cell>
          <cell r="AW221">
            <v>65000000000190</v>
          </cell>
        </row>
        <row r="222">
          <cell r="J222" t="str">
            <v>5-1099.01</v>
          </cell>
          <cell r="AD222">
            <v>5</v>
          </cell>
          <cell r="AE222">
            <v>2</v>
          </cell>
          <cell r="AF222">
            <v>1</v>
          </cell>
          <cell r="AH222">
            <v>2</v>
          </cell>
          <cell r="AI222">
            <v>1</v>
          </cell>
          <cell r="AV222">
            <v>65000000000212</v>
          </cell>
          <cell r="AW222">
            <v>65000000000211</v>
          </cell>
        </row>
        <row r="223">
          <cell r="D223" t="str">
            <v>5-2000</v>
          </cell>
          <cell r="AD223">
            <v>5</v>
          </cell>
          <cell r="AE223">
            <v>3</v>
          </cell>
          <cell r="AF223">
            <v>1</v>
          </cell>
          <cell r="AH223">
            <v>2</v>
          </cell>
          <cell r="AI223">
            <v>1</v>
          </cell>
          <cell r="AV223">
            <v>65000000000213</v>
          </cell>
          <cell r="AW223">
            <v>65000000000189</v>
          </cell>
        </row>
        <row r="224">
          <cell r="H224" t="str">
            <v>5-2001</v>
          </cell>
          <cell r="AD224">
            <v>5</v>
          </cell>
          <cell r="AE224">
            <v>3</v>
          </cell>
          <cell r="AF224">
            <v>1</v>
          </cell>
          <cell r="AH224">
            <v>1</v>
          </cell>
          <cell r="AI224">
            <v>1</v>
          </cell>
          <cell r="AV224">
            <v>65000000000214</v>
          </cell>
          <cell r="AW224">
            <v>65000000000213</v>
          </cell>
        </row>
        <row r="225">
          <cell r="J225" t="str">
            <v>5-2001.01</v>
          </cell>
          <cell r="AD225">
            <v>5</v>
          </cell>
          <cell r="AE225">
            <v>3</v>
          </cell>
          <cell r="AF225">
            <v>1</v>
          </cell>
          <cell r="AH225">
            <v>2</v>
          </cell>
          <cell r="AI225">
            <v>1</v>
          </cell>
          <cell r="AV225">
            <v>65000000000215</v>
          </cell>
          <cell r="AW225">
            <v>65000000000214</v>
          </cell>
        </row>
        <row r="226">
          <cell r="H226" t="str">
            <v>5-2002</v>
          </cell>
          <cell r="AD226">
            <v>5</v>
          </cell>
          <cell r="AE226">
            <v>3</v>
          </cell>
          <cell r="AF226">
            <v>1</v>
          </cell>
          <cell r="AH226">
            <v>1</v>
          </cell>
          <cell r="AI226">
            <v>1</v>
          </cell>
          <cell r="AV226">
            <v>65000000000216</v>
          </cell>
          <cell r="AW226">
            <v>65000000000213</v>
          </cell>
        </row>
        <row r="227">
          <cell r="J227" t="str">
            <v>5-2002.01</v>
          </cell>
          <cell r="AD227">
            <v>5</v>
          </cell>
          <cell r="AE227">
            <v>3</v>
          </cell>
          <cell r="AF227">
            <v>1</v>
          </cell>
          <cell r="AH227">
            <v>2</v>
          </cell>
          <cell r="AI227">
            <v>1</v>
          </cell>
          <cell r="AV227">
            <v>65000000000217</v>
          </cell>
          <cell r="AW227">
            <v>65000000000216</v>
          </cell>
        </row>
        <row r="228">
          <cell r="H228" t="str">
            <v>5-2003</v>
          </cell>
          <cell r="AD228">
            <v>5</v>
          </cell>
          <cell r="AE228">
            <v>3</v>
          </cell>
          <cell r="AF228">
            <v>1</v>
          </cell>
          <cell r="AH228">
            <v>1</v>
          </cell>
          <cell r="AI228">
            <v>1</v>
          </cell>
          <cell r="AV228">
            <v>65000000000218</v>
          </cell>
          <cell r="AW228">
            <v>65000000000213</v>
          </cell>
        </row>
        <row r="229">
          <cell r="J229" t="str">
            <v>5-2003.01</v>
          </cell>
          <cell r="AD229">
            <v>5</v>
          </cell>
          <cell r="AE229">
            <v>3</v>
          </cell>
          <cell r="AF229">
            <v>1</v>
          </cell>
          <cell r="AH229">
            <v>2</v>
          </cell>
          <cell r="AI229">
            <v>1</v>
          </cell>
          <cell r="AV229">
            <v>65000000000219</v>
          </cell>
          <cell r="AW229">
            <v>65000000000218</v>
          </cell>
        </row>
        <row r="230">
          <cell r="H230" t="str">
            <v>5-2004</v>
          </cell>
          <cell r="AD230">
            <v>5</v>
          </cell>
          <cell r="AE230">
            <v>3</v>
          </cell>
          <cell r="AF230">
            <v>1</v>
          </cell>
          <cell r="AH230">
            <v>1</v>
          </cell>
          <cell r="AI230">
            <v>1</v>
          </cell>
          <cell r="AV230">
            <v>65000000000220</v>
          </cell>
          <cell r="AW230">
            <v>65000000000213</v>
          </cell>
        </row>
        <row r="231">
          <cell r="J231" t="str">
            <v>5-2004.01</v>
          </cell>
          <cell r="AD231">
            <v>5</v>
          </cell>
          <cell r="AE231">
            <v>3</v>
          </cell>
          <cell r="AF231">
            <v>1</v>
          </cell>
          <cell r="AH231">
            <v>2</v>
          </cell>
          <cell r="AI231">
            <v>1</v>
          </cell>
          <cell r="AV231">
            <v>65000000000221</v>
          </cell>
          <cell r="AW231">
            <v>65000000000220</v>
          </cell>
        </row>
        <row r="232">
          <cell r="H232" t="str">
            <v>5-2005</v>
          </cell>
          <cell r="AD232">
            <v>5</v>
          </cell>
          <cell r="AE232">
            <v>3</v>
          </cell>
          <cell r="AF232">
            <v>1</v>
          </cell>
          <cell r="AH232">
            <v>1</v>
          </cell>
          <cell r="AI232">
            <v>1</v>
          </cell>
          <cell r="AV232">
            <v>65000000000222</v>
          </cell>
          <cell r="AW232">
            <v>65000000000213</v>
          </cell>
        </row>
        <row r="233">
          <cell r="J233" t="str">
            <v>5-2005.01</v>
          </cell>
          <cell r="AD233">
            <v>5</v>
          </cell>
          <cell r="AE233">
            <v>3</v>
          </cell>
          <cell r="AF233">
            <v>1</v>
          </cell>
          <cell r="AH233">
            <v>2</v>
          </cell>
          <cell r="AI233">
            <v>1</v>
          </cell>
          <cell r="AV233">
            <v>65000000000223</v>
          </cell>
          <cell r="AW233">
            <v>65000000000222</v>
          </cell>
        </row>
        <row r="234">
          <cell r="H234" t="str">
            <v>5-2006</v>
          </cell>
          <cell r="AD234">
            <v>5</v>
          </cell>
          <cell r="AE234">
            <v>3</v>
          </cell>
          <cell r="AF234">
            <v>1</v>
          </cell>
          <cell r="AH234">
            <v>1</v>
          </cell>
          <cell r="AI234">
            <v>1</v>
          </cell>
          <cell r="AV234">
            <v>65000000000224</v>
          </cell>
          <cell r="AW234">
            <v>65000000000213</v>
          </cell>
        </row>
        <row r="235">
          <cell r="J235" t="str">
            <v>5-2006.01</v>
          </cell>
          <cell r="AD235">
            <v>5</v>
          </cell>
          <cell r="AE235">
            <v>3</v>
          </cell>
          <cell r="AF235">
            <v>1</v>
          </cell>
          <cell r="AH235">
            <v>2</v>
          </cell>
          <cell r="AI235">
            <v>1</v>
          </cell>
          <cell r="AV235">
            <v>65000000000225</v>
          </cell>
          <cell r="AW235">
            <v>65000000000224</v>
          </cell>
        </row>
        <row r="236">
          <cell r="H236" t="str">
            <v>5-2007</v>
          </cell>
          <cell r="AD236">
            <v>5</v>
          </cell>
          <cell r="AE236">
            <v>3</v>
          </cell>
          <cell r="AF236">
            <v>1</v>
          </cell>
          <cell r="AH236">
            <v>1</v>
          </cell>
          <cell r="AI236">
            <v>1</v>
          </cell>
          <cell r="AV236">
            <v>65000000000226</v>
          </cell>
          <cell r="AW236">
            <v>65000000000213</v>
          </cell>
        </row>
        <row r="237">
          <cell r="J237" t="str">
            <v>5-2007.01</v>
          </cell>
          <cell r="AD237">
            <v>5</v>
          </cell>
          <cell r="AE237">
            <v>3</v>
          </cell>
          <cell r="AF237">
            <v>1</v>
          </cell>
          <cell r="AH237">
            <v>2</v>
          </cell>
          <cell r="AI237">
            <v>1</v>
          </cell>
          <cell r="AV237">
            <v>65000000000227</v>
          </cell>
          <cell r="AW237">
            <v>65000000000226</v>
          </cell>
        </row>
        <row r="238">
          <cell r="H238" t="str">
            <v>5-2008</v>
          </cell>
          <cell r="AD238">
            <v>5</v>
          </cell>
          <cell r="AE238">
            <v>3</v>
          </cell>
          <cell r="AF238">
            <v>1</v>
          </cell>
          <cell r="AH238">
            <v>1</v>
          </cell>
          <cell r="AI238">
            <v>1</v>
          </cell>
          <cell r="AV238">
            <v>65000000000228</v>
          </cell>
          <cell r="AW238">
            <v>65000000000213</v>
          </cell>
        </row>
        <row r="239">
          <cell r="J239" t="str">
            <v>5-2008.01</v>
          </cell>
          <cell r="AD239">
            <v>5</v>
          </cell>
          <cell r="AE239">
            <v>3</v>
          </cell>
          <cell r="AF239">
            <v>1</v>
          </cell>
          <cell r="AH239">
            <v>2</v>
          </cell>
          <cell r="AI239">
            <v>1</v>
          </cell>
          <cell r="AV239">
            <v>65000000000229</v>
          </cell>
          <cell r="AW239">
            <v>65000000000228</v>
          </cell>
        </row>
        <row r="240">
          <cell r="H240" t="str">
            <v>5-2009</v>
          </cell>
          <cell r="AD240">
            <v>5</v>
          </cell>
          <cell r="AE240">
            <v>3</v>
          </cell>
          <cell r="AF240">
            <v>1</v>
          </cell>
          <cell r="AH240">
            <v>1</v>
          </cell>
          <cell r="AI240">
            <v>1</v>
          </cell>
          <cell r="AV240">
            <v>65000000000230</v>
          </cell>
          <cell r="AW240">
            <v>65000000000213</v>
          </cell>
        </row>
        <row r="241">
          <cell r="J241" t="str">
            <v>5-2009.01</v>
          </cell>
          <cell r="AD241">
            <v>5</v>
          </cell>
          <cell r="AE241">
            <v>3</v>
          </cell>
          <cell r="AF241">
            <v>1</v>
          </cell>
          <cell r="AH241">
            <v>2</v>
          </cell>
          <cell r="AI241">
            <v>1</v>
          </cell>
          <cell r="AV241">
            <v>65000000000231</v>
          </cell>
          <cell r="AW241">
            <v>65000000000230</v>
          </cell>
        </row>
        <row r="242">
          <cell r="H242" t="str">
            <v>5-2010</v>
          </cell>
          <cell r="AD242">
            <v>5</v>
          </cell>
          <cell r="AE242">
            <v>3</v>
          </cell>
          <cell r="AF242">
            <v>1</v>
          </cell>
          <cell r="AH242">
            <v>1</v>
          </cell>
          <cell r="AI242">
            <v>1</v>
          </cell>
          <cell r="AV242">
            <v>65000000000232</v>
          </cell>
          <cell r="AW242">
            <v>65000000000213</v>
          </cell>
        </row>
        <row r="243">
          <cell r="J243" t="str">
            <v>5-2010.01</v>
          </cell>
          <cell r="AD243">
            <v>5</v>
          </cell>
          <cell r="AE243">
            <v>3</v>
          </cell>
          <cell r="AF243">
            <v>1</v>
          </cell>
          <cell r="AH243">
            <v>2</v>
          </cell>
          <cell r="AI243">
            <v>1</v>
          </cell>
          <cell r="AV243">
            <v>65000000000233</v>
          </cell>
          <cell r="AW243">
            <v>65000000000232</v>
          </cell>
        </row>
        <row r="244">
          <cell r="H244" t="str">
            <v>5-2011</v>
          </cell>
          <cell r="AD244">
            <v>5</v>
          </cell>
          <cell r="AE244">
            <v>3</v>
          </cell>
          <cell r="AF244">
            <v>1</v>
          </cell>
          <cell r="AH244">
            <v>1</v>
          </cell>
          <cell r="AI244">
            <v>1</v>
          </cell>
          <cell r="AV244">
            <v>65000000000234</v>
          </cell>
          <cell r="AW244">
            <v>65000000000213</v>
          </cell>
        </row>
        <row r="245">
          <cell r="J245" t="str">
            <v>5-2011.01</v>
          </cell>
          <cell r="AD245">
            <v>5</v>
          </cell>
          <cell r="AE245">
            <v>3</v>
          </cell>
          <cell r="AF245">
            <v>1</v>
          </cell>
          <cell r="AH245">
            <v>2</v>
          </cell>
          <cell r="AI245">
            <v>1</v>
          </cell>
          <cell r="AV245">
            <v>65000000000235</v>
          </cell>
          <cell r="AW245">
            <v>65000000000234</v>
          </cell>
        </row>
        <row r="246">
          <cell r="H246" t="str">
            <v>5-2012</v>
          </cell>
          <cell r="AD246">
            <v>5</v>
          </cell>
          <cell r="AE246">
            <v>3</v>
          </cell>
          <cell r="AF246">
            <v>1</v>
          </cell>
          <cell r="AH246">
            <v>1</v>
          </cell>
          <cell r="AI246">
            <v>1</v>
          </cell>
          <cell r="AV246">
            <v>65000000000236</v>
          </cell>
          <cell r="AW246">
            <v>65000000000213</v>
          </cell>
        </row>
        <row r="247">
          <cell r="J247" t="str">
            <v>5-2012.01</v>
          </cell>
          <cell r="AD247">
            <v>5</v>
          </cell>
          <cell r="AE247">
            <v>3</v>
          </cell>
          <cell r="AF247">
            <v>1</v>
          </cell>
          <cell r="AH247">
            <v>2</v>
          </cell>
          <cell r="AI247">
            <v>1</v>
          </cell>
          <cell r="AV247">
            <v>65000000000237</v>
          </cell>
          <cell r="AW247">
            <v>65000000000236</v>
          </cell>
        </row>
        <row r="248">
          <cell r="H248" t="str">
            <v>5-2013</v>
          </cell>
          <cell r="AD248">
            <v>5</v>
          </cell>
          <cell r="AE248">
            <v>3</v>
          </cell>
          <cell r="AF248">
            <v>1</v>
          </cell>
          <cell r="AH248">
            <v>1</v>
          </cell>
          <cell r="AI248">
            <v>1</v>
          </cell>
          <cell r="AV248">
            <v>65000000000238</v>
          </cell>
          <cell r="AW248">
            <v>65000000000213</v>
          </cell>
        </row>
        <row r="249">
          <cell r="J249" t="str">
            <v>5-2013.01</v>
          </cell>
          <cell r="AD249">
            <v>5</v>
          </cell>
          <cell r="AE249">
            <v>3</v>
          </cell>
          <cell r="AF249">
            <v>1</v>
          </cell>
          <cell r="AH249">
            <v>2</v>
          </cell>
          <cell r="AI249">
            <v>1</v>
          </cell>
          <cell r="AV249">
            <v>65000000000239</v>
          </cell>
          <cell r="AW249">
            <v>65000000000238</v>
          </cell>
        </row>
        <row r="250">
          <cell r="H250" t="str">
            <v>5-2014</v>
          </cell>
          <cell r="AD250">
            <v>5</v>
          </cell>
          <cell r="AE250">
            <v>3</v>
          </cell>
          <cell r="AF250">
            <v>1</v>
          </cell>
          <cell r="AH250">
            <v>1</v>
          </cell>
          <cell r="AI250">
            <v>1</v>
          </cell>
          <cell r="AV250">
            <v>65000000000240</v>
          </cell>
          <cell r="AW250">
            <v>65000000000213</v>
          </cell>
        </row>
        <row r="251">
          <cell r="J251" t="str">
            <v>5-2014.01</v>
          </cell>
          <cell r="AD251">
            <v>5</v>
          </cell>
          <cell r="AE251">
            <v>3</v>
          </cell>
          <cell r="AF251">
            <v>1</v>
          </cell>
          <cell r="AH251">
            <v>2</v>
          </cell>
          <cell r="AI251">
            <v>1</v>
          </cell>
          <cell r="AV251">
            <v>65000000000241</v>
          </cell>
          <cell r="AW251">
            <v>65000000000240</v>
          </cell>
        </row>
        <row r="252">
          <cell r="H252" t="str">
            <v>5-2015</v>
          </cell>
          <cell r="AD252">
            <v>5</v>
          </cell>
          <cell r="AE252">
            <v>3</v>
          </cell>
          <cell r="AF252">
            <v>1</v>
          </cell>
          <cell r="AH252">
            <v>1</v>
          </cell>
          <cell r="AI252">
            <v>1</v>
          </cell>
          <cell r="AV252">
            <v>65000000000242</v>
          </cell>
          <cell r="AW252">
            <v>65000000000213</v>
          </cell>
        </row>
        <row r="253">
          <cell r="J253" t="str">
            <v>5-2015.01</v>
          </cell>
          <cell r="AD253">
            <v>5</v>
          </cell>
          <cell r="AE253">
            <v>3</v>
          </cell>
          <cell r="AF253">
            <v>1</v>
          </cell>
          <cell r="AH253">
            <v>2</v>
          </cell>
          <cell r="AI253">
            <v>1</v>
          </cell>
          <cell r="AV253">
            <v>65000000000243</v>
          </cell>
          <cell r="AW253">
            <v>65000000000242</v>
          </cell>
        </row>
        <row r="254">
          <cell r="H254" t="str">
            <v>5-2016</v>
          </cell>
          <cell r="AD254">
            <v>5</v>
          </cell>
          <cell r="AE254">
            <v>3</v>
          </cell>
          <cell r="AF254">
            <v>1</v>
          </cell>
          <cell r="AH254">
            <v>1</v>
          </cell>
          <cell r="AI254">
            <v>1</v>
          </cell>
          <cell r="AV254">
            <v>65000000000244</v>
          </cell>
          <cell r="AW254">
            <v>65000000000213</v>
          </cell>
        </row>
        <row r="255">
          <cell r="J255" t="str">
            <v>5-2016.01</v>
          </cell>
          <cell r="AD255">
            <v>5</v>
          </cell>
          <cell r="AE255">
            <v>3</v>
          </cell>
          <cell r="AF255">
            <v>1</v>
          </cell>
          <cell r="AH255">
            <v>2</v>
          </cell>
          <cell r="AI255">
            <v>1</v>
          </cell>
          <cell r="AV255">
            <v>65000000000245</v>
          </cell>
          <cell r="AW255">
            <v>65000000000244</v>
          </cell>
        </row>
        <row r="256">
          <cell r="H256" t="str">
            <v>5-2017</v>
          </cell>
          <cell r="AD256">
            <v>5</v>
          </cell>
          <cell r="AE256">
            <v>3</v>
          </cell>
          <cell r="AF256">
            <v>1</v>
          </cell>
          <cell r="AH256">
            <v>1</v>
          </cell>
          <cell r="AI256">
            <v>1</v>
          </cell>
          <cell r="AV256">
            <v>65000000000246</v>
          </cell>
          <cell r="AW256">
            <v>65000000000213</v>
          </cell>
        </row>
        <row r="257">
          <cell r="J257" t="str">
            <v>5-2017.01</v>
          </cell>
          <cell r="AD257">
            <v>5</v>
          </cell>
          <cell r="AE257">
            <v>3</v>
          </cell>
          <cell r="AF257">
            <v>1</v>
          </cell>
          <cell r="AH257">
            <v>2</v>
          </cell>
          <cell r="AI257">
            <v>1</v>
          </cell>
          <cell r="AV257">
            <v>65000000000247</v>
          </cell>
          <cell r="AW257">
            <v>65000000000246</v>
          </cell>
        </row>
        <row r="258">
          <cell r="H258" t="str">
            <v>5-2018</v>
          </cell>
          <cell r="AD258">
            <v>5</v>
          </cell>
          <cell r="AE258">
            <v>3</v>
          </cell>
          <cell r="AF258">
            <v>1</v>
          </cell>
          <cell r="AH258">
            <v>1</v>
          </cell>
          <cell r="AI258">
            <v>1</v>
          </cell>
          <cell r="AV258">
            <v>65000000000248</v>
          </cell>
          <cell r="AW258">
            <v>65000000000213</v>
          </cell>
        </row>
        <row r="259">
          <cell r="J259" t="str">
            <v>5-2018.01</v>
          </cell>
          <cell r="AD259">
            <v>5</v>
          </cell>
          <cell r="AE259">
            <v>3</v>
          </cell>
          <cell r="AF259">
            <v>1</v>
          </cell>
          <cell r="AH259">
            <v>2</v>
          </cell>
          <cell r="AI259">
            <v>1</v>
          </cell>
          <cell r="AV259">
            <v>65000000000249</v>
          </cell>
          <cell r="AW259">
            <v>65000000000248</v>
          </cell>
        </row>
        <row r="260">
          <cell r="H260" t="str">
            <v>5-2019</v>
          </cell>
          <cell r="AD260">
            <v>5</v>
          </cell>
          <cell r="AE260">
            <v>3</v>
          </cell>
          <cell r="AF260">
            <v>1</v>
          </cell>
          <cell r="AH260">
            <v>1</v>
          </cell>
          <cell r="AI260">
            <v>1</v>
          </cell>
          <cell r="AV260">
            <v>65000000000250</v>
          </cell>
          <cell r="AW260">
            <v>65000000000213</v>
          </cell>
        </row>
        <row r="261">
          <cell r="J261" t="str">
            <v>5-2019.01</v>
          </cell>
          <cell r="AD261">
            <v>5</v>
          </cell>
          <cell r="AE261">
            <v>3</v>
          </cell>
          <cell r="AF261">
            <v>1</v>
          </cell>
          <cell r="AH261">
            <v>2</v>
          </cell>
          <cell r="AI261">
            <v>1</v>
          </cell>
          <cell r="AV261">
            <v>65000000000251</v>
          </cell>
          <cell r="AW261">
            <v>65000000000250</v>
          </cell>
        </row>
        <row r="262">
          <cell r="H262" t="str">
            <v>5-2099</v>
          </cell>
          <cell r="AD262">
            <v>5</v>
          </cell>
          <cell r="AE262">
            <v>3</v>
          </cell>
          <cell r="AF262">
            <v>1</v>
          </cell>
          <cell r="AH262">
            <v>1</v>
          </cell>
          <cell r="AI262">
            <v>1</v>
          </cell>
          <cell r="AV262">
            <v>65000000000252</v>
          </cell>
          <cell r="AW262">
            <v>65000000000213</v>
          </cell>
        </row>
        <row r="263">
          <cell r="J263" t="str">
            <v>5-2099.01</v>
          </cell>
          <cell r="AD263">
            <v>5</v>
          </cell>
          <cell r="AE263">
            <v>3</v>
          </cell>
          <cell r="AF263">
            <v>1</v>
          </cell>
          <cell r="AH263">
            <v>2</v>
          </cell>
          <cell r="AI263">
            <v>1</v>
          </cell>
          <cell r="AV263">
            <v>65000000000253</v>
          </cell>
          <cell r="AW263">
            <v>65000000000252</v>
          </cell>
        </row>
        <row r="264">
          <cell r="D264" t="str">
            <v>5-3000</v>
          </cell>
          <cell r="AD264">
            <v>5</v>
          </cell>
          <cell r="AE264">
            <v>4</v>
          </cell>
          <cell r="AF264">
            <v>1</v>
          </cell>
          <cell r="AH264">
            <v>2</v>
          </cell>
          <cell r="AI264">
            <v>1</v>
          </cell>
          <cell r="AV264">
            <v>65000000000254</v>
          </cell>
          <cell r="AW264">
            <v>65000000000189</v>
          </cell>
        </row>
        <row r="265">
          <cell r="H265" t="str">
            <v>5-3001</v>
          </cell>
          <cell r="AD265">
            <v>5</v>
          </cell>
          <cell r="AE265">
            <v>4</v>
          </cell>
          <cell r="AF265">
            <v>1</v>
          </cell>
          <cell r="AH265">
            <v>1</v>
          </cell>
          <cell r="AI265">
            <v>1</v>
          </cell>
          <cell r="AV265">
            <v>65000000000255</v>
          </cell>
          <cell r="AW265">
            <v>65000000000254</v>
          </cell>
        </row>
        <row r="266">
          <cell r="J266" t="str">
            <v>5-3001.01</v>
          </cell>
          <cell r="AD266">
            <v>5</v>
          </cell>
          <cell r="AE266">
            <v>4</v>
          </cell>
          <cell r="AF266">
            <v>1</v>
          </cell>
          <cell r="AH266">
            <v>2</v>
          </cell>
          <cell r="AI266">
            <v>1</v>
          </cell>
          <cell r="AV266">
            <v>65000000000256</v>
          </cell>
          <cell r="AW266">
            <v>65000000000255</v>
          </cell>
        </row>
        <row r="267">
          <cell r="H267" t="str">
            <v>5-3002</v>
          </cell>
          <cell r="AD267">
            <v>5</v>
          </cell>
          <cell r="AE267">
            <v>4</v>
          </cell>
          <cell r="AF267">
            <v>1</v>
          </cell>
          <cell r="AH267">
            <v>1</v>
          </cell>
          <cell r="AI267">
            <v>1</v>
          </cell>
          <cell r="AV267">
            <v>65000000000257</v>
          </cell>
          <cell r="AW267">
            <v>65000000000254</v>
          </cell>
        </row>
        <row r="268">
          <cell r="J268" t="str">
            <v>5-3002.01</v>
          </cell>
          <cell r="AD268">
            <v>5</v>
          </cell>
          <cell r="AE268">
            <v>4</v>
          </cell>
          <cell r="AF268">
            <v>1</v>
          </cell>
          <cell r="AH268">
            <v>2</v>
          </cell>
          <cell r="AI268">
            <v>1</v>
          </cell>
          <cell r="AV268">
            <v>65000000000258</v>
          </cell>
          <cell r="AW268">
            <v>65000000000257</v>
          </cell>
        </row>
        <row r="269">
          <cell r="H269" t="str">
            <v>5-3003</v>
          </cell>
          <cell r="AD269">
            <v>5</v>
          </cell>
          <cell r="AE269">
            <v>4</v>
          </cell>
          <cell r="AF269">
            <v>1</v>
          </cell>
          <cell r="AH269">
            <v>1</v>
          </cell>
          <cell r="AI269">
            <v>1</v>
          </cell>
          <cell r="AV269">
            <v>65000000000259</v>
          </cell>
          <cell r="AW269">
            <v>65000000000254</v>
          </cell>
        </row>
        <row r="270">
          <cell r="J270" t="str">
            <v>5-3003.01</v>
          </cell>
          <cell r="AD270">
            <v>5</v>
          </cell>
          <cell r="AE270">
            <v>4</v>
          </cell>
          <cell r="AF270">
            <v>1</v>
          </cell>
          <cell r="AH270">
            <v>2</v>
          </cell>
          <cell r="AI270">
            <v>1</v>
          </cell>
          <cell r="AV270">
            <v>65000000000260</v>
          </cell>
          <cell r="AW270">
            <v>65000000000259</v>
          </cell>
        </row>
        <row r="271">
          <cell r="H271" t="str">
            <v>5-3004</v>
          </cell>
          <cell r="AD271">
            <v>5</v>
          </cell>
          <cell r="AE271">
            <v>4</v>
          </cell>
          <cell r="AF271">
            <v>1</v>
          </cell>
          <cell r="AH271">
            <v>1</v>
          </cell>
          <cell r="AI271">
            <v>1</v>
          </cell>
          <cell r="AV271">
            <v>65000000000261</v>
          </cell>
          <cell r="AW271">
            <v>65000000000254</v>
          </cell>
        </row>
        <row r="272">
          <cell r="J272" t="str">
            <v>5-3004.01</v>
          </cell>
          <cell r="AD272">
            <v>5</v>
          </cell>
          <cell r="AE272">
            <v>4</v>
          </cell>
          <cell r="AF272">
            <v>1</v>
          </cell>
          <cell r="AH272">
            <v>2</v>
          </cell>
          <cell r="AI272">
            <v>1</v>
          </cell>
          <cell r="AV272">
            <v>65000000000262</v>
          </cell>
          <cell r="AW272">
            <v>65000000000261</v>
          </cell>
        </row>
        <row r="273">
          <cell r="H273" t="str">
            <v>5-3005</v>
          </cell>
          <cell r="AD273">
            <v>5</v>
          </cell>
          <cell r="AE273">
            <v>4</v>
          </cell>
          <cell r="AF273">
            <v>1</v>
          </cell>
          <cell r="AH273">
            <v>1</v>
          </cell>
          <cell r="AI273">
            <v>1</v>
          </cell>
          <cell r="AV273">
            <v>65000000000263</v>
          </cell>
          <cell r="AW273">
            <v>65000000000254</v>
          </cell>
        </row>
        <row r="274">
          <cell r="J274" t="str">
            <v>5-3005.01</v>
          </cell>
          <cell r="AD274">
            <v>5</v>
          </cell>
          <cell r="AE274">
            <v>4</v>
          </cell>
          <cell r="AF274">
            <v>1</v>
          </cell>
          <cell r="AH274">
            <v>2</v>
          </cell>
          <cell r="AI274">
            <v>1</v>
          </cell>
          <cell r="AV274">
            <v>65000000000264</v>
          </cell>
          <cell r="AW274">
            <v>65000000000263</v>
          </cell>
        </row>
        <row r="275">
          <cell r="H275" t="str">
            <v>5-3006</v>
          </cell>
          <cell r="AD275">
            <v>5</v>
          </cell>
          <cell r="AE275">
            <v>4</v>
          </cell>
          <cell r="AF275">
            <v>1</v>
          </cell>
          <cell r="AH275">
            <v>1</v>
          </cell>
          <cell r="AI275">
            <v>1</v>
          </cell>
          <cell r="AV275">
            <v>65000000000265</v>
          </cell>
          <cell r="AW275">
            <v>65000000000254</v>
          </cell>
        </row>
        <row r="276">
          <cell r="J276" t="str">
            <v>5-3006.01</v>
          </cell>
          <cell r="AD276">
            <v>5</v>
          </cell>
          <cell r="AE276">
            <v>4</v>
          </cell>
          <cell r="AF276">
            <v>1</v>
          </cell>
          <cell r="AH276">
            <v>2</v>
          </cell>
          <cell r="AI276">
            <v>1</v>
          </cell>
          <cell r="AV276">
            <v>65000000000266</v>
          </cell>
          <cell r="AW276">
            <v>65000000000265</v>
          </cell>
        </row>
        <row r="277">
          <cell r="H277" t="str">
            <v>5-3007</v>
          </cell>
          <cell r="AD277">
            <v>5</v>
          </cell>
          <cell r="AE277">
            <v>4</v>
          </cell>
          <cell r="AF277">
            <v>1</v>
          </cell>
          <cell r="AH277">
            <v>1</v>
          </cell>
          <cell r="AI277">
            <v>1</v>
          </cell>
          <cell r="AV277">
            <v>65000000000267</v>
          </cell>
          <cell r="AW277">
            <v>65000000000254</v>
          </cell>
        </row>
        <row r="278">
          <cell r="J278" t="str">
            <v>5-3007.01</v>
          </cell>
          <cell r="AD278">
            <v>5</v>
          </cell>
          <cell r="AE278">
            <v>4</v>
          </cell>
          <cell r="AF278">
            <v>1</v>
          </cell>
          <cell r="AH278">
            <v>2</v>
          </cell>
          <cell r="AI278">
            <v>1</v>
          </cell>
          <cell r="AV278">
            <v>65000000000268</v>
          </cell>
          <cell r="AW278">
            <v>65000000000267</v>
          </cell>
        </row>
        <row r="279">
          <cell r="H279" t="str">
            <v>5-3008</v>
          </cell>
          <cell r="AD279">
            <v>5</v>
          </cell>
          <cell r="AE279">
            <v>4</v>
          </cell>
          <cell r="AF279">
            <v>1</v>
          </cell>
          <cell r="AH279">
            <v>1</v>
          </cell>
          <cell r="AI279">
            <v>1</v>
          </cell>
          <cell r="AV279">
            <v>65000000000269</v>
          </cell>
          <cell r="AW279">
            <v>65000000000254</v>
          </cell>
        </row>
        <row r="280">
          <cell r="J280" t="str">
            <v>5-3008.01</v>
          </cell>
          <cell r="AD280">
            <v>5</v>
          </cell>
          <cell r="AE280">
            <v>4</v>
          </cell>
          <cell r="AF280">
            <v>1</v>
          </cell>
          <cell r="AH280">
            <v>2</v>
          </cell>
          <cell r="AI280">
            <v>1</v>
          </cell>
          <cell r="AV280">
            <v>65000000000270</v>
          </cell>
          <cell r="AW280">
            <v>65000000000269</v>
          </cell>
        </row>
        <row r="281">
          <cell r="H281" t="str">
            <v>5-3009</v>
          </cell>
          <cell r="AD281">
            <v>5</v>
          </cell>
          <cell r="AE281">
            <v>4</v>
          </cell>
          <cell r="AF281">
            <v>1</v>
          </cell>
          <cell r="AH281">
            <v>1</v>
          </cell>
          <cell r="AI281">
            <v>1</v>
          </cell>
          <cell r="AV281">
            <v>65000000000271</v>
          </cell>
          <cell r="AW281">
            <v>65000000000254</v>
          </cell>
        </row>
        <row r="282">
          <cell r="J282" t="str">
            <v>5-3009.01</v>
          </cell>
          <cell r="AD282">
            <v>5</v>
          </cell>
          <cell r="AE282">
            <v>4</v>
          </cell>
          <cell r="AF282">
            <v>1</v>
          </cell>
          <cell r="AH282">
            <v>2</v>
          </cell>
          <cell r="AI282">
            <v>1</v>
          </cell>
          <cell r="AV282">
            <v>65000000000272</v>
          </cell>
          <cell r="AW282">
            <v>65000000000271</v>
          </cell>
        </row>
        <row r="283">
          <cell r="H283" t="str">
            <v>5-3010</v>
          </cell>
          <cell r="AD283">
            <v>5</v>
          </cell>
          <cell r="AE283">
            <v>4</v>
          </cell>
          <cell r="AF283">
            <v>1</v>
          </cell>
          <cell r="AH283">
            <v>1</v>
          </cell>
          <cell r="AI283">
            <v>1</v>
          </cell>
          <cell r="AV283">
            <v>65000000000273</v>
          </cell>
          <cell r="AW283">
            <v>65000000000254</v>
          </cell>
        </row>
        <row r="284">
          <cell r="J284" t="str">
            <v>5-3010.01</v>
          </cell>
          <cell r="AD284">
            <v>5</v>
          </cell>
          <cell r="AE284">
            <v>4</v>
          </cell>
          <cell r="AF284">
            <v>1</v>
          </cell>
          <cell r="AH284">
            <v>2</v>
          </cell>
          <cell r="AI284">
            <v>1</v>
          </cell>
          <cell r="AV284">
            <v>65000000000274</v>
          </cell>
          <cell r="AW284">
            <v>65000000000273</v>
          </cell>
        </row>
        <row r="285">
          <cell r="H285" t="str">
            <v>5-3011</v>
          </cell>
          <cell r="AD285">
            <v>5</v>
          </cell>
          <cell r="AE285">
            <v>4</v>
          </cell>
          <cell r="AF285">
            <v>1</v>
          </cell>
          <cell r="AH285">
            <v>1</v>
          </cell>
          <cell r="AI285">
            <v>1</v>
          </cell>
          <cell r="AV285">
            <v>65000000000275</v>
          </cell>
          <cell r="AW285">
            <v>65000000000254</v>
          </cell>
        </row>
        <row r="286">
          <cell r="J286" t="str">
            <v>5-3011.01</v>
          </cell>
          <cell r="AD286">
            <v>5</v>
          </cell>
          <cell r="AE286">
            <v>4</v>
          </cell>
          <cell r="AF286">
            <v>1</v>
          </cell>
          <cell r="AH286">
            <v>2</v>
          </cell>
          <cell r="AI286">
            <v>1</v>
          </cell>
          <cell r="AV286">
            <v>65000000000276</v>
          </cell>
          <cell r="AW286">
            <v>65000000000275</v>
          </cell>
        </row>
        <row r="287">
          <cell r="H287" t="str">
            <v>5-3012</v>
          </cell>
          <cell r="AD287">
            <v>5</v>
          </cell>
          <cell r="AE287">
            <v>4</v>
          </cell>
          <cell r="AF287">
            <v>1</v>
          </cell>
          <cell r="AH287">
            <v>1</v>
          </cell>
          <cell r="AI287">
            <v>1</v>
          </cell>
          <cell r="AV287">
            <v>65000000000277</v>
          </cell>
          <cell r="AW287">
            <v>65000000000254</v>
          </cell>
        </row>
        <row r="288">
          <cell r="J288" t="str">
            <v>5-3012.01</v>
          </cell>
          <cell r="AD288">
            <v>5</v>
          </cell>
          <cell r="AE288">
            <v>4</v>
          </cell>
          <cell r="AF288">
            <v>1</v>
          </cell>
          <cell r="AH288">
            <v>2</v>
          </cell>
          <cell r="AI288">
            <v>1</v>
          </cell>
          <cell r="AV288">
            <v>65000000000278</v>
          </cell>
          <cell r="AW288">
            <v>65000000000277</v>
          </cell>
        </row>
        <row r="289">
          <cell r="H289" t="str">
            <v>5-3013</v>
          </cell>
          <cell r="AD289">
            <v>5</v>
          </cell>
          <cell r="AE289">
            <v>4</v>
          </cell>
          <cell r="AF289">
            <v>1</v>
          </cell>
          <cell r="AH289">
            <v>1</v>
          </cell>
          <cell r="AI289">
            <v>1</v>
          </cell>
          <cell r="AV289">
            <v>65000000000279</v>
          </cell>
          <cell r="AW289">
            <v>65000000000254</v>
          </cell>
        </row>
        <row r="290">
          <cell r="J290" t="str">
            <v>5-3013.01</v>
          </cell>
          <cell r="AD290">
            <v>5</v>
          </cell>
          <cell r="AE290">
            <v>4</v>
          </cell>
          <cell r="AF290">
            <v>1</v>
          </cell>
          <cell r="AH290">
            <v>2</v>
          </cell>
          <cell r="AI290">
            <v>1</v>
          </cell>
          <cell r="AV290">
            <v>65000000000280</v>
          </cell>
          <cell r="AW290">
            <v>65000000000279</v>
          </cell>
        </row>
        <row r="291">
          <cell r="H291" t="str">
            <v>5-3014</v>
          </cell>
          <cell r="AD291">
            <v>5</v>
          </cell>
          <cell r="AE291">
            <v>4</v>
          </cell>
          <cell r="AF291">
            <v>1</v>
          </cell>
          <cell r="AH291">
            <v>1</v>
          </cell>
          <cell r="AI291">
            <v>1</v>
          </cell>
          <cell r="AV291">
            <v>65000000000281</v>
          </cell>
          <cell r="AW291">
            <v>65000000000254</v>
          </cell>
        </row>
        <row r="292">
          <cell r="J292" t="str">
            <v>5-3014.01</v>
          </cell>
          <cell r="AD292">
            <v>5</v>
          </cell>
          <cell r="AE292">
            <v>4</v>
          </cell>
          <cell r="AF292">
            <v>1</v>
          </cell>
          <cell r="AH292">
            <v>2</v>
          </cell>
          <cell r="AI292">
            <v>1</v>
          </cell>
          <cell r="AV292">
            <v>65000000000282</v>
          </cell>
          <cell r="AW292">
            <v>65000000000281</v>
          </cell>
        </row>
        <row r="293">
          <cell r="H293" t="str">
            <v>5-3015</v>
          </cell>
          <cell r="AD293">
            <v>5</v>
          </cell>
          <cell r="AE293">
            <v>4</v>
          </cell>
          <cell r="AF293">
            <v>1</v>
          </cell>
          <cell r="AH293">
            <v>1</v>
          </cell>
          <cell r="AI293">
            <v>1</v>
          </cell>
          <cell r="AV293">
            <v>65000000000283</v>
          </cell>
          <cell r="AW293">
            <v>65000000000254</v>
          </cell>
        </row>
        <row r="294">
          <cell r="J294" t="str">
            <v>5-3015.01</v>
          </cell>
          <cell r="AD294">
            <v>5</v>
          </cell>
          <cell r="AE294">
            <v>4</v>
          </cell>
          <cell r="AF294">
            <v>1</v>
          </cell>
          <cell r="AH294">
            <v>2</v>
          </cell>
          <cell r="AI294">
            <v>1</v>
          </cell>
          <cell r="AV294">
            <v>65000000000284</v>
          </cell>
          <cell r="AW294">
            <v>65000000000283</v>
          </cell>
        </row>
        <row r="295">
          <cell r="H295" t="str">
            <v>5-3016</v>
          </cell>
          <cell r="AD295">
            <v>5</v>
          </cell>
          <cell r="AE295">
            <v>4</v>
          </cell>
          <cell r="AF295">
            <v>1</v>
          </cell>
          <cell r="AH295">
            <v>1</v>
          </cell>
          <cell r="AI295">
            <v>1</v>
          </cell>
          <cell r="AV295">
            <v>65000000000285</v>
          </cell>
          <cell r="AW295">
            <v>65000000000254</v>
          </cell>
        </row>
        <row r="296">
          <cell r="J296" t="str">
            <v>5-3016.01</v>
          </cell>
          <cell r="AD296">
            <v>5</v>
          </cell>
          <cell r="AE296">
            <v>4</v>
          </cell>
          <cell r="AF296">
            <v>1</v>
          </cell>
          <cell r="AH296">
            <v>2</v>
          </cell>
          <cell r="AI296">
            <v>1</v>
          </cell>
          <cell r="AV296">
            <v>65000000000286</v>
          </cell>
          <cell r="AW296">
            <v>65000000000285</v>
          </cell>
        </row>
        <row r="297">
          <cell r="H297" t="str">
            <v>5-3017</v>
          </cell>
          <cell r="AD297">
            <v>5</v>
          </cell>
          <cell r="AE297">
            <v>4</v>
          </cell>
          <cell r="AF297">
            <v>1</v>
          </cell>
          <cell r="AH297">
            <v>1</v>
          </cell>
          <cell r="AI297">
            <v>1</v>
          </cell>
          <cell r="AV297">
            <v>65000000000287</v>
          </cell>
          <cell r="AW297">
            <v>65000000000254</v>
          </cell>
        </row>
        <row r="298">
          <cell r="J298" t="str">
            <v>5-3017.01</v>
          </cell>
          <cell r="AD298">
            <v>5</v>
          </cell>
          <cell r="AE298">
            <v>4</v>
          </cell>
          <cell r="AF298">
            <v>1</v>
          </cell>
          <cell r="AH298">
            <v>2</v>
          </cell>
          <cell r="AI298">
            <v>1</v>
          </cell>
          <cell r="AV298">
            <v>65000000000288</v>
          </cell>
          <cell r="AW298">
            <v>65000000000287</v>
          </cell>
        </row>
        <row r="299">
          <cell r="H299" t="str">
            <v>5-3018</v>
          </cell>
          <cell r="AD299">
            <v>5</v>
          </cell>
          <cell r="AE299">
            <v>4</v>
          </cell>
          <cell r="AF299">
            <v>1</v>
          </cell>
          <cell r="AH299">
            <v>1</v>
          </cell>
          <cell r="AI299">
            <v>1</v>
          </cell>
          <cell r="AV299">
            <v>65000000000289</v>
          </cell>
          <cell r="AW299">
            <v>65000000000254</v>
          </cell>
        </row>
        <row r="300">
          <cell r="J300" t="str">
            <v>5-3018.01</v>
          </cell>
          <cell r="AD300">
            <v>5</v>
          </cell>
          <cell r="AE300">
            <v>4</v>
          </cell>
          <cell r="AF300">
            <v>1</v>
          </cell>
          <cell r="AH300">
            <v>2</v>
          </cell>
          <cell r="AI300">
            <v>1</v>
          </cell>
          <cell r="AV300">
            <v>65000000000290</v>
          </cell>
          <cell r="AW300">
            <v>65000000000289</v>
          </cell>
        </row>
        <row r="301">
          <cell r="H301" t="str">
            <v>5-3019</v>
          </cell>
          <cell r="AD301">
            <v>5</v>
          </cell>
          <cell r="AE301">
            <v>4</v>
          </cell>
          <cell r="AF301">
            <v>1</v>
          </cell>
          <cell r="AH301">
            <v>1</v>
          </cell>
          <cell r="AI301">
            <v>1</v>
          </cell>
          <cell r="AV301">
            <v>65000000000291</v>
          </cell>
          <cell r="AW301">
            <v>65000000000254</v>
          </cell>
        </row>
        <row r="302">
          <cell r="J302" t="str">
            <v>5-3019.01</v>
          </cell>
          <cell r="AD302">
            <v>5</v>
          </cell>
          <cell r="AE302">
            <v>4</v>
          </cell>
          <cell r="AF302">
            <v>1</v>
          </cell>
          <cell r="AH302">
            <v>2</v>
          </cell>
          <cell r="AI302">
            <v>1</v>
          </cell>
          <cell r="AV302">
            <v>65000000000292</v>
          </cell>
          <cell r="AW302">
            <v>65000000000291</v>
          </cell>
        </row>
        <row r="303">
          <cell r="H303" t="str">
            <v>5-3020</v>
          </cell>
          <cell r="AD303">
            <v>5</v>
          </cell>
          <cell r="AE303">
            <v>4</v>
          </cell>
          <cell r="AF303">
            <v>1</v>
          </cell>
          <cell r="AH303">
            <v>1</v>
          </cell>
          <cell r="AI303">
            <v>1</v>
          </cell>
          <cell r="AV303">
            <v>65000000000293</v>
          </cell>
          <cell r="AW303">
            <v>65000000000254</v>
          </cell>
        </row>
        <row r="304">
          <cell r="J304" t="str">
            <v>5-3020.01</v>
          </cell>
          <cell r="AD304">
            <v>5</v>
          </cell>
          <cell r="AE304">
            <v>4</v>
          </cell>
          <cell r="AF304">
            <v>1</v>
          </cell>
          <cell r="AH304">
            <v>2</v>
          </cell>
          <cell r="AI304">
            <v>1</v>
          </cell>
          <cell r="AV304">
            <v>65000000000294</v>
          </cell>
          <cell r="AW304">
            <v>65000000000293</v>
          </cell>
        </row>
        <row r="305">
          <cell r="H305" t="str">
            <v>5-3021</v>
          </cell>
          <cell r="AD305">
            <v>5</v>
          </cell>
          <cell r="AE305">
            <v>4</v>
          </cell>
          <cell r="AF305">
            <v>1</v>
          </cell>
          <cell r="AH305">
            <v>1</v>
          </cell>
          <cell r="AI305">
            <v>1</v>
          </cell>
          <cell r="AV305">
            <v>65000000000295</v>
          </cell>
          <cell r="AW305">
            <v>65000000000254</v>
          </cell>
        </row>
        <row r="306">
          <cell r="J306" t="str">
            <v>5-3021.01</v>
          </cell>
          <cell r="AD306">
            <v>5</v>
          </cell>
          <cell r="AE306">
            <v>4</v>
          </cell>
          <cell r="AF306">
            <v>1</v>
          </cell>
          <cell r="AH306">
            <v>2</v>
          </cell>
          <cell r="AI306">
            <v>1</v>
          </cell>
          <cell r="AV306">
            <v>65000000000296</v>
          </cell>
          <cell r="AW306">
            <v>65000000000295</v>
          </cell>
        </row>
        <row r="307">
          <cell r="H307" t="str">
            <v>5-3022</v>
          </cell>
          <cell r="AD307">
            <v>5</v>
          </cell>
          <cell r="AE307">
            <v>4</v>
          </cell>
          <cell r="AF307">
            <v>1</v>
          </cell>
          <cell r="AH307">
            <v>1</v>
          </cell>
          <cell r="AI307">
            <v>1</v>
          </cell>
          <cell r="AV307">
            <v>65000000000297</v>
          </cell>
          <cell r="AW307">
            <v>65000000000254</v>
          </cell>
        </row>
        <row r="308">
          <cell r="J308" t="str">
            <v>5-3022.01</v>
          </cell>
          <cell r="AD308">
            <v>5</v>
          </cell>
          <cell r="AE308">
            <v>4</v>
          </cell>
          <cell r="AF308">
            <v>1</v>
          </cell>
          <cell r="AH308">
            <v>2</v>
          </cell>
          <cell r="AI308">
            <v>1</v>
          </cell>
          <cell r="AV308">
            <v>65000000000298</v>
          </cell>
          <cell r="AW308">
            <v>65000000000297</v>
          </cell>
        </row>
        <row r="309">
          <cell r="H309" t="str">
            <v>5-3023</v>
          </cell>
          <cell r="AD309">
            <v>5</v>
          </cell>
          <cell r="AE309">
            <v>4</v>
          </cell>
          <cell r="AF309">
            <v>1</v>
          </cell>
          <cell r="AH309">
            <v>1</v>
          </cell>
          <cell r="AI309">
            <v>1</v>
          </cell>
          <cell r="AV309">
            <v>65000000000299</v>
          </cell>
          <cell r="AW309">
            <v>65000000000254</v>
          </cell>
        </row>
        <row r="310">
          <cell r="J310" t="str">
            <v>5-3023.01</v>
          </cell>
          <cell r="AD310">
            <v>5</v>
          </cell>
          <cell r="AE310">
            <v>4</v>
          </cell>
          <cell r="AF310">
            <v>1</v>
          </cell>
          <cell r="AH310">
            <v>2</v>
          </cell>
          <cell r="AI310">
            <v>1</v>
          </cell>
          <cell r="AV310">
            <v>65000000000300</v>
          </cell>
          <cell r="AW310">
            <v>65000000000299</v>
          </cell>
        </row>
        <row r="311">
          <cell r="H311" t="str">
            <v>5-3024</v>
          </cell>
          <cell r="AD311">
            <v>5</v>
          </cell>
          <cell r="AE311">
            <v>4</v>
          </cell>
          <cell r="AF311">
            <v>1</v>
          </cell>
          <cell r="AH311">
            <v>1</v>
          </cell>
          <cell r="AI311">
            <v>1</v>
          </cell>
          <cell r="AV311">
            <v>65000000000301</v>
          </cell>
          <cell r="AW311">
            <v>65000000000254</v>
          </cell>
        </row>
        <row r="312">
          <cell r="J312" t="str">
            <v>5-3024.01</v>
          </cell>
          <cell r="AD312">
            <v>5</v>
          </cell>
          <cell r="AE312">
            <v>4</v>
          </cell>
          <cell r="AF312">
            <v>1</v>
          </cell>
          <cell r="AH312">
            <v>2</v>
          </cell>
          <cell r="AI312">
            <v>1</v>
          </cell>
          <cell r="AV312">
            <v>65000000000302</v>
          </cell>
          <cell r="AW312">
            <v>65000000000301</v>
          </cell>
        </row>
        <row r="313">
          <cell r="H313" t="str">
            <v>5-3025</v>
          </cell>
          <cell r="AD313">
            <v>5</v>
          </cell>
          <cell r="AE313">
            <v>4</v>
          </cell>
          <cell r="AF313">
            <v>1</v>
          </cell>
          <cell r="AH313">
            <v>1</v>
          </cell>
          <cell r="AI313">
            <v>1</v>
          </cell>
          <cell r="AV313">
            <v>65000000000303</v>
          </cell>
          <cell r="AW313">
            <v>65000000000254</v>
          </cell>
        </row>
        <row r="314">
          <cell r="J314" t="str">
            <v>5-3025.01</v>
          </cell>
          <cell r="AD314">
            <v>5</v>
          </cell>
          <cell r="AE314">
            <v>4</v>
          </cell>
          <cell r="AF314">
            <v>1</v>
          </cell>
          <cell r="AH314">
            <v>2</v>
          </cell>
          <cell r="AI314">
            <v>1</v>
          </cell>
          <cell r="AV314">
            <v>65000000000304</v>
          </cell>
          <cell r="AW314">
            <v>65000000000303</v>
          </cell>
        </row>
        <row r="315">
          <cell r="H315" t="str">
            <v>5-3026</v>
          </cell>
          <cell r="AD315">
            <v>5</v>
          </cell>
          <cell r="AE315">
            <v>4</v>
          </cell>
          <cell r="AF315">
            <v>1</v>
          </cell>
          <cell r="AH315">
            <v>1</v>
          </cell>
          <cell r="AI315">
            <v>1</v>
          </cell>
          <cell r="AV315">
            <v>65000000000305</v>
          </cell>
          <cell r="AW315">
            <v>65000000000254</v>
          </cell>
        </row>
        <row r="316">
          <cell r="J316" t="str">
            <v>5-3026.01</v>
          </cell>
          <cell r="AD316">
            <v>5</v>
          </cell>
          <cell r="AE316">
            <v>4</v>
          </cell>
          <cell r="AF316">
            <v>1</v>
          </cell>
          <cell r="AH316">
            <v>2</v>
          </cell>
          <cell r="AI316">
            <v>1</v>
          </cell>
          <cell r="AV316">
            <v>65000000000306</v>
          </cell>
          <cell r="AW316">
            <v>65000000000305</v>
          </cell>
        </row>
        <row r="317">
          <cell r="H317" t="str">
            <v>5-3027</v>
          </cell>
          <cell r="AD317">
            <v>5</v>
          </cell>
          <cell r="AE317">
            <v>4</v>
          </cell>
          <cell r="AF317">
            <v>1</v>
          </cell>
          <cell r="AH317">
            <v>1</v>
          </cell>
          <cell r="AI317">
            <v>1</v>
          </cell>
          <cell r="AV317">
            <v>65000000000307</v>
          </cell>
          <cell r="AW317">
            <v>65000000000254</v>
          </cell>
        </row>
        <row r="318">
          <cell r="J318" t="str">
            <v>5-3027.01</v>
          </cell>
          <cell r="AD318">
            <v>5</v>
          </cell>
          <cell r="AE318">
            <v>4</v>
          </cell>
          <cell r="AF318">
            <v>1</v>
          </cell>
          <cell r="AH318">
            <v>2</v>
          </cell>
          <cell r="AI318">
            <v>1</v>
          </cell>
          <cell r="AV318">
            <v>65000000000308</v>
          </cell>
          <cell r="AW318">
            <v>65000000000307</v>
          </cell>
        </row>
        <row r="319">
          <cell r="H319" t="str">
            <v>5-3028</v>
          </cell>
          <cell r="AD319">
            <v>5</v>
          </cell>
          <cell r="AE319">
            <v>4</v>
          </cell>
          <cell r="AF319">
            <v>1</v>
          </cell>
          <cell r="AH319">
            <v>1</v>
          </cell>
          <cell r="AI319">
            <v>1</v>
          </cell>
          <cell r="AV319">
            <v>65000000000309</v>
          </cell>
          <cell r="AW319">
            <v>65000000000254</v>
          </cell>
        </row>
        <row r="320">
          <cell r="J320" t="str">
            <v>5-3028.01</v>
          </cell>
          <cell r="AD320">
            <v>5</v>
          </cell>
          <cell r="AE320">
            <v>4</v>
          </cell>
          <cell r="AF320">
            <v>1</v>
          </cell>
          <cell r="AH320">
            <v>2</v>
          </cell>
          <cell r="AI320">
            <v>1</v>
          </cell>
          <cell r="AV320">
            <v>65000000000310</v>
          </cell>
          <cell r="AW320">
            <v>65000000000309</v>
          </cell>
        </row>
        <row r="321">
          <cell r="H321" t="str">
            <v>5-3029</v>
          </cell>
          <cell r="AD321">
            <v>5</v>
          </cell>
          <cell r="AE321">
            <v>4</v>
          </cell>
          <cell r="AF321">
            <v>1</v>
          </cell>
          <cell r="AH321">
            <v>1</v>
          </cell>
          <cell r="AI321">
            <v>1</v>
          </cell>
          <cell r="AV321">
            <v>65000000000311</v>
          </cell>
          <cell r="AW321">
            <v>65000000000254</v>
          </cell>
        </row>
        <row r="322">
          <cell r="J322" t="str">
            <v>5-3029.01</v>
          </cell>
          <cell r="AD322">
            <v>5</v>
          </cell>
          <cell r="AE322">
            <v>4</v>
          </cell>
          <cell r="AF322">
            <v>1</v>
          </cell>
          <cell r="AH322">
            <v>2</v>
          </cell>
          <cell r="AI322">
            <v>1</v>
          </cell>
          <cell r="AV322">
            <v>65000000000312</v>
          </cell>
          <cell r="AW322">
            <v>65000000000311</v>
          </cell>
        </row>
        <row r="323">
          <cell r="H323" t="str">
            <v>5-3030</v>
          </cell>
          <cell r="AD323">
            <v>5</v>
          </cell>
          <cell r="AE323">
            <v>4</v>
          </cell>
          <cell r="AF323">
            <v>1</v>
          </cell>
          <cell r="AH323">
            <v>1</v>
          </cell>
          <cell r="AI323">
            <v>1</v>
          </cell>
          <cell r="AV323">
            <v>65000000000313</v>
          </cell>
          <cell r="AW323">
            <v>65000000000254</v>
          </cell>
        </row>
        <row r="324">
          <cell r="J324" t="str">
            <v>5-3030.01</v>
          </cell>
          <cell r="AD324">
            <v>5</v>
          </cell>
          <cell r="AE324">
            <v>4</v>
          </cell>
          <cell r="AF324">
            <v>1</v>
          </cell>
          <cell r="AH324">
            <v>2</v>
          </cell>
          <cell r="AI324">
            <v>1</v>
          </cell>
          <cell r="AV324">
            <v>65000000000314</v>
          </cell>
          <cell r="AW324">
            <v>65000000000313</v>
          </cell>
        </row>
        <row r="325">
          <cell r="H325" t="str">
            <v>5-3031</v>
          </cell>
          <cell r="AD325">
            <v>5</v>
          </cell>
          <cell r="AE325">
            <v>4</v>
          </cell>
          <cell r="AF325">
            <v>1</v>
          </cell>
          <cell r="AH325">
            <v>1</v>
          </cell>
          <cell r="AI325">
            <v>1</v>
          </cell>
          <cell r="AV325">
            <v>65000000000315</v>
          </cell>
          <cell r="AW325">
            <v>65000000000254</v>
          </cell>
        </row>
        <row r="326">
          <cell r="J326" t="str">
            <v>5-3031.01</v>
          </cell>
          <cell r="AD326">
            <v>5</v>
          </cell>
          <cell r="AE326">
            <v>4</v>
          </cell>
          <cell r="AF326">
            <v>1</v>
          </cell>
          <cell r="AH326">
            <v>2</v>
          </cell>
          <cell r="AI326">
            <v>1</v>
          </cell>
          <cell r="AV326">
            <v>65000000000316</v>
          </cell>
          <cell r="AW326">
            <v>65000000000315</v>
          </cell>
        </row>
        <row r="327">
          <cell r="H327" t="str">
            <v>5-3032</v>
          </cell>
          <cell r="AD327">
            <v>5</v>
          </cell>
          <cell r="AE327">
            <v>4</v>
          </cell>
          <cell r="AF327">
            <v>1</v>
          </cell>
          <cell r="AH327">
            <v>1</v>
          </cell>
          <cell r="AI327">
            <v>1</v>
          </cell>
          <cell r="AV327">
            <v>65000000000317</v>
          </cell>
          <cell r="AW327">
            <v>65000000000254</v>
          </cell>
        </row>
        <row r="328">
          <cell r="J328" t="str">
            <v>5-3032.01</v>
          </cell>
          <cell r="AD328">
            <v>5</v>
          </cell>
          <cell r="AE328">
            <v>4</v>
          </cell>
          <cell r="AF328">
            <v>1</v>
          </cell>
          <cell r="AH328">
            <v>2</v>
          </cell>
          <cell r="AI328">
            <v>1</v>
          </cell>
          <cell r="AV328">
            <v>65000000000318</v>
          </cell>
          <cell r="AW328">
            <v>65000000000317</v>
          </cell>
        </row>
        <row r="329">
          <cell r="H329" t="str">
            <v>5-3033</v>
          </cell>
          <cell r="AD329">
            <v>5</v>
          </cell>
          <cell r="AE329">
            <v>4</v>
          </cell>
          <cell r="AF329">
            <v>1</v>
          </cell>
          <cell r="AH329">
            <v>1</v>
          </cell>
          <cell r="AI329">
            <v>1</v>
          </cell>
          <cell r="AV329">
            <v>65000000000319</v>
          </cell>
          <cell r="AW329">
            <v>65000000000254</v>
          </cell>
        </row>
        <row r="330">
          <cell r="J330" t="str">
            <v>5-3033.01</v>
          </cell>
          <cell r="AD330">
            <v>5</v>
          </cell>
          <cell r="AE330">
            <v>4</v>
          </cell>
          <cell r="AF330">
            <v>1</v>
          </cell>
          <cell r="AH330">
            <v>2</v>
          </cell>
          <cell r="AI330">
            <v>1</v>
          </cell>
          <cell r="AV330">
            <v>65000000000320</v>
          </cell>
          <cell r="AW330">
            <v>65000000000319</v>
          </cell>
        </row>
        <row r="331">
          <cell r="H331" t="str">
            <v>5-3034</v>
          </cell>
          <cell r="AD331">
            <v>5</v>
          </cell>
          <cell r="AE331">
            <v>4</v>
          </cell>
          <cell r="AF331">
            <v>1</v>
          </cell>
          <cell r="AH331">
            <v>1</v>
          </cell>
          <cell r="AI331">
            <v>1</v>
          </cell>
          <cell r="AV331">
            <v>65000000000321</v>
          </cell>
          <cell r="AW331">
            <v>65000000000254</v>
          </cell>
        </row>
        <row r="332">
          <cell r="J332" t="str">
            <v>5-3034.01</v>
          </cell>
          <cell r="AD332">
            <v>5</v>
          </cell>
          <cell r="AE332">
            <v>4</v>
          </cell>
          <cell r="AF332">
            <v>1</v>
          </cell>
          <cell r="AH332">
            <v>2</v>
          </cell>
          <cell r="AI332">
            <v>1</v>
          </cell>
          <cell r="AV332">
            <v>65000000000322</v>
          </cell>
          <cell r="AW332">
            <v>65000000000321</v>
          </cell>
        </row>
        <row r="333">
          <cell r="H333" t="str">
            <v>5-3035</v>
          </cell>
          <cell r="AD333">
            <v>5</v>
          </cell>
          <cell r="AE333">
            <v>4</v>
          </cell>
          <cell r="AF333">
            <v>1</v>
          </cell>
          <cell r="AH333">
            <v>1</v>
          </cell>
          <cell r="AI333">
            <v>1</v>
          </cell>
          <cell r="AV333">
            <v>65000000000323</v>
          </cell>
          <cell r="AW333">
            <v>65000000000254</v>
          </cell>
        </row>
        <row r="334">
          <cell r="J334" t="str">
            <v>5-3035.01</v>
          </cell>
          <cell r="AD334">
            <v>5</v>
          </cell>
          <cell r="AE334">
            <v>4</v>
          </cell>
          <cell r="AF334">
            <v>1</v>
          </cell>
          <cell r="AH334">
            <v>2</v>
          </cell>
          <cell r="AI334">
            <v>1</v>
          </cell>
          <cell r="AV334">
            <v>65000000000324</v>
          </cell>
          <cell r="AW334">
            <v>65000000000323</v>
          </cell>
        </row>
        <row r="335">
          <cell r="H335" t="str">
            <v>5-3036</v>
          </cell>
          <cell r="AD335">
            <v>5</v>
          </cell>
          <cell r="AE335">
            <v>4</v>
          </cell>
          <cell r="AF335">
            <v>1</v>
          </cell>
          <cell r="AH335">
            <v>1</v>
          </cell>
          <cell r="AI335">
            <v>1</v>
          </cell>
          <cell r="AV335">
            <v>65000000000325</v>
          </cell>
          <cell r="AW335">
            <v>65000000000254</v>
          </cell>
        </row>
        <row r="336">
          <cell r="J336" t="str">
            <v>5-3036.01</v>
          </cell>
          <cell r="AD336">
            <v>5</v>
          </cell>
          <cell r="AE336">
            <v>4</v>
          </cell>
          <cell r="AF336">
            <v>1</v>
          </cell>
          <cell r="AH336">
            <v>2</v>
          </cell>
          <cell r="AI336">
            <v>1</v>
          </cell>
          <cell r="AV336">
            <v>65000000000326</v>
          </cell>
          <cell r="AW336">
            <v>65000000000325</v>
          </cell>
        </row>
        <row r="337">
          <cell r="H337" t="str">
            <v>5-3037</v>
          </cell>
          <cell r="AD337">
            <v>5</v>
          </cell>
          <cell r="AE337">
            <v>4</v>
          </cell>
          <cell r="AF337">
            <v>1</v>
          </cell>
          <cell r="AH337">
            <v>1</v>
          </cell>
          <cell r="AI337">
            <v>1</v>
          </cell>
          <cell r="AV337">
            <v>65000000000327</v>
          </cell>
          <cell r="AW337">
            <v>65000000000254</v>
          </cell>
        </row>
        <row r="338">
          <cell r="J338" t="str">
            <v>5-3037.01</v>
          </cell>
          <cell r="AD338">
            <v>5</v>
          </cell>
          <cell r="AE338">
            <v>4</v>
          </cell>
          <cell r="AF338">
            <v>1</v>
          </cell>
          <cell r="AH338">
            <v>2</v>
          </cell>
          <cell r="AI338">
            <v>1</v>
          </cell>
          <cell r="AV338">
            <v>65000000000328</v>
          </cell>
          <cell r="AW338">
            <v>65000000000327</v>
          </cell>
        </row>
        <row r="339">
          <cell r="H339" t="str">
            <v>5-3038</v>
          </cell>
          <cell r="AD339">
            <v>5</v>
          </cell>
          <cell r="AE339">
            <v>4</v>
          </cell>
          <cell r="AF339">
            <v>1</v>
          </cell>
          <cell r="AH339">
            <v>1</v>
          </cell>
          <cell r="AI339">
            <v>1</v>
          </cell>
          <cell r="AV339">
            <v>65000000000329</v>
          </cell>
          <cell r="AW339">
            <v>65000000000254</v>
          </cell>
        </row>
        <row r="340">
          <cell r="J340" t="str">
            <v>5-3038.01</v>
          </cell>
          <cell r="AD340">
            <v>5</v>
          </cell>
          <cell r="AE340">
            <v>4</v>
          </cell>
          <cell r="AF340">
            <v>1</v>
          </cell>
          <cell r="AH340">
            <v>2</v>
          </cell>
          <cell r="AI340">
            <v>1</v>
          </cell>
          <cell r="AV340">
            <v>65000000000330</v>
          </cell>
          <cell r="AW340">
            <v>65000000000329</v>
          </cell>
        </row>
        <row r="341">
          <cell r="H341" t="str">
            <v>5-3039</v>
          </cell>
          <cell r="AD341">
            <v>5</v>
          </cell>
          <cell r="AE341">
            <v>4</v>
          </cell>
          <cell r="AF341">
            <v>1</v>
          </cell>
          <cell r="AH341">
            <v>1</v>
          </cell>
          <cell r="AI341">
            <v>1</v>
          </cell>
          <cell r="AV341">
            <v>65000000000331</v>
          </cell>
          <cell r="AW341">
            <v>65000000000254</v>
          </cell>
        </row>
        <row r="342">
          <cell r="J342" t="str">
            <v>5-3039.01</v>
          </cell>
          <cell r="AD342">
            <v>5</v>
          </cell>
          <cell r="AE342">
            <v>4</v>
          </cell>
          <cell r="AF342">
            <v>1</v>
          </cell>
          <cell r="AH342">
            <v>2</v>
          </cell>
          <cell r="AI342">
            <v>1</v>
          </cell>
          <cell r="AV342">
            <v>65000000000332</v>
          </cell>
          <cell r="AW342">
            <v>65000000000331</v>
          </cell>
        </row>
        <row r="343">
          <cell r="H343" t="str">
            <v>5-3040</v>
          </cell>
          <cell r="AD343">
            <v>5</v>
          </cell>
          <cell r="AE343">
            <v>4</v>
          </cell>
          <cell r="AF343">
            <v>1</v>
          </cell>
          <cell r="AH343">
            <v>1</v>
          </cell>
          <cell r="AI343">
            <v>1</v>
          </cell>
          <cell r="AV343">
            <v>65000000000333</v>
          </cell>
          <cell r="AW343">
            <v>65000000000254</v>
          </cell>
        </row>
        <row r="344">
          <cell r="J344" t="str">
            <v>5-3040.01</v>
          </cell>
          <cell r="AD344">
            <v>5</v>
          </cell>
          <cell r="AE344">
            <v>4</v>
          </cell>
          <cell r="AF344">
            <v>1</v>
          </cell>
          <cell r="AH344">
            <v>2</v>
          </cell>
          <cell r="AI344">
            <v>1</v>
          </cell>
          <cell r="AV344">
            <v>65000000000334</v>
          </cell>
          <cell r="AW344">
            <v>65000000000333</v>
          </cell>
        </row>
        <row r="345">
          <cell r="H345" t="str">
            <v>5-3041</v>
          </cell>
          <cell r="AD345">
            <v>5</v>
          </cell>
          <cell r="AE345">
            <v>4</v>
          </cell>
          <cell r="AF345">
            <v>1</v>
          </cell>
          <cell r="AH345">
            <v>1</v>
          </cell>
          <cell r="AI345">
            <v>1</v>
          </cell>
          <cell r="AV345">
            <v>65000000000335</v>
          </cell>
          <cell r="AW345">
            <v>65000000000254</v>
          </cell>
        </row>
        <row r="346">
          <cell r="J346" t="str">
            <v>5-3041.01</v>
          </cell>
          <cell r="AD346">
            <v>5</v>
          </cell>
          <cell r="AE346">
            <v>4</v>
          </cell>
          <cell r="AF346">
            <v>1</v>
          </cell>
          <cell r="AH346">
            <v>2</v>
          </cell>
          <cell r="AI346">
            <v>1</v>
          </cell>
          <cell r="AV346">
            <v>65000000000336</v>
          </cell>
          <cell r="AW346">
            <v>65000000000335</v>
          </cell>
        </row>
        <row r="347">
          <cell r="H347" t="str">
            <v>5-3042</v>
          </cell>
          <cell r="AD347">
            <v>5</v>
          </cell>
          <cell r="AE347">
            <v>4</v>
          </cell>
          <cell r="AF347">
            <v>1</v>
          </cell>
          <cell r="AH347">
            <v>1</v>
          </cell>
          <cell r="AI347">
            <v>1</v>
          </cell>
          <cell r="AV347">
            <v>65000000000337</v>
          </cell>
          <cell r="AW347">
            <v>65000000000254</v>
          </cell>
        </row>
        <row r="348">
          <cell r="J348" t="str">
            <v>5-3042.01</v>
          </cell>
          <cell r="AD348">
            <v>5</v>
          </cell>
          <cell r="AE348">
            <v>4</v>
          </cell>
          <cell r="AF348">
            <v>1</v>
          </cell>
          <cell r="AH348">
            <v>2</v>
          </cell>
          <cell r="AI348">
            <v>1</v>
          </cell>
          <cell r="AV348">
            <v>65000000000338</v>
          </cell>
          <cell r="AW348">
            <v>65000000000337</v>
          </cell>
        </row>
        <row r="349">
          <cell r="H349" t="str">
            <v>5-3043</v>
          </cell>
          <cell r="AD349">
            <v>5</v>
          </cell>
          <cell r="AE349">
            <v>4</v>
          </cell>
          <cell r="AF349">
            <v>1</v>
          </cell>
          <cell r="AH349">
            <v>1</v>
          </cell>
          <cell r="AI349">
            <v>1</v>
          </cell>
          <cell r="AV349">
            <v>65000000000339</v>
          </cell>
          <cell r="AW349">
            <v>65000000000254</v>
          </cell>
        </row>
        <row r="350">
          <cell r="J350" t="str">
            <v>5-3043.01</v>
          </cell>
          <cell r="AD350">
            <v>5</v>
          </cell>
          <cell r="AE350">
            <v>4</v>
          </cell>
          <cell r="AF350">
            <v>1</v>
          </cell>
          <cell r="AH350">
            <v>2</v>
          </cell>
          <cell r="AI350">
            <v>1</v>
          </cell>
          <cell r="AV350">
            <v>65000000000340</v>
          </cell>
          <cell r="AW350">
            <v>65000000000339</v>
          </cell>
        </row>
        <row r="351">
          <cell r="H351" t="str">
            <v>5-3044</v>
          </cell>
          <cell r="AD351">
            <v>5</v>
          </cell>
          <cell r="AE351">
            <v>4</v>
          </cell>
          <cell r="AF351">
            <v>1</v>
          </cell>
          <cell r="AH351">
            <v>1</v>
          </cell>
          <cell r="AI351">
            <v>1</v>
          </cell>
          <cell r="AV351">
            <v>65000000000341</v>
          </cell>
          <cell r="AW351">
            <v>65000000000254</v>
          </cell>
        </row>
        <row r="352">
          <cell r="J352" t="str">
            <v>5-3044.01</v>
          </cell>
          <cell r="AD352">
            <v>5</v>
          </cell>
          <cell r="AE352">
            <v>4</v>
          </cell>
          <cell r="AF352">
            <v>1</v>
          </cell>
          <cell r="AH352">
            <v>2</v>
          </cell>
          <cell r="AI352">
            <v>1</v>
          </cell>
          <cell r="AV352">
            <v>65000000000342</v>
          </cell>
          <cell r="AW352">
            <v>65000000000341</v>
          </cell>
        </row>
        <row r="353">
          <cell r="H353" t="str">
            <v>5-3045</v>
          </cell>
          <cell r="AD353">
            <v>5</v>
          </cell>
          <cell r="AE353">
            <v>4</v>
          </cell>
          <cell r="AF353">
            <v>1</v>
          </cell>
          <cell r="AH353">
            <v>1</v>
          </cell>
          <cell r="AI353">
            <v>1</v>
          </cell>
          <cell r="AV353">
            <v>65000000000343</v>
          </cell>
          <cell r="AW353">
            <v>65000000000254</v>
          </cell>
        </row>
        <row r="354">
          <cell r="J354" t="str">
            <v>5-3045.01</v>
          </cell>
          <cell r="AD354">
            <v>5</v>
          </cell>
          <cell r="AE354">
            <v>4</v>
          </cell>
          <cell r="AF354">
            <v>1</v>
          </cell>
          <cell r="AH354">
            <v>2</v>
          </cell>
          <cell r="AI354">
            <v>1</v>
          </cell>
          <cell r="AV354">
            <v>65000000000344</v>
          </cell>
          <cell r="AW354">
            <v>65000000000343</v>
          </cell>
        </row>
        <row r="355">
          <cell r="H355" t="str">
            <v>5-3046</v>
          </cell>
          <cell r="AD355">
            <v>5</v>
          </cell>
          <cell r="AE355">
            <v>4</v>
          </cell>
          <cell r="AF355">
            <v>1</v>
          </cell>
          <cell r="AH355">
            <v>1</v>
          </cell>
          <cell r="AI355">
            <v>1</v>
          </cell>
          <cell r="AV355">
            <v>65000000000345</v>
          </cell>
          <cell r="AW355">
            <v>65000000000254</v>
          </cell>
        </row>
        <row r="356">
          <cell r="J356" t="str">
            <v>5-3046.01</v>
          </cell>
          <cell r="AD356">
            <v>5</v>
          </cell>
          <cell r="AE356">
            <v>4</v>
          </cell>
          <cell r="AF356">
            <v>1</v>
          </cell>
          <cell r="AH356">
            <v>2</v>
          </cell>
          <cell r="AI356">
            <v>1</v>
          </cell>
          <cell r="AV356">
            <v>65000000000346</v>
          </cell>
          <cell r="AW356">
            <v>65000000000345</v>
          </cell>
        </row>
        <row r="357">
          <cell r="H357" t="str">
            <v>5-3047</v>
          </cell>
          <cell r="AD357">
            <v>5</v>
          </cell>
          <cell r="AE357">
            <v>4</v>
          </cell>
          <cell r="AF357">
            <v>1</v>
          </cell>
          <cell r="AH357">
            <v>1</v>
          </cell>
          <cell r="AI357">
            <v>1</v>
          </cell>
          <cell r="AV357">
            <v>65000000000347</v>
          </cell>
          <cell r="AW357">
            <v>65000000000254</v>
          </cell>
        </row>
        <row r="358">
          <cell r="J358" t="str">
            <v>5-3047.01</v>
          </cell>
          <cell r="AD358">
            <v>5</v>
          </cell>
          <cell r="AE358">
            <v>4</v>
          </cell>
          <cell r="AF358">
            <v>1</v>
          </cell>
          <cell r="AH358">
            <v>2</v>
          </cell>
          <cell r="AI358">
            <v>1</v>
          </cell>
          <cell r="AV358">
            <v>65000000000348</v>
          </cell>
          <cell r="AW358">
            <v>65000000000347</v>
          </cell>
        </row>
        <row r="359">
          <cell r="H359" t="str">
            <v>5-3048</v>
          </cell>
          <cell r="AD359">
            <v>5</v>
          </cell>
          <cell r="AE359">
            <v>4</v>
          </cell>
          <cell r="AF359">
            <v>1</v>
          </cell>
          <cell r="AH359">
            <v>1</v>
          </cell>
          <cell r="AI359">
            <v>1</v>
          </cell>
          <cell r="AV359">
            <v>65000000000349</v>
          </cell>
          <cell r="AW359">
            <v>65000000000254</v>
          </cell>
        </row>
        <row r="360">
          <cell r="J360" t="str">
            <v>5-3048.01</v>
          </cell>
          <cell r="AD360">
            <v>5</v>
          </cell>
          <cell r="AE360">
            <v>4</v>
          </cell>
          <cell r="AF360">
            <v>1</v>
          </cell>
          <cell r="AH360">
            <v>2</v>
          </cell>
          <cell r="AI360">
            <v>1</v>
          </cell>
          <cell r="AV360">
            <v>65000000000350</v>
          </cell>
          <cell r="AW360">
            <v>65000000000349</v>
          </cell>
        </row>
        <row r="361">
          <cell r="H361" t="str">
            <v>5-3099</v>
          </cell>
          <cell r="AD361">
            <v>5</v>
          </cell>
          <cell r="AE361">
            <v>4</v>
          </cell>
          <cell r="AF361">
            <v>1</v>
          </cell>
          <cell r="AH361">
            <v>1</v>
          </cell>
          <cell r="AI361">
            <v>1</v>
          </cell>
          <cell r="AV361">
            <v>65000000000351</v>
          </cell>
          <cell r="AW361">
            <v>65000000000254</v>
          </cell>
        </row>
        <row r="362">
          <cell r="J362" t="str">
            <v>5-3099.01</v>
          </cell>
          <cell r="AD362">
            <v>5</v>
          </cell>
          <cell r="AE362">
            <v>4</v>
          </cell>
          <cell r="AF362">
            <v>1</v>
          </cell>
          <cell r="AH362">
            <v>2</v>
          </cell>
          <cell r="AI362">
            <v>1</v>
          </cell>
          <cell r="AV362">
            <v>65000000000352</v>
          </cell>
          <cell r="AW362">
            <v>65000000000351</v>
          </cell>
        </row>
        <row r="363">
          <cell r="B363" t="str">
            <v>6-0000</v>
          </cell>
          <cell r="AD363">
            <v>6</v>
          </cell>
          <cell r="AE363">
            <v>1</v>
          </cell>
          <cell r="AF363">
            <v>1</v>
          </cell>
          <cell r="AH363">
            <v>2</v>
          </cell>
          <cell r="AI363">
            <v>1</v>
          </cell>
          <cell r="AV363">
            <v>65000000000353</v>
          </cell>
          <cell r="AW363" t="str">
            <v>null</v>
          </cell>
        </row>
        <row r="364">
          <cell r="D364" t="str">
            <v>6-1000</v>
          </cell>
          <cell r="AD364">
            <v>6</v>
          </cell>
          <cell r="AE364">
            <v>2</v>
          </cell>
          <cell r="AF364">
            <v>1</v>
          </cell>
          <cell r="AH364">
            <v>2</v>
          </cell>
          <cell r="AI364">
            <v>1</v>
          </cell>
          <cell r="AV364">
            <v>65000000000354</v>
          </cell>
          <cell r="AW364">
            <v>65000000000353</v>
          </cell>
        </row>
        <row r="365">
          <cell r="H365" t="str">
            <v>6-1001</v>
          </cell>
          <cell r="AD365">
            <v>6</v>
          </cell>
          <cell r="AE365">
            <v>2</v>
          </cell>
          <cell r="AF365">
            <v>1</v>
          </cell>
          <cell r="AH365">
            <v>1</v>
          </cell>
          <cell r="AI365">
            <v>1</v>
          </cell>
          <cell r="AV365">
            <v>65000000000355</v>
          </cell>
          <cell r="AW365">
            <v>65000000000354</v>
          </cell>
        </row>
        <row r="366">
          <cell r="J366" t="str">
            <v>6-1001.01</v>
          </cell>
          <cell r="AD366">
            <v>6</v>
          </cell>
          <cell r="AE366">
            <v>2</v>
          </cell>
          <cell r="AF366">
            <v>1</v>
          </cell>
          <cell r="AH366">
            <v>2</v>
          </cell>
          <cell r="AI366">
            <v>1</v>
          </cell>
          <cell r="AV366">
            <v>65000000000356</v>
          </cell>
          <cell r="AW366">
            <v>65000000000355</v>
          </cell>
        </row>
        <row r="367">
          <cell r="H367" t="str">
            <v>6-1002</v>
          </cell>
          <cell r="AD367">
            <v>6</v>
          </cell>
          <cell r="AE367">
            <v>2</v>
          </cell>
          <cell r="AF367">
            <v>1</v>
          </cell>
          <cell r="AH367">
            <v>1</v>
          </cell>
          <cell r="AI367">
            <v>1</v>
          </cell>
          <cell r="AV367">
            <v>65000000000357</v>
          </cell>
          <cell r="AW367">
            <v>65000000000354</v>
          </cell>
        </row>
        <row r="368">
          <cell r="J368" t="str">
            <v>6-1002.01</v>
          </cell>
          <cell r="AD368">
            <v>6</v>
          </cell>
          <cell r="AE368">
            <v>2</v>
          </cell>
          <cell r="AF368">
            <v>1</v>
          </cell>
          <cell r="AH368">
            <v>2</v>
          </cell>
          <cell r="AI368">
            <v>1</v>
          </cell>
          <cell r="AV368">
            <v>65000000000358</v>
          </cell>
          <cell r="AW368">
            <v>65000000000357</v>
          </cell>
        </row>
        <row r="369">
          <cell r="H369" t="str">
            <v>6-1003</v>
          </cell>
          <cell r="AD369">
            <v>6</v>
          </cell>
          <cell r="AE369">
            <v>2</v>
          </cell>
          <cell r="AF369">
            <v>1</v>
          </cell>
          <cell r="AH369">
            <v>1</v>
          </cell>
          <cell r="AI369">
            <v>1</v>
          </cell>
          <cell r="AV369">
            <v>65000000000359</v>
          </cell>
          <cell r="AW369">
            <v>65000000000354</v>
          </cell>
        </row>
        <row r="370">
          <cell r="J370" t="str">
            <v>6-1003.01</v>
          </cell>
          <cell r="AD370">
            <v>6</v>
          </cell>
          <cell r="AE370">
            <v>2</v>
          </cell>
          <cell r="AF370">
            <v>1</v>
          </cell>
          <cell r="AH370">
            <v>2</v>
          </cell>
          <cell r="AI370">
            <v>1</v>
          </cell>
          <cell r="AV370">
            <v>65000000000360</v>
          </cell>
          <cell r="AW370">
            <v>65000000000359</v>
          </cell>
        </row>
        <row r="371">
          <cell r="H371" t="str">
            <v>6-1004</v>
          </cell>
          <cell r="AD371">
            <v>6</v>
          </cell>
          <cell r="AE371">
            <v>2</v>
          </cell>
          <cell r="AF371">
            <v>1</v>
          </cell>
          <cell r="AH371">
            <v>1</v>
          </cell>
          <cell r="AI371">
            <v>1</v>
          </cell>
          <cell r="AV371">
            <v>65000000000361</v>
          </cell>
          <cell r="AW371">
            <v>65000000000354</v>
          </cell>
        </row>
        <row r="372">
          <cell r="J372" t="str">
            <v>6-1004.01</v>
          </cell>
          <cell r="AD372">
            <v>6</v>
          </cell>
          <cell r="AE372">
            <v>2</v>
          </cell>
          <cell r="AF372">
            <v>1</v>
          </cell>
          <cell r="AH372">
            <v>2</v>
          </cell>
          <cell r="AI372">
            <v>1</v>
          </cell>
          <cell r="AV372">
            <v>65000000000362</v>
          </cell>
          <cell r="AW372">
            <v>65000000000361</v>
          </cell>
        </row>
        <row r="373">
          <cell r="H373" t="str">
            <v>6-1005</v>
          </cell>
          <cell r="AD373">
            <v>6</v>
          </cell>
          <cell r="AE373">
            <v>2</v>
          </cell>
          <cell r="AF373">
            <v>1</v>
          </cell>
          <cell r="AH373">
            <v>1</v>
          </cell>
          <cell r="AI373">
            <v>1</v>
          </cell>
          <cell r="AV373">
            <v>65000000000363</v>
          </cell>
          <cell r="AW373">
            <v>65000000000354</v>
          </cell>
        </row>
        <row r="374">
          <cell r="J374" t="str">
            <v>6-1005.01</v>
          </cell>
          <cell r="AD374">
            <v>6</v>
          </cell>
          <cell r="AE374">
            <v>2</v>
          </cell>
          <cell r="AF374">
            <v>1</v>
          </cell>
          <cell r="AH374">
            <v>2</v>
          </cell>
          <cell r="AI374">
            <v>1</v>
          </cell>
          <cell r="AV374">
            <v>65000000000364</v>
          </cell>
          <cell r="AW374">
            <v>65000000000363</v>
          </cell>
        </row>
        <row r="375">
          <cell r="H375" t="str">
            <v>6-1006</v>
          </cell>
          <cell r="AD375">
            <v>6</v>
          </cell>
          <cell r="AE375">
            <v>2</v>
          </cell>
          <cell r="AF375">
            <v>1</v>
          </cell>
          <cell r="AH375">
            <v>1</v>
          </cell>
          <cell r="AI375">
            <v>1</v>
          </cell>
          <cell r="AV375">
            <v>65000000000365</v>
          </cell>
          <cell r="AW375">
            <v>65000000000354</v>
          </cell>
        </row>
        <row r="376">
          <cell r="J376" t="str">
            <v>6-1006.01</v>
          </cell>
          <cell r="AD376">
            <v>6</v>
          </cell>
          <cell r="AE376">
            <v>2</v>
          </cell>
          <cell r="AF376">
            <v>1</v>
          </cell>
          <cell r="AH376">
            <v>2</v>
          </cell>
          <cell r="AI376">
            <v>1</v>
          </cell>
          <cell r="AV376">
            <v>65000000000366</v>
          </cell>
          <cell r="AW376">
            <v>65000000000365</v>
          </cell>
        </row>
        <row r="377">
          <cell r="H377" t="str">
            <v>6-1007</v>
          </cell>
          <cell r="AD377">
            <v>6</v>
          </cell>
          <cell r="AE377">
            <v>2</v>
          </cell>
          <cell r="AF377">
            <v>1</v>
          </cell>
          <cell r="AH377">
            <v>1</v>
          </cell>
          <cell r="AI377">
            <v>1</v>
          </cell>
          <cell r="AV377">
            <v>65000000000367</v>
          </cell>
          <cell r="AW377">
            <v>65000000000354</v>
          </cell>
        </row>
        <row r="378">
          <cell r="J378" t="str">
            <v>6-1007.01</v>
          </cell>
          <cell r="AD378">
            <v>6</v>
          </cell>
          <cell r="AE378">
            <v>2</v>
          </cell>
          <cell r="AF378">
            <v>1</v>
          </cell>
          <cell r="AH378">
            <v>2</v>
          </cell>
          <cell r="AI378">
            <v>1</v>
          </cell>
          <cell r="AV378">
            <v>65000000000368</v>
          </cell>
          <cell r="AW378">
            <v>65000000000367</v>
          </cell>
        </row>
        <row r="379">
          <cell r="H379" t="str">
            <v>6-1008</v>
          </cell>
          <cell r="AD379">
            <v>6</v>
          </cell>
          <cell r="AE379">
            <v>2</v>
          </cell>
          <cell r="AF379">
            <v>1</v>
          </cell>
          <cell r="AH379">
            <v>1</v>
          </cell>
          <cell r="AI379">
            <v>1</v>
          </cell>
          <cell r="AV379">
            <v>65000000000369</v>
          </cell>
          <cell r="AW379">
            <v>65000000000354</v>
          </cell>
        </row>
        <row r="380">
          <cell r="J380" t="str">
            <v>6-1008.01</v>
          </cell>
          <cell r="AD380">
            <v>6</v>
          </cell>
          <cell r="AE380">
            <v>2</v>
          </cell>
          <cell r="AF380">
            <v>1</v>
          </cell>
          <cell r="AH380">
            <v>2</v>
          </cell>
          <cell r="AI380">
            <v>1</v>
          </cell>
          <cell r="AV380">
            <v>65000000000370</v>
          </cell>
          <cell r="AW380">
            <v>65000000000369</v>
          </cell>
        </row>
        <row r="381">
          <cell r="H381" t="str">
            <v>6-1009</v>
          </cell>
          <cell r="AD381">
            <v>6</v>
          </cell>
          <cell r="AE381">
            <v>2</v>
          </cell>
          <cell r="AF381">
            <v>1</v>
          </cell>
          <cell r="AH381">
            <v>1</v>
          </cell>
          <cell r="AI381">
            <v>1</v>
          </cell>
          <cell r="AV381">
            <v>65000000000371</v>
          </cell>
          <cell r="AW381">
            <v>65000000000354</v>
          </cell>
        </row>
        <row r="382">
          <cell r="J382" t="str">
            <v>6-1009.01</v>
          </cell>
          <cell r="AD382">
            <v>6</v>
          </cell>
          <cell r="AE382">
            <v>2</v>
          </cell>
          <cell r="AF382">
            <v>1</v>
          </cell>
          <cell r="AH382">
            <v>2</v>
          </cell>
          <cell r="AI382">
            <v>1</v>
          </cell>
          <cell r="AV382">
            <v>65000000000372</v>
          </cell>
          <cell r="AW382">
            <v>65000000000371</v>
          </cell>
        </row>
        <row r="383">
          <cell r="H383" t="str">
            <v>6-1010</v>
          </cell>
          <cell r="AD383">
            <v>6</v>
          </cell>
          <cell r="AE383">
            <v>2</v>
          </cell>
          <cell r="AF383">
            <v>1</v>
          </cell>
          <cell r="AH383">
            <v>1</v>
          </cell>
          <cell r="AI383">
            <v>1</v>
          </cell>
          <cell r="AV383">
            <v>65000000000373</v>
          </cell>
          <cell r="AW383">
            <v>65000000000354</v>
          </cell>
        </row>
        <row r="384">
          <cell r="J384" t="str">
            <v>6-1010.01</v>
          </cell>
          <cell r="AD384">
            <v>6</v>
          </cell>
          <cell r="AE384">
            <v>2</v>
          </cell>
          <cell r="AF384">
            <v>1</v>
          </cell>
          <cell r="AH384">
            <v>2</v>
          </cell>
          <cell r="AI384">
            <v>1</v>
          </cell>
          <cell r="AV384">
            <v>65000000000374</v>
          </cell>
          <cell r="AW384">
            <v>65000000000373</v>
          </cell>
        </row>
        <row r="385">
          <cell r="H385" t="str">
            <v>6-1011</v>
          </cell>
          <cell r="AD385">
            <v>6</v>
          </cell>
          <cell r="AE385">
            <v>2</v>
          </cell>
          <cell r="AF385">
            <v>1</v>
          </cell>
          <cell r="AH385">
            <v>1</v>
          </cell>
          <cell r="AI385">
            <v>1</v>
          </cell>
          <cell r="AV385">
            <v>65000000000375</v>
          </cell>
          <cell r="AW385">
            <v>65000000000354</v>
          </cell>
        </row>
        <row r="386">
          <cell r="J386" t="str">
            <v>6-1011.01</v>
          </cell>
          <cell r="AD386">
            <v>6</v>
          </cell>
          <cell r="AE386">
            <v>2</v>
          </cell>
          <cell r="AF386">
            <v>1</v>
          </cell>
          <cell r="AH386">
            <v>2</v>
          </cell>
          <cell r="AI386">
            <v>1</v>
          </cell>
          <cell r="AV386">
            <v>65000000000376</v>
          </cell>
          <cell r="AW386">
            <v>65000000000375</v>
          </cell>
        </row>
        <row r="387">
          <cell r="H387" t="str">
            <v>6-1012</v>
          </cell>
          <cell r="AD387">
            <v>6</v>
          </cell>
          <cell r="AE387">
            <v>2</v>
          </cell>
          <cell r="AF387">
            <v>1</v>
          </cell>
          <cell r="AH387">
            <v>1</v>
          </cell>
          <cell r="AI387">
            <v>1</v>
          </cell>
          <cell r="AV387">
            <v>65000000000377</v>
          </cell>
          <cell r="AW387">
            <v>65000000000354</v>
          </cell>
        </row>
        <row r="388">
          <cell r="J388" t="str">
            <v>6-1012.01</v>
          </cell>
          <cell r="AD388">
            <v>6</v>
          </cell>
          <cell r="AE388">
            <v>2</v>
          </cell>
          <cell r="AF388">
            <v>1</v>
          </cell>
          <cell r="AH388">
            <v>2</v>
          </cell>
          <cell r="AI388">
            <v>1</v>
          </cell>
          <cell r="AV388">
            <v>65000000000378</v>
          </cell>
          <cell r="AW388">
            <v>65000000000377</v>
          </cell>
        </row>
        <row r="389">
          <cell r="H389" t="str">
            <v>6-1013</v>
          </cell>
          <cell r="AD389">
            <v>6</v>
          </cell>
          <cell r="AE389">
            <v>2</v>
          </cell>
          <cell r="AF389">
            <v>1</v>
          </cell>
          <cell r="AH389">
            <v>1</v>
          </cell>
          <cell r="AI389">
            <v>1</v>
          </cell>
          <cell r="AV389">
            <v>65000000000379</v>
          </cell>
          <cell r="AW389">
            <v>65000000000354</v>
          </cell>
        </row>
        <row r="390">
          <cell r="J390" t="str">
            <v>6-1013.01</v>
          </cell>
          <cell r="AD390">
            <v>6</v>
          </cell>
          <cell r="AE390">
            <v>2</v>
          </cell>
          <cell r="AF390">
            <v>1</v>
          </cell>
          <cell r="AH390">
            <v>2</v>
          </cell>
          <cell r="AI390">
            <v>1</v>
          </cell>
          <cell r="AV390">
            <v>65000000000380</v>
          </cell>
          <cell r="AW390">
            <v>65000000000379</v>
          </cell>
        </row>
        <row r="391">
          <cell r="H391" t="str">
            <v>6-1014</v>
          </cell>
          <cell r="AD391">
            <v>6</v>
          </cell>
          <cell r="AE391">
            <v>2</v>
          </cell>
          <cell r="AF391">
            <v>1</v>
          </cell>
          <cell r="AH391">
            <v>1</v>
          </cell>
          <cell r="AI391">
            <v>1</v>
          </cell>
          <cell r="AV391">
            <v>65000000000381</v>
          </cell>
          <cell r="AW391">
            <v>65000000000354</v>
          </cell>
        </row>
        <row r="392">
          <cell r="J392" t="str">
            <v>6-1014.01</v>
          </cell>
          <cell r="AD392">
            <v>6</v>
          </cell>
          <cell r="AE392">
            <v>2</v>
          </cell>
          <cell r="AF392">
            <v>1</v>
          </cell>
          <cell r="AH392">
            <v>2</v>
          </cell>
          <cell r="AI392">
            <v>1</v>
          </cell>
          <cell r="AV392">
            <v>65000000000382</v>
          </cell>
          <cell r="AW392">
            <v>65000000000381</v>
          </cell>
        </row>
        <row r="393">
          <cell r="H393" t="str">
            <v>6-1015</v>
          </cell>
          <cell r="AD393">
            <v>6</v>
          </cell>
          <cell r="AE393">
            <v>2</v>
          </cell>
          <cell r="AF393">
            <v>1</v>
          </cell>
          <cell r="AH393">
            <v>1</v>
          </cell>
          <cell r="AI393">
            <v>1</v>
          </cell>
          <cell r="AV393">
            <v>65000000000383</v>
          </cell>
          <cell r="AW393">
            <v>65000000000354</v>
          </cell>
        </row>
        <row r="394">
          <cell r="J394" t="str">
            <v>6-1015.01</v>
          </cell>
          <cell r="AD394">
            <v>6</v>
          </cell>
          <cell r="AE394">
            <v>2</v>
          </cell>
          <cell r="AF394">
            <v>1</v>
          </cell>
          <cell r="AH394">
            <v>2</v>
          </cell>
          <cell r="AI394">
            <v>1</v>
          </cell>
          <cell r="AV394">
            <v>65000000000384</v>
          </cell>
          <cell r="AW394">
            <v>65000000000383</v>
          </cell>
        </row>
        <row r="395">
          <cell r="H395" t="str">
            <v>6-1016</v>
          </cell>
          <cell r="AD395">
            <v>6</v>
          </cell>
          <cell r="AE395">
            <v>2</v>
          </cell>
          <cell r="AF395">
            <v>1</v>
          </cell>
          <cell r="AH395">
            <v>1</v>
          </cell>
          <cell r="AI395">
            <v>1</v>
          </cell>
          <cell r="AV395">
            <v>65000000000385</v>
          </cell>
          <cell r="AW395">
            <v>65000000000354</v>
          </cell>
        </row>
        <row r="396">
          <cell r="J396" t="str">
            <v>6-1016.01</v>
          </cell>
          <cell r="AD396">
            <v>6</v>
          </cell>
          <cell r="AE396">
            <v>2</v>
          </cell>
          <cell r="AF396">
            <v>1</v>
          </cell>
          <cell r="AH396">
            <v>2</v>
          </cell>
          <cell r="AI396">
            <v>1</v>
          </cell>
          <cell r="AV396">
            <v>65000000000386</v>
          </cell>
          <cell r="AW396">
            <v>65000000000385</v>
          </cell>
        </row>
        <row r="397">
          <cell r="H397" t="str">
            <v>6-1017</v>
          </cell>
          <cell r="AD397">
            <v>6</v>
          </cell>
          <cell r="AE397">
            <v>2</v>
          </cell>
          <cell r="AF397">
            <v>1</v>
          </cell>
          <cell r="AH397">
            <v>1</v>
          </cell>
          <cell r="AI397">
            <v>1</v>
          </cell>
          <cell r="AV397">
            <v>65000000000387</v>
          </cell>
          <cell r="AW397">
            <v>65000000000354</v>
          </cell>
        </row>
        <row r="398">
          <cell r="J398" t="str">
            <v>6-1017.01</v>
          </cell>
          <cell r="AD398">
            <v>6</v>
          </cell>
          <cell r="AE398">
            <v>2</v>
          </cell>
          <cell r="AF398">
            <v>1</v>
          </cell>
          <cell r="AH398">
            <v>2</v>
          </cell>
          <cell r="AI398">
            <v>1</v>
          </cell>
          <cell r="AV398">
            <v>65000000000388</v>
          </cell>
          <cell r="AW398">
            <v>65000000000387</v>
          </cell>
        </row>
        <row r="399">
          <cell r="H399" t="str">
            <v>6-1099</v>
          </cell>
          <cell r="AD399">
            <v>6</v>
          </cell>
          <cell r="AE399">
            <v>2</v>
          </cell>
          <cell r="AF399">
            <v>1</v>
          </cell>
          <cell r="AH399">
            <v>1</v>
          </cell>
          <cell r="AI399">
            <v>1</v>
          </cell>
          <cell r="AV399">
            <v>65000000000389</v>
          </cell>
          <cell r="AW399">
            <v>65000000000354</v>
          </cell>
        </row>
        <row r="400">
          <cell r="J400" t="str">
            <v>6-1099.01</v>
          </cell>
          <cell r="AD400">
            <v>6</v>
          </cell>
          <cell r="AE400">
            <v>2</v>
          </cell>
          <cell r="AF400">
            <v>1</v>
          </cell>
          <cell r="AH400">
            <v>2</v>
          </cell>
          <cell r="AI400">
            <v>1</v>
          </cell>
          <cell r="AV400">
            <v>65000000000390</v>
          </cell>
          <cell r="AW400">
            <v>65000000000389</v>
          </cell>
        </row>
        <row r="401">
          <cell r="D401" t="str">
            <v>6-2000</v>
          </cell>
          <cell r="AD401">
            <v>6</v>
          </cell>
          <cell r="AE401">
            <v>3</v>
          </cell>
          <cell r="AF401">
            <v>1</v>
          </cell>
          <cell r="AH401">
            <v>2</v>
          </cell>
          <cell r="AI401">
            <v>1</v>
          </cell>
          <cell r="AV401">
            <v>65000000000391</v>
          </cell>
          <cell r="AW401">
            <v>65000000000353</v>
          </cell>
        </row>
        <row r="402">
          <cell r="H402" t="str">
            <v>6-2001</v>
          </cell>
          <cell r="AD402">
            <v>6</v>
          </cell>
          <cell r="AE402">
            <v>3</v>
          </cell>
          <cell r="AF402">
            <v>1</v>
          </cell>
          <cell r="AH402">
            <v>1</v>
          </cell>
          <cell r="AI402">
            <v>1</v>
          </cell>
          <cell r="AV402">
            <v>65000000000392</v>
          </cell>
          <cell r="AW402">
            <v>65000000000391</v>
          </cell>
        </row>
        <row r="403">
          <cell r="J403" t="str">
            <v>6-2001.01</v>
          </cell>
          <cell r="AD403">
            <v>6</v>
          </cell>
          <cell r="AE403">
            <v>3</v>
          </cell>
          <cell r="AF403">
            <v>1</v>
          </cell>
          <cell r="AH403">
            <v>2</v>
          </cell>
          <cell r="AI403">
            <v>1</v>
          </cell>
          <cell r="AV403">
            <v>65000000000393</v>
          </cell>
          <cell r="AW403">
            <v>65000000000392</v>
          </cell>
        </row>
        <row r="404">
          <cell r="H404" t="str">
            <v>6-2002</v>
          </cell>
          <cell r="AD404">
            <v>6</v>
          </cell>
          <cell r="AE404">
            <v>3</v>
          </cell>
          <cell r="AF404">
            <v>1</v>
          </cell>
          <cell r="AH404">
            <v>1</v>
          </cell>
          <cell r="AI404">
            <v>1</v>
          </cell>
          <cell r="AV404">
            <v>65000000000394</v>
          </cell>
          <cell r="AW404">
            <v>65000000000391</v>
          </cell>
        </row>
        <row r="405">
          <cell r="J405" t="str">
            <v>6-2002.01</v>
          </cell>
          <cell r="AD405">
            <v>6</v>
          </cell>
          <cell r="AE405">
            <v>3</v>
          </cell>
          <cell r="AF405">
            <v>1</v>
          </cell>
          <cell r="AH405">
            <v>2</v>
          </cell>
          <cell r="AI405">
            <v>1</v>
          </cell>
          <cell r="AV405">
            <v>65000000000395</v>
          </cell>
          <cell r="AW405">
            <v>65000000000394</v>
          </cell>
        </row>
        <row r="406">
          <cell r="H406" t="str">
            <v>6-2003</v>
          </cell>
          <cell r="AD406">
            <v>6</v>
          </cell>
          <cell r="AE406">
            <v>3</v>
          </cell>
          <cell r="AF406">
            <v>1</v>
          </cell>
          <cell r="AH406">
            <v>1</v>
          </cell>
          <cell r="AI406">
            <v>1</v>
          </cell>
          <cell r="AV406">
            <v>65000000000396</v>
          </cell>
          <cell r="AW406">
            <v>65000000000391</v>
          </cell>
        </row>
        <row r="407">
          <cell r="J407" t="str">
            <v>6-2003.01</v>
          </cell>
          <cell r="AD407">
            <v>6</v>
          </cell>
          <cell r="AE407">
            <v>3</v>
          </cell>
          <cell r="AF407">
            <v>1</v>
          </cell>
          <cell r="AH407">
            <v>2</v>
          </cell>
          <cell r="AI407">
            <v>1</v>
          </cell>
          <cell r="AV407">
            <v>65000000000397</v>
          </cell>
          <cell r="AW407">
            <v>65000000000396</v>
          </cell>
        </row>
        <row r="408">
          <cell r="H408" t="str">
            <v>6-2004</v>
          </cell>
          <cell r="AD408">
            <v>6</v>
          </cell>
          <cell r="AE408">
            <v>3</v>
          </cell>
          <cell r="AF408">
            <v>1</v>
          </cell>
          <cell r="AH408">
            <v>1</v>
          </cell>
          <cell r="AI408">
            <v>1</v>
          </cell>
          <cell r="AV408">
            <v>65000000000398</v>
          </cell>
          <cell r="AW408">
            <v>65000000000391</v>
          </cell>
        </row>
        <row r="409">
          <cell r="J409" t="str">
            <v>6-2004.01</v>
          </cell>
          <cell r="AD409">
            <v>6</v>
          </cell>
          <cell r="AE409">
            <v>3</v>
          </cell>
          <cell r="AF409">
            <v>1</v>
          </cell>
          <cell r="AH409">
            <v>2</v>
          </cell>
          <cell r="AI409">
            <v>1</v>
          </cell>
          <cell r="AV409">
            <v>65000000000399</v>
          </cell>
          <cell r="AW409">
            <v>65000000000398</v>
          </cell>
        </row>
        <row r="410">
          <cell r="H410" t="str">
            <v>6-2005</v>
          </cell>
          <cell r="AD410">
            <v>6</v>
          </cell>
          <cell r="AE410">
            <v>3</v>
          </cell>
          <cell r="AF410">
            <v>1</v>
          </cell>
          <cell r="AH410">
            <v>1</v>
          </cell>
          <cell r="AI410">
            <v>1</v>
          </cell>
          <cell r="AV410">
            <v>65000000000400</v>
          </cell>
          <cell r="AW410">
            <v>65000000000391</v>
          </cell>
        </row>
        <row r="411">
          <cell r="J411" t="str">
            <v>6-2005.01</v>
          </cell>
          <cell r="AD411">
            <v>6</v>
          </cell>
          <cell r="AE411">
            <v>3</v>
          </cell>
          <cell r="AF411">
            <v>1</v>
          </cell>
          <cell r="AH411">
            <v>2</v>
          </cell>
          <cell r="AI411">
            <v>1</v>
          </cell>
          <cell r="AV411">
            <v>65000000000401</v>
          </cell>
          <cell r="AW411">
            <v>65000000000400</v>
          </cell>
        </row>
        <row r="412">
          <cell r="H412" t="str">
            <v>6-2006</v>
          </cell>
          <cell r="AD412">
            <v>6</v>
          </cell>
          <cell r="AE412">
            <v>3</v>
          </cell>
          <cell r="AF412">
            <v>1</v>
          </cell>
          <cell r="AH412">
            <v>1</v>
          </cell>
          <cell r="AI412">
            <v>1</v>
          </cell>
          <cell r="AV412">
            <v>65000000000402</v>
          </cell>
          <cell r="AW412">
            <v>65000000000391</v>
          </cell>
        </row>
        <row r="413">
          <cell r="J413" t="str">
            <v>6-2006.01</v>
          </cell>
          <cell r="AD413">
            <v>6</v>
          </cell>
          <cell r="AE413">
            <v>3</v>
          </cell>
          <cell r="AF413">
            <v>1</v>
          </cell>
          <cell r="AH413">
            <v>2</v>
          </cell>
          <cell r="AI413">
            <v>1</v>
          </cell>
          <cell r="AV413">
            <v>65000000000403</v>
          </cell>
          <cell r="AW413">
            <v>65000000000402</v>
          </cell>
        </row>
        <row r="414">
          <cell r="H414" t="str">
            <v>6-2007</v>
          </cell>
          <cell r="AD414">
            <v>6</v>
          </cell>
          <cell r="AE414">
            <v>3</v>
          </cell>
          <cell r="AF414">
            <v>1</v>
          </cell>
          <cell r="AH414">
            <v>1</v>
          </cell>
          <cell r="AI414">
            <v>1</v>
          </cell>
          <cell r="AV414">
            <v>65000000000404</v>
          </cell>
          <cell r="AW414">
            <v>65000000000391</v>
          </cell>
        </row>
        <row r="415">
          <cell r="J415" t="str">
            <v>6-2007.01</v>
          </cell>
          <cell r="AD415">
            <v>6</v>
          </cell>
          <cell r="AE415">
            <v>3</v>
          </cell>
          <cell r="AF415">
            <v>1</v>
          </cell>
          <cell r="AH415">
            <v>2</v>
          </cell>
          <cell r="AI415">
            <v>1</v>
          </cell>
          <cell r="AV415">
            <v>65000000000405</v>
          </cell>
          <cell r="AW415">
            <v>65000000000404</v>
          </cell>
        </row>
        <row r="416">
          <cell r="H416" t="str">
            <v>6-2008</v>
          </cell>
          <cell r="AD416">
            <v>6</v>
          </cell>
          <cell r="AE416">
            <v>3</v>
          </cell>
          <cell r="AF416">
            <v>1</v>
          </cell>
          <cell r="AH416">
            <v>1</v>
          </cell>
          <cell r="AI416">
            <v>1</v>
          </cell>
          <cell r="AV416">
            <v>65000000000406</v>
          </cell>
          <cell r="AW416">
            <v>65000000000391</v>
          </cell>
        </row>
        <row r="417">
          <cell r="J417" t="str">
            <v>6-2008.01</v>
          </cell>
          <cell r="AD417">
            <v>6</v>
          </cell>
          <cell r="AE417">
            <v>3</v>
          </cell>
          <cell r="AF417">
            <v>1</v>
          </cell>
          <cell r="AH417">
            <v>2</v>
          </cell>
          <cell r="AI417">
            <v>1</v>
          </cell>
          <cell r="AV417">
            <v>65000000000407</v>
          </cell>
          <cell r="AW417">
            <v>65000000000406</v>
          </cell>
        </row>
        <row r="418">
          <cell r="H418" t="str">
            <v>6-2009</v>
          </cell>
          <cell r="AD418">
            <v>6</v>
          </cell>
          <cell r="AE418">
            <v>3</v>
          </cell>
          <cell r="AF418">
            <v>1</v>
          </cell>
          <cell r="AH418">
            <v>1</v>
          </cell>
          <cell r="AI418">
            <v>1</v>
          </cell>
          <cell r="AV418">
            <v>65000000000408</v>
          </cell>
          <cell r="AW418">
            <v>65000000000391</v>
          </cell>
        </row>
        <row r="419">
          <cell r="J419" t="str">
            <v>6-2009.01</v>
          </cell>
          <cell r="AD419">
            <v>6</v>
          </cell>
          <cell r="AE419">
            <v>3</v>
          </cell>
          <cell r="AF419">
            <v>1</v>
          </cell>
          <cell r="AH419">
            <v>2</v>
          </cell>
          <cell r="AI419">
            <v>1</v>
          </cell>
          <cell r="AV419">
            <v>65000000000409</v>
          </cell>
          <cell r="AW419">
            <v>65000000000408</v>
          </cell>
        </row>
        <row r="420">
          <cell r="H420" t="str">
            <v>6-2010</v>
          </cell>
          <cell r="AD420">
            <v>6</v>
          </cell>
          <cell r="AE420">
            <v>3</v>
          </cell>
          <cell r="AF420">
            <v>1</v>
          </cell>
          <cell r="AH420">
            <v>1</v>
          </cell>
          <cell r="AI420">
            <v>1</v>
          </cell>
          <cell r="AV420">
            <v>65000000000410</v>
          </cell>
          <cell r="AW420">
            <v>65000000000391</v>
          </cell>
        </row>
        <row r="421">
          <cell r="J421" t="str">
            <v>6-2010.01</v>
          </cell>
          <cell r="AD421">
            <v>6</v>
          </cell>
          <cell r="AE421">
            <v>3</v>
          </cell>
          <cell r="AF421">
            <v>1</v>
          </cell>
          <cell r="AH421">
            <v>2</v>
          </cell>
          <cell r="AI421">
            <v>1</v>
          </cell>
          <cell r="AV421">
            <v>65000000000411</v>
          </cell>
          <cell r="AW421">
            <v>65000000000410</v>
          </cell>
        </row>
        <row r="422">
          <cell r="H422" t="str">
            <v>6-2011</v>
          </cell>
          <cell r="AD422">
            <v>6</v>
          </cell>
          <cell r="AE422">
            <v>3</v>
          </cell>
          <cell r="AF422">
            <v>1</v>
          </cell>
          <cell r="AH422">
            <v>1</v>
          </cell>
          <cell r="AI422">
            <v>1</v>
          </cell>
          <cell r="AV422">
            <v>65000000000412</v>
          </cell>
          <cell r="AW422">
            <v>65000000000391</v>
          </cell>
        </row>
        <row r="423">
          <cell r="J423" t="str">
            <v>6-2011.01</v>
          </cell>
          <cell r="AD423">
            <v>6</v>
          </cell>
          <cell r="AE423">
            <v>3</v>
          </cell>
          <cell r="AF423">
            <v>1</v>
          </cell>
          <cell r="AH423">
            <v>2</v>
          </cell>
          <cell r="AI423">
            <v>1</v>
          </cell>
          <cell r="AV423">
            <v>65000000000413</v>
          </cell>
          <cell r="AW423">
            <v>65000000000412</v>
          </cell>
        </row>
        <row r="424">
          <cell r="H424" t="str">
            <v>6-2012</v>
          </cell>
          <cell r="AD424">
            <v>6</v>
          </cell>
          <cell r="AE424">
            <v>3</v>
          </cell>
          <cell r="AF424">
            <v>1</v>
          </cell>
          <cell r="AH424">
            <v>1</v>
          </cell>
          <cell r="AI424">
            <v>1</v>
          </cell>
          <cell r="AV424">
            <v>65000000000414</v>
          </cell>
          <cell r="AW424">
            <v>65000000000391</v>
          </cell>
        </row>
        <row r="425">
          <cell r="J425" t="str">
            <v>6-2012.01</v>
          </cell>
          <cell r="AD425">
            <v>6</v>
          </cell>
          <cell r="AE425">
            <v>3</v>
          </cell>
          <cell r="AF425">
            <v>1</v>
          </cell>
          <cell r="AH425">
            <v>2</v>
          </cell>
          <cell r="AI425">
            <v>1</v>
          </cell>
          <cell r="AV425">
            <v>65000000000415</v>
          </cell>
          <cell r="AW425">
            <v>65000000000414</v>
          </cell>
        </row>
        <row r="426">
          <cell r="H426" t="str">
            <v>6-2013</v>
          </cell>
          <cell r="AD426">
            <v>6</v>
          </cell>
          <cell r="AE426">
            <v>3</v>
          </cell>
          <cell r="AF426">
            <v>1</v>
          </cell>
          <cell r="AH426">
            <v>1</v>
          </cell>
          <cell r="AI426">
            <v>1</v>
          </cell>
          <cell r="AV426">
            <v>65000000000416</v>
          </cell>
          <cell r="AW426">
            <v>65000000000391</v>
          </cell>
        </row>
        <row r="427">
          <cell r="J427" t="str">
            <v>6-2013.01</v>
          </cell>
          <cell r="AD427">
            <v>6</v>
          </cell>
          <cell r="AE427">
            <v>3</v>
          </cell>
          <cell r="AF427">
            <v>1</v>
          </cell>
          <cell r="AH427">
            <v>2</v>
          </cell>
          <cell r="AI427">
            <v>1</v>
          </cell>
          <cell r="AV427">
            <v>65000000000417</v>
          </cell>
          <cell r="AW427">
            <v>65000000000416</v>
          </cell>
        </row>
        <row r="428">
          <cell r="H428" t="str">
            <v>6-2014</v>
          </cell>
          <cell r="AD428">
            <v>6</v>
          </cell>
          <cell r="AE428">
            <v>3</v>
          </cell>
          <cell r="AF428">
            <v>1</v>
          </cell>
          <cell r="AH428">
            <v>1</v>
          </cell>
          <cell r="AI428">
            <v>1</v>
          </cell>
          <cell r="AV428">
            <v>65000000000418</v>
          </cell>
          <cell r="AW428">
            <v>65000000000391</v>
          </cell>
        </row>
        <row r="429">
          <cell r="J429" t="str">
            <v>6-2014.01</v>
          </cell>
          <cell r="AD429">
            <v>6</v>
          </cell>
          <cell r="AE429">
            <v>3</v>
          </cell>
          <cell r="AF429">
            <v>1</v>
          </cell>
          <cell r="AH429">
            <v>2</v>
          </cell>
          <cell r="AI429">
            <v>1</v>
          </cell>
          <cell r="AV429">
            <v>65000000000419</v>
          </cell>
          <cell r="AW429">
            <v>65000000000418</v>
          </cell>
        </row>
        <row r="430">
          <cell r="H430" t="str">
            <v>6-2015</v>
          </cell>
          <cell r="AD430">
            <v>6</v>
          </cell>
          <cell r="AE430">
            <v>3</v>
          </cell>
          <cell r="AF430">
            <v>1</v>
          </cell>
          <cell r="AH430">
            <v>1</v>
          </cell>
          <cell r="AI430">
            <v>1</v>
          </cell>
          <cell r="AV430">
            <v>65000000000420</v>
          </cell>
          <cell r="AW430">
            <v>65000000000391</v>
          </cell>
        </row>
        <row r="431">
          <cell r="J431" t="str">
            <v>6-2015.01</v>
          </cell>
          <cell r="AD431">
            <v>6</v>
          </cell>
          <cell r="AE431">
            <v>3</v>
          </cell>
          <cell r="AF431">
            <v>1</v>
          </cell>
          <cell r="AH431">
            <v>2</v>
          </cell>
          <cell r="AI431">
            <v>1</v>
          </cell>
          <cell r="AV431">
            <v>65000000000421</v>
          </cell>
          <cell r="AW431">
            <v>65000000000420</v>
          </cell>
        </row>
        <row r="432">
          <cell r="H432" t="str">
            <v>6-2016</v>
          </cell>
          <cell r="AD432">
            <v>6</v>
          </cell>
          <cell r="AE432">
            <v>3</v>
          </cell>
          <cell r="AF432">
            <v>1</v>
          </cell>
          <cell r="AH432">
            <v>1</v>
          </cell>
          <cell r="AI432">
            <v>1</v>
          </cell>
          <cell r="AV432">
            <v>65000000000422</v>
          </cell>
          <cell r="AW432">
            <v>65000000000391</v>
          </cell>
        </row>
        <row r="433">
          <cell r="J433" t="str">
            <v>6-2016.01</v>
          </cell>
          <cell r="AD433">
            <v>6</v>
          </cell>
          <cell r="AE433">
            <v>3</v>
          </cell>
          <cell r="AF433">
            <v>1</v>
          </cell>
          <cell r="AH433">
            <v>2</v>
          </cell>
          <cell r="AI433">
            <v>1</v>
          </cell>
          <cell r="AV433">
            <v>65000000000423</v>
          </cell>
          <cell r="AW433">
            <v>65000000000422</v>
          </cell>
        </row>
        <row r="434">
          <cell r="H434" t="str">
            <v>6-2017</v>
          </cell>
          <cell r="AD434">
            <v>6</v>
          </cell>
          <cell r="AE434">
            <v>3</v>
          </cell>
          <cell r="AF434">
            <v>1</v>
          </cell>
          <cell r="AH434">
            <v>1</v>
          </cell>
          <cell r="AI434">
            <v>1</v>
          </cell>
          <cell r="AV434">
            <v>65000000000424</v>
          </cell>
          <cell r="AW434">
            <v>65000000000391</v>
          </cell>
        </row>
        <row r="435">
          <cell r="J435" t="str">
            <v>6-2017.01</v>
          </cell>
          <cell r="AD435">
            <v>6</v>
          </cell>
          <cell r="AE435">
            <v>3</v>
          </cell>
          <cell r="AF435">
            <v>1</v>
          </cell>
          <cell r="AH435">
            <v>2</v>
          </cell>
          <cell r="AI435">
            <v>1</v>
          </cell>
          <cell r="AV435">
            <v>65000000000425</v>
          </cell>
          <cell r="AW435">
            <v>65000000000424</v>
          </cell>
        </row>
        <row r="436">
          <cell r="H436" t="str">
            <v>6-2018</v>
          </cell>
          <cell r="AD436">
            <v>6</v>
          </cell>
          <cell r="AE436">
            <v>3</v>
          </cell>
          <cell r="AF436">
            <v>1</v>
          </cell>
          <cell r="AH436">
            <v>1</v>
          </cell>
          <cell r="AI436">
            <v>1</v>
          </cell>
          <cell r="AV436">
            <v>65000000000426</v>
          </cell>
          <cell r="AW436">
            <v>65000000000391</v>
          </cell>
        </row>
        <row r="437">
          <cell r="J437" t="str">
            <v>6-2018.01</v>
          </cell>
          <cell r="AD437">
            <v>6</v>
          </cell>
          <cell r="AE437">
            <v>3</v>
          </cell>
          <cell r="AF437">
            <v>1</v>
          </cell>
          <cell r="AH437">
            <v>2</v>
          </cell>
          <cell r="AI437">
            <v>1</v>
          </cell>
          <cell r="AV437">
            <v>65000000000427</v>
          </cell>
          <cell r="AW437">
            <v>65000000000426</v>
          </cell>
        </row>
        <row r="438">
          <cell r="H438" t="str">
            <v>6-2019</v>
          </cell>
          <cell r="AD438">
            <v>6</v>
          </cell>
          <cell r="AE438">
            <v>3</v>
          </cell>
          <cell r="AF438">
            <v>1</v>
          </cell>
          <cell r="AH438">
            <v>1</v>
          </cell>
          <cell r="AI438">
            <v>1</v>
          </cell>
          <cell r="AV438">
            <v>65000000000428</v>
          </cell>
          <cell r="AW438">
            <v>65000000000391</v>
          </cell>
        </row>
        <row r="439">
          <cell r="J439" t="str">
            <v>6-2019.01</v>
          </cell>
          <cell r="AD439">
            <v>6</v>
          </cell>
          <cell r="AE439">
            <v>3</v>
          </cell>
          <cell r="AF439">
            <v>1</v>
          </cell>
          <cell r="AH439">
            <v>2</v>
          </cell>
          <cell r="AI439">
            <v>1</v>
          </cell>
          <cell r="AV439">
            <v>65000000000429</v>
          </cell>
          <cell r="AW439">
            <v>65000000000428</v>
          </cell>
        </row>
        <row r="440">
          <cell r="H440" t="str">
            <v>6-2020</v>
          </cell>
          <cell r="AD440">
            <v>6</v>
          </cell>
          <cell r="AE440">
            <v>3</v>
          </cell>
          <cell r="AF440">
            <v>1</v>
          </cell>
          <cell r="AH440">
            <v>1</v>
          </cell>
          <cell r="AI440">
            <v>1</v>
          </cell>
          <cell r="AV440">
            <v>65000000000430</v>
          </cell>
          <cell r="AW440">
            <v>65000000000391</v>
          </cell>
        </row>
        <row r="441">
          <cell r="J441" t="str">
            <v>6-2020.01</v>
          </cell>
          <cell r="AD441">
            <v>6</v>
          </cell>
          <cell r="AE441">
            <v>3</v>
          </cell>
          <cell r="AF441">
            <v>1</v>
          </cell>
          <cell r="AH441">
            <v>2</v>
          </cell>
          <cell r="AI441">
            <v>1</v>
          </cell>
          <cell r="AV441">
            <v>65000000000431</v>
          </cell>
          <cell r="AW441">
            <v>65000000000430</v>
          </cell>
        </row>
        <row r="442">
          <cell r="H442" t="str">
            <v>6-2021</v>
          </cell>
          <cell r="AD442">
            <v>6</v>
          </cell>
          <cell r="AE442">
            <v>3</v>
          </cell>
          <cell r="AF442">
            <v>1</v>
          </cell>
          <cell r="AH442">
            <v>1</v>
          </cell>
          <cell r="AI442">
            <v>1</v>
          </cell>
          <cell r="AV442">
            <v>65000000000432</v>
          </cell>
          <cell r="AW442">
            <v>65000000000391</v>
          </cell>
        </row>
        <row r="443">
          <cell r="J443" t="str">
            <v>6-2021.01</v>
          </cell>
          <cell r="AD443">
            <v>6</v>
          </cell>
          <cell r="AE443">
            <v>3</v>
          </cell>
          <cell r="AF443">
            <v>1</v>
          </cell>
          <cell r="AH443">
            <v>2</v>
          </cell>
          <cell r="AI443">
            <v>1</v>
          </cell>
          <cell r="AV443">
            <v>65000000000433</v>
          </cell>
          <cell r="AW443">
            <v>65000000000432</v>
          </cell>
        </row>
        <row r="444">
          <cell r="H444" t="str">
            <v>6-2022</v>
          </cell>
          <cell r="AD444">
            <v>6</v>
          </cell>
          <cell r="AE444">
            <v>3</v>
          </cell>
          <cell r="AF444">
            <v>1</v>
          </cell>
          <cell r="AH444">
            <v>1</v>
          </cell>
          <cell r="AI444">
            <v>1</v>
          </cell>
          <cell r="AV444">
            <v>65000000000434</v>
          </cell>
          <cell r="AW444">
            <v>65000000000391</v>
          </cell>
        </row>
        <row r="445">
          <cell r="J445" t="str">
            <v>6-2022.01</v>
          </cell>
          <cell r="AD445">
            <v>6</v>
          </cell>
          <cell r="AE445">
            <v>3</v>
          </cell>
          <cell r="AF445">
            <v>1</v>
          </cell>
          <cell r="AH445">
            <v>2</v>
          </cell>
          <cell r="AI445">
            <v>1</v>
          </cell>
          <cell r="AV445">
            <v>65000000000435</v>
          </cell>
          <cell r="AW445">
            <v>65000000000434</v>
          </cell>
        </row>
        <row r="446">
          <cell r="H446" t="str">
            <v>6-2023</v>
          </cell>
          <cell r="AD446">
            <v>6</v>
          </cell>
          <cell r="AE446">
            <v>3</v>
          </cell>
          <cell r="AF446">
            <v>1</v>
          </cell>
          <cell r="AH446">
            <v>1</v>
          </cell>
          <cell r="AI446">
            <v>1</v>
          </cell>
          <cell r="AV446">
            <v>65000000000436</v>
          </cell>
          <cell r="AW446">
            <v>65000000000391</v>
          </cell>
        </row>
        <row r="447">
          <cell r="J447" t="str">
            <v>6-2023.01</v>
          </cell>
          <cell r="AD447">
            <v>6</v>
          </cell>
          <cell r="AE447">
            <v>3</v>
          </cell>
          <cell r="AF447">
            <v>1</v>
          </cell>
          <cell r="AH447">
            <v>2</v>
          </cell>
          <cell r="AI447">
            <v>1</v>
          </cell>
          <cell r="AV447">
            <v>65000000000437</v>
          </cell>
          <cell r="AW447">
            <v>65000000000436</v>
          </cell>
        </row>
        <row r="448">
          <cell r="H448" t="str">
            <v>6-2024</v>
          </cell>
          <cell r="AD448">
            <v>6</v>
          </cell>
          <cell r="AE448">
            <v>3</v>
          </cell>
          <cell r="AF448">
            <v>1</v>
          </cell>
          <cell r="AH448">
            <v>1</v>
          </cell>
          <cell r="AI448">
            <v>1</v>
          </cell>
          <cell r="AV448">
            <v>65000000000438</v>
          </cell>
          <cell r="AW448">
            <v>65000000000391</v>
          </cell>
        </row>
        <row r="449">
          <cell r="J449" t="str">
            <v>6-2024.01</v>
          </cell>
          <cell r="AD449">
            <v>6</v>
          </cell>
          <cell r="AE449">
            <v>3</v>
          </cell>
          <cell r="AF449">
            <v>1</v>
          </cell>
          <cell r="AH449">
            <v>2</v>
          </cell>
          <cell r="AI449">
            <v>1</v>
          </cell>
          <cell r="AV449">
            <v>65000000000439</v>
          </cell>
          <cell r="AW449">
            <v>65000000000438</v>
          </cell>
        </row>
        <row r="450">
          <cell r="H450" t="str">
            <v>6-2025</v>
          </cell>
          <cell r="AD450">
            <v>6</v>
          </cell>
          <cell r="AE450">
            <v>3</v>
          </cell>
          <cell r="AF450">
            <v>1</v>
          </cell>
          <cell r="AH450">
            <v>1</v>
          </cell>
          <cell r="AI450">
            <v>1</v>
          </cell>
          <cell r="AV450">
            <v>65000000000440</v>
          </cell>
          <cell r="AW450">
            <v>65000000000391</v>
          </cell>
        </row>
        <row r="451">
          <cell r="J451" t="str">
            <v>6-2025.01</v>
          </cell>
          <cell r="AD451">
            <v>6</v>
          </cell>
          <cell r="AE451">
            <v>3</v>
          </cell>
          <cell r="AF451">
            <v>1</v>
          </cell>
          <cell r="AH451">
            <v>2</v>
          </cell>
          <cell r="AI451">
            <v>1</v>
          </cell>
          <cell r="AV451">
            <v>65000000000441</v>
          </cell>
          <cell r="AW451">
            <v>65000000000440</v>
          </cell>
        </row>
        <row r="452">
          <cell r="H452" t="str">
            <v>6-2026</v>
          </cell>
          <cell r="AD452">
            <v>6</v>
          </cell>
          <cell r="AE452">
            <v>3</v>
          </cell>
          <cell r="AF452">
            <v>1</v>
          </cell>
          <cell r="AH452">
            <v>1</v>
          </cell>
          <cell r="AI452">
            <v>1</v>
          </cell>
          <cell r="AV452">
            <v>65000000000442</v>
          </cell>
          <cell r="AW452">
            <v>65000000000391</v>
          </cell>
        </row>
        <row r="453">
          <cell r="J453" t="str">
            <v>6-2026.01</v>
          </cell>
          <cell r="AD453">
            <v>6</v>
          </cell>
          <cell r="AE453">
            <v>3</v>
          </cell>
          <cell r="AF453">
            <v>1</v>
          </cell>
          <cell r="AH453">
            <v>2</v>
          </cell>
          <cell r="AI453">
            <v>1</v>
          </cell>
          <cell r="AV453">
            <v>65000000000443</v>
          </cell>
          <cell r="AW453">
            <v>65000000000442</v>
          </cell>
        </row>
        <row r="454">
          <cell r="H454" t="str">
            <v>6-2027</v>
          </cell>
          <cell r="AD454">
            <v>6</v>
          </cell>
          <cell r="AE454">
            <v>3</v>
          </cell>
          <cell r="AF454">
            <v>1</v>
          </cell>
          <cell r="AH454">
            <v>1</v>
          </cell>
          <cell r="AI454">
            <v>1</v>
          </cell>
          <cell r="AV454">
            <v>65000000000444</v>
          </cell>
          <cell r="AW454">
            <v>65000000000391</v>
          </cell>
        </row>
        <row r="455">
          <cell r="J455" t="str">
            <v>6-2027.01</v>
          </cell>
          <cell r="AD455">
            <v>6</v>
          </cell>
          <cell r="AE455">
            <v>3</v>
          </cell>
          <cell r="AF455">
            <v>1</v>
          </cell>
          <cell r="AH455">
            <v>2</v>
          </cell>
          <cell r="AI455">
            <v>1</v>
          </cell>
          <cell r="AV455">
            <v>65000000000445</v>
          </cell>
          <cell r="AW455">
            <v>65000000000444</v>
          </cell>
        </row>
        <row r="456">
          <cell r="H456" t="str">
            <v>6-2099</v>
          </cell>
          <cell r="AD456">
            <v>6</v>
          </cell>
          <cell r="AE456">
            <v>3</v>
          </cell>
          <cell r="AF456">
            <v>1</v>
          </cell>
          <cell r="AH456">
            <v>1</v>
          </cell>
          <cell r="AI456">
            <v>1</v>
          </cell>
          <cell r="AV456">
            <v>65000000000446</v>
          </cell>
          <cell r="AW456">
            <v>65000000000391</v>
          </cell>
        </row>
        <row r="457">
          <cell r="J457" t="str">
            <v>6-2099.01</v>
          </cell>
          <cell r="AD457">
            <v>6</v>
          </cell>
          <cell r="AE457">
            <v>3</v>
          </cell>
          <cell r="AF457">
            <v>1</v>
          </cell>
          <cell r="AH457">
            <v>2</v>
          </cell>
          <cell r="AI457">
            <v>1</v>
          </cell>
          <cell r="AV457">
            <v>65000000000447</v>
          </cell>
          <cell r="AW457">
            <v>65000000000446</v>
          </cell>
        </row>
        <row r="458">
          <cell r="D458" t="str">
            <v>6-3000</v>
          </cell>
          <cell r="AD458">
            <v>6</v>
          </cell>
          <cell r="AE458">
            <v>4</v>
          </cell>
          <cell r="AF458">
            <v>1</v>
          </cell>
          <cell r="AH458">
            <v>2</v>
          </cell>
          <cell r="AI458">
            <v>1</v>
          </cell>
          <cell r="AV458">
            <v>65000000000448</v>
          </cell>
          <cell r="AW458">
            <v>65000000000353</v>
          </cell>
        </row>
        <row r="459">
          <cell r="H459" t="str">
            <v>6-3001</v>
          </cell>
          <cell r="AD459">
            <v>6</v>
          </cell>
          <cell r="AE459">
            <v>4</v>
          </cell>
          <cell r="AF459">
            <v>1</v>
          </cell>
          <cell r="AH459">
            <v>1</v>
          </cell>
          <cell r="AI459">
            <v>1</v>
          </cell>
          <cell r="AV459">
            <v>65000000000449</v>
          </cell>
          <cell r="AW459">
            <v>65000000000448</v>
          </cell>
        </row>
        <row r="460">
          <cell r="J460" t="str">
            <v>6-3001.01</v>
          </cell>
          <cell r="AD460">
            <v>6</v>
          </cell>
          <cell r="AE460">
            <v>4</v>
          </cell>
          <cell r="AF460">
            <v>1</v>
          </cell>
          <cell r="AH460">
            <v>2</v>
          </cell>
          <cell r="AI460">
            <v>1</v>
          </cell>
          <cell r="AV460">
            <v>65000000000450</v>
          </cell>
          <cell r="AW460">
            <v>65000000000449</v>
          </cell>
        </row>
        <row r="461">
          <cell r="H461" t="str">
            <v>6-3002</v>
          </cell>
          <cell r="AD461">
            <v>6</v>
          </cell>
          <cell r="AE461">
            <v>4</v>
          </cell>
          <cell r="AF461">
            <v>1</v>
          </cell>
          <cell r="AH461">
            <v>1</v>
          </cell>
          <cell r="AI461">
            <v>1</v>
          </cell>
          <cell r="AV461">
            <v>65000000000451</v>
          </cell>
          <cell r="AW461">
            <v>65000000000448</v>
          </cell>
        </row>
        <row r="462">
          <cell r="J462" t="str">
            <v>6-3002.01</v>
          </cell>
          <cell r="AD462">
            <v>6</v>
          </cell>
          <cell r="AE462">
            <v>4</v>
          </cell>
          <cell r="AF462">
            <v>1</v>
          </cell>
          <cell r="AH462">
            <v>2</v>
          </cell>
          <cell r="AI462">
            <v>1</v>
          </cell>
          <cell r="AV462">
            <v>65000000000452</v>
          </cell>
          <cell r="AW462">
            <v>65000000000451</v>
          </cell>
        </row>
        <row r="463">
          <cell r="H463" t="str">
            <v>6-3003</v>
          </cell>
          <cell r="AD463">
            <v>6</v>
          </cell>
          <cell r="AE463">
            <v>4</v>
          </cell>
          <cell r="AF463">
            <v>1</v>
          </cell>
          <cell r="AH463">
            <v>1</v>
          </cell>
          <cell r="AI463">
            <v>1</v>
          </cell>
          <cell r="AV463">
            <v>65000000000453</v>
          </cell>
          <cell r="AW463">
            <v>65000000000448</v>
          </cell>
        </row>
        <row r="464">
          <cell r="J464" t="str">
            <v>6-3003.01</v>
          </cell>
          <cell r="AD464">
            <v>6</v>
          </cell>
          <cell r="AE464">
            <v>4</v>
          </cell>
          <cell r="AF464">
            <v>1</v>
          </cell>
          <cell r="AH464">
            <v>2</v>
          </cell>
          <cell r="AI464">
            <v>1</v>
          </cell>
          <cell r="AV464">
            <v>65000000000454</v>
          </cell>
          <cell r="AW464">
            <v>65000000000453</v>
          </cell>
        </row>
        <row r="465">
          <cell r="H465" t="str">
            <v>6-3004</v>
          </cell>
          <cell r="AD465">
            <v>6</v>
          </cell>
          <cell r="AE465">
            <v>4</v>
          </cell>
          <cell r="AF465">
            <v>1</v>
          </cell>
          <cell r="AH465">
            <v>1</v>
          </cell>
          <cell r="AI465">
            <v>1</v>
          </cell>
          <cell r="AV465">
            <v>65000000000455</v>
          </cell>
          <cell r="AW465">
            <v>65000000000448</v>
          </cell>
        </row>
        <row r="466">
          <cell r="J466" t="str">
            <v>6-3004.01</v>
          </cell>
          <cell r="AD466">
            <v>6</v>
          </cell>
          <cell r="AE466">
            <v>4</v>
          </cell>
          <cell r="AF466">
            <v>1</v>
          </cell>
          <cell r="AH466">
            <v>2</v>
          </cell>
          <cell r="AI466">
            <v>1</v>
          </cell>
          <cell r="AV466">
            <v>65000000000456</v>
          </cell>
          <cell r="AW466">
            <v>65000000000455</v>
          </cell>
        </row>
        <row r="467">
          <cell r="H467" t="str">
            <v>6-3005</v>
          </cell>
          <cell r="AD467">
            <v>6</v>
          </cell>
          <cell r="AE467">
            <v>4</v>
          </cell>
          <cell r="AF467">
            <v>1</v>
          </cell>
          <cell r="AH467">
            <v>1</v>
          </cell>
          <cell r="AI467">
            <v>1</v>
          </cell>
          <cell r="AV467">
            <v>65000000000457</v>
          </cell>
          <cell r="AW467">
            <v>65000000000448</v>
          </cell>
        </row>
        <row r="468">
          <cell r="J468" t="str">
            <v>6-3005.01</v>
          </cell>
          <cell r="AD468">
            <v>6</v>
          </cell>
          <cell r="AE468">
            <v>4</v>
          </cell>
          <cell r="AF468">
            <v>1</v>
          </cell>
          <cell r="AH468">
            <v>2</v>
          </cell>
          <cell r="AI468">
            <v>1</v>
          </cell>
          <cell r="AV468">
            <v>65000000000458</v>
          </cell>
          <cell r="AW468">
            <v>65000000000457</v>
          </cell>
        </row>
        <row r="469">
          <cell r="H469" t="str">
            <v>6-3006</v>
          </cell>
          <cell r="AD469">
            <v>6</v>
          </cell>
          <cell r="AE469">
            <v>4</v>
          </cell>
          <cell r="AF469">
            <v>1</v>
          </cell>
          <cell r="AH469">
            <v>1</v>
          </cell>
          <cell r="AI469">
            <v>1</v>
          </cell>
          <cell r="AV469">
            <v>65000000000459</v>
          </cell>
          <cell r="AW469">
            <v>65000000000448</v>
          </cell>
        </row>
        <row r="470">
          <cell r="J470" t="str">
            <v>6-3006.01</v>
          </cell>
          <cell r="AD470">
            <v>6</v>
          </cell>
          <cell r="AE470">
            <v>4</v>
          </cell>
          <cell r="AF470">
            <v>1</v>
          </cell>
          <cell r="AH470">
            <v>2</v>
          </cell>
          <cell r="AI470">
            <v>1</v>
          </cell>
          <cell r="AV470">
            <v>65000000000460</v>
          </cell>
          <cell r="AW470">
            <v>65000000000459</v>
          </cell>
        </row>
        <row r="471">
          <cell r="H471" t="str">
            <v>6-3099</v>
          </cell>
          <cell r="AD471">
            <v>6</v>
          </cell>
          <cell r="AE471">
            <v>4</v>
          </cell>
          <cell r="AF471">
            <v>1</v>
          </cell>
          <cell r="AH471">
            <v>1</v>
          </cell>
          <cell r="AI471">
            <v>1</v>
          </cell>
          <cell r="AV471">
            <v>65000000000461</v>
          </cell>
          <cell r="AW471">
            <v>65000000000448</v>
          </cell>
        </row>
        <row r="472">
          <cell r="J472" t="str">
            <v>6-3099.01</v>
          </cell>
          <cell r="AD472">
            <v>6</v>
          </cell>
          <cell r="AE472">
            <v>4</v>
          </cell>
          <cell r="AF472">
            <v>1</v>
          </cell>
          <cell r="AH472">
            <v>2</v>
          </cell>
          <cell r="AI472">
            <v>1</v>
          </cell>
          <cell r="AV472">
            <v>65000000000462</v>
          </cell>
          <cell r="AW472">
            <v>65000000000461</v>
          </cell>
        </row>
        <row r="473">
          <cell r="D473" t="str">
            <v>6-4000</v>
          </cell>
          <cell r="AD473">
            <v>6</v>
          </cell>
          <cell r="AE473">
            <v>5</v>
          </cell>
          <cell r="AF473">
            <v>1</v>
          </cell>
          <cell r="AH473">
            <v>2</v>
          </cell>
          <cell r="AI473">
            <v>1</v>
          </cell>
          <cell r="AV473">
            <v>65000000000463</v>
          </cell>
          <cell r="AW473">
            <v>65000000000353</v>
          </cell>
        </row>
        <row r="474">
          <cell r="H474" t="str">
            <v>6-4001</v>
          </cell>
          <cell r="AD474">
            <v>6</v>
          </cell>
          <cell r="AE474">
            <v>5</v>
          </cell>
          <cell r="AF474">
            <v>1</v>
          </cell>
          <cell r="AH474">
            <v>1</v>
          </cell>
          <cell r="AI474">
            <v>1</v>
          </cell>
          <cell r="AV474">
            <v>65000000000464</v>
          </cell>
          <cell r="AW474">
            <v>65000000000463</v>
          </cell>
        </row>
        <row r="475">
          <cell r="J475" t="str">
            <v>6-4001.01</v>
          </cell>
          <cell r="AD475">
            <v>6</v>
          </cell>
          <cell r="AE475">
            <v>5</v>
          </cell>
          <cell r="AF475">
            <v>1</v>
          </cell>
          <cell r="AH475">
            <v>2</v>
          </cell>
          <cell r="AI475">
            <v>1</v>
          </cell>
          <cell r="AV475">
            <v>65000000000465</v>
          </cell>
          <cell r="AW475">
            <v>65000000000464</v>
          </cell>
        </row>
        <row r="476">
          <cell r="H476" t="str">
            <v>6-4002</v>
          </cell>
          <cell r="AD476">
            <v>6</v>
          </cell>
          <cell r="AE476">
            <v>5</v>
          </cell>
          <cell r="AF476">
            <v>1</v>
          </cell>
          <cell r="AH476">
            <v>1</v>
          </cell>
          <cell r="AI476">
            <v>1</v>
          </cell>
          <cell r="AV476">
            <v>65000000000466</v>
          </cell>
          <cell r="AW476">
            <v>65000000000463</v>
          </cell>
        </row>
        <row r="477">
          <cell r="J477" t="str">
            <v>6-4002.01</v>
          </cell>
          <cell r="AD477">
            <v>6</v>
          </cell>
          <cell r="AE477">
            <v>5</v>
          </cell>
          <cell r="AF477">
            <v>1</v>
          </cell>
          <cell r="AH477">
            <v>2</v>
          </cell>
          <cell r="AI477">
            <v>1</v>
          </cell>
          <cell r="AV477">
            <v>65000000000467</v>
          </cell>
          <cell r="AW477">
            <v>65000000000466</v>
          </cell>
        </row>
        <row r="478">
          <cell r="H478" t="str">
            <v>6-4003</v>
          </cell>
          <cell r="AD478">
            <v>6</v>
          </cell>
          <cell r="AE478">
            <v>5</v>
          </cell>
          <cell r="AF478">
            <v>1</v>
          </cell>
          <cell r="AH478">
            <v>1</v>
          </cell>
          <cell r="AI478">
            <v>1</v>
          </cell>
          <cell r="AV478">
            <v>65000000000468</v>
          </cell>
          <cell r="AW478">
            <v>65000000000463</v>
          </cell>
        </row>
        <row r="479">
          <cell r="J479" t="str">
            <v>6-4003.01</v>
          </cell>
          <cell r="AD479">
            <v>6</v>
          </cell>
          <cell r="AE479">
            <v>5</v>
          </cell>
          <cell r="AF479">
            <v>1</v>
          </cell>
          <cell r="AH479">
            <v>2</v>
          </cell>
          <cell r="AI479">
            <v>1</v>
          </cell>
          <cell r="AV479">
            <v>65000000000469</v>
          </cell>
          <cell r="AW479">
            <v>65000000000468</v>
          </cell>
        </row>
        <row r="480">
          <cell r="H480" t="str">
            <v>6-4004</v>
          </cell>
          <cell r="AD480">
            <v>6</v>
          </cell>
          <cell r="AE480">
            <v>5</v>
          </cell>
          <cell r="AF480">
            <v>1</v>
          </cell>
          <cell r="AH480">
            <v>1</v>
          </cell>
          <cell r="AI480">
            <v>1</v>
          </cell>
          <cell r="AV480">
            <v>65000000000470</v>
          </cell>
          <cell r="AW480">
            <v>65000000000463</v>
          </cell>
        </row>
        <row r="481">
          <cell r="J481" t="str">
            <v>6-4004.01</v>
          </cell>
          <cell r="AD481">
            <v>6</v>
          </cell>
          <cell r="AE481">
            <v>5</v>
          </cell>
          <cell r="AF481">
            <v>1</v>
          </cell>
          <cell r="AH481">
            <v>2</v>
          </cell>
          <cell r="AI481">
            <v>1</v>
          </cell>
          <cell r="AV481">
            <v>65000000000471</v>
          </cell>
          <cell r="AW481">
            <v>65000000000470</v>
          </cell>
        </row>
        <row r="482">
          <cell r="H482" t="str">
            <v>6-4005</v>
          </cell>
          <cell r="AD482">
            <v>6</v>
          </cell>
          <cell r="AE482">
            <v>5</v>
          </cell>
          <cell r="AF482">
            <v>1</v>
          </cell>
          <cell r="AH482">
            <v>1</v>
          </cell>
          <cell r="AI482">
            <v>1</v>
          </cell>
          <cell r="AV482">
            <v>65000000000472</v>
          </cell>
          <cell r="AW482">
            <v>65000000000463</v>
          </cell>
        </row>
        <row r="483">
          <cell r="J483" t="str">
            <v>6-4005.01</v>
          </cell>
          <cell r="AD483">
            <v>6</v>
          </cell>
          <cell r="AE483">
            <v>5</v>
          </cell>
          <cell r="AF483">
            <v>1</v>
          </cell>
          <cell r="AH483">
            <v>2</v>
          </cell>
          <cell r="AI483">
            <v>1</v>
          </cell>
          <cell r="AV483">
            <v>65000000000473</v>
          </cell>
          <cell r="AW483">
            <v>65000000000472</v>
          </cell>
        </row>
        <row r="484">
          <cell r="H484" t="str">
            <v>6-4006</v>
          </cell>
          <cell r="AD484">
            <v>6</v>
          </cell>
          <cell r="AE484">
            <v>5</v>
          </cell>
          <cell r="AF484">
            <v>1</v>
          </cell>
          <cell r="AH484">
            <v>1</v>
          </cell>
          <cell r="AI484">
            <v>1</v>
          </cell>
          <cell r="AV484">
            <v>65000000000474</v>
          </cell>
          <cell r="AW484">
            <v>65000000000463</v>
          </cell>
        </row>
        <row r="485">
          <cell r="J485" t="str">
            <v>6-4006.01</v>
          </cell>
          <cell r="AD485">
            <v>6</v>
          </cell>
          <cell r="AE485">
            <v>5</v>
          </cell>
          <cell r="AF485">
            <v>1</v>
          </cell>
          <cell r="AH485">
            <v>2</v>
          </cell>
          <cell r="AI485">
            <v>1</v>
          </cell>
          <cell r="AV485">
            <v>65000000000475</v>
          </cell>
          <cell r="AW485">
            <v>65000000000474</v>
          </cell>
        </row>
        <row r="486">
          <cell r="H486" t="str">
            <v>6-4007</v>
          </cell>
          <cell r="AD486">
            <v>6</v>
          </cell>
          <cell r="AE486">
            <v>5</v>
          </cell>
          <cell r="AF486">
            <v>1</v>
          </cell>
          <cell r="AH486">
            <v>1</v>
          </cell>
          <cell r="AI486">
            <v>1</v>
          </cell>
          <cell r="AV486">
            <v>65000000000476</v>
          </cell>
          <cell r="AW486">
            <v>65000000000463</v>
          </cell>
        </row>
        <row r="487">
          <cell r="J487" t="str">
            <v>6-4007.01</v>
          </cell>
          <cell r="AD487">
            <v>6</v>
          </cell>
          <cell r="AE487">
            <v>5</v>
          </cell>
          <cell r="AF487">
            <v>1</v>
          </cell>
          <cell r="AH487">
            <v>2</v>
          </cell>
          <cell r="AI487">
            <v>1</v>
          </cell>
          <cell r="AV487">
            <v>65000000000477</v>
          </cell>
          <cell r="AW487">
            <v>65000000000476</v>
          </cell>
        </row>
        <row r="488">
          <cell r="H488" t="str">
            <v>6-4008</v>
          </cell>
          <cell r="AD488">
            <v>6</v>
          </cell>
          <cell r="AE488">
            <v>5</v>
          </cell>
          <cell r="AF488">
            <v>1</v>
          </cell>
          <cell r="AH488">
            <v>1</v>
          </cell>
          <cell r="AI488">
            <v>1</v>
          </cell>
          <cell r="AV488">
            <v>65000000000478</v>
          </cell>
          <cell r="AW488">
            <v>65000000000463</v>
          </cell>
        </row>
        <row r="489">
          <cell r="J489" t="str">
            <v>6-4008.01</v>
          </cell>
          <cell r="AD489">
            <v>6</v>
          </cell>
          <cell r="AE489">
            <v>5</v>
          </cell>
          <cell r="AF489">
            <v>1</v>
          </cell>
          <cell r="AH489">
            <v>2</v>
          </cell>
          <cell r="AI489">
            <v>1</v>
          </cell>
          <cell r="AV489">
            <v>65000000000479</v>
          </cell>
          <cell r="AW489">
            <v>65000000000478</v>
          </cell>
        </row>
        <row r="490">
          <cell r="H490" t="str">
            <v>6-4099</v>
          </cell>
          <cell r="AD490">
            <v>6</v>
          </cell>
          <cell r="AE490">
            <v>5</v>
          </cell>
          <cell r="AF490">
            <v>1</v>
          </cell>
          <cell r="AH490">
            <v>1</v>
          </cell>
          <cell r="AI490">
            <v>1</v>
          </cell>
          <cell r="AV490">
            <v>65000000000480</v>
          </cell>
          <cell r="AW490">
            <v>65000000000463</v>
          </cell>
        </row>
        <row r="491">
          <cell r="J491" t="str">
            <v>6-4099.01</v>
          </cell>
          <cell r="AD491">
            <v>6</v>
          </cell>
          <cell r="AE491">
            <v>5</v>
          </cell>
          <cell r="AF491">
            <v>1</v>
          </cell>
          <cell r="AH491">
            <v>2</v>
          </cell>
          <cell r="AI491">
            <v>1</v>
          </cell>
          <cell r="AV491">
            <v>65000000000481</v>
          </cell>
          <cell r="AW491">
            <v>65000000000480</v>
          </cell>
        </row>
        <row r="492">
          <cell r="D492" t="str">
            <v>6-5000</v>
          </cell>
          <cell r="AD492">
            <v>6</v>
          </cell>
          <cell r="AE492">
            <v>6</v>
          </cell>
          <cell r="AF492">
            <v>1</v>
          </cell>
          <cell r="AH492">
            <v>2</v>
          </cell>
          <cell r="AI492">
            <v>1</v>
          </cell>
          <cell r="AV492">
            <v>65000000000482</v>
          </cell>
          <cell r="AW492">
            <v>65000000000353</v>
          </cell>
        </row>
        <row r="493">
          <cell r="H493" t="str">
            <v>6-5001</v>
          </cell>
          <cell r="AD493">
            <v>6</v>
          </cell>
          <cell r="AE493">
            <v>6</v>
          </cell>
          <cell r="AF493">
            <v>1</v>
          </cell>
          <cell r="AH493">
            <v>1</v>
          </cell>
          <cell r="AI493">
            <v>1</v>
          </cell>
          <cell r="AV493">
            <v>65000000000483</v>
          </cell>
          <cell r="AW493">
            <v>65000000000482</v>
          </cell>
        </row>
        <row r="494">
          <cell r="J494" t="str">
            <v>6-5001.01</v>
          </cell>
          <cell r="AD494">
            <v>6</v>
          </cell>
          <cell r="AE494">
            <v>6</v>
          </cell>
          <cell r="AF494">
            <v>1</v>
          </cell>
          <cell r="AH494">
            <v>2</v>
          </cell>
          <cell r="AI494">
            <v>1</v>
          </cell>
          <cell r="AV494">
            <v>65000000000484</v>
          </cell>
          <cell r="AW494">
            <v>65000000000483</v>
          </cell>
        </row>
        <row r="495">
          <cell r="H495" t="str">
            <v>6-5002</v>
          </cell>
          <cell r="AD495">
            <v>6</v>
          </cell>
          <cell r="AE495">
            <v>6</v>
          </cell>
          <cell r="AF495">
            <v>1</v>
          </cell>
          <cell r="AH495">
            <v>1</v>
          </cell>
          <cell r="AI495">
            <v>1</v>
          </cell>
          <cell r="AV495">
            <v>65000000000485</v>
          </cell>
          <cell r="AW495">
            <v>65000000000482</v>
          </cell>
        </row>
        <row r="496">
          <cell r="J496" t="str">
            <v>6-5002.01</v>
          </cell>
          <cell r="AD496">
            <v>6</v>
          </cell>
          <cell r="AE496">
            <v>6</v>
          </cell>
          <cell r="AF496">
            <v>1</v>
          </cell>
          <cell r="AH496">
            <v>2</v>
          </cell>
          <cell r="AI496">
            <v>1</v>
          </cell>
          <cell r="AV496">
            <v>65000000000486</v>
          </cell>
          <cell r="AW496">
            <v>65000000000485</v>
          </cell>
        </row>
        <row r="497">
          <cell r="H497" t="str">
            <v>6-5003</v>
          </cell>
          <cell r="AD497">
            <v>6</v>
          </cell>
          <cell r="AE497">
            <v>6</v>
          </cell>
          <cell r="AF497">
            <v>1</v>
          </cell>
          <cell r="AH497">
            <v>1</v>
          </cell>
          <cell r="AI497">
            <v>1</v>
          </cell>
          <cell r="AV497">
            <v>65000000000487</v>
          </cell>
          <cell r="AW497">
            <v>65000000000482</v>
          </cell>
        </row>
        <row r="498">
          <cell r="J498" t="str">
            <v>6-5003.01</v>
          </cell>
          <cell r="AD498">
            <v>6</v>
          </cell>
          <cell r="AE498">
            <v>6</v>
          </cell>
          <cell r="AF498">
            <v>1</v>
          </cell>
          <cell r="AH498">
            <v>2</v>
          </cell>
          <cell r="AI498">
            <v>1</v>
          </cell>
          <cell r="AV498">
            <v>65000000000488</v>
          </cell>
          <cell r="AW498">
            <v>65000000000487</v>
          </cell>
        </row>
        <row r="499">
          <cell r="H499" t="str">
            <v>6-5004</v>
          </cell>
          <cell r="AD499">
            <v>6</v>
          </cell>
          <cell r="AE499">
            <v>6</v>
          </cell>
          <cell r="AF499">
            <v>1</v>
          </cell>
          <cell r="AH499">
            <v>1</v>
          </cell>
          <cell r="AI499">
            <v>1</v>
          </cell>
          <cell r="AV499">
            <v>65000000000489</v>
          </cell>
          <cell r="AW499">
            <v>65000000000482</v>
          </cell>
        </row>
        <row r="500">
          <cell r="J500" t="str">
            <v>6-5004.01</v>
          </cell>
          <cell r="AD500">
            <v>6</v>
          </cell>
          <cell r="AE500">
            <v>6</v>
          </cell>
          <cell r="AF500">
            <v>1</v>
          </cell>
          <cell r="AH500">
            <v>2</v>
          </cell>
          <cell r="AI500">
            <v>1</v>
          </cell>
          <cell r="AV500">
            <v>65000000000490</v>
          </cell>
          <cell r="AW500">
            <v>65000000000489</v>
          </cell>
        </row>
        <row r="501">
          <cell r="H501" t="str">
            <v>6-5005</v>
          </cell>
          <cell r="AD501">
            <v>6</v>
          </cell>
          <cell r="AE501">
            <v>6</v>
          </cell>
          <cell r="AF501">
            <v>1</v>
          </cell>
          <cell r="AH501">
            <v>1</v>
          </cell>
          <cell r="AI501">
            <v>1</v>
          </cell>
          <cell r="AV501">
            <v>65000000000491</v>
          </cell>
          <cell r="AW501">
            <v>65000000000482</v>
          </cell>
        </row>
        <row r="502">
          <cell r="J502" t="str">
            <v>6-5005.01</v>
          </cell>
          <cell r="AD502">
            <v>6</v>
          </cell>
          <cell r="AE502">
            <v>6</v>
          </cell>
          <cell r="AF502">
            <v>1</v>
          </cell>
          <cell r="AH502">
            <v>2</v>
          </cell>
          <cell r="AI502">
            <v>1</v>
          </cell>
          <cell r="AV502">
            <v>65000000000492</v>
          </cell>
          <cell r="AW502">
            <v>65000000000491</v>
          </cell>
        </row>
        <row r="503">
          <cell r="H503" t="str">
            <v>6-5006</v>
          </cell>
          <cell r="AD503">
            <v>6</v>
          </cell>
          <cell r="AE503">
            <v>6</v>
          </cell>
          <cell r="AF503">
            <v>1</v>
          </cell>
          <cell r="AH503">
            <v>1</v>
          </cell>
          <cell r="AI503">
            <v>1</v>
          </cell>
          <cell r="AV503">
            <v>65000000000493</v>
          </cell>
          <cell r="AW503">
            <v>65000000000482</v>
          </cell>
        </row>
        <row r="504">
          <cell r="J504" t="str">
            <v>6-5006.01</v>
          </cell>
          <cell r="AD504">
            <v>6</v>
          </cell>
          <cell r="AE504">
            <v>6</v>
          </cell>
          <cell r="AF504">
            <v>1</v>
          </cell>
          <cell r="AH504">
            <v>2</v>
          </cell>
          <cell r="AI504">
            <v>1</v>
          </cell>
          <cell r="AV504">
            <v>65000000000494</v>
          </cell>
          <cell r="AW504">
            <v>65000000000493</v>
          </cell>
        </row>
        <row r="505">
          <cell r="H505" t="str">
            <v>6-5007</v>
          </cell>
          <cell r="AD505">
            <v>6</v>
          </cell>
          <cell r="AE505">
            <v>6</v>
          </cell>
          <cell r="AF505">
            <v>1</v>
          </cell>
          <cell r="AH505">
            <v>1</v>
          </cell>
          <cell r="AI505">
            <v>1</v>
          </cell>
          <cell r="AV505">
            <v>65000000000495</v>
          </cell>
          <cell r="AW505">
            <v>65000000000482</v>
          </cell>
        </row>
        <row r="506">
          <cell r="J506" t="str">
            <v>6-5007.01</v>
          </cell>
          <cell r="AD506">
            <v>6</v>
          </cell>
          <cell r="AE506">
            <v>6</v>
          </cell>
          <cell r="AF506">
            <v>1</v>
          </cell>
          <cell r="AH506">
            <v>2</v>
          </cell>
          <cell r="AI506">
            <v>1</v>
          </cell>
          <cell r="AV506">
            <v>65000000000496</v>
          </cell>
          <cell r="AW506">
            <v>65000000000495</v>
          </cell>
        </row>
        <row r="507">
          <cell r="H507" t="str">
            <v>6-5008</v>
          </cell>
          <cell r="AD507">
            <v>6</v>
          </cell>
          <cell r="AE507">
            <v>6</v>
          </cell>
          <cell r="AF507">
            <v>1</v>
          </cell>
          <cell r="AH507">
            <v>1</v>
          </cell>
          <cell r="AI507">
            <v>1</v>
          </cell>
          <cell r="AV507">
            <v>65000000000497</v>
          </cell>
          <cell r="AW507">
            <v>65000000000482</v>
          </cell>
        </row>
        <row r="508">
          <cell r="J508" t="str">
            <v>6-5008.01</v>
          </cell>
          <cell r="AD508">
            <v>6</v>
          </cell>
          <cell r="AE508">
            <v>6</v>
          </cell>
          <cell r="AF508">
            <v>1</v>
          </cell>
          <cell r="AH508">
            <v>2</v>
          </cell>
          <cell r="AI508">
            <v>1</v>
          </cell>
          <cell r="AV508">
            <v>65000000000498</v>
          </cell>
          <cell r="AW508">
            <v>65000000000497</v>
          </cell>
        </row>
        <row r="509">
          <cell r="H509" t="str">
            <v>6-5009</v>
          </cell>
          <cell r="AD509">
            <v>6</v>
          </cell>
          <cell r="AE509">
            <v>6</v>
          </cell>
          <cell r="AF509">
            <v>1</v>
          </cell>
          <cell r="AH509">
            <v>1</v>
          </cell>
          <cell r="AI509">
            <v>1</v>
          </cell>
          <cell r="AV509">
            <v>65000000000499</v>
          </cell>
          <cell r="AW509">
            <v>65000000000482</v>
          </cell>
        </row>
        <row r="510">
          <cell r="J510" t="str">
            <v>6-5009.01</v>
          </cell>
          <cell r="AD510">
            <v>6</v>
          </cell>
          <cell r="AE510">
            <v>6</v>
          </cell>
          <cell r="AF510">
            <v>1</v>
          </cell>
          <cell r="AH510">
            <v>2</v>
          </cell>
          <cell r="AI510">
            <v>1</v>
          </cell>
          <cell r="AV510">
            <v>65000000000500</v>
          </cell>
          <cell r="AW510">
            <v>65000000000499</v>
          </cell>
        </row>
        <row r="511">
          <cell r="H511" t="str">
            <v>6-5010</v>
          </cell>
          <cell r="AD511">
            <v>6</v>
          </cell>
          <cell r="AE511">
            <v>6</v>
          </cell>
          <cell r="AF511">
            <v>1</v>
          </cell>
          <cell r="AH511">
            <v>1</v>
          </cell>
          <cell r="AI511">
            <v>1</v>
          </cell>
          <cell r="AV511">
            <v>65000000000501</v>
          </cell>
          <cell r="AW511">
            <v>65000000000482</v>
          </cell>
        </row>
        <row r="512">
          <cell r="J512" t="str">
            <v>6-5010.01</v>
          </cell>
          <cell r="AD512">
            <v>6</v>
          </cell>
          <cell r="AE512">
            <v>6</v>
          </cell>
          <cell r="AF512">
            <v>1</v>
          </cell>
          <cell r="AH512">
            <v>2</v>
          </cell>
          <cell r="AI512">
            <v>1</v>
          </cell>
          <cell r="AV512">
            <v>65000000000502</v>
          </cell>
          <cell r="AW512">
            <v>65000000000501</v>
          </cell>
        </row>
        <row r="513">
          <cell r="B513" t="str">
            <v>7-0000</v>
          </cell>
          <cell r="AD513">
            <v>7</v>
          </cell>
          <cell r="AE513">
            <v>1</v>
          </cell>
          <cell r="AF513">
            <v>1</v>
          </cell>
          <cell r="AH513">
            <v>2</v>
          </cell>
          <cell r="AI513">
            <v>1</v>
          </cell>
          <cell r="AV513">
            <v>65000000000503</v>
          </cell>
          <cell r="AW513" t="str">
            <v>null</v>
          </cell>
        </row>
        <row r="514">
          <cell r="D514" t="str">
            <v>7-1000</v>
          </cell>
          <cell r="AD514">
            <v>7</v>
          </cell>
          <cell r="AE514">
            <v>2</v>
          </cell>
          <cell r="AF514">
            <v>1</v>
          </cell>
          <cell r="AH514">
            <v>2</v>
          </cell>
          <cell r="AI514">
            <v>1</v>
          </cell>
          <cell r="AV514">
            <v>65000000000504</v>
          </cell>
          <cell r="AW514">
            <v>65000000000503</v>
          </cell>
        </row>
        <row r="515">
          <cell r="H515" t="str">
            <v>7-1001</v>
          </cell>
          <cell r="AD515">
            <v>7</v>
          </cell>
          <cell r="AE515">
            <v>2</v>
          </cell>
          <cell r="AF515">
            <v>1</v>
          </cell>
          <cell r="AH515">
            <v>1</v>
          </cell>
          <cell r="AI515">
            <v>1</v>
          </cell>
          <cell r="AV515">
            <v>65000000000505</v>
          </cell>
          <cell r="AW515">
            <v>65000000000504</v>
          </cell>
        </row>
        <row r="516">
          <cell r="J516" t="str">
            <v>7-1001.01</v>
          </cell>
          <cell r="AD516">
            <v>7</v>
          </cell>
          <cell r="AE516">
            <v>2</v>
          </cell>
          <cell r="AF516">
            <v>1</v>
          </cell>
          <cell r="AH516">
            <v>2</v>
          </cell>
          <cell r="AI516">
            <v>1</v>
          </cell>
          <cell r="AV516">
            <v>65000000000506</v>
          </cell>
          <cell r="AW516">
            <v>65000000000505</v>
          </cell>
        </row>
        <row r="517">
          <cell r="H517" t="str">
            <v>7-1002</v>
          </cell>
          <cell r="AD517">
            <v>7</v>
          </cell>
          <cell r="AE517">
            <v>2</v>
          </cell>
          <cell r="AF517">
            <v>1</v>
          </cell>
          <cell r="AH517">
            <v>1</v>
          </cell>
          <cell r="AI517">
            <v>1</v>
          </cell>
          <cell r="AV517">
            <v>65000000000507</v>
          </cell>
          <cell r="AW517">
            <v>65000000000504</v>
          </cell>
        </row>
        <row r="518">
          <cell r="J518" t="str">
            <v>7-1002.01</v>
          </cell>
          <cell r="AD518">
            <v>7</v>
          </cell>
          <cell r="AE518">
            <v>2</v>
          </cell>
          <cell r="AF518">
            <v>1</v>
          </cell>
          <cell r="AH518">
            <v>2</v>
          </cell>
          <cell r="AI518">
            <v>1</v>
          </cell>
          <cell r="AV518">
            <v>65000000000508</v>
          </cell>
          <cell r="AW518">
            <v>65000000000507</v>
          </cell>
        </row>
        <row r="519">
          <cell r="H519" t="str">
            <v>7-1003</v>
          </cell>
          <cell r="AD519">
            <v>7</v>
          </cell>
          <cell r="AE519">
            <v>2</v>
          </cell>
          <cell r="AF519">
            <v>1</v>
          </cell>
          <cell r="AH519">
            <v>1</v>
          </cell>
          <cell r="AI519">
            <v>1</v>
          </cell>
          <cell r="AV519">
            <v>65000000000509</v>
          </cell>
          <cell r="AW519">
            <v>65000000000504</v>
          </cell>
        </row>
        <row r="520">
          <cell r="J520" t="str">
            <v>7-1003.01</v>
          </cell>
          <cell r="AD520">
            <v>7</v>
          </cell>
          <cell r="AE520">
            <v>2</v>
          </cell>
          <cell r="AF520">
            <v>1</v>
          </cell>
          <cell r="AH520">
            <v>2</v>
          </cell>
          <cell r="AI520">
            <v>1</v>
          </cell>
          <cell r="AV520">
            <v>65000000000510</v>
          </cell>
          <cell r="AW520">
            <v>65000000000509</v>
          </cell>
        </row>
        <row r="521">
          <cell r="D521" t="str">
            <v>7-2000</v>
          </cell>
          <cell r="AD521">
            <v>7</v>
          </cell>
          <cell r="AE521">
            <v>3</v>
          </cell>
          <cell r="AF521">
            <v>1</v>
          </cell>
          <cell r="AH521">
            <v>2</v>
          </cell>
          <cell r="AI521">
            <v>1</v>
          </cell>
          <cell r="AV521">
            <v>65000000000511</v>
          </cell>
          <cell r="AW521">
            <v>65000000000503</v>
          </cell>
        </row>
        <row r="522">
          <cell r="J522" t="str">
            <v>7-2000.01</v>
          </cell>
          <cell r="AD522">
            <v>7</v>
          </cell>
          <cell r="AE522">
            <v>3</v>
          </cell>
          <cell r="AF522">
            <v>1</v>
          </cell>
          <cell r="AH522">
            <v>3</v>
          </cell>
          <cell r="AI522">
            <v>1</v>
          </cell>
          <cell r="AV522">
            <v>65000000000512</v>
          </cell>
          <cell r="AW522">
            <v>65000000000511</v>
          </cell>
        </row>
        <row r="523">
          <cell r="D523" t="str">
            <v>7-3000</v>
          </cell>
          <cell r="AD523">
            <v>7</v>
          </cell>
          <cell r="AE523">
            <v>4</v>
          </cell>
          <cell r="AF523">
            <v>1</v>
          </cell>
          <cell r="AH523">
            <v>3</v>
          </cell>
          <cell r="AI523">
            <v>1</v>
          </cell>
          <cell r="AV523">
            <v>65000000000513</v>
          </cell>
          <cell r="AW523">
            <v>65000000000503</v>
          </cell>
        </row>
        <row r="524">
          <cell r="H524" t="str">
            <v>7-3001</v>
          </cell>
          <cell r="AD524">
            <v>7</v>
          </cell>
          <cell r="AE524">
            <v>4</v>
          </cell>
          <cell r="AF524">
            <v>1</v>
          </cell>
          <cell r="AH524">
            <v>1</v>
          </cell>
          <cell r="AI524">
            <v>1</v>
          </cell>
          <cell r="AV524">
            <v>65000000000514</v>
          </cell>
          <cell r="AW524">
            <v>65000000000513</v>
          </cell>
        </row>
        <row r="525">
          <cell r="J525" t="str">
            <v>7-3001.01</v>
          </cell>
          <cell r="AD525">
            <v>7</v>
          </cell>
          <cell r="AE525">
            <v>4</v>
          </cell>
          <cell r="AF525">
            <v>1</v>
          </cell>
          <cell r="AH525">
            <v>2</v>
          </cell>
          <cell r="AI525">
            <v>1</v>
          </cell>
          <cell r="AV525">
            <v>65000000000515</v>
          </cell>
          <cell r="AW525">
            <v>65000000000514</v>
          </cell>
        </row>
        <row r="526">
          <cell r="H526" t="str">
            <v>7-3002</v>
          </cell>
          <cell r="AD526">
            <v>7</v>
          </cell>
          <cell r="AE526">
            <v>4</v>
          </cell>
          <cell r="AF526">
            <v>1</v>
          </cell>
          <cell r="AH526">
            <v>1</v>
          </cell>
          <cell r="AI526">
            <v>1</v>
          </cell>
          <cell r="AV526">
            <v>65000000000516</v>
          </cell>
          <cell r="AW526">
            <v>65000000000513</v>
          </cell>
        </row>
        <row r="527">
          <cell r="J527" t="str">
            <v>7-3002.01</v>
          </cell>
          <cell r="AD527">
            <v>7</v>
          </cell>
          <cell r="AE527">
            <v>4</v>
          </cell>
          <cell r="AF527">
            <v>1</v>
          </cell>
          <cell r="AH527">
            <v>2</v>
          </cell>
          <cell r="AI527">
            <v>1</v>
          </cell>
          <cell r="AV527">
            <v>65000000000517</v>
          </cell>
          <cell r="AW527">
            <v>65000000000516</v>
          </cell>
        </row>
        <row r="528">
          <cell r="D528" t="str">
            <v>7-4000</v>
          </cell>
          <cell r="AD528">
            <v>7</v>
          </cell>
          <cell r="AE528">
            <v>5</v>
          </cell>
          <cell r="AF528">
            <v>1</v>
          </cell>
          <cell r="AH528">
            <v>2</v>
          </cell>
          <cell r="AI528">
            <v>1</v>
          </cell>
          <cell r="AV528">
            <v>65000000000518</v>
          </cell>
          <cell r="AW528">
            <v>65000000000503</v>
          </cell>
        </row>
        <row r="529">
          <cell r="F529" t="str">
            <v>7-4100</v>
          </cell>
          <cell r="AD529">
            <v>7</v>
          </cell>
          <cell r="AE529">
            <v>5</v>
          </cell>
          <cell r="AF529">
            <v>2</v>
          </cell>
          <cell r="AH529">
            <v>1</v>
          </cell>
          <cell r="AI529">
            <v>1</v>
          </cell>
          <cell r="AV529">
            <v>65000000000519</v>
          </cell>
          <cell r="AW529">
            <v>65000000000518</v>
          </cell>
        </row>
        <row r="530">
          <cell r="J530" t="str">
            <v>7-4100.01</v>
          </cell>
          <cell r="AD530">
            <v>7</v>
          </cell>
          <cell r="AE530">
            <v>5</v>
          </cell>
          <cell r="AF530">
            <v>2</v>
          </cell>
          <cell r="AH530">
            <v>2</v>
          </cell>
          <cell r="AI530">
            <v>1</v>
          </cell>
          <cell r="AV530">
            <v>65000000000520</v>
          </cell>
          <cell r="AW530">
            <v>65000000000519</v>
          </cell>
        </row>
        <row r="531">
          <cell r="F531" t="str">
            <v>7-4200</v>
          </cell>
          <cell r="AD531">
            <v>7</v>
          </cell>
          <cell r="AE531">
            <v>5</v>
          </cell>
          <cell r="AF531">
            <v>3</v>
          </cell>
          <cell r="AH531">
            <v>2</v>
          </cell>
          <cell r="AI531">
            <v>1</v>
          </cell>
          <cell r="AV531">
            <v>65000000000521</v>
          </cell>
          <cell r="AW531">
            <v>65000000000518</v>
          </cell>
        </row>
        <row r="532">
          <cell r="H532" t="str">
            <v>7-4201</v>
          </cell>
          <cell r="AD532">
            <v>7</v>
          </cell>
          <cell r="AE532">
            <v>5</v>
          </cell>
          <cell r="AF532">
            <v>3</v>
          </cell>
          <cell r="AH532">
            <v>1</v>
          </cell>
          <cell r="AI532">
            <v>1</v>
          </cell>
          <cell r="AV532">
            <v>65000000000522</v>
          </cell>
          <cell r="AW532">
            <v>65000000000521</v>
          </cell>
        </row>
        <row r="533">
          <cell r="J533" t="str">
            <v>7-4201.01</v>
          </cell>
          <cell r="AD533">
            <v>7</v>
          </cell>
          <cell r="AE533">
            <v>5</v>
          </cell>
          <cell r="AF533">
            <v>3</v>
          </cell>
          <cell r="AH533">
            <v>2</v>
          </cell>
          <cell r="AI533">
            <v>1</v>
          </cell>
          <cell r="AV533">
            <v>65000000000523</v>
          </cell>
          <cell r="AW533">
            <v>65000000000522</v>
          </cell>
        </row>
        <row r="534">
          <cell r="B534" t="str">
            <v>8-0000</v>
          </cell>
          <cell r="AD534">
            <v>8</v>
          </cell>
          <cell r="AE534">
            <v>1</v>
          </cell>
          <cell r="AF534">
            <v>1</v>
          </cell>
          <cell r="AH534">
            <v>1</v>
          </cell>
          <cell r="AI534">
            <v>1</v>
          </cell>
          <cell r="AV534">
            <v>65000000000524</v>
          </cell>
          <cell r="AW534" t="str">
            <v>null</v>
          </cell>
        </row>
        <row r="535">
          <cell r="D535" t="str">
            <v>8-1000</v>
          </cell>
          <cell r="AD535">
            <v>8</v>
          </cell>
          <cell r="AE535">
            <v>2</v>
          </cell>
          <cell r="AF535">
            <v>1</v>
          </cell>
          <cell r="AH535">
            <v>1</v>
          </cell>
          <cell r="AI535">
            <v>1</v>
          </cell>
          <cell r="AV535">
            <v>65000000000525</v>
          </cell>
          <cell r="AW535">
            <v>65000000000524</v>
          </cell>
        </row>
        <row r="536">
          <cell r="H536" t="str">
            <v>8-1001</v>
          </cell>
          <cell r="AD536">
            <v>8</v>
          </cell>
          <cell r="AE536">
            <v>2</v>
          </cell>
          <cell r="AF536">
            <v>1</v>
          </cell>
          <cell r="AH536">
            <v>1</v>
          </cell>
          <cell r="AI536">
            <v>1</v>
          </cell>
          <cell r="AV536">
            <v>65000000000526</v>
          </cell>
          <cell r="AW536">
            <v>65000000000525</v>
          </cell>
        </row>
        <row r="537">
          <cell r="J537" t="str">
            <v>8-1001.01</v>
          </cell>
          <cell r="AD537">
            <v>8</v>
          </cell>
          <cell r="AE537">
            <v>2</v>
          </cell>
          <cell r="AF537">
            <v>1</v>
          </cell>
          <cell r="AH537">
            <v>2</v>
          </cell>
          <cell r="AI537">
            <v>1</v>
          </cell>
          <cell r="AV537">
            <v>65000000000527</v>
          </cell>
          <cell r="AW537">
            <v>65000000000526</v>
          </cell>
        </row>
        <row r="538">
          <cell r="H538" t="str">
            <v>8-1002</v>
          </cell>
          <cell r="AD538">
            <v>8</v>
          </cell>
          <cell r="AE538">
            <v>2</v>
          </cell>
          <cell r="AF538">
            <v>1</v>
          </cell>
          <cell r="AH538">
            <v>1</v>
          </cell>
          <cell r="AI538">
            <v>1</v>
          </cell>
          <cell r="AV538">
            <v>65000000000528</v>
          </cell>
          <cell r="AW538">
            <v>65000000000525</v>
          </cell>
        </row>
        <row r="539">
          <cell r="J539" t="str">
            <v>8-1002.01</v>
          </cell>
          <cell r="AD539">
            <v>8</v>
          </cell>
          <cell r="AE539">
            <v>2</v>
          </cell>
          <cell r="AF539">
            <v>1</v>
          </cell>
          <cell r="AH539">
            <v>2</v>
          </cell>
          <cell r="AI539">
            <v>1</v>
          </cell>
          <cell r="AV539">
            <v>65000000000529</v>
          </cell>
          <cell r="AW539">
            <v>65000000000528</v>
          </cell>
        </row>
        <row r="540">
          <cell r="D540" t="str">
            <v>8-2000</v>
          </cell>
          <cell r="AD540">
            <v>8</v>
          </cell>
          <cell r="AE540">
            <v>3</v>
          </cell>
          <cell r="AF540">
            <v>1</v>
          </cell>
          <cell r="AH540">
            <v>2</v>
          </cell>
          <cell r="AI540">
            <v>1</v>
          </cell>
          <cell r="AV540">
            <v>65000000000530</v>
          </cell>
          <cell r="AW540">
            <v>65000000000524</v>
          </cell>
        </row>
        <row r="541">
          <cell r="H541" t="str">
            <v>8-2001</v>
          </cell>
          <cell r="AD541">
            <v>8</v>
          </cell>
          <cell r="AE541">
            <v>3</v>
          </cell>
          <cell r="AF541">
            <v>1</v>
          </cell>
          <cell r="AH541">
            <v>1</v>
          </cell>
          <cell r="AI541">
            <v>1</v>
          </cell>
          <cell r="AV541">
            <v>65000000000531</v>
          </cell>
          <cell r="AW541">
            <v>65000000000530</v>
          </cell>
        </row>
        <row r="542">
          <cell r="J542" t="str">
            <v>8-2001.01</v>
          </cell>
          <cell r="AD542">
            <v>8</v>
          </cell>
          <cell r="AE542">
            <v>3</v>
          </cell>
          <cell r="AF542">
            <v>1</v>
          </cell>
          <cell r="AH542">
            <v>2</v>
          </cell>
          <cell r="AI542">
            <v>1</v>
          </cell>
          <cell r="AV542">
            <v>65000000000532</v>
          </cell>
          <cell r="AW542">
            <v>65000000000531</v>
          </cell>
        </row>
        <row r="543">
          <cell r="H543" t="str">
            <v>8-2002</v>
          </cell>
          <cell r="AD543">
            <v>8</v>
          </cell>
          <cell r="AE543">
            <v>3</v>
          </cell>
          <cell r="AF543">
            <v>1</v>
          </cell>
          <cell r="AH543">
            <v>1</v>
          </cell>
          <cell r="AI543">
            <v>1</v>
          </cell>
          <cell r="AV543">
            <v>65000000000533</v>
          </cell>
          <cell r="AW543">
            <v>65000000000530</v>
          </cell>
        </row>
        <row r="544">
          <cell r="J544" t="str">
            <v>8-2002.01</v>
          </cell>
          <cell r="AD544">
            <v>8</v>
          </cell>
          <cell r="AE544">
            <v>3</v>
          </cell>
          <cell r="AF544">
            <v>1</v>
          </cell>
          <cell r="AH544">
            <v>2</v>
          </cell>
          <cell r="AI544">
            <v>1</v>
          </cell>
          <cell r="AV544">
            <v>65000000000534</v>
          </cell>
          <cell r="AW544">
            <v>65000000000533</v>
          </cell>
        </row>
        <row r="545">
          <cell r="D545" t="str">
            <v>8-3000</v>
          </cell>
          <cell r="AD545">
            <v>8</v>
          </cell>
          <cell r="AE545">
            <v>4</v>
          </cell>
          <cell r="AF545">
            <v>1</v>
          </cell>
          <cell r="AH545">
            <v>2</v>
          </cell>
          <cell r="AI545">
            <v>1</v>
          </cell>
          <cell r="AV545">
            <v>65000000000535</v>
          </cell>
          <cell r="AW545">
            <v>65000000000524</v>
          </cell>
        </row>
        <row r="546">
          <cell r="H546" t="str">
            <v>8-3001</v>
          </cell>
          <cell r="AD546">
            <v>8</v>
          </cell>
          <cell r="AE546">
            <v>4</v>
          </cell>
          <cell r="AF546">
            <v>1</v>
          </cell>
          <cell r="AH546">
            <v>1</v>
          </cell>
          <cell r="AI546">
            <v>1</v>
          </cell>
          <cell r="AV546">
            <v>65000000000536</v>
          </cell>
          <cell r="AW546">
            <v>65000000000535</v>
          </cell>
        </row>
        <row r="547">
          <cell r="J547" t="str">
            <v>8-3001.01</v>
          </cell>
          <cell r="AD547">
            <v>8</v>
          </cell>
          <cell r="AE547">
            <v>4</v>
          </cell>
          <cell r="AF547">
            <v>1</v>
          </cell>
          <cell r="AH547">
            <v>2</v>
          </cell>
          <cell r="AI547">
            <v>1</v>
          </cell>
          <cell r="AV547">
            <v>65000000000537</v>
          </cell>
          <cell r="AW547">
            <v>65000000000536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G546"/>
  <sheetViews>
    <sheetView tabSelected="1" workbookViewId="0">
      <pane xSplit="2" ySplit="3" topLeftCell="C536" activePane="bottomRight" state="frozen"/>
      <selection pane="topRight" activeCell="C1" sqref="C1"/>
      <selection pane="bottomLeft" activeCell="A4" sqref="A4"/>
      <selection pane="bottomRight" activeCell="F546" sqref="F546"/>
    </sheetView>
  </sheetViews>
  <sheetFormatPr defaultRowHeight="12.75" x14ac:dyDescent="0.2"/>
  <cols>
    <col min="1" max="1" width="2.85546875" style="1" customWidth="1"/>
    <col min="2" max="2" width="18.5703125" style="2" bestFit="1" customWidth="1"/>
    <col min="3" max="3" width="23.5703125" style="2" bestFit="1" customWidth="1"/>
    <col min="4" max="4" width="13.140625" style="2" bestFit="1" customWidth="1"/>
    <col min="5" max="5" width="3" style="1" customWidth="1"/>
    <col min="6" max="6" width="14" style="1" bestFit="1" customWidth="1"/>
    <col min="7" max="7" width="9.140625" style="3"/>
    <col min="8" max="16384" width="9.140625" style="1"/>
  </cols>
  <sheetData>
    <row r="1" spans="2:7" ht="13.5" thickBot="1" x14ac:dyDescent="0.25"/>
    <row r="2" spans="2:7" ht="25.5" x14ac:dyDescent="0.2">
      <c r="B2" s="4" t="s">
        <v>0</v>
      </c>
      <c r="C2" s="6" t="s">
        <v>1</v>
      </c>
      <c r="D2" s="16" t="s">
        <v>2</v>
      </c>
      <c r="F2" s="10" t="s">
        <v>3</v>
      </c>
      <c r="G2" s="11" t="s">
        <v>4</v>
      </c>
    </row>
    <row r="3" spans="2:7" ht="13.5" thickBot="1" x14ac:dyDescent="0.25">
      <c r="B3" s="5"/>
      <c r="C3" s="7"/>
      <c r="D3" s="17"/>
      <c r="F3" s="12">
        <v>237000000000000</v>
      </c>
      <c r="G3" s="13"/>
    </row>
    <row r="4" spans="2:7" x14ac:dyDescent="0.2">
      <c r="B4" s="8">
        <f>IF(EXACT([1]SEED!$AV5, ""), "", [1]SEED!$AV5)</f>
        <v>65000000000001</v>
      </c>
      <c r="C4" s="8" t="str">
        <f>IF(EXACT(B4, ""), "", IF(EXACT([1]SEED!$AW5, ""), "", [1]SEED!$AW5))</f>
        <v>null</v>
      </c>
      <c r="D4" s="8">
        <f>IF(EXACT([1]SEED!$B5, ""), IF(EXACT([1]SEED!$D5, ""), IF(EXACT([1]SEED!$F5, ""), IF(EXACT([1]SEED!$H5, ""), IF(EXACT([1]SEED!$J5, ""), "", [1]SEED!$AI5), [1]SEED!$AH5), [1]SEED!$AF5), [1]SEED!$AE5), [1]SEED!$AD5)</f>
        <v>1</v>
      </c>
      <c r="F4" s="14">
        <f xml:space="preserve"> F3 + IF(EXACT(G4, ""), 0, 1)</f>
        <v>237000000000001</v>
      </c>
      <c r="G4" s="15" t="str">
        <f>IF(EXACT(B4, ""), "", CONCATENATE("PERFORM * FROM ""SchData-OLTP-Accounting"".""Func_TblLayoutStructureChartOfAccount_SET""(varSystemLoginSession, null, null, null, varInstitutionBranchID, 62000000000001::bigint, varLayoutStructure_RefID, ", B4, "::bigint, ", C4, "::bigint, ", D4,"::smallint);"))</f>
        <v>PERFORM * FROM "SchData-OLTP-Accounting"."Func_TblLayoutStructureChartOfAccount_SET"(varSystemLoginSession, null, null, null, varInstitutionBranchID, 62000000000001::bigint, varLayoutStructure_RefID, 65000000000001::bigint, null::bigint, 1::smallint);</v>
      </c>
    </row>
    <row r="5" spans="2:7" x14ac:dyDescent="0.2">
      <c r="B5" s="9">
        <f>IF(EXACT([1]SEED!$AV6, ""), "", [1]SEED!$AV6)</f>
        <v>65000000000002</v>
      </c>
      <c r="C5" s="9">
        <f>IF(EXACT(B5, ""), "", IF(EXACT([1]SEED!$AW6, ""), "", [1]SEED!$AW6))</f>
        <v>65000000000001</v>
      </c>
      <c r="D5" s="9">
        <f>IF(EXACT([1]SEED!$B6, ""), IF(EXACT([1]SEED!$D6, ""), IF(EXACT([1]SEED!$F6, ""), IF(EXACT([1]SEED!$H6, ""), IF(EXACT([1]SEED!$J6, ""), "", [1]SEED!$AI6), [1]SEED!$AH6), [1]SEED!$AF6), [1]SEED!$AE6), [1]SEED!$AD6)</f>
        <v>2</v>
      </c>
      <c r="F5" s="14">
        <f t="shared" ref="F5:F68" si="0" xml:space="preserve"> F4 + IF(EXACT(G5, ""), 0, 1)</f>
        <v>237000000000002</v>
      </c>
      <c r="G5" s="15" t="str">
        <f t="shared" ref="G5:G68" si="1">IF(EXACT(B5, ""), "", CONCATENATE("PERFORM * FROM ""SchData-OLTP-Accounting"".""Func_TblLayoutStructureChartOfAccount_SET""(varSystemLoginSession, null, null, null, varInstitutionBranchID, 62000000000001::bigint, varLayoutStructure_RefID, ", B5, "::bigint, ", C5, "::bigint, ", D5,"::smallint);"))</f>
        <v>PERFORM * FROM "SchData-OLTP-Accounting"."Func_TblLayoutStructureChartOfAccount_SET"(varSystemLoginSession, null, null, null, varInstitutionBranchID, 62000000000001::bigint, varLayoutStructure_RefID, 65000000000002::bigint, 65000000000001::bigint, 2::smallint);</v>
      </c>
    </row>
    <row r="6" spans="2:7" x14ac:dyDescent="0.2">
      <c r="B6" s="9">
        <f>IF(EXACT([1]SEED!$AV7, ""), "", [1]SEED!$AV7)</f>
        <v>65000000000003</v>
      </c>
      <c r="C6" s="9">
        <f>IF(EXACT(B6, ""), "", IF(EXACT([1]SEED!$AW7, ""), "", [1]SEED!$AW7))</f>
        <v>65000000000002</v>
      </c>
      <c r="D6" s="9">
        <f>IF(EXACT([1]SEED!$B7, ""), IF(EXACT([1]SEED!$D7, ""), IF(EXACT([1]SEED!$F7, ""), IF(EXACT([1]SEED!$H7, ""), IF(EXACT([1]SEED!$J7, ""), "", [1]SEED!$AI7), [1]SEED!$AH7), [1]SEED!$AF7), [1]SEED!$AE7), [1]SEED!$AD7)</f>
        <v>2</v>
      </c>
      <c r="F6" s="14">
        <f t="shared" si="0"/>
        <v>237000000000003</v>
      </c>
      <c r="G6" s="15" t="str">
        <f t="shared" si="1"/>
        <v>PERFORM * FROM "SchData-OLTP-Accounting"."Func_TblLayoutStructureChartOfAccount_SET"(varSystemLoginSession, null, null, null, varInstitutionBranchID, 62000000000001::bigint, varLayoutStructure_RefID, 65000000000003::bigint, 65000000000002::bigint, 2::smallint);</v>
      </c>
    </row>
    <row r="7" spans="2:7" x14ac:dyDescent="0.2">
      <c r="B7" s="9">
        <f>IF(EXACT([1]SEED!$AV8, ""), "", [1]SEED!$AV8)</f>
        <v>65000000000004</v>
      </c>
      <c r="C7" s="9">
        <f>IF(EXACT(B7, ""), "", IF(EXACT([1]SEED!$AW8, ""), "", [1]SEED!$AW8))</f>
        <v>65000000000003</v>
      </c>
      <c r="D7" s="9">
        <f>IF(EXACT([1]SEED!$B8, ""), IF(EXACT([1]SEED!$D8, ""), IF(EXACT([1]SEED!$F8, ""), IF(EXACT([1]SEED!$H8, ""), IF(EXACT([1]SEED!$J8, ""), "", [1]SEED!$AI8), [1]SEED!$AH8), [1]SEED!$AF8), [1]SEED!$AE8), [1]SEED!$AD8)</f>
        <v>1</v>
      </c>
      <c r="F7" s="14">
        <f t="shared" ref="F7:F70" si="2" xml:space="preserve"> F6 + IF(EXACT(G7, ""), 0, 1)</f>
        <v>237000000000004</v>
      </c>
      <c r="G7" s="15" t="str">
        <f t="shared" ref="G7:G70" si="3">IF(EXACT(B7, ""), "", CONCATENATE("PERFORM * FROM ""SchData-OLTP-Accounting"".""Func_TblLayoutStructureChartOfAccount_SET""(varSystemLoginSession, null, null, null, varInstitutionBranchID, 62000000000001::bigint, varLayoutStructure_RefID, ", B7, "::bigint, ", C7, "::bigint, ", D7,"::smallint);"))</f>
        <v>PERFORM * FROM "SchData-OLTP-Accounting"."Func_TblLayoutStructureChartOfAccount_SET"(varSystemLoginSession, null, null, null, varInstitutionBranchID, 62000000000001::bigint, varLayoutStructure_RefID, 65000000000004::bigint, 65000000000003::bigint, 1::smallint);</v>
      </c>
    </row>
    <row r="8" spans="2:7" x14ac:dyDescent="0.2">
      <c r="B8" s="9">
        <f>IF(EXACT([1]SEED!$AV9, ""), "", [1]SEED!$AV9)</f>
        <v>65000000000005</v>
      </c>
      <c r="C8" s="9">
        <f>IF(EXACT(B8, ""), "", IF(EXACT([1]SEED!$AW9, ""), "", [1]SEED!$AW9))</f>
        <v>65000000000004</v>
      </c>
      <c r="D8" s="9">
        <f>IF(EXACT([1]SEED!$B9, ""), IF(EXACT([1]SEED!$D9, ""), IF(EXACT([1]SEED!$F9, ""), IF(EXACT([1]SEED!$H9, ""), IF(EXACT([1]SEED!$J9, ""), "", [1]SEED!$AI9), [1]SEED!$AH9), [1]SEED!$AF9), [1]SEED!$AE9), [1]SEED!$AD9)</f>
        <v>1</v>
      </c>
      <c r="F8" s="14">
        <f t="shared" si="2"/>
        <v>237000000000005</v>
      </c>
      <c r="G8" s="15" t="str">
        <f t="shared" si="3"/>
        <v>PERFORM * FROM "SchData-OLTP-Accounting"."Func_TblLayoutStructureChartOfAccount_SET"(varSystemLoginSession, null, null, null, varInstitutionBranchID, 62000000000001::bigint, varLayoutStructure_RefID, 65000000000005::bigint, 65000000000004::bigint, 1::smallint);</v>
      </c>
    </row>
    <row r="9" spans="2:7" x14ac:dyDescent="0.2">
      <c r="B9" s="9">
        <f>IF(EXACT([1]SEED!$AV10, ""), "", [1]SEED!$AV10)</f>
        <v>65000000000006</v>
      </c>
      <c r="C9" s="9">
        <f>IF(EXACT(B9, ""), "", IF(EXACT([1]SEED!$AW10, ""), "", [1]SEED!$AW10))</f>
        <v>65000000000003</v>
      </c>
      <c r="D9" s="9">
        <f>IF(EXACT([1]SEED!$B10, ""), IF(EXACT([1]SEED!$D10, ""), IF(EXACT([1]SEED!$F10, ""), IF(EXACT([1]SEED!$H10, ""), IF(EXACT([1]SEED!$J10, ""), "", [1]SEED!$AI10), [1]SEED!$AH10), [1]SEED!$AF10), [1]SEED!$AE10), [1]SEED!$AD10)</f>
        <v>1</v>
      </c>
      <c r="F9" s="14">
        <f t="shared" si="2"/>
        <v>237000000000006</v>
      </c>
      <c r="G9" s="15" t="str">
        <f t="shared" si="3"/>
        <v>PERFORM * FROM "SchData-OLTP-Accounting"."Func_TblLayoutStructureChartOfAccount_SET"(varSystemLoginSession, null, null, null, varInstitutionBranchID, 62000000000001::bigint, varLayoutStructure_RefID, 65000000000006::bigint, 65000000000003::bigint, 1::smallint);</v>
      </c>
    </row>
    <row r="10" spans="2:7" x14ac:dyDescent="0.2">
      <c r="B10" s="9">
        <f>IF(EXACT([1]SEED!$AV11, ""), "", [1]SEED!$AV11)</f>
        <v>65000000000007</v>
      </c>
      <c r="C10" s="9">
        <f>IF(EXACT(B10, ""), "", IF(EXACT([1]SEED!$AW11, ""), "", [1]SEED!$AW11))</f>
        <v>65000000000006</v>
      </c>
      <c r="D10" s="9">
        <f>IF(EXACT([1]SEED!$B11, ""), IF(EXACT([1]SEED!$D11, ""), IF(EXACT([1]SEED!$F11, ""), IF(EXACT([1]SEED!$H11, ""), IF(EXACT([1]SEED!$J11, ""), "", [1]SEED!$AI11), [1]SEED!$AH11), [1]SEED!$AF11), [1]SEED!$AE11), [1]SEED!$AD11)</f>
        <v>1</v>
      </c>
      <c r="F10" s="14">
        <f t="shared" si="2"/>
        <v>237000000000007</v>
      </c>
      <c r="G10" s="15" t="str">
        <f t="shared" si="3"/>
        <v>PERFORM * FROM "SchData-OLTP-Accounting"."Func_TblLayoutStructureChartOfAccount_SET"(varSystemLoginSession, null, null, null, varInstitutionBranchID, 62000000000001::bigint, varLayoutStructure_RefID, 65000000000007::bigint, 65000000000006::bigint, 1::smallint);</v>
      </c>
    </row>
    <row r="11" spans="2:7" x14ac:dyDescent="0.2">
      <c r="B11" s="9">
        <f>IF(EXACT([1]SEED!$AV12, ""), "", [1]SEED!$AV12)</f>
        <v>65000000000008</v>
      </c>
      <c r="C11" s="9">
        <f>IF(EXACT(B11, ""), "", IF(EXACT([1]SEED!$AW12, ""), "", [1]SEED!$AW12))</f>
        <v>65000000000006</v>
      </c>
      <c r="D11" s="9">
        <f>IF(EXACT([1]SEED!$B12, ""), IF(EXACT([1]SEED!$D12, ""), IF(EXACT([1]SEED!$F12, ""), IF(EXACT([1]SEED!$H12, ""), IF(EXACT([1]SEED!$J12, ""), "", [1]SEED!$AI12), [1]SEED!$AH12), [1]SEED!$AF12), [1]SEED!$AE12), [1]SEED!$AD12)</f>
        <v>1</v>
      </c>
      <c r="F11" s="14">
        <f t="shared" si="2"/>
        <v>237000000000008</v>
      </c>
      <c r="G11" s="15" t="str">
        <f t="shared" si="3"/>
        <v>PERFORM * FROM "SchData-OLTP-Accounting"."Func_TblLayoutStructureChartOfAccount_SET"(varSystemLoginSession, null, null, null, varInstitutionBranchID, 62000000000001::bigint, varLayoutStructure_RefID, 65000000000008::bigint, 65000000000006::bigint, 1::smallint);</v>
      </c>
    </row>
    <row r="12" spans="2:7" x14ac:dyDescent="0.2">
      <c r="B12" s="9">
        <f>IF(EXACT([1]SEED!$AV13, ""), "", [1]SEED!$AV13)</f>
        <v>65000000000009</v>
      </c>
      <c r="C12" s="9">
        <f>IF(EXACT(B12, ""), "", IF(EXACT([1]SEED!$AW13, ""), "", [1]SEED!$AW13))</f>
        <v>65000000000003</v>
      </c>
      <c r="D12" s="9">
        <f>IF(EXACT([1]SEED!$B13, ""), IF(EXACT([1]SEED!$D13, ""), IF(EXACT([1]SEED!$F13, ""), IF(EXACT([1]SEED!$H13, ""), IF(EXACT([1]SEED!$J13, ""), "", [1]SEED!$AI13), [1]SEED!$AH13), [1]SEED!$AF13), [1]SEED!$AE13), [1]SEED!$AD13)</f>
        <v>1</v>
      </c>
      <c r="F12" s="14">
        <f t="shared" si="2"/>
        <v>237000000000009</v>
      </c>
      <c r="G12" s="15" t="str">
        <f t="shared" si="3"/>
        <v>PERFORM * FROM "SchData-OLTP-Accounting"."Func_TblLayoutStructureChartOfAccount_SET"(varSystemLoginSession, null, null, null, varInstitutionBranchID, 62000000000001::bigint, varLayoutStructure_RefID, 65000000000009::bigint, 65000000000003::bigint, 1::smallint);</v>
      </c>
    </row>
    <row r="13" spans="2:7" x14ac:dyDescent="0.2">
      <c r="B13" s="9">
        <f>IF(EXACT([1]SEED!$AV14, ""), "", [1]SEED!$AV14)</f>
        <v>65000000000010</v>
      </c>
      <c r="C13" s="9">
        <f>IF(EXACT(B13, ""), "", IF(EXACT([1]SEED!$AW14, ""), "", [1]SEED!$AW14))</f>
        <v>65000000000009</v>
      </c>
      <c r="D13" s="9">
        <f>IF(EXACT([1]SEED!$B14, ""), IF(EXACT([1]SEED!$D14, ""), IF(EXACT([1]SEED!$F14, ""), IF(EXACT([1]SEED!$H14, ""), IF(EXACT([1]SEED!$J14, ""), "", [1]SEED!$AI14), [1]SEED!$AH14), [1]SEED!$AF14), [1]SEED!$AE14), [1]SEED!$AD14)</f>
        <v>1</v>
      </c>
      <c r="F13" s="14">
        <f t="shared" si="2"/>
        <v>237000000000010</v>
      </c>
      <c r="G13" s="15" t="str">
        <f t="shared" si="3"/>
        <v>PERFORM * FROM "SchData-OLTP-Accounting"."Func_TblLayoutStructureChartOfAccount_SET"(varSystemLoginSession, null, null, null, varInstitutionBranchID, 62000000000001::bigint, varLayoutStructure_RefID, 65000000000010::bigint, 65000000000009::bigint, 1::smallint);</v>
      </c>
    </row>
    <row r="14" spans="2:7" x14ac:dyDescent="0.2">
      <c r="B14" s="9">
        <f>IF(EXACT([1]SEED!$AV15, ""), "", [1]SEED!$AV15)</f>
        <v>65000000000011</v>
      </c>
      <c r="C14" s="9">
        <f>IF(EXACT(B14, ""), "", IF(EXACT([1]SEED!$AW15, ""), "", [1]SEED!$AW15))</f>
        <v>0</v>
      </c>
      <c r="D14" s="9">
        <f>IF(EXACT([1]SEED!$B15, ""), IF(EXACT([1]SEED!$D15, ""), IF(EXACT([1]SEED!$F15, ""), IF(EXACT([1]SEED!$H15, ""), IF(EXACT([1]SEED!$J15, ""), "", [1]SEED!$AI15), [1]SEED!$AH15), [1]SEED!$AF15), [1]SEED!$AE15), [1]SEED!$AD15)</f>
        <v>1</v>
      </c>
      <c r="F14" s="14">
        <f t="shared" si="2"/>
        <v>237000000000011</v>
      </c>
      <c r="G14" s="15" t="str">
        <f t="shared" si="3"/>
        <v>PERFORM * FROM "SchData-OLTP-Accounting"."Func_TblLayoutStructureChartOfAccount_SET"(varSystemLoginSession, null, null, null, varInstitutionBranchID, 62000000000001::bigint, varLayoutStructure_RefID, 65000000000011::bigint, 0::bigint, 1::smallint);</v>
      </c>
    </row>
    <row r="15" spans="2:7" x14ac:dyDescent="0.2">
      <c r="B15" s="9">
        <f>IF(EXACT([1]SEED!$AV16, ""), "", [1]SEED!$AV16)</f>
        <v>65000000000012</v>
      </c>
      <c r="C15" s="9">
        <f>IF(EXACT(B15, ""), "", IF(EXACT([1]SEED!$AW16, ""), "", [1]SEED!$AW16))</f>
        <v>65000000000009</v>
      </c>
      <c r="D15" s="9">
        <f>IF(EXACT([1]SEED!$B16, ""), IF(EXACT([1]SEED!$D16, ""), IF(EXACT([1]SEED!$F16, ""), IF(EXACT([1]SEED!$H16, ""), IF(EXACT([1]SEED!$J16, ""), "", [1]SEED!$AI16), [1]SEED!$AH16), [1]SEED!$AF16), [1]SEED!$AE16), [1]SEED!$AD16)</f>
        <v>3</v>
      </c>
      <c r="F15" s="14">
        <f t="shared" si="2"/>
        <v>237000000000012</v>
      </c>
      <c r="G15" s="15" t="str">
        <f t="shared" si="3"/>
        <v>PERFORM * FROM "SchData-OLTP-Accounting"."Func_TblLayoutStructureChartOfAccount_SET"(varSystemLoginSession, null, null, null, varInstitutionBranchID, 62000000000001::bigint, varLayoutStructure_RefID, 65000000000012::bigint, 65000000000009::bigint, 3::smallint);</v>
      </c>
    </row>
    <row r="16" spans="2:7" x14ac:dyDescent="0.2">
      <c r="B16" s="9">
        <f>IF(EXACT([1]SEED!$AV17, ""), "", [1]SEED!$AV17)</f>
        <v>65000000000013</v>
      </c>
      <c r="C16" s="9">
        <f>IF(EXACT(B16, ""), "", IF(EXACT([1]SEED!$AW17, ""), "", [1]SEED!$AW17))</f>
        <v>65000000000003</v>
      </c>
      <c r="D16" s="9">
        <f>IF(EXACT([1]SEED!$B17, ""), IF(EXACT([1]SEED!$D17, ""), IF(EXACT([1]SEED!$F17, ""), IF(EXACT([1]SEED!$H17, ""), IF(EXACT([1]SEED!$J17, ""), "", [1]SEED!$AI17), [1]SEED!$AH17), [1]SEED!$AF17), [1]SEED!$AE17), [1]SEED!$AD17)</f>
        <v>1</v>
      </c>
      <c r="F16" s="14">
        <f t="shared" si="2"/>
        <v>237000000000013</v>
      </c>
      <c r="G16" s="15" t="str">
        <f t="shared" si="3"/>
        <v>PERFORM * FROM "SchData-OLTP-Accounting"."Func_TblLayoutStructureChartOfAccount_SET"(varSystemLoginSession, null, null, null, varInstitutionBranchID, 62000000000001::bigint, varLayoutStructure_RefID, 65000000000013::bigint, 65000000000003::bigint, 1::smallint);</v>
      </c>
    </row>
    <row r="17" spans="2:7" x14ac:dyDescent="0.2">
      <c r="B17" s="9">
        <f>IF(EXACT([1]SEED!$AV18, ""), "", [1]SEED!$AV18)</f>
        <v>65000000000014</v>
      </c>
      <c r="C17" s="9">
        <f>IF(EXACT(B17, ""), "", IF(EXACT([1]SEED!$AW18, ""), "", [1]SEED!$AW18))</f>
        <v>65000000000013</v>
      </c>
      <c r="D17" s="9">
        <f>IF(EXACT([1]SEED!$B18, ""), IF(EXACT([1]SEED!$D18, ""), IF(EXACT([1]SEED!$F18, ""), IF(EXACT([1]SEED!$H18, ""), IF(EXACT([1]SEED!$J18, ""), "", [1]SEED!$AI18), [1]SEED!$AH18), [1]SEED!$AF18), [1]SEED!$AE18), [1]SEED!$AD18)</f>
        <v>1</v>
      </c>
      <c r="F17" s="14">
        <f t="shared" si="2"/>
        <v>237000000000014</v>
      </c>
      <c r="G17" s="15" t="str">
        <f t="shared" si="3"/>
        <v>PERFORM * FROM "SchData-OLTP-Accounting"."Func_TblLayoutStructureChartOfAccount_SET"(varSystemLoginSession, null, null, null, varInstitutionBranchID, 62000000000001::bigint, varLayoutStructure_RefID, 65000000000014::bigint, 65000000000013::bigint, 1::smallint);</v>
      </c>
    </row>
    <row r="18" spans="2:7" x14ac:dyDescent="0.2">
      <c r="B18" s="9">
        <f>IF(EXACT([1]SEED!$AV19, ""), "", [1]SEED!$AV19)</f>
        <v>65000000000015</v>
      </c>
      <c r="C18" s="9">
        <f>IF(EXACT(B18, ""), "", IF(EXACT([1]SEED!$AW19, ""), "", [1]SEED!$AW19))</f>
        <v>65000000000013</v>
      </c>
      <c r="D18" s="9">
        <f>IF(EXACT([1]SEED!$B19, ""), IF(EXACT([1]SEED!$D19, ""), IF(EXACT([1]SEED!$F19, ""), IF(EXACT([1]SEED!$H19, ""), IF(EXACT([1]SEED!$J19, ""), "", [1]SEED!$AI19), [1]SEED!$AH19), [1]SEED!$AF19), [1]SEED!$AE19), [1]SEED!$AD19)</f>
        <v>1</v>
      </c>
      <c r="F18" s="14">
        <f t="shared" si="2"/>
        <v>237000000000015</v>
      </c>
      <c r="G18" s="15" t="str">
        <f t="shared" si="3"/>
        <v>PERFORM * FROM "SchData-OLTP-Accounting"."Func_TblLayoutStructureChartOfAccount_SET"(varSystemLoginSession, null, null, null, varInstitutionBranchID, 62000000000001::bigint, varLayoutStructure_RefID, 65000000000015::bigint, 65000000000013::bigint, 1::smallint);</v>
      </c>
    </row>
    <row r="19" spans="2:7" x14ac:dyDescent="0.2">
      <c r="B19" s="9">
        <f>IF(EXACT([1]SEED!$AV20, ""), "", [1]SEED!$AV20)</f>
        <v>65000000000016</v>
      </c>
      <c r="C19" s="9">
        <f>IF(EXACT(B19, ""), "", IF(EXACT([1]SEED!$AW20, ""), "", [1]SEED!$AW20))</f>
        <v>65000000000003</v>
      </c>
      <c r="D19" s="9">
        <f>IF(EXACT([1]SEED!$B20, ""), IF(EXACT([1]SEED!$D20, ""), IF(EXACT([1]SEED!$F20, ""), IF(EXACT([1]SEED!$H20, ""), IF(EXACT([1]SEED!$J20, ""), "", [1]SEED!$AI20), [1]SEED!$AH20), [1]SEED!$AF20), [1]SEED!$AE20), [1]SEED!$AD20)</f>
        <v>1</v>
      </c>
      <c r="F19" s="14">
        <f t="shared" si="2"/>
        <v>237000000000016</v>
      </c>
      <c r="G19" s="15" t="str">
        <f t="shared" si="3"/>
        <v>PERFORM * FROM "SchData-OLTP-Accounting"."Func_TblLayoutStructureChartOfAccount_SET"(varSystemLoginSession, null, null, null, varInstitutionBranchID, 62000000000001::bigint, varLayoutStructure_RefID, 65000000000016::bigint, 65000000000003::bigint, 1::smallint);</v>
      </c>
    </row>
    <row r="20" spans="2:7" x14ac:dyDescent="0.2">
      <c r="B20" s="9">
        <f>IF(EXACT([1]SEED!$AV21, ""), "", [1]SEED!$AV21)</f>
        <v>65000000000017</v>
      </c>
      <c r="C20" s="9">
        <f>IF(EXACT(B20, ""), "", IF(EXACT([1]SEED!$AW21, ""), "", [1]SEED!$AW21))</f>
        <v>65000000000016</v>
      </c>
      <c r="D20" s="9">
        <f>IF(EXACT([1]SEED!$B21, ""), IF(EXACT([1]SEED!$D21, ""), IF(EXACT([1]SEED!$F21, ""), IF(EXACT([1]SEED!$H21, ""), IF(EXACT([1]SEED!$J21, ""), "", [1]SEED!$AI21), [1]SEED!$AH21), [1]SEED!$AF21), [1]SEED!$AE21), [1]SEED!$AD21)</f>
        <v>1</v>
      </c>
      <c r="F20" s="14">
        <f t="shared" si="2"/>
        <v>237000000000017</v>
      </c>
      <c r="G20" s="15" t="str">
        <f t="shared" si="3"/>
        <v>PERFORM * FROM "SchData-OLTP-Accounting"."Func_TblLayoutStructureChartOfAccount_SET"(varSystemLoginSession, null, null, null, varInstitutionBranchID, 62000000000001::bigint, varLayoutStructure_RefID, 65000000000017::bigint, 65000000000016::bigint, 1::smallint);</v>
      </c>
    </row>
    <row r="21" spans="2:7" x14ac:dyDescent="0.2">
      <c r="B21" s="9">
        <f>IF(EXACT([1]SEED!$AV22, ""), "", [1]SEED!$AV22)</f>
        <v>65000000000018</v>
      </c>
      <c r="C21" s="9">
        <f>IF(EXACT(B21, ""), "", IF(EXACT([1]SEED!$AW22, ""), "", [1]SEED!$AW22))</f>
        <v>65000000000016</v>
      </c>
      <c r="D21" s="9">
        <f>IF(EXACT([1]SEED!$B22, ""), IF(EXACT([1]SEED!$D22, ""), IF(EXACT([1]SEED!$F22, ""), IF(EXACT([1]SEED!$H22, ""), IF(EXACT([1]SEED!$J22, ""), "", [1]SEED!$AI22), [1]SEED!$AH22), [1]SEED!$AF22), [1]SEED!$AE22), [1]SEED!$AD22)</f>
        <v>1</v>
      </c>
      <c r="F21" s="14">
        <f t="shared" si="2"/>
        <v>237000000000018</v>
      </c>
      <c r="G21" s="15" t="str">
        <f t="shared" si="3"/>
        <v>PERFORM * FROM "SchData-OLTP-Accounting"."Func_TblLayoutStructureChartOfAccount_SET"(varSystemLoginSession, null, null, null, varInstitutionBranchID, 62000000000001::bigint, varLayoutStructure_RefID, 65000000000018::bigint, 65000000000016::bigint, 1::smallint);</v>
      </c>
    </row>
    <row r="22" spans="2:7" x14ac:dyDescent="0.2">
      <c r="B22" s="9">
        <f>IF(EXACT([1]SEED!$AV23, ""), "", [1]SEED!$AV23)</f>
        <v>65000000000019</v>
      </c>
      <c r="C22" s="9">
        <f>IF(EXACT(B22, ""), "", IF(EXACT([1]SEED!$AW23, ""), "", [1]SEED!$AW23))</f>
        <v>65000000000003</v>
      </c>
      <c r="D22" s="9">
        <f>IF(EXACT([1]SEED!$B23, ""), IF(EXACT([1]SEED!$D23, ""), IF(EXACT([1]SEED!$F23, ""), IF(EXACT([1]SEED!$H23, ""), IF(EXACT([1]SEED!$J23, ""), "", [1]SEED!$AI23), [1]SEED!$AH23), [1]SEED!$AF23), [1]SEED!$AE23), [1]SEED!$AD23)</f>
        <v>1</v>
      </c>
      <c r="F22" s="14">
        <f t="shared" si="2"/>
        <v>237000000000019</v>
      </c>
      <c r="G22" s="15" t="str">
        <f t="shared" si="3"/>
        <v>PERFORM * FROM "SchData-OLTP-Accounting"."Func_TblLayoutStructureChartOfAccount_SET"(varSystemLoginSession, null, null, null, varInstitutionBranchID, 62000000000001::bigint, varLayoutStructure_RefID, 65000000000019::bigint, 65000000000003::bigint, 1::smallint);</v>
      </c>
    </row>
    <row r="23" spans="2:7" x14ac:dyDescent="0.2">
      <c r="B23" s="9">
        <f>IF(EXACT([1]SEED!$AV24, ""), "", [1]SEED!$AV24)</f>
        <v>65000000000020</v>
      </c>
      <c r="C23" s="9">
        <f>IF(EXACT(B23, ""), "", IF(EXACT([1]SEED!$AW24, ""), "", [1]SEED!$AW24))</f>
        <v>65000000000019</v>
      </c>
      <c r="D23" s="9">
        <f>IF(EXACT([1]SEED!$B24, ""), IF(EXACT([1]SEED!$D24, ""), IF(EXACT([1]SEED!$F24, ""), IF(EXACT([1]SEED!$H24, ""), IF(EXACT([1]SEED!$J24, ""), "", [1]SEED!$AI24), [1]SEED!$AH24), [1]SEED!$AF24), [1]SEED!$AE24), [1]SEED!$AD24)</f>
        <v>1</v>
      </c>
      <c r="F23" s="14">
        <f t="shared" si="2"/>
        <v>237000000000020</v>
      </c>
      <c r="G23" s="15" t="str">
        <f t="shared" si="3"/>
        <v>PERFORM * FROM "SchData-OLTP-Accounting"."Func_TblLayoutStructureChartOfAccount_SET"(varSystemLoginSession, null, null, null, varInstitutionBranchID, 62000000000001::bigint, varLayoutStructure_RefID, 65000000000020::bigint, 65000000000019::bigint, 1::smallint);</v>
      </c>
    </row>
    <row r="24" spans="2:7" x14ac:dyDescent="0.2">
      <c r="B24" s="9">
        <f>IF(EXACT([1]SEED!$AV25, ""), "", [1]SEED!$AV25)</f>
        <v>65000000000021</v>
      </c>
      <c r="C24" s="9">
        <f>IF(EXACT(B24, ""), "", IF(EXACT([1]SEED!$AW25, ""), "", [1]SEED!$AW25))</f>
        <v>65000000000019</v>
      </c>
      <c r="D24" s="9">
        <f>IF(EXACT([1]SEED!$B25, ""), IF(EXACT([1]SEED!$D25, ""), IF(EXACT([1]SEED!$F25, ""), IF(EXACT([1]SEED!$H25, ""), IF(EXACT([1]SEED!$J25, ""), "", [1]SEED!$AI25), [1]SEED!$AH25), [1]SEED!$AF25), [1]SEED!$AE25), [1]SEED!$AD25)</f>
        <v>1</v>
      </c>
      <c r="F24" s="14">
        <f t="shared" si="2"/>
        <v>237000000000021</v>
      </c>
      <c r="G24" s="15" t="str">
        <f t="shared" si="3"/>
        <v>PERFORM * FROM "SchData-OLTP-Accounting"."Func_TblLayoutStructureChartOfAccount_SET"(varSystemLoginSession, null, null, null, varInstitutionBranchID, 62000000000001::bigint, varLayoutStructure_RefID, 65000000000021::bigint, 65000000000019::bigint, 1::smallint);</v>
      </c>
    </row>
    <row r="25" spans="2:7" x14ac:dyDescent="0.2">
      <c r="B25" s="9">
        <f>IF(EXACT([1]SEED!$AV26, ""), "", [1]SEED!$AV26)</f>
        <v>65000000000022</v>
      </c>
      <c r="C25" s="9">
        <f>IF(EXACT(B25, ""), "", IF(EXACT([1]SEED!$AW26, ""), "", [1]SEED!$AW26))</f>
        <v>65000000000003</v>
      </c>
      <c r="D25" s="9">
        <f>IF(EXACT([1]SEED!$B26, ""), IF(EXACT([1]SEED!$D26, ""), IF(EXACT([1]SEED!$F26, ""), IF(EXACT([1]SEED!$H26, ""), IF(EXACT([1]SEED!$J26, ""), "", [1]SEED!$AI26), [1]SEED!$AH26), [1]SEED!$AF26), [1]SEED!$AE26), [1]SEED!$AD26)</f>
        <v>1</v>
      </c>
      <c r="F25" s="14">
        <f t="shared" si="2"/>
        <v>237000000000022</v>
      </c>
      <c r="G25" s="15" t="str">
        <f t="shared" si="3"/>
        <v>PERFORM * FROM "SchData-OLTP-Accounting"."Func_TblLayoutStructureChartOfAccount_SET"(varSystemLoginSession, null, null, null, varInstitutionBranchID, 62000000000001::bigint, varLayoutStructure_RefID, 65000000000022::bigint, 65000000000003::bigint, 1::smallint);</v>
      </c>
    </row>
    <row r="26" spans="2:7" x14ac:dyDescent="0.2">
      <c r="B26" s="9">
        <f>IF(EXACT([1]SEED!$AV27, ""), "", [1]SEED!$AV27)</f>
        <v>65000000000023</v>
      </c>
      <c r="C26" s="9">
        <f>IF(EXACT(B26, ""), "", IF(EXACT([1]SEED!$AW27, ""), "", [1]SEED!$AW27))</f>
        <v>65000000000022</v>
      </c>
      <c r="D26" s="9">
        <f>IF(EXACT([1]SEED!$B27, ""), IF(EXACT([1]SEED!$D27, ""), IF(EXACT([1]SEED!$F27, ""), IF(EXACT([1]SEED!$H27, ""), IF(EXACT([1]SEED!$J27, ""), "", [1]SEED!$AI27), [1]SEED!$AH27), [1]SEED!$AF27), [1]SEED!$AE27), [1]SEED!$AD27)</f>
        <v>1</v>
      </c>
      <c r="F26" s="14">
        <f t="shared" si="2"/>
        <v>237000000000023</v>
      </c>
      <c r="G26" s="15" t="str">
        <f t="shared" si="3"/>
        <v>PERFORM * FROM "SchData-OLTP-Accounting"."Func_TblLayoutStructureChartOfAccount_SET"(varSystemLoginSession, null, null, null, varInstitutionBranchID, 62000000000001::bigint, varLayoutStructure_RefID, 65000000000023::bigint, 65000000000022::bigint, 1::smallint);</v>
      </c>
    </row>
    <row r="27" spans="2:7" x14ac:dyDescent="0.2">
      <c r="B27" s="9">
        <f>IF(EXACT([1]SEED!$AV28, ""), "", [1]SEED!$AV28)</f>
        <v>65000000000024</v>
      </c>
      <c r="C27" s="9">
        <f>IF(EXACT(B27, ""), "", IF(EXACT([1]SEED!$AW28, ""), "", [1]SEED!$AW28))</f>
        <v>65000000000022</v>
      </c>
      <c r="D27" s="9">
        <f>IF(EXACT([1]SEED!$B28, ""), IF(EXACT([1]SEED!$D28, ""), IF(EXACT([1]SEED!$F28, ""), IF(EXACT([1]SEED!$H28, ""), IF(EXACT([1]SEED!$J28, ""), "", [1]SEED!$AI28), [1]SEED!$AH28), [1]SEED!$AF28), [1]SEED!$AE28), [1]SEED!$AD28)</f>
        <v>1</v>
      </c>
      <c r="F27" s="14">
        <f t="shared" si="2"/>
        <v>237000000000024</v>
      </c>
      <c r="G27" s="15" t="str">
        <f t="shared" si="3"/>
        <v>PERFORM * FROM "SchData-OLTP-Accounting"."Func_TblLayoutStructureChartOfAccount_SET"(varSystemLoginSession, null, null, null, varInstitutionBranchID, 62000000000001::bigint, varLayoutStructure_RefID, 65000000000024::bigint, 65000000000022::bigint, 1::smallint);</v>
      </c>
    </row>
    <row r="28" spans="2:7" x14ac:dyDescent="0.2">
      <c r="B28" s="9">
        <f>IF(EXACT([1]SEED!$AV29, ""), "", [1]SEED!$AV29)</f>
        <v>65000000000025</v>
      </c>
      <c r="C28" s="9">
        <f>IF(EXACT(B28, ""), "", IF(EXACT([1]SEED!$AW29, ""), "", [1]SEED!$AW29))</f>
        <v>65000000000002</v>
      </c>
      <c r="D28" s="9">
        <f>IF(EXACT([1]SEED!$B29, ""), IF(EXACT([1]SEED!$D29, ""), IF(EXACT([1]SEED!$F29, ""), IF(EXACT([1]SEED!$H29, ""), IF(EXACT([1]SEED!$J29, ""), "", [1]SEED!$AI29), [1]SEED!$AH29), [1]SEED!$AF29), [1]SEED!$AE29), [1]SEED!$AD29)</f>
        <v>4</v>
      </c>
      <c r="F28" s="14">
        <f t="shared" si="2"/>
        <v>237000000000025</v>
      </c>
      <c r="G28" s="15" t="str">
        <f t="shared" si="3"/>
        <v>PERFORM * FROM "SchData-OLTP-Accounting"."Func_TblLayoutStructureChartOfAccount_SET"(varSystemLoginSession, null, null, null, varInstitutionBranchID, 62000000000001::bigint, varLayoutStructure_RefID, 65000000000025::bigint, 65000000000002::bigint, 4::smallint);</v>
      </c>
    </row>
    <row r="29" spans="2:7" x14ac:dyDescent="0.2">
      <c r="B29" s="9">
        <f>IF(EXACT([1]SEED!$AV30, ""), "", [1]SEED!$AV30)</f>
        <v>65000000000026</v>
      </c>
      <c r="C29" s="9">
        <f>IF(EXACT(B29, ""), "", IF(EXACT([1]SEED!$AW30, ""), "", [1]SEED!$AW30))</f>
        <v>65000000000025</v>
      </c>
      <c r="D29" s="9">
        <f>IF(EXACT([1]SEED!$B30, ""), IF(EXACT([1]SEED!$D30, ""), IF(EXACT([1]SEED!$F30, ""), IF(EXACT([1]SEED!$H30, ""), IF(EXACT([1]SEED!$J30, ""), "", [1]SEED!$AI30), [1]SEED!$AH30), [1]SEED!$AF30), [1]SEED!$AE30), [1]SEED!$AD30)</f>
        <v>1</v>
      </c>
      <c r="F29" s="14">
        <f t="shared" si="2"/>
        <v>237000000000026</v>
      </c>
      <c r="G29" s="15" t="str">
        <f t="shared" si="3"/>
        <v>PERFORM * FROM "SchData-OLTP-Accounting"."Func_TblLayoutStructureChartOfAccount_SET"(varSystemLoginSession, null, null, null, varInstitutionBranchID, 62000000000001::bigint, varLayoutStructure_RefID, 65000000000026::bigint, 65000000000025::bigint, 1::smallint);</v>
      </c>
    </row>
    <row r="30" spans="2:7" x14ac:dyDescent="0.2">
      <c r="B30" s="9">
        <f>IF(EXACT([1]SEED!$AV31, ""), "", [1]SEED!$AV31)</f>
        <v>65000000000027</v>
      </c>
      <c r="C30" s="9">
        <f>IF(EXACT(B30, ""), "", IF(EXACT([1]SEED!$AW31, ""), "", [1]SEED!$AW31))</f>
        <v>65000000000026</v>
      </c>
      <c r="D30" s="9">
        <f>IF(EXACT([1]SEED!$B31, ""), IF(EXACT([1]SEED!$D31, ""), IF(EXACT([1]SEED!$F31, ""), IF(EXACT([1]SEED!$H31, ""), IF(EXACT([1]SEED!$J31, ""), "", [1]SEED!$AI31), [1]SEED!$AH31), [1]SEED!$AF31), [1]SEED!$AE31), [1]SEED!$AD31)</f>
        <v>1</v>
      </c>
      <c r="F30" s="14">
        <f t="shared" si="2"/>
        <v>237000000000027</v>
      </c>
      <c r="G30" s="15" t="str">
        <f t="shared" si="3"/>
        <v>PERFORM * FROM "SchData-OLTP-Accounting"."Func_TblLayoutStructureChartOfAccount_SET"(varSystemLoginSession, null, null, null, varInstitutionBranchID, 62000000000001::bigint, varLayoutStructure_RefID, 65000000000027::bigint, 65000000000026::bigint, 1::smallint);</v>
      </c>
    </row>
    <row r="31" spans="2:7" x14ac:dyDescent="0.2">
      <c r="B31" s="9">
        <f>IF(EXACT([1]SEED!$AV32, ""), "", [1]SEED!$AV32)</f>
        <v>65000000000028</v>
      </c>
      <c r="C31" s="9">
        <f>IF(EXACT(B31, ""), "", IF(EXACT([1]SEED!$AW32, ""), "", [1]SEED!$AW32))</f>
        <v>65000000000002</v>
      </c>
      <c r="D31" s="9">
        <f>IF(EXACT([1]SEED!$B32, ""), IF(EXACT([1]SEED!$D32, ""), IF(EXACT([1]SEED!$F32, ""), IF(EXACT([1]SEED!$H32, ""), IF(EXACT([1]SEED!$J32, ""), "", [1]SEED!$AI32), [1]SEED!$AH32), [1]SEED!$AF32), [1]SEED!$AE32), [1]SEED!$AD32)</f>
        <v>5</v>
      </c>
      <c r="F31" s="14">
        <f t="shared" si="2"/>
        <v>237000000000028</v>
      </c>
      <c r="G31" s="15" t="str">
        <f t="shared" si="3"/>
        <v>PERFORM * FROM "SchData-OLTP-Accounting"."Func_TblLayoutStructureChartOfAccount_SET"(varSystemLoginSession, null, null, null, varInstitutionBranchID, 62000000000001::bigint, varLayoutStructure_RefID, 65000000000028::bigint, 65000000000002::bigint, 5::smallint);</v>
      </c>
    </row>
    <row r="32" spans="2:7" x14ac:dyDescent="0.2">
      <c r="B32" s="9">
        <f>IF(EXACT([1]SEED!$AV33, ""), "", [1]SEED!$AV33)</f>
        <v>65000000000029</v>
      </c>
      <c r="C32" s="9">
        <f>IF(EXACT(B32, ""), "", IF(EXACT([1]SEED!$AW33, ""), "", [1]SEED!$AW33))</f>
        <v>65000000000028</v>
      </c>
      <c r="D32" s="9">
        <f>IF(EXACT([1]SEED!$B33, ""), IF(EXACT([1]SEED!$D33, ""), IF(EXACT([1]SEED!$F33, ""), IF(EXACT([1]SEED!$H33, ""), IF(EXACT([1]SEED!$J33, ""), "", [1]SEED!$AI33), [1]SEED!$AH33), [1]SEED!$AF33), [1]SEED!$AE33), [1]SEED!$AD33)</f>
        <v>1</v>
      </c>
      <c r="F32" s="14">
        <f t="shared" si="2"/>
        <v>237000000000029</v>
      </c>
      <c r="G32" s="15" t="str">
        <f t="shared" si="3"/>
        <v>PERFORM * FROM "SchData-OLTP-Accounting"."Func_TblLayoutStructureChartOfAccount_SET"(varSystemLoginSession, null, null, null, varInstitutionBranchID, 62000000000001::bigint, varLayoutStructure_RefID, 65000000000029::bigint, 65000000000028::bigint, 1::smallint);</v>
      </c>
    </row>
    <row r="33" spans="2:7" x14ac:dyDescent="0.2">
      <c r="B33" s="9">
        <f>IF(EXACT([1]SEED!$AV34, ""), "", [1]SEED!$AV34)</f>
        <v>65000000000030</v>
      </c>
      <c r="C33" s="9">
        <f>IF(EXACT(B33, ""), "", IF(EXACT([1]SEED!$AW34, ""), "", [1]SEED!$AW34))</f>
        <v>65000000000002</v>
      </c>
      <c r="D33" s="9">
        <f>IF(EXACT([1]SEED!$B34, ""), IF(EXACT([1]SEED!$D34, ""), IF(EXACT([1]SEED!$F34, ""), IF(EXACT([1]SEED!$H34, ""), IF(EXACT([1]SEED!$J34, ""), "", [1]SEED!$AI34), [1]SEED!$AH34), [1]SEED!$AF34), [1]SEED!$AE34), [1]SEED!$AD34)</f>
        <v>6</v>
      </c>
      <c r="F33" s="14">
        <f t="shared" si="2"/>
        <v>237000000000030</v>
      </c>
      <c r="G33" s="15" t="str">
        <f t="shared" si="3"/>
        <v>PERFORM * FROM "SchData-OLTP-Accounting"."Func_TblLayoutStructureChartOfAccount_SET"(varSystemLoginSession, null, null, null, varInstitutionBranchID, 62000000000001::bigint, varLayoutStructure_RefID, 65000000000030::bigint, 65000000000002::bigint, 6::smallint);</v>
      </c>
    </row>
    <row r="34" spans="2:7" x14ac:dyDescent="0.2">
      <c r="B34" s="9">
        <f>IF(EXACT([1]SEED!$AV35, ""), "", [1]SEED!$AV35)</f>
        <v>65000000000031</v>
      </c>
      <c r="C34" s="9">
        <f>IF(EXACT(B34, ""), "", IF(EXACT([1]SEED!$AW35, ""), "", [1]SEED!$AW35))</f>
        <v>65000000000030</v>
      </c>
      <c r="D34" s="9">
        <f>IF(EXACT([1]SEED!$B35, ""), IF(EXACT([1]SEED!$D35, ""), IF(EXACT([1]SEED!$F35, ""), IF(EXACT([1]SEED!$H35, ""), IF(EXACT([1]SEED!$J35, ""), "", [1]SEED!$AI35), [1]SEED!$AH35), [1]SEED!$AF35), [1]SEED!$AE35), [1]SEED!$AD35)</f>
        <v>1</v>
      </c>
      <c r="F34" s="14">
        <f t="shared" si="2"/>
        <v>237000000000031</v>
      </c>
      <c r="G34" s="15" t="str">
        <f t="shared" si="3"/>
        <v>PERFORM * FROM "SchData-OLTP-Accounting"."Func_TblLayoutStructureChartOfAccount_SET"(varSystemLoginSession, null, null, null, varInstitutionBranchID, 62000000000001::bigint, varLayoutStructure_RefID, 65000000000031::bigint, 65000000000030::bigint, 1::smallint);</v>
      </c>
    </row>
    <row r="35" spans="2:7" x14ac:dyDescent="0.2">
      <c r="B35" s="9">
        <f>IF(EXACT([1]SEED!$AV36, ""), "", [1]SEED!$AV36)</f>
        <v>65000000000032</v>
      </c>
      <c r="C35" s="9">
        <f>IF(EXACT(B35, ""), "", IF(EXACT([1]SEED!$AW36, ""), "", [1]SEED!$AW36))</f>
        <v>65000000000031</v>
      </c>
      <c r="D35" s="9">
        <f>IF(EXACT([1]SEED!$B36, ""), IF(EXACT([1]SEED!$D36, ""), IF(EXACT([1]SEED!$F36, ""), IF(EXACT([1]SEED!$H36, ""), IF(EXACT([1]SEED!$J36, ""), "", [1]SEED!$AI36), [1]SEED!$AH36), [1]SEED!$AF36), [1]SEED!$AE36), [1]SEED!$AD36)</f>
        <v>1</v>
      </c>
      <c r="F35" s="14">
        <f t="shared" si="2"/>
        <v>237000000000032</v>
      </c>
      <c r="G35" s="15" t="str">
        <f t="shared" si="3"/>
        <v>PERFORM * FROM "SchData-OLTP-Accounting"."Func_TblLayoutStructureChartOfAccount_SET"(varSystemLoginSession, null, null, null, varInstitutionBranchID, 62000000000001::bigint, varLayoutStructure_RefID, 65000000000032::bigint, 65000000000031::bigint, 1::smallint);</v>
      </c>
    </row>
    <row r="36" spans="2:7" x14ac:dyDescent="0.2">
      <c r="B36" s="9">
        <f>IF(EXACT([1]SEED!$AV37, ""), "", [1]SEED!$AV37)</f>
        <v>65000000000033</v>
      </c>
      <c r="C36" s="9">
        <f>IF(EXACT(B36, ""), "", IF(EXACT([1]SEED!$AW37, ""), "", [1]SEED!$AW37))</f>
        <v>65000000000030</v>
      </c>
      <c r="D36" s="9">
        <f>IF(EXACT([1]SEED!$B37, ""), IF(EXACT([1]SEED!$D37, ""), IF(EXACT([1]SEED!$F37, ""), IF(EXACT([1]SEED!$H37, ""), IF(EXACT([1]SEED!$J37, ""), "", [1]SEED!$AI37), [1]SEED!$AH37), [1]SEED!$AF37), [1]SEED!$AE37), [1]SEED!$AD37)</f>
        <v>1</v>
      </c>
      <c r="F36" s="14">
        <f t="shared" si="2"/>
        <v>237000000000033</v>
      </c>
      <c r="G36" s="15" t="str">
        <f t="shared" si="3"/>
        <v>PERFORM * FROM "SchData-OLTP-Accounting"."Func_TblLayoutStructureChartOfAccount_SET"(varSystemLoginSession, null, null, null, varInstitutionBranchID, 62000000000001::bigint, varLayoutStructure_RefID, 65000000000033::bigint, 65000000000030::bigint, 1::smallint);</v>
      </c>
    </row>
    <row r="37" spans="2:7" x14ac:dyDescent="0.2">
      <c r="B37" s="9">
        <f>IF(EXACT([1]SEED!$AV38, ""), "", [1]SEED!$AV38)</f>
        <v>65000000000034</v>
      </c>
      <c r="C37" s="9">
        <f>IF(EXACT(B37, ""), "", IF(EXACT([1]SEED!$AW38, ""), "", [1]SEED!$AW38))</f>
        <v>65000000000033</v>
      </c>
      <c r="D37" s="9">
        <f>IF(EXACT([1]SEED!$B38, ""), IF(EXACT([1]SEED!$D38, ""), IF(EXACT([1]SEED!$F38, ""), IF(EXACT([1]SEED!$H38, ""), IF(EXACT([1]SEED!$J38, ""), "", [1]SEED!$AI38), [1]SEED!$AH38), [1]SEED!$AF38), [1]SEED!$AE38), [1]SEED!$AD38)</f>
        <v>1</v>
      </c>
      <c r="F37" s="14">
        <f t="shared" si="2"/>
        <v>237000000000034</v>
      </c>
      <c r="G37" s="15" t="str">
        <f t="shared" si="3"/>
        <v>PERFORM * FROM "SchData-OLTP-Accounting"."Func_TblLayoutStructureChartOfAccount_SET"(varSystemLoginSession, null, null, null, varInstitutionBranchID, 62000000000001::bigint, varLayoutStructure_RefID, 65000000000034::bigint, 65000000000033::bigint, 1::smallint);</v>
      </c>
    </row>
    <row r="38" spans="2:7" x14ac:dyDescent="0.2">
      <c r="B38" s="9">
        <f>IF(EXACT([1]SEED!$AV39, ""), "", [1]SEED!$AV39)</f>
        <v>65000000000035</v>
      </c>
      <c r="C38" s="9">
        <f>IF(EXACT(B38, ""), "", IF(EXACT([1]SEED!$AW39, ""), "", [1]SEED!$AW39))</f>
        <v>65000000000030</v>
      </c>
      <c r="D38" s="9">
        <f>IF(EXACT([1]SEED!$B39, ""), IF(EXACT([1]SEED!$D39, ""), IF(EXACT([1]SEED!$F39, ""), IF(EXACT([1]SEED!$H39, ""), IF(EXACT([1]SEED!$J39, ""), "", [1]SEED!$AI39), [1]SEED!$AH39), [1]SEED!$AF39), [1]SEED!$AE39), [1]SEED!$AD39)</f>
        <v>1</v>
      </c>
      <c r="F38" s="14">
        <f t="shared" si="2"/>
        <v>237000000000035</v>
      </c>
      <c r="G38" s="15" t="str">
        <f t="shared" si="3"/>
        <v>PERFORM * FROM "SchData-OLTP-Accounting"."Func_TblLayoutStructureChartOfAccount_SET"(varSystemLoginSession, null, null, null, varInstitutionBranchID, 62000000000001::bigint, varLayoutStructure_RefID, 65000000000035::bigint, 65000000000030::bigint, 1::smallint);</v>
      </c>
    </row>
    <row r="39" spans="2:7" x14ac:dyDescent="0.2">
      <c r="B39" s="9">
        <f>IF(EXACT([1]SEED!$AV40, ""), "", [1]SEED!$AV40)</f>
        <v>65000000000036</v>
      </c>
      <c r="C39" s="9">
        <f>IF(EXACT(B39, ""), "", IF(EXACT([1]SEED!$AW40, ""), "", [1]SEED!$AW40))</f>
        <v>65000000000035</v>
      </c>
      <c r="D39" s="9">
        <f>IF(EXACT([1]SEED!$B40, ""), IF(EXACT([1]SEED!$D40, ""), IF(EXACT([1]SEED!$F40, ""), IF(EXACT([1]SEED!$H40, ""), IF(EXACT([1]SEED!$J40, ""), "", [1]SEED!$AI40), [1]SEED!$AH40), [1]SEED!$AF40), [1]SEED!$AE40), [1]SEED!$AD40)</f>
        <v>1</v>
      </c>
      <c r="F39" s="14">
        <f t="shared" si="2"/>
        <v>237000000000036</v>
      </c>
      <c r="G39" s="15" t="str">
        <f t="shared" si="3"/>
        <v>PERFORM * FROM "SchData-OLTP-Accounting"."Func_TblLayoutStructureChartOfAccount_SET"(varSystemLoginSession, null, null, null, varInstitutionBranchID, 62000000000001::bigint, varLayoutStructure_RefID, 65000000000036::bigint, 65000000000035::bigint, 1::smallint);</v>
      </c>
    </row>
    <row r="40" spans="2:7" x14ac:dyDescent="0.2">
      <c r="B40" s="9">
        <f>IF(EXACT([1]SEED!$AV41, ""), "", [1]SEED!$AV41)</f>
        <v>65000000000037</v>
      </c>
      <c r="C40" s="9">
        <f>IF(EXACT(B40, ""), "", IF(EXACT([1]SEED!$AW41, ""), "", [1]SEED!$AW41))</f>
        <v>65000000000030</v>
      </c>
      <c r="D40" s="9">
        <f>IF(EXACT([1]SEED!$B41, ""), IF(EXACT([1]SEED!$D41, ""), IF(EXACT([1]SEED!$F41, ""), IF(EXACT([1]SEED!$H41, ""), IF(EXACT([1]SEED!$J41, ""), "", [1]SEED!$AI41), [1]SEED!$AH41), [1]SEED!$AF41), [1]SEED!$AE41), [1]SEED!$AD41)</f>
        <v>1</v>
      </c>
      <c r="F40" s="14">
        <f t="shared" si="2"/>
        <v>237000000000037</v>
      </c>
      <c r="G40" s="15" t="str">
        <f t="shared" si="3"/>
        <v>PERFORM * FROM "SchData-OLTP-Accounting"."Func_TblLayoutStructureChartOfAccount_SET"(varSystemLoginSession, null, null, null, varInstitutionBranchID, 62000000000001::bigint, varLayoutStructure_RefID, 65000000000037::bigint, 65000000000030::bigint, 1::smallint);</v>
      </c>
    </row>
    <row r="41" spans="2:7" x14ac:dyDescent="0.2">
      <c r="B41" s="9">
        <f>IF(EXACT([1]SEED!$AV42, ""), "", [1]SEED!$AV42)</f>
        <v>65000000000038</v>
      </c>
      <c r="C41" s="9">
        <f>IF(EXACT(B41, ""), "", IF(EXACT([1]SEED!$AW42, ""), "", [1]SEED!$AW42))</f>
        <v>65000000000037</v>
      </c>
      <c r="D41" s="9">
        <f>IF(EXACT([1]SEED!$B42, ""), IF(EXACT([1]SEED!$D42, ""), IF(EXACT([1]SEED!$F42, ""), IF(EXACT([1]SEED!$H42, ""), IF(EXACT([1]SEED!$J42, ""), "", [1]SEED!$AI42), [1]SEED!$AH42), [1]SEED!$AF42), [1]SEED!$AE42), [1]SEED!$AD42)</f>
        <v>1</v>
      </c>
      <c r="F41" s="14">
        <f t="shared" si="2"/>
        <v>237000000000038</v>
      </c>
      <c r="G41" s="15" t="str">
        <f t="shared" si="3"/>
        <v>PERFORM * FROM "SchData-OLTP-Accounting"."Func_TblLayoutStructureChartOfAccount_SET"(varSystemLoginSession, null, null, null, varInstitutionBranchID, 62000000000001::bigint, varLayoutStructure_RefID, 65000000000038::bigint, 65000000000037::bigint, 1::smallint);</v>
      </c>
    </row>
    <row r="42" spans="2:7" x14ac:dyDescent="0.2">
      <c r="B42" s="9">
        <f>IF(EXACT([1]SEED!$AV43, ""), "", [1]SEED!$AV43)</f>
        <v>65000000000039</v>
      </c>
      <c r="C42" s="9">
        <f>IF(EXACT(B42, ""), "", IF(EXACT([1]SEED!$AW43, ""), "", [1]SEED!$AW43))</f>
        <v>65000000000002</v>
      </c>
      <c r="D42" s="9">
        <f>IF(EXACT([1]SEED!$B43, ""), IF(EXACT([1]SEED!$D43, ""), IF(EXACT([1]SEED!$F43, ""), IF(EXACT([1]SEED!$H43, ""), IF(EXACT([1]SEED!$J43, ""), "", [1]SEED!$AI43), [1]SEED!$AH43), [1]SEED!$AF43), [1]SEED!$AE43), [1]SEED!$AD43)</f>
        <v>7</v>
      </c>
      <c r="F42" s="14">
        <f t="shared" si="2"/>
        <v>237000000000039</v>
      </c>
      <c r="G42" s="15" t="str">
        <f t="shared" si="3"/>
        <v>PERFORM * FROM "SchData-OLTP-Accounting"."Func_TblLayoutStructureChartOfAccount_SET"(varSystemLoginSession, null, null, null, varInstitutionBranchID, 62000000000001::bigint, varLayoutStructure_RefID, 65000000000039::bigint, 65000000000002::bigint, 7::smallint);</v>
      </c>
    </row>
    <row r="43" spans="2:7" x14ac:dyDescent="0.2">
      <c r="B43" s="9">
        <f>IF(EXACT([1]SEED!$AV44, ""), "", [1]SEED!$AV44)</f>
        <v>65000000000040</v>
      </c>
      <c r="C43" s="9">
        <f>IF(EXACT(B43, ""), "", IF(EXACT([1]SEED!$AW44, ""), "", [1]SEED!$AW44))</f>
        <v>65000000000039</v>
      </c>
      <c r="D43" s="9">
        <f>IF(EXACT([1]SEED!$B44, ""), IF(EXACT([1]SEED!$D44, ""), IF(EXACT([1]SEED!$F44, ""), IF(EXACT([1]SEED!$H44, ""), IF(EXACT([1]SEED!$J44, ""), "", [1]SEED!$AI44), [1]SEED!$AH44), [1]SEED!$AF44), [1]SEED!$AE44), [1]SEED!$AD44)</f>
        <v>1</v>
      </c>
      <c r="F43" s="14">
        <f t="shared" si="2"/>
        <v>237000000000040</v>
      </c>
      <c r="G43" s="15" t="str">
        <f t="shared" si="3"/>
        <v>PERFORM * FROM "SchData-OLTP-Accounting"."Func_TblLayoutStructureChartOfAccount_SET"(varSystemLoginSession, null, null, null, varInstitutionBranchID, 62000000000001::bigint, varLayoutStructure_RefID, 65000000000040::bigint, 65000000000039::bigint, 1::smallint);</v>
      </c>
    </row>
    <row r="44" spans="2:7" x14ac:dyDescent="0.2">
      <c r="B44" s="9">
        <f>IF(EXACT([1]SEED!$AV45, ""), "", [1]SEED!$AV45)</f>
        <v>65000000000041</v>
      </c>
      <c r="C44" s="9">
        <f>IF(EXACT(B44, ""), "", IF(EXACT([1]SEED!$AW45, ""), "", [1]SEED!$AW45))</f>
        <v>65000000000002</v>
      </c>
      <c r="D44" s="9">
        <f>IF(EXACT([1]SEED!$B45, ""), IF(EXACT([1]SEED!$D45, ""), IF(EXACT([1]SEED!$F45, ""), IF(EXACT([1]SEED!$H45, ""), IF(EXACT([1]SEED!$J45, ""), "", [1]SEED!$AI45), [1]SEED!$AH45), [1]SEED!$AF45), [1]SEED!$AE45), [1]SEED!$AD45)</f>
        <v>8</v>
      </c>
      <c r="F44" s="14">
        <f t="shared" si="2"/>
        <v>237000000000041</v>
      </c>
      <c r="G44" s="15" t="str">
        <f t="shared" si="3"/>
        <v>PERFORM * FROM "SchData-OLTP-Accounting"."Func_TblLayoutStructureChartOfAccount_SET"(varSystemLoginSession, null, null, null, varInstitutionBranchID, 62000000000001::bigint, varLayoutStructure_RefID, 65000000000041::bigint, 65000000000002::bigint, 8::smallint);</v>
      </c>
    </row>
    <row r="45" spans="2:7" x14ac:dyDescent="0.2">
      <c r="B45" s="9">
        <f>IF(EXACT([1]SEED!$AV46, ""), "", [1]SEED!$AV46)</f>
        <v>65000000000042</v>
      </c>
      <c r="C45" s="9">
        <f>IF(EXACT(B45, ""), "", IF(EXACT([1]SEED!$AW46, ""), "", [1]SEED!$AW46))</f>
        <v>65000000000041</v>
      </c>
      <c r="D45" s="9">
        <f>IF(EXACT([1]SEED!$B46, ""), IF(EXACT([1]SEED!$D46, ""), IF(EXACT([1]SEED!$F46, ""), IF(EXACT([1]SEED!$H46, ""), IF(EXACT([1]SEED!$J46, ""), "", [1]SEED!$AI46), [1]SEED!$AH46), [1]SEED!$AF46), [1]SEED!$AE46), [1]SEED!$AD46)</f>
        <v>1</v>
      </c>
      <c r="F45" s="14">
        <f t="shared" si="2"/>
        <v>237000000000042</v>
      </c>
      <c r="G45" s="15" t="str">
        <f t="shared" si="3"/>
        <v>PERFORM * FROM "SchData-OLTP-Accounting"."Func_TblLayoutStructureChartOfAccount_SET"(varSystemLoginSession, null, null, null, varInstitutionBranchID, 62000000000001::bigint, varLayoutStructure_RefID, 65000000000042::bigint, 65000000000041::bigint, 1::smallint);</v>
      </c>
    </row>
    <row r="46" spans="2:7" x14ac:dyDescent="0.2">
      <c r="B46" s="9">
        <f>IF(EXACT([1]SEED!$AV47, ""), "", [1]SEED!$AV47)</f>
        <v>65000000000043</v>
      </c>
      <c r="C46" s="9">
        <f>IF(EXACT(B46, ""), "", IF(EXACT([1]SEED!$AW47, ""), "", [1]SEED!$AW47))</f>
        <v>65000000000002</v>
      </c>
      <c r="D46" s="9">
        <f>IF(EXACT([1]SEED!$B47, ""), IF(EXACT([1]SEED!$D47, ""), IF(EXACT([1]SEED!$F47, ""), IF(EXACT([1]SEED!$H47, ""), IF(EXACT([1]SEED!$J47, ""), "", [1]SEED!$AI47), [1]SEED!$AH47), [1]SEED!$AF47), [1]SEED!$AE47), [1]SEED!$AD47)</f>
        <v>9</v>
      </c>
      <c r="F46" s="14">
        <f t="shared" si="2"/>
        <v>237000000000043</v>
      </c>
      <c r="G46" s="15" t="str">
        <f t="shared" si="3"/>
        <v>PERFORM * FROM "SchData-OLTP-Accounting"."Func_TblLayoutStructureChartOfAccount_SET"(varSystemLoginSession, null, null, null, varInstitutionBranchID, 62000000000001::bigint, varLayoutStructure_RefID, 65000000000043::bigint, 65000000000002::bigint, 9::smallint);</v>
      </c>
    </row>
    <row r="47" spans="2:7" x14ac:dyDescent="0.2">
      <c r="B47" s="9">
        <f>IF(EXACT([1]SEED!$AV48, ""), "", [1]SEED!$AV48)</f>
        <v>65000000000044</v>
      </c>
      <c r="C47" s="9">
        <f>IF(EXACT(B47, ""), "", IF(EXACT([1]SEED!$AW48, ""), "", [1]SEED!$AW48))</f>
        <v>65000000000043</v>
      </c>
      <c r="D47" s="9">
        <f>IF(EXACT([1]SEED!$B48, ""), IF(EXACT([1]SEED!$D48, ""), IF(EXACT([1]SEED!$F48, ""), IF(EXACT([1]SEED!$H48, ""), IF(EXACT([1]SEED!$J48, ""), "", [1]SEED!$AI48), [1]SEED!$AH48), [1]SEED!$AF48), [1]SEED!$AE48), [1]SEED!$AD48)</f>
        <v>1</v>
      </c>
      <c r="F47" s="14">
        <f t="shared" si="2"/>
        <v>237000000000044</v>
      </c>
      <c r="G47" s="15" t="str">
        <f t="shared" si="3"/>
        <v>PERFORM * FROM "SchData-OLTP-Accounting"."Func_TblLayoutStructureChartOfAccount_SET"(varSystemLoginSession, null, null, null, varInstitutionBranchID, 62000000000001::bigint, varLayoutStructure_RefID, 65000000000044::bigint, 65000000000043::bigint, 1::smallint);</v>
      </c>
    </row>
    <row r="48" spans="2:7" x14ac:dyDescent="0.2">
      <c r="B48" s="9">
        <f>IF(EXACT([1]SEED!$AV49, ""), "", [1]SEED!$AV49)</f>
        <v>65000000000045</v>
      </c>
      <c r="C48" s="9">
        <f>IF(EXACT(B48, ""), "", IF(EXACT([1]SEED!$AW49, ""), "", [1]SEED!$AW49))</f>
        <v>65000000000044</v>
      </c>
      <c r="D48" s="9">
        <f>IF(EXACT([1]SEED!$B49, ""), IF(EXACT([1]SEED!$D49, ""), IF(EXACT([1]SEED!$F49, ""), IF(EXACT([1]SEED!$H49, ""), IF(EXACT([1]SEED!$J49, ""), "", [1]SEED!$AI49), [1]SEED!$AH49), [1]SEED!$AF49), [1]SEED!$AE49), [1]SEED!$AD49)</f>
        <v>1</v>
      </c>
      <c r="F48" s="14">
        <f t="shared" si="2"/>
        <v>237000000000045</v>
      </c>
      <c r="G48" s="15" t="str">
        <f t="shared" si="3"/>
        <v>PERFORM * FROM "SchData-OLTP-Accounting"."Func_TblLayoutStructureChartOfAccount_SET"(varSystemLoginSession, null, null, null, varInstitutionBranchID, 62000000000001::bigint, varLayoutStructure_RefID, 65000000000045::bigint, 65000000000044::bigint, 1::smallint);</v>
      </c>
    </row>
    <row r="49" spans="2:7" x14ac:dyDescent="0.2">
      <c r="B49" s="9">
        <f>IF(EXACT([1]SEED!$AV50, ""), "", [1]SEED!$AV50)</f>
        <v>65000000000046</v>
      </c>
      <c r="C49" s="9">
        <f>IF(EXACT(B49, ""), "", IF(EXACT([1]SEED!$AW50, ""), "", [1]SEED!$AW50))</f>
        <v>65000000000043</v>
      </c>
      <c r="D49" s="9">
        <f>IF(EXACT([1]SEED!$B50, ""), IF(EXACT([1]SEED!$D50, ""), IF(EXACT([1]SEED!$F50, ""), IF(EXACT([1]SEED!$H50, ""), IF(EXACT([1]SEED!$J50, ""), "", [1]SEED!$AI50), [1]SEED!$AH50), [1]SEED!$AF50), [1]SEED!$AE50), [1]SEED!$AD50)</f>
        <v>1</v>
      </c>
      <c r="F49" s="14">
        <f t="shared" si="2"/>
        <v>237000000000046</v>
      </c>
      <c r="G49" s="15" t="str">
        <f t="shared" si="3"/>
        <v>PERFORM * FROM "SchData-OLTP-Accounting"."Func_TblLayoutStructureChartOfAccount_SET"(varSystemLoginSession, null, null, null, varInstitutionBranchID, 62000000000001::bigint, varLayoutStructure_RefID, 65000000000046::bigint, 65000000000043::bigint, 1::smallint);</v>
      </c>
    </row>
    <row r="50" spans="2:7" x14ac:dyDescent="0.2">
      <c r="B50" s="9">
        <f>IF(EXACT([1]SEED!$AV51, ""), "", [1]SEED!$AV51)</f>
        <v>65000000000047</v>
      </c>
      <c r="C50" s="9">
        <f>IF(EXACT(B50, ""), "", IF(EXACT([1]SEED!$AW51, ""), "", [1]SEED!$AW51))</f>
        <v>65000000000046</v>
      </c>
      <c r="D50" s="9">
        <f>IF(EXACT([1]SEED!$B51, ""), IF(EXACT([1]SEED!$D51, ""), IF(EXACT([1]SEED!$F51, ""), IF(EXACT([1]SEED!$H51, ""), IF(EXACT([1]SEED!$J51, ""), "", [1]SEED!$AI51), [1]SEED!$AH51), [1]SEED!$AF51), [1]SEED!$AE51), [1]SEED!$AD51)</f>
        <v>1</v>
      </c>
      <c r="F50" s="14">
        <f t="shared" si="2"/>
        <v>237000000000047</v>
      </c>
      <c r="G50" s="15" t="str">
        <f t="shared" si="3"/>
        <v>PERFORM * FROM "SchData-OLTP-Accounting"."Func_TblLayoutStructureChartOfAccount_SET"(varSystemLoginSession, null, null, null, varInstitutionBranchID, 62000000000001::bigint, varLayoutStructure_RefID, 65000000000047::bigint, 65000000000046::bigint, 1::smallint);</v>
      </c>
    </row>
    <row r="51" spans="2:7" x14ac:dyDescent="0.2">
      <c r="B51" s="9">
        <f>IF(EXACT([1]SEED!$AV52, ""), "", [1]SEED!$AV52)</f>
        <v>65000000000048</v>
      </c>
      <c r="C51" s="9">
        <f>IF(EXACT(B51, ""), "", IF(EXACT([1]SEED!$AW52, ""), "", [1]SEED!$AW52))</f>
        <v>65000000000043</v>
      </c>
      <c r="D51" s="9">
        <f>IF(EXACT([1]SEED!$B52, ""), IF(EXACT([1]SEED!$D52, ""), IF(EXACT([1]SEED!$F52, ""), IF(EXACT([1]SEED!$H52, ""), IF(EXACT([1]SEED!$J52, ""), "", [1]SEED!$AI52), [1]SEED!$AH52), [1]SEED!$AF52), [1]SEED!$AE52), [1]SEED!$AD52)</f>
        <v>1</v>
      </c>
      <c r="F51" s="14">
        <f t="shared" si="2"/>
        <v>237000000000048</v>
      </c>
      <c r="G51" s="15" t="str">
        <f t="shared" si="3"/>
        <v>PERFORM * FROM "SchData-OLTP-Accounting"."Func_TblLayoutStructureChartOfAccount_SET"(varSystemLoginSession, null, null, null, varInstitutionBranchID, 62000000000001::bigint, varLayoutStructure_RefID, 65000000000048::bigint, 65000000000043::bigint, 1::smallint);</v>
      </c>
    </row>
    <row r="52" spans="2:7" x14ac:dyDescent="0.2">
      <c r="B52" s="9">
        <f>IF(EXACT([1]SEED!$AV53, ""), "", [1]SEED!$AV53)</f>
        <v>65000000000049</v>
      </c>
      <c r="C52" s="9">
        <f>IF(EXACT(B52, ""), "", IF(EXACT([1]SEED!$AW53, ""), "", [1]SEED!$AW53))</f>
        <v>65000000000048</v>
      </c>
      <c r="D52" s="9">
        <f>IF(EXACT([1]SEED!$B53, ""), IF(EXACT([1]SEED!$D53, ""), IF(EXACT([1]SEED!$F53, ""), IF(EXACT([1]SEED!$H53, ""), IF(EXACT([1]SEED!$J53, ""), "", [1]SEED!$AI53), [1]SEED!$AH53), [1]SEED!$AF53), [1]SEED!$AE53), [1]SEED!$AD53)</f>
        <v>1</v>
      </c>
      <c r="F52" s="14">
        <f t="shared" si="2"/>
        <v>237000000000049</v>
      </c>
      <c r="G52" s="15" t="str">
        <f t="shared" si="3"/>
        <v>PERFORM * FROM "SchData-OLTP-Accounting"."Func_TblLayoutStructureChartOfAccount_SET"(varSystemLoginSession, null, null, null, varInstitutionBranchID, 62000000000001::bigint, varLayoutStructure_RefID, 65000000000049::bigint, 65000000000048::bigint, 1::smallint);</v>
      </c>
    </row>
    <row r="53" spans="2:7" x14ac:dyDescent="0.2">
      <c r="B53" s="9">
        <f>IF(EXACT([1]SEED!$AV54, ""), "", [1]SEED!$AV54)</f>
        <v>65000000000050</v>
      </c>
      <c r="C53" s="9">
        <f>IF(EXACT(B53, ""), "", IF(EXACT([1]SEED!$AW54, ""), "", [1]SEED!$AW54))</f>
        <v>65000000000043</v>
      </c>
      <c r="D53" s="9">
        <f>IF(EXACT([1]SEED!$B54, ""), IF(EXACT([1]SEED!$D54, ""), IF(EXACT([1]SEED!$F54, ""), IF(EXACT([1]SEED!$H54, ""), IF(EXACT([1]SEED!$J54, ""), "", [1]SEED!$AI54), [1]SEED!$AH54), [1]SEED!$AF54), [1]SEED!$AE54), [1]SEED!$AD54)</f>
        <v>1</v>
      </c>
      <c r="F53" s="14">
        <f t="shared" si="2"/>
        <v>237000000000050</v>
      </c>
      <c r="G53" s="15" t="str">
        <f t="shared" si="3"/>
        <v>PERFORM * FROM "SchData-OLTP-Accounting"."Func_TblLayoutStructureChartOfAccount_SET"(varSystemLoginSession, null, null, null, varInstitutionBranchID, 62000000000001::bigint, varLayoutStructure_RefID, 65000000000050::bigint, 65000000000043::bigint, 1::smallint);</v>
      </c>
    </row>
    <row r="54" spans="2:7" x14ac:dyDescent="0.2">
      <c r="B54" s="9">
        <f>IF(EXACT([1]SEED!$AV55, ""), "", [1]SEED!$AV55)</f>
        <v>65000000000051</v>
      </c>
      <c r="C54" s="9">
        <f>IF(EXACT(B54, ""), "", IF(EXACT([1]SEED!$AW55, ""), "", [1]SEED!$AW55))</f>
        <v>65000000000050</v>
      </c>
      <c r="D54" s="9">
        <f>IF(EXACT([1]SEED!$B55, ""), IF(EXACT([1]SEED!$D55, ""), IF(EXACT([1]SEED!$F55, ""), IF(EXACT([1]SEED!$H55, ""), IF(EXACT([1]SEED!$J55, ""), "", [1]SEED!$AI55), [1]SEED!$AH55), [1]SEED!$AF55), [1]SEED!$AE55), [1]SEED!$AD55)</f>
        <v>1</v>
      </c>
      <c r="F54" s="14">
        <f t="shared" si="2"/>
        <v>237000000000051</v>
      </c>
      <c r="G54" s="15" t="str">
        <f t="shared" si="3"/>
        <v>PERFORM * FROM "SchData-OLTP-Accounting"."Func_TblLayoutStructureChartOfAccount_SET"(varSystemLoginSession, null, null, null, varInstitutionBranchID, 62000000000001::bigint, varLayoutStructure_RefID, 65000000000051::bigint, 65000000000050::bigint, 1::smallint);</v>
      </c>
    </row>
    <row r="55" spans="2:7" x14ac:dyDescent="0.2">
      <c r="B55" s="9">
        <f>IF(EXACT([1]SEED!$AV56, ""), "", [1]SEED!$AV56)</f>
        <v>65000000000052</v>
      </c>
      <c r="C55" s="9">
        <f>IF(EXACT(B55, ""), "", IF(EXACT([1]SEED!$AW56, ""), "", [1]SEED!$AW56))</f>
        <v>65000000000043</v>
      </c>
      <c r="D55" s="9">
        <f>IF(EXACT([1]SEED!$B56, ""), IF(EXACT([1]SEED!$D56, ""), IF(EXACT([1]SEED!$F56, ""), IF(EXACT([1]SEED!$H56, ""), IF(EXACT([1]SEED!$J56, ""), "", [1]SEED!$AI56), [1]SEED!$AH56), [1]SEED!$AF56), [1]SEED!$AE56), [1]SEED!$AD56)</f>
        <v>1</v>
      </c>
      <c r="F55" s="14">
        <f t="shared" si="2"/>
        <v>237000000000052</v>
      </c>
      <c r="G55" s="15" t="str">
        <f t="shared" si="3"/>
        <v>PERFORM * FROM "SchData-OLTP-Accounting"."Func_TblLayoutStructureChartOfAccount_SET"(varSystemLoginSession, null, null, null, varInstitutionBranchID, 62000000000001::bigint, varLayoutStructure_RefID, 65000000000052::bigint, 65000000000043::bigint, 1::smallint);</v>
      </c>
    </row>
    <row r="56" spans="2:7" x14ac:dyDescent="0.2">
      <c r="B56" s="9">
        <f>IF(EXACT([1]SEED!$AV57, ""), "", [1]SEED!$AV57)</f>
        <v>65000000000053</v>
      </c>
      <c r="C56" s="9">
        <f>IF(EXACT(B56, ""), "", IF(EXACT([1]SEED!$AW57, ""), "", [1]SEED!$AW57))</f>
        <v>65000000000052</v>
      </c>
      <c r="D56" s="9">
        <f>IF(EXACT([1]SEED!$B57, ""), IF(EXACT([1]SEED!$D57, ""), IF(EXACT([1]SEED!$F57, ""), IF(EXACT([1]SEED!$H57, ""), IF(EXACT([1]SEED!$J57, ""), "", [1]SEED!$AI57), [1]SEED!$AH57), [1]SEED!$AF57), [1]SEED!$AE57), [1]SEED!$AD57)</f>
        <v>1</v>
      </c>
      <c r="F56" s="14">
        <f t="shared" si="2"/>
        <v>237000000000053</v>
      </c>
      <c r="G56" s="15" t="str">
        <f t="shared" si="3"/>
        <v>PERFORM * FROM "SchData-OLTP-Accounting"."Func_TblLayoutStructureChartOfAccount_SET"(varSystemLoginSession, null, null, null, varInstitutionBranchID, 62000000000001::bigint, varLayoutStructure_RefID, 65000000000053::bigint, 65000000000052::bigint, 1::smallint);</v>
      </c>
    </row>
    <row r="57" spans="2:7" x14ac:dyDescent="0.2">
      <c r="B57" s="9">
        <f>IF(EXACT([1]SEED!$AV58, ""), "", [1]SEED!$AV58)</f>
        <v>65000000000054</v>
      </c>
      <c r="C57" s="9">
        <f>IF(EXACT(B57, ""), "", IF(EXACT([1]SEED!$AW58, ""), "", [1]SEED!$AW58))</f>
        <v>65000000000043</v>
      </c>
      <c r="D57" s="9">
        <f>IF(EXACT([1]SEED!$B58, ""), IF(EXACT([1]SEED!$D58, ""), IF(EXACT([1]SEED!$F58, ""), IF(EXACT([1]SEED!$H58, ""), IF(EXACT([1]SEED!$J58, ""), "", [1]SEED!$AI58), [1]SEED!$AH58), [1]SEED!$AF58), [1]SEED!$AE58), [1]SEED!$AD58)</f>
        <v>1</v>
      </c>
      <c r="F57" s="14">
        <f t="shared" si="2"/>
        <v>237000000000054</v>
      </c>
      <c r="G57" s="15" t="str">
        <f t="shared" si="3"/>
        <v>PERFORM * FROM "SchData-OLTP-Accounting"."Func_TblLayoutStructureChartOfAccount_SET"(varSystemLoginSession, null, null, null, varInstitutionBranchID, 62000000000001::bigint, varLayoutStructure_RefID, 65000000000054::bigint, 65000000000043::bigint, 1::smallint);</v>
      </c>
    </row>
    <row r="58" spans="2:7" x14ac:dyDescent="0.2">
      <c r="B58" s="9">
        <f>IF(EXACT([1]SEED!$AV59, ""), "", [1]SEED!$AV59)</f>
        <v>65000000000055</v>
      </c>
      <c r="C58" s="9">
        <f>IF(EXACT(B58, ""), "", IF(EXACT([1]SEED!$AW59, ""), "", [1]SEED!$AW59))</f>
        <v>65000000000054</v>
      </c>
      <c r="D58" s="9">
        <f>IF(EXACT([1]SEED!$B59, ""), IF(EXACT([1]SEED!$D59, ""), IF(EXACT([1]SEED!$F59, ""), IF(EXACT([1]SEED!$H59, ""), IF(EXACT([1]SEED!$J59, ""), "", [1]SEED!$AI59), [1]SEED!$AH59), [1]SEED!$AF59), [1]SEED!$AE59), [1]SEED!$AD59)</f>
        <v>1</v>
      </c>
      <c r="F58" s="14">
        <f t="shared" si="2"/>
        <v>237000000000055</v>
      </c>
      <c r="G58" s="15" t="str">
        <f t="shared" si="3"/>
        <v>PERFORM * FROM "SchData-OLTP-Accounting"."Func_TblLayoutStructureChartOfAccount_SET"(varSystemLoginSession, null, null, null, varInstitutionBranchID, 62000000000001::bigint, varLayoutStructure_RefID, 65000000000055::bigint, 65000000000054::bigint, 1::smallint);</v>
      </c>
    </row>
    <row r="59" spans="2:7" x14ac:dyDescent="0.2">
      <c r="B59" s="9">
        <f>IF(EXACT([1]SEED!$AV60, ""), "", [1]SEED!$AV60)</f>
        <v>65000000000056</v>
      </c>
      <c r="C59" s="9">
        <f>IF(EXACT(B59, ""), "", IF(EXACT([1]SEED!$AW60, ""), "", [1]SEED!$AW60))</f>
        <v>65000000000001</v>
      </c>
      <c r="D59" s="9">
        <f>IF(EXACT([1]SEED!$B60, ""), IF(EXACT([1]SEED!$D60, ""), IF(EXACT([1]SEED!$F60, ""), IF(EXACT([1]SEED!$H60, ""), IF(EXACT([1]SEED!$J60, ""), "", [1]SEED!$AI60), [1]SEED!$AH60), [1]SEED!$AF60), [1]SEED!$AE60), [1]SEED!$AD60)</f>
        <v>3</v>
      </c>
      <c r="F59" s="14">
        <f t="shared" si="2"/>
        <v>237000000000056</v>
      </c>
      <c r="G59" s="15" t="str">
        <f t="shared" si="3"/>
        <v>PERFORM * FROM "SchData-OLTP-Accounting"."Func_TblLayoutStructureChartOfAccount_SET"(varSystemLoginSession, null, null, null, varInstitutionBranchID, 62000000000001::bigint, varLayoutStructure_RefID, 65000000000056::bigint, 65000000000001::bigint, 3::smallint);</v>
      </c>
    </row>
    <row r="60" spans="2:7" x14ac:dyDescent="0.2">
      <c r="B60" s="9">
        <f>IF(EXACT([1]SEED!$AV61, ""), "", [1]SEED!$AV61)</f>
        <v>65000000000057</v>
      </c>
      <c r="C60" s="9">
        <f>IF(EXACT(B60, ""), "", IF(EXACT([1]SEED!$AW61, ""), "", [1]SEED!$AW61))</f>
        <v>65000000000056</v>
      </c>
      <c r="D60" s="9">
        <f>IF(EXACT([1]SEED!$B61, ""), IF(EXACT([1]SEED!$D61, ""), IF(EXACT([1]SEED!$F61, ""), IF(EXACT([1]SEED!$H61, ""), IF(EXACT([1]SEED!$J61, ""), "", [1]SEED!$AI61), [1]SEED!$AH61), [1]SEED!$AF61), [1]SEED!$AE61), [1]SEED!$AD61)</f>
        <v>1</v>
      </c>
      <c r="F60" s="14">
        <f t="shared" si="2"/>
        <v>237000000000057</v>
      </c>
      <c r="G60" s="15" t="str">
        <f t="shared" si="3"/>
        <v>PERFORM * FROM "SchData-OLTP-Accounting"."Func_TblLayoutStructureChartOfAccount_SET"(varSystemLoginSession, null, null, null, varInstitutionBranchID, 62000000000001::bigint, varLayoutStructure_RefID, 65000000000057::bigint, 65000000000056::bigint, 1::smallint);</v>
      </c>
    </row>
    <row r="61" spans="2:7" x14ac:dyDescent="0.2">
      <c r="B61" s="9">
        <f>IF(EXACT([1]SEED!$AV62, ""), "", [1]SEED!$AV62)</f>
        <v>65000000000058</v>
      </c>
      <c r="C61" s="9">
        <f>IF(EXACT(B61, ""), "", IF(EXACT([1]SEED!$AW62, ""), "", [1]SEED!$AW62))</f>
        <v>65000000000057</v>
      </c>
      <c r="D61" s="9">
        <f>IF(EXACT([1]SEED!$B62, ""), IF(EXACT([1]SEED!$D62, ""), IF(EXACT([1]SEED!$F62, ""), IF(EXACT([1]SEED!$H62, ""), IF(EXACT([1]SEED!$J62, ""), "", [1]SEED!$AI62), [1]SEED!$AH62), [1]SEED!$AF62), [1]SEED!$AE62), [1]SEED!$AD62)</f>
        <v>1</v>
      </c>
      <c r="F61" s="14">
        <f t="shared" si="2"/>
        <v>237000000000058</v>
      </c>
      <c r="G61" s="15" t="str">
        <f t="shared" si="3"/>
        <v>PERFORM * FROM "SchData-OLTP-Accounting"."Func_TblLayoutStructureChartOfAccount_SET"(varSystemLoginSession, null, null, null, varInstitutionBranchID, 62000000000001::bigint, varLayoutStructure_RefID, 65000000000058::bigint, 65000000000057::bigint, 1::smallint);</v>
      </c>
    </row>
    <row r="62" spans="2:7" x14ac:dyDescent="0.2">
      <c r="B62" s="9">
        <f>IF(EXACT([1]SEED!$AV63, ""), "", [1]SEED!$AV63)</f>
        <v>65000000000059</v>
      </c>
      <c r="C62" s="9">
        <f>IF(EXACT(B62, ""), "", IF(EXACT([1]SEED!$AW63, ""), "", [1]SEED!$AW63))</f>
        <v>65000000000001</v>
      </c>
      <c r="D62" s="9">
        <f>IF(EXACT([1]SEED!$B63, ""), IF(EXACT([1]SEED!$D63, ""), IF(EXACT([1]SEED!$F63, ""), IF(EXACT([1]SEED!$H63, ""), IF(EXACT([1]SEED!$J63, ""), "", [1]SEED!$AI63), [1]SEED!$AH63), [1]SEED!$AF63), [1]SEED!$AE63), [1]SEED!$AD63)</f>
        <v>4</v>
      </c>
      <c r="F62" s="14">
        <f t="shared" si="2"/>
        <v>237000000000059</v>
      </c>
      <c r="G62" s="15" t="str">
        <f t="shared" si="3"/>
        <v>PERFORM * FROM "SchData-OLTP-Accounting"."Func_TblLayoutStructureChartOfAccount_SET"(varSystemLoginSession, null, null, null, varInstitutionBranchID, 62000000000001::bigint, varLayoutStructure_RefID, 65000000000059::bigint, 65000000000001::bigint, 4::smallint);</v>
      </c>
    </row>
    <row r="63" spans="2:7" x14ac:dyDescent="0.2">
      <c r="B63" s="9">
        <f>IF(EXACT([1]SEED!$AV64, ""), "", [1]SEED!$AV64)</f>
        <v>65000000000060</v>
      </c>
      <c r="C63" s="9">
        <f>IF(EXACT(B63, ""), "", IF(EXACT([1]SEED!$AW64, ""), "", [1]SEED!$AW64))</f>
        <v>65000000000059</v>
      </c>
      <c r="D63" s="9">
        <f>IF(EXACT([1]SEED!$B64, ""), IF(EXACT([1]SEED!$D64, ""), IF(EXACT([1]SEED!$F64, ""), IF(EXACT([1]SEED!$H64, ""), IF(EXACT([1]SEED!$J64, ""), "", [1]SEED!$AI64), [1]SEED!$AH64), [1]SEED!$AF64), [1]SEED!$AE64), [1]SEED!$AD64)</f>
        <v>2</v>
      </c>
      <c r="F63" s="14">
        <f t="shared" si="2"/>
        <v>237000000000060</v>
      </c>
      <c r="G63" s="15" t="str">
        <f t="shared" si="3"/>
        <v>PERFORM * FROM "SchData-OLTP-Accounting"."Func_TblLayoutStructureChartOfAccount_SET"(varSystemLoginSession, null, null, null, varInstitutionBranchID, 62000000000001::bigint, varLayoutStructure_RefID, 65000000000060::bigint, 65000000000059::bigint, 2::smallint);</v>
      </c>
    </row>
    <row r="64" spans="2:7" x14ac:dyDescent="0.2">
      <c r="B64" s="9">
        <f>IF(EXACT([1]SEED!$AV65, ""), "", [1]SEED!$AV65)</f>
        <v>65000000000061</v>
      </c>
      <c r="C64" s="9">
        <f>IF(EXACT(B64, ""), "", IF(EXACT([1]SEED!$AW65, ""), "", [1]SEED!$AW65))</f>
        <v>65000000000060</v>
      </c>
      <c r="D64" s="9">
        <f>IF(EXACT([1]SEED!$B65, ""), IF(EXACT([1]SEED!$D65, ""), IF(EXACT([1]SEED!$F65, ""), IF(EXACT([1]SEED!$H65, ""), IF(EXACT([1]SEED!$J65, ""), "", [1]SEED!$AI65), [1]SEED!$AH65), [1]SEED!$AF65), [1]SEED!$AE65), [1]SEED!$AD65)</f>
        <v>1</v>
      </c>
      <c r="F64" s="14">
        <f t="shared" si="2"/>
        <v>237000000000061</v>
      </c>
      <c r="G64" s="15" t="str">
        <f t="shared" si="3"/>
        <v>PERFORM * FROM "SchData-OLTP-Accounting"."Func_TblLayoutStructureChartOfAccount_SET"(varSystemLoginSession, null, null, null, varInstitutionBranchID, 62000000000001::bigint, varLayoutStructure_RefID, 65000000000061::bigint, 65000000000060::bigint, 1::smallint);</v>
      </c>
    </row>
    <row r="65" spans="2:7" x14ac:dyDescent="0.2">
      <c r="B65" s="9">
        <f>IF(EXACT([1]SEED!$AV66, ""), "", [1]SEED!$AV66)</f>
        <v>65000000000062</v>
      </c>
      <c r="C65" s="9">
        <f>IF(EXACT(B65, ""), "", IF(EXACT([1]SEED!$AW66, ""), "", [1]SEED!$AW66))</f>
        <v>65000000000061</v>
      </c>
      <c r="D65" s="9">
        <f>IF(EXACT([1]SEED!$B66, ""), IF(EXACT([1]SEED!$D66, ""), IF(EXACT([1]SEED!$F66, ""), IF(EXACT([1]SEED!$H66, ""), IF(EXACT([1]SEED!$J66, ""), "", [1]SEED!$AI66), [1]SEED!$AH66), [1]SEED!$AF66), [1]SEED!$AE66), [1]SEED!$AD66)</f>
        <v>1</v>
      </c>
      <c r="F65" s="14">
        <f t="shared" si="2"/>
        <v>237000000000062</v>
      </c>
      <c r="G65" s="15" t="str">
        <f t="shared" si="3"/>
        <v>PERFORM * FROM "SchData-OLTP-Accounting"."Func_TblLayoutStructureChartOfAccount_SET"(varSystemLoginSession, null, null, null, varInstitutionBranchID, 62000000000001::bigint, varLayoutStructure_RefID, 65000000000062::bigint, 65000000000061::bigint, 1::smallint);</v>
      </c>
    </row>
    <row r="66" spans="2:7" x14ac:dyDescent="0.2">
      <c r="B66" s="9">
        <f>IF(EXACT([1]SEED!$AV67, ""), "", [1]SEED!$AV67)</f>
        <v>65000000000063</v>
      </c>
      <c r="C66" s="9">
        <f>IF(EXACT(B66, ""), "", IF(EXACT([1]SEED!$AW67, ""), "", [1]SEED!$AW67))</f>
        <v>65000000000060</v>
      </c>
      <c r="D66" s="9">
        <f>IF(EXACT([1]SEED!$B67, ""), IF(EXACT([1]SEED!$D67, ""), IF(EXACT([1]SEED!$F67, ""), IF(EXACT([1]SEED!$H67, ""), IF(EXACT([1]SEED!$J67, ""), "", [1]SEED!$AI67), [1]SEED!$AH67), [1]SEED!$AF67), [1]SEED!$AE67), [1]SEED!$AD67)</f>
        <v>1</v>
      </c>
      <c r="F66" s="14">
        <f t="shared" si="2"/>
        <v>237000000000063</v>
      </c>
      <c r="G66" s="15" t="str">
        <f t="shared" si="3"/>
        <v>PERFORM * FROM "SchData-OLTP-Accounting"."Func_TblLayoutStructureChartOfAccount_SET"(varSystemLoginSession, null, null, null, varInstitutionBranchID, 62000000000001::bigint, varLayoutStructure_RefID, 65000000000063::bigint, 65000000000060::bigint, 1::smallint);</v>
      </c>
    </row>
    <row r="67" spans="2:7" x14ac:dyDescent="0.2">
      <c r="B67" s="9">
        <f>IF(EXACT([1]SEED!$AV68, ""), "", [1]SEED!$AV68)</f>
        <v>65000000000064</v>
      </c>
      <c r="C67" s="9">
        <f>IF(EXACT(B67, ""), "", IF(EXACT([1]SEED!$AW68, ""), "", [1]SEED!$AW68))</f>
        <v>65000000000063</v>
      </c>
      <c r="D67" s="9">
        <f>IF(EXACT([1]SEED!$B68, ""), IF(EXACT([1]SEED!$D68, ""), IF(EXACT([1]SEED!$F68, ""), IF(EXACT([1]SEED!$H68, ""), IF(EXACT([1]SEED!$J68, ""), "", [1]SEED!$AI68), [1]SEED!$AH68), [1]SEED!$AF68), [1]SEED!$AE68), [1]SEED!$AD68)</f>
        <v>1</v>
      </c>
      <c r="F67" s="14">
        <f t="shared" si="2"/>
        <v>237000000000064</v>
      </c>
      <c r="G67" s="15" t="str">
        <f t="shared" si="3"/>
        <v>PERFORM * FROM "SchData-OLTP-Accounting"."Func_TblLayoutStructureChartOfAccount_SET"(varSystemLoginSession, null, null, null, varInstitutionBranchID, 62000000000001::bigint, varLayoutStructure_RefID, 65000000000064::bigint, 65000000000063::bigint, 1::smallint);</v>
      </c>
    </row>
    <row r="68" spans="2:7" x14ac:dyDescent="0.2">
      <c r="B68" s="9">
        <f>IF(EXACT([1]SEED!$AV69, ""), "", [1]SEED!$AV69)</f>
        <v>65000000000065</v>
      </c>
      <c r="C68" s="9">
        <f>IF(EXACT(B68, ""), "", IF(EXACT([1]SEED!$AW69, ""), "", [1]SEED!$AW69))</f>
        <v>65000000000060</v>
      </c>
      <c r="D68" s="9">
        <f>IF(EXACT([1]SEED!$B69, ""), IF(EXACT([1]SEED!$D69, ""), IF(EXACT([1]SEED!$F69, ""), IF(EXACT([1]SEED!$H69, ""), IF(EXACT([1]SEED!$J69, ""), "", [1]SEED!$AI69), [1]SEED!$AH69), [1]SEED!$AF69), [1]SEED!$AE69), [1]SEED!$AD69)</f>
        <v>1</v>
      </c>
      <c r="F68" s="14">
        <f t="shared" si="2"/>
        <v>237000000000065</v>
      </c>
      <c r="G68" s="15" t="str">
        <f t="shared" si="3"/>
        <v>PERFORM * FROM "SchData-OLTP-Accounting"."Func_TblLayoutStructureChartOfAccount_SET"(varSystemLoginSession, null, null, null, varInstitutionBranchID, 62000000000001::bigint, varLayoutStructure_RefID, 65000000000065::bigint, 65000000000060::bigint, 1::smallint);</v>
      </c>
    </row>
    <row r="69" spans="2:7" x14ac:dyDescent="0.2">
      <c r="B69" s="9">
        <f>IF(EXACT([1]SEED!$AV70, ""), "", [1]SEED!$AV70)</f>
        <v>65000000000066</v>
      </c>
      <c r="C69" s="9">
        <f>IF(EXACT(B69, ""), "", IF(EXACT([1]SEED!$AW70, ""), "", [1]SEED!$AW70))</f>
        <v>65000000000065</v>
      </c>
      <c r="D69" s="9">
        <f>IF(EXACT([1]SEED!$B70, ""), IF(EXACT([1]SEED!$D70, ""), IF(EXACT([1]SEED!$F70, ""), IF(EXACT([1]SEED!$H70, ""), IF(EXACT([1]SEED!$J70, ""), "", [1]SEED!$AI70), [1]SEED!$AH70), [1]SEED!$AF70), [1]SEED!$AE70), [1]SEED!$AD70)</f>
        <v>1</v>
      </c>
      <c r="F69" s="14">
        <f t="shared" si="2"/>
        <v>237000000000066</v>
      </c>
      <c r="G69" s="15" t="str">
        <f t="shared" si="3"/>
        <v>PERFORM * FROM "SchData-OLTP-Accounting"."Func_TblLayoutStructureChartOfAccount_SET"(varSystemLoginSession, null, null, null, varInstitutionBranchID, 62000000000001::bigint, varLayoutStructure_RefID, 65000000000066::bigint, 65000000000065::bigint, 1::smallint);</v>
      </c>
    </row>
    <row r="70" spans="2:7" x14ac:dyDescent="0.2">
      <c r="B70" s="9">
        <f>IF(EXACT([1]SEED!$AV71, ""), "", [1]SEED!$AV71)</f>
        <v>65000000000067</v>
      </c>
      <c r="C70" s="9">
        <f>IF(EXACT(B70, ""), "", IF(EXACT([1]SEED!$AW71, ""), "", [1]SEED!$AW71))</f>
        <v>65000000000060</v>
      </c>
      <c r="D70" s="9">
        <f>IF(EXACT([1]SEED!$B71, ""), IF(EXACT([1]SEED!$D71, ""), IF(EXACT([1]SEED!$F71, ""), IF(EXACT([1]SEED!$H71, ""), IF(EXACT([1]SEED!$J71, ""), "", [1]SEED!$AI71), [1]SEED!$AH71), [1]SEED!$AF71), [1]SEED!$AE71), [1]SEED!$AD71)</f>
        <v>1</v>
      </c>
      <c r="F70" s="14">
        <f t="shared" si="2"/>
        <v>237000000000067</v>
      </c>
      <c r="G70" s="15" t="str">
        <f t="shared" si="3"/>
        <v>PERFORM * FROM "SchData-OLTP-Accounting"."Func_TblLayoutStructureChartOfAccount_SET"(varSystemLoginSession, null, null, null, varInstitutionBranchID, 62000000000001::bigint, varLayoutStructure_RefID, 65000000000067::bigint, 65000000000060::bigint, 1::smallint);</v>
      </c>
    </row>
    <row r="71" spans="2:7" x14ac:dyDescent="0.2">
      <c r="B71" s="9">
        <f>IF(EXACT([1]SEED!$AV72, ""), "", [1]SEED!$AV72)</f>
        <v>65000000000068</v>
      </c>
      <c r="C71" s="9">
        <f>IF(EXACT(B71, ""), "", IF(EXACT([1]SEED!$AW72, ""), "", [1]SEED!$AW72))</f>
        <v>65000000000067</v>
      </c>
      <c r="D71" s="9">
        <f>IF(EXACT([1]SEED!$B72, ""), IF(EXACT([1]SEED!$D72, ""), IF(EXACT([1]SEED!$F72, ""), IF(EXACT([1]SEED!$H72, ""), IF(EXACT([1]SEED!$J72, ""), "", [1]SEED!$AI72), [1]SEED!$AH72), [1]SEED!$AF72), [1]SEED!$AE72), [1]SEED!$AD72)</f>
        <v>1</v>
      </c>
      <c r="F71" s="14">
        <f t="shared" ref="F71:F134" si="4" xml:space="preserve"> F70 + IF(EXACT(G71, ""), 0, 1)</f>
        <v>237000000000068</v>
      </c>
      <c r="G71" s="15" t="str">
        <f t="shared" ref="G71:G134" si="5">IF(EXACT(B71, ""), "", CONCATENATE("PERFORM * FROM ""SchData-OLTP-Accounting"".""Func_TblLayoutStructureChartOfAccount_SET""(varSystemLoginSession, null, null, null, varInstitutionBranchID, 62000000000001::bigint, varLayoutStructure_RefID, ", B71, "::bigint, ", C71, "::bigint, ", D71,"::smallint);"))</f>
        <v>PERFORM * FROM "SchData-OLTP-Accounting"."Func_TblLayoutStructureChartOfAccount_SET"(varSystemLoginSession, null, null, null, varInstitutionBranchID, 62000000000001::bigint, varLayoutStructure_RefID, 65000000000068::bigint, 65000000000067::bigint, 1::smallint);</v>
      </c>
    </row>
    <row r="72" spans="2:7" x14ac:dyDescent="0.2">
      <c r="B72" s="9">
        <f>IF(EXACT([1]SEED!$AV73, ""), "", [1]SEED!$AV73)</f>
        <v>65000000000069</v>
      </c>
      <c r="C72" s="9">
        <f>IF(EXACT(B72, ""), "", IF(EXACT([1]SEED!$AW73, ""), "", [1]SEED!$AW73))</f>
        <v>65000000000060</v>
      </c>
      <c r="D72" s="9">
        <f>IF(EXACT([1]SEED!$B73, ""), IF(EXACT([1]SEED!$D73, ""), IF(EXACT([1]SEED!$F73, ""), IF(EXACT([1]SEED!$H73, ""), IF(EXACT([1]SEED!$J73, ""), "", [1]SEED!$AI73), [1]SEED!$AH73), [1]SEED!$AF73), [1]SEED!$AE73), [1]SEED!$AD73)</f>
        <v>1</v>
      </c>
      <c r="F72" s="14">
        <f t="shared" si="4"/>
        <v>237000000000069</v>
      </c>
      <c r="G72" s="15" t="str">
        <f t="shared" si="5"/>
        <v>PERFORM * FROM "SchData-OLTP-Accounting"."Func_TblLayoutStructureChartOfAccount_SET"(varSystemLoginSession, null, null, null, varInstitutionBranchID, 62000000000001::bigint, varLayoutStructure_RefID, 65000000000069::bigint, 65000000000060::bigint, 1::smallint);</v>
      </c>
    </row>
    <row r="73" spans="2:7" x14ac:dyDescent="0.2">
      <c r="B73" s="9">
        <f>IF(EXACT([1]SEED!$AV74, ""), "", [1]SEED!$AV74)</f>
        <v>65000000000070</v>
      </c>
      <c r="C73" s="9">
        <f>IF(EXACT(B73, ""), "", IF(EXACT([1]SEED!$AW74, ""), "", [1]SEED!$AW74))</f>
        <v>65000000000069</v>
      </c>
      <c r="D73" s="9">
        <f>IF(EXACT([1]SEED!$B74, ""), IF(EXACT([1]SEED!$D74, ""), IF(EXACT([1]SEED!$F74, ""), IF(EXACT([1]SEED!$H74, ""), IF(EXACT([1]SEED!$J74, ""), "", [1]SEED!$AI74), [1]SEED!$AH74), [1]SEED!$AF74), [1]SEED!$AE74), [1]SEED!$AD74)</f>
        <v>1</v>
      </c>
      <c r="F73" s="14">
        <f t="shared" si="4"/>
        <v>237000000000070</v>
      </c>
      <c r="G73" s="15" t="str">
        <f t="shared" si="5"/>
        <v>PERFORM * FROM "SchData-OLTP-Accounting"."Func_TblLayoutStructureChartOfAccount_SET"(varSystemLoginSession, null, null, null, varInstitutionBranchID, 62000000000001::bigint, varLayoutStructure_RefID, 65000000000070::bigint, 65000000000069::bigint, 1::smallint);</v>
      </c>
    </row>
    <row r="74" spans="2:7" x14ac:dyDescent="0.2">
      <c r="B74" s="9">
        <f>IF(EXACT([1]SEED!$AV75, ""), "", [1]SEED!$AV75)</f>
        <v>65000000000071</v>
      </c>
      <c r="C74" s="9">
        <f>IF(EXACT(B74, ""), "", IF(EXACT([1]SEED!$AW75, ""), "", [1]SEED!$AW75))</f>
        <v>65000000000060</v>
      </c>
      <c r="D74" s="9">
        <f>IF(EXACT([1]SEED!$B75, ""), IF(EXACT([1]SEED!$D75, ""), IF(EXACT([1]SEED!$F75, ""), IF(EXACT([1]SEED!$H75, ""), IF(EXACT([1]SEED!$J75, ""), "", [1]SEED!$AI75), [1]SEED!$AH75), [1]SEED!$AF75), [1]SEED!$AE75), [1]SEED!$AD75)</f>
        <v>1</v>
      </c>
      <c r="F74" s="14">
        <f t="shared" si="4"/>
        <v>237000000000071</v>
      </c>
      <c r="G74" s="15" t="str">
        <f t="shared" si="5"/>
        <v>PERFORM * FROM "SchData-OLTP-Accounting"."Func_TblLayoutStructureChartOfAccount_SET"(varSystemLoginSession, null, null, null, varInstitutionBranchID, 62000000000001::bigint, varLayoutStructure_RefID, 65000000000071::bigint, 65000000000060::bigint, 1::smallint);</v>
      </c>
    </row>
    <row r="75" spans="2:7" x14ac:dyDescent="0.2">
      <c r="B75" s="9">
        <f>IF(EXACT([1]SEED!$AV76, ""), "", [1]SEED!$AV76)</f>
        <v>65000000000072</v>
      </c>
      <c r="C75" s="9">
        <f>IF(EXACT(B75, ""), "", IF(EXACT([1]SEED!$AW76, ""), "", [1]SEED!$AW76))</f>
        <v>65000000000071</v>
      </c>
      <c r="D75" s="9">
        <f>IF(EXACT([1]SEED!$B76, ""), IF(EXACT([1]SEED!$D76, ""), IF(EXACT([1]SEED!$F76, ""), IF(EXACT([1]SEED!$H76, ""), IF(EXACT([1]SEED!$J76, ""), "", [1]SEED!$AI76), [1]SEED!$AH76), [1]SEED!$AF76), [1]SEED!$AE76), [1]SEED!$AD76)</f>
        <v>1</v>
      </c>
      <c r="F75" s="14">
        <f t="shared" si="4"/>
        <v>237000000000072</v>
      </c>
      <c r="G75" s="15" t="str">
        <f t="shared" si="5"/>
        <v>PERFORM * FROM "SchData-OLTP-Accounting"."Func_TblLayoutStructureChartOfAccount_SET"(varSystemLoginSession, null, null, null, varInstitutionBranchID, 62000000000001::bigint, varLayoutStructure_RefID, 65000000000072::bigint, 65000000000071::bigint, 1::smallint);</v>
      </c>
    </row>
    <row r="76" spans="2:7" x14ac:dyDescent="0.2">
      <c r="B76" s="9">
        <f>IF(EXACT([1]SEED!$AV77, ""), "", [1]SEED!$AV77)</f>
        <v>65000000000073</v>
      </c>
      <c r="C76" s="9">
        <f>IF(EXACT(B76, ""), "", IF(EXACT([1]SEED!$AW77, ""), "", [1]SEED!$AW77))</f>
        <v>65000000000060</v>
      </c>
      <c r="D76" s="9">
        <f>IF(EXACT([1]SEED!$B77, ""), IF(EXACT([1]SEED!$D77, ""), IF(EXACT([1]SEED!$F77, ""), IF(EXACT([1]SEED!$H77, ""), IF(EXACT([1]SEED!$J77, ""), "", [1]SEED!$AI77), [1]SEED!$AH77), [1]SEED!$AF77), [1]SEED!$AE77), [1]SEED!$AD77)</f>
        <v>1</v>
      </c>
      <c r="F76" s="14">
        <f t="shared" si="4"/>
        <v>237000000000073</v>
      </c>
      <c r="G76" s="15" t="str">
        <f t="shared" si="5"/>
        <v>PERFORM * FROM "SchData-OLTP-Accounting"."Func_TblLayoutStructureChartOfAccount_SET"(varSystemLoginSession, null, null, null, varInstitutionBranchID, 62000000000001::bigint, varLayoutStructure_RefID, 65000000000073::bigint, 65000000000060::bigint, 1::smallint);</v>
      </c>
    </row>
    <row r="77" spans="2:7" x14ac:dyDescent="0.2">
      <c r="B77" s="9">
        <f>IF(EXACT([1]SEED!$AV78, ""), "", [1]SEED!$AV78)</f>
        <v>65000000000074</v>
      </c>
      <c r="C77" s="9">
        <f>IF(EXACT(B77, ""), "", IF(EXACT([1]SEED!$AW78, ""), "", [1]SEED!$AW78))</f>
        <v>65000000000073</v>
      </c>
      <c r="D77" s="9">
        <f>IF(EXACT([1]SEED!$B78, ""), IF(EXACT([1]SEED!$D78, ""), IF(EXACT([1]SEED!$F78, ""), IF(EXACT([1]SEED!$H78, ""), IF(EXACT([1]SEED!$J78, ""), "", [1]SEED!$AI78), [1]SEED!$AH78), [1]SEED!$AF78), [1]SEED!$AE78), [1]SEED!$AD78)</f>
        <v>1</v>
      </c>
      <c r="F77" s="14">
        <f t="shared" si="4"/>
        <v>237000000000074</v>
      </c>
      <c r="G77" s="15" t="str">
        <f t="shared" si="5"/>
        <v>PERFORM * FROM "SchData-OLTP-Accounting"."Func_TblLayoutStructureChartOfAccount_SET"(varSystemLoginSession, null, null, null, varInstitutionBranchID, 62000000000001::bigint, varLayoutStructure_RefID, 65000000000074::bigint, 65000000000073::bigint, 1::smallint);</v>
      </c>
    </row>
    <row r="78" spans="2:7" x14ac:dyDescent="0.2">
      <c r="B78" s="9">
        <f>IF(EXACT([1]SEED!$AV79, ""), "", [1]SEED!$AV79)</f>
        <v>65000000000075</v>
      </c>
      <c r="C78" s="9">
        <f>IF(EXACT(B78, ""), "", IF(EXACT([1]SEED!$AW79, ""), "", [1]SEED!$AW79))</f>
        <v>65000000000060</v>
      </c>
      <c r="D78" s="9">
        <f>IF(EXACT([1]SEED!$B79, ""), IF(EXACT([1]SEED!$D79, ""), IF(EXACT([1]SEED!$F79, ""), IF(EXACT([1]SEED!$H79, ""), IF(EXACT([1]SEED!$J79, ""), "", [1]SEED!$AI79), [1]SEED!$AH79), [1]SEED!$AF79), [1]SEED!$AE79), [1]SEED!$AD79)</f>
        <v>1</v>
      </c>
      <c r="F78" s="14">
        <f t="shared" si="4"/>
        <v>237000000000075</v>
      </c>
      <c r="G78" s="15" t="str">
        <f t="shared" si="5"/>
        <v>PERFORM * FROM "SchData-OLTP-Accounting"."Func_TblLayoutStructureChartOfAccount_SET"(varSystemLoginSession, null, null, null, varInstitutionBranchID, 62000000000001::bigint, varLayoutStructure_RefID, 65000000000075::bigint, 65000000000060::bigint, 1::smallint);</v>
      </c>
    </row>
    <row r="79" spans="2:7" x14ac:dyDescent="0.2">
      <c r="B79" s="9">
        <f>IF(EXACT([1]SEED!$AV80, ""), "", [1]SEED!$AV80)</f>
        <v>65000000000076</v>
      </c>
      <c r="C79" s="9">
        <f>IF(EXACT(B79, ""), "", IF(EXACT([1]SEED!$AW80, ""), "", [1]SEED!$AW80))</f>
        <v>65000000000075</v>
      </c>
      <c r="D79" s="9">
        <f>IF(EXACT([1]SEED!$B80, ""), IF(EXACT([1]SEED!$D80, ""), IF(EXACT([1]SEED!$F80, ""), IF(EXACT([1]SEED!$H80, ""), IF(EXACT([1]SEED!$J80, ""), "", [1]SEED!$AI80), [1]SEED!$AH80), [1]SEED!$AF80), [1]SEED!$AE80), [1]SEED!$AD80)</f>
        <v>1</v>
      </c>
      <c r="F79" s="14">
        <f t="shared" si="4"/>
        <v>237000000000076</v>
      </c>
      <c r="G79" s="15" t="str">
        <f t="shared" si="5"/>
        <v>PERFORM * FROM "SchData-OLTP-Accounting"."Func_TblLayoutStructureChartOfAccount_SET"(varSystemLoginSession, null, null, null, varInstitutionBranchID, 62000000000001::bigint, varLayoutStructure_RefID, 65000000000076::bigint, 65000000000075::bigint, 1::smallint);</v>
      </c>
    </row>
    <row r="80" spans="2:7" x14ac:dyDescent="0.2">
      <c r="B80" s="9">
        <f>IF(EXACT([1]SEED!$AV81, ""), "", [1]SEED!$AV81)</f>
        <v>65000000000077</v>
      </c>
      <c r="C80" s="9">
        <f>IF(EXACT(B80, ""), "", IF(EXACT([1]SEED!$AW81, ""), "", [1]SEED!$AW81))</f>
        <v>65000000000060</v>
      </c>
      <c r="D80" s="9">
        <f>IF(EXACT([1]SEED!$B81, ""), IF(EXACT([1]SEED!$D81, ""), IF(EXACT([1]SEED!$F81, ""), IF(EXACT([1]SEED!$H81, ""), IF(EXACT([1]SEED!$J81, ""), "", [1]SEED!$AI81), [1]SEED!$AH81), [1]SEED!$AF81), [1]SEED!$AE81), [1]SEED!$AD81)</f>
        <v>1</v>
      </c>
      <c r="F80" s="14">
        <f t="shared" si="4"/>
        <v>237000000000077</v>
      </c>
      <c r="G80" s="15" t="str">
        <f t="shared" si="5"/>
        <v>PERFORM * FROM "SchData-OLTP-Accounting"."Func_TblLayoutStructureChartOfAccount_SET"(varSystemLoginSession, null, null, null, varInstitutionBranchID, 62000000000001::bigint, varLayoutStructure_RefID, 65000000000077::bigint, 65000000000060::bigint, 1::smallint);</v>
      </c>
    </row>
    <row r="81" spans="2:7" x14ac:dyDescent="0.2">
      <c r="B81" s="9">
        <f>IF(EXACT([1]SEED!$AV82, ""), "", [1]SEED!$AV82)</f>
        <v>65000000000078</v>
      </c>
      <c r="C81" s="9">
        <f>IF(EXACT(B81, ""), "", IF(EXACT([1]SEED!$AW82, ""), "", [1]SEED!$AW82))</f>
        <v>65000000000077</v>
      </c>
      <c r="D81" s="9">
        <f>IF(EXACT([1]SEED!$B82, ""), IF(EXACT([1]SEED!$D82, ""), IF(EXACT([1]SEED!$F82, ""), IF(EXACT([1]SEED!$H82, ""), IF(EXACT([1]SEED!$J82, ""), "", [1]SEED!$AI82), [1]SEED!$AH82), [1]SEED!$AF82), [1]SEED!$AE82), [1]SEED!$AD82)</f>
        <v>1</v>
      </c>
      <c r="F81" s="14">
        <f t="shared" si="4"/>
        <v>237000000000078</v>
      </c>
      <c r="G81" s="15" t="str">
        <f t="shared" si="5"/>
        <v>PERFORM * FROM "SchData-OLTP-Accounting"."Func_TblLayoutStructureChartOfAccount_SET"(varSystemLoginSession, null, null, null, varInstitutionBranchID, 62000000000001::bigint, varLayoutStructure_RefID, 65000000000078::bigint, 65000000000077::bigint, 1::smallint);</v>
      </c>
    </row>
    <row r="82" spans="2:7" x14ac:dyDescent="0.2">
      <c r="B82" s="9">
        <f>IF(EXACT([1]SEED!$AV83, ""), "", [1]SEED!$AV83)</f>
        <v>65000000000079</v>
      </c>
      <c r="C82" s="9">
        <f>IF(EXACT(B82, ""), "", IF(EXACT([1]SEED!$AW83, ""), "", [1]SEED!$AW83))</f>
        <v>65000000000060</v>
      </c>
      <c r="D82" s="9">
        <f>IF(EXACT([1]SEED!$B83, ""), IF(EXACT([1]SEED!$D83, ""), IF(EXACT([1]SEED!$F83, ""), IF(EXACT([1]SEED!$H83, ""), IF(EXACT([1]SEED!$J83, ""), "", [1]SEED!$AI83), [1]SEED!$AH83), [1]SEED!$AF83), [1]SEED!$AE83), [1]SEED!$AD83)</f>
        <v>1</v>
      </c>
      <c r="F82" s="14">
        <f t="shared" si="4"/>
        <v>237000000000079</v>
      </c>
      <c r="G82" s="15" t="str">
        <f t="shared" si="5"/>
        <v>PERFORM * FROM "SchData-OLTP-Accounting"."Func_TblLayoutStructureChartOfAccount_SET"(varSystemLoginSession, null, null, null, varInstitutionBranchID, 62000000000001::bigint, varLayoutStructure_RefID, 65000000000079::bigint, 65000000000060::bigint, 1::smallint);</v>
      </c>
    </row>
    <row r="83" spans="2:7" x14ac:dyDescent="0.2">
      <c r="B83" s="9">
        <f>IF(EXACT([1]SEED!$AV84, ""), "", [1]SEED!$AV84)</f>
        <v>65000000000080</v>
      </c>
      <c r="C83" s="9">
        <f>IF(EXACT(B83, ""), "", IF(EXACT([1]SEED!$AW84, ""), "", [1]SEED!$AW84))</f>
        <v>65000000000079</v>
      </c>
      <c r="D83" s="9">
        <f>IF(EXACT([1]SEED!$B84, ""), IF(EXACT([1]SEED!$D84, ""), IF(EXACT([1]SEED!$F84, ""), IF(EXACT([1]SEED!$H84, ""), IF(EXACT([1]SEED!$J84, ""), "", [1]SEED!$AI84), [1]SEED!$AH84), [1]SEED!$AF84), [1]SEED!$AE84), [1]SEED!$AD84)</f>
        <v>1</v>
      </c>
      <c r="F83" s="14">
        <f t="shared" si="4"/>
        <v>237000000000080</v>
      </c>
      <c r="G83" s="15" t="str">
        <f t="shared" si="5"/>
        <v>PERFORM * FROM "SchData-OLTP-Accounting"."Func_TblLayoutStructureChartOfAccount_SET"(varSystemLoginSession, null, null, null, varInstitutionBranchID, 62000000000001::bigint, varLayoutStructure_RefID, 65000000000080::bigint, 65000000000079::bigint, 1::smallint);</v>
      </c>
    </row>
    <row r="84" spans="2:7" x14ac:dyDescent="0.2">
      <c r="B84" s="9">
        <f>IF(EXACT([1]SEED!$AV85, ""), "", [1]SEED!$AV85)</f>
        <v>65000000000081</v>
      </c>
      <c r="C84" s="9">
        <f>IF(EXACT(B84, ""), "", IF(EXACT([1]SEED!$AW85, ""), "", [1]SEED!$AW85))</f>
        <v>65000000000060</v>
      </c>
      <c r="D84" s="9">
        <f>IF(EXACT([1]SEED!$B85, ""), IF(EXACT([1]SEED!$D85, ""), IF(EXACT([1]SEED!$F85, ""), IF(EXACT([1]SEED!$H85, ""), IF(EXACT([1]SEED!$J85, ""), "", [1]SEED!$AI85), [1]SEED!$AH85), [1]SEED!$AF85), [1]SEED!$AE85), [1]SEED!$AD85)</f>
        <v>1</v>
      </c>
      <c r="F84" s="14">
        <f t="shared" si="4"/>
        <v>237000000000081</v>
      </c>
      <c r="G84" s="15" t="str">
        <f t="shared" si="5"/>
        <v>PERFORM * FROM "SchData-OLTP-Accounting"."Func_TblLayoutStructureChartOfAccount_SET"(varSystemLoginSession, null, null, null, varInstitutionBranchID, 62000000000001::bigint, varLayoutStructure_RefID, 65000000000081::bigint, 65000000000060::bigint, 1::smallint);</v>
      </c>
    </row>
    <row r="85" spans="2:7" x14ac:dyDescent="0.2">
      <c r="B85" s="9">
        <f>IF(EXACT([1]SEED!$AV86, ""), "", [1]SEED!$AV86)</f>
        <v>65000000000082</v>
      </c>
      <c r="C85" s="9">
        <f>IF(EXACT(B85, ""), "", IF(EXACT([1]SEED!$AW86, ""), "", [1]SEED!$AW86))</f>
        <v>65000000000081</v>
      </c>
      <c r="D85" s="9">
        <f>IF(EXACT([1]SEED!$B86, ""), IF(EXACT([1]SEED!$D86, ""), IF(EXACT([1]SEED!$F86, ""), IF(EXACT([1]SEED!$H86, ""), IF(EXACT([1]SEED!$J86, ""), "", [1]SEED!$AI86), [1]SEED!$AH86), [1]SEED!$AF86), [1]SEED!$AE86), [1]SEED!$AD86)</f>
        <v>1</v>
      </c>
      <c r="F85" s="14">
        <f t="shared" si="4"/>
        <v>237000000000082</v>
      </c>
      <c r="G85" s="15" t="str">
        <f t="shared" si="5"/>
        <v>PERFORM * FROM "SchData-OLTP-Accounting"."Func_TblLayoutStructureChartOfAccount_SET"(varSystemLoginSession, null, null, null, varInstitutionBranchID, 62000000000001::bigint, varLayoutStructure_RefID, 65000000000082::bigint, 65000000000081::bigint, 1::smallint);</v>
      </c>
    </row>
    <row r="86" spans="2:7" x14ac:dyDescent="0.2">
      <c r="B86" s="9">
        <f>IF(EXACT([1]SEED!$AV87, ""), "", [1]SEED!$AV87)</f>
        <v>65000000000083</v>
      </c>
      <c r="C86" s="9">
        <f>IF(EXACT(B86, ""), "", IF(EXACT([1]SEED!$AW87, ""), "", [1]SEED!$AW87))</f>
        <v>65000000000059</v>
      </c>
      <c r="D86" s="9">
        <f>IF(EXACT([1]SEED!$B87, ""), IF(EXACT([1]SEED!$D87, ""), IF(EXACT([1]SEED!$F87, ""), IF(EXACT([1]SEED!$H87, ""), IF(EXACT([1]SEED!$J87, ""), "", [1]SEED!$AI87), [1]SEED!$AH87), [1]SEED!$AF87), [1]SEED!$AE87), [1]SEED!$AD87)</f>
        <v>3</v>
      </c>
      <c r="F86" s="14">
        <f t="shared" si="4"/>
        <v>237000000000083</v>
      </c>
      <c r="G86" s="15" t="str">
        <f t="shared" si="5"/>
        <v>PERFORM * FROM "SchData-OLTP-Accounting"."Func_TblLayoutStructureChartOfAccount_SET"(varSystemLoginSession, null, null, null, varInstitutionBranchID, 62000000000001::bigint, varLayoutStructure_RefID, 65000000000083::bigint, 65000000000059::bigint, 3::smallint);</v>
      </c>
    </row>
    <row r="87" spans="2:7" x14ac:dyDescent="0.2">
      <c r="B87" s="9">
        <f>IF(EXACT([1]SEED!$AV88, ""), "", [1]SEED!$AV88)</f>
        <v>65000000000084</v>
      </c>
      <c r="C87" s="9">
        <f>IF(EXACT(B87, ""), "", IF(EXACT([1]SEED!$AW88, ""), "", [1]SEED!$AW88))</f>
        <v>65000000000083</v>
      </c>
      <c r="D87" s="9">
        <f>IF(EXACT([1]SEED!$B88, ""), IF(EXACT([1]SEED!$D88, ""), IF(EXACT([1]SEED!$F88, ""), IF(EXACT([1]SEED!$H88, ""), IF(EXACT([1]SEED!$J88, ""), "", [1]SEED!$AI88), [1]SEED!$AH88), [1]SEED!$AF88), [1]SEED!$AE88), [1]SEED!$AD88)</f>
        <v>1</v>
      </c>
      <c r="F87" s="14">
        <f t="shared" si="4"/>
        <v>237000000000084</v>
      </c>
      <c r="G87" s="15" t="str">
        <f t="shared" si="5"/>
        <v>PERFORM * FROM "SchData-OLTP-Accounting"."Func_TblLayoutStructureChartOfAccount_SET"(varSystemLoginSession, null, null, null, varInstitutionBranchID, 62000000000001::bigint, varLayoutStructure_RefID, 65000000000084::bigint, 65000000000083::bigint, 1::smallint);</v>
      </c>
    </row>
    <row r="88" spans="2:7" x14ac:dyDescent="0.2">
      <c r="B88" s="9">
        <f>IF(EXACT([1]SEED!$AV89, ""), "", [1]SEED!$AV89)</f>
        <v>65000000000085</v>
      </c>
      <c r="C88" s="9">
        <f>IF(EXACT(B88, ""), "", IF(EXACT([1]SEED!$AW89, ""), "", [1]SEED!$AW89))</f>
        <v>65000000000084</v>
      </c>
      <c r="D88" s="9">
        <f>IF(EXACT([1]SEED!$B89, ""), IF(EXACT([1]SEED!$D89, ""), IF(EXACT([1]SEED!$F89, ""), IF(EXACT([1]SEED!$H89, ""), IF(EXACT([1]SEED!$J89, ""), "", [1]SEED!$AI89), [1]SEED!$AH89), [1]SEED!$AF89), [1]SEED!$AE89), [1]SEED!$AD89)</f>
        <v>1</v>
      </c>
      <c r="F88" s="14">
        <f t="shared" si="4"/>
        <v>237000000000085</v>
      </c>
      <c r="G88" s="15" t="str">
        <f t="shared" si="5"/>
        <v>PERFORM * FROM "SchData-OLTP-Accounting"."Func_TblLayoutStructureChartOfAccount_SET"(varSystemLoginSession, null, null, null, varInstitutionBranchID, 62000000000001::bigint, varLayoutStructure_RefID, 65000000000085::bigint, 65000000000084::bigint, 1::smallint);</v>
      </c>
    </row>
    <row r="89" spans="2:7" x14ac:dyDescent="0.2">
      <c r="B89" s="9">
        <f>IF(EXACT([1]SEED!$AV90, ""), "", [1]SEED!$AV90)</f>
        <v>65000000000086</v>
      </c>
      <c r="C89" s="9">
        <f>IF(EXACT(B89, ""), "", IF(EXACT([1]SEED!$AW90, ""), "", [1]SEED!$AW90))</f>
        <v>65000000000083</v>
      </c>
      <c r="D89" s="9">
        <f>IF(EXACT([1]SEED!$B90, ""), IF(EXACT([1]SEED!$D90, ""), IF(EXACT([1]SEED!$F90, ""), IF(EXACT([1]SEED!$H90, ""), IF(EXACT([1]SEED!$J90, ""), "", [1]SEED!$AI90), [1]SEED!$AH90), [1]SEED!$AF90), [1]SEED!$AE90), [1]SEED!$AD90)</f>
        <v>1</v>
      </c>
      <c r="F89" s="14">
        <f t="shared" si="4"/>
        <v>237000000000086</v>
      </c>
      <c r="G89" s="15" t="str">
        <f t="shared" si="5"/>
        <v>PERFORM * FROM "SchData-OLTP-Accounting"."Func_TblLayoutStructureChartOfAccount_SET"(varSystemLoginSession, null, null, null, varInstitutionBranchID, 62000000000001::bigint, varLayoutStructure_RefID, 65000000000086::bigint, 65000000000083::bigint, 1::smallint);</v>
      </c>
    </row>
    <row r="90" spans="2:7" x14ac:dyDescent="0.2">
      <c r="B90" s="9">
        <f>IF(EXACT([1]SEED!$AV91, ""), "", [1]SEED!$AV91)</f>
        <v>65000000000087</v>
      </c>
      <c r="C90" s="9">
        <f>IF(EXACT(B90, ""), "", IF(EXACT([1]SEED!$AW91, ""), "", [1]SEED!$AW91))</f>
        <v>65000000000086</v>
      </c>
      <c r="D90" s="9">
        <f>IF(EXACT([1]SEED!$B91, ""), IF(EXACT([1]SEED!$D91, ""), IF(EXACT([1]SEED!$F91, ""), IF(EXACT([1]SEED!$H91, ""), IF(EXACT([1]SEED!$J91, ""), "", [1]SEED!$AI91), [1]SEED!$AH91), [1]SEED!$AF91), [1]SEED!$AE91), [1]SEED!$AD91)</f>
        <v>1</v>
      </c>
      <c r="F90" s="14">
        <f t="shared" si="4"/>
        <v>237000000000087</v>
      </c>
      <c r="G90" s="15" t="str">
        <f t="shared" si="5"/>
        <v>PERFORM * FROM "SchData-OLTP-Accounting"."Func_TblLayoutStructureChartOfAccount_SET"(varSystemLoginSession, null, null, null, varInstitutionBranchID, 62000000000001::bigint, varLayoutStructure_RefID, 65000000000087::bigint, 65000000000086::bigint, 1::smallint);</v>
      </c>
    </row>
    <row r="91" spans="2:7" x14ac:dyDescent="0.2">
      <c r="B91" s="9">
        <f>IF(EXACT([1]SEED!$AV92, ""), "", [1]SEED!$AV92)</f>
        <v>65000000000088</v>
      </c>
      <c r="C91" s="9">
        <f>IF(EXACT(B91, ""), "", IF(EXACT([1]SEED!$AW92, ""), "", [1]SEED!$AW92))</f>
        <v>65000000000083</v>
      </c>
      <c r="D91" s="9">
        <f>IF(EXACT([1]SEED!$B92, ""), IF(EXACT([1]SEED!$D92, ""), IF(EXACT([1]SEED!$F92, ""), IF(EXACT([1]SEED!$H92, ""), IF(EXACT([1]SEED!$J92, ""), "", [1]SEED!$AI92), [1]SEED!$AH92), [1]SEED!$AF92), [1]SEED!$AE92), [1]SEED!$AD92)</f>
        <v>1</v>
      </c>
      <c r="F91" s="14">
        <f t="shared" si="4"/>
        <v>237000000000088</v>
      </c>
      <c r="G91" s="15" t="str">
        <f t="shared" si="5"/>
        <v>PERFORM * FROM "SchData-OLTP-Accounting"."Func_TblLayoutStructureChartOfAccount_SET"(varSystemLoginSession, null, null, null, varInstitutionBranchID, 62000000000001::bigint, varLayoutStructure_RefID, 65000000000088::bigint, 65000000000083::bigint, 1::smallint);</v>
      </c>
    </row>
    <row r="92" spans="2:7" x14ac:dyDescent="0.2">
      <c r="B92" s="9">
        <f>IF(EXACT([1]SEED!$AV93, ""), "", [1]SEED!$AV93)</f>
        <v>65000000000089</v>
      </c>
      <c r="C92" s="9">
        <f>IF(EXACT(B92, ""), "", IF(EXACT([1]SEED!$AW93, ""), "", [1]SEED!$AW93))</f>
        <v>65000000000088</v>
      </c>
      <c r="D92" s="9">
        <f>IF(EXACT([1]SEED!$B93, ""), IF(EXACT([1]SEED!$D93, ""), IF(EXACT([1]SEED!$F93, ""), IF(EXACT([1]SEED!$H93, ""), IF(EXACT([1]SEED!$J93, ""), "", [1]SEED!$AI93), [1]SEED!$AH93), [1]SEED!$AF93), [1]SEED!$AE93), [1]SEED!$AD93)</f>
        <v>1</v>
      </c>
      <c r="F92" s="14">
        <f t="shared" si="4"/>
        <v>237000000000089</v>
      </c>
      <c r="G92" s="15" t="str">
        <f t="shared" si="5"/>
        <v>PERFORM * FROM "SchData-OLTP-Accounting"."Func_TblLayoutStructureChartOfAccount_SET"(varSystemLoginSession, null, null, null, varInstitutionBranchID, 62000000000001::bigint, varLayoutStructure_RefID, 65000000000089::bigint, 65000000000088::bigint, 1::smallint);</v>
      </c>
    </row>
    <row r="93" spans="2:7" x14ac:dyDescent="0.2">
      <c r="B93" s="9">
        <f>IF(EXACT([1]SEED!$AV94, ""), "", [1]SEED!$AV94)</f>
        <v>65000000000090</v>
      </c>
      <c r="C93" s="9">
        <f>IF(EXACT(B93, ""), "", IF(EXACT([1]SEED!$AW94, ""), "", [1]SEED!$AW94))</f>
        <v>65000000000083</v>
      </c>
      <c r="D93" s="9">
        <f>IF(EXACT([1]SEED!$B94, ""), IF(EXACT([1]SEED!$D94, ""), IF(EXACT([1]SEED!$F94, ""), IF(EXACT([1]SEED!$H94, ""), IF(EXACT([1]SEED!$J94, ""), "", [1]SEED!$AI94), [1]SEED!$AH94), [1]SEED!$AF94), [1]SEED!$AE94), [1]SEED!$AD94)</f>
        <v>1</v>
      </c>
      <c r="F93" s="14">
        <f t="shared" si="4"/>
        <v>237000000000090</v>
      </c>
      <c r="G93" s="15" t="str">
        <f t="shared" si="5"/>
        <v>PERFORM * FROM "SchData-OLTP-Accounting"."Func_TblLayoutStructureChartOfAccount_SET"(varSystemLoginSession, null, null, null, varInstitutionBranchID, 62000000000001::bigint, varLayoutStructure_RefID, 65000000000090::bigint, 65000000000083::bigint, 1::smallint);</v>
      </c>
    </row>
    <row r="94" spans="2:7" x14ac:dyDescent="0.2">
      <c r="B94" s="9">
        <f>IF(EXACT([1]SEED!$AV95, ""), "", [1]SEED!$AV95)</f>
        <v>65000000000091</v>
      </c>
      <c r="C94" s="9">
        <f>IF(EXACT(B94, ""), "", IF(EXACT([1]SEED!$AW95, ""), "", [1]SEED!$AW95))</f>
        <v>65000000000090</v>
      </c>
      <c r="D94" s="9">
        <f>IF(EXACT([1]SEED!$B95, ""), IF(EXACT([1]SEED!$D95, ""), IF(EXACT([1]SEED!$F95, ""), IF(EXACT([1]SEED!$H95, ""), IF(EXACT([1]SEED!$J95, ""), "", [1]SEED!$AI95), [1]SEED!$AH95), [1]SEED!$AF95), [1]SEED!$AE95), [1]SEED!$AD95)</f>
        <v>1</v>
      </c>
      <c r="F94" s="14">
        <f t="shared" si="4"/>
        <v>237000000000091</v>
      </c>
      <c r="G94" s="15" t="str">
        <f t="shared" si="5"/>
        <v>PERFORM * FROM "SchData-OLTP-Accounting"."Func_TblLayoutStructureChartOfAccount_SET"(varSystemLoginSession, null, null, null, varInstitutionBranchID, 62000000000001::bigint, varLayoutStructure_RefID, 65000000000091::bigint, 65000000000090::bigint, 1::smallint);</v>
      </c>
    </row>
    <row r="95" spans="2:7" x14ac:dyDescent="0.2">
      <c r="B95" s="9">
        <f>IF(EXACT([1]SEED!$AV96, ""), "", [1]SEED!$AV96)</f>
        <v>65000000000092</v>
      </c>
      <c r="C95" s="9">
        <f>IF(EXACT(B95, ""), "", IF(EXACT([1]SEED!$AW96, ""), "", [1]SEED!$AW96))</f>
        <v>65000000000083</v>
      </c>
      <c r="D95" s="9">
        <f>IF(EXACT([1]SEED!$B96, ""), IF(EXACT([1]SEED!$D96, ""), IF(EXACT([1]SEED!$F96, ""), IF(EXACT([1]SEED!$H96, ""), IF(EXACT([1]SEED!$J96, ""), "", [1]SEED!$AI96), [1]SEED!$AH96), [1]SEED!$AF96), [1]SEED!$AE96), [1]SEED!$AD96)</f>
        <v>1</v>
      </c>
      <c r="F95" s="14">
        <f t="shared" si="4"/>
        <v>237000000000092</v>
      </c>
      <c r="G95" s="15" t="str">
        <f t="shared" si="5"/>
        <v>PERFORM * FROM "SchData-OLTP-Accounting"."Func_TblLayoutStructureChartOfAccount_SET"(varSystemLoginSession, null, null, null, varInstitutionBranchID, 62000000000001::bigint, varLayoutStructure_RefID, 65000000000092::bigint, 65000000000083::bigint, 1::smallint);</v>
      </c>
    </row>
    <row r="96" spans="2:7" x14ac:dyDescent="0.2">
      <c r="B96" s="9">
        <f>IF(EXACT([1]SEED!$AV97, ""), "", [1]SEED!$AV97)</f>
        <v>65000000000093</v>
      </c>
      <c r="C96" s="9">
        <f>IF(EXACT(B96, ""), "", IF(EXACT([1]SEED!$AW97, ""), "", [1]SEED!$AW97))</f>
        <v>65000000000092</v>
      </c>
      <c r="D96" s="9">
        <f>IF(EXACT([1]SEED!$B97, ""), IF(EXACT([1]SEED!$D97, ""), IF(EXACT([1]SEED!$F97, ""), IF(EXACT([1]SEED!$H97, ""), IF(EXACT([1]SEED!$J97, ""), "", [1]SEED!$AI97), [1]SEED!$AH97), [1]SEED!$AF97), [1]SEED!$AE97), [1]SEED!$AD97)</f>
        <v>1</v>
      </c>
      <c r="F96" s="14">
        <f t="shared" si="4"/>
        <v>237000000000093</v>
      </c>
      <c r="G96" s="15" t="str">
        <f t="shared" si="5"/>
        <v>PERFORM * FROM "SchData-OLTP-Accounting"."Func_TblLayoutStructureChartOfAccount_SET"(varSystemLoginSession, null, null, null, varInstitutionBranchID, 62000000000001::bigint, varLayoutStructure_RefID, 65000000000093::bigint, 65000000000092::bigint, 1::smallint);</v>
      </c>
    </row>
    <row r="97" spans="2:7" x14ac:dyDescent="0.2">
      <c r="B97" s="9">
        <f>IF(EXACT([1]SEED!$AV98, ""), "", [1]SEED!$AV98)</f>
        <v>65000000000094</v>
      </c>
      <c r="C97" s="9">
        <f>IF(EXACT(B97, ""), "", IF(EXACT([1]SEED!$AW98, ""), "", [1]SEED!$AW98))</f>
        <v>65000000000083</v>
      </c>
      <c r="D97" s="9">
        <f>IF(EXACT([1]SEED!$B98, ""), IF(EXACT([1]SEED!$D98, ""), IF(EXACT([1]SEED!$F98, ""), IF(EXACT([1]SEED!$H98, ""), IF(EXACT([1]SEED!$J98, ""), "", [1]SEED!$AI98), [1]SEED!$AH98), [1]SEED!$AF98), [1]SEED!$AE98), [1]SEED!$AD98)</f>
        <v>1</v>
      </c>
      <c r="F97" s="14">
        <f t="shared" si="4"/>
        <v>237000000000094</v>
      </c>
      <c r="G97" s="15" t="str">
        <f t="shared" si="5"/>
        <v>PERFORM * FROM "SchData-OLTP-Accounting"."Func_TblLayoutStructureChartOfAccount_SET"(varSystemLoginSession, null, null, null, varInstitutionBranchID, 62000000000001::bigint, varLayoutStructure_RefID, 65000000000094::bigint, 65000000000083::bigint, 1::smallint);</v>
      </c>
    </row>
    <row r="98" spans="2:7" x14ac:dyDescent="0.2">
      <c r="B98" s="9">
        <f>IF(EXACT([1]SEED!$AV99, ""), "", [1]SEED!$AV99)</f>
        <v>65000000000095</v>
      </c>
      <c r="C98" s="9">
        <f>IF(EXACT(B98, ""), "", IF(EXACT([1]SEED!$AW99, ""), "", [1]SEED!$AW99))</f>
        <v>65000000000094</v>
      </c>
      <c r="D98" s="9">
        <f>IF(EXACT([1]SEED!$B99, ""), IF(EXACT([1]SEED!$D99, ""), IF(EXACT([1]SEED!$F99, ""), IF(EXACT([1]SEED!$H99, ""), IF(EXACT([1]SEED!$J99, ""), "", [1]SEED!$AI99), [1]SEED!$AH99), [1]SEED!$AF99), [1]SEED!$AE99), [1]SEED!$AD99)</f>
        <v>1</v>
      </c>
      <c r="F98" s="14">
        <f t="shared" si="4"/>
        <v>237000000000095</v>
      </c>
      <c r="G98" s="15" t="str">
        <f t="shared" si="5"/>
        <v>PERFORM * FROM "SchData-OLTP-Accounting"."Func_TblLayoutStructureChartOfAccount_SET"(varSystemLoginSession, null, null, null, varInstitutionBranchID, 62000000000001::bigint, varLayoutStructure_RefID, 65000000000095::bigint, 65000000000094::bigint, 1::smallint);</v>
      </c>
    </row>
    <row r="99" spans="2:7" x14ac:dyDescent="0.2">
      <c r="B99" s="9">
        <f>IF(EXACT([1]SEED!$AV100, ""), "", [1]SEED!$AV100)</f>
        <v>65000000000096</v>
      </c>
      <c r="C99" s="9">
        <f>IF(EXACT(B99, ""), "", IF(EXACT([1]SEED!$AW100, ""), "", [1]SEED!$AW100))</f>
        <v>65000000000083</v>
      </c>
      <c r="D99" s="9">
        <f>IF(EXACT([1]SEED!$B100, ""), IF(EXACT([1]SEED!$D100, ""), IF(EXACT([1]SEED!$F100, ""), IF(EXACT([1]SEED!$H100, ""), IF(EXACT([1]SEED!$J100, ""), "", [1]SEED!$AI100), [1]SEED!$AH100), [1]SEED!$AF100), [1]SEED!$AE100), [1]SEED!$AD100)</f>
        <v>1</v>
      </c>
      <c r="F99" s="14">
        <f t="shared" si="4"/>
        <v>237000000000096</v>
      </c>
      <c r="G99" s="15" t="str">
        <f t="shared" si="5"/>
        <v>PERFORM * FROM "SchData-OLTP-Accounting"."Func_TblLayoutStructureChartOfAccount_SET"(varSystemLoginSession, null, null, null, varInstitutionBranchID, 62000000000001::bigint, varLayoutStructure_RefID, 65000000000096::bigint, 65000000000083::bigint, 1::smallint);</v>
      </c>
    </row>
    <row r="100" spans="2:7" x14ac:dyDescent="0.2">
      <c r="B100" s="9">
        <f>IF(EXACT([1]SEED!$AV101, ""), "", [1]SEED!$AV101)</f>
        <v>65000000000097</v>
      </c>
      <c r="C100" s="9">
        <f>IF(EXACT(B100, ""), "", IF(EXACT([1]SEED!$AW101, ""), "", [1]SEED!$AW101))</f>
        <v>65000000000096</v>
      </c>
      <c r="D100" s="9">
        <f>IF(EXACT([1]SEED!$B101, ""), IF(EXACT([1]SEED!$D101, ""), IF(EXACT([1]SEED!$F101, ""), IF(EXACT([1]SEED!$H101, ""), IF(EXACT([1]SEED!$J101, ""), "", [1]SEED!$AI101), [1]SEED!$AH101), [1]SEED!$AF101), [1]SEED!$AE101), [1]SEED!$AD101)</f>
        <v>1</v>
      </c>
      <c r="F100" s="14">
        <f t="shared" si="4"/>
        <v>237000000000097</v>
      </c>
      <c r="G100" s="15" t="str">
        <f t="shared" si="5"/>
        <v>PERFORM * FROM "SchData-OLTP-Accounting"."Func_TblLayoutStructureChartOfAccount_SET"(varSystemLoginSession, null, null, null, varInstitutionBranchID, 62000000000001::bigint, varLayoutStructure_RefID, 65000000000097::bigint, 65000000000096::bigint, 1::smallint);</v>
      </c>
    </row>
    <row r="101" spans="2:7" x14ac:dyDescent="0.2">
      <c r="B101" s="9">
        <f>IF(EXACT([1]SEED!$AV102, ""), "", [1]SEED!$AV102)</f>
        <v>65000000000098</v>
      </c>
      <c r="C101" s="9">
        <f>IF(EXACT(B101, ""), "", IF(EXACT([1]SEED!$AW102, ""), "", [1]SEED!$AW102))</f>
        <v>65000000000083</v>
      </c>
      <c r="D101" s="9">
        <f>IF(EXACT([1]SEED!$B102, ""), IF(EXACT([1]SEED!$D102, ""), IF(EXACT([1]SEED!$F102, ""), IF(EXACT([1]SEED!$H102, ""), IF(EXACT([1]SEED!$J102, ""), "", [1]SEED!$AI102), [1]SEED!$AH102), [1]SEED!$AF102), [1]SEED!$AE102), [1]SEED!$AD102)</f>
        <v>1</v>
      </c>
      <c r="F101" s="14">
        <f t="shared" si="4"/>
        <v>237000000000098</v>
      </c>
      <c r="G101" s="15" t="str">
        <f t="shared" si="5"/>
        <v>PERFORM * FROM "SchData-OLTP-Accounting"."Func_TblLayoutStructureChartOfAccount_SET"(varSystemLoginSession, null, null, null, varInstitutionBranchID, 62000000000001::bigint, varLayoutStructure_RefID, 65000000000098::bigint, 65000000000083::bigint, 1::smallint);</v>
      </c>
    </row>
    <row r="102" spans="2:7" x14ac:dyDescent="0.2">
      <c r="B102" s="9">
        <f>IF(EXACT([1]SEED!$AV103, ""), "", [1]SEED!$AV103)</f>
        <v>65000000000099</v>
      </c>
      <c r="C102" s="9">
        <f>IF(EXACT(B102, ""), "", IF(EXACT([1]SEED!$AW103, ""), "", [1]SEED!$AW103))</f>
        <v>65000000000098</v>
      </c>
      <c r="D102" s="9">
        <f>IF(EXACT([1]SEED!$B103, ""), IF(EXACT([1]SEED!$D103, ""), IF(EXACT([1]SEED!$F103, ""), IF(EXACT([1]SEED!$H103, ""), IF(EXACT([1]SEED!$J103, ""), "", [1]SEED!$AI103), [1]SEED!$AH103), [1]SEED!$AF103), [1]SEED!$AE103), [1]SEED!$AD103)</f>
        <v>1</v>
      </c>
      <c r="F102" s="14">
        <f t="shared" si="4"/>
        <v>237000000000099</v>
      </c>
      <c r="G102" s="15" t="str">
        <f t="shared" si="5"/>
        <v>PERFORM * FROM "SchData-OLTP-Accounting"."Func_TblLayoutStructureChartOfAccount_SET"(varSystemLoginSession, null, null, null, varInstitutionBranchID, 62000000000001::bigint, varLayoutStructure_RefID, 65000000000099::bigint, 65000000000098::bigint, 1::smallint);</v>
      </c>
    </row>
    <row r="103" spans="2:7" x14ac:dyDescent="0.2">
      <c r="B103" s="9">
        <f>IF(EXACT([1]SEED!$AV104, ""), "", [1]SEED!$AV104)</f>
        <v>65000000000100</v>
      </c>
      <c r="C103" s="9">
        <f>IF(EXACT(B103, ""), "", IF(EXACT([1]SEED!$AW104, ""), "", [1]SEED!$AW104))</f>
        <v>65000000000083</v>
      </c>
      <c r="D103" s="9">
        <f>IF(EXACT([1]SEED!$B104, ""), IF(EXACT([1]SEED!$D104, ""), IF(EXACT([1]SEED!$F104, ""), IF(EXACT([1]SEED!$H104, ""), IF(EXACT([1]SEED!$J104, ""), "", [1]SEED!$AI104), [1]SEED!$AH104), [1]SEED!$AF104), [1]SEED!$AE104), [1]SEED!$AD104)</f>
        <v>1</v>
      </c>
      <c r="F103" s="14">
        <f t="shared" si="4"/>
        <v>237000000000100</v>
      </c>
      <c r="G103" s="15" t="str">
        <f t="shared" si="5"/>
        <v>PERFORM * FROM "SchData-OLTP-Accounting"."Func_TblLayoutStructureChartOfAccount_SET"(varSystemLoginSession, null, null, null, varInstitutionBranchID, 62000000000001::bigint, varLayoutStructure_RefID, 65000000000100::bigint, 65000000000083::bigint, 1::smallint);</v>
      </c>
    </row>
    <row r="104" spans="2:7" x14ac:dyDescent="0.2">
      <c r="B104" s="9">
        <f>IF(EXACT([1]SEED!$AV105, ""), "", [1]SEED!$AV105)</f>
        <v>65000000000101</v>
      </c>
      <c r="C104" s="9">
        <f>IF(EXACT(B104, ""), "", IF(EXACT([1]SEED!$AW105, ""), "", [1]SEED!$AW105))</f>
        <v>65000000000100</v>
      </c>
      <c r="D104" s="9">
        <f>IF(EXACT([1]SEED!$B105, ""), IF(EXACT([1]SEED!$D105, ""), IF(EXACT([1]SEED!$F105, ""), IF(EXACT([1]SEED!$H105, ""), IF(EXACT([1]SEED!$J105, ""), "", [1]SEED!$AI105), [1]SEED!$AH105), [1]SEED!$AF105), [1]SEED!$AE105), [1]SEED!$AD105)</f>
        <v>1</v>
      </c>
      <c r="F104" s="14">
        <f t="shared" si="4"/>
        <v>237000000000101</v>
      </c>
      <c r="G104" s="15" t="str">
        <f t="shared" si="5"/>
        <v>PERFORM * FROM "SchData-OLTP-Accounting"."Func_TblLayoutStructureChartOfAccount_SET"(varSystemLoginSession, null, null, null, varInstitutionBranchID, 62000000000001::bigint, varLayoutStructure_RefID, 65000000000101::bigint, 65000000000100::bigint, 1::smallint);</v>
      </c>
    </row>
    <row r="105" spans="2:7" x14ac:dyDescent="0.2">
      <c r="B105" s="9">
        <f>IF(EXACT([1]SEED!$AV106, ""), "", [1]SEED!$AV106)</f>
        <v>65000000000102</v>
      </c>
      <c r="C105" s="9">
        <f>IF(EXACT(B105, ""), "", IF(EXACT([1]SEED!$AW106, ""), "", [1]SEED!$AW106))</f>
        <v>65000000000083</v>
      </c>
      <c r="D105" s="9">
        <f>IF(EXACT([1]SEED!$B106, ""), IF(EXACT([1]SEED!$D106, ""), IF(EXACT([1]SEED!$F106, ""), IF(EXACT([1]SEED!$H106, ""), IF(EXACT([1]SEED!$J106, ""), "", [1]SEED!$AI106), [1]SEED!$AH106), [1]SEED!$AF106), [1]SEED!$AE106), [1]SEED!$AD106)</f>
        <v>1</v>
      </c>
      <c r="F105" s="14">
        <f t="shared" si="4"/>
        <v>237000000000102</v>
      </c>
      <c r="G105" s="15" t="str">
        <f t="shared" si="5"/>
        <v>PERFORM * FROM "SchData-OLTP-Accounting"."Func_TblLayoutStructureChartOfAccount_SET"(varSystemLoginSession, null, null, null, varInstitutionBranchID, 62000000000001::bigint, varLayoutStructure_RefID, 65000000000102::bigint, 65000000000083::bigint, 1::smallint);</v>
      </c>
    </row>
    <row r="106" spans="2:7" x14ac:dyDescent="0.2">
      <c r="B106" s="9">
        <f>IF(EXACT([1]SEED!$AV107, ""), "", [1]SEED!$AV107)</f>
        <v>65000000000103</v>
      </c>
      <c r="C106" s="9">
        <f>IF(EXACT(B106, ""), "", IF(EXACT([1]SEED!$AW107, ""), "", [1]SEED!$AW107))</f>
        <v>65000000000102</v>
      </c>
      <c r="D106" s="9">
        <f>IF(EXACT([1]SEED!$B107, ""), IF(EXACT([1]SEED!$D107, ""), IF(EXACT([1]SEED!$F107, ""), IF(EXACT([1]SEED!$H107, ""), IF(EXACT([1]SEED!$J107, ""), "", [1]SEED!$AI107), [1]SEED!$AH107), [1]SEED!$AF107), [1]SEED!$AE107), [1]SEED!$AD107)</f>
        <v>1</v>
      </c>
      <c r="F106" s="14">
        <f t="shared" si="4"/>
        <v>237000000000103</v>
      </c>
      <c r="G106" s="15" t="str">
        <f t="shared" si="5"/>
        <v>PERFORM * FROM "SchData-OLTP-Accounting"."Func_TblLayoutStructureChartOfAccount_SET"(varSystemLoginSession, null, null, null, varInstitutionBranchID, 62000000000001::bigint, varLayoutStructure_RefID, 65000000000103::bigint, 65000000000102::bigint, 1::smallint);</v>
      </c>
    </row>
    <row r="107" spans="2:7" x14ac:dyDescent="0.2">
      <c r="B107" s="9" t="str">
        <f>IF(EXACT([1]SEED!$AV108, ""), "", [1]SEED!$AV108)</f>
        <v/>
      </c>
      <c r="C107" s="9" t="str">
        <f>IF(EXACT(B107, ""), "", IF(EXACT([1]SEED!$AW108, ""), "", [1]SEED!$AW108))</f>
        <v/>
      </c>
      <c r="D107" s="9" t="str">
        <f>IF(EXACT([1]SEED!$B108, ""), IF(EXACT([1]SEED!$D108, ""), IF(EXACT([1]SEED!$F108, ""), IF(EXACT([1]SEED!$H108, ""), IF(EXACT([1]SEED!$J108, ""), "", [1]SEED!$AI108), [1]SEED!$AH108), [1]SEED!$AF108), [1]SEED!$AE108), [1]SEED!$AD108)</f>
        <v/>
      </c>
      <c r="F107" s="14">
        <f t="shared" si="4"/>
        <v>237000000000103</v>
      </c>
      <c r="G107" s="15" t="str">
        <f t="shared" si="5"/>
        <v/>
      </c>
    </row>
    <row r="108" spans="2:7" x14ac:dyDescent="0.2">
      <c r="B108" s="9">
        <f>IF(EXACT([1]SEED!$AV109, ""), "", [1]SEED!$AV109)</f>
        <v>65000000000104</v>
      </c>
      <c r="C108" s="9">
        <f>IF(EXACT(B108, ""), "", IF(EXACT([1]SEED!$AW109, ""), "", [1]SEED!$AW109))</f>
        <v>65000000000001</v>
      </c>
      <c r="D108" s="9">
        <f>IF(EXACT([1]SEED!$B109, ""), IF(EXACT([1]SEED!$D109, ""), IF(EXACT([1]SEED!$F109, ""), IF(EXACT([1]SEED!$H109, ""), IF(EXACT([1]SEED!$J109, ""), "", [1]SEED!$AI109), [1]SEED!$AH109), [1]SEED!$AF109), [1]SEED!$AE109), [1]SEED!$AD109)</f>
        <v>5</v>
      </c>
      <c r="F108" s="14">
        <f t="shared" si="4"/>
        <v>237000000000104</v>
      </c>
      <c r="G108" s="15" t="str">
        <f t="shared" si="5"/>
        <v>PERFORM * FROM "SchData-OLTP-Accounting"."Func_TblLayoutStructureChartOfAccount_SET"(varSystemLoginSession, null, null, null, varInstitutionBranchID, 62000000000001::bigint, varLayoutStructure_RefID, 65000000000104::bigint, 65000000000001::bigint, 5::smallint);</v>
      </c>
    </row>
    <row r="109" spans="2:7" x14ac:dyDescent="0.2">
      <c r="B109" s="9">
        <f>IF(EXACT([1]SEED!$AV110, ""), "", [1]SEED!$AV110)</f>
        <v>65000000000105</v>
      </c>
      <c r="C109" s="9">
        <f>IF(EXACT(B109, ""), "", IF(EXACT([1]SEED!$AW110, ""), "", [1]SEED!$AW110))</f>
        <v>65000000000104</v>
      </c>
      <c r="D109" s="9">
        <f>IF(EXACT([1]SEED!$B110, ""), IF(EXACT([1]SEED!$D110, ""), IF(EXACT([1]SEED!$F110, ""), IF(EXACT([1]SEED!$H110, ""), IF(EXACT([1]SEED!$J110, ""), "", [1]SEED!$AI110), [1]SEED!$AH110), [1]SEED!$AF110), [1]SEED!$AE110), [1]SEED!$AD110)</f>
        <v>1</v>
      </c>
      <c r="F109" s="14">
        <f t="shared" si="4"/>
        <v>237000000000105</v>
      </c>
      <c r="G109" s="15" t="str">
        <f t="shared" si="5"/>
        <v>PERFORM * FROM "SchData-OLTP-Accounting"."Func_TblLayoutStructureChartOfAccount_SET"(varSystemLoginSession, null, null, null, varInstitutionBranchID, 62000000000001::bigint, varLayoutStructure_RefID, 65000000000105::bigint, 65000000000104::bigint, 1::smallint);</v>
      </c>
    </row>
    <row r="110" spans="2:7" x14ac:dyDescent="0.2">
      <c r="B110" s="9">
        <f>IF(EXACT([1]SEED!$AV111, ""), "", [1]SEED!$AV111)</f>
        <v>65000000000106</v>
      </c>
      <c r="C110" s="9">
        <f>IF(EXACT(B110, ""), "", IF(EXACT([1]SEED!$AW111, ""), "", [1]SEED!$AW111))</f>
        <v>65000000000001</v>
      </c>
      <c r="D110" s="9">
        <f>IF(EXACT([1]SEED!$B111, ""), IF(EXACT([1]SEED!$D111, ""), IF(EXACT([1]SEED!$F111, ""), IF(EXACT([1]SEED!$H111, ""), IF(EXACT([1]SEED!$J111, ""), "", [1]SEED!$AI111), [1]SEED!$AH111), [1]SEED!$AF111), [1]SEED!$AE111), [1]SEED!$AD111)</f>
        <v>6</v>
      </c>
      <c r="F110" s="14">
        <f t="shared" si="4"/>
        <v>237000000000106</v>
      </c>
      <c r="G110" s="15" t="str">
        <f t="shared" si="5"/>
        <v>PERFORM * FROM "SchData-OLTP-Accounting"."Func_TblLayoutStructureChartOfAccount_SET"(varSystemLoginSession, null, null, null, varInstitutionBranchID, 62000000000001::bigint, varLayoutStructure_RefID, 65000000000106::bigint, 65000000000001::bigint, 6::smallint);</v>
      </c>
    </row>
    <row r="111" spans="2:7" x14ac:dyDescent="0.2">
      <c r="B111" s="9">
        <f>IF(EXACT([1]SEED!$AV112, ""), "", [1]SEED!$AV112)</f>
        <v>65000000000107</v>
      </c>
      <c r="C111" s="9">
        <f>IF(EXACT(B111, ""), "", IF(EXACT([1]SEED!$AW112, ""), "", [1]SEED!$AW112))</f>
        <v>65000000000106</v>
      </c>
      <c r="D111" s="9">
        <f>IF(EXACT([1]SEED!$B112, ""), IF(EXACT([1]SEED!$D112, ""), IF(EXACT([1]SEED!$F112, ""), IF(EXACT([1]SEED!$H112, ""), IF(EXACT([1]SEED!$J112, ""), "", [1]SEED!$AI112), [1]SEED!$AH112), [1]SEED!$AF112), [1]SEED!$AE112), [1]SEED!$AD112)</f>
        <v>2</v>
      </c>
      <c r="F111" s="14">
        <f t="shared" si="4"/>
        <v>237000000000107</v>
      </c>
      <c r="G111" s="15" t="str">
        <f t="shared" si="5"/>
        <v>PERFORM * FROM "SchData-OLTP-Accounting"."Func_TblLayoutStructureChartOfAccount_SET"(varSystemLoginSession, null, null, null, varInstitutionBranchID, 62000000000001::bigint, varLayoutStructure_RefID, 65000000000107::bigint, 65000000000106::bigint, 2::smallint);</v>
      </c>
    </row>
    <row r="112" spans="2:7" x14ac:dyDescent="0.2">
      <c r="B112" s="9">
        <f>IF(EXACT([1]SEED!$AV113, ""), "", [1]SEED!$AV113)</f>
        <v>65000000000108</v>
      </c>
      <c r="C112" s="9">
        <f>IF(EXACT(B112, ""), "", IF(EXACT([1]SEED!$AW113, ""), "", [1]SEED!$AW113))</f>
        <v>65000000000107</v>
      </c>
      <c r="D112" s="9">
        <f>IF(EXACT([1]SEED!$B113, ""), IF(EXACT([1]SEED!$D113, ""), IF(EXACT([1]SEED!$F113, ""), IF(EXACT([1]SEED!$H113, ""), IF(EXACT([1]SEED!$J113, ""), "", [1]SEED!$AI113), [1]SEED!$AH113), [1]SEED!$AF113), [1]SEED!$AE113), [1]SEED!$AD113)</f>
        <v>1</v>
      </c>
      <c r="F112" s="14">
        <f t="shared" si="4"/>
        <v>237000000000108</v>
      </c>
      <c r="G112" s="15" t="str">
        <f t="shared" si="5"/>
        <v>PERFORM * FROM "SchData-OLTP-Accounting"."Func_TblLayoutStructureChartOfAccount_SET"(varSystemLoginSession, null, null, null, varInstitutionBranchID, 62000000000001::bigint, varLayoutStructure_RefID, 65000000000108::bigint, 65000000000107::bigint, 1::smallint);</v>
      </c>
    </row>
    <row r="113" spans="2:7" x14ac:dyDescent="0.2">
      <c r="B113" s="9">
        <f>IF(EXACT([1]SEED!$AV114, ""), "", [1]SEED!$AV114)</f>
        <v>65000000000109</v>
      </c>
      <c r="C113" s="9">
        <f>IF(EXACT(B113, ""), "", IF(EXACT([1]SEED!$AW114, ""), "", [1]SEED!$AW114))</f>
        <v>65000000000108</v>
      </c>
      <c r="D113" s="9">
        <f>IF(EXACT([1]SEED!$B114, ""), IF(EXACT([1]SEED!$D114, ""), IF(EXACT([1]SEED!$F114, ""), IF(EXACT([1]SEED!$H114, ""), IF(EXACT([1]SEED!$J114, ""), "", [1]SEED!$AI114), [1]SEED!$AH114), [1]SEED!$AF114), [1]SEED!$AE114), [1]SEED!$AD114)</f>
        <v>1</v>
      </c>
      <c r="F113" s="14">
        <f t="shared" si="4"/>
        <v>237000000000109</v>
      </c>
      <c r="G113" s="15" t="str">
        <f t="shared" si="5"/>
        <v>PERFORM * FROM "SchData-OLTP-Accounting"."Func_TblLayoutStructureChartOfAccount_SET"(varSystemLoginSession, null, null, null, varInstitutionBranchID, 62000000000001::bigint, varLayoutStructure_RefID, 65000000000109::bigint, 65000000000108::bigint, 1::smallint);</v>
      </c>
    </row>
    <row r="114" spans="2:7" x14ac:dyDescent="0.2">
      <c r="B114" s="9">
        <f>IF(EXACT([1]SEED!$AV115, ""), "", [1]SEED!$AV115)</f>
        <v>65000000000110</v>
      </c>
      <c r="C114" s="9">
        <f>IF(EXACT(B114, ""), "", IF(EXACT([1]SEED!$AW115, ""), "", [1]SEED!$AW115))</f>
        <v>65000000000107</v>
      </c>
      <c r="D114" s="9">
        <f>IF(EXACT([1]SEED!$B115, ""), IF(EXACT([1]SEED!$D115, ""), IF(EXACT([1]SEED!$F115, ""), IF(EXACT([1]SEED!$H115, ""), IF(EXACT([1]SEED!$J115, ""), "", [1]SEED!$AI115), [1]SEED!$AH115), [1]SEED!$AF115), [1]SEED!$AE115), [1]SEED!$AD115)</f>
        <v>1</v>
      </c>
      <c r="F114" s="14">
        <f t="shared" si="4"/>
        <v>237000000000110</v>
      </c>
      <c r="G114" s="15" t="str">
        <f t="shared" si="5"/>
        <v>PERFORM * FROM "SchData-OLTP-Accounting"."Func_TblLayoutStructureChartOfAccount_SET"(varSystemLoginSession, null, null, null, varInstitutionBranchID, 62000000000001::bigint, varLayoutStructure_RefID, 65000000000110::bigint, 65000000000107::bigint, 1::smallint);</v>
      </c>
    </row>
    <row r="115" spans="2:7" x14ac:dyDescent="0.2">
      <c r="B115" s="9">
        <f>IF(EXACT([1]SEED!$AV116, ""), "", [1]SEED!$AV116)</f>
        <v>65000000000111</v>
      </c>
      <c r="C115" s="9">
        <f>IF(EXACT(B115, ""), "", IF(EXACT([1]SEED!$AW116, ""), "", [1]SEED!$AW116))</f>
        <v>65000000000110</v>
      </c>
      <c r="D115" s="9">
        <f>IF(EXACT([1]SEED!$B116, ""), IF(EXACT([1]SEED!$D116, ""), IF(EXACT([1]SEED!$F116, ""), IF(EXACT([1]SEED!$H116, ""), IF(EXACT([1]SEED!$J116, ""), "", [1]SEED!$AI116), [1]SEED!$AH116), [1]SEED!$AF116), [1]SEED!$AE116), [1]SEED!$AD116)</f>
        <v>1</v>
      </c>
      <c r="F115" s="14">
        <f t="shared" si="4"/>
        <v>237000000000111</v>
      </c>
      <c r="G115" s="15" t="str">
        <f t="shared" si="5"/>
        <v>PERFORM * FROM "SchData-OLTP-Accounting"."Func_TblLayoutStructureChartOfAccount_SET"(varSystemLoginSession, null, null, null, varInstitutionBranchID, 62000000000001::bigint, varLayoutStructure_RefID, 65000000000111::bigint, 65000000000110::bigint, 1::smallint);</v>
      </c>
    </row>
    <row r="116" spans="2:7" x14ac:dyDescent="0.2">
      <c r="B116" s="9">
        <f>IF(EXACT([1]SEED!$AV117, ""), "", [1]SEED!$AV117)</f>
        <v>65000000000112</v>
      </c>
      <c r="C116" s="9">
        <f>IF(EXACT(B116, ""), "", IF(EXACT([1]SEED!$AW117, ""), "", [1]SEED!$AW117))</f>
        <v>65000000000107</v>
      </c>
      <c r="D116" s="9">
        <f>IF(EXACT([1]SEED!$B117, ""), IF(EXACT([1]SEED!$D117, ""), IF(EXACT([1]SEED!$F117, ""), IF(EXACT([1]SEED!$H117, ""), IF(EXACT([1]SEED!$J117, ""), "", [1]SEED!$AI117), [1]SEED!$AH117), [1]SEED!$AF117), [1]SEED!$AE117), [1]SEED!$AD117)</f>
        <v>1</v>
      </c>
      <c r="F116" s="14">
        <f t="shared" si="4"/>
        <v>237000000000112</v>
      </c>
      <c r="G116" s="15" t="str">
        <f t="shared" si="5"/>
        <v>PERFORM * FROM "SchData-OLTP-Accounting"."Func_TblLayoutStructureChartOfAccount_SET"(varSystemLoginSession, null, null, null, varInstitutionBranchID, 62000000000001::bigint, varLayoutStructure_RefID, 65000000000112::bigint, 65000000000107::bigint, 1::smallint);</v>
      </c>
    </row>
    <row r="117" spans="2:7" x14ac:dyDescent="0.2">
      <c r="B117" s="9">
        <f>IF(EXACT([1]SEED!$AV118, ""), "", [1]SEED!$AV118)</f>
        <v>65000000000113</v>
      </c>
      <c r="C117" s="9">
        <f>IF(EXACT(B117, ""), "", IF(EXACT([1]SEED!$AW118, ""), "", [1]SEED!$AW118))</f>
        <v>65000000000112</v>
      </c>
      <c r="D117" s="9">
        <f>IF(EXACT([1]SEED!$B118, ""), IF(EXACT([1]SEED!$D118, ""), IF(EXACT([1]SEED!$F118, ""), IF(EXACT([1]SEED!$H118, ""), IF(EXACT([1]SEED!$J118, ""), "", [1]SEED!$AI118), [1]SEED!$AH118), [1]SEED!$AF118), [1]SEED!$AE118), [1]SEED!$AD118)</f>
        <v>1</v>
      </c>
      <c r="F117" s="14">
        <f t="shared" si="4"/>
        <v>237000000000113</v>
      </c>
      <c r="G117" s="15" t="str">
        <f t="shared" si="5"/>
        <v>PERFORM * FROM "SchData-OLTP-Accounting"."Func_TblLayoutStructureChartOfAccount_SET"(varSystemLoginSession, null, null, null, varInstitutionBranchID, 62000000000001::bigint, varLayoutStructure_RefID, 65000000000113::bigint, 65000000000112::bigint, 1::smallint);</v>
      </c>
    </row>
    <row r="118" spans="2:7" x14ac:dyDescent="0.2">
      <c r="B118" s="9" t="str">
        <f>IF(EXACT([1]SEED!$AV119, ""), "", [1]SEED!$AV119)</f>
        <v/>
      </c>
      <c r="C118" s="9" t="str">
        <f>IF(EXACT(B118, ""), "", IF(EXACT([1]SEED!$AW119, ""), "", [1]SEED!$AW119))</f>
        <v/>
      </c>
      <c r="D118" s="9" t="str">
        <f>IF(EXACT([1]SEED!$B119, ""), IF(EXACT([1]SEED!$D119, ""), IF(EXACT([1]SEED!$F119, ""), IF(EXACT([1]SEED!$H119, ""), IF(EXACT([1]SEED!$J119, ""), "", [1]SEED!$AI119), [1]SEED!$AH119), [1]SEED!$AF119), [1]SEED!$AE119), [1]SEED!$AD119)</f>
        <v/>
      </c>
      <c r="F118" s="14">
        <f t="shared" si="4"/>
        <v>237000000000113</v>
      </c>
      <c r="G118" s="15" t="str">
        <f t="shared" si="5"/>
        <v/>
      </c>
    </row>
    <row r="119" spans="2:7" x14ac:dyDescent="0.2">
      <c r="B119" s="9">
        <f>IF(EXACT([1]SEED!$AV120, ""), "", [1]SEED!$AV120)</f>
        <v>65000000000114</v>
      </c>
      <c r="C119" s="9" t="str">
        <f>IF(EXACT(B119, ""), "", IF(EXACT([1]SEED!$AW120, ""), "", [1]SEED!$AW120))</f>
        <v>null</v>
      </c>
      <c r="D119" s="9">
        <f>IF(EXACT([1]SEED!$B120, ""), IF(EXACT([1]SEED!$D120, ""), IF(EXACT([1]SEED!$F120, ""), IF(EXACT([1]SEED!$H120, ""), IF(EXACT([1]SEED!$J120, ""), "", [1]SEED!$AI120), [1]SEED!$AH120), [1]SEED!$AF120), [1]SEED!$AE120), [1]SEED!$AD120)</f>
        <v>2</v>
      </c>
      <c r="F119" s="14">
        <f t="shared" si="4"/>
        <v>237000000000114</v>
      </c>
      <c r="G119" s="15" t="str">
        <f t="shared" si="5"/>
        <v>PERFORM * FROM "SchData-OLTP-Accounting"."Func_TblLayoutStructureChartOfAccount_SET"(varSystemLoginSession, null, null, null, varInstitutionBranchID, 62000000000001::bigint, varLayoutStructure_RefID, 65000000000114::bigint, null::bigint, 2::smallint);</v>
      </c>
    </row>
    <row r="120" spans="2:7" x14ac:dyDescent="0.2">
      <c r="B120" s="9">
        <f>IF(EXACT([1]SEED!$AV121, ""), "", [1]SEED!$AV121)</f>
        <v>65000000000115</v>
      </c>
      <c r="C120" s="9">
        <f>IF(EXACT(B120, ""), "", IF(EXACT([1]SEED!$AW121, ""), "", [1]SEED!$AW121))</f>
        <v>65000000000114</v>
      </c>
      <c r="D120" s="9">
        <f>IF(EXACT([1]SEED!$B121, ""), IF(EXACT([1]SEED!$D121, ""), IF(EXACT([1]SEED!$F121, ""), IF(EXACT([1]SEED!$H121, ""), IF(EXACT([1]SEED!$J121, ""), "", [1]SEED!$AI121), [1]SEED!$AH121), [1]SEED!$AF121), [1]SEED!$AE121), [1]SEED!$AD121)</f>
        <v>2</v>
      </c>
      <c r="F120" s="14">
        <f t="shared" si="4"/>
        <v>237000000000115</v>
      </c>
      <c r="G120" s="15" t="str">
        <f t="shared" si="5"/>
        <v>PERFORM * FROM "SchData-OLTP-Accounting"."Func_TblLayoutStructureChartOfAccount_SET"(varSystemLoginSession, null, null, null, varInstitutionBranchID, 62000000000001::bigint, varLayoutStructure_RefID, 65000000000115::bigint, 65000000000114::bigint, 2::smallint);</v>
      </c>
    </row>
    <row r="121" spans="2:7" x14ac:dyDescent="0.2">
      <c r="B121" s="9">
        <f>IF(EXACT([1]SEED!$AV122, ""), "", [1]SEED!$AV122)</f>
        <v>65000000000116</v>
      </c>
      <c r="C121" s="9">
        <f>IF(EXACT(B121, ""), "", IF(EXACT([1]SEED!$AW122, ""), "", [1]SEED!$AW122))</f>
        <v>65000000000115</v>
      </c>
      <c r="D121" s="9">
        <f>IF(EXACT([1]SEED!$B122, ""), IF(EXACT([1]SEED!$D122, ""), IF(EXACT([1]SEED!$F122, ""), IF(EXACT([1]SEED!$H122, ""), IF(EXACT([1]SEED!$J122, ""), "", [1]SEED!$AI122), [1]SEED!$AH122), [1]SEED!$AF122), [1]SEED!$AE122), [1]SEED!$AD122)</f>
        <v>1</v>
      </c>
      <c r="F121" s="14">
        <f t="shared" si="4"/>
        <v>237000000000116</v>
      </c>
      <c r="G121" s="15" t="str">
        <f t="shared" si="5"/>
        <v>PERFORM * FROM "SchData-OLTP-Accounting"."Func_TblLayoutStructureChartOfAccount_SET"(varSystemLoginSession, null, null, null, varInstitutionBranchID, 62000000000001::bigint, varLayoutStructure_RefID, 65000000000116::bigint, 65000000000115::bigint, 1::smallint);</v>
      </c>
    </row>
    <row r="122" spans="2:7" x14ac:dyDescent="0.2">
      <c r="B122" s="9">
        <f>IF(EXACT([1]SEED!$AV123, ""), "", [1]SEED!$AV123)</f>
        <v>65000000000117</v>
      </c>
      <c r="C122" s="9">
        <f>IF(EXACT(B122, ""), "", IF(EXACT([1]SEED!$AW123, ""), "", [1]SEED!$AW123))</f>
        <v>65000000000116</v>
      </c>
      <c r="D122" s="9">
        <f>IF(EXACT([1]SEED!$B123, ""), IF(EXACT([1]SEED!$D123, ""), IF(EXACT([1]SEED!$F123, ""), IF(EXACT([1]SEED!$H123, ""), IF(EXACT([1]SEED!$J123, ""), "", [1]SEED!$AI123), [1]SEED!$AH123), [1]SEED!$AF123), [1]SEED!$AE123), [1]SEED!$AD123)</f>
        <v>1</v>
      </c>
      <c r="F122" s="14">
        <f t="shared" si="4"/>
        <v>237000000000117</v>
      </c>
      <c r="G122" s="15" t="str">
        <f t="shared" si="5"/>
        <v>PERFORM * FROM "SchData-OLTP-Accounting"."Func_TblLayoutStructureChartOfAccount_SET"(varSystemLoginSession, null, null, null, varInstitutionBranchID, 62000000000001::bigint, varLayoutStructure_RefID, 65000000000117::bigint, 65000000000116::bigint, 1::smallint);</v>
      </c>
    </row>
    <row r="123" spans="2:7" x14ac:dyDescent="0.2">
      <c r="B123" s="9">
        <f>IF(EXACT([1]SEED!$AV124, ""), "", [1]SEED!$AV124)</f>
        <v>65000000000118</v>
      </c>
      <c r="C123" s="9">
        <f>IF(EXACT(B123, ""), "", IF(EXACT([1]SEED!$AW124, ""), "", [1]SEED!$AW124))</f>
        <v>65000000000116</v>
      </c>
      <c r="D123" s="9">
        <f>IF(EXACT([1]SEED!$B124, ""), IF(EXACT([1]SEED!$D124, ""), IF(EXACT([1]SEED!$F124, ""), IF(EXACT([1]SEED!$H124, ""), IF(EXACT([1]SEED!$J124, ""), "", [1]SEED!$AI124), [1]SEED!$AH124), [1]SEED!$AF124), [1]SEED!$AE124), [1]SEED!$AD124)</f>
        <v>1</v>
      </c>
      <c r="F123" s="14">
        <f t="shared" si="4"/>
        <v>237000000000118</v>
      </c>
      <c r="G123" s="15" t="str">
        <f t="shared" si="5"/>
        <v>PERFORM * FROM "SchData-OLTP-Accounting"."Func_TblLayoutStructureChartOfAccount_SET"(varSystemLoginSession, null, null, null, varInstitutionBranchID, 62000000000001::bigint, varLayoutStructure_RefID, 65000000000118::bigint, 65000000000116::bigint, 1::smallint);</v>
      </c>
    </row>
    <row r="124" spans="2:7" x14ac:dyDescent="0.2">
      <c r="B124" s="9">
        <f>IF(EXACT([1]SEED!$AV125, ""), "", [1]SEED!$AV125)</f>
        <v>65000000000119</v>
      </c>
      <c r="C124" s="9">
        <f>IF(EXACT(B124, ""), "", IF(EXACT([1]SEED!$AW125, ""), "", [1]SEED!$AW125))</f>
        <v>65000000000116</v>
      </c>
      <c r="D124" s="9">
        <f>IF(EXACT([1]SEED!$B125, ""), IF(EXACT([1]SEED!$D125, ""), IF(EXACT([1]SEED!$F125, ""), IF(EXACT([1]SEED!$H125, ""), IF(EXACT([1]SEED!$J125, ""), "", [1]SEED!$AI125), [1]SEED!$AH125), [1]SEED!$AF125), [1]SEED!$AE125), [1]SEED!$AD125)</f>
        <v>1</v>
      </c>
      <c r="F124" s="14">
        <f t="shared" si="4"/>
        <v>237000000000119</v>
      </c>
      <c r="G124" s="15" t="str">
        <f t="shared" si="5"/>
        <v>PERFORM * FROM "SchData-OLTP-Accounting"."Func_TblLayoutStructureChartOfAccount_SET"(varSystemLoginSession, null, null, null, varInstitutionBranchID, 62000000000001::bigint, varLayoutStructure_RefID, 65000000000119::bigint, 65000000000116::bigint, 1::smallint);</v>
      </c>
    </row>
    <row r="125" spans="2:7" x14ac:dyDescent="0.2">
      <c r="B125" s="9">
        <f>IF(EXACT([1]SEED!$AV126, ""), "", [1]SEED!$AV126)</f>
        <v>65000000000120</v>
      </c>
      <c r="C125" s="9">
        <f>IF(EXACT(B125, ""), "", IF(EXACT([1]SEED!$AW126, ""), "", [1]SEED!$AW126))</f>
        <v>65000000000115</v>
      </c>
      <c r="D125" s="9">
        <f>IF(EXACT([1]SEED!$B126, ""), IF(EXACT([1]SEED!$D126, ""), IF(EXACT([1]SEED!$F126, ""), IF(EXACT([1]SEED!$H126, ""), IF(EXACT([1]SEED!$J126, ""), "", [1]SEED!$AI126), [1]SEED!$AH126), [1]SEED!$AF126), [1]SEED!$AE126), [1]SEED!$AD126)</f>
        <v>1</v>
      </c>
      <c r="F125" s="14">
        <f t="shared" si="4"/>
        <v>237000000000120</v>
      </c>
      <c r="G125" s="15" t="str">
        <f t="shared" si="5"/>
        <v>PERFORM * FROM "SchData-OLTP-Accounting"."Func_TblLayoutStructureChartOfAccount_SET"(varSystemLoginSession, null, null, null, varInstitutionBranchID, 62000000000001::bigint, varLayoutStructure_RefID, 65000000000120::bigint, 65000000000115::bigint, 1::smallint);</v>
      </c>
    </row>
    <row r="126" spans="2:7" x14ac:dyDescent="0.2">
      <c r="B126" s="9">
        <f>IF(EXACT([1]SEED!$AV127, ""), "", [1]SEED!$AV127)</f>
        <v>65000000000121</v>
      </c>
      <c r="C126" s="9">
        <f>IF(EXACT(B126, ""), "", IF(EXACT([1]SEED!$AW127, ""), "", [1]SEED!$AW127))</f>
        <v>65000000000120</v>
      </c>
      <c r="D126" s="9">
        <f>IF(EXACT([1]SEED!$B127, ""), IF(EXACT([1]SEED!$D127, ""), IF(EXACT([1]SEED!$F127, ""), IF(EXACT([1]SEED!$H127, ""), IF(EXACT([1]SEED!$J127, ""), "", [1]SEED!$AI127), [1]SEED!$AH127), [1]SEED!$AF127), [1]SEED!$AE127), [1]SEED!$AD127)</f>
        <v>1</v>
      </c>
      <c r="F126" s="14">
        <f t="shared" si="4"/>
        <v>237000000000121</v>
      </c>
      <c r="G126" s="15" t="str">
        <f t="shared" si="5"/>
        <v>PERFORM * FROM "SchData-OLTP-Accounting"."Func_TblLayoutStructureChartOfAccount_SET"(varSystemLoginSession, null, null, null, varInstitutionBranchID, 62000000000001::bigint, varLayoutStructure_RefID, 65000000000121::bigint, 65000000000120::bigint, 1::smallint);</v>
      </c>
    </row>
    <row r="127" spans="2:7" x14ac:dyDescent="0.2">
      <c r="B127" s="9">
        <f>IF(EXACT([1]SEED!$AV128, ""), "", [1]SEED!$AV128)</f>
        <v>65000000000122</v>
      </c>
      <c r="C127" s="9">
        <f>IF(EXACT(B127, ""), "", IF(EXACT([1]SEED!$AW128, ""), "", [1]SEED!$AW128))</f>
        <v>65000000000115</v>
      </c>
      <c r="D127" s="9">
        <f>IF(EXACT([1]SEED!$B128, ""), IF(EXACT([1]SEED!$D128, ""), IF(EXACT([1]SEED!$F128, ""), IF(EXACT([1]SEED!$H128, ""), IF(EXACT([1]SEED!$J128, ""), "", [1]SEED!$AI128), [1]SEED!$AH128), [1]SEED!$AF128), [1]SEED!$AE128), [1]SEED!$AD128)</f>
        <v>1</v>
      </c>
      <c r="F127" s="14">
        <f t="shared" si="4"/>
        <v>237000000000122</v>
      </c>
      <c r="G127" s="15" t="str">
        <f t="shared" si="5"/>
        <v>PERFORM * FROM "SchData-OLTP-Accounting"."Func_TblLayoutStructureChartOfAccount_SET"(varSystemLoginSession, null, null, null, varInstitutionBranchID, 62000000000001::bigint, varLayoutStructure_RefID, 65000000000122::bigint, 65000000000115::bigint, 1::smallint);</v>
      </c>
    </row>
    <row r="128" spans="2:7" x14ac:dyDescent="0.2">
      <c r="B128" s="9">
        <f>IF(EXACT([1]SEED!$AV129, ""), "", [1]SEED!$AV129)</f>
        <v>65000000000123</v>
      </c>
      <c r="C128" s="9">
        <f>IF(EXACT(B128, ""), "", IF(EXACT([1]SEED!$AW129, ""), "", [1]SEED!$AW129))</f>
        <v>65000000000122</v>
      </c>
      <c r="D128" s="9">
        <f>IF(EXACT([1]SEED!$B129, ""), IF(EXACT([1]SEED!$D129, ""), IF(EXACT([1]SEED!$F129, ""), IF(EXACT([1]SEED!$H129, ""), IF(EXACT([1]SEED!$J129, ""), "", [1]SEED!$AI129), [1]SEED!$AH129), [1]SEED!$AF129), [1]SEED!$AE129), [1]SEED!$AD129)</f>
        <v>1</v>
      </c>
      <c r="F128" s="14">
        <f t="shared" si="4"/>
        <v>237000000000123</v>
      </c>
      <c r="G128" s="15" t="str">
        <f t="shared" si="5"/>
        <v>PERFORM * FROM "SchData-OLTP-Accounting"."Func_TblLayoutStructureChartOfAccount_SET"(varSystemLoginSession, null, null, null, varInstitutionBranchID, 62000000000001::bigint, varLayoutStructure_RefID, 65000000000123::bigint, 65000000000122::bigint, 1::smallint);</v>
      </c>
    </row>
    <row r="129" spans="2:7" x14ac:dyDescent="0.2">
      <c r="B129" s="9">
        <f>IF(EXACT([1]SEED!$AV130, ""), "", [1]SEED!$AV130)</f>
        <v>65000000000124</v>
      </c>
      <c r="C129" s="9">
        <f>IF(EXACT(B129, ""), "", IF(EXACT([1]SEED!$AW130, ""), "", [1]SEED!$AW130))</f>
        <v>65000000000122</v>
      </c>
      <c r="D129" s="9">
        <f>IF(EXACT([1]SEED!$B130, ""), IF(EXACT([1]SEED!$D130, ""), IF(EXACT([1]SEED!$F130, ""), IF(EXACT([1]SEED!$H130, ""), IF(EXACT([1]SEED!$J130, ""), "", [1]SEED!$AI130), [1]SEED!$AH130), [1]SEED!$AF130), [1]SEED!$AE130), [1]SEED!$AD130)</f>
        <v>1</v>
      </c>
      <c r="F129" s="14">
        <f t="shared" si="4"/>
        <v>237000000000124</v>
      </c>
      <c r="G129" s="15" t="str">
        <f t="shared" si="5"/>
        <v>PERFORM * FROM "SchData-OLTP-Accounting"."Func_TblLayoutStructureChartOfAccount_SET"(varSystemLoginSession, null, null, null, varInstitutionBranchID, 62000000000001::bigint, varLayoutStructure_RefID, 65000000000124::bigint, 65000000000122::bigint, 1::smallint);</v>
      </c>
    </row>
    <row r="130" spans="2:7" x14ac:dyDescent="0.2">
      <c r="B130" s="9">
        <f>IF(EXACT([1]SEED!$AV131, ""), "", [1]SEED!$AV131)</f>
        <v>65000000000125</v>
      </c>
      <c r="C130" s="9">
        <f>IF(EXACT(B130, ""), "", IF(EXACT([1]SEED!$AW131, ""), "", [1]SEED!$AW131))</f>
        <v>65000000000115</v>
      </c>
      <c r="D130" s="9">
        <f>IF(EXACT([1]SEED!$B131, ""), IF(EXACT([1]SEED!$D131, ""), IF(EXACT([1]SEED!$F131, ""), IF(EXACT([1]SEED!$H131, ""), IF(EXACT([1]SEED!$J131, ""), "", [1]SEED!$AI131), [1]SEED!$AH131), [1]SEED!$AF131), [1]SEED!$AE131), [1]SEED!$AD131)</f>
        <v>1</v>
      </c>
      <c r="F130" s="14">
        <f t="shared" si="4"/>
        <v>237000000000125</v>
      </c>
      <c r="G130" s="15" t="str">
        <f t="shared" si="5"/>
        <v>PERFORM * FROM "SchData-OLTP-Accounting"."Func_TblLayoutStructureChartOfAccount_SET"(varSystemLoginSession, null, null, null, varInstitutionBranchID, 62000000000001::bigint, varLayoutStructure_RefID, 65000000000125::bigint, 65000000000115::bigint, 1::smallint);</v>
      </c>
    </row>
    <row r="131" spans="2:7" x14ac:dyDescent="0.2">
      <c r="B131" s="9">
        <f>IF(EXACT([1]SEED!$AV132, ""), "", [1]SEED!$AV132)</f>
        <v>65000000000126</v>
      </c>
      <c r="C131" s="9">
        <f>IF(EXACT(B131, ""), "", IF(EXACT([1]SEED!$AW132, ""), "", [1]SEED!$AW132))</f>
        <v>65000000000125</v>
      </c>
      <c r="D131" s="9">
        <f>IF(EXACT([1]SEED!$B132, ""), IF(EXACT([1]SEED!$D132, ""), IF(EXACT([1]SEED!$F132, ""), IF(EXACT([1]SEED!$H132, ""), IF(EXACT([1]SEED!$J132, ""), "", [1]SEED!$AI132), [1]SEED!$AH132), [1]SEED!$AF132), [1]SEED!$AE132), [1]SEED!$AD132)</f>
        <v>1</v>
      </c>
      <c r="F131" s="14">
        <f t="shared" si="4"/>
        <v>237000000000126</v>
      </c>
      <c r="G131" s="15" t="str">
        <f t="shared" si="5"/>
        <v>PERFORM * FROM "SchData-OLTP-Accounting"."Func_TblLayoutStructureChartOfAccount_SET"(varSystemLoginSession, null, null, null, varInstitutionBranchID, 62000000000001::bigint, varLayoutStructure_RefID, 65000000000126::bigint, 65000000000125::bigint, 1::smallint);</v>
      </c>
    </row>
    <row r="132" spans="2:7" x14ac:dyDescent="0.2">
      <c r="B132" s="9">
        <f>IF(EXACT([1]SEED!$AV133, ""), "", [1]SEED!$AV133)</f>
        <v>65000000000127</v>
      </c>
      <c r="C132" s="9">
        <f>IF(EXACT(B132, ""), "", IF(EXACT([1]SEED!$AW133, ""), "", [1]SEED!$AW133))</f>
        <v>65000000000115</v>
      </c>
      <c r="D132" s="9">
        <f>IF(EXACT([1]SEED!$B133, ""), IF(EXACT([1]SEED!$D133, ""), IF(EXACT([1]SEED!$F133, ""), IF(EXACT([1]SEED!$H133, ""), IF(EXACT([1]SEED!$J133, ""), "", [1]SEED!$AI133), [1]SEED!$AH133), [1]SEED!$AF133), [1]SEED!$AE133), [1]SEED!$AD133)</f>
        <v>1</v>
      </c>
      <c r="F132" s="14">
        <f t="shared" si="4"/>
        <v>237000000000127</v>
      </c>
      <c r="G132" s="15" t="str">
        <f t="shared" si="5"/>
        <v>PERFORM * FROM "SchData-OLTP-Accounting"."Func_TblLayoutStructureChartOfAccount_SET"(varSystemLoginSession, null, null, null, varInstitutionBranchID, 62000000000001::bigint, varLayoutStructure_RefID, 65000000000127::bigint, 65000000000115::bigint, 1::smallint);</v>
      </c>
    </row>
    <row r="133" spans="2:7" x14ac:dyDescent="0.2">
      <c r="B133" s="9">
        <f>IF(EXACT([1]SEED!$AV134, ""), "", [1]SEED!$AV134)</f>
        <v>65000000000128</v>
      </c>
      <c r="C133" s="9">
        <f>IF(EXACT(B133, ""), "", IF(EXACT([1]SEED!$AW134, ""), "", [1]SEED!$AW134))</f>
        <v>65000000000127</v>
      </c>
      <c r="D133" s="9">
        <f>IF(EXACT([1]SEED!$B134, ""), IF(EXACT([1]SEED!$D134, ""), IF(EXACT([1]SEED!$F134, ""), IF(EXACT([1]SEED!$H134, ""), IF(EXACT([1]SEED!$J134, ""), "", [1]SEED!$AI134), [1]SEED!$AH134), [1]SEED!$AF134), [1]SEED!$AE134), [1]SEED!$AD134)</f>
        <v>1</v>
      </c>
      <c r="F133" s="14">
        <f t="shared" si="4"/>
        <v>237000000000128</v>
      </c>
      <c r="G133" s="15" t="str">
        <f t="shared" si="5"/>
        <v>PERFORM * FROM "SchData-OLTP-Accounting"."Func_TblLayoutStructureChartOfAccount_SET"(varSystemLoginSession, null, null, null, varInstitutionBranchID, 62000000000001::bigint, varLayoutStructure_RefID, 65000000000128::bigint, 65000000000127::bigint, 1::smallint);</v>
      </c>
    </row>
    <row r="134" spans="2:7" x14ac:dyDescent="0.2">
      <c r="B134" s="9">
        <f>IF(EXACT([1]SEED!$AV135, ""), "", [1]SEED!$AV135)</f>
        <v>65000000000129</v>
      </c>
      <c r="C134" s="9">
        <f>IF(EXACT(B134, ""), "", IF(EXACT([1]SEED!$AW135, ""), "", [1]SEED!$AW135))</f>
        <v>65000000000115</v>
      </c>
      <c r="D134" s="9">
        <f>IF(EXACT([1]SEED!$B135, ""), IF(EXACT([1]SEED!$D135, ""), IF(EXACT([1]SEED!$F135, ""), IF(EXACT([1]SEED!$H135, ""), IF(EXACT([1]SEED!$J135, ""), "", [1]SEED!$AI135), [1]SEED!$AH135), [1]SEED!$AF135), [1]SEED!$AE135), [1]SEED!$AD135)</f>
        <v>1</v>
      </c>
      <c r="F134" s="14">
        <f t="shared" si="4"/>
        <v>237000000000129</v>
      </c>
      <c r="G134" s="15" t="str">
        <f t="shared" si="5"/>
        <v>PERFORM * FROM "SchData-OLTP-Accounting"."Func_TblLayoutStructureChartOfAccount_SET"(varSystemLoginSession, null, null, null, varInstitutionBranchID, 62000000000001::bigint, varLayoutStructure_RefID, 65000000000129::bigint, 65000000000115::bigint, 1::smallint);</v>
      </c>
    </row>
    <row r="135" spans="2:7" x14ac:dyDescent="0.2">
      <c r="B135" s="9">
        <f>IF(EXACT([1]SEED!$AV136, ""), "", [1]SEED!$AV136)</f>
        <v>65000000000130</v>
      </c>
      <c r="C135" s="9">
        <f>IF(EXACT(B135, ""), "", IF(EXACT([1]SEED!$AW136, ""), "", [1]SEED!$AW136))</f>
        <v>65000000000129</v>
      </c>
      <c r="D135" s="9">
        <f>IF(EXACT([1]SEED!$B136, ""), IF(EXACT([1]SEED!$D136, ""), IF(EXACT([1]SEED!$F136, ""), IF(EXACT([1]SEED!$H136, ""), IF(EXACT([1]SEED!$J136, ""), "", [1]SEED!$AI136), [1]SEED!$AH136), [1]SEED!$AF136), [1]SEED!$AE136), [1]SEED!$AD136)</f>
        <v>1</v>
      </c>
      <c r="F135" s="14">
        <f t="shared" ref="F135:F198" si="6" xml:space="preserve"> F134 + IF(EXACT(G135, ""), 0, 1)</f>
        <v>237000000000130</v>
      </c>
      <c r="G135" s="15" t="str">
        <f t="shared" ref="G135:G198" si="7">IF(EXACT(B135, ""), "", CONCATENATE("PERFORM * FROM ""SchData-OLTP-Accounting"".""Func_TblLayoutStructureChartOfAccount_SET""(varSystemLoginSession, null, null, null, varInstitutionBranchID, 62000000000001::bigint, varLayoutStructure_RefID, ", B135, "::bigint, ", C135, "::bigint, ", D135,"::smallint);"))</f>
        <v>PERFORM * FROM "SchData-OLTP-Accounting"."Func_TblLayoutStructureChartOfAccount_SET"(varSystemLoginSession, null, null, null, varInstitutionBranchID, 62000000000001::bigint, varLayoutStructure_RefID, 65000000000130::bigint, 65000000000129::bigint, 1::smallint);</v>
      </c>
    </row>
    <row r="136" spans="2:7" x14ac:dyDescent="0.2">
      <c r="B136" s="9">
        <f>IF(EXACT([1]SEED!$AV137, ""), "", [1]SEED!$AV137)</f>
        <v>65000000000131</v>
      </c>
      <c r="C136" s="9">
        <f>IF(EXACT(B136, ""), "", IF(EXACT([1]SEED!$AW137, ""), "", [1]SEED!$AW137))</f>
        <v>65000000000115</v>
      </c>
      <c r="D136" s="9">
        <f>IF(EXACT([1]SEED!$B137, ""), IF(EXACT([1]SEED!$D137, ""), IF(EXACT([1]SEED!$F137, ""), IF(EXACT([1]SEED!$H137, ""), IF(EXACT([1]SEED!$J137, ""), "", [1]SEED!$AI137), [1]SEED!$AH137), [1]SEED!$AF137), [1]SEED!$AE137), [1]SEED!$AD137)</f>
        <v>2</v>
      </c>
      <c r="F136" s="14">
        <f t="shared" si="6"/>
        <v>237000000000131</v>
      </c>
      <c r="G136" s="15" t="str">
        <f t="shared" si="7"/>
        <v>PERFORM * FROM "SchData-OLTP-Accounting"."Func_TblLayoutStructureChartOfAccount_SET"(varSystemLoginSession, null, null, null, varInstitutionBranchID, 62000000000001::bigint, varLayoutStructure_RefID, 65000000000131::bigint, 65000000000115::bigint, 2::smallint);</v>
      </c>
    </row>
    <row r="137" spans="2:7" x14ac:dyDescent="0.2">
      <c r="B137" s="9">
        <f>IF(EXACT([1]SEED!$AV138, ""), "", [1]SEED!$AV138)</f>
        <v>65000000000132</v>
      </c>
      <c r="C137" s="9">
        <f>IF(EXACT(B137, ""), "", IF(EXACT([1]SEED!$AW138, ""), "", [1]SEED!$AW138))</f>
        <v>65000000000131</v>
      </c>
      <c r="D137" s="9">
        <f>IF(EXACT([1]SEED!$B138, ""), IF(EXACT([1]SEED!$D138, ""), IF(EXACT([1]SEED!$F138, ""), IF(EXACT([1]SEED!$H138, ""), IF(EXACT([1]SEED!$J138, ""), "", [1]SEED!$AI138), [1]SEED!$AH138), [1]SEED!$AF138), [1]SEED!$AE138), [1]SEED!$AD138)</f>
        <v>1</v>
      </c>
      <c r="F137" s="14">
        <f t="shared" si="6"/>
        <v>237000000000132</v>
      </c>
      <c r="G137" s="15" t="str">
        <f t="shared" si="7"/>
        <v>PERFORM * FROM "SchData-OLTP-Accounting"."Func_TblLayoutStructureChartOfAccount_SET"(varSystemLoginSession, null, null, null, varInstitutionBranchID, 62000000000001::bigint, varLayoutStructure_RefID, 65000000000132::bigint, 65000000000131::bigint, 1::smallint);</v>
      </c>
    </row>
    <row r="138" spans="2:7" x14ac:dyDescent="0.2">
      <c r="B138" s="9">
        <f>IF(EXACT([1]SEED!$AV139, ""), "", [1]SEED!$AV139)</f>
        <v>65000000000133</v>
      </c>
      <c r="C138" s="9">
        <f>IF(EXACT(B138, ""), "", IF(EXACT([1]SEED!$AW139, ""), "", [1]SEED!$AW139))</f>
        <v>65000000000132</v>
      </c>
      <c r="D138" s="9">
        <f>IF(EXACT([1]SEED!$B139, ""), IF(EXACT([1]SEED!$D139, ""), IF(EXACT([1]SEED!$F139, ""), IF(EXACT([1]SEED!$H139, ""), IF(EXACT([1]SEED!$J139, ""), "", [1]SEED!$AI139), [1]SEED!$AH139), [1]SEED!$AF139), [1]SEED!$AE139), [1]SEED!$AD139)</f>
        <v>1</v>
      </c>
      <c r="F138" s="14">
        <f t="shared" si="6"/>
        <v>237000000000133</v>
      </c>
      <c r="G138" s="15" t="str">
        <f t="shared" si="7"/>
        <v>PERFORM * FROM "SchData-OLTP-Accounting"."Func_TblLayoutStructureChartOfAccount_SET"(varSystemLoginSession, null, null, null, varInstitutionBranchID, 62000000000001::bigint, varLayoutStructure_RefID, 65000000000133::bigint, 65000000000132::bigint, 1::smallint);</v>
      </c>
    </row>
    <row r="139" spans="2:7" x14ac:dyDescent="0.2">
      <c r="B139" s="9">
        <f>IF(EXACT([1]SEED!$AV140, ""), "", [1]SEED!$AV140)</f>
        <v>65000000000134</v>
      </c>
      <c r="C139" s="9">
        <f>IF(EXACT(B139, ""), "", IF(EXACT([1]SEED!$AW140, ""), "", [1]SEED!$AW140))</f>
        <v>65000000000131</v>
      </c>
      <c r="D139" s="9">
        <f>IF(EXACT([1]SEED!$B140, ""), IF(EXACT([1]SEED!$D140, ""), IF(EXACT([1]SEED!$F140, ""), IF(EXACT([1]SEED!$H140, ""), IF(EXACT([1]SEED!$J140, ""), "", [1]SEED!$AI140), [1]SEED!$AH140), [1]SEED!$AF140), [1]SEED!$AE140), [1]SEED!$AD140)</f>
        <v>1</v>
      </c>
      <c r="F139" s="14">
        <f t="shared" si="6"/>
        <v>237000000000134</v>
      </c>
      <c r="G139" s="15" t="str">
        <f t="shared" si="7"/>
        <v>PERFORM * FROM "SchData-OLTP-Accounting"."Func_TblLayoutStructureChartOfAccount_SET"(varSystemLoginSession, null, null, null, varInstitutionBranchID, 62000000000001::bigint, varLayoutStructure_RefID, 65000000000134::bigint, 65000000000131::bigint, 1::smallint);</v>
      </c>
    </row>
    <row r="140" spans="2:7" x14ac:dyDescent="0.2">
      <c r="B140" s="9">
        <f>IF(EXACT([1]SEED!$AV141, ""), "", [1]SEED!$AV141)</f>
        <v>65000000000135</v>
      </c>
      <c r="C140" s="9">
        <f>IF(EXACT(B140, ""), "", IF(EXACT([1]SEED!$AW141, ""), "", [1]SEED!$AW141))</f>
        <v>65000000000134</v>
      </c>
      <c r="D140" s="9">
        <f>IF(EXACT([1]SEED!$B141, ""), IF(EXACT([1]SEED!$D141, ""), IF(EXACT([1]SEED!$F141, ""), IF(EXACT([1]SEED!$H141, ""), IF(EXACT([1]SEED!$J141, ""), "", [1]SEED!$AI141), [1]SEED!$AH141), [1]SEED!$AF141), [1]SEED!$AE141), [1]SEED!$AD141)</f>
        <v>1</v>
      </c>
      <c r="F140" s="14">
        <f t="shared" si="6"/>
        <v>237000000000135</v>
      </c>
      <c r="G140" s="15" t="str">
        <f t="shared" si="7"/>
        <v>PERFORM * FROM "SchData-OLTP-Accounting"."Func_TblLayoutStructureChartOfAccount_SET"(varSystemLoginSession, null, null, null, varInstitutionBranchID, 62000000000001::bigint, varLayoutStructure_RefID, 65000000000135::bigint, 65000000000134::bigint, 1::smallint);</v>
      </c>
    </row>
    <row r="141" spans="2:7" x14ac:dyDescent="0.2">
      <c r="B141" s="9">
        <f>IF(EXACT([1]SEED!$AV142, ""), "", [1]SEED!$AV142)</f>
        <v>65000000000136</v>
      </c>
      <c r="C141" s="9">
        <f>IF(EXACT(B141, ""), "", IF(EXACT([1]SEED!$AW142, ""), "", [1]SEED!$AW142))</f>
        <v>65000000000131</v>
      </c>
      <c r="D141" s="9">
        <f>IF(EXACT([1]SEED!$B142, ""), IF(EXACT([1]SEED!$D142, ""), IF(EXACT([1]SEED!$F142, ""), IF(EXACT([1]SEED!$H142, ""), IF(EXACT([1]SEED!$J142, ""), "", [1]SEED!$AI142), [1]SEED!$AH142), [1]SEED!$AF142), [1]SEED!$AE142), [1]SEED!$AD142)</f>
        <v>1</v>
      </c>
      <c r="F141" s="14">
        <f t="shared" si="6"/>
        <v>237000000000136</v>
      </c>
      <c r="G141" s="15" t="str">
        <f t="shared" si="7"/>
        <v>PERFORM * FROM "SchData-OLTP-Accounting"."Func_TblLayoutStructureChartOfAccount_SET"(varSystemLoginSession, null, null, null, varInstitutionBranchID, 62000000000001::bigint, varLayoutStructure_RefID, 65000000000136::bigint, 65000000000131::bigint, 1::smallint);</v>
      </c>
    </row>
    <row r="142" spans="2:7" x14ac:dyDescent="0.2">
      <c r="B142" s="9">
        <f>IF(EXACT([1]SEED!$AV143, ""), "", [1]SEED!$AV143)</f>
        <v>65000000000137</v>
      </c>
      <c r="C142" s="9">
        <f>IF(EXACT(B142, ""), "", IF(EXACT([1]SEED!$AW143, ""), "", [1]SEED!$AW143))</f>
        <v>65000000000136</v>
      </c>
      <c r="D142" s="9">
        <f>IF(EXACT([1]SEED!$B143, ""), IF(EXACT([1]SEED!$D143, ""), IF(EXACT([1]SEED!$F143, ""), IF(EXACT([1]SEED!$H143, ""), IF(EXACT([1]SEED!$J143, ""), "", [1]SEED!$AI143), [1]SEED!$AH143), [1]SEED!$AF143), [1]SEED!$AE143), [1]SEED!$AD143)</f>
        <v>1</v>
      </c>
      <c r="F142" s="14">
        <f t="shared" si="6"/>
        <v>237000000000137</v>
      </c>
      <c r="G142" s="15" t="str">
        <f t="shared" si="7"/>
        <v>PERFORM * FROM "SchData-OLTP-Accounting"."Func_TblLayoutStructureChartOfAccount_SET"(varSystemLoginSession, null, null, null, varInstitutionBranchID, 62000000000001::bigint, varLayoutStructure_RefID, 65000000000137::bigint, 65000000000136::bigint, 1::smallint);</v>
      </c>
    </row>
    <row r="143" spans="2:7" x14ac:dyDescent="0.2">
      <c r="B143" s="9">
        <f>IF(EXACT([1]SEED!$AV144, ""), "", [1]SEED!$AV144)</f>
        <v>65000000000138</v>
      </c>
      <c r="C143" s="9">
        <f>IF(EXACT(B143, ""), "", IF(EXACT([1]SEED!$AW144, ""), "", [1]SEED!$AW144))</f>
        <v>65000000000131</v>
      </c>
      <c r="D143" s="9">
        <f>IF(EXACT([1]SEED!$B144, ""), IF(EXACT([1]SEED!$D144, ""), IF(EXACT([1]SEED!$F144, ""), IF(EXACT([1]SEED!$H144, ""), IF(EXACT([1]SEED!$J144, ""), "", [1]SEED!$AI144), [1]SEED!$AH144), [1]SEED!$AF144), [1]SEED!$AE144), [1]SEED!$AD144)</f>
        <v>1</v>
      </c>
      <c r="F143" s="14">
        <f t="shared" si="6"/>
        <v>237000000000138</v>
      </c>
      <c r="G143" s="15" t="str">
        <f t="shared" si="7"/>
        <v>PERFORM * FROM "SchData-OLTP-Accounting"."Func_TblLayoutStructureChartOfAccount_SET"(varSystemLoginSession, null, null, null, varInstitutionBranchID, 62000000000001::bigint, varLayoutStructure_RefID, 65000000000138::bigint, 65000000000131::bigint, 1::smallint);</v>
      </c>
    </row>
    <row r="144" spans="2:7" x14ac:dyDescent="0.2">
      <c r="B144" s="9">
        <f>IF(EXACT([1]SEED!$AV145, ""), "", [1]SEED!$AV145)</f>
        <v>65000000000139</v>
      </c>
      <c r="C144" s="9">
        <f>IF(EXACT(B144, ""), "", IF(EXACT([1]SEED!$AW145, ""), "", [1]SEED!$AW145))</f>
        <v>65000000000138</v>
      </c>
      <c r="D144" s="9">
        <f>IF(EXACT([1]SEED!$B145, ""), IF(EXACT([1]SEED!$D145, ""), IF(EXACT([1]SEED!$F145, ""), IF(EXACT([1]SEED!$H145, ""), IF(EXACT([1]SEED!$J145, ""), "", [1]SEED!$AI145), [1]SEED!$AH145), [1]SEED!$AF145), [1]SEED!$AE145), [1]SEED!$AD145)</f>
        <v>1</v>
      </c>
      <c r="F144" s="14">
        <f t="shared" si="6"/>
        <v>237000000000139</v>
      </c>
      <c r="G144" s="15" t="str">
        <f t="shared" si="7"/>
        <v>PERFORM * FROM "SchData-OLTP-Accounting"."Func_TblLayoutStructureChartOfAccount_SET"(varSystemLoginSession, null, null, null, varInstitutionBranchID, 62000000000001::bigint, varLayoutStructure_RefID, 65000000000139::bigint, 65000000000138::bigint, 1::smallint);</v>
      </c>
    </row>
    <row r="145" spans="2:7" x14ac:dyDescent="0.2">
      <c r="B145" s="9">
        <f>IF(EXACT([1]SEED!$AV146, ""), "", [1]SEED!$AV146)</f>
        <v>65000000000140</v>
      </c>
      <c r="C145" s="9">
        <f>IF(EXACT(B145, ""), "", IF(EXACT([1]SEED!$AW146, ""), "", [1]SEED!$AW146))</f>
        <v>65000000000131</v>
      </c>
      <c r="D145" s="9">
        <f>IF(EXACT([1]SEED!$B146, ""), IF(EXACT([1]SEED!$D146, ""), IF(EXACT([1]SEED!$F146, ""), IF(EXACT([1]SEED!$H146, ""), IF(EXACT([1]SEED!$J146, ""), "", [1]SEED!$AI146), [1]SEED!$AH146), [1]SEED!$AF146), [1]SEED!$AE146), [1]SEED!$AD146)</f>
        <v>1</v>
      </c>
      <c r="F145" s="14">
        <f t="shared" si="6"/>
        <v>237000000000140</v>
      </c>
      <c r="G145" s="15" t="str">
        <f t="shared" si="7"/>
        <v>PERFORM * FROM "SchData-OLTP-Accounting"."Func_TblLayoutStructureChartOfAccount_SET"(varSystemLoginSession, null, null, null, varInstitutionBranchID, 62000000000001::bigint, varLayoutStructure_RefID, 65000000000140::bigint, 65000000000131::bigint, 1::smallint);</v>
      </c>
    </row>
    <row r="146" spans="2:7" x14ac:dyDescent="0.2">
      <c r="B146" s="9">
        <f>IF(EXACT([1]SEED!$AV147, ""), "", [1]SEED!$AV147)</f>
        <v>65000000000141</v>
      </c>
      <c r="C146" s="9">
        <f>IF(EXACT(B146, ""), "", IF(EXACT([1]SEED!$AW147, ""), "", [1]SEED!$AW147))</f>
        <v>65000000000140</v>
      </c>
      <c r="D146" s="9">
        <f>IF(EXACT([1]SEED!$B147, ""), IF(EXACT([1]SEED!$D147, ""), IF(EXACT([1]SEED!$F147, ""), IF(EXACT([1]SEED!$H147, ""), IF(EXACT([1]SEED!$J147, ""), "", [1]SEED!$AI147), [1]SEED!$AH147), [1]SEED!$AF147), [1]SEED!$AE147), [1]SEED!$AD147)</f>
        <v>1</v>
      </c>
      <c r="F146" s="14">
        <f t="shared" si="6"/>
        <v>237000000000141</v>
      </c>
      <c r="G146" s="15" t="str">
        <f t="shared" si="7"/>
        <v>PERFORM * FROM "SchData-OLTP-Accounting"."Func_TblLayoutStructureChartOfAccount_SET"(varSystemLoginSession, null, null, null, varInstitutionBranchID, 62000000000001::bigint, varLayoutStructure_RefID, 65000000000141::bigint, 65000000000140::bigint, 1::smallint);</v>
      </c>
    </row>
    <row r="147" spans="2:7" x14ac:dyDescent="0.2">
      <c r="B147" s="9">
        <f>IF(EXACT([1]SEED!$AV148, ""), "", [1]SEED!$AV148)</f>
        <v>65000000000142</v>
      </c>
      <c r="C147" s="9">
        <f>IF(EXACT(B147, ""), "", IF(EXACT([1]SEED!$AW148, ""), "", [1]SEED!$AW148))</f>
        <v>65000000000131</v>
      </c>
      <c r="D147" s="9">
        <f>IF(EXACT([1]SEED!$B148, ""), IF(EXACT([1]SEED!$D148, ""), IF(EXACT([1]SEED!$F148, ""), IF(EXACT([1]SEED!$H148, ""), IF(EXACT([1]SEED!$J148, ""), "", [1]SEED!$AI148), [1]SEED!$AH148), [1]SEED!$AF148), [1]SEED!$AE148), [1]SEED!$AD148)</f>
        <v>1</v>
      </c>
      <c r="F147" s="14">
        <f t="shared" si="6"/>
        <v>237000000000142</v>
      </c>
      <c r="G147" s="15" t="str">
        <f t="shared" si="7"/>
        <v>PERFORM * FROM "SchData-OLTP-Accounting"."Func_TblLayoutStructureChartOfAccount_SET"(varSystemLoginSession, null, null, null, varInstitutionBranchID, 62000000000001::bigint, varLayoutStructure_RefID, 65000000000142::bigint, 65000000000131::bigint, 1::smallint);</v>
      </c>
    </row>
    <row r="148" spans="2:7" x14ac:dyDescent="0.2">
      <c r="B148" s="9">
        <f>IF(EXACT([1]SEED!$AV149, ""), "", [1]SEED!$AV149)</f>
        <v>65000000000143</v>
      </c>
      <c r="C148" s="9">
        <f>IF(EXACT(B148, ""), "", IF(EXACT([1]SEED!$AW149, ""), "", [1]SEED!$AW149))</f>
        <v>65000000000142</v>
      </c>
      <c r="D148" s="9">
        <f>IF(EXACT([1]SEED!$B149, ""), IF(EXACT([1]SEED!$D149, ""), IF(EXACT([1]SEED!$F149, ""), IF(EXACT([1]SEED!$H149, ""), IF(EXACT([1]SEED!$J149, ""), "", [1]SEED!$AI149), [1]SEED!$AH149), [1]SEED!$AF149), [1]SEED!$AE149), [1]SEED!$AD149)</f>
        <v>1</v>
      </c>
      <c r="F148" s="14">
        <f t="shared" si="6"/>
        <v>237000000000143</v>
      </c>
      <c r="G148" s="15" t="str">
        <f t="shared" si="7"/>
        <v>PERFORM * FROM "SchData-OLTP-Accounting"."Func_TblLayoutStructureChartOfAccount_SET"(varSystemLoginSession, null, null, null, varInstitutionBranchID, 62000000000001::bigint, varLayoutStructure_RefID, 65000000000143::bigint, 65000000000142::bigint, 1::smallint);</v>
      </c>
    </row>
    <row r="149" spans="2:7" x14ac:dyDescent="0.2">
      <c r="B149" s="9">
        <f>IF(EXACT([1]SEED!$AV150, ""), "", [1]SEED!$AV150)</f>
        <v>65000000000144</v>
      </c>
      <c r="C149" s="9">
        <f>IF(EXACT(B149, ""), "", IF(EXACT([1]SEED!$AW150, ""), "", [1]SEED!$AW150))</f>
        <v>65000000000131</v>
      </c>
      <c r="D149" s="9">
        <f>IF(EXACT([1]SEED!$B150, ""), IF(EXACT([1]SEED!$D150, ""), IF(EXACT([1]SEED!$F150, ""), IF(EXACT([1]SEED!$H150, ""), IF(EXACT([1]SEED!$J150, ""), "", [1]SEED!$AI150), [1]SEED!$AH150), [1]SEED!$AF150), [1]SEED!$AE150), [1]SEED!$AD150)</f>
        <v>1</v>
      </c>
      <c r="F149" s="14">
        <f t="shared" si="6"/>
        <v>237000000000144</v>
      </c>
      <c r="G149" s="15" t="str">
        <f t="shared" si="7"/>
        <v>PERFORM * FROM "SchData-OLTP-Accounting"."Func_TblLayoutStructureChartOfAccount_SET"(varSystemLoginSession, null, null, null, varInstitutionBranchID, 62000000000001::bigint, varLayoutStructure_RefID, 65000000000144::bigint, 65000000000131::bigint, 1::smallint);</v>
      </c>
    </row>
    <row r="150" spans="2:7" x14ac:dyDescent="0.2">
      <c r="B150" s="9">
        <f>IF(EXACT([1]SEED!$AV151, ""), "", [1]SEED!$AV151)</f>
        <v>65000000000145</v>
      </c>
      <c r="C150" s="9">
        <f>IF(EXACT(B150, ""), "", IF(EXACT([1]SEED!$AW151, ""), "", [1]SEED!$AW151))</f>
        <v>65000000000144</v>
      </c>
      <c r="D150" s="9">
        <f>IF(EXACT([1]SEED!$B151, ""), IF(EXACT([1]SEED!$D151, ""), IF(EXACT([1]SEED!$F151, ""), IF(EXACT([1]SEED!$H151, ""), IF(EXACT([1]SEED!$J151, ""), "", [1]SEED!$AI151), [1]SEED!$AH151), [1]SEED!$AF151), [1]SEED!$AE151), [1]SEED!$AD151)</f>
        <v>1</v>
      </c>
      <c r="F150" s="14">
        <f t="shared" si="6"/>
        <v>237000000000145</v>
      </c>
      <c r="G150" s="15" t="str">
        <f t="shared" si="7"/>
        <v>PERFORM * FROM "SchData-OLTP-Accounting"."Func_TblLayoutStructureChartOfAccount_SET"(varSystemLoginSession, null, null, null, varInstitutionBranchID, 62000000000001::bigint, varLayoutStructure_RefID, 65000000000145::bigint, 65000000000144::bigint, 1::smallint);</v>
      </c>
    </row>
    <row r="151" spans="2:7" x14ac:dyDescent="0.2">
      <c r="B151" s="9">
        <f>IF(EXACT([1]SEED!$AV152, ""), "", [1]SEED!$AV152)</f>
        <v>65000000000146</v>
      </c>
      <c r="C151" s="9">
        <f>IF(EXACT(B151, ""), "", IF(EXACT([1]SEED!$AW152, ""), "", [1]SEED!$AW152))</f>
        <v>65000000000131</v>
      </c>
      <c r="D151" s="9">
        <f>IF(EXACT([1]SEED!$B152, ""), IF(EXACT([1]SEED!$D152, ""), IF(EXACT([1]SEED!$F152, ""), IF(EXACT([1]SEED!$H152, ""), IF(EXACT([1]SEED!$J152, ""), "", [1]SEED!$AI152), [1]SEED!$AH152), [1]SEED!$AF152), [1]SEED!$AE152), [1]SEED!$AD152)</f>
        <v>1</v>
      </c>
      <c r="F151" s="14">
        <f t="shared" si="6"/>
        <v>237000000000146</v>
      </c>
      <c r="G151" s="15" t="str">
        <f t="shared" si="7"/>
        <v>PERFORM * FROM "SchData-OLTP-Accounting"."Func_TblLayoutStructureChartOfAccount_SET"(varSystemLoginSession, null, null, null, varInstitutionBranchID, 62000000000001::bigint, varLayoutStructure_RefID, 65000000000146::bigint, 65000000000131::bigint, 1::smallint);</v>
      </c>
    </row>
    <row r="152" spans="2:7" x14ac:dyDescent="0.2">
      <c r="B152" s="9">
        <f>IF(EXACT([1]SEED!$AV153, ""), "", [1]SEED!$AV153)</f>
        <v>65000000000147</v>
      </c>
      <c r="C152" s="9">
        <f>IF(EXACT(B152, ""), "", IF(EXACT([1]SEED!$AW153, ""), "", [1]SEED!$AW153))</f>
        <v>65000000000146</v>
      </c>
      <c r="D152" s="9">
        <f>IF(EXACT([1]SEED!$B153, ""), IF(EXACT([1]SEED!$D153, ""), IF(EXACT([1]SEED!$F153, ""), IF(EXACT([1]SEED!$H153, ""), IF(EXACT([1]SEED!$J153, ""), "", [1]SEED!$AI153), [1]SEED!$AH153), [1]SEED!$AF153), [1]SEED!$AE153), [1]SEED!$AD153)</f>
        <v>1</v>
      </c>
      <c r="F152" s="14">
        <f t="shared" si="6"/>
        <v>237000000000147</v>
      </c>
      <c r="G152" s="15" t="str">
        <f t="shared" si="7"/>
        <v>PERFORM * FROM "SchData-OLTP-Accounting"."Func_TblLayoutStructureChartOfAccount_SET"(varSystemLoginSession, null, null, null, varInstitutionBranchID, 62000000000001::bigint, varLayoutStructure_RefID, 65000000000147::bigint, 65000000000146::bigint, 1::smallint);</v>
      </c>
    </row>
    <row r="153" spans="2:7" x14ac:dyDescent="0.2">
      <c r="B153" s="9">
        <f>IF(EXACT([1]SEED!$AV154, ""), "", [1]SEED!$AV154)</f>
        <v>65000000000148</v>
      </c>
      <c r="C153" s="9">
        <f>IF(EXACT(B153, ""), "", IF(EXACT([1]SEED!$AW154, ""), "", [1]SEED!$AW154))</f>
        <v>65000000000131</v>
      </c>
      <c r="D153" s="9">
        <f>IF(EXACT([1]SEED!$B154, ""), IF(EXACT([1]SEED!$D154, ""), IF(EXACT([1]SEED!$F154, ""), IF(EXACT([1]SEED!$H154, ""), IF(EXACT([1]SEED!$J154, ""), "", [1]SEED!$AI154), [1]SEED!$AH154), [1]SEED!$AF154), [1]SEED!$AE154), [1]SEED!$AD154)</f>
        <v>1</v>
      </c>
      <c r="F153" s="14">
        <f t="shared" si="6"/>
        <v>237000000000148</v>
      </c>
      <c r="G153" s="15" t="str">
        <f t="shared" si="7"/>
        <v>PERFORM * FROM "SchData-OLTP-Accounting"."Func_TblLayoutStructureChartOfAccount_SET"(varSystemLoginSession, null, null, null, varInstitutionBranchID, 62000000000001::bigint, varLayoutStructure_RefID, 65000000000148::bigint, 65000000000131::bigint, 1::smallint);</v>
      </c>
    </row>
    <row r="154" spans="2:7" x14ac:dyDescent="0.2">
      <c r="B154" s="9">
        <f>IF(EXACT([1]SEED!$AV155, ""), "", [1]SEED!$AV155)</f>
        <v>65000000000149</v>
      </c>
      <c r="C154" s="9">
        <f>IF(EXACT(B154, ""), "", IF(EXACT([1]SEED!$AW155, ""), "", [1]SEED!$AW155))</f>
        <v>65000000000148</v>
      </c>
      <c r="D154" s="9">
        <f>IF(EXACT([1]SEED!$B155, ""), IF(EXACT([1]SEED!$D155, ""), IF(EXACT([1]SEED!$F155, ""), IF(EXACT([1]SEED!$H155, ""), IF(EXACT([1]SEED!$J155, ""), "", [1]SEED!$AI155), [1]SEED!$AH155), [1]SEED!$AF155), [1]SEED!$AE155), [1]SEED!$AD155)</f>
        <v>1</v>
      </c>
      <c r="F154" s="14">
        <f t="shared" si="6"/>
        <v>237000000000149</v>
      </c>
      <c r="G154" s="15" t="str">
        <f t="shared" si="7"/>
        <v>PERFORM * FROM "SchData-OLTP-Accounting"."Func_TblLayoutStructureChartOfAccount_SET"(varSystemLoginSession, null, null, null, varInstitutionBranchID, 62000000000001::bigint, varLayoutStructure_RefID, 65000000000149::bigint, 65000000000148::bigint, 1::smallint);</v>
      </c>
    </row>
    <row r="155" spans="2:7" x14ac:dyDescent="0.2">
      <c r="B155" s="9">
        <f>IF(EXACT([1]SEED!$AV156, ""), "", [1]SEED!$AV156)</f>
        <v>65000000000150</v>
      </c>
      <c r="C155" s="9">
        <f>IF(EXACT(B155, ""), "", IF(EXACT([1]SEED!$AW156, ""), "", [1]SEED!$AW156))</f>
        <v>65000000000115</v>
      </c>
      <c r="D155" s="9">
        <f>IF(EXACT([1]SEED!$B156, ""), IF(EXACT([1]SEED!$D156, ""), IF(EXACT([1]SEED!$F156, ""), IF(EXACT([1]SEED!$H156, ""), IF(EXACT([1]SEED!$J156, ""), "", [1]SEED!$AI156), [1]SEED!$AH156), [1]SEED!$AF156), [1]SEED!$AE156), [1]SEED!$AD156)</f>
        <v>3</v>
      </c>
      <c r="F155" s="14">
        <f t="shared" si="6"/>
        <v>237000000000150</v>
      </c>
      <c r="G155" s="15" t="str">
        <f t="shared" si="7"/>
        <v>PERFORM * FROM "SchData-OLTP-Accounting"."Func_TblLayoutStructureChartOfAccount_SET"(varSystemLoginSession, null, null, null, varInstitutionBranchID, 62000000000001::bigint, varLayoutStructure_RefID, 65000000000150::bigint, 65000000000115::bigint, 3::smallint);</v>
      </c>
    </row>
    <row r="156" spans="2:7" x14ac:dyDescent="0.2">
      <c r="B156" s="9">
        <f>IF(EXACT([1]SEED!$AV157, ""), "", [1]SEED!$AV157)</f>
        <v>65000000000151</v>
      </c>
      <c r="C156" s="9">
        <f>IF(EXACT(B156, ""), "", IF(EXACT([1]SEED!$AW157, ""), "", [1]SEED!$AW157))</f>
        <v>65000000000150</v>
      </c>
      <c r="D156" s="9">
        <f>IF(EXACT([1]SEED!$B157, ""), IF(EXACT([1]SEED!$D157, ""), IF(EXACT([1]SEED!$F157, ""), IF(EXACT([1]SEED!$H157, ""), IF(EXACT([1]SEED!$J157, ""), "", [1]SEED!$AI157), [1]SEED!$AH157), [1]SEED!$AF157), [1]SEED!$AE157), [1]SEED!$AD157)</f>
        <v>1</v>
      </c>
      <c r="F156" s="14">
        <f t="shared" si="6"/>
        <v>237000000000151</v>
      </c>
      <c r="G156" s="15" t="str">
        <f t="shared" si="7"/>
        <v>PERFORM * FROM "SchData-OLTP-Accounting"."Func_TblLayoutStructureChartOfAccount_SET"(varSystemLoginSession, null, null, null, varInstitutionBranchID, 62000000000001::bigint, varLayoutStructure_RefID, 65000000000151::bigint, 65000000000150::bigint, 1::smallint);</v>
      </c>
    </row>
    <row r="157" spans="2:7" x14ac:dyDescent="0.2">
      <c r="B157" s="9">
        <f>IF(EXACT([1]SEED!$AV158, ""), "", [1]SEED!$AV158)</f>
        <v>65000000000152</v>
      </c>
      <c r="C157" s="9">
        <f>IF(EXACT(B157, ""), "", IF(EXACT([1]SEED!$AW158, ""), "", [1]SEED!$AW158))</f>
        <v>65000000000114</v>
      </c>
      <c r="D157" s="9">
        <f>IF(EXACT([1]SEED!$B158, ""), IF(EXACT([1]SEED!$D158, ""), IF(EXACT([1]SEED!$F158, ""), IF(EXACT([1]SEED!$H158, ""), IF(EXACT([1]SEED!$J158, ""), "", [1]SEED!$AI158), [1]SEED!$AH158), [1]SEED!$AF158), [1]SEED!$AE158), [1]SEED!$AD158)</f>
        <v>3</v>
      </c>
      <c r="F157" s="14">
        <f t="shared" si="6"/>
        <v>237000000000152</v>
      </c>
      <c r="G157" s="15" t="str">
        <f t="shared" si="7"/>
        <v>PERFORM * FROM "SchData-OLTP-Accounting"."Func_TblLayoutStructureChartOfAccount_SET"(varSystemLoginSession, null, null, null, varInstitutionBranchID, 62000000000001::bigint, varLayoutStructure_RefID, 65000000000152::bigint, 65000000000114::bigint, 3::smallint);</v>
      </c>
    </row>
    <row r="158" spans="2:7" x14ac:dyDescent="0.2">
      <c r="B158" s="9">
        <f>IF(EXACT([1]SEED!$AV159, ""), "", [1]SEED!$AV159)</f>
        <v>65000000000153</v>
      </c>
      <c r="C158" s="9">
        <f>IF(EXACT(B158, ""), "", IF(EXACT([1]SEED!$AW159, ""), "", [1]SEED!$AW159))</f>
        <v>65000000000152</v>
      </c>
      <c r="D158" s="9">
        <f>IF(EXACT([1]SEED!$B159, ""), IF(EXACT([1]SEED!$D159, ""), IF(EXACT([1]SEED!$F159, ""), IF(EXACT([1]SEED!$H159, ""), IF(EXACT([1]SEED!$J159, ""), "", [1]SEED!$AI159), [1]SEED!$AH159), [1]SEED!$AF159), [1]SEED!$AE159), [1]SEED!$AD159)</f>
        <v>1</v>
      </c>
      <c r="F158" s="14">
        <f t="shared" si="6"/>
        <v>237000000000153</v>
      </c>
      <c r="G158" s="15" t="str">
        <f t="shared" si="7"/>
        <v>PERFORM * FROM "SchData-OLTP-Accounting"."Func_TblLayoutStructureChartOfAccount_SET"(varSystemLoginSession, null, null, null, varInstitutionBranchID, 62000000000001::bigint, varLayoutStructure_RefID, 65000000000153::bigint, 65000000000152::bigint, 1::smallint);</v>
      </c>
    </row>
    <row r="159" spans="2:7" x14ac:dyDescent="0.2">
      <c r="B159" s="9">
        <f>IF(EXACT([1]SEED!$AV160, ""), "", [1]SEED!$AV160)</f>
        <v>65000000000154</v>
      </c>
      <c r="C159" s="9">
        <f>IF(EXACT(B159, ""), "", IF(EXACT([1]SEED!$AW160, ""), "", [1]SEED!$AW160))</f>
        <v>65000000000153</v>
      </c>
      <c r="D159" s="9">
        <f>IF(EXACT([1]SEED!$B160, ""), IF(EXACT([1]SEED!$D160, ""), IF(EXACT([1]SEED!$F160, ""), IF(EXACT([1]SEED!$H160, ""), IF(EXACT([1]SEED!$J160, ""), "", [1]SEED!$AI160), [1]SEED!$AH160), [1]SEED!$AF160), [1]SEED!$AE160), [1]SEED!$AD160)</f>
        <v>1</v>
      </c>
      <c r="F159" s="14">
        <f t="shared" si="6"/>
        <v>237000000000154</v>
      </c>
      <c r="G159" s="15" t="str">
        <f t="shared" si="7"/>
        <v>PERFORM * FROM "SchData-OLTP-Accounting"."Func_TblLayoutStructureChartOfAccount_SET"(varSystemLoginSession, null, null, null, varInstitutionBranchID, 62000000000001::bigint, varLayoutStructure_RefID, 65000000000154::bigint, 65000000000153::bigint, 1::smallint);</v>
      </c>
    </row>
    <row r="160" spans="2:7" x14ac:dyDescent="0.2">
      <c r="B160" s="9">
        <f>IF(EXACT([1]SEED!$AV161, ""), "", [1]SEED!$AV161)</f>
        <v>65000000000155</v>
      </c>
      <c r="C160" s="9">
        <f>IF(EXACT(B160, ""), "", IF(EXACT([1]SEED!$AW161, ""), "", [1]SEED!$AW161))</f>
        <v>65000000000152</v>
      </c>
      <c r="D160" s="9">
        <f>IF(EXACT([1]SEED!$B161, ""), IF(EXACT([1]SEED!$D161, ""), IF(EXACT([1]SEED!$F161, ""), IF(EXACT([1]SEED!$H161, ""), IF(EXACT([1]SEED!$J161, ""), "", [1]SEED!$AI161), [1]SEED!$AH161), [1]SEED!$AF161), [1]SEED!$AE161), [1]SEED!$AD161)</f>
        <v>1</v>
      </c>
      <c r="F160" s="14">
        <f t="shared" si="6"/>
        <v>237000000000155</v>
      </c>
      <c r="G160" s="15" t="str">
        <f t="shared" si="7"/>
        <v>PERFORM * FROM "SchData-OLTP-Accounting"."Func_TblLayoutStructureChartOfAccount_SET"(varSystemLoginSession, null, null, null, varInstitutionBranchID, 62000000000001::bigint, varLayoutStructure_RefID, 65000000000155::bigint, 65000000000152::bigint, 1::smallint);</v>
      </c>
    </row>
    <row r="161" spans="2:7" x14ac:dyDescent="0.2">
      <c r="B161" s="9">
        <f>IF(EXACT([1]SEED!$AV162, ""), "", [1]SEED!$AV162)</f>
        <v>65000000000156</v>
      </c>
      <c r="C161" s="9">
        <f>IF(EXACT(B161, ""), "", IF(EXACT([1]SEED!$AW162, ""), "", [1]SEED!$AW162))</f>
        <v>65000000000155</v>
      </c>
      <c r="D161" s="9">
        <f>IF(EXACT([1]SEED!$B162, ""), IF(EXACT([1]SEED!$D162, ""), IF(EXACT([1]SEED!$F162, ""), IF(EXACT([1]SEED!$H162, ""), IF(EXACT([1]SEED!$J162, ""), "", [1]SEED!$AI162), [1]SEED!$AH162), [1]SEED!$AF162), [1]SEED!$AE162), [1]SEED!$AD162)</f>
        <v>1</v>
      </c>
      <c r="F161" s="14">
        <f t="shared" si="6"/>
        <v>237000000000156</v>
      </c>
      <c r="G161" s="15" t="str">
        <f t="shared" si="7"/>
        <v>PERFORM * FROM "SchData-OLTP-Accounting"."Func_TblLayoutStructureChartOfAccount_SET"(varSystemLoginSession, null, null, null, varInstitutionBranchID, 62000000000001::bigint, varLayoutStructure_RefID, 65000000000156::bigint, 65000000000155::bigint, 1::smallint);</v>
      </c>
    </row>
    <row r="162" spans="2:7" x14ac:dyDescent="0.2">
      <c r="B162" s="9" t="str">
        <f>IF(EXACT([1]SEED!$AV163, ""), "", [1]SEED!$AV163)</f>
        <v/>
      </c>
      <c r="C162" s="9" t="str">
        <f>IF(EXACT(B162, ""), "", IF(EXACT([1]SEED!$AW163, ""), "", [1]SEED!$AW163))</f>
        <v/>
      </c>
      <c r="D162" s="9" t="str">
        <f>IF(EXACT([1]SEED!$B163, ""), IF(EXACT([1]SEED!$D163, ""), IF(EXACT([1]SEED!$F163, ""), IF(EXACT([1]SEED!$H163, ""), IF(EXACT([1]SEED!$J163, ""), "", [1]SEED!$AI163), [1]SEED!$AH163), [1]SEED!$AF163), [1]SEED!$AE163), [1]SEED!$AD163)</f>
        <v/>
      </c>
      <c r="F162" s="14">
        <f t="shared" si="6"/>
        <v>237000000000156</v>
      </c>
      <c r="G162" s="15" t="str">
        <f t="shared" si="7"/>
        <v/>
      </c>
    </row>
    <row r="163" spans="2:7" x14ac:dyDescent="0.2">
      <c r="B163" s="9">
        <f>IF(EXACT([1]SEED!$AV164, ""), "", [1]SEED!$AV164)</f>
        <v>65000000000157</v>
      </c>
      <c r="C163" s="9">
        <f>IF(EXACT(B163, ""), "", IF(EXACT([1]SEED!$AW164, ""), "", [1]SEED!$AW164))</f>
        <v>65000000000114</v>
      </c>
      <c r="D163" s="9">
        <f>IF(EXACT([1]SEED!$B164, ""), IF(EXACT([1]SEED!$D164, ""), IF(EXACT([1]SEED!$F164, ""), IF(EXACT([1]SEED!$H164, ""), IF(EXACT([1]SEED!$J164, ""), "", [1]SEED!$AI164), [1]SEED!$AH164), [1]SEED!$AF164), [1]SEED!$AE164), [1]SEED!$AD164)</f>
        <v>4</v>
      </c>
      <c r="F163" s="14">
        <f t="shared" si="6"/>
        <v>237000000000157</v>
      </c>
      <c r="G163" s="15" t="str">
        <f t="shared" si="7"/>
        <v>PERFORM * FROM "SchData-OLTP-Accounting"."Func_TblLayoutStructureChartOfAccount_SET"(varSystemLoginSession, null, null, null, varInstitutionBranchID, 62000000000001::bigint, varLayoutStructure_RefID, 65000000000157::bigint, 65000000000114::bigint, 4::smallint);</v>
      </c>
    </row>
    <row r="164" spans="2:7" x14ac:dyDescent="0.2">
      <c r="B164" s="9">
        <f>IF(EXACT([1]SEED!$AV165, ""), "", [1]SEED!$AV165)</f>
        <v>65000000000158</v>
      </c>
      <c r="C164" s="9">
        <f>IF(EXACT(B164, ""), "", IF(EXACT([1]SEED!$AW165, ""), "", [1]SEED!$AW165))</f>
        <v>65000000000157</v>
      </c>
      <c r="D164" s="9">
        <f>IF(EXACT([1]SEED!$B165, ""), IF(EXACT([1]SEED!$D165, ""), IF(EXACT([1]SEED!$F165, ""), IF(EXACT([1]SEED!$H165, ""), IF(EXACT([1]SEED!$J165, ""), "", [1]SEED!$AI165), [1]SEED!$AH165), [1]SEED!$AF165), [1]SEED!$AE165), [1]SEED!$AD165)</f>
        <v>1</v>
      </c>
      <c r="F164" s="14">
        <f t="shared" si="6"/>
        <v>237000000000158</v>
      </c>
      <c r="G164" s="15" t="str">
        <f t="shared" si="7"/>
        <v>PERFORM * FROM "SchData-OLTP-Accounting"."Func_TblLayoutStructureChartOfAccount_SET"(varSystemLoginSession, null, null, null, varInstitutionBranchID, 62000000000001::bigint, varLayoutStructure_RefID, 65000000000158::bigint, 65000000000157::bigint, 1::smallint);</v>
      </c>
    </row>
    <row r="165" spans="2:7" x14ac:dyDescent="0.2">
      <c r="B165" s="9">
        <f>IF(EXACT([1]SEED!$AV166, ""), "", [1]SEED!$AV166)</f>
        <v>65000000000159</v>
      </c>
      <c r="C165" s="9">
        <f>IF(EXACT(B165, ""), "", IF(EXACT([1]SEED!$AW166, ""), "", [1]SEED!$AW166))</f>
        <v>65000000000158</v>
      </c>
      <c r="D165" s="9">
        <f>IF(EXACT([1]SEED!$B166, ""), IF(EXACT([1]SEED!$D166, ""), IF(EXACT([1]SEED!$F166, ""), IF(EXACT([1]SEED!$H166, ""), IF(EXACT([1]SEED!$J166, ""), "", [1]SEED!$AI166), [1]SEED!$AH166), [1]SEED!$AF166), [1]SEED!$AE166), [1]SEED!$AD166)</f>
        <v>1</v>
      </c>
      <c r="F165" s="14">
        <f t="shared" si="6"/>
        <v>237000000000159</v>
      </c>
      <c r="G165" s="15" t="str">
        <f t="shared" si="7"/>
        <v>PERFORM * FROM "SchData-OLTP-Accounting"."Func_TblLayoutStructureChartOfAccount_SET"(varSystemLoginSession, null, null, null, varInstitutionBranchID, 62000000000001::bigint, varLayoutStructure_RefID, 65000000000159::bigint, 65000000000158::bigint, 1::smallint);</v>
      </c>
    </row>
    <row r="166" spans="2:7" x14ac:dyDescent="0.2">
      <c r="B166" s="9">
        <f>IF(EXACT([1]SEED!$AV167, ""), "", [1]SEED!$AV167)</f>
        <v>65000000000160</v>
      </c>
      <c r="C166" s="9">
        <f>IF(EXACT(B166, ""), "", IF(EXACT([1]SEED!$AW167, ""), "", [1]SEED!$AW167))</f>
        <v>65000000000158</v>
      </c>
      <c r="D166" s="9">
        <f>IF(EXACT([1]SEED!$B167, ""), IF(EXACT([1]SEED!$D167, ""), IF(EXACT([1]SEED!$F167, ""), IF(EXACT([1]SEED!$H167, ""), IF(EXACT([1]SEED!$J167, ""), "", [1]SEED!$AI167), [1]SEED!$AH167), [1]SEED!$AF167), [1]SEED!$AE167), [1]SEED!$AD167)</f>
        <v>1</v>
      </c>
      <c r="F166" s="14">
        <f t="shared" si="6"/>
        <v>237000000000160</v>
      </c>
      <c r="G166" s="15" t="str">
        <f t="shared" si="7"/>
        <v>PERFORM * FROM "SchData-OLTP-Accounting"."Func_TblLayoutStructureChartOfAccount_SET"(varSystemLoginSession, null, null, null, varInstitutionBranchID, 62000000000001::bigint, varLayoutStructure_RefID, 65000000000160::bigint, 65000000000158::bigint, 1::smallint);</v>
      </c>
    </row>
    <row r="167" spans="2:7" x14ac:dyDescent="0.2">
      <c r="B167" s="9" t="str">
        <f>IF(EXACT([1]SEED!$AV168, ""), "", [1]SEED!$AV168)</f>
        <v/>
      </c>
      <c r="C167" s="9" t="str">
        <f>IF(EXACT(B167, ""), "", IF(EXACT([1]SEED!$AW168, ""), "", [1]SEED!$AW168))</f>
        <v/>
      </c>
      <c r="D167" s="9" t="str">
        <f>IF(EXACT([1]SEED!$B168, ""), IF(EXACT([1]SEED!$D168, ""), IF(EXACT([1]SEED!$F168, ""), IF(EXACT([1]SEED!$H168, ""), IF(EXACT([1]SEED!$J168, ""), "", [1]SEED!$AI168), [1]SEED!$AH168), [1]SEED!$AF168), [1]SEED!$AE168), [1]SEED!$AD168)</f>
        <v/>
      </c>
      <c r="F167" s="14">
        <f t="shared" si="6"/>
        <v>237000000000160</v>
      </c>
      <c r="G167" s="15" t="str">
        <f t="shared" si="7"/>
        <v/>
      </c>
    </row>
    <row r="168" spans="2:7" x14ac:dyDescent="0.2">
      <c r="B168" s="9">
        <f>IF(EXACT([1]SEED!$AV169, ""), "", [1]SEED!$AV169)</f>
        <v>65000000000161</v>
      </c>
      <c r="C168" s="9" t="str">
        <f>IF(EXACT(B168, ""), "", IF(EXACT([1]SEED!$AW169, ""), "", [1]SEED!$AW169))</f>
        <v>null</v>
      </c>
      <c r="D168" s="9">
        <f>IF(EXACT([1]SEED!$B169, ""), IF(EXACT([1]SEED!$D169, ""), IF(EXACT([1]SEED!$F169, ""), IF(EXACT([1]SEED!$H169, ""), IF(EXACT([1]SEED!$J169, ""), "", [1]SEED!$AI169), [1]SEED!$AH169), [1]SEED!$AF169), [1]SEED!$AE169), [1]SEED!$AD169)</f>
        <v>3</v>
      </c>
      <c r="F168" s="14">
        <f t="shared" si="6"/>
        <v>237000000000161</v>
      </c>
      <c r="G168" s="15" t="str">
        <f t="shared" si="7"/>
        <v>PERFORM * FROM "SchData-OLTP-Accounting"."Func_TblLayoutStructureChartOfAccount_SET"(varSystemLoginSession, null, null, null, varInstitutionBranchID, 62000000000001::bigint, varLayoutStructure_RefID, 65000000000161::bigint, null::bigint, 3::smallint);</v>
      </c>
    </row>
    <row r="169" spans="2:7" x14ac:dyDescent="0.2">
      <c r="B169" s="9">
        <f>IF(EXACT([1]SEED!$AV170, ""), "", [1]SEED!$AV170)</f>
        <v>65000000000162</v>
      </c>
      <c r="C169" s="9">
        <f>IF(EXACT(B169, ""), "", IF(EXACT([1]SEED!$AW170, ""), "", [1]SEED!$AW170))</f>
        <v>65000000000161</v>
      </c>
      <c r="D169" s="9">
        <f>IF(EXACT([1]SEED!$B170, ""), IF(EXACT([1]SEED!$D170, ""), IF(EXACT([1]SEED!$F170, ""), IF(EXACT([1]SEED!$H170, ""), IF(EXACT([1]SEED!$J170, ""), "", [1]SEED!$AI170), [1]SEED!$AH170), [1]SEED!$AF170), [1]SEED!$AE170), [1]SEED!$AD170)</f>
        <v>2</v>
      </c>
      <c r="F169" s="14">
        <f t="shared" si="6"/>
        <v>237000000000162</v>
      </c>
      <c r="G169" s="15" t="str">
        <f t="shared" si="7"/>
        <v>PERFORM * FROM "SchData-OLTP-Accounting"."Func_TblLayoutStructureChartOfAccount_SET"(varSystemLoginSession, null, null, null, varInstitutionBranchID, 62000000000001::bigint, varLayoutStructure_RefID, 65000000000162::bigint, 65000000000161::bigint, 2::smallint);</v>
      </c>
    </row>
    <row r="170" spans="2:7" x14ac:dyDescent="0.2">
      <c r="B170" s="9">
        <f>IF(EXACT([1]SEED!$AV171, ""), "", [1]SEED!$AV171)</f>
        <v>65000000000163</v>
      </c>
      <c r="C170" s="9">
        <f>IF(EXACT(B170, ""), "", IF(EXACT([1]SEED!$AW171, ""), "", [1]SEED!$AW171))</f>
        <v>65000000000162</v>
      </c>
      <c r="D170" s="9">
        <f>IF(EXACT([1]SEED!$B171, ""), IF(EXACT([1]SEED!$D171, ""), IF(EXACT([1]SEED!$F171, ""), IF(EXACT([1]SEED!$H171, ""), IF(EXACT([1]SEED!$J171, ""), "", [1]SEED!$AI171), [1]SEED!$AH171), [1]SEED!$AF171), [1]SEED!$AE171), [1]SEED!$AD171)</f>
        <v>1</v>
      </c>
      <c r="F170" s="14">
        <f t="shared" si="6"/>
        <v>237000000000163</v>
      </c>
      <c r="G170" s="15" t="str">
        <f t="shared" si="7"/>
        <v>PERFORM * FROM "SchData-OLTP-Accounting"."Func_TblLayoutStructureChartOfAccount_SET"(varSystemLoginSession, null, null, null, varInstitutionBranchID, 62000000000001::bigint, varLayoutStructure_RefID, 65000000000163::bigint, 65000000000162::bigint, 1::smallint);</v>
      </c>
    </row>
    <row r="171" spans="2:7" x14ac:dyDescent="0.2">
      <c r="B171" s="9">
        <f>IF(EXACT([1]SEED!$AV172, ""), "", [1]SEED!$AV172)</f>
        <v>65000000000164</v>
      </c>
      <c r="C171" s="9">
        <f>IF(EXACT(B171, ""), "", IF(EXACT([1]SEED!$AW172, ""), "", [1]SEED!$AW172))</f>
        <v>65000000000161</v>
      </c>
      <c r="D171" s="9">
        <f>IF(EXACT([1]SEED!$B172, ""), IF(EXACT([1]SEED!$D172, ""), IF(EXACT([1]SEED!$F172, ""), IF(EXACT([1]SEED!$H172, ""), IF(EXACT([1]SEED!$J172, ""), "", [1]SEED!$AI172), [1]SEED!$AH172), [1]SEED!$AF172), [1]SEED!$AE172), [1]SEED!$AD172)</f>
        <v>3</v>
      </c>
      <c r="F171" s="14">
        <f t="shared" si="6"/>
        <v>237000000000164</v>
      </c>
      <c r="G171" s="15" t="str">
        <f t="shared" si="7"/>
        <v>PERFORM * FROM "SchData-OLTP-Accounting"."Func_TblLayoutStructureChartOfAccount_SET"(varSystemLoginSession, null, null, null, varInstitutionBranchID, 62000000000001::bigint, varLayoutStructure_RefID, 65000000000164::bigint, 65000000000161::bigint, 3::smallint);</v>
      </c>
    </row>
    <row r="172" spans="2:7" x14ac:dyDescent="0.2">
      <c r="B172" s="9">
        <f>IF(EXACT([1]SEED!$AV173, ""), "", [1]SEED!$AV173)</f>
        <v>65000000000165</v>
      </c>
      <c r="C172" s="9">
        <f>IF(EXACT(B172, ""), "", IF(EXACT([1]SEED!$AW173, ""), "", [1]SEED!$AW173))</f>
        <v>65000000000164</v>
      </c>
      <c r="D172" s="9">
        <f>IF(EXACT([1]SEED!$B173, ""), IF(EXACT([1]SEED!$D173, ""), IF(EXACT([1]SEED!$F173, ""), IF(EXACT([1]SEED!$H173, ""), IF(EXACT([1]SEED!$J173, ""), "", [1]SEED!$AI173), [1]SEED!$AH173), [1]SEED!$AF173), [1]SEED!$AE173), [1]SEED!$AD173)</f>
        <v>1</v>
      </c>
      <c r="F172" s="14">
        <f t="shared" si="6"/>
        <v>237000000000165</v>
      </c>
      <c r="G172" s="15" t="str">
        <f t="shared" si="7"/>
        <v>PERFORM * FROM "SchData-OLTP-Accounting"."Func_TblLayoutStructureChartOfAccount_SET"(varSystemLoginSession, null, null, null, varInstitutionBranchID, 62000000000001::bigint, varLayoutStructure_RefID, 65000000000165::bigint, 65000000000164::bigint, 1::smallint);</v>
      </c>
    </row>
    <row r="173" spans="2:7" x14ac:dyDescent="0.2">
      <c r="B173" s="9">
        <f>IF(EXACT([1]SEED!$AV174, ""), "", [1]SEED!$AV174)</f>
        <v>65000000000166</v>
      </c>
      <c r="C173" s="9">
        <f>IF(EXACT(B173, ""), "", IF(EXACT([1]SEED!$AW174, ""), "", [1]SEED!$AW174))</f>
        <v>65000000000161</v>
      </c>
      <c r="D173" s="9">
        <f>IF(EXACT([1]SEED!$B174, ""), IF(EXACT([1]SEED!$D174, ""), IF(EXACT([1]SEED!$F174, ""), IF(EXACT([1]SEED!$H174, ""), IF(EXACT([1]SEED!$J174, ""), "", [1]SEED!$AI174), [1]SEED!$AH174), [1]SEED!$AF174), [1]SEED!$AE174), [1]SEED!$AD174)</f>
        <v>4</v>
      </c>
      <c r="F173" s="14">
        <f t="shared" si="6"/>
        <v>237000000000166</v>
      </c>
      <c r="G173" s="15" t="str">
        <f t="shared" si="7"/>
        <v>PERFORM * FROM "SchData-OLTP-Accounting"."Func_TblLayoutStructureChartOfAccount_SET"(varSystemLoginSession, null, null, null, varInstitutionBranchID, 62000000000001::bigint, varLayoutStructure_RefID, 65000000000166::bigint, 65000000000161::bigint, 4::smallint);</v>
      </c>
    </row>
    <row r="174" spans="2:7" x14ac:dyDescent="0.2">
      <c r="B174" s="9">
        <f>IF(EXACT([1]SEED!$AV175, ""), "", [1]SEED!$AV175)</f>
        <v>65000000000167</v>
      </c>
      <c r="C174" s="9">
        <f>IF(EXACT(B174, ""), "", IF(EXACT([1]SEED!$AW175, ""), "", [1]SEED!$AW175))</f>
        <v>65000000000166</v>
      </c>
      <c r="D174" s="9">
        <f>IF(EXACT([1]SEED!$B175, ""), IF(EXACT([1]SEED!$D175, ""), IF(EXACT([1]SEED!$F175, ""), IF(EXACT([1]SEED!$H175, ""), IF(EXACT([1]SEED!$J175, ""), "", [1]SEED!$AI175), [1]SEED!$AH175), [1]SEED!$AF175), [1]SEED!$AE175), [1]SEED!$AD175)</f>
        <v>1</v>
      </c>
      <c r="F174" s="14">
        <f t="shared" si="6"/>
        <v>237000000000167</v>
      </c>
      <c r="G174" s="15" t="str">
        <f t="shared" si="7"/>
        <v>PERFORM * FROM "SchData-OLTP-Accounting"."Func_TblLayoutStructureChartOfAccount_SET"(varSystemLoginSession, null, null, null, varInstitutionBranchID, 62000000000001::bigint, varLayoutStructure_RefID, 65000000000167::bigint, 65000000000166::bigint, 1::smallint);</v>
      </c>
    </row>
    <row r="175" spans="2:7" x14ac:dyDescent="0.2">
      <c r="B175" s="9">
        <f>IF(EXACT([1]SEED!$AV176, ""), "", [1]SEED!$AV176)</f>
        <v>65000000000168</v>
      </c>
      <c r="C175" s="9">
        <f>IF(EXACT(B175, ""), "", IF(EXACT([1]SEED!$AW176, ""), "", [1]SEED!$AW176))</f>
        <v>65000000000161</v>
      </c>
      <c r="D175" s="9">
        <f>IF(EXACT([1]SEED!$B176, ""), IF(EXACT([1]SEED!$D176, ""), IF(EXACT([1]SEED!$F176, ""), IF(EXACT([1]SEED!$H176, ""), IF(EXACT([1]SEED!$J176, ""), "", [1]SEED!$AI176), [1]SEED!$AH176), [1]SEED!$AF176), [1]SEED!$AE176), [1]SEED!$AD176)</f>
        <v>5</v>
      </c>
      <c r="F175" s="14">
        <f t="shared" si="6"/>
        <v>237000000000168</v>
      </c>
      <c r="G175" s="15" t="str">
        <f t="shared" si="7"/>
        <v>PERFORM * FROM "SchData-OLTP-Accounting"."Func_TblLayoutStructureChartOfAccount_SET"(varSystemLoginSession, null, null, null, varInstitutionBranchID, 62000000000001::bigint, varLayoutStructure_RefID, 65000000000168::bigint, 65000000000161::bigint, 5::smallint);</v>
      </c>
    </row>
    <row r="176" spans="2:7" x14ac:dyDescent="0.2">
      <c r="B176" s="9">
        <f>IF(EXACT([1]SEED!$AV177, ""), "", [1]SEED!$AV177)</f>
        <v>65000000000169</v>
      </c>
      <c r="C176" s="9">
        <f>IF(EXACT(B176, ""), "", IF(EXACT([1]SEED!$AW177, ""), "", [1]SEED!$AW177))</f>
        <v>65000000000168</v>
      </c>
      <c r="D176" s="9">
        <f>IF(EXACT([1]SEED!$B177, ""), IF(EXACT([1]SEED!$D177, ""), IF(EXACT([1]SEED!$F177, ""), IF(EXACT([1]SEED!$H177, ""), IF(EXACT([1]SEED!$J177, ""), "", [1]SEED!$AI177), [1]SEED!$AH177), [1]SEED!$AF177), [1]SEED!$AE177), [1]SEED!$AD177)</f>
        <v>1</v>
      </c>
      <c r="F176" s="14">
        <f t="shared" si="6"/>
        <v>237000000000169</v>
      </c>
      <c r="G176" s="15" t="str">
        <f t="shared" si="7"/>
        <v>PERFORM * FROM "SchData-OLTP-Accounting"."Func_TblLayoutStructureChartOfAccount_SET"(varSystemLoginSession, null, null, null, varInstitutionBranchID, 62000000000001::bigint, varLayoutStructure_RefID, 65000000000169::bigint, 65000000000168::bigint, 1::smallint);</v>
      </c>
    </row>
    <row r="177" spans="2:7" x14ac:dyDescent="0.2">
      <c r="B177" s="9" t="str">
        <f>IF(EXACT([1]SEED!$AV178, ""), "", [1]SEED!$AV178)</f>
        <v/>
      </c>
      <c r="C177" s="9" t="str">
        <f>IF(EXACT(B177, ""), "", IF(EXACT([1]SEED!$AW178, ""), "", [1]SEED!$AW178))</f>
        <v/>
      </c>
      <c r="D177" s="9" t="str">
        <f>IF(EXACT([1]SEED!$B178, ""), IF(EXACT([1]SEED!$D178, ""), IF(EXACT([1]SEED!$F178, ""), IF(EXACT([1]SEED!$H178, ""), IF(EXACT([1]SEED!$J178, ""), "", [1]SEED!$AI178), [1]SEED!$AH178), [1]SEED!$AF178), [1]SEED!$AE178), [1]SEED!$AD178)</f>
        <v/>
      </c>
      <c r="F177" s="14">
        <f t="shared" si="6"/>
        <v>237000000000169</v>
      </c>
      <c r="G177" s="15" t="str">
        <f t="shared" si="7"/>
        <v/>
      </c>
    </row>
    <row r="178" spans="2:7" x14ac:dyDescent="0.2">
      <c r="B178" s="9">
        <f>IF(EXACT([1]SEED!$AV179, ""), "", [1]SEED!$AV179)</f>
        <v>65000000000170</v>
      </c>
      <c r="C178" s="9" t="str">
        <f>IF(EXACT(B178, ""), "", IF(EXACT([1]SEED!$AW179, ""), "", [1]SEED!$AW179))</f>
        <v>null</v>
      </c>
      <c r="D178" s="9">
        <f>IF(EXACT([1]SEED!$B179, ""), IF(EXACT([1]SEED!$D179, ""), IF(EXACT([1]SEED!$F179, ""), IF(EXACT([1]SEED!$H179, ""), IF(EXACT([1]SEED!$J179, ""), "", [1]SEED!$AI179), [1]SEED!$AH179), [1]SEED!$AF179), [1]SEED!$AE179), [1]SEED!$AD179)</f>
        <v>4</v>
      </c>
      <c r="F178" s="14">
        <f t="shared" si="6"/>
        <v>237000000000170</v>
      </c>
      <c r="G178" s="15" t="str">
        <f t="shared" si="7"/>
        <v>PERFORM * FROM "SchData-OLTP-Accounting"."Func_TblLayoutStructureChartOfAccount_SET"(varSystemLoginSession, null, null, null, varInstitutionBranchID, 62000000000001::bigint, varLayoutStructure_RefID, 65000000000170::bigint, null::bigint, 4::smallint);</v>
      </c>
    </row>
    <row r="179" spans="2:7" x14ac:dyDescent="0.2">
      <c r="B179" s="9">
        <f>IF(EXACT([1]SEED!$AV180, ""), "", [1]SEED!$AV180)</f>
        <v>65000000000171</v>
      </c>
      <c r="C179" s="9">
        <f>IF(EXACT(B179, ""), "", IF(EXACT([1]SEED!$AW180, ""), "", [1]SEED!$AW180))</f>
        <v>65000000000170</v>
      </c>
      <c r="D179" s="9">
        <f>IF(EXACT([1]SEED!$B180, ""), IF(EXACT([1]SEED!$D180, ""), IF(EXACT([1]SEED!$F180, ""), IF(EXACT([1]SEED!$H180, ""), IF(EXACT([1]SEED!$J180, ""), "", [1]SEED!$AI180), [1]SEED!$AH180), [1]SEED!$AF180), [1]SEED!$AE180), [1]SEED!$AD180)</f>
        <v>2</v>
      </c>
      <c r="F179" s="14">
        <f t="shared" si="6"/>
        <v>237000000000171</v>
      </c>
      <c r="G179" s="15" t="str">
        <f t="shared" si="7"/>
        <v>PERFORM * FROM "SchData-OLTP-Accounting"."Func_TblLayoutStructureChartOfAccount_SET"(varSystemLoginSession, null, null, null, varInstitutionBranchID, 62000000000001::bigint, varLayoutStructure_RefID, 65000000000171::bigint, 65000000000170::bigint, 2::smallint);</v>
      </c>
    </row>
    <row r="180" spans="2:7" x14ac:dyDescent="0.2">
      <c r="B180" s="9">
        <f>IF(EXACT([1]SEED!$AV181, ""), "", [1]SEED!$AV181)</f>
        <v>65000000000172</v>
      </c>
      <c r="C180" s="9">
        <f>IF(EXACT(B180, ""), "", IF(EXACT([1]SEED!$AW181, ""), "", [1]SEED!$AW181))</f>
        <v>65000000000171</v>
      </c>
      <c r="D180" s="9">
        <f>IF(EXACT([1]SEED!$B181, ""), IF(EXACT([1]SEED!$D181, ""), IF(EXACT([1]SEED!$F181, ""), IF(EXACT([1]SEED!$H181, ""), IF(EXACT([1]SEED!$J181, ""), "", [1]SEED!$AI181), [1]SEED!$AH181), [1]SEED!$AF181), [1]SEED!$AE181), [1]SEED!$AD181)</f>
        <v>1</v>
      </c>
      <c r="F180" s="14">
        <f t="shared" si="6"/>
        <v>237000000000172</v>
      </c>
      <c r="G180" s="15" t="str">
        <f t="shared" si="7"/>
        <v>PERFORM * FROM "SchData-OLTP-Accounting"."Func_TblLayoutStructureChartOfAccount_SET"(varSystemLoginSession, null, null, null, varInstitutionBranchID, 62000000000001::bigint, varLayoutStructure_RefID, 65000000000172::bigint, 65000000000171::bigint, 1::smallint);</v>
      </c>
    </row>
    <row r="181" spans="2:7" x14ac:dyDescent="0.2">
      <c r="B181" s="9">
        <f>IF(EXACT([1]SEED!$AV182, ""), "", [1]SEED!$AV182)</f>
        <v>65000000000173</v>
      </c>
      <c r="C181" s="9">
        <f>IF(EXACT(B181, ""), "", IF(EXACT([1]SEED!$AW182, ""), "", [1]SEED!$AW182))</f>
        <v>65000000000172</v>
      </c>
      <c r="D181" s="9">
        <f>IF(EXACT([1]SEED!$B182, ""), IF(EXACT([1]SEED!$D182, ""), IF(EXACT([1]SEED!$F182, ""), IF(EXACT([1]SEED!$H182, ""), IF(EXACT([1]SEED!$J182, ""), "", [1]SEED!$AI182), [1]SEED!$AH182), [1]SEED!$AF182), [1]SEED!$AE182), [1]SEED!$AD182)</f>
        <v>1</v>
      </c>
      <c r="F181" s="14">
        <f t="shared" si="6"/>
        <v>237000000000173</v>
      </c>
      <c r="G181" s="15" t="str">
        <f t="shared" si="7"/>
        <v>PERFORM * FROM "SchData-OLTP-Accounting"."Func_TblLayoutStructureChartOfAccount_SET"(varSystemLoginSession, null, null, null, varInstitutionBranchID, 62000000000001::bigint, varLayoutStructure_RefID, 65000000000173::bigint, 65000000000172::bigint, 1::smallint);</v>
      </c>
    </row>
    <row r="182" spans="2:7" x14ac:dyDescent="0.2">
      <c r="B182" s="9">
        <f>IF(EXACT([1]SEED!$AV183, ""), "", [1]SEED!$AV183)</f>
        <v>65000000000174</v>
      </c>
      <c r="C182" s="9">
        <f>IF(EXACT(B182, ""), "", IF(EXACT([1]SEED!$AW183, ""), "", [1]SEED!$AW183))</f>
        <v>65000000000170</v>
      </c>
      <c r="D182" s="9">
        <f>IF(EXACT([1]SEED!$B183, ""), IF(EXACT([1]SEED!$D183, ""), IF(EXACT([1]SEED!$F183, ""), IF(EXACT([1]SEED!$H183, ""), IF(EXACT([1]SEED!$J183, ""), "", [1]SEED!$AI183), [1]SEED!$AH183), [1]SEED!$AF183), [1]SEED!$AE183), [1]SEED!$AD183)</f>
        <v>3</v>
      </c>
      <c r="F182" s="14">
        <f t="shared" si="6"/>
        <v>237000000000174</v>
      </c>
      <c r="G182" s="15" t="str">
        <f t="shared" si="7"/>
        <v>PERFORM * FROM "SchData-OLTP-Accounting"."Func_TblLayoutStructureChartOfAccount_SET"(varSystemLoginSession, null, null, null, varInstitutionBranchID, 62000000000001::bigint, varLayoutStructure_RefID, 65000000000174::bigint, 65000000000170::bigint, 3::smallint);</v>
      </c>
    </row>
    <row r="183" spans="2:7" x14ac:dyDescent="0.2">
      <c r="B183" s="9">
        <f>IF(EXACT([1]SEED!$AV184, ""), "", [1]SEED!$AV184)</f>
        <v>65000000000175</v>
      </c>
      <c r="C183" s="9">
        <f>IF(EXACT(B183, ""), "", IF(EXACT([1]SEED!$AW184, ""), "", [1]SEED!$AW184))</f>
        <v>65000000000174</v>
      </c>
      <c r="D183" s="9">
        <f>IF(EXACT([1]SEED!$B184, ""), IF(EXACT([1]SEED!$D184, ""), IF(EXACT([1]SEED!$F184, ""), IF(EXACT([1]SEED!$H184, ""), IF(EXACT([1]SEED!$J184, ""), "", [1]SEED!$AI184), [1]SEED!$AH184), [1]SEED!$AF184), [1]SEED!$AE184), [1]SEED!$AD184)</f>
        <v>1</v>
      </c>
      <c r="F183" s="14">
        <f t="shared" si="6"/>
        <v>237000000000175</v>
      </c>
      <c r="G183" s="15" t="str">
        <f t="shared" si="7"/>
        <v>PERFORM * FROM "SchData-OLTP-Accounting"."Func_TblLayoutStructureChartOfAccount_SET"(varSystemLoginSession, null, null, null, varInstitutionBranchID, 62000000000001::bigint, varLayoutStructure_RefID, 65000000000175::bigint, 65000000000174::bigint, 1::smallint);</v>
      </c>
    </row>
    <row r="184" spans="2:7" x14ac:dyDescent="0.2">
      <c r="B184" s="9">
        <f>IF(EXACT([1]SEED!$AV185, ""), "", [1]SEED!$AV185)</f>
        <v>65000000000176</v>
      </c>
      <c r="C184" s="9">
        <f>IF(EXACT(B184, ""), "", IF(EXACT([1]SEED!$AW185, ""), "", [1]SEED!$AW185))</f>
        <v>65000000000175</v>
      </c>
      <c r="D184" s="9">
        <f>IF(EXACT([1]SEED!$B185, ""), IF(EXACT([1]SEED!$D185, ""), IF(EXACT([1]SEED!$F185, ""), IF(EXACT([1]SEED!$H185, ""), IF(EXACT([1]SEED!$J185, ""), "", [1]SEED!$AI185), [1]SEED!$AH185), [1]SEED!$AF185), [1]SEED!$AE185), [1]SEED!$AD185)</f>
        <v>1</v>
      </c>
      <c r="F184" s="14">
        <f t="shared" si="6"/>
        <v>237000000000176</v>
      </c>
      <c r="G184" s="15" t="str">
        <f t="shared" si="7"/>
        <v>PERFORM * FROM "SchData-OLTP-Accounting"."Func_TblLayoutStructureChartOfAccount_SET"(varSystemLoginSession, null, null, null, varInstitutionBranchID, 62000000000001::bigint, varLayoutStructure_RefID, 65000000000176::bigint, 65000000000175::bigint, 1::smallint);</v>
      </c>
    </row>
    <row r="185" spans="2:7" x14ac:dyDescent="0.2">
      <c r="B185" s="9">
        <f>IF(EXACT([1]SEED!$AV186, ""), "", [1]SEED!$AV186)</f>
        <v>65000000000177</v>
      </c>
      <c r="C185" s="9">
        <f>IF(EXACT(B185, ""), "", IF(EXACT([1]SEED!$AW186, ""), "", [1]SEED!$AW186))</f>
        <v>65000000000170</v>
      </c>
      <c r="D185" s="9">
        <f>IF(EXACT([1]SEED!$B186, ""), IF(EXACT([1]SEED!$D186, ""), IF(EXACT([1]SEED!$F186, ""), IF(EXACT([1]SEED!$H186, ""), IF(EXACT([1]SEED!$J186, ""), "", [1]SEED!$AI186), [1]SEED!$AH186), [1]SEED!$AF186), [1]SEED!$AE186), [1]SEED!$AD186)</f>
        <v>4</v>
      </c>
      <c r="F185" s="14">
        <f t="shared" si="6"/>
        <v>237000000000177</v>
      </c>
      <c r="G185" s="15" t="str">
        <f t="shared" si="7"/>
        <v>PERFORM * FROM "SchData-OLTP-Accounting"."Func_TblLayoutStructureChartOfAccount_SET"(varSystemLoginSession, null, null, null, varInstitutionBranchID, 62000000000001::bigint, varLayoutStructure_RefID, 65000000000177::bigint, 65000000000170::bigint, 4::smallint);</v>
      </c>
    </row>
    <row r="186" spans="2:7" x14ac:dyDescent="0.2">
      <c r="B186" s="9">
        <f>IF(EXACT([1]SEED!$AV187, ""), "", [1]SEED!$AV187)</f>
        <v>65000000000178</v>
      </c>
      <c r="C186" s="9">
        <f>IF(EXACT(B186, ""), "", IF(EXACT([1]SEED!$AW187, ""), "", [1]SEED!$AW187))</f>
        <v>65000000000177</v>
      </c>
      <c r="D186" s="9">
        <f>IF(EXACT([1]SEED!$B187, ""), IF(EXACT([1]SEED!$D187, ""), IF(EXACT([1]SEED!$F187, ""), IF(EXACT([1]SEED!$H187, ""), IF(EXACT([1]SEED!$J187, ""), "", [1]SEED!$AI187), [1]SEED!$AH187), [1]SEED!$AF187), [1]SEED!$AE187), [1]SEED!$AD187)</f>
        <v>1</v>
      </c>
      <c r="F186" s="14">
        <f t="shared" si="6"/>
        <v>237000000000178</v>
      </c>
      <c r="G186" s="15" t="str">
        <f t="shared" si="7"/>
        <v>PERFORM * FROM "SchData-OLTP-Accounting"."Func_TblLayoutStructureChartOfAccount_SET"(varSystemLoginSession, null, null, null, varInstitutionBranchID, 62000000000001::bigint, varLayoutStructure_RefID, 65000000000178::bigint, 65000000000177::bigint, 1::smallint);</v>
      </c>
    </row>
    <row r="187" spans="2:7" x14ac:dyDescent="0.2">
      <c r="B187" s="9">
        <f>IF(EXACT([1]SEED!$AV188, ""), "", [1]SEED!$AV188)</f>
        <v>65000000000179</v>
      </c>
      <c r="C187" s="9">
        <f>IF(EXACT(B187, ""), "", IF(EXACT([1]SEED!$AW188, ""), "", [1]SEED!$AW188))</f>
        <v>65000000000178</v>
      </c>
      <c r="D187" s="9">
        <f>IF(EXACT([1]SEED!$B188, ""), IF(EXACT([1]SEED!$D188, ""), IF(EXACT([1]SEED!$F188, ""), IF(EXACT([1]SEED!$H188, ""), IF(EXACT([1]SEED!$J188, ""), "", [1]SEED!$AI188), [1]SEED!$AH188), [1]SEED!$AF188), [1]SEED!$AE188), [1]SEED!$AD188)</f>
        <v>1</v>
      </c>
      <c r="F187" s="14">
        <f t="shared" si="6"/>
        <v>237000000000179</v>
      </c>
      <c r="G187" s="15" t="str">
        <f t="shared" si="7"/>
        <v>PERFORM * FROM "SchData-OLTP-Accounting"."Func_TblLayoutStructureChartOfAccount_SET"(varSystemLoginSession, null, null, null, varInstitutionBranchID, 62000000000001::bigint, varLayoutStructure_RefID, 65000000000179::bigint, 65000000000178::bigint, 1::smallint);</v>
      </c>
    </row>
    <row r="188" spans="2:7" x14ac:dyDescent="0.2">
      <c r="B188" s="9">
        <f>IF(EXACT([1]SEED!$AV189, ""), "", [1]SEED!$AV189)</f>
        <v>65000000000180</v>
      </c>
      <c r="C188" s="9">
        <f>IF(EXACT(B188, ""), "", IF(EXACT([1]SEED!$AW189, ""), "", [1]SEED!$AW189))</f>
        <v>65000000000170</v>
      </c>
      <c r="D188" s="9">
        <f>IF(EXACT([1]SEED!$B189, ""), IF(EXACT([1]SEED!$D189, ""), IF(EXACT([1]SEED!$F189, ""), IF(EXACT([1]SEED!$H189, ""), IF(EXACT([1]SEED!$J189, ""), "", [1]SEED!$AI189), [1]SEED!$AH189), [1]SEED!$AF189), [1]SEED!$AE189), [1]SEED!$AD189)</f>
        <v>5</v>
      </c>
      <c r="F188" s="14">
        <f t="shared" si="6"/>
        <v>237000000000180</v>
      </c>
      <c r="G188" s="15" t="str">
        <f t="shared" si="7"/>
        <v>PERFORM * FROM "SchData-OLTP-Accounting"."Func_TblLayoutStructureChartOfAccount_SET"(varSystemLoginSession, null, null, null, varInstitutionBranchID, 62000000000001::bigint, varLayoutStructure_RefID, 65000000000180::bigint, 65000000000170::bigint, 5::smallint);</v>
      </c>
    </row>
    <row r="189" spans="2:7" x14ac:dyDescent="0.2">
      <c r="B189" s="9">
        <f>IF(EXACT([1]SEED!$AV190, ""), "", [1]SEED!$AV190)</f>
        <v>65000000000181</v>
      </c>
      <c r="C189" s="9">
        <f>IF(EXACT(B189, ""), "", IF(EXACT([1]SEED!$AW190, ""), "", [1]SEED!$AW190))</f>
        <v>65000000000180</v>
      </c>
      <c r="D189" s="9">
        <f>IF(EXACT([1]SEED!$B190, ""), IF(EXACT([1]SEED!$D190, ""), IF(EXACT([1]SEED!$F190, ""), IF(EXACT([1]SEED!$H190, ""), IF(EXACT([1]SEED!$J190, ""), "", [1]SEED!$AI190), [1]SEED!$AH190), [1]SEED!$AF190), [1]SEED!$AE190), [1]SEED!$AD190)</f>
        <v>1</v>
      </c>
      <c r="F189" s="14">
        <f t="shared" si="6"/>
        <v>237000000000181</v>
      </c>
      <c r="G189" s="15" t="str">
        <f t="shared" si="7"/>
        <v>PERFORM * FROM "SchData-OLTP-Accounting"."Func_TblLayoutStructureChartOfAccount_SET"(varSystemLoginSession, null, null, null, varInstitutionBranchID, 62000000000001::bigint, varLayoutStructure_RefID, 65000000000181::bigint, 65000000000180::bigint, 1::smallint);</v>
      </c>
    </row>
    <row r="190" spans="2:7" x14ac:dyDescent="0.2">
      <c r="B190" s="9">
        <f>IF(EXACT([1]SEED!$AV191, ""), "", [1]SEED!$AV191)</f>
        <v>65000000000182</v>
      </c>
      <c r="C190" s="9">
        <f>IF(EXACT(B190, ""), "", IF(EXACT([1]SEED!$AW191, ""), "", [1]SEED!$AW191))</f>
        <v>65000000000181</v>
      </c>
      <c r="D190" s="9">
        <f>IF(EXACT([1]SEED!$B191, ""), IF(EXACT([1]SEED!$D191, ""), IF(EXACT([1]SEED!$F191, ""), IF(EXACT([1]SEED!$H191, ""), IF(EXACT([1]SEED!$J191, ""), "", [1]SEED!$AI191), [1]SEED!$AH191), [1]SEED!$AF191), [1]SEED!$AE191), [1]SEED!$AD191)</f>
        <v>1</v>
      </c>
      <c r="F190" s="14">
        <f t="shared" si="6"/>
        <v>237000000000182</v>
      </c>
      <c r="G190" s="15" t="str">
        <f t="shared" si="7"/>
        <v>PERFORM * FROM "SchData-OLTP-Accounting"."Func_TblLayoutStructureChartOfAccount_SET"(varSystemLoginSession, null, null, null, varInstitutionBranchID, 62000000000001::bigint, varLayoutStructure_RefID, 65000000000182::bigint, 65000000000181::bigint, 1::smallint);</v>
      </c>
    </row>
    <row r="191" spans="2:7" x14ac:dyDescent="0.2">
      <c r="B191" s="9">
        <f>IF(EXACT([1]SEED!$AV192, ""), "", [1]SEED!$AV192)</f>
        <v>65000000000183</v>
      </c>
      <c r="C191" s="9">
        <f>IF(EXACT(B191, ""), "", IF(EXACT([1]SEED!$AW192, ""), "", [1]SEED!$AW192))</f>
        <v>65000000000170</v>
      </c>
      <c r="D191" s="9">
        <f>IF(EXACT([1]SEED!$B192, ""), IF(EXACT([1]SEED!$D192, ""), IF(EXACT([1]SEED!$F192, ""), IF(EXACT([1]SEED!$H192, ""), IF(EXACT([1]SEED!$J192, ""), "", [1]SEED!$AI192), [1]SEED!$AH192), [1]SEED!$AF192), [1]SEED!$AE192), [1]SEED!$AD192)</f>
        <v>6</v>
      </c>
      <c r="F191" s="14">
        <f t="shared" si="6"/>
        <v>237000000000183</v>
      </c>
      <c r="G191" s="15" t="str">
        <f t="shared" si="7"/>
        <v>PERFORM * FROM "SchData-OLTP-Accounting"."Func_TblLayoutStructureChartOfAccount_SET"(varSystemLoginSession, null, null, null, varInstitutionBranchID, 62000000000001::bigint, varLayoutStructure_RefID, 65000000000183::bigint, 65000000000170::bigint, 6::smallint);</v>
      </c>
    </row>
    <row r="192" spans="2:7" x14ac:dyDescent="0.2">
      <c r="B192" s="9">
        <f>IF(EXACT([1]SEED!$AV193, ""), "", [1]SEED!$AV193)</f>
        <v>65000000000184</v>
      </c>
      <c r="C192" s="9">
        <f>IF(EXACT(B192, ""), "", IF(EXACT([1]SEED!$AW193, ""), "", [1]SEED!$AW193))</f>
        <v>65000000000183</v>
      </c>
      <c r="D192" s="9">
        <f>IF(EXACT([1]SEED!$B193, ""), IF(EXACT([1]SEED!$D193, ""), IF(EXACT([1]SEED!$F193, ""), IF(EXACT([1]SEED!$H193, ""), IF(EXACT([1]SEED!$J193, ""), "", [1]SEED!$AI193), [1]SEED!$AH193), [1]SEED!$AF193), [1]SEED!$AE193), [1]SEED!$AD193)</f>
        <v>1</v>
      </c>
      <c r="F192" s="14">
        <f t="shared" si="6"/>
        <v>237000000000184</v>
      </c>
      <c r="G192" s="15" t="str">
        <f t="shared" si="7"/>
        <v>PERFORM * FROM "SchData-OLTP-Accounting"."Func_TblLayoutStructureChartOfAccount_SET"(varSystemLoginSession, null, null, null, varInstitutionBranchID, 62000000000001::bigint, varLayoutStructure_RefID, 65000000000184::bigint, 65000000000183::bigint, 1::smallint);</v>
      </c>
    </row>
    <row r="193" spans="2:7" x14ac:dyDescent="0.2">
      <c r="B193" s="9">
        <f>IF(EXACT([1]SEED!$AV194, ""), "", [1]SEED!$AV194)</f>
        <v>65000000000185</v>
      </c>
      <c r="C193" s="9">
        <f>IF(EXACT(B193, ""), "", IF(EXACT([1]SEED!$AW194, ""), "", [1]SEED!$AW194))</f>
        <v>65000000000184</v>
      </c>
      <c r="D193" s="9">
        <f>IF(EXACT([1]SEED!$B194, ""), IF(EXACT([1]SEED!$D194, ""), IF(EXACT([1]SEED!$F194, ""), IF(EXACT([1]SEED!$H194, ""), IF(EXACT([1]SEED!$J194, ""), "", [1]SEED!$AI194), [1]SEED!$AH194), [1]SEED!$AF194), [1]SEED!$AE194), [1]SEED!$AD194)</f>
        <v>1</v>
      </c>
      <c r="F193" s="14">
        <f t="shared" si="6"/>
        <v>237000000000185</v>
      </c>
      <c r="G193" s="15" t="str">
        <f t="shared" si="7"/>
        <v>PERFORM * FROM "SchData-OLTP-Accounting"."Func_TblLayoutStructureChartOfAccount_SET"(varSystemLoginSession, null, null, null, varInstitutionBranchID, 62000000000001::bigint, varLayoutStructure_RefID, 65000000000185::bigint, 65000000000184::bigint, 1::smallint);</v>
      </c>
    </row>
    <row r="194" spans="2:7" x14ac:dyDescent="0.2">
      <c r="B194" s="9">
        <f>IF(EXACT([1]SEED!$AV195, ""), "", [1]SEED!$AV195)</f>
        <v>65000000000186</v>
      </c>
      <c r="C194" s="9">
        <f>IF(EXACT(B194, ""), "", IF(EXACT([1]SEED!$AW195, ""), "", [1]SEED!$AW195))</f>
        <v>65000000000170</v>
      </c>
      <c r="D194" s="9">
        <f>IF(EXACT([1]SEED!$B195, ""), IF(EXACT([1]SEED!$D195, ""), IF(EXACT([1]SEED!$F195, ""), IF(EXACT([1]SEED!$H195, ""), IF(EXACT([1]SEED!$J195, ""), "", [1]SEED!$AI195), [1]SEED!$AH195), [1]SEED!$AF195), [1]SEED!$AE195), [1]SEED!$AD195)</f>
        <v>7</v>
      </c>
      <c r="F194" s="14">
        <f t="shared" si="6"/>
        <v>237000000000186</v>
      </c>
      <c r="G194" s="15" t="str">
        <f t="shared" si="7"/>
        <v>PERFORM * FROM "SchData-OLTP-Accounting"."Func_TblLayoutStructureChartOfAccount_SET"(varSystemLoginSession, null, null, null, varInstitutionBranchID, 62000000000001::bigint, varLayoutStructure_RefID, 65000000000186::bigint, 65000000000170::bigint, 7::smallint);</v>
      </c>
    </row>
    <row r="195" spans="2:7" x14ac:dyDescent="0.2">
      <c r="B195" s="9">
        <f>IF(EXACT([1]SEED!$AV196, ""), "", [1]SEED!$AV196)</f>
        <v>65000000000187</v>
      </c>
      <c r="C195" s="9">
        <f>IF(EXACT(B195, ""), "", IF(EXACT([1]SEED!$AW196, ""), "", [1]SEED!$AW196))</f>
        <v>65000000000186</v>
      </c>
      <c r="D195" s="9">
        <f>IF(EXACT([1]SEED!$B196, ""), IF(EXACT([1]SEED!$D196, ""), IF(EXACT([1]SEED!$F196, ""), IF(EXACT([1]SEED!$H196, ""), IF(EXACT([1]SEED!$J196, ""), "", [1]SEED!$AI196), [1]SEED!$AH196), [1]SEED!$AF196), [1]SEED!$AE196), [1]SEED!$AD196)</f>
        <v>1</v>
      </c>
      <c r="F195" s="14">
        <f t="shared" si="6"/>
        <v>237000000000187</v>
      </c>
      <c r="G195" s="15" t="str">
        <f t="shared" si="7"/>
        <v>PERFORM * FROM "SchData-OLTP-Accounting"."Func_TblLayoutStructureChartOfAccount_SET"(varSystemLoginSession, null, null, null, varInstitutionBranchID, 62000000000001::bigint, varLayoutStructure_RefID, 65000000000187::bigint, 65000000000186::bigint, 1::smallint);</v>
      </c>
    </row>
    <row r="196" spans="2:7" x14ac:dyDescent="0.2">
      <c r="B196" s="9">
        <f>IF(EXACT([1]SEED!$AV197, ""), "", [1]SEED!$AV197)</f>
        <v>65000000000188</v>
      </c>
      <c r="C196" s="9">
        <f>IF(EXACT(B196, ""), "", IF(EXACT([1]SEED!$AW197, ""), "", [1]SEED!$AW197))</f>
        <v>65000000000187</v>
      </c>
      <c r="D196" s="9">
        <f>IF(EXACT([1]SEED!$B197, ""), IF(EXACT([1]SEED!$D197, ""), IF(EXACT([1]SEED!$F197, ""), IF(EXACT([1]SEED!$H197, ""), IF(EXACT([1]SEED!$J197, ""), "", [1]SEED!$AI197), [1]SEED!$AH197), [1]SEED!$AF197), [1]SEED!$AE197), [1]SEED!$AD197)</f>
        <v>1</v>
      </c>
      <c r="F196" s="14">
        <f t="shared" si="6"/>
        <v>237000000000188</v>
      </c>
      <c r="G196" s="15" t="str">
        <f t="shared" si="7"/>
        <v>PERFORM * FROM "SchData-OLTP-Accounting"."Func_TblLayoutStructureChartOfAccount_SET"(varSystemLoginSession, null, null, null, varInstitutionBranchID, 62000000000001::bigint, varLayoutStructure_RefID, 65000000000188::bigint, 65000000000187::bigint, 1::smallint);</v>
      </c>
    </row>
    <row r="197" spans="2:7" x14ac:dyDescent="0.2">
      <c r="B197" s="9" t="str">
        <f>IF(EXACT([1]SEED!$AV198, ""), "", [1]SEED!$AV198)</f>
        <v/>
      </c>
      <c r="C197" s="9" t="str">
        <f>IF(EXACT(B197, ""), "", IF(EXACT([1]SEED!$AW198, ""), "", [1]SEED!$AW198))</f>
        <v/>
      </c>
      <c r="D197" s="9" t="str">
        <f>IF(EXACT([1]SEED!$B198, ""), IF(EXACT([1]SEED!$D198, ""), IF(EXACT([1]SEED!$F198, ""), IF(EXACT([1]SEED!$H198, ""), IF(EXACT([1]SEED!$J198, ""), "", [1]SEED!$AI198), [1]SEED!$AH198), [1]SEED!$AF198), [1]SEED!$AE198), [1]SEED!$AD198)</f>
        <v/>
      </c>
      <c r="F197" s="14">
        <f t="shared" si="6"/>
        <v>237000000000188</v>
      </c>
      <c r="G197" s="15" t="str">
        <f t="shared" si="7"/>
        <v/>
      </c>
    </row>
    <row r="198" spans="2:7" x14ac:dyDescent="0.2">
      <c r="B198" s="9">
        <f>IF(EXACT([1]SEED!$AV199, ""), "", [1]SEED!$AV199)</f>
        <v>65000000000189</v>
      </c>
      <c r="C198" s="9" t="str">
        <f>IF(EXACT(B198, ""), "", IF(EXACT([1]SEED!$AW199, ""), "", [1]SEED!$AW199))</f>
        <v>null</v>
      </c>
      <c r="D198" s="9">
        <f>IF(EXACT([1]SEED!$B199, ""), IF(EXACT([1]SEED!$D199, ""), IF(EXACT([1]SEED!$F199, ""), IF(EXACT([1]SEED!$H199, ""), IF(EXACT([1]SEED!$J199, ""), "", [1]SEED!$AI199), [1]SEED!$AH199), [1]SEED!$AF199), [1]SEED!$AE199), [1]SEED!$AD199)</f>
        <v>5</v>
      </c>
      <c r="F198" s="14">
        <f t="shared" si="6"/>
        <v>237000000000189</v>
      </c>
      <c r="G198" s="15" t="str">
        <f t="shared" si="7"/>
        <v>PERFORM * FROM "SchData-OLTP-Accounting"."Func_TblLayoutStructureChartOfAccount_SET"(varSystemLoginSession, null, null, null, varInstitutionBranchID, 62000000000001::bigint, varLayoutStructure_RefID, 65000000000189::bigint, null::bigint, 5::smallint);</v>
      </c>
    </row>
    <row r="199" spans="2:7" x14ac:dyDescent="0.2">
      <c r="B199" s="9">
        <f>IF(EXACT([1]SEED!$AV200, ""), "", [1]SEED!$AV200)</f>
        <v>65000000000190</v>
      </c>
      <c r="C199" s="9">
        <f>IF(EXACT(B199, ""), "", IF(EXACT([1]SEED!$AW200, ""), "", [1]SEED!$AW200))</f>
        <v>65000000000189</v>
      </c>
      <c r="D199" s="9">
        <f>IF(EXACT([1]SEED!$B200, ""), IF(EXACT([1]SEED!$D200, ""), IF(EXACT([1]SEED!$F200, ""), IF(EXACT([1]SEED!$H200, ""), IF(EXACT([1]SEED!$J200, ""), "", [1]SEED!$AI200), [1]SEED!$AH200), [1]SEED!$AF200), [1]SEED!$AE200), [1]SEED!$AD200)</f>
        <v>2</v>
      </c>
      <c r="F199" s="14">
        <f t="shared" ref="F199:F262" si="8" xml:space="preserve"> F198 + IF(EXACT(G199, ""), 0, 1)</f>
        <v>237000000000190</v>
      </c>
      <c r="G199" s="15" t="str">
        <f t="shared" ref="G199:G262" si="9">IF(EXACT(B199, ""), "", CONCATENATE("PERFORM * FROM ""SchData-OLTP-Accounting"".""Func_TblLayoutStructureChartOfAccount_SET""(varSystemLoginSession, null, null, null, varInstitutionBranchID, 62000000000001::bigint, varLayoutStructure_RefID, ", B199, "::bigint, ", C199, "::bigint, ", D199,"::smallint);"))</f>
        <v>PERFORM * FROM "SchData-OLTP-Accounting"."Func_TblLayoutStructureChartOfAccount_SET"(varSystemLoginSession, null, null, null, varInstitutionBranchID, 62000000000001::bigint, varLayoutStructure_RefID, 65000000000190::bigint, 65000000000189::bigint, 2::smallint);</v>
      </c>
    </row>
    <row r="200" spans="2:7" x14ac:dyDescent="0.2">
      <c r="B200" s="9">
        <f>IF(EXACT([1]SEED!$AV201, ""), "", [1]SEED!$AV201)</f>
        <v>65000000000191</v>
      </c>
      <c r="C200" s="9">
        <f>IF(EXACT(B200, ""), "", IF(EXACT([1]SEED!$AW201, ""), "", [1]SEED!$AW201))</f>
        <v>65000000000190</v>
      </c>
      <c r="D200" s="9">
        <f>IF(EXACT([1]SEED!$B201, ""), IF(EXACT([1]SEED!$D201, ""), IF(EXACT([1]SEED!$F201, ""), IF(EXACT([1]SEED!$H201, ""), IF(EXACT([1]SEED!$J201, ""), "", [1]SEED!$AI201), [1]SEED!$AH201), [1]SEED!$AF201), [1]SEED!$AE201), [1]SEED!$AD201)</f>
        <v>1</v>
      </c>
      <c r="F200" s="14">
        <f t="shared" si="8"/>
        <v>237000000000191</v>
      </c>
      <c r="G200" s="15" t="str">
        <f t="shared" si="9"/>
        <v>PERFORM * FROM "SchData-OLTP-Accounting"."Func_TblLayoutStructureChartOfAccount_SET"(varSystemLoginSession, null, null, null, varInstitutionBranchID, 62000000000001::bigint, varLayoutStructure_RefID, 65000000000191::bigint, 65000000000190::bigint, 1::smallint);</v>
      </c>
    </row>
    <row r="201" spans="2:7" x14ac:dyDescent="0.2">
      <c r="B201" s="9">
        <f>IF(EXACT([1]SEED!$AV202, ""), "", [1]SEED!$AV202)</f>
        <v>65000000000192</v>
      </c>
      <c r="C201" s="9">
        <f>IF(EXACT(B201, ""), "", IF(EXACT([1]SEED!$AW202, ""), "", [1]SEED!$AW202))</f>
        <v>65000000000191</v>
      </c>
      <c r="D201" s="9">
        <f>IF(EXACT([1]SEED!$B202, ""), IF(EXACT([1]SEED!$D202, ""), IF(EXACT([1]SEED!$F202, ""), IF(EXACT([1]SEED!$H202, ""), IF(EXACT([1]SEED!$J202, ""), "", [1]SEED!$AI202), [1]SEED!$AH202), [1]SEED!$AF202), [1]SEED!$AE202), [1]SEED!$AD202)</f>
        <v>1</v>
      </c>
      <c r="F201" s="14">
        <f t="shared" si="8"/>
        <v>237000000000192</v>
      </c>
      <c r="G201" s="15" t="str">
        <f t="shared" si="9"/>
        <v>PERFORM * FROM "SchData-OLTP-Accounting"."Func_TblLayoutStructureChartOfAccount_SET"(varSystemLoginSession, null, null, null, varInstitutionBranchID, 62000000000001::bigint, varLayoutStructure_RefID, 65000000000192::bigint, 65000000000191::bigint, 1::smallint);</v>
      </c>
    </row>
    <row r="202" spans="2:7" x14ac:dyDescent="0.2">
      <c r="B202" s="9">
        <f>IF(EXACT([1]SEED!$AV203, ""), "", [1]SEED!$AV203)</f>
        <v>65000000000193</v>
      </c>
      <c r="C202" s="9">
        <f>IF(EXACT(B202, ""), "", IF(EXACT([1]SEED!$AW203, ""), "", [1]SEED!$AW203))</f>
        <v>65000000000190</v>
      </c>
      <c r="D202" s="9">
        <f>IF(EXACT([1]SEED!$B203, ""), IF(EXACT([1]SEED!$D203, ""), IF(EXACT([1]SEED!$F203, ""), IF(EXACT([1]SEED!$H203, ""), IF(EXACT([1]SEED!$J203, ""), "", [1]SEED!$AI203), [1]SEED!$AH203), [1]SEED!$AF203), [1]SEED!$AE203), [1]SEED!$AD203)</f>
        <v>1</v>
      </c>
      <c r="F202" s="14">
        <f t="shared" si="8"/>
        <v>237000000000193</v>
      </c>
      <c r="G202" s="15" t="str">
        <f t="shared" si="9"/>
        <v>PERFORM * FROM "SchData-OLTP-Accounting"."Func_TblLayoutStructureChartOfAccount_SET"(varSystemLoginSession, null, null, null, varInstitutionBranchID, 62000000000001::bigint, varLayoutStructure_RefID, 65000000000193::bigint, 65000000000190::bigint, 1::smallint);</v>
      </c>
    </row>
    <row r="203" spans="2:7" x14ac:dyDescent="0.2">
      <c r="B203" s="9">
        <f>IF(EXACT([1]SEED!$AV204, ""), "", [1]SEED!$AV204)</f>
        <v>65000000000194</v>
      </c>
      <c r="C203" s="9">
        <f>IF(EXACT(B203, ""), "", IF(EXACT([1]SEED!$AW204, ""), "", [1]SEED!$AW204))</f>
        <v>65000000000193</v>
      </c>
      <c r="D203" s="9">
        <f>IF(EXACT([1]SEED!$B204, ""), IF(EXACT([1]SEED!$D204, ""), IF(EXACT([1]SEED!$F204, ""), IF(EXACT([1]SEED!$H204, ""), IF(EXACT([1]SEED!$J204, ""), "", [1]SEED!$AI204), [1]SEED!$AH204), [1]SEED!$AF204), [1]SEED!$AE204), [1]SEED!$AD204)</f>
        <v>1</v>
      </c>
      <c r="F203" s="14">
        <f t="shared" si="8"/>
        <v>237000000000194</v>
      </c>
      <c r="G203" s="15" t="str">
        <f t="shared" si="9"/>
        <v>PERFORM * FROM "SchData-OLTP-Accounting"."Func_TblLayoutStructureChartOfAccount_SET"(varSystemLoginSession, null, null, null, varInstitutionBranchID, 62000000000001::bigint, varLayoutStructure_RefID, 65000000000194::bigint, 65000000000193::bigint, 1::smallint);</v>
      </c>
    </row>
    <row r="204" spans="2:7" x14ac:dyDescent="0.2">
      <c r="B204" s="9">
        <f>IF(EXACT([1]SEED!$AV205, ""), "", [1]SEED!$AV205)</f>
        <v>65000000000195</v>
      </c>
      <c r="C204" s="9">
        <f>IF(EXACT(B204, ""), "", IF(EXACT([1]SEED!$AW205, ""), "", [1]SEED!$AW205))</f>
        <v>65000000000190</v>
      </c>
      <c r="D204" s="9">
        <f>IF(EXACT([1]SEED!$B205, ""), IF(EXACT([1]SEED!$D205, ""), IF(EXACT([1]SEED!$F205, ""), IF(EXACT([1]SEED!$H205, ""), IF(EXACT([1]SEED!$J205, ""), "", [1]SEED!$AI205), [1]SEED!$AH205), [1]SEED!$AF205), [1]SEED!$AE205), [1]SEED!$AD205)</f>
        <v>1</v>
      </c>
      <c r="F204" s="14">
        <f t="shared" si="8"/>
        <v>237000000000195</v>
      </c>
      <c r="G204" s="15" t="str">
        <f t="shared" si="9"/>
        <v>PERFORM * FROM "SchData-OLTP-Accounting"."Func_TblLayoutStructureChartOfAccount_SET"(varSystemLoginSession, null, null, null, varInstitutionBranchID, 62000000000001::bigint, varLayoutStructure_RefID, 65000000000195::bigint, 65000000000190::bigint, 1::smallint);</v>
      </c>
    </row>
    <row r="205" spans="2:7" x14ac:dyDescent="0.2">
      <c r="B205" s="9">
        <f>IF(EXACT([1]SEED!$AV206, ""), "", [1]SEED!$AV206)</f>
        <v>65000000000196</v>
      </c>
      <c r="C205" s="9">
        <f>IF(EXACT(B205, ""), "", IF(EXACT([1]SEED!$AW206, ""), "", [1]SEED!$AW206))</f>
        <v>65000000000195</v>
      </c>
      <c r="D205" s="9">
        <f>IF(EXACT([1]SEED!$B206, ""), IF(EXACT([1]SEED!$D206, ""), IF(EXACT([1]SEED!$F206, ""), IF(EXACT([1]SEED!$H206, ""), IF(EXACT([1]SEED!$J206, ""), "", [1]SEED!$AI206), [1]SEED!$AH206), [1]SEED!$AF206), [1]SEED!$AE206), [1]SEED!$AD206)</f>
        <v>1</v>
      </c>
      <c r="F205" s="14">
        <f t="shared" si="8"/>
        <v>237000000000196</v>
      </c>
      <c r="G205" s="15" t="str">
        <f t="shared" si="9"/>
        <v>PERFORM * FROM "SchData-OLTP-Accounting"."Func_TblLayoutStructureChartOfAccount_SET"(varSystemLoginSession, null, null, null, varInstitutionBranchID, 62000000000001::bigint, varLayoutStructure_RefID, 65000000000196::bigint, 65000000000195::bigint, 1::smallint);</v>
      </c>
    </row>
    <row r="206" spans="2:7" x14ac:dyDescent="0.2">
      <c r="B206" s="9">
        <f>IF(EXACT([1]SEED!$AV207, ""), "", [1]SEED!$AV207)</f>
        <v>65000000000197</v>
      </c>
      <c r="C206" s="9">
        <f>IF(EXACT(B206, ""), "", IF(EXACT([1]SEED!$AW207, ""), "", [1]SEED!$AW207))</f>
        <v>65000000000190</v>
      </c>
      <c r="D206" s="9">
        <f>IF(EXACT([1]SEED!$B207, ""), IF(EXACT([1]SEED!$D207, ""), IF(EXACT([1]SEED!$F207, ""), IF(EXACT([1]SEED!$H207, ""), IF(EXACT([1]SEED!$J207, ""), "", [1]SEED!$AI207), [1]SEED!$AH207), [1]SEED!$AF207), [1]SEED!$AE207), [1]SEED!$AD207)</f>
        <v>1</v>
      </c>
      <c r="F206" s="14">
        <f t="shared" si="8"/>
        <v>237000000000197</v>
      </c>
      <c r="G206" s="15" t="str">
        <f t="shared" si="9"/>
        <v>PERFORM * FROM "SchData-OLTP-Accounting"."Func_TblLayoutStructureChartOfAccount_SET"(varSystemLoginSession, null, null, null, varInstitutionBranchID, 62000000000001::bigint, varLayoutStructure_RefID, 65000000000197::bigint, 65000000000190::bigint, 1::smallint);</v>
      </c>
    </row>
    <row r="207" spans="2:7" x14ac:dyDescent="0.2">
      <c r="B207" s="9">
        <f>IF(EXACT([1]SEED!$AV208, ""), "", [1]SEED!$AV208)</f>
        <v>65000000000198</v>
      </c>
      <c r="C207" s="9">
        <f>IF(EXACT(B207, ""), "", IF(EXACT([1]SEED!$AW208, ""), "", [1]SEED!$AW208))</f>
        <v>65000000000197</v>
      </c>
      <c r="D207" s="9">
        <f>IF(EXACT([1]SEED!$B208, ""), IF(EXACT([1]SEED!$D208, ""), IF(EXACT([1]SEED!$F208, ""), IF(EXACT([1]SEED!$H208, ""), IF(EXACT([1]SEED!$J208, ""), "", [1]SEED!$AI208), [1]SEED!$AH208), [1]SEED!$AF208), [1]SEED!$AE208), [1]SEED!$AD208)</f>
        <v>1</v>
      </c>
      <c r="F207" s="14">
        <f t="shared" si="8"/>
        <v>237000000000198</v>
      </c>
      <c r="G207" s="15" t="str">
        <f t="shared" si="9"/>
        <v>PERFORM * FROM "SchData-OLTP-Accounting"."Func_TblLayoutStructureChartOfAccount_SET"(varSystemLoginSession, null, null, null, varInstitutionBranchID, 62000000000001::bigint, varLayoutStructure_RefID, 65000000000198::bigint, 65000000000197::bigint, 1::smallint);</v>
      </c>
    </row>
    <row r="208" spans="2:7" x14ac:dyDescent="0.2">
      <c r="B208" s="9">
        <f>IF(EXACT([1]SEED!$AV209, ""), "", [1]SEED!$AV209)</f>
        <v>65000000000199</v>
      </c>
      <c r="C208" s="9">
        <f>IF(EXACT(B208, ""), "", IF(EXACT([1]SEED!$AW209, ""), "", [1]SEED!$AW209))</f>
        <v>65000000000190</v>
      </c>
      <c r="D208" s="9">
        <f>IF(EXACT([1]SEED!$B209, ""), IF(EXACT([1]SEED!$D209, ""), IF(EXACT([1]SEED!$F209, ""), IF(EXACT([1]SEED!$H209, ""), IF(EXACT([1]SEED!$J209, ""), "", [1]SEED!$AI209), [1]SEED!$AH209), [1]SEED!$AF209), [1]SEED!$AE209), [1]SEED!$AD209)</f>
        <v>1</v>
      </c>
      <c r="F208" s="14">
        <f t="shared" si="8"/>
        <v>237000000000199</v>
      </c>
      <c r="G208" s="15" t="str">
        <f t="shared" si="9"/>
        <v>PERFORM * FROM "SchData-OLTP-Accounting"."Func_TblLayoutStructureChartOfAccount_SET"(varSystemLoginSession, null, null, null, varInstitutionBranchID, 62000000000001::bigint, varLayoutStructure_RefID, 65000000000199::bigint, 65000000000190::bigint, 1::smallint);</v>
      </c>
    </row>
    <row r="209" spans="2:7" x14ac:dyDescent="0.2">
      <c r="B209" s="9">
        <f>IF(EXACT([1]SEED!$AV210, ""), "", [1]SEED!$AV210)</f>
        <v>65000000000200</v>
      </c>
      <c r="C209" s="9">
        <f>IF(EXACT(B209, ""), "", IF(EXACT([1]SEED!$AW210, ""), "", [1]SEED!$AW210))</f>
        <v>65000000000199</v>
      </c>
      <c r="D209" s="9">
        <f>IF(EXACT([1]SEED!$B210, ""), IF(EXACT([1]SEED!$D210, ""), IF(EXACT([1]SEED!$F210, ""), IF(EXACT([1]SEED!$H210, ""), IF(EXACT([1]SEED!$J210, ""), "", [1]SEED!$AI210), [1]SEED!$AH210), [1]SEED!$AF210), [1]SEED!$AE210), [1]SEED!$AD210)</f>
        <v>1</v>
      </c>
      <c r="F209" s="14">
        <f t="shared" si="8"/>
        <v>237000000000200</v>
      </c>
      <c r="G209" s="15" t="str">
        <f t="shared" si="9"/>
        <v>PERFORM * FROM "SchData-OLTP-Accounting"."Func_TblLayoutStructureChartOfAccount_SET"(varSystemLoginSession, null, null, null, varInstitutionBranchID, 62000000000001::bigint, varLayoutStructure_RefID, 65000000000200::bigint, 65000000000199::bigint, 1::smallint);</v>
      </c>
    </row>
    <row r="210" spans="2:7" x14ac:dyDescent="0.2">
      <c r="B210" s="9">
        <f>IF(EXACT([1]SEED!$AV211, ""), "", [1]SEED!$AV211)</f>
        <v>65000000000201</v>
      </c>
      <c r="C210" s="9">
        <f>IF(EXACT(B210, ""), "", IF(EXACT([1]SEED!$AW211, ""), "", [1]SEED!$AW211))</f>
        <v>65000000000190</v>
      </c>
      <c r="D210" s="9">
        <f>IF(EXACT([1]SEED!$B211, ""), IF(EXACT([1]SEED!$D211, ""), IF(EXACT([1]SEED!$F211, ""), IF(EXACT([1]SEED!$H211, ""), IF(EXACT([1]SEED!$J211, ""), "", [1]SEED!$AI211), [1]SEED!$AH211), [1]SEED!$AF211), [1]SEED!$AE211), [1]SEED!$AD211)</f>
        <v>1</v>
      </c>
      <c r="F210" s="14">
        <f t="shared" si="8"/>
        <v>237000000000201</v>
      </c>
      <c r="G210" s="15" t="str">
        <f t="shared" si="9"/>
        <v>PERFORM * FROM "SchData-OLTP-Accounting"."Func_TblLayoutStructureChartOfAccount_SET"(varSystemLoginSession, null, null, null, varInstitutionBranchID, 62000000000001::bigint, varLayoutStructure_RefID, 65000000000201::bigint, 65000000000190::bigint, 1::smallint);</v>
      </c>
    </row>
    <row r="211" spans="2:7" x14ac:dyDescent="0.2">
      <c r="B211" s="9">
        <f>IF(EXACT([1]SEED!$AV212, ""), "", [1]SEED!$AV212)</f>
        <v>65000000000202</v>
      </c>
      <c r="C211" s="9">
        <f>IF(EXACT(B211, ""), "", IF(EXACT([1]SEED!$AW212, ""), "", [1]SEED!$AW212))</f>
        <v>65000000000201</v>
      </c>
      <c r="D211" s="9">
        <f>IF(EXACT([1]SEED!$B212, ""), IF(EXACT([1]SEED!$D212, ""), IF(EXACT([1]SEED!$F212, ""), IF(EXACT([1]SEED!$H212, ""), IF(EXACT([1]SEED!$J212, ""), "", [1]SEED!$AI212), [1]SEED!$AH212), [1]SEED!$AF212), [1]SEED!$AE212), [1]SEED!$AD212)</f>
        <v>1</v>
      </c>
      <c r="F211" s="14">
        <f t="shared" si="8"/>
        <v>237000000000202</v>
      </c>
      <c r="G211" s="15" t="str">
        <f t="shared" si="9"/>
        <v>PERFORM * FROM "SchData-OLTP-Accounting"."Func_TblLayoutStructureChartOfAccount_SET"(varSystemLoginSession, null, null, null, varInstitutionBranchID, 62000000000001::bigint, varLayoutStructure_RefID, 65000000000202::bigint, 65000000000201::bigint, 1::smallint);</v>
      </c>
    </row>
    <row r="212" spans="2:7" x14ac:dyDescent="0.2">
      <c r="B212" s="9">
        <f>IF(EXACT([1]SEED!$AV213, ""), "", [1]SEED!$AV213)</f>
        <v>65000000000203</v>
      </c>
      <c r="C212" s="9">
        <f>IF(EXACT(B212, ""), "", IF(EXACT([1]SEED!$AW213, ""), "", [1]SEED!$AW213))</f>
        <v>65000000000190</v>
      </c>
      <c r="D212" s="9">
        <f>IF(EXACT([1]SEED!$B213, ""), IF(EXACT([1]SEED!$D213, ""), IF(EXACT([1]SEED!$F213, ""), IF(EXACT([1]SEED!$H213, ""), IF(EXACT([1]SEED!$J213, ""), "", [1]SEED!$AI213), [1]SEED!$AH213), [1]SEED!$AF213), [1]SEED!$AE213), [1]SEED!$AD213)</f>
        <v>1</v>
      </c>
      <c r="F212" s="14">
        <f t="shared" si="8"/>
        <v>237000000000203</v>
      </c>
      <c r="G212" s="15" t="str">
        <f t="shared" si="9"/>
        <v>PERFORM * FROM "SchData-OLTP-Accounting"."Func_TblLayoutStructureChartOfAccount_SET"(varSystemLoginSession, null, null, null, varInstitutionBranchID, 62000000000001::bigint, varLayoutStructure_RefID, 65000000000203::bigint, 65000000000190::bigint, 1::smallint);</v>
      </c>
    </row>
    <row r="213" spans="2:7" x14ac:dyDescent="0.2">
      <c r="B213" s="9">
        <f>IF(EXACT([1]SEED!$AV214, ""), "", [1]SEED!$AV214)</f>
        <v>65000000000204</v>
      </c>
      <c r="C213" s="9">
        <f>IF(EXACT(B213, ""), "", IF(EXACT([1]SEED!$AW214, ""), "", [1]SEED!$AW214))</f>
        <v>65000000000203</v>
      </c>
      <c r="D213" s="9">
        <f>IF(EXACT([1]SEED!$B214, ""), IF(EXACT([1]SEED!$D214, ""), IF(EXACT([1]SEED!$F214, ""), IF(EXACT([1]SEED!$H214, ""), IF(EXACT([1]SEED!$J214, ""), "", [1]SEED!$AI214), [1]SEED!$AH214), [1]SEED!$AF214), [1]SEED!$AE214), [1]SEED!$AD214)</f>
        <v>1</v>
      </c>
      <c r="F213" s="14">
        <f t="shared" si="8"/>
        <v>237000000000204</v>
      </c>
      <c r="G213" s="15" t="str">
        <f t="shared" si="9"/>
        <v>PERFORM * FROM "SchData-OLTP-Accounting"."Func_TblLayoutStructureChartOfAccount_SET"(varSystemLoginSession, null, null, null, varInstitutionBranchID, 62000000000001::bigint, varLayoutStructure_RefID, 65000000000204::bigint, 65000000000203::bigint, 1::smallint);</v>
      </c>
    </row>
    <row r="214" spans="2:7" x14ac:dyDescent="0.2">
      <c r="B214" s="9">
        <f>IF(EXACT([1]SEED!$AV215, ""), "", [1]SEED!$AV215)</f>
        <v>65000000000205</v>
      </c>
      <c r="C214" s="9">
        <f>IF(EXACT(B214, ""), "", IF(EXACT([1]SEED!$AW215, ""), "", [1]SEED!$AW215))</f>
        <v>65000000000190</v>
      </c>
      <c r="D214" s="9">
        <f>IF(EXACT([1]SEED!$B215, ""), IF(EXACT([1]SEED!$D215, ""), IF(EXACT([1]SEED!$F215, ""), IF(EXACT([1]SEED!$H215, ""), IF(EXACT([1]SEED!$J215, ""), "", [1]SEED!$AI215), [1]SEED!$AH215), [1]SEED!$AF215), [1]SEED!$AE215), [1]SEED!$AD215)</f>
        <v>1</v>
      </c>
      <c r="F214" s="14">
        <f t="shared" si="8"/>
        <v>237000000000205</v>
      </c>
      <c r="G214" s="15" t="str">
        <f t="shared" si="9"/>
        <v>PERFORM * FROM "SchData-OLTP-Accounting"."Func_TblLayoutStructureChartOfAccount_SET"(varSystemLoginSession, null, null, null, varInstitutionBranchID, 62000000000001::bigint, varLayoutStructure_RefID, 65000000000205::bigint, 65000000000190::bigint, 1::smallint);</v>
      </c>
    </row>
    <row r="215" spans="2:7" x14ac:dyDescent="0.2">
      <c r="B215" s="9">
        <f>IF(EXACT([1]SEED!$AV216, ""), "", [1]SEED!$AV216)</f>
        <v>65000000000206</v>
      </c>
      <c r="C215" s="9">
        <f>IF(EXACT(B215, ""), "", IF(EXACT([1]SEED!$AW216, ""), "", [1]SEED!$AW216))</f>
        <v>65000000000205</v>
      </c>
      <c r="D215" s="9">
        <f>IF(EXACT([1]SEED!$B216, ""), IF(EXACT([1]SEED!$D216, ""), IF(EXACT([1]SEED!$F216, ""), IF(EXACT([1]SEED!$H216, ""), IF(EXACT([1]SEED!$J216, ""), "", [1]SEED!$AI216), [1]SEED!$AH216), [1]SEED!$AF216), [1]SEED!$AE216), [1]SEED!$AD216)</f>
        <v>1</v>
      </c>
      <c r="F215" s="14">
        <f t="shared" si="8"/>
        <v>237000000000206</v>
      </c>
      <c r="G215" s="15" t="str">
        <f t="shared" si="9"/>
        <v>PERFORM * FROM "SchData-OLTP-Accounting"."Func_TblLayoutStructureChartOfAccount_SET"(varSystemLoginSession, null, null, null, varInstitutionBranchID, 62000000000001::bigint, varLayoutStructure_RefID, 65000000000206::bigint, 65000000000205::bigint, 1::smallint);</v>
      </c>
    </row>
    <row r="216" spans="2:7" x14ac:dyDescent="0.2">
      <c r="B216" s="9">
        <f>IF(EXACT([1]SEED!$AV217, ""), "", [1]SEED!$AV217)</f>
        <v>65000000000207</v>
      </c>
      <c r="C216" s="9">
        <f>IF(EXACT(B216, ""), "", IF(EXACT([1]SEED!$AW217, ""), "", [1]SEED!$AW217))</f>
        <v>65000000000190</v>
      </c>
      <c r="D216" s="9">
        <f>IF(EXACT([1]SEED!$B217, ""), IF(EXACT([1]SEED!$D217, ""), IF(EXACT([1]SEED!$F217, ""), IF(EXACT([1]SEED!$H217, ""), IF(EXACT([1]SEED!$J217, ""), "", [1]SEED!$AI217), [1]SEED!$AH217), [1]SEED!$AF217), [1]SEED!$AE217), [1]SEED!$AD217)</f>
        <v>1</v>
      </c>
      <c r="F216" s="14">
        <f t="shared" si="8"/>
        <v>237000000000207</v>
      </c>
      <c r="G216" s="15" t="str">
        <f t="shared" si="9"/>
        <v>PERFORM * FROM "SchData-OLTP-Accounting"."Func_TblLayoutStructureChartOfAccount_SET"(varSystemLoginSession, null, null, null, varInstitutionBranchID, 62000000000001::bigint, varLayoutStructure_RefID, 65000000000207::bigint, 65000000000190::bigint, 1::smallint);</v>
      </c>
    </row>
    <row r="217" spans="2:7" x14ac:dyDescent="0.2">
      <c r="B217" s="9">
        <f>IF(EXACT([1]SEED!$AV218, ""), "", [1]SEED!$AV218)</f>
        <v>65000000000208</v>
      </c>
      <c r="C217" s="9">
        <f>IF(EXACT(B217, ""), "", IF(EXACT([1]SEED!$AW218, ""), "", [1]SEED!$AW218))</f>
        <v>65000000000207</v>
      </c>
      <c r="D217" s="9">
        <f>IF(EXACT([1]SEED!$B218, ""), IF(EXACT([1]SEED!$D218, ""), IF(EXACT([1]SEED!$F218, ""), IF(EXACT([1]SEED!$H218, ""), IF(EXACT([1]SEED!$J218, ""), "", [1]SEED!$AI218), [1]SEED!$AH218), [1]SEED!$AF218), [1]SEED!$AE218), [1]SEED!$AD218)</f>
        <v>1</v>
      </c>
      <c r="F217" s="14">
        <f t="shared" si="8"/>
        <v>237000000000208</v>
      </c>
      <c r="G217" s="15" t="str">
        <f t="shared" si="9"/>
        <v>PERFORM * FROM "SchData-OLTP-Accounting"."Func_TblLayoutStructureChartOfAccount_SET"(varSystemLoginSession, null, null, null, varInstitutionBranchID, 62000000000001::bigint, varLayoutStructure_RefID, 65000000000208::bigint, 65000000000207::bigint, 1::smallint);</v>
      </c>
    </row>
    <row r="218" spans="2:7" x14ac:dyDescent="0.2">
      <c r="B218" s="9">
        <f>IF(EXACT([1]SEED!$AV219, ""), "", [1]SEED!$AV219)</f>
        <v>65000000000209</v>
      </c>
      <c r="C218" s="9">
        <f>IF(EXACT(B218, ""), "", IF(EXACT([1]SEED!$AW219, ""), "", [1]SEED!$AW219))</f>
        <v>65000000000190</v>
      </c>
      <c r="D218" s="9">
        <f>IF(EXACT([1]SEED!$B219, ""), IF(EXACT([1]SEED!$D219, ""), IF(EXACT([1]SEED!$F219, ""), IF(EXACT([1]SEED!$H219, ""), IF(EXACT([1]SEED!$J219, ""), "", [1]SEED!$AI219), [1]SEED!$AH219), [1]SEED!$AF219), [1]SEED!$AE219), [1]SEED!$AD219)</f>
        <v>1</v>
      </c>
      <c r="F218" s="14">
        <f t="shared" si="8"/>
        <v>237000000000209</v>
      </c>
      <c r="G218" s="15" t="str">
        <f t="shared" si="9"/>
        <v>PERFORM * FROM "SchData-OLTP-Accounting"."Func_TblLayoutStructureChartOfAccount_SET"(varSystemLoginSession, null, null, null, varInstitutionBranchID, 62000000000001::bigint, varLayoutStructure_RefID, 65000000000209::bigint, 65000000000190::bigint, 1::smallint);</v>
      </c>
    </row>
    <row r="219" spans="2:7" x14ac:dyDescent="0.2">
      <c r="B219" s="9">
        <f>IF(EXACT([1]SEED!$AV220, ""), "", [1]SEED!$AV220)</f>
        <v>65000000000210</v>
      </c>
      <c r="C219" s="9">
        <f>IF(EXACT(B219, ""), "", IF(EXACT([1]SEED!$AW220, ""), "", [1]SEED!$AW220))</f>
        <v>65000000000209</v>
      </c>
      <c r="D219" s="9">
        <f>IF(EXACT([1]SEED!$B220, ""), IF(EXACT([1]SEED!$D220, ""), IF(EXACT([1]SEED!$F220, ""), IF(EXACT([1]SEED!$H220, ""), IF(EXACT([1]SEED!$J220, ""), "", [1]SEED!$AI220), [1]SEED!$AH220), [1]SEED!$AF220), [1]SEED!$AE220), [1]SEED!$AD220)</f>
        <v>1</v>
      </c>
      <c r="F219" s="14">
        <f t="shared" si="8"/>
        <v>237000000000210</v>
      </c>
      <c r="G219" s="15" t="str">
        <f t="shared" si="9"/>
        <v>PERFORM * FROM "SchData-OLTP-Accounting"."Func_TblLayoutStructureChartOfAccount_SET"(varSystemLoginSession, null, null, null, varInstitutionBranchID, 62000000000001::bigint, varLayoutStructure_RefID, 65000000000210::bigint, 65000000000209::bigint, 1::smallint);</v>
      </c>
    </row>
    <row r="220" spans="2:7" x14ac:dyDescent="0.2">
      <c r="B220" s="9">
        <f>IF(EXACT([1]SEED!$AV221, ""), "", [1]SEED!$AV221)</f>
        <v>65000000000211</v>
      </c>
      <c r="C220" s="9">
        <f>IF(EXACT(B220, ""), "", IF(EXACT([1]SEED!$AW221, ""), "", [1]SEED!$AW221))</f>
        <v>65000000000190</v>
      </c>
      <c r="D220" s="9">
        <f>IF(EXACT([1]SEED!$B221, ""), IF(EXACT([1]SEED!$D221, ""), IF(EXACT([1]SEED!$F221, ""), IF(EXACT([1]SEED!$H221, ""), IF(EXACT([1]SEED!$J221, ""), "", [1]SEED!$AI221), [1]SEED!$AH221), [1]SEED!$AF221), [1]SEED!$AE221), [1]SEED!$AD221)</f>
        <v>1</v>
      </c>
      <c r="F220" s="14">
        <f t="shared" si="8"/>
        <v>237000000000211</v>
      </c>
      <c r="G220" s="15" t="str">
        <f t="shared" si="9"/>
        <v>PERFORM * FROM "SchData-OLTP-Accounting"."Func_TblLayoutStructureChartOfAccount_SET"(varSystemLoginSession, null, null, null, varInstitutionBranchID, 62000000000001::bigint, varLayoutStructure_RefID, 65000000000211::bigint, 65000000000190::bigint, 1::smallint);</v>
      </c>
    </row>
    <row r="221" spans="2:7" x14ac:dyDescent="0.2">
      <c r="B221" s="9">
        <f>IF(EXACT([1]SEED!$AV222, ""), "", [1]SEED!$AV222)</f>
        <v>65000000000212</v>
      </c>
      <c r="C221" s="9">
        <f>IF(EXACT(B221, ""), "", IF(EXACT([1]SEED!$AW222, ""), "", [1]SEED!$AW222))</f>
        <v>65000000000211</v>
      </c>
      <c r="D221" s="9">
        <f>IF(EXACT([1]SEED!$B222, ""), IF(EXACT([1]SEED!$D222, ""), IF(EXACT([1]SEED!$F222, ""), IF(EXACT([1]SEED!$H222, ""), IF(EXACT([1]SEED!$J222, ""), "", [1]SEED!$AI222), [1]SEED!$AH222), [1]SEED!$AF222), [1]SEED!$AE222), [1]SEED!$AD222)</f>
        <v>1</v>
      </c>
      <c r="F221" s="14">
        <f t="shared" si="8"/>
        <v>237000000000212</v>
      </c>
      <c r="G221" s="15" t="str">
        <f t="shared" si="9"/>
        <v>PERFORM * FROM "SchData-OLTP-Accounting"."Func_TblLayoutStructureChartOfAccount_SET"(varSystemLoginSession, null, null, null, varInstitutionBranchID, 62000000000001::bigint, varLayoutStructure_RefID, 65000000000212::bigint, 65000000000211::bigint, 1::smallint);</v>
      </c>
    </row>
    <row r="222" spans="2:7" x14ac:dyDescent="0.2">
      <c r="B222" s="9">
        <f>IF(EXACT([1]SEED!$AV223, ""), "", [1]SEED!$AV223)</f>
        <v>65000000000213</v>
      </c>
      <c r="C222" s="9">
        <f>IF(EXACT(B222, ""), "", IF(EXACT([1]SEED!$AW223, ""), "", [1]SEED!$AW223))</f>
        <v>65000000000189</v>
      </c>
      <c r="D222" s="9">
        <f>IF(EXACT([1]SEED!$B223, ""), IF(EXACT([1]SEED!$D223, ""), IF(EXACT([1]SEED!$F223, ""), IF(EXACT([1]SEED!$H223, ""), IF(EXACT([1]SEED!$J223, ""), "", [1]SEED!$AI223), [1]SEED!$AH223), [1]SEED!$AF223), [1]SEED!$AE223), [1]SEED!$AD223)</f>
        <v>3</v>
      </c>
      <c r="F222" s="14">
        <f t="shared" si="8"/>
        <v>237000000000213</v>
      </c>
      <c r="G222" s="15" t="str">
        <f t="shared" si="9"/>
        <v>PERFORM * FROM "SchData-OLTP-Accounting"."Func_TblLayoutStructureChartOfAccount_SET"(varSystemLoginSession, null, null, null, varInstitutionBranchID, 62000000000001::bigint, varLayoutStructure_RefID, 65000000000213::bigint, 65000000000189::bigint, 3::smallint);</v>
      </c>
    </row>
    <row r="223" spans="2:7" x14ac:dyDescent="0.2">
      <c r="B223" s="9">
        <f>IF(EXACT([1]SEED!$AV224, ""), "", [1]SEED!$AV224)</f>
        <v>65000000000214</v>
      </c>
      <c r="C223" s="9">
        <f>IF(EXACT(B223, ""), "", IF(EXACT([1]SEED!$AW224, ""), "", [1]SEED!$AW224))</f>
        <v>65000000000213</v>
      </c>
      <c r="D223" s="9">
        <f>IF(EXACT([1]SEED!$B224, ""), IF(EXACT([1]SEED!$D224, ""), IF(EXACT([1]SEED!$F224, ""), IF(EXACT([1]SEED!$H224, ""), IF(EXACT([1]SEED!$J224, ""), "", [1]SEED!$AI224), [1]SEED!$AH224), [1]SEED!$AF224), [1]SEED!$AE224), [1]SEED!$AD224)</f>
        <v>1</v>
      </c>
      <c r="F223" s="14">
        <f t="shared" si="8"/>
        <v>237000000000214</v>
      </c>
      <c r="G223" s="15" t="str">
        <f t="shared" si="9"/>
        <v>PERFORM * FROM "SchData-OLTP-Accounting"."Func_TblLayoutStructureChartOfAccount_SET"(varSystemLoginSession, null, null, null, varInstitutionBranchID, 62000000000001::bigint, varLayoutStructure_RefID, 65000000000214::bigint, 65000000000213::bigint, 1::smallint);</v>
      </c>
    </row>
    <row r="224" spans="2:7" x14ac:dyDescent="0.2">
      <c r="B224" s="9">
        <f>IF(EXACT([1]SEED!$AV225, ""), "", [1]SEED!$AV225)</f>
        <v>65000000000215</v>
      </c>
      <c r="C224" s="9">
        <f>IF(EXACT(B224, ""), "", IF(EXACT([1]SEED!$AW225, ""), "", [1]SEED!$AW225))</f>
        <v>65000000000214</v>
      </c>
      <c r="D224" s="9">
        <f>IF(EXACT([1]SEED!$B225, ""), IF(EXACT([1]SEED!$D225, ""), IF(EXACT([1]SEED!$F225, ""), IF(EXACT([1]SEED!$H225, ""), IF(EXACT([1]SEED!$J225, ""), "", [1]SEED!$AI225), [1]SEED!$AH225), [1]SEED!$AF225), [1]SEED!$AE225), [1]SEED!$AD225)</f>
        <v>1</v>
      </c>
      <c r="F224" s="14">
        <f t="shared" si="8"/>
        <v>237000000000215</v>
      </c>
      <c r="G224" s="15" t="str">
        <f t="shared" si="9"/>
        <v>PERFORM * FROM "SchData-OLTP-Accounting"."Func_TblLayoutStructureChartOfAccount_SET"(varSystemLoginSession, null, null, null, varInstitutionBranchID, 62000000000001::bigint, varLayoutStructure_RefID, 65000000000215::bigint, 65000000000214::bigint, 1::smallint);</v>
      </c>
    </row>
    <row r="225" spans="2:7" x14ac:dyDescent="0.2">
      <c r="B225" s="9">
        <f>IF(EXACT([1]SEED!$AV226, ""), "", [1]SEED!$AV226)</f>
        <v>65000000000216</v>
      </c>
      <c r="C225" s="9">
        <f>IF(EXACT(B225, ""), "", IF(EXACT([1]SEED!$AW226, ""), "", [1]SEED!$AW226))</f>
        <v>65000000000213</v>
      </c>
      <c r="D225" s="9">
        <f>IF(EXACT([1]SEED!$B226, ""), IF(EXACT([1]SEED!$D226, ""), IF(EXACT([1]SEED!$F226, ""), IF(EXACT([1]SEED!$H226, ""), IF(EXACT([1]SEED!$J226, ""), "", [1]SEED!$AI226), [1]SEED!$AH226), [1]SEED!$AF226), [1]SEED!$AE226), [1]SEED!$AD226)</f>
        <v>1</v>
      </c>
      <c r="F225" s="14">
        <f t="shared" si="8"/>
        <v>237000000000216</v>
      </c>
      <c r="G225" s="15" t="str">
        <f t="shared" si="9"/>
        <v>PERFORM * FROM "SchData-OLTP-Accounting"."Func_TblLayoutStructureChartOfAccount_SET"(varSystemLoginSession, null, null, null, varInstitutionBranchID, 62000000000001::bigint, varLayoutStructure_RefID, 65000000000216::bigint, 65000000000213::bigint, 1::smallint);</v>
      </c>
    </row>
    <row r="226" spans="2:7" x14ac:dyDescent="0.2">
      <c r="B226" s="9">
        <f>IF(EXACT([1]SEED!$AV227, ""), "", [1]SEED!$AV227)</f>
        <v>65000000000217</v>
      </c>
      <c r="C226" s="9">
        <f>IF(EXACT(B226, ""), "", IF(EXACT([1]SEED!$AW227, ""), "", [1]SEED!$AW227))</f>
        <v>65000000000216</v>
      </c>
      <c r="D226" s="9">
        <f>IF(EXACT([1]SEED!$B227, ""), IF(EXACT([1]SEED!$D227, ""), IF(EXACT([1]SEED!$F227, ""), IF(EXACT([1]SEED!$H227, ""), IF(EXACT([1]SEED!$J227, ""), "", [1]SEED!$AI227), [1]SEED!$AH227), [1]SEED!$AF227), [1]SEED!$AE227), [1]SEED!$AD227)</f>
        <v>1</v>
      </c>
      <c r="F226" s="14">
        <f t="shared" si="8"/>
        <v>237000000000217</v>
      </c>
      <c r="G226" s="15" t="str">
        <f t="shared" si="9"/>
        <v>PERFORM * FROM "SchData-OLTP-Accounting"."Func_TblLayoutStructureChartOfAccount_SET"(varSystemLoginSession, null, null, null, varInstitutionBranchID, 62000000000001::bigint, varLayoutStructure_RefID, 65000000000217::bigint, 65000000000216::bigint, 1::smallint);</v>
      </c>
    </row>
    <row r="227" spans="2:7" x14ac:dyDescent="0.2">
      <c r="B227" s="9">
        <f>IF(EXACT([1]SEED!$AV228, ""), "", [1]SEED!$AV228)</f>
        <v>65000000000218</v>
      </c>
      <c r="C227" s="9">
        <f>IF(EXACT(B227, ""), "", IF(EXACT([1]SEED!$AW228, ""), "", [1]SEED!$AW228))</f>
        <v>65000000000213</v>
      </c>
      <c r="D227" s="9">
        <f>IF(EXACT([1]SEED!$B228, ""), IF(EXACT([1]SEED!$D228, ""), IF(EXACT([1]SEED!$F228, ""), IF(EXACT([1]SEED!$H228, ""), IF(EXACT([1]SEED!$J228, ""), "", [1]SEED!$AI228), [1]SEED!$AH228), [1]SEED!$AF228), [1]SEED!$AE228), [1]SEED!$AD228)</f>
        <v>1</v>
      </c>
      <c r="F227" s="14">
        <f t="shared" si="8"/>
        <v>237000000000218</v>
      </c>
      <c r="G227" s="15" t="str">
        <f t="shared" si="9"/>
        <v>PERFORM * FROM "SchData-OLTP-Accounting"."Func_TblLayoutStructureChartOfAccount_SET"(varSystemLoginSession, null, null, null, varInstitutionBranchID, 62000000000001::bigint, varLayoutStructure_RefID, 65000000000218::bigint, 65000000000213::bigint, 1::smallint);</v>
      </c>
    </row>
    <row r="228" spans="2:7" x14ac:dyDescent="0.2">
      <c r="B228" s="9">
        <f>IF(EXACT([1]SEED!$AV229, ""), "", [1]SEED!$AV229)</f>
        <v>65000000000219</v>
      </c>
      <c r="C228" s="9">
        <f>IF(EXACT(B228, ""), "", IF(EXACT([1]SEED!$AW229, ""), "", [1]SEED!$AW229))</f>
        <v>65000000000218</v>
      </c>
      <c r="D228" s="9">
        <f>IF(EXACT([1]SEED!$B229, ""), IF(EXACT([1]SEED!$D229, ""), IF(EXACT([1]SEED!$F229, ""), IF(EXACT([1]SEED!$H229, ""), IF(EXACT([1]SEED!$J229, ""), "", [1]SEED!$AI229), [1]SEED!$AH229), [1]SEED!$AF229), [1]SEED!$AE229), [1]SEED!$AD229)</f>
        <v>1</v>
      </c>
      <c r="F228" s="14">
        <f t="shared" si="8"/>
        <v>237000000000219</v>
      </c>
      <c r="G228" s="15" t="str">
        <f t="shared" si="9"/>
        <v>PERFORM * FROM "SchData-OLTP-Accounting"."Func_TblLayoutStructureChartOfAccount_SET"(varSystemLoginSession, null, null, null, varInstitutionBranchID, 62000000000001::bigint, varLayoutStructure_RefID, 65000000000219::bigint, 65000000000218::bigint, 1::smallint);</v>
      </c>
    </row>
    <row r="229" spans="2:7" x14ac:dyDescent="0.2">
      <c r="B229" s="9">
        <f>IF(EXACT([1]SEED!$AV230, ""), "", [1]SEED!$AV230)</f>
        <v>65000000000220</v>
      </c>
      <c r="C229" s="9">
        <f>IF(EXACT(B229, ""), "", IF(EXACT([1]SEED!$AW230, ""), "", [1]SEED!$AW230))</f>
        <v>65000000000213</v>
      </c>
      <c r="D229" s="9">
        <f>IF(EXACT([1]SEED!$B230, ""), IF(EXACT([1]SEED!$D230, ""), IF(EXACT([1]SEED!$F230, ""), IF(EXACT([1]SEED!$H230, ""), IF(EXACT([1]SEED!$J230, ""), "", [1]SEED!$AI230), [1]SEED!$AH230), [1]SEED!$AF230), [1]SEED!$AE230), [1]SEED!$AD230)</f>
        <v>1</v>
      </c>
      <c r="F229" s="14">
        <f t="shared" si="8"/>
        <v>237000000000220</v>
      </c>
      <c r="G229" s="15" t="str">
        <f t="shared" si="9"/>
        <v>PERFORM * FROM "SchData-OLTP-Accounting"."Func_TblLayoutStructureChartOfAccount_SET"(varSystemLoginSession, null, null, null, varInstitutionBranchID, 62000000000001::bigint, varLayoutStructure_RefID, 65000000000220::bigint, 65000000000213::bigint, 1::smallint);</v>
      </c>
    </row>
    <row r="230" spans="2:7" x14ac:dyDescent="0.2">
      <c r="B230" s="9">
        <f>IF(EXACT([1]SEED!$AV231, ""), "", [1]SEED!$AV231)</f>
        <v>65000000000221</v>
      </c>
      <c r="C230" s="9">
        <f>IF(EXACT(B230, ""), "", IF(EXACT([1]SEED!$AW231, ""), "", [1]SEED!$AW231))</f>
        <v>65000000000220</v>
      </c>
      <c r="D230" s="9">
        <f>IF(EXACT([1]SEED!$B231, ""), IF(EXACT([1]SEED!$D231, ""), IF(EXACT([1]SEED!$F231, ""), IF(EXACT([1]SEED!$H231, ""), IF(EXACT([1]SEED!$J231, ""), "", [1]SEED!$AI231), [1]SEED!$AH231), [1]SEED!$AF231), [1]SEED!$AE231), [1]SEED!$AD231)</f>
        <v>1</v>
      </c>
      <c r="F230" s="14">
        <f t="shared" si="8"/>
        <v>237000000000221</v>
      </c>
      <c r="G230" s="15" t="str">
        <f t="shared" si="9"/>
        <v>PERFORM * FROM "SchData-OLTP-Accounting"."Func_TblLayoutStructureChartOfAccount_SET"(varSystemLoginSession, null, null, null, varInstitutionBranchID, 62000000000001::bigint, varLayoutStructure_RefID, 65000000000221::bigint, 65000000000220::bigint, 1::smallint);</v>
      </c>
    </row>
    <row r="231" spans="2:7" x14ac:dyDescent="0.2">
      <c r="B231" s="9">
        <f>IF(EXACT([1]SEED!$AV232, ""), "", [1]SEED!$AV232)</f>
        <v>65000000000222</v>
      </c>
      <c r="C231" s="9">
        <f>IF(EXACT(B231, ""), "", IF(EXACT([1]SEED!$AW232, ""), "", [1]SEED!$AW232))</f>
        <v>65000000000213</v>
      </c>
      <c r="D231" s="9">
        <f>IF(EXACT([1]SEED!$B232, ""), IF(EXACT([1]SEED!$D232, ""), IF(EXACT([1]SEED!$F232, ""), IF(EXACT([1]SEED!$H232, ""), IF(EXACT([1]SEED!$J232, ""), "", [1]SEED!$AI232), [1]SEED!$AH232), [1]SEED!$AF232), [1]SEED!$AE232), [1]SEED!$AD232)</f>
        <v>1</v>
      </c>
      <c r="F231" s="14">
        <f t="shared" si="8"/>
        <v>237000000000222</v>
      </c>
      <c r="G231" s="15" t="str">
        <f t="shared" si="9"/>
        <v>PERFORM * FROM "SchData-OLTP-Accounting"."Func_TblLayoutStructureChartOfAccount_SET"(varSystemLoginSession, null, null, null, varInstitutionBranchID, 62000000000001::bigint, varLayoutStructure_RefID, 65000000000222::bigint, 65000000000213::bigint, 1::smallint);</v>
      </c>
    </row>
    <row r="232" spans="2:7" x14ac:dyDescent="0.2">
      <c r="B232" s="9">
        <f>IF(EXACT([1]SEED!$AV233, ""), "", [1]SEED!$AV233)</f>
        <v>65000000000223</v>
      </c>
      <c r="C232" s="9">
        <f>IF(EXACT(B232, ""), "", IF(EXACT([1]SEED!$AW233, ""), "", [1]SEED!$AW233))</f>
        <v>65000000000222</v>
      </c>
      <c r="D232" s="9">
        <f>IF(EXACT([1]SEED!$B233, ""), IF(EXACT([1]SEED!$D233, ""), IF(EXACT([1]SEED!$F233, ""), IF(EXACT([1]SEED!$H233, ""), IF(EXACT([1]SEED!$J233, ""), "", [1]SEED!$AI233), [1]SEED!$AH233), [1]SEED!$AF233), [1]SEED!$AE233), [1]SEED!$AD233)</f>
        <v>1</v>
      </c>
      <c r="F232" s="14">
        <f t="shared" si="8"/>
        <v>237000000000223</v>
      </c>
      <c r="G232" s="15" t="str">
        <f t="shared" si="9"/>
        <v>PERFORM * FROM "SchData-OLTP-Accounting"."Func_TblLayoutStructureChartOfAccount_SET"(varSystemLoginSession, null, null, null, varInstitutionBranchID, 62000000000001::bigint, varLayoutStructure_RefID, 65000000000223::bigint, 65000000000222::bigint, 1::smallint);</v>
      </c>
    </row>
    <row r="233" spans="2:7" x14ac:dyDescent="0.2">
      <c r="B233" s="9">
        <f>IF(EXACT([1]SEED!$AV234, ""), "", [1]SEED!$AV234)</f>
        <v>65000000000224</v>
      </c>
      <c r="C233" s="9">
        <f>IF(EXACT(B233, ""), "", IF(EXACT([1]SEED!$AW234, ""), "", [1]SEED!$AW234))</f>
        <v>65000000000213</v>
      </c>
      <c r="D233" s="9">
        <f>IF(EXACT([1]SEED!$B234, ""), IF(EXACT([1]SEED!$D234, ""), IF(EXACT([1]SEED!$F234, ""), IF(EXACT([1]SEED!$H234, ""), IF(EXACT([1]SEED!$J234, ""), "", [1]SEED!$AI234), [1]SEED!$AH234), [1]SEED!$AF234), [1]SEED!$AE234), [1]SEED!$AD234)</f>
        <v>1</v>
      </c>
      <c r="F233" s="14">
        <f t="shared" si="8"/>
        <v>237000000000224</v>
      </c>
      <c r="G233" s="15" t="str">
        <f t="shared" si="9"/>
        <v>PERFORM * FROM "SchData-OLTP-Accounting"."Func_TblLayoutStructureChartOfAccount_SET"(varSystemLoginSession, null, null, null, varInstitutionBranchID, 62000000000001::bigint, varLayoutStructure_RefID, 65000000000224::bigint, 65000000000213::bigint, 1::smallint);</v>
      </c>
    </row>
    <row r="234" spans="2:7" x14ac:dyDescent="0.2">
      <c r="B234" s="9">
        <f>IF(EXACT([1]SEED!$AV235, ""), "", [1]SEED!$AV235)</f>
        <v>65000000000225</v>
      </c>
      <c r="C234" s="9">
        <f>IF(EXACT(B234, ""), "", IF(EXACT([1]SEED!$AW235, ""), "", [1]SEED!$AW235))</f>
        <v>65000000000224</v>
      </c>
      <c r="D234" s="9">
        <f>IF(EXACT([1]SEED!$B235, ""), IF(EXACT([1]SEED!$D235, ""), IF(EXACT([1]SEED!$F235, ""), IF(EXACT([1]SEED!$H235, ""), IF(EXACT([1]SEED!$J235, ""), "", [1]SEED!$AI235), [1]SEED!$AH235), [1]SEED!$AF235), [1]SEED!$AE235), [1]SEED!$AD235)</f>
        <v>1</v>
      </c>
      <c r="F234" s="14">
        <f t="shared" si="8"/>
        <v>237000000000225</v>
      </c>
      <c r="G234" s="15" t="str">
        <f t="shared" si="9"/>
        <v>PERFORM * FROM "SchData-OLTP-Accounting"."Func_TblLayoutStructureChartOfAccount_SET"(varSystemLoginSession, null, null, null, varInstitutionBranchID, 62000000000001::bigint, varLayoutStructure_RefID, 65000000000225::bigint, 65000000000224::bigint, 1::smallint);</v>
      </c>
    </row>
    <row r="235" spans="2:7" x14ac:dyDescent="0.2">
      <c r="B235" s="9">
        <f>IF(EXACT([1]SEED!$AV236, ""), "", [1]SEED!$AV236)</f>
        <v>65000000000226</v>
      </c>
      <c r="C235" s="9">
        <f>IF(EXACT(B235, ""), "", IF(EXACT([1]SEED!$AW236, ""), "", [1]SEED!$AW236))</f>
        <v>65000000000213</v>
      </c>
      <c r="D235" s="9">
        <f>IF(EXACT([1]SEED!$B236, ""), IF(EXACT([1]SEED!$D236, ""), IF(EXACT([1]SEED!$F236, ""), IF(EXACT([1]SEED!$H236, ""), IF(EXACT([1]SEED!$J236, ""), "", [1]SEED!$AI236), [1]SEED!$AH236), [1]SEED!$AF236), [1]SEED!$AE236), [1]SEED!$AD236)</f>
        <v>1</v>
      </c>
      <c r="F235" s="14">
        <f t="shared" si="8"/>
        <v>237000000000226</v>
      </c>
      <c r="G235" s="15" t="str">
        <f t="shared" si="9"/>
        <v>PERFORM * FROM "SchData-OLTP-Accounting"."Func_TblLayoutStructureChartOfAccount_SET"(varSystemLoginSession, null, null, null, varInstitutionBranchID, 62000000000001::bigint, varLayoutStructure_RefID, 65000000000226::bigint, 65000000000213::bigint, 1::smallint);</v>
      </c>
    </row>
    <row r="236" spans="2:7" x14ac:dyDescent="0.2">
      <c r="B236" s="9">
        <f>IF(EXACT([1]SEED!$AV237, ""), "", [1]SEED!$AV237)</f>
        <v>65000000000227</v>
      </c>
      <c r="C236" s="9">
        <f>IF(EXACT(B236, ""), "", IF(EXACT([1]SEED!$AW237, ""), "", [1]SEED!$AW237))</f>
        <v>65000000000226</v>
      </c>
      <c r="D236" s="9">
        <f>IF(EXACT([1]SEED!$B237, ""), IF(EXACT([1]SEED!$D237, ""), IF(EXACT([1]SEED!$F237, ""), IF(EXACT([1]SEED!$H237, ""), IF(EXACT([1]SEED!$J237, ""), "", [1]SEED!$AI237), [1]SEED!$AH237), [1]SEED!$AF237), [1]SEED!$AE237), [1]SEED!$AD237)</f>
        <v>1</v>
      </c>
      <c r="F236" s="14">
        <f t="shared" si="8"/>
        <v>237000000000227</v>
      </c>
      <c r="G236" s="15" t="str">
        <f t="shared" si="9"/>
        <v>PERFORM * FROM "SchData-OLTP-Accounting"."Func_TblLayoutStructureChartOfAccount_SET"(varSystemLoginSession, null, null, null, varInstitutionBranchID, 62000000000001::bigint, varLayoutStructure_RefID, 65000000000227::bigint, 65000000000226::bigint, 1::smallint);</v>
      </c>
    </row>
    <row r="237" spans="2:7" x14ac:dyDescent="0.2">
      <c r="B237" s="9">
        <f>IF(EXACT([1]SEED!$AV238, ""), "", [1]SEED!$AV238)</f>
        <v>65000000000228</v>
      </c>
      <c r="C237" s="9">
        <f>IF(EXACT(B237, ""), "", IF(EXACT([1]SEED!$AW238, ""), "", [1]SEED!$AW238))</f>
        <v>65000000000213</v>
      </c>
      <c r="D237" s="9">
        <f>IF(EXACT([1]SEED!$B238, ""), IF(EXACT([1]SEED!$D238, ""), IF(EXACT([1]SEED!$F238, ""), IF(EXACT([1]SEED!$H238, ""), IF(EXACT([1]SEED!$J238, ""), "", [1]SEED!$AI238), [1]SEED!$AH238), [1]SEED!$AF238), [1]SEED!$AE238), [1]SEED!$AD238)</f>
        <v>1</v>
      </c>
      <c r="F237" s="14">
        <f t="shared" si="8"/>
        <v>237000000000228</v>
      </c>
      <c r="G237" s="15" t="str">
        <f t="shared" si="9"/>
        <v>PERFORM * FROM "SchData-OLTP-Accounting"."Func_TblLayoutStructureChartOfAccount_SET"(varSystemLoginSession, null, null, null, varInstitutionBranchID, 62000000000001::bigint, varLayoutStructure_RefID, 65000000000228::bigint, 65000000000213::bigint, 1::smallint);</v>
      </c>
    </row>
    <row r="238" spans="2:7" x14ac:dyDescent="0.2">
      <c r="B238" s="9">
        <f>IF(EXACT([1]SEED!$AV239, ""), "", [1]SEED!$AV239)</f>
        <v>65000000000229</v>
      </c>
      <c r="C238" s="9">
        <f>IF(EXACT(B238, ""), "", IF(EXACT([1]SEED!$AW239, ""), "", [1]SEED!$AW239))</f>
        <v>65000000000228</v>
      </c>
      <c r="D238" s="9">
        <f>IF(EXACT([1]SEED!$B239, ""), IF(EXACT([1]SEED!$D239, ""), IF(EXACT([1]SEED!$F239, ""), IF(EXACT([1]SEED!$H239, ""), IF(EXACT([1]SEED!$J239, ""), "", [1]SEED!$AI239), [1]SEED!$AH239), [1]SEED!$AF239), [1]SEED!$AE239), [1]SEED!$AD239)</f>
        <v>1</v>
      </c>
      <c r="F238" s="14">
        <f t="shared" si="8"/>
        <v>237000000000229</v>
      </c>
      <c r="G238" s="15" t="str">
        <f t="shared" si="9"/>
        <v>PERFORM * FROM "SchData-OLTP-Accounting"."Func_TblLayoutStructureChartOfAccount_SET"(varSystemLoginSession, null, null, null, varInstitutionBranchID, 62000000000001::bigint, varLayoutStructure_RefID, 65000000000229::bigint, 65000000000228::bigint, 1::smallint);</v>
      </c>
    </row>
    <row r="239" spans="2:7" x14ac:dyDescent="0.2">
      <c r="B239" s="9">
        <f>IF(EXACT([1]SEED!$AV240, ""), "", [1]SEED!$AV240)</f>
        <v>65000000000230</v>
      </c>
      <c r="C239" s="9">
        <f>IF(EXACT(B239, ""), "", IF(EXACT([1]SEED!$AW240, ""), "", [1]SEED!$AW240))</f>
        <v>65000000000213</v>
      </c>
      <c r="D239" s="9">
        <f>IF(EXACT([1]SEED!$B240, ""), IF(EXACT([1]SEED!$D240, ""), IF(EXACT([1]SEED!$F240, ""), IF(EXACT([1]SEED!$H240, ""), IF(EXACT([1]SEED!$J240, ""), "", [1]SEED!$AI240), [1]SEED!$AH240), [1]SEED!$AF240), [1]SEED!$AE240), [1]SEED!$AD240)</f>
        <v>1</v>
      </c>
      <c r="F239" s="14">
        <f t="shared" si="8"/>
        <v>237000000000230</v>
      </c>
      <c r="G239" s="15" t="str">
        <f t="shared" si="9"/>
        <v>PERFORM * FROM "SchData-OLTP-Accounting"."Func_TblLayoutStructureChartOfAccount_SET"(varSystemLoginSession, null, null, null, varInstitutionBranchID, 62000000000001::bigint, varLayoutStructure_RefID, 65000000000230::bigint, 65000000000213::bigint, 1::smallint);</v>
      </c>
    </row>
    <row r="240" spans="2:7" x14ac:dyDescent="0.2">
      <c r="B240" s="9">
        <f>IF(EXACT([1]SEED!$AV241, ""), "", [1]SEED!$AV241)</f>
        <v>65000000000231</v>
      </c>
      <c r="C240" s="9">
        <f>IF(EXACT(B240, ""), "", IF(EXACT([1]SEED!$AW241, ""), "", [1]SEED!$AW241))</f>
        <v>65000000000230</v>
      </c>
      <c r="D240" s="9">
        <f>IF(EXACT([1]SEED!$B241, ""), IF(EXACT([1]SEED!$D241, ""), IF(EXACT([1]SEED!$F241, ""), IF(EXACT([1]SEED!$H241, ""), IF(EXACT([1]SEED!$J241, ""), "", [1]SEED!$AI241), [1]SEED!$AH241), [1]SEED!$AF241), [1]SEED!$AE241), [1]SEED!$AD241)</f>
        <v>1</v>
      </c>
      <c r="F240" s="14">
        <f t="shared" si="8"/>
        <v>237000000000231</v>
      </c>
      <c r="G240" s="15" t="str">
        <f t="shared" si="9"/>
        <v>PERFORM * FROM "SchData-OLTP-Accounting"."Func_TblLayoutStructureChartOfAccount_SET"(varSystemLoginSession, null, null, null, varInstitutionBranchID, 62000000000001::bigint, varLayoutStructure_RefID, 65000000000231::bigint, 65000000000230::bigint, 1::smallint);</v>
      </c>
    </row>
    <row r="241" spans="2:7" x14ac:dyDescent="0.2">
      <c r="B241" s="9">
        <f>IF(EXACT([1]SEED!$AV242, ""), "", [1]SEED!$AV242)</f>
        <v>65000000000232</v>
      </c>
      <c r="C241" s="9">
        <f>IF(EXACT(B241, ""), "", IF(EXACT([1]SEED!$AW242, ""), "", [1]SEED!$AW242))</f>
        <v>65000000000213</v>
      </c>
      <c r="D241" s="9">
        <f>IF(EXACT([1]SEED!$B242, ""), IF(EXACT([1]SEED!$D242, ""), IF(EXACT([1]SEED!$F242, ""), IF(EXACT([1]SEED!$H242, ""), IF(EXACT([1]SEED!$J242, ""), "", [1]SEED!$AI242), [1]SEED!$AH242), [1]SEED!$AF242), [1]SEED!$AE242), [1]SEED!$AD242)</f>
        <v>1</v>
      </c>
      <c r="F241" s="14">
        <f t="shared" si="8"/>
        <v>237000000000232</v>
      </c>
      <c r="G241" s="15" t="str">
        <f t="shared" si="9"/>
        <v>PERFORM * FROM "SchData-OLTP-Accounting"."Func_TblLayoutStructureChartOfAccount_SET"(varSystemLoginSession, null, null, null, varInstitutionBranchID, 62000000000001::bigint, varLayoutStructure_RefID, 65000000000232::bigint, 65000000000213::bigint, 1::smallint);</v>
      </c>
    </row>
    <row r="242" spans="2:7" x14ac:dyDescent="0.2">
      <c r="B242" s="9">
        <f>IF(EXACT([1]SEED!$AV243, ""), "", [1]SEED!$AV243)</f>
        <v>65000000000233</v>
      </c>
      <c r="C242" s="9">
        <f>IF(EXACT(B242, ""), "", IF(EXACT([1]SEED!$AW243, ""), "", [1]SEED!$AW243))</f>
        <v>65000000000232</v>
      </c>
      <c r="D242" s="9">
        <f>IF(EXACT([1]SEED!$B243, ""), IF(EXACT([1]SEED!$D243, ""), IF(EXACT([1]SEED!$F243, ""), IF(EXACT([1]SEED!$H243, ""), IF(EXACT([1]SEED!$J243, ""), "", [1]SEED!$AI243), [1]SEED!$AH243), [1]SEED!$AF243), [1]SEED!$AE243), [1]SEED!$AD243)</f>
        <v>1</v>
      </c>
      <c r="F242" s="14">
        <f t="shared" si="8"/>
        <v>237000000000233</v>
      </c>
      <c r="G242" s="15" t="str">
        <f t="shared" si="9"/>
        <v>PERFORM * FROM "SchData-OLTP-Accounting"."Func_TblLayoutStructureChartOfAccount_SET"(varSystemLoginSession, null, null, null, varInstitutionBranchID, 62000000000001::bigint, varLayoutStructure_RefID, 65000000000233::bigint, 65000000000232::bigint, 1::smallint);</v>
      </c>
    </row>
    <row r="243" spans="2:7" x14ac:dyDescent="0.2">
      <c r="B243" s="9">
        <f>IF(EXACT([1]SEED!$AV244, ""), "", [1]SEED!$AV244)</f>
        <v>65000000000234</v>
      </c>
      <c r="C243" s="9">
        <f>IF(EXACT(B243, ""), "", IF(EXACT([1]SEED!$AW244, ""), "", [1]SEED!$AW244))</f>
        <v>65000000000213</v>
      </c>
      <c r="D243" s="9">
        <f>IF(EXACT([1]SEED!$B244, ""), IF(EXACT([1]SEED!$D244, ""), IF(EXACT([1]SEED!$F244, ""), IF(EXACT([1]SEED!$H244, ""), IF(EXACT([1]SEED!$J244, ""), "", [1]SEED!$AI244), [1]SEED!$AH244), [1]SEED!$AF244), [1]SEED!$AE244), [1]SEED!$AD244)</f>
        <v>1</v>
      </c>
      <c r="F243" s="14">
        <f t="shared" si="8"/>
        <v>237000000000234</v>
      </c>
      <c r="G243" s="15" t="str">
        <f t="shared" si="9"/>
        <v>PERFORM * FROM "SchData-OLTP-Accounting"."Func_TblLayoutStructureChartOfAccount_SET"(varSystemLoginSession, null, null, null, varInstitutionBranchID, 62000000000001::bigint, varLayoutStructure_RefID, 65000000000234::bigint, 65000000000213::bigint, 1::smallint);</v>
      </c>
    </row>
    <row r="244" spans="2:7" x14ac:dyDescent="0.2">
      <c r="B244" s="9">
        <f>IF(EXACT([1]SEED!$AV245, ""), "", [1]SEED!$AV245)</f>
        <v>65000000000235</v>
      </c>
      <c r="C244" s="9">
        <f>IF(EXACT(B244, ""), "", IF(EXACT([1]SEED!$AW245, ""), "", [1]SEED!$AW245))</f>
        <v>65000000000234</v>
      </c>
      <c r="D244" s="9">
        <f>IF(EXACT([1]SEED!$B245, ""), IF(EXACT([1]SEED!$D245, ""), IF(EXACT([1]SEED!$F245, ""), IF(EXACT([1]SEED!$H245, ""), IF(EXACT([1]SEED!$J245, ""), "", [1]SEED!$AI245), [1]SEED!$AH245), [1]SEED!$AF245), [1]SEED!$AE245), [1]SEED!$AD245)</f>
        <v>1</v>
      </c>
      <c r="F244" s="14">
        <f t="shared" si="8"/>
        <v>237000000000235</v>
      </c>
      <c r="G244" s="15" t="str">
        <f t="shared" si="9"/>
        <v>PERFORM * FROM "SchData-OLTP-Accounting"."Func_TblLayoutStructureChartOfAccount_SET"(varSystemLoginSession, null, null, null, varInstitutionBranchID, 62000000000001::bigint, varLayoutStructure_RefID, 65000000000235::bigint, 65000000000234::bigint, 1::smallint);</v>
      </c>
    </row>
    <row r="245" spans="2:7" x14ac:dyDescent="0.2">
      <c r="B245" s="9">
        <f>IF(EXACT([1]SEED!$AV246, ""), "", [1]SEED!$AV246)</f>
        <v>65000000000236</v>
      </c>
      <c r="C245" s="9">
        <f>IF(EXACT(B245, ""), "", IF(EXACT([1]SEED!$AW246, ""), "", [1]SEED!$AW246))</f>
        <v>65000000000213</v>
      </c>
      <c r="D245" s="9">
        <f>IF(EXACT([1]SEED!$B246, ""), IF(EXACT([1]SEED!$D246, ""), IF(EXACT([1]SEED!$F246, ""), IF(EXACT([1]SEED!$H246, ""), IF(EXACT([1]SEED!$J246, ""), "", [1]SEED!$AI246), [1]SEED!$AH246), [1]SEED!$AF246), [1]SEED!$AE246), [1]SEED!$AD246)</f>
        <v>1</v>
      </c>
      <c r="F245" s="14">
        <f t="shared" si="8"/>
        <v>237000000000236</v>
      </c>
      <c r="G245" s="15" t="str">
        <f t="shared" si="9"/>
        <v>PERFORM * FROM "SchData-OLTP-Accounting"."Func_TblLayoutStructureChartOfAccount_SET"(varSystemLoginSession, null, null, null, varInstitutionBranchID, 62000000000001::bigint, varLayoutStructure_RefID, 65000000000236::bigint, 65000000000213::bigint, 1::smallint);</v>
      </c>
    </row>
    <row r="246" spans="2:7" x14ac:dyDescent="0.2">
      <c r="B246" s="9">
        <f>IF(EXACT([1]SEED!$AV247, ""), "", [1]SEED!$AV247)</f>
        <v>65000000000237</v>
      </c>
      <c r="C246" s="9">
        <f>IF(EXACT(B246, ""), "", IF(EXACT([1]SEED!$AW247, ""), "", [1]SEED!$AW247))</f>
        <v>65000000000236</v>
      </c>
      <c r="D246" s="9">
        <f>IF(EXACT([1]SEED!$B247, ""), IF(EXACT([1]SEED!$D247, ""), IF(EXACT([1]SEED!$F247, ""), IF(EXACT([1]SEED!$H247, ""), IF(EXACT([1]SEED!$J247, ""), "", [1]SEED!$AI247), [1]SEED!$AH247), [1]SEED!$AF247), [1]SEED!$AE247), [1]SEED!$AD247)</f>
        <v>1</v>
      </c>
      <c r="F246" s="14">
        <f t="shared" si="8"/>
        <v>237000000000237</v>
      </c>
      <c r="G246" s="15" t="str">
        <f t="shared" si="9"/>
        <v>PERFORM * FROM "SchData-OLTP-Accounting"."Func_TblLayoutStructureChartOfAccount_SET"(varSystemLoginSession, null, null, null, varInstitutionBranchID, 62000000000001::bigint, varLayoutStructure_RefID, 65000000000237::bigint, 65000000000236::bigint, 1::smallint);</v>
      </c>
    </row>
    <row r="247" spans="2:7" x14ac:dyDescent="0.2">
      <c r="B247" s="9">
        <f>IF(EXACT([1]SEED!$AV248, ""), "", [1]SEED!$AV248)</f>
        <v>65000000000238</v>
      </c>
      <c r="C247" s="9">
        <f>IF(EXACT(B247, ""), "", IF(EXACT([1]SEED!$AW248, ""), "", [1]SEED!$AW248))</f>
        <v>65000000000213</v>
      </c>
      <c r="D247" s="9">
        <f>IF(EXACT([1]SEED!$B248, ""), IF(EXACT([1]SEED!$D248, ""), IF(EXACT([1]SEED!$F248, ""), IF(EXACT([1]SEED!$H248, ""), IF(EXACT([1]SEED!$J248, ""), "", [1]SEED!$AI248), [1]SEED!$AH248), [1]SEED!$AF248), [1]SEED!$AE248), [1]SEED!$AD248)</f>
        <v>1</v>
      </c>
      <c r="F247" s="14">
        <f t="shared" si="8"/>
        <v>237000000000238</v>
      </c>
      <c r="G247" s="15" t="str">
        <f t="shared" si="9"/>
        <v>PERFORM * FROM "SchData-OLTP-Accounting"."Func_TblLayoutStructureChartOfAccount_SET"(varSystemLoginSession, null, null, null, varInstitutionBranchID, 62000000000001::bigint, varLayoutStructure_RefID, 65000000000238::bigint, 65000000000213::bigint, 1::smallint);</v>
      </c>
    </row>
    <row r="248" spans="2:7" x14ac:dyDescent="0.2">
      <c r="B248" s="9">
        <f>IF(EXACT([1]SEED!$AV249, ""), "", [1]SEED!$AV249)</f>
        <v>65000000000239</v>
      </c>
      <c r="C248" s="9">
        <f>IF(EXACT(B248, ""), "", IF(EXACT([1]SEED!$AW249, ""), "", [1]SEED!$AW249))</f>
        <v>65000000000238</v>
      </c>
      <c r="D248" s="9">
        <f>IF(EXACT([1]SEED!$B249, ""), IF(EXACT([1]SEED!$D249, ""), IF(EXACT([1]SEED!$F249, ""), IF(EXACT([1]SEED!$H249, ""), IF(EXACT([1]SEED!$J249, ""), "", [1]SEED!$AI249), [1]SEED!$AH249), [1]SEED!$AF249), [1]SEED!$AE249), [1]SEED!$AD249)</f>
        <v>1</v>
      </c>
      <c r="F248" s="14">
        <f t="shared" si="8"/>
        <v>237000000000239</v>
      </c>
      <c r="G248" s="15" t="str">
        <f t="shared" si="9"/>
        <v>PERFORM * FROM "SchData-OLTP-Accounting"."Func_TblLayoutStructureChartOfAccount_SET"(varSystemLoginSession, null, null, null, varInstitutionBranchID, 62000000000001::bigint, varLayoutStructure_RefID, 65000000000239::bigint, 65000000000238::bigint, 1::smallint);</v>
      </c>
    </row>
    <row r="249" spans="2:7" x14ac:dyDescent="0.2">
      <c r="B249" s="9">
        <f>IF(EXACT([1]SEED!$AV250, ""), "", [1]SEED!$AV250)</f>
        <v>65000000000240</v>
      </c>
      <c r="C249" s="9">
        <f>IF(EXACT(B249, ""), "", IF(EXACT([1]SEED!$AW250, ""), "", [1]SEED!$AW250))</f>
        <v>65000000000213</v>
      </c>
      <c r="D249" s="9">
        <f>IF(EXACT([1]SEED!$B250, ""), IF(EXACT([1]SEED!$D250, ""), IF(EXACT([1]SEED!$F250, ""), IF(EXACT([1]SEED!$H250, ""), IF(EXACT([1]SEED!$J250, ""), "", [1]SEED!$AI250), [1]SEED!$AH250), [1]SEED!$AF250), [1]SEED!$AE250), [1]SEED!$AD250)</f>
        <v>1</v>
      </c>
      <c r="F249" s="14">
        <f t="shared" si="8"/>
        <v>237000000000240</v>
      </c>
      <c r="G249" s="15" t="str">
        <f t="shared" si="9"/>
        <v>PERFORM * FROM "SchData-OLTP-Accounting"."Func_TblLayoutStructureChartOfAccount_SET"(varSystemLoginSession, null, null, null, varInstitutionBranchID, 62000000000001::bigint, varLayoutStructure_RefID, 65000000000240::bigint, 65000000000213::bigint, 1::smallint);</v>
      </c>
    </row>
    <row r="250" spans="2:7" x14ac:dyDescent="0.2">
      <c r="B250" s="9">
        <f>IF(EXACT([1]SEED!$AV251, ""), "", [1]SEED!$AV251)</f>
        <v>65000000000241</v>
      </c>
      <c r="C250" s="9">
        <f>IF(EXACT(B250, ""), "", IF(EXACT([1]SEED!$AW251, ""), "", [1]SEED!$AW251))</f>
        <v>65000000000240</v>
      </c>
      <c r="D250" s="9">
        <f>IF(EXACT([1]SEED!$B251, ""), IF(EXACT([1]SEED!$D251, ""), IF(EXACT([1]SEED!$F251, ""), IF(EXACT([1]SEED!$H251, ""), IF(EXACT([1]SEED!$J251, ""), "", [1]SEED!$AI251), [1]SEED!$AH251), [1]SEED!$AF251), [1]SEED!$AE251), [1]SEED!$AD251)</f>
        <v>1</v>
      </c>
      <c r="F250" s="14">
        <f t="shared" si="8"/>
        <v>237000000000241</v>
      </c>
      <c r="G250" s="15" t="str">
        <f t="shared" si="9"/>
        <v>PERFORM * FROM "SchData-OLTP-Accounting"."Func_TblLayoutStructureChartOfAccount_SET"(varSystemLoginSession, null, null, null, varInstitutionBranchID, 62000000000001::bigint, varLayoutStructure_RefID, 65000000000241::bigint, 65000000000240::bigint, 1::smallint);</v>
      </c>
    </row>
    <row r="251" spans="2:7" x14ac:dyDescent="0.2">
      <c r="B251" s="9">
        <f>IF(EXACT([1]SEED!$AV252, ""), "", [1]SEED!$AV252)</f>
        <v>65000000000242</v>
      </c>
      <c r="C251" s="9">
        <f>IF(EXACT(B251, ""), "", IF(EXACT([1]SEED!$AW252, ""), "", [1]SEED!$AW252))</f>
        <v>65000000000213</v>
      </c>
      <c r="D251" s="9">
        <f>IF(EXACT([1]SEED!$B252, ""), IF(EXACT([1]SEED!$D252, ""), IF(EXACT([1]SEED!$F252, ""), IF(EXACT([1]SEED!$H252, ""), IF(EXACT([1]SEED!$J252, ""), "", [1]SEED!$AI252), [1]SEED!$AH252), [1]SEED!$AF252), [1]SEED!$AE252), [1]SEED!$AD252)</f>
        <v>1</v>
      </c>
      <c r="F251" s="14">
        <f t="shared" si="8"/>
        <v>237000000000242</v>
      </c>
      <c r="G251" s="15" t="str">
        <f t="shared" si="9"/>
        <v>PERFORM * FROM "SchData-OLTP-Accounting"."Func_TblLayoutStructureChartOfAccount_SET"(varSystemLoginSession, null, null, null, varInstitutionBranchID, 62000000000001::bigint, varLayoutStructure_RefID, 65000000000242::bigint, 65000000000213::bigint, 1::smallint);</v>
      </c>
    </row>
    <row r="252" spans="2:7" x14ac:dyDescent="0.2">
      <c r="B252" s="9">
        <f>IF(EXACT([1]SEED!$AV253, ""), "", [1]SEED!$AV253)</f>
        <v>65000000000243</v>
      </c>
      <c r="C252" s="9">
        <f>IF(EXACT(B252, ""), "", IF(EXACT([1]SEED!$AW253, ""), "", [1]SEED!$AW253))</f>
        <v>65000000000242</v>
      </c>
      <c r="D252" s="9">
        <f>IF(EXACT([1]SEED!$B253, ""), IF(EXACT([1]SEED!$D253, ""), IF(EXACT([1]SEED!$F253, ""), IF(EXACT([1]SEED!$H253, ""), IF(EXACT([1]SEED!$J253, ""), "", [1]SEED!$AI253), [1]SEED!$AH253), [1]SEED!$AF253), [1]SEED!$AE253), [1]SEED!$AD253)</f>
        <v>1</v>
      </c>
      <c r="F252" s="14">
        <f t="shared" si="8"/>
        <v>237000000000243</v>
      </c>
      <c r="G252" s="15" t="str">
        <f t="shared" si="9"/>
        <v>PERFORM * FROM "SchData-OLTP-Accounting"."Func_TblLayoutStructureChartOfAccount_SET"(varSystemLoginSession, null, null, null, varInstitutionBranchID, 62000000000001::bigint, varLayoutStructure_RefID, 65000000000243::bigint, 65000000000242::bigint, 1::smallint);</v>
      </c>
    </row>
    <row r="253" spans="2:7" x14ac:dyDescent="0.2">
      <c r="B253" s="9">
        <f>IF(EXACT([1]SEED!$AV254, ""), "", [1]SEED!$AV254)</f>
        <v>65000000000244</v>
      </c>
      <c r="C253" s="9">
        <f>IF(EXACT(B253, ""), "", IF(EXACT([1]SEED!$AW254, ""), "", [1]SEED!$AW254))</f>
        <v>65000000000213</v>
      </c>
      <c r="D253" s="9">
        <f>IF(EXACT([1]SEED!$B254, ""), IF(EXACT([1]SEED!$D254, ""), IF(EXACT([1]SEED!$F254, ""), IF(EXACT([1]SEED!$H254, ""), IF(EXACT([1]SEED!$J254, ""), "", [1]SEED!$AI254), [1]SEED!$AH254), [1]SEED!$AF254), [1]SEED!$AE254), [1]SEED!$AD254)</f>
        <v>1</v>
      </c>
      <c r="F253" s="14">
        <f t="shared" si="8"/>
        <v>237000000000244</v>
      </c>
      <c r="G253" s="15" t="str">
        <f t="shared" si="9"/>
        <v>PERFORM * FROM "SchData-OLTP-Accounting"."Func_TblLayoutStructureChartOfAccount_SET"(varSystemLoginSession, null, null, null, varInstitutionBranchID, 62000000000001::bigint, varLayoutStructure_RefID, 65000000000244::bigint, 65000000000213::bigint, 1::smallint);</v>
      </c>
    </row>
    <row r="254" spans="2:7" x14ac:dyDescent="0.2">
      <c r="B254" s="9">
        <f>IF(EXACT([1]SEED!$AV255, ""), "", [1]SEED!$AV255)</f>
        <v>65000000000245</v>
      </c>
      <c r="C254" s="9">
        <f>IF(EXACT(B254, ""), "", IF(EXACT([1]SEED!$AW255, ""), "", [1]SEED!$AW255))</f>
        <v>65000000000244</v>
      </c>
      <c r="D254" s="9">
        <f>IF(EXACT([1]SEED!$B255, ""), IF(EXACT([1]SEED!$D255, ""), IF(EXACT([1]SEED!$F255, ""), IF(EXACT([1]SEED!$H255, ""), IF(EXACT([1]SEED!$J255, ""), "", [1]SEED!$AI255), [1]SEED!$AH255), [1]SEED!$AF255), [1]SEED!$AE255), [1]SEED!$AD255)</f>
        <v>1</v>
      </c>
      <c r="F254" s="14">
        <f t="shared" si="8"/>
        <v>237000000000245</v>
      </c>
      <c r="G254" s="15" t="str">
        <f t="shared" si="9"/>
        <v>PERFORM * FROM "SchData-OLTP-Accounting"."Func_TblLayoutStructureChartOfAccount_SET"(varSystemLoginSession, null, null, null, varInstitutionBranchID, 62000000000001::bigint, varLayoutStructure_RefID, 65000000000245::bigint, 65000000000244::bigint, 1::smallint);</v>
      </c>
    </row>
    <row r="255" spans="2:7" x14ac:dyDescent="0.2">
      <c r="B255" s="9">
        <f>IF(EXACT([1]SEED!$AV256, ""), "", [1]SEED!$AV256)</f>
        <v>65000000000246</v>
      </c>
      <c r="C255" s="9">
        <f>IF(EXACT(B255, ""), "", IF(EXACT([1]SEED!$AW256, ""), "", [1]SEED!$AW256))</f>
        <v>65000000000213</v>
      </c>
      <c r="D255" s="9">
        <f>IF(EXACT([1]SEED!$B256, ""), IF(EXACT([1]SEED!$D256, ""), IF(EXACT([1]SEED!$F256, ""), IF(EXACT([1]SEED!$H256, ""), IF(EXACT([1]SEED!$J256, ""), "", [1]SEED!$AI256), [1]SEED!$AH256), [1]SEED!$AF256), [1]SEED!$AE256), [1]SEED!$AD256)</f>
        <v>1</v>
      </c>
      <c r="F255" s="14">
        <f t="shared" si="8"/>
        <v>237000000000246</v>
      </c>
      <c r="G255" s="15" t="str">
        <f t="shared" si="9"/>
        <v>PERFORM * FROM "SchData-OLTP-Accounting"."Func_TblLayoutStructureChartOfAccount_SET"(varSystemLoginSession, null, null, null, varInstitutionBranchID, 62000000000001::bigint, varLayoutStructure_RefID, 65000000000246::bigint, 65000000000213::bigint, 1::smallint);</v>
      </c>
    </row>
    <row r="256" spans="2:7" x14ac:dyDescent="0.2">
      <c r="B256" s="9">
        <f>IF(EXACT([1]SEED!$AV257, ""), "", [1]SEED!$AV257)</f>
        <v>65000000000247</v>
      </c>
      <c r="C256" s="9">
        <f>IF(EXACT(B256, ""), "", IF(EXACT([1]SEED!$AW257, ""), "", [1]SEED!$AW257))</f>
        <v>65000000000246</v>
      </c>
      <c r="D256" s="9">
        <f>IF(EXACT([1]SEED!$B257, ""), IF(EXACT([1]SEED!$D257, ""), IF(EXACT([1]SEED!$F257, ""), IF(EXACT([1]SEED!$H257, ""), IF(EXACT([1]SEED!$J257, ""), "", [1]SEED!$AI257), [1]SEED!$AH257), [1]SEED!$AF257), [1]SEED!$AE257), [1]SEED!$AD257)</f>
        <v>1</v>
      </c>
      <c r="F256" s="14">
        <f t="shared" si="8"/>
        <v>237000000000247</v>
      </c>
      <c r="G256" s="15" t="str">
        <f t="shared" si="9"/>
        <v>PERFORM * FROM "SchData-OLTP-Accounting"."Func_TblLayoutStructureChartOfAccount_SET"(varSystemLoginSession, null, null, null, varInstitutionBranchID, 62000000000001::bigint, varLayoutStructure_RefID, 65000000000247::bigint, 65000000000246::bigint, 1::smallint);</v>
      </c>
    </row>
    <row r="257" spans="2:7" x14ac:dyDescent="0.2">
      <c r="B257" s="9">
        <f>IF(EXACT([1]SEED!$AV258, ""), "", [1]SEED!$AV258)</f>
        <v>65000000000248</v>
      </c>
      <c r="C257" s="9">
        <f>IF(EXACT(B257, ""), "", IF(EXACT([1]SEED!$AW258, ""), "", [1]SEED!$AW258))</f>
        <v>65000000000213</v>
      </c>
      <c r="D257" s="9">
        <f>IF(EXACT([1]SEED!$B258, ""), IF(EXACT([1]SEED!$D258, ""), IF(EXACT([1]SEED!$F258, ""), IF(EXACT([1]SEED!$H258, ""), IF(EXACT([1]SEED!$J258, ""), "", [1]SEED!$AI258), [1]SEED!$AH258), [1]SEED!$AF258), [1]SEED!$AE258), [1]SEED!$AD258)</f>
        <v>1</v>
      </c>
      <c r="F257" s="14">
        <f t="shared" si="8"/>
        <v>237000000000248</v>
      </c>
      <c r="G257" s="15" t="str">
        <f t="shared" si="9"/>
        <v>PERFORM * FROM "SchData-OLTP-Accounting"."Func_TblLayoutStructureChartOfAccount_SET"(varSystemLoginSession, null, null, null, varInstitutionBranchID, 62000000000001::bigint, varLayoutStructure_RefID, 65000000000248::bigint, 65000000000213::bigint, 1::smallint);</v>
      </c>
    </row>
    <row r="258" spans="2:7" x14ac:dyDescent="0.2">
      <c r="B258" s="9">
        <f>IF(EXACT([1]SEED!$AV259, ""), "", [1]SEED!$AV259)</f>
        <v>65000000000249</v>
      </c>
      <c r="C258" s="9">
        <f>IF(EXACT(B258, ""), "", IF(EXACT([1]SEED!$AW259, ""), "", [1]SEED!$AW259))</f>
        <v>65000000000248</v>
      </c>
      <c r="D258" s="9">
        <f>IF(EXACT([1]SEED!$B259, ""), IF(EXACT([1]SEED!$D259, ""), IF(EXACT([1]SEED!$F259, ""), IF(EXACT([1]SEED!$H259, ""), IF(EXACT([1]SEED!$J259, ""), "", [1]SEED!$AI259), [1]SEED!$AH259), [1]SEED!$AF259), [1]SEED!$AE259), [1]SEED!$AD259)</f>
        <v>1</v>
      </c>
      <c r="F258" s="14">
        <f t="shared" si="8"/>
        <v>237000000000249</v>
      </c>
      <c r="G258" s="15" t="str">
        <f t="shared" si="9"/>
        <v>PERFORM * FROM "SchData-OLTP-Accounting"."Func_TblLayoutStructureChartOfAccount_SET"(varSystemLoginSession, null, null, null, varInstitutionBranchID, 62000000000001::bigint, varLayoutStructure_RefID, 65000000000249::bigint, 65000000000248::bigint, 1::smallint);</v>
      </c>
    </row>
    <row r="259" spans="2:7" x14ac:dyDescent="0.2">
      <c r="B259" s="9">
        <f>IF(EXACT([1]SEED!$AV260, ""), "", [1]SEED!$AV260)</f>
        <v>65000000000250</v>
      </c>
      <c r="C259" s="9">
        <f>IF(EXACT(B259, ""), "", IF(EXACT([1]SEED!$AW260, ""), "", [1]SEED!$AW260))</f>
        <v>65000000000213</v>
      </c>
      <c r="D259" s="9">
        <f>IF(EXACT([1]SEED!$B260, ""), IF(EXACT([1]SEED!$D260, ""), IF(EXACT([1]SEED!$F260, ""), IF(EXACT([1]SEED!$H260, ""), IF(EXACT([1]SEED!$J260, ""), "", [1]SEED!$AI260), [1]SEED!$AH260), [1]SEED!$AF260), [1]SEED!$AE260), [1]SEED!$AD260)</f>
        <v>1</v>
      </c>
      <c r="F259" s="14">
        <f t="shared" si="8"/>
        <v>237000000000250</v>
      </c>
      <c r="G259" s="15" t="str">
        <f t="shared" si="9"/>
        <v>PERFORM * FROM "SchData-OLTP-Accounting"."Func_TblLayoutStructureChartOfAccount_SET"(varSystemLoginSession, null, null, null, varInstitutionBranchID, 62000000000001::bigint, varLayoutStructure_RefID, 65000000000250::bigint, 65000000000213::bigint, 1::smallint);</v>
      </c>
    </row>
    <row r="260" spans="2:7" x14ac:dyDescent="0.2">
      <c r="B260" s="9">
        <f>IF(EXACT([1]SEED!$AV261, ""), "", [1]SEED!$AV261)</f>
        <v>65000000000251</v>
      </c>
      <c r="C260" s="9">
        <f>IF(EXACT(B260, ""), "", IF(EXACT([1]SEED!$AW261, ""), "", [1]SEED!$AW261))</f>
        <v>65000000000250</v>
      </c>
      <c r="D260" s="9">
        <f>IF(EXACT([1]SEED!$B261, ""), IF(EXACT([1]SEED!$D261, ""), IF(EXACT([1]SEED!$F261, ""), IF(EXACT([1]SEED!$H261, ""), IF(EXACT([1]SEED!$J261, ""), "", [1]SEED!$AI261), [1]SEED!$AH261), [1]SEED!$AF261), [1]SEED!$AE261), [1]SEED!$AD261)</f>
        <v>1</v>
      </c>
      <c r="F260" s="14">
        <f t="shared" si="8"/>
        <v>237000000000251</v>
      </c>
      <c r="G260" s="15" t="str">
        <f t="shared" si="9"/>
        <v>PERFORM * FROM "SchData-OLTP-Accounting"."Func_TblLayoutStructureChartOfAccount_SET"(varSystemLoginSession, null, null, null, varInstitutionBranchID, 62000000000001::bigint, varLayoutStructure_RefID, 65000000000251::bigint, 65000000000250::bigint, 1::smallint);</v>
      </c>
    </row>
    <row r="261" spans="2:7" x14ac:dyDescent="0.2">
      <c r="B261" s="9">
        <f>IF(EXACT([1]SEED!$AV262, ""), "", [1]SEED!$AV262)</f>
        <v>65000000000252</v>
      </c>
      <c r="C261" s="9">
        <f>IF(EXACT(B261, ""), "", IF(EXACT([1]SEED!$AW262, ""), "", [1]SEED!$AW262))</f>
        <v>65000000000213</v>
      </c>
      <c r="D261" s="9">
        <f>IF(EXACT([1]SEED!$B262, ""), IF(EXACT([1]SEED!$D262, ""), IF(EXACT([1]SEED!$F262, ""), IF(EXACT([1]SEED!$H262, ""), IF(EXACT([1]SEED!$J262, ""), "", [1]SEED!$AI262), [1]SEED!$AH262), [1]SEED!$AF262), [1]SEED!$AE262), [1]SEED!$AD262)</f>
        <v>1</v>
      </c>
      <c r="F261" s="14">
        <f t="shared" si="8"/>
        <v>237000000000252</v>
      </c>
      <c r="G261" s="15" t="str">
        <f t="shared" si="9"/>
        <v>PERFORM * FROM "SchData-OLTP-Accounting"."Func_TblLayoutStructureChartOfAccount_SET"(varSystemLoginSession, null, null, null, varInstitutionBranchID, 62000000000001::bigint, varLayoutStructure_RefID, 65000000000252::bigint, 65000000000213::bigint, 1::smallint);</v>
      </c>
    </row>
    <row r="262" spans="2:7" x14ac:dyDescent="0.2">
      <c r="B262" s="9">
        <f>IF(EXACT([1]SEED!$AV263, ""), "", [1]SEED!$AV263)</f>
        <v>65000000000253</v>
      </c>
      <c r="C262" s="9">
        <f>IF(EXACT(B262, ""), "", IF(EXACT([1]SEED!$AW263, ""), "", [1]SEED!$AW263))</f>
        <v>65000000000252</v>
      </c>
      <c r="D262" s="9">
        <f>IF(EXACT([1]SEED!$B263, ""), IF(EXACT([1]SEED!$D263, ""), IF(EXACT([1]SEED!$F263, ""), IF(EXACT([1]SEED!$H263, ""), IF(EXACT([1]SEED!$J263, ""), "", [1]SEED!$AI263), [1]SEED!$AH263), [1]SEED!$AF263), [1]SEED!$AE263), [1]SEED!$AD263)</f>
        <v>1</v>
      </c>
      <c r="F262" s="14">
        <f t="shared" si="8"/>
        <v>237000000000253</v>
      </c>
      <c r="G262" s="15" t="str">
        <f t="shared" si="9"/>
        <v>PERFORM * FROM "SchData-OLTP-Accounting"."Func_TblLayoutStructureChartOfAccount_SET"(varSystemLoginSession, null, null, null, varInstitutionBranchID, 62000000000001::bigint, varLayoutStructure_RefID, 65000000000253::bigint, 65000000000252::bigint, 1::smallint);</v>
      </c>
    </row>
    <row r="263" spans="2:7" x14ac:dyDescent="0.2">
      <c r="B263" s="9">
        <f>IF(EXACT([1]SEED!$AV264, ""), "", [1]SEED!$AV264)</f>
        <v>65000000000254</v>
      </c>
      <c r="C263" s="9">
        <f>IF(EXACT(B263, ""), "", IF(EXACT([1]SEED!$AW264, ""), "", [1]SEED!$AW264))</f>
        <v>65000000000189</v>
      </c>
      <c r="D263" s="9">
        <f>IF(EXACT([1]SEED!$B264, ""), IF(EXACT([1]SEED!$D264, ""), IF(EXACT([1]SEED!$F264, ""), IF(EXACT([1]SEED!$H264, ""), IF(EXACT([1]SEED!$J264, ""), "", [1]SEED!$AI264), [1]SEED!$AH264), [1]SEED!$AF264), [1]SEED!$AE264), [1]SEED!$AD264)</f>
        <v>4</v>
      </c>
      <c r="F263" s="14">
        <f t="shared" ref="F263:F326" si="10" xml:space="preserve"> F262 + IF(EXACT(G263, ""), 0, 1)</f>
        <v>237000000000254</v>
      </c>
      <c r="G263" s="15" t="str">
        <f t="shared" ref="G263:G326" si="11">IF(EXACT(B263, ""), "", CONCATENATE("PERFORM * FROM ""SchData-OLTP-Accounting"".""Func_TblLayoutStructureChartOfAccount_SET""(varSystemLoginSession, null, null, null, varInstitutionBranchID, 62000000000001::bigint, varLayoutStructure_RefID, ", B263, "::bigint, ", C263, "::bigint, ", D263,"::smallint);"))</f>
        <v>PERFORM * FROM "SchData-OLTP-Accounting"."Func_TblLayoutStructureChartOfAccount_SET"(varSystemLoginSession, null, null, null, varInstitutionBranchID, 62000000000001::bigint, varLayoutStructure_RefID, 65000000000254::bigint, 65000000000189::bigint, 4::smallint);</v>
      </c>
    </row>
    <row r="264" spans="2:7" x14ac:dyDescent="0.2">
      <c r="B264" s="9">
        <f>IF(EXACT([1]SEED!$AV265, ""), "", [1]SEED!$AV265)</f>
        <v>65000000000255</v>
      </c>
      <c r="C264" s="9">
        <f>IF(EXACT(B264, ""), "", IF(EXACT([1]SEED!$AW265, ""), "", [1]SEED!$AW265))</f>
        <v>65000000000254</v>
      </c>
      <c r="D264" s="9">
        <f>IF(EXACT([1]SEED!$B265, ""), IF(EXACT([1]SEED!$D265, ""), IF(EXACT([1]SEED!$F265, ""), IF(EXACT([1]SEED!$H265, ""), IF(EXACT([1]SEED!$J265, ""), "", [1]SEED!$AI265), [1]SEED!$AH265), [1]SEED!$AF265), [1]SEED!$AE265), [1]SEED!$AD265)</f>
        <v>1</v>
      </c>
      <c r="F264" s="14">
        <f t="shared" si="10"/>
        <v>237000000000255</v>
      </c>
      <c r="G264" s="15" t="str">
        <f t="shared" si="11"/>
        <v>PERFORM * FROM "SchData-OLTP-Accounting"."Func_TblLayoutStructureChartOfAccount_SET"(varSystemLoginSession, null, null, null, varInstitutionBranchID, 62000000000001::bigint, varLayoutStructure_RefID, 65000000000255::bigint, 65000000000254::bigint, 1::smallint);</v>
      </c>
    </row>
    <row r="265" spans="2:7" x14ac:dyDescent="0.2">
      <c r="B265" s="9">
        <f>IF(EXACT([1]SEED!$AV266, ""), "", [1]SEED!$AV266)</f>
        <v>65000000000256</v>
      </c>
      <c r="C265" s="9">
        <f>IF(EXACT(B265, ""), "", IF(EXACT([1]SEED!$AW266, ""), "", [1]SEED!$AW266))</f>
        <v>65000000000255</v>
      </c>
      <c r="D265" s="9">
        <f>IF(EXACT([1]SEED!$B266, ""), IF(EXACT([1]SEED!$D266, ""), IF(EXACT([1]SEED!$F266, ""), IF(EXACT([1]SEED!$H266, ""), IF(EXACT([1]SEED!$J266, ""), "", [1]SEED!$AI266), [1]SEED!$AH266), [1]SEED!$AF266), [1]SEED!$AE266), [1]SEED!$AD266)</f>
        <v>1</v>
      </c>
      <c r="F265" s="14">
        <f t="shared" si="10"/>
        <v>237000000000256</v>
      </c>
      <c r="G265" s="15" t="str">
        <f t="shared" si="11"/>
        <v>PERFORM * FROM "SchData-OLTP-Accounting"."Func_TblLayoutStructureChartOfAccount_SET"(varSystemLoginSession, null, null, null, varInstitutionBranchID, 62000000000001::bigint, varLayoutStructure_RefID, 65000000000256::bigint, 65000000000255::bigint, 1::smallint);</v>
      </c>
    </row>
    <row r="266" spans="2:7" x14ac:dyDescent="0.2">
      <c r="B266" s="9">
        <f>IF(EXACT([1]SEED!$AV267, ""), "", [1]SEED!$AV267)</f>
        <v>65000000000257</v>
      </c>
      <c r="C266" s="9">
        <f>IF(EXACT(B266, ""), "", IF(EXACT([1]SEED!$AW267, ""), "", [1]SEED!$AW267))</f>
        <v>65000000000254</v>
      </c>
      <c r="D266" s="9">
        <f>IF(EXACT([1]SEED!$B267, ""), IF(EXACT([1]SEED!$D267, ""), IF(EXACT([1]SEED!$F267, ""), IF(EXACT([1]SEED!$H267, ""), IF(EXACT([1]SEED!$J267, ""), "", [1]SEED!$AI267), [1]SEED!$AH267), [1]SEED!$AF267), [1]SEED!$AE267), [1]SEED!$AD267)</f>
        <v>1</v>
      </c>
      <c r="F266" s="14">
        <f t="shared" si="10"/>
        <v>237000000000257</v>
      </c>
      <c r="G266" s="15" t="str">
        <f t="shared" si="11"/>
        <v>PERFORM * FROM "SchData-OLTP-Accounting"."Func_TblLayoutStructureChartOfAccount_SET"(varSystemLoginSession, null, null, null, varInstitutionBranchID, 62000000000001::bigint, varLayoutStructure_RefID, 65000000000257::bigint, 65000000000254::bigint, 1::smallint);</v>
      </c>
    </row>
    <row r="267" spans="2:7" x14ac:dyDescent="0.2">
      <c r="B267" s="9">
        <f>IF(EXACT([1]SEED!$AV268, ""), "", [1]SEED!$AV268)</f>
        <v>65000000000258</v>
      </c>
      <c r="C267" s="9">
        <f>IF(EXACT(B267, ""), "", IF(EXACT([1]SEED!$AW268, ""), "", [1]SEED!$AW268))</f>
        <v>65000000000257</v>
      </c>
      <c r="D267" s="9">
        <f>IF(EXACT([1]SEED!$B268, ""), IF(EXACT([1]SEED!$D268, ""), IF(EXACT([1]SEED!$F268, ""), IF(EXACT([1]SEED!$H268, ""), IF(EXACT([1]SEED!$J268, ""), "", [1]SEED!$AI268), [1]SEED!$AH268), [1]SEED!$AF268), [1]SEED!$AE268), [1]SEED!$AD268)</f>
        <v>1</v>
      </c>
      <c r="F267" s="14">
        <f t="shared" si="10"/>
        <v>237000000000258</v>
      </c>
      <c r="G267" s="15" t="str">
        <f t="shared" si="11"/>
        <v>PERFORM * FROM "SchData-OLTP-Accounting"."Func_TblLayoutStructureChartOfAccount_SET"(varSystemLoginSession, null, null, null, varInstitutionBranchID, 62000000000001::bigint, varLayoutStructure_RefID, 65000000000258::bigint, 65000000000257::bigint, 1::smallint);</v>
      </c>
    </row>
    <row r="268" spans="2:7" x14ac:dyDescent="0.2">
      <c r="B268" s="9">
        <f>IF(EXACT([1]SEED!$AV269, ""), "", [1]SEED!$AV269)</f>
        <v>65000000000259</v>
      </c>
      <c r="C268" s="9">
        <f>IF(EXACT(B268, ""), "", IF(EXACT([1]SEED!$AW269, ""), "", [1]SEED!$AW269))</f>
        <v>65000000000254</v>
      </c>
      <c r="D268" s="9">
        <f>IF(EXACT([1]SEED!$B269, ""), IF(EXACT([1]SEED!$D269, ""), IF(EXACT([1]SEED!$F269, ""), IF(EXACT([1]SEED!$H269, ""), IF(EXACT([1]SEED!$J269, ""), "", [1]SEED!$AI269), [1]SEED!$AH269), [1]SEED!$AF269), [1]SEED!$AE269), [1]SEED!$AD269)</f>
        <v>1</v>
      </c>
      <c r="F268" s="14">
        <f t="shared" si="10"/>
        <v>237000000000259</v>
      </c>
      <c r="G268" s="15" t="str">
        <f t="shared" si="11"/>
        <v>PERFORM * FROM "SchData-OLTP-Accounting"."Func_TblLayoutStructureChartOfAccount_SET"(varSystemLoginSession, null, null, null, varInstitutionBranchID, 62000000000001::bigint, varLayoutStructure_RefID, 65000000000259::bigint, 65000000000254::bigint, 1::smallint);</v>
      </c>
    </row>
    <row r="269" spans="2:7" x14ac:dyDescent="0.2">
      <c r="B269" s="9">
        <f>IF(EXACT([1]SEED!$AV270, ""), "", [1]SEED!$AV270)</f>
        <v>65000000000260</v>
      </c>
      <c r="C269" s="9">
        <f>IF(EXACT(B269, ""), "", IF(EXACT([1]SEED!$AW270, ""), "", [1]SEED!$AW270))</f>
        <v>65000000000259</v>
      </c>
      <c r="D269" s="9">
        <f>IF(EXACT([1]SEED!$B270, ""), IF(EXACT([1]SEED!$D270, ""), IF(EXACT([1]SEED!$F270, ""), IF(EXACT([1]SEED!$H270, ""), IF(EXACT([1]SEED!$J270, ""), "", [1]SEED!$AI270), [1]SEED!$AH270), [1]SEED!$AF270), [1]SEED!$AE270), [1]SEED!$AD270)</f>
        <v>1</v>
      </c>
      <c r="F269" s="14">
        <f t="shared" si="10"/>
        <v>237000000000260</v>
      </c>
      <c r="G269" s="15" t="str">
        <f t="shared" si="11"/>
        <v>PERFORM * FROM "SchData-OLTP-Accounting"."Func_TblLayoutStructureChartOfAccount_SET"(varSystemLoginSession, null, null, null, varInstitutionBranchID, 62000000000001::bigint, varLayoutStructure_RefID, 65000000000260::bigint, 65000000000259::bigint, 1::smallint);</v>
      </c>
    </row>
    <row r="270" spans="2:7" x14ac:dyDescent="0.2">
      <c r="B270" s="9">
        <f>IF(EXACT([1]SEED!$AV271, ""), "", [1]SEED!$AV271)</f>
        <v>65000000000261</v>
      </c>
      <c r="C270" s="9">
        <f>IF(EXACT(B270, ""), "", IF(EXACT([1]SEED!$AW271, ""), "", [1]SEED!$AW271))</f>
        <v>65000000000254</v>
      </c>
      <c r="D270" s="9">
        <f>IF(EXACT([1]SEED!$B271, ""), IF(EXACT([1]SEED!$D271, ""), IF(EXACT([1]SEED!$F271, ""), IF(EXACT([1]SEED!$H271, ""), IF(EXACT([1]SEED!$J271, ""), "", [1]SEED!$AI271), [1]SEED!$AH271), [1]SEED!$AF271), [1]SEED!$AE271), [1]SEED!$AD271)</f>
        <v>1</v>
      </c>
      <c r="F270" s="14">
        <f t="shared" si="10"/>
        <v>237000000000261</v>
      </c>
      <c r="G270" s="15" t="str">
        <f t="shared" si="11"/>
        <v>PERFORM * FROM "SchData-OLTP-Accounting"."Func_TblLayoutStructureChartOfAccount_SET"(varSystemLoginSession, null, null, null, varInstitutionBranchID, 62000000000001::bigint, varLayoutStructure_RefID, 65000000000261::bigint, 65000000000254::bigint, 1::smallint);</v>
      </c>
    </row>
    <row r="271" spans="2:7" x14ac:dyDescent="0.2">
      <c r="B271" s="9">
        <f>IF(EXACT([1]SEED!$AV272, ""), "", [1]SEED!$AV272)</f>
        <v>65000000000262</v>
      </c>
      <c r="C271" s="9">
        <f>IF(EXACT(B271, ""), "", IF(EXACT([1]SEED!$AW272, ""), "", [1]SEED!$AW272))</f>
        <v>65000000000261</v>
      </c>
      <c r="D271" s="9">
        <f>IF(EXACT([1]SEED!$B272, ""), IF(EXACT([1]SEED!$D272, ""), IF(EXACT([1]SEED!$F272, ""), IF(EXACT([1]SEED!$H272, ""), IF(EXACT([1]SEED!$J272, ""), "", [1]SEED!$AI272), [1]SEED!$AH272), [1]SEED!$AF272), [1]SEED!$AE272), [1]SEED!$AD272)</f>
        <v>1</v>
      </c>
      <c r="F271" s="14">
        <f t="shared" si="10"/>
        <v>237000000000262</v>
      </c>
      <c r="G271" s="15" t="str">
        <f t="shared" si="11"/>
        <v>PERFORM * FROM "SchData-OLTP-Accounting"."Func_TblLayoutStructureChartOfAccount_SET"(varSystemLoginSession, null, null, null, varInstitutionBranchID, 62000000000001::bigint, varLayoutStructure_RefID, 65000000000262::bigint, 65000000000261::bigint, 1::smallint);</v>
      </c>
    </row>
    <row r="272" spans="2:7" x14ac:dyDescent="0.2">
      <c r="B272" s="9">
        <f>IF(EXACT([1]SEED!$AV273, ""), "", [1]SEED!$AV273)</f>
        <v>65000000000263</v>
      </c>
      <c r="C272" s="9">
        <f>IF(EXACT(B272, ""), "", IF(EXACT([1]SEED!$AW273, ""), "", [1]SEED!$AW273))</f>
        <v>65000000000254</v>
      </c>
      <c r="D272" s="9">
        <f>IF(EXACT([1]SEED!$B273, ""), IF(EXACT([1]SEED!$D273, ""), IF(EXACT([1]SEED!$F273, ""), IF(EXACT([1]SEED!$H273, ""), IF(EXACT([1]SEED!$J273, ""), "", [1]SEED!$AI273), [1]SEED!$AH273), [1]SEED!$AF273), [1]SEED!$AE273), [1]SEED!$AD273)</f>
        <v>1</v>
      </c>
      <c r="F272" s="14">
        <f t="shared" si="10"/>
        <v>237000000000263</v>
      </c>
      <c r="G272" s="15" t="str">
        <f t="shared" si="11"/>
        <v>PERFORM * FROM "SchData-OLTP-Accounting"."Func_TblLayoutStructureChartOfAccount_SET"(varSystemLoginSession, null, null, null, varInstitutionBranchID, 62000000000001::bigint, varLayoutStructure_RefID, 65000000000263::bigint, 65000000000254::bigint, 1::smallint);</v>
      </c>
    </row>
    <row r="273" spans="2:7" x14ac:dyDescent="0.2">
      <c r="B273" s="9">
        <f>IF(EXACT([1]SEED!$AV274, ""), "", [1]SEED!$AV274)</f>
        <v>65000000000264</v>
      </c>
      <c r="C273" s="9">
        <f>IF(EXACT(B273, ""), "", IF(EXACT([1]SEED!$AW274, ""), "", [1]SEED!$AW274))</f>
        <v>65000000000263</v>
      </c>
      <c r="D273" s="9">
        <f>IF(EXACT([1]SEED!$B274, ""), IF(EXACT([1]SEED!$D274, ""), IF(EXACT([1]SEED!$F274, ""), IF(EXACT([1]SEED!$H274, ""), IF(EXACT([1]SEED!$J274, ""), "", [1]SEED!$AI274), [1]SEED!$AH274), [1]SEED!$AF274), [1]SEED!$AE274), [1]SEED!$AD274)</f>
        <v>1</v>
      </c>
      <c r="F273" s="14">
        <f t="shared" si="10"/>
        <v>237000000000264</v>
      </c>
      <c r="G273" s="15" t="str">
        <f t="shared" si="11"/>
        <v>PERFORM * FROM "SchData-OLTP-Accounting"."Func_TblLayoutStructureChartOfAccount_SET"(varSystemLoginSession, null, null, null, varInstitutionBranchID, 62000000000001::bigint, varLayoutStructure_RefID, 65000000000264::bigint, 65000000000263::bigint, 1::smallint);</v>
      </c>
    </row>
    <row r="274" spans="2:7" x14ac:dyDescent="0.2">
      <c r="B274" s="9">
        <f>IF(EXACT([1]SEED!$AV275, ""), "", [1]SEED!$AV275)</f>
        <v>65000000000265</v>
      </c>
      <c r="C274" s="9">
        <f>IF(EXACT(B274, ""), "", IF(EXACT([1]SEED!$AW275, ""), "", [1]SEED!$AW275))</f>
        <v>65000000000254</v>
      </c>
      <c r="D274" s="9">
        <f>IF(EXACT([1]SEED!$B275, ""), IF(EXACT([1]SEED!$D275, ""), IF(EXACT([1]SEED!$F275, ""), IF(EXACT([1]SEED!$H275, ""), IF(EXACT([1]SEED!$J275, ""), "", [1]SEED!$AI275), [1]SEED!$AH275), [1]SEED!$AF275), [1]SEED!$AE275), [1]SEED!$AD275)</f>
        <v>1</v>
      </c>
      <c r="F274" s="14">
        <f t="shared" si="10"/>
        <v>237000000000265</v>
      </c>
      <c r="G274" s="15" t="str">
        <f t="shared" si="11"/>
        <v>PERFORM * FROM "SchData-OLTP-Accounting"."Func_TblLayoutStructureChartOfAccount_SET"(varSystemLoginSession, null, null, null, varInstitutionBranchID, 62000000000001::bigint, varLayoutStructure_RefID, 65000000000265::bigint, 65000000000254::bigint, 1::smallint);</v>
      </c>
    </row>
    <row r="275" spans="2:7" x14ac:dyDescent="0.2">
      <c r="B275" s="9">
        <f>IF(EXACT([1]SEED!$AV276, ""), "", [1]SEED!$AV276)</f>
        <v>65000000000266</v>
      </c>
      <c r="C275" s="9">
        <f>IF(EXACT(B275, ""), "", IF(EXACT([1]SEED!$AW276, ""), "", [1]SEED!$AW276))</f>
        <v>65000000000265</v>
      </c>
      <c r="D275" s="9">
        <f>IF(EXACT([1]SEED!$B276, ""), IF(EXACT([1]SEED!$D276, ""), IF(EXACT([1]SEED!$F276, ""), IF(EXACT([1]SEED!$H276, ""), IF(EXACT([1]SEED!$J276, ""), "", [1]SEED!$AI276), [1]SEED!$AH276), [1]SEED!$AF276), [1]SEED!$AE276), [1]SEED!$AD276)</f>
        <v>1</v>
      </c>
      <c r="F275" s="14">
        <f t="shared" si="10"/>
        <v>237000000000266</v>
      </c>
      <c r="G275" s="15" t="str">
        <f t="shared" si="11"/>
        <v>PERFORM * FROM "SchData-OLTP-Accounting"."Func_TblLayoutStructureChartOfAccount_SET"(varSystemLoginSession, null, null, null, varInstitutionBranchID, 62000000000001::bigint, varLayoutStructure_RefID, 65000000000266::bigint, 65000000000265::bigint, 1::smallint);</v>
      </c>
    </row>
    <row r="276" spans="2:7" x14ac:dyDescent="0.2">
      <c r="B276" s="9">
        <f>IF(EXACT([1]SEED!$AV277, ""), "", [1]SEED!$AV277)</f>
        <v>65000000000267</v>
      </c>
      <c r="C276" s="9">
        <f>IF(EXACT(B276, ""), "", IF(EXACT([1]SEED!$AW277, ""), "", [1]SEED!$AW277))</f>
        <v>65000000000254</v>
      </c>
      <c r="D276" s="9">
        <f>IF(EXACT([1]SEED!$B277, ""), IF(EXACT([1]SEED!$D277, ""), IF(EXACT([1]SEED!$F277, ""), IF(EXACT([1]SEED!$H277, ""), IF(EXACT([1]SEED!$J277, ""), "", [1]SEED!$AI277), [1]SEED!$AH277), [1]SEED!$AF277), [1]SEED!$AE277), [1]SEED!$AD277)</f>
        <v>1</v>
      </c>
      <c r="F276" s="14">
        <f t="shared" si="10"/>
        <v>237000000000267</v>
      </c>
      <c r="G276" s="15" t="str">
        <f t="shared" si="11"/>
        <v>PERFORM * FROM "SchData-OLTP-Accounting"."Func_TblLayoutStructureChartOfAccount_SET"(varSystemLoginSession, null, null, null, varInstitutionBranchID, 62000000000001::bigint, varLayoutStructure_RefID, 65000000000267::bigint, 65000000000254::bigint, 1::smallint);</v>
      </c>
    </row>
    <row r="277" spans="2:7" x14ac:dyDescent="0.2">
      <c r="B277" s="9">
        <f>IF(EXACT([1]SEED!$AV278, ""), "", [1]SEED!$AV278)</f>
        <v>65000000000268</v>
      </c>
      <c r="C277" s="9">
        <f>IF(EXACT(B277, ""), "", IF(EXACT([1]SEED!$AW278, ""), "", [1]SEED!$AW278))</f>
        <v>65000000000267</v>
      </c>
      <c r="D277" s="9">
        <f>IF(EXACT([1]SEED!$B278, ""), IF(EXACT([1]SEED!$D278, ""), IF(EXACT([1]SEED!$F278, ""), IF(EXACT([1]SEED!$H278, ""), IF(EXACT([1]SEED!$J278, ""), "", [1]SEED!$AI278), [1]SEED!$AH278), [1]SEED!$AF278), [1]SEED!$AE278), [1]SEED!$AD278)</f>
        <v>1</v>
      </c>
      <c r="F277" s="14">
        <f t="shared" si="10"/>
        <v>237000000000268</v>
      </c>
      <c r="G277" s="15" t="str">
        <f t="shared" si="11"/>
        <v>PERFORM * FROM "SchData-OLTP-Accounting"."Func_TblLayoutStructureChartOfAccount_SET"(varSystemLoginSession, null, null, null, varInstitutionBranchID, 62000000000001::bigint, varLayoutStructure_RefID, 65000000000268::bigint, 65000000000267::bigint, 1::smallint);</v>
      </c>
    </row>
    <row r="278" spans="2:7" x14ac:dyDescent="0.2">
      <c r="B278" s="9">
        <f>IF(EXACT([1]SEED!$AV279, ""), "", [1]SEED!$AV279)</f>
        <v>65000000000269</v>
      </c>
      <c r="C278" s="9">
        <f>IF(EXACT(B278, ""), "", IF(EXACT([1]SEED!$AW279, ""), "", [1]SEED!$AW279))</f>
        <v>65000000000254</v>
      </c>
      <c r="D278" s="9">
        <f>IF(EXACT([1]SEED!$B279, ""), IF(EXACT([1]SEED!$D279, ""), IF(EXACT([1]SEED!$F279, ""), IF(EXACT([1]SEED!$H279, ""), IF(EXACT([1]SEED!$J279, ""), "", [1]SEED!$AI279), [1]SEED!$AH279), [1]SEED!$AF279), [1]SEED!$AE279), [1]SEED!$AD279)</f>
        <v>1</v>
      </c>
      <c r="F278" s="14">
        <f t="shared" si="10"/>
        <v>237000000000269</v>
      </c>
      <c r="G278" s="15" t="str">
        <f t="shared" si="11"/>
        <v>PERFORM * FROM "SchData-OLTP-Accounting"."Func_TblLayoutStructureChartOfAccount_SET"(varSystemLoginSession, null, null, null, varInstitutionBranchID, 62000000000001::bigint, varLayoutStructure_RefID, 65000000000269::bigint, 65000000000254::bigint, 1::smallint);</v>
      </c>
    </row>
    <row r="279" spans="2:7" x14ac:dyDescent="0.2">
      <c r="B279" s="9">
        <f>IF(EXACT([1]SEED!$AV280, ""), "", [1]SEED!$AV280)</f>
        <v>65000000000270</v>
      </c>
      <c r="C279" s="9">
        <f>IF(EXACT(B279, ""), "", IF(EXACT([1]SEED!$AW280, ""), "", [1]SEED!$AW280))</f>
        <v>65000000000269</v>
      </c>
      <c r="D279" s="9">
        <f>IF(EXACT([1]SEED!$B280, ""), IF(EXACT([1]SEED!$D280, ""), IF(EXACT([1]SEED!$F280, ""), IF(EXACT([1]SEED!$H280, ""), IF(EXACT([1]SEED!$J280, ""), "", [1]SEED!$AI280), [1]SEED!$AH280), [1]SEED!$AF280), [1]SEED!$AE280), [1]SEED!$AD280)</f>
        <v>1</v>
      </c>
      <c r="F279" s="14">
        <f t="shared" si="10"/>
        <v>237000000000270</v>
      </c>
      <c r="G279" s="15" t="str">
        <f t="shared" si="11"/>
        <v>PERFORM * FROM "SchData-OLTP-Accounting"."Func_TblLayoutStructureChartOfAccount_SET"(varSystemLoginSession, null, null, null, varInstitutionBranchID, 62000000000001::bigint, varLayoutStructure_RefID, 65000000000270::bigint, 65000000000269::bigint, 1::smallint);</v>
      </c>
    </row>
    <row r="280" spans="2:7" x14ac:dyDescent="0.2">
      <c r="B280" s="9">
        <f>IF(EXACT([1]SEED!$AV281, ""), "", [1]SEED!$AV281)</f>
        <v>65000000000271</v>
      </c>
      <c r="C280" s="9">
        <f>IF(EXACT(B280, ""), "", IF(EXACT([1]SEED!$AW281, ""), "", [1]SEED!$AW281))</f>
        <v>65000000000254</v>
      </c>
      <c r="D280" s="9">
        <f>IF(EXACT([1]SEED!$B281, ""), IF(EXACT([1]SEED!$D281, ""), IF(EXACT([1]SEED!$F281, ""), IF(EXACT([1]SEED!$H281, ""), IF(EXACT([1]SEED!$J281, ""), "", [1]SEED!$AI281), [1]SEED!$AH281), [1]SEED!$AF281), [1]SEED!$AE281), [1]SEED!$AD281)</f>
        <v>1</v>
      </c>
      <c r="F280" s="14">
        <f t="shared" si="10"/>
        <v>237000000000271</v>
      </c>
      <c r="G280" s="15" t="str">
        <f t="shared" si="11"/>
        <v>PERFORM * FROM "SchData-OLTP-Accounting"."Func_TblLayoutStructureChartOfAccount_SET"(varSystemLoginSession, null, null, null, varInstitutionBranchID, 62000000000001::bigint, varLayoutStructure_RefID, 65000000000271::bigint, 65000000000254::bigint, 1::smallint);</v>
      </c>
    </row>
    <row r="281" spans="2:7" x14ac:dyDescent="0.2">
      <c r="B281" s="9">
        <f>IF(EXACT([1]SEED!$AV282, ""), "", [1]SEED!$AV282)</f>
        <v>65000000000272</v>
      </c>
      <c r="C281" s="9">
        <f>IF(EXACT(B281, ""), "", IF(EXACT([1]SEED!$AW282, ""), "", [1]SEED!$AW282))</f>
        <v>65000000000271</v>
      </c>
      <c r="D281" s="9">
        <f>IF(EXACT([1]SEED!$B282, ""), IF(EXACT([1]SEED!$D282, ""), IF(EXACT([1]SEED!$F282, ""), IF(EXACT([1]SEED!$H282, ""), IF(EXACT([1]SEED!$J282, ""), "", [1]SEED!$AI282), [1]SEED!$AH282), [1]SEED!$AF282), [1]SEED!$AE282), [1]SEED!$AD282)</f>
        <v>1</v>
      </c>
      <c r="F281" s="14">
        <f t="shared" si="10"/>
        <v>237000000000272</v>
      </c>
      <c r="G281" s="15" t="str">
        <f t="shared" si="11"/>
        <v>PERFORM * FROM "SchData-OLTP-Accounting"."Func_TblLayoutStructureChartOfAccount_SET"(varSystemLoginSession, null, null, null, varInstitutionBranchID, 62000000000001::bigint, varLayoutStructure_RefID, 65000000000272::bigint, 65000000000271::bigint, 1::smallint);</v>
      </c>
    </row>
    <row r="282" spans="2:7" x14ac:dyDescent="0.2">
      <c r="B282" s="9">
        <f>IF(EXACT([1]SEED!$AV283, ""), "", [1]SEED!$AV283)</f>
        <v>65000000000273</v>
      </c>
      <c r="C282" s="9">
        <f>IF(EXACT(B282, ""), "", IF(EXACT([1]SEED!$AW283, ""), "", [1]SEED!$AW283))</f>
        <v>65000000000254</v>
      </c>
      <c r="D282" s="9">
        <f>IF(EXACT([1]SEED!$B283, ""), IF(EXACT([1]SEED!$D283, ""), IF(EXACT([1]SEED!$F283, ""), IF(EXACT([1]SEED!$H283, ""), IF(EXACT([1]SEED!$J283, ""), "", [1]SEED!$AI283), [1]SEED!$AH283), [1]SEED!$AF283), [1]SEED!$AE283), [1]SEED!$AD283)</f>
        <v>1</v>
      </c>
      <c r="F282" s="14">
        <f t="shared" si="10"/>
        <v>237000000000273</v>
      </c>
      <c r="G282" s="15" t="str">
        <f t="shared" si="11"/>
        <v>PERFORM * FROM "SchData-OLTP-Accounting"."Func_TblLayoutStructureChartOfAccount_SET"(varSystemLoginSession, null, null, null, varInstitutionBranchID, 62000000000001::bigint, varLayoutStructure_RefID, 65000000000273::bigint, 65000000000254::bigint, 1::smallint);</v>
      </c>
    </row>
    <row r="283" spans="2:7" x14ac:dyDescent="0.2">
      <c r="B283" s="9">
        <f>IF(EXACT([1]SEED!$AV284, ""), "", [1]SEED!$AV284)</f>
        <v>65000000000274</v>
      </c>
      <c r="C283" s="9">
        <f>IF(EXACT(B283, ""), "", IF(EXACT([1]SEED!$AW284, ""), "", [1]SEED!$AW284))</f>
        <v>65000000000273</v>
      </c>
      <c r="D283" s="9">
        <f>IF(EXACT([1]SEED!$B284, ""), IF(EXACT([1]SEED!$D284, ""), IF(EXACT([1]SEED!$F284, ""), IF(EXACT([1]SEED!$H284, ""), IF(EXACT([1]SEED!$J284, ""), "", [1]SEED!$AI284), [1]SEED!$AH284), [1]SEED!$AF284), [1]SEED!$AE284), [1]SEED!$AD284)</f>
        <v>1</v>
      </c>
      <c r="F283" s="14">
        <f t="shared" si="10"/>
        <v>237000000000274</v>
      </c>
      <c r="G283" s="15" t="str">
        <f t="shared" si="11"/>
        <v>PERFORM * FROM "SchData-OLTP-Accounting"."Func_TblLayoutStructureChartOfAccount_SET"(varSystemLoginSession, null, null, null, varInstitutionBranchID, 62000000000001::bigint, varLayoutStructure_RefID, 65000000000274::bigint, 65000000000273::bigint, 1::smallint);</v>
      </c>
    </row>
    <row r="284" spans="2:7" x14ac:dyDescent="0.2">
      <c r="B284" s="9">
        <f>IF(EXACT([1]SEED!$AV285, ""), "", [1]SEED!$AV285)</f>
        <v>65000000000275</v>
      </c>
      <c r="C284" s="9">
        <f>IF(EXACT(B284, ""), "", IF(EXACT([1]SEED!$AW285, ""), "", [1]SEED!$AW285))</f>
        <v>65000000000254</v>
      </c>
      <c r="D284" s="9">
        <f>IF(EXACT([1]SEED!$B285, ""), IF(EXACT([1]SEED!$D285, ""), IF(EXACT([1]SEED!$F285, ""), IF(EXACT([1]SEED!$H285, ""), IF(EXACT([1]SEED!$J285, ""), "", [1]SEED!$AI285), [1]SEED!$AH285), [1]SEED!$AF285), [1]SEED!$AE285), [1]SEED!$AD285)</f>
        <v>1</v>
      </c>
      <c r="F284" s="14">
        <f t="shared" si="10"/>
        <v>237000000000275</v>
      </c>
      <c r="G284" s="15" t="str">
        <f t="shared" si="11"/>
        <v>PERFORM * FROM "SchData-OLTP-Accounting"."Func_TblLayoutStructureChartOfAccount_SET"(varSystemLoginSession, null, null, null, varInstitutionBranchID, 62000000000001::bigint, varLayoutStructure_RefID, 65000000000275::bigint, 65000000000254::bigint, 1::smallint);</v>
      </c>
    </row>
    <row r="285" spans="2:7" x14ac:dyDescent="0.2">
      <c r="B285" s="9">
        <f>IF(EXACT([1]SEED!$AV286, ""), "", [1]SEED!$AV286)</f>
        <v>65000000000276</v>
      </c>
      <c r="C285" s="9">
        <f>IF(EXACT(B285, ""), "", IF(EXACT([1]SEED!$AW286, ""), "", [1]SEED!$AW286))</f>
        <v>65000000000275</v>
      </c>
      <c r="D285" s="9">
        <f>IF(EXACT([1]SEED!$B286, ""), IF(EXACT([1]SEED!$D286, ""), IF(EXACT([1]SEED!$F286, ""), IF(EXACT([1]SEED!$H286, ""), IF(EXACT([1]SEED!$J286, ""), "", [1]SEED!$AI286), [1]SEED!$AH286), [1]SEED!$AF286), [1]SEED!$AE286), [1]SEED!$AD286)</f>
        <v>1</v>
      </c>
      <c r="F285" s="14">
        <f t="shared" si="10"/>
        <v>237000000000276</v>
      </c>
      <c r="G285" s="15" t="str">
        <f t="shared" si="11"/>
        <v>PERFORM * FROM "SchData-OLTP-Accounting"."Func_TblLayoutStructureChartOfAccount_SET"(varSystemLoginSession, null, null, null, varInstitutionBranchID, 62000000000001::bigint, varLayoutStructure_RefID, 65000000000276::bigint, 65000000000275::bigint, 1::smallint);</v>
      </c>
    </row>
    <row r="286" spans="2:7" x14ac:dyDescent="0.2">
      <c r="B286" s="9">
        <f>IF(EXACT([1]SEED!$AV287, ""), "", [1]SEED!$AV287)</f>
        <v>65000000000277</v>
      </c>
      <c r="C286" s="9">
        <f>IF(EXACT(B286, ""), "", IF(EXACT([1]SEED!$AW287, ""), "", [1]SEED!$AW287))</f>
        <v>65000000000254</v>
      </c>
      <c r="D286" s="9">
        <f>IF(EXACT([1]SEED!$B287, ""), IF(EXACT([1]SEED!$D287, ""), IF(EXACT([1]SEED!$F287, ""), IF(EXACT([1]SEED!$H287, ""), IF(EXACT([1]SEED!$J287, ""), "", [1]SEED!$AI287), [1]SEED!$AH287), [1]SEED!$AF287), [1]SEED!$AE287), [1]SEED!$AD287)</f>
        <v>1</v>
      </c>
      <c r="F286" s="14">
        <f t="shared" si="10"/>
        <v>237000000000277</v>
      </c>
      <c r="G286" s="15" t="str">
        <f t="shared" si="11"/>
        <v>PERFORM * FROM "SchData-OLTP-Accounting"."Func_TblLayoutStructureChartOfAccount_SET"(varSystemLoginSession, null, null, null, varInstitutionBranchID, 62000000000001::bigint, varLayoutStructure_RefID, 65000000000277::bigint, 65000000000254::bigint, 1::smallint);</v>
      </c>
    </row>
    <row r="287" spans="2:7" x14ac:dyDescent="0.2">
      <c r="B287" s="9">
        <f>IF(EXACT([1]SEED!$AV288, ""), "", [1]SEED!$AV288)</f>
        <v>65000000000278</v>
      </c>
      <c r="C287" s="9">
        <f>IF(EXACT(B287, ""), "", IF(EXACT([1]SEED!$AW288, ""), "", [1]SEED!$AW288))</f>
        <v>65000000000277</v>
      </c>
      <c r="D287" s="9">
        <f>IF(EXACT([1]SEED!$B288, ""), IF(EXACT([1]SEED!$D288, ""), IF(EXACT([1]SEED!$F288, ""), IF(EXACT([1]SEED!$H288, ""), IF(EXACT([1]SEED!$J288, ""), "", [1]SEED!$AI288), [1]SEED!$AH288), [1]SEED!$AF288), [1]SEED!$AE288), [1]SEED!$AD288)</f>
        <v>1</v>
      </c>
      <c r="F287" s="14">
        <f t="shared" si="10"/>
        <v>237000000000278</v>
      </c>
      <c r="G287" s="15" t="str">
        <f t="shared" si="11"/>
        <v>PERFORM * FROM "SchData-OLTP-Accounting"."Func_TblLayoutStructureChartOfAccount_SET"(varSystemLoginSession, null, null, null, varInstitutionBranchID, 62000000000001::bigint, varLayoutStructure_RefID, 65000000000278::bigint, 65000000000277::bigint, 1::smallint);</v>
      </c>
    </row>
    <row r="288" spans="2:7" x14ac:dyDescent="0.2">
      <c r="B288" s="9">
        <f>IF(EXACT([1]SEED!$AV289, ""), "", [1]SEED!$AV289)</f>
        <v>65000000000279</v>
      </c>
      <c r="C288" s="9">
        <f>IF(EXACT(B288, ""), "", IF(EXACT([1]SEED!$AW289, ""), "", [1]SEED!$AW289))</f>
        <v>65000000000254</v>
      </c>
      <c r="D288" s="9">
        <f>IF(EXACT([1]SEED!$B289, ""), IF(EXACT([1]SEED!$D289, ""), IF(EXACT([1]SEED!$F289, ""), IF(EXACT([1]SEED!$H289, ""), IF(EXACT([1]SEED!$J289, ""), "", [1]SEED!$AI289), [1]SEED!$AH289), [1]SEED!$AF289), [1]SEED!$AE289), [1]SEED!$AD289)</f>
        <v>1</v>
      </c>
      <c r="F288" s="14">
        <f t="shared" si="10"/>
        <v>237000000000279</v>
      </c>
      <c r="G288" s="15" t="str">
        <f t="shared" si="11"/>
        <v>PERFORM * FROM "SchData-OLTP-Accounting"."Func_TblLayoutStructureChartOfAccount_SET"(varSystemLoginSession, null, null, null, varInstitutionBranchID, 62000000000001::bigint, varLayoutStructure_RefID, 65000000000279::bigint, 65000000000254::bigint, 1::smallint);</v>
      </c>
    </row>
    <row r="289" spans="2:7" x14ac:dyDescent="0.2">
      <c r="B289" s="9">
        <f>IF(EXACT([1]SEED!$AV290, ""), "", [1]SEED!$AV290)</f>
        <v>65000000000280</v>
      </c>
      <c r="C289" s="9">
        <f>IF(EXACT(B289, ""), "", IF(EXACT([1]SEED!$AW290, ""), "", [1]SEED!$AW290))</f>
        <v>65000000000279</v>
      </c>
      <c r="D289" s="9">
        <f>IF(EXACT([1]SEED!$B290, ""), IF(EXACT([1]SEED!$D290, ""), IF(EXACT([1]SEED!$F290, ""), IF(EXACT([1]SEED!$H290, ""), IF(EXACT([1]SEED!$J290, ""), "", [1]SEED!$AI290), [1]SEED!$AH290), [1]SEED!$AF290), [1]SEED!$AE290), [1]SEED!$AD290)</f>
        <v>1</v>
      </c>
      <c r="F289" s="14">
        <f t="shared" si="10"/>
        <v>237000000000280</v>
      </c>
      <c r="G289" s="15" t="str">
        <f t="shared" si="11"/>
        <v>PERFORM * FROM "SchData-OLTP-Accounting"."Func_TblLayoutStructureChartOfAccount_SET"(varSystemLoginSession, null, null, null, varInstitutionBranchID, 62000000000001::bigint, varLayoutStructure_RefID, 65000000000280::bigint, 65000000000279::bigint, 1::smallint);</v>
      </c>
    </row>
    <row r="290" spans="2:7" x14ac:dyDescent="0.2">
      <c r="B290" s="9">
        <f>IF(EXACT([1]SEED!$AV291, ""), "", [1]SEED!$AV291)</f>
        <v>65000000000281</v>
      </c>
      <c r="C290" s="9">
        <f>IF(EXACT(B290, ""), "", IF(EXACT([1]SEED!$AW291, ""), "", [1]SEED!$AW291))</f>
        <v>65000000000254</v>
      </c>
      <c r="D290" s="9">
        <f>IF(EXACT([1]SEED!$B291, ""), IF(EXACT([1]SEED!$D291, ""), IF(EXACT([1]SEED!$F291, ""), IF(EXACT([1]SEED!$H291, ""), IF(EXACT([1]SEED!$J291, ""), "", [1]SEED!$AI291), [1]SEED!$AH291), [1]SEED!$AF291), [1]SEED!$AE291), [1]SEED!$AD291)</f>
        <v>1</v>
      </c>
      <c r="F290" s="14">
        <f t="shared" si="10"/>
        <v>237000000000281</v>
      </c>
      <c r="G290" s="15" t="str">
        <f t="shared" si="11"/>
        <v>PERFORM * FROM "SchData-OLTP-Accounting"."Func_TblLayoutStructureChartOfAccount_SET"(varSystemLoginSession, null, null, null, varInstitutionBranchID, 62000000000001::bigint, varLayoutStructure_RefID, 65000000000281::bigint, 65000000000254::bigint, 1::smallint);</v>
      </c>
    </row>
    <row r="291" spans="2:7" x14ac:dyDescent="0.2">
      <c r="B291" s="9">
        <f>IF(EXACT([1]SEED!$AV292, ""), "", [1]SEED!$AV292)</f>
        <v>65000000000282</v>
      </c>
      <c r="C291" s="9">
        <f>IF(EXACT(B291, ""), "", IF(EXACT([1]SEED!$AW292, ""), "", [1]SEED!$AW292))</f>
        <v>65000000000281</v>
      </c>
      <c r="D291" s="9">
        <f>IF(EXACT([1]SEED!$B292, ""), IF(EXACT([1]SEED!$D292, ""), IF(EXACT([1]SEED!$F292, ""), IF(EXACT([1]SEED!$H292, ""), IF(EXACT([1]SEED!$J292, ""), "", [1]SEED!$AI292), [1]SEED!$AH292), [1]SEED!$AF292), [1]SEED!$AE292), [1]SEED!$AD292)</f>
        <v>1</v>
      </c>
      <c r="F291" s="14">
        <f t="shared" si="10"/>
        <v>237000000000282</v>
      </c>
      <c r="G291" s="15" t="str">
        <f t="shared" si="11"/>
        <v>PERFORM * FROM "SchData-OLTP-Accounting"."Func_TblLayoutStructureChartOfAccount_SET"(varSystemLoginSession, null, null, null, varInstitutionBranchID, 62000000000001::bigint, varLayoutStructure_RefID, 65000000000282::bigint, 65000000000281::bigint, 1::smallint);</v>
      </c>
    </row>
    <row r="292" spans="2:7" x14ac:dyDescent="0.2">
      <c r="B292" s="9">
        <f>IF(EXACT([1]SEED!$AV293, ""), "", [1]SEED!$AV293)</f>
        <v>65000000000283</v>
      </c>
      <c r="C292" s="9">
        <f>IF(EXACT(B292, ""), "", IF(EXACT([1]SEED!$AW293, ""), "", [1]SEED!$AW293))</f>
        <v>65000000000254</v>
      </c>
      <c r="D292" s="9">
        <f>IF(EXACT([1]SEED!$B293, ""), IF(EXACT([1]SEED!$D293, ""), IF(EXACT([1]SEED!$F293, ""), IF(EXACT([1]SEED!$H293, ""), IF(EXACT([1]SEED!$J293, ""), "", [1]SEED!$AI293), [1]SEED!$AH293), [1]SEED!$AF293), [1]SEED!$AE293), [1]SEED!$AD293)</f>
        <v>1</v>
      </c>
      <c r="F292" s="14">
        <f t="shared" si="10"/>
        <v>237000000000283</v>
      </c>
      <c r="G292" s="15" t="str">
        <f t="shared" si="11"/>
        <v>PERFORM * FROM "SchData-OLTP-Accounting"."Func_TblLayoutStructureChartOfAccount_SET"(varSystemLoginSession, null, null, null, varInstitutionBranchID, 62000000000001::bigint, varLayoutStructure_RefID, 65000000000283::bigint, 65000000000254::bigint, 1::smallint);</v>
      </c>
    </row>
    <row r="293" spans="2:7" x14ac:dyDescent="0.2">
      <c r="B293" s="9">
        <f>IF(EXACT([1]SEED!$AV294, ""), "", [1]SEED!$AV294)</f>
        <v>65000000000284</v>
      </c>
      <c r="C293" s="9">
        <f>IF(EXACT(B293, ""), "", IF(EXACT([1]SEED!$AW294, ""), "", [1]SEED!$AW294))</f>
        <v>65000000000283</v>
      </c>
      <c r="D293" s="9">
        <f>IF(EXACT([1]SEED!$B294, ""), IF(EXACT([1]SEED!$D294, ""), IF(EXACT([1]SEED!$F294, ""), IF(EXACT([1]SEED!$H294, ""), IF(EXACT([1]SEED!$J294, ""), "", [1]SEED!$AI294), [1]SEED!$AH294), [1]SEED!$AF294), [1]SEED!$AE294), [1]SEED!$AD294)</f>
        <v>1</v>
      </c>
      <c r="F293" s="14">
        <f t="shared" si="10"/>
        <v>237000000000284</v>
      </c>
      <c r="G293" s="15" t="str">
        <f t="shared" si="11"/>
        <v>PERFORM * FROM "SchData-OLTP-Accounting"."Func_TblLayoutStructureChartOfAccount_SET"(varSystemLoginSession, null, null, null, varInstitutionBranchID, 62000000000001::bigint, varLayoutStructure_RefID, 65000000000284::bigint, 65000000000283::bigint, 1::smallint);</v>
      </c>
    </row>
    <row r="294" spans="2:7" x14ac:dyDescent="0.2">
      <c r="B294" s="9">
        <f>IF(EXACT([1]SEED!$AV295, ""), "", [1]SEED!$AV295)</f>
        <v>65000000000285</v>
      </c>
      <c r="C294" s="9">
        <f>IF(EXACT(B294, ""), "", IF(EXACT([1]SEED!$AW295, ""), "", [1]SEED!$AW295))</f>
        <v>65000000000254</v>
      </c>
      <c r="D294" s="9">
        <f>IF(EXACT([1]SEED!$B295, ""), IF(EXACT([1]SEED!$D295, ""), IF(EXACT([1]SEED!$F295, ""), IF(EXACT([1]SEED!$H295, ""), IF(EXACT([1]SEED!$J295, ""), "", [1]SEED!$AI295), [1]SEED!$AH295), [1]SEED!$AF295), [1]SEED!$AE295), [1]SEED!$AD295)</f>
        <v>1</v>
      </c>
      <c r="F294" s="14">
        <f t="shared" si="10"/>
        <v>237000000000285</v>
      </c>
      <c r="G294" s="15" t="str">
        <f t="shared" si="11"/>
        <v>PERFORM * FROM "SchData-OLTP-Accounting"."Func_TblLayoutStructureChartOfAccount_SET"(varSystemLoginSession, null, null, null, varInstitutionBranchID, 62000000000001::bigint, varLayoutStructure_RefID, 65000000000285::bigint, 65000000000254::bigint, 1::smallint);</v>
      </c>
    </row>
    <row r="295" spans="2:7" x14ac:dyDescent="0.2">
      <c r="B295" s="9">
        <f>IF(EXACT([1]SEED!$AV296, ""), "", [1]SEED!$AV296)</f>
        <v>65000000000286</v>
      </c>
      <c r="C295" s="9">
        <f>IF(EXACT(B295, ""), "", IF(EXACT([1]SEED!$AW296, ""), "", [1]SEED!$AW296))</f>
        <v>65000000000285</v>
      </c>
      <c r="D295" s="9">
        <f>IF(EXACT([1]SEED!$B296, ""), IF(EXACT([1]SEED!$D296, ""), IF(EXACT([1]SEED!$F296, ""), IF(EXACT([1]SEED!$H296, ""), IF(EXACT([1]SEED!$J296, ""), "", [1]SEED!$AI296), [1]SEED!$AH296), [1]SEED!$AF296), [1]SEED!$AE296), [1]SEED!$AD296)</f>
        <v>1</v>
      </c>
      <c r="F295" s="14">
        <f t="shared" si="10"/>
        <v>237000000000286</v>
      </c>
      <c r="G295" s="15" t="str">
        <f t="shared" si="11"/>
        <v>PERFORM * FROM "SchData-OLTP-Accounting"."Func_TblLayoutStructureChartOfAccount_SET"(varSystemLoginSession, null, null, null, varInstitutionBranchID, 62000000000001::bigint, varLayoutStructure_RefID, 65000000000286::bigint, 65000000000285::bigint, 1::smallint);</v>
      </c>
    </row>
    <row r="296" spans="2:7" x14ac:dyDescent="0.2">
      <c r="B296" s="9">
        <f>IF(EXACT([1]SEED!$AV297, ""), "", [1]SEED!$AV297)</f>
        <v>65000000000287</v>
      </c>
      <c r="C296" s="9">
        <f>IF(EXACT(B296, ""), "", IF(EXACT([1]SEED!$AW297, ""), "", [1]SEED!$AW297))</f>
        <v>65000000000254</v>
      </c>
      <c r="D296" s="9">
        <f>IF(EXACT([1]SEED!$B297, ""), IF(EXACT([1]SEED!$D297, ""), IF(EXACT([1]SEED!$F297, ""), IF(EXACT([1]SEED!$H297, ""), IF(EXACT([1]SEED!$J297, ""), "", [1]SEED!$AI297), [1]SEED!$AH297), [1]SEED!$AF297), [1]SEED!$AE297), [1]SEED!$AD297)</f>
        <v>1</v>
      </c>
      <c r="F296" s="14">
        <f t="shared" si="10"/>
        <v>237000000000287</v>
      </c>
      <c r="G296" s="15" t="str">
        <f t="shared" si="11"/>
        <v>PERFORM * FROM "SchData-OLTP-Accounting"."Func_TblLayoutStructureChartOfAccount_SET"(varSystemLoginSession, null, null, null, varInstitutionBranchID, 62000000000001::bigint, varLayoutStructure_RefID, 65000000000287::bigint, 65000000000254::bigint, 1::smallint);</v>
      </c>
    </row>
    <row r="297" spans="2:7" x14ac:dyDescent="0.2">
      <c r="B297" s="9">
        <f>IF(EXACT([1]SEED!$AV298, ""), "", [1]SEED!$AV298)</f>
        <v>65000000000288</v>
      </c>
      <c r="C297" s="9">
        <f>IF(EXACT(B297, ""), "", IF(EXACT([1]SEED!$AW298, ""), "", [1]SEED!$AW298))</f>
        <v>65000000000287</v>
      </c>
      <c r="D297" s="9">
        <f>IF(EXACT([1]SEED!$B298, ""), IF(EXACT([1]SEED!$D298, ""), IF(EXACT([1]SEED!$F298, ""), IF(EXACT([1]SEED!$H298, ""), IF(EXACT([1]SEED!$J298, ""), "", [1]SEED!$AI298), [1]SEED!$AH298), [1]SEED!$AF298), [1]SEED!$AE298), [1]SEED!$AD298)</f>
        <v>1</v>
      </c>
      <c r="F297" s="14">
        <f t="shared" si="10"/>
        <v>237000000000288</v>
      </c>
      <c r="G297" s="15" t="str">
        <f t="shared" si="11"/>
        <v>PERFORM * FROM "SchData-OLTP-Accounting"."Func_TblLayoutStructureChartOfAccount_SET"(varSystemLoginSession, null, null, null, varInstitutionBranchID, 62000000000001::bigint, varLayoutStructure_RefID, 65000000000288::bigint, 65000000000287::bigint, 1::smallint);</v>
      </c>
    </row>
    <row r="298" spans="2:7" x14ac:dyDescent="0.2">
      <c r="B298" s="9">
        <f>IF(EXACT([1]SEED!$AV299, ""), "", [1]SEED!$AV299)</f>
        <v>65000000000289</v>
      </c>
      <c r="C298" s="9">
        <f>IF(EXACT(B298, ""), "", IF(EXACT([1]SEED!$AW299, ""), "", [1]SEED!$AW299))</f>
        <v>65000000000254</v>
      </c>
      <c r="D298" s="9">
        <f>IF(EXACT([1]SEED!$B299, ""), IF(EXACT([1]SEED!$D299, ""), IF(EXACT([1]SEED!$F299, ""), IF(EXACT([1]SEED!$H299, ""), IF(EXACT([1]SEED!$J299, ""), "", [1]SEED!$AI299), [1]SEED!$AH299), [1]SEED!$AF299), [1]SEED!$AE299), [1]SEED!$AD299)</f>
        <v>1</v>
      </c>
      <c r="F298" s="14">
        <f t="shared" si="10"/>
        <v>237000000000289</v>
      </c>
      <c r="G298" s="15" t="str">
        <f t="shared" si="11"/>
        <v>PERFORM * FROM "SchData-OLTP-Accounting"."Func_TblLayoutStructureChartOfAccount_SET"(varSystemLoginSession, null, null, null, varInstitutionBranchID, 62000000000001::bigint, varLayoutStructure_RefID, 65000000000289::bigint, 65000000000254::bigint, 1::smallint);</v>
      </c>
    </row>
    <row r="299" spans="2:7" x14ac:dyDescent="0.2">
      <c r="B299" s="9">
        <f>IF(EXACT([1]SEED!$AV300, ""), "", [1]SEED!$AV300)</f>
        <v>65000000000290</v>
      </c>
      <c r="C299" s="9">
        <f>IF(EXACT(B299, ""), "", IF(EXACT([1]SEED!$AW300, ""), "", [1]SEED!$AW300))</f>
        <v>65000000000289</v>
      </c>
      <c r="D299" s="9">
        <f>IF(EXACT([1]SEED!$B300, ""), IF(EXACT([1]SEED!$D300, ""), IF(EXACT([1]SEED!$F300, ""), IF(EXACT([1]SEED!$H300, ""), IF(EXACT([1]SEED!$J300, ""), "", [1]SEED!$AI300), [1]SEED!$AH300), [1]SEED!$AF300), [1]SEED!$AE300), [1]SEED!$AD300)</f>
        <v>1</v>
      </c>
      <c r="F299" s="14">
        <f t="shared" si="10"/>
        <v>237000000000290</v>
      </c>
      <c r="G299" s="15" t="str">
        <f t="shared" si="11"/>
        <v>PERFORM * FROM "SchData-OLTP-Accounting"."Func_TblLayoutStructureChartOfAccount_SET"(varSystemLoginSession, null, null, null, varInstitutionBranchID, 62000000000001::bigint, varLayoutStructure_RefID, 65000000000290::bigint, 65000000000289::bigint, 1::smallint);</v>
      </c>
    </row>
    <row r="300" spans="2:7" x14ac:dyDescent="0.2">
      <c r="B300" s="9">
        <f>IF(EXACT([1]SEED!$AV301, ""), "", [1]SEED!$AV301)</f>
        <v>65000000000291</v>
      </c>
      <c r="C300" s="9">
        <f>IF(EXACT(B300, ""), "", IF(EXACT([1]SEED!$AW301, ""), "", [1]SEED!$AW301))</f>
        <v>65000000000254</v>
      </c>
      <c r="D300" s="9">
        <f>IF(EXACT([1]SEED!$B301, ""), IF(EXACT([1]SEED!$D301, ""), IF(EXACT([1]SEED!$F301, ""), IF(EXACT([1]SEED!$H301, ""), IF(EXACT([1]SEED!$J301, ""), "", [1]SEED!$AI301), [1]SEED!$AH301), [1]SEED!$AF301), [1]SEED!$AE301), [1]SEED!$AD301)</f>
        <v>1</v>
      </c>
      <c r="F300" s="14">
        <f t="shared" si="10"/>
        <v>237000000000291</v>
      </c>
      <c r="G300" s="15" t="str">
        <f t="shared" si="11"/>
        <v>PERFORM * FROM "SchData-OLTP-Accounting"."Func_TblLayoutStructureChartOfAccount_SET"(varSystemLoginSession, null, null, null, varInstitutionBranchID, 62000000000001::bigint, varLayoutStructure_RefID, 65000000000291::bigint, 65000000000254::bigint, 1::smallint);</v>
      </c>
    </row>
    <row r="301" spans="2:7" x14ac:dyDescent="0.2">
      <c r="B301" s="9">
        <f>IF(EXACT([1]SEED!$AV302, ""), "", [1]SEED!$AV302)</f>
        <v>65000000000292</v>
      </c>
      <c r="C301" s="9">
        <f>IF(EXACT(B301, ""), "", IF(EXACT([1]SEED!$AW302, ""), "", [1]SEED!$AW302))</f>
        <v>65000000000291</v>
      </c>
      <c r="D301" s="9">
        <f>IF(EXACT([1]SEED!$B302, ""), IF(EXACT([1]SEED!$D302, ""), IF(EXACT([1]SEED!$F302, ""), IF(EXACT([1]SEED!$H302, ""), IF(EXACT([1]SEED!$J302, ""), "", [1]SEED!$AI302), [1]SEED!$AH302), [1]SEED!$AF302), [1]SEED!$AE302), [1]SEED!$AD302)</f>
        <v>1</v>
      </c>
      <c r="F301" s="14">
        <f t="shared" si="10"/>
        <v>237000000000292</v>
      </c>
      <c r="G301" s="15" t="str">
        <f t="shared" si="11"/>
        <v>PERFORM * FROM "SchData-OLTP-Accounting"."Func_TblLayoutStructureChartOfAccount_SET"(varSystemLoginSession, null, null, null, varInstitutionBranchID, 62000000000001::bigint, varLayoutStructure_RefID, 65000000000292::bigint, 65000000000291::bigint, 1::smallint);</v>
      </c>
    </row>
    <row r="302" spans="2:7" x14ac:dyDescent="0.2">
      <c r="B302" s="9">
        <f>IF(EXACT([1]SEED!$AV303, ""), "", [1]SEED!$AV303)</f>
        <v>65000000000293</v>
      </c>
      <c r="C302" s="9">
        <f>IF(EXACT(B302, ""), "", IF(EXACT([1]SEED!$AW303, ""), "", [1]SEED!$AW303))</f>
        <v>65000000000254</v>
      </c>
      <c r="D302" s="9">
        <f>IF(EXACT([1]SEED!$B303, ""), IF(EXACT([1]SEED!$D303, ""), IF(EXACT([1]SEED!$F303, ""), IF(EXACT([1]SEED!$H303, ""), IF(EXACT([1]SEED!$J303, ""), "", [1]SEED!$AI303), [1]SEED!$AH303), [1]SEED!$AF303), [1]SEED!$AE303), [1]SEED!$AD303)</f>
        <v>1</v>
      </c>
      <c r="F302" s="14">
        <f t="shared" si="10"/>
        <v>237000000000293</v>
      </c>
      <c r="G302" s="15" t="str">
        <f t="shared" si="11"/>
        <v>PERFORM * FROM "SchData-OLTP-Accounting"."Func_TblLayoutStructureChartOfAccount_SET"(varSystemLoginSession, null, null, null, varInstitutionBranchID, 62000000000001::bigint, varLayoutStructure_RefID, 65000000000293::bigint, 65000000000254::bigint, 1::smallint);</v>
      </c>
    </row>
    <row r="303" spans="2:7" x14ac:dyDescent="0.2">
      <c r="B303" s="9">
        <f>IF(EXACT([1]SEED!$AV304, ""), "", [1]SEED!$AV304)</f>
        <v>65000000000294</v>
      </c>
      <c r="C303" s="9">
        <f>IF(EXACT(B303, ""), "", IF(EXACT([1]SEED!$AW304, ""), "", [1]SEED!$AW304))</f>
        <v>65000000000293</v>
      </c>
      <c r="D303" s="9">
        <f>IF(EXACT([1]SEED!$B304, ""), IF(EXACT([1]SEED!$D304, ""), IF(EXACT([1]SEED!$F304, ""), IF(EXACT([1]SEED!$H304, ""), IF(EXACT([1]SEED!$J304, ""), "", [1]SEED!$AI304), [1]SEED!$AH304), [1]SEED!$AF304), [1]SEED!$AE304), [1]SEED!$AD304)</f>
        <v>1</v>
      </c>
      <c r="F303" s="14">
        <f t="shared" si="10"/>
        <v>237000000000294</v>
      </c>
      <c r="G303" s="15" t="str">
        <f t="shared" si="11"/>
        <v>PERFORM * FROM "SchData-OLTP-Accounting"."Func_TblLayoutStructureChartOfAccount_SET"(varSystemLoginSession, null, null, null, varInstitutionBranchID, 62000000000001::bigint, varLayoutStructure_RefID, 65000000000294::bigint, 65000000000293::bigint, 1::smallint);</v>
      </c>
    </row>
    <row r="304" spans="2:7" x14ac:dyDescent="0.2">
      <c r="B304" s="9">
        <f>IF(EXACT([1]SEED!$AV305, ""), "", [1]SEED!$AV305)</f>
        <v>65000000000295</v>
      </c>
      <c r="C304" s="9">
        <f>IF(EXACT(B304, ""), "", IF(EXACT([1]SEED!$AW305, ""), "", [1]SEED!$AW305))</f>
        <v>65000000000254</v>
      </c>
      <c r="D304" s="9">
        <f>IF(EXACT([1]SEED!$B305, ""), IF(EXACT([1]SEED!$D305, ""), IF(EXACT([1]SEED!$F305, ""), IF(EXACT([1]SEED!$H305, ""), IF(EXACT([1]SEED!$J305, ""), "", [1]SEED!$AI305), [1]SEED!$AH305), [1]SEED!$AF305), [1]SEED!$AE305), [1]SEED!$AD305)</f>
        <v>1</v>
      </c>
      <c r="F304" s="14">
        <f t="shared" si="10"/>
        <v>237000000000295</v>
      </c>
      <c r="G304" s="15" t="str">
        <f t="shared" si="11"/>
        <v>PERFORM * FROM "SchData-OLTP-Accounting"."Func_TblLayoutStructureChartOfAccount_SET"(varSystemLoginSession, null, null, null, varInstitutionBranchID, 62000000000001::bigint, varLayoutStructure_RefID, 65000000000295::bigint, 65000000000254::bigint, 1::smallint);</v>
      </c>
    </row>
    <row r="305" spans="2:7" x14ac:dyDescent="0.2">
      <c r="B305" s="9">
        <f>IF(EXACT([1]SEED!$AV306, ""), "", [1]SEED!$AV306)</f>
        <v>65000000000296</v>
      </c>
      <c r="C305" s="9">
        <f>IF(EXACT(B305, ""), "", IF(EXACT([1]SEED!$AW306, ""), "", [1]SEED!$AW306))</f>
        <v>65000000000295</v>
      </c>
      <c r="D305" s="9">
        <f>IF(EXACT([1]SEED!$B306, ""), IF(EXACT([1]SEED!$D306, ""), IF(EXACT([1]SEED!$F306, ""), IF(EXACT([1]SEED!$H306, ""), IF(EXACT([1]SEED!$J306, ""), "", [1]SEED!$AI306), [1]SEED!$AH306), [1]SEED!$AF306), [1]SEED!$AE306), [1]SEED!$AD306)</f>
        <v>1</v>
      </c>
      <c r="F305" s="14">
        <f t="shared" si="10"/>
        <v>237000000000296</v>
      </c>
      <c r="G305" s="15" t="str">
        <f t="shared" si="11"/>
        <v>PERFORM * FROM "SchData-OLTP-Accounting"."Func_TblLayoutStructureChartOfAccount_SET"(varSystemLoginSession, null, null, null, varInstitutionBranchID, 62000000000001::bigint, varLayoutStructure_RefID, 65000000000296::bigint, 65000000000295::bigint, 1::smallint);</v>
      </c>
    </row>
    <row r="306" spans="2:7" x14ac:dyDescent="0.2">
      <c r="B306" s="9">
        <f>IF(EXACT([1]SEED!$AV307, ""), "", [1]SEED!$AV307)</f>
        <v>65000000000297</v>
      </c>
      <c r="C306" s="9">
        <f>IF(EXACT(B306, ""), "", IF(EXACT([1]SEED!$AW307, ""), "", [1]SEED!$AW307))</f>
        <v>65000000000254</v>
      </c>
      <c r="D306" s="9">
        <f>IF(EXACT([1]SEED!$B307, ""), IF(EXACT([1]SEED!$D307, ""), IF(EXACT([1]SEED!$F307, ""), IF(EXACT([1]SEED!$H307, ""), IF(EXACT([1]SEED!$J307, ""), "", [1]SEED!$AI307), [1]SEED!$AH307), [1]SEED!$AF307), [1]SEED!$AE307), [1]SEED!$AD307)</f>
        <v>1</v>
      </c>
      <c r="F306" s="14">
        <f t="shared" si="10"/>
        <v>237000000000297</v>
      </c>
      <c r="G306" s="15" t="str">
        <f t="shared" si="11"/>
        <v>PERFORM * FROM "SchData-OLTP-Accounting"."Func_TblLayoutStructureChartOfAccount_SET"(varSystemLoginSession, null, null, null, varInstitutionBranchID, 62000000000001::bigint, varLayoutStructure_RefID, 65000000000297::bigint, 65000000000254::bigint, 1::smallint);</v>
      </c>
    </row>
    <row r="307" spans="2:7" x14ac:dyDescent="0.2">
      <c r="B307" s="9">
        <f>IF(EXACT([1]SEED!$AV308, ""), "", [1]SEED!$AV308)</f>
        <v>65000000000298</v>
      </c>
      <c r="C307" s="9">
        <f>IF(EXACT(B307, ""), "", IF(EXACT([1]SEED!$AW308, ""), "", [1]SEED!$AW308))</f>
        <v>65000000000297</v>
      </c>
      <c r="D307" s="9">
        <f>IF(EXACT([1]SEED!$B308, ""), IF(EXACT([1]SEED!$D308, ""), IF(EXACT([1]SEED!$F308, ""), IF(EXACT([1]SEED!$H308, ""), IF(EXACT([1]SEED!$J308, ""), "", [1]SEED!$AI308), [1]SEED!$AH308), [1]SEED!$AF308), [1]SEED!$AE308), [1]SEED!$AD308)</f>
        <v>1</v>
      </c>
      <c r="F307" s="14">
        <f t="shared" si="10"/>
        <v>237000000000298</v>
      </c>
      <c r="G307" s="15" t="str">
        <f t="shared" si="11"/>
        <v>PERFORM * FROM "SchData-OLTP-Accounting"."Func_TblLayoutStructureChartOfAccount_SET"(varSystemLoginSession, null, null, null, varInstitutionBranchID, 62000000000001::bigint, varLayoutStructure_RefID, 65000000000298::bigint, 65000000000297::bigint, 1::smallint);</v>
      </c>
    </row>
    <row r="308" spans="2:7" x14ac:dyDescent="0.2">
      <c r="B308" s="9">
        <f>IF(EXACT([1]SEED!$AV309, ""), "", [1]SEED!$AV309)</f>
        <v>65000000000299</v>
      </c>
      <c r="C308" s="9">
        <f>IF(EXACT(B308, ""), "", IF(EXACT([1]SEED!$AW309, ""), "", [1]SEED!$AW309))</f>
        <v>65000000000254</v>
      </c>
      <c r="D308" s="9">
        <f>IF(EXACT([1]SEED!$B309, ""), IF(EXACT([1]SEED!$D309, ""), IF(EXACT([1]SEED!$F309, ""), IF(EXACT([1]SEED!$H309, ""), IF(EXACT([1]SEED!$J309, ""), "", [1]SEED!$AI309), [1]SEED!$AH309), [1]SEED!$AF309), [1]SEED!$AE309), [1]SEED!$AD309)</f>
        <v>1</v>
      </c>
      <c r="F308" s="14">
        <f t="shared" si="10"/>
        <v>237000000000299</v>
      </c>
      <c r="G308" s="15" t="str">
        <f t="shared" si="11"/>
        <v>PERFORM * FROM "SchData-OLTP-Accounting"."Func_TblLayoutStructureChartOfAccount_SET"(varSystemLoginSession, null, null, null, varInstitutionBranchID, 62000000000001::bigint, varLayoutStructure_RefID, 65000000000299::bigint, 65000000000254::bigint, 1::smallint);</v>
      </c>
    </row>
    <row r="309" spans="2:7" x14ac:dyDescent="0.2">
      <c r="B309" s="9">
        <f>IF(EXACT([1]SEED!$AV310, ""), "", [1]SEED!$AV310)</f>
        <v>65000000000300</v>
      </c>
      <c r="C309" s="9">
        <f>IF(EXACT(B309, ""), "", IF(EXACT([1]SEED!$AW310, ""), "", [1]SEED!$AW310))</f>
        <v>65000000000299</v>
      </c>
      <c r="D309" s="9">
        <f>IF(EXACT([1]SEED!$B310, ""), IF(EXACT([1]SEED!$D310, ""), IF(EXACT([1]SEED!$F310, ""), IF(EXACT([1]SEED!$H310, ""), IF(EXACT([1]SEED!$J310, ""), "", [1]SEED!$AI310), [1]SEED!$AH310), [1]SEED!$AF310), [1]SEED!$AE310), [1]SEED!$AD310)</f>
        <v>1</v>
      </c>
      <c r="F309" s="14">
        <f t="shared" si="10"/>
        <v>237000000000300</v>
      </c>
      <c r="G309" s="15" t="str">
        <f t="shared" si="11"/>
        <v>PERFORM * FROM "SchData-OLTP-Accounting"."Func_TblLayoutStructureChartOfAccount_SET"(varSystemLoginSession, null, null, null, varInstitutionBranchID, 62000000000001::bigint, varLayoutStructure_RefID, 65000000000300::bigint, 65000000000299::bigint, 1::smallint);</v>
      </c>
    </row>
    <row r="310" spans="2:7" x14ac:dyDescent="0.2">
      <c r="B310" s="9">
        <f>IF(EXACT([1]SEED!$AV311, ""), "", [1]SEED!$AV311)</f>
        <v>65000000000301</v>
      </c>
      <c r="C310" s="9">
        <f>IF(EXACT(B310, ""), "", IF(EXACT([1]SEED!$AW311, ""), "", [1]SEED!$AW311))</f>
        <v>65000000000254</v>
      </c>
      <c r="D310" s="9">
        <f>IF(EXACT([1]SEED!$B311, ""), IF(EXACT([1]SEED!$D311, ""), IF(EXACT([1]SEED!$F311, ""), IF(EXACT([1]SEED!$H311, ""), IF(EXACT([1]SEED!$J311, ""), "", [1]SEED!$AI311), [1]SEED!$AH311), [1]SEED!$AF311), [1]SEED!$AE311), [1]SEED!$AD311)</f>
        <v>1</v>
      </c>
      <c r="F310" s="14">
        <f t="shared" si="10"/>
        <v>237000000000301</v>
      </c>
      <c r="G310" s="15" t="str">
        <f t="shared" si="11"/>
        <v>PERFORM * FROM "SchData-OLTP-Accounting"."Func_TblLayoutStructureChartOfAccount_SET"(varSystemLoginSession, null, null, null, varInstitutionBranchID, 62000000000001::bigint, varLayoutStructure_RefID, 65000000000301::bigint, 65000000000254::bigint, 1::smallint);</v>
      </c>
    </row>
    <row r="311" spans="2:7" x14ac:dyDescent="0.2">
      <c r="B311" s="9">
        <f>IF(EXACT([1]SEED!$AV312, ""), "", [1]SEED!$AV312)</f>
        <v>65000000000302</v>
      </c>
      <c r="C311" s="9">
        <f>IF(EXACT(B311, ""), "", IF(EXACT([1]SEED!$AW312, ""), "", [1]SEED!$AW312))</f>
        <v>65000000000301</v>
      </c>
      <c r="D311" s="9">
        <f>IF(EXACT([1]SEED!$B312, ""), IF(EXACT([1]SEED!$D312, ""), IF(EXACT([1]SEED!$F312, ""), IF(EXACT([1]SEED!$H312, ""), IF(EXACT([1]SEED!$J312, ""), "", [1]SEED!$AI312), [1]SEED!$AH312), [1]SEED!$AF312), [1]SEED!$AE312), [1]SEED!$AD312)</f>
        <v>1</v>
      </c>
      <c r="F311" s="14">
        <f t="shared" si="10"/>
        <v>237000000000302</v>
      </c>
      <c r="G311" s="15" t="str">
        <f t="shared" si="11"/>
        <v>PERFORM * FROM "SchData-OLTP-Accounting"."Func_TblLayoutStructureChartOfAccount_SET"(varSystemLoginSession, null, null, null, varInstitutionBranchID, 62000000000001::bigint, varLayoutStructure_RefID, 65000000000302::bigint, 65000000000301::bigint, 1::smallint);</v>
      </c>
    </row>
    <row r="312" spans="2:7" x14ac:dyDescent="0.2">
      <c r="B312" s="9">
        <f>IF(EXACT([1]SEED!$AV313, ""), "", [1]SEED!$AV313)</f>
        <v>65000000000303</v>
      </c>
      <c r="C312" s="9">
        <f>IF(EXACT(B312, ""), "", IF(EXACT([1]SEED!$AW313, ""), "", [1]SEED!$AW313))</f>
        <v>65000000000254</v>
      </c>
      <c r="D312" s="9">
        <f>IF(EXACT([1]SEED!$B313, ""), IF(EXACT([1]SEED!$D313, ""), IF(EXACT([1]SEED!$F313, ""), IF(EXACT([1]SEED!$H313, ""), IF(EXACT([1]SEED!$J313, ""), "", [1]SEED!$AI313), [1]SEED!$AH313), [1]SEED!$AF313), [1]SEED!$AE313), [1]SEED!$AD313)</f>
        <v>1</v>
      </c>
      <c r="F312" s="14">
        <f t="shared" si="10"/>
        <v>237000000000303</v>
      </c>
      <c r="G312" s="15" t="str">
        <f t="shared" si="11"/>
        <v>PERFORM * FROM "SchData-OLTP-Accounting"."Func_TblLayoutStructureChartOfAccount_SET"(varSystemLoginSession, null, null, null, varInstitutionBranchID, 62000000000001::bigint, varLayoutStructure_RefID, 65000000000303::bigint, 65000000000254::bigint, 1::smallint);</v>
      </c>
    </row>
    <row r="313" spans="2:7" x14ac:dyDescent="0.2">
      <c r="B313" s="9">
        <f>IF(EXACT([1]SEED!$AV314, ""), "", [1]SEED!$AV314)</f>
        <v>65000000000304</v>
      </c>
      <c r="C313" s="9">
        <f>IF(EXACT(B313, ""), "", IF(EXACT([1]SEED!$AW314, ""), "", [1]SEED!$AW314))</f>
        <v>65000000000303</v>
      </c>
      <c r="D313" s="9">
        <f>IF(EXACT([1]SEED!$B314, ""), IF(EXACT([1]SEED!$D314, ""), IF(EXACT([1]SEED!$F314, ""), IF(EXACT([1]SEED!$H314, ""), IF(EXACT([1]SEED!$J314, ""), "", [1]SEED!$AI314), [1]SEED!$AH314), [1]SEED!$AF314), [1]SEED!$AE314), [1]SEED!$AD314)</f>
        <v>1</v>
      </c>
      <c r="F313" s="14">
        <f t="shared" si="10"/>
        <v>237000000000304</v>
      </c>
      <c r="G313" s="15" t="str">
        <f t="shared" si="11"/>
        <v>PERFORM * FROM "SchData-OLTP-Accounting"."Func_TblLayoutStructureChartOfAccount_SET"(varSystemLoginSession, null, null, null, varInstitutionBranchID, 62000000000001::bigint, varLayoutStructure_RefID, 65000000000304::bigint, 65000000000303::bigint, 1::smallint);</v>
      </c>
    </row>
    <row r="314" spans="2:7" x14ac:dyDescent="0.2">
      <c r="B314" s="9">
        <f>IF(EXACT([1]SEED!$AV315, ""), "", [1]SEED!$AV315)</f>
        <v>65000000000305</v>
      </c>
      <c r="C314" s="9">
        <f>IF(EXACT(B314, ""), "", IF(EXACT([1]SEED!$AW315, ""), "", [1]SEED!$AW315))</f>
        <v>65000000000254</v>
      </c>
      <c r="D314" s="9">
        <f>IF(EXACT([1]SEED!$B315, ""), IF(EXACT([1]SEED!$D315, ""), IF(EXACT([1]SEED!$F315, ""), IF(EXACT([1]SEED!$H315, ""), IF(EXACT([1]SEED!$J315, ""), "", [1]SEED!$AI315), [1]SEED!$AH315), [1]SEED!$AF315), [1]SEED!$AE315), [1]SEED!$AD315)</f>
        <v>1</v>
      </c>
      <c r="F314" s="14">
        <f t="shared" si="10"/>
        <v>237000000000305</v>
      </c>
      <c r="G314" s="15" t="str">
        <f t="shared" si="11"/>
        <v>PERFORM * FROM "SchData-OLTP-Accounting"."Func_TblLayoutStructureChartOfAccount_SET"(varSystemLoginSession, null, null, null, varInstitutionBranchID, 62000000000001::bigint, varLayoutStructure_RefID, 65000000000305::bigint, 65000000000254::bigint, 1::smallint);</v>
      </c>
    </row>
    <row r="315" spans="2:7" x14ac:dyDescent="0.2">
      <c r="B315" s="9">
        <f>IF(EXACT([1]SEED!$AV316, ""), "", [1]SEED!$AV316)</f>
        <v>65000000000306</v>
      </c>
      <c r="C315" s="9">
        <f>IF(EXACT(B315, ""), "", IF(EXACT([1]SEED!$AW316, ""), "", [1]SEED!$AW316))</f>
        <v>65000000000305</v>
      </c>
      <c r="D315" s="9">
        <f>IF(EXACT([1]SEED!$B316, ""), IF(EXACT([1]SEED!$D316, ""), IF(EXACT([1]SEED!$F316, ""), IF(EXACT([1]SEED!$H316, ""), IF(EXACT([1]SEED!$J316, ""), "", [1]SEED!$AI316), [1]SEED!$AH316), [1]SEED!$AF316), [1]SEED!$AE316), [1]SEED!$AD316)</f>
        <v>1</v>
      </c>
      <c r="F315" s="14">
        <f t="shared" si="10"/>
        <v>237000000000306</v>
      </c>
      <c r="G315" s="15" t="str">
        <f t="shared" si="11"/>
        <v>PERFORM * FROM "SchData-OLTP-Accounting"."Func_TblLayoutStructureChartOfAccount_SET"(varSystemLoginSession, null, null, null, varInstitutionBranchID, 62000000000001::bigint, varLayoutStructure_RefID, 65000000000306::bigint, 65000000000305::bigint, 1::smallint);</v>
      </c>
    </row>
    <row r="316" spans="2:7" x14ac:dyDescent="0.2">
      <c r="B316" s="9">
        <f>IF(EXACT([1]SEED!$AV317, ""), "", [1]SEED!$AV317)</f>
        <v>65000000000307</v>
      </c>
      <c r="C316" s="9">
        <f>IF(EXACT(B316, ""), "", IF(EXACT([1]SEED!$AW317, ""), "", [1]SEED!$AW317))</f>
        <v>65000000000254</v>
      </c>
      <c r="D316" s="9">
        <f>IF(EXACT([1]SEED!$B317, ""), IF(EXACT([1]SEED!$D317, ""), IF(EXACT([1]SEED!$F317, ""), IF(EXACT([1]SEED!$H317, ""), IF(EXACT([1]SEED!$J317, ""), "", [1]SEED!$AI317), [1]SEED!$AH317), [1]SEED!$AF317), [1]SEED!$AE317), [1]SEED!$AD317)</f>
        <v>1</v>
      </c>
      <c r="F316" s="14">
        <f t="shared" si="10"/>
        <v>237000000000307</v>
      </c>
      <c r="G316" s="15" t="str">
        <f t="shared" si="11"/>
        <v>PERFORM * FROM "SchData-OLTP-Accounting"."Func_TblLayoutStructureChartOfAccount_SET"(varSystemLoginSession, null, null, null, varInstitutionBranchID, 62000000000001::bigint, varLayoutStructure_RefID, 65000000000307::bigint, 65000000000254::bigint, 1::smallint);</v>
      </c>
    </row>
    <row r="317" spans="2:7" x14ac:dyDescent="0.2">
      <c r="B317" s="9">
        <f>IF(EXACT([1]SEED!$AV318, ""), "", [1]SEED!$AV318)</f>
        <v>65000000000308</v>
      </c>
      <c r="C317" s="9">
        <f>IF(EXACT(B317, ""), "", IF(EXACT([1]SEED!$AW318, ""), "", [1]SEED!$AW318))</f>
        <v>65000000000307</v>
      </c>
      <c r="D317" s="9">
        <f>IF(EXACT([1]SEED!$B318, ""), IF(EXACT([1]SEED!$D318, ""), IF(EXACT([1]SEED!$F318, ""), IF(EXACT([1]SEED!$H318, ""), IF(EXACT([1]SEED!$J318, ""), "", [1]SEED!$AI318), [1]SEED!$AH318), [1]SEED!$AF318), [1]SEED!$AE318), [1]SEED!$AD318)</f>
        <v>1</v>
      </c>
      <c r="F317" s="14">
        <f t="shared" si="10"/>
        <v>237000000000308</v>
      </c>
      <c r="G317" s="15" t="str">
        <f t="shared" si="11"/>
        <v>PERFORM * FROM "SchData-OLTP-Accounting"."Func_TblLayoutStructureChartOfAccount_SET"(varSystemLoginSession, null, null, null, varInstitutionBranchID, 62000000000001::bigint, varLayoutStructure_RefID, 65000000000308::bigint, 65000000000307::bigint, 1::smallint);</v>
      </c>
    </row>
    <row r="318" spans="2:7" x14ac:dyDescent="0.2">
      <c r="B318" s="9">
        <f>IF(EXACT([1]SEED!$AV319, ""), "", [1]SEED!$AV319)</f>
        <v>65000000000309</v>
      </c>
      <c r="C318" s="9">
        <f>IF(EXACT(B318, ""), "", IF(EXACT([1]SEED!$AW319, ""), "", [1]SEED!$AW319))</f>
        <v>65000000000254</v>
      </c>
      <c r="D318" s="9">
        <f>IF(EXACT([1]SEED!$B319, ""), IF(EXACT([1]SEED!$D319, ""), IF(EXACT([1]SEED!$F319, ""), IF(EXACT([1]SEED!$H319, ""), IF(EXACT([1]SEED!$J319, ""), "", [1]SEED!$AI319), [1]SEED!$AH319), [1]SEED!$AF319), [1]SEED!$AE319), [1]SEED!$AD319)</f>
        <v>1</v>
      </c>
      <c r="F318" s="14">
        <f t="shared" si="10"/>
        <v>237000000000309</v>
      </c>
      <c r="G318" s="15" t="str">
        <f t="shared" si="11"/>
        <v>PERFORM * FROM "SchData-OLTP-Accounting"."Func_TblLayoutStructureChartOfAccount_SET"(varSystemLoginSession, null, null, null, varInstitutionBranchID, 62000000000001::bigint, varLayoutStructure_RefID, 65000000000309::bigint, 65000000000254::bigint, 1::smallint);</v>
      </c>
    </row>
    <row r="319" spans="2:7" x14ac:dyDescent="0.2">
      <c r="B319" s="9">
        <f>IF(EXACT([1]SEED!$AV320, ""), "", [1]SEED!$AV320)</f>
        <v>65000000000310</v>
      </c>
      <c r="C319" s="9">
        <f>IF(EXACT(B319, ""), "", IF(EXACT([1]SEED!$AW320, ""), "", [1]SEED!$AW320))</f>
        <v>65000000000309</v>
      </c>
      <c r="D319" s="9">
        <f>IF(EXACT([1]SEED!$B320, ""), IF(EXACT([1]SEED!$D320, ""), IF(EXACT([1]SEED!$F320, ""), IF(EXACT([1]SEED!$H320, ""), IF(EXACT([1]SEED!$J320, ""), "", [1]SEED!$AI320), [1]SEED!$AH320), [1]SEED!$AF320), [1]SEED!$AE320), [1]SEED!$AD320)</f>
        <v>1</v>
      </c>
      <c r="F319" s="14">
        <f t="shared" si="10"/>
        <v>237000000000310</v>
      </c>
      <c r="G319" s="15" t="str">
        <f t="shared" si="11"/>
        <v>PERFORM * FROM "SchData-OLTP-Accounting"."Func_TblLayoutStructureChartOfAccount_SET"(varSystemLoginSession, null, null, null, varInstitutionBranchID, 62000000000001::bigint, varLayoutStructure_RefID, 65000000000310::bigint, 65000000000309::bigint, 1::smallint);</v>
      </c>
    </row>
    <row r="320" spans="2:7" x14ac:dyDescent="0.2">
      <c r="B320" s="9">
        <f>IF(EXACT([1]SEED!$AV321, ""), "", [1]SEED!$AV321)</f>
        <v>65000000000311</v>
      </c>
      <c r="C320" s="9">
        <f>IF(EXACT(B320, ""), "", IF(EXACT([1]SEED!$AW321, ""), "", [1]SEED!$AW321))</f>
        <v>65000000000254</v>
      </c>
      <c r="D320" s="9">
        <f>IF(EXACT([1]SEED!$B321, ""), IF(EXACT([1]SEED!$D321, ""), IF(EXACT([1]SEED!$F321, ""), IF(EXACT([1]SEED!$H321, ""), IF(EXACT([1]SEED!$J321, ""), "", [1]SEED!$AI321), [1]SEED!$AH321), [1]SEED!$AF321), [1]SEED!$AE321), [1]SEED!$AD321)</f>
        <v>1</v>
      </c>
      <c r="F320" s="14">
        <f t="shared" si="10"/>
        <v>237000000000311</v>
      </c>
      <c r="G320" s="15" t="str">
        <f t="shared" si="11"/>
        <v>PERFORM * FROM "SchData-OLTP-Accounting"."Func_TblLayoutStructureChartOfAccount_SET"(varSystemLoginSession, null, null, null, varInstitutionBranchID, 62000000000001::bigint, varLayoutStructure_RefID, 65000000000311::bigint, 65000000000254::bigint, 1::smallint);</v>
      </c>
    </row>
    <row r="321" spans="2:7" x14ac:dyDescent="0.2">
      <c r="B321" s="9">
        <f>IF(EXACT([1]SEED!$AV322, ""), "", [1]SEED!$AV322)</f>
        <v>65000000000312</v>
      </c>
      <c r="C321" s="9">
        <f>IF(EXACT(B321, ""), "", IF(EXACT([1]SEED!$AW322, ""), "", [1]SEED!$AW322))</f>
        <v>65000000000311</v>
      </c>
      <c r="D321" s="9">
        <f>IF(EXACT([1]SEED!$B322, ""), IF(EXACT([1]SEED!$D322, ""), IF(EXACT([1]SEED!$F322, ""), IF(EXACT([1]SEED!$H322, ""), IF(EXACT([1]SEED!$J322, ""), "", [1]SEED!$AI322), [1]SEED!$AH322), [1]SEED!$AF322), [1]SEED!$AE322), [1]SEED!$AD322)</f>
        <v>1</v>
      </c>
      <c r="F321" s="14">
        <f t="shared" si="10"/>
        <v>237000000000312</v>
      </c>
      <c r="G321" s="15" t="str">
        <f t="shared" si="11"/>
        <v>PERFORM * FROM "SchData-OLTP-Accounting"."Func_TblLayoutStructureChartOfAccount_SET"(varSystemLoginSession, null, null, null, varInstitutionBranchID, 62000000000001::bigint, varLayoutStructure_RefID, 65000000000312::bigint, 65000000000311::bigint, 1::smallint);</v>
      </c>
    </row>
    <row r="322" spans="2:7" x14ac:dyDescent="0.2">
      <c r="B322" s="9">
        <f>IF(EXACT([1]SEED!$AV323, ""), "", [1]SEED!$AV323)</f>
        <v>65000000000313</v>
      </c>
      <c r="C322" s="9">
        <f>IF(EXACT(B322, ""), "", IF(EXACT([1]SEED!$AW323, ""), "", [1]SEED!$AW323))</f>
        <v>65000000000254</v>
      </c>
      <c r="D322" s="9">
        <f>IF(EXACT([1]SEED!$B323, ""), IF(EXACT([1]SEED!$D323, ""), IF(EXACT([1]SEED!$F323, ""), IF(EXACT([1]SEED!$H323, ""), IF(EXACT([1]SEED!$J323, ""), "", [1]SEED!$AI323), [1]SEED!$AH323), [1]SEED!$AF323), [1]SEED!$AE323), [1]SEED!$AD323)</f>
        <v>1</v>
      </c>
      <c r="F322" s="14">
        <f t="shared" si="10"/>
        <v>237000000000313</v>
      </c>
      <c r="G322" s="15" t="str">
        <f t="shared" si="11"/>
        <v>PERFORM * FROM "SchData-OLTP-Accounting"."Func_TblLayoutStructureChartOfAccount_SET"(varSystemLoginSession, null, null, null, varInstitutionBranchID, 62000000000001::bigint, varLayoutStructure_RefID, 65000000000313::bigint, 65000000000254::bigint, 1::smallint);</v>
      </c>
    </row>
    <row r="323" spans="2:7" x14ac:dyDescent="0.2">
      <c r="B323" s="9">
        <f>IF(EXACT([1]SEED!$AV324, ""), "", [1]SEED!$AV324)</f>
        <v>65000000000314</v>
      </c>
      <c r="C323" s="9">
        <f>IF(EXACT(B323, ""), "", IF(EXACT([1]SEED!$AW324, ""), "", [1]SEED!$AW324))</f>
        <v>65000000000313</v>
      </c>
      <c r="D323" s="9">
        <f>IF(EXACT([1]SEED!$B324, ""), IF(EXACT([1]SEED!$D324, ""), IF(EXACT([1]SEED!$F324, ""), IF(EXACT([1]SEED!$H324, ""), IF(EXACT([1]SEED!$J324, ""), "", [1]SEED!$AI324), [1]SEED!$AH324), [1]SEED!$AF324), [1]SEED!$AE324), [1]SEED!$AD324)</f>
        <v>1</v>
      </c>
      <c r="F323" s="14">
        <f t="shared" si="10"/>
        <v>237000000000314</v>
      </c>
      <c r="G323" s="15" t="str">
        <f t="shared" si="11"/>
        <v>PERFORM * FROM "SchData-OLTP-Accounting"."Func_TblLayoutStructureChartOfAccount_SET"(varSystemLoginSession, null, null, null, varInstitutionBranchID, 62000000000001::bigint, varLayoutStructure_RefID, 65000000000314::bigint, 65000000000313::bigint, 1::smallint);</v>
      </c>
    </row>
    <row r="324" spans="2:7" x14ac:dyDescent="0.2">
      <c r="B324" s="9">
        <f>IF(EXACT([1]SEED!$AV325, ""), "", [1]SEED!$AV325)</f>
        <v>65000000000315</v>
      </c>
      <c r="C324" s="9">
        <f>IF(EXACT(B324, ""), "", IF(EXACT([1]SEED!$AW325, ""), "", [1]SEED!$AW325))</f>
        <v>65000000000254</v>
      </c>
      <c r="D324" s="9">
        <f>IF(EXACT([1]SEED!$B325, ""), IF(EXACT([1]SEED!$D325, ""), IF(EXACT([1]SEED!$F325, ""), IF(EXACT([1]SEED!$H325, ""), IF(EXACT([1]SEED!$J325, ""), "", [1]SEED!$AI325), [1]SEED!$AH325), [1]SEED!$AF325), [1]SEED!$AE325), [1]SEED!$AD325)</f>
        <v>1</v>
      </c>
      <c r="F324" s="14">
        <f t="shared" si="10"/>
        <v>237000000000315</v>
      </c>
      <c r="G324" s="15" t="str">
        <f t="shared" si="11"/>
        <v>PERFORM * FROM "SchData-OLTP-Accounting"."Func_TblLayoutStructureChartOfAccount_SET"(varSystemLoginSession, null, null, null, varInstitutionBranchID, 62000000000001::bigint, varLayoutStructure_RefID, 65000000000315::bigint, 65000000000254::bigint, 1::smallint);</v>
      </c>
    </row>
    <row r="325" spans="2:7" x14ac:dyDescent="0.2">
      <c r="B325" s="9">
        <f>IF(EXACT([1]SEED!$AV326, ""), "", [1]SEED!$AV326)</f>
        <v>65000000000316</v>
      </c>
      <c r="C325" s="9">
        <f>IF(EXACT(B325, ""), "", IF(EXACT([1]SEED!$AW326, ""), "", [1]SEED!$AW326))</f>
        <v>65000000000315</v>
      </c>
      <c r="D325" s="9">
        <f>IF(EXACT([1]SEED!$B326, ""), IF(EXACT([1]SEED!$D326, ""), IF(EXACT([1]SEED!$F326, ""), IF(EXACT([1]SEED!$H326, ""), IF(EXACT([1]SEED!$J326, ""), "", [1]SEED!$AI326), [1]SEED!$AH326), [1]SEED!$AF326), [1]SEED!$AE326), [1]SEED!$AD326)</f>
        <v>1</v>
      </c>
      <c r="F325" s="14">
        <f t="shared" si="10"/>
        <v>237000000000316</v>
      </c>
      <c r="G325" s="15" t="str">
        <f t="shared" si="11"/>
        <v>PERFORM * FROM "SchData-OLTP-Accounting"."Func_TblLayoutStructureChartOfAccount_SET"(varSystemLoginSession, null, null, null, varInstitutionBranchID, 62000000000001::bigint, varLayoutStructure_RefID, 65000000000316::bigint, 65000000000315::bigint, 1::smallint);</v>
      </c>
    </row>
    <row r="326" spans="2:7" x14ac:dyDescent="0.2">
      <c r="B326" s="9">
        <f>IF(EXACT([1]SEED!$AV327, ""), "", [1]SEED!$AV327)</f>
        <v>65000000000317</v>
      </c>
      <c r="C326" s="9">
        <f>IF(EXACT(B326, ""), "", IF(EXACT([1]SEED!$AW327, ""), "", [1]SEED!$AW327))</f>
        <v>65000000000254</v>
      </c>
      <c r="D326" s="9">
        <f>IF(EXACT([1]SEED!$B327, ""), IF(EXACT([1]SEED!$D327, ""), IF(EXACT([1]SEED!$F327, ""), IF(EXACT([1]SEED!$H327, ""), IF(EXACT([1]SEED!$J327, ""), "", [1]SEED!$AI327), [1]SEED!$AH327), [1]SEED!$AF327), [1]SEED!$AE327), [1]SEED!$AD327)</f>
        <v>1</v>
      </c>
      <c r="F326" s="14">
        <f t="shared" si="10"/>
        <v>237000000000317</v>
      </c>
      <c r="G326" s="15" t="str">
        <f t="shared" si="11"/>
        <v>PERFORM * FROM "SchData-OLTP-Accounting"."Func_TblLayoutStructureChartOfAccount_SET"(varSystemLoginSession, null, null, null, varInstitutionBranchID, 62000000000001::bigint, varLayoutStructure_RefID, 65000000000317::bigint, 65000000000254::bigint, 1::smallint);</v>
      </c>
    </row>
    <row r="327" spans="2:7" x14ac:dyDescent="0.2">
      <c r="B327" s="9">
        <f>IF(EXACT([1]SEED!$AV328, ""), "", [1]SEED!$AV328)</f>
        <v>65000000000318</v>
      </c>
      <c r="C327" s="9">
        <f>IF(EXACT(B327, ""), "", IF(EXACT([1]SEED!$AW328, ""), "", [1]SEED!$AW328))</f>
        <v>65000000000317</v>
      </c>
      <c r="D327" s="9">
        <f>IF(EXACT([1]SEED!$B328, ""), IF(EXACT([1]SEED!$D328, ""), IF(EXACT([1]SEED!$F328, ""), IF(EXACT([1]SEED!$H328, ""), IF(EXACT([1]SEED!$J328, ""), "", [1]SEED!$AI328), [1]SEED!$AH328), [1]SEED!$AF328), [1]SEED!$AE328), [1]SEED!$AD328)</f>
        <v>1</v>
      </c>
      <c r="F327" s="14">
        <f t="shared" ref="F327:F390" si="12" xml:space="preserve"> F326 + IF(EXACT(G327, ""), 0, 1)</f>
        <v>237000000000318</v>
      </c>
      <c r="G327" s="15" t="str">
        <f t="shared" ref="G327:G390" si="13">IF(EXACT(B327, ""), "", CONCATENATE("PERFORM * FROM ""SchData-OLTP-Accounting"".""Func_TblLayoutStructureChartOfAccount_SET""(varSystemLoginSession, null, null, null, varInstitutionBranchID, 62000000000001::bigint, varLayoutStructure_RefID, ", B327, "::bigint, ", C327, "::bigint, ", D327,"::smallint);"))</f>
        <v>PERFORM * FROM "SchData-OLTP-Accounting"."Func_TblLayoutStructureChartOfAccount_SET"(varSystemLoginSession, null, null, null, varInstitutionBranchID, 62000000000001::bigint, varLayoutStructure_RefID, 65000000000318::bigint, 65000000000317::bigint, 1::smallint);</v>
      </c>
    </row>
    <row r="328" spans="2:7" x14ac:dyDescent="0.2">
      <c r="B328" s="9">
        <f>IF(EXACT([1]SEED!$AV329, ""), "", [1]SEED!$AV329)</f>
        <v>65000000000319</v>
      </c>
      <c r="C328" s="9">
        <f>IF(EXACT(B328, ""), "", IF(EXACT([1]SEED!$AW329, ""), "", [1]SEED!$AW329))</f>
        <v>65000000000254</v>
      </c>
      <c r="D328" s="9">
        <f>IF(EXACT([1]SEED!$B329, ""), IF(EXACT([1]SEED!$D329, ""), IF(EXACT([1]SEED!$F329, ""), IF(EXACT([1]SEED!$H329, ""), IF(EXACT([1]SEED!$J329, ""), "", [1]SEED!$AI329), [1]SEED!$AH329), [1]SEED!$AF329), [1]SEED!$AE329), [1]SEED!$AD329)</f>
        <v>1</v>
      </c>
      <c r="F328" s="14">
        <f t="shared" si="12"/>
        <v>237000000000319</v>
      </c>
      <c r="G328" s="15" t="str">
        <f t="shared" si="13"/>
        <v>PERFORM * FROM "SchData-OLTP-Accounting"."Func_TblLayoutStructureChartOfAccount_SET"(varSystemLoginSession, null, null, null, varInstitutionBranchID, 62000000000001::bigint, varLayoutStructure_RefID, 65000000000319::bigint, 65000000000254::bigint, 1::smallint);</v>
      </c>
    </row>
    <row r="329" spans="2:7" x14ac:dyDescent="0.2">
      <c r="B329" s="9">
        <f>IF(EXACT([1]SEED!$AV330, ""), "", [1]SEED!$AV330)</f>
        <v>65000000000320</v>
      </c>
      <c r="C329" s="9">
        <f>IF(EXACT(B329, ""), "", IF(EXACT([1]SEED!$AW330, ""), "", [1]SEED!$AW330))</f>
        <v>65000000000319</v>
      </c>
      <c r="D329" s="9">
        <f>IF(EXACT([1]SEED!$B330, ""), IF(EXACT([1]SEED!$D330, ""), IF(EXACT([1]SEED!$F330, ""), IF(EXACT([1]SEED!$H330, ""), IF(EXACT([1]SEED!$J330, ""), "", [1]SEED!$AI330), [1]SEED!$AH330), [1]SEED!$AF330), [1]SEED!$AE330), [1]SEED!$AD330)</f>
        <v>1</v>
      </c>
      <c r="F329" s="14">
        <f t="shared" si="12"/>
        <v>237000000000320</v>
      </c>
      <c r="G329" s="15" t="str">
        <f t="shared" si="13"/>
        <v>PERFORM * FROM "SchData-OLTP-Accounting"."Func_TblLayoutStructureChartOfAccount_SET"(varSystemLoginSession, null, null, null, varInstitutionBranchID, 62000000000001::bigint, varLayoutStructure_RefID, 65000000000320::bigint, 65000000000319::bigint, 1::smallint);</v>
      </c>
    </row>
    <row r="330" spans="2:7" x14ac:dyDescent="0.2">
      <c r="B330" s="9">
        <f>IF(EXACT([1]SEED!$AV331, ""), "", [1]SEED!$AV331)</f>
        <v>65000000000321</v>
      </c>
      <c r="C330" s="9">
        <f>IF(EXACT(B330, ""), "", IF(EXACT([1]SEED!$AW331, ""), "", [1]SEED!$AW331))</f>
        <v>65000000000254</v>
      </c>
      <c r="D330" s="9">
        <f>IF(EXACT([1]SEED!$B331, ""), IF(EXACT([1]SEED!$D331, ""), IF(EXACT([1]SEED!$F331, ""), IF(EXACT([1]SEED!$H331, ""), IF(EXACT([1]SEED!$J331, ""), "", [1]SEED!$AI331), [1]SEED!$AH331), [1]SEED!$AF331), [1]SEED!$AE331), [1]SEED!$AD331)</f>
        <v>1</v>
      </c>
      <c r="F330" s="14">
        <f t="shared" si="12"/>
        <v>237000000000321</v>
      </c>
      <c r="G330" s="15" t="str">
        <f t="shared" si="13"/>
        <v>PERFORM * FROM "SchData-OLTP-Accounting"."Func_TblLayoutStructureChartOfAccount_SET"(varSystemLoginSession, null, null, null, varInstitutionBranchID, 62000000000001::bigint, varLayoutStructure_RefID, 65000000000321::bigint, 65000000000254::bigint, 1::smallint);</v>
      </c>
    </row>
    <row r="331" spans="2:7" x14ac:dyDescent="0.2">
      <c r="B331" s="9">
        <f>IF(EXACT([1]SEED!$AV332, ""), "", [1]SEED!$AV332)</f>
        <v>65000000000322</v>
      </c>
      <c r="C331" s="9">
        <f>IF(EXACT(B331, ""), "", IF(EXACT([1]SEED!$AW332, ""), "", [1]SEED!$AW332))</f>
        <v>65000000000321</v>
      </c>
      <c r="D331" s="9">
        <f>IF(EXACT([1]SEED!$B332, ""), IF(EXACT([1]SEED!$D332, ""), IF(EXACT([1]SEED!$F332, ""), IF(EXACT([1]SEED!$H332, ""), IF(EXACT([1]SEED!$J332, ""), "", [1]SEED!$AI332), [1]SEED!$AH332), [1]SEED!$AF332), [1]SEED!$AE332), [1]SEED!$AD332)</f>
        <v>1</v>
      </c>
      <c r="F331" s="14">
        <f t="shared" si="12"/>
        <v>237000000000322</v>
      </c>
      <c r="G331" s="15" t="str">
        <f t="shared" si="13"/>
        <v>PERFORM * FROM "SchData-OLTP-Accounting"."Func_TblLayoutStructureChartOfAccount_SET"(varSystemLoginSession, null, null, null, varInstitutionBranchID, 62000000000001::bigint, varLayoutStructure_RefID, 65000000000322::bigint, 65000000000321::bigint, 1::smallint);</v>
      </c>
    </row>
    <row r="332" spans="2:7" x14ac:dyDescent="0.2">
      <c r="B332" s="9">
        <f>IF(EXACT([1]SEED!$AV333, ""), "", [1]SEED!$AV333)</f>
        <v>65000000000323</v>
      </c>
      <c r="C332" s="9">
        <f>IF(EXACT(B332, ""), "", IF(EXACT([1]SEED!$AW333, ""), "", [1]SEED!$AW333))</f>
        <v>65000000000254</v>
      </c>
      <c r="D332" s="9">
        <f>IF(EXACT([1]SEED!$B333, ""), IF(EXACT([1]SEED!$D333, ""), IF(EXACT([1]SEED!$F333, ""), IF(EXACT([1]SEED!$H333, ""), IF(EXACT([1]SEED!$J333, ""), "", [1]SEED!$AI333), [1]SEED!$AH333), [1]SEED!$AF333), [1]SEED!$AE333), [1]SEED!$AD333)</f>
        <v>1</v>
      </c>
      <c r="F332" s="14">
        <f t="shared" si="12"/>
        <v>237000000000323</v>
      </c>
      <c r="G332" s="15" t="str">
        <f t="shared" si="13"/>
        <v>PERFORM * FROM "SchData-OLTP-Accounting"."Func_TblLayoutStructureChartOfAccount_SET"(varSystemLoginSession, null, null, null, varInstitutionBranchID, 62000000000001::bigint, varLayoutStructure_RefID, 65000000000323::bigint, 65000000000254::bigint, 1::smallint);</v>
      </c>
    </row>
    <row r="333" spans="2:7" x14ac:dyDescent="0.2">
      <c r="B333" s="9">
        <f>IF(EXACT([1]SEED!$AV334, ""), "", [1]SEED!$AV334)</f>
        <v>65000000000324</v>
      </c>
      <c r="C333" s="9">
        <f>IF(EXACT(B333, ""), "", IF(EXACT([1]SEED!$AW334, ""), "", [1]SEED!$AW334))</f>
        <v>65000000000323</v>
      </c>
      <c r="D333" s="9">
        <f>IF(EXACT([1]SEED!$B334, ""), IF(EXACT([1]SEED!$D334, ""), IF(EXACT([1]SEED!$F334, ""), IF(EXACT([1]SEED!$H334, ""), IF(EXACT([1]SEED!$J334, ""), "", [1]SEED!$AI334), [1]SEED!$AH334), [1]SEED!$AF334), [1]SEED!$AE334), [1]SEED!$AD334)</f>
        <v>1</v>
      </c>
      <c r="F333" s="14">
        <f t="shared" si="12"/>
        <v>237000000000324</v>
      </c>
      <c r="G333" s="15" t="str">
        <f t="shared" si="13"/>
        <v>PERFORM * FROM "SchData-OLTP-Accounting"."Func_TblLayoutStructureChartOfAccount_SET"(varSystemLoginSession, null, null, null, varInstitutionBranchID, 62000000000001::bigint, varLayoutStructure_RefID, 65000000000324::bigint, 65000000000323::bigint, 1::smallint);</v>
      </c>
    </row>
    <row r="334" spans="2:7" x14ac:dyDescent="0.2">
      <c r="B334" s="9">
        <f>IF(EXACT([1]SEED!$AV335, ""), "", [1]SEED!$AV335)</f>
        <v>65000000000325</v>
      </c>
      <c r="C334" s="9">
        <f>IF(EXACT(B334, ""), "", IF(EXACT([1]SEED!$AW335, ""), "", [1]SEED!$AW335))</f>
        <v>65000000000254</v>
      </c>
      <c r="D334" s="9">
        <f>IF(EXACT([1]SEED!$B335, ""), IF(EXACT([1]SEED!$D335, ""), IF(EXACT([1]SEED!$F335, ""), IF(EXACT([1]SEED!$H335, ""), IF(EXACT([1]SEED!$J335, ""), "", [1]SEED!$AI335), [1]SEED!$AH335), [1]SEED!$AF335), [1]SEED!$AE335), [1]SEED!$AD335)</f>
        <v>1</v>
      </c>
      <c r="F334" s="14">
        <f t="shared" si="12"/>
        <v>237000000000325</v>
      </c>
      <c r="G334" s="15" t="str">
        <f t="shared" si="13"/>
        <v>PERFORM * FROM "SchData-OLTP-Accounting"."Func_TblLayoutStructureChartOfAccount_SET"(varSystemLoginSession, null, null, null, varInstitutionBranchID, 62000000000001::bigint, varLayoutStructure_RefID, 65000000000325::bigint, 65000000000254::bigint, 1::smallint);</v>
      </c>
    </row>
    <row r="335" spans="2:7" x14ac:dyDescent="0.2">
      <c r="B335" s="9">
        <f>IF(EXACT([1]SEED!$AV336, ""), "", [1]SEED!$AV336)</f>
        <v>65000000000326</v>
      </c>
      <c r="C335" s="9">
        <f>IF(EXACT(B335, ""), "", IF(EXACT([1]SEED!$AW336, ""), "", [1]SEED!$AW336))</f>
        <v>65000000000325</v>
      </c>
      <c r="D335" s="9">
        <f>IF(EXACT([1]SEED!$B336, ""), IF(EXACT([1]SEED!$D336, ""), IF(EXACT([1]SEED!$F336, ""), IF(EXACT([1]SEED!$H336, ""), IF(EXACT([1]SEED!$J336, ""), "", [1]SEED!$AI336), [1]SEED!$AH336), [1]SEED!$AF336), [1]SEED!$AE336), [1]SEED!$AD336)</f>
        <v>1</v>
      </c>
      <c r="F335" s="14">
        <f t="shared" si="12"/>
        <v>237000000000326</v>
      </c>
      <c r="G335" s="15" t="str">
        <f t="shared" si="13"/>
        <v>PERFORM * FROM "SchData-OLTP-Accounting"."Func_TblLayoutStructureChartOfAccount_SET"(varSystemLoginSession, null, null, null, varInstitutionBranchID, 62000000000001::bigint, varLayoutStructure_RefID, 65000000000326::bigint, 65000000000325::bigint, 1::smallint);</v>
      </c>
    </row>
    <row r="336" spans="2:7" x14ac:dyDescent="0.2">
      <c r="B336" s="9">
        <f>IF(EXACT([1]SEED!$AV337, ""), "", [1]SEED!$AV337)</f>
        <v>65000000000327</v>
      </c>
      <c r="C336" s="9">
        <f>IF(EXACT(B336, ""), "", IF(EXACT([1]SEED!$AW337, ""), "", [1]SEED!$AW337))</f>
        <v>65000000000254</v>
      </c>
      <c r="D336" s="9">
        <f>IF(EXACT([1]SEED!$B337, ""), IF(EXACT([1]SEED!$D337, ""), IF(EXACT([1]SEED!$F337, ""), IF(EXACT([1]SEED!$H337, ""), IF(EXACT([1]SEED!$J337, ""), "", [1]SEED!$AI337), [1]SEED!$AH337), [1]SEED!$AF337), [1]SEED!$AE337), [1]SEED!$AD337)</f>
        <v>1</v>
      </c>
      <c r="F336" s="14">
        <f t="shared" si="12"/>
        <v>237000000000327</v>
      </c>
      <c r="G336" s="15" t="str">
        <f t="shared" si="13"/>
        <v>PERFORM * FROM "SchData-OLTP-Accounting"."Func_TblLayoutStructureChartOfAccount_SET"(varSystemLoginSession, null, null, null, varInstitutionBranchID, 62000000000001::bigint, varLayoutStructure_RefID, 65000000000327::bigint, 65000000000254::bigint, 1::smallint);</v>
      </c>
    </row>
    <row r="337" spans="2:7" x14ac:dyDescent="0.2">
      <c r="B337" s="9">
        <f>IF(EXACT([1]SEED!$AV338, ""), "", [1]SEED!$AV338)</f>
        <v>65000000000328</v>
      </c>
      <c r="C337" s="9">
        <f>IF(EXACT(B337, ""), "", IF(EXACT([1]SEED!$AW338, ""), "", [1]SEED!$AW338))</f>
        <v>65000000000327</v>
      </c>
      <c r="D337" s="9">
        <f>IF(EXACT([1]SEED!$B338, ""), IF(EXACT([1]SEED!$D338, ""), IF(EXACT([1]SEED!$F338, ""), IF(EXACT([1]SEED!$H338, ""), IF(EXACT([1]SEED!$J338, ""), "", [1]SEED!$AI338), [1]SEED!$AH338), [1]SEED!$AF338), [1]SEED!$AE338), [1]SEED!$AD338)</f>
        <v>1</v>
      </c>
      <c r="F337" s="14">
        <f t="shared" si="12"/>
        <v>237000000000328</v>
      </c>
      <c r="G337" s="15" t="str">
        <f t="shared" si="13"/>
        <v>PERFORM * FROM "SchData-OLTP-Accounting"."Func_TblLayoutStructureChartOfAccount_SET"(varSystemLoginSession, null, null, null, varInstitutionBranchID, 62000000000001::bigint, varLayoutStructure_RefID, 65000000000328::bigint, 65000000000327::bigint, 1::smallint);</v>
      </c>
    </row>
    <row r="338" spans="2:7" x14ac:dyDescent="0.2">
      <c r="B338" s="9">
        <f>IF(EXACT([1]SEED!$AV339, ""), "", [1]SEED!$AV339)</f>
        <v>65000000000329</v>
      </c>
      <c r="C338" s="9">
        <f>IF(EXACT(B338, ""), "", IF(EXACT([1]SEED!$AW339, ""), "", [1]SEED!$AW339))</f>
        <v>65000000000254</v>
      </c>
      <c r="D338" s="9">
        <f>IF(EXACT([1]SEED!$B339, ""), IF(EXACT([1]SEED!$D339, ""), IF(EXACT([1]SEED!$F339, ""), IF(EXACT([1]SEED!$H339, ""), IF(EXACT([1]SEED!$J339, ""), "", [1]SEED!$AI339), [1]SEED!$AH339), [1]SEED!$AF339), [1]SEED!$AE339), [1]SEED!$AD339)</f>
        <v>1</v>
      </c>
      <c r="F338" s="14">
        <f t="shared" si="12"/>
        <v>237000000000329</v>
      </c>
      <c r="G338" s="15" t="str">
        <f t="shared" si="13"/>
        <v>PERFORM * FROM "SchData-OLTP-Accounting"."Func_TblLayoutStructureChartOfAccount_SET"(varSystemLoginSession, null, null, null, varInstitutionBranchID, 62000000000001::bigint, varLayoutStructure_RefID, 65000000000329::bigint, 65000000000254::bigint, 1::smallint);</v>
      </c>
    </row>
    <row r="339" spans="2:7" x14ac:dyDescent="0.2">
      <c r="B339" s="9">
        <f>IF(EXACT([1]SEED!$AV340, ""), "", [1]SEED!$AV340)</f>
        <v>65000000000330</v>
      </c>
      <c r="C339" s="9">
        <f>IF(EXACT(B339, ""), "", IF(EXACT([1]SEED!$AW340, ""), "", [1]SEED!$AW340))</f>
        <v>65000000000329</v>
      </c>
      <c r="D339" s="9">
        <f>IF(EXACT([1]SEED!$B340, ""), IF(EXACT([1]SEED!$D340, ""), IF(EXACT([1]SEED!$F340, ""), IF(EXACT([1]SEED!$H340, ""), IF(EXACT([1]SEED!$J340, ""), "", [1]SEED!$AI340), [1]SEED!$AH340), [1]SEED!$AF340), [1]SEED!$AE340), [1]SEED!$AD340)</f>
        <v>1</v>
      </c>
      <c r="F339" s="14">
        <f t="shared" si="12"/>
        <v>237000000000330</v>
      </c>
      <c r="G339" s="15" t="str">
        <f t="shared" si="13"/>
        <v>PERFORM * FROM "SchData-OLTP-Accounting"."Func_TblLayoutStructureChartOfAccount_SET"(varSystemLoginSession, null, null, null, varInstitutionBranchID, 62000000000001::bigint, varLayoutStructure_RefID, 65000000000330::bigint, 65000000000329::bigint, 1::smallint);</v>
      </c>
    </row>
    <row r="340" spans="2:7" x14ac:dyDescent="0.2">
      <c r="B340" s="9">
        <f>IF(EXACT([1]SEED!$AV341, ""), "", [1]SEED!$AV341)</f>
        <v>65000000000331</v>
      </c>
      <c r="C340" s="9">
        <f>IF(EXACT(B340, ""), "", IF(EXACT([1]SEED!$AW341, ""), "", [1]SEED!$AW341))</f>
        <v>65000000000254</v>
      </c>
      <c r="D340" s="9">
        <f>IF(EXACT([1]SEED!$B341, ""), IF(EXACT([1]SEED!$D341, ""), IF(EXACT([1]SEED!$F341, ""), IF(EXACT([1]SEED!$H341, ""), IF(EXACT([1]SEED!$J341, ""), "", [1]SEED!$AI341), [1]SEED!$AH341), [1]SEED!$AF341), [1]SEED!$AE341), [1]SEED!$AD341)</f>
        <v>1</v>
      </c>
      <c r="F340" s="14">
        <f t="shared" si="12"/>
        <v>237000000000331</v>
      </c>
      <c r="G340" s="15" t="str">
        <f t="shared" si="13"/>
        <v>PERFORM * FROM "SchData-OLTP-Accounting"."Func_TblLayoutStructureChartOfAccount_SET"(varSystemLoginSession, null, null, null, varInstitutionBranchID, 62000000000001::bigint, varLayoutStructure_RefID, 65000000000331::bigint, 65000000000254::bigint, 1::smallint);</v>
      </c>
    </row>
    <row r="341" spans="2:7" x14ac:dyDescent="0.2">
      <c r="B341" s="9">
        <f>IF(EXACT([1]SEED!$AV342, ""), "", [1]SEED!$AV342)</f>
        <v>65000000000332</v>
      </c>
      <c r="C341" s="9">
        <f>IF(EXACT(B341, ""), "", IF(EXACT([1]SEED!$AW342, ""), "", [1]SEED!$AW342))</f>
        <v>65000000000331</v>
      </c>
      <c r="D341" s="9">
        <f>IF(EXACT([1]SEED!$B342, ""), IF(EXACT([1]SEED!$D342, ""), IF(EXACT([1]SEED!$F342, ""), IF(EXACT([1]SEED!$H342, ""), IF(EXACT([1]SEED!$J342, ""), "", [1]SEED!$AI342), [1]SEED!$AH342), [1]SEED!$AF342), [1]SEED!$AE342), [1]SEED!$AD342)</f>
        <v>1</v>
      </c>
      <c r="F341" s="14">
        <f t="shared" si="12"/>
        <v>237000000000332</v>
      </c>
      <c r="G341" s="15" t="str">
        <f t="shared" si="13"/>
        <v>PERFORM * FROM "SchData-OLTP-Accounting"."Func_TblLayoutStructureChartOfAccount_SET"(varSystemLoginSession, null, null, null, varInstitutionBranchID, 62000000000001::bigint, varLayoutStructure_RefID, 65000000000332::bigint, 65000000000331::bigint, 1::smallint);</v>
      </c>
    </row>
    <row r="342" spans="2:7" x14ac:dyDescent="0.2">
      <c r="B342" s="9">
        <f>IF(EXACT([1]SEED!$AV343, ""), "", [1]SEED!$AV343)</f>
        <v>65000000000333</v>
      </c>
      <c r="C342" s="9">
        <f>IF(EXACT(B342, ""), "", IF(EXACT([1]SEED!$AW343, ""), "", [1]SEED!$AW343))</f>
        <v>65000000000254</v>
      </c>
      <c r="D342" s="9">
        <f>IF(EXACT([1]SEED!$B343, ""), IF(EXACT([1]SEED!$D343, ""), IF(EXACT([1]SEED!$F343, ""), IF(EXACT([1]SEED!$H343, ""), IF(EXACT([1]SEED!$J343, ""), "", [1]SEED!$AI343), [1]SEED!$AH343), [1]SEED!$AF343), [1]SEED!$AE343), [1]SEED!$AD343)</f>
        <v>1</v>
      </c>
      <c r="F342" s="14">
        <f t="shared" si="12"/>
        <v>237000000000333</v>
      </c>
      <c r="G342" s="15" t="str">
        <f t="shared" si="13"/>
        <v>PERFORM * FROM "SchData-OLTP-Accounting"."Func_TblLayoutStructureChartOfAccount_SET"(varSystemLoginSession, null, null, null, varInstitutionBranchID, 62000000000001::bigint, varLayoutStructure_RefID, 65000000000333::bigint, 65000000000254::bigint, 1::smallint);</v>
      </c>
    </row>
    <row r="343" spans="2:7" x14ac:dyDescent="0.2">
      <c r="B343" s="9">
        <f>IF(EXACT([1]SEED!$AV344, ""), "", [1]SEED!$AV344)</f>
        <v>65000000000334</v>
      </c>
      <c r="C343" s="9">
        <f>IF(EXACT(B343, ""), "", IF(EXACT([1]SEED!$AW344, ""), "", [1]SEED!$AW344))</f>
        <v>65000000000333</v>
      </c>
      <c r="D343" s="9">
        <f>IF(EXACT([1]SEED!$B344, ""), IF(EXACT([1]SEED!$D344, ""), IF(EXACT([1]SEED!$F344, ""), IF(EXACT([1]SEED!$H344, ""), IF(EXACT([1]SEED!$J344, ""), "", [1]SEED!$AI344), [1]SEED!$AH344), [1]SEED!$AF344), [1]SEED!$AE344), [1]SEED!$AD344)</f>
        <v>1</v>
      </c>
      <c r="F343" s="14">
        <f t="shared" si="12"/>
        <v>237000000000334</v>
      </c>
      <c r="G343" s="15" t="str">
        <f t="shared" si="13"/>
        <v>PERFORM * FROM "SchData-OLTP-Accounting"."Func_TblLayoutStructureChartOfAccount_SET"(varSystemLoginSession, null, null, null, varInstitutionBranchID, 62000000000001::bigint, varLayoutStructure_RefID, 65000000000334::bigint, 65000000000333::bigint, 1::smallint);</v>
      </c>
    </row>
    <row r="344" spans="2:7" x14ac:dyDescent="0.2">
      <c r="B344" s="9">
        <f>IF(EXACT([1]SEED!$AV345, ""), "", [1]SEED!$AV345)</f>
        <v>65000000000335</v>
      </c>
      <c r="C344" s="9">
        <f>IF(EXACT(B344, ""), "", IF(EXACT([1]SEED!$AW345, ""), "", [1]SEED!$AW345))</f>
        <v>65000000000254</v>
      </c>
      <c r="D344" s="9">
        <f>IF(EXACT([1]SEED!$B345, ""), IF(EXACT([1]SEED!$D345, ""), IF(EXACT([1]SEED!$F345, ""), IF(EXACT([1]SEED!$H345, ""), IF(EXACT([1]SEED!$J345, ""), "", [1]SEED!$AI345), [1]SEED!$AH345), [1]SEED!$AF345), [1]SEED!$AE345), [1]SEED!$AD345)</f>
        <v>1</v>
      </c>
      <c r="F344" s="14">
        <f t="shared" si="12"/>
        <v>237000000000335</v>
      </c>
      <c r="G344" s="15" t="str">
        <f t="shared" si="13"/>
        <v>PERFORM * FROM "SchData-OLTP-Accounting"."Func_TblLayoutStructureChartOfAccount_SET"(varSystemLoginSession, null, null, null, varInstitutionBranchID, 62000000000001::bigint, varLayoutStructure_RefID, 65000000000335::bigint, 65000000000254::bigint, 1::smallint);</v>
      </c>
    </row>
    <row r="345" spans="2:7" x14ac:dyDescent="0.2">
      <c r="B345" s="9">
        <f>IF(EXACT([1]SEED!$AV346, ""), "", [1]SEED!$AV346)</f>
        <v>65000000000336</v>
      </c>
      <c r="C345" s="9">
        <f>IF(EXACT(B345, ""), "", IF(EXACT([1]SEED!$AW346, ""), "", [1]SEED!$AW346))</f>
        <v>65000000000335</v>
      </c>
      <c r="D345" s="9">
        <f>IF(EXACT([1]SEED!$B346, ""), IF(EXACT([1]SEED!$D346, ""), IF(EXACT([1]SEED!$F346, ""), IF(EXACT([1]SEED!$H346, ""), IF(EXACT([1]SEED!$J346, ""), "", [1]SEED!$AI346), [1]SEED!$AH346), [1]SEED!$AF346), [1]SEED!$AE346), [1]SEED!$AD346)</f>
        <v>1</v>
      </c>
      <c r="F345" s="14">
        <f t="shared" si="12"/>
        <v>237000000000336</v>
      </c>
      <c r="G345" s="15" t="str">
        <f t="shared" si="13"/>
        <v>PERFORM * FROM "SchData-OLTP-Accounting"."Func_TblLayoutStructureChartOfAccount_SET"(varSystemLoginSession, null, null, null, varInstitutionBranchID, 62000000000001::bigint, varLayoutStructure_RefID, 65000000000336::bigint, 65000000000335::bigint, 1::smallint);</v>
      </c>
    </row>
    <row r="346" spans="2:7" x14ac:dyDescent="0.2">
      <c r="B346" s="9">
        <f>IF(EXACT([1]SEED!$AV347, ""), "", [1]SEED!$AV347)</f>
        <v>65000000000337</v>
      </c>
      <c r="C346" s="9">
        <f>IF(EXACT(B346, ""), "", IF(EXACT([1]SEED!$AW347, ""), "", [1]SEED!$AW347))</f>
        <v>65000000000254</v>
      </c>
      <c r="D346" s="9">
        <f>IF(EXACT([1]SEED!$B347, ""), IF(EXACT([1]SEED!$D347, ""), IF(EXACT([1]SEED!$F347, ""), IF(EXACT([1]SEED!$H347, ""), IF(EXACT([1]SEED!$J347, ""), "", [1]SEED!$AI347), [1]SEED!$AH347), [1]SEED!$AF347), [1]SEED!$AE347), [1]SEED!$AD347)</f>
        <v>1</v>
      </c>
      <c r="F346" s="14">
        <f t="shared" si="12"/>
        <v>237000000000337</v>
      </c>
      <c r="G346" s="15" t="str">
        <f t="shared" si="13"/>
        <v>PERFORM * FROM "SchData-OLTP-Accounting"."Func_TblLayoutStructureChartOfAccount_SET"(varSystemLoginSession, null, null, null, varInstitutionBranchID, 62000000000001::bigint, varLayoutStructure_RefID, 65000000000337::bigint, 65000000000254::bigint, 1::smallint);</v>
      </c>
    </row>
    <row r="347" spans="2:7" x14ac:dyDescent="0.2">
      <c r="B347" s="9">
        <f>IF(EXACT([1]SEED!$AV348, ""), "", [1]SEED!$AV348)</f>
        <v>65000000000338</v>
      </c>
      <c r="C347" s="9">
        <f>IF(EXACT(B347, ""), "", IF(EXACT([1]SEED!$AW348, ""), "", [1]SEED!$AW348))</f>
        <v>65000000000337</v>
      </c>
      <c r="D347" s="9">
        <f>IF(EXACT([1]SEED!$B348, ""), IF(EXACT([1]SEED!$D348, ""), IF(EXACT([1]SEED!$F348, ""), IF(EXACT([1]SEED!$H348, ""), IF(EXACT([1]SEED!$J348, ""), "", [1]SEED!$AI348), [1]SEED!$AH348), [1]SEED!$AF348), [1]SEED!$AE348), [1]SEED!$AD348)</f>
        <v>1</v>
      </c>
      <c r="F347" s="14">
        <f t="shared" si="12"/>
        <v>237000000000338</v>
      </c>
      <c r="G347" s="15" t="str">
        <f t="shared" si="13"/>
        <v>PERFORM * FROM "SchData-OLTP-Accounting"."Func_TblLayoutStructureChartOfAccount_SET"(varSystemLoginSession, null, null, null, varInstitutionBranchID, 62000000000001::bigint, varLayoutStructure_RefID, 65000000000338::bigint, 65000000000337::bigint, 1::smallint);</v>
      </c>
    </row>
    <row r="348" spans="2:7" x14ac:dyDescent="0.2">
      <c r="B348" s="9">
        <f>IF(EXACT([1]SEED!$AV349, ""), "", [1]SEED!$AV349)</f>
        <v>65000000000339</v>
      </c>
      <c r="C348" s="9">
        <f>IF(EXACT(B348, ""), "", IF(EXACT([1]SEED!$AW349, ""), "", [1]SEED!$AW349))</f>
        <v>65000000000254</v>
      </c>
      <c r="D348" s="9">
        <f>IF(EXACT([1]SEED!$B349, ""), IF(EXACT([1]SEED!$D349, ""), IF(EXACT([1]SEED!$F349, ""), IF(EXACT([1]SEED!$H349, ""), IF(EXACT([1]SEED!$J349, ""), "", [1]SEED!$AI349), [1]SEED!$AH349), [1]SEED!$AF349), [1]SEED!$AE349), [1]SEED!$AD349)</f>
        <v>1</v>
      </c>
      <c r="F348" s="14">
        <f t="shared" si="12"/>
        <v>237000000000339</v>
      </c>
      <c r="G348" s="15" t="str">
        <f t="shared" si="13"/>
        <v>PERFORM * FROM "SchData-OLTP-Accounting"."Func_TblLayoutStructureChartOfAccount_SET"(varSystemLoginSession, null, null, null, varInstitutionBranchID, 62000000000001::bigint, varLayoutStructure_RefID, 65000000000339::bigint, 65000000000254::bigint, 1::smallint);</v>
      </c>
    </row>
    <row r="349" spans="2:7" x14ac:dyDescent="0.2">
      <c r="B349" s="9">
        <f>IF(EXACT([1]SEED!$AV350, ""), "", [1]SEED!$AV350)</f>
        <v>65000000000340</v>
      </c>
      <c r="C349" s="9">
        <f>IF(EXACT(B349, ""), "", IF(EXACT([1]SEED!$AW350, ""), "", [1]SEED!$AW350))</f>
        <v>65000000000339</v>
      </c>
      <c r="D349" s="9">
        <f>IF(EXACT([1]SEED!$B350, ""), IF(EXACT([1]SEED!$D350, ""), IF(EXACT([1]SEED!$F350, ""), IF(EXACT([1]SEED!$H350, ""), IF(EXACT([1]SEED!$J350, ""), "", [1]SEED!$AI350), [1]SEED!$AH350), [1]SEED!$AF350), [1]SEED!$AE350), [1]SEED!$AD350)</f>
        <v>1</v>
      </c>
      <c r="F349" s="14">
        <f t="shared" si="12"/>
        <v>237000000000340</v>
      </c>
      <c r="G349" s="15" t="str">
        <f t="shared" si="13"/>
        <v>PERFORM * FROM "SchData-OLTP-Accounting"."Func_TblLayoutStructureChartOfAccount_SET"(varSystemLoginSession, null, null, null, varInstitutionBranchID, 62000000000001::bigint, varLayoutStructure_RefID, 65000000000340::bigint, 65000000000339::bigint, 1::smallint);</v>
      </c>
    </row>
    <row r="350" spans="2:7" x14ac:dyDescent="0.2">
      <c r="B350" s="9">
        <f>IF(EXACT([1]SEED!$AV351, ""), "", [1]SEED!$AV351)</f>
        <v>65000000000341</v>
      </c>
      <c r="C350" s="9">
        <f>IF(EXACT(B350, ""), "", IF(EXACT([1]SEED!$AW351, ""), "", [1]SEED!$AW351))</f>
        <v>65000000000254</v>
      </c>
      <c r="D350" s="9">
        <f>IF(EXACT([1]SEED!$B351, ""), IF(EXACT([1]SEED!$D351, ""), IF(EXACT([1]SEED!$F351, ""), IF(EXACT([1]SEED!$H351, ""), IF(EXACT([1]SEED!$J351, ""), "", [1]SEED!$AI351), [1]SEED!$AH351), [1]SEED!$AF351), [1]SEED!$AE351), [1]SEED!$AD351)</f>
        <v>1</v>
      </c>
      <c r="F350" s="14">
        <f t="shared" si="12"/>
        <v>237000000000341</v>
      </c>
      <c r="G350" s="15" t="str">
        <f t="shared" si="13"/>
        <v>PERFORM * FROM "SchData-OLTP-Accounting"."Func_TblLayoutStructureChartOfAccount_SET"(varSystemLoginSession, null, null, null, varInstitutionBranchID, 62000000000001::bigint, varLayoutStructure_RefID, 65000000000341::bigint, 65000000000254::bigint, 1::smallint);</v>
      </c>
    </row>
    <row r="351" spans="2:7" x14ac:dyDescent="0.2">
      <c r="B351" s="9">
        <f>IF(EXACT([1]SEED!$AV352, ""), "", [1]SEED!$AV352)</f>
        <v>65000000000342</v>
      </c>
      <c r="C351" s="9">
        <f>IF(EXACT(B351, ""), "", IF(EXACT([1]SEED!$AW352, ""), "", [1]SEED!$AW352))</f>
        <v>65000000000341</v>
      </c>
      <c r="D351" s="9">
        <f>IF(EXACT([1]SEED!$B352, ""), IF(EXACT([1]SEED!$D352, ""), IF(EXACT([1]SEED!$F352, ""), IF(EXACT([1]SEED!$H352, ""), IF(EXACT([1]SEED!$J352, ""), "", [1]SEED!$AI352), [1]SEED!$AH352), [1]SEED!$AF352), [1]SEED!$AE352), [1]SEED!$AD352)</f>
        <v>1</v>
      </c>
      <c r="F351" s="14">
        <f t="shared" si="12"/>
        <v>237000000000342</v>
      </c>
      <c r="G351" s="15" t="str">
        <f t="shared" si="13"/>
        <v>PERFORM * FROM "SchData-OLTP-Accounting"."Func_TblLayoutStructureChartOfAccount_SET"(varSystemLoginSession, null, null, null, varInstitutionBranchID, 62000000000001::bigint, varLayoutStructure_RefID, 65000000000342::bigint, 65000000000341::bigint, 1::smallint);</v>
      </c>
    </row>
    <row r="352" spans="2:7" x14ac:dyDescent="0.2">
      <c r="B352" s="9">
        <f>IF(EXACT([1]SEED!$AV353, ""), "", [1]SEED!$AV353)</f>
        <v>65000000000343</v>
      </c>
      <c r="C352" s="9">
        <f>IF(EXACT(B352, ""), "", IF(EXACT([1]SEED!$AW353, ""), "", [1]SEED!$AW353))</f>
        <v>65000000000254</v>
      </c>
      <c r="D352" s="9">
        <f>IF(EXACT([1]SEED!$B353, ""), IF(EXACT([1]SEED!$D353, ""), IF(EXACT([1]SEED!$F353, ""), IF(EXACT([1]SEED!$H353, ""), IF(EXACT([1]SEED!$J353, ""), "", [1]SEED!$AI353), [1]SEED!$AH353), [1]SEED!$AF353), [1]SEED!$AE353), [1]SEED!$AD353)</f>
        <v>1</v>
      </c>
      <c r="F352" s="14">
        <f t="shared" si="12"/>
        <v>237000000000343</v>
      </c>
      <c r="G352" s="15" t="str">
        <f t="shared" si="13"/>
        <v>PERFORM * FROM "SchData-OLTP-Accounting"."Func_TblLayoutStructureChartOfAccount_SET"(varSystemLoginSession, null, null, null, varInstitutionBranchID, 62000000000001::bigint, varLayoutStructure_RefID, 65000000000343::bigint, 65000000000254::bigint, 1::smallint);</v>
      </c>
    </row>
    <row r="353" spans="2:7" x14ac:dyDescent="0.2">
      <c r="B353" s="9">
        <f>IF(EXACT([1]SEED!$AV354, ""), "", [1]SEED!$AV354)</f>
        <v>65000000000344</v>
      </c>
      <c r="C353" s="9">
        <f>IF(EXACT(B353, ""), "", IF(EXACT([1]SEED!$AW354, ""), "", [1]SEED!$AW354))</f>
        <v>65000000000343</v>
      </c>
      <c r="D353" s="9">
        <f>IF(EXACT([1]SEED!$B354, ""), IF(EXACT([1]SEED!$D354, ""), IF(EXACT([1]SEED!$F354, ""), IF(EXACT([1]SEED!$H354, ""), IF(EXACT([1]SEED!$J354, ""), "", [1]SEED!$AI354), [1]SEED!$AH354), [1]SEED!$AF354), [1]SEED!$AE354), [1]SEED!$AD354)</f>
        <v>1</v>
      </c>
      <c r="F353" s="14">
        <f t="shared" si="12"/>
        <v>237000000000344</v>
      </c>
      <c r="G353" s="15" t="str">
        <f t="shared" si="13"/>
        <v>PERFORM * FROM "SchData-OLTP-Accounting"."Func_TblLayoutStructureChartOfAccount_SET"(varSystemLoginSession, null, null, null, varInstitutionBranchID, 62000000000001::bigint, varLayoutStructure_RefID, 65000000000344::bigint, 65000000000343::bigint, 1::smallint);</v>
      </c>
    </row>
    <row r="354" spans="2:7" x14ac:dyDescent="0.2">
      <c r="B354" s="9">
        <f>IF(EXACT([1]SEED!$AV355, ""), "", [1]SEED!$AV355)</f>
        <v>65000000000345</v>
      </c>
      <c r="C354" s="9">
        <f>IF(EXACT(B354, ""), "", IF(EXACT([1]SEED!$AW355, ""), "", [1]SEED!$AW355))</f>
        <v>65000000000254</v>
      </c>
      <c r="D354" s="9">
        <f>IF(EXACT([1]SEED!$B355, ""), IF(EXACT([1]SEED!$D355, ""), IF(EXACT([1]SEED!$F355, ""), IF(EXACT([1]SEED!$H355, ""), IF(EXACT([1]SEED!$J355, ""), "", [1]SEED!$AI355), [1]SEED!$AH355), [1]SEED!$AF355), [1]SEED!$AE355), [1]SEED!$AD355)</f>
        <v>1</v>
      </c>
      <c r="F354" s="14">
        <f t="shared" si="12"/>
        <v>237000000000345</v>
      </c>
      <c r="G354" s="15" t="str">
        <f t="shared" si="13"/>
        <v>PERFORM * FROM "SchData-OLTP-Accounting"."Func_TblLayoutStructureChartOfAccount_SET"(varSystemLoginSession, null, null, null, varInstitutionBranchID, 62000000000001::bigint, varLayoutStructure_RefID, 65000000000345::bigint, 65000000000254::bigint, 1::smallint);</v>
      </c>
    </row>
    <row r="355" spans="2:7" x14ac:dyDescent="0.2">
      <c r="B355" s="9">
        <f>IF(EXACT([1]SEED!$AV356, ""), "", [1]SEED!$AV356)</f>
        <v>65000000000346</v>
      </c>
      <c r="C355" s="9">
        <f>IF(EXACT(B355, ""), "", IF(EXACT([1]SEED!$AW356, ""), "", [1]SEED!$AW356))</f>
        <v>65000000000345</v>
      </c>
      <c r="D355" s="9">
        <f>IF(EXACT([1]SEED!$B356, ""), IF(EXACT([1]SEED!$D356, ""), IF(EXACT([1]SEED!$F356, ""), IF(EXACT([1]SEED!$H356, ""), IF(EXACT([1]SEED!$J356, ""), "", [1]SEED!$AI356), [1]SEED!$AH356), [1]SEED!$AF356), [1]SEED!$AE356), [1]SEED!$AD356)</f>
        <v>1</v>
      </c>
      <c r="F355" s="14">
        <f t="shared" si="12"/>
        <v>237000000000346</v>
      </c>
      <c r="G355" s="15" t="str">
        <f t="shared" si="13"/>
        <v>PERFORM * FROM "SchData-OLTP-Accounting"."Func_TblLayoutStructureChartOfAccount_SET"(varSystemLoginSession, null, null, null, varInstitutionBranchID, 62000000000001::bigint, varLayoutStructure_RefID, 65000000000346::bigint, 65000000000345::bigint, 1::smallint);</v>
      </c>
    </row>
    <row r="356" spans="2:7" x14ac:dyDescent="0.2">
      <c r="B356" s="9">
        <f>IF(EXACT([1]SEED!$AV357, ""), "", [1]SEED!$AV357)</f>
        <v>65000000000347</v>
      </c>
      <c r="C356" s="9">
        <f>IF(EXACT(B356, ""), "", IF(EXACT([1]SEED!$AW357, ""), "", [1]SEED!$AW357))</f>
        <v>65000000000254</v>
      </c>
      <c r="D356" s="9">
        <f>IF(EXACT([1]SEED!$B357, ""), IF(EXACT([1]SEED!$D357, ""), IF(EXACT([1]SEED!$F357, ""), IF(EXACT([1]SEED!$H357, ""), IF(EXACT([1]SEED!$J357, ""), "", [1]SEED!$AI357), [1]SEED!$AH357), [1]SEED!$AF357), [1]SEED!$AE357), [1]SEED!$AD357)</f>
        <v>1</v>
      </c>
      <c r="F356" s="14">
        <f t="shared" si="12"/>
        <v>237000000000347</v>
      </c>
      <c r="G356" s="15" t="str">
        <f t="shared" si="13"/>
        <v>PERFORM * FROM "SchData-OLTP-Accounting"."Func_TblLayoutStructureChartOfAccount_SET"(varSystemLoginSession, null, null, null, varInstitutionBranchID, 62000000000001::bigint, varLayoutStructure_RefID, 65000000000347::bigint, 65000000000254::bigint, 1::smallint);</v>
      </c>
    </row>
    <row r="357" spans="2:7" x14ac:dyDescent="0.2">
      <c r="B357" s="9">
        <f>IF(EXACT([1]SEED!$AV358, ""), "", [1]SEED!$AV358)</f>
        <v>65000000000348</v>
      </c>
      <c r="C357" s="9">
        <f>IF(EXACT(B357, ""), "", IF(EXACT([1]SEED!$AW358, ""), "", [1]SEED!$AW358))</f>
        <v>65000000000347</v>
      </c>
      <c r="D357" s="9">
        <f>IF(EXACT([1]SEED!$B358, ""), IF(EXACT([1]SEED!$D358, ""), IF(EXACT([1]SEED!$F358, ""), IF(EXACT([1]SEED!$H358, ""), IF(EXACT([1]SEED!$J358, ""), "", [1]SEED!$AI358), [1]SEED!$AH358), [1]SEED!$AF358), [1]SEED!$AE358), [1]SEED!$AD358)</f>
        <v>1</v>
      </c>
      <c r="F357" s="14">
        <f t="shared" si="12"/>
        <v>237000000000348</v>
      </c>
      <c r="G357" s="15" t="str">
        <f t="shared" si="13"/>
        <v>PERFORM * FROM "SchData-OLTP-Accounting"."Func_TblLayoutStructureChartOfAccount_SET"(varSystemLoginSession, null, null, null, varInstitutionBranchID, 62000000000001::bigint, varLayoutStructure_RefID, 65000000000348::bigint, 65000000000347::bigint, 1::smallint);</v>
      </c>
    </row>
    <row r="358" spans="2:7" x14ac:dyDescent="0.2">
      <c r="B358" s="9">
        <f>IF(EXACT([1]SEED!$AV359, ""), "", [1]SEED!$AV359)</f>
        <v>65000000000349</v>
      </c>
      <c r="C358" s="9">
        <f>IF(EXACT(B358, ""), "", IF(EXACT([1]SEED!$AW359, ""), "", [1]SEED!$AW359))</f>
        <v>65000000000254</v>
      </c>
      <c r="D358" s="9">
        <f>IF(EXACT([1]SEED!$B359, ""), IF(EXACT([1]SEED!$D359, ""), IF(EXACT([1]SEED!$F359, ""), IF(EXACT([1]SEED!$H359, ""), IF(EXACT([1]SEED!$J359, ""), "", [1]SEED!$AI359), [1]SEED!$AH359), [1]SEED!$AF359), [1]SEED!$AE359), [1]SEED!$AD359)</f>
        <v>1</v>
      </c>
      <c r="F358" s="14">
        <f t="shared" si="12"/>
        <v>237000000000349</v>
      </c>
      <c r="G358" s="15" t="str">
        <f t="shared" si="13"/>
        <v>PERFORM * FROM "SchData-OLTP-Accounting"."Func_TblLayoutStructureChartOfAccount_SET"(varSystemLoginSession, null, null, null, varInstitutionBranchID, 62000000000001::bigint, varLayoutStructure_RefID, 65000000000349::bigint, 65000000000254::bigint, 1::smallint);</v>
      </c>
    </row>
    <row r="359" spans="2:7" x14ac:dyDescent="0.2">
      <c r="B359" s="9">
        <f>IF(EXACT([1]SEED!$AV360, ""), "", [1]SEED!$AV360)</f>
        <v>65000000000350</v>
      </c>
      <c r="C359" s="9">
        <f>IF(EXACT(B359, ""), "", IF(EXACT([1]SEED!$AW360, ""), "", [1]SEED!$AW360))</f>
        <v>65000000000349</v>
      </c>
      <c r="D359" s="9">
        <f>IF(EXACT([1]SEED!$B360, ""), IF(EXACT([1]SEED!$D360, ""), IF(EXACT([1]SEED!$F360, ""), IF(EXACT([1]SEED!$H360, ""), IF(EXACT([1]SEED!$J360, ""), "", [1]SEED!$AI360), [1]SEED!$AH360), [1]SEED!$AF360), [1]SEED!$AE360), [1]SEED!$AD360)</f>
        <v>1</v>
      </c>
      <c r="F359" s="14">
        <f t="shared" si="12"/>
        <v>237000000000350</v>
      </c>
      <c r="G359" s="15" t="str">
        <f t="shared" si="13"/>
        <v>PERFORM * FROM "SchData-OLTP-Accounting"."Func_TblLayoutStructureChartOfAccount_SET"(varSystemLoginSession, null, null, null, varInstitutionBranchID, 62000000000001::bigint, varLayoutStructure_RefID, 65000000000350::bigint, 65000000000349::bigint, 1::smallint);</v>
      </c>
    </row>
    <row r="360" spans="2:7" x14ac:dyDescent="0.2">
      <c r="B360" s="9">
        <f>IF(EXACT([1]SEED!$AV361, ""), "", [1]SEED!$AV361)</f>
        <v>65000000000351</v>
      </c>
      <c r="C360" s="9">
        <f>IF(EXACT(B360, ""), "", IF(EXACT([1]SEED!$AW361, ""), "", [1]SEED!$AW361))</f>
        <v>65000000000254</v>
      </c>
      <c r="D360" s="9">
        <f>IF(EXACT([1]SEED!$B361, ""), IF(EXACT([1]SEED!$D361, ""), IF(EXACT([1]SEED!$F361, ""), IF(EXACT([1]SEED!$H361, ""), IF(EXACT([1]SEED!$J361, ""), "", [1]SEED!$AI361), [1]SEED!$AH361), [1]SEED!$AF361), [1]SEED!$AE361), [1]SEED!$AD361)</f>
        <v>1</v>
      </c>
      <c r="F360" s="14">
        <f t="shared" si="12"/>
        <v>237000000000351</v>
      </c>
      <c r="G360" s="15" t="str">
        <f t="shared" si="13"/>
        <v>PERFORM * FROM "SchData-OLTP-Accounting"."Func_TblLayoutStructureChartOfAccount_SET"(varSystemLoginSession, null, null, null, varInstitutionBranchID, 62000000000001::bigint, varLayoutStructure_RefID, 65000000000351::bigint, 65000000000254::bigint, 1::smallint);</v>
      </c>
    </row>
    <row r="361" spans="2:7" x14ac:dyDescent="0.2">
      <c r="B361" s="9">
        <f>IF(EXACT([1]SEED!$AV362, ""), "", [1]SEED!$AV362)</f>
        <v>65000000000352</v>
      </c>
      <c r="C361" s="9">
        <f>IF(EXACT(B361, ""), "", IF(EXACT([1]SEED!$AW362, ""), "", [1]SEED!$AW362))</f>
        <v>65000000000351</v>
      </c>
      <c r="D361" s="9">
        <f>IF(EXACT([1]SEED!$B362, ""), IF(EXACT([1]SEED!$D362, ""), IF(EXACT([1]SEED!$F362, ""), IF(EXACT([1]SEED!$H362, ""), IF(EXACT([1]SEED!$J362, ""), "", [1]SEED!$AI362), [1]SEED!$AH362), [1]SEED!$AF362), [1]SEED!$AE362), [1]SEED!$AD362)</f>
        <v>1</v>
      </c>
      <c r="F361" s="14">
        <f t="shared" si="12"/>
        <v>237000000000352</v>
      </c>
      <c r="G361" s="15" t="str">
        <f t="shared" si="13"/>
        <v>PERFORM * FROM "SchData-OLTP-Accounting"."Func_TblLayoutStructureChartOfAccount_SET"(varSystemLoginSession, null, null, null, varInstitutionBranchID, 62000000000001::bigint, varLayoutStructure_RefID, 65000000000352::bigint, 65000000000351::bigint, 1::smallint);</v>
      </c>
    </row>
    <row r="362" spans="2:7" x14ac:dyDescent="0.2">
      <c r="B362" s="9">
        <f>IF(EXACT([1]SEED!$AV363, ""), "", [1]SEED!$AV363)</f>
        <v>65000000000353</v>
      </c>
      <c r="C362" s="9" t="str">
        <f>IF(EXACT(B362, ""), "", IF(EXACT([1]SEED!$AW363, ""), "", [1]SEED!$AW363))</f>
        <v>null</v>
      </c>
      <c r="D362" s="9">
        <f>IF(EXACT([1]SEED!$B363, ""), IF(EXACT([1]SEED!$D363, ""), IF(EXACT([1]SEED!$F363, ""), IF(EXACT([1]SEED!$H363, ""), IF(EXACT([1]SEED!$J363, ""), "", [1]SEED!$AI363), [1]SEED!$AH363), [1]SEED!$AF363), [1]SEED!$AE363), [1]SEED!$AD363)</f>
        <v>6</v>
      </c>
      <c r="F362" s="14">
        <f t="shared" si="12"/>
        <v>237000000000353</v>
      </c>
      <c r="G362" s="15" t="str">
        <f t="shared" si="13"/>
        <v>PERFORM * FROM "SchData-OLTP-Accounting"."Func_TblLayoutStructureChartOfAccount_SET"(varSystemLoginSession, null, null, null, varInstitutionBranchID, 62000000000001::bigint, varLayoutStructure_RefID, 65000000000353::bigint, null::bigint, 6::smallint);</v>
      </c>
    </row>
    <row r="363" spans="2:7" x14ac:dyDescent="0.2">
      <c r="B363" s="9">
        <f>IF(EXACT([1]SEED!$AV364, ""), "", [1]SEED!$AV364)</f>
        <v>65000000000354</v>
      </c>
      <c r="C363" s="9">
        <f>IF(EXACT(B363, ""), "", IF(EXACT([1]SEED!$AW364, ""), "", [1]SEED!$AW364))</f>
        <v>65000000000353</v>
      </c>
      <c r="D363" s="9">
        <f>IF(EXACT([1]SEED!$B364, ""), IF(EXACT([1]SEED!$D364, ""), IF(EXACT([1]SEED!$F364, ""), IF(EXACT([1]SEED!$H364, ""), IF(EXACT([1]SEED!$J364, ""), "", [1]SEED!$AI364), [1]SEED!$AH364), [1]SEED!$AF364), [1]SEED!$AE364), [1]SEED!$AD364)</f>
        <v>2</v>
      </c>
      <c r="F363" s="14">
        <f t="shared" si="12"/>
        <v>237000000000354</v>
      </c>
      <c r="G363" s="15" t="str">
        <f t="shared" si="13"/>
        <v>PERFORM * FROM "SchData-OLTP-Accounting"."Func_TblLayoutStructureChartOfAccount_SET"(varSystemLoginSession, null, null, null, varInstitutionBranchID, 62000000000001::bigint, varLayoutStructure_RefID, 65000000000354::bigint, 65000000000353::bigint, 2::smallint);</v>
      </c>
    </row>
    <row r="364" spans="2:7" x14ac:dyDescent="0.2">
      <c r="B364" s="9">
        <f>IF(EXACT([1]SEED!$AV365, ""), "", [1]SEED!$AV365)</f>
        <v>65000000000355</v>
      </c>
      <c r="C364" s="9">
        <f>IF(EXACT(B364, ""), "", IF(EXACT([1]SEED!$AW365, ""), "", [1]SEED!$AW365))</f>
        <v>65000000000354</v>
      </c>
      <c r="D364" s="9">
        <f>IF(EXACT([1]SEED!$B365, ""), IF(EXACT([1]SEED!$D365, ""), IF(EXACT([1]SEED!$F365, ""), IF(EXACT([1]SEED!$H365, ""), IF(EXACT([1]SEED!$J365, ""), "", [1]SEED!$AI365), [1]SEED!$AH365), [1]SEED!$AF365), [1]SEED!$AE365), [1]SEED!$AD365)</f>
        <v>1</v>
      </c>
      <c r="F364" s="14">
        <f t="shared" si="12"/>
        <v>237000000000355</v>
      </c>
      <c r="G364" s="15" t="str">
        <f t="shared" si="13"/>
        <v>PERFORM * FROM "SchData-OLTP-Accounting"."Func_TblLayoutStructureChartOfAccount_SET"(varSystemLoginSession, null, null, null, varInstitutionBranchID, 62000000000001::bigint, varLayoutStructure_RefID, 65000000000355::bigint, 65000000000354::bigint, 1::smallint);</v>
      </c>
    </row>
    <row r="365" spans="2:7" x14ac:dyDescent="0.2">
      <c r="B365" s="9">
        <f>IF(EXACT([1]SEED!$AV366, ""), "", [1]SEED!$AV366)</f>
        <v>65000000000356</v>
      </c>
      <c r="C365" s="9">
        <f>IF(EXACT(B365, ""), "", IF(EXACT([1]SEED!$AW366, ""), "", [1]SEED!$AW366))</f>
        <v>65000000000355</v>
      </c>
      <c r="D365" s="9">
        <f>IF(EXACT([1]SEED!$B366, ""), IF(EXACT([1]SEED!$D366, ""), IF(EXACT([1]SEED!$F366, ""), IF(EXACT([1]SEED!$H366, ""), IF(EXACT([1]SEED!$J366, ""), "", [1]SEED!$AI366), [1]SEED!$AH366), [1]SEED!$AF366), [1]SEED!$AE366), [1]SEED!$AD366)</f>
        <v>1</v>
      </c>
      <c r="F365" s="14">
        <f t="shared" si="12"/>
        <v>237000000000356</v>
      </c>
      <c r="G365" s="15" t="str">
        <f t="shared" si="13"/>
        <v>PERFORM * FROM "SchData-OLTP-Accounting"."Func_TblLayoutStructureChartOfAccount_SET"(varSystemLoginSession, null, null, null, varInstitutionBranchID, 62000000000001::bigint, varLayoutStructure_RefID, 65000000000356::bigint, 65000000000355::bigint, 1::smallint);</v>
      </c>
    </row>
    <row r="366" spans="2:7" x14ac:dyDescent="0.2">
      <c r="B366" s="9">
        <f>IF(EXACT([1]SEED!$AV367, ""), "", [1]SEED!$AV367)</f>
        <v>65000000000357</v>
      </c>
      <c r="C366" s="9">
        <f>IF(EXACT(B366, ""), "", IF(EXACT([1]SEED!$AW367, ""), "", [1]SEED!$AW367))</f>
        <v>65000000000354</v>
      </c>
      <c r="D366" s="9">
        <f>IF(EXACT([1]SEED!$B367, ""), IF(EXACT([1]SEED!$D367, ""), IF(EXACT([1]SEED!$F367, ""), IF(EXACT([1]SEED!$H367, ""), IF(EXACT([1]SEED!$J367, ""), "", [1]SEED!$AI367), [1]SEED!$AH367), [1]SEED!$AF367), [1]SEED!$AE367), [1]SEED!$AD367)</f>
        <v>1</v>
      </c>
      <c r="F366" s="14">
        <f t="shared" si="12"/>
        <v>237000000000357</v>
      </c>
      <c r="G366" s="15" t="str">
        <f t="shared" si="13"/>
        <v>PERFORM * FROM "SchData-OLTP-Accounting"."Func_TblLayoutStructureChartOfAccount_SET"(varSystemLoginSession, null, null, null, varInstitutionBranchID, 62000000000001::bigint, varLayoutStructure_RefID, 65000000000357::bigint, 65000000000354::bigint, 1::smallint);</v>
      </c>
    </row>
    <row r="367" spans="2:7" x14ac:dyDescent="0.2">
      <c r="B367" s="9">
        <f>IF(EXACT([1]SEED!$AV368, ""), "", [1]SEED!$AV368)</f>
        <v>65000000000358</v>
      </c>
      <c r="C367" s="9">
        <f>IF(EXACT(B367, ""), "", IF(EXACT([1]SEED!$AW368, ""), "", [1]SEED!$AW368))</f>
        <v>65000000000357</v>
      </c>
      <c r="D367" s="9">
        <f>IF(EXACT([1]SEED!$B368, ""), IF(EXACT([1]SEED!$D368, ""), IF(EXACT([1]SEED!$F368, ""), IF(EXACT([1]SEED!$H368, ""), IF(EXACT([1]SEED!$J368, ""), "", [1]SEED!$AI368), [1]SEED!$AH368), [1]SEED!$AF368), [1]SEED!$AE368), [1]SEED!$AD368)</f>
        <v>1</v>
      </c>
      <c r="F367" s="14">
        <f t="shared" si="12"/>
        <v>237000000000358</v>
      </c>
      <c r="G367" s="15" t="str">
        <f t="shared" si="13"/>
        <v>PERFORM * FROM "SchData-OLTP-Accounting"."Func_TblLayoutStructureChartOfAccount_SET"(varSystemLoginSession, null, null, null, varInstitutionBranchID, 62000000000001::bigint, varLayoutStructure_RefID, 65000000000358::bigint, 65000000000357::bigint, 1::smallint);</v>
      </c>
    </row>
    <row r="368" spans="2:7" x14ac:dyDescent="0.2">
      <c r="B368" s="9">
        <f>IF(EXACT([1]SEED!$AV369, ""), "", [1]SEED!$AV369)</f>
        <v>65000000000359</v>
      </c>
      <c r="C368" s="9">
        <f>IF(EXACT(B368, ""), "", IF(EXACT([1]SEED!$AW369, ""), "", [1]SEED!$AW369))</f>
        <v>65000000000354</v>
      </c>
      <c r="D368" s="9">
        <f>IF(EXACT([1]SEED!$B369, ""), IF(EXACT([1]SEED!$D369, ""), IF(EXACT([1]SEED!$F369, ""), IF(EXACT([1]SEED!$H369, ""), IF(EXACT([1]SEED!$J369, ""), "", [1]SEED!$AI369), [1]SEED!$AH369), [1]SEED!$AF369), [1]SEED!$AE369), [1]SEED!$AD369)</f>
        <v>1</v>
      </c>
      <c r="F368" s="14">
        <f t="shared" si="12"/>
        <v>237000000000359</v>
      </c>
      <c r="G368" s="15" t="str">
        <f t="shared" si="13"/>
        <v>PERFORM * FROM "SchData-OLTP-Accounting"."Func_TblLayoutStructureChartOfAccount_SET"(varSystemLoginSession, null, null, null, varInstitutionBranchID, 62000000000001::bigint, varLayoutStructure_RefID, 65000000000359::bigint, 65000000000354::bigint, 1::smallint);</v>
      </c>
    </row>
    <row r="369" spans="2:7" x14ac:dyDescent="0.2">
      <c r="B369" s="9">
        <f>IF(EXACT([1]SEED!$AV370, ""), "", [1]SEED!$AV370)</f>
        <v>65000000000360</v>
      </c>
      <c r="C369" s="9">
        <f>IF(EXACT(B369, ""), "", IF(EXACT([1]SEED!$AW370, ""), "", [1]SEED!$AW370))</f>
        <v>65000000000359</v>
      </c>
      <c r="D369" s="9">
        <f>IF(EXACT([1]SEED!$B370, ""), IF(EXACT([1]SEED!$D370, ""), IF(EXACT([1]SEED!$F370, ""), IF(EXACT([1]SEED!$H370, ""), IF(EXACT([1]SEED!$J370, ""), "", [1]SEED!$AI370), [1]SEED!$AH370), [1]SEED!$AF370), [1]SEED!$AE370), [1]SEED!$AD370)</f>
        <v>1</v>
      </c>
      <c r="F369" s="14">
        <f t="shared" si="12"/>
        <v>237000000000360</v>
      </c>
      <c r="G369" s="15" t="str">
        <f t="shared" si="13"/>
        <v>PERFORM * FROM "SchData-OLTP-Accounting"."Func_TblLayoutStructureChartOfAccount_SET"(varSystemLoginSession, null, null, null, varInstitutionBranchID, 62000000000001::bigint, varLayoutStructure_RefID, 65000000000360::bigint, 65000000000359::bigint, 1::smallint);</v>
      </c>
    </row>
    <row r="370" spans="2:7" x14ac:dyDescent="0.2">
      <c r="B370" s="9">
        <f>IF(EXACT([1]SEED!$AV371, ""), "", [1]SEED!$AV371)</f>
        <v>65000000000361</v>
      </c>
      <c r="C370" s="9">
        <f>IF(EXACT(B370, ""), "", IF(EXACT([1]SEED!$AW371, ""), "", [1]SEED!$AW371))</f>
        <v>65000000000354</v>
      </c>
      <c r="D370" s="9">
        <f>IF(EXACT([1]SEED!$B371, ""), IF(EXACT([1]SEED!$D371, ""), IF(EXACT([1]SEED!$F371, ""), IF(EXACT([1]SEED!$H371, ""), IF(EXACT([1]SEED!$J371, ""), "", [1]SEED!$AI371), [1]SEED!$AH371), [1]SEED!$AF371), [1]SEED!$AE371), [1]SEED!$AD371)</f>
        <v>1</v>
      </c>
      <c r="F370" s="14">
        <f t="shared" si="12"/>
        <v>237000000000361</v>
      </c>
      <c r="G370" s="15" t="str">
        <f t="shared" si="13"/>
        <v>PERFORM * FROM "SchData-OLTP-Accounting"."Func_TblLayoutStructureChartOfAccount_SET"(varSystemLoginSession, null, null, null, varInstitutionBranchID, 62000000000001::bigint, varLayoutStructure_RefID, 65000000000361::bigint, 65000000000354::bigint, 1::smallint);</v>
      </c>
    </row>
    <row r="371" spans="2:7" x14ac:dyDescent="0.2">
      <c r="B371" s="9">
        <f>IF(EXACT([1]SEED!$AV372, ""), "", [1]SEED!$AV372)</f>
        <v>65000000000362</v>
      </c>
      <c r="C371" s="9">
        <f>IF(EXACT(B371, ""), "", IF(EXACT([1]SEED!$AW372, ""), "", [1]SEED!$AW372))</f>
        <v>65000000000361</v>
      </c>
      <c r="D371" s="9">
        <f>IF(EXACT([1]SEED!$B372, ""), IF(EXACT([1]SEED!$D372, ""), IF(EXACT([1]SEED!$F372, ""), IF(EXACT([1]SEED!$H372, ""), IF(EXACT([1]SEED!$J372, ""), "", [1]SEED!$AI372), [1]SEED!$AH372), [1]SEED!$AF372), [1]SEED!$AE372), [1]SEED!$AD372)</f>
        <v>1</v>
      </c>
      <c r="F371" s="14">
        <f t="shared" si="12"/>
        <v>237000000000362</v>
      </c>
      <c r="G371" s="15" t="str">
        <f t="shared" si="13"/>
        <v>PERFORM * FROM "SchData-OLTP-Accounting"."Func_TblLayoutStructureChartOfAccount_SET"(varSystemLoginSession, null, null, null, varInstitutionBranchID, 62000000000001::bigint, varLayoutStructure_RefID, 65000000000362::bigint, 65000000000361::bigint, 1::smallint);</v>
      </c>
    </row>
    <row r="372" spans="2:7" x14ac:dyDescent="0.2">
      <c r="B372" s="9">
        <f>IF(EXACT([1]SEED!$AV373, ""), "", [1]SEED!$AV373)</f>
        <v>65000000000363</v>
      </c>
      <c r="C372" s="9">
        <f>IF(EXACT(B372, ""), "", IF(EXACT([1]SEED!$AW373, ""), "", [1]SEED!$AW373))</f>
        <v>65000000000354</v>
      </c>
      <c r="D372" s="9">
        <f>IF(EXACT([1]SEED!$B373, ""), IF(EXACT([1]SEED!$D373, ""), IF(EXACT([1]SEED!$F373, ""), IF(EXACT([1]SEED!$H373, ""), IF(EXACT([1]SEED!$J373, ""), "", [1]SEED!$AI373), [1]SEED!$AH373), [1]SEED!$AF373), [1]SEED!$AE373), [1]SEED!$AD373)</f>
        <v>1</v>
      </c>
      <c r="F372" s="14">
        <f t="shared" si="12"/>
        <v>237000000000363</v>
      </c>
      <c r="G372" s="15" t="str">
        <f t="shared" si="13"/>
        <v>PERFORM * FROM "SchData-OLTP-Accounting"."Func_TblLayoutStructureChartOfAccount_SET"(varSystemLoginSession, null, null, null, varInstitutionBranchID, 62000000000001::bigint, varLayoutStructure_RefID, 65000000000363::bigint, 65000000000354::bigint, 1::smallint);</v>
      </c>
    </row>
    <row r="373" spans="2:7" x14ac:dyDescent="0.2">
      <c r="B373" s="9">
        <f>IF(EXACT([1]SEED!$AV374, ""), "", [1]SEED!$AV374)</f>
        <v>65000000000364</v>
      </c>
      <c r="C373" s="9">
        <f>IF(EXACT(B373, ""), "", IF(EXACT([1]SEED!$AW374, ""), "", [1]SEED!$AW374))</f>
        <v>65000000000363</v>
      </c>
      <c r="D373" s="9">
        <f>IF(EXACT([1]SEED!$B374, ""), IF(EXACT([1]SEED!$D374, ""), IF(EXACT([1]SEED!$F374, ""), IF(EXACT([1]SEED!$H374, ""), IF(EXACT([1]SEED!$J374, ""), "", [1]SEED!$AI374), [1]SEED!$AH374), [1]SEED!$AF374), [1]SEED!$AE374), [1]SEED!$AD374)</f>
        <v>1</v>
      </c>
      <c r="F373" s="14">
        <f t="shared" si="12"/>
        <v>237000000000364</v>
      </c>
      <c r="G373" s="15" t="str">
        <f t="shared" si="13"/>
        <v>PERFORM * FROM "SchData-OLTP-Accounting"."Func_TblLayoutStructureChartOfAccount_SET"(varSystemLoginSession, null, null, null, varInstitutionBranchID, 62000000000001::bigint, varLayoutStructure_RefID, 65000000000364::bigint, 65000000000363::bigint, 1::smallint);</v>
      </c>
    </row>
    <row r="374" spans="2:7" x14ac:dyDescent="0.2">
      <c r="B374" s="9">
        <f>IF(EXACT([1]SEED!$AV375, ""), "", [1]SEED!$AV375)</f>
        <v>65000000000365</v>
      </c>
      <c r="C374" s="9">
        <f>IF(EXACT(B374, ""), "", IF(EXACT([1]SEED!$AW375, ""), "", [1]SEED!$AW375))</f>
        <v>65000000000354</v>
      </c>
      <c r="D374" s="9">
        <f>IF(EXACT([1]SEED!$B375, ""), IF(EXACT([1]SEED!$D375, ""), IF(EXACT([1]SEED!$F375, ""), IF(EXACT([1]SEED!$H375, ""), IF(EXACT([1]SEED!$J375, ""), "", [1]SEED!$AI375), [1]SEED!$AH375), [1]SEED!$AF375), [1]SEED!$AE375), [1]SEED!$AD375)</f>
        <v>1</v>
      </c>
      <c r="F374" s="14">
        <f t="shared" si="12"/>
        <v>237000000000365</v>
      </c>
      <c r="G374" s="15" t="str">
        <f t="shared" si="13"/>
        <v>PERFORM * FROM "SchData-OLTP-Accounting"."Func_TblLayoutStructureChartOfAccount_SET"(varSystemLoginSession, null, null, null, varInstitutionBranchID, 62000000000001::bigint, varLayoutStructure_RefID, 65000000000365::bigint, 65000000000354::bigint, 1::smallint);</v>
      </c>
    </row>
    <row r="375" spans="2:7" x14ac:dyDescent="0.2">
      <c r="B375" s="9">
        <f>IF(EXACT([1]SEED!$AV376, ""), "", [1]SEED!$AV376)</f>
        <v>65000000000366</v>
      </c>
      <c r="C375" s="9">
        <f>IF(EXACT(B375, ""), "", IF(EXACT([1]SEED!$AW376, ""), "", [1]SEED!$AW376))</f>
        <v>65000000000365</v>
      </c>
      <c r="D375" s="9">
        <f>IF(EXACT([1]SEED!$B376, ""), IF(EXACT([1]SEED!$D376, ""), IF(EXACT([1]SEED!$F376, ""), IF(EXACT([1]SEED!$H376, ""), IF(EXACT([1]SEED!$J376, ""), "", [1]SEED!$AI376), [1]SEED!$AH376), [1]SEED!$AF376), [1]SEED!$AE376), [1]SEED!$AD376)</f>
        <v>1</v>
      </c>
      <c r="F375" s="14">
        <f t="shared" si="12"/>
        <v>237000000000366</v>
      </c>
      <c r="G375" s="15" t="str">
        <f t="shared" si="13"/>
        <v>PERFORM * FROM "SchData-OLTP-Accounting"."Func_TblLayoutStructureChartOfAccount_SET"(varSystemLoginSession, null, null, null, varInstitutionBranchID, 62000000000001::bigint, varLayoutStructure_RefID, 65000000000366::bigint, 65000000000365::bigint, 1::smallint);</v>
      </c>
    </row>
    <row r="376" spans="2:7" x14ac:dyDescent="0.2">
      <c r="B376" s="9">
        <f>IF(EXACT([1]SEED!$AV377, ""), "", [1]SEED!$AV377)</f>
        <v>65000000000367</v>
      </c>
      <c r="C376" s="9">
        <f>IF(EXACT(B376, ""), "", IF(EXACT([1]SEED!$AW377, ""), "", [1]SEED!$AW377))</f>
        <v>65000000000354</v>
      </c>
      <c r="D376" s="9">
        <f>IF(EXACT([1]SEED!$B377, ""), IF(EXACT([1]SEED!$D377, ""), IF(EXACT([1]SEED!$F377, ""), IF(EXACT([1]SEED!$H377, ""), IF(EXACT([1]SEED!$J377, ""), "", [1]SEED!$AI377), [1]SEED!$AH377), [1]SEED!$AF377), [1]SEED!$AE377), [1]SEED!$AD377)</f>
        <v>1</v>
      </c>
      <c r="F376" s="14">
        <f t="shared" si="12"/>
        <v>237000000000367</v>
      </c>
      <c r="G376" s="15" t="str">
        <f t="shared" si="13"/>
        <v>PERFORM * FROM "SchData-OLTP-Accounting"."Func_TblLayoutStructureChartOfAccount_SET"(varSystemLoginSession, null, null, null, varInstitutionBranchID, 62000000000001::bigint, varLayoutStructure_RefID, 65000000000367::bigint, 65000000000354::bigint, 1::smallint);</v>
      </c>
    </row>
    <row r="377" spans="2:7" x14ac:dyDescent="0.2">
      <c r="B377" s="9">
        <f>IF(EXACT([1]SEED!$AV378, ""), "", [1]SEED!$AV378)</f>
        <v>65000000000368</v>
      </c>
      <c r="C377" s="9">
        <f>IF(EXACT(B377, ""), "", IF(EXACT([1]SEED!$AW378, ""), "", [1]SEED!$AW378))</f>
        <v>65000000000367</v>
      </c>
      <c r="D377" s="9">
        <f>IF(EXACT([1]SEED!$B378, ""), IF(EXACT([1]SEED!$D378, ""), IF(EXACT([1]SEED!$F378, ""), IF(EXACT([1]SEED!$H378, ""), IF(EXACT([1]SEED!$J378, ""), "", [1]SEED!$AI378), [1]SEED!$AH378), [1]SEED!$AF378), [1]SEED!$AE378), [1]SEED!$AD378)</f>
        <v>1</v>
      </c>
      <c r="F377" s="14">
        <f t="shared" si="12"/>
        <v>237000000000368</v>
      </c>
      <c r="G377" s="15" t="str">
        <f t="shared" si="13"/>
        <v>PERFORM * FROM "SchData-OLTP-Accounting"."Func_TblLayoutStructureChartOfAccount_SET"(varSystemLoginSession, null, null, null, varInstitutionBranchID, 62000000000001::bigint, varLayoutStructure_RefID, 65000000000368::bigint, 65000000000367::bigint, 1::smallint);</v>
      </c>
    </row>
    <row r="378" spans="2:7" x14ac:dyDescent="0.2">
      <c r="B378" s="9">
        <f>IF(EXACT([1]SEED!$AV379, ""), "", [1]SEED!$AV379)</f>
        <v>65000000000369</v>
      </c>
      <c r="C378" s="9">
        <f>IF(EXACT(B378, ""), "", IF(EXACT([1]SEED!$AW379, ""), "", [1]SEED!$AW379))</f>
        <v>65000000000354</v>
      </c>
      <c r="D378" s="9">
        <f>IF(EXACT([1]SEED!$B379, ""), IF(EXACT([1]SEED!$D379, ""), IF(EXACT([1]SEED!$F379, ""), IF(EXACT([1]SEED!$H379, ""), IF(EXACT([1]SEED!$J379, ""), "", [1]SEED!$AI379), [1]SEED!$AH379), [1]SEED!$AF379), [1]SEED!$AE379), [1]SEED!$AD379)</f>
        <v>1</v>
      </c>
      <c r="F378" s="14">
        <f t="shared" si="12"/>
        <v>237000000000369</v>
      </c>
      <c r="G378" s="15" t="str">
        <f t="shared" si="13"/>
        <v>PERFORM * FROM "SchData-OLTP-Accounting"."Func_TblLayoutStructureChartOfAccount_SET"(varSystemLoginSession, null, null, null, varInstitutionBranchID, 62000000000001::bigint, varLayoutStructure_RefID, 65000000000369::bigint, 65000000000354::bigint, 1::smallint);</v>
      </c>
    </row>
    <row r="379" spans="2:7" x14ac:dyDescent="0.2">
      <c r="B379" s="9">
        <f>IF(EXACT([1]SEED!$AV380, ""), "", [1]SEED!$AV380)</f>
        <v>65000000000370</v>
      </c>
      <c r="C379" s="9">
        <f>IF(EXACT(B379, ""), "", IF(EXACT([1]SEED!$AW380, ""), "", [1]SEED!$AW380))</f>
        <v>65000000000369</v>
      </c>
      <c r="D379" s="9">
        <f>IF(EXACT([1]SEED!$B380, ""), IF(EXACT([1]SEED!$D380, ""), IF(EXACT([1]SEED!$F380, ""), IF(EXACT([1]SEED!$H380, ""), IF(EXACT([1]SEED!$J380, ""), "", [1]SEED!$AI380), [1]SEED!$AH380), [1]SEED!$AF380), [1]SEED!$AE380), [1]SEED!$AD380)</f>
        <v>1</v>
      </c>
      <c r="F379" s="14">
        <f t="shared" si="12"/>
        <v>237000000000370</v>
      </c>
      <c r="G379" s="15" t="str">
        <f t="shared" si="13"/>
        <v>PERFORM * FROM "SchData-OLTP-Accounting"."Func_TblLayoutStructureChartOfAccount_SET"(varSystemLoginSession, null, null, null, varInstitutionBranchID, 62000000000001::bigint, varLayoutStructure_RefID, 65000000000370::bigint, 65000000000369::bigint, 1::smallint);</v>
      </c>
    </row>
    <row r="380" spans="2:7" x14ac:dyDescent="0.2">
      <c r="B380" s="9">
        <f>IF(EXACT([1]SEED!$AV381, ""), "", [1]SEED!$AV381)</f>
        <v>65000000000371</v>
      </c>
      <c r="C380" s="9">
        <f>IF(EXACT(B380, ""), "", IF(EXACT([1]SEED!$AW381, ""), "", [1]SEED!$AW381))</f>
        <v>65000000000354</v>
      </c>
      <c r="D380" s="9">
        <f>IF(EXACT([1]SEED!$B381, ""), IF(EXACT([1]SEED!$D381, ""), IF(EXACT([1]SEED!$F381, ""), IF(EXACT([1]SEED!$H381, ""), IF(EXACT([1]SEED!$J381, ""), "", [1]SEED!$AI381), [1]SEED!$AH381), [1]SEED!$AF381), [1]SEED!$AE381), [1]SEED!$AD381)</f>
        <v>1</v>
      </c>
      <c r="F380" s="14">
        <f t="shared" si="12"/>
        <v>237000000000371</v>
      </c>
      <c r="G380" s="15" t="str">
        <f t="shared" si="13"/>
        <v>PERFORM * FROM "SchData-OLTP-Accounting"."Func_TblLayoutStructureChartOfAccount_SET"(varSystemLoginSession, null, null, null, varInstitutionBranchID, 62000000000001::bigint, varLayoutStructure_RefID, 65000000000371::bigint, 65000000000354::bigint, 1::smallint);</v>
      </c>
    </row>
    <row r="381" spans="2:7" x14ac:dyDescent="0.2">
      <c r="B381" s="9">
        <f>IF(EXACT([1]SEED!$AV382, ""), "", [1]SEED!$AV382)</f>
        <v>65000000000372</v>
      </c>
      <c r="C381" s="9">
        <f>IF(EXACT(B381, ""), "", IF(EXACT([1]SEED!$AW382, ""), "", [1]SEED!$AW382))</f>
        <v>65000000000371</v>
      </c>
      <c r="D381" s="9">
        <f>IF(EXACT([1]SEED!$B382, ""), IF(EXACT([1]SEED!$D382, ""), IF(EXACT([1]SEED!$F382, ""), IF(EXACT([1]SEED!$H382, ""), IF(EXACT([1]SEED!$J382, ""), "", [1]SEED!$AI382), [1]SEED!$AH382), [1]SEED!$AF382), [1]SEED!$AE382), [1]SEED!$AD382)</f>
        <v>1</v>
      </c>
      <c r="F381" s="14">
        <f t="shared" si="12"/>
        <v>237000000000372</v>
      </c>
      <c r="G381" s="15" t="str">
        <f t="shared" si="13"/>
        <v>PERFORM * FROM "SchData-OLTP-Accounting"."Func_TblLayoutStructureChartOfAccount_SET"(varSystemLoginSession, null, null, null, varInstitutionBranchID, 62000000000001::bigint, varLayoutStructure_RefID, 65000000000372::bigint, 65000000000371::bigint, 1::smallint);</v>
      </c>
    </row>
    <row r="382" spans="2:7" x14ac:dyDescent="0.2">
      <c r="B382" s="9">
        <f>IF(EXACT([1]SEED!$AV383, ""), "", [1]SEED!$AV383)</f>
        <v>65000000000373</v>
      </c>
      <c r="C382" s="9">
        <f>IF(EXACT(B382, ""), "", IF(EXACT([1]SEED!$AW383, ""), "", [1]SEED!$AW383))</f>
        <v>65000000000354</v>
      </c>
      <c r="D382" s="9">
        <f>IF(EXACT([1]SEED!$B383, ""), IF(EXACT([1]SEED!$D383, ""), IF(EXACT([1]SEED!$F383, ""), IF(EXACT([1]SEED!$H383, ""), IF(EXACT([1]SEED!$J383, ""), "", [1]SEED!$AI383), [1]SEED!$AH383), [1]SEED!$AF383), [1]SEED!$AE383), [1]SEED!$AD383)</f>
        <v>1</v>
      </c>
      <c r="F382" s="14">
        <f t="shared" si="12"/>
        <v>237000000000373</v>
      </c>
      <c r="G382" s="15" t="str">
        <f t="shared" si="13"/>
        <v>PERFORM * FROM "SchData-OLTP-Accounting"."Func_TblLayoutStructureChartOfAccount_SET"(varSystemLoginSession, null, null, null, varInstitutionBranchID, 62000000000001::bigint, varLayoutStructure_RefID, 65000000000373::bigint, 65000000000354::bigint, 1::smallint);</v>
      </c>
    </row>
    <row r="383" spans="2:7" x14ac:dyDescent="0.2">
      <c r="B383" s="9">
        <f>IF(EXACT([1]SEED!$AV384, ""), "", [1]SEED!$AV384)</f>
        <v>65000000000374</v>
      </c>
      <c r="C383" s="9">
        <f>IF(EXACT(B383, ""), "", IF(EXACT([1]SEED!$AW384, ""), "", [1]SEED!$AW384))</f>
        <v>65000000000373</v>
      </c>
      <c r="D383" s="9">
        <f>IF(EXACT([1]SEED!$B384, ""), IF(EXACT([1]SEED!$D384, ""), IF(EXACT([1]SEED!$F384, ""), IF(EXACT([1]SEED!$H384, ""), IF(EXACT([1]SEED!$J384, ""), "", [1]SEED!$AI384), [1]SEED!$AH384), [1]SEED!$AF384), [1]SEED!$AE384), [1]SEED!$AD384)</f>
        <v>1</v>
      </c>
      <c r="F383" s="14">
        <f t="shared" si="12"/>
        <v>237000000000374</v>
      </c>
      <c r="G383" s="15" t="str">
        <f t="shared" si="13"/>
        <v>PERFORM * FROM "SchData-OLTP-Accounting"."Func_TblLayoutStructureChartOfAccount_SET"(varSystemLoginSession, null, null, null, varInstitutionBranchID, 62000000000001::bigint, varLayoutStructure_RefID, 65000000000374::bigint, 65000000000373::bigint, 1::smallint);</v>
      </c>
    </row>
    <row r="384" spans="2:7" x14ac:dyDescent="0.2">
      <c r="B384" s="9">
        <f>IF(EXACT([1]SEED!$AV385, ""), "", [1]SEED!$AV385)</f>
        <v>65000000000375</v>
      </c>
      <c r="C384" s="9">
        <f>IF(EXACT(B384, ""), "", IF(EXACT([1]SEED!$AW385, ""), "", [1]SEED!$AW385))</f>
        <v>65000000000354</v>
      </c>
      <c r="D384" s="9">
        <f>IF(EXACT([1]SEED!$B385, ""), IF(EXACT([1]SEED!$D385, ""), IF(EXACT([1]SEED!$F385, ""), IF(EXACT([1]SEED!$H385, ""), IF(EXACT([1]SEED!$J385, ""), "", [1]SEED!$AI385), [1]SEED!$AH385), [1]SEED!$AF385), [1]SEED!$AE385), [1]SEED!$AD385)</f>
        <v>1</v>
      </c>
      <c r="F384" s="14">
        <f t="shared" si="12"/>
        <v>237000000000375</v>
      </c>
      <c r="G384" s="15" t="str">
        <f t="shared" si="13"/>
        <v>PERFORM * FROM "SchData-OLTP-Accounting"."Func_TblLayoutStructureChartOfAccount_SET"(varSystemLoginSession, null, null, null, varInstitutionBranchID, 62000000000001::bigint, varLayoutStructure_RefID, 65000000000375::bigint, 65000000000354::bigint, 1::smallint);</v>
      </c>
    </row>
    <row r="385" spans="2:7" x14ac:dyDescent="0.2">
      <c r="B385" s="9">
        <f>IF(EXACT([1]SEED!$AV386, ""), "", [1]SEED!$AV386)</f>
        <v>65000000000376</v>
      </c>
      <c r="C385" s="9">
        <f>IF(EXACT(B385, ""), "", IF(EXACT([1]SEED!$AW386, ""), "", [1]SEED!$AW386))</f>
        <v>65000000000375</v>
      </c>
      <c r="D385" s="9">
        <f>IF(EXACT([1]SEED!$B386, ""), IF(EXACT([1]SEED!$D386, ""), IF(EXACT([1]SEED!$F386, ""), IF(EXACT([1]SEED!$H386, ""), IF(EXACT([1]SEED!$J386, ""), "", [1]SEED!$AI386), [1]SEED!$AH386), [1]SEED!$AF386), [1]SEED!$AE386), [1]SEED!$AD386)</f>
        <v>1</v>
      </c>
      <c r="F385" s="14">
        <f t="shared" si="12"/>
        <v>237000000000376</v>
      </c>
      <c r="G385" s="15" t="str">
        <f t="shared" si="13"/>
        <v>PERFORM * FROM "SchData-OLTP-Accounting"."Func_TblLayoutStructureChartOfAccount_SET"(varSystemLoginSession, null, null, null, varInstitutionBranchID, 62000000000001::bigint, varLayoutStructure_RefID, 65000000000376::bigint, 65000000000375::bigint, 1::smallint);</v>
      </c>
    </row>
    <row r="386" spans="2:7" x14ac:dyDescent="0.2">
      <c r="B386" s="9">
        <f>IF(EXACT([1]SEED!$AV387, ""), "", [1]SEED!$AV387)</f>
        <v>65000000000377</v>
      </c>
      <c r="C386" s="9">
        <f>IF(EXACT(B386, ""), "", IF(EXACT([1]SEED!$AW387, ""), "", [1]SEED!$AW387))</f>
        <v>65000000000354</v>
      </c>
      <c r="D386" s="9">
        <f>IF(EXACT([1]SEED!$B387, ""), IF(EXACT([1]SEED!$D387, ""), IF(EXACT([1]SEED!$F387, ""), IF(EXACT([1]SEED!$H387, ""), IF(EXACT([1]SEED!$J387, ""), "", [1]SEED!$AI387), [1]SEED!$AH387), [1]SEED!$AF387), [1]SEED!$AE387), [1]SEED!$AD387)</f>
        <v>1</v>
      </c>
      <c r="F386" s="14">
        <f t="shared" si="12"/>
        <v>237000000000377</v>
      </c>
      <c r="G386" s="15" t="str">
        <f t="shared" si="13"/>
        <v>PERFORM * FROM "SchData-OLTP-Accounting"."Func_TblLayoutStructureChartOfAccount_SET"(varSystemLoginSession, null, null, null, varInstitutionBranchID, 62000000000001::bigint, varLayoutStructure_RefID, 65000000000377::bigint, 65000000000354::bigint, 1::smallint);</v>
      </c>
    </row>
    <row r="387" spans="2:7" x14ac:dyDescent="0.2">
      <c r="B387" s="9">
        <f>IF(EXACT([1]SEED!$AV388, ""), "", [1]SEED!$AV388)</f>
        <v>65000000000378</v>
      </c>
      <c r="C387" s="9">
        <f>IF(EXACT(B387, ""), "", IF(EXACT([1]SEED!$AW388, ""), "", [1]SEED!$AW388))</f>
        <v>65000000000377</v>
      </c>
      <c r="D387" s="9">
        <f>IF(EXACT([1]SEED!$B388, ""), IF(EXACT([1]SEED!$D388, ""), IF(EXACT([1]SEED!$F388, ""), IF(EXACT([1]SEED!$H388, ""), IF(EXACT([1]SEED!$J388, ""), "", [1]SEED!$AI388), [1]SEED!$AH388), [1]SEED!$AF388), [1]SEED!$AE388), [1]SEED!$AD388)</f>
        <v>1</v>
      </c>
      <c r="F387" s="14">
        <f t="shared" si="12"/>
        <v>237000000000378</v>
      </c>
      <c r="G387" s="15" t="str">
        <f t="shared" si="13"/>
        <v>PERFORM * FROM "SchData-OLTP-Accounting"."Func_TblLayoutStructureChartOfAccount_SET"(varSystemLoginSession, null, null, null, varInstitutionBranchID, 62000000000001::bigint, varLayoutStructure_RefID, 65000000000378::bigint, 65000000000377::bigint, 1::smallint);</v>
      </c>
    </row>
    <row r="388" spans="2:7" x14ac:dyDescent="0.2">
      <c r="B388" s="9">
        <f>IF(EXACT([1]SEED!$AV389, ""), "", [1]SEED!$AV389)</f>
        <v>65000000000379</v>
      </c>
      <c r="C388" s="9">
        <f>IF(EXACT(B388, ""), "", IF(EXACT([1]SEED!$AW389, ""), "", [1]SEED!$AW389))</f>
        <v>65000000000354</v>
      </c>
      <c r="D388" s="9">
        <f>IF(EXACT([1]SEED!$B389, ""), IF(EXACT([1]SEED!$D389, ""), IF(EXACT([1]SEED!$F389, ""), IF(EXACT([1]SEED!$H389, ""), IF(EXACT([1]SEED!$J389, ""), "", [1]SEED!$AI389), [1]SEED!$AH389), [1]SEED!$AF389), [1]SEED!$AE389), [1]SEED!$AD389)</f>
        <v>1</v>
      </c>
      <c r="F388" s="14">
        <f t="shared" si="12"/>
        <v>237000000000379</v>
      </c>
      <c r="G388" s="15" t="str">
        <f t="shared" si="13"/>
        <v>PERFORM * FROM "SchData-OLTP-Accounting"."Func_TblLayoutStructureChartOfAccount_SET"(varSystemLoginSession, null, null, null, varInstitutionBranchID, 62000000000001::bigint, varLayoutStructure_RefID, 65000000000379::bigint, 65000000000354::bigint, 1::smallint);</v>
      </c>
    </row>
    <row r="389" spans="2:7" x14ac:dyDescent="0.2">
      <c r="B389" s="9">
        <f>IF(EXACT([1]SEED!$AV390, ""), "", [1]SEED!$AV390)</f>
        <v>65000000000380</v>
      </c>
      <c r="C389" s="9">
        <f>IF(EXACT(B389, ""), "", IF(EXACT([1]SEED!$AW390, ""), "", [1]SEED!$AW390))</f>
        <v>65000000000379</v>
      </c>
      <c r="D389" s="9">
        <f>IF(EXACT([1]SEED!$B390, ""), IF(EXACT([1]SEED!$D390, ""), IF(EXACT([1]SEED!$F390, ""), IF(EXACT([1]SEED!$H390, ""), IF(EXACT([1]SEED!$J390, ""), "", [1]SEED!$AI390), [1]SEED!$AH390), [1]SEED!$AF390), [1]SEED!$AE390), [1]SEED!$AD390)</f>
        <v>1</v>
      </c>
      <c r="F389" s="14">
        <f t="shared" si="12"/>
        <v>237000000000380</v>
      </c>
      <c r="G389" s="15" t="str">
        <f t="shared" si="13"/>
        <v>PERFORM * FROM "SchData-OLTP-Accounting"."Func_TblLayoutStructureChartOfAccount_SET"(varSystemLoginSession, null, null, null, varInstitutionBranchID, 62000000000001::bigint, varLayoutStructure_RefID, 65000000000380::bigint, 65000000000379::bigint, 1::smallint);</v>
      </c>
    </row>
    <row r="390" spans="2:7" x14ac:dyDescent="0.2">
      <c r="B390" s="9">
        <f>IF(EXACT([1]SEED!$AV391, ""), "", [1]SEED!$AV391)</f>
        <v>65000000000381</v>
      </c>
      <c r="C390" s="9">
        <f>IF(EXACT(B390, ""), "", IF(EXACT([1]SEED!$AW391, ""), "", [1]SEED!$AW391))</f>
        <v>65000000000354</v>
      </c>
      <c r="D390" s="9">
        <f>IF(EXACT([1]SEED!$B391, ""), IF(EXACT([1]SEED!$D391, ""), IF(EXACT([1]SEED!$F391, ""), IF(EXACT([1]SEED!$H391, ""), IF(EXACT([1]SEED!$J391, ""), "", [1]SEED!$AI391), [1]SEED!$AH391), [1]SEED!$AF391), [1]SEED!$AE391), [1]SEED!$AD391)</f>
        <v>1</v>
      </c>
      <c r="F390" s="14">
        <f t="shared" si="12"/>
        <v>237000000000381</v>
      </c>
      <c r="G390" s="15" t="str">
        <f t="shared" si="13"/>
        <v>PERFORM * FROM "SchData-OLTP-Accounting"."Func_TblLayoutStructureChartOfAccount_SET"(varSystemLoginSession, null, null, null, varInstitutionBranchID, 62000000000001::bigint, varLayoutStructure_RefID, 65000000000381::bigint, 65000000000354::bigint, 1::smallint);</v>
      </c>
    </row>
    <row r="391" spans="2:7" x14ac:dyDescent="0.2">
      <c r="B391" s="9">
        <f>IF(EXACT([1]SEED!$AV392, ""), "", [1]SEED!$AV392)</f>
        <v>65000000000382</v>
      </c>
      <c r="C391" s="9">
        <f>IF(EXACT(B391, ""), "", IF(EXACT([1]SEED!$AW392, ""), "", [1]SEED!$AW392))</f>
        <v>65000000000381</v>
      </c>
      <c r="D391" s="9">
        <f>IF(EXACT([1]SEED!$B392, ""), IF(EXACT([1]SEED!$D392, ""), IF(EXACT([1]SEED!$F392, ""), IF(EXACT([1]SEED!$H392, ""), IF(EXACT([1]SEED!$J392, ""), "", [1]SEED!$AI392), [1]SEED!$AH392), [1]SEED!$AF392), [1]SEED!$AE392), [1]SEED!$AD392)</f>
        <v>1</v>
      </c>
      <c r="F391" s="14">
        <f t="shared" ref="F391:F454" si="14" xml:space="preserve"> F390 + IF(EXACT(G391, ""), 0, 1)</f>
        <v>237000000000382</v>
      </c>
      <c r="G391" s="15" t="str">
        <f t="shared" ref="G391:G454" si="15">IF(EXACT(B391, ""), "", CONCATENATE("PERFORM * FROM ""SchData-OLTP-Accounting"".""Func_TblLayoutStructureChartOfAccount_SET""(varSystemLoginSession, null, null, null, varInstitutionBranchID, 62000000000001::bigint, varLayoutStructure_RefID, ", B391, "::bigint, ", C391, "::bigint, ", D391,"::smallint);"))</f>
        <v>PERFORM * FROM "SchData-OLTP-Accounting"."Func_TblLayoutStructureChartOfAccount_SET"(varSystemLoginSession, null, null, null, varInstitutionBranchID, 62000000000001::bigint, varLayoutStructure_RefID, 65000000000382::bigint, 65000000000381::bigint, 1::smallint);</v>
      </c>
    </row>
    <row r="392" spans="2:7" x14ac:dyDescent="0.2">
      <c r="B392" s="9">
        <f>IF(EXACT([1]SEED!$AV393, ""), "", [1]SEED!$AV393)</f>
        <v>65000000000383</v>
      </c>
      <c r="C392" s="9">
        <f>IF(EXACT(B392, ""), "", IF(EXACT([1]SEED!$AW393, ""), "", [1]SEED!$AW393))</f>
        <v>65000000000354</v>
      </c>
      <c r="D392" s="9">
        <f>IF(EXACT([1]SEED!$B393, ""), IF(EXACT([1]SEED!$D393, ""), IF(EXACT([1]SEED!$F393, ""), IF(EXACT([1]SEED!$H393, ""), IF(EXACT([1]SEED!$J393, ""), "", [1]SEED!$AI393), [1]SEED!$AH393), [1]SEED!$AF393), [1]SEED!$AE393), [1]SEED!$AD393)</f>
        <v>1</v>
      </c>
      <c r="F392" s="14">
        <f t="shared" si="14"/>
        <v>237000000000383</v>
      </c>
      <c r="G392" s="15" t="str">
        <f t="shared" si="15"/>
        <v>PERFORM * FROM "SchData-OLTP-Accounting"."Func_TblLayoutStructureChartOfAccount_SET"(varSystemLoginSession, null, null, null, varInstitutionBranchID, 62000000000001::bigint, varLayoutStructure_RefID, 65000000000383::bigint, 65000000000354::bigint, 1::smallint);</v>
      </c>
    </row>
    <row r="393" spans="2:7" x14ac:dyDescent="0.2">
      <c r="B393" s="9">
        <f>IF(EXACT([1]SEED!$AV394, ""), "", [1]SEED!$AV394)</f>
        <v>65000000000384</v>
      </c>
      <c r="C393" s="9">
        <f>IF(EXACT(B393, ""), "", IF(EXACT([1]SEED!$AW394, ""), "", [1]SEED!$AW394))</f>
        <v>65000000000383</v>
      </c>
      <c r="D393" s="9">
        <f>IF(EXACT([1]SEED!$B394, ""), IF(EXACT([1]SEED!$D394, ""), IF(EXACT([1]SEED!$F394, ""), IF(EXACT([1]SEED!$H394, ""), IF(EXACT([1]SEED!$J394, ""), "", [1]SEED!$AI394), [1]SEED!$AH394), [1]SEED!$AF394), [1]SEED!$AE394), [1]SEED!$AD394)</f>
        <v>1</v>
      </c>
      <c r="F393" s="14">
        <f t="shared" si="14"/>
        <v>237000000000384</v>
      </c>
      <c r="G393" s="15" t="str">
        <f t="shared" si="15"/>
        <v>PERFORM * FROM "SchData-OLTP-Accounting"."Func_TblLayoutStructureChartOfAccount_SET"(varSystemLoginSession, null, null, null, varInstitutionBranchID, 62000000000001::bigint, varLayoutStructure_RefID, 65000000000384::bigint, 65000000000383::bigint, 1::smallint);</v>
      </c>
    </row>
    <row r="394" spans="2:7" x14ac:dyDescent="0.2">
      <c r="B394" s="9">
        <f>IF(EXACT([1]SEED!$AV395, ""), "", [1]SEED!$AV395)</f>
        <v>65000000000385</v>
      </c>
      <c r="C394" s="9">
        <f>IF(EXACT(B394, ""), "", IF(EXACT([1]SEED!$AW395, ""), "", [1]SEED!$AW395))</f>
        <v>65000000000354</v>
      </c>
      <c r="D394" s="9">
        <f>IF(EXACT([1]SEED!$B395, ""), IF(EXACT([1]SEED!$D395, ""), IF(EXACT([1]SEED!$F395, ""), IF(EXACT([1]SEED!$H395, ""), IF(EXACT([1]SEED!$J395, ""), "", [1]SEED!$AI395), [1]SEED!$AH395), [1]SEED!$AF395), [1]SEED!$AE395), [1]SEED!$AD395)</f>
        <v>1</v>
      </c>
      <c r="F394" s="14">
        <f t="shared" si="14"/>
        <v>237000000000385</v>
      </c>
      <c r="G394" s="15" t="str">
        <f t="shared" si="15"/>
        <v>PERFORM * FROM "SchData-OLTP-Accounting"."Func_TblLayoutStructureChartOfAccount_SET"(varSystemLoginSession, null, null, null, varInstitutionBranchID, 62000000000001::bigint, varLayoutStructure_RefID, 65000000000385::bigint, 65000000000354::bigint, 1::smallint);</v>
      </c>
    </row>
    <row r="395" spans="2:7" x14ac:dyDescent="0.2">
      <c r="B395" s="9">
        <f>IF(EXACT([1]SEED!$AV396, ""), "", [1]SEED!$AV396)</f>
        <v>65000000000386</v>
      </c>
      <c r="C395" s="9">
        <f>IF(EXACT(B395, ""), "", IF(EXACT([1]SEED!$AW396, ""), "", [1]SEED!$AW396))</f>
        <v>65000000000385</v>
      </c>
      <c r="D395" s="9">
        <f>IF(EXACT([1]SEED!$B396, ""), IF(EXACT([1]SEED!$D396, ""), IF(EXACT([1]SEED!$F396, ""), IF(EXACT([1]SEED!$H396, ""), IF(EXACT([1]SEED!$J396, ""), "", [1]SEED!$AI396), [1]SEED!$AH396), [1]SEED!$AF396), [1]SEED!$AE396), [1]SEED!$AD396)</f>
        <v>1</v>
      </c>
      <c r="F395" s="14">
        <f t="shared" si="14"/>
        <v>237000000000386</v>
      </c>
      <c r="G395" s="15" t="str">
        <f t="shared" si="15"/>
        <v>PERFORM * FROM "SchData-OLTP-Accounting"."Func_TblLayoutStructureChartOfAccount_SET"(varSystemLoginSession, null, null, null, varInstitutionBranchID, 62000000000001::bigint, varLayoutStructure_RefID, 65000000000386::bigint, 65000000000385::bigint, 1::smallint);</v>
      </c>
    </row>
    <row r="396" spans="2:7" x14ac:dyDescent="0.2">
      <c r="B396" s="9">
        <f>IF(EXACT([1]SEED!$AV397, ""), "", [1]SEED!$AV397)</f>
        <v>65000000000387</v>
      </c>
      <c r="C396" s="9">
        <f>IF(EXACT(B396, ""), "", IF(EXACT([1]SEED!$AW397, ""), "", [1]SEED!$AW397))</f>
        <v>65000000000354</v>
      </c>
      <c r="D396" s="9">
        <f>IF(EXACT([1]SEED!$B397, ""), IF(EXACT([1]SEED!$D397, ""), IF(EXACT([1]SEED!$F397, ""), IF(EXACT([1]SEED!$H397, ""), IF(EXACT([1]SEED!$J397, ""), "", [1]SEED!$AI397), [1]SEED!$AH397), [1]SEED!$AF397), [1]SEED!$AE397), [1]SEED!$AD397)</f>
        <v>1</v>
      </c>
      <c r="F396" s="14">
        <f t="shared" si="14"/>
        <v>237000000000387</v>
      </c>
      <c r="G396" s="15" t="str">
        <f t="shared" si="15"/>
        <v>PERFORM * FROM "SchData-OLTP-Accounting"."Func_TblLayoutStructureChartOfAccount_SET"(varSystemLoginSession, null, null, null, varInstitutionBranchID, 62000000000001::bigint, varLayoutStructure_RefID, 65000000000387::bigint, 65000000000354::bigint, 1::smallint);</v>
      </c>
    </row>
    <row r="397" spans="2:7" x14ac:dyDescent="0.2">
      <c r="B397" s="9">
        <f>IF(EXACT([1]SEED!$AV398, ""), "", [1]SEED!$AV398)</f>
        <v>65000000000388</v>
      </c>
      <c r="C397" s="9">
        <f>IF(EXACT(B397, ""), "", IF(EXACT([1]SEED!$AW398, ""), "", [1]SEED!$AW398))</f>
        <v>65000000000387</v>
      </c>
      <c r="D397" s="9">
        <f>IF(EXACT([1]SEED!$B398, ""), IF(EXACT([1]SEED!$D398, ""), IF(EXACT([1]SEED!$F398, ""), IF(EXACT([1]SEED!$H398, ""), IF(EXACT([1]SEED!$J398, ""), "", [1]SEED!$AI398), [1]SEED!$AH398), [1]SEED!$AF398), [1]SEED!$AE398), [1]SEED!$AD398)</f>
        <v>1</v>
      </c>
      <c r="F397" s="14">
        <f t="shared" si="14"/>
        <v>237000000000388</v>
      </c>
      <c r="G397" s="15" t="str">
        <f t="shared" si="15"/>
        <v>PERFORM * FROM "SchData-OLTP-Accounting"."Func_TblLayoutStructureChartOfAccount_SET"(varSystemLoginSession, null, null, null, varInstitutionBranchID, 62000000000001::bigint, varLayoutStructure_RefID, 65000000000388::bigint, 65000000000387::bigint, 1::smallint);</v>
      </c>
    </row>
    <row r="398" spans="2:7" x14ac:dyDescent="0.2">
      <c r="B398" s="9">
        <f>IF(EXACT([1]SEED!$AV399, ""), "", [1]SEED!$AV399)</f>
        <v>65000000000389</v>
      </c>
      <c r="C398" s="9">
        <f>IF(EXACT(B398, ""), "", IF(EXACT([1]SEED!$AW399, ""), "", [1]SEED!$AW399))</f>
        <v>65000000000354</v>
      </c>
      <c r="D398" s="9">
        <f>IF(EXACT([1]SEED!$B399, ""), IF(EXACT([1]SEED!$D399, ""), IF(EXACT([1]SEED!$F399, ""), IF(EXACT([1]SEED!$H399, ""), IF(EXACT([1]SEED!$J399, ""), "", [1]SEED!$AI399), [1]SEED!$AH399), [1]SEED!$AF399), [1]SEED!$AE399), [1]SEED!$AD399)</f>
        <v>1</v>
      </c>
      <c r="F398" s="14">
        <f t="shared" si="14"/>
        <v>237000000000389</v>
      </c>
      <c r="G398" s="15" t="str">
        <f t="shared" si="15"/>
        <v>PERFORM * FROM "SchData-OLTP-Accounting"."Func_TblLayoutStructureChartOfAccount_SET"(varSystemLoginSession, null, null, null, varInstitutionBranchID, 62000000000001::bigint, varLayoutStructure_RefID, 65000000000389::bigint, 65000000000354::bigint, 1::smallint);</v>
      </c>
    </row>
    <row r="399" spans="2:7" x14ac:dyDescent="0.2">
      <c r="B399" s="9">
        <f>IF(EXACT([1]SEED!$AV400, ""), "", [1]SEED!$AV400)</f>
        <v>65000000000390</v>
      </c>
      <c r="C399" s="9">
        <f>IF(EXACT(B399, ""), "", IF(EXACT([1]SEED!$AW400, ""), "", [1]SEED!$AW400))</f>
        <v>65000000000389</v>
      </c>
      <c r="D399" s="9">
        <f>IF(EXACT([1]SEED!$B400, ""), IF(EXACT([1]SEED!$D400, ""), IF(EXACT([1]SEED!$F400, ""), IF(EXACT([1]SEED!$H400, ""), IF(EXACT([1]SEED!$J400, ""), "", [1]SEED!$AI400), [1]SEED!$AH400), [1]SEED!$AF400), [1]SEED!$AE400), [1]SEED!$AD400)</f>
        <v>1</v>
      </c>
      <c r="F399" s="14">
        <f t="shared" si="14"/>
        <v>237000000000390</v>
      </c>
      <c r="G399" s="15" t="str">
        <f t="shared" si="15"/>
        <v>PERFORM * FROM "SchData-OLTP-Accounting"."Func_TblLayoutStructureChartOfAccount_SET"(varSystemLoginSession, null, null, null, varInstitutionBranchID, 62000000000001::bigint, varLayoutStructure_RefID, 65000000000390::bigint, 65000000000389::bigint, 1::smallint);</v>
      </c>
    </row>
    <row r="400" spans="2:7" x14ac:dyDescent="0.2">
      <c r="B400" s="9">
        <f>IF(EXACT([1]SEED!$AV401, ""), "", [1]SEED!$AV401)</f>
        <v>65000000000391</v>
      </c>
      <c r="C400" s="9">
        <f>IF(EXACT(B400, ""), "", IF(EXACT([1]SEED!$AW401, ""), "", [1]SEED!$AW401))</f>
        <v>65000000000353</v>
      </c>
      <c r="D400" s="9">
        <f>IF(EXACT([1]SEED!$B401, ""), IF(EXACT([1]SEED!$D401, ""), IF(EXACT([1]SEED!$F401, ""), IF(EXACT([1]SEED!$H401, ""), IF(EXACT([1]SEED!$J401, ""), "", [1]SEED!$AI401), [1]SEED!$AH401), [1]SEED!$AF401), [1]SEED!$AE401), [1]SEED!$AD401)</f>
        <v>3</v>
      </c>
      <c r="F400" s="14">
        <f t="shared" si="14"/>
        <v>237000000000391</v>
      </c>
      <c r="G400" s="15" t="str">
        <f t="shared" si="15"/>
        <v>PERFORM * FROM "SchData-OLTP-Accounting"."Func_TblLayoutStructureChartOfAccount_SET"(varSystemLoginSession, null, null, null, varInstitutionBranchID, 62000000000001::bigint, varLayoutStructure_RefID, 65000000000391::bigint, 65000000000353::bigint, 3::smallint);</v>
      </c>
    </row>
    <row r="401" spans="2:7" x14ac:dyDescent="0.2">
      <c r="B401" s="9">
        <f>IF(EXACT([1]SEED!$AV402, ""), "", [1]SEED!$AV402)</f>
        <v>65000000000392</v>
      </c>
      <c r="C401" s="9">
        <f>IF(EXACT(B401, ""), "", IF(EXACT([1]SEED!$AW402, ""), "", [1]SEED!$AW402))</f>
        <v>65000000000391</v>
      </c>
      <c r="D401" s="9">
        <f>IF(EXACT([1]SEED!$B402, ""), IF(EXACT([1]SEED!$D402, ""), IF(EXACT([1]SEED!$F402, ""), IF(EXACT([1]SEED!$H402, ""), IF(EXACT([1]SEED!$J402, ""), "", [1]SEED!$AI402), [1]SEED!$AH402), [1]SEED!$AF402), [1]SEED!$AE402), [1]SEED!$AD402)</f>
        <v>1</v>
      </c>
      <c r="F401" s="14">
        <f t="shared" si="14"/>
        <v>237000000000392</v>
      </c>
      <c r="G401" s="15" t="str">
        <f t="shared" si="15"/>
        <v>PERFORM * FROM "SchData-OLTP-Accounting"."Func_TblLayoutStructureChartOfAccount_SET"(varSystemLoginSession, null, null, null, varInstitutionBranchID, 62000000000001::bigint, varLayoutStructure_RefID, 65000000000392::bigint, 65000000000391::bigint, 1::smallint);</v>
      </c>
    </row>
    <row r="402" spans="2:7" x14ac:dyDescent="0.2">
      <c r="B402" s="9">
        <f>IF(EXACT([1]SEED!$AV403, ""), "", [1]SEED!$AV403)</f>
        <v>65000000000393</v>
      </c>
      <c r="C402" s="9">
        <f>IF(EXACT(B402, ""), "", IF(EXACT([1]SEED!$AW403, ""), "", [1]SEED!$AW403))</f>
        <v>65000000000392</v>
      </c>
      <c r="D402" s="9">
        <f>IF(EXACT([1]SEED!$B403, ""), IF(EXACT([1]SEED!$D403, ""), IF(EXACT([1]SEED!$F403, ""), IF(EXACT([1]SEED!$H403, ""), IF(EXACT([1]SEED!$J403, ""), "", [1]SEED!$AI403), [1]SEED!$AH403), [1]SEED!$AF403), [1]SEED!$AE403), [1]SEED!$AD403)</f>
        <v>1</v>
      </c>
      <c r="F402" s="14">
        <f t="shared" si="14"/>
        <v>237000000000393</v>
      </c>
      <c r="G402" s="15" t="str">
        <f t="shared" si="15"/>
        <v>PERFORM * FROM "SchData-OLTP-Accounting"."Func_TblLayoutStructureChartOfAccount_SET"(varSystemLoginSession, null, null, null, varInstitutionBranchID, 62000000000001::bigint, varLayoutStructure_RefID, 65000000000393::bigint, 65000000000392::bigint, 1::smallint);</v>
      </c>
    </row>
    <row r="403" spans="2:7" x14ac:dyDescent="0.2">
      <c r="B403" s="9">
        <f>IF(EXACT([1]SEED!$AV404, ""), "", [1]SEED!$AV404)</f>
        <v>65000000000394</v>
      </c>
      <c r="C403" s="9">
        <f>IF(EXACT(B403, ""), "", IF(EXACT([1]SEED!$AW404, ""), "", [1]SEED!$AW404))</f>
        <v>65000000000391</v>
      </c>
      <c r="D403" s="9">
        <f>IF(EXACT([1]SEED!$B404, ""), IF(EXACT([1]SEED!$D404, ""), IF(EXACT([1]SEED!$F404, ""), IF(EXACT([1]SEED!$H404, ""), IF(EXACT([1]SEED!$J404, ""), "", [1]SEED!$AI404), [1]SEED!$AH404), [1]SEED!$AF404), [1]SEED!$AE404), [1]SEED!$AD404)</f>
        <v>1</v>
      </c>
      <c r="F403" s="14">
        <f t="shared" si="14"/>
        <v>237000000000394</v>
      </c>
      <c r="G403" s="15" t="str">
        <f t="shared" si="15"/>
        <v>PERFORM * FROM "SchData-OLTP-Accounting"."Func_TblLayoutStructureChartOfAccount_SET"(varSystemLoginSession, null, null, null, varInstitutionBranchID, 62000000000001::bigint, varLayoutStructure_RefID, 65000000000394::bigint, 65000000000391::bigint, 1::smallint);</v>
      </c>
    </row>
    <row r="404" spans="2:7" x14ac:dyDescent="0.2">
      <c r="B404" s="9">
        <f>IF(EXACT([1]SEED!$AV405, ""), "", [1]SEED!$AV405)</f>
        <v>65000000000395</v>
      </c>
      <c r="C404" s="9">
        <f>IF(EXACT(B404, ""), "", IF(EXACT([1]SEED!$AW405, ""), "", [1]SEED!$AW405))</f>
        <v>65000000000394</v>
      </c>
      <c r="D404" s="9">
        <f>IF(EXACT([1]SEED!$B405, ""), IF(EXACT([1]SEED!$D405, ""), IF(EXACT([1]SEED!$F405, ""), IF(EXACT([1]SEED!$H405, ""), IF(EXACT([1]SEED!$J405, ""), "", [1]SEED!$AI405), [1]SEED!$AH405), [1]SEED!$AF405), [1]SEED!$AE405), [1]SEED!$AD405)</f>
        <v>1</v>
      </c>
      <c r="F404" s="14">
        <f t="shared" si="14"/>
        <v>237000000000395</v>
      </c>
      <c r="G404" s="15" t="str">
        <f t="shared" si="15"/>
        <v>PERFORM * FROM "SchData-OLTP-Accounting"."Func_TblLayoutStructureChartOfAccount_SET"(varSystemLoginSession, null, null, null, varInstitutionBranchID, 62000000000001::bigint, varLayoutStructure_RefID, 65000000000395::bigint, 65000000000394::bigint, 1::smallint);</v>
      </c>
    </row>
    <row r="405" spans="2:7" x14ac:dyDescent="0.2">
      <c r="B405" s="9">
        <f>IF(EXACT([1]SEED!$AV406, ""), "", [1]SEED!$AV406)</f>
        <v>65000000000396</v>
      </c>
      <c r="C405" s="9">
        <f>IF(EXACT(B405, ""), "", IF(EXACT([1]SEED!$AW406, ""), "", [1]SEED!$AW406))</f>
        <v>65000000000391</v>
      </c>
      <c r="D405" s="9">
        <f>IF(EXACT([1]SEED!$B406, ""), IF(EXACT([1]SEED!$D406, ""), IF(EXACT([1]SEED!$F406, ""), IF(EXACT([1]SEED!$H406, ""), IF(EXACT([1]SEED!$J406, ""), "", [1]SEED!$AI406), [1]SEED!$AH406), [1]SEED!$AF406), [1]SEED!$AE406), [1]SEED!$AD406)</f>
        <v>1</v>
      </c>
      <c r="F405" s="14">
        <f t="shared" si="14"/>
        <v>237000000000396</v>
      </c>
      <c r="G405" s="15" t="str">
        <f t="shared" si="15"/>
        <v>PERFORM * FROM "SchData-OLTP-Accounting"."Func_TblLayoutStructureChartOfAccount_SET"(varSystemLoginSession, null, null, null, varInstitutionBranchID, 62000000000001::bigint, varLayoutStructure_RefID, 65000000000396::bigint, 65000000000391::bigint, 1::smallint);</v>
      </c>
    </row>
    <row r="406" spans="2:7" x14ac:dyDescent="0.2">
      <c r="B406" s="9">
        <f>IF(EXACT([1]SEED!$AV407, ""), "", [1]SEED!$AV407)</f>
        <v>65000000000397</v>
      </c>
      <c r="C406" s="9">
        <f>IF(EXACT(B406, ""), "", IF(EXACT([1]SEED!$AW407, ""), "", [1]SEED!$AW407))</f>
        <v>65000000000396</v>
      </c>
      <c r="D406" s="9">
        <f>IF(EXACT([1]SEED!$B407, ""), IF(EXACT([1]SEED!$D407, ""), IF(EXACT([1]SEED!$F407, ""), IF(EXACT([1]SEED!$H407, ""), IF(EXACT([1]SEED!$J407, ""), "", [1]SEED!$AI407), [1]SEED!$AH407), [1]SEED!$AF407), [1]SEED!$AE407), [1]SEED!$AD407)</f>
        <v>1</v>
      </c>
      <c r="F406" s="14">
        <f t="shared" si="14"/>
        <v>237000000000397</v>
      </c>
      <c r="G406" s="15" t="str">
        <f t="shared" si="15"/>
        <v>PERFORM * FROM "SchData-OLTP-Accounting"."Func_TblLayoutStructureChartOfAccount_SET"(varSystemLoginSession, null, null, null, varInstitutionBranchID, 62000000000001::bigint, varLayoutStructure_RefID, 65000000000397::bigint, 65000000000396::bigint, 1::smallint);</v>
      </c>
    </row>
    <row r="407" spans="2:7" x14ac:dyDescent="0.2">
      <c r="B407" s="9">
        <f>IF(EXACT([1]SEED!$AV408, ""), "", [1]SEED!$AV408)</f>
        <v>65000000000398</v>
      </c>
      <c r="C407" s="9">
        <f>IF(EXACT(B407, ""), "", IF(EXACT([1]SEED!$AW408, ""), "", [1]SEED!$AW408))</f>
        <v>65000000000391</v>
      </c>
      <c r="D407" s="9">
        <f>IF(EXACT([1]SEED!$B408, ""), IF(EXACT([1]SEED!$D408, ""), IF(EXACT([1]SEED!$F408, ""), IF(EXACT([1]SEED!$H408, ""), IF(EXACT([1]SEED!$J408, ""), "", [1]SEED!$AI408), [1]SEED!$AH408), [1]SEED!$AF408), [1]SEED!$AE408), [1]SEED!$AD408)</f>
        <v>1</v>
      </c>
      <c r="F407" s="14">
        <f t="shared" si="14"/>
        <v>237000000000398</v>
      </c>
      <c r="G407" s="15" t="str">
        <f t="shared" si="15"/>
        <v>PERFORM * FROM "SchData-OLTP-Accounting"."Func_TblLayoutStructureChartOfAccount_SET"(varSystemLoginSession, null, null, null, varInstitutionBranchID, 62000000000001::bigint, varLayoutStructure_RefID, 65000000000398::bigint, 65000000000391::bigint, 1::smallint);</v>
      </c>
    </row>
    <row r="408" spans="2:7" x14ac:dyDescent="0.2">
      <c r="B408" s="9">
        <f>IF(EXACT([1]SEED!$AV409, ""), "", [1]SEED!$AV409)</f>
        <v>65000000000399</v>
      </c>
      <c r="C408" s="9">
        <f>IF(EXACT(B408, ""), "", IF(EXACT([1]SEED!$AW409, ""), "", [1]SEED!$AW409))</f>
        <v>65000000000398</v>
      </c>
      <c r="D408" s="9">
        <f>IF(EXACT([1]SEED!$B409, ""), IF(EXACT([1]SEED!$D409, ""), IF(EXACT([1]SEED!$F409, ""), IF(EXACT([1]SEED!$H409, ""), IF(EXACT([1]SEED!$J409, ""), "", [1]SEED!$AI409), [1]SEED!$AH409), [1]SEED!$AF409), [1]SEED!$AE409), [1]SEED!$AD409)</f>
        <v>1</v>
      </c>
      <c r="F408" s="14">
        <f t="shared" si="14"/>
        <v>237000000000399</v>
      </c>
      <c r="G408" s="15" t="str">
        <f t="shared" si="15"/>
        <v>PERFORM * FROM "SchData-OLTP-Accounting"."Func_TblLayoutStructureChartOfAccount_SET"(varSystemLoginSession, null, null, null, varInstitutionBranchID, 62000000000001::bigint, varLayoutStructure_RefID, 65000000000399::bigint, 65000000000398::bigint, 1::smallint);</v>
      </c>
    </row>
    <row r="409" spans="2:7" x14ac:dyDescent="0.2">
      <c r="B409" s="9">
        <f>IF(EXACT([1]SEED!$AV410, ""), "", [1]SEED!$AV410)</f>
        <v>65000000000400</v>
      </c>
      <c r="C409" s="9">
        <f>IF(EXACT(B409, ""), "", IF(EXACT([1]SEED!$AW410, ""), "", [1]SEED!$AW410))</f>
        <v>65000000000391</v>
      </c>
      <c r="D409" s="9">
        <f>IF(EXACT([1]SEED!$B410, ""), IF(EXACT([1]SEED!$D410, ""), IF(EXACT([1]SEED!$F410, ""), IF(EXACT([1]SEED!$H410, ""), IF(EXACT([1]SEED!$J410, ""), "", [1]SEED!$AI410), [1]SEED!$AH410), [1]SEED!$AF410), [1]SEED!$AE410), [1]SEED!$AD410)</f>
        <v>1</v>
      </c>
      <c r="F409" s="14">
        <f t="shared" si="14"/>
        <v>237000000000400</v>
      </c>
      <c r="G409" s="15" t="str">
        <f t="shared" si="15"/>
        <v>PERFORM * FROM "SchData-OLTP-Accounting"."Func_TblLayoutStructureChartOfAccount_SET"(varSystemLoginSession, null, null, null, varInstitutionBranchID, 62000000000001::bigint, varLayoutStructure_RefID, 65000000000400::bigint, 65000000000391::bigint, 1::smallint);</v>
      </c>
    </row>
    <row r="410" spans="2:7" x14ac:dyDescent="0.2">
      <c r="B410" s="9">
        <f>IF(EXACT([1]SEED!$AV411, ""), "", [1]SEED!$AV411)</f>
        <v>65000000000401</v>
      </c>
      <c r="C410" s="9">
        <f>IF(EXACT(B410, ""), "", IF(EXACT([1]SEED!$AW411, ""), "", [1]SEED!$AW411))</f>
        <v>65000000000400</v>
      </c>
      <c r="D410" s="9">
        <f>IF(EXACT([1]SEED!$B411, ""), IF(EXACT([1]SEED!$D411, ""), IF(EXACT([1]SEED!$F411, ""), IF(EXACT([1]SEED!$H411, ""), IF(EXACT([1]SEED!$J411, ""), "", [1]SEED!$AI411), [1]SEED!$AH411), [1]SEED!$AF411), [1]SEED!$AE411), [1]SEED!$AD411)</f>
        <v>1</v>
      </c>
      <c r="F410" s="14">
        <f t="shared" si="14"/>
        <v>237000000000401</v>
      </c>
      <c r="G410" s="15" t="str">
        <f t="shared" si="15"/>
        <v>PERFORM * FROM "SchData-OLTP-Accounting"."Func_TblLayoutStructureChartOfAccount_SET"(varSystemLoginSession, null, null, null, varInstitutionBranchID, 62000000000001::bigint, varLayoutStructure_RefID, 65000000000401::bigint, 65000000000400::bigint, 1::smallint);</v>
      </c>
    </row>
    <row r="411" spans="2:7" x14ac:dyDescent="0.2">
      <c r="B411" s="9">
        <f>IF(EXACT([1]SEED!$AV412, ""), "", [1]SEED!$AV412)</f>
        <v>65000000000402</v>
      </c>
      <c r="C411" s="9">
        <f>IF(EXACT(B411, ""), "", IF(EXACT([1]SEED!$AW412, ""), "", [1]SEED!$AW412))</f>
        <v>65000000000391</v>
      </c>
      <c r="D411" s="9">
        <f>IF(EXACT([1]SEED!$B412, ""), IF(EXACT([1]SEED!$D412, ""), IF(EXACT([1]SEED!$F412, ""), IF(EXACT([1]SEED!$H412, ""), IF(EXACT([1]SEED!$J412, ""), "", [1]SEED!$AI412), [1]SEED!$AH412), [1]SEED!$AF412), [1]SEED!$AE412), [1]SEED!$AD412)</f>
        <v>1</v>
      </c>
      <c r="F411" s="14">
        <f t="shared" si="14"/>
        <v>237000000000402</v>
      </c>
      <c r="G411" s="15" t="str">
        <f t="shared" si="15"/>
        <v>PERFORM * FROM "SchData-OLTP-Accounting"."Func_TblLayoutStructureChartOfAccount_SET"(varSystemLoginSession, null, null, null, varInstitutionBranchID, 62000000000001::bigint, varLayoutStructure_RefID, 65000000000402::bigint, 65000000000391::bigint, 1::smallint);</v>
      </c>
    </row>
    <row r="412" spans="2:7" x14ac:dyDescent="0.2">
      <c r="B412" s="9">
        <f>IF(EXACT([1]SEED!$AV413, ""), "", [1]SEED!$AV413)</f>
        <v>65000000000403</v>
      </c>
      <c r="C412" s="9">
        <f>IF(EXACT(B412, ""), "", IF(EXACT([1]SEED!$AW413, ""), "", [1]SEED!$AW413))</f>
        <v>65000000000402</v>
      </c>
      <c r="D412" s="9">
        <f>IF(EXACT([1]SEED!$B413, ""), IF(EXACT([1]SEED!$D413, ""), IF(EXACT([1]SEED!$F413, ""), IF(EXACT([1]SEED!$H413, ""), IF(EXACT([1]SEED!$J413, ""), "", [1]SEED!$AI413), [1]SEED!$AH413), [1]SEED!$AF413), [1]SEED!$AE413), [1]SEED!$AD413)</f>
        <v>1</v>
      </c>
      <c r="F412" s="14">
        <f t="shared" si="14"/>
        <v>237000000000403</v>
      </c>
      <c r="G412" s="15" t="str">
        <f t="shared" si="15"/>
        <v>PERFORM * FROM "SchData-OLTP-Accounting"."Func_TblLayoutStructureChartOfAccount_SET"(varSystemLoginSession, null, null, null, varInstitutionBranchID, 62000000000001::bigint, varLayoutStructure_RefID, 65000000000403::bigint, 65000000000402::bigint, 1::smallint);</v>
      </c>
    </row>
    <row r="413" spans="2:7" x14ac:dyDescent="0.2">
      <c r="B413" s="9">
        <f>IF(EXACT([1]SEED!$AV414, ""), "", [1]SEED!$AV414)</f>
        <v>65000000000404</v>
      </c>
      <c r="C413" s="9">
        <f>IF(EXACT(B413, ""), "", IF(EXACT([1]SEED!$AW414, ""), "", [1]SEED!$AW414))</f>
        <v>65000000000391</v>
      </c>
      <c r="D413" s="9">
        <f>IF(EXACT([1]SEED!$B414, ""), IF(EXACT([1]SEED!$D414, ""), IF(EXACT([1]SEED!$F414, ""), IF(EXACT([1]SEED!$H414, ""), IF(EXACT([1]SEED!$J414, ""), "", [1]SEED!$AI414), [1]SEED!$AH414), [1]SEED!$AF414), [1]SEED!$AE414), [1]SEED!$AD414)</f>
        <v>1</v>
      </c>
      <c r="F413" s="14">
        <f t="shared" si="14"/>
        <v>237000000000404</v>
      </c>
      <c r="G413" s="15" t="str">
        <f t="shared" si="15"/>
        <v>PERFORM * FROM "SchData-OLTP-Accounting"."Func_TblLayoutStructureChartOfAccount_SET"(varSystemLoginSession, null, null, null, varInstitutionBranchID, 62000000000001::bigint, varLayoutStructure_RefID, 65000000000404::bigint, 65000000000391::bigint, 1::smallint);</v>
      </c>
    </row>
    <row r="414" spans="2:7" x14ac:dyDescent="0.2">
      <c r="B414" s="9">
        <f>IF(EXACT([1]SEED!$AV415, ""), "", [1]SEED!$AV415)</f>
        <v>65000000000405</v>
      </c>
      <c r="C414" s="9">
        <f>IF(EXACT(B414, ""), "", IF(EXACT([1]SEED!$AW415, ""), "", [1]SEED!$AW415))</f>
        <v>65000000000404</v>
      </c>
      <c r="D414" s="9">
        <f>IF(EXACT([1]SEED!$B415, ""), IF(EXACT([1]SEED!$D415, ""), IF(EXACT([1]SEED!$F415, ""), IF(EXACT([1]SEED!$H415, ""), IF(EXACT([1]SEED!$J415, ""), "", [1]SEED!$AI415), [1]SEED!$AH415), [1]SEED!$AF415), [1]SEED!$AE415), [1]SEED!$AD415)</f>
        <v>1</v>
      </c>
      <c r="F414" s="14">
        <f t="shared" si="14"/>
        <v>237000000000405</v>
      </c>
      <c r="G414" s="15" t="str">
        <f t="shared" si="15"/>
        <v>PERFORM * FROM "SchData-OLTP-Accounting"."Func_TblLayoutStructureChartOfAccount_SET"(varSystemLoginSession, null, null, null, varInstitutionBranchID, 62000000000001::bigint, varLayoutStructure_RefID, 65000000000405::bigint, 65000000000404::bigint, 1::smallint);</v>
      </c>
    </row>
    <row r="415" spans="2:7" x14ac:dyDescent="0.2">
      <c r="B415" s="9">
        <f>IF(EXACT([1]SEED!$AV416, ""), "", [1]SEED!$AV416)</f>
        <v>65000000000406</v>
      </c>
      <c r="C415" s="9">
        <f>IF(EXACT(B415, ""), "", IF(EXACT([1]SEED!$AW416, ""), "", [1]SEED!$AW416))</f>
        <v>65000000000391</v>
      </c>
      <c r="D415" s="9">
        <f>IF(EXACT([1]SEED!$B416, ""), IF(EXACT([1]SEED!$D416, ""), IF(EXACT([1]SEED!$F416, ""), IF(EXACT([1]SEED!$H416, ""), IF(EXACT([1]SEED!$J416, ""), "", [1]SEED!$AI416), [1]SEED!$AH416), [1]SEED!$AF416), [1]SEED!$AE416), [1]SEED!$AD416)</f>
        <v>1</v>
      </c>
      <c r="F415" s="14">
        <f t="shared" si="14"/>
        <v>237000000000406</v>
      </c>
      <c r="G415" s="15" t="str">
        <f t="shared" si="15"/>
        <v>PERFORM * FROM "SchData-OLTP-Accounting"."Func_TblLayoutStructureChartOfAccount_SET"(varSystemLoginSession, null, null, null, varInstitutionBranchID, 62000000000001::bigint, varLayoutStructure_RefID, 65000000000406::bigint, 65000000000391::bigint, 1::smallint);</v>
      </c>
    </row>
    <row r="416" spans="2:7" x14ac:dyDescent="0.2">
      <c r="B416" s="9">
        <f>IF(EXACT([1]SEED!$AV417, ""), "", [1]SEED!$AV417)</f>
        <v>65000000000407</v>
      </c>
      <c r="C416" s="9">
        <f>IF(EXACT(B416, ""), "", IF(EXACT([1]SEED!$AW417, ""), "", [1]SEED!$AW417))</f>
        <v>65000000000406</v>
      </c>
      <c r="D416" s="9">
        <f>IF(EXACT([1]SEED!$B417, ""), IF(EXACT([1]SEED!$D417, ""), IF(EXACT([1]SEED!$F417, ""), IF(EXACT([1]SEED!$H417, ""), IF(EXACT([1]SEED!$J417, ""), "", [1]SEED!$AI417), [1]SEED!$AH417), [1]SEED!$AF417), [1]SEED!$AE417), [1]SEED!$AD417)</f>
        <v>1</v>
      </c>
      <c r="F416" s="14">
        <f t="shared" si="14"/>
        <v>237000000000407</v>
      </c>
      <c r="G416" s="15" t="str">
        <f t="shared" si="15"/>
        <v>PERFORM * FROM "SchData-OLTP-Accounting"."Func_TblLayoutStructureChartOfAccount_SET"(varSystemLoginSession, null, null, null, varInstitutionBranchID, 62000000000001::bigint, varLayoutStructure_RefID, 65000000000407::bigint, 65000000000406::bigint, 1::smallint);</v>
      </c>
    </row>
    <row r="417" spans="2:7" x14ac:dyDescent="0.2">
      <c r="B417" s="9">
        <f>IF(EXACT([1]SEED!$AV418, ""), "", [1]SEED!$AV418)</f>
        <v>65000000000408</v>
      </c>
      <c r="C417" s="9">
        <f>IF(EXACT(B417, ""), "", IF(EXACT([1]SEED!$AW418, ""), "", [1]SEED!$AW418))</f>
        <v>65000000000391</v>
      </c>
      <c r="D417" s="9">
        <f>IF(EXACT([1]SEED!$B418, ""), IF(EXACT([1]SEED!$D418, ""), IF(EXACT([1]SEED!$F418, ""), IF(EXACT([1]SEED!$H418, ""), IF(EXACT([1]SEED!$J418, ""), "", [1]SEED!$AI418), [1]SEED!$AH418), [1]SEED!$AF418), [1]SEED!$AE418), [1]SEED!$AD418)</f>
        <v>1</v>
      </c>
      <c r="F417" s="14">
        <f t="shared" si="14"/>
        <v>237000000000408</v>
      </c>
      <c r="G417" s="15" t="str">
        <f t="shared" si="15"/>
        <v>PERFORM * FROM "SchData-OLTP-Accounting"."Func_TblLayoutStructureChartOfAccount_SET"(varSystemLoginSession, null, null, null, varInstitutionBranchID, 62000000000001::bigint, varLayoutStructure_RefID, 65000000000408::bigint, 65000000000391::bigint, 1::smallint);</v>
      </c>
    </row>
    <row r="418" spans="2:7" x14ac:dyDescent="0.2">
      <c r="B418" s="9">
        <f>IF(EXACT([1]SEED!$AV419, ""), "", [1]SEED!$AV419)</f>
        <v>65000000000409</v>
      </c>
      <c r="C418" s="9">
        <f>IF(EXACT(B418, ""), "", IF(EXACT([1]SEED!$AW419, ""), "", [1]SEED!$AW419))</f>
        <v>65000000000408</v>
      </c>
      <c r="D418" s="9">
        <f>IF(EXACT([1]SEED!$B419, ""), IF(EXACT([1]SEED!$D419, ""), IF(EXACT([1]SEED!$F419, ""), IF(EXACT([1]SEED!$H419, ""), IF(EXACT([1]SEED!$J419, ""), "", [1]SEED!$AI419), [1]SEED!$AH419), [1]SEED!$AF419), [1]SEED!$AE419), [1]SEED!$AD419)</f>
        <v>1</v>
      </c>
      <c r="F418" s="14">
        <f t="shared" si="14"/>
        <v>237000000000409</v>
      </c>
      <c r="G418" s="15" t="str">
        <f t="shared" si="15"/>
        <v>PERFORM * FROM "SchData-OLTP-Accounting"."Func_TblLayoutStructureChartOfAccount_SET"(varSystemLoginSession, null, null, null, varInstitutionBranchID, 62000000000001::bigint, varLayoutStructure_RefID, 65000000000409::bigint, 65000000000408::bigint, 1::smallint);</v>
      </c>
    </row>
    <row r="419" spans="2:7" x14ac:dyDescent="0.2">
      <c r="B419" s="9">
        <f>IF(EXACT([1]SEED!$AV420, ""), "", [1]SEED!$AV420)</f>
        <v>65000000000410</v>
      </c>
      <c r="C419" s="9">
        <f>IF(EXACT(B419, ""), "", IF(EXACT([1]SEED!$AW420, ""), "", [1]SEED!$AW420))</f>
        <v>65000000000391</v>
      </c>
      <c r="D419" s="9">
        <f>IF(EXACT([1]SEED!$B420, ""), IF(EXACT([1]SEED!$D420, ""), IF(EXACT([1]SEED!$F420, ""), IF(EXACT([1]SEED!$H420, ""), IF(EXACT([1]SEED!$J420, ""), "", [1]SEED!$AI420), [1]SEED!$AH420), [1]SEED!$AF420), [1]SEED!$AE420), [1]SEED!$AD420)</f>
        <v>1</v>
      </c>
      <c r="F419" s="14">
        <f t="shared" si="14"/>
        <v>237000000000410</v>
      </c>
      <c r="G419" s="15" t="str">
        <f t="shared" si="15"/>
        <v>PERFORM * FROM "SchData-OLTP-Accounting"."Func_TblLayoutStructureChartOfAccount_SET"(varSystemLoginSession, null, null, null, varInstitutionBranchID, 62000000000001::bigint, varLayoutStructure_RefID, 65000000000410::bigint, 65000000000391::bigint, 1::smallint);</v>
      </c>
    </row>
    <row r="420" spans="2:7" x14ac:dyDescent="0.2">
      <c r="B420" s="9">
        <f>IF(EXACT([1]SEED!$AV421, ""), "", [1]SEED!$AV421)</f>
        <v>65000000000411</v>
      </c>
      <c r="C420" s="9">
        <f>IF(EXACT(B420, ""), "", IF(EXACT([1]SEED!$AW421, ""), "", [1]SEED!$AW421))</f>
        <v>65000000000410</v>
      </c>
      <c r="D420" s="9">
        <f>IF(EXACT([1]SEED!$B421, ""), IF(EXACT([1]SEED!$D421, ""), IF(EXACT([1]SEED!$F421, ""), IF(EXACT([1]SEED!$H421, ""), IF(EXACT([1]SEED!$J421, ""), "", [1]SEED!$AI421), [1]SEED!$AH421), [1]SEED!$AF421), [1]SEED!$AE421), [1]SEED!$AD421)</f>
        <v>1</v>
      </c>
      <c r="F420" s="14">
        <f t="shared" si="14"/>
        <v>237000000000411</v>
      </c>
      <c r="G420" s="15" t="str">
        <f t="shared" si="15"/>
        <v>PERFORM * FROM "SchData-OLTP-Accounting"."Func_TblLayoutStructureChartOfAccount_SET"(varSystemLoginSession, null, null, null, varInstitutionBranchID, 62000000000001::bigint, varLayoutStructure_RefID, 65000000000411::bigint, 65000000000410::bigint, 1::smallint);</v>
      </c>
    </row>
    <row r="421" spans="2:7" x14ac:dyDescent="0.2">
      <c r="B421" s="9">
        <f>IF(EXACT([1]SEED!$AV422, ""), "", [1]SEED!$AV422)</f>
        <v>65000000000412</v>
      </c>
      <c r="C421" s="9">
        <f>IF(EXACT(B421, ""), "", IF(EXACT([1]SEED!$AW422, ""), "", [1]SEED!$AW422))</f>
        <v>65000000000391</v>
      </c>
      <c r="D421" s="9">
        <f>IF(EXACT([1]SEED!$B422, ""), IF(EXACT([1]SEED!$D422, ""), IF(EXACT([1]SEED!$F422, ""), IF(EXACT([1]SEED!$H422, ""), IF(EXACT([1]SEED!$J422, ""), "", [1]SEED!$AI422), [1]SEED!$AH422), [1]SEED!$AF422), [1]SEED!$AE422), [1]SEED!$AD422)</f>
        <v>1</v>
      </c>
      <c r="F421" s="14">
        <f t="shared" si="14"/>
        <v>237000000000412</v>
      </c>
      <c r="G421" s="15" t="str">
        <f t="shared" si="15"/>
        <v>PERFORM * FROM "SchData-OLTP-Accounting"."Func_TblLayoutStructureChartOfAccount_SET"(varSystemLoginSession, null, null, null, varInstitutionBranchID, 62000000000001::bigint, varLayoutStructure_RefID, 65000000000412::bigint, 65000000000391::bigint, 1::smallint);</v>
      </c>
    </row>
    <row r="422" spans="2:7" x14ac:dyDescent="0.2">
      <c r="B422" s="9">
        <f>IF(EXACT([1]SEED!$AV423, ""), "", [1]SEED!$AV423)</f>
        <v>65000000000413</v>
      </c>
      <c r="C422" s="9">
        <f>IF(EXACT(B422, ""), "", IF(EXACT([1]SEED!$AW423, ""), "", [1]SEED!$AW423))</f>
        <v>65000000000412</v>
      </c>
      <c r="D422" s="9">
        <f>IF(EXACT([1]SEED!$B423, ""), IF(EXACT([1]SEED!$D423, ""), IF(EXACT([1]SEED!$F423, ""), IF(EXACT([1]SEED!$H423, ""), IF(EXACT([1]SEED!$J423, ""), "", [1]SEED!$AI423), [1]SEED!$AH423), [1]SEED!$AF423), [1]SEED!$AE423), [1]SEED!$AD423)</f>
        <v>1</v>
      </c>
      <c r="F422" s="14">
        <f t="shared" si="14"/>
        <v>237000000000413</v>
      </c>
      <c r="G422" s="15" t="str">
        <f t="shared" si="15"/>
        <v>PERFORM * FROM "SchData-OLTP-Accounting"."Func_TblLayoutStructureChartOfAccount_SET"(varSystemLoginSession, null, null, null, varInstitutionBranchID, 62000000000001::bigint, varLayoutStructure_RefID, 65000000000413::bigint, 65000000000412::bigint, 1::smallint);</v>
      </c>
    </row>
    <row r="423" spans="2:7" x14ac:dyDescent="0.2">
      <c r="B423" s="9">
        <f>IF(EXACT([1]SEED!$AV424, ""), "", [1]SEED!$AV424)</f>
        <v>65000000000414</v>
      </c>
      <c r="C423" s="9">
        <f>IF(EXACT(B423, ""), "", IF(EXACT([1]SEED!$AW424, ""), "", [1]SEED!$AW424))</f>
        <v>65000000000391</v>
      </c>
      <c r="D423" s="9">
        <f>IF(EXACT([1]SEED!$B424, ""), IF(EXACT([1]SEED!$D424, ""), IF(EXACT([1]SEED!$F424, ""), IF(EXACT([1]SEED!$H424, ""), IF(EXACT([1]SEED!$J424, ""), "", [1]SEED!$AI424), [1]SEED!$AH424), [1]SEED!$AF424), [1]SEED!$AE424), [1]SEED!$AD424)</f>
        <v>1</v>
      </c>
      <c r="F423" s="14">
        <f t="shared" si="14"/>
        <v>237000000000414</v>
      </c>
      <c r="G423" s="15" t="str">
        <f t="shared" si="15"/>
        <v>PERFORM * FROM "SchData-OLTP-Accounting"."Func_TblLayoutStructureChartOfAccount_SET"(varSystemLoginSession, null, null, null, varInstitutionBranchID, 62000000000001::bigint, varLayoutStructure_RefID, 65000000000414::bigint, 65000000000391::bigint, 1::smallint);</v>
      </c>
    </row>
    <row r="424" spans="2:7" x14ac:dyDescent="0.2">
      <c r="B424" s="9">
        <f>IF(EXACT([1]SEED!$AV425, ""), "", [1]SEED!$AV425)</f>
        <v>65000000000415</v>
      </c>
      <c r="C424" s="9">
        <f>IF(EXACT(B424, ""), "", IF(EXACT([1]SEED!$AW425, ""), "", [1]SEED!$AW425))</f>
        <v>65000000000414</v>
      </c>
      <c r="D424" s="9">
        <f>IF(EXACT([1]SEED!$B425, ""), IF(EXACT([1]SEED!$D425, ""), IF(EXACT([1]SEED!$F425, ""), IF(EXACT([1]SEED!$H425, ""), IF(EXACT([1]SEED!$J425, ""), "", [1]SEED!$AI425), [1]SEED!$AH425), [1]SEED!$AF425), [1]SEED!$AE425), [1]SEED!$AD425)</f>
        <v>1</v>
      </c>
      <c r="F424" s="14">
        <f t="shared" si="14"/>
        <v>237000000000415</v>
      </c>
      <c r="G424" s="15" t="str">
        <f t="shared" si="15"/>
        <v>PERFORM * FROM "SchData-OLTP-Accounting"."Func_TblLayoutStructureChartOfAccount_SET"(varSystemLoginSession, null, null, null, varInstitutionBranchID, 62000000000001::bigint, varLayoutStructure_RefID, 65000000000415::bigint, 65000000000414::bigint, 1::smallint);</v>
      </c>
    </row>
    <row r="425" spans="2:7" x14ac:dyDescent="0.2">
      <c r="B425" s="9">
        <f>IF(EXACT([1]SEED!$AV426, ""), "", [1]SEED!$AV426)</f>
        <v>65000000000416</v>
      </c>
      <c r="C425" s="9">
        <f>IF(EXACT(B425, ""), "", IF(EXACT([1]SEED!$AW426, ""), "", [1]SEED!$AW426))</f>
        <v>65000000000391</v>
      </c>
      <c r="D425" s="9">
        <f>IF(EXACT([1]SEED!$B426, ""), IF(EXACT([1]SEED!$D426, ""), IF(EXACT([1]SEED!$F426, ""), IF(EXACT([1]SEED!$H426, ""), IF(EXACT([1]SEED!$J426, ""), "", [1]SEED!$AI426), [1]SEED!$AH426), [1]SEED!$AF426), [1]SEED!$AE426), [1]SEED!$AD426)</f>
        <v>1</v>
      </c>
      <c r="F425" s="14">
        <f t="shared" si="14"/>
        <v>237000000000416</v>
      </c>
      <c r="G425" s="15" t="str">
        <f t="shared" si="15"/>
        <v>PERFORM * FROM "SchData-OLTP-Accounting"."Func_TblLayoutStructureChartOfAccount_SET"(varSystemLoginSession, null, null, null, varInstitutionBranchID, 62000000000001::bigint, varLayoutStructure_RefID, 65000000000416::bigint, 65000000000391::bigint, 1::smallint);</v>
      </c>
    </row>
    <row r="426" spans="2:7" x14ac:dyDescent="0.2">
      <c r="B426" s="9">
        <f>IF(EXACT([1]SEED!$AV427, ""), "", [1]SEED!$AV427)</f>
        <v>65000000000417</v>
      </c>
      <c r="C426" s="9">
        <f>IF(EXACT(B426, ""), "", IF(EXACT([1]SEED!$AW427, ""), "", [1]SEED!$AW427))</f>
        <v>65000000000416</v>
      </c>
      <c r="D426" s="9">
        <f>IF(EXACT([1]SEED!$B427, ""), IF(EXACT([1]SEED!$D427, ""), IF(EXACT([1]SEED!$F427, ""), IF(EXACT([1]SEED!$H427, ""), IF(EXACT([1]SEED!$J427, ""), "", [1]SEED!$AI427), [1]SEED!$AH427), [1]SEED!$AF427), [1]SEED!$AE427), [1]SEED!$AD427)</f>
        <v>1</v>
      </c>
      <c r="F426" s="14">
        <f t="shared" si="14"/>
        <v>237000000000417</v>
      </c>
      <c r="G426" s="15" t="str">
        <f t="shared" si="15"/>
        <v>PERFORM * FROM "SchData-OLTP-Accounting"."Func_TblLayoutStructureChartOfAccount_SET"(varSystemLoginSession, null, null, null, varInstitutionBranchID, 62000000000001::bigint, varLayoutStructure_RefID, 65000000000417::bigint, 65000000000416::bigint, 1::smallint);</v>
      </c>
    </row>
    <row r="427" spans="2:7" x14ac:dyDescent="0.2">
      <c r="B427" s="9">
        <f>IF(EXACT([1]SEED!$AV428, ""), "", [1]SEED!$AV428)</f>
        <v>65000000000418</v>
      </c>
      <c r="C427" s="9">
        <f>IF(EXACT(B427, ""), "", IF(EXACT([1]SEED!$AW428, ""), "", [1]SEED!$AW428))</f>
        <v>65000000000391</v>
      </c>
      <c r="D427" s="9">
        <f>IF(EXACT([1]SEED!$B428, ""), IF(EXACT([1]SEED!$D428, ""), IF(EXACT([1]SEED!$F428, ""), IF(EXACT([1]SEED!$H428, ""), IF(EXACT([1]SEED!$J428, ""), "", [1]SEED!$AI428), [1]SEED!$AH428), [1]SEED!$AF428), [1]SEED!$AE428), [1]SEED!$AD428)</f>
        <v>1</v>
      </c>
      <c r="F427" s="14">
        <f t="shared" si="14"/>
        <v>237000000000418</v>
      </c>
      <c r="G427" s="15" t="str">
        <f t="shared" si="15"/>
        <v>PERFORM * FROM "SchData-OLTP-Accounting"."Func_TblLayoutStructureChartOfAccount_SET"(varSystemLoginSession, null, null, null, varInstitutionBranchID, 62000000000001::bigint, varLayoutStructure_RefID, 65000000000418::bigint, 65000000000391::bigint, 1::smallint);</v>
      </c>
    </row>
    <row r="428" spans="2:7" x14ac:dyDescent="0.2">
      <c r="B428" s="9">
        <f>IF(EXACT([1]SEED!$AV429, ""), "", [1]SEED!$AV429)</f>
        <v>65000000000419</v>
      </c>
      <c r="C428" s="9">
        <f>IF(EXACT(B428, ""), "", IF(EXACT([1]SEED!$AW429, ""), "", [1]SEED!$AW429))</f>
        <v>65000000000418</v>
      </c>
      <c r="D428" s="9">
        <f>IF(EXACT([1]SEED!$B429, ""), IF(EXACT([1]SEED!$D429, ""), IF(EXACT([1]SEED!$F429, ""), IF(EXACT([1]SEED!$H429, ""), IF(EXACT([1]SEED!$J429, ""), "", [1]SEED!$AI429), [1]SEED!$AH429), [1]SEED!$AF429), [1]SEED!$AE429), [1]SEED!$AD429)</f>
        <v>1</v>
      </c>
      <c r="F428" s="14">
        <f t="shared" si="14"/>
        <v>237000000000419</v>
      </c>
      <c r="G428" s="15" t="str">
        <f t="shared" si="15"/>
        <v>PERFORM * FROM "SchData-OLTP-Accounting"."Func_TblLayoutStructureChartOfAccount_SET"(varSystemLoginSession, null, null, null, varInstitutionBranchID, 62000000000001::bigint, varLayoutStructure_RefID, 65000000000419::bigint, 65000000000418::bigint, 1::smallint);</v>
      </c>
    </row>
    <row r="429" spans="2:7" x14ac:dyDescent="0.2">
      <c r="B429" s="9">
        <f>IF(EXACT([1]SEED!$AV430, ""), "", [1]SEED!$AV430)</f>
        <v>65000000000420</v>
      </c>
      <c r="C429" s="9">
        <f>IF(EXACT(B429, ""), "", IF(EXACT([1]SEED!$AW430, ""), "", [1]SEED!$AW430))</f>
        <v>65000000000391</v>
      </c>
      <c r="D429" s="9">
        <f>IF(EXACT([1]SEED!$B430, ""), IF(EXACT([1]SEED!$D430, ""), IF(EXACT([1]SEED!$F430, ""), IF(EXACT([1]SEED!$H430, ""), IF(EXACT([1]SEED!$J430, ""), "", [1]SEED!$AI430), [1]SEED!$AH430), [1]SEED!$AF430), [1]SEED!$AE430), [1]SEED!$AD430)</f>
        <v>1</v>
      </c>
      <c r="F429" s="14">
        <f t="shared" si="14"/>
        <v>237000000000420</v>
      </c>
      <c r="G429" s="15" t="str">
        <f t="shared" si="15"/>
        <v>PERFORM * FROM "SchData-OLTP-Accounting"."Func_TblLayoutStructureChartOfAccount_SET"(varSystemLoginSession, null, null, null, varInstitutionBranchID, 62000000000001::bigint, varLayoutStructure_RefID, 65000000000420::bigint, 65000000000391::bigint, 1::smallint);</v>
      </c>
    </row>
    <row r="430" spans="2:7" x14ac:dyDescent="0.2">
      <c r="B430" s="9">
        <f>IF(EXACT([1]SEED!$AV431, ""), "", [1]SEED!$AV431)</f>
        <v>65000000000421</v>
      </c>
      <c r="C430" s="9">
        <f>IF(EXACT(B430, ""), "", IF(EXACT([1]SEED!$AW431, ""), "", [1]SEED!$AW431))</f>
        <v>65000000000420</v>
      </c>
      <c r="D430" s="9">
        <f>IF(EXACT([1]SEED!$B431, ""), IF(EXACT([1]SEED!$D431, ""), IF(EXACT([1]SEED!$F431, ""), IF(EXACT([1]SEED!$H431, ""), IF(EXACT([1]SEED!$J431, ""), "", [1]SEED!$AI431), [1]SEED!$AH431), [1]SEED!$AF431), [1]SEED!$AE431), [1]SEED!$AD431)</f>
        <v>1</v>
      </c>
      <c r="F430" s="14">
        <f t="shared" si="14"/>
        <v>237000000000421</v>
      </c>
      <c r="G430" s="15" t="str">
        <f t="shared" si="15"/>
        <v>PERFORM * FROM "SchData-OLTP-Accounting"."Func_TblLayoutStructureChartOfAccount_SET"(varSystemLoginSession, null, null, null, varInstitutionBranchID, 62000000000001::bigint, varLayoutStructure_RefID, 65000000000421::bigint, 65000000000420::bigint, 1::smallint);</v>
      </c>
    </row>
    <row r="431" spans="2:7" x14ac:dyDescent="0.2">
      <c r="B431" s="9">
        <f>IF(EXACT([1]SEED!$AV432, ""), "", [1]SEED!$AV432)</f>
        <v>65000000000422</v>
      </c>
      <c r="C431" s="9">
        <f>IF(EXACT(B431, ""), "", IF(EXACT([1]SEED!$AW432, ""), "", [1]SEED!$AW432))</f>
        <v>65000000000391</v>
      </c>
      <c r="D431" s="9">
        <f>IF(EXACT([1]SEED!$B432, ""), IF(EXACT([1]SEED!$D432, ""), IF(EXACT([1]SEED!$F432, ""), IF(EXACT([1]SEED!$H432, ""), IF(EXACT([1]SEED!$J432, ""), "", [1]SEED!$AI432), [1]SEED!$AH432), [1]SEED!$AF432), [1]SEED!$AE432), [1]SEED!$AD432)</f>
        <v>1</v>
      </c>
      <c r="F431" s="14">
        <f t="shared" si="14"/>
        <v>237000000000422</v>
      </c>
      <c r="G431" s="15" t="str">
        <f t="shared" si="15"/>
        <v>PERFORM * FROM "SchData-OLTP-Accounting"."Func_TblLayoutStructureChartOfAccount_SET"(varSystemLoginSession, null, null, null, varInstitutionBranchID, 62000000000001::bigint, varLayoutStructure_RefID, 65000000000422::bigint, 65000000000391::bigint, 1::smallint);</v>
      </c>
    </row>
    <row r="432" spans="2:7" x14ac:dyDescent="0.2">
      <c r="B432" s="9">
        <f>IF(EXACT([1]SEED!$AV433, ""), "", [1]SEED!$AV433)</f>
        <v>65000000000423</v>
      </c>
      <c r="C432" s="9">
        <f>IF(EXACT(B432, ""), "", IF(EXACT([1]SEED!$AW433, ""), "", [1]SEED!$AW433))</f>
        <v>65000000000422</v>
      </c>
      <c r="D432" s="9">
        <f>IF(EXACT([1]SEED!$B433, ""), IF(EXACT([1]SEED!$D433, ""), IF(EXACT([1]SEED!$F433, ""), IF(EXACT([1]SEED!$H433, ""), IF(EXACT([1]SEED!$J433, ""), "", [1]SEED!$AI433), [1]SEED!$AH433), [1]SEED!$AF433), [1]SEED!$AE433), [1]SEED!$AD433)</f>
        <v>1</v>
      </c>
      <c r="F432" s="14">
        <f t="shared" si="14"/>
        <v>237000000000423</v>
      </c>
      <c r="G432" s="15" t="str">
        <f t="shared" si="15"/>
        <v>PERFORM * FROM "SchData-OLTP-Accounting"."Func_TblLayoutStructureChartOfAccount_SET"(varSystemLoginSession, null, null, null, varInstitutionBranchID, 62000000000001::bigint, varLayoutStructure_RefID, 65000000000423::bigint, 65000000000422::bigint, 1::smallint);</v>
      </c>
    </row>
    <row r="433" spans="2:7" x14ac:dyDescent="0.2">
      <c r="B433" s="9">
        <f>IF(EXACT([1]SEED!$AV434, ""), "", [1]SEED!$AV434)</f>
        <v>65000000000424</v>
      </c>
      <c r="C433" s="9">
        <f>IF(EXACT(B433, ""), "", IF(EXACT([1]SEED!$AW434, ""), "", [1]SEED!$AW434))</f>
        <v>65000000000391</v>
      </c>
      <c r="D433" s="9">
        <f>IF(EXACT([1]SEED!$B434, ""), IF(EXACT([1]SEED!$D434, ""), IF(EXACT([1]SEED!$F434, ""), IF(EXACT([1]SEED!$H434, ""), IF(EXACT([1]SEED!$J434, ""), "", [1]SEED!$AI434), [1]SEED!$AH434), [1]SEED!$AF434), [1]SEED!$AE434), [1]SEED!$AD434)</f>
        <v>1</v>
      </c>
      <c r="F433" s="14">
        <f t="shared" si="14"/>
        <v>237000000000424</v>
      </c>
      <c r="G433" s="15" t="str">
        <f t="shared" si="15"/>
        <v>PERFORM * FROM "SchData-OLTP-Accounting"."Func_TblLayoutStructureChartOfAccount_SET"(varSystemLoginSession, null, null, null, varInstitutionBranchID, 62000000000001::bigint, varLayoutStructure_RefID, 65000000000424::bigint, 65000000000391::bigint, 1::smallint);</v>
      </c>
    </row>
    <row r="434" spans="2:7" x14ac:dyDescent="0.2">
      <c r="B434" s="9">
        <f>IF(EXACT([1]SEED!$AV435, ""), "", [1]SEED!$AV435)</f>
        <v>65000000000425</v>
      </c>
      <c r="C434" s="9">
        <f>IF(EXACT(B434, ""), "", IF(EXACT([1]SEED!$AW435, ""), "", [1]SEED!$AW435))</f>
        <v>65000000000424</v>
      </c>
      <c r="D434" s="9">
        <f>IF(EXACT([1]SEED!$B435, ""), IF(EXACT([1]SEED!$D435, ""), IF(EXACT([1]SEED!$F435, ""), IF(EXACT([1]SEED!$H435, ""), IF(EXACT([1]SEED!$J435, ""), "", [1]SEED!$AI435), [1]SEED!$AH435), [1]SEED!$AF435), [1]SEED!$AE435), [1]SEED!$AD435)</f>
        <v>1</v>
      </c>
      <c r="F434" s="14">
        <f t="shared" si="14"/>
        <v>237000000000425</v>
      </c>
      <c r="G434" s="15" t="str">
        <f t="shared" si="15"/>
        <v>PERFORM * FROM "SchData-OLTP-Accounting"."Func_TblLayoutStructureChartOfAccount_SET"(varSystemLoginSession, null, null, null, varInstitutionBranchID, 62000000000001::bigint, varLayoutStructure_RefID, 65000000000425::bigint, 65000000000424::bigint, 1::smallint);</v>
      </c>
    </row>
    <row r="435" spans="2:7" x14ac:dyDescent="0.2">
      <c r="B435" s="9">
        <f>IF(EXACT([1]SEED!$AV436, ""), "", [1]SEED!$AV436)</f>
        <v>65000000000426</v>
      </c>
      <c r="C435" s="9">
        <f>IF(EXACT(B435, ""), "", IF(EXACT([1]SEED!$AW436, ""), "", [1]SEED!$AW436))</f>
        <v>65000000000391</v>
      </c>
      <c r="D435" s="9">
        <f>IF(EXACT([1]SEED!$B436, ""), IF(EXACT([1]SEED!$D436, ""), IF(EXACT([1]SEED!$F436, ""), IF(EXACT([1]SEED!$H436, ""), IF(EXACT([1]SEED!$J436, ""), "", [1]SEED!$AI436), [1]SEED!$AH436), [1]SEED!$AF436), [1]SEED!$AE436), [1]SEED!$AD436)</f>
        <v>1</v>
      </c>
      <c r="F435" s="14">
        <f t="shared" si="14"/>
        <v>237000000000426</v>
      </c>
      <c r="G435" s="15" t="str">
        <f t="shared" si="15"/>
        <v>PERFORM * FROM "SchData-OLTP-Accounting"."Func_TblLayoutStructureChartOfAccount_SET"(varSystemLoginSession, null, null, null, varInstitutionBranchID, 62000000000001::bigint, varLayoutStructure_RefID, 65000000000426::bigint, 65000000000391::bigint, 1::smallint);</v>
      </c>
    </row>
    <row r="436" spans="2:7" x14ac:dyDescent="0.2">
      <c r="B436" s="9">
        <f>IF(EXACT([1]SEED!$AV437, ""), "", [1]SEED!$AV437)</f>
        <v>65000000000427</v>
      </c>
      <c r="C436" s="9">
        <f>IF(EXACT(B436, ""), "", IF(EXACT([1]SEED!$AW437, ""), "", [1]SEED!$AW437))</f>
        <v>65000000000426</v>
      </c>
      <c r="D436" s="9">
        <f>IF(EXACT([1]SEED!$B437, ""), IF(EXACT([1]SEED!$D437, ""), IF(EXACT([1]SEED!$F437, ""), IF(EXACT([1]SEED!$H437, ""), IF(EXACT([1]SEED!$J437, ""), "", [1]SEED!$AI437), [1]SEED!$AH437), [1]SEED!$AF437), [1]SEED!$AE437), [1]SEED!$AD437)</f>
        <v>1</v>
      </c>
      <c r="F436" s="14">
        <f t="shared" si="14"/>
        <v>237000000000427</v>
      </c>
      <c r="G436" s="15" t="str">
        <f t="shared" si="15"/>
        <v>PERFORM * FROM "SchData-OLTP-Accounting"."Func_TblLayoutStructureChartOfAccount_SET"(varSystemLoginSession, null, null, null, varInstitutionBranchID, 62000000000001::bigint, varLayoutStructure_RefID, 65000000000427::bigint, 65000000000426::bigint, 1::smallint);</v>
      </c>
    </row>
    <row r="437" spans="2:7" x14ac:dyDescent="0.2">
      <c r="B437" s="9">
        <f>IF(EXACT([1]SEED!$AV438, ""), "", [1]SEED!$AV438)</f>
        <v>65000000000428</v>
      </c>
      <c r="C437" s="9">
        <f>IF(EXACT(B437, ""), "", IF(EXACT([1]SEED!$AW438, ""), "", [1]SEED!$AW438))</f>
        <v>65000000000391</v>
      </c>
      <c r="D437" s="9">
        <f>IF(EXACT([1]SEED!$B438, ""), IF(EXACT([1]SEED!$D438, ""), IF(EXACT([1]SEED!$F438, ""), IF(EXACT([1]SEED!$H438, ""), IF(EXACT([1]SEED!$J438, ""), "", [1]SEED!$AI438), [1]SEED!$AH438), [1]SEED!$AF438), [1]SEED!$AE438), [1]SEED!$AD438)</f>
        <v>1</v>
      </c>
      <c r="F437" s="14">
        <f t="shared" si="14"/>
        <v>237000000000428</v>
      </c>
      <c r="G437" s="15" t="str">
        <f t="shared" si="15"/>
        <v>PERFORM * FROM "SchData-OLTP-Accounting"."Func_TblLayoutStructureChartOfAccount_SET"(varSystemLoginSession, null, null, null, varInstitutionBranchID, 62000000000001::bigint, varLayoutStructure_RefID, 65000000000428::bigint, 65000000000391::bigint, 1::smallint);</v>
      </c>
    </row>
    <row r="438" spans="2:7" x14ac:dyDescent="0.2">
      <c r="B438" s="9">
        <f>IF(EXACT([1]SEED!$AV439, ""), "", [1]SEED!$AV439)</f>
        <v>65000000000429</v>
      </c>
      <c r="C438" s="9">
        <f>IF(EXACT(B438, ""), "", IF(EXACT([1]SEED!$AW439, ""), "", [1]SEED!$AW439))</f>
        <v>65000000000428</v>
      </c>
      <c r="D438" s="9">
        <f>IF(EXACT([1]SEED!$B439, ""), IF(EXACT([1]SEED!$D439, ""), IF(EXACT([1]SEED!$F439, ""), IF(EXACT([1]SEED!$H439, ""), IF(EXACT([1]SEED!$J439, ""), "", [1]SEED!$AI439), [1]SEED!$AH439), [1]SEED!$AF439), [1]SEED!$AE439), [1]SEED!$AD439)</f>
        <v>1</v>
      </c>
      <c r="F438" s="14">
        <f t="shared" si="14"/>
        <v>237000000000429</v>
      </c>
      <c r="G438" s="15" t="str">
        <f t="shared" si="15"/>
        <v>PERFORM * FROM "SchData-OLTP-Accounting"."Func_TblLayoutStructureChartOfAccount_SET"(varSystemLoginSession, null, null, null, varInstitutionBranchID, 62000000000001::bigint, varLayoutStructure_RefID, 65000000000429::bigint, 65000000000428::bigint, 1::smallint);</v>
      </c>
    </row>
    <row r="439" spans="2:7" x14ac:dyDescent="0.2">
      <c r="B439" s="9">
        <f>IF(EXACT([1]SEED!$AV440, ""), "", [1]SEED!$AV440)</f>
        <v>65000000000430</v>
      </c>
      <c r="C439" s="9">
        <f>IF(EXACT(B439, ""), "", IF(EXACT([1]SEED!$AW440, ""), "", [1]SEED!$AW440))</f>
        <v>65000000000391</v>
      </c>
      <c r="D439" s="9">
        <f>IF(EXACT([1]SEED!$B440, ""), IF(EXACT([1]SEED!$D440, ""), IF(EXACT([1]SEED!$F440, ""), IF(EXACT([1]SEED!$H440, ""), IF(EXACT([1]SEED!$J440, ""), "", [1]SEED!$AI440), [1]SEED!$AH440), [1]SEED!$AF440), [1]SEED!$AE440), [1]SEED!$AD440)</f>
        <v>1</v>
      </c>
      <c r="F439" s="14">
        <f t="shared" si="14"/>
        <v>237000000000430</v>
      </c>
      <c r="G439" s="15" t="str">
        <f t="shared" si="15"/>
        <v>PERFORM * FROM "SchData-OLTP-Accounting"."Func_TblLayoutStructureChartOfAccount_SET"(varSystemLoginSession, null, null, null, varInstitutionBranchID, 62000000000001::bigint, varLayoutStructure_RefID, 65000000000430::bigint, 65000000000391::bigint, 1::smallint);</v>
      </c>
    </row>
    <row r="440" spans="2:7" x14ac:dyDescent="0.2">
      <c r="B440" s="9">
        <f>IF(EXACT([1]SEED!$AV441, ""), "", [1]SEED!$AV441)</f>
        <v>65000000000431</v>
      </c>
      <c r="C440" s="9">
        <f>IF(EXACT(B440, ""), "", IF(EXACT([1]SEED!$AW441, ""), "", [1]SEED!$AW441))</f>
        <v>65000000000430</v>
      </c>
      <c r="D440" s="9">
        <f>IF(EXACT([1]SEED!$B441, ""), IF(EXACT([1]SEED!$D441, ""), IF(EXACT([1]SEED!$F441, ""), IF(EXACT([1]SEED!$H441, ""), IF(EXACT([1]SEED!$J441, ""), "", [1]SEED!$AI441), [1]SEED!$AH441), [1]SEED!$AF441), [1]SEED!$AE441), [1]SEED!$AD441)</f>
        <v>1</v>
      </c>
      <c r="F440" s="14">
        <f t="shared" si="14"/>
        <v>237000000000431</v>
      </c>
      <c r="G440" s="15" t="str">
        <f t="shared" si="15"/>
        <v>PERFORM * FROM "SchData-OLTP-Accounting"."Func_TblLayoutStructureChartOfAccount_SET"(varSystemLoginSession, null, null, null, varInstitutionBranchID, 62000000000001::bigint, varLayoutStructure_RefID, 65000000000431::bigint, 65000000000430::bigint, 1::smallint);</v>
      </c>
    </row>
    <row r="441" spans="2:7" x14ac:dyDescent="0.2">
      <c r="B441" s="9">
        <f>IF(EXACT([1]SEED!$AV442, ""), "", [1]SEED!$AV442)</f>
        <v>65000000000432</v>
      </c>
      <c r="C441" s="9">
        <f>IF(EXACT(B441, ""), "", IF(EXACT([1]SEED!$AW442, ""), "", [1]SEED!$AW442))</f>
        <v>65000000000391</v>
      </c>
      <c r="D441" s="9">
        <f>IF(EXACT([1]SEED!$B442, ""), IF(EXACT([1]SEED!$D442, ""), IF(EXACT([1]SEED!$F442, ""), IF(EXACT([1]SEED!$H442, ""), IF(EXACT([1]SEED!$J442, ""), "", [1]SEED!$AI442), [1]SEED!$AH442), [1]SEED!$AF442), [1]SEED!$AE442), [1]SEED!$AD442)</f>
        <v>1</v>
      </c>
      <c r="F441" s="14">
        <f t="shared" si="14"/>
        <v>237000000000432</v>
      </c>
      <c r="G441" s="15" t="str">
        <f t="shared" si="15"/>
        <v>PERFORM * FROM "SchData-OLTP-Accounting"."Func_TblLayoutStructureChartOfAccount_SET"(varSystemLoginSession, null, null, null, varInstitutionBranchID, 62000000000001::bigint, varLayoutStructure_RefID, 65000000000432::bigint, 65000000000391::bigint, 1::smallint);</v>
      </c>
    </row>
    <row r="442" spans="2:7" x14ac:dyDescent="0.2">
      <c r="B442" s="9">
        <f>IF(EXACT([1]SEED!$AV443, ""), "", [1]SEED!$AV443)</f>
        <v>65000000000433</v>
      </c>
      <c r="C442" s="9">
        <f>IF(EXACT(B442, ""), "", IF(EXACT([1]SEED!$AW443, ""), "", [1]SEED!$AW443))</f>
        <v>65000000000432</v>
      </c>
      <c r="D442" s="9">
        <f>IF(EXACT([1]SEED!$B443, ""), IF(EXACT([1]SEED!$D443, ""), IF(EXACT([1]SEED!$F443, ""), IF(EXACT([1]SEED!$H443, ""), IF(EXACT([1]SEED!$J443, ""), "", [1]SEED!$AI443), [1]SEED!$AH443), [1]SEED!$AF443), [1]SEED!$AE443), [1]SEED!$AD443)</f>
        <v>1</v>
      </c>
      <c r="F442" s="14">
        <f t="shared" si="14"/>
        <v>237000000000433</v>
      </c>
      <c r="G442" s="15" t="str">
        <f t="shared" si="15"/>
        <v>PERFORM * FROM "SchData-OLTP-Accounting"."Func_TblLayoutStructureChartOfAccount_SET"(varSystemLoginSession, null, null, null, varInstitutionBranchID, 62000000000001::bigint, varLayoutStructure_RefID, 65000000000433::bigint, 65000000000432::bigint, 1::smallint);</v>
      </c>
    </row>
    <row r="443" spans="2:7" x14ac:dyDescent="0.2">
      <c r="B443" s="9">
        <f>IF(EXACT([1]SEED!$AV444, ""), "", [1]SEED!$AV444)</f>
        <v>65000000000434</v>
      </c>
      <c r="C443" s="9">
        <f>IF(EXACT(B443, ""), "", IF(EXACT([1]SEED!$AW444, ""), "", [1]SEED!$AW444))</f>
        <v>65000000000391</v>
      </c>
      <c r="D443" s="9">
        <f>IF(EXACT([1]SEED!$B444, ""), IF(EXACT([1]SEED!$D444, ""), IF(EXACT([1]SEED!$F444, ""), IF(EXACT([1]SEED!$H444, ""), IF(EXACT([1]SEED!$J444, ""), "", [1]SEED!$AI444), [1]SEED!$AH444), [1]SEED!$AF444), [1]SEED!$AE444), [1]SEED!$AD444)</f>
        <v>1</v>
      </c>
      <c r="F443" s="14">
        <f t="shared" si="14"/>
        <v>237000000000434</v>
      </c>
      <c r="G443" s="15" t="str">
        <f t="shared" si="15"/>
        <v>PERFORM * FROM "SchData-OLTP-Accounting"."Func_TblLayoutStructureChartOfAccount_SET"(varSystemLoginSession, null, null, null, varInstitutionBranchID, 62000000000001::bigint, varLayoutStructure_RefID, 65000000000434::bigint, 65000000000391::bigint, 1::smallint);</v>
      </c>
    </row>
    <row r="444" spans="2:7" x14ac:dyDescent="0.2">
      <c r="B444" s="9">
        <f>IF(EXACT([1]SEED!$AV445, ""), "", [1]SEED!$AV445)</f>
        <v>65000000000435</v>
      </c>
      <c r="C444" s="9">
        <f>IF(EXACT(B444, ""), "", IF(EXACT([1]SEED!$AW445, ""), "", [1]SEED!$AW445))</f>
        <v>65000000000434</v>
      </c>
      <c r="D444" s="9">
        <f>IF(EXACT([1]SEED!$B445, ""), IF(EXACT([1]SEED!$D445, ""), IF(EXACT([1]SEED!$F445, ""), IF(EXACT([1]SEED!$H445, ""), IF(EXACT([1]SEED!$J445, ""), "", [1]SEED!$AI445), [1]SEED!$AH445), [1]SEED!$AF445), [1]SEED!$AE445), [1]SEED!$AD445)</f>
        <v>1</v>
      </c>
      <c r="F444" s="14">
        <f t="shared" si="14"/>
        <v>237000000000435</v>
      </c>
      <c r="G444" s="15" t="str">
        <f t="shared" si="15"/>
        <v>PERFORM * FROM "SchData-OLTP-Accounting"."Func_TblLayoutStructureChartOfAccount_SET"(varSystemLoginSession, null, null, null, varInstitutionBranchID, 62000000000001::bigint, varLayoutStructure_RefID, 65000000000435::bigint, 65000000000434::bigint, 1::smallint);</v>
      </c>
    </row>
    <row r="445" spans="2:7" x14ac:dyDescent="0.2">
      <c r="B445" s="9">
        <f>IF(EXACT([1]SEED!$AV446, ""), "", [1]SEED!$AV446)</f>
        <v>65000000000436</v>
      </c>
      <c r="C445" s="9">
        <f>IF(EXACT(B445, ""), "", IF(EXACT([1]SEED!$AW446, ""), "", [1]SEED!$AW446))</f>
        <v>65000000000391</v>
      </c>
      <c r="D445" s="9">
        <f>IF(EXACT([1]SEED!$B446, ""), IF(EXACT([1]SEED!$D446, ""), IF(EXACT([1]SEED!$F446, ""), IF(EXACT([1]SEED!$H446, ""), IF(EXACT([1]SEED!$J446, ""), "", [1]SEED!$AI446), [1]SEED!$AH446), [1]SEED!$AF446), [1]SEED!$AE446), [1]SEED!$AD446)</f>
        <v>1</v>
      </c>
      <c r="F445" s="14">
        <f t="shared" si="14"/>
        <v>237000000000436</v>
      </c>
      <c r="G445" s="15" t="str">
        <f t="shared" si="15"/>
        <v>PERFORM * FROM "SchData-OLTP-Accounting"."Func_TblLayoutStructureChartOfAccount_SET"(varSystemLoginSession, null, null, null, varInstitutionBranchID, 62000000000001::bigint, varLayoutStructure_RefID, 65000000000436::bigint, 65000000000391::bigint, 1::smallint);</v>
      </c>
    </row>
    <row r="446" spans="2:7" x14ac:dyDescent="0.2">
      <c r="B446" s="9">
        <f>IF(EXACT([1]SEED!$AV447, ""), "", [1]SEED!$AV447)</f>
        <v>65000000000437</v>
      </c>
      <c r="C446" s="9">
        <f>IF(EXACT(B446, ""), "", IF(EXACT([1]SEED!$AW447, ""), "", [1]SEED!$AW447))</f>
        <v>65000000000436</v>
      </c>
      <c r="D446" s="9">
        <f>IF(EXACT([1]SEED!$B447, ""), IF(EXACT([1]SEED!$D447, ""), IF(EXACT([1]SEED!$F447, ""), IF(EXACT([1]SEED!$H447, ""), IF(EXACT([1]SEED!$J447, ""), "", [1]SEED!$AI447), [1]SEED!$AH447), [1]SEED!$AF447), [1]SEED!$AE447), [1]SEED!$AD447)</f>
        <v>1</v>
      </c>
      <c r="F446" s="14">
        <f t="shared" si="14"/>
        <v>237000000000437</v>
      </c>
      <c r="G446" s="15" t="str">
        <f t="shared" si="15"/>
        <v>PERFORM * FROM "SchData-OLTP-Accounting"."Func_TblLayoutStructureChartOfAccount_SET"(varSystemLoginSession, null, null, null, varInstitutionBranchID, 62000000000001::bigint, varLayoutStructure_RefID, 65000000000437::bigint, 65000000000436::bigint, 1::smallint);</v>
      </c>
    </row>
    <row r="447" spans="2:7" x14ac:dyDescent="0.2">
      <c r="B447" s="9">
        <f>IF(EXACT([1]SEED!$AV448, ""), "", [1]SEED!$AV448)</f>
        <v>65000000000438</v>
      </c>
      <c r="C447" s="9">
        <f>IF(EXACT(B447, ""), "", IF(EXACT([1]SEED!$AW448, ""), "", [1]SEED!$AW448))</f>
        <v>65000000000391</v>
      </c>
      <c r="D447" s="9">
        <f>IF(EXACT([1]SEED!$B448, ""), IF(EXACT([1]SEED!$D448, ""), IF(EXACT([1]SEED!$F448, ""), IF(EXACT([1]SEED!$H448, ""), IF(EXACT([1]SEED!$J448, ""), "", [1]SEED!$AI448), [1]SEED!$AH448), [1]SEED!$AF448), [1]SEED!$AE448), [1]SEED!$AD448)</f>
        <v>1</v>
      </c>
      <c r="F447" s="14">
        <f t="shared" si="14"/>
        <v>237000000000438</v>
      </c>
      <c r="G447" s="15" t="str">
        <f t="shared" si="15"/>
        <v>PERFORM * FROM "SchData-OLTP-Accounting"."Func_TblLayoutStructureChartOfAccount_SET"(varSystemLoginSession, null, null, null, varInstitutionBranchID, 62000000000001::bigint, varLayoutStructure_RefID, 65000000000438::bigint, 65000000000391::bigint, 1::smallint);</v>
      </c>
    </row>
    <row r="448" spans="2:7" x14ac:dyDescent="0.2">
      <c r="B448" s="9">
        <f>IF(EXACT([1]SEED!$AV449, ""), "", [1]SEED!$AV449)</f>
        <v>65000000000439</v>
      </c>
      <c r="C448" s="9">
        <f>IF(EXACT(B448, ""), "", IF(EXACT([1]SEED!$AW449, ""), "", [1]SEED!$AW449))</f>
        <v>65000000000438</v>
      </c>
      <c r="D448" s="9">
        <f>IF(EXACT([1]SEED!$B449, ""), IF(EXACT([1]SEED!$D449, ""), IF(EXACT([1]SEED!$F449, ""), IF(EXACT([1]SEED!$H449, ""), IF(EXACT([1]SEED!$J449, ""), "", [1]SEED!$AI449), [1]SEED!$AH449), [1]SEED!$AF449), [1]SEED!$AE449), [1]SEED!$AD449)</f>
        <v>1</v>
      </c>
      <c r="F448" s="14">
        <f t="shared" si="14"/>
        <v>237000000000439</v>
      </c>
      <c r="G448" s="15" t="str">
        <f t="shared" si="15"/>
        <v>PERFORM * FROM "SchData-OLTP-Accounting"."Func_TblLayoutStructureChartOfAccount_SET"(varSystemLoginSession, null, null, null, varInstitutionBranchID, 62000000000001::bigint, varLayoutStructure_RefID, 65000000000439::bigint, 65000000000438::bigint, 1::smallint);</v>
      </c>
    </row>
    <row r="449" spans="2:7" x14ac:dyDescent="0.2">
      <c r="B449" s="9">
        <f>IF(EXACT([1]SEED!$AV450, ""), "", [1]SEED!$AV450)</f>
        <v>65000000000440</v>
      </c>
      <c r="C449" s="9">
        <f>IF(EXACT(B449, ""), "", IF(EXACT([1]SEED!$AW450, ""), "", [1]SEED!$AW450))</f>
        <v>65000000000391</v>
      </c>
      <c r="D449" s="9">
        <f>IF(EXACT([1]SEED!$B450, ""), IF(EXACT([1]SEED!$D450, ""), IF(EXACT([1]SEED!$F450, ""), IF(EXACT([1]SEED!$H450, ""), IF(EXACT([1]SEED!$J450, ""), "", [1]SEED!$AI450), [1]SEED!$AH450), [1]SEED!$AF450), [1]SEED!$AE450), [1]SEED!$AD450)</f>
        <v>1</v>
      </c>
      <c r="F449" s="14">
        <f t="shared" si="14"/>
        <v>237000000000440</v>
      </c>
      <c r="G449" s="15" t="str">
        <f t="shared" si="15"/>
        <v>PERFORM * FROM "SchData-OLTP-Accounting"."Func_TblLayoutStructureChartOfAccount_SET"(varSystemLoginSession, null, null, null, varInstitutionBranchID, 62000000000001::bigint, varLayoutStructure_RefID, 65000000000440::bigint, 65000000000391::bigint, 1::smallint);</v>
      </c>
    </row>
    <row r="450" spans="2:7" x14ac:dyDescent="0.2">
      <c r="B450" s="9">
        <f>IF(EXACT([1]SEED!$AV451, ""), "", [1]SEED!$AV451)</f>
        <v>65000000000441</v>
      </c>
      <c r="C450" s="9">
        <f>IF(EXACT(B450, ""), "", IF(EXACT([1]SEED!$AW451, ""), "", [1]SEED!$AW451))</f>
        <v>65000000000440</v>
      </c>
      <c r="D450" s="9">
        <f>IF(EXACT([1]SEED!$B451, ""), IF(EXACT([1]SEED!$D451, ""), IF(EXACT([1]SEED!$F451, ""), IF(EXACT([1]SEED!$H451, ""), IF(EXACT([1]SEED!$J451, ""), "", [1]SEED!$AI451), [1]SEED!$AH451), [1]SEED!$AF451), [1]SEED!$AE451), [1]SEED!$AD451)</f>
        <v>1</v>
      </c>
      <c r="F450" s="14">
        <f t="shared" si="14"/>
        <v>237000000000441</v>
      </c>
      <c r="G450" s="15" t="str">
        <f t="shared" si="15"/>
        <v>PERFORM * FROM "SchData-OLTP-Accounting"."Func_TblLayoutStructureChartOfAccount_SET"(varSystemLoginSession, null, null, null, varInstitutionBranchID, 62000000000001::bigint, varLayoutStructure_RefID, 65000000000441::bigint, 65000000000440::bigint, 1::smallint);</v>
      </c>
    </row>
    <row r="451" spans="2:7" x14ac:dyDescent="0.2">
      <c r="B451" s="9">
        <f>IF(EXACT([1]SEED!$AV452, ""), "", [1]SEED!$AV452)</f>
        <v>65000000000442</v>
      </c>
      <c r="C451" s="9">
        <f>IF(EXACT(B451, ""), "", IF(EXACT([1]SEED!$AW452, ""), "", [1]SEED!$AW452))</f>
        <v>65000000000391</v>
      </c>
      <c r="D451" s="9">
        <f>IF(EXACT([1]SEED!$B452, ""), IF(EXACT([1]SEED!$D452, ""), IF(EXACT([1]SEED!$F452, ""), IF(EXACT([1]SEED!$H452, ""), IF(EXACT([1]SEED!$J452, ""), "", [1]SEED!$AI452), [1]SEED!$AH452), [1]SEED!$AF452), [1]SEED!$AE452), [1]SEED!$AD452)</f>
        <v>1</v>
      </c>
      <c r="F451" s="14">
        <f t="shared" si="14"/>
        <v>237000000000442</v>
      </c>
      <c r="G451" s="15" t="str">
        <f t="shared" si="15"/>
        <v>PERFORM * FROM "SchData-OLTP-Accounting"."Func_TblLayoutStructureChartOfAccount_SET"(varSystemLoginSession, null, null, null, varInstitutionBranchID, 62000000000001::bigint, varLayoutStructure_RefID, 65000000000442::bigint, 65000000000391::bigint, 1::smallint);</v>
      </c>
    </row>
    <row r="452" spans="2:7" x14ac:dyDescent="0.2">
      <c r="B452" s="9">
        <f>IF(EXACT([1]SEED!$AV453, ""), "", [1]SEED!$AV453)</f>
        <v>65000000000443</v>
      </c>
      <c r="C452" s="9">
        <f>IF(EXACT(B452, ""), "", IF(EXACT([1]SEED!$AW453, ""), "", [1]SEED!$AW453))</f>
        <v>65000000000442</v>
      </c>
      <c r="D452" s="9">
        <f>IF(EXACT([1]SEED!$B453, ""), IF(EXACT([1]SEED!$D453, ""), IF(EXACT([1]SEED!$F453, ""), IF(EXACT([1]SEED!$H453, ""), IF(EXACT([1]SEED!$J453, ""), "", [1]SEED!$AI453), [1]SEED!$AH453), [1]SEED!$AF453), [1]SEED!$AE453), [1]SEED!$AD453)</f>
        <v>1</v>
      </c>
      <c r="F452" s="14">
        <f t="shared" si="14"/>
        <v>237000000000443</v>
      </c>
      <c r="G452" s="15" t="str">
        <f t="shared" si="15"/>
        <v>PERFORM * FROM "SchData-OLTP-Accounting"."Func_TblLayoutStructureChartOfAccount_SET"(varSystemLoginSession, null, null, null, varInstitutionBranchID, 62000000000001::bigint, varLayoutStructure_RefID, 65000000000443::bigint, 65000000000442::bigint, 1::smallint);</v>
      </c>
    </row>
    <row r="453" spans="2:7" x14ac:dyDescent="0.2">
      <c r="B453" s="9">
        <f>IF(EXACT([1]SEED!$AV454, ""), "", [1]SEED!$AV454)</f>
        <v>65000000000444</v>
      </c>
      <c r="C453" s="9">
        <f>IF(EXACT(B453, ""), "", IF(EXACT([1]SEED!$AW454, ""), "", [1]SEED!$AW454))</f>
        <v>65000000000391</v>
      </c>
      <c r="D453" s="9">
        <f>IF(EXACT([1]SEED!$B454, ""), IF(EXACT([1]SEED!$D454, ""), IF(EXACT([1]SEED!$F454, ""), IF(EXACT([1]SEED!$H454, ""), IF(EXACT([1]SEED!$J454, ""), "", [1]SEED!$AI454), [1]SEED!$AH454), [1]SEED!$AF454), [1]SEED!$AE454), [1]SEED!$AD454)</f>
        <v>1</v>
      </c>
      <c r="F453" s="14">
        <f t="shared" si="14"/>
        <v>237000000000444</v>
      </c>
      <c r="G453" s="15" t="str">
        <f t="shared" si="15"/>
        <v>PERFORM * FROM "SchData-OLTP-Accounting"."Func_TblLayoutStructureChartOfAccount_SET"(varSystemLoginSession, null, null, null, varInstitutionBranchID, 62000000000001::bigint, varLayoutStructure_RefID, 65000000000444::bigint, 65000000000391::bigint, 1::smallint);</v>
      </c>
    </row>
    <row r="454" spans="2:7" x14ac:dyDescent="0.2">
      <c r="B454" s="9">
        <f>IF(EXACT([1]SEED!$AV455, ""), "", [1]SEED!$AV455)</f>
        <v>65000000000445</v>
      </c>
      <c r="C454" s="9">
        <f>IF(EXACT(B454, ""), "", IF(EXACT([1]SEED!$AW455, ""), "", [1]SEED!$AW455))</f>
        <v>65000000000444</v>
      </c>
      <c r="D454" s="9">
        <f>IF(EXACT([1]SEED!$B455, ""), IF(EXACT([1]SEED!$D455, ""), IF(EXACT([1]SEED!$F455, ""), IF(EXACT([1]SEED!$H455, ""), IF(EXACT([1]SEED!$J455, ""), "", [1]SEED!$AI455), [1]SEED!$AH455), [1]SEED!$AF455), [1]SEED!$AE455), [1]SEED!$AD455)</f>
        <v>1</v>
      </c>
      <c r="F454" s="14">
        <f t="shared" si="14"/>
        <v>237000000000445</v>
      </c>
      <c r="G454" s="15" t="str">
        <f t="shared" si="15"/>
        <v>PERFORM * FROM "SchData-OLTP-Accounting"."Func_TblLayoutStructureChartOfAccount_SET"(varSystemLoginSession, null, null, null, varInstitutionBranchID, 62000000000001::bigint, varLayoutStructure_RefID, 65000000000445::bigint, 65000000000444::bigint, 1::smallint);</v>
      </c>
    </row>
    <row r="455" spans="2:7" x14ac:dyDescent="0.2">
      <c r="B455" s="9">
        <f>IF(EXACT([1]SEED!$AV456, ""), "", [1]SEED!$AV456)</f>
        <v>65000000000446</v>
      </c>
      <c r="C455" s="9">
        <f>IF(EXACT(B455, ""), "", IF(EXACT([1]SEED!$AW456, ""), "", [1]SEED!$AW456))</f>
        <v>65000000000391</v>
      </c>
      <c r="D455" s="9">
        <f>IF(EXACT([1]SEED!$B456, ""), IF(EXACT([1]SEED!$D456, ""), IF(EXACT([1]SEED!$F456, ""), IF(EXACT([1]SEED!$H456, ""), IF(EXACT([1]SEED!$J456, ""), "", [1]SEED!$AI456), [1]SEED!$AH456), [1]SEED!$AF456), [1]SEED!$AE456), [1]SEED!$AD456)</f>
        <v>1</v>
      </c>
      <c r="F455" s="14">
        <f t="shared" ref="F455:F518" si="16" xml:space="preserve"> F454 + IF(EXACT(G455, ""), 0, 1)</f>
        <v>237000000000446</v>
      </c>
      <c r="G455" s="15" t="str">
        <f t="shared" ref="G455:G518" si="17">IF(EXACT(B455, ""), "", CONCATENATE("PERFORM * FROM ""SchData-OLTP-Accounting"".""Func_TblLayoutStructureChartOfAccount_SET""(varSystemLoginSession, null, null, null, varInstitutionBranchID, 62000000000001::bigint, varLayoutStructure_RefID, ", B455, "::bigint, ", C455, "::bigint, ", D455,"::smallint);"))</f>
        <v>PERFORM * FROM "SchData-OLTP-Accounting"."Func_TblLayoutStructureChartOfAccount_SET"(varSystemLoginSession, null, null, null, varInstitutionBranchID, 62000000000001::bigint, varLayoutStructure_RefID, 65000000000446::bigint, 65000000000391::bigint, 1::smallint);</v>
      </c>
    </row>
    <row r="456" spans="2:7" x14ac:dyDescent="0.2">
      <c r="B456" s="9">
        <f>IF(EXACT([1]SEED!$AV457, ""), "", [1]SEED!$AV457)</f>
        <v>65000000000447</v>
      </c>
      <c r="C456" s="9">
        <f>IF(EXACT(B456, ""), "", IF(EXACT([1]SEED!$AW457, ""), "", [1]SEED!$AW457))</f>
        <v>65000000000446</v>
      </c>
      <c r="D456" s="9">
        <f>IF(EXACT([1]SEED!$B457, ""), IF(EXACT([1]SEED!$D457, ""), IF(EXACT([1]SEED!$F457, ""), IF(EXACT([1]SEED!$H457, ""), IF(EXACT([1]SEED!$J457, ""), "", [1]SEED!$AI457), [1]SEED!$AH457), [1]SEED!$AF457), [1]SEED!$AE457), [1]SEED!$AD457)</f>
        <v>1</v>
      </c>
      <c r="F456" s="14">
        <f t="shared" si="16"/>
        <v>237000000000447</v>
      </c>
      <c r="G456" s="15" t="str">
        <f t="shared" si="17"/>
        <v>PERFORM * FROM "SchData-OLTP-Accounting"."Func_TblLayoutStructureChartOfAccount_SET"(varSystemLoginSession, null, null, null, varInstitutionBranchID, 62000000000001::bigint, varLayoutStructure_RefID, 65000000000447::bigint, 65000000000446::bigint, 1::smallint);</v>
      </c>
    </row>
    <row r="457" spans="2:7" x14ac:dyDescent="0.2">
      <c r="B457" s="9">
        <f>IF(EXACT([1]SEED!$AV458, ""), "", [1]SEED!$AV458)</f>
        <v>65000000000448</v>
      </c>
      <c r="C457" s="9">
        <f>IF(EXACT(B457, ""), "", IF(EXACT([1]SEED!$AW458, ""), "", [1]SEED!$AW458))</f>
        <v>65000000000353</v>
      </c>
      <c r="D457" s="9">
        <f>IF(EXACT([1]SEED!$B458, ""), IF(EXACT([1]SEED!$D458, ""), IF(EXACT([1]SEED!$F458, ""), IF(EXACT([1]SEED!$H458, ""), IF(EXACT([1]SEED!$J458, ""), "", [1]SEED!$AI458), [1]SEED!$AH458), [1]SEED!$AF458), [1]SEED!$AE458), [1]SEED!$AD458)</f>
        <v>4</v>
      </c>
      <c r="F457" s="14">
        <f t="shared" si="16"/>
        <v>237000000000448</v>
      </c>
      <c r="G457" s="15" t="str">
        <f t="shared" si="17"/>
        <v>PERFORM * FROM "SchData-OLTP-Accounting"."Func_TblLayoutStructureChartOfAccount_SET"(varSystemLoginSession, null, null, null, varInstitutionBranchID, 62000000000001::bigint, varLayoutStructure_RefID, 65000000000448::bigint, 65000000000353::bigint, 4::smallint);</v>
      </c>
    </row>
    <row r="458" spans="2:7" x14ac:dyDescent="0.2">
      <c r="B458" s="9">
        <f>IF(EXACT([1]SEED!$AV459, ""), "", [1]SEED!$AV459)</f>
        <v>65000000000449</v>
      </c>
      <c r="C458" s="9">
        <f>IF(EXACT(B458, ""), "", IF(EXACT([1]SEED!$AW459, ""), "", [1]SEED!$AW459))</f>
        <v>65000000000448</v>
      </c>
      <c r="D458" s="9">
        <f>IF(EXACT([1]SEED!$B459, ""), IF(EXACT([1]SEED!$D459, ""), IF(EXACT([1]SEED!$F459, ""), IF(EXACT([1]SEED!$H459, ""), IF(EXACT([1]SEED!$J459, ""), "", [1]SEED!$AI459), [1]SEED!$AH459), [1]SEED!$AF459), [1]SEED!$AE459), [1]SEED!$AD459)</f>
        <v>1</v>
      </c>
      <c r="F458" s="14">
        <f t="shared" si="16"/>
        <v>237000000000449</v>
      </c>
      <c r="G458" s="15" t="str">
        <f t="shared" si="17"/>
        <v>PERFORM * FROM "SchData-OLTP-Accounting"."Func_TblLayoutStructureChartOfAccount_SET"(varSystemLoginSession, null, null, null, varInstitutionBranchID, 62000000000001::bigint, varLayoutStructure_RefID, 65000000000449::bigint, 65000000000448::bigint, 1::smallint);</v>
      </c>
    </row>
    <row r="459" spans="2:7" x14ac:dyDescent="0.2">
      <c r="B459" s="9">
        <f>IF(EXACT([1]SEED!$AV460, ""), "", [1]SEED!$AV460)</f>
        <v>65000000000450</v>
      </c>
      <c r="C459" s="9">
        <f>IF(EXACT(B459, ""), "", IF(EXACT([1]SEED!$AW460, ""), "", [1]SEED!$AW460))</f>
        <v>65000000000449</v>
      </c>
      <c r="D459" s="9">
        <f>IF(EXACT([1]SEED!$B460, ""), IF(EXACT([1]SEED!$D460, ""), IF(EXACT([1]SEED!$F460, ""), IF(EXACT([1]SEED!$H460, ""), IF(EXACT([1]SEED!$J460, ""), "", [1]SEED!$AI460), [1]SEED!$AH460), [1]SEED!$AF460), [1]SEED!$AE460), [1]SEED!$AD460)</f>
        <v>1</v>
      </c>
      <c r="F459" s="14">
        <f t="shared" si="16"/>
        <v>237000000000450</v>
      </c>
      <c r="G459" s="15" t="str">
        <f t="shared" si="17"/>
        <v>PERFORM * FROM "SchData-OLTP-Accounting"."Func_TblLayoutStructureChartOfAccount_SET"(varSystemLoginSession, null, null, null, varInstitutionBranchID, 62000000000001::bigint, varLayoutStructure_RefID, 65000000000450::bigint, 65000000000449::bigint, 1::smallint);</v>
      </c>
    </row>
    <row r="460" spans="2:7" x14ac:dyDescent="0.2">
      <c r="B460" s="9">
        <f>IF(EXACT([1]SEED!$AV461, ""), "", [1]SEED!$AV461)</f>
        <v>65000000000451</v>
      </c>
      <c r="C460" s="9">
        <f>IF(EXACT(B460, ""), "", IF(EXACT([1]SEED!$AW461, ""), "", [1]SEED!$AW461))</f>
        <v>65000000000448</v>
      </c>
      <c r="D460" s="9">
        <f>IF(EXACT([1]SEED!$B461, ""), IF(EXACT([1]SEED!$D461, ""), IF(EXACT([1]SEED!$F461, ""), IF(EXACT([1]SEED!$H461, ""), IF(EXACT([1]SEED!$J461, ""), "", [1]SEED!$AI461), [1]SEED!$AH461), [1]SEED!$AF461), [1]SEED!$AE461), [1]SEED!$AD461)</f>
        <v>1</v>
      </c>
      <c r="F460" s="14">
        <f t="shared" si="16"/>
        <v>237000000000451</v>
      </c>
      <c r="G460" s="15" t="str">
        <f t="shared" si="17"/>
        <v>PERFORM * FROM "SchData-OLTP-Accounting"."Func_TblLayoutStructureChartOfAccount_SET"(varSystemLoginSession, null, null, null, varInstitutionBranchID, 62000000000001::bigint, varLayoutStructure_RefID, 65000000000451::bigint, 65000000000448::bigint, 1::smallint);</v>
      </c>
    </row>
    <row r="461" spans="2:7" x14ac:dyDescent="0.2">
      <c r="B461" s="9">
        <f>IF(EXACT([1]SEED!$AV462, ""), "", [1]SEED!$AV462)</f>
        <v>65000000000452</v>
      </c>
      <c r="C461" s="9">
        <f>IF(EXACT(B461, ""), "", IF(EXACT([1]SEED!$AW462, ""), "", [1]SEED!$AW462))</f>
        <v>65000000000451</v>
      </c>
      <c r="D461" s="9">
        <f>IF(EXACT([1]SEED!$B462, ""), IF(EXACT([1]SEED!$D462, ""), IF(EXACT([1]SEED!$F462, ""), IF(EXACT([1]SEED!$H462, ""), IF(EXACT([1]SEED!$J462, ""), "", [1]SEED!$AI462), [1]SEED!$AH462), [1]SEED!$AF462), [1]SEED!$AE462), [1]SEED!$AD462)</f>
        <v>1</v>
      </c>
      <c r="F461" s="14">
        <f t="shared" si="16"/>
        <v>237000000000452</v>
      </c>
      <c r="G461" s="15" t="str">
        <f t="shared" si="17"/>
        <v>PERFORM * FROM "SchData-OLTP-Accounting"."Func_TblLayoutStructureChartOfAccount_SET"(varSystemLoginSession, null, null, null, varInstitutionBranchID, 62000000000001::bigint, varLayoutStructure_RefID, 65000000000452::bigint, 65000000000451::bigint, 1::smallint);</v>
      </c>
    </row>
    <row r="462" spans="2:7" x14ac:dyDescent="0.2">
      <c r="B462" s="9">
        <f>IF(EXACT([1]SEED!$AV463, ""), "", [1]SEED!$AV463)</f>
        <v>65000000000453</v>
      </c>
      <c r="C462" s="9">
        <f>IF(EXACT(B462, ""), "", IF(EXACT([1]SEED!$AW463, ""), "", [1]SEED!$AW463))</f>
        <v>65000000000448</v>
      </c>
      <c r="D462" s="9">
        <f>IF(EXACT([1]SEED!$B463, ""), IF(EXACT([1]SEED!$D463, ""), IF(EXACT([1]SEED!$F463, ""), IF(EXACT([1]SEED!$H463, ""), IF(EXACT([1]SEED!$J463, ""), "", [1]SEED!$AI463), [1]SEED!$AH463), [1]SEED!$AF463), [1]SEED!$AE463), [1]SEED!$AD463)</f>
        <v>1</v>
      </c>
      <c r="F462" s="14">
        <f t="shared" si="16"/>
        <v>237000000000453</v>
      </c>
      <c r="G462" s="15" t="str">
        <f t="shared" si="17"/>
        <v>PERFORM * FROM "SchData-OLTP-Accounting"."Func_TblLayoutStructureChartOfAccount_SET"(varSystemLoginSession, null, null, null, varInstitutionBranchID, 62000000000001::bigint, varLayoutStructure_RefID, 65000000000453::bigint, 65000000000448::bigint, 1::smallint);</v>
      </c>
    </row>
    <row r="463" spans="2:7" x14ac:dyDescent="0.2">
      <c r="B463" s="9">
        <f>IF(EXACT([1]SEED!$AV464, ""), "", [1]SEED!$AV464)</f>
        <v>65000000000454</v>
      </c>
      <c r="C463" s="9">
        <f>IF(EXACT(B463, ""), "", IF(EXACT([1]SEED!$AW464, ""), "", [1]SEED!$AW464))</f>
        <v>65000000000453</v>
      </c>
      <c r="D463" s="9">
        <f>IF(EXACT([1]SEED!$B464, ""), IF(EXACT([1]SEED!$D464, ""), IF(EXACT([1]SEED!$F464, ""), IF(EXACT([1]SEED!$H464, ""), IF(EXACT([1]SEED!$J464, ""), "", [1]SEED!$AI464), [1]SEED!$AH464), [1]SEED!$AF464), [1]SEED!$AE464), [1]SEED!$AD464)</f>
        <v>1</v>
      </c>
      <c r="F463" s="14">
        <f t="shared" si="16"/>
        <v>237000000000454</v>
      </c>
      <c r="G463" s="15" t="str">
        <f t="shared" si="17"/>
        <v>PERFORM * FROM "SchData-OLTP-Accounting"."Func_TblLayoutStructureChartOfAccount_SET"(varSystemLoginSession, null, null, null, varInstitutionBranchID, 62000000000001::bigint, varLayoutStructure_RefID, 65000000000454::bigint, 65000000000453::bigint, 1::smallint);</v>
      </c>
    </row>
    <row r="464" spans="2:7" x14ac:dyDescent="0.2">
      <c r="B464" s="9">
        <f>IF(EXACT([1]SEED!$AV465, ""), "", [1]SEED!$AV465)</f>
        <v>65000000000455</v>
      </c>
      <c r="C464" s="9">
        <f>IF(EXACT(B464, ""), "", IF(EXACT([1]SEED!$AW465, ""), "", [1]SEED!$AW465))</f>
        <v>65000000000448</v>
      </c>
      <c r="D464" s="9">
        <f>IF(EXACT([1]SEED!$B465, ""), IF(EXACT([1]SEED!$D465, ""), IF(EXACT([1]SEED!$F465, ""), IF(EXACT([1]SEED!$H465, ""), IF(EXACT([1]SEED!$J465, ""), "", [1]SEED!$AI465), [1]SEED!$AH465), [1]SEED!$AF465), [1]SEED!$AE465), [1]SEED!$AD465)</f>
        <v>1</v>
      </c>
      <c r="F464" s="14">
        <f t="shared" si="16"/>
        <v>237000000000455</v>
      </c>
      <c r="G464" s="15" t="str">
        <f t="shared" si="17"/>
        <v>PERFORM * FROM "SchData-OLTP-Accounting"."Func_TblLayoutStructureChartOfAccount_SET"(varSystemLoginSession, null, null, null, varInstitutionBranchID, 62000000000001::bigint, varLayoutStructure_RefID, 65000000000455::bigint, 65000000000448::bigint, 1::smallint);</v>
      </c>
    </row>
    <row r="465" spans="2:7" x14ac:dyDescent="0.2">
      <c r="B465" s="9">
        <f>IF(EXACT([1]SEED!$AV466, ""), "", [1]SEED!$AV466)</f>
        <v>65000000000456</v>
      </c>
      <c r="C465" s="9">
        <f>IF(EXACT(B465, ""), "", IF(EXACT([1]SEED!$AW466, ""), "", [1]SEED!$AW466))</f>
        <v>65000000000455</v>
      </c>
      <c r="D465" s="9">
        <f>IF(EXACT([1]SEED!$B466, ""), IF(EXACT([1]SEED!$D466, ""), IF(EXACT([1]SEED!$F466, ""), IF(EXACT([1]SEED!$H466, ""), IF(EXACT([1]SEED!$J466, ""), "", [1]SEED!$AI466), [1]SEED!$AH466), [1]SEED!$AF466), [1]SEED!$AE466), [1]SEED!$AD466)</f>
        <v>1</v>
      </c>
      <c r="F465" s="14">
        <f t="shared" si="16"/>
        <v>237000000000456</v>
      </c>
      <c r="G465" s="15" t="str">
        <f t="shared" si="17"/>
        <v>PERFORM * FROM "SchData-OLTP-Accounting"."Func_TblLayoutStructureChartOfAccount_SET"(varSystemLoginSession, null, null, null, varInstitutionBranchID, 62000000000001::bigint, varLayoutStructure_RefID, 65000000000456::bigint, 65000000000455::bigint, 1::smallint);</v>
      </c>
    </row>
    <row r="466" spans="2:7" x14ac:dyDescent="0.2">
      <c r="B466" s="9">
        <f>IF(EXACT([1]SEED!$AV467, ""), "", [1]SEED!$AV467)</f>
        <v>65000000000457</v>
      </c>
      <c r="C466" s="9">
        <f>IF(EXACT(B466, ""), "", IF(EXACT([1]SEED!$AW467, ""), "", [1]SEED!$AW467))</f>
        <v>65000000000448</v>
      </c>
      <c r="D466" s="9">
        <f>IF(EXACT([1]SEED!$B467, ""), IF(EXACT([1]SEED!$D467, ""), IF(EXACT([1]SEED!$F467, ""), IF(EXACT([1]SEED!$H467, ""), IF(EXACT([1]SEED!$J467, ""), "", [1]SEED!$AI467), [1]SEED!$AH467), [1]SEED!$AF467), [1]SEED!$AE467), [1]SEED!$AD467)</f>
        <v>1</v>
      </c>
      <c r="F466" s="14">
        <f t="shared" si="16"/>
        <v>237000000000457</v>
      </c>
      <c r="G466" s="15" t="str">
        <f t="shared" si="17"/>
        <v>PERFORM * FROM "SchData-OLTP-Accounting"."Func_TblLayoutStructureChartOfAccount_SET"(varSystemLoginSession, null, null, null, varInstitutionBranchID, 62000000000001::bigint, varLayoutStructure_RefID, 65000000000457::bigint, 65000000000448::bigint, 1::smallint);</v>
      </c>
    </row>
    <row r="467" spans="2:7" x14ac:dyDescent="0.2">
      <c r="B467" s="9">
        <f>IF(EXACT([1]SEED!$AV468, ""), "", [1]SEED!$AV468)</f>
        <v>65000000000458</v>
      </c>
      <c r="C467" s="9">
        <f>IF(EXACT(B467, ""), "", IF(EXACT([1]SEED!$AW468, ""), "", [1]SEED!$AW468))</f>
        <v>65000000000457</v>
      </c>
      <c r="D467" s="9">
        <f>IF(EXACT([1]SEED!$B468, ""), IF(EXACT([1]SEED!$D468, ""), IF(EXACT([1]SEED!$F468, ""), IF(EXACT([1]SEED!$H468, ""), IF(EXACT([1]SEED!$J468, ""), "", [1]SEED!$AI468), [1]SEED!$AH468), [1]SEED!$AF468), [1]SEED!$AE468), [1]SEED!$AD468)</f>
        <v>1</v>
      </c>
      <c r="F467" s="14">
        <f t="shared" si="16"/>
        <v>237000000000458</v>
      </c>
      <c r="G467" s="15" t="str">
        <f t="shared" si="17"/>
        <v>PERFORM * FROM "SchData-OLTP-Accounting"."Func_TblLayoutStructureChartOfAccount_SET"(varSystemLoginSession, null, null, null, varInstitutionBranchID, 62000000000001::bigint, varLayoutStructure_RefID, 65000000000458::bigint, 65000000000457::bigint, 1::smallint);</v>
      </c>
    </row>
    <row r="468" spans="2:7" x14ac:dyDescent="0.2">
      <c r="B468" s="9">
        <f>IF(EXACT([1]SEED!$AV469, ""), "", [1]SEED!$AV469)</f>
        <v>65000000000459</v>
      </c>
      <c r="C468" s="9">
        <f>IF(EXACT(B468, ""), "", IF(EXACT([1]SEED!$AW469, ""), "", [1]SEED!$AW469))</f>
        <v>65000000000448</v>
      </c>
      <c r="D468" s="9">
        <f>IF(EXACT([1]SEED!$B469, ""), IF(EXACT([1]SEED!$D469, ""), IF(EXACT([1]SEED!$F469, ""), IF(EXACT([1]SEED!$H469, ""), IF(EXACT([1]SEED!$J469, ""), "", [1]SEED!$AI469), [1]SEED!$AH469), [1]SEED!$AF469), [1]SEED!$AE469), [1]SEED!$AD469)</f>
        <v>1</v>
      </c>
      <c r="F468" s="14">
        <f t="shared" si="16"/>
        <v>237000000000459</v>
      </c>
      <c r="G468" s="15" t="str">
        <f t="shared" si="17"/>
        <v>PERFORM * FROM "SchData-OLTP-Accounting"."Func_TblLayoutStructureChartOfAccount_SET"(varSystemLoginSession, null, null, null, varInstitutionBranchID, 62000000000001::bigint, varLayoutStructure_RefID, 65000000000459::bigint, 65000000000448::bigint, 1::smallint);</v>
      </c>
    </row>
    <row r="469" spans="2:7" x14ac:dyDescent="0.2">
      <c r="B469" s="9">
        <f>IF(EXACT([1]SEED!$AV470, ""), "", [1]SEED!$AV470)</f>
        <v>65000000000460</v>
      </c>
      <c r="C469" s="9">
        <f>IF(EXACT(B469, ""), "", IF(EXACT([1]SEED!$AW470, ""), "", [1]SEED!$AW470))</f>
        <v>65000000000459</v>
      </c>
      <c r="D469" s="9">
        <f>IF(EXACT([1]SEED!$B470, ""), IF(EXACT([1]SEED!$D470, ""), IF(EXACT([1]SEED!$F470, ""), IF(EXACT([1]SEED!$H470, ""), IF(EXACT([1]SEED!$J470, ""), "", [1]SEED!$AI470), [1]SEED!$AH470), [1]SEED!$AF470), [1]SEED!$AE470), [1]SEED!$AD470)</f>
        <v>1</v>
      </c>
      <c r="F469" s="14">
        <f t="shared" si="16"/>
        <v>237000000000460</v>
      </c>
      <c r="G469" s="15" t="str">
        <f t="shared" si="17"/>
        <v>PERFORM * FROM "SchData-OLTP-Accounting"."Func_TblLayoutStructureChartOfAccount_SET"(varSystemLoginSession, null, null, null, varInstitutionBranchID, 62000000000001::bigint, varLayoutStructure_RefID, 65000000000460::bigint, 65000000000459::bigint, 1::smallint);</v>
      </c>
    </row>
    <row r="470" spans="2:7" x14ac:dyDescent="0.2">
      <c r="B470" s="9">
        <f>IF(EXACT([1]SEED!$AV471, ""), "", [1]SEED!$AV471)</f>
        <v>65000000000461</v>
      </c>
      <c r="C470" s="9">
        <f>IF(EXACT(B470, ""), "", IF(EXACT([1]SEED!$AW471, ""), "", [1]SEED!$AW471))</f>
        <v>65000000000448</v>
      </c>
      <c r="D470" s="9">
        <f>IF(EXACT([1]SEED!$B471, ""), IF(EXACT([1]SEED!$D471, ""), IF(EXACT([1]SEED!$F471, ""), IF(EXACT([1]SEED!$H471, ""), IF(EXACT([1]SEED!$J471, ""), "", [1]SEED!$AI471), [1]SEED!$AH471), [1]SEED!$AF471), [1]SEED!$AE471), [1]SEED!$AD471)</f>
        <v>1</v>
      </c>
      <c r="F470" s="14">
        <f t="shared" si="16"/>
        <v>237000000000461</v>
      </c>
      <c r="G470" s="15" t="str">
        <f t="shared" si="17"/>
        <v>PERFORM * FROM "SchData-OLTP-Accounting"."Func_TblLayoutStructureChartOfAccount_SET"(varSystemLoginSession, null, null, null, varInstitutionBranchID, 62000000000001::bigint, varLayoutStructure_RefID, 65000000000461::bigint, 65000000000448::bigint, 1::smallint);</v>
      </c>
    </row>
    <row r="471" spans="2:7" x14ac:dyDescent="0.2">
      <c r="B471" s="9">
        <f>IF(EXACT([1]SEED!$AV472, ""), "", [1]SEED!$AV472)</f>
        <v>65000000000462</v>
      </c>
      <c r="C471" s="9">
        <f>IF(EXACT(B471, ""), "", IF(EXACT([1]SEED!$AW472, ""), "", [1]SEED!$AW472))</f>
        <v>65000000000461</v>
      </c>
      <c r="D471" s="9">
        <f>IF(EXACT([1]SEED!$B472, ""), IF(EXACT([1]SEED!$D472, ""), IF(EXACT([1]SEED!$F472, ""), IF(EXACT([1]SEED!$H472, ""), IF(EXACT([1]SEED!$J472, ""), "", [1]SEED!$AI472), [1]SEED!$AH472), [1]SEED!$AF472), [1]SEED!$AE472), [1]SEED!$AD472)</f>
        <v>1</v>
      </c>
      <c r="F471" s="14">
        <f t="shared" si="16"/>
        <v>237000000000462</v>
      </c>
      <c r="G471" s="15" t="str">
        <f t="shared" si="17"/>
        <v>PERFORM * FROM "SchData-OLTP-Accounting"."Func_TblLayoutStructureChartOfAccount_SET"(varSystemLoginSession, null, null, null, varInstitutionBranchID, 62000000000001::bigint, varLayoutStructure_RefID, 65000000000462::bigint, 65000000000461::bigint, 1::smallint);</v>
      </c>
    </row>
    <row r="472" spans="2:7" x14ac:dyDescent="0.2">
      <c r="B472" s="9">
        <f>IF(EXACT([1]SEED!$AV473, ""), "", [1]SEED!$AV473)</f>
        <v>65000000000463</v>
      </c>
      <c r="C472" s="9">
        <f>IF(EXACT(B472, ""), "", IF(EXACT([1]SEED!$AW473, ""), "", [1]SEED!$AW473))</f>
        <v>65000000000353</v>
      </c>
      <c r="D472" s="9">
        <f>IF(EXACT([1]SEED!$B473, ""), IF(EXACT([1]SEED!$D473, ""), IF(EXACT([1]SEED!$F473, ""), IF(EXACT([1]SEED!$H473, ""), IF(EXACT([1]SEED!$J473, ""), "", [1]SEED!$AI473), [1]SEED!$AH473), [1]SEED!$AF473), [1]SEED!$AE473), [1]SEED!$AD473)</f>
        <v>5</v>
      </c>
      <c r="F472" s="14">
        <f t="shared" si="16"/>
        <v>237000000000463</v>
      </c>
      <c r="G472" s="15" t="str">
        <f t="shared" si="17"/>
        <v>PERFORM * FROM "SchData-OLTP-Accounting"."Func_TblLayoutStructureChartOfAccount_SET"(varSystemLoginSession, null, null, null, varInstitutionBranchID, 62000000000001::bigint, varLayoutStructure_RefID, 65000000000463::bigint, 65000000000353::bigint, 5::smallint);</v>
      </c>
    </row>
    <row r="473" spans="2:7" x14ac:dyDescent="0.2">
      <c r="B473" s="9">
        <f>IF(EXACT([1]SEED!$AV474, ""), "", [1]SEED!$AV474)</f>
        <v>65000000000464</v>
      </c>
      <c r="C473" s="9">
        <f>IF(EXACT(B473, ""), "", IF(EXACT([1]SEED!$AW474, ""), "", [1]SEED!$AW474))</f>
        <v>65000000000463</v>
      </c>
      <c r="D473" s="9">
        <f>IF(EXACT([1]SEED!$B474, ""), IF(EXACT([1]SEED!$D474, ""), IF(EXACT([1]SEED!$F474, ""), IF(EXACT([1]SEED!$H474, ""), IF(EXACT([1]SEED!$J474, ""), "", [1]SEED!$AI474), [1]SEED!$AH474), [1]SEED!$AF474), [1]SEED!$AE474), [1]SEED!$AD474)</f>
        <v>1</v>
      </c>
      <c r="F473" s="14">
        <f t="shared" si="16"/>
        <v>237000000000464</v>
      </c>
      <c r="G473" s="15" t="str">
        <f t="shared" si="17"/>
        <v>PERFORM * FROM "SchData-OLTP-Accounting"."Func_TblLayoutStructureChartOfAccount_SET"(varSystemLoginSession, null, null, null, varInstitutionBranchID, 62000000000001::bigint, varLayoutStructure_RefID, 65000000000464::bigint, 65000000000463::bigint, 1::smallint);</v>
      </c>
    </row>
    <row r="474" spans="2:7" x14ac:dyDescent="0.2">
      <c r="B474" s="9">
        <f>IF(EXACT([1]SEED!$AV475, ""), "", [1]SEED!$AV475)</f>
        <v>65000000000465</v>
      </c>
      <c r="C474" s="9">
        <f>IF(EXACT(B474, ""), "", IF(EXACT([1]SEED!$AW475, ""), "", [1]SEED!$AW475))</f>
        <v>65000000000464</v>
      </c>
      <c r="D474" s="9">
        <f>IF(EXACT([1]SEED!$B475, ""), IF(EXACT([1]SEED!$D475, ""), IF(EXACT([1]SEED!$F475, ""), IF(EXACT([1]SEED!$H475, ""), IF(EXACT([1]SEED!$J475, ""), "", [1]SEED!$AI475), [1]SEED!$AH475), [1]SEED!$AF475), [1]SEED!$AE475), [1]SEED!$AD475)</f>
        <v>1</v>
      </c>
      <c r="F474" s="14">
        <f t="shared" si="16"/>
        <v>237000000000465</v>
      </c>
      <c r="G474" s="15" t="str">
        <f t="shared" si="17"/>
        <v>PERFORM * FROM "SchData-OLTP-Accounting"."Func_TblLayoutStructureChartOfAccount_SET"(varSystemLoginSession, null, null, null, varInstitutionBranchID, 62000000000001::bigint, varLayoutStructure_RefID, 65000000000465::bigint, 65000000000464::bigint, 1::smallint);</v>
      </c>
    </row>
    <row r="475" spans="2:7" x14ac:dyDescent="0.2">
      <c r="B475" s="9">
        <f>IF(EXACT([1]SEED!$AV476, ""), "", [1]SEED!$AV476)</f>
        <v>65000000000466</v>
      </c>
      <c r="C475" s="9">
        <f>IF(EXACT(B475, ""), "", IF(EXACT([1]SEED!$AW476, ""), "", [1]SEED!$AW476))</f>
        <v>65000000000463</v>
      </c>
      <c r="D475" s="9">
        <f>IF(EXACT([1]SEED!$B476, ""), IF(EXACT([1]SEED!$D476, ""), IF(EXACT([1]SEED!$F476, ""), IF(EXACT([1]SEED!$H476, ""), IF(EXACT([1]SEED!$J476, ""), "", [1]SEED!$AI476), [1]SEED!$AH476), [1]SEED!$AF476), [1]SEED!$AE476), [1]SEED!$AD476)</f>
        <v>1</v>
      </c>
      <c r="F475" s="14">
        <f t="shared" si="16"/>
        <v>237000000000466</v>
      </c>
      <c r="G475" s="15" t="str">
        <f t="shared" si="17"/>
        <v>PERFORM * FROM "SchData-OLTP-Accounting"."Func_TblLayoutStructureChartOfAccount_SET"(varSystemLoginSession, null, null, null, varInstitutionBranchID, 62000000000001::bigint, varLayoutStructure_RefID, 65000000000466::bigint, 65000000000463::bigint, 1::smallint);</v>
      </c>
    </row>
    <row r="476" spans="2:7" x14ac:dyDescent="0.2">
      <c r="B476" s="9">
        <f>IF(EXACT([1]SEED!$AV477, ""), "", [1]SEED!$AV477)</f>
        <v>65000000000467</v>
      </c>
      <c r="C476" s="9">
        <f>IF(EXACT(B476, ""), "", IF(EXACT([1]SEED!$AW477, ""), "", [1]SEED!$AW477))</f>
        <v>65000000000466</v>
      </c>
      <c r="D476" s="9">
        <f>IF(EXACT([1]SEED!$B477, ""), IF(EXACT([1]SEED!$D477, ""), IF(EXACT([1]SEED!$F477, ""), IF(EXACT([1]SEED!$H477, ""), IF(EXACT([1]SEED!$J477, ""), "", [1]SEED!$AI477), [1]SEED!$AH477), [1]SEED!$AF477), [1]SEED!$AE477), [1]SEED!$AD477)</f>
        <v>1</v>
      </c>
      <c r="F476" s="14">
        <f t="shared" si="16"/>
        <v>237000000000467</v>
      </c>
      <c r="G476" s="15" t="str">
        <f t="shared" si="17"/>
        <v>PERFORM * FROM "SchData-OLTP-Accounting"."Func_TblLayoutStructureChartOfAccount_SET"(varSystemLoginSession, null, null, null, varInstitutionBranchID, 62000000000001::bigint, varLayoutStructure_RefID, 65000000000467::bigint, 65000000000466::bigint, 1::smallint);</v>
      </c>
    </row>
    <row r="477" spans="2:7" x14ac:dyDescent="0.2">
      <c r="B477" s="9">
        <f>IF(EXACT([1]SEED!$AV478, ""), "", [1]SEED!$AV478)</f>
        <v>65000000000468</v>
      </c>
      <c r="C477" s="9">
        <f>IF(EXACT(B477, ""), "", IF(EXACT([1]SEED!$AW478, ""), "", [1]SEED!$AW478))</f>
        <v>65000000000463</v>
      </c>
      <c r="D477" s="9">
        <f>IF(EXACT([1]SEED!$B478, ""), IF(EXACT([1]SEED!$D478, ""), IF(EXACT([1]SEED!$F478, ""), IF(EXACT([1]SEED!$H478, ""), IF(EXACT([1]SEED!$J478, ""), "", [1]SEED!$AI478), [1]SEED!$AH478), [1]SEED!$AF478), [1]SEED!$AE478), [1]SEED!$AD478)</f>
        <v>1</v>
      </c>
      <c r="F477" s="14">
        <f t="shared" si="16"/>
        <v>237000000000468</v>
      </c>
      <c r="G477" s="15" t="str">
        <f t="shared" si="17"/>
        <v>PERFORM * FROM "SchData-OLTP-Accounting"."Func_TblLayoutStructureChartOfAccount_SET"(varSystemLoginSession, null, null, null, varInstitutionBranchID, 62000000000001::bigint, varLayoutStructure_RefID, 65000000000468::bigint, 65000000000463::bigint, 1::smallint);</v>
      </c>
    </row>
    <row r="478" spans="2:7" x14ac:dyDescent="0.2">
      <c r="B478" s="9">
        <f>IF(EXACT([1]SEED!$AV479, ""), "", [1]SEED!$AV479)</f>
        <v>65000000000469</v>
      </c>
      <c r="C478" s="9">
        <f>IF(EXACT(B478, ""), "", IF(EXACT([1]SEED!$AW479, ""), "", [1]SEED!$AW479))</f>
        <v>65000000000468</v>
      </c>
      <c r="D478" s="9">
        <f>IF(EXACT([1]SEED!$B479, ""), IF(EXACT([1]SEED!$D479, ""), IF(EXACT([1]SEED!$F479, ""), IF(EXACT([1]SEED!$H479, ""), IF(EXACT([1]SEED!$J479, ""), "", [1]SEED!$AI479), [1]SEED!$AH479), [1]SEED!$AF479), [1]SEED!$AE479), [1]SEED!$AD479)</f>
        <v>1</v>
      </c>
      <c r="F478" s="14">
        <f t="shared" si="16"/>
        <v>237000000000469</v>
      </c>
      <c r="G478" s="15" t="str">
        <f t="shared" si="17"/>
        <v>PERFORM * FROM "SchData-OLTP-Accounting"."Func_TblLayoutStructureChartOfAccount_SET"(varSystemLoginSession, null, null, null, varInstitutionBranchID, 62000000000001::bigint, varLayoutStructure_RefID, 65000000000469::bigint, 65000000000468::bigint, 1::smallint);</v>
      </c>
    </row>
    <row r="479" spans="2:7" x14ac:dyDescent="0.2">
      <c r="B479" s="9">
        <f>IF(EXACT([1]SEED!$AV480, ""), "", [1]SEED!$AV480)</f>
        <v>65000000000470</v>
      </c>
      <c r="C479" s="9">
        <f>IF(EXACT(B479, ""), "", IF(EXACT([1]SEED!$AW480, ""), "", [1]SEED!$AW480))</f>
        <v>65000000000463</v>
      </c>
      <c r="D479" s="9">
        <f>IF(EXACT([1]SEED!$B480, ""), IF(EXACT([1]SEED!$D480, ""), IF(EXACT([1]SEED!$F480, ""), IF(EXACT([1]SEED!$H480, ""), IF(EXACT([1]SEED!$J480, ""), "", [1]SEED!$AI480), [1]SEED!$AH480), [1]SEED!$AF480), [1]SEED!$AE480), [1]SEED!$AD480)</f>
        <v>1</v>
      </c>
      <c r="F479" s="14">
        <f t="shared" si="16"/>
        <v>237000000000470</v>
      </c>
      <c r="G479" s="15" t="str">
        <f t="shared" si="17"/>
        <v>PERFORM * FROM "SchData-OLTP-Accounting"."Func_TblLayoutStructureChartOfAccount_SET"(varSystemLoginSession, null, null, null, varInstitutionBranchID, 62000000000001::bigint, varLayoutStructure_RefID, 65000000000470::bigint, 65000000000463::bigint, 1::smallint);</v>
      </c>
    </row>
    <row r="480" spans="2:7" x14ac:dyDescent="0.2">
      <c r="B480" s="9">
        <f>IF(EXACT([1]SEED!$AV481, ""), "", [1]SEED!$AV481)</f>
        <v>65000000000471</v>
      </c>
      <c r="C480" s="9">
        <f>IF(EXACT(B480, ""), "", IF(EXACT([1]SEED!$AW481, ""), "", [1]SEED!$AW481))</f>
        <v>65000000000470</v>
      </c>
      <c r="D480" s="9">
        <f>IF(EXACT([1]SEED!$B481, ""), IF(EXACT([1]SEED!$D481, ""), IF(EXACT([1]SEED!$F481, ""), IF(EXACT([1]SEED!$H481, ""), IF(EXACT([1]SEED!$J481, ""), "", [1]SEED!$AI481), [1]SEED!$AH481), [1]SEED!$AF481), [1]SEED!$AE481), [1]SEED!$AD481)</f>
        <v>1</v>
      </c>
      <c r="F480" s="14">
        <f t="shared" si="16"/>
        <v>237000000000471</v>
      </c>
      <c r="G480" s="15" t="str">
        <f t="shared" si="17"/>
        <v>PERFORM * FROM "SchData-OLTP-Accounting"."Func_TblLayoutStructureChartOfAccount_SET"(varSystemLoginSession, null, null, null, varInstitutionBranchID, 62000000000001::bigint, varLayoutStructure_RefID, 65000000000471::bigint, 65000000000470::bigint, 1::smallint);</v>
      </c>
    </row>
    <row r="481" spans="2:7" x14ac:dyDescent="0.2">
      <c r="B481" s="9">
        <f>IF(EXACT([1]SEED!$AV482, ""), "", [1]SEED!$AV482)</f>
        <v>65000000000472</v>
      </c>
      <c r="C481" s="9">
        <f>IF(EXACT(B481, ""), "", IF(EXACT([1]SEED!$AW482, ""), "", [1]SEED!$AW482))</f>
        <v>65000000000463</v>
      </c>
      <c r="D481" s="9">
        <f>IF(EXACT([1]SEED!$B482, ""), IF(EXACT([1]SEED!$D482, ""), IF(EXACT([1]SEED!$F482, ""), IF(EXACT([1]SEED!$H482, ""), IF(EXACT([1]SEED!$J482, ""), "", [1]SEED!$AI482), [1]SEED!$AH482), [1]SEED!$AF482), [1]SEED!$AE482), [1]SEED!$AD482)</f>
        <v>1</v>
      </c>
      <c r="F481" s="14">
        <f t="shared" si="16"/>
        <v>237000000000472</v>
      </c>
      <c r="G481" s="15" t="str">
        <f t="shared" si="17"/>
        <v>PERFORM * FROM "SchData-OLTP-Accounting"."Func_TblLayoutStructureChartOfAccount_SET"(varSystemLoginSession, null, null, null, varInstitutionBranchID, 62000000000001::bigint, varLayoutStructure_RefID, 65000000000472::bigint, 65000000000463::bigint, 1::smallint);</v>
      </c>
    </row>
    <row r="482" spans="2:7" x14ac:dyDescent="0.2">
      <c r="B482" s="9">
        <f>IF(EXACT([1]SEED!$AV483, ""), "", [1]SEED!$AV483)</f>
        <v>65000000000473</v>
      </c>
      <c r="C482" s="9">
        <f>IF(EXACT(B482, ""), "", IF(EXACT([1]SEED!$AW483, ""), "", [1]SEED!$AW483))</f>
        <v>65000000000472</v>
      </c>
      <c r="D482" s="9">
        <f>IF(EXACT([1]SEED!$B483, ""), IF(EXACT([1]SEED!$D483, ""), IF(EXACT([1]SEED!$F483, ""), IF(EXACT([1]SEED!$H483, ""), IF(EXACT([1]SEED!$J483, ""), "", [1]SEED!$AI483), [1]SEED!$AH483), [1]SEED!$AF483), [1]SEED!$AE483), [1]SEED!$AD483)</f>
        <v>1</v>
      </c>
      <c r="F482" s="14">
        <f t="shared" si="16"/>
        <v>237000000000473</v>
      </c>
      <c r="G482" s="15" t="str">
        <f t="shared" si="17"/>
        <v>PERFORM * FROM "SchData-OLTP-Accounting"."Func_TblLayoutStructureChartOfAccount_SET"(varSystemLoginSession, null, null, null, varInstitutionBranchID, 62000000000001::bigint, varLayoutStructure_RefID, 65000000000473::bigint, 65000000000472::bigint, 1::smallint);</v>
      </c>
    </row>
    <row r="483" spans="2:7" x14ac:dyDescent="0.2">
      <c r="B483" s="9">
        <f>IF(EXACT([1]SEED!$AV484, ""), "", [1]SEED!$AV484)</f>
        <v>65000000000474</v>
      </c>
      <c r="C483" s="9">
        <f>IF(EXACT(B483, ""), "", IF(EXACT([1]SEED!$AW484, ""), "", [1]SEED!$AW484))</f>
        <v>65000000000463</v>
      </c>
      <c r="D483" s="9">
        <f>IF(EXACT([1]SEED!$B484, ""), IF(EXACT([1]SEED!$D484, ""), IF(EXACT([1]SEED!$F484, ""), IF(EXACT([1]SEED!$H484, ""), IF(EXACT([1]SEED!$J484, ""), "", [1]SEED!$AI484), [1]SEED!$AH484), [1]SEED!$AF484), [1]SEED!$AE484), [1]SEED!$AD484)</f>
        <v>1</v>
      </c>
      <c r="F483" s="14">
        <f t="shared" si="16"/>
        <v>237000000000474</v>
      </c>
      <c r="G483" s="15" t="str">
        <f t="shared" si="17"/>
        <v>PERFORM * FROM "SchData-OLTP-Accounting"."Func_TblLayoutStructureChartOfAccount_SET"(varSystemLoginSession, null, null, null, varInstitutionBranchID, 62000000000001::bigint, varLayoutStructure_RefID, 65000000000474::bigint, 65000000000463::bigint, 1::smallint);</v>
      </c>
    </row>
    <row r="484" spans="2:7" x14ac:dyDescent="0.2">
      <c r="B484" s="9">
        <f>IF(EXACT([1]SEED!$AV485, ""), "", [1]SEED!$AV485)</f>
        <v>65000000000475</v>
      </c>
      <c r="C484" s="9">
        <f>IF(EXACT(B484, ""), "", IF(EXACT([1]SEED!$AW485, ""), "", [1]SEED!$AW485))</f>
        <v>65000000000474</v>
      </c>
      <c r="D484" s="9">
        <f>IF(EXACT([1]SEED!$B485, ""), IF(EXACT([1]SEED!$D485, ""), IF(EXACT([1]SEED!$F485, ""), IF(EXACT([1]SEED!$H485, ""), IF(EXACT([1]SEED!$J485, ""), "", [1]SEED!$AI485), [1]SEED!$AH485), [1]SEED!$AF485), [1]SEED!$AE485), [1]SEED!$AD485)</f>
        <v>1</v>
      </c>
      <c r="F484" s="14">
        <f t="shared" si="16"/>
        <v>237000000000475</v>
      </c>
      <c r="G484" s="15" t="str">
        <f t="shared" si="17"/>
        <v>PERFORM * FROM "SchData-OLTP-Accounting"."Func_TblLayoutStructureChartOfAccount_SET"(varSystemLoginSession, null, null, null, varInstitutionBranchID, 62000000000001::bigint, varLayoutStructure_RefID, 65000000000475::bigint, 65000000000474::bigint, 1::smallint);</v>
      </c>
    </row>
    <row r="485" spans="2:7" x14ac:dyDescent="0.2">
      <c r="B485" s="9">
        <f>IF(EXACT([1]SEED!$AV486, ""), "", [1]SEED!$AV486)</f>
        <v>65000000000476</v>
      </c>
      <c r="C485" s="9">
        <f>IF(EXACT(B485, ""), "", IF(EXACT([1]SEED!$AW486, ""), "", [1]SEED!$AW486))</f>
        <v>65000000000463</v>
      </c>
      <c r="D485" s="9">
        <f>IF(EXACT([1]SEED!$B486, ""), IF(EXACT([1]SEED!$D486, ""), IF(EXACT([1]SEED!$F486, ""), IF(EXACT([1]SEED!$H486, ""), IF(EXACT([1]SEED!$J486, ""), "", [1]SEED!$AI486), [1]SEED!$AH486), [1]SEED!$AF486), [1]SEED!$AE486), [1]SEED!$AD486)</f>
        <v>1</v>
      </c>
      <c r="F485" s="14">
        <f t="shared" si="16"/>
        <v>237000000000476</v>
      </c>
      <c r="G485" s="15" t="str">
        <f t="shared" si="17"/>
        <v>PERFORM * FROM "SchData-OLTP-Accounting"."Func_TblLayoutStructureChartOfAccount_SET"(varSystemLoginSession, null, null, null, varInstitutionBranchID, 62000000000001::bigint, varLayoutStructure_RefID, 65000000000476::bigint, 65000000000463::bigint, 1::smallint);</v>
      </c>
    </row>
    <row r="486" spans="2:7" x14ac:dyDescent="0.2">
      <c r="B486" s="9">
        <f>IF(EXACT([1]SEED!$AV487, ""), "", [1]SEED!$AV487)</f>
        <v>65000000000477</v>
      </c>
      <c r="C486" s="9">
        <f>IF(EXACT(B486, ""), "", IF(EXACT([1]SEED!$AW487, ""), "", [1]SEED!$AW487))</f>
        <v>65000000000476</v>
      </c>
      <c r="D486" s="9">
        <f>IF(EXACT([1]SEED!$B487, ""), IF(EXACT([1]SEED!$D487, ""), IF(EXACT([1]SEED!$F487, ""), IF(EXACT([1]SEED!$H487, ""), IF(EXACT([1]SEED!$J487, ""), "", [1]SEED!$AI487), [1]SEED!$AH487), [1]SEED!$AF487), [1]SEED!$AE487), [1]SEED!$AD487)</f>
        <v>1</v>
      </c>
      <c r="F486" s="14">
        <f t="shared" si="16"/>
        <v>237000000000477</v>
      </c>
      <c r="G486" s="15" t="str">
        <f t="shared" si="17"/>
        <v>PERFORM * FROM "SchData-OLTP-Accounting"."Func_TblLayoutStructureChartOfAccount_SET"(varSystemLoginSession, null, null, null, varInstitutionBranchID, 62000000000001::bigint, varLayoutStructure_RefID, 65000000000477::bigint, 65000000000476::bigint, 1::smallint);</v>
      </c>
    </row>
    <row r="487" spans="2:7" x14ac:dyDescent="0.2">
      <c r="B487" s="9">
        <f>IF(EXACT([1]SEED!$AV488, ""), "", [1]SEED!$AV488)</f>
        <v>65000000000478</v>
      </c>
      <c r="C487" s="9">
        <f>IF(EXACT(B487, ""), "", IF(EXACT([1]SEED!$AW488, ""), "", [1]SEED!$AW488))</f>
        <v>65000000000463</v>
      </c>
      <c r="D487" s="9">
        <f>IF(EXACT([1]SEED!$B488, ""), IF(EXACT([1]SEED!$D488, ""), IF(EXACT([1]SEED!$F488, ""), IF(EXACT([1]SEED!$H488, ""), IF(EXACT([1]SEED!$J488, ""), "", [1]SEED!$AI488), [1]SEED!$AH488), [1]SEED!$AF488), [1]SEED!$AE488), [1]SEED!$AD488)</f>
        <v>1</v>
      </c>
      <c r="F487" s="14">
        <f t="shared" si="16"/>
        <v>237000000000478</v>
      </c>
      <c r="G487" s="15" t="str">
        <f t="shared" si="17"/>
        <v>PERFORM * FROM "SchData-OLTP-Accounting"."Func_TblLayoutStructureChartOfAccount_SET"(varSystemLoginSession, null, null, null, varInstitutionBranchID, 62000000000001::bigint, varLayoutStructure_RefID, 65000000000478::bigint, 65000000000463::bigint, 1::smallint);</v>
      </c>
    </row>
    <row r="488" spans="2:7" x14ac:dyDescent="0.2">
      <c r="B488" s="9">
        <f>IF(EXACT([1]SEED!$AV489, ""), "", [1]SEED!$AV489)</f>
        <v>65000000000479</v>
      </c>
      <c r="C488" s="9">
        <f>IF(EXACT(B488, ""), "", IF(EXACT([1]SEED!$AW489, ""), "", [1]SEED!$AW489))</f>
        <v>65000000000478</v>
      </c>
      <c r="D488" s="9">
        <f>IF(EXACT([1]SEED!$B489, ""), IF(EXACT([1]SEED!$D489, ""), IF(EXACT([1]SEED!$F489, ""), IF(EXACT([1]SEED!$H489, ""), IF(EXACT([1]SEED!$J489, ""), "", [1]SEED!$AI489), [1]SEED!$AH489), [1]SEED!$AF489), [1]SEED!$AE489), [1]SEED!$AD489)</f>
        <v>1</v>
      </c>
      <c r="F488" s="14">
        <f t="shared" si="16"/>
        <v>237000000000479</v>
      </c>
      <c r="G488" s="15" t="str">
        <f t="shared" si="17"/>
        <v>PERFORM * FROM "SchData-OLTP-Accounting"."Func_TblLayoutStructureChartOfAccount_SET"(varSystemLoginSession, null, null, null, varInstitutionBranchID, 62000000000001::bigint, varLayoutStructure_RefID, 65000000000479::bigint, 65000000000478::bigint, 1::smallint);</v>
      </c>
    </row>
    <row r="489" spans="2:7" x14ac:dyDescent="0.2">
      <c r="B489" s="9">
        <f>IF(EXACT([1]SEED!$AV490, ""), "", [1]SEED!$AV490)</f>
        <v>65000000000480</v>
      </c>
      <c r="C489" s="9">
        <f>IF(EXACT(B489, ""), "", IF(EXACT([1]SEED!$AW490, ""), "", [1]SEED!$AW490))</f>
        <v>65000000000463</v>
      </c>
      <c r="D489" s="9">
        <f>IF(EXACT([1]SEED!$B490, ""), IF(EXACT([1]SEED!$D490, ""), IF(EXACT([1]SEED!$F490, ""), IF(EXACT([1]SEED!$H490, ""), IF(EXACT([1]SEED!$J490, ""), "", [1]SEED!$AI490), [1]SEED!$AH490), [1]SEED!$AF490), [1]SEED!$AE490), [1]SEED!$AD490)</f>
        <v>1</v>
      </c>
      <c r="F489" s="14">
        <f t="shared" si="16"/>
        <v>237000000000480</v>
      </c>
      <c r="G489" s="15" t="str">
        <f t="shared" si="17"/>
        <v>PERFORM * FROM "SchData-OLTP-Accounting"."Func_TblLayoutStructureChartOfAccount_SET"(varSystemLoginSession, null, null, null, varInstitutionBranchID, 62000000000001::bigint, varLayoutStructure_RefID, 65000000000480::bigint, 65000000000463::bigint, 1::smallint);</v>
      </c>
    </row>
    <row r="490" spans="2:7" x14ac:dyDescent="0.2">
      <c r="B490" s="9">
        <f>IF(EXACT([1]SEED!$AV491, ""), "", [1]SEED!$AV491)</f>
        <v>65000000000481</v>
      </c>
      <c r="C490" s="9">
        <f>IF(EXACT(B490, ""), "", IF(EXACT([1]SEED!$AW491, ""), "", [1]SEED!$AW491))</f>
        <v>65000000000480</v>
      </c>
      <c r="D490" s="9">
        <f>IF(EXACT([1]SEED!$B491, ""), IF(EXACT([1]SEED!$D491, ""), IF(EXACT([1]SEED!$F491, ""), IF(EXACT([1]SEED!$H491, ""), IF(EXACT([1]SEED!$J491, ""), "", [1]SEED!$AI491), [1]SEED!$AH491), [1]SEED!$AF491), [1]SEED!$AE491), [1]SEED!$AD491)</f>
        <v>1</v>
      </c>
      <c r="F490" s="14">
        <f t="shared" si="16"/>
        <v>237000000000481</v>
      </c>
      <c r="G490" s="15" t="str">
        <f t="shared" si="17"/>
        <v>PERFORM * FROM "SchData-OLTP-Accounting"."Func_TblLayoutStructureChartOfAccount_SET"(varSystemLoginSession, null, null, null, varInstitutionBranchID, 62000000000001::bigint, varLayoutStructure_RefID, 65000000000481::bigint, 65000000000480::bigint, 1::smallint);</v>
      </c>
    </row>
    <row r="491" spans="2:7" x14ac:dyDescent="0.2">
      <c r="B491" s="9">
        <f>IF(EXACT([1]SEED!$AV492, ""), "", [1]SEED!$AV492)</f>
        <v>65000000000482</v>
      </c>
      <c r="C491" s="9">
        <f>IF(EXACT(B491, ""), "", IF(EXACT([1]SEED!$AW492, ""), "", [1]SEED!$AW492))</f>
        <v>65000000000353</v>
      </c>
      <c r="D491" s="9">
        <f>IF(EXACT([1]SEED!$B492, ""), IF(EXACT([1]SEED!$D492, ""), IF(EXACT([1]SEED!$F492, ""), IF(EXACT([1]SEED!$H492, ""), IF(EXACT([1]SEED!$J492, ""), "", [1]SEED!$AI492), [1]SEED!$AH492), [1]SEED!$AF492), [1]SEED!$AE492), [1]SEED!$AD492)</f>
        <v>6</v>
      </c>
      <c r="F491" s="14">
        <f t="shared" si="16"/>
        <v>237000000000482</v>
      </c>
      <c r="G491" s="15" t="str">
        <f t="shared" si="17"/>
        <v>PERFORM * FROM "SchData-OLTP-Accounting"."Func_TblLayoutStructureChartOfAccount_SET"(varSystemLoginSession, null, null, null, varInstitutionBranchID, 62000000000001::bigint, varLayoutStructure_RefID, 65000000000482::bigint, 65000000000353::bigint, 6::smallint);</v>
      </c>
    </row>
    <row r="492" spans="2:7" x14ac:dyDescent="0.2">
      <c r="B492" s="9">
        <f>IF(EXACT([1]SEED!$AV493, ""), "", [1]SEED!$AV493)</f>
        <v>65000000000483</v>
      </c>
      <c r="C492" s="9">
        <f>IF(EXACT(B492, ""), "", IF(EXACT([1]SEED!$AW493, ""), "", [1]SEED!$AW493))</f>
        <v>65000000000482</v>
      </c>
      <c r="D492" s="9">
        <f>IF(EXACT([1]SEED!$B493, ""), IF(EXACT([1]SEED!$D493, ""), IF(EXACT([1]SEED!$F493, ""), IF(EXACT([1]SEED!$H493, ""), IF(EXACT([1]SEED!$J493, ""), "", [1]SEED!$AI493), [1]SEED!$AH493), [1]SEED!$AF493), [1]SEED!$AE493), [1]SEED!$AD493)</f>
        <v>1</v>
      </c>
      <c r="F492" s="14">
        <f t="shared" si="16"/>
        <v>237000000000483</v>
      </c>
      <c r="G492" s="15" t="str">
        <f t="shared" si="17"/>
        <v>PERFORM * FROM "SchData-OLTP-Accounting"."Func_TblLayoutStructureChartOfAccount_SET"(varSystemLoginSession, null, null, null, varInstitutionBranchID, 62000000000001::bigint, varLayoutStructure_RefID, 65000000000483::bigint, 65000000000482::bigint, 1::smallint);</v>
      </c>
    </row>
    <row r="493" spans="2:7" x14ac:dyDescent="0.2">
      <c r="B493" s="9">
        <f>IF(EXACT([1]SEED!$AV494, ""), "", [1]SEED!$AV494)</f>
        <v>65000000000484</v>
      </c>
      <c r="C493" s="9">
        <f>IF(EXACT(B493, ""), "", IF(EXACT([1]SEED!$AW494, ""), "", [1]SEED!$AW494))</f>
        <v>65000000000483</v>
      </c>
      <c r="D493" s="9">
        <f>IF(EXACT([1]SEED!$B494, ""), IF(EXACT([1]SEED!$D494, ""), IF(EXACT([1]SEED!$F494, ""), IF(EXACT([1]SEED!$H494, ""), IF(EXACT([1]SEED!$J494, ""), "", [1]SEED!$AI494), [1]SEED!$AH494), [1]SEED!$AF494), [1]SEED!$AE494), [1]SEED!$AD494)</f>
        <v>1</v>
      </c>
      <c r="F493" s="14">
        <f t="shared" si="16"/>
        <v>237000000000484</v>
      </c>
      <c r="G493" s="15" t="str">
        <f t="shared" si="17"/>
        <v>PERFORM * FROM "SchData-OLTP-Accounting"."Func_TblLayoutStructureChartOfAccount_SET"(varSystemLoginSession, null, null, null, varInstitutionBranchID, 62000000000001::bigint, varLayoutStructure_RefID, 65000000000484::bigint, 65000000000483::bigint, 1::smallint);</v>
      </c>
    </row>
    <row r="494" spans="2:7" x14ac:dyDescent="0.2">
      <c r="B494" s="9">
        <f>IF(EXACT([1]SEED!$AV495, ""), "", [1]SEED!$AV495)</f>
        <v>65000000000485</v>
      </c>
      <c r="C494" s="9">
        <f>IF(EXACT(B494, ""), "", IF(EXACT([1]SEED!$AW495, ""), "", [1]SEED!$AW495))</f>
        <v>65000000000482</v>
      </c>
      <c r="D494" s="9">
        <f>IF(EXACT([1]SEED!$B495, ""), IF(EXACT([1]SEED!$D495, ""), IF(EXACT([1]SEED!$F495, ""), IF(EXACT([1]SEED!$H495, ""), IF(EXACT([1]SEED!$J495, ""), "", [1]SEED!$AI495), [1]SEED!$AH495), [1]SEED!$AF495), [1]SEED!$AE495), [1]SEED!$AD495)</f>
        <v>1</v>
      </c>
      <c r="F494" s="14">
        <f t="shared" si="16"/>
        <v>237000000000485</v>
      </c>
      <c r="G494" s="15" t="str">
        <f t="shared" si="17"/>
        <v>PERFORM * FROM "SchData-OLTP-Accounting"."Func_TblLayoutStructureChartOfAccount_SET"(varSystemLoginSession, null, null, null, varInstitutionBranchID, 62000000000001::bigint, varLayoutStructure_RefID, 65000000000485::bigint, 65000000000482::bigint, 1::smallint);</v>
      </c>
    </row>
    <row r="495" spans="2:7" x14ac:dyDescent="0.2">
      <c r="B495" s="9">
        <f>IF(EXACT([1]SEED!$AV496, ""), "", [1]SEED!$AV496)</f>
        <v>65000000000486</v>
      </c>
      <c r="C495" s="9">
        <f>IF(EXACT(B495, ""), "", IF(EXACT([1]SEED!$AW496, ""), "", [1]SEED!$AW496))</f>
        <v>65000000000485</v>
      </c>
      <c r="D495" s="9">
        <f>IF(EXACT([1]SEED!$B496, ""), IF(EXACT([1]SEED!$D496, ""), IF(EXACT([1]SEED!$F496, ""), IF(EXACT([1]SEED!$H496, ""), IF(EXACT([1]SEED!$J496, ""), "", [1]SEED!$AI496), [1]SEED!$AH496), [1]SEED!$AF496), [1]SEED!$AE496), [1]SEED!$AD496)</f>
        <v>1</v>
      </c>
      <c r="F495" s="14">
        <f t="shared" si="16"/>
        <v>237000000000486</v>
      </c>
      <c r="G495" s="15" t="str">
        <f t="shared" si="17"/>
        <v>PERFORM * FROM "SchData-OLTP-Accounting"."Func_TblLayoutStructureChartOfAccount_SET"(varSystemLoginSession, null, null, null, varInstitutionBranchID, 62000000000001::bigint, varLayoutStructure_RefID, 65000000000486::bigint, 65000000000485::bigint, 1::smallint);</v>
      </c>
    </row>
    <row r="496" spans="2:7" x14ac:dyDescent="0.2">
      <c r="B496" s="9">
        <f>IF(EXACT([1]SEED!$AV497, ""), "", [1]SEED!$AV497)</f>
        <v>65000000000487</v>
      </c>
      <c r="C496" s="9">
        <f>IF(EXACT(B496, ""), "", IF(EXACT([1]SEED!$AW497, ""), "", [1]SEED!$AW497))</f>
        <v>65000000000482</v>
      </c>
      <c r="D496" s="9">
        <f>IF(EXACT([1]SEED!$B497, ""), IF(EXACT([1]SEED!$D497, ""), IF(EXACT([1]SEED!$F497, ""), IF(EXACT([1]SEED!$H497, ""), IF(EXACT([1]SEED!$J497, ""), "", [1]SEED!$AI497), [1]SEED!$AH497), [1]SEED!$AF497), [1]SEED!$AE497), [1]SEED!$AD497)</f>
        <v>1</v>
      </c>
      <c r="F496" s="14">
        <f t="shared" si="16"/>
        <v>237000000000487</v>
      </c>
      <c r="G496" s="15" t="str">
        <f t="shared" si="17"/>
        <v>PERFORM * FROM "SchData-OLTP-Accounting"."Func_TblLayoutStructureChartOfAccount_SET"(varSystemLoginSession, null, null, null, varInstitutionBranchID, 62000000000001::bigint, varLayoutStructure_RefID, 65000000000487::bigint, 65000000000482::bigint, 1::smallint);</v>
      </c>
    </row>
    <row r="497" spans="2:7" x14ac:dyDescent="0.2">
      <c r="B497" s="9">
        <f>IF(EXACT([1]SEED!$AV498, ""), "", [1]SEED!$AV498)</f>
        <v>65000000000488</v>
      </c>
      <c r="C497" s="9">
        <f>IF(EXACT(B497, ""), "", IF(EXACT([1]SEED!$AW498, ""), "", [1]SEED!$AW498))</f>
        <v>65000000000487</v>
      </c>
      <c r="D497" s="9">
        <f>IF(EXACT([1]SEED!$B498, ""), IF(EXACT([1]SEED!$D498, ""), IF(EXACT([1]SEED!$F498, ""), IF(EXACT([1]SEED!$H498, ""), IF(EXACT([1]SEED!$J498, ""), "", [1]SEED!$AI498), [1]SEED!$AH498), [1]SEED!$AF498), [1]SEED!$AE498), [1]SEED!$AD498)</f>
        <v>1</v>
      </c>
      <c r="F497" s="14">
        <f t="shared" si="16"/>
        <v>237000000000488</v>
      </c>
      <c r="G497" s="15" t="str">
        <f t="shared" si="17"/>
        <v>PERFORM * FROM "SchData-OLTP-Accounting"."Func_TblLayoutStructureChartOfAccount_SET"(varSystemLoginSession, null, null, null, varInstitutionBranchID, 62000000000001::bigint, varLayoutStructure_RefID, 65000000000488::bigint, 65000000000487::bigint, 1::smallint);</v>
      </c>
    </row>
    <row r="498" spans="2:7" x14ac:dyDescent="0.2">
      <c r="B498" s="9">
        <f>IF(EXACT([1]SEED!$AV499, ""), "", [1]SEED!$AV499)</f>
        <v>65000000000489</v>
      </c>
      <c r="C498" s="9">
        <f>IF(EXACT(B498, ""), "", IF(EXACT([1]SEED!$AW499, ""), "", [1]SEED!$AW499))</f>
        <v>65000000000482</v>
      </c>
      <c r="D498" s="9">
        <f>IF(EXACT([1]SEED!$B499, ""), IF(EXACT([1]SEED!$D499, ""), IF(EXACT([1]SEED!$F499, ""), IF(EXACT([1]SEED!$H499, ""), IF(EXACT([1]SEED!$J499, ""), "", [1]SEED!$AI499), [1]SEED!$AH499), [1]SEED!$AF499), [1]SEED!$AE499), [1]SEED!$AD499)</f>
        <v>1</v>
      </c>
      <c r="F498" s="14">
        <f t="shared" si="16"/>
        <v>237000000000489</v>
      </c>
      <c r="G498" s="15" t="str">
        <f t="shared" si="17"/>
        <v>PERFORM * FROM "SchData-OLTP-Accounting"."Func_TblLayoutStructureChartOfAccount_SET"(varSystemLoginSession, null, null, null, varInstitutionBranchID, 62000000000001::bigint, varLayoutStructure_RefID, 65000000000489::bigint, 65000000000482::bigint, 1::smallint);</v>
      </c>
    </row>
    <row r="499" spans="2:7" x14ac:dyDescent="0.2">
      <c r="B499" s="9">
        <f>IF(EXACT([1]SEED!$AV500, ""), "", [1]SEED!$AV500)</f>
        <v>65000000000490</v>
      </c>
      <c r="C499" s="9">
        <f>IF(EXACT(B499, ""), "", IF(EXACT([1]SEED!$AW500, ""), "", [1]SEED!$AW500))</f>
        <v>65000000000489</v>
      </c>
      <c r="D499" s="9">
        <f>IF(EXACT([1]SEED!$B500, ""), IF(EXACT([1]SEED!$D500, ""), IF(EXACT([1]SEED!$F500, ""), IF(EXACT([1]SEED!$H500, ""), IF(EXACT([1]SEED!$J500, ""), "", [1]SEED!$AI500), [1]SEED!$AH500), [1]SEED!$AF500), [1]SEED!$AE500), [1]SEED!$AD500)</f>
        <v>1</v>
      </c>
      <c r="F499" s="14">
        <f t="shared" si="16"/>
        <v>237000000000490</v>
      </c>
      <c r="G499" s="15" t="str">
        <f t="shared" si="17"/>
        <v>PERFORM * FROM "SchData-OLTP-Accounting"."Func_TblLayoutStructureChartOfAccount_SET"(varSystemLoginSession, null, null, null, varInstitutionBranchID, 62000000000001::bigint, varLayoutStructure_RefID, 65000000000490::bigint, 65000000000489::bigint, 1::smallint);</v>
      </c>
    </row>
    <row r="500" spans="2:7" x14ac:dyDescent="0.2">
      <c r="B500" s="9">
        <f>IF(EXACT([1]SEED!$AV501, ""), "", [1]SEED!$AV501)</f>
        <v>65000000000491</v>
      </c>
      <c r="C500" s="9">
        <f>IF(EXACT(B500, ""), "", IF(EXACT([1]SEED!$AW501, ""), "", [1]SEED!$AW501))</f>
        <v>65000000000482</v>
      </c>
      <c r="D500" s="9">
        <f>IF(EXACT([1]SEED!$B501, ""), IF(EXACT([1]SEED!$D501, ""), IF(EXACT([1]SEED!$F501, ""), IF(EXACT([1]SEED!$H501, ""), IF(EXACT([1]SEED!$J501, ""), "", [1]SEED!$AI501), [1]SEED!$AH501), [1]SEED!$AF501), [1]SEED!$AE501), [1]SEED!$AD501)</f>
        <v>1</v>
      </c>
      <c r="F500" s="14">
        <f t="shared" si="16"/>
        <v>237000000000491</v>
      </c>
      <c r="G500" s="15" t="str">
        <f t="shared" si="17"/>
        <v>PERFORM * FROM "SchData-OLTP-Accounting"."Func_TblLayoutStructureChartOfAccount_SET"(varSystemLoginSession, null, null, null, varInstitutionBranchID, 62000000000001::bigint, varLayoutStructure_RefID, 65000000000491::bigint, 65000000000482::bigint, 1::smallint);</v>
      </c>
    </row>
    <row r="501" spans="2:7" x14ac:dyDescent="0.2">
      <c r="B501" s="9">
        <f>IF(EXACT([1]SEED!$AV502, ""), "", [1]SEED!$AV502)</f>
        <v>65000000000492</v>
      </c>
      <c r="C501" s="9">
        <f>IF(EXACT(B501, ""), "", IF(EXACT([1]SEED!$AW502, ""), "", [1]SEED!$AW502))</f>
        <v>65000000000491</v>
      </c>
      <c r="D501" s="9">
        <f>IF(EXACT([1]SEED!$B502, ""), IF(EXACT([1]SEED!$D502, ""), IF(EXACT([1]SEED!$F502, ""), IF(EXACT([1]SEED!$H502, ""), IF(EXACT([1]SEED!$J502, ""), "", [1]SEED!$AI502), [1]SEED!$AH502), [1]SEED!$AF502), [1]SEED!$AE502), [1]SEED!$AD502)</f>
        <v>1</v>
      </c>
      <c r="F501" s="14">
        <f t="shared" si="16"/>
        <v>237000000000492</v>
      </c>
      <c r="G501" s="15" t="str">
        <f t="shared" si="17"/>
        <v>PERFORM * FROM "SchData-OLTP-Accounting"."Func_TblLayoutStructureChartOfAccount_SET"(varSystemLoginSession, null, null, null, varInstitutionBranchID, 62000000000001::bigint, varLayoutStructure_RefID, 65000000000492::bigint, 65000000000491::bigint, 1::smallint);</v>
      </c>
    </row>
    <row r="502" spans="2:7" x14ac:dyDescent="0.2">
      <c r="B502" s="9">
        <f>IF(EXACT([1]SEED!$AV503, ""), "", [1]SEED!$AV503)</f>
        <v>65000000000493</v>
      </c>
      <c r="C502" s="9">
        <f>IF(EXACT(B502, ""), "", IF(EXACT([1]SEED!$AW503, ""), "", [1]SEED!$AW503))</f>
        <v>65000000000482</v>
      </c>
      <c r="D502" s="9">
        <f>IF(EXACT([1]SEED!$B503, ""), IF(EXACT([1]SEED!$D503, ""), IF(EXACT([1]SEED!$F503, ""), IF(EXACT([1]SEED!$H503, ""), IF(EXACT([1]SEED!$J503, ""), "", [1]SEED!$AI503), [1]SEED!$AH503), [1]SEED!$AF503), [1]SEED!$AE503), [1]SEED!$AD503)</f>
        <v>1</v>
      </c>
      <c r="F502" s="14">
        <f t="shared" si="16"/>
        <v>237000000000493</v>
      </c>
      <c r="G502" s="15" t="str">
        <f t="shared" si="17"/>
        <v>PERFORM * FROM "SchData-OLTP-Accounting"."Func_TblLayoutStructureChartOfAccount_SET"(varSystemLoginSession, null, null, null, varInstitutionBranchID, 62000000000001::bigint, varLayoutStructure_RefID, 65000000000493::bigint, 65000000000482::bigint, 1::smallint);</v>
      </c>
    </row>
    <row r="503" spans="2:7" x14ac:dyDescent="0.2">
      <c r="B503" s="9">
        <f>IF(EXACT([1]SEED!$AV504, ""), "", [1]SEED!$AV504)</f>
        <v>65000000000494</v>
      </c>
      <c r="C503" s="9">
        <f>IF(EXACT(B503, ""), "", IF(EXACT([1]SEED!$AW504, ""), "", [1]SEED!$AW504))</f>
        <v>65000000000493</v>
      </c>
      <c r="D503" s="9">
        <f>IF(EXACT([1]SEED!$B504, ""), IF(EXACT([1]SEED!$D504, ""), IF(EXACT([1]SEED!$F504, ""), IF(EXACT([1]SEED!$H504, ""), IF(EXACT([1]SEED!$J504, ""), "", [1]SEED!$AI504), [1]SEED!$AH504), [1]SEED!$AF504), [1]SEED!$AE504), [1]SEED!$AD504)</f>
        <v>1</v>
      </c>
      <c r="F503" s="14">
        <f t="shared" si="16"/>
        <v>237000000000494</v>
      </c>
      <c r="G503" s="15" t="str">
        <f t="shared" si="17"/>
        <v>PERFORM * FROM "SchData-OLTP-Accounting"."Func_TblLayoutStructureChartOfAccount_SET"(varSystemLoginSession, null, null, null, varInstitutionBranchID, 62000000000001::bigint, varLayoutStructure_RefID, 65000000000494::bigint, 65000000000493::bigint, 1::smallint);</v>
      </c>
    </row>
    <row r="504" spans="2:7" x14ac:dyDescent="0.2">
      <c r="B504" s="9">
        <f>IF(EXACT([1]SEED!$AV505, ""), "", [1]SEED!$AV505)</f>
        <v>65000000000495</v>
      </c>
      <c r="C504" s="9">
        <f>IF(EXACT(B504, ""), "", IF(EXACT([1]SEED!$AW505, ""), "", [1]SEED!$AW505))</f>
        <v>65000000000482</v>
      </c>
      <c r="D504" s="9">
        <f>IF(EXACT([1]SEED!$B505, ""), IF(EXACT([1]SEED!$D505, ""), IF(EXACT([1]SEED!$F505, ""), IF(EXACT([1]SEED!$H505, ""), IF(EXACT([1]SEED!$J505, ""), "", [1]SEED!$AI505), [1]SEED!$AH505), [1]SEED!$AF505), [1]SEED!$AE505), [1]SEED!$AD505)</f>
        <v>1</v>
      </c>
      <c r="F504" s="14">
        <f t="shared" si="16"/>
        <v>237000000000495</v>
      </c>
      <c r="G504" s="15" t="str">
        <f t="shared" si="17"/>
        <v>PERFORM * FROM "SchData-OLTP-Accounting"."Func_TblLayoutStructureChartOfAccount_SET"(varSystemLoginSession, null, null, null, varInstitutionBranchID, 62000000000001::bigint, varLayoutStructure_RefID, 65000000000495::bigint, 65000000000482::bigint, 1::smallint);</v>
      </c>
    </row>
    <row r="505" spans="2:7" x14ac:dyDescent="0.2">
      <c r="B505" s="9">
        <f>IF(EXACT([1]SEED!$AV506, ""), "", [1]SEED!$AV506)</f>
        <v>65000000000496</v>
      </c>
      <c r="C505" s="9">
        <f>IF(EXACT(B505, ""), "", IF(EXACT([1]SEED!$AW506, ""), "", [1]SEED!$AW506))</f>
        <v>65000000000495</v>
      </c>
      <c r="D505" s="9">
        <f>IF(EXACT([1]SEED!$B506, ""), IF(EXACT([1]SEED!$D506, ""), IF(EXACT([1]SEED!$F506, ""), IF(EXACT([1]SEED!$H506, ""), IF(EXACT([1]SEED!$J506, ""), "", [1]SEED!$AI506), [1]SEED!$AH506), [1]SEED!$AF506), [1]SEED!$AE506), [1]SEED!$AD506)</f>
        <v>1</v>
      </c>
      <c r="F505" s="14">
        <f t="shared" si="16"/>
        <v>237000000000496</v>
      </c>
      <c r="G505" s="15" t="str">
        <f t="shared" si="17"/>
        <v>PERFORM * FROM "SchData-OLTP-Accounting"."Func_TblLayoutStructureChartOfAccount_SET"(varSystemLoginSession, null, null, null, varInstitutionBranchID, 62000000000001::bigint, varLayoutStructure_RefID, 65000000000496::bigint, 65000000000495::bigint, 1::smallint);</v>
      </c>
    </row>
    <row r="506" spans="2:7" x14ac:dyDescent="0.2">
      <c r="B506" s="9">
        <f>IF(EXACT([1]SEED!$AV507, ""), "", [1]SEED!$AV507)</f>
        <v>65000000000497</v>
      </c>
      <c r="C506" s="9">
        <f>IF(EXACT(B506, ""), "", IF(EXACT([1]SEED!$AW507, ""), "", [1]SEED!$AW507))</f>
        <v>65000000000482</v>
      </c>
      <c r="D506" s="9">
        <f>IF(EXACT([1]SEED!$B507, ""), IF(EXACT([1]SEED!$D507, ""), IF(EXACT([1]SEED!$F507, ""), IF(EXACT([1]SEED!$H507, ""), IF(EXACT([1]SEED!$J507, ""), "", [1]SEED!$AI507), [1]SEED!$AH507), [1]SEED!$AF507), [1]SEED!$AE507), [1]SEED!$AD507)</f>
        <v>1</v>
      </c>
      <c r="F506" s="14">
        <f t="shared" si="16"/>
        <v>237000000000497</v>
      </c>
      <c r="G506" s="15" t="str">
        <f t="shared" si="17"/>
        <v>PERFORM * FROM "SchData-OLTP-Accounting"."Func_TblLayoutStructureChartOfAccount_SET"(varSystemLoginSession, null, null, null, varInstitutionBranchID, 62000000000001::bigint, varLayoutStructure_RefID, 65000000000497::bigint, 65000000000482::bigint, 1::smallint);</v>
      </c>
    </row>
    <row r="507" spans="2:7" x14ac:dyDescent="0.2">
      <c r="B507" s="9">
        <f>IF(EXACT([1]SEED!$AV508, ""), "", [1]SEED!$AV508)</f>
        <v>65000000000498</v>
      </c>
      <c r="C507" s="9">
        <f>IF(EXACT(B507, ""), "", IF(EXACT([1]SEED!$AW508, ""), "", [1]SEED!$AW508))</f>
        <v>65000000000497</v>
      </c>
      <c r="D507" s="9">
        <f>IF(EXACT([1]SEED!$B508, ""), IF(EXACT([1]SEED!$D508, ""), IF(EXACT([1]SEED!$F508, ""), IF(EXACT([1]SEED!$H508, ""), IF(EXACT([1]SEED!$J508, ""), "", [1]SEED!$AI508), [1]SEED!$AH508), [1]SEED!$AF508), [1]SEED!$AE508), [1]SEED!$AD508)</f>
        <v>1</v>
      </c>
      <c r="F507" s="14">
        <f t="shared" si="16"/>
        <v>237000000000498</v>
      </c>
      <c r="G507" s="15" t="str">
        <f t="shared" si="17"/>
        <v>PERFORM * FROM "SchData-OLTP-Accounting"."Func_TblLayoutStructureChartOfAccount_SET"(varSystemLoginSession, null, null, null, varInstitutionBranchID, 62000000000001::bigint, varLayoutStructure_RefID, 65000000000498::bigint, 65000000000497::bigint, 1::smallint);</v>
      </c>
    </row>
    <row r="508" spans="2:7" x14ac:dyDescent="0.2">
      <c r="B508" s="9">
        <f>IF(EXACT([1]SEED!$AV509, ""), "", [1]SEED!$AV509)</f>
        <v>65000000000499</v>
      </c>
      <c r="C508" s="9">
        <f>IF(EXACT(B508, ""), "", IF(EXACT([1]SEED!$AW509, ""), "", [1]SEED!$AW509))</f>
        <v>65000000000482</v>
      </c>
      <c r="D508" s="9">
        <f>IF(EXACT([1]SEED!$B509, ""), IF(EXACT([1]SEED!$D509, ""), IF(EXACT([1]SEED!$F509, ""), IF(EXACT([1]SEED!$H509, ""), IF(EXACT([1]SEED!$J509, ""), "", [1]SEED!$AI509), [1]SEED!$AH509), [1]SEED!$AF509), [1]SEED!$AE509), [1]SEED!$AD509)</f>
        <v>1</v>
      </c>
      <c r="F508" s="14">
        <f t="shared" si="16"/>
        <v>237000000000499</v>
      </c>
      <c r="G508" s="15" t="str">
        <f t="shared" si="17"/>
        <v>PERFORM * FROM "SchData-OLTP-Accounting"."Func_TblLayoutStructureChartOfAccount_SET"(varSystemLoginSession, null, null, null, varInstitutionBranchID, 62000000000001::bigint, varLayoutStructure_RefID, 65000000000499::bigint, 65000000000482::bigint, 1::smallint);</v>
      </c>
    </row>
    <row r="509" spans="2:7" x14ac:dyDescent="0.2">
      <c r="B509" s="9">
        <f>IF(EXACT([1]SEED!$AV510, ""), "", [1]SEED!$AV510)</f>
        <v>65000000000500</v>
      </c>
      <c r="C509" s="9">
        <f>IF(EXACT(B509, ""), "", IF(EXACT([1]SEED!$AW510, ""), "", [1]SEED!$AW510))</f>
        <v>65000000000499</v>
      </c>
      <c r="D509" s="9">
        <f>IF(EXACT([1]SEED!$B510, ""), IF(EXACT([1]SEED!$D510, ""), IF(EXACT([1]SEED!$F510, ""), IF(EXACT([1]SEED!$H510, ""), IF(EXACT([1]SEED!$J510, ""), "", [1]SEED!$AI510), [1]SEED!$AH510), [1]SEED!$AF510), [1]SEED!$AE510), [1]SEED!$AD510)</f>
        <v>1</v>
      </c>
      <c r="F509" s="14">
        <f t="shared" si="16"/>
        <v>237000000000500</v>
      </c>
      <c r="G509" s="15" t="str">
        <f t="shared" si="17"/>
        <v>PERFORM * FROM "SchData-OLTP-Accounting"."Func_TblLayoutStructureChartOfAccount_SET"(varSystemLoginSession, null, null, null, varInstitutionBranchID, 62000000000001::bigint, varLayoutStructure_RefID, 65000000000500::bigint, 65000000000499::bigint, 1::smallint);</v>
      </c>
    </row>
    <row r="510" spans="2:7" x14ac:dyDescent="0.2">
      <c r="B510" s="9">
        <f>IF(EXACT([1]SEED!$AV511, ""), "", [1]SEED!$AV511)</f>
        <v>65000000000501</v>
      </c>
      <c r="C510" s="9">
        <f>IF(EXACT(B510, ""), "", IF(EXACT([1]SEED!$AW511, ""), "", [1]SEED!$AW511))</f>
        <v>65000000000482</v>
      </c>
      <c r="D510" s="9">
        <f>IF(EXACT([1]SEED!$B511, ""), IF(EXACT([1]SEED!$D511, ""), IF(EXACT([1]SEED!$F511, ""), IF(EXACT([1]SEED!$H511, ""), IF(EXACT([1]SEED!$J511, ""), "", [1]SEED!$AI511), [1]SEED!$AH511), [1]SEED!$AF511), [1]SEED!$AE511), [1]SEED!$AD511)</f>
        <v>1</v>
      </c>
      <c r="F510" s="14">
        <f t="shared" si="16"/>
        <v>237000000000501</v>
      </c>
      <c r="G510" s="15" t="str">
        <f t="shared" si="17"/>
        <v>PERFORM * FROM "SchData-OLTP-Accounting"."Func_TblLayoutStructureChartOfAccount_SET"(varSystemLoginSession, null, null, null, varInstitutionBranchID, 62000000000001::bigint, varLayoutStructure_RefID, 65000000000501::bigint, 65000000000482::bigint, 1::smallint);</v>
      </c>
    </row>
    <row r="511" spans="2:7" x14ac:dyDescent="0.2">
      <c r="B511" s="9">
        <f>IF(EXACT([1]SEED!$AV512, ""), "", [1]SEED!$AV512)</f>
        <v>65000000000502</v>
      </c>
      <c r="C511" s="9">
        <f>IF(EXACT(B511, ""), "", IF(EXACT([1]SEED!$AW512, ""), "", [1]SEED!$AW512))</f>
        <v>65000000000501</v>
      </c>
      <c r="D511" s="9">
        <f>IF(EXACT([1]SEED!$B512, ""), IF(EXACT([1]SEED!$D512, ""), IF(EXACT([1]SEED!$F512, ""), IF(EXACT([1]SEED!$H512, ""), IF(EXACT([1]SEED!$J512, ""), "", [1]SEED!$AI512), [1]SEED!$AH512), [1]SEED!$AF512), [1]SEED!$AE512), [1]SEED!$AD512)</f>
        <v>1</v>
      </c>
      <c r="F511" s="14">
        <f t="shared" si="16"/>
        <v>237000000000502</v>
      </c>
      <c r="G511" s="15" t="str">
        <f t="shared" si="17"/>
        <v>PERFORM * FROM "SchData-OLTP-Accounting"."Func_TblLayoutStructureChartOfAccount_SET"(varSystemLoginSession, null, null, null, varInstitutionBranchID, 62000000000001::bigint, varLayoutStructure_RefID, 65000000000502::bigint, 65000000000501::bigint, 1::smallint);</v>
      </c>
    </row>
    <row r="512" spans="2:7" x14ac:dyDescent="0.2">
      <c r="B512" s="9">
        <f>IF(EXACT([1]SEED!$AV513, ""), "", [1]SEED!$AV513)</f>
        <v>65000000000503</v>
      </c>
      <c r="C512" s="9" t="str">
        <f>IF(EXACT(B512, ""), "", IF(EXACT([1]SEED!$AW513, ""), "", [1]SEED!$AW513))</f>
        <v>null</v>
      </c>
      <c r="D512" s="9">
        <f>IF(EXACT([1]SEED!$B513, ""), IF(EXACT([1]SEED!$D513, ""), IF(EXACT([1]SEED!$F513, ""), IF(EXACT([1]SEED!$H513, ""), IF(EXACT([1]SEED!$J513, ""), "", [1]SEED!$AI513), [1]SEED!$AH513), [1]SEED!$AF513), [1]SEED!$AE513), [1]SEED!$AD513)</f>
        <v>7</v>
      </c>
      <c r="F512" s="14">
        <f t="shared" si="16"/>
        <v>237000000000503</v>
      </c>
      <c r="G512" s="15" t="str">
        <f t="shared" si="17"/>
        <v>PERFORM * FROM "SchData-OLTP-Accounting"."Func_TblLayoutStructureChartOfAccount_SET"(varSystemLoginSession, null, null, null, varInstitutionBranchID, 62000000000001::bigint, varLayoutStructure_RefID, 65000000000503::bigint, null::bigint, 7::smallint);</v>
      </c>
    </row>
    <row r="513" spans="2:7" x14ac:dyDescent="0.2">
      <c r="B513" s="9">
        <f>IF(EXACT([1]SEED!$AV514, ""), "", [1]SEED!$AV514)</f>
        <v>65000000000504</v>
      </c>
      <c r="C513" s="9">
        <f>IF(EXACT(B513, ""), "", IF(EXACT([1]SEED!$AW514, ""), "", [1]SEED!$AW514))</f>
        <v>65000000000503</v>
      </c>
      <c r="D513" s="9">
        <f>IF(EXACT([1]SEED!$B514, ""), IF(EXACT([1]SEED!$D514, ""), IF(EXACT([1]SEED!$F514, ""), IF(EXACT([1]SEED!$H514, ""), IF(EXACT([1]SEED!$J514, ""), "", [1]SEED!$AI514), [1]SEED!$AH514), [1]SEED!$AF514), [1]SEED!$AE514), [1]SEED!$AD514)</f>
        <v>2</v>
      </c>
      <c r="F513" s="14">
        <f t="shared" si="16"/>
        <v>237000000000504</v>
      </c>
      <c r="G513" s="15" t="str">
        <f t="shared" si="17"/>
        <v>PERFORM * FROM "SchData-OLTP-Accounting"."Func_TblLayoutStructureChartOfAccount_SET"(varSystemLoginSession, null, null, null, varInstitutionBranchID, 62000000000001::bigint, varLayoutStructure_RefID, 65000000000504::bigint, 65000000000503::bigint, 2::smallint);</v>
      </c>
    </row>
    <row r="514" spans="2:7" x14ac:dyDescent="0.2">
      <c r="B514" s="9">
        <f>IF(EXACT([1]SEED!$AV515, ""), "", [1]SEED!$AV515)</f>
        <v>65000000000505</v>
      </c>
      <c r="C514" s="9">
        <f>IF(EXACT(B514, ""), "", IF(EXACT([1]SEED!$AW515, ""), "", [1]SEED!$AW515))</f>
        <v>65000000000504</v>
      </c>
      <c r="D514" s="9">
        <f>IF(EXACT([1]SEED!$B515, ""), IF(EXACT([1]SEED!$D515, ""), IF(EXACT([1]SEED!$F515, ""), IF(EXACT([1]SEED!$H515, ""), IF(EXACT([1]SEED!$J515, ""), "", [1]SEED!$AI515), [1]SEED!$AH515), [1]SEED!$AF515), [1]SEED!$AE515), [1]SEED!$AD515)</f>
        <v>1</v>
      </c>
      <c r="F514" s="14">
        <f t="shared" si="16"/>
        <v>237000000000505</v>
      </c>
      <c r="G514" s="15" t="str">
        <f t="shared" si="17"/>
        <v>PERFORM * FROM "SchData-OLTP-Accounting"."Func_TblLayoutStructureChartOfAccount_SET"(varSystemLoginSession, null, null, null, varInstitutionBranchID, 62000000000001::bigint, varLayoutStructure_RefID, 65000000000505::bigint, 65000000000504::bigint, 1::smallint);</v>
      </c>
    </row>
    <row r="515" spans="2:7" x14ac:dyDescent="0.2">
      <c r="B515" s="9">
        <f>IF(EXACT([1]SEED!$AV516, ""), "", [1]SEED!$AV516)</f>
        <v>65000000000506</v>
      </c>
      <c r="C515" s="9">
        <f>IF(EXACT(B515, ""), "", IF(EXACT([1]SEED!$AW516, ""), "", [1]SEED!$AW516))</f>
        <v>65000000000505</v>
      </c>
      <c r="D515" s="9">
        <f>IF(EXACT([1]SEED!$B516, ""), IF(EXACT([1]SEED!$D516, ""), IF(EXACT([1]SEED!$F516, ""), IF(EXACT([1]SEED!$H516, ""), IF(EXACT([1]SEED!$J516, ""), "", [1]SEED!$AI516), [1]SEED!$AH516), [1]SEED!$AF516), [1]SEED!$AE516), [1]SEED!$AD516)</f>
        <v>1</v>
      </c>
      <c r="F515" s="14">
        <f t="shared" si="16"/>
        <v>237000000000506</v>
      </c>
      <c r="G515" s="15" t="str">
        <f t="shared" si="17"/>
        <v>PERFORM * FROM "SchData-OLTP-Accounting"."Func_TblLayoutStructureChartOfAccount_SET"(varSystemLoginSession, null, null, null, varInstitutionBranchID, 62000000000001::bigint, varLayoutStructure_RefID, 65000000000506::bigint, 65000000000505::bigint, 1::smallint);</v>
      </c>
    </row>
    <row r="516" spans="2:7" x14ac:dyDescent="0.2">
      <c r="B516" s="9">
        <f>IF(EXACT([1]SEED!$AV517, ""), "", [1]SEED!$AV517)</f>
        <v>65000000000507</v>
      </c>
      <c r="C516" s="9">
        <f>IF(EXACT(B516, ""), "", IF(EXACT([1]SEED!$AW517, ""), "", [1]SEED!$AW517))</f>
        <v>65000000000504</v>
      </c>
      <c r="D516" s="9">
        <f>IF(EXACT([1]SEED!$B517, ""), IF(EXACT([1]SEED!$D517, ""), IF(EXACT([1]SEED!$F517, ""), IF(EXACT([1]SEED!$H517, ""), IF(EXACT([1]SEED!$J517, ""), "", [1]SEED!$AI517), [1]SEED!$AH517), [1]SEED!$AF517), [1]SEED!$AE517), [1]SEED!$AD517)</f>
        <v>1</v>
      </c>
      <c r="F516" s="14">
        <f t="shared" si="16"/>
        <v>237000000000507</v>
      </c>
      <c r="G516" s="15" t="str">
        <f t="shared" si="17"/>
        <v>PERFORM * FROM "SchData-OLTP-Accounting"."Func_TblLayoutStructureChartOfAccount_SET"(varSystemLoginSession, null, null, null, varInstitutionBranchID, 62000000000001::bigint, varLayoutStructure_RefID, 65000000000507::bigint, 65000000000504::bigint, 1::smallint);</v>
      </c>
    </row>
    <row r="517" spans="2:7" x14ac:dyDescent="0.2">
      <c r="B517" s="9">
        <f>IF(EXACT([1]SEED!$AV518, ""), "", [1]SEED!$AV518)</f>
        <v>65000000000508</v>
      </c>
      <c r="C517" s="9">
        <f>IF(EXACT(B517, ""), "", IF(EXACT([1]SEED!$AW518, ""), "", [1]SEED!$AW518))</f>
        <v>65000000000507</v>
      </c>
      <c r="D517" s="9">
        <f>IF(EXACT([1]SEED!$B518, ""), IF(EXACT([1]SEED!$D518, ""), IF(EXACT([1]SEED!$F518, ""), IF(EXACT([1]SEED!$H518, ""), IF(EXACT([1]SEED!$J518, ""), "", [1]SEED!$AI518), [1]SEED!$AH518), [1]SEED!$AF518), [1]SEED!$AE518), [1]SEED!$AD518)</f>
        <v>1</v>
      </c>
      <c r="F517" s="14">
        <f t="shared" si="16"/>
        <v>237000000000508</v>
      </c>
      <c r="G517" s="15" t="str">
        <f t="shared" si="17"/>
        <v>PERFORM * FROM "SchData-OLTP-Accounting"."Func_TblLayoutStructureChartOfAccount_SET"(varSystemLoginSession, null, null, null, varInstitutionBranchID, 62000000000001::bigint, varLayoutStructure_RefID, 65000000000508::bigint, 65000000000507::bigint, 1::smallint);</v>
      </c>
    </row>
    <row r="518" spans="2:7" x14ac:dyDescent="0.2">
      <c r="B518" s="9">
        <f>IF(EXACT([1]SEED!$AV519, ""), "", [1]SEED!$AV519)</f>
        <v>65000000000509</v>
      </c>
      <c r="C518" s="9">
        <f>IF(EXACT(B518, ""), "", IF(EXACT([1]SEED!$AW519, ""), "", [1]SEED!$AW519))</f>
        <v>65000000000504</v>
      </c>
      <c r="D518" s="9">
        <f>IF(EXACT([1]SEED!$B519, ""), IF(EXACT([1]SEED!$D519, ""), IF(EXACT([1]SEED!$F519, ""), IF(EXACT([1]SEED!$H519, ""), IF(EXACT([1]SEED!$J519, ""), "", [1]SEED!$AI519), [1]SEED!$AH519), [1]SEED!$AF519), [1]SEED!$AE519), [1]SEED!$AD519)</f>
        <v>1</v>
      </c>
      <c r="F518" s="14">
        <f t="shared" si="16"/>
        <v>237000000000509</v>
      </c>
      <c r="G518" s="15" t="str">
        <f t="shared" si="17"/>
        <v>PERFORM * FROM "SchData-OLTP-Accounting"."Func_TblLayoutStructureChartOfAccount_SET"(varSystemLoginSession, null, null, null, varInstitutionBranchID, 62000000000001::bigint, varLayoutStructure_RefID, 65000000000509::bigint, 65000000000504::bigint, 1::smallint);</v>
      </c>
    </row>
    <row r="519" spans="2:7" x14ac:dyDescent="0.2">
      <c r="B519" s="9">
        <f>IF(EXACT([1]SEED!$AV520, ""), "", [1]SEED!$AV520)</f>
        <v>65000000000510</v>
      </c>
      <c r="C519" s="9">
        <f>IF(EXACT(B519, ""), "", IF(EXACT([1]SEED!$AW520, ""), "", [1]SEED!$AW520))</f>
        <v>65000000000509</v>
      </c>
      <c r="D519" s="9">
        <f>IF(EXACT([1]SEED!$B520, ""), IF(EXACT([1]SEED!$D520, ""), IF(EXACT([1]SEED!$F520, ""), IF(EXACT([1]SEED!$H520, ""), IF(EXACT([1]SEED!$J520, ""), "", [1]SEED!$AI520), [1]SEED!$AH520), [1]SEED!$AF520), [1]SEED!$AE520), [1]SEED!$AD520)</f>
        <v>1</v>
      </c>
      <c r="F519" s="14">
        <f t="shared" ref="F519:F545" si="18" xml:space="preserve"> F518 + IF(EXACT(G519, ""), 0, 1)</f>
        <v>237000000000510</v>
      </c>
      <c r="G519" s="15" t="str">
        <f t="shared" ref="G519:G545" si="19">IF(EXACT(B519, ""), "", CONCATENATE("PERFORM * FROM ""SchData-OLTP-Accounting"".""Func_TblLayoutStructureChartOfAccount_SET""(varSystemLoginSession, null, null, null, varInstitutionBranchID, 62000000000001::bigint, varLayoutStructure_RefID, ", B519, "::bigint, ", C519, "::bigint, ", D519,"::smallint);"))</f>
        <v>PERFORM * FROM "SchData-OLTP-Accounting"."Func_TblLayoutStructureChartOfAccount_SET"(varSystemLoginSession, null, null, null, varInstitutionBranchID, 62000000000001::bigint, varLayoutStructure_RefID, 65000000000510::bigint, 65000000000509::bigint, 1::smallint);</v>
      </c>
    </row>
    <row r="520" spans="2:7" x14ac:dyDescent="0.2">
      <c r="B520" s="9">
        <f>IF(EXACT([1]SEED!$AV521, ""), "", [1]SEED!$AV521)</f>
        <v>65000000000511</v>
      </c>
      <c r="C520" s="9">
        <f>IF(EXACT(B520, ""), "", IF(EXACT([1]SEED!$AW521, ""), "", [1]SEED!$AW521))</f>
        <v>65000000000503</v>
      </c>
      <c r="D520" s="9">
        <f>IF(EXACT([1]SEED!$B521, ""), IF(EXACT([1]SEED!$D521, ""), IF(EXACT([1]SEED!$F521, ""), IF(EXACT([1]SEED!$H521, ""), IF(EXACT([1]SEED!$J521, ""), "", [1]SEED!$AI521), [1]SEED!$AH521), [1]SEED!$AF521), [1]SEED!$AE521), [1]SEED!$AD521)</f>
        <v>3</v>
      </c>
      <c r="F520" s="14">
        <f t="shared" si="18"/>
        <v>237000000000511</v>
      </c>
      <c r="G520" s="15" t="str">
        <f t="shared" si="19"/>
        <v>PERFORM * FROM "SchData-OLTP-Accounting"."Func_TblLayoutStructureChartOfAccount_SET"(varSystemLoginSession, null, null, null, varInstitutionBranchID, 62000000000001::bigint, varLayoutStructure_RefID, 65000000000511::bigint, 65000000000503::bigint, 3::smallint);</v>
      </c>
    </row>
    <row r="521" spans="2:7" x14ac:dyDescent="0.2">
      <c r="B521" s="9">
        <f>IF(EXACT([1]SEED!$AV522, ""), "", [1]SEED!$AV522)</f>
        <v>65000000000512</v>
      </c>
      <c r="C521" s="9">
        <f>IF(EXACT(B521, ""), "", IF(EXACT([1]SEED!$AW522, ""), "", [1]SEED!$AW522))</f>
        <v>65000000000511</v>
      </c>
      <c r="D521" s="9">
        <f>IF(EXACT([1]SEED!$B522, ""), IF(EXACT([1]SEED!$D522, ""), IF(EXACT([1]SEED!$F522, ""), IF(EXACT([1]SEED!$H522, ""), IF(EXACT([1]SEED!$J522, ""), "", [1]SEED!$AI522), [1]SEED!$AH522), [1]SEED!$AF522), [1]SEED!$AE522), [1]SEED!$AD522)</f>
        <v>1</v>
      </c>
      <c r="F521" s="14">
        <f t="shared" si="18"/>
        <v>237000000000512</v>
      </c>
      <c r="G521" s="15" t="str">
        <f t="shared" si="19"/>
        <v>PERFORM * FROM "SchData-OLTP-Accounting"."Func_TblLayoutStructureChartOfAccount_SET"(varSystemLoginSession, null, null, null, varInstitutionBranchID, 62000000000001::bigint, varLayoutStructure_RefID, 65000000000512::bigint, 65000000000511::bigint, 1::smallint);</v>
      </c>
    </row>
    <row r="522" spans="2:7" x14ac:dyDescent="0.2">
      <c r="B522" s="9">
        <f>IF(EXACT([1]SEED!$AV523, ""), "", [1]SEED!$AV523)</f>
        <v>65000000000513</v>
      </c>
      <c r="C522" s="9">
        <f>IF(EXACT(B522, ""), "", IF(EXACT([1]SEED!$AW523, ""), "", [1]SEED!$AW523))</f>
        <v>65000000000503</v>
      </c>
      <c r="D522" s="9">
        <f>IF(EXACT([1]SEED!$B523, ""), IF(EXACT([1]SEED!$D523, ""), IF(EXACT([1]SEED!$F523, ""), IF(EXACT([1]SEED!$H523, ""), IF(EXACT([1]SEED!$J523, ""), "", [1]SEED!$AI523), [1]SEED!$AH523), [1]SEED!$AF523), [1]SEED!$AE523), [1]SEED!$AD523)</f>
        <v>4</v>
      </c>
      <c r="F522" s="14">
        <f t="shared" si="18"/>
        <v>237000000000513</v>
      </c>
      <c r="G522" s="15" t="str">
        <f t="shared" si="19"/>
        <v>PERFORM * FROM "SchData-OLTP-Accounting"."Func_TblLayoutStructureChartOfAccount_SET"(varSystemLoginSession, null, null, null, varInstitutionBranchID, 62000000000001::bigint, varLayoutStructure_RefID, 65000000000513::bigint, 65000000000503::bigint, 4::smallint);</v>
      </c>
    </row>
    <row r="523" spans="2:7" x14ac:dyDescent="0.2">
      <c r="B523" s="9">
        <f>IF(EXACT([1]SEED!$AV524, ""), "", [1]SEED!$AV524)</f>
        <v>65000000000514</v>
      </c>
      <c r="C523" s="9">
        <f>IF(EXACT(B523, ""), "", IF(EXACT([1]SEED!$AW524, ""), "", [1]SEED!$AW524))</f>
        <v>65000000000513</v>
      </c>
      <c r="D523" s="9">
        <f>IF(EXACT([1]SEED!$B524, ""), IF(EXACT([1]SEED!$D524, ""), IF(EXACT([1]SEED!$F524, ""), IF(EXACT([1]SEED!$H524, ""), IF(EXACT([1]SEED!$J524, ""), "", [1]SEED!$AI524), [1]SEED!$AH524), [1]SEED!$AF524), [1]SEED!$AE524), [1]SEED!$AD524)</f>
        <v>1</v>
      </c>
      <c r="F523" s="14">
        <f t="shared" si="18"/>
        <v>237000000000514</v>
      </c>
      <c r="G523" s="15" t="str">
        <f t="shared" si="19"/>
        <v>PERFORM * FROM "SchData-OLTP-Accounting"."Func_TblLayoutStructureChartOfAccount_SET"(varSystemLoginSession, null, null, null, varInstitutionBranchID, 62000000000001::bigint, varLayoutStructure_RefID, 65000000000514::bigint, 65000000000513::bigint, 1::smallint);</v>
      </c>
    </row>
    <row r="524" spans="2:7" x14ac:dyDescent="0.2">
      <c r="B524" s="9">
        <f>IF(EXACT([1]SEED!$AV525, ""), "", [1]SEED!$AV525)</f>
        <v>65000000000515</v>
      </c>
      <c r="C524" s="9">
        <f>IF(EXACT(B524, ""), "", IF(EXACT([1]SEED!$AW525, ""), "", [1]SEED!$AW525))</f>
        <v>65000000000514</v>
      </c>
      <c r="D524" s="9">
        <f>IF(EXACT([1]SEED!$B525, ""), IF(EXACT([1]SEED!$D525, ""), IF(EXACT([1]SEED!$F525, ""), IF(EXACT([1]SEED!$H525, ""), IF(EXACT([1]SEED!$J525, ""), "", [1]SEED!$AI525), [1]SEED!$AH525), [1]SEED!$AF525), [1]SEED!$AE525), [1]SEED!$AD525)</f>
        <v>1</v>
      </c>
      <c r="F524" s="14">
        <f t="shared" si="18"/>
        <v>237000000000515</v>
      </c>
      <c r="G524" s="15" t="str">
        <f t="shared" si="19"/>
        <v>PERFORM * FROM "SchData-OLTP-Accounting"."Func_TblLayoutStructureChartOfAccount_SET"(varSystemLoginSession, null, null, null, varInstitutionBranchID, 62000000000001::bigint, varLayoutStructure_RefID, 65000000000515::bigint, 65000000000514::bigint, 1::smallint);</v>
      </c>
    </row>
    <row r="525" spans="2:7" x14ac:dyDescent="0.2">
      <c r="B525" s="9">
        <f>IF(EXACT([1]SEED!$AV526, ""), "", [1]SEED!$AV526)</f>
        <v>65000000000516</v>
      </c>
      <c r="C525" s="9">
        <f>IF(EXACT(B525, ""), "", IF(EXACT([1]SEED!$AW526, ""), "", [1]SEED!$AW526))</f>
        <v>65000000000513</v>
      </c>
      <c r="D525" s="9">
        <f>IF(EXACT([1]SEED!$B526, ""), IF(EXACT([1]SEED!$D526, ""), IF(EXACT([1]SEED!$F526, ""), IF(EXACT([1]SEED!$H526, ""), IF(EXACT([1]SEED!$J526, ""), "", [1]SEED!$AI526), [1]SEED!$AH526), [1]SEED!$AF526), [1]SEED!$AE526), [1]SEED!$AD526)</f>
        <v>1</v>
      </c>
      <c r="F525" s="14">
        <f t="shared" si="18"/>
        <v>237000000000516</v>
      </c>
      <c r="G525" s="15" t="str">
        <f t="shared" si="19"/>
        <v>PERFORM * FROM "SchData-OLTP-Accounting"."Func_TblLayoutStructureChartOfAccount_SET"(varSystemLoginSession, null, null, null, varInstitutionBranchID, 62000000000001::bigint, varLayoutStructure_RefID, 65000000000516::bigint, 65000000000513::bigint, 1::smallint);</v>
      </c>
    </row>
    <row r="526" spans="2:7" x14ac:dyDescent="0.2">
      <c r="B526" s="9">
        <f>IF(EXACT([1]SEED!$AV527, ""), "", [1]SEED!$AV527)</f>
        <v>65000000000517</v>
      </c>
      <c r="C526" s="9">
        <f>IF(EXACT(B526, ""), "", IF(EXACT([1]SEED!$AW527, ""), "", [1]SEED!$AW527))</f>
        <v>65000000000516</v>
      </c>
      <c r="D526" s="9">
        <f>IF(EXACT([1]SEED!$B527, ""), IF(EXACT([1]SEED!$D527, ""), IF(EXACT([1]SEED!$F527, ""), IF(EXACT([1]SEED!$H527, ""), IF(EXACT([1]SEED!$J527, ""), "", [1]SEED!$AI527), [1]SEED!$AH527), [1]SEED!$AF527), [1]SEED!$AE527), [1]SEED!$AD527)</f>
        <v>1</v>
      </c>
      <c r="F526" s="14">
        <f t="shared" si="18"/>
        <v>237000000000517</v>
      </c>
      <c r="G526" s="15" t="str">
        <f t="shared" si="19"/>
        <v>PERFORM * FROM "SchData-OLTP-Accounting"."Func_TblLayoutStructureChartOfAccount_SET"(varSystemLoginSession, null, null, null, varInstitutionBranchID, 62000000000001::bigint, varLayoutStructure_RefID, 65000000000517::bigint, 65000000000516::bigint, 1::smallint);</v>
      </c>
    </row>
    <row r="527" spans="2:7" x14ac:dyDescent="0.2">
      <c r="B527" s="9">
        <f>IF(EXACT([1]SEED!$AV528, ""), "", [1]SEED!$AV528)</f>
        <v>65000000000518</v>
      </c>
      <c r="C527" s="9">
        <f>IF(EXACT(B527, ""), "", IF(EXACT([1]SEED!$AW528, ""), "", [1]SEED!$AW528))</f>
        <v>65000000000503</v>
      </c>
      <c r="D527" s="9">
        <f>IF(EXACT([1]SEED!$B528, ""), IF(EXACT([1]SEED!$D528, ""), IF(EXACT([1]SEED!$F528, ""), IF(EXACT([1]SEED!$H528, ""), IF(EXACT([1]SEED!$J528, ""), "", [1]SEED!$AI528), [1]SEED!$AH528), [1]SEED!$AF528), [1]SEED!$AE528), [1]SEED!$AD528)</f>
        <v>5</v>
      </c>
      <c r="F527" s="14">
        <f t="shared" si="18"/>
        <v>237000000000518</v>
      </c>
      <c r="G527" s="15" t="str">
        <f t="shared" si="19"/>
        <v>PERFORM * FROM "SchData-OLTP-Accounting"."Func_TblLayoutStructureChartOfAccount_SET"(varSystemLoginSession, null, null, null, varInstitutionBranchID, 62000000000001::bigint, varLayoutStructure_RefID, 65000000000518::bigint, 65000000000503::bigint, 5::smallint);</v>
      </c>
    </row>
    <row r="528" spans="2:7" x14ac:dyDescent="0.2">
      <c r="B528" s="9">
        <f>IF(EXACT([1]SEED!$AV529, ""), "", [1]SEED!$AV529)</f>
        <v>65000000000519</v>
      </c>
      <c r="C528" s="9">
        <f>IF(EXACT(B528, ""), "", IF(EXACT([1]SEED!$AW529, ""), "", [1]SEED!$AW529))</f>
        <v>65000000000518</v>
      </c>
      <c r="D528" s="9">
        <f>IF(EXACT([1]SEED!$B529, ""), IF(EXACT([1]SEED!$D529, ""), IF(EXACT([1]SEED!$F529, ""), IF(EXACT([1]SEED!$H529, ""), IF(EXACT([1]SEED!$J529, ""), "", [1]SEED!$AI529), [1]SEED!$AH529), [1]SEED!$AF529), [1]SEED!$AE529), [1]SEED!$AD529)</f>
        <v>2</v>
      </c>
      <c r="F528" s="14">
        <f t="shared" si="18"/>
        <v>237000000000519</v>
      </c>
      <c r="G528" s="15" t="str">
        <f t="shared" si="19"/>
        <v>PERFORM * FROM "SchData-OLTP-Accounting"."Func_TblLayoutStructureChartOfAccount_SET"(varSystemLoginSession, null, null, null, varInstitutionBranchID, 62000000000001::bigint, varLayoutStructure_RefID, 65000000000519::bigint, 65000000000518::bigint, 2::smallint);</v>
      </c>
    </row>
    <row r="529" spans="2:7" x14ac:dyDescent="0.2">
      <c r="B529" s="9">
        <f>IF(EXACT([1]SEED!$AV530, ""), "", [1]SEED!$AV530)</f>
        <v>65000000000520</v>
      </c>
      <c r="C529" s="9">
        <f>IF(EXACT(B529, ""), "", IF(EXACT([1]SEED!$AW530, ""), "", [1]SEED!$AW530))</f>
        <v>65000000000519</v>
      </c>
      <c r="D529" s="9">
        <f>IF(EXACT([1]SEED!$B530, ""), IF(EXACT([1]SEED!$D530, ""), IF(EXACT([1]SEED!$F530, ""), IF(EXACT([1]SEED!$H530, ""), IF(EXACT([1]SEED!$J530, ""), "", [1]SEED!$AI530), [1]SEED!$AH530), [1]SEED!$AF530), [1]SEED!$AE530), [1]SEED!$AD530)</f>
        <v>1</v>
      </c>
      <c r="F529" s="14">
        <f t="shared" si="18"/>
        <v>237000000000520</v>
      </c>
      <c r="G529" s="15" t="str">
        <f t="shared" si="19"/>
        <v>PERFORM * FROM "SchData-OLTP-Accounting"."Func_TblLayoutStructureChartOfAccount_SET"(varSystemLoginSession, null, null, null, varInstitutionBranchID, 62000000000001::bigint, varLayoutStructure_RefID, 65000000000520::bigint, 65000000000519::bigint, 1::smallint);</v>
      </c>
    </row>
    <row r="530" spans="2:7" x14ac:dyDescent="0.2">
      <c r="B530" s="9">
        <f>IF(EXACT([1]SEED!$AV531, ""), "", [1]SEED!$AV531)</f>
        <v>65000000000521</v>
      </c>
      <c r="C530" s="9">
        <f>IF(EXACT(B530, ""), "", IF(EXACT([1]SEED!$AW531, ""), "", [1]SEED!$AW531))</f>
        <v>65000000000518</v>
      </c>
      <c r="D530" s="9">
        <f>IF(EXACT([1]SEED!$B531, ""), IF(EXACT([1]SEED!$D531, ""), IF(EXACT([1]SEED!$F531, ""), IF(EXACT([1]SEED!$H531, ""), IF(EXACT([1]SEED!$J531, ""), "", [1]SEED!$AI531), [1]SEED!$AH531), [1]SEED!$AF531), [1]SEED!$AE531), [1]SEED!$AD531)</f>
        <v>3</v>
      </c>
      <c r="F530" s="14">
        <f t="shared" si="18"/>
        <v>237000000000521</v>
      </c>
      <c r="G530" s="15" t="str">
        <f t="shared" si="19"/>
        <v>PERFORM * FROM "SchData-OLTP-Accounting"."Func_TblLayoutStructureChartOfAccount_SET"(varSystemLoginSession, null, null, null, varInstitutionBranchID, 62000000000001::bigint, varLayoutStructure_RefID, 65000000000521::bigint, 65000000000518::bigint, 3::smallint);</v>
      </c>
    </row>
    <row r="531" spans="2:7" x14ac:dyDescent="0.2">
      <c r="B531" s="9">
        <f>IF(EXACT([1]SEED!$AV532, ""), "", [1]SEED!$AV532)</f>
        <v>65000000000522</v>
      </c>
      <c r="C531" s="9">
        <f>IF(EXACT(B531, ""), "", IF(EXACT([1]SEED!$AW532, ""), "", [1]SEED!$AW532))</f>
        <v>65000000000521</v>
      </c>
      <c r="D531" s="9">
        <f>IF(EXACT([1]SEED!$B532, ""), IF(EXACT([1]SEED!$D532, ""), IF(EXACT([1]SEED!$F532, ""), IF(EXACT([1]SEED!$H532, ""), IF(EXACT([1]SEED!$J532, ""), "", [1]SEED!$AI532), [1]SEED!$AH532), [1]SEED!$AF532), [1]SEED!$AE532), [1]SEED!$AD532)</f>
        <v>1</v>
      </c>
      <c r="F531" s="14">
        <f t="shared" si="18"/>
        <v>237000000000522</v>
      </c>
      <c r="G531" s="15" t="str">
        <f t="shared" si="19"/>
        <v>PERFORM * FROM "SchData-OLTP-Accounting"."Func_TblLayoutStructureChartOfAccount_SET"(varSystemLoginSession, null, null, null, varInstitutionBranchID, 62000000000001::bigint, varLayoutStructure_RefID, 65000000000522::bigint, 65000000000521::bigint, 1::smallint);</v>
      </c>
    </row>
    <row r="532" spans="2:7" x14ac:dyDescent="0.2">
      <c r="B532" s="9">
        <f>IF(EXACT([1]SEED!$AV533, ""), "", [1]SEED!$AV533)</f>
        <v>65000000000523</v>
      </c>
      <c r="C532" s="9">
        <f>IF(EXACT(B532, ""), "", IF(EXACT([1]SEED!$AW533, ""), "", [1]SEED!$AW533))</f>
        <v>65000000000522</v>
      </c>
      <c r="D532" s="9">
        <f>IF(EXACT([1]SEED!$B533, ""), IF(EXACT([1]SEED!$D533, ""), IF(EXACT([1]SEED!$F533, ""), IF(EXACT([1]SEED!$H533, ""), IF(EXACT([1]SEED!$J533, ""), "", [1]SEED!$AI533), [1]SEED!$AH533), [1]SEED!$AF533), [1]SEED!$AE533), [1]SEED!$AD533)</f>
        <v>1</v>
      </c>
      <c r="F532" s="14">
        <f t="shared" si="18"/>
        <v>237000000000523</v>
      </c>
      <c r="G532" s="15" t="str">
        <f t="shared" si="19"/>
        <v>PERFORM * FROM "SchData-OLTP-Accounting"."Func_TblLayoutStructureChartOfAccount_SET"(varSystemLoginSession, null, null, null, varInstitutionBranchID, 62000000000001::bigint, varLayoutStructure_RefID, 65000000000523::bigint, 65000000000522::bigint, 1::smallint);</v>
      </c>
    </row>
    <row r="533" spans="2:7" x14ac:dyDescent="0.2">
      <c r="B533" s="9">
        <f>IF(EXACT([1]SEED!$AV534, ""), "", [1]SEED!$AV534)</f>
        <v>65000000000524</v>
      </c>
      <c r="C533" s="9" t="str">
        <f>IF(EXACT(B533, ""), "", IF(EXACT([1]SEED!$AW534, ""), "", [1]SEED!$AW534))</f>
        <v>null</v>
      </c>
      <c r="D533" s="9">
        <f>IF(EXACT([1]SEED!$B534, ""), IF(EXACT([1]SEED!$D534, ""), IF(EXACT([1]SEED!$F534, ""), IF(EXACT([1]SEED!$H534, ""), IF(EXACT([1]SEED!$J534, ""), "", [1]SEED!$AI534), [1]SEED!$AH534), [1]SEED!$AF534), [1]SEED!$AE534), [1]SEED!$AD534)</f>
        <v>8</v>
      </c>
      <c r="F533" s="14">
        <f t="shared" si="18"/>
        <v>237000000000524</v>
      </c>
      <c r="G533" s="15" t="str">
        <f t="shared" si="19"/>
        <v>PERFORM * FROM "SchData-OLTP-Accounting"."Func_TblLayoutStructureChartOfAccount_SET"(varSystemLoginSession, null, null, null, varInstitutionBranchID, 62000000000001::bigint, varLayoutStructure_RefID, 65000000000524::bigint, null::bigint, 8::smallint);</v>
      </c>
    </row>
    <row r="534" spans="2:7" x14ac:dyDescent="0.2">
      <c r="B534" s="9">
        <f>IF(EXACT([1]SEED!$AV535, ""), "", [1]SEED!$AV535)</f>
        <v>65000000000525</v>
      </c>
      <c r="C534" s="9">
        <f>IF(EXACT(B534, ""), "", IF(EXACT([1]SEED!$AW535, ""), "", [1]SEED!$AW535))</f>
        <v>65000000000524</v>
      </c>
      <c r="D534" s="9">
        <f>IF(EXACT([1]SEED!$B535, ""), IF(EXACT([1]SEED!$D535, ""), IF(EXACT([1]SEED!$F535, ""), IF(EXACT([1]SEED!$H535, ""), IF(EXACT([1]SEED!$J535, ""), "", [1]SEED!$AI535), [1]SEED!$AH535), [1]SEED!$AF535), [1]SEED!$AE535), [1]SEED!$AD535)</f>
        <v>2</v>
      </c>
      <c r="F534" s="14">
        <f t="shared" si="18"/>
        <v>237000000000525</v>
      </c>
      <c r="G534" s="15" t="str">
        <f t="shared" si="19"/>
        <v>PERFORM * FROM "SchData-OLTP-Accounting"."Func_TblLayoutStructureChartOfAccount_SET"(varSystemLoginSession, null, null, null, varInstitutionBranchID, 62000000000001::bigint, varLayoutStructure_RefID, 65000000000525::bigint, 65000000000524::bigint, 2::smallint);</v>
      </c>
    </row>
    <row r="535" spans="2:7" x14ac:dyDescent="0.2">
      <c r="B535" s="9">
        <f>IF(EXACT([1]SEED!$AV536, ""), "", [1]SEED!$AV536)</f>
        <v>65000000000526</v>
      </c>
      <c r="C535" s="9">
        <f>IF(EXACT(B535, ""), "", IF(EXACT([1]SEED!$AW536, ""), "", [1]SEED!$AW536))</f>
        <v>65000000000525</v>
      </c>
      <c r="D535" s="9">
        <f>IF(EXACT([1]SEED!$B536, ""), IF(EXACT([1]SEED!$D536, ""), IF(EXACT([1]SEED!$F536, ""), IF(EXACT([1]SEED!$H536, ""), IF(EXACT([1]SEED!$J536, ""), "", [1]SEED!$AI536), [1]SEED!$AH536), [1]SEED!$AF536), [1]SEED!$AE536), [1]SEED!$AD536)</f>
        <v>1</v>
      </c>
      <c r="F535" s="14">
        <f t="shared" si="18"/>
        <v>237000000000526</v>
      </c>
      <c r="G535" s="15" t="str">
        <f t="shared" si="19"/>
        <v>PERFORM * FROM "SchData-OLTP-Accounting"."Func_TblLayoutStructureChartOfAccount_SET"(varSystemLoginSession, null, null, null, varInstitutionBranchID, 62000000000001::bigint, varLayoutStructure_RefID, 65000000000526::bigint, 65000000000525::bigint, 1::smallint);</v>
      </c>
    </row>
    <row r="536" spans="2:7" x14ac:dyDescent="0.2">
      <c r="B536" s="9">
        <f>IF(EXACT([1]SEED!$AV537, ""), "", [1]SEED!$AV537)</f>
        <v>65000000000527</v>
      </c>
      <c r="C536" s="9">
        <f>IF(EXACT(B536, ""), "", IF(EXACT([1]SEED!$AW537, ""), "", [1]SEED!$AW537))</f>
        <v>65000000000526</v>
      </c>
      <c r="D536" s="9">
        <f>IF(EXACT([1]SEED!$B537, ""), IF(EXACT([1]SEED!$D537, ""), IF(EXACT([1]SEED!$F537, ""), IF(EXACT([1]SEED!$H537, ""), IF(EXACT([1]SEED!$J537, ""), "", [1]SEED!$AI537), [1]SEED!$AH537), [1]SEED!$AF537), [1]SEED!$AE537), [1]SEED!$AD537)</f>
        <v>1</v>
      </c>
      <c r="F536" s="14">
        <f t="shared" si="18"/>
        <v>237000000000527</v>
      </c>
      <c r="G536" s="15" t="str">
        <f t="shared" si="19"/>
        <v>PERFORM * FROM "SchData-OLTP-Accounting"."Func_TblLayoutStructureChartOfAccount_SET"(varSystemLoginSession, null, null, null, varInstitutionBranchID, 62000000000001::bigint, varLayoutStructure_RefID, 65000000000527::bigint, 65000000000526::bigint, 1::smallint);</v>
      </c>
    </row>
    <row r="537" spans="2:7" x14ac:dyDescent="0.2">
      <c r="B537" s="9">
        <f>IF(EXACT([1]SEED!$AV538, ""), "", [1]SEED!$AV538)</f>
        <v>65000000000528</v>
      </c>
      <c r="C537" s="9">
        <f>IF(EXACT(B537, ""), "", IF(EXACT([1]SEED!$AW538, ""), "", [1]SEED!$AW538))</f>
        <v>65000000000525</v>
      </c>
      <c r="D537" s="9">
        <f>IF(EXACT([1]SEED!$B538, ""), IF(EXACT([1]SEED!$D538, ""), IF(EXACT([1]SEED!$F538, ""), IF(EXACT([1]SEED!$H538, ""), IF(EXACT([1]SEED!$J538, ""), "", [1]SEED!$AI538), [1]SEED!$AH538), [1]SEED!$AF538), [1]SEED!$AE538), [1]SEED!$AD538)</f>
        <v>1</v>
      </c>
      <c r="F537" s="14">
        <f t="shared" si="18"/>
        <v>237000000000528</v>
      </c>
      <c r="G537" s="15" t="str">
        <f t="shared" si="19"/>
        <v>PERFORM * FROM "SchData-OLTP-Accounting"."Func_TblLayoutStructureChartOfAccount_SET"(varSystemLoginSession, null, null, null, varInstitutionBranchID, 62000000000001::bigint, varLayoutStructure_RefID, 65000000000528::bigint, 65000000000525::bigint, 1::smallint);</v>
      </c>
    </row>
    <row r="538" spans="2:7" x14ac:dyDescent="0.2">
      <c r="B538" s="9">
        <f>IF(EXACT([1]SEED!$AV539, ""), "", [1]SEED!$AV539)</f>
        <v>65000000000529</v>
      </c>
      <c r="C538" s="9">
        <f>IF(EXACT(B538, ""), "", IF(EXACT([1]SEED!$AW539, ""), "", [1]SEED!$AW539))</f>
        <v>65000000000528</v>
      </c>
      <c r="D538" s="9">
        <f>IF(EXACT([1]SEED!$B539, ""), IF(EXACT([1]SEED!$D539, ""), IF(EXACT([1]SEED!$F539, ""), IF(EXACT([1]SEED!$H539, ""), IF(EXACT([1]SEED!$J539, ""), "", [1]SEED!$AI539), [1]SEED!$AH539), [1]SEED!$AF539), [1]SEED!$AE539), [1]SEED!$AD539)</f>
        <v>1</v>
      </c>
      <c r="F538" s="14">
        <f t="shared" si="18"/>
        <v>237000000000529</v>
      </c>
      <c r="G538" s="15" t="str">
        <f t="shared" si="19"/>
        <v>PERFORM * FROM "SchData-OLTP-Accounting"."Func_TblLayoutStructureChartOfAccount_SET"(varSystemLoginSession, null, null, null, varInstitutionBranchID, 62000000000001::bigint, varLayoutStructure_RefID, 65000000000529::bigint, 65000000000528::bigint, 1::smallint);</v>
      </c>
    </row>
    <row r="539" spans="2:7" x14ac:dyDescent="0.2">
      <c r="B539" s="9">
        <f>IF(EXACT([1]SEED!$AV540, ""), "", [1]SEED!$AV540)</f>
        <v>65000000000530</v>
      </c>
      <c r="C539" s="9">
        <f>IF(EXACT(B539, ""), "", IF(EXACT([1]SEED!$AW540, ""), "", [1]SEED!$AW540))</f>
        <v>65000000000524</v>
      </c>
      <c r="D539" s="9">
        <f>IF(EXACT([1]SEED!$B540, ""), IF(EXACT([1]SEED!$D540, ""), IF(EXACT([1]SEED!$F540, ""), IF(EXACT([1]SEED!$H540, ""), IF(EXACT([1]SEED!$J540, ""), "", [1]SEED!$AI540), [1]SEED!$AH540), [1]SEED!$AF540), [1]SEED!$AE540), [1]SEED!$AD540)</f>
        <v>3</v>
      </c>
      <c r="F539" s="14">
        <f t="shared" si="18"/>
        <v>237000000000530</v>
      </c>
      <c r="G539" s="15" t="str">
        <f t="shared" si="19"/>
        <v>PERFORM * FROM "SchData-OLTP-Accounting"."Func_TblLayoutStructureChartOfAccount_SET"(varSystemLoginSession, null, null, null, varInstitutionBranchID, 62000000000001::bigint, varLayoutStructure_RefID, 65000000000530::bigint, 65000000000524::bigint, 3::smallint);</v>
      </c>
    </row>
    <row r="540" spans="2:7" x14ac:dyDescent="0.2">
      <c r="B540" s="9">
        <f>IF(EXACT([1]SEED!$AV541, ""), "", [1]SEED!$AV541)</f>
        <v>65000000000531</v>
      </c>
      <c r="C540" s="9">
        <f>IF(EXACT(B540, ""), "", IF(EXACT([1]SEED!$AW541, ""), "", [1]SEED!$AW541))</f>
        <v>65000000000530</v>
      </c>
      <c r="D540" s="9">
        <f>IF(EXACT([1]SEED!$B541, ""), IF(EXACT([1]SEED!$D541, ""), IF(EXACT([1]SEED!$F541, ""), IF(EXACT([1]SEED!$H541, ""), IF(EXACT([1]SEED!$J541, ""), "", [1]SEED!$AI541), [1]SEED!$AH541), [1]SEED!$AF541), [1]SEED!$AE541), [1]SEED!$AD541)</f>
        <v>1</v>
      </c>
      <c r="F540" s="14">
        <f t="shared" si="18"/>
        <v>237000000000531</v>
      </c>
      <c r="G540" s="15" t="str">
        <f t="shared" si="19"/>
        <v>PERFORM * FROM "SchData-OLTP-Accounting"."Func_TblLayoutStructureChartOfAccount_SET"(varSystemLoginSession, null, null, null, varInstitutionBranchID, 62000000000001::bigint, varLayoutStructure_RefID, 65000000000531::bigint, 65000000000530::bigint, 1::smallint);</v>
      </c>
    </row>
    <row r="541" spans="2:7" x14ac:dyDescent="0.2">
      <c r="B541" s="9">
        <f>IF(EXACT([1]SEED!$AV542, ""), "", [1]SEED!$AV542)</f>
        <v>65000000000532</v>
      </c>
      <c r="C541" s="9">
        <f>IF(EXACT(B541, ""), "", IF(EXACT([1]SEED!$AW542, ""), "", [1]SEED!$AW542))</f>
        <v>65000000000531</v>
      </c>
      <c r="D541" s="9">
        <f>IF(EXACT([1]SEED!$B542, ""), IF(EXACT([1]SEED!$D542, ""), IF(EXACT([1]SEED!$F542, ""), IF(EXACT([1]SEED!$H542, ""), IF(EXACT([1]SEED!$J542, ""), "", [1]SEED!$AI542), [1]SEED!$AH542), [1]SEED!$AF542), [1]SEED!$AE542), [1]SEED!$AD542)</f>
        <v>1</v>
      </c>
      <c r="F541" s="14">
        <f t="shared" si="18"/>
        <v>237000000000532</v>
      </c>
      <c r="G541" s="15" t="str">
        <f t="shared" si="19"/>
        <v>PERFORM * FROM "SchData-OLTP-Accounting"."Func_TblLayoutStructureChartOfAccount_SET"(varSystemLoginSession, null, null, null, varInstitutionBranchID, 62000000000001::bigint, varLayoutStructure_RefID, 65000000000532::bigint, 65000000000531::bigint, 1::smallint);</v>
      </c>
    </row>
    <row r="542" spans="2:7" x14ac:dyDescent="0.2">
      <c r="B542" s="9">
        <f>IF(EXACT([1]SEED!$AV543, ""), "", [1]SEED!$AV543)</f>
        <v>65000000000533</v>
      </c>
      <c r="C542" s="9">
        <f>IF(EXACT(B542, ""), "", IF(EXACT([1]SEED!$AW543, ""), "", [1]SEED!$AW543))</f>
        <v>65000000000530</v>
      </c>
      <c r="D542" s="9">
        <f>IF(EXACT([1]SEED!$B543, ""), IF(EXACT([1]SEED!$D543, ""), IF(EXACT([1]SEED!$F543, ""), IF(EXACT([1]SEED!$H543, ""), IF(EXACT([1]SEED!$J543, ""), "", [1]SEED!$AI543), [1]SEED!$AH543), [1]SEED!$AF543), [1]SEED!$AE543), [1]SEED!$AD543)</f>
        <v>1</v>
      </c>
      <c r="F542" s="14">
        <f t="shared" si="18"/>
        <v>237000000000533</v>
      </c>
      <c r="G542" s="15" t="str">
        <f t="shared" si="19"/>
        <v>PERFORM * FROM "SchData-OLTP-Accounting"."Func_TblLayoutStructureChartOfAccount_SET"(varSystemLoginSession, null, null, null, varInstitutionBranchID, 62000000000001::bigint, varLayoutStructure_RefID, 65000000000533::bigint, 65000000000530::bigint, 1::smallint);</v>
      </c>
    </row>
    <row r="543" spans="2:7" x14ac:dyDescent="0.2">
      <c r="B543" s="9">
        <f>IF(EXACT([1]SEED!$AV544, ""), "", [1]SEED!$AV544)</f>
        <v>65000000000534</v>
      </c>
      <c r="C543" s="9">
        <f>IF(EXACT(B543, ""), "", IF(EXACT([1]SEED!$AW544, ""), "", [1]SEED!$AW544))</f>
        <v>65000000000533</v>
      </c>
      <c r="D543" s="9">
        <f>IF(EXACT([1]SEED!$B544, ""), IF(EXACT([1]SEED!$D544, ""), IF(EXACT([1]SEED!$F544, ""), IF(EXACT([1]SEED!$H544, ""), IF(EXACT([1]SEED!$J544, ""), "", [1]SEED!$AI544), [1]SEED!$AH544), [1]SEED!$AF544), [1]SEED!$AE544), [1]SEED!$AD544)</f>
        <v>1</v>
      </c>
      <c r="F543" s="14">
        <f t="shared" si="18"/>
        <v>237000000000534</v>
      </c>
      <c r="G543" s="15" t="str">
        <f t="shared" si="19"/>
        <v>PERFORM * FROM "SchData-OLTP-Accounting"."Func_TblLayoutStructureChartOfAccount_SET"(varSystemLoginSession, null, null, null, varInstitutionBranchID, 62000000000001::bigint, varLayoutStructure_RefID, 65000000000534::bigint, 65000000000533::bigint, 1::smallint);</v>
      </c>
    </row>
    <row r="544" spans="2:7" x14ac:dyDescent="0.2">
      <c r="B544" s="9">
        <f>IF(EXACT([1]SEED!$AV545, ""), "", [1]SEED!$AV545)</f>
        <v>65000000000535</v>
      </c>
      <c r="C544" s="9">
        <f>IF(EXACT(B544, ""), "", IF(EXACT([1]SEED!$AW545, ""), "", [1]SEED!$AW545))</f>
        <v>65000000000524</v>
      </c>
      <c r="D544" s="9">
        <f>IF(EXACT([1]SEED!$B545, ""), IF(EXACT([1]SEED!$D545, ""), IF(EXACT([1]SEED!$F545, ""), IF(EXACT([1]SEED!$H545, ""), IF(EXACT([1]SEED!$J545, ""), "", [1]SEED!$AI545), [1]SEED!$AH545), [1]SEED!$AF545), [1]SEED!$AE545), [1]SEED!$AD545)</f>
        <v>4</v>
      </c>
      <c r="F544" s="14">
        <f t="shared" si="18"/>
        <v>237000000000535</v>
      </c>
      <c r="G544" s="15" t="str">
        <f t="shared" si="19"/>
        <v>PERFORM * FROM "SchData-OLTP-Accounting"."Func_TblLayoutStructureChartOfAccount_SET"(varSystemLoginSession, null, null, null, varInstitutionBranchID, 62000000000001::bigint, varLayoutStructure_RefID, 65000000000535::bigint, 65000000000524::bigint, 4::smallint);</v>
      </c>
    </row>
    <row r="545" spans="2:7" x14ac:dyDescent="0.2">
      <c r="B545" s="9">
        <f>IF(EXACT([1]SEED!$AV546, ""), "", [1]SEED!$AV546)</f>
        <v>65000000000536</v>
      </c>
      <c r="C545" s="9">
        <f>IF(EXACT(B545, ""), "", IF(EXACT([1]SEED!$AW546, ""), "", [1]SEED!$AW546))</f>
        <v>65000000000535</v>
      </c>
      <c r="D545" s="9">
        <f>IF(EXACT([1]SEED!$B546, ""), IF(EXACT([1]SEED!$D546, ""), IF(EXACT([1]SEED!$F546, ""), IF(EXACT([1]SEED!$H546, ""), IF(EXACT([1]SEED!$J546, ""), "", [1]SEED!$AI546), [1]SEED!$AH546), [1]SEED!$AF546), [1]SEED!$AE546), [1]SEED!$AD546)</f>
        <v>1</v>
      </c>
      <c r="F545" s="14">
        <f t="shared" si="18"/>
        <v>237000000000536</v>
      </c>
      <c r="G545" s="15" t="str">
        <f t="shared" si="19"/>
        <v>PERFORM * FROM "SchData-OLTP-Accounting"."Func_TblLayoutStructureChartOfAccount_SET"(varSystemLoginSession, null, null, null, varInstitutionBranchID, 62000000000001::bigint, varLayoutStructure_RefID, 65000000000536::bigint, 65000000000535::bigint, 1::smallint);</v>
      </c>
    </row>
    <row r="546" spans="2:7" x14ac:dyDescent="0.2">
      <c r="B546" s="9">
        <f>IF(EXACT([1]SEED!$AV547, ""), "", [1]SEED!$AV547)</f>
        <v>65000000000537</v>
      </c>
      <c r="C546" s="9">
        <f>IF(EXACT(B546, ""), "", IF(EXACT([1]SEED!$AW547, ""), "", [1]SEED!$AW547))</f>
        <v>65000000000536</v>
      </c>
      <c r="D546" s="9">
        <f>IF(EXACT([1]SEED!$B547, ""), IF(EXACT([1]SEED!$D547, ""), IF(EXACT([1]SEED!$F547, ""), IF(EXACT([1]SEED!$H547, ""), IF(EXACT([1]SEED!$J547, ""), "", [1]SEED!$AI547), [1]SEED!$AH547), [1]SEED!$AF547), [1]SEED!$AE547), [1]SEED!$AD547)</f>
        <v>1</v>
      </c>
      <c r="F546" s="14">
        <f t="shared" ref="F546" si="20" xml:space="preserve"> F545 + IF(EXACT(G546, ""), 0, 1)</f>
        <v>237000000000537</v>
      </c>
      <c r="G546" s="15" t="str">
        <f t="shared" ref="G546" si="21">IF(EXACT(B546, ""), "", CONCATENATE("PERFORM * FROM ""SchData-OLTP-Accounting"".""Func_TblLayoutStructureChartOfAccount_SET""(varSystemLoginSession, null, null, null, varInstitutionBranchID, 62000000000001::bigint, varLayoutStructure_RefID, ", B546, "::bigint, ", C546, "::bigint, ", D546,"::smallint);"))</f>
        <v>PERFORM * FROM "SchData-OLTP-Accounting"."Func_TblLayoutStructureChartOfAccount_SET"(varSystemLoginSession, null, null, null, varInstitutionBranchID, 62000000000001::bigint, varLayoutStructure_RefID, 65000000000537::bigint, 65000000000536::bigint, 1::smallint);</v>
      </c>
    </row>
  </sheetData>
  <conditionalFormatting sqref="F4:F546">
    <cfRule type="expression" dxfId="3" priority="1">
      <formula>EXACT(F3, F4)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2026-08-24T11:25:16Z</dcterms:modified>
</cp:coreProperties>
</file>