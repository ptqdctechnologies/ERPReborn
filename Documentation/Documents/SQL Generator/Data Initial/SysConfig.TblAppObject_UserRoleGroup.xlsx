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6585" activeTab="1"/>
  </bookViews>
  <sheets>
    <sheet name="MAIN" sheetId="1" r:id="rId1"/>
    <sheet name="DataLookUp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B30" i="2" l="1"/>
  <c r="C30" i="2"/>
  <c r="B31" i="2"/>
  <c r="C31" i="2"/>
  <c r="B32" i="2"/>
  <c r="C32" i="2"/>
  <c r="B28" i="2"/>
  <c r="C28" i="2"/>
  <c r="B29" i="2"/>
  <c r="C29" i="2"/>
  <c r="B21" i="2"/>
  <c r="C21" i="2"/>
  <c r="B22" i="2"/>
  <c r="C22" i="2"/>
  <c r="B23" i="2"/>
  <c r="C23" i="2"/>
  <c r="B24" i="2"/>
  <c r="C24" i="2"/>
  <c r="B25" i="2"/>
  <c r="C25" i="2"/>
  <c r="B26" i="2"/>
  <c r="C26" i="2"/>
  <c r="B27" i="2"/>
  <c r="C27" i="2"/>
  <c r="B15" i="2"/>
  <c r="C15" i="2"/>
  <c r="B16" i="2"/>
  <c r="C16" i="2"/>
  <c r="B17" i="2"/>
  <c r="C17" i="2"/>
  <c r="B18" i="2"/>
  <c r="C18" i="2"/>
  <c r="B19" i="2"/>
  <c r="C19" i="2"/>
  <c r="B20" i="2"/>
  <c r="C20" i="2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I33" i="1"/>
  <c r="D8" i="1"/>
  <c r="D7" i="1"/>
  <c r="D6" i="1"/>
  <c r="D5" i="1"/>
  <c r="D4" i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G4" i="1"/>
  <c r="I4" i="1" s="1"/>
  <c r="C2" i="2" l="1"/>
  <c r="F4" i="1" l="1"/>
  <c r="B4" i="2" s="1"/>
  <c r="C4" i="2" s="1"/>
  <c r="F5" i="1" l="1"/>
  <c r="B5" i="2" s="1"/>
  <c r="C5" i="2" s="1"/>
  <c r="F6" i="1" l="1"/>
  <c r="B6" i="2" s="1"/>
  <c r="C6" i="2" s="1"/>
  <c r="F7" i="1" l="1"/>
  <c r="B7" i="2" s="1"/>
  <c r="C7" i="2" s="1"/>
  <c r="F8" i="1"/>
  <c r="B8" i="2" s="1"/>
  <c r="C8" i="2" s="1"/>
  <c r="F9" i="1" l="1"/>
  <c r="B9" i="2" s="1"/>
  <c r="C9" i="2" s="1"/>
  <c r="F10" i="1"/>
  <c r="B10" i="2" s="1"/>
  <c r="C10" i="2" s="1"/>
  <c r="F11" i="1" l="1"/>
  <c r="B11" i="2" s="1"/>
  <c r="C11" i="2" s="1"/>
  <c r="F12" i="1" l="1"/>
  <c r="B12" i="2" s="1"/>
  <c r="C12" i="2" s="1"/>
  <c r="F13" i="1" l="1"/>
  <c r="F14" i="1" l="1"/>
  <c r="B14" i="2" s="1"/>
  <c r="C14" i="2" s="1"/>
  <c r="B13" i="2"/>
  <c r="C13" i="2" s="1"/>
  <c r="F15" i="1"/>
  <c r="F16" i="1" l="1"/>
  <c r="F17" i="1" l="1"/>
  <c r="F18" i="1" l="1"/>
  <c r="F19" i="1" l="1"/>
  <c r="F20" i="1" l="1"/>
  <c r="F21" i="1" s="1"/>
  <c r="F22" i="1" l="1"/>
  <c r="F23" i="1" l="1"/>
  <c r="F24" i="1" l="1"/>
  <c r="F25" i="1" l="1"/>
  <c r="F26" i="1" l="1"/>
  <c r="F27" i="1" s="1"/>
  <c r="F28" i="1" l="1"/>
  <c r="F29" i="1" l="1"/>
  <c r="F30" i="1" l="1"/>
  <c r="F31" i="1" l="1"/>
  <c r="F32" i="1" l="1"/>
  <c r="F33" i="1" l="1"/>
</calcChain>
</file>

<file path=xl/sharedStrings.xml><?xml version="1.0" encoding="utf-8"?>
<sst xmlns="http://schemas.openxmlformats.org/spreadsheetml/2006/main" count="11" uniqueCount="11">
  <si>
    <t>SYS_PID Prediction</t>
  </si>
  <si>
    <t>SQL Syntax</t>
  </si>
  <si>
    <t>Sys_PID</t>
  </si>
  <si>
    <t>System</t>
  </si>
  <si>
    <t>External</t>
  </si>
  <si>
    <t>Board Of Director</t>
  </si>
  <si>
    <t>Board Of Comissioner</t>
  </si>
  <si>
    <t>Top Level Management</t>
  </si>
  <si>
    <t>Organization Department Name</t>
  </si>
  <si>
    <t>Organization Department Ref ID</t>
  </si>
  <si>
    <t>User Role Group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</si>
</sst>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color theme="3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Font="1" applyFill="1"/>
    <xf numFmtId="0" fontId="1" fillId="0" borderId="1" xfId="0" applyFont="1" applyFill="1" applyBorder="1"/>
    <xf numFmtId="1" fontId="2" fillId="3" borderId="3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1" fontId="4" fillId="6" borderId="5" xfId="0" applyNumberFormat="1" applyFont="1" applyFill="1" applyBorder="1" applyAlignment="1"/>
    <xf numFmtId="1" fontId="4" fillId="6" borderId="6" xfId="0" applyNumberFormat="1" applyFont="1" applyFill="1" applyBorder="1" applyAlignment="1"/>
    <xf numFmtId="0" fontId="6" fillId="0" borderId="1" xfId="0" applyFont="1" applyBorder="1"/>
    <xf numFmtId="1" fontId="5" fillId="2" borderId="1" xfId="0" applyNumberFormat="1" applyFont="1" applyFill="1" applyBorder="1" applyAlignment="1">
      <alignment horizontal="center"/>
    </xf>
    <xf numFmtId="1" fontId="3" fillId="4" borderId="7" xfId="0" applyNumberFormat="1" applyFont="1" applyFill="1" applyBorder="1" applyAlignment="1">
      <alignment horizontal="center" vertical="center" wrapText="1"/>
    </xf>
    <xf numFmtId="1" fontId="1" fillId="5" borderId="9" xfId="0" applyNumberFormat="1" applyFont="1" applyFill="1" applyBorder="1" applyAlignment="1">
      <alignment horizontal="center"/>
    </xf>
    <xf numFmtId="1" fontId="1" fillId="0" borderId="0" xfId="0" applyNumberFormat="1" applyFont="1"/>
    <xf numFmtId="1" fontId="1" fillId="7" borderId="8" xfId="0" applyNumberFormat="1" applyFont="1" applyFill="1" applyBorder="1"/>
    <xf numFmtId="1" fontId="1" fillId="7" borderId="1" xfId="0" applyNumberFormat="1" applyFont="1" applyFill="1" applyBorder="1"/>
    <xf numFmtId="0" fontId="1" fillId="8" borderId="8" xfId="0" applyFont="1" applyFill="1" applyBorder="1"/>
    <xf numFmtId="0" fontId="1" fillId="8" borderId="1" xfId="0" applyFont="1" applyFill="1" applyBorder="1"/>
    <xf numFmtId="1" fontId="3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/>
    <xf numFmtId="0" fontId="1" fillId="0" borderId="0" xfId="0" applyNumberFormat="1" applyFont="1"/>
    <xf numFmtId="0" fontId="3" fillId="4" borderId="7" xfId="0" applyFont="1" applyFill="1" applyBorder="1" applyAlignment="1">
      <alignment horizontal="center" vertical="center" wrapText="1"/>
    </xf>
    <xf numFmtId="0" fontId="1" fillId="5" borderId="9" xfId="0" applyFont="1" applyFill="1" applyBorder="1"/>
    <xf numFmtId="0" fontId="3" fillId="4" borderId="8" xfId="0" applyNumberFormat="1" applyFont="1" applyFill="1" applyBorder="1" applyAlignment="1">
      <alignment horizontal="center" vertical="center" wrapText="1"/>
    </xf>
    <xf numFmtId="0" fontId="3" fillId="4" borderId="10" xfId="0" applyNumberFormat="1" applyFont="1" applyFill="1" applyBorder="1" applyAlignment="1">
      <alignment horizontal="center" vertical="center" wrapText="1"/>
    </xf>
    <xf numFmtId="1" fontId="1" fillId="5" borderId="12" xfId="0" applyNumberFormat="1" applyFont="1" applyFill="1" applyBorder="1"/>
    <xf numFmtId="0" fontId="1" fillId="5" borderId="11" xfId="0" applyNumberFormat="1" applyFont="1" applyFill="1" applyBorder="1"/>
    <xf numFmtId="1" fontId="1" fillId="0" borderId="1" xfId="0" applyNumberFormat="1" applyFont="1" applyFill="1" applyBorder="1"/>
    <xf numFmtId="0" fontId="1" fillId="0" borderId="1" xfId="0" applyNumberFormat="1" applyFont="1" applyFill="1" applyBorder="1"/>
    <xf numFmtId="0" fontId="1" fillId="0" borderId="2" xfId="0" applyFont="1" applyFill="1" applyBorder="1"/>
    <xf numFmtId="1" fontId="1" fillId="0" borderId="2" xfId="0" applyNumberFormat="1" applyFont="1" applyFill="1" applyBorder="1"/>
    <xf numFmtId="0" fontId="1" fillId="0" borderId="2" xfId="0" applyNumberFormat="1" applyFont="1" applyFill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umanResource.TblWor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DataLookUp"/>
      <sheetName val="MAIN - OrgJobsPos"/>
      <sheetName val="MAIN - OrgDepartment"/>
      <sheetName val="Internal Career (Last Position)"/>
      <sheetName val="DataLookUp - InternalCareer(LP)"/>
      <sheetName val="Internal Career (Previous Pos)"/>
      <sheetName val="Sheet2"/>
    </sheetNames>
    <sheetDataSet>
      <sheetData sheetId="0"/>
      <sheetData sheetId="1"/>
      <sheetData sheetId="2"/>
      <sheetData sheetId="3">
        <row r="3">
          <cell r="C3">
            <v>111000000000001</v>
          </cell>
          <cell r="D3" t="str">
            <v>Non Department</v>
          </cell>
        </row>
        <row r="4">
          <cell r="C4">
            <v>111000000000002</v>
          </cell>
          <cell r="D4" t="str">
            <v>Business Development</v>
          </cell>
        </row>
        <row r="5">
          <cell r="C5">
            <v>111000000000003</v>
          </cell>
          <cell r="D5" t="str">
            <v>Information Technology</v>
          </cell>
        </row>
        <row r="6">
          <cell r="C6">
            <v>111000000000004</v>
          </cell>
          <cell r="D6" t="str">
            <v>Sales &amp; Marketing</v>
          </cell>
        </row>
        <row r="7">
          <cell r="C7">
            <v>111000000000005</v>
          </cell>
          <cell r="D7" t="str">
            <v>Finance &amp; Accounting</v>
          </cell>
        </row>
        <row r="8">
          <cell r="C8">
            <v>111000000000006</v>
          </cell>
          <cell r="D8" t="str">
            <v>Human Resource Development</v>
          </cell>
        </row>
        <row r="9">
          <cell r="C9">
            <v>111000000000007</v>
          </cell>
          <cell r="D9" t="str">
            <v>Health Safety Environment</v>
          </cell>
        </row>
        <row r="10">
          <cell r="C10">
            <v>111000000000008</v>
          </cell>
          <cell r="D10" t="str">
            <v>Logistics &amp; Warehouse</v>
          </cell>
        </row>
        <row r="11">
          <cell r="C11">
            <v>111000000000009</v>
          </cell>
          <cell r="D11" t="str">
            <v>Legal</v>
          </cell>
        </row>
        <row r="12">
          <cell r="C12">
            <v>111000000000010</v>
          </cell>
          <cell r="D12" t="str">
            <v>Tools &amp; Asset Management</v>
          </cell>
        </row>
        <row r="13">
          <cell r="C13">
            <v>111000000000011</v>
          </cell>
          <cell r="D13" t="str">
            <v>Project</v>
          </cell>
        </row>
        <row r="14">
          <cell r="C14">
            <v>111000000000012</v>
          </cell>
          <cell r="D14" t="str">
            <v>Procurement</v>
          </cell>
        </row>
        <row r="15">
          <cell r="C15">
            <v>111000000000013</v>
          </cell>
          <cell r="D15" t="str">
            <v>Civil And Mechanical Engineering</v>
          </cell>
        </row>
        <row r="16">
          <cell r="C16">
            <v>111000000000014</v>
          </cell>
          <cell r="D16" t="str">
            <v>Corporate Social Responsibility</v>
          </cell>
        </row>
        <row r="17">
          <cell r="C17">
            <v>111000000000015</v>
          </cell>
          <cell r="D17" t="str">
            <v>Project Management Office</v>
          </cell>
        </row>
        <row r="18">
          <cell r="C18">
            <v>111000000000016</v>
          </cell>
          <cell r="D18" t="str">
            <v>Bid &amp; Proposal</v>
          </cell>
        </row>
        <row r="19">
          <cell r="C19">
            <v>111000000000017</v>
          </cell>
          <cell r="D19" t="str">
            <v>Estimator</v>
          </cell>
        </row>
        <row r="20">
          <cell r="C20">
            <v>111000000000018</v>
          </cell>
          <cell r="D20" t="str">
            <v>Non Department</v>
          </cell>
        </row>
        <row r="21">
          <cell r="C21">
            <v>111000000000019</v>
          </cell>
          <cell r="D21" t="str">
            <v>Operation &amp; Business Development</v>
          </cell>
        </row>
        <row r="22">
          <cell r="C22">
            <v>111000000000020</v>
          </cell>
          <cell r="D22" t="str">
            <v>Business Development</v>
          </cell>
        </row>
        <row r="23">
          <cell r="C23">
            <v>111000000000021</v>
          </cell>
          <cell r="D23" t="str">
            <v>Finance &amp; Accounting</v>
          </cell>
        </row>
        <row r="24">
          <cell r="C24">
            <v>111000000000022</v>
          </cell>
          <cell r="D24" t="str">
            <v>Sales</v>
          </cell>
        </row>
        <row r="25">
          <cell r="C25">
            <v>111000000000023</v>
          </cell>
          <cell r="D25" t="str">
            <v>Operation &amp; Maintenance</v>
          </cell>
        </row>
        <row r="26">
          <cell r="C26">
            <v>111000000000024</v>
          </cell>
          <cell r="D26" t="str">
            <v>Warehouse &amp; TAM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I33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9" sqref="B9"/>
    </sheetView>
  </sheetViews>
  <sheetFormatPr defaultRowHeight="12.75" x14ac:dyDescent="0.2"/>
  <cols>
    <col min="1" max="1" width="2.85546875" style="1" customWidth="1"/>
    <col min="2" max="2" width="32.7109375" style="1" bestFit="1" customWidth="1"/>
    <col min="3" max="3" width="14" style="13" bestFit="1" customWidth="1"/>
    <col min="4" max="4" width="25.140625" style="20" bestFit="1" customWidth="1"/>
    <col min="5" max="5" width="2.85546875" style="3" customWidth="1"/>
    <col min="6" max="6" width="14" style="2" bestFit="1" customWidth="1"/>
    <col min="7" max="7" width="22.28515625" style="1" customWidth="1"/>
    <col min="8" max="16384" width="9.140625" style="1"/>
  </cols>
  <sheetData>
    <row r="1" spans="2:9" ht="13.5" thickBot="1" x14ac:dyDescent="0.25"/>
    <row r="2" spans="2:9" ht="38.25" x14ac:dyDescent="0.2">
      <c r="B2" s="21" t="s">
        <v>10</v>
      </c>
      <c r="C2" s="23" t="s">
        <v>9</v>
      </c>
      <c r="D2" s="24" t="s">
        <v>8</v>
      </c>
      <c r="F2" s="5" t="s">
        <v>0</v>
      </c>
      <c r="G2" s="6" t="s">
        <v>1</v>
      </c>
    </row>
    <row r="3" spans="2:9" ht="13.5" thickBot="1" x14ac:dyDescent="0.25">
      <c r="B3" s="22"/>
      <c r="C3" s="25"/>
      <c r="D3" s="26"/>
      <c r="F3" s="7">
        <v>252000000000000</v>
      </c>
      <c r="G3" s="8"/>
    </row>
    <row r="4" spans="2:9" x14ac:dyDescent="0.2">
      <c r="B4" s="4" t="s">
        <v>3</v>
      </c>
      <c r="C4" s="27">
        <v>111000000000001</v>
      </c>
      <c r="D4" s="28" t="str">
        <f>IF(EXACT(C4, ""), "", VLOOKUP(C4, '[1]MAIN - OrgDepartment'!$C$3:$D$26, 2, FALSE))</f>
        <v>Non Department</v>
      </c>
      <c r="F4" s="10">
        <f xml:space="preserve"> F3 + IF(EXACT(G4, ""), 0, 1)</f>
        <v>252000000000001</v>
      </c>
      <c r="G4" s="9" t="str">
        <f>IF(AND(EXACT(B4, ""), EXACT(C4, "")), "", CONCATENATE("PERFORM ""SchSysConfig"".""Func_TblAppObject_UserRole_SET""(varSystemLoginSession, null::bigint, null::varchar, null::timestamptz, null::timestamptz, null::varchar, varInstitutionBranchID, varBaseCurrencyID, ", (IF(EXACT(B4, ""), "NULL", CONCATENATE("'", B4, "'"))),"::varchar);"))</f>
        <v>PERFORM "SchSysConfig"."Func_TblAppObject_UserRole_SET"(varSystemLoginSession, null::bigint, null::varchar, null::timestamptz, null::timestamptz, null::varchar, varInstitutionBranchID, varBaseCurrencyID, 'System'::varchar);</v>
      </c>
      <c r="I4" s="1" t="str">
        <f>IF(EXACT($G4,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"'organizationalDepartment_RefID', ", IF(EXACT($C4, ""), "null", CONCATENATE("'", SUBSTITUTE($C4, "'", "\'"), "'")), "::bigint, ",
"'name', ", IF(EXACT($B4, ""), "null", CONCATENATE("'", SUBSTITUTE($B4, "'", "\'"), "'")), "::varchar",
")))::varchar;"))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'111000000000001'::bigint, 'name', 'System'::varchar)))::varchar;</v>
      </c>
    </row>
    <row r="5" spans="2:9" x14ac:dyDescent="0.2">
      <c r="B5" s="4" t="s">
        <v>4</v>
      </c>
      <c r="C5" s="27">
        <v>111000000000001</v>
      </c>
      <c r="D5" s="28" t="str">
        <f>IF(EXACT(C5, ""), "", VLOOKUP(C5, '[1]MAIN - OrgDepartment'!$C$3:$D$26, 2, FALSE))</f>
        <v>Non Department</v>
      </c>
      <c r="F5" s="10">
        <f xml:space="preserve"> F4 + IF(EXACT(G5, ""), 0, 1)</f>
        <v>252000000000002</v>
      </c>
      <c r="G5" s="9" t="str">
        <f t="shared" ref="G5:G33" si="0">IF(AND(EXACT(B5, ""), EXACT(C5, "")), "", CONCATENATE("PERFORM ""SchSysConfig"".""Func_TblAppObject_UserRole_SET""(varSystemLoginSession, null::bigint, null::varchar, null::timestamptz, null::timestamptz, null::varchar, varInstitutionBranchID, varBaseCurrencyID, ", (IF(EXACT(B5, ""), "NULL", CONCATENATE("'", B5, "'"))),"::varchar);"))</f>
        <v>PERFORM "SchSysConfig"."Func_TblAppObject_UserRole_SET"(varSystemLoginSession, null::bigint, null::varchar, null::timestamptz, null::timestamptz, null::varchar, varInstitutionBranchID, varBaseCurrencyID, 'External'::varchar);</v>
      </c>
      <c r="I5" s="1" t="str">
        <f t="shared" ref="I5:I33" si="1">IF(EXACT($G5, ""), "", CONCATENATE(
"varSQL := varSQL || (CASE WHEN (varSQL = '') THEN '' ELSE ', ' END) || (SELECT JSON_BUILD_OBJECT (",
"'recordID', NULL::bigint,", "'entities', ", "JSON_BUILD_OBJECT (",
"'sysLoginSession_RefID', varSystemLoginSession::bigint,",
"'sysDataAnnotation', NULL::varchar,",
"'sysDataSetDateTimeTZ', NULL::timestamptz,",
"'sysDataValidityStartDateTimeTZ', NULL::timestamptz,",
"'sysDataValidityFinishDateTimeTZ', NULL::timestamptz,",
"'sysPartitionRemovableRecordKey_RefID', NULL::bigint,",
"'sysBranch_RefID', varInstitutionBranchID::bigint,",
"'sysBaseCurrency_RefID',varBaseCurrencyID::bigint,",
"'organizationalDepartment_RefID', ", IF(EXACT($C5, ""), "null", CONCATENATE("'", SUBSTITUTE($C5, "'", "\'"), "'")), "::bigint, ",
"'name', ", IF(EXACT($B5, ""), "null", CONCATENATE("'", SUBSTITUTE($B5, "'", "\'"), "'")), "::varchar",
")))::varchar;"))</f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'111000000000001'::bigint, 'name', 'External'::varchar)))::varchar;</v>
      </c>
    </row>
    <row r="6" spans="2:9" x14ac:dyDescent="0.2">
      <c r="B6" s="4" t="s">
        <v>5</v>
      </c>
      <c r="C6" s="27">
        <v>111000000000001</v>
      </c>
      <c r="D6" s="28" t="str">
        <f>IF(EXACT(C6, ""), "", VLOOKUP(C6, '[1]MAIN - OrgDepartment'!$C$3:$D$26, 2, FALSE))</f>
        <v>Non Department</v>
      </c>
      <c r="F6" s="10">
        <f t="shared" ref="F6:F33" si="2" xml:space="preserve"> F5 + IF(EXACT(G6, ""), 0, 1)</f>
        <v>252000000000003</v>
      </c>
      <c r="G6" s="9" t="str">
        <f t="shared" si="0"/>
        <v>PERFORM "SchSysConfig"."Func_TblAppObject_UserRole_SET"(varSystemLoginSession, null::bigint, null::varchar, null::timestamptz, null::timestamptz, null::varchar, varInstitutionBranchID, varBaseCurrencyID, 'Board Of Director'::varchar);</v>
      </c>
      <c r="I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'111000000000001'::bigint, 'name', 'Board Of Director'::varchar)))::varchar;</v>
      </c>
    </row>
    <row r="7" spans="2:9" x14ac:dyDescent="0.2">
      <c r="B7" s="4" t="s">
        <v>6</v>
      </c>
      <c r="C7" s="27">
        <v>111000000000001</v>
      </c>
      <c r="D7" s="28" t="str">
        <f>IF(EXACT(C7, ""), "", VLOOKUP(C7, '[1]MAIN - OrgDepartment'!$C$3:$D$26, 2, FALSE))</f>
        <v>Non Department</v>
      </c>
      <c r="F7" s="10">
        <f t="shared" si="2"/>
        <v>252000000000004</v>
      </c>
      <c r="G7" s="9" t="str">
        <f t="shared" si="0"/>
        <v>PERFORM "SchSysConfig"."Func_TblAppObject_UserRole_SET"(varSystemLoginSession, null::bigint, null::varchar, null::timestamptz, null::timestamptz, null::varchar, varInstitutionBranchID, varBaseCurrencyID, 'Board Of Comissioner'::varchar);</v>
      </c>
      <c r="I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'111000000000001'::bigint, 'name', 'Board Of Comissioner'::varchar)))::varchar;</v>
      </c>
    </row>
    <row r="8" spans="2:9" x14ac:dyDescent="0.2">
      <c r="B8" s="4" t="s">
        <v>7</v>
      </c>
      <c r="C8" s="27">
        <v>111000000000001</v>
      </c>
      <c r="D8" s="28" t="str">
        <f>IF(EXACT(C8, ""), "", VLOOKUP(C8, '[1]MAIN - OrgDepartment'!$C$3:$D$26, 2, FALSE))</f>
        <v>Non Department</v>
      </c>
      <c r="F8" s="10">
        <f t="shared" si="2"/>
        <v>252000000000005</v>
      </c>
      <c r="G8" s="9" t="str">
        <f t="shared" si="0"/>
        <v>PERFORM "SchSysConfig"."Func_TblAppObject_UserRole_SET"(varSystemLoginSession, null::bigint, null::varchar, null::timestamptz, null::timestamptz, null::varchar, varInstitutionBranchID, varBaseCurrencyID, 'Top Level Management'::varchar);</v>
      </c>
      <c r="I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'111000000000001'::bigint, 'name', 'Top Level Management'::varchar)))::varchar;</v>
      </c>
    </row>
    <row r="9" spans="2:9" x14ac:dyDescent="0.2">
      <c r="B9" s="4"/>
      <c r="C9" s="27">
        <v>111000000000002</v>
      </c>
      <c r="D9" s="28" t="str">
        <f>IF(EXACT(C9, ""), "", VLOOKUP(C9, '[1]MAIN - OrgDepartment'!$C$3:$D$26, 2, FALSE))</f>
        <v>Business Development</v>
      </c>
      <c r="F9" s="10">
        <f t="shared" si="2"/>
        <v>252000000000006</v>
      </c>
      <c r="G9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'111000000000002'::bigint, 'name', null::varchar)))::varchar;</v>
      </c>
    </row>
    <row r="10" spans="2:9" x14ac:dyDescent="0.2">
      <c r="B10" s="4"/>
      <c r="C10" s="27">
        <v>111000000000003</v>
      </c>
      <c r="D10" s="28" t="str">
        <f>IF(EXACT(C10, ""), "", VLOOKUP(C10, '[1]MAIN - OrgDepartment'!$C$3:$D$26, 2, FALSE))</f>
        <v>Information Technology</v>
      </c>
      <c r="F10" s="10">
        <f t="shared" si="2"/>
        <v>252000000000007</v>
      </c>
      <c r="G10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'111000000000003'::bigint, 'name', null::varchar)))::varchar;</v>
      </c>
    </row>
    <row r="11" spans="2:9" x14ac:dyDescent="0.2">
      <c r="B11" s="4"/>
      <c r="C11" s="27">
        <v>111000000000004</v>
      </c>
      <c r="D11" s="28" t="str">
        <f>IF(EXACT(C11, ""), "", VLOOKUP(C11, '[1]MAIN - OrgDepartment'!$C$3:$D$26, 2, FALSE))</f>
        <v>Sales &amp; Marketing</v>
      </c>
      <c r="F11" s="10">
        <f t="shared" si="2"/>
        <v>252000000000008</v>
      </c>
      <c r="G11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'111000000000004'::bigint, 'name', null::varchar)))::varchar;</v>
      </c>
    </row>
    <row r="12" spans="2:9" x14ac:dyDescent="0.2">
      <c r="B12" s="4"/>
      <c r="C12" s="27">
        <v>111000000000005</v>
      </c>
      <c r="D12" s="28" t="str">
        <f>IF(EXACT(C12, ""), "", VLOOKUP(C12, '[1]MAIN - OrgDepartment'!$C$3:$D$26, 2, FALSE))</f>
        <v>Finance &amp; Accounting</v>
      </c>
      <c r="F12" s="10">
        <f t="shared" si="2"/>
        <v>252000000000009</v>
      </c>
      <c r="G12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'111000000000005'::bigint, 'name', null::varchar)))::varchar;</v>
      </c>
    </row>
    <row r="13" spans="2:9" x14ac:dyDescent="0.2">
      <c r="B13" s="4"/>
      <c r="C13" s="27">
        <v>111000000000006</v>
      </c>
      <c r="D13" s="28" t="str">
        <f>IF(EXACT(C13, ""), "", VLOOKUP(C13, '[1]MAIN - OrgDepartment'!$C$3:$D$26, 2, FALSE))</f>
        <v>Human Resource Development</v>
      </c>
      <c r="F13" s="10">
        <f t="shared" si="2"/>
        <v>252000000000010</v>
      </c>
      <c r="G13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'111000000000006'::bigint, 'name', null::varchar)))::varchar;</v>
      </c>
    </row>
    <row r="14" spans="2:9" x14ac:dyDescent="0.2">
      <c r="B14" s="4"/>
      <c r="C14" s="27">
        <v>111000000000007</v>
      </c>
      <c r="D14" s="28" t="str">
        <f>IF(EXACT(C14, ""), "", VLOOKUP(C14, '[1]MAIN - OrgDepartment'!$C$3:$D$26, 2, FALSE))</f>
        <v>Health Safety Environment</v>
      </c>
      <c r="F14" s="10">
        <f t="shared" si="2"/>
        <v>252000000000011</v>
      </c>
      <c r="G14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'111000000000007'::bigint, 'name', null::varchar)))::varchar;</v>
      </c>
    </row>
    <row r="15" spans="2:9" x14ac:dyDescent="0.2">
      <c r="B15" s="4"/>
      <c r="C15" s="27">
        <v>111000000000008</v>
      </c>
      <c r="D15" s="28" t="str">
        <f>IF(EXACT(C15, ""), "", VLOOKUP(C15, '[1]MAIN - OrgDepartment'!$C$3:$D$26, 2, FALSE))</f>
        <v>Logistics &amp; Warehouse</v>
      </c>
      <c r="F15" s="10">
        <f t="shared" si="2"/>
        <v>252000000000012</v>
      </c>
      <c r="G15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'111000000000008'::bigint, 'name', null::varchar)))::varchar;</v>
      </c>
    </row>
    <row r="16" spans="2:9" x14ac:dyDescent="0.2">
      <c r="B16" s="4"/>
      <c r="C16" s="27">
        <v>111000000000009</v>
      </c>
      <c r="D16" s="28" t="str">
        <f>IF(EXACT(C16, ""), "", VLOOKUP(C16, '[1]MAIN - OrgDepartment'!$C$3:$D$26, 2, FALSE))</f>
        <v>Legal</v>
      </c>
      <c r="F16" s="10">
        <f t="shared" si="2"/>
        <v>252000000000013</v>
      </c>
      <c r="G16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'111000000000009'::bigint, 'name', null::varchar)))::varchar;</v>
      </c>
    </row>
    <row r="17" spans="2:9" x14ac:dyDescent="0.2">
      <c r="B17" s="4"/>
      <c r="C17" s="27">
        <v>111000000000010</v>
      </c>
      <c r="D17" s="28" t="str">
        <f>IF(EXACT(C17, ""), "", VLOOKUP(C17, '[1]MAIN - OrgDepartment'!$C$3:$D$26, 2, FALSE))</f>
        <v>Tools &amp; Asset Management</v>
      </c>
      <c r="F17" s="10">
        <f t="shared" si="2"/>
        <v>252000000000014</v>
      </c>
      <c r="G17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'111000000000010'::bigint, 'name', null::varchar)))::varchar;</v>
      </c>
    </row>
    <row r="18" spans="2:9" x14ac:dyDescent="0.2">
      <c r="B18" s="4"/>
      <c r="C18" s="27">
        <v>111000000000011</v>
      </c>
      <c r="D18" s="28" t="str">
        <f>IF(EXACT(C18, ""), "", VLOOKUP(C18, '[1]MAIN - OrgDepartment'!$C$3:$D$26, 2, FALSE))</f>
        <v>Project</v>
      </c>
      <c r="F18" s="10">
        <f t="shared" si="2"/>
        <v>252000000000015</v>
      </c>
      <c r="G18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'111000000000011'::bigint, 'name', null::varchar)))::varchar;</v>
      </c>
    </row>
    <row r="19" spans="2:9" x14ac:dyDescent="0.2">
      <c r="B19" s="4"/>
      <c r="C19" s="27">
        <v>111000000000012</v>
      </c>
      <c r="D19" s="28" t="str">
        <f>IF(EXACT(C19, ""), "", VLOOKUP(C19, '[1]MAIN - OrgDepartment'!$C$3:$D$26, 2, FALSE))</f>
        <v>Procurement</v>
      </c>
      <c r="F19" s="10">
        <f t="shared" si="2"/>
        <v>252000000000016</v>
      </c>
      <c r="G19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1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'111000000000012'::bigint, 'name', null::varchar)))::varchar;</v>
      </c>
    </row>
    <row r="20" spans="2:9" x14ac:dyDescent="0.2">
      <c r="B20" s="4"/>
      <c r="C20" s="27">
        <v>111000000000013</v>
      </c>
      <c r="D20" s="28" t="str">
        <f>IF(EXACT(C20, ""), "", VLOOKUP(C20, '[1]MAIN - OrgDepartment'!$C$3:$D$26, 2, FALSE))</f>
        <v>Civil And Mechanical Engineering</v>
      </c>
      <c r="F20" s="10">
        <f t="shared" si="2"/>
        <v>252000000000017</v>
      </c>
      <c r="G20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'111000000000013'::bigint, 'name', null::varchar)))::varchar;</v>
      </c>
    </row>
    <row r="21" spans="2:9" x14ac:dyDescent="0.2">
      <c r="B21" s="4"/>
      <c r="C21" s="27">
        <v>111000000000014</v>
      </c>
      <c r="D21" s="28" t="str">
        <f>IF(EXACT(C21, ""), "", VLOOKUP(C21, '[1]MAIN - OrgDepartment'!$C$3:$D$26, 2, FALSE))</f>
        <v>Corporate Social Responsibility</v>
      </c>
      <c r="F21" s="10">
        <f t="shared" si="2"/>
        <v>252000000000018</v>
      </c>
      <c r="G21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'111000000000014'::bigint, 'name', null::varchar)))::varchar;</v>
      </c>
    </row>
    <row r="22" spans="2:9" x14ac:dyDescent="0.2">
      <c r="B22" s="4"/>
      <c r="C22" s="27">
        <v>111000000000015</v>
      </c>
      <c r="D22" s="28" t="str">
        <f>IF(EXACT(C22, ""), "", VLOOKUP(C22, '[1]MAIN - OrgDepartment'!$C$3:$D$26, 2, FALSE))</f>
        <v>Project Management Office</v>
      </c>
      <c r="F22" s="10">
        <f t="shared" si="2"/>
        <v>252000000000019</v>
      </c>
      <c r="G22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2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'111000000000015'::bigint, 'name', null::varchar)))::varchar;</v>
      </c>
    </row>
    <row r="23" spans="2:9" x14ac:dyDescent="0.2">
      <c r="B23" s="4"/>
      <c r="C23" s="27">
        <v>111000000000016</v>
      </c>
      <c r="D23" s="28" t="str">
        <f>IF(EXACT(C23, ""), "", VLOOKUP(C23, '[1]MAIN - OrgDepartment'!$C$3:$D$26, 2, FALSE))</f>
        <v>Bid &amp; Proposal</v>
      </c>
      <c r="F23" s="10">
        <f t="shared" si="2"/>
        <v>252000000000020</v>
      </c>
      <c r="G23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3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'111000000000016'::bigint, 'name', null::varchar)))::varchar;</v>
      </c>
    </row>
    <row r="24" spans="2:9" x14ac:dyDescent="0.2">
      <c r="B24" s="4"/>
      <c r="C24" s="27">
        <v>111000000000017</v>
      </c>
      <c r="D24" s="28" t="str">
        <f>IF(EXACT(C24, ""), "", VLOOKUP(C24, '[1]MAIN - OrgDepartment'!$C$3:$D$26, 2, FALSE))</f>
        <v>Estimator</v>
      </c>
      <c r="F24" s="10">
        <f t="shared" si="2"/>
        <v>252000000000021</v>
      </c>
      <c r="G24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4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'111000000000017'::bigint, 'name', null::varchar)))::varchar;</v>
      </c>
    </row>
    <row r="25" spans="2:9" x14ac:dyDescent="0.2">
      <c r="B25" s="4"/>
      <c r="C25" s="27">
        <v>111000000000018</v>
      </c>
      <c r="D25" s="28" t="str">
        <f>IF(EXACT(C25, ""), "", VLOOKUP(C25, '[1]MAIN - OrgDepartment'!$C$3:$D$26, 2, FALSE))</f>
        <v>Non Department</v>
      </c>
      <c r="F25" s="10">
        <f t="shared" si="2"/>
        <v>252000000000022</v>
      </c>
      <c r="G25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5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'111000000000018'::bigint, 'name', null::varchar)))::varchar;</v>
      </c>
    </row>
    <row r="26" spans="2:9" x14ac:dyDescent="0.2">
      <c r="B26" s="4"/>
      <c r="C26" s="27">
        <v>111000000000019</v>
      </c>
      <c r="D26" s="28" t="str">
        <f>IF(EXACT(C26, ""), "", VLOOKUP(C26, '[1]MAIN - OrgDepartment'!$C$3:$D$26, 2, FALSE))</f>
        <v>Operation &amp; Business Development</v>
      </c>
      <c r="F26" s="10">
        <f t="shared" si="2"/>
        <v>252000000000023</v>
      </c>
      <c r="G26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6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'111000000000019'::bigint, 'name', null::varchar)))::varchar;</v>
      </c>
    </row>
    <row r="27" spans="2:9" x14ac:dyDescent="0.2">
      <c r="B27" s="4"/>
      <c r="C27" s="27">
        <v>111000000000020</v>
      </c>
      <c r="D27" s="28" t="str">
        <f>IF(EXACT(C27, ""), "", VLOOKUP(C27, '[1]MAIN - OrgDepartment'!$C$3:$D$26, 2, FALSE))</f>
        <v>Business Development</v>
      </c>
      <c r="F27" s="10">
        <f t="shared" si="2"/>
        <v>252000000000024</v>
      </c>
      <c r="G27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7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'111000000000020'::bigint, 'name', null::varchar)))::varchar;</v>
      </c>
    </row>
    <row r="28" spans="2:9" x14ac:dyDescent="0.2">
      <c r="B28" s="4"/>
      <c r="C28" s="27">
        <v>111000000000021</v>
      </c>
      <c r="D28" s="28" t="str">
        <f>IF(EXACT(C28, ""), "", VLOOKUP(C28, '[1]MAIN - OrgDepartment'!$C$3:$D$26, 2, FALSE))</f>
        <v>Finance &amp; Accounting</v>
      </c>
      <c r="F28" s="10">
        <f t="shared" si="2"/>
        <v>252000000000025</v>
      </c>
      <c r="G28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8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'111000000000021'::bigint, 'name', null::varchar)))::varchar;</v>
      </c>
    </row>
    <row r="29" spans="2:9" x14ac:dyDescent="0.2">
      <c r="B29" s="4"/>
      <c r="C29" s="27">
        <v>111000000000022</v>
      </c>
      <c r="D29" s="28" t="str">
        <f>IF(EXACT(C29, ""), "", VLOOKUP(C29, '[1]MAIN - OrgDepartment'!$C$3:$D$26, 2, FALSE))</f>
        <v>Sales</v>
      </c>
      <c r="F29" s="10">
        <f t="shared" si="2"/>
        <v>252000000000026</v>
      </c>
      <c r="G29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29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'111000000000022'::bigint, 'name', null::varchar)))::varchar;</v>
      </c>
    </row>
    <row r="30" spans="2:9" x14ac:dyDescent="0.2">
      <c r="B30" s="4"/>
      <c r="C30" s="27">
        <v>111000000000023</v>
      </c>
      <c r="D30" s="28" t="str">
        <f>IF(EXACT(C30, ""), "", VLOOKUP(C30, '[1]MAIN - OrgDepartment'!$C$3:$D$26, 2, FALSE))</f>
        <v>Operation &amp; Maintenance</v>
      </c>
      <c r="F30" s="10">
        <f t="shared" si="2"/>
        <v>252000000000027</v>
      </c>
      <c r="G30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30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'111000000000023'::bigint, 'name', null::varchar)))::varchar;</v>
      </c>
    </row>
    <row r="31" spans="2:9" x14ac:dyDescent="0.2">
      <c r="B31" s="4"/>
      <c r="C31" s="27">
        <v>111000000000024</v>
      </c>
      <c r="D31" s="28" t="str">
        <f>IF(EXACT(C31, ""), "", VLOOKUP(C31, '[1]MAIN - OrgDepartment'!$C$3:$D$26, 2, FALSE))</f>
        <v>Warehouse &amp; TAM</v>
      </c>
      <c r="F31" s="10">
        <f t="shared" si="2"/>
        <v>252000000000028</v>
      </c>
      <c r="G31" s="9" t="str">
        <f t="shared" si="0"/>
        <v>PERFORM "SchSysConfig"."Func_TblAppObject_UserRole_SET"(varSystemLoginSession, null::bigint, null::varchar, null::timestamptz, null::timestamptz, null::varchar, varInstitutionBranchID, varBaseCurrencyID, NULL::varchar);</v>
      </c>
      <c r="I31" s="1" t="str">
        <f t="shared" si="1"/>
        <v>varSQL := varSQL || (CASE WHEN (varSQL = '') THEN '' ELSE ', ' END) || (SELECT JSON_BUILD_OBJECT ('recordID', NULL::bigint,'entities', JSON_BUILD_OBJECT ('sysLoginSession_RefID', varSystemLoginSession::bigint,'sysDataAnnotation', NULL::varchar,'sysDataSetDateTimeTZ', NULL::timestamptz,'sysDataValidityStartDateTimeTZ', NULL::timestamptz,'sysDataValidityFinishDateTimeTZ', NULL::timestamptz,'sysPartitionRemovableRecordKey_RefID', NULL::bigint,'sysBranch_RefID', varInstitutionBranchID::bigint,'sysBaseCurrency_RefID',varBaseCurrencyID::bigint,'organizationalDepartment_RefID', '111000000000024'::bigint, 'name', null::varchar)))::varchar;</v>
      </c>
    </row>
    <row r="32" spans="2:9" x14ac:dyDescent="0.2">
      <c r="B32" s="4"/>
      <c r="C32" s="27"/>
      <c r="D32" s="28"/>
      <c r="F32" s="10">
        <f t="shared" si="2"/>
        <v>252000000000028</v>
      </c>
      <c r="G32" s="9" t="str">
        <f t="shared" si="0"/>
        <v/>
      </c>
      <c r="I32" s="1" t="str">
        <f t="shared" si="1"/>
        <v/>
      </c>
    </row>
    <row r="33" spans="2:9" x14ac:dyDescent="0.2">
      <c r="B33" s="29"/>
      <c r="C33" s="30"/>
      <c r="D33" s="31"/>
      <c r="F33" s="10">
        <f t="shared" si="2"/>
        <v>252000000000028</v>
      </c>
      <c r="G33" s="9" t="str">
        <f t="shared" si="0"/>
        <v/>
      </c>
      <c r="I33" s="1" t="str">
        <f t="shared" si="1"/>
        <v/>
      </c>
    </row>
  </sheetData>
  <conditionalFormatting sqref="F4:F33">
    <cfRule type="expression" dxfId="0" priority="19">
      <formula>EXACT(F3, F4)</formula>
    </cfRule>
  </conditionalFormatting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C3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13" sqref="C13"/>
    </sheetView>
  </sheetViews>
  <sheetFormatPr defaultRowHeight="15" x14ac:dyDescent="0.25"/>
  <cols>
    <col min="1" max="1" width="3" customWidth="1"/>
    <col min="2" max="2" width="14" style="13" bestFit="1" customWidth="1"/>
    <col min="3" max="3" width="34.7109375" style="1" bestFit="1" customWidth="1"/>
  </cols>
  <sheetData>
    <row r="1" spans="2:3" ht="15.75" thickBot="1" x14ac:dyDescent="0.3"/>
    <row r="2" spans="2:3" x14ac:dyDescent="0.25">
      <c r="B2" s="11" t="s">
        <v>2</v>
      </c>
      <c r="C2" s="18" t="str">
        <f>MAIN!B2</f>
        <v>User Role Group Name</v>
      </c>
    </row>
    <row r="3" spans="2:3" ht="15.75" thickBot="1" x14ac:dyDescent="0.3">
      <c r="B3" s="12"/>
      <c r="C3" s="19"/>
    </row>
    <row r="4" spans="2:3" x14ac:dyDescent="0.25">
      <c r="B4" s="14">
        <f>IF(AND(EXACT(MAIN!$B4, ""), EXACT(MAIN!$D4, "")), "", MAIN!$F4)</f>
        <v>252000000000001</v>
      </c>
      <c r="C4" s="16" t="str">
        <f>IF(EXACT(B4, ""), "", IF(EXACT(MAIN!B4, ""), IF(EXACT(MAIN!C4, ""), "", CONCATENATE("Department - ", MAIN!D4)), MAIN!B4))</f>
        <v>System</v>
      </c>
    </row>
    <row r="5" spans="2:3" x14ac:dyDescent="0.25">
      <c r="B5" s="15">
        <f>IF(AND(EXACT(MAIN!$B5, ""), EXACT(MAIN!$D5, "")), "", MAIN!$F5)</f>
        <v>252000000000002</v>
      </c>
      <c r="C5" s="17" t="str">
        <f>IF(EXACT(B5, ""), "", IF(EXACT(MAIN!B5, ""), IF(EXACT(MAIN!C5, ""), "", CONCATENATE("Department - ", MAIN!D5)), MAIN!B5))</f>
        <v>External</v>
      </c>
    </row>
    <row r="6" spans="2:3" x14ac:dyDescent="0.25">
      <c r="B6" s="15">
        <f>IF(AND(EXACT(MAIN!$B6, ""), EXACT(MAIN!$D6, "")), "", MAIN!$F6)</f>
        <v>252000000000003</v>
      </c>
      <c r="C6" s="17" t="str">
        <f>IF(EXACT(B6, ""), "", IF(EXACT(MAIN!B6, ""), IF(EXACT(MAIN!C6, ""), "", CONCATENATE("Department - ", MAIN!D6)), MAIN!B6))</f>
        <v>Board Of Director</v>
      </c>
    </row>
    <row r="7" spans="2:3" x14ac:dyDescent="0.25">
      <c r="B7" s="15">
        <f>IF(AND(EXACT(MAIN!$B7, ""), EXACT(MAIN!$D7, "")), "", MAIN!$F7)</f>
        <v>252000000000004</v>
      </c>
      <c r="C7" s="17" t="str">
        <f>IF(EXACT(B7, ""), "", IF(EXACT(MAIN!B7, ""), IF(EXACT(MAIN!C7, ""), "", CONCATENATE("Department - ", MAIN!D7)), MAIN!B7))</f>
        <v>Board Of Comissioner</v>
      </c>
    </row>
    <row r="8" spans="2:3" x14ac:dyDescent="0.25">
      <c r="B8" s="15">
        <f>IF(AND(EXACT(MAIN!$B8, ""), EXACT(MAIN!$D8, "")), "", MAIN!$F8)</f>
        <v>252000000000005</v>
      </c>
      <c r="C8" s="17" t="str">
        <f>IF(EXACT(B8, ""), "", IF(EXACT(MAIN!B8, ""), IF(EXACT(MAIN!C8, ""), "", CONCATENATE("Department - ", MAIN!D8)), MAIN!B8))</f>
        <v>Top Level Management</v>
      </c>
    </row>
    <row r="9" spans="2:3" x14ac:dyDescent="0.25">
      <c r="B9" s="15">
        <f>IF(AND(EXACT(MAIN!$B9, ""), EXACT(MAIN!$D9, "")), "", MAIN!$F9)</f>
        <v>252000000000006</v>
      </c>
      <c r="C9" s="17" t="str">
        <f>IF(EXACT(B9, ""), "", IF(EXACT(MAIN!B9, ""), IF(EXACT(MAIN!C9, ""), "", CONCATENATE("Department - ", MAIN!D9)), MAIN!B9))</f>
        <v>Department - Business Development</v>
      </c>
    </row>
    <row r="10" spans="2:3" x14ac:dyDescent="0.25">
      <c r="B10" s="15">
        <f>IF(AND(EXACT(MAIN!$B10, ""), EXACT(MAIN!$D10, "")), "", MAIN!$F10)</f>
        <v>252000000000007</v>
      </c>
      <c r="C10" s="17" t="str">
        <f>IF(EXACT(B10, ""), "", IF(EXACT(MAIN!B10, ""), IF(EXACT(MAIN!C10, ""), "", CONCATENATE("Department - ", MAIN!D10)), MAIN!B10))</f>
        <v>Department - Information Technology</v>
      </c>
    </row>
    <row r="11" spans="2:3" x14ac:dyDescent="0.25">
      <c r="B11" s="15">
        <f>IF(AND(EXACT(MAIN!$B11, ""), EXACT(MAIN!$D11, "")), "", MAIN!$F11)</f>
        <v>252000000000008</v>
      </c>
      <c r="C11" s="17" t="str">
        <f>IF(EXACT(B11, ""), "", IF(EXACT(MAIN!B11, ""), IF(EXACT(MAIN!C11, ""), "", CONCATENATE("Department - ", MAIN!D11)), MAIN!B11))</f>
        <v>Department - Sales &amp; Marketing</v>
      </c>
    </row>
    <row r="12" spans="2:3" x14ac:dyDescent="0.25">
      <c r="B12" s="15">
        <f>IF(AND(EXACT(MAIN!$B12, ""), EXACT(MAIN!$D12, "")), "", MAIN!$F12)</f>
        <v>252000000000009</v>
      </c>
      <c r="C12" s="17" t="str">
        <f>IF(EXACT(B12, ""), "", IF(EXACT(MAIN!B12, ""), IF(EXACT(MAIN!C12, ""), "", CONCATENATE("Department - ", MAIN!D12)), MAIN!B12))</f>
        <v>Department - Finance &amp; Accounting</v>
      </c>
    </row>
    <row r="13" spans="2:3" x14ac:dyDescent="0.25">
      <c r="B13" s="15">
        <f>IF(AND(EXACT(MAIN!$B13, ""), EXACT(MAIN!$D13, "")), "", MAIN!$F13)</f>
        <v>252000000000010</v>
      </c>
      <c r="C13" s="17" t="str">
        <f>IF(EXACT(B13, ""), "", IF(EXACT(MAIN!B13, ""), IF(EXACT(MAIN!C13, ""), "", CONCATENATE("Department - ", MAIN!D13)), MAIN!B13))</f>
        <v>Department - Human Resource Development</v>
      </c>
    </row>
    <row r="14" spans="2:3" x14ac:dyDescent="0.25">
      <c r="B14" s="15">
        <f>IF(AND(EXACT(MAIN!$B14, ""), EXACT(MAIN!$D14, "")), "", MAIN!$F14)</f>
        <v>252000000000011</v>
      </c>
      <c r="C14" s="17" t="str">
        <f>IF(EXACT(B14, ""), "", IF(EXACT(MAIN!B14, ""), IF(EXACT(MAIN!C14, ""), "", CONCATENATE("Department - ", MAIN!D14)), MAIN!B14))</f>
        <v>Department - Health Safety Environment</v>
      </c>
    </row>
    <row r="15" spans="2:3" x14ac:dyDescent="0.25">
      <c r="B15" s="15">
        <f>IF(AND(EXACT(MAIN!$B15, ""), EXACT(MAIN!$D15, "")), "", MAIN!$F15)</f>
        <v>252000000000012</v>
      </c>
      <c r="C15" s="17" t="str">
        <f>IF(EXACT(B15, ""), "", IF(EXACT(MAIN!B15, ""), IF(EXACT(MAIN!C15, ""), "", CONCATENATE("Department - ", MAIN!D15)), MAIN!B15))</f>
        <v>Department - Logistics &amp; Warehouse</v>
      </c>
    </row>
    <row r="16" spans="2:3" x14ac:dyDescent="0.25">
      <c r="B16" s="15">
        <f>IF(AND(EXACT(MAIN!$B16, ""), EXACT(MAIN!$D16, "")), "", MAIN!$F16)</f>
        <v>252000000000013</v>
      </c>
      <c r="C16" s="17" t="str">
        <f>IF(EXACT(B16, ""), "", IF(EXACT(MAIN!B16, ""), IF(EXACT(MAIN!C16, ""), "", CONCATENATE("Department - ", MAIN!D16)), MAIN!B16))</f>
        <v>Department - Legal</v>
      </c>
    </row>
    <row r="17" spans="2:3" x14ac:dyDescent="0.25">
      <c r="B17" s="15">
        <f>IF(AND(EXACT(MAIN!$B17, ""), EXACT(MAIN!$D17, "")), "", MAIN!$F17)</f>
        <v>252000000000014</v>
      </c>
      <c r="C17" s="17" t="str">
        <f>IF(EXACT(B17, ""), "", IF(EXACT(MAIN!B17, ""), IF(EXACT(MAIN!C17, ""), "", CONCATENATE("Department - ", MAIN!D17)), MAIN!B17))</f>
        <v>Department - Tools &amp; Asset Management</v>
      </c>
    </row>
    <row r="18" spans="2:3" x14ac:dyDescent="0.25">
      <c r="B18" s="15">
        <f>IF(AND(EXACT(MAIN!$B18, ""), EXACT(MAIN!$D18, "")), "", MAIN!$F18)</f>
        <v>252000000000015</v>
      </c>
      <c r="C18" s="17" t="str">
        <f>IF(EXACT(B18, ""), "", IF(EXACT(MAIN!B18, ""), IF(EXACT(MAIN!C18, ""), "", CONCATENATE("Department - ", MAIN!D18)), MAIN!B18))</f>
        <v>Department - Project</v>
      </c>
    </row>
    <row r="19" spans="2:3" x14ac:dyDescent="0.25">
      <c r="B19" s="15">
        <f>IF(AND(EXACT(MAIN!$B19, ""), EXACT(MAIN!$D19, "")), "", MAIN!$F19)</f>
        <v>252000000000016</v>
      </c>
      <c r="C19" s="17" t="str">
        <f>IF(EXACT(B19, ""), "", IF(EXACT(MAIN!B19, ""), IF(EXACT(MAIN!C19, ""), "", CONCATENATE("Department - ", MAIN!D19)), MAIN!B19))</f>
        <v>Department - Procurement</v>
      </c>
    </row>
    <row r="20" spans="2:3" x14ac:dyDescent="0.25">
      <c r="B20" s="15">
        <f>IF(AND(EXACT(MAIN!$B20, ""), EXACT(MAIN!$D20, "")), "", MAIN!$F20)</f>
        <v>252000000000017</v>
      </c>
      <c r="C20" s="17" t="str">
        <f>IF(EXACT(B20, ""), "", IF(EXACT(MAIN!B20, ""), IF(EXACT(MAIN!C20, ""), "", CONCATENATE("Department - ", MAIN!D20)), MAIN!B20))</f>
        <v>Department - Civil And Mechanical Engineering</v>
      </c>
    </row>
    <row r="21" spans="2:3" x14ac:dyDescent="0.25">
      <c r="B21" s="15">
        <f>IF(AND(EXACT(MAIN!$B21, ""), EXACT(MAIN!$D21, "")), "", MAIN!$F21)</f>
        <v>252000000000018</v>
      </c>
      <c r="C21" s="17" t="str">
        <f>IF(EXACT(B21, ""), "", IF(EXACT(MAIN!B21, ""), IF(EXACT(MAIN!C21, ""), "", CONCATENATE("Department - ", MAIN!D21)), MAIN!B21))</f>
        <v>Department - Corporate Social Responsibility</v>
      </c>
    </row>
    <row r="22" spans="2:3" x14ac:dyDescent="0.25">
      <c r="B22" s="15">
        <f>IF(AND(EXACT(MAIN!$B22, ""), EXACT(MAIN!$D22, "")), "", MAIN!$F22)</f>
        <v>252000000000019</v>
      </c>
      <c r="C22" s="17" t="str">
        <f>IF(EXACT(B22, ""), "", IF(EXACT(MAIN!B22, ""), IF(EXACT(MAIN!C22, ""), "", CONCATENATE("Department - ", MAIN!D22)), MAIN!B22))</f>
        <v>Department - Project Management Office</v>
      </c>
    </row>
    <row r="23" spans="2:3" x14ac:dyDescent="0.25">
      <c r="B23" s="15">
        <f>IF(AND(EXACT(MAIN!$B23, ""), EXACT(MAIN!$D23, "")), "", MAIN!$F23)</f>
        <v>252000000000020</v>
      </c>
      <c r="C23" s="17" t="str">
        <f>IF(EXACT(B23, ""), "", IF(EXACT(MAIN!B23, ""), IF(EXACT(MAIN!C23, ""), "", CONCATENATE("Department - ", MAIN!D23)), MAIN!B23))</f>
        <v>Department - Bid &amp; Proposal</v>
      </c>
    </row>
    <row r="24" spans="2:3" x14ac:dyDescent="0.25">
      <c r="B24" s="15">
        <f>IF(AND(EXACT(MAIN!$B24, ""), EXACT(MAIN!$D24, "")), "", MAIN!$F24)</f>
        <v>252000000000021</v>
      </c>
      <c r="C24" s="17" t="str">
        <f>IF(EXACT(B24, ""), "", IF(EXACT(MAIN!B24, ""), IF(EXACT(MAIN!C24, ""), "", CONCATENATE("Department - ", MAIN!D24)), MAIN!B24))</f>
        <v>Department - Estimator</v>
      </c>
    </row>
    <row r="25" spans="2:3" x14ac:dyDescent="0.25">
      <c r="B25" s="15">
        <f>IF(AND(EXACT(MAIN!$B25, ""), EXACT(MAIN!$D25, "")), "", MAIN!$F25)</f>
        <v>252000000000022</v>
      </c>
      <c r="C25" s="17" t="str">
        <f>IF(EXACT(B25, ""), "", IF(EXACT(MAIN!B25, ""), IF(EXACT(MAIN!C25, ""), "", CONCATENATE("Department - ", MAIN!D25)), MAIN!B25))</f>
        <v>Department - Non Department</v>
      </c>
    </row>
    <row r="26" spans="2:3" x14ac:dyDescent="0.25">
      <c r="B26" s="15">
        <f>IF(AND(EXACT(MAIN!$B26, ""), EXACT(MAIN!$D26, "")), "", MAIN!$F26)</f>
        <v>252000000000023</v>
      </c>
      <c r="C26" s="17" t="str">
        <f>IF(EXACT(B26, ""), "", IF(EXACT(MAIN!B26, ""), IF(EXACT(MAIN!C26, ""), "", CONCATENATE("Department - ", MAIN!D26)), MAIN!B26))</f>
        <v>Department - Operation &amp; Business Development</v>
      </c>
    </row>
    <row r="27" spans="2:3" x14ac:dyDescent="0.25">
      <c r="B27" s="15">
        <f>IF(AND(EXACT(MAIN!$B27, ""), EXACT(MAIN!$D27, "")), "", MAIN!$F27)</f>
        <v>252000000000024</v>
      </c>
      <c r="C27" s="17" t="str">
        <f>IF(EXACT(B27, ""), "", IF(EXACT(MAIN!B27, ""), IF(EXACT(MAIN!C27, ""), "", CONCATENATE("Department - ", MAIN!D27)), MAIN!B27))</f>
        <v>Department - Business Development</v>
      </c>
    </row>
    <row r="28" spans="2:3" x14ac:dyDescent="0.25">
      <c r="B28" s="15">
        <f>IF(AND(EXACT(MAIN!$B28, ""), EXACT(MAIN!$D28, "")), "", MAIN!$F28)</f>
        <v>252000000000025</v>
      </c>
      <c r="C28" s="17" t="str">
        <f>IF(EXACT(B28, ""), "", IF(EXACT(MAIN!B28, ""), IF(EXACT(MAIN!C28, ""), "", CONCATENATE("Department - ", MAIN!D28)), MAIN!B28))</f>
        <v>Department - Finance &amp; Accounting</v>
      </c>
    </row>
    <row r="29" spans="2:3" x14ac:dyDescent="0.25">
      <c r="B29" s="15">
        <f>IF(AND(EXACT(MAIN!$B29, ""), EXACT(MAIN!$D29, "")), "", MAIN!$F29)</f>
        <v>252000000000026</v>
      </c>
      <c r="C29" s="17" t="str">
        <f>IF(EXACT(B29, ""), "", IF(EXACT(MAIN!B29, ""), IF(EXACT(MAIN!C29, ""), "", CONCATENATE("Department - ", MAIN!D29)), MAIN!B29))</f>
        <v>Department - Sales</v>
      </c>
    </row>
    <row r="30" spans="2:3" x14ac:dyDescent="0.25">
      <c r="B30" s="15">
        <f>IF(AND(EXACT(MAIN!$B30, ""), EXACT(MAIN!$D30, "")), "", MAIN!$F30)</f>
        <v>252000000000027</v>
      </c>
      <c r="C30" s="17" t="str">
        <f>IF(EXACT(B30, ""), "", IF(EXACT(MAIN!B30, ""), IF(EXACT(MAIN!C30, ""), "", CONCATENATE("Department - ", MAIN!D30)), MAIN!B30))</f>
        <v>Department - Operation &amp; Maintenance</v>
      </c>
    </row>
    <row r="31" spans="2:3" x14ac:dyDescent="0.25">
      <c r="B31" s="15">
        <f>IF(AND(EXACT(MAIN!$B31, ""), EXACT(MAIN!$D31, "")), "", MAIN!$F31)</f>
        <v>252000000000028</v>
      </c>
      <c r="C31" s="17" t="str">
        <f>IF(EXACT(B31, ""), "", IF(EXACT(MAIN!B31, ""), IF(EXACT(MAIN!C31, ""), "", CONCATENATE("Department - ", MAIN!D31)), MAIN!B31))</f>
        <v>Department - Warehouse &amp; TAM</v>
      </c>
    </row>
    <row r="32" spans="2:3" x14ac:dyDescent="0.25">
      <c r="B32" s="15" t="str">
        <f>IF(AND(EXACT(MAIN!$B32, ""), EXACT(MAIN!$D32, "")), "", MAIN!$F32)</f>
        <v/>
      </c>
      <c r="C32" s="17" t="str">
        <f>IF(EXACT(B32, ""), "", IF(EXACT(MAIN!B32, ""), IF(EXACT(MAIN!C32, ""), "", CONCATENATE("Department - ", MAIN!D32)), MAIN!B32))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DataLookUp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2026-06-25T04:18:10Z</dcterms:modified>
</cp:coreProperties>
</file>