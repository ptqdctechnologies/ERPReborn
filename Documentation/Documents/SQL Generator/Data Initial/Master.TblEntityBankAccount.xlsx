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0" yWindow="0" windowWidth="20490" windowHeight="6555"/>
  </bookViews>
  <sheets>
    <sheet name="SEED" sheetId="2" r:id="rId1"/>
    <sheet name="DataLookUp" sheetId="3" r:id="rId2"/>
  </sheets>
  <externalReferences>
    <externalReference r:id="rId3"/>
    <externalReference r:id="rId4"/>
    <externalReference r:id="rId5"/>
  </externalReferences>
  <calcPr calcId="152511"/>
</workbook>
</file>

<file path=xl/calcChain.xml><?xml version="1.0" encoding="utf-8"?>
<calcChain xmlns="http://schemas.openxmlformats.org/spreadsheetml/2006/main">
  <c r="B261" i="3" l="1"/>
  <c r="C261" i="3"/>
  <c r="D261" i="3"/>
  <c r="E261" i="3"/>
  <c r="B262" i="3"/>
  <c r="C262" i="3"/>
  <c r="D262" i="3"/>
  <c r="E262" i="3"/>
  <c r="B263" i="3"/>
  <c r="C263" i="3"/>
  <c r="D263" i="3"/>
  <c r="E263" i="3"/>
  <c r="B264" i="3"/>
  <c r="C264" i="3"/>
  <c r="D264" i="3"/>
  <c r="E264" i="3"/>
  <c r="B265" i="3"/>
  <c r="C265" i="3"/>
  <c r="D265" i="3"/>
  <c r="E265" i="3"/>
  <c r="B266" i="3"/>
  <c r="C266" i="3"/>
  <c r="D266" i="3"/>
  <c r="E266" i="3"/>
  <c r="B267" i="3"/>
  <c r="C267" i="3"/>
  <c r="D267" i="3"/>
  <c r="E267" i="3"/>
  <c r="B268" i="3"/>
  <c r="C268" i="3"/>
  <c r="D268" i="3"/>
  <c r="E268" i="3"/>
  <c r="B269" i="3"/>
  <c r="C269" i="3"/>
  <c r="D269" i="3"/>
  <c r="E269" i="3"/>
  <c r="B270" i="3"/>
  <c r="C270" i="3"/>
  <c r="D270" i="3"/>
  <c r="E270" i="3"/>
  <c r="B271" i="3"/>
  <c r="C271" i="3"/>
  <c r="D271" i="3"/>
  <c r="E271" i="3"/>
  <c r="B272" i="3"/>
  <c r="C272" i="3"/>
  <c r="D272" i="3"/>
  <c r="E272" i="3"/>
  <c r="B273" i="3"/>
  <c r="C273" i="3"/>
  <c r="D273" i="3"/>
  <c r="E273" i="3"/>
  <c r="B274" i="3"/>
  <c r="C274" i="3"/>
  <c r="D274" i="3"/>
  <c r="E274" i="3"/>
  <c r="B275" i="3"/>
  <c r="C275" i="3"/>
  <c r="D275" i="3"/>
  <c r="E275" i="3"/>
  <c r="B276" i="3"/>
  <c r="C276" i="3"/>
  <c r="D276" i="3"/>
  <c r="E276" i="3"/>
  <c r="B277" i="3"/>
  <c r="C277" i="3"/>
  <c r="D277" i="3"/>
  <c r="E277" i="3"/>
  <c r="B278" i="3"/>
  <c r="C278" i="3"/>
  <c r="D278" i="3"/>
  <c r="E278" i="3"/>
  <c r="B279" i="3"/>
  <c r="C279" i="3"/>
  <c r="D279" i="3"/>
  <c r="E279" i="3"/>
  <c r="B280" i="3"/>
  <c r="C280" i="3"/>
  <c r="D280" i="3"/>
  <c r="E280" i="3"/>
  <c r="B281" i="3"/>
  <c r="C281" i="3"/>
  <c r="D281" i="3"/>
  <c r="E281" i="3"/>
  <c r="B282" i="3"/>
  <c r="C282" i="3"/>
  <c r="D282" i="3"/>
  <c r="E282" i="3"/>
  <c r="B283" i="3"/>
  <c r="C283" i="3"/>
  <c r="D283" i="3"/>
  <c r="E283" i="3"/>
  <c r="B284" i="3"/>
  <c r="C284" i="3"/>
  <c r="D284" i="3"/>
  <c r="E284" i="3"/>
  <c r="B285" i="3"/>
  <c r="C285" i="3"/>
  <c r="D285" i="3"/>
  <c r="E285" i="3"/>
  <c r="B286" i="3"/>
  <c r="C286" i="3"/>
  <c r="D286" i="3"/>
  <c r="E286" i="3"/>
  <c r="B287" i="3"/>
  <c r="C287" i="3"/>
  <c r="D287" i="3"/>
  <c r="E287" i="3"/>
  <c r="B288" i="3"/>
  <c r="C288" i="3"/>
  <c r="D288" i="3"/>
  <c r="E288" i="3"/>
  <c r="B289" i="3"/>
  <c r="C289" i="3"/>
  <c r="D289" i="3"/>
  <c r="E289" i="3"/>
  <c r="B290" i="3"/>
  <c r="C290" i="3"/>
  <c r="D290" i="3"/>
  <c r="E290" i="3"/>
  <c r="B291" i="3"/>
  <c r="C291" i="3"/>
  <c r="D291" i="3"/>
  <c r="E291" i="3"/>
  <c r="B292" i="3"/>
  <c r="C292" i="3"/>
  <c r="D292" i="3"/>
  <c r="E292" i="3"/>
  <c r="B293" i="3"/>
  <c r="C293" i="3"/>
  <c r="D293" i="3"/>
  <c r="E293" i="3"/>
  <c r="B294" i="3"/>
  <c r="C294" i="3"/>
  <c r="D294" i="3"/>
  <c r="E294" i="3"/>
  <c r="B295" i="3"/>
  <c r="C295" i="3"/>
  <c r="D295" i="3"/>
  <c r="E295" i="3"/>
  <c r="B296" i="3"/>
  <c r="C296" i="3"/>
  <c r="D296" i="3"/>
  <c r="E296" i="3"/>
  <c r="B297" i="3"/>
  <c r="C297" i="3"/>
  <c r="D297" i="3"/>
  <c r="E297" i="3"/>
  <c r="B298" i="3"/>
  <c r="C298" i="3"/>
  <c r="D298" i="3"/>
  <c r="E298" i="3"/>
  <c r="B299" i="3"/>
  <c r="C299" i="3"/>
  <c r="D299" i="3"/>
  <c r="E299" i="3"/>
  <c r="B300" i="3"/>
  <c r="C300" i="3"/>
  <c r="D300" i="3"/>
  <c r="E300" i="3"/>
  <c r="B301" i="3"/>
  <c r="C301" i="3"/>
  <c r="D301" i="3"/>
  <c r="E301" i="3"/>
  <c r="B302" i="3"/>
  <c r="C302" i="3"/>
  <c r="D302" i="3"/>
  <c r="E302" i="3"/>
  <c r="B303" i="3"/>
  <c r="C303" i="3"/>
  <c r="D303" i="3"/>
  <c r="E303" i="3"/>
  <c r="B304" i="3"/>
  <c r="C304" i="3"/>
  <c r="D304" i="3"/>
  <c r="E304" i="3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B207" i="3" s="1"/>
  <c r="J208" i="2"/>
  <c r="B208" i="3" s="1"/>
  <c r="J209" i="2"/>
  <c r="B209" i="3" s="1"/>
  <c r="J210" i="2"/>
  <c r="B210" i="3" s="1"/>
  <c r="J211" i="2"/>
  <c r="B211" i="3" s="1"/>
  <c r="J212" i="2"/>
  <c r="B212" i="3" s="1"/>
  <c r="J213" i="2"/>
  <c r="B213" i="3" s="1"/>
  <c r="J214" i="2"/>
  <c r="B214" i="3" s="1"/>
  <c r="J215" i="2"/>
  <c r="B215" i="3" s="1"/>
  <c r="J216" i="2"/>
  <c r="B216" i="3" s="1"/>
  <c r="J217" i="2"/>
  <c r="B217" i="3" s="1"/>
  <c r="J218" i="2"/>
  <c r="B218" i="3" s="1"/>
  <c r="J219" i="2"/>
  <c r="B219" i="3" s="1"/>
  <c r="J220" i="2"/>
  <c r="B220" i="3" s="1"/>
  <c r="J221" i="2"/>
  <c r="B221" i="3" s="1"/>
  <c r="J222" i="2"/>
  <c r="B222" i="3" s="1"/>
  <c r="J223" i="2"/>
  <c r="B223" i="3" s="1"/>
  <c r="J224" i="2"/>
  <c r="B224" i="3" s="1"/>
  <c r="J225" i="2"/>
  <c r="B225" i="3" s="1"/>
  <c r="J226" i="2"/>
  <c r="B226" i="3" s="1"/>
  <c r="J227" i="2"/>
  <c r="B227" i="3" s="1"/>
  <c r="J228" i="2"/>
  <c r="B228" i="3" s="1"/>
  <c r="J229" i="2"/>
  <c r="B229" i="3" s="1"/>
  <c r="J230" i="2"/>
  <c r="B230" i="3" s="1"/>
  <c r="J231" i="2"/>
  <c r="B231" i="3" s="1"/>
  <c r="J232" i="2"/>
  <c r="B232" i="3" s="1"/>
  <c r="J233" i="2"/>
  <c r="B233" i="3" s="1"/>
  <c r="J234" i="2"/>
  <c r="B234" i="3" s="1"/>
  <c r="J235" i="2"/>
  <c r="B235" i="3" s="1"/>
  <c r="J236" i="2"/>
  <c r="B236" i="3" s="1"/>
  <c r="J237" i="2"/>
  <c r="B237" i="3" s="1"/>
  <c r="J238" i="2"/>
  <c r="B238" i="3" s="1"/>
  <c r="J239" i="2"/>
  <c r="B239" i="3" s="1"/>
  <c r="J240" i="2"/>
  <c r="B240" i="3" s="1"/>
  <c r="J241" i="2"/>
  <c r="B241" i="3" s="1"/>
  <c r="J242" i="2"/>
  <c r="B242" i="3" s="1"/>
  <c r="J243" i="2"/>
  <c r="B243" i="3" s="1"/>
  <c r="J244" i="2"/>
  <c r="B244" i="3" s="1"/>
  <c r="J245" i="2"/>
  <c r="B245" i="3" s="1"/>
  <c r="J246" i="2"/>
  <c r="B246" i="3" s="1"/>
  <c r="J247" i="2"/>
  <c r="B247" i="3" s="1"/>
  <c r="J248" i="2"/>
  <c r="B248" i="3" s="1"/>
  <c r="J249" i="2"/>
  <c r="B249" i="3" s="1"/>
  <c r="J250" i="2"/>
  <c r="B250" i="3" s="1"/>
  <c r="J251" i="2"/>
  <c r="B251" i="3" s="1"/>
  <c r="J252" i="2"/>
  <c r="B252" i="3" s="1"/>
  <c r="J253" i="2"/>
  <c r="B253" i="3" s="1"/>
  <c r="J254" i="2"/>
  <c r="B254" i="3" s="1"/>
  <c r="J255" i="2"/>
  <c r="B255" i="3" s="1"/>
  <c r="J256" i="2"/>
  <c r="B256" i="3" s="1"/>
  <c r="J257" i="2"/>
  <c r="B257" i="3" s="1"/>
  <c r="J258" i="2"/>
  <c r="B258" i="3" s="1"/>
  <c r="J259" i="2"/>
  <c r="B259" i="3" s="1"/>
  <c r="J260" i="2"/>
  <c r="B260" i="3" s="1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4" i="2"/>
  <c r="I4" i="2"/>
  <c r="I5" i="2" s="1"/>
  <c r="B5" i="3" s="1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9" i="2"/>
  <c r="C8" i="2"/>
  <c r="C7" i="2"/>
  <c r="C6" i="2"/>
  <c r="C5" i="2"/>
  <c r="C4" i="2"/>
  <c r="C260" i="3" l="1"/>
  <c r="D260" i="3"/>
  <c r="E260" i="3"/>
  <c r="C259" i="3"/>
  <c r="D259" i="3"/>
  <c r="E259" i="3"/>
  <c r="C258" i="3"/>
  <c r="D258" i="3"/>
  <c r="E258" i="3"/>
  <c r="C257" i="3"/>
  <c r="D257" i="3"/>
  <c r="E257" i="3"/>
  <c r="C256" i="3"/>
  <c r="D256" i="3"/>
  <c r="E256" i="3"/>
  <c r="C255" i="3"/>
  <c r="D255" i="3"/>
  <c r="E255" i="3"/>
  <c r="C254" i="3"/>
  <c r="D254" i="3"/>
  <c r="E254" i="3"/>
  <c r="C253" i="3"/>
  <c r="D253" i="3"/>
  <c r="E253" i="3"/>
  <c r="C252" i="3"/>
  <c r="D252" i="3"/>
  <c r="E252" i="3"/>
  <c r="C251" i="3"/>
  <c r="D251" i="3"/>
  <c r="E251" i="3"/>
  <c r="C250" i="3"/>
  <c r="D250" i="3"/>
  <c r="E250" i="3"/>
  <c r="C249" i="3"/>
  <c r="D249" i="3"/>
  <c r="E249" i="3"/>
  <c r="C248" i="3"/>
  <c r="D248" i="3"/>
  <c r="E248" i="3"/>
  <c r="C247" i="3"/>
  <c r="D247" i="3"/>
  <c r="E247" i="3"/>
  <c r="C246" i="3"/>
  <c r="D246" i="3"/>
  <c r="E246" i="3"/>
  <c r="C245" i="3"/>
  <c r="D245" i="3"/>
  <c r="E245" i="3"/>
  <c r="C244" i="3"/>
  <c r="D244" i="3"/>
  <c r="E244" i="3"/>
  <c r="C243" i="3"/>
  <c r="D243" i="3"/>
  <c r="E243" i="3"/>
  <c r="C242" i="3"/>
  <c r="D242" i="3"/>
  <c r="E242" i="3"/>
  <c r="C241" i="3"/>
  <c r="D241" i="3"/>
  <c r="E241" i="3"/>
  <c r="C240" i="3"/>
  <c r="D240" i="3"/>
  <c r="E240" i="3"/>
  <c r="C239" i="3"/>
  <c r="D239" i="3"/>
  <c r="E239" i="3"/>
  <c r="C238" i="3"/>
  <c r="D238" i="3"/>
  <c r="E238" i="3"/>
  <c r="C237" i="3"/>
  <c r="D237" i="3"/>
  <c r="E237" i="3"/>
  <c r="C236" i="3"/>
  <c r="D236" i="3"/>
  <c r="E236" i="3"/>
  <c r="C235" i="3"/>
  <c r="D235" i="3"/>
  <c r="E235" i="3"/>
  <c r="C234" i="3"/>
  <c r="D234" i="3"/>
  <c r="E234" i="3"/>
  <c r="C233" i="3"/>
  <c r="D233" i="3"/>
  <c r="E233" i="3"/>
  <c r="C232" i="3"/>
  <c r="D232" i="3"/>
  <c r="E232" i="3"/>
  <c r="C231" i="3"/>
  <c r="D231" i="3"/>
  <c r="E231" i="3"/>
  <c r="C230" i="3"/>
  <c r="D230" i="3"/>
  <c r="E230" i="3"/>
  <c r="C229" i="3"/>
  <c r="D229" i="3"/>
  <c r="E229" i="3"/>
  <c r="C228" i="3"/>
  <c r="D228" i="3"/>
  <c r="E228" i="3"/>
  <c r="C227" i="3"/>
  <c r="D227" i="3"/>
  <c r="E227" i="3"/>
  <c r="C226" i="3"/>
  <c r="D226" i="3"/>
  <c r="E226" i="3"/>
  <c r="C225" i="3"/>
  <c r="D225" i="3"/>
  <c r="E225" i="3"/>
  <c r="C224" i="3"/>
  <c r="D224" i="3"/>
  <c r="E224" i="3"/>
  <c r="C223" i="3"/>
  <c r="D223" i="3"/>
  <c r="E223" i="3"/>
  <c r="C222" i="3"/>
  <c r="D222" i="3"/>
  <c r="E222" i="3"/>
  <c r="C221" i="3"/>
  <c r="D221" i="3"/>
  <c r="E221" i="3"/>
  <c r="C220" i="3"/>
  <c r="D220" i="3"/>
  <c r="E220" i="3"/>
  <c r="C219" i="3"/>
  <c r="D219" i="3"/>
  <c r="E219" i="3"/>
  <c r="C218" i="3"/>
  <c r="D218" i="3"/>
  <c r="E218" i="3"/>
  <c r="C217" i="3"/>
  <c r="D217" i="3"/>
  <c r="E217" i="3"/>
  <c r="C216" i="3"/>
  <c r="D216" i="3"/>
  <c r="E216" i="3"/>
  <c r="C215" i="3"/>
  <c r="D215" i="3"/>
  <c r="E215" i="3"/>
  <c r="C214" i="3"/>
  <c r="D214" i="3"/>
  <c r="E214" i="3"/>
  <c r="C213" i="3"/>
  <c r="D213" i="3"/>
  <c r="E213" i="3"/>
  <c r="C212" i="3"/>
  <c r="D212" i="3"/>
  <c r="E212" i="3"/>
  <c r="C211" i="3"/>
  <c r="D211" i="3"/>
  <c r="E211" i="3"/>
  <c r="C210" i="3"/>
  <c r="D210" i="3"/>
  <c r="E210" i="3"/>
  <c r="C209" i="3"/>
  <c r="D209" i="3"/>
  <c r="E209" i="3"/>
  <c r="C208" i="3"/>
  <c r="D208" i="3"/>
  <c r="E208" i="3"/>
  <c r="C207" i="3"/>
  <c r="D207" i="3"/>
  <c r="E207" i="3"/>
  <c r="B4" i="3"/>
  <c r="C4" i="3" s="1"/>
  <c r="C5" i="3"/>
  <c r="I6" i="2"/>
  <c r="I7" i="2" l="1"/>
  <c r="B6" i="3"/>
  <c r="C6" i="3" s="1"/>
  <c r="I8" i="2" l="1"/>
  <c r="B7" i="3"/>
  <c r="C7" i="3" s="1"/>
  <c r="I9" i="2" l="1"/>
  <c r="B8" i="3"/>
  <c r="C8" i="3" s="1"/>
  <c r="I10" i="2" l="1"/>
  <c r="B9" i="3"/>
  <c r="C9" i="3" s="1"/>
  <c r="I11" i="2" l="1"/>
  <c r="B10" i="3"/>
  <c r="C10" i="3" s="1"/>
  <c r="I12" i="2" l="1"/>
  <c r="B11" i="3"/>
  <c r="C11" i="3" s="1"/>
  <c r="I13" i="2" l="1"/>
  <c r="B12" i="3"/>
  <c r="C12" i="3" s="1"/>
  <c r="I14" i="2" l="1"/>
  <c r="B13" i="3"/>
  <c r="C13" i="3" s="1"/>
  <c r="E206" i="2"/>
  <c r="F206" i="2"/>
  <c r="G206" i="2"/>
  <c r="I15" i="2" l="1"/>
  <c r="B14" i="3"/>
  <c r="C14" i="3" s="1"/>
  <c r="I16" i="2" l="1"/>
  <c r="B15" i="3"/>
  <c r="C15" i="3" s="1"/>
  <c r="I17" i="2" l="1"/>
  <c r="B16" i="3"/>
  <c r="C16" i="3" s="1"/>
  <c r="I18" i="2" l="1"/>
  <c r="B17" i="3"/>
  <c r="C17" i="3" s="1"/>
  <c r="B18" i="3" l="1"/>
  <c r="C18" i="3" s="1"/>
  <c r="I19" i="2"/>
  <c r="I20" i="2" l="1"/>
  <c r="B19" i="3"/>
  <c r="C19" i="3" s="1"/>
  <c r="I21" i="2" l="1"/>
  <c r="B20" i="3"/>
  <c r="C20" i="3" s="1"/>
  <c r="I22" i="2" l="1"/>
  <c r="B21" i="3"/>
  <c r="C21" i="3" s="1"/>
  <c r="I23" i="2" l="1"/>
  <c r="B22" i="3"/>
  <c r="C22" i="3" s="1"/>
  <c r="I24" i="2" l="1"/>
  <c r="B23" i="3"/>
  <c r="C23" i="3" s="1"/>
  <c r="I25" i="2" l="1"/>
  <c r="B24" i="3"/>
  <c r="C24" i="3" s="1"/>
  <c r="I26" i="2" l="1"/>
  <c r="B25" i="3"/>
  <c r="C25" i="3" s="1"/>
  <c r="I27" i="2" l="1"/>
  <c r="B26" i="3"/>
  <c r="C26" i="3" s="1"/>
  <c r="I28" i="2" l="1"/>
  <c r="B27" i="3"/>
  <c r="C27" i="3" s="1"/>
  <c r="I29" i="2" l="1"/>
  <c r="B28" i="3"/>
  <c r="C28" i="3" s="1"/>
  <c r="I30" i="2" l="1"/>
  <c r="B29" i="3"/>
  <c r="C29" i="3" s="1"/>
  <c r="I31" i="2" l="1"/>
  <c r="B30" i="3"/>
  <c r="C30" i="3" s="1"/>
  <c r="I32" i="2" l="1"/>
  <c r="B31" i="3"/>
  <c r="C31" i="3" s="1"/>
  <c r="I33" i="2" l="1"/>
  <c r="B32" i="3"/>
  <c r="C32" i="3" s="1"/>
  <c r="I34" i="2" l="1"/>
  <c r="B33" i="3"/>
  <c r="C33" i="3" s="1"/>
  <c r="I35" i="2" l="1"/>
  <c r="B34" i="3"/>
  <c r="C34" i="3" s="1"/>
  <c r="I36" i="2" l="1"/>
  <c r="B35" i="3"/>
  <c r="C35" i="3" s="1"/>
  <c r="I37" i="2" l="1"/>
  <c r="B36" i="3"/>
  <c r="C36" i="3" s="1"/>
  <c r="I38" i="2" l="1"/>
  <c r="B37" i="3"/>
  <c r="C37" i="3" s="1"/>
  <c r="I39" i="2" l="1"/>
  <c r="B38" i="3"/>
  <c r="C38" i="3" s="1"/>
  <c r="I40" i="2" l="1"/>
  <c r="B39" i="3"/>
  <c r="C39" i="3" s="1"/>
  <c r="I41" i="2" l="1"/>
  <c r="B40" i="3"/>
  <c r="C40" i="3" s="1"/>
  <c r="I42" i="2" l="1"/>
  <c r="B41" i="3"/>
  <c r="C41" i="3" s="1"/>
  <c r="I43" i="2" l="1"/>
  <c r="B42" i="3"/>
  <c r="C42" i="3" s="1"/>
  <c r="I44" i="2" l="1"/>
  <c r="B43" i="3"/>
  <c r="C43" i="3" s="1"/>
  <c r="I45" i="2" l="1"/>
  <c r="B44" i="3"/>
  <c r="C44" i="3" s="1"/>
  <c r="I46" i="2" l="1"/>
  <c r="B45" i="3"/>
  <c r="C45" i="3" s="1"/>
  <c r="I47" i="2" l="1"/>
  <c r="B46" i="3"/>
  <c r="C46" i="3" s="1"/>
  <c r="I48" i="2" l="1"/>
  <c r="B47" i="3"/>
  <c r="C47" i="3" s="1"/>
  <c r="I49" i="2" l="1"/>
  <c r="B48" i="3"/>
  <c r="C48" i="3" s="1"/>
  <c r="I50" i="2" l="1"/>
  <c r="B49" i="3"/>
  <c r="C49" i="3" s="1"/>
  <c r="I51" i="2" l="1"/>
  <c r="B50" i="3"/>
  <c r="C50" i="3" s="1"/>
  <c r="I52" i="2" l="1"/>
  <c r="B51" i="3"/>
  <c r="C51" i="3" s="1"/>
  <c r="I53" i="2" l="1"/>
  <c r="B52" i="3"/>
  <c r="C52" i="3" s="1"/>
  <c r="I54" i="2" l="1"/>
  <c r="B53" i="3"/>
  <c r="C53" i="3" s="1"/>
  <c r="I55" i="2" l="1"/>
  <c r="B54" i="3"/>
  <c r="C54" i="3" s="1"/>
  <c r="I56" i="2" l="1"/>
  <c r="B55" i="3"/>
  <c r="C55" i="3" s="1"/>
  <c r="I57" i="2" l="1"/>
  <c r="B56" i="3"/>
  <c r="C56" i="3" s="1"/>
  <c r="I58" i="2" l="1"/>
  <c r="B57" i="3"/>
  <c r="C57" i="3" s="1"/>
  <c r="I59" i="2" l="1"/>
  <c r="B58" i="3"/>
  <c r="C58" i="3" s="1"/>
  <c r="I60" i="2" l="1"/>
  <c r="B59" i="3"/>
  <c r="C59" i="3" s="1"/>
  <c r="I61" i="2" l="1"/>
  <c r="B60" i="3"/>
  <c r="C60" i="3" s="1"/>
  <c r="I62" i="2" l="1"/>
  <c r="B61" i="3"/>
  <c r="C61" i="3" s="1"/>
  <c r="I63" i="2" l="1"/>
  <c r="B62" i="3"/>
  <c r="C62" i="3" s="1"/>
  <c r="I64" i="2" l="1"/>
  <c r="B63" i="3"/>
  <c r="C63" i="3" s="1"/>
  <c r="I65" i="2" l="1"/>
  <c r="B64" i="3"/>
  <c r="C64" i="3" s="1"/>
  <c r="I66" i="2" l="1"/>
  <c r="B65" i="3"/>
  <c r="C65" i="3" s="1"/>
  <c r="I67" i="2" l="1"/>
  <c r="B66" i="3"/>
  <c r="C66" i="3" s="1"/>
  <c r="I68" i="2" l="1"/>
  <c r="B67" i="3"/>
  <c r="C67" i="3" s="1"/>
  <c r="I69" i="2" l="1"/>
  <c r="B68" i="3"/>
  <c r="C68" i="3" s="1"/>
  <c r="I70" i="2" l="1"/>
  <c r="B69" i="3"/>
  <c r="C69" i="3" s="1"/>
  <c r="I71" i="2" l="1"/>
  <c r="B70" i="3"/>
  <c r="C70" i="3" s="1"/>
  <c r="I72" i="2" l="1"/>
  <c r="B71" i="3"/>
  <c r="C71" i="3" s="1"/>
  <c r="I73" i="2" l="1"/>
  <c r="B72" i="3"/>
  <c r="C72" i="3" s="1"/>
  <c r="I74" i="2" l="1"/>
  <c r="B73" i="3"/>
  <c r="C73" i="3" s="1"/>
  <c r="I75" i="2" l="1"/>
  <c r="B74" i="3"/>
  <c r="C74" i="3" s="1"/>
  <c r="I76" i="2" l="1"/>
  <c r="B75" i="3"/>
  <c r="C75" i="3" s="1"/>
  <c r="I77" i="2" l="1"/>
  <c r="B76" i="3"/>
  <c r="C76" i="3" s="1"/>
  <c r="I78" i="2" l="1"/>
  <c r="B77" i="3"/>
  <c r="C77" i="3" s="1"/>
  <c r="I79" i="2" l="1"/>
  <c r="B78" i="3"/>
  <c r="C78" i="3" s="1"/>
  <c r="I80" i="2" l="1"/>
  <c r="B79" i="3"/>
  <c r="C79" i="3" s="1"/>
  <c r="I81" i="2" l="1"/>
  <c r="B80" i="3"/>
  <c r="C80" i="3" s="1"/>
  <c r="I82" i="2" l="1"/>
  <c r="B81" i="3"/>
  <c r="C81" i="3" s="1"/>
  <c r="I83" i="2" l="1"/>
  <c r="B82" i="3"/>
  <c r="C82" i="3" s="1"/>
  <c r="I84" i="2" l="1"/>
  <c r="B83" i="3"/>
  <c r="C83" i="3" s="1"/>
  <c r="I85" i="2" l="1"/>
  <c r="B84" i="3"/>
  <c r="C84" i="3" s="1"/>
  <c r="I86" i="2" l="1"/>
  <c r="B85" i="3"/>
  <c r="C85" i="3" s="1"/>
  <c r="I87" i="2" l="1"/>
  <c r="B86" i="3"/>
  <c r="C86" i="3" s="1"/>
  <c r="I88" i="2" l="1"/>
  <c r="B87" i="3"/>
  <c r="C87" i="3" s="1"/>
  <c r="I89" i="2" l="1"/>
  <c r="B88" i="3"/>
  <c r="C88" i="3" s="1"/>
  <c r="I90" i="2" l="1"/>
  <c r="B89" i="3"/>
  <c r="C89" i="3" s="1"/>
  <c r="I91" i="2" l="1"/>
  <c r="B90" i="3"/>
  <c r="C90" i="3" s="1"/>
  <c r="I92" i="2" l="1"/>
  <c r="B91" i="3"/>
  <c r="C91" i="3" s="1"/>
  <c r="I93" i="2" l="1"/>
  <c r="B92" i="3"/>
  <c r="C92" i="3" s="1"/>
  <c r="I94" i="2" l="1"/>
  <c r="B93" i="3"/>
  <c r="C93" i="3" s="1"/>
  <c r="I95" i="2" l="1"/>
  <c r="B94" i="3"/>
  <c r="C94" i="3" s="1"/>
  <c r="I96" i="2" l="1"/>
  <c r="B95" i="3"/>
  <c r="C95" i="3" s="1"/>
  <c r="I97" i="2" l="1"/>
  <c r="B96" i="3"/>
  <c r="C96" i="3" s="1"/>
  <c r="I98" i="2" l="1"/>
  <c r="B97" i="3"/>
  <c r="C97" i="3" s="1"/>
  <c r="I99" i="2" l="1"/>
  <c r="B98" i="3"/>
  <c r="C98" i="3" s="1"/>
  <c r="I100" i="2" l="1"/>
  <c r="B99" i="3"/>
  <c r="C99" i="3" s="1"/>
  <c r="I101" i="2" l="1"/>
  <c r="B100" i="3"/>
  <c r="C100" i="3" s="1"/>
  <c r="I102" i="2" l="1"/>
  <c r="B101" i="3"/>
  <c r="C101" i="3" s="1"/>
  <c r="B102" i="3" l="1"/>
  <c r="C102" i="3" s="1"/>
  <c r="I103" i="2"/>
  <c r="I104" i="2" l="1"/>
  <c r="B103" i="3"/>
  <c r="C103" i="3" s="1"/>
  <c r="I105" i="2" l="1"/>
  <c r="B104" i="3"/>
  <c r="C104" i="3" s="1"/>
  <c r="I106" i="2" l="1"/>
  <c r="B105" i="3"/>
  <c r="C105" i="3" s="1"/>
  <c r="I107" i="2" l="1"/>
  <c r="B106" i="3"/>
  <c r="C106" i="3" s="1"/>
  <c r="I108" i="2" l="1"/>
  <c r="B107" i="3"/>
  <c r="C107" i="3" s="1"/>
  <c r="I109" i="2" l="1"/>
  <c r="B108" i="3"/>
  <c r="C108" i="3" s="1"/>
  <c r="I110" i="2" l="1"/>
  <c r="B109" i="3"/>
  <c r="C109" i="3" s="1"/>
  <c r="I111" i="2" l="1"/>
  <c r="B110" i="3"/>
  <c r="C110" i="3" s="1"/>
  <c r="I112" i="2" l="1"/>
  <c r="B111" i="3"/>
  <c r="C111" i="3" s="1"/>
  <c r="I113" i="2" l="1"/>
  <c r="B112" i="3"/>
  <c r="C112" i="3" s="1"/>
  <c r="I114" i="2" l="1"/>
  <c r="B113" i="3"/>
  <c r="C113" i="3" s="1"/>
  <c r="I115" i="2" l="1"/>
  <c r="B114" i="3"/>
  <c r="C114" i="3" s="1"/>
  <c r="I116" i="2" l="1"/>
  <c r="B115" i="3"/>
  <c r="C115" i="3" s="1"/>
  <c r="I117" i="2" l="1"/>
  <c r="B116" i="3"/>
  <c r="C116" i="3" s="1"/>
  <c r="I118" i="2" l="1"/>
  <c r="B117" i="3"/>
  <c r="C117" i="3" s="1"/>
  <c r="I119" i="2" l="1"/>
  <c r="B118" i="3"/>
  <c r="C118" i="3" s="1"/>
  <c r="I120" i="2" l="1"/>
  <c r="B119" i="3"/>
  <c r="C119" i="3" s="1"/>
  <c r="I121" i="2" l="1"/>
  <c r="B120" i="3"/>
  <c r="C120" i="3" s="1"/>
  <c r="I122" i="2" l="1"/>
  <c r="B121" i="3"/>
  <c r="C121" i="3" s="1"/>
  <c r="I123" i="2" l="1"/>
  <c r="B122" i="3"/>
  <c r="C122" i="3" s="1"/>
  <c r="I124" i="2" l="1"/>
  <c r="B123" i="3"/>
  <c r="C123" i="3" s="1"/>
  <c r="I125" i="2" l="1"/>
  <c r="B124" i="3"/>
  <c r="C124" i="3" s="1"/>
  <c r="I126" i="2" l="1"/>
  <c r="B125" i="3"/>
  <c r="C125" i="3" s="1"/>
  <c r="I127" i="2" l="1"/>
  <c r="B126" i="3"/>
  <c r="C126" i="3" s="1"/>
  <c r="I128" i="2" l="1"/>
  <c r="B127" i="3"/>
  <c r="C127" i="3" s="1"/>
  <c r="I129" i="2" l="1"/>
  <c r="B128" i="3"/>
  <c r="C128" i="3" s="1"/>
  <c r="I130" i="2" l="1"/>
  <c r="B129" i="3"/>
  <c r="C129" i="3" s="1"/>
  <c r="I131" i="2" l="1"/>
  <c r="B130" i="3"/>
  <c r="C130" i="3" s="1"/>
  <c r="I132" i="2" l="1"/>
  <c r="B131" i="3"/>
  <c r="C131" i="3" s="1"/>
  <c r="I133" i="2" l="1"/>
  <c r="B132" i="3"/>
  <c r="C132" i="3" s="1"/>
  <c r="I134" i="2" l="1"/>
  <c r="B133" i="3"/>
  <c r="C133" i="3" s="1"/>
  <c r="I135" i="2" l="1"/>
  <c r="B134" i="3"/>
  <c r="C134" i="3" s="1"/>
  <c r="I136" i="2" l="1"/>
  <c r="B135" i="3"/>
  <c r="C135" i="3" s="1"/>
  <c r="I137" i="2" l="1"/>
  <c r="B136" i="3"/>
  <c r="C136" i="3" s="1"/>
  <c r="I138" i="2" l="1"/>
  <c r="B137" i="3"/>
  <c r="C137" i="3" s="1"/>
  <c r="I139" i="2" l="1"/>
  <c r="B138" i="3"/>
  <c r="C138" i="3" s="1"/>
  <c r="I140" i="2" l="1"/>
  <c r="B139" i="3"/>
  <c r="C139" i="3" s="1"/>
  <c r="I141" i="2" l="1"/>
  <c r="B140" i="3"/>
  <c r="C140" i="3" s="1"/>
  <c r="I142" i="2" l="1"/>
  <c r="B141" i="3"/>
  <c r="C141" i="3" s="1"/>
  <c r="I143" i="2" l="1"/>
  <c r="B142" i="3"/>
  <c r="C142" i="3" s="1"/>
  <c r="I144" i="2" l="1"/>
  <c r="B143" i="3"/>
  <c r="C143" i="3" s="1"/>
  <c r="I145" i="2" l="1"/>
  <c r="B144" i="3"/>
  <c r="C144" i="3" s="1"/>
  <c r="I146" i="2" l="1"/>
  <c r="B145" i="3"/>
  <c r="C145" i="3" s="1"/>
  <c r="I147" i="2" l="1"/>
  <c r="B146" i="3"/>
  <c r="C146" i="3" s="1"/>
  <c r="I148" i="2" l="1"/>
  <c r="B147" i="3"/>
  <c r="C147" i="3" s="1"/>
  <c r="I149" i="2" l="1"/>
  <c r="B148" i="3"/>
  <c r="C148" i="3" s="1"/>
  <c r="I150" i="2" l="1"/>
  <c r="B149" i="3"/>
  <c r="C149" i="3" s="1"/>
  <c r="I151" i="2" l="1"/>
  <c r="B150" i="3"/>
  <c r="C150" i="3" s="1"/>
  <c r="I152" i="2" l="1"/>
  <c r="B151" i="3"/>
  <c r="C151" i="3" s="1"/>
  <c r="I153" i="2" l="1"/>
  <c r="B152" i="3"/>
  <c r="C152" i="3" s="1"/>
  <c r="I154" i="2" l="1"/>
  <c r="B153" i="3"/>
  <c r="C153" i="3" s="1"/>
  <c r="I155" i="2" l="1"/>
  <c r="B154" i="3"/>
  <c r="C154" i="3" s="1"/>
  <c r="I156" i="2" l="1"/>
  <c r="B155" i="3"/>
  <c r="C155" i="3" s="1"/>
  <c r="I157" i="2" l="1"/>
  <c r="B156" i="3"/>
  <c r="C156" i="3" s="1"/>
  <c r="I158" i="2" l="1"/>
  <c r="B157" i="3"/>
  <c r="C157" i="3" s="1"/>
  <c r="I159" i="2" l="1"/>
  <c r="B158" i="3"/>
  <c r="C158" i="3" s="1"/>
  <c r="I160" i="2" l="1"/>
  <c r="B159" i="3"/>
  <c r="C159" i="3" s="1"/>
  <c r="I161" i="2" l="1"/>
  <c r="B160" i="3"/>
  <c r="C160" i="3" s="1"/>
  <c r="I162" i="2" l="1"/>
  <c r="B161" i="3"/>
  <c r="C161" i="3" s="1"/>
  <c r="I163" i="2" l="1"/>
  <c r="B162" i="3"/>
  <c r="C162" i="3" s="1"/>
  <c r="I164" i="2" l="1"/>
  <c r="B163" i="3"/>
  <c r="C163" i="3" s="1"/>
  <c r="I165" i="2" l="1"/>
  <c r="B164" i="3"/>
  <c r="C164" i="3" s="1"/>
  <c r="I166" i="2" l="1"/>
  <c r="B165" i="3"/>
  <c r="C165" i="3" s="1"/>
  <c r="I167" i="2" l="1"/>
  <c r="B166" i="3"/>
  <c r="C166" i="3" s="1"/>
  <c r="I168" i="2" l="1"/>
  <c r="B167" i="3"/>
  <c r="C167" i="3" s="1"/>
  <c r="I169" i="2" l="1"/>
  <c r="B168" i="3"/>
  <c r="C168" i="3" s="1"/>
  <c r="I170" i="2" l="1"/>
  <c r="B169" i="3"/>
  <c r="C169" i="3" s="1"/>
  <c r="I171" i="2" l="1"/>
  <c r="B170" i="3"/>
  <c r="C170" i="3" s="1"/>
  <c r="I172" i="2" l="1"/>
  <c r="B171" i="3"/>
  <c r="C171" i="3" s="1"/>
  <c r="I173" i="2" l="1"/>
  <c r="B172" i="3"/>
  <c r="C172" i="3" s="1"/>
  <c r="I174" i="2" l="1"/>
  <c r="B173" i="3"/>
  <c r="C173" i="3" s="1"/>
  <c r="I175" i="2" l="1"/>
  <c r="B174" i="3"/>
  <c r="C174" i="3" s="1"/>
  <c r="I176" i="2" l="1"/>
  <c r="B175" i="3"/>
  <c r="C175" i="3" s="1"/>
  <c r="I177" i="2" l="1"/>
  <c r="B176" i="3"/>
  <c r="C176" i="3" s="1"/>
  <c r="I178" i="2" l="1"/>
  <c r="B177" i="3"/>
  <c r="C177" i="3" s="1"/>
  <c r="I179" i="2" l="1"/>
  <c r="B178" i="3"/>
  <c r="C178" i="3" s="1"/>
  <c r="I180" i="2" l="1"/>
  <c r="B179" i="3"/>
  <c r="C179" i="3" s="1"/>
  <c r="I181" i="2" l="1"/>
  <c r="B180" i="3"/>
  <c r="C180" i="3" s="1"/>
  <c r="I182" i="2" l="1"/>
  <c r="B181" i="3"/>
  <c r="C181" i="3" s="1"/>
  <c r="I183" i="2" l="1"/>
  <c r="B182" i="3"/>
  <c r="C182" i="3" s="1"/>
  <c r="I184" i="2" l="1"/>
  <c r="B183" i="3"/>
  <c r="C183" i="3" s="1"/>
  <c r="I185" i="2" l="1"/>
  <c r="B184" i="3"/>
  <c r="C184" i="3" s="1"/>
  <c r="I186" i="2" l="1"/>
  <c r="B185" i="3"/>
  <c r="C185" i="3" s="1"/>
  <c r="I187" i="2" l="1"/>
  <c r="B186" i="3"/>
  <c r="C186" i="3" s="1"/>
  <c r="I188" i="2" l="1"/>
  <c r="B187" i="3"/>
  <c r="C187" i="3" s="1"/>
  <c r="I189" i="2" l="1"/>
  <c r="B188" i="3"/>
  <c r="C188" i="3" s="1"/>
  <c r="I190" i="2" l="1"/>
  <c r="B189" i="3"/>
  <c r="C189" i="3" s="1"/>
  <c r="I191" i="2" l="1"/>
  <c r="B190" i="3"/>
  <c r="C190" i="3" s="1"/>
  <c r="I192" i="2" l="1"/>
  <c r="B191" i="3"/>
  <c r="C191" i="3" s="1"/>
  <c r="I193" i="2" l="1"/>
  <c r="B192" i="3"/>
  <c r="C192" i="3" s="1"/>
  <c r="I194" i="2" l="1"/>
  <c r="B193" i="3"/>
  <c r="C193" i="3" s="1"/>
  <c r="I195" i="2" l="1"/>
  <c r="B194" i="3"/>
  <c r="C194" i="3" s="1"/>
  <c r="I196" i="2" l="1"/>
  <c r="B195" i="3"/>
  <c r="C195" i="3" s="1"/>
  <c r="I197" i="2" l="1"/>
  <c r="B196" i="3"/>
  <c r="C196" i="3" s="1"/>
  <c r="I198" i="2" l="1"/>
  <c r="B197" i="3"/>
  <c r="C197" i="3" s="1"/>
  <c r="I199" i="2" l="1"/>
  <c r="B198" i="3"/>
  <c r="C198" i="3" s="1"/>
  <c r="I200" i="2" l="1"/>
  <c r="B199" i="3"/>
  <c r="C199" i="3" s="1"/>
  <c r="I201" i="2" l="1"/>
  <c r="B200" i="3"/>
  <c r="C200" i="3" s="1"/>
  <c r="I202" i="2" l="1"/>
  <c r="B201" i="3"/>
  <c r="C201" i="3" s="1"/>
  <c r="I203" i="2" l="1"/>
  <c r="B202" i="3"/>
  <c r="C202" i="3" s="1"/>
  <c r="I204" i="2" l="1"/>
  <c r="B203" i="3"/>
  <c r="C203" i="3" s="1"/>
  <c r="I205" i="2" l="1"/>
  <c r="B204" i="3"/>
  <c r="C204" i="3" s="1"/>
  <c r="I206" i="2" l="1"/>
  <c r="B205" i="3"/>
  <c r="C205" i="3" s="1"/>
  <c r="I207" i="2" l="1"/>
  <c r="I208" i="2" s="1"/>
  <c r="I209" i="2" s="1"/>
  <c r="I210" i="2" s="1"/>
  <c r="I211" i="2" s="1"/>
  <c r="I212" i="2" s="1"/>
  <c r="I213" i="2" s="1"/>
  <c r="I214" i="2" s="1"/>
  <c r="I215" i="2" s="1"/>
  <c r="I216" i="2" s="1"/>
  <c r="I217" i="2" s="1"/>
  <c r="I218" i="2" s="1"/>
  <c r="I219" i="2" s="1"/>
  <c r="I220" i="2" s="1"/>
  <c r="I221" i="2" s="1"/>
  <c r="I222" i="2" s="1"/>
  <c r="I223" i="2" s="1"/>
  <c r="I224" i="2" s="1"/>
  <c r="I225" i="2" s="1"/>
  <c r="I226" i="2" s="1"/>
  <c r="I227" i="2" s="1"/>
  <c r="I228" i="2" s="1"/>
  <c r="I229" i="2" s="1"/>
  <c r="I230" i="2" s="1"/>
  <c r="I231" i="2" s="1"/>
  <c r="I232" i="2" s="1"/>
  <c r="I233" i="2" s="1"/>
  <c r="I234" i="2" s="1"/>
  <c r="I235" i="2" s="1"/>
  <c r="I236" i="2" s="1"/>
  <c r="I237" i="2" s="1"/>
  <c r="I238" i="2" s="1"/>
  <c r="I239" i="2" s="1"/>
  <c r="I240" i="2" s="1"/>
  <c r="I241" i="2" s="1"/>
  <c r="I242" i="2" s="1"/>
  <c r="I243" i="2" s="1"/>
  <c r="I244" i="2" s="1"/>
  <c r="I245" i="2" s="1"/>
  <c r="I246" i="2" s="1"/>
  <c r="I247" i="2" s="1"/>
  <c r="I248" i="2" s="1"/>
  <c r="I249" i="2" s="1"/>
  <c r="I250" i="2" s="1"/>
  <c r="I251" i="2" s="1"/>
  <c r="I252" i="2" s="1"/>
  <c r="I253" i="2" s="1"/>
  <c r="I254" i="2" s="1"/>
  <c r="I255" i="2" s="1"/>
  <c r="I256" i="2" s="1"/>
  <c r="I257" i="2" s="1"/>
  <c r="I258" i="2" s="1"/>
  <c r="I259" i="2" s="1"/>
  <c r="I260" i="2" s="1"/>
  <c r="I261" i="2" s="1"/>
  <c r="I262" i="2" s="1"/>
  <c r="I263" i="2" s="1"/>
  <c r="I264" i="2" s="1"/>
  <c r="I265" i="2" s="1"/>
  <c r="I266" i="2" s="1"/>
  <c r="I267" i="2" s="1"/>
  <c r="I268" i="2" s="1"/>
  <c r="I269" i="2" s="1"/>
  <c r="I270" i="2" s="1"/>
  <c r="I271" i="2" s="1"/>
  <c r="I272" i="2" s="1"/>
  <c r="I273" i="2" s="1"/>
  <c r="B206" i="3"/>
  <c r="C206" i="3" l="1"/>
  <c r="D206" i="3"/>
  <c r="E206" i="3"/>
  <c r="G5" i="2" l="1"/>
  <c r="E4" i="2"/>
  <c r="D4" i="3" s="1"/>
  <c r="G4" i="2"/>
  <c r="F4" i="2"/>
  <c r="E4" i="3" s="1"/>
  <c r="G6" i="2" l="1"/>
  <c r="E5" i="2"/>
  <c r="D5" i="3" s="1"/>
  <c r="F5" i="2"/>
  <c r="E5" i="3" s="1"/>
  <c r="G7" i="2" l="1"/>
  <c r="E6" i="2"/>
  <c r="D6" i="3" s="1"/>
  <c r="F6" i="2"/>
  <c r="E6" i="3" s="1"/>
  <c r="G8" i="2" l="1"/>
  <c r="E7" i="2"/>
  <c r="D7" i="3" s="1"/>
  <c r="F7" i="2"/>
  <c r="E7" i="3" s="1"/>
  <c r="G9" i="2" l="1"/>
  <c r="E8" i="2"/>
  <c r="D8" i="3" s="1"/>
  <c r="F8" i="2"/>
  <c r="E8" i="3" s="1"/>
  <c r="E106" i="2" l="1"/>
  <c r="D106" i="3" s="1"/>
  <c r="F106" i="2"/>
  <c r="E106" i="3" s="1"/>
  <c r="G106" i="2"/>
  <c r="E107" i="2"/>
  <c r="D107" i="3" s="1"/>
  <c r="F107" i="2"/>
  <c r="E107" i="3" s="1"/>
  <c r="G107" i="2"/>
  <c r="E108" i="2"/>
  <c r="D108" i="3" s="1"/>
  <c r="F108" i="2"/>
  <c r="E108" i="3" s="1"/>
  <c r="G108" i="2"/>
  <c r="E109" i="2"/>
  <c r="D109" i="3" s="1"/>
  <c r="F109" i="2"/>
  <c r="E109" i="3" s="1"/>
  <c r="G109" i="2"/>
  <c r="E110" i="2"/>
  <c r="D110" i="3" s="1"/>
  <c r="F110" i="2"/>
  <c r="E110" i="3" s="1"/>
  <c r="G110" i="2"/>
  <c r="E111" i="2"/>
  <c r="D111" i="3" s="1"/>
  <c r="F111" i="2"/>
  <c r="E111" i="3" s="1"/>
  <c r="G111" i="2"/>
  <c r="E112" i="2"/>
  <c r="D112" i="3" s="1"/>
  <c r="F112" i="2"/>
  <c r="E112" i="3" s="1"/>
  <c r="G112" i="2"/>
  <c r="E113" i="2"/>
  <c r="D113" i="3" s="1"/>
  <c r="F113" i="2"/>
  <c r="E113" i="3" s="1"/>
  <c r="G113" i="2"/>
  <c r="E114" i="2"/>
  <c r="D114" i="3" s="1"/>
  <c r="F114" i="2"/>
  <c r="E114" i="3" s="1"/>
  <c r="G114" i="2"/>
  <c r="E115" i="2"/>
  <c r="D115" i="3" s="1"/>
  <c r="F115" i="2"/>
  <c r="E115" i="3" s="1"/>
  <c r="G115" i="2"/>
  <c r="E116" i="2"/>
  <c r="D116" i="3" s="1"/>
  <c r="F116" i="2"/>
  <c r="E116" i="3" s="1"/>
  <c r="G116" i="2"/>
  <c r="E117" i="2"/>
  <c r="D117" i="3" s="1"/>
  <c r="F117" i="2"/>
  <c r="E117" i="3" s="1"/>
  <c r="G117" i="2"/>
  <c r="E118" i="2"/>
  <c r="D118" i="3" s="1"/>
  <c r="F118" i="2"/>
  <c r="E118" i="3" s="1"/>
  <c r="G118" i="2"/>
  <c r="E119" i="2"/>
  <c r="D119" i="3" s="1"/>
  <c r="F119" i="2"/>
  <c r="E119" i="3" s="1"/>
  <c r="G119" i="2"/>
  <c r="E120" i="2"/>
  <c r="D120" i="3" s="1"/>
  <c r="F120" i="2"/>
  <c r="E120" i="3" s="1"/>
  <c r="G120" i="2"/>
  <c r="E121" i="2"/>
  <c r="D121" i="3" s="1"/>
  <c r="F121" i="2"/>
  <c r="E121" i="3" s="1"/>
  <c r="G121" i="2"/>
  <c r="E122" i="2"/>
  <c r="D122" i="3" s="1"/>
  <c r="F122" i="2"/>
  <c r="E122" i="3" s="1"/>
  <c r="G122" i="2"/>
  <c r="E123" i="2"/>
  <c r="D123" i="3" s="1"/>
  <c r="F123" i="2"/>
  <c r="E123" i="3" s="1"/>
  <c r="G123" i="2"/>
  <c r="E124" i="2"/>
  <c r="D124" i="3" s="1"/>
  <c r="F124" i="2"/>
  <c r="E124" i="3" s="1"/>
  <c r="G124" i="2"/>
  <c r="E125" i="2"/>
  <c r="D125" i="3" s="1"/>
  <c r="F125" i="2"/>
  <c r="E125" i="3" s="1"/>
  <c r="G125" i="2"/>
  <c r="E126" i="2"/>
  <c r="D126" i="3" s="1"/>
  <c r="F126" i="2"/>
  <c r="E126" i="3" s="1"/>
  <c r="G126" i="2"/>
  <c r="E127" i="2"/>
  <c r="D127" i="3" s="1"/>
  <c r="F127" i="2"/>
  <c r="E127" i="3" s="1"/>
  <c r="G127" i="2"/>
  <c r="E128" i="2"/>
  <c r="D128" i="3" s="1"/>
  <c r="F128" i="2"/>
  <c r="E128" i="3" s="1"/>
  <c r="G128" i="2"/>
  <c r="E129" i="2"/>
  <c r="D129" i="3" s="1"/>
  <c r="F129" i="2"/>
  <c r="E129" i="3" s="1"/>
  <c r="G129" i="2"/>
  <c r="E130" i="2"/>
  <c r="D130" i="3" s="1"/>
  <c r="F130" i="2"/>
  <c r="E130" i="3" s="1"/>
  <c r="G130" i="2"/>
  <c r="E131" i="2"/>
  <c r="D131" i="3" s="1"/>
  <c r="F131" i="2"/>
  <c r="E131" i="3" s="1"/>
  <c r="G131" i="2"/>
  <c r="E132" i="2"/>
  <c r="D132" i="3" s="1"/>
  <c r="F132" i="2"/>
  <c r="E132" i="3" s="1"/>
  <c r="G132" i="2"/>
  <c r="E133" i="2"/>
  <c r="D133" i="3" s="1"/>
  <c r="F133" i="2"/>
  <c r="E133" i="3" s="1"/>
  <c r="G133" i="2"/>
  <c r="E134" i="2"/>
  <c r="D134" i="3" s="1"/>
  <c r="F134" i="2"/>
  <c r="E134" i="3" s="1"/>
  <c r="G134" i="2"/>
  <c r="E135" i="2"/>
  <c r="D135" i="3" s="1"/>
  <c r="F135" i="2"/>
  <c r="E135" i="3" s="1"/>
  <c r="G135" i="2"/>
  <c r="E136" i="2"/>
  <c r="D136" i="3" s="1"/>
  <c r="F136" i="2"/>
  <c r="E136" i="3" s="1"/>
  <c r="G136" i="2"/>
  <c r="E137" i="2"/>
  <c r="D137" i="3" s="1"/>
  <c r="F137" i="2"/>
  <c r="E137" i="3" s="1"/>
  <c r="G137" i="2"/>
  <c r="E138" i="2"/>
  <c r="D138" i="3" s="1"/>
  <c r="F138" i="2"/>
  <c r="E138" i="3" s="1"/>
  <c r="G138" i="2"/>
  <c r="E139" i="2"/>
  <c r="D139" i="3" s="1"/>
  <c r="F139" i="2"/>
  <c r="E139" i="3" s="1"/>
  <c r="G139" i="2"/>
  <c r="E140" i="2"/>
  <c r="D140" i="3" s="1"/>
  <c r="F140" i="2"/>
  <c r="E140" i="3" s="1"/>
  <c r="G140" i="2"/>
  <c r="E141" i="2"/>
  <c r="D141" i="3" s="1"/>
  <c r="F141" i="2"/>
  <c r="E141" i="3" s="1"/>
  <c r="G141" i="2"/>
  <c r="E142" i="2"/>
  <c r="D142" i="3" s="1"/>
  <c r="F142" i="2"/>
  <c r="E142" i="3" s="1"/>
  <c r="G142" i="2"/>
  <c r="G143" i="2"/>
  <c r="G144" i="2"/>
  <c r="E66" i="2"/>
  <c r="D66" i="3" s="1"/>
  <c r="F66" i="2"/>
  <c r="E66" i="3" s="1"/>
  <c r="G66" i="2"/>
  <c r="E67" i="2"/>
  <c r="D67" i="3" s="1"/>
  <c r="F67" i="2"/>
  <c r="E67" i="3" s="1"/>
  <c r="G67" i="2"/>
  <c r="E68" i="2"/>
  <c r="D68" i="3" s="1"/>
  <c r="F68" i="2"/>
  <c r="E68" i="3" s="1"/>
  <c r="G68" i="2"/>
  <c r="E69" i="2"/>
  <c r="D69" i="3" s="1"/>
  <c r="F69" i="2"/>
  <c r="E69" i="3" s="1"/>
  <c r="G69" i="2"/>
  <c r="E70" i="2"/>
  <c r="D70" i="3" s="1"/>
  <c r="F70" i="2"/>
  <c r="E70" i="3" s="1"/>
  <c r="G70" i="2"/>
  <c r="E71" i="2"/>
  <c r="D71" i="3" s="1"/>
  <c r="F71" i="2"/>
  <c r="E71" i="3" s="1"/>
  <c r="G71" i="2"/>
  <c r="E72" i="2"/>
  <c r="D72" i="3" s="1"/>
  <c r="F72" i="2"/>
  <c r="E72" i="3" s="1"/>
  <c r="G72" i="2"/>
  <c r="E73" i="2"/>
  <c r="D73" i="3" s="1"/>
  <c r="F73" i="2"/>
  <c r="E73" i="3" s="1"/>
  <c r="G73" i="2"/>
  <c r="E74" i="2"/>
  <c r="D74" i="3" s="1"/>
  <c r="F74" i="2"/>
  <c r="E74" i="3" s="1"/>
  <c r="G74" i="2"/>
  <c r="E75" i="2"/>
  <c r="D75" i="3" s="1"/>
  <c r="F75" i="2"/>
  <c r="E75" i="3" s="1"/>
  <c r="G75" i="2"/>
  <c r="E76" i="2"/>
  <c r="D76" i="3" s="1"/>
  <c r="F76" i="2"/>
  <c r="E76" i="3" s="1"/>
  <c r="G76" i="2"/>
  <c r="E77" i="2"/>
  <c r="D77" i="3" s="1"/>
  <c r="F77" i="2"/>
  <c r="E77" i="3" s="1"/>
  <c r="G77" i="2"/>
  <c r="E78" i="2"/>
  <c r="D78" i="3" s="1"/>
  <c r="F78" i="2"/>
  <c r="E78" i="3" s="1"/>
  <c r="G78" i="2"/>
  <c r="E79" i="2"/>
  <c r="D79" i="3" s="1"/>
  <c r="F79" i="2"/>
  <c r="E79" i="3" s="1"/>
  <c r="G79" i="2"/>
  <c r="E80" i="2"/>
  <c r="D80" i="3" s="1"/>
  <c r="F80" i="2"/>
  <c r="E80" i="3" s="1"/>
  <c r="G80" i="2"/>
  <c r="E81" i="2"/>
  <c r="D81" i="3" s="1"/>
  <c r="F81" i="2"/>
  <c r="E81" i="3" s="1"/>
  <c r="G81" i="2"/>
  <c r="E82" i="2"/>
  <c r="D82" i="3" s="1"/>
  <c r="F82" i="2"/>
  <c r="E82" i="3" s="1"/>
  <c r="G82" i="2"/>
  <c r="E83" i="2"/>
  <c r="D83" i="3" s="1"/>
  <c r="F83" i="2"/>
  <c r="E83" i="3" s="1"/>
  <c r="G83" i="2"/>
  <c r="E84" i="2"/>
  <c r="D84" i="3" s="1"/>
  <c r="F84" i="2"/>
  <c r="E84" i="3" s="1"/>
  <c r="G84" i="2"/>
  <c r="E85" i="2"/>
  <c r="D85" i="3" s="1"/>
  <c r="F85" i="2"/>
  <c r="E85" i="3" s="1"/>
  <c r="G85" i="2"/>
  <c r="E86" i="2"/>
  <c r="D86" i="3" s="1"/>
  <c r="F86" i="2"/>
  <c r="E86" i="3" s="1"/>
  <c r="G86" i="2"/>
  <c r="E87" i="2"/>
  <c r="D87" i="3" s="1"/>
  <c r="F87" i="2"/>
  <c r="E87" i="3" s="1"/>
  <c r="G87" i="2"/>
  <c r="E88" i="2"/>
  <c r="D88" i="3" s="1"/>
  <c r="F88" i="2"/>
  <c r="E88" i="3" s="1"/>
  <c r="G88" i="2"/>
  <c r="E89" i="2"/>
  <c r="D89" i="3" s="1"/>
  <c r="F89" i="2"/>
  <c r="E89" i="3" s="1"/>
  <c r="G89" i="2"/>
  <c r="E90" i="2"/>
  <c r="D90" i="3" s="1"/>
  <c r="F90" i="2"/>
  <c r="E90" i="3" s="1"/>
  <c r="G90" i="2"/>
  <c r="E91" i="2"/>
  <c r="D91" i="3" s="1"/>
  <c r="F91" i="2"/>
  <c r="E91" i="3" s="1"/>
  <c r="G91" i="2"/>
  <c r="E92" i="2"/>
  <c r="D92" i="3" s="1"/>
  <c r="F92" i="2"/>
  <c r="E92" i="3" s="1"/>
  <c r="G92" i="2"/>
  <c r="E93" i="2"/>
  <c r="D93" i="3" s="1"/>
  <c r="F93" i="2"/>
  <c r="E93" i="3" s="1"/>
  <c r="G93" i="2"/>
  <c r="E94" i="2"/>
  <c r="D94" i="3" s="1"/>
  <c r="F94" i="2"/>
  <c r="E94" i="3" s="1"/>
  <c r="G94" i="2"/>
  <c r="E95" i="2"/>
  <c r="D95" i="3" s="1"/>
  <c r="F95" i="2"/>
  <c r="E95" i="3" s="1"/>
  <c r="G95" i="2"/>
  <c r="E96" i="2"/>
  <c r="D96" i="3" s="1"/>
  <c r="F96" i="2"/>
  <c r="E96" i="3" s="1"/>
  <c r="G96" i="2"/>
  <c r="E97" i="2"/>
  <c r="D97" i="3" s="1"/>
  <c r="F97" i="2"/>
  <c r="E97" i="3" s="1"/>
  <c r="G97" i="2"/>
  <c r="E98" i="2"/>
  <c r="D98" i="3" s="1"/>
  <c r="F98" i="2"/>
  <c r="E98" i="3" s="1"/>
  <c r="G98" i="2"/>
  <c r="E99" i="2"/>
  <c r="D99" i="3" s="1"/>
  <c r="F99" i="2"/>
  <c r="E99" i="3" s="1"/>
  <c r="G99" i="2"/>
  <c r="E100" i="2"/>
  <c r="D100" i="3" s="1"/>
  <c r="F100" i="2"/>
  <c r="E100" i="3" s="1"/>
  <c r="G100" i="2"/>
  <c r="E101" i="2"/>
  <c r="D101" i="3" s="1"/>
  <c r="F101" i="2"/>
  <c r="E101" i="3" s="1"/>
  <c r="G101" i="2"/>
  <c r="E102" i="2"/>
  <c r="D102" i="3" s="1"/>
  <c r="F102" i="2"/>
  <c r="E102" i="3" s="1"/>
  <c r="G102" i="2"/>
  <c r="E103" i="2"/>
  <c r="D103" i="3" s="1"/>
  <c r="F103" i="2"/>
  <c r="E103" i="3" s="1"/>
  <c r="G103" i="2"/>
  <c r="E104" i="2"/>
  <c r="D104" i="3" s="1"/>
  <c r="F104" i="2"/>
  <c r="E104" i="3" s="1"/>
  <c r="G104" i="2"/>
  <c r="E105" i="2"/>
  <c r="D105" i="3" s="1"/>
  <c r="F105" i="2"/>
  <c r="E105" i="3" s="1"/>
  <c r="G105" i="2"/>
  <c r="E60" i="2"/>
  <c r="D60" i="3" s="1"/>
  <c r="F60" i="2"/>
  <c r="E60" i="3" s="1"/>
  <c r="G60" i="2"/>
  <c r="E61" i="2"/>
  <c r="D61" i="3" s="1"/>
  <c r="F61" i="2"/>
  <c r="E61" i="3" s="1"/>
  <c r="G61" i="2"/>
  <c r="E62" i="2"/>
  <c r="D62" i="3" s="1"/>
  <c r="F62" i="2"/>
  <c r="E62" i="3" s="1"/>
  <c r="G62" i="2"/>
  <c r="E63" i="2"/>
  <c r="D63" i="3" s="1"/>
  <c r="F63" i="2"/>
  <c r="E63" i="3" s="1"/>
  <c r="G63" i="2"/>
  <c r="E64" i="2"/>
  <c r="D64" i="3" s="1"/>
  <c r="F64" i="2"/>
  <c r="E64" i="3" s="1"/>
  <c r="G64" i="2"/>
  <c r="E65" i="2"/>
  <c r="D65" i="3" s="1"/>
  <c r="F65" i="2"/>
  <c r="E65" i="3" s="1"/>
  <c r="G65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E9" i="2"/>
  <c r="D9" i="3" s="1"/>
  <c r="F9" i="2"/>
  <c r="E9" i="3" s="1"/>
  <c r="E10" i="2"/>
  <c r="D10" i="3" s="1"/>
  <c r="F10" i="2"/>
  <c r="E10" i="3" s="1"/>
  <c r="E11" i="2"/>
  <c r="D11" i="3" s="1"/>
  <c r="F11" i="2"/>
  <c r="E11" i="3" s="1"/>
  <c r="E12" i="2"/>
  <c r="D12" i="3" s="1"/>
  <c r="F12" i="2"/>
  <c r="E12" i="3" s="1"/>
  <c r="E13" i="2"/>
  <c r="D13" i="3" s="1"/>
  <c r="F13" i="2"/>
  <c r="E13" i="3" s="1"/>
  <c r="E14" i="2"/>
  <c r="D14" i="3" s="1"/>
  <c r="F14" i="2"/>
  <c r="E14" i="3" s="1"/>
  <c r="E15" i="2"/>
  <c r="D15" i="3" s="1"/>
  <c r="F15" i="2"/>
  <c r="E15" i="3" s="1"/>
  <c r="E16" i="2"/>
  <c r="D16" i="3" s="1"/>
  <c r="F16" i="2"/>
  <c r="E16" i="3" s="1"/>
  <c r="E17" i="2"/>
  <c r="D17" i="3" s="1"/>
  <c r="F17" i="2"/>
  <c r="E17" i="3" s="1"/>
  <c r="E18" i="2"/>
  <c r="D18" i="3" s="1"/>
  <c r="F18" i="2"/>
  <c r="E18" i="3" s="1"/>
  <c r="E19" i="2"/>
  <c r="D19" i="3" s="1"/>
  <c r="F19" i="2"/>
  <c r="E19" i="3" s="1"/>
  <c r="E20" i="2"/>
  <c r="D20" i="3" s="1"/>
  <c r="F20" i="2"/>
  <c r="E20" i="3" s="1"/>
  <c r="E21" i="2"/>
  <c r="D21" i="3" s="1"/>
  <c r="F21" i="2"/>
  <c r="E21" i="3" s="1"/>
  <c r="E22" i="2"/>
  <c r="D22" i="3" s="1"/>
  <c r="F22" i="2"/>
  <c r="E22" i="3" s="1"/>
  <c r="E23" i="2"/>
  <c r="D23" i="3" s="1"/>
  <c r="F23" i="2"/>
  <c r="E23" i="3" s="1"/>
  <c r="E24" i="2"/>
  <c r="D24" i="3" s="1"/>
  <c r="F24" i="2"/>
  <c r="E24" i="3" s="1"/>
  <c r="E25" i="2"/>
  <c r="D25" i="3" s="1"/>
  <c r="F25" i="2"/>
  <c r="E25" i="3" s="1"/>
  <c r="E26" i="2"/>
  <c r="D26" i="3" s="1"/>
  <c r="F26" i="2"/>
  <c r="E26" i="3" s="1"/>
  <c r="E27" i="2"/>
  <c r="D27" i="3" s="1"/>
  <c r="F27" i="2"/>
  <c r="E27" i="3" s="1"/>
  <c r="E28" i="2"/>
  <c r="D28" i="3" s="1"/>
  <c r="F28" i="2"/>
  <c r="E28" i="3" s="1"/>
  <c r="E29" i="2"/>
  <c r="D29" i="3" s="1"/>
  <c r="F29" i="2"/>
  <c r="E29" i="3" s="1"/>
  <c r="E30" i="2"/>
  <c r="D30" i="3" s="1"/>
  <c r="F30" i="2"/>
  <c r="E30" i="3" s="1"/>
  <c r="E31" i="2"/>
  <c r="D31" i="3" s="1"/>
  <c r="F31" i="2"/>
  <c r="E31" i="3" s="1"/>
  <c r="E32" i="2"/>
  <c r="D32" i="3" s="1"/>
  <c r="F32" i="2"/>
  <c r="E32" i="3" s="1"/>
  <c r="E33" i="2"/>
  <c r="D33" i="3" s="1"/>
  <c r="F33" i="2"/>
  <c r="E33" i="3" s="1"/>
  <c r="E34" i="2"/>
  <c r="D34" i="3" s="1"/>
  <c r="F34" i="2"/>
  <c r="E34" i="3" s="1"/>
  <c r="E35" i="2"/>
  <c r="D35" i="3" s="1"/>
  <c r="F35" i="2"/>
  <c r="E35" i="3" s="1"/>
  <c r="E36" i="2"/>
  <c r="D36" i="3" s="1"/>
  <c r="F36" i="2"/>
  <c r="E36" i="3" s="1"/>
  <c r="E37" i="2"/>
  <c r="D37" i="3" s="1"/>
  <c r="F37" i="2"/>
  <c r="E37" i="3" s="1"/>
  <c r="E38" i="2"/>
  <c r="D38" i="3" s="1"/>
  <c r="F38" i="2"/>
  <c r="E38" i="3" s="1"/>
  <c r="E39" i="2"/>
  <c r="D39" i="3" s="1"/>
  <c r="F39" i="2"/>
  <c r="E39" i="3" s="1"/>
  <c r="E40" i="2"/>
  <c r="D40" i="3" s="1"/>
  <c r="F40" i="2"/>
  <c r="E40" i="3" s="1"/>
  <c r="E41" i="2"/>
  <c r="D41" i="3" s="1"/>
  <c r="F41" i="2"/>
  <c r="E41" i="3" s="1"/>
  <c r="E42" i="2"/>
  <c r="D42" i="3" s="1"/>
  <c r="F42" i="2"/>
  <c r="E42" i="3" s="1"/>
  <c r="E43" i="2"/>
  <c r="D43" i="3" s="1"/>
  <c r="F43" i="2"/>
  <c r="E43" i="3" s="1"/>
  <c r="E44" i="2"/>
  <c r="D44" i="3" s="1"/>
  <c r="F44" i="2"/>
  <c r="E44" i="3" s="1"/>
  <c r="E45" i="2"/>
  <c r="D45" i="3" s="1"/>
  <c r="F45" i="2"/>
  <c r="E45" i="3" s="1"/>
  <c r="E46" i="2"/>
  <c r="D46" i="3" s="1"/>
  <c r="F46" i="2"/>
  <c r="E46" i="3" s="1"/>
  <c r="E47" i="2"/>
  <c r="D47" i="3" s="1"/>
  <c r="F47" i="2"/>
  <c r="E47" i="3" s="1"/>
  <c r="E48" i="2"/>
  <c r="D48" i="3" s="1"/>
  <c r="F48" i="2"/>
  <c r="E48" i="3" s="1"/>
  <c r="E49" i="2"/>
  <c r="D49" i="3" s="1"/>
  <c r="F49" i="2"/>
  <c r="E49" i="3" s="1"/>
  <c r="E50" i="2"/>
  <c r="D50" i="3" s="1"/>
  <c r="F50" i="2"/>
  <c r="E50" i="3" s="1"/>
  <c r="E51" i="2"/>
  <c r="D51" i="3" s="1"/>
  <c r="F51" i="2"/>
  <c r="E51" i="3" s="1"/>
  <c r="E52" i="2"/>
  <c r="D52" i="3" s="1"/>
  <c r="F52" i="2"/>
  <c r="E52" i="3" s="1"/>
  <c r="E53" i="2"/>
  <c r="D53" i="3" s="1"/>
  <c r="F53" i="2"/>
  <c r="E53" i="3" s="1"/>
  <c r="E54" i="2"/>
  <c r="D54" i="3" s="1"/>
  <c r="F54" i="2"/>
  <c r="E54" i="3" s="1"/>
  <c r="E55" i="2"/>
  <c r="D55" i="3" s="1"/>
  <c r="F55" i="2"/>
  <c r="E55" i="3" s="1"/>
  <c r="E56" i="2"/>
  <c r="D56" i="3" s="1"/>
  <c r="F56" i="2"/>
  <c r="E56" i="3" s="1"/>
  <c r="E57" i="2"/>
  <c r="D57" i="3" s="1"/>
  <c r="F57" i="2"/>
  <c r="E57" i="3" s="1"/>
  <c r="E58" i="2"/>
  <c r="D58" i="3" s="1"/>
  <c r="F58" i="2"/>
  <c r="E58" i="3" s="1"/>
  <c r="E59" i="2"/>
  <c r="D59" i="3" s="1"/>
  <c r="F59" i="2"/>
  <c r="E59" i="3" s="1"/>
  <c r="E143" i="2"/>
  <c r="D143" i="3" s="1"/>
  <c r="F143" i="2"/>
  <c r="E143" i="3" s="1"/>
  <c r="E144" i="2"/>
  <c r="D144" i="3" s="1"/>
  <c r="F144" i="2"/>
  <c r="E144" i="3" s="1"/>
  <c r="G201" i="2"/>
  <c r="E202" i="2"/>
  <c r="D202" i="3" s="1"/>
  <c r="F202" i="2"/>
  <c r="E202" i="3" s="1"/>
  <c r="G202" i="2"/>
  <c r="E203" i="2"/>
  <c r="D203" i="3" s="1"/>
  <c r="F203" i="2"/>
  <c r="E203" i="3" s="1"/>
  <c r="G203" i="2"/>
  <c r="E204" i="2"/>
  <c r="D204" i="3" s="1"/>
  <c r="F204" i="2"/>
  <c r="E204" i="3" s="1"/>
  <c r="G204" i="2"/>
  <c r="E205" i="2"/>
  <c r="D205" i="3" s="1"/>
  <c r="F205" i="2"/>
  <c r="E205" i="3" s="1"/>
  <c r="G205" i="2"/>
  <c r="F201" i="2"/>
  <c r="E201" i="3" s="1"/>
  <c r="E201" i="2"/>
  <c r="D201" i="3" s="1"/>
  <c r="G200" i="2"/>
  <c r="F200" i="2"/>
  <c r="E200" i="3" s="1"/>
  <c r="E200" i="2"/>
  <c r="D200" i="3" s="1"/>
  <c r="G199" i="2"/>
  <c r="F199" i="2"/>
  <c r="E199" i="3" s="1"/>
  <c r="E199" i="2"/>
  <c r="D199" i="3" s="1"/>
  <c r="G198" i="2"/>
  <c r="F198" i="2"/>
  <c r="E198" i="3" s="1"/>
  <c r="E198" i="2"/>
  <c r="D198" i="3" s="1"/>
  <c r="G197" i="2"/>
  <c r="F197" i="2"/>
  <c r="E197" i="3" s="1"/>
  <c r="E197" i="2"/>
  <c r="D197" i="3" s="1"/>
  <c r="G196" i="2"/>
  <c r="F196" i="2"/>
  <c r="E196" i="3" s="1"/>
  <c r="E196" i="2"/>
  <c r="D196" i="3" s="1"/>
  <c r="G195" i="2"/>
  <c r="F195" i="2"/>
  <c r="E195" i="3" s="1"/>
  <c r="E195" i="2"/>
  <c r="D195" i="3" s="1"/>
  <c r="G194" i="2"/>
  <c r="F194" i="2"/>
  <c r="E194" i="3" s="1"/>
  <c r="E194" i="2"/>
  <c r="D194" i="3" s="1"/>
  <c r="G193" i="2"/>
  <c r="F193" i="2"/>
  <c r="E193" i="3" s="1"/>
  <c r="E193" i="2"/>
  <c r="D193" i="3" s="1"/>
  <c r="G192" i="2"/>
  <c r="F192" i="2"/>
  <c r="E192" i="3" s="1"/>
  <c r="E192" i="2"/>
  <c r="D192" i="3" s="1"/>
  <c r="G191" i="2"/>
  <c r="F191" i="2"/>
  <c r="E191" i="3" s="1"/>
  <c r="E191" i="2"/>
  <c r="D191" i="3" s="1"/>
  <c r="G190" i="2"/>
  <c r="F190" i="2"/>
  <c r="E190" i="3" s="1"/>
  <c r="E190" i="2"/>
  <c r="D190" i="3" s="1"/>
  <c r="G189" i="2"/>
  <c r="F189" i="2"/>
  <c r="E189" i="3" s="1"/>
  <c r="E189" i="2"/>
  <c r="D189" i="3" s="1"/>
  <c r="G188" i="2"/>
  <c r="F188" i="2"/>
  <c r="E188" i="3" s="1"/>
  <c r="E188" i="2"/>
  <c r="D188" i="3" s="1"/>
  <c r="G187" i="2"/>
  <c r="F187" i="2"/>
  <c r="E187" i="3" s="1"/>
  <c r="E187" i="2"/>
  <c r="D187" i="3" s="1"/>
  <c r="G186" i="2"/>
  <c r="F186" i="2"/>
  <c r="E186" i="3" s="1"/>
  <c r="E186" i="2"/>
  <c r="D186" i="3" s="1"/>
  <c r="G185" i="2"/>
  <c r="F185" i="2"/>
  <c r="E185" i="3" s="1"/>
  <c r="E185" i="2"/>
  <c r="D185" i="3" s="1"/>
  <c r="G184" i="2"/>
  <c r="F184" i="2"/>
  <c r="E184" i="3" s="1"/>
  <c r="E184" i="2"/>
  <c r="D184" i="3" s="1"/>
  <c r="G183" i="2"/>
  <c r="F183" i="2"/>
  <c r="E183" i="3" s="1"/>
  <c r="E183" i="2"/>
  <c r="D183" i="3" s="1"/>
  <c r="G182" i="2"/>
  <c r="F182" i="2"/>
  <c r="E182" i="3" s="1"/>
  <c r="E182" i="2"/>
  <c r="D182" i="3" s="1"/>
  <c r="G181" i="2"/>
  <c r="F181" i="2"/>
  <c r="E181" i="3" s="1"/>
  <c r="E181" i="2"/>
  <c r="D181" i="3" s="1"/>
  <c r="G180" i="2"/>
  <c r="F180" i="2"/>
  <c r="E180" i="3" s="1"/>
  <c r="E180" i="2"/>
  <c r="D180" i="3" s="1"/>
  <c r="G179" i="2"/>
  <c r="F179" i="2"/>
  <c r="E179" i="3" s="1"/>
  <c r="E179" i="2"/>
  <c r="D179" i="3" s="1"/>
  <c r="G178" i="2"/>
  <c r="F178" i="2"/>
  <c r="E178" i="3" s="1"/>
  <c r="E178" i="2"/>
  <c r="D178" i="3" s="1"/>
  <c r="G177" i="2"/>
  <c r="F177" i="2"/>
  <c r="E177" i="3" s="1"/>
  <c r="E177" i="2"/>
  <c r="D177" i="3" s="1"/>
  <c r="G176" i="2"/>
  <c r="F176" i="2"/>
  <c r="E176" i="3" s="1"/>
  <c r="E176" i="2"/>
  <c r="D176" i="3" s="1"/>
  <c r="G175" i="2"/>
  <c r="F175" i="2"/>
  <c r="E175" i="3" s="1"/>
  <c r="E175" i="2"/>
  <c r="D175" i="3" s="1"/>
  <c r="G174" i="2"/>
  <c r="F174" i="2"/>
  <c r="E174" i="3" s="1"/>
  <c r="E174" i="2"/>
  <c r="D174" i="3" s="1"/>
  <c r="G173" i="2"/>
  <c r="F173" i="2"/>
  <c r="E173" i="3" s="1"/>
  <c r="E173" i="2"/>
  <c r="D173" i="3" s="1"/>
  <c r="G172" i="2"/>
  <c r="F172" i="2"/>
  <c r="E172" i="3" s="1"/>
  <c r="E172" i="2"/>
  <c r="D172" i="3" s="1"/>
  <c r="G171" i="2"/>
  <c r="F171" i="2"/>
  <c r="E171" i="3" s="1"/>
  <c r="E171" i="2"/>
  <c r="D171" i="3" s="1"/>
  <c r="G170" i="2"/>
  <c r="F170" i="2"/>
  <c r="E170" i="3" s="1"/>
  <c r="E170" i="2"/>
  <c r="D170" i="3" s="1"/>
  <c r="G169" i="2"/>
  <c r="F169" i="2"/>
  <c r="E169" i="3" s="1"/>
  <c r="E169" i="2"/>
  <c r="D169" i="3" s="1"/>
  <c r="G168" i="2"/>
  <c r="F168" i="2"/>
  <c r="E168" i="3" s="1"/>
  <c r="E168" i="2"/>
  <c r="D168" i="3" s="1"/>
  <c r="G167" i="2"/>
  <c r="F167" i="2"/>
  <c r="E167" i="3" s="1"/>
  <c r="E167" i="2"/>
  <c r="D167" i="3" s="1"/>
  <c r="G166" i="2"/>
  <c r="F166" i="2"/>
  <c r="E166" i="3" s="1"/>
  <c r="E166" i="2"/>
  <c r="D166" i="3" s="1"/>
  <c r="G165" i="2"/>
  <c r="F165" i="2"/>
  <c r="E165" i="3" s="1"/>
  <c r="E165" i="2"/>
  <c r="D165" i="3" s="1"/>
  <c r="G164" i="2"/>
  <c r="F164" i="2"/>
  <c r="E164" i="3" s="1"/>
  <c r="E164" i="2"/>
  <c r="D164" i="3" s="1"/>
  <c r="G163" i="2"/>
  <c r="F163" i="2"/>
  <c r="E163" i="3" s="1"/>
  <c r="E163" i="2"/>
  <c r="D163" i="3" s="1"/>
  <c r="G162" i="2"/>
  <c r="F162" i="2"/>
  <c r="E162" i="3" s="1"/>
  <c r="E162" i="2"/>
  <c r="D162" i="3" s="1"/>
  <c r="G161" i="2"/>
  <c r="F161" i="2"/>
  <c r="E161" i="3" s="1"/>
  <c r="E161" i="2"/>
  <c r="D161" i="3" s="1"/>
  <c r="G160" i="2"/>
  <c r="F160" i="2"/>
  <c r="E160" i="3" s="1"/>
  <c r="E160" i="2"/>
  <c r="D160" i="3" s="1"/>
  <c r="G159" i="2"/>
  <c r="F159" i="2"/>
  <c r="E159" i="3" s="1"/>
  <c r="E159" i="2"/>
  <c r="D159" i="3" s="1"/>
  <c r="G158" i="2"/>
  <c r="F158" i="2"/>
  <c r="E158" i="3" s="1"/>
  <c r="E158" i="2"/>
  <c r="D158" i="3" s="1"/>
  <c r="G157" i="2"/>
  <c r="F157" i="2"/>
  <c r="E157" i="3" s="1"/>
  <c r="E157" i="2"/>
  <c r="D157" i="3" s="1"/>
  <c r="G156" i="2"/>
  <c r="F156" i="2"/>
  <c r="E156" i="3" s="1"/>
  <c r="E156" i="2"/>
  <c r="D156" i="3" s="1"/>
  <c r="G155" i="2"/>
  <c r="F155" i="2"/>
  <c r="E155" i="3" s="1"/>
  <c r="E155" i="2"/>
  <c r="D155" i="3" s="1"/>
  <c r="G154" i="2"/>
  <c r="F154" i="2"/>
  <c r="E154" i="3" s="1"/>
  <c r="E154" i="2"/>
  <c r="D154" i="3" s="1"/>
  <c r="G153" i="2"/>
  <c r="F153" i="2"/>
  <c r="E153" i="3" s="1"/>
  <c r="E153" i="2"/>
  <c r="D153" i="3" s="1"/>
  <c r="G152" i="2"/>
  <c r="F152" i="2"/>
  <c r="E152" i="3" s="1"/>
  <c r="E152" i="2"/>
  <c r="D152" i="3" s="1"/>
  <c r="G151" i="2"/>
  <c r="F151" i="2"/>
  <c r="E151" i="3" s="1"/>
  <c r="E151" i="2"/>
  <c r="D151" i="3" s="1"/>
  <c r="G150" i="2"/>
  <c r="F150" i="2"/>
  <c r="E150" i="3" s="1"/>
  <c r="E150" i="2"/>
  <c r="D150" i="3" s="1"/>
  <c r="G149" i="2"/>
  <c r="F149" i="2"/>
  <c r="E149" i="3" s="1"/>
  <c r="E149" i="2"/>
  <c r="D149" i="3" s="1"/>
  <c r="G148" i="2"/>
  <c r="F148" i="2"/>
  <c r="E148" i="3" s="1"/>
  <c r="E148" i="2"/>
  <c r="D148" i="3" s="1"/>
  <c r="G147" i="2"/>
  <c r="F147" i="2"/>
  <c r="E147" i="3" s="1"/>
  <c r="E147" i="2"/>
  <c r="D147" i="3" s="1"/>
  <c r="G146" i="2"/>
  <c r="F146" i="2"/>
  <c r="E146" i="3" s="1"/>
  <c r="E146" i="2"/>
  <c r="D146" i="3" s="1"/>
  <c r="G145" i="2"/>
  <c r="F145" i="2"/>
  <c r="E145" i="3" s="1"/>
  <c r="E145" i="2"/>
  <c r="D145" i="3" s="1"/>
</calcChain>
</file>

<file path=xl/sharedStrings.xml><?xml version="1.0" encoding="utf-8"?>
<sst xmlns="http://schemas.openxmlformats.org/spreadsheetml/2006/main" count="12" uniqueCount="9">
  <si>
    <t>ID Person /
ID Institution</t>
  </si>
  <si>
    <t>Ref_ID
Bank Account</t>
  </si>
  <si>
    <t>Bank Account</t>
  </si>
  <si>
    <t>Currency</t>
  </si>
  <si>
    <t>Default Owner</t>
  </si>
  <si>
    <t>Entity Name</t>
  </si>
  <si>
    <t>SYS_PID Prediction</t>
  </si>
  <si>
    <t>SQL Syntax</t>
  </si>
  <si>
    <t>Sys_PID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</si>
</sst>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0_);\(0\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rgb="FF0070C0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34">
    <xf numFmtId="0" fontId="0" fillId="0" borderId="0" xfId="0"/>
    <xf numFmtId="0" fontId="2" fillId="0" borderId="0" xfId="0" applyFont="1"/>
    <xf numFmtId="1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2" xfId="1" applyNumberFormat="1" applyFont="1" applyBorder="1" applyAlignment="1">
      <alignment horizontal="center"/>
    </xf>
    <xf numFmtId="164" fontId="2" fillId="0" borderId="3" xfId="1" applyNumberFormat="1" applyFont="1" applyBorder="1" applyAlignment="1">
      <alignment horizontal="center"/>
    </xf>
    <xf numFmtId="0" fontId="2" fillId="6" borderId="4" xfId="0" applyNumberFormat="1" applyFont="1" applyFill="1" applyBorder="1" applyAlignment="1">
      <alignment horizontal="center"/>
    </xf>
    <xf numFmtId="0" fontId="2" fillId="6" borderId="5" xfId="0" applyNumberFormat="1" applyFont="1" applyFill="1" applyBorder="1" applyAlignment="1">
      <alignment horizontal="center"/>
    </xf>
    <xf numFmtId="0" fontId="2" fillId="4" borderId="2" xfId="0" applyFont="1" applyFill="1" applyBorder="1"/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/>
    <xf numFmtId="0" fontId="2" fillId="4" borderId="3" xfId="0" applyFont="1" applyFill="1" applyBorder="1" applyAlignment="1">
      <alignment horizontal="center"/>
    </xf>
    <xf numFmtId="0" fontId="2" fillId="0" borderId="0" xfId="0" applyFont="1" applyAlignment="1">
      <alignment horizontal="left"/>
    </xf>
    <xf numFmtId="0" fontId="2" fillId="4" borderId="2" xfId="0" applyFont="1" applyFill="1" applyBorder="1" applyAlignment="1">
      <alignment horizontal="left"/>
    </xf>
    <xf numFmtId="0" fontId="2" fillId="4" borderId="3" xfId="0" applyFont="1" applyFill="1" applyBorder="1" applyAlignment="1">
      <alignment horizontal="left"/>
    </xf>
    <xf numFmtId="0" fontId="2" fillId="6" borderId="6" xfId="0" applyNumberFormat="1" applyFont="1" applyFill="1" applyBorder="1" applyAlignment="1">
      <alignment horizontal="center"/>
    </xf>
    <xf numFmtId="164" fontId="2" fillId="4" borderId="2" xfId="1" applyNumberFormat="1" applyFont="1" applyFill="1" applyBorder="1" applyAlignment="1">
      <alignment horizontal="left"/>
    </xf>
    <xf numFmtId="164" fontId="2" fillId="4" borderId="3" xfId="1" applyNumberFormat="1" applyFont="1" applyFill="1" applyBorder="1" applyAlignment="1">
      <alignment horizontal="left"/>
    </xf>
    <xf numFmtId="0" fontId="2" fillId="6" borderId="7" xfId="0" applyNumberFormat="1" applyFont="1" applyFill="1" applyBorder="1" applyAlignment="1">
      <alignment horizontal="left"/>
    </xf>
    <xf numFmtId="0" fontId="3" fillId="5" borderId="8" xfId="0" applyNumberFormat="1" applyFont="1" applyFill="1" applyBorder="1" applyAlignment="1">
      <alignment horizontal="center" vertical="center" wrapText="1"/>
    </xf>
    <xf numFmtId="0" fontId="3" fillId="5" borderId="9" xfId="0" applyNumberFormat="1" applyFont="1" applyFill="1" applyBorder="1" applyAlignment="1">
      <alignment horizontal="center" vertical="center" wrapText="1"/>
    </xf>
    <xf numFmtId="0" fontId="3" fillId="5" borderId="2" xfId="0" applyNumberFormat="1" applyFont="1" applyFill="1" applyBorder="1" applyAlignment="1">
      <alignment horizontal="center" vertical="center" wrapText="1"/>
    </xf>
    <xf numFmtId="0" fontId="3" fillId="5" borderId="10" xfId="0" applyNumberFormat="1" applyFont="1" applyFill="1" applyBorder="1" applyAlignment="1">
      <alignment horizontal="center" vertical="center" wrapText="1"/>
    </xf>
    <xf numFmtId="1" fontId="4" fillId="2" borderId="11" xfId="0" applyNumberFormat="1" applyFont="1" applyFill="1" applyBorder="1" applyAlignment="1">
      <alignment horizontal="center" vertical="center" wrapText="1"/>
    </xf>
    <xf numFmtId="1" fontId="4" fillId="2" borderId="12" xfId="0" applyNumberFormat="1" applyFont="1" applyFill="1" applyBorder="1" applyAlignment="1">
      <alignment horizontal="center" vertical="center" wrapText="1"/>
    </xf>
    <xf numFmtId="1" fontId="5" fillId="7" borderId="13" xfId="0" applyNumberFormat="1" applyFont="1" applyFill="1" applyBorder="1" applyAlignment="1">
      <alignment horizontal="center"/>
    </xf>
    <xf numFmtId="1" fontId="5" fillId="7" borderId="14" xfId="0" applyNumberFormat="1" applyFont="1" applyFill="1" applyBorder="1" applyAlignment="1"/>
    <xf numFmtId="1" fontId="6" fillId="3" borderId="3" xfId="0" applyNumberFormat="1" applyFont="1" applyFill="1" applyBorder="1" applyAlignment="1">
      <alignment horizontal="center"/>
    </xf>
    <xf numFmtId="0" fontId="7" fillId="0" borderId="0" xfId="0" applyFont="1"/>
    <xf numFmtId="1" fontId="3" fillId="5" borderId="15" xfId="0" applyNumberFormat="1" applyFont="1" applyFill="1" applyBorder="1" applyAlignment="1">
      <alignment horizontal="center" vertical="center" wrapText="1"/>
    </xf>
    <xf numFmtId="1" fontId="2" fillId="6" borderId="1" xfId="0" applyNumberFormat="1" applyFont="1" applyFill="1" applyBorder="1" applyAlignment="1">
      <alignment horizontal="center"/>
    </xf>
    <xf numFmtId="0" fontId="2" fillId="6" borderId="5" xfId="0" applyNumberFormat="1" applyFont="1" applyFill="1" applyBorder="1"/>
    <xf numFmtId="1" fontId="2" fillId="3" borderId="2" xfId="0" applyNumberFormat="1" applyFont="1" applyFill="1" applyBorder="1" applyAlignment="1">
      <alignment horizontal="center"/>
    </xf>
    <xf numFmtId="1" fontId="2" fillId="3" borderId="3" xfId="0" applyNumberFormat="1" applyFont="1" applyFill="1" applyBorder="1" applyAlignment="1">
      <alignment horizontal="center"/>
    </xf>
  </cellXfs>
  <cellStyles count="2">
    <cellStyle name="Comma [0]" xfId="1" builtinId="6"/>
    <cellStyle name="Normal" xfId="0" builtinId="0"/>
  </cellStyles>
  <dxfs count="1"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%20-%20Institution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.TblPerson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.TblBankAccoun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F - InstitutionType"/>
      <sheetName val="SEED - Institution"/>
      <sheetName val="DataLookUp - Institution"/>
      <sheetName val="SEED - InstitutionBranch"/>
      <sheetName val="DataLookUp - InstitutionBranch"/>
      <sheetName val="SEED - Customer"/>
      <sheetName val="DataLookUp - Customer"/>
      <sheetName val="SEED - Supplier"/>
      <sheetName val="SQL - Customer"/>
      <sheetName val="Sheet1"/>
      <sheetName val="RAW - Customer"/>
      <sheetName val="SQL - Supplier"/>
      <sheetName val="RAW - Supplier"/>
    </sheetNames>
    <sheetDataSet>
      <sheetData sheetId="0"/>
      <sheetData sheetId="1"/>
      <sheetData sheetId="2"/>
      <sheetData sheetId="3"/>
      <sheetData sheetId="4">
        <row r="4">
          <cell r="B4">
            <v>124000000000001</v>
          </cell>
          <cell r="C4" t="str">
            <v>PT. QDC Technologies</v>
          </cell>
        </row>
        <row r="5">
          <cell r="B5">
            <v>124000000000002</v>
          </cell>
          <cell r="C5" t="str">
            <v>PT. Infra Media Dinamika</v>
          </cell>
        </row>
        <row r="6">
          <cell r="B6">
            <v>124000000000003</v>
          </cell>
          <cell r="C6" t="str">
            <v>PT. Daya Hidro Dinamika</v>
          </cell>
        </row>
        <row r="7">
          <cell r="B7">
            <v>124000000000004</v>
          </cell>
          <cell r="C7" t="str">
            <v>PT. Energi Mekar Lestari</v>
          </cell>
        </row>
        <row r="8">
          <cell r="B8">
            <v>124000000000005</v>
          </cell>
          <cell r="C8" t="str">
            <v>PT. KHA</v>
          </cell>
        </row>
        <row r="9">
          <cell r="B9">
            <v>124000000000006</v>
          </cell>
          <cell r="C9" t="str">
            <v>PT. Abhitama Citra Abadi</v>
          </cell>
        </row>
        <row r="10">
          <cell r="B10">
            <v>124000000000007</v>
          </cell>
          <cell r="C10" t="str">
            <v>PT. Abiyasa Tunggal</v>
          </cell>
        </row>
        <row r="11">
          <cell r="B11">
            <v>124000000000008</v>
          </cell>
          <cell r="C11" t="str">
            <v>PT. Aplika Nusa Lintas Arta</v>
          </cell>
        </row>
        <row r="12">
          <cell r="B12">
            <v>124000000000009</v>
          </cell>
          <cell r="C12" t="str">
            <v>PT. Bakrie Telecom, Tbk</v>
          </cell>
        </row>
        <row r="13">
          <cell r="B13">
            <v>124000000000010</v>
          </cell>
          <cell r="C13" t="str">
            <v>PT. Bukaka Teknik Utama, Tbk</v>
          </cell>
        </row>
        <row r="14">
          <cell r="B14">
            <v>124000000000011</v>
          </cell>
          <cell r="C14" t="str">
            <v>PT. Citra Panji Manunggal</v>
          </cell>
        </row>
        <row r="15">
          <cell r="B15">
            <v>124000000000012</v>
          </cell>
          <cell r="C15" t="str">
            <v>PT. Dayamitra Telekomunikasi</v>
          </cell>
        </row>
        <row r="16">
          <cell r="B16">
            <v>124000000000013</v>
          </cell>
          <cell r="C16" t="str">
            <v>Departemen Dalam Negeri</v>
          </cell>
        </row>
        <row r="17">
          <cell r="B17">
            <v>124000000000014</v>
          </cell>
          <cell r="C17" t="str">
            <v>PT. Duta Hita Jaya</v>
          </cell>
        </row>
        <row r="18">
          <cell r="B18">
            <v>124000000000015</v>
          </cell>
          <cell r="C18" t="str">
            <v>PT. Duta Pertiwi, Tbk</v>
          </cell>
        </row>
        <row r="19">
          <cell r="B19">
            <v>124000000000016</v>
          </cell>
          <cell r="C19" t="str">
            <v>PT. Duta Realtindo Perkasa</v>
          </cell>
        </row>
        <row r="20">
          <cell r="B20">
            <v>124000000000017</v>
          </cell>
          <cell r="C20" t="str">
            <v>PT. Energi Mekar Lestari</v>
          </cell>
        </row>
        <row r="21">
          <cell r="B21">
            <v>124000000000018</v>
          </cell>
          <cell r="C21" t="str">
            <v>PT. Ericsson Indonesia</v>
          </cell>
        </row>
        <row r="22">
          <cell r="B22">
            <v>124000000000019</v>
          </cell>
          <cell r="C22" t="str">
            <v>PT. Esa Mitra Teknologi</v>
          </cell>
        </row>
        <row r="23">
          <cell r="B23">
            <v>124000000000020</v>
          </cell>
          <cell r="C23" t="str">
            <v>PT. First Media, Tbk</v>
          </cell>
        </row>
        <row r="24">
          <cell r="B24">
            <v>124000000000021</v>
          </cell>
          <cell r="C24" t="str">
            <v xml:space="preserve">Flexi </v>
          </cell>
        </row>
        <row r="25">
          <cell r="B25">
            <v>124000000000022</v>
          </cell>
          <cell r="C25" t="str">
            <v>Flexi Mitrayasa</v>
          </cell>
        </row>
        <row r="26">
          <cell r="B26">
            <v>124000000000023</v>
          </cell>
          <cell r="C26" t="str">
            <v>PT. Huawei Tech Investment</v>
          </cell>
        </row>
        <row r="27">
          <cell r="B27">
            <v>124000000000024</v>
          </cell>
          <cell r="C27" t="str">
            <v>PT. Hutchinson 3 Indonesia</v>
          </cell>
        </row>
        <row r="28">
          <cell r="B28">
            <v>124000000000025</v>
          </cell>
          <cell r="C28" t="str">
            <v>PT. Indoprima Seluler</v>
          </cell>
        </row>
        <row r="29">
          <cell r="B29">
            <v>124000000000026</v>
          </cell>
          <cell r="C29" t="str">
            <v>PT. Indosat, Tbk</v>
          </cell>
        </row>
        <row r="30">
          <cell r="B30">
            <v>124000000000027</v>
          </cell>
          <cell r="C30" t="str">
            <v>PT. Industri Telekomunikasi Indonesia (Persero)</v>
          </cell>
        </row>
        <row r="31">
          <cell r="B31">
            <v>124000000000028</v>
          </cell>
          <cell r="C31" t="str">
            <v>PT. Infrastruktur Bisnis Sejahtera</v>
          </cell>
        </row>
        <row r="32">
          <cell r="B32">
            <v>124000000000029</v>
          </cell>
          <cell r="C32" t="str">
            <v>PT. Intershop Prima Center</v>
          </cell>
        </row>
        <row r="33">
          <cell r="B33">
            <v>124000000000030</v>
          </cell>
          <cell r="C33" t="str">
            <v>PT. Inti Bangun Sejahtera, Tbk</v>
          </cell>
        </row>
        <row r="34">
          <cell r="B34">
            <v>124000000000031</v>
          </cell>
          <cell r="C34" t="str">
            <v>PT. Karya Mitra Nugraha</v>
          </cell>
        </row>
        <row r="35">
          <cell r="B35">
            <v>124000000000032</v>
          </cell>
          <cell r="C35" t="str">
            <v>PT. Lektrika Karyatama</v>
          </cell>
        </row>
        <row r="36">
          <cell r="B36">
            <v>124000000000033</v>
          </cell>
          <cell r="C36" t="str">
            <v>PT. Link Net</v>
          </cell>
        </row>
        <row r="37">
          <cell r="B37">
            <v>124000000000034</v>
          </cell>
          <cell r="C37" t="str">
            <v>PT. Lintas Teknologi Indonesia</v>
          </cell>
        </row>
        <row r="38">
          <cell r="B38">
            <v>124000000000035</v>
          </cell>
          <cell r="C38" t="str">
            <v>PT. Mega Eltra</v>
          </cell>
        </row>
        <row r="39">
          <cell r="B39">
            <v>124000000000036</v>
          </cell>
          <cell r="C39" t="str">
            <v>PT. Megatel Jaya Swastikarya</v>
          </cell>
        </row>
        <row r="40">
          <cell r="B40">
            <v>124000000000037</v>
          </cell>
          <cell r="C40" t="str">
            <v>PT. Nokia Indonesia</v>
          </cell>
        </row>
        <row r="41">
          <cell r="B41">
            <v>124000000000038</v>
          </cell>
          <cell r="C41" t="str">
            <v>PT. Nokia Siemens Network Indonesia</v>
          </cell>
        </row>
        <row r="42">
          <cell r="B42">
            <v>124000000000039</v>
          </cell>
          <cell r="C42" t="str">
            <v>PT. Pertamina Geothermal Energy</v>
          </cell>
        </row>
        <row r="43">
          <cell r="B43">
            <v>124000000000040</v>
          </cell>
          <cell r="C43" t="str">
            <v>PT. Pelayanan Listrik Nasional (PLN) (Persero) - Kantor Pusat</v>
          </cell>
        </row>
        <row r="44">
          <cell r="B44">
            <v>124000000000041</v>
          </cell>
          <cell r="C44" t="str">
            <v>PT. Pelayanan Listrik Nasional (PLN) (Persero) - Batam</v>
          </cell>
        </row>
        <row r="45">
          <cell r="B45">
            <v>124000000000042</v>
          </cell>
          <cell r="C45" t="str">
            <v>PT. Pelayanan Listrik Nasional (PLN) (Persero) - P3B Jawa Bali APP Cawang</v>
          </cell>
        </row>
        <row r="46">
          <cell r="B46">
            <v>124000000000043</v>
          </cell>
          <cell r="C46" t="str">
            <v>PT. Pelayanan Listrik Nasional (PLN) (Persero) - Unit Induk Pembangunan V</v>
          </cell>
        </row>
        <row r="47">
          <cell r="B47">
            <v>124000000000044</v>
          </cell>
          <cell r="C47" t="str">
            <v>PT. Pelayanan Listrik Nasional (PLN) (Persero) - Unit Induk Pembangunan Nusa Tenggara</v>
          </cell>
        </row>
        <row r="48">
          <cell r="B48">
            <v>124000000000045</v>
          </cell>
          <cell r="C48" t="str">
            <v>PT. Pelayanan Listrik Nasional (PLN) (Persero) - Unit Induk Pembangunan XIII</v>
          </cell>
        </row>
        <row r="49">
          <cell r="B49">
            <v>124000000000046</v>
          </cell>
          <cell r="C49" t="str">
            <v>PT. Pelayanan Listrik Nasional (PLN) (Persero) - P2B Jawa Bali APB Jawa Tengah &amp; DIY</v>
          </cell>
        </row>
        <row r="50">
          <cell r="B50">
            <v>124000000000047</v>
          </cell>
          <cell r="C50" t="str">
            <v>PT. Pelayanan Listrik Nasional (PLN) (Persero) - Unit Induk Pembangunan II</v>
          </cell>
        </row>
        <row r="51">
          <cell r="B51">
            <v>124000000000048</v>
          </cell>
          <cell r="C51" t="str">
            <v>PT. Pelayanan Listrik Nasional (PLN) (Persero) - Unit Induk Pembangunan Interkoneksi Sumatera Jawa</v>
          </cell>
        </row>
        <row r="52">
          <cell r="B52">
            <v>124000000000049</v>
          </cell>
          <cell r="C52" t="str">
            <v>PT. Pelayanan Listrik Nasional (PLN) (Persero) - Unit Induk Pembangunan X</v>
          </cell>
        </row>
        <row r="53">
          <cell r="B53">
            <v>124000000000050</v>
          </cell>
          <cell r="C53" t="str">
            <v xml:space="preserve">PT. Pelayanan Listrik Nasional (PLN) (Persero) - Unit Induk Pembangunan JBT II </v>
          </cell>
        </row>
        <row r="54">
          <cell r="B54">
            <v>124000000000051</v>
          </cell>
          <cell r="C54" t="str">
            <v>PT. Protelindo</v>
          </cell>
        </row>
        <row r="55">
          <cell r="B55">
            <v>124000000000052</v>
          </cell>
          <cell r="C55" t="str">
            <v>PT. Ramayana Lestari Sentosa, Tbk</v>
          </cell>
        </row>
        <row r="56">
          <cell r="B56">
            <v>124000000000053</v>
          </cell>
          <cell r="C56" t="str">
            <v>PT. Rekadaya Elektrika</v>
          </cell>
        </row>
        <row r="57">
          <cell r="B57">
            <v>124000000000054</v>
          </cell>
          <cell r="C57" t="str">
            <v>CV. Sejahtera Mandiri</v>
          </cell>
        </row>
        <row r="58">
          <cell r="B58">
            <v>124000000000055</v>
          </cell>
          <cell r="C58" t="str">
            <v>PT. Sigindo Kemas</v>
          </cell>
        </row>
        <row r="59">
          <cell r="B59">
            <v>124000000000056</v>
          </cell>
          <cell r="C59" t="str">
            <v>PT. Smart Telecom</v>
          </cell>
        </row>
        <row r="60">
          <cell r="B60">
            <v>124000000000057</v>
          </cell>
          <cell r="C60" t="str">
            <v>PT. Telekomunikasi Indonesia (Telkom) (Persero), Tbk - Bandung</v>
          </cell>
        </row>
        <row r="61">
          <cell r="B61">
            <v>124000000000058</v>
          </cell>
          <cell r="C61" t="str">
            <v>PT. Telekomunikasi Selular (Telkomsel), Tbk - Jakarta</v>
          </cell>
        </row>
        <row r="62">
          <cell r="B62">
            <v>124000000000059</v>
          </cell>
          <cell r="C62" t="str">
            <v>PT. Telkom Akses</v>
          </cell>
        </row>
        <row r="63">
          <cell r="B63">
            <v>124000000000060</v>
          </cell>
          <cell r="C63" t="str">
            <v>PT. Tosan Permai Lestari</v>
          </cell>
        </row>
        <row r="64">
          <cell r="B64">
            <v>124000000000061</v>
          </cell>
          <cell r="C64" t="str">
            <v>PT. Tower Capital Indonesia</v>
          </cell>
        </row>
        <row r="65">
          <cell r="B65">
            <v>124000000000062</v>
          </cell>
          <cell r="C65" t="str">
            <v>PT. Waskita Karya (Persero), Tbk</v>
          </cell>
        </row>
        <row r="66">
          <cell r="B66">
            <v>124000000000063</v>
          </cell>
          <cell r="C66" t="str">
            <v>PT. Widodo Karya Sejahtera</v>
          </cell>
        </row>
        <row r="67">
          <cell r="B67">
            <v>124000000000064</v>
          </cell>
          <cell r="C67" t="str">
            <v>PT. XL Axiata, Tbk</v>
          </cell>
        </row>
        <row r="68">
          <cell r="B68">
            <v>124000000000065</v>
          </cell>
          <cell r="C68" t="str">
            <v>PT. XL Mitrayasa</v>
          </cell>
        </row>
        <row r="69">
          <cell r="B69">
            <v>124000000000066</v>
          </cell>
          <cell r="C69" t="str">
            <v>PT. ZTE Indonesia</v>
          </cell>
        </row>
        <row r="70">
          <cell r="B70">
            <v>124000000000067</v>
          </cell>
          <cell r="C70" t="str">
            <v>PT. Sansaine Exindo</v>
          </cell>
        </row>
        <row r="71">
          <cell r="B71">
            <v>124000000000068</v>
          </cell>
          <cell r="C71" t="str">
            <v>Indo Jaya Scaffolding</v>
          </cell>
        </row>
        <row r="72">
          <cell r="B72">
            <v>124000000000069</v>
          </cell>
          <cell r="C72" t="str">
            <v>PT. Pembangunan Perumahan (Persero), Tbk</v>
          </cell>
        </row>
        <row r="73">
          <cell r="B73">
            <v>124000000000070</v>
          </cell>
          <cell r="C73" t="str">
            <v>Linus Nusa Express</v>
          </cell>
        </row>
        <row r="74">
          <cell r="B74">
            <v>124000000000071</v>
          </cell>
          <cell r="C74" t="str">
            <v>PT. Penjaminan Jamkrindo Syariah</v>
          </cell>
        </row>
        <row r="75">
          <cell r="B75">
            <v>124000000000072</v>
          </cell>
          <cell r="C75" t="str">
            <v>PT. Larsen And Tourbo</v>
          </cell>
        </row>
        <row r="76">
          <cell r="B76">
            <v>124000000000073</v>
          </cell>
          <cell r="C76" t="str">
            <v>PT. Pelayanan Listrik Nasional (PLN) (Persero) - Unit Induk Pembangunan Kalimantan Bagian Barat</v>
          </cell>
        </row>
        <row r="77">
          <cell r="B77">
            <v>124000000000074</v>
          </cell>
          <cell r="C77" t="str">
            <v>PT. Pelayanan Listrik Nasional (PLN) (Persero) - Unit Induk Pembangunan Sumatera Bagian Tengah</v>
          </cell>
        </row>
        <row r="78">
          <cell r="B78">
            <v>124000000000075</v>
          </cell>
          <cell r="C78" t="str">
            <v xml:space="preserve">PT. Asuransi Sinar Mas </v>
          </cell>
        </row>
        <row r="79">
          <cell r="B79">
            <v>124000000000076</v>
          </cell>
          <cell r="C79" t="str">
            <v>Agung Jaya</v>
          </cell>
        </row>
        <row r="80">
          <cell r="B80">
            <v>124000000000077</v>
          </cell>
          <cell r="C80" t="str">
            <v>Aji Perkasa</v>
          </cell>
        </row>
        <row r="81">
          <cell r="B81">
            <v>124000000000078</v>
          </cell>
          <cell r="C81" t="str">
            <v>Aledro Duta Jaya</v>
          </cell>
        </row>
        <row r="82">
          <cell r="B82">
            <v>124000000000079</v>
          </cell>
          <cell r="C82" t="str">
            <v>Alpine Cool Utama</v>
          </cell>
        </row>
        <row r="83">
          <cell r="B83">
            <v>124000000000080</v>
          </cell>
          <cell r="C83" t="str">
            <v>Alumagada Jaya Mandiri</v>
          </cell>
        </row>
        <row r="84">
          <cell r="B84">
            <v>124000000000081</v>
          </cell>
          <cell r="C84" t="str">
            <v>PT. Karawang Dinamika Lestari</v>
          </cell>
        </row>
        <row r="85">
          <cell r="B85">
            <v>124000000000082</v>
          </cell>
          <cell r="C85" t="str">
            <v>KSO WST-QDC</v>
          </cell>
        </row>
        <row r="86">
          <cell r="B86">
            <v>124000000000083</v>
          </cell>
          <cell r="C86" t="str">
            <v>PT. Adhi Commuter Properti</v>
          </cell>
        </row>
        <row r="87">
          <cell r="B87">
            <v>124000000000084</v>
          </cell>
          <cell r="C87" t="str">
            <v xml:space="preserve">PT. Pelayanan Listrik Nasional (PLN) (Persero) - Penyaluran dan Pusat Pengaturan </v>
          </cell>
        </row>
        <row r="88">
          <cell r="B88">
            <v>124000000000085</v>
          </cell>
          <cell r="C88" t="str">
            <v>UD. Athar Marzuki Plywood</v>
          </cell>
        </row>
        <row r="89">
          <cell r="B89">
            <v>124000000000086</v>
          </cell>
          <cell r="C89" t="str">
            <v>UD. Gajah Mungkur</v>
          </cell>
        </row>
        <row r="90">
          <cell r="B90">
            <v>124000000000087</v>
          </cell>
          <cell r="C90" t="str">
            <v>UD. Kalam Hidup kendari</v>
          </cell>
        </row>
        <row r="91">
          <cell r="B91">
            <v>124000000000088</v>
          </cell>
          <cell r="C91" t="str">
            <v>UD. Mandiri Jaya</v>
          </cell>
        </row>
        <row r="92">
          <cell r="B92">
            <v>124000000000089</v>
          </cell>
          <cell r="C92" t="str">
            <v>UD. Thufail</v>
          </cell>
        </row>
        <row r="93">
          <cell r="B93">
            <v>124000000000090</v>
          </cell>
          <cell r="C93" t="str">
            <v>TB. Roma Bangunan</v>
          </cell>
        </row>
        <row r="94">
          <cell r="B94">
            <v>124000000000091</v>
          </cell>
          <cell r="C94" t="str">
            <v>TB. Sumber Jaya Bangunan</v>
          </cell>
        </row>
        <row r="95">
          <cell r="B95">
            <v>124000000000092</v>
          </cell>
          <cell r="C95" t="str">
            <v>TB. Karta Jaya</v>
          </cell>
        </row>
        <row r="96">
          <cell r="B96">
            <v>124000000000093</v>
          </cell>
          <cell r="C96" t="str">
            <v>Toko Berkat Orang Tua</v>
          </cell>
        </row>
        <row r="97">
          <cell r="B97">
            <v>124000000000094</v>
          </cell>
          <cell r="C97" t="str">
            <v>Toko Akbar Seng</v>
          </cell>
        </row>
        <row r="98">
          <cell r="B98">
            <v>124000000000095</v>
          </cell>
          <cell r="C98" t="str">
            <v>Toko Asep Saprudin</v>
          </cell>
        </row>
        <row r="99">
          <cell r="B99">
            <v>124000000000096</v>
          </cell>
          <cell r="C99" t="str">
            <v>Toko Berkah Sentosa</v>
          </cell>
        </row>
        <row r="100">
          <cell r="B100">
            <v>124000000000097</v>
          </cell>
          <cell r="C100" t="str">
            <v>Toko Berkat Orang Tua</v>
          </cell>
        </row>
        <row r="101">
          <cell r="B101">
            <v>124000000000098</v>
          </cell>
          <cell r="C101" t="str">
            <v>Toko Buana Tunggal</v>
          </cell>
        </row>
        <row r="102">
          <cell r="B102">
            <v>124000000000099</v>
          </cell>
          <cell r="C102" t="str">
            <v>Toko Cipta Bangun</v>
          </cell>
        </row>
        <row r="103">
          <cell r="B103">
            <v>124000000000100</v>
          </cell>
          <cell r="C103" t="str">
            <v>Toko Dunia Elektronik</v>
          </cell>
        </row>
        <row r="104">
          <cell r="B104">
            <v>124000000000101</v>
          </cell>
          <cell r="C104" t="str">
            <v xml:space="preserve">Toko Global Teknik     </v>
          </cell>
        </row>
        <row r="105">
          <cell r="B105">
            <v>124000000000102</v>
          </cell>
          <cell r="C105" t="str">
            <v>Toko Glodok Teknik Diesel</v>
          </cell>
        </row>
        <row r="106">
          <cell r="B106">
            <v>124000000000103</v>
          </cell>
          <cell r="C106" t="str">
            <v>Toko Inpaco</v>
          </cell>
        </row>
        <row r="107">
          <cell r="B107">
            <v>124000000000104</v>
          </cell>
          <cell r="C107" t="str">
            <v xml:space="preserve">Toko Intan Bangunan </v>
          </cell>
        </row>
        <row r="108">
          <cell r="B108">
            <v>124000000000105</v>
          </cell>
          <cell r="C108" t="str">
            <v>Toko Intan Motor</v>
          </cell>
        </row>
        <row r="109">
          <cell r="B109">
            <v>124000000000106</v>
          </cell>
          <cell r="C109" t="str">
            <v>Toko Jalajah Karya Teknik</v>
          </cell>
        </row>
        <row r="110">
          <cell r="B110">
            <v>124000000000107</v>
          </cell>
          <cell r="C110" t="str">
            <v>Toko Sentral Elektronik</v>
          </cell>
        </row>
        <row r="111">
          <cell r="B111">
            <v>124000000000108</v>
          </cell>
          <cell r="C111" t="str">
            <v>Toko JualWaterStop.NET</v>
          </cell>
        </row>
        <row r="112">
          <cell r="B112">
            <v>124000000000109</v>
          </cell>
          <cell r="C112" t="str">
            <v>Toko Koperasi Mekar</v>
          </cell>
        </row>
        <row r="113">
          <cell r="B113">
            <v>124000000000110</v>
          </cell>
          <cell r="C113" t="str">
            <v xml:space="preserve">Toko Mega Jaya </v>
          </cell>
        </row>
        <row r="114">
          <cell r="B114">
            <v>124000000000111</v>
          </cell>
          <cell r="C114" t="str">
            <v>Toko Jelajah Karya Teknik</v>
          </cell>
        </row>
        <row r="115">
          <cell r="B115">
            <v>124000000000112</v>
          </cell>
          <cell r="C115" t="str">
            <v>Toko S Three Sane Security System</v>
          </cell>
        </row>
        <row r="116">
          <cell r="B116">
            <v>124000000000113</v>
          </cell>
          <cell r="C116" t="str">
            <v>Toko Sarana Jaya Abadi</v>
          </cell>
        </row>
        <row r="117">
          <cell r="B117">
            <v>124000000000114</v>
          </cell>
          <cell r="C117" t="str">
            <v>Toko Sekawan Jaya Safety</v>
          </cell>
        </row>
        <row r="118">
          <cell r="B118">
            <v>124000000000115</v>
          </cell>
          <cell r="C118" t="str">
            <v>Toko Sinar Baja qq Syafir Ottong</v>
          </cell>
        </row>
        <row r="119">
          <cell r="B119">
            <v>124000000000116</v>
          </cell>
          <cell r="C119" t="str">
            <v xml:space="preserve">Toko Sinar Baut </v>
          </cell>
        </row>
        <row r="120">
          <cell r="B120">
            <v>124000000000117</v>
          </cell>
          <cell r="C120" t="str">
            <v>Toko SKCR</v>
          </cell>
        </row>
        <row r="121">
          <cell r="B121">
            <v>124000000000118</v>
          </cell>
          <cell r="C121" t="str">
            <v>Toko Sumber Makmur</v>
          </cell>
        </row>
        <row r="122">
          <cell r="B122">
            <v>124000000000119</v>
          </cell>
          <cell r="C122" t="str">
            <v>Toko Sumber Terang</v>
          </cell>
        </row>
        <row r="123">
          <cell r="B123">
            <v>124000000000120</v>
          </cell>
          <cell r="C123" t="str">
            <v>Toko Surya Electrical</v>
          </cell>
        </row>
        <row r="124">
          <cell r="B124">
            <v>124000000000121</v>
          </cell>
          <cell r="C124" t="str">
            <v>Toko Mega Diesel</v>
          </cell>
        </row>
        <row r="125">
          <cell r="B125">
            <v>124000000000122</v>
          </cell>
          <cell r="C125" t="str">
            <v>Toko Pasar Minggu Tehnik</v>
          </cell>
        </row>
        <row r="126">
          <cell r="B126">
            <v>124000000000123</v>
          </cell>
          <cell r="C126" t="str">
            <v>Toko Restia</v>
          </cell>
        </row>
        <row r="127">
          <cell r="B127">
            <v>124000000000124</v>
          </cell>
          <cell r="C127" t="str">
            <v>Toko Top Listrik</v>
          </cell>
        </row>
        <row r="128">
          <cell r="B128">
            <v>124000000000125</v>
          </cell>
          <cell r="C128" t="str">
            <v>Toko Top Swalayan</v>
          </cell>
        </row>
        <row r="129">
          <cell r="B129">
            <v>124000000000126</v>
          </cell>
          <cell r="C129" t="str">
            <v>Toko Online Tokopedia - GudangPowerTools</v>
          </cell>
        </row>
        <row r="130">
          <cell r="B130">
            <v>124000000000127</v>
          </cell>
          <cell r="C130" t="str">
            <v>Toko Online Tokopedia - aprofficialjkt</v>
          </cell>
        </row>
        <row r="131">
          <cell r="B131">
            <v>124000000000128</v>
          </cell>
          <cell r="C131" t="str">
            <v>Toko Online Tokopedia - Budget Technology</v>
          </cell>
        </row>
        <row r="132">
          <cell r="B132">
            <v>124000000000129</v>
          </cell>
          <cell r="C132" t="str">
            <v>Toko Online Tokopedia - Fixprint Plus</v>
          </cell>
        </row>
        <row r="133">
          <cell r="B133">
            <v>124000000000130</v>
          </cell>
          <cell r="C133" t="str">
            <v>Toko Online Tokopedia - Glodok Diesel</v>
          </cell>
        </row>
        <row r="134">
          <cell r="B134">
            <v>124000000000131</v>
          </cell>
          <cell r="C134" t="str">
            <v>Toko Online Tokopedia - Indotara Persada</v>
          </cell>
        </row>
        <row r="135">
          <cell r="B135">
            <v>124000000000132</v>
          </cell>
          <cell r="C135" t="str">
            <v>Toko Online Tokopedia - Morning Star 1</v>
          </cell>
        </row>
        <row r="136">
          <cell r="B136">
            <v>124000000000133</v>
          </cell>
          <cell r="C136" t="str">
            <v>Toko Online Tokopedia - Multifungsi Online</v>
          </cell>
        </row>
        <row r="137">
          <cell r="B137">
            <v>124000000000134</v>
          </cell>
          <cell r="C137" t="str">
            <v>Toko Online Tokopedia - panelmas electric</v>
          </cell>
        </row>
        <row r="138">
          <cell r="B138">
            <v>124000000000135</v>
          </cell>
          <cell r="C138" t="str">
            <v>Toko Online Tokopedia - Protech Computer</v>
          </cell>
        </row>
        <row r="139">
          <cell r="B139">
            <v>124000000000136</v>
          </cell>
          <cell r="C139" t="str">
            <v>Toko Online Tokopedia - Solusi Material Bangunan Pondok Pinang</v>
          </cell>
        </row>
        <row r="140">
          <cell r="B140">
            <v>124000000000137</v>
          </cell>
          <cell r="C140" t="str">
            <v>Toko Online Tokopedia - Uno Living Furniture</v>
          </cell>
        </row>
        <row r="141">
          <cell r="B141">
            <v>124000000000138</v>
          </cell>
          <cell r="C141" t="str">
            <v>Toko Online Tokopedia - VINS TEKNIK</v>
          </cell>
        </row>
        <row r="142">
          <cell r="B142">
            <v>0</v>
          </cell>
          <cell r="C142" t="str">
            <v/>
          </cell>
        </row>
        <row r="143">
          <cell r="B143">
            <v>0</v>
          </cell>
          <cell r="C143" t="str">
            <v/>
          </cell>
        </row>
        <row r="144">
          <cell r="B144">
            <v>0</v>
          </cell>
          <cell r="C144" t="str">
            <v/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MAIN"/>
      <sheetName val="DataLookUp"/>
      <sheetName val="Pindahan dari DB ERP Live"/>
      <sheetName val="Sheet1"/>
    </sheetNames>
    <sheetDataSet>
      <sheetData sheetId="0"/>
      <sheetData sheetId="1"/>
      <sheetData sheetId="2">
        <row r="4">
          <cell r="B4">
            <v>25000000000001</v>
          </cell>
          <cell r="C4" t="str">
            <v>Abdollah Syani Siregar</v>
          </cell>
          <cell r="D4" t="str">
            <v/>
          </cell>
        </row>
        <row r="5">
          <cell r="B5">
            <v>25000000000002</v>
          </cell>
          <cell r="C5" t="str">
            <v>Abdul Karim</v>
          </cell>
          <cell r="D5" t="str">
            <v/>
          </cell>
        </row>
        <row r="6">
          <cell r="B6">
            <v>25000000000003</v>
          </cell>
          <cell r="C6" t="str">
            <v>Abdul Rahman Sitompul</v>
          </cell>
          <cell r="D6" t="str">
            <v/>
          </cell>
        </row>
        <row r="7">
          <cell r="B7">
            <v>25000000000004</v>
          </cell>
          <cell r="C7" t="str">
            <v>Abdul Risan</v>
          </cell>
          <cell r="D7" t="str">
            <v/>
          </cell>
        </row>
        <row r="8">
          <cell r="B8">
            <v>25000000000005</v>
          </cell>
          <cell r="C8" t="str">
            <v>Abdullah Nabil</v>
          </cell>
          <cell r="D8" t="str">
            <v/>
          </cell>
        </row>
        <row r="9">
          <cell r="B9">
            <v>25000000000006</v>
          </cell>
          <cell r="C9" t="str">
            <v>Adhitya Danar</v>
          </cell>
          <cell r="D9" t="str">
            <v/>
          </cell>
        </row>
        <row r="10">
          <cell r="B10">
            <v>25000000000007</v>
          </cell>
          <cell r="C10" t="str">
            <v>Adi Ruswandi</v>
          </cell>
          <cell r="D10" t="str">
            <v/>
          </cell>
        </row>
        <row r="11">
          <cell r="B11">
            <v>25000000000008</v>
          </cell>
          <cell r="C11" t="str">
            <v>Adietya Dharmawan</v>
          </cell>
          <cell r="D11" t="str">
            <v/>
          </cell>
        </row>
        <row r="12">
          <cell r="B12">
            <v>25000000000009</v>
          </cell>
          <cell r="C12" t="str">
            <v>Aditya Yudha Prawira</v>
          </cell>
          <cell r="D12" t="str">
            <v/>
          </cell>
        </row>
        <row r="13">
          <cell r="B13">
            <v>25000000000010</v>
          </cell>
          <cell r="C13" t="str">
            <v>Adli Margie</v>
          </cell>
          <cell r="D13" t="str">
            <v/>
          </cell>
        </row>
        <row r="14">
          <cell r="B14">
            <v>25000000000011</v>
          </cell>
          <cell r="C14" t="str">
            <v>Afrida Eka Putri</v>
          </cell>
          <cell r="D14" t="str">
            <v/>
          </cell>
        </row>
        <row r="15">
          <cell r="B15">
            <v>25000000000012</v>
          </cell>
          <cell r="C15" t="str">
            <v>Agnes Sutedja</v>
          </cell>
          <cell r="D15" t="str">
            <v>3173054608700001</v>
          </cell>
        </row>
        <row r="16">
          <cell r="B16">
            <v>25000000000013</v>
          </cell>
          <cell r="C16" t="str">
            <v>Agung Hendarto</v>
          </cell>
          <cell r="D16" t="str">
            <v/>
          </cell>
        </row>
        <row r="17">
          <cell r="B17">
            <v>25000000000014</v>
          </cell>
          <cell r="C17" t="str">
            <v>Agus Priyatno Mahmudo</v>
          </cell>
          <cell r="D17" t="str">
            <v/>
          </cell>
        </row>
        <row r="18">
          <cell r="B18">
            <v>25000000000015</v>
          </cell>
          <cell r="C18" t="str">
            <v>Agus Salim</v>
          </cell>
          <cell r="D18" t="str">
            <v/>
          </cell>
        </row>
        <row r="19">
          <cell r="B19">
            <v>25000000000016</v>
          </cell>
          <cell r="C19" t="str">
            <v>Agus Tanto</v>
          </cell>
          <cell r="D19" t="str">
            <v/>
          </cell>
        </row>
        <row r="20">
          <cell r="B20">
            <v>25000000000017</v>
          </cell>
          <cell r="C20" t="str">
            <v>Ahmad Faiz Haems Muda</v>
          </cell>
          <cell r="D20" t="str">
            <v>3171041801820004</v>
          </cell>
        </row>
        <row r="21">
          <cell r="B21">
            <v>25000000000018</v>
          </cell>
          <cell r="C21" t="str">
            <v>Ahmad Faza</v>
          </cell>
          <cell r="D21" t="str">
            <v/>
          </cell>
        </row>
        <row r="22">
          <cell r="B22">
            <v>25000000000019</v>
          </cell>
          <cell r="C22" t="str">
            <v>Ahmad Syaifulloh</v>
          </cell>
          <cell r="D22" t="str">
            <v/>
          </cell>
        </row>
        <row r="23">
          <cell r="B23">
            <v>25000000000020</v>
          </cell>
          <cell r="C23" t="str">
            <v>Ahmad Zulkarnaen</v>
          </cell>
          <cell r="D23" t="str">
            <v/>
          </cell>
        </row>
        <row r="24">
          <cell r="B24">
            <v>25000000000021</v>
          </cell>
          <cell r="C24" t="str">
            <v>Ajan</v>
          </cell>
          <cell r="D24" t="str">
            <v/>
          </cell>
        </row>
        <row r="25">
          <cell r="B25">
            <v>25000000000022</v>
          </cell>
          <cell r="C25" t="str">
            <v>Al Amin</v>
          </cell>
          <cell r="D25" t="str">
            <v/>
          </cell>
        </row>
        <row r="26">
          <cell r="B26">
            <v>25000000000023</v>
          </cell>
          <cell r="C26" t="str">
            <v>Aldi Mulyadi</v>
          </cell>
          <cell r="D26" t="str">
            <v/>
          </cell>
        </row>
        <row r="27">
          <cell r="B27">
            <v>25000000000024</v>
          </cell>
          <cell r="C27" t="str">
            <v>Alexandri</v>
          </cell>
          <cell r="D27" t="str">
            <v/>
          </cell>
        </row>
        <row r="28">
          <cell r="B28">
            <v>25000000000025</v>
          </cell>
          <cell r="C28" t="str">
            <v>Alfaedi</v>
          </cell>
          <cell r="D28" t="str">
            <v/>
          </cell>
        </row>
        <row r="29">
          <cell r="B29">
            <v>25000000000026</v>
          </cell>
          <cell r="C29" t="str">
            <v>Ali Wahono</v>
          </cell>
          <cell r="D29" t="str">
            <v/>
          </cell>
        </row>
        <row r="30">
          <cell r="B30">
            <v>25000000000027</v>
          </cell>
          <cell r="C30" t="str">
            <v>Alphaliyanri Lasria</v>
          </cell>
          <cell r="D30" t="str">
            <v/>
          </cell>
        </row>
        <row r="31">
          <cell r="B31">
            <v>25000000000028</v>
          </cell>
          <cell r="C31" t="str">
            <v>Ambon Rumalean</v>
          </cell>
          <cell r="D31" t="str">
            <v/>
          </cell>
        </row>
        <row r="32">
          <cell r="B32">
            <v>25000000000029</v>
          </cell>
          <cell r="C32" t="str">
            <v>Amir Sofyan Hadi</v>
          </cell>
          <cell r="D32" t="str">
            <v/>
          </cell>
        </row>
        <row r="33">
          <cell r="B33">
            <v>25000000000030</v>
          </cell>
          <cell r="C33" t="str">
            <v>Anak Agung Netti Ariani</v>
          </cell>
          <cell r="D33" t="str">
            <v/>
          </cell>
        </row>
        <row r="34">
          <cell r="B34">
            <v>25000000000031</v>
          </cell>
          <cell r="C34" t="str">
            <v>Andri Gunawan</v>
          </cell>
          <cell r="D34" t="str">
            <v/>
          </cell>
        </row>
        <row r="35">
          <cell r="B35">
            <v>25000000000032</v>
          </cell>
          <cell r="C35" t="str">
            <v>Andri Herdiansyah</v>
          </cell>
          <cell r="D35" t="str">
            <v/>
          </cell>
        </row>
        <row r="36">
          <cell r="B36">
            <v>25000000000033</v>
          </cell>
          <cell r="C36" t="str">
            <v>Andrie</v>
          </cell>
          <cell r="D36" t="str">
            <v/>
          </cell>
        </row>
        <row r="37">
          <cell r="B37">
            <v>25000000000034</v>
          </cell>
          <cell r="C37" t="str">
            <v>Anggina Tri Yudandi</v>
          </cell>
          <cell r="D37" t="str">
            <v/>
          </cell>
        </row>
        <row r="38">
          <cell r="B38">
            <v>25000000000035</v>
          </cell>
          <cell r="C38" t="str">
            <v>Anggit Ismiyanto</v>
          </cell>
          <cell r="D38" t="str">
            <v/>
          </cell>
        </row>
        <row r="39">
          <cell r="B39">
            <v>25000000000036</v>
          </cell>
          <cell r="C39" t="str">
            <v>Anika Setyowati</v>
          </cell>
          <cell r="D39" t="str">
            <v/>
          </cell>
        </row>
        <row r="40">
          <cell r="B40">
            <v>25000000000037</v>
          </cell>
          <cell r="C40" t="str">
            <v>Anisah</v>
          </cell>
          <cell r="D40" t="str">
            <v/>
          </cell>
        </row>
        <row r="41">
          <cell r="B41">
            <v>25000000000038</v>
          </cell>
          <cell r="C41" t="str">
            <v>Anna Savitrie</v>
          </cell>
          <cell r="D41" t="str">
            <v/>
          </cell>
        </row>
        <row r="42">
          <cell r="B42">
            <v>25000000000039</v>
          </cell>
          <cell r="C42" t="str">
            <v>Annisa Dewi Arumsari</v>
          </cell>
          <cell r="D42" t="str">
            <v/>
          </cell>
        </row>
        <row r="43">
          <cell r="B43">
            <v>25000000000040</v>
          </cell>
          <cell r="C43" t="str">
            <v>Annyes Sri Maristi</v>
          </cell>
          <cell r="D43" t="str">
            <v/>
          </cell>
        </row>
        <row r="44">
          <cell r="B44">
            <v>25000000000041</v>
          </cell>
          <cell r="C44" t="str">
            <v>Antok</v>
          </cell>
          <cell r="D44" t="str">
            <v/>
          </cell>
        </row>
        <row r="45">
          <cell r="B45">
            <v>25000000000042</v>
          </cell>
          <cell r="C45" t="str">
            <v>Anton Iryanto</v>
          </cell>
          <cell r="D45" t="str">
            <v/>
          </cell>
        </row>
        <row r="46">
          <cell r="B46">
            <v>25000000000043</v>
          </cell>
          <cell r="C46" t="str">
            <v>Antony Pakpahan</v>
          </cell>
          <cell r="D46" t="str">
            <v/>
          </cell>
        </row>
        <row r="47">
          <cell r="B47">
            <v>25000000000044</v>
          </cell>
          <cell r="C47" t="str">
            <v>Anugerah Januariansyah</v>
          </cell>
          <cell r="D47" t="str">
            <v/>
          </cell>
        </row>
        <row r="48">
          <cell r="B48">
            <v>25000000000045</v>
          </cell>
          <cell r="C48" t="str">
            <v>Anwar Purnomo</v>
          </cell>
          <cell r="D48" t="str">
            <v/>
          </cell>
        </row>
        <row r="49">
          <cell r="B49">
            <v>25000000000046</v>
          </cell>
          <cell r="C49" t="str">
            <v>Ardhi Swasono</v>
          </cell>
          <cell r="D49" t="str">
            <v/>
          </cell>
        </row>
        <row r="50">
          <cell r="B50">
            <v>25000000000047</v>
          </cell>
          <cell r="C50" t="str">
            <v>Ardi</v>
          </cell>
          <cell r="D50" t="str">
            <v/>
          </cell>
        </row>
        <row r="51">
          <cell r="B51">
            <v>25000000000048</v>
          </cell>
          <cell r="C51" t="str">
            <v>Ardiansyah</v>
          </cell>
          <cell r="D51" t="str">
            <v/>
          </cell>
        </row>
        <row r="52">
          <cell r="B52">
            <v>25000000000049</v>
          </cell>
          <cell r="C52" t="str">
            <v>Ardisam</v>
          </cell>
          <cell r="D52" t="str">
            <v/>
          </cell>
        </row>
        <row r="53">
          <cell r="B53">
            <v>25000000000050</v>
          </cell>
          <cell r="C53" t="str">
            <v>Ardita</v>
          </cell>
          <cell r="D53" t="str">
            <v/>
          </cell>
        </row>
        <row r="54">
          <cell r="B54">
            <v>25000000000051</v>
          </cell>
          <cell r="C54" t="str">
            <v>Ares S. Mauboi</v>
          </cell>
          <cell r="D54" t="str">
            <v>3175081108800013</v>
          </cell>
        </row>
        <row r="55">
          <cell r="B55">
            <v>25000000000052</v>
          </cell>
          <cell r="C55" t="str">
            <v>Arfah Hanum</v>
          </cell>
          <cell r="D55" t="str">
            <v/>
          </cell>
        </row>
        <row r="56">
          <cell r="B56">
            <v>25000000000053</v>
          </cell>
          <cell r="C56" t="str">
            <v>Arfianti Haryani</v>
          </cell>
          <cell r="D56" t="str">
            <v/>
          </cell>
        </row>
        <row r="57">
          <cell r="B57">
            <v>25000000000054</v>
          </cell>
          <cell r="C57" t="str">
            <v>Ari Priwarsono</v>
          </cell>
          <cell r="D57" t="str">
            <v/>
          </cell>
        </row>
        <row r="58">
          <cell r="B58">
            <v>25000000000055</v>
          </cell>
          <cell r="C58" t="str">
            <v>Ari Yuniasmono</v>
          </cell>
          <cell r="D58" t="str">
            <v/>
          </cell>
        </row>
        <row r="59">
          <cell r="B59">
            <v>25000000000056</v>
          </cell>
          <cell r="C59" t="str">
            <v>Arif Gunawan</v>
          </cell>
          <cell r="D59" t="str">
            <v/>
          </cell>
        </row>
        <row r="60">
          <cell r="B60">
            <v>25000000000057</v>
          </cell>
          <cell r="C60" t="str">
            <v>Arif Prasetyo</v>
          </cell>
          <cell r="D60" t="str">
            <v/>
          </cell>
        </row>
        <row r="61">
          <cell r="B61">
            <v>25000000000058</v>
          </cell>
          <cell r="C61" t="str">
            <v>Arini</v>
          </cell>
          <cell r="D61" t="str">
            <v/>
          </cell>
        </row>
        <row r="62">
          <cell r="B62">
            <v>25000000000059</v>
          </cell>
          <cell r="C62" t="str">
            <v>Ario Setyo Gunawan</v>
          </cell>
          <cell r="D62" t="str">
            <v/>
          </cell>
        </row>
        <row r="63">
          <cell r="B63">
            <v>25000000000060</v>
          </cell>
          <cell r="C63" t="str">
            <v>Ario Yulianto Wibowo</v>
          </cell>
          <cell r="D63" t="str">
            <v/>
          </cell>
        </row>
        <row r="64">
          <cell r="B64">
            <v>25000000000061</v>
          </cell>
          <cell r="C64" t="str">
            <v>Aris Widodo Pamungkas</v>
          </cell>
          <cell r="D64" t="str">
            <v/>
          </cell>
        </row>
        <row r="65">
          <cell r="B65">
            <v>25000000000062</v>
          </cell>
          <cell r="C65" t="str">
            <v>Arjiyanto</v>
          </cell>
          <cell r="D65" t="str">
            <v/>
          </cell>
        </row>
        <row r="66">
          <cell r="B66">
            <v>25000000000063</v>
          </cell>
          <cell r="C66" t="str">
            <v>Arman</v>
          </cell>
          <cell r="D66" t="str">
            <v/>
          </cell>
        </row>
        <row r="67">
          <cell r="B67">
            <v>25000000000064</v>
          </cell>
          <cell r="C67" t="str">
            <v>Aryoko Sudiro</v>
          </cell>
          <cell r="D67" t="str">
            <v/>
          </cell>
        </row>
        <row r="68">
          <cell r="B68">
            <v>25000000000065</v>
          </cell>
          <cell r="C68" t="str">
            <v>Astamyugo</v>
          </cell>
          <cell r="D68" t="str">
            <v/>
          </cell>
        </row>
        <row r="69">
          <cell r="B69">
            <v>25000000000066</v>
          </cell>
          <cell r="C69" t="str">
            <v>Atmo Sastro Dinoto</v>
          </cell>
          <cell r="D69" t="str">
            <v/>
          </cell>
        </row>
        <row r="70">
          <cell r="B70">
            <v>25000000000067</v>
          </cell>
          <cell r="C70" t="str">
            <v>Awaludin</v>
          </cell>
          <cell r="D70" t="str">
            <v/>
          </cell>
        </row>
        <row r="71">
          <cell r="B71">
            <v>25000000000068</v>
          </cell>
          <cell r="C71" t="str">
            <v>Bachtiar</v>
          </cell>
          <cell r="D71" t="str">
            <v/>
          </cell>
        </row>
        <row r="72">
          <cell r="B72">
            <v>25000000000069</v>
          </cell>
          <cell r="C72" t="str">
            <v>Bambang Irawan</v>
          </cell>
          <cell r="D72" t="str">
            <v/>
          </cell>
        </row>
        <row r="73">
          <cell r="B73">
            <v>25000000000070</v>
          </cell>
          <cell r="C73" t="str">
            <v>Bambang Prihatin</v>
          </cell>
          <cell r="D73" t="str">
            <v/>
          </cell>
        </row>
        <row r="74">
          <cell r="B74">
            <v>25000000000071</v>
          </cell>
          <cell r="C74" t="str">
            <v>Bani Mustazeni</v>
          </cell>
          <cell r="D74" t="str">
            <v/>
          </cell>
        </row>
        <row r="75">
          <cell r="B75">
            <v>25000000000072</v>
          </cell>
          <cell r="C75" t="str">
            <v>Bardai</v>
          </cell>
          <cell r="D75" t="str">
            <v/>
          </cell>
        </row>
        <row r="76">
          <cell r="B76">
            <v>25000000000073</v>
          </cell>
          <cell r="C76" t="str">
            <v>Barika</v>
          </cell>
          <cell r="D76" t="str">
            <v/>
          </cell>
        </row>
        <row r="77">
          <cell r="B77">
            <v>25000000000074</v>
          </cell>
          <cell r="C77" t="str">
            <v>Bela Retmalantika</v>
          </cell>
          <cell r="D77" t="str">
            <v/>
          </cell>
        </row>
        <row r="78">
          <cell r="B78">
            <v>25000000000075</v>
          </cell>
          <cell r="C78" t="str">
            <v>Belina Lindarwani</v>
          </cell>
          <cell r="D78" t="str">
            <v>3276045103940005</v>
          </cell>
        </row>
        <row r="79">
          <cell r="B79">
            <v>25000000000076</v>
          </cell>
          <cell r="C79" t="str">
            <v>Benita Sofia</v>
          </cell>
          <cell r="D79" t="str">
            <v/>
          </cell>
        </row>
        <row r="80">
          <cell r="B80">
            <v>25000000000077</v>
          </cell>
          <cell r="C80" t="str">
            <v>Bherly Novrandy</v>
          </cell>
          <cell r="D80" t="str">
            <v/>
          </cell>
        </row>
        <row r="81">
          <cell r="B81">
            <v>25000000000078</v>
          </cell>
          <cell r="C81" t="str">
            <v>Binsar</v>
          </cell>
          <cell r="D81" t="str">
            <v/>
          </cell>
        </row>
        <row r="82">
          <cell r="B82">
            <v>25000000000079</v>
          </cell>
          <cell r="C82" t="str">
            <v>Bondhan Sosiarta</v>
          </cell>
          <cell r="D82" t="str">
            <v/>
          </cell>
        </row>
        <row r="83">
          <cell r="B83">
            <v>25000000000080</v>
          </cell>
          <cell r="C83" t="str">
            <v>Budi Pranata Sinaga</v>
          </cell>
          <cell r="D83" t="str">
            <v/>
          </cell>
        </row>
        <row r="84">
          <cell r="B84">
            <v>25000000000081</v>
          </cell>
          <cell r="C84" t="str">
            <v>Budi Satrio</v>
          </cell>
          <cell r="D84" t="str">
            <v/>
          </cell>
        </row>
        <row r="85">
          <cell r="B85">
            <v>25000000000082</v>
          </cell>
          <cell r="C85" t="str">
            <v>Budianto</v>
          </cell>
          <cell r="D85" t="str">
            <v>3174040705860015</v>
          </cell>
        </row>
        <row r="86">
          <cell r="B86">
            <v>25000000000083</v>
          </cell>
          <cell r="C86" t="str">
            <v>Budiman</v>
          </cell>
          <cell r="D86" t="str">
            <v/>
          </cell>
        </row>
        <row r="87">
          <cell r="B87">
            <v>25000000000084</v>
          </cell>
          <cell r="C87" t="str">
            <v>Cahyaning Annisa</v>
          </cell>
          <cell r="D87" t="str">
            <v/>
          </cell>
        </row>
        <row r="88">
          <cell r="B88">
            <v>25000000000085</v>
          </cell>
          <cell r="C88" t="str">
            <v>Cahyaningrum Widiastuti</v>
          </cell>
          <cell r="D88" t="str">
            <v/>
          </cell>
        </row>
        <row r="89">
          <cell r="B89">
            <v>25000000000086</v>
          </cell>
          <cell r="C89" t="str">
            <v>Cecep Maulana</v>
          </cell>
          <cell r="D89" t="str">
            <v/>
          </cell>
        </row>
        <row r="90">
          <cell r="B90">
            <v>25000000000087</v>
          </cell>
          <cell r="C90" t="str">
            <v>Chairul Musaddat</v>
          </cell>
          <cell r="D90" t="str">
            <v/>
          </cell>
        </row>
        <row r="91">
          <cell r="B91">
            <v>25000000000088</v>
          </cell>
          <cell r="C91" t="str">
            <v>Christianto</v>
          </cell>
          <cell r="D91" t="str">
            <v/>
          </cell>
        </row>
        <row r="92">
          <cell r="B92">
            <v>25000000000089</v>
          </cell>
          <cell r="C92" t="str">
            <v>Dadan Hermawan</v>
          </cell>
          <cell r="D92" t="str">
            <v/>
          </cell>
        </row>
        <row r="93">
          <cell r="B93">
            <v>25000000000090</v>
          </cell>
          <cell r="C93" t="str">
            <v>Dadan Suhendar</v>
          </cell>
          <cell r="D93" t="str">
            <v/>
          </cell>
        </row>
        <row r="94">
          <cell r="B94">
            <v>25000000000091</v>
          </cell>
          <cell r="C94" t="str">
            <v>Dadi Anda Zuchradi</v>
          </cell>
          <cell r="D94" t="str">
            <v/>
          </cell>
        </row>
        <row r="95">
          <cell r="B95">
            <v>25000000000092</v>
          </cell>
          <cell r="C95" t="str">
            <v>Darsito</v>
          </cell>
          <cell r="D95" t="str">
            <v>3313141612730001</v>
          </cell>
        </row>
        <row r="96">
          <cell r="B96">
            <v>25000000000093</v>
          </cell>
          <cell r="C96" t="str">
            <v>Davit Lumban Gaol</v>
          </cell>
          <cell r="D96" t="str">
            <v>1408102502900001</v>
          </cell>
        </row>
        <row r="97">
          <cell r="B97">
            <v>25000000000094</v>
          </cell>
          <cell r="C97" t="str">
            <v>Deddy Rochman</v>
          </cell>
          <cell r="D97" t="str">
            <v/>
          </cell>
        </row>
        <row r="98">
          <cell r="B98">
            <v>25000000000095</v>
          </cell>
          <cell r="C98" t="str">
            <v>Dedi Kusnadi</v>
          </cell>
          <cell r="D98" t="str">
            <v/>
          </cell>
        </row>
        <row r="99">
          <cell r="B99">
            <v>25000000000096</v>
          </cell>
          <cell r="C99" t="str">
            <v>Dedi Marciano Rizanur</v>
          </cell>
          <cell r="D99" t="str">
            <v/>
          </cell>
        </row>
        <row r="100">
          <cell r="B100">
            <v>25000000000097</v>
          </cell>
          <cell r="C100" t="str">
            <v>Dedi Rianto</v>
          </cell>
          <cell r="D100" t="str">
            <v/>
          </cell>
        </row>
        <row r="101">
          <cell r="B101">
            <v>25000000000098</v>
          </cell>
          <cell r="C101" t="str">
            <v>Dedi Syahputra</v>
          </cell>
          <cell r="D101" t="str">
            <v/>
          </cell>
        </row>
        <row r="102">
          <cell r="B102">
            <v>25000000000099</v>
          </cell>
          <cell r="C102" t="str">
            <v>Deni Setiawan</v>
          </cell>
          <cell r="D102" t="str">
            <v/>
          </cell>
        </row>
        <row r="103">
          <cell r="B103">
            <v>25000000000100</v>
          </cell>
          <cell r="C103" t="str">
            <v>Deny Adi Purnama</v>
          </cell>
          <cell r="D103" t="str">
            <v/>
          </cell>
        </row>
        <row r="104">
          <cell r="B104">
            <v>25000000000101</v>
          </cell>
          <cell r="C104" t="str">
            <v>Desi Herawati</v>
          </cell>
          <cell r="D104" t="str">
            <v/>
          </cell>
        </row>
        <row r="105">
          <cell r="B105">
            <v>25000000000102</v>
          </cell>
          <cell r="C105" t="str">
            <v>Desi Setiowati</v>
          </cell>
          <cell r="D105" t="str">
            <v/>
          </cell>
        </row>
        <row r="106">
          <cell r="B106">
            <v>25000000000103</v>
          </cell>
          <cell r="C106" t="str">
            <v>Dian Firdaus</v>
          </cell>
          <cell r="D106" t="str">
            <v/>
          </cell>
        </row>
        <row r="107">
          <cell r="B107">
            <v>25000000000104</v>
          </cell>
          <cell r="C107" t="str">
            <v>Dian Hariyana</v>
          </cell>
          <cell r="D107" t="str">
            <v/>
          </cell>
        </row>
        <row r="108">
          <cell r="B108">
            <v>25000000000105</v>
          </cell>
          <cell r="C108" t="str">
            <v>Dinnar Budiarti</v>
          </cell>
          <cell r="D108" t="str">
            <v/>
          </cell>
        </row>
        <row r="109">
          <cell r="B109">
            <v>25000000000106</v>
          </cell>
          <cell r="C109" t="str">
            <v>Dionesius Sostenist Duka</v>
          </cell>
          <cell r="D109" t="str">
            <v>3175102908760008</v>
          </cell>
        </row>
        <row r="110">
          <cell r="B110">
            <v>25000000000107</v>
          </cell>
          <cell r="C110" t="str">
            <v>Diyah Martina</v>
          </cell>
          <cell r="D110" t="str">
            <v/>
          </cell>
        </row>
        <row r="111">
          <cell r="B111">
            <v>25000000000108</v>
          </cell>
          <cell r="C111" t="str">
            <v>Djuang Tampubolon</v>
          </cell>
          <cell r="D111" t="str">
            <v/>
          </cell>
        </row>
        <row r="112">
          <cell r="B112">
            <v>25000000000109</v>
          </cell>
          <cell r="C112" t="str">
            <v>Dodit Widiarto</v>
          </cell>
          <cell r="D112" t="str">
            <v/>
          </cell>
        </row>
        <row r="113">
          <cell r="B113">
            <v>25000000000110</v>
          </cell>
          <cell r="C113" t="str">
            <v>Dony Darmawan</v>
          </cell>
          <cell r="D113" t="str">
            <v/>
          </cell>
        </row>
        <row r="114">
          <cell r="B114">
            <v>25000000000111</v>
          </cell>
          <cell r="C114" t="str">
            <v>Dony Setiawan</v>
          </cell>
          <cell r="D114" t="str">
            <v/>
          </cell>
        </row>
        <row r="115">
          <cell r="B115">
            <v>25000000000112</v>
          </cell>
          <cell r="C115" t="str">
            <v>Dudi Rustandi</v>
          </cell>
          <cell r="D115" t="str">
            <v/>
          </cell>
        </row>
        <row r="116">
          <cell r="B116">
            <v>25000000000113</v>
          </cell>
          <cell r="C116" t="str">
            <v>Dudung</v>
          </cell>
          <cell r="D116" t="str">
            <v/>
          </cell>
        </row>
        <row r="117">
          <cell r="B117">
            <v>25000000000114</v>
          </cell>
          <cell r="C117" t="str">
            <v>Dwi Joko Setio Tjaroko</v>
          </cell>
          <cell r="D117" t="str">
            <v/>
          </cell>
        </row>
        <row r="118">
          <cell r="B118">
            <v>25000000000115</v>
          </cell>
          <cell r="C118" t="str">
            <v>Dwinanto Prabowo</v>
          </cell>
          <cell r="D118" t="str">
            <v/>
          </cell>
        </row>
        <row r="119">
          <cell r="B119">
            <v>25000000000116</v>
          </cell>
          <cell r="C119" t="str">
            <v>Edi Waluyo</v>
          </cell>
          <cell r="D119" t="str">
            <v>3173012409690006</v>
          </cell>
        </row>
        <row r="120">
          <cell r="B120">
            <v>25000000000117</v>
          </cell>
          <cell r="C120" t="str">
            <v>Edi Siswanto</v>
          </cell>
          <cell r="D120" t="str">
            <v/>
          </cell>
        </row>
        <row r="121">
          <cell r="B121">
            <v>25000000000118</v>
          </cell>
          <cell r="C121" t="str">
            <v>Edi Turnip</v>
          </cell>
          <cell r="D121" t="str">
            <v/>
          </cell>
        </row>
        <row r="122">
          <cell r="B122">
            <v>25000000000119</v>
          </cell>
          <cell r="C122" t="str">
            <v>Edy Putra Waskita</v>
          </cell>
          <cell r="D122" t="str">
            <v/>
          </cell>
        </row>
        <row r="123">
          <cell r="B123">
            <v>25000000000120</v>
          </cell>
          <cell r="C123" t="str">
            <v>Edy Syahputra Situmeang</v>
          </cell>
          <cell r="D123" t="str">
            <v>1208301611900003</v>
          </cell>
        </row>
        <row r="124">
          <cell r="B124">
            <v>25000000000121</v>
          </cell>
          <cell r="C124" t="str">
            <v>Effendi fendi</v>
          </cell>
          <cell r="D124" t="str">
            <v/>
          </cell>
        </row>
        <row r="125">
          <cell r="B125">
            <v>25000000000122</v>
          </cell>
          <cell r="C125" t="str">
            <v>Efrina Dwililia</v>
          </cell>
          <cell r="D125" t="str">
            <v/>
          </cell>
        </row>
        <row r="126">
          <cell r="B126">
            <v>25000000000123</v>
          </cell>
          <cell r="C126" t="str">
            <v>Eka Bagus Dwi Putra</v>
          </cell>
          <cell r="D126" t="str">
            <v>3275030108950030</v>
          </cell>
        </row>
        <row r="127">
          <cell r="B127">
            <v>25000000000124</v>
          </cell>
          <cell r="C127" t="str">
            <v>Eka Hamidah</v>
          </cell>
          <cell r="D127" t="str">
            <v/>
          </cell>
        </row>
        <row r="128">
          <cell r="B128">
            <v>25000000000125</v>
          </cell>
          <cell r="C128" t="str">
            <v>Eka Purwanti</v>
          </cell>
          <cell r="D128" t="str">
            <v>3171076608940003</v>
          </cell>
        </row>
        <row r="129">
          <cell r="B129">
            <v>25000000000126</v>
          </cell>
          <cell r="C129" t="str">
            <v>Eka Kurniawan Hidayatullah</v>
          </cell>
          <cell r="D129" t="str">
            <v>3276051707880004</v>
          </cell>
        </row>
        <row r="130">
          <cell r="B130">
            <v>25000000000127</v>
          </cell>
          <cell r="C130" t="str">
            <v>Eko Laksono</v>
          </cell>
          <cell r="D130" t="str">
            <v/>
          </cell>
        </row>
        <row r="131">
          <cell r="B131">
            <v>25000000000128</v>
          </cell>
          <cell r="C131" t="str">
            <v>Eko Syambudi</v>
          </cell>
          <cell r="D131" t="str">
            <v/>
          </cell>
        </row>
        <row r="132">
          <cell r="B132">
            <v>25000000000129</v>
          </cell>
          <cell r="C132" t="str">
            <v>Elieser Ferdy P.</v>
          </cell>
          <cell r="D132" t="str">
            <v/>
          </cell>
        </row>
        <row r="133">
          <cell r="B133">
            <v>25000000000130</v>
          </cell>
          <cell r="C133" t="str">
            <v>Elisa</v>
          </cell>
          <cell r="D133" t="str">
            <v/>
          </cell>
        </row>
        <row r="134">
          <cell r="B134">
            <v>25000000000131</v>
          </cell>
          <cell r="C134" t="str">
            <v>Elsa Jayanti</v>
          </cell>
          <cell r="D134" t="str">
            <v/>
          </cell>
        </row>
        <row r="135">
          <cell r="B135">
            <v>25000000000132</v>
          </cell>
          <cell r="C135" t="str">
            <v>Elsa Mardian</v>
          </cell>
          <cell r="D135" t="str">
            <v/>
          </cell>
        </row>
        <row r="136">
          <cell r="B136">
            <v>25000000000133</v>
          </cell>
          <cell r="C136" t="str">
            <v>Emir Paranita Nasution</v>
          </cell>
          <cell r="D136" t="str">
            <v/>
          </cell>
        </row>
        <row r="137">
          <cell r="B137">
            <v>25000000000134</v>
          </cell>
          <cell r="C137" t="str">
            <v>Enceng Hemawan</v>
          </cell>
          <cell r="D137" t="str">
            <v/>
          </cell>
        </row>
        <row r="138">
          <cell r="B138">
            <v>25000000000135</v>
          </cell>
          <cell r="C138" t="str">
            <v>Endang</v>
          </cell>
          <cell r="D138" t="str">
            <v/>
          </cell>
        </row>
        <row r="139">
          <cell r="B139">
            <v>25000000000136</v>
          </cell>
          <cell r="C139" t="str">
            <v>Endang Lestari</v>
          </cell>
          <cell r="D139" t="str">
            <v/>
          </cell>
        </row>
        <row r="140">
          <cell r="B140">
            <v>25000000000137</v>
          </cell>
          <cell r="C140" t="str">
            <v>Endang Sobari</v>
          </cell>
          <cell r="D140" t="str">
            <v/>
          </cell>
        </row>
        <row r="141">
          <cell r="B141">
            <v>25000000000138</v>
          </cell>
          <cell r="C141" t="str">
            <v>Endang Sutrisna</v>
          </cell>
          <cell r="D141" t="str">
            <v>3173063012700005</v>
          </cell>
        </row>
        <row r="142">
          <cell r="B142">
            <v>25000000000139</v>
          </cell>
          <cell r="C142" t="str">
            <v>Erfananda Rasyid</v>
          </cell>
          <cell r="D142" t="str">
            <v/>
          </cell>
        </row>
        <row r="143">
          <cell r="B143">
            <v>25000000000140</v>
          </cell>
          <cell r="C143" t="str">
            <v>Ernawati</v>
          </cell>
          <cell r="D143" t="str">
            <v/>
          </cell>
        </row>
        <row r="144">
          <cell r="B144">
            <v>25000000000141</v>
          </cell>
          <cell r="C144" t="str">
            <v>Erwin Firmansyah</v>
          </cell>
          <cell r="D144" t="str">
            <v/>
          </cell>
        </row>
        <row r="145">
          <cell r="B145">
            <v>25000000000142</v>
          </cell>
          <cell r="C145" t="str">
            <v>Erwin Said</v>
          </cell>
          <cell r="D145" t="str">
            <v/>
          </cell>
        </row>
        <row r="146">
          <cell r="B146">
            <v>25000000000143</v>
          </cell>
          <cell r="C146" t="str">
            <v>Esa Annahar</v>
          </cell>
          <cell r="D146" t="str">
            <v/>
          </cell>
        </row>
        <row r="147">
          <cell r="B147">
            <v>25000000000144</v>
          </cell>
          <cell r="C147" t="str">
            <v>Faiz Horifal</v>
          </cell>
          <cell r="D147" t="str">
            <v/>
          </cell>
        </row>
        <row r="148">
          <cell r="B148">
            <v>25000000000145</v>
          </cell>
          <cell r="C148" t="str">
            <v>Fani Dwi Astutik</v>
          </cell>
          <cell r="D148" t="str">
            <v/>
          </cell>
        </row>
        <row r="149">
          <cell r="B149">
            <v>25000000000146</v>
          </cell>
          <cell r="C149" t="str">
            <v>Fardi Nauli R</v>
          </cell>
          <cell r="D149" t="str">
            <v/>
          </cell>
        </row>
        <row r="150">
          <cell r="B150">
            <v>25000000000147</v>
          </cell>
          <cell r="C150" t="str">
            <v>Farekh Huzair</v>
          </cell>
          <cell r="D150" t="str">
            <v/>
          </cell>
        </row>
        <row r="151">
          <cell r="B151">
            <v>25000000000148</v>
          </cell>
          <cell r="C151" t="str">
            <v>Farhana</v>
          </cell>
          <cell r="D151" t="str">
            <v/>
          </cell>
        </row>
        <row r="152">
          <cell r="B152">
            <v>25000000000149</v>
          </cell>
          <cell r="C152" t="str">
            <v>Febriyanto Ahdiat</v>
          </cell>
          <cell r="D152" t="str">
            <v/>
          </cell>
        </row>
        <row r="153">
          <cell r="B153">
            <v>25000000000150</v>
          </cell>
          <cell r="C153" t="str">
            <v>Febryan Mahsyar</v>
          </cell>
          <cell r="D153" t="str">
            <v/>
          </cell>
        </row>
        <row r="154">
          <cell r="B154">
            <v>25000000000151</v>
          </cell>
          <cell r="C154" t="str">
            <v>Felpy</v>
          </cell>
          <cell r="D154" t="str">
            <v/>
          </cell>
        </row>
        <row r="155">
          <cell r="B155">
            <v>25000000000152</v>
          </cell>
          <cell r="C155" t="str">
            <v>Feri Priyanto</v>
          </cell>
          <cell r="D155" t="str">
            <v/>
          </cell>
        </row>
        <row r="156">
          <cell r="B156">
            <v>25000000000153</v>
          </cell>
          <cell r="C156" t="str">
            <v>Ferry P Simanjuntak</v>
          </cell>
          <cell r="D156" t="str">
            <v/>
          </cell>
        </row>
        <row r="157">
          <cell r="B157">
            <v>25000000000154</v>
          </cell>
          <cell r="C157" t="str">
            <v>Fikri</v>
          </cell>
          <cell r="D157" t="str">
            <v/>
          </cell>
        </row>
        <row r="158">
          <cell r="B158">
            <v>25000000000155</v>
          </cell>
          <cell r="C158" t="str">
            <v>M. Fikri Caesarandi Hasibuan</v>
          </cell>
          <cell r="D158" t="str">
            <v>1271050107980002</v>
          </cell>
        </row>
        <row r="159">
          <cell r="B159">
            <v>25000000000156</v>
          </cell>
          <cell r="C159" t="str">
            <v>Firman Akbar</v>
          </cell>
          <cell r="D159" t="str">
            <v/>
          </cell>
        </row>
        <row r="160">
          <cell r="B160">
            <v>25000000000157</v>
          </cell>
          <cell r="C160" t="str">
            <v>Fitriastuti Kurnia</v>
          </cell>
          <cell r="D160" t="str">
            <v/>
          </cell>
        </row>
        <row r="161">
          <cell r="B161">
            <v>25000000000158</v>
          </cell>
          <cell r="C161" t="str">
            <v>Francis Imanuel</v>
          </cell>
          <cell r="D161" t="str">
            <v/>
          </cell>
        </row>
        <row r="162">
          <cell r="B162">
            <v>25000000000159</v>
          </cell>
          <cell r="C162" t="str">
            <v>Frando Judi Siahaan</v>
          </cell>
          <cell r="D162" t="str">
            <v/>
          </cell>
        </row>
        <row r="163">
          <cell r="B163">
            <v>25000000000160</v>
          </cell>
          <cell r="C163" t="str">
            <v>Frederika Intan</v>
          </cell>
          <cell r="D163" t="str">
            <v/>
          </cell>
        </row>
        <row r="164">
          <cell r="B164">
            <v>25000000000161</v>
          </cell>
          <cell r="C164" t="str">
            <v>Fuad Febrian</v>
          </cell>
          <cell r="D164" t="str">
            <v/>
          </cell>
        </row>
        <row r="165">
          <cell r="B165">
            <v>25000000000162</v>
          </cell>
          <cell r="C165" t="str">
            <v>Wiyadianto</v>
          </cell>
          <cell r="D165" t="str">
            <v/>
          </cell>
        </row>
        <row r="166">
          <cell r="B166">
            <v>25000000000163</v>
          </cell>
          <cell r="C166" t="str">
            <v>Galuh Swastika</v>
          </cell>
          <cell r="D166" t="str">
            <v/>
          </cell>
        </row>
        <row r="167">
          <cell r="B167">
            <v>25000000000164</v>
          </cell>
          <cell r="C167" t="str">
            <v>Ganda Yuharis R.</v>
          </cell>
          <cell r="D167" t="str">
            <v/>
          </cell>
        </row>
        <row r="168">
          <cell r="B168">
            <v>25000000000165</v>
          </cell>
          <cell r="C168" t="str">
            <v>Gatot Harsono</v>
          </cell>
          <cell r="D168" t="str">
            <v/>
          </cell>
        </row>
        <row r="169">
          <cell r="B169">
            <v>25000000000166</v>
          </cell>
          <cell r="C169" t="str">
            <v>Gina Septa</v>
          </cell>
          <cell r="D169" t="str">
            <v/>
          </cell>
        </row>
        <row r="170">
          <cell r="B170">
            <v>25000000000167</v>
          </cell>
          <cell r="C170" t="str">
            <v>Grace Kurniawan</v>
          </cell>
          <cell r="D170" t="str">
            <v>3271026603650001</v>
          </cell>
        </row>
        <row r="171">
          <cell r="B171">
            <v>25000000000168</v>
          </cell>
          <cell r="C171" t="str">
            <v>Gunawan</v>
          </cell>
          <cell r="D171" t="str">
            <v>3275122807710004</v>
          </cell>
        </row>
        <row r="172">
          <cell r="B172">
            <v>25000000000169</v>
          </cell>
          <cell r="C172" t="str">
            <v>Gustia Rakhmanita</v>
          </cell>
          <cell r="D172" t="str">
            <v/>
          </cell>
        </row>
        <row r="173">
          <cell r="B173">
            <v>25000000000170</v>
          </cell>
          <cell r="C173" t="str">
            <v>Habib Abdullah</v>
          </cell>
          <cell r="D173" t="str">
            <v/>
          </cell>
        </row>
        <row r="174">
          <cell r="B174">
            <v>25000000000171</v>
          </cell>
          <cell r="C174" t="str">
            <v>Hadi Kasmuri</v>
          </cell>
          <cell r="D174" t="str">
            <v/>
          </cell>
        </row>
        <row r="175">
          <cell r="B175">
            <v>25000000000172</v>
          </cell>
          <cell r="C175" t="str">
            <v>Haikal</v>
          </cell>
          <cell r="D175" t="str">
            <v/>
          </cell>
        </row>
        <row r="176">
          <cell r="B176">
            <v>25000000000173</v>
          </cell>
          <cell r="C176" t="str">
            <v>Hanantowiryo Tamtama</v>
          </cell>
          <cell r="D176" t="str">
            <v/>
          </cell>
        </row>
        <row r="177">
          <cell r="B177">
            <v>25000000000174</v>
          </cell>
          <cell r="C177" t="str">
            <v>Handoko</v>
          </cell>
          <cell r="D177" t="str">
            <v/>
          </cell>
        </row>
        <row r="178">
          <cell r="B178">
            <v>25000000000175</v>
          </cell>
          <cell r="C178" t="str">
            <v>Hanif Ashari</v>
          </cell>
          <cell r="D178" t="str">
            <v/>
          </cell>
        </row>
        <row r="179">
          <cell r="B179">
            <v>25000000000176</v>
          </cell>
          <cell r="C179" t="str">
            <v>Hanif Eko Saputro</v>
          </cell>
          <cell r="D179" t="str">
            <v/>
          </cell>
        </row>
        <row r="180">
          <cell r="B180">
            <v>25000000000177</v>
          </cell>
          <cell r="C180" t="str">
            <v>Hardianto</v>
          </cell>
          <cell r="D180" t="str">
            <v/>
          </cell>
        </row>
        <row r="181">
          <cell r="B181">
            <v>25000000000178</v>
          </cell>
          <cell r="C181" t="str">
            <v>Harlen Amudi Purba</v>
          </cell>
          <cell r="D181" t="str">
            <v/>
          </cell>
        </row>
        <row r="182">
          <cell r="B182">
            <v>25000000000179</v>
          </cell>
          <cell r="C182" t="str">
            <v>Harry Isnaeni</v>
          </cell>
          <cell r="D182" t="str">
            <v/>
          </cell>
        </row>
        <row r="183">
          <cell r="B183">
            <v>25000000000180</v>
          </cell>
          <cell r="C183" t="str">
            <v>Hasan Gani</v>
          </cell>
          <cell r="D183" t="str">
            <v/>
          </cell>
        </row>
        <row r="184">
          <cell r="B184">
            <v>25000000000181</v>
          </cell>
          <cell r="C184" t="str">
            <v>Hasrul</v>
          </cell>
          <cell r="D184" t="str">
            <v/>
          </cell>
        </row>
        <row r="185">
          <cell r="B185">
            <v>25000000000182</v>
          </cell>
          <cell r="C185" t="str">
            <v>Hendar Pambudi</v>
          </cell>
          <cell r="D185" t="str">
            <v/>
          </cell>
        </row>
        <row r="186">
          <cell r="B186">
            <v>25000000000183</v>
          </cell>
          <cell r="C186" t="str">
            <v>Hendri Kustian</v>
          </cell>
          <cell r="D186" t="str">
            <v/>
          </cell>
        </row>
        <row r="187">
          <cell r="B187">
            <v>25000000000184</v>
          </cell>
          <cell r="C187" t="str">
            <v>Hendrik</v>
          </cell>
          <cell r="D187" t="str">
            <v/>
          </cell>
        </row>
        <row r="188">
          <cell r="B188">
            <v>25000000000185</v>
          </cell>
          <cell r="C188" t="str">
            <v>Herdi Yulia Rohmana</v>
          </cell>
          <cell r="D188" t="str">
            <v/>
          </cell>
        </row>
        <row r="189">
          <cell r="B189">
            <v>25000000000186</v>
          </cell>
          <cell r="C189" t="str">
            <v>Heri Susanto</v>
          </cell>
          <cell r="D189" t="str">
            <v/>
          </cell>
        </row>
        <row r="190">
          <cell r="B190">
            <v>25000000000187</v>
          </cell>
          <cell r="C190" t="str">
            <v>Herlin Juli Asri</v>
          </cell>
          <cell r="D190" t="str">
            <v/>
          </cell>
        </row>
        <row r="191">
          <cell r="B191">
            <v>25000000000188</v>
          </cell>
          <cell r="C191" t="str">
            <v>Herman Budoyo</v>
          </cell>
          <cell r="D191" t="str">
            <v/>
          </cell>
        </row>
        <row r="192">
          <cell r="B192">
            <v>25000000000189</v>
          </cell>
          <cell r="C192" t="str">
            <v>Herni Yuliati</v>
          </cell>
          <cell r="D192" t="str">
            <v/>
          </cell>
        </row>
        <row r="193">
          <cell r="B193">
            <v>25000000000190</v>
          </cell>
          <cell r="C193" t="str">
            <v>Hernita Dwi</v>
          </cell>
          <cell r="D193" t="str">
            <v/>
          </cell>
        </row>
        <row r="194">
          <cell r="B194">
            <v>25000000000191</v>
          </cell>
          <cell r="C194" t="str">
            <v>Herri Setyawan</v>
          </cell>
          <cell r="D194" t="str">
            <v/>
          </cell>
        </row>
        <row r="195">
          <cell r="B195">
            <v>25000000000192</v>
          </cell>
          <cell r="C195" t="str">
            <v>Heru Sugiri</v>
          </cell>
          <cell r="D195" t="str">
            <v/>
          </cell>
        </row>
        <row r="196">
          <cell r="B196">
            <v>25000000000193</v>
          </cell>
          <cell r="C196" t="str">
            <v>Hervian Bagus Saputra</v>
          </cell>
          <cell r="D196" t="str">
            <v/>
          </cell>
        </row>
        <row r="197">
          <cell r="B197">
            <v>25000000000194</v>
          </cell>
          <cell r="C197" t="str">
            <v>H.R. Marlina S. T. R.</v>
          </cell>
          <cell r="D197" t="str">
            <v/>
          </cell>
        </row>
        <row r="198">
          <cell r="B198">
            <v>25000000000195</v>
          </cell>
          <cell r="C198" t="str">
            <v>Ibrahim Soukani</v>
          </cell>
          <cell r="D198" t="str">
            <v/>
          </cell>
        </row>
        <row r="199">
          <cell r="B199">
            <v>25000000000196</v>
          </cell>
          <cell r="C199" t="str">
            <v>Icha Mailinda Syamsoedin</v>
          </cell>
          <cell r="D199" t="str">
            <v>3305134603960002</v>
          </cell>
        </row>
        <row r="200">
          <cell r="B200">
            <v>25000000000197</v>
          </cell>
          <cell r="C200" t="str">
            <v>Ichsanudin</v>
          </cell>
          <cell r="D200" t="str">
            <v/>
          </cell>
        </row>
        <row r="201">
          <cell r="B201">
            <v>25000000000198</v>
          </cell>
          <cell r="C201" t="str">
            <v>Ida Tri Wulaningsih</v>
          </cell>
          <cell r="D201" t="str">
            <v/>
          </cell>
        </row>
        <row r="202">
          <cell r="B202">
            <v>25000000000199</v>
          </cell>
          <cell r="C202" t="str">
            <v>Idham</v>
          </cell>
          <cell r="D202" t="str">
            <v/>
          </cell>
        </row>
        <row r="203">
          <cell r="B203">
            <v>25000000000200</v>
          </cell>
          <cell r="C203" t="str">
            <v>Idham Nasution</v>
          </cell>
          <cell r="D203" t="str">
            <v/>
          </cell>
        </row>
        <row r="204">
          <cell r="B204">
            <v>25000000000201</v>
          </cell>
          <cell r="C204" t="str">
            <v>Idian</v>
          </cell>
          <cell r="D204" t="str">
            <v/>
          </cell>
        </row>
        <row r="205">
          <cell r="B205">
            <v>25000000000202</v>
          </cell>
          <cell r="C205" t="str">
            <v>Ikun M. Soedrajat</v>
          </cell>
          <cell r="D205" t="str">
            <v/>
          </cell>
        </row>
        <row r="206">
          <cell r="B206">
            <v>25000000000203</v>
          </cell>
          <cell r="C206" t="str">
            <v>Ilham Arisyandy</v>
          </cell>
          <cell r="D206" t="str">
            <v/>
          </cell>
        </row>
        <row r="207">
          <cell r="B207">
            <v>25000000000204</v>
          </cell>
          <cell r="C207" t="str">
            <v>Ilham Akbar</v>
          </cell>
          <cell r="D207" t="str">
            <v/>
          </cell>
        </row>
        <row r="208">
          <cell r="B208">
            <v>25000000000205</v>
          </cell>
          <cell r="C208" t="str">
            <v>Imam Basuki</v>
          </cell>
          <cell r="D208" t="str">
            <v/>
          </cell>
        </row>
        <row r="209">
          <cell r="B209">
            <v>25000000000206</v>
          </cell>
          <cell r="C209" t="str">
            <v>Imam Mustofa</v>
          </cell>
          <cell r="D209" t="str">
            <v/>
          </cell>
        </row>
        <row r="210">
          <cell r="B210">
            <v>25000000000207</v>
          </cell>
          <cell r="C210" t="str">
            <v>Imam Safiiy</v>
          </cell>
          <cell r="D210" t="str">
            <v/>
          </cell>
        </row>
        <row r="211">
          <cell r="B211">
            <v>25000000000208</v>
          </cell>
          <cell r="C211" t="str">
            <v>Iman Hakiki</v>
          </cell>
          <cell r="D211" t="str">
            <v/>
          </cell>
        </row>
        <row r="212">
          <cell r="B212">
            <v>25000000000209</v>
          </cell>
          <cell r="C212" t="str">
            <v>Imelda Claudia</v>
          </cell>
          <cell r="D212" t="str">
            <v/>
          </cell>
        </row>
        <row r="213">
          <cell r="B213">
            <v>25000000000210</v>
          </cell>
          <cell r="C213" t="str">
            <v>Indawan Haryadi</v>
          </cell>
          <cell r="D213" t="str">
            <v/>
          </cell>
        </row>
        <row r="214">
          <cell r="B214">
            <v>25000000000211</v>
          </cell>
          <cell r="C214" t="str">
            <v>Indra Jaya</v>
          </cell>
          <cell r="D214" t="str">
            <v/>
          </cell>
        </row>
        <row r="215">
          <cell r="B215">
            <v>25000000000212</v>
          </cell>
          <cell r="C215" t="str">
            <v>Indra Muchtar</v>
          </cell>
          <cell r="D215" t="str">
            <v/>
          </cell>
        </row>
        <row r="216">
          <cell r="B216">
            <v>25000000000213</v>
          </cell>
          <cell r="C216" t="str">
            <v>Irvan</v>
          </cell>
          <cell r="D216" t="str">
            <v/>
          </cell>
        </row>
        <row r="217">
          <cell r="B217">
            <v>25000000000214</v>
          </cell>
          <cell r="C217" t="str">
            <v>Irvan Agus Dharma Eka Putra</v>
          </cell>
          <cell r="D217" t="str">
            <v/>
          </cell>
        </row>
        <row r="218">
          <cell r="B218">
            <v>25000000000215</v>
          </cell>
          <cell r="C218" t="str">
            <v>Irwan</v>
          </cell>
          <cell r="D218" t="str">
            <v/>
          </cell>
        </row>
        <row r="219">
          <cell r="B219">
            <v>25000000000216</v>
          </cell>
          <cell r="C219" t="str">
            <v>Isa Anshori</v>
          </cell>
          <cell r="D219" t="str">
            <v/>
          </cell>
        </row>
        <row r="220">
          <cell r="B220">
            <v>25000000000217</v>
          </cell>
          <cell r="C220" t="str">
            <v>Isa Taufiq</v>
          </cell>
          <cell r="D220" t="str">
            <v/>
          </cell>
        </row>
        <row r="221">
          <cell r="B221">
            <v>25000000000218</v>
          </cell>
          <cell r="C221" t="str">
            <v>Iskandarsyah</v>
          </cell>
          <cell r="D221" t="str">
            <v/>
          </cell>
        </row>
        <row r="222">
          <cell r="B222">
            <v>25000000000219</v>
          </cell>
          <cell r="C222" t="str">
            <v>Istanto Istanto</v>
          </cell>
          <cell r="D222" t="str">
            <v/>
          </cell>
        </row>
        <row r="223">
          <cell r="B223">
            <v>25000000000220</v>
          </cell>
          <cell r="C223" t="str">
            <v>Iswahyuni</v>
          </cell>
          <cell r="D223" t="str">
            <v/>
          </cell>
        </row>
        <row r="224">
          <cell r="B224">
            <v>25000000000221</v>
          </cell>
          <cell r="C224" t="str">
            <v>Iva Nurvahayati</v>
          </cell>
          <cell r="D224" t="str">
            <v/>
          </cell>
        </row>
        <row r="225">
          <cell r="B225">
            <v>25000000000222</v>
          </cell>
          <cell r="C225" t="str">
            <v>Iwan Setiawan</v>
          </cell>
          <cell r="D225" t="str">
            <v/>
          </cell>
        </row>
        <row r="226">
          <cell r="B226">
            <v>25000000000223</v>
          </cell>
          <cell r="C226" t="str">
            <v>Iwan Sumantri</v>
          </cell>
          <cell r="D226" t="str">
            <v/>
          </cell>
        </row>
        <row r="227">
          <cell r="B227">
            <v>25000000000224</v>
          </cell>
          <cell r="C227" t="str">
            <v>Iwan Wibawa</v>
          </cell>
          <cell r="D227" t="str">
            <v/>
          </cell>
        </row>
        <row r="228">
          <cell r="B228">
            <v>25000000000225</v>
          </cell>
          <cell r="C228" t="str">
            <v>Iyus Darwin</v>
          </cell>
          <cell r="D228" t="str">
            <v/>
          </cell>
        </row>
        <row r="229">
          <cell r="B229">
            <v>25000000000226</v>
          </cell>
          <cell r="C229" t="str">
            <v>Jaenudin</v>
          </cell>
          <cell r="D229" t="str">
            <v/>
          </cell>
        </row>
        <row r="230">
          <cell r="B230">
            <v>25000000000227</v>
          </cell>
          <cell r="C230" t="str">
            <v>Jaruli Samosir</v>
          </cell>
          <cell r="D230" t="str">
            <v/>
          </cell>
        </row>
        <row r="231">
          <cell r="B231">
            <v>25000000000228</v>
          </cell>
          <cell r="C231" t="str">
            <v>Jaya Ganef</v>
          </cell>
          <cell r="D231" t="str">
            <v/>
          </cell>
        </row>
        <row r="232">
          <cell r="B232">
            <v>25000000000229</v>
          </cell>
          <cell r="C232" t="str">
            <v>Jaya Sitepu</v>
          </cell>
          <cell r="D232" t="str">
            <v/>
          </cell>
        </row>
        <row r="233">
          <cell r="B233">
            <v>25000000000230</v>
          </cell>
          <cell r="C233" t="str">
            <v>Jeefrianda H. P. Sigalingging</v>
          </cell>
          <cell r="D233" t="str">
            <v/>
          </cell>
        </row>
        <row r="234">
          <cell r="B234">
            <v>25000000000231</v>
          </cell>
          <cell r="C234" t="str">
            <v>Jerry Djajasaputra</v>
          </cell>
          <cell r="D234" t="str">
            <v/>
          </cell>
        </row>
        <row r="235">
          <cell r="B235">
            <v>25000000000232</v>
          </cell>
          <cell r="C235" t="str">
            <v>Jimmywal</v>
          </cell>
          <cell r="D235" t="str">
            <v>3201042302780003</v>
          </cell>
        </row>
        <row r="236">
          <cell r="B236">
            <v>25000000000233</v>
          </cell>
          <cell r="C236" t="str">
            <v>Jodie Satria</v>
          </cell>
          <cell r="D236" t="str">
            <v/>
          </cell>
        </row>
        <row r="237">
          <cell r="B237">
            <v>25000000000234</v>
          </cell>
          <cell r="C237" t="str">
            <v>Johannes Silalahi</v>
          </cell>
          <cell r="D237" t="str">
            <v/>
          </cell>
        </row>
        <row r="238">
          <cell r="B238">
            <v>25000000000235</v>
          </cell>
          <cell r="C238" t="str">
            <v>Joko Wiyono</v>
          </cell>
          <cell r="D238" t="str">
            <v/>
          </cell>
        </row>
        <row r="239">
          <cell r="B239">
            <v>25000000000236</v>
          </cell>
          <cell r="C239" t="str">
            <v>Jondril Hantoni</v>
          </cell>
          <cell r="D239" t="str">
            <v/>
          </cell>
        </row>
        <row r="240">
          <cell r="B240">
            <v>25000000000237</v>
          </cell>
          <cell r="C240" t="str">
            <v>Jonhar Aziz</v>
          </cell>
          <cell r="D240" t="str">
            <v/>
          </cell>
        </row>
        <row r="241">
          <cell r="B241">
            <v>25000000000238</v>
          </cell>
          <cell r="C241" t="str">
            <v>Juan Talitha</v>
          </cell>
          <cell r="D241" t="str">
            <v/>
          </cell>
        </row>
        <row r="242">
          <cell r="B242">
            <v>25000000000239</v>
          </cell>
          <cell r="C242" t="str">
            <v>Juharja Juharja</v>
          </cell>
          <cell r="D242" t="str">
            <v/>
          </cell>
        </row>
        <row r="243">
          <cell r="B243">
            <v>25000000000240</v>
          </cell>
          <cell r="C243" t="str">
            <v>Juminar</v>
          </cell>
          <cell r="D243" t="str">
            <v/>
          </cell>
        </row>
        <row r="244">
          <cell r="B244">
            <v>25000000000241</v>
          </cell>
          <cell r="C244" t="str">
            <v>Jumino</v>
          </cell>
          <cell r="D244" t="str">
            <v/>
          </cell>
        </row>
        <row r="245">
          <cell r="B245">
            <v>25000000000242</v>
          </cell>
          <cell r="C245" t="str">
            <v>Junaedi</v>
          </cell>
          <cell r="D245" t="str">
            <v/>
          </cell>
        </row>
        <row r="246">
          <cell r="B246">
            <v>25000000000243</v>
          </cell>
          <cell r="C246" t="str">
            <v>Junaidi</v>
          </cell>
          <cell r="D246" t="str">
            <v/>
          </cell>
        </row>
        <row r="247">
          <cell r="B247">
            <v>25000000000244</v>
          </cell>
          <cell r="C247" t="str">
            <v>Jusuf Bobby Putra</v>
          </cell>
          <cell r="D247" t="str">
            <v/>
          </cell>
        </row>
        <row r="248">
          <cell r="B248">
            <v>25000000000245</v>
          </cell>
          <cell r="C248" t="str">
            <v>Jusuf Gandi</v>
          </cell>
          <cell r="D248" t="str">
            <v/>
          </cell>
        </row>
        <row r="249">
          <cell r="B249">
            <v>25000000000246</v>
          </cell>
          <cell r="C249" t="str">
            <v>Kahar Triyono</v>
          </cell>
          <cell r="D249" t="str">
            <v/>
          </cell>
        </row>
        <row r="250">
          <cell r="B250">
            <v>25000000000247</v>
          </cell>
          <cell r="C250" t="str">
            <v>Keila</v>
          </cell>
          <cell r="D250" t="str">
            <v/>
          </cell>
        </row>
        <row r="251">
          <cell r="B251">
            <v>25000000000248</v>
          </cell>
          <cell r="C251" t="str">
            <v>Kendra Daniswara</v>
          </cell>
          <cell r="D251" t="str">
            <v/>
          </cell>
        </row>
        <row r="252">
          <cell r="B252">
            <v>25000000000249</v>
          </cell>
          <cell r="C252" t="str">
            <v>Kevin Henokh Tambunan</v>
          </cell>
          <cell r="D252" t="str">
            <v/>
          </cell>
        </row>
        <row r="253">
          <cell r="B253">
            <v>25000000000250</v>
          </cell>
          <cell r="C253" t="str">
            <v>Khafid Fahrurrozi</v>
          </cell>
          <cell r="D253" t="str">
            <v/>
          </cell>
        </row>
        <row r="254">
          <cell r="B254">
            <v>25000000000251</v>
          </cell>
          <cell r="C254" t="str">
            <v>Kholik</v>
          </cell>
          <cell r="D254" t="str">
            <v/>
          </cell>
        </row>
        <row r="255">
          <cell r="B255">
            <v>25000000000252</v>
          </cell>
          <cell r="C255" t="str">
            <v>Kiki Mustikawati</v>
          </cell>
          <cell r="D255" t="str">
            <v/>
          </cell>
        </row>
        <row r="256">
          <cell r="B256">
            <v>25000000000253</v>
          </cell>
          <cell r="C256" t="str">
            <v>Kornelius Sakan</v>
          </cell>
          <cell r="D256" t="str">
            <v>3671130303690004</v>
          </cell>
        </row>
        <row r="257">
          <cell r="B257">
            <v>25000000000254</v>
          </cell>
          <cell r="C257" t="str">
            <v>Kosasih</v>
          </cell>
          <cell r="D257" t="str">
            <v/>
          </cell>
        </row>
        <row r="258">
          <cell r="B258">
            <v>25000000000255</v>
          </cell>
          <cell r="C258" t="str">
            <v>Krisnawan</v>
          </cell>
          <cell r="D258" t="str">
            <v/>
          </cell>
        </row>
        <row r="259">
          <cell r="B259">
            <v>25000000000256</v>
          </cell>
          <cell r="C259" t="str">
            <v>Kurniadi</v>
          </cell>
          <cell r="D259" t="str">
            <v/>
          </cell>
        </row>
        <row r="260">
          <cell r="B260">
            <v>25000000000257</v>
          </cell>
          <cell r="C260" t="str">
            <v>Kurniawan</v>
          </cell>
          <cell r="D260" t="str">
            <v/>
          </cell>
        </row>
        <row r="261">
          <cell r="B261">
            <v>25000000000258</v>
          </cell>
          <cell r="C261" t="str">
            <v>Laode</v>
          </cell>
          <cell r="D261" t="str">
            <v/>
          </cell>
        </row>
        <row r="262">
          <cell r="B262">
            <v>25000000000259</v>
          </cell>
          <cell r="C262" t="str">
            <v>Leo Nababan</v>
          </cell>
          <cell r="D262" t="str">
            <v/>
          </cell>
        </row>
        <row r="263">
          <cell r="B263">
            <v>25000000000260</v>
          </cell>
          <cell r="C263" t="str">
            <v>Liani Atmaningrum</v>
          </cell>
          <cell r="D263" t="str">
            <v/>
          </cell>
        </row>
        <row r="264">
          <cell r="B264">
            <v>25000000000261</v>
          </cell>
          <cell r="C264" t="str">
            <v>Liaseptriani Liaseptriani</v>
          </cell>
          <cell r="D264" t="str">
            <v/>
          </cell>
        </row>
        <row r="265">
          <cell r="B265">
            <v>25000000000262</v>
          </cell>
          <cell r="C265" t="str">
            <v>Lisma Natalia</v>
          </cell>
          <cell r="D265" t="str">
            <v>3175085112800001</v>
          </cell>
        </row>
        <row r="266">
          <cell r="B266">
            <v>25000000000263</v>
          </cell>
          <cell r="C266" t="str">
            <v>Listyo Hartanto</v>
          </cell>
          <cell r="D266" t="str">
            <v/>
          </cell>
        </row>
        <row r="267">
          <cell r="B267">
            <v>25000000000264</v>
          </cell>
          <cell r="C267" t="str">
            <v>M. Ari Ardizah Nasution</v>
          </cell>
          <cell r="D267" t="str">
            <v/>
          </cell>
        </row>
        <row r="268">
          <cell r="B268">
            <v>25000000000265</v>
          </cell>
          <cell r="C268" t="str">
            <v>M. Denny  Micrazudin</v>
          </cell>
          <cell r="D268" t="str">
            <v/>
          </cell>
        </row>
        <row r="269">
          <cell r="B269">
            <v>25000000000266</v>
          </cell>
          <cell r="C269" t="str">
            <v>M. Ridho Pramudia</v>
          </cell>
          <cell r="D269" t="str">
            <v/>
          </cell>
        </row>
        <row r="270">
          <cell r="B270">
            <v>25000000000267</v>
          </cell>
          <cell r="C270" t="str">
            <v>M. Rusdi</v>
          </cell>
          <cell r="D270" t="str">
            <v/>
          </cell>
        </row>
        <row r="271">
          <cell r="B271">
            <v>25000000000268</v>
          </cell>
          <cell r="C271" t="str">
            <v>M. Ervan Isyawal Akbar</v>
          </cell>
          <cell r="D271" t="str">
            <v/>
          </cell>
        </row>
        <row r="272">
          <cell r="B272">
            <v>25000000000269</v>
          </cell>
          <cell r="C272" t="str">
            <v>Maharani Tanjungsari</v>
          </cell>
          <cell r="D272" t="str">
            <v/>
          </cell>
        </row>
        <row r="273">
          <cell r="B273">
            <v>25000000000270</v>
          </cell>
          <cell r="C273" t="str">
            <v>Maharani Uthmaniah</v>
          </cell>
          <cell r="D273" t="str">
            <v/>
          </cell>
        </row>
        <row r="274">
          <cell r="B274">
            <v>25000000000271</v>
          </cell>
          <cell r="C274" t="str">
            <v>Manotar Tamba</v>
          </cell>
          <cell r="D274" t="str">
            <v/>
          </cell>
        </row>
        <row r="275">
          <cell r="B275">
            <v>25000000000272</v>
          </cell>
          <cell r="C275" t="str">
            <v>Maradona Manurung</v>
          </cell>
          <cell r="D275" t="str">
            <v/>
          </cell>
        </row>
        <row r="276">
          <cell r="B276">
            <v>25000000000273</v>
          </cell>
          <cell r="C276" t="str">
            <v>Pantas Banjarnahor Marbun</v>
          </cell>
          <cell r="D276" t="str">
            <v/>
          </cell>
        </row>
        <row r="277">
          <cell r="B277">
            <v>25000000000274</v>
          </cell>
          <cell r="C277" t="str">
            <v>Marcella Avia Ramadhinaningrum</v>
          </cell>
          <cell r="D277" t="str">
            <v/>
          </cell>
        </row>
        <row r="278">
          <cell r="B278">
            <v>25000000000275</v>
          </cell>
          <cell r="C278" t="str">
            <v>Marissa Watak</v>
          </cell>
          <cell r="D278" t="str">
            <v/>
          </cell>
        </row>
        <row r="279">
          <cell r="B279">
            <v>25000000000276</v>
          </cell>
          <cell r="C279" t="str">
            <v>Marten Tabun</v>
          </cell>
          <cell r="D279" t="str">
            <v>3603121210820014</v>
          </cell>
        </row>
        <row r="280">
          <cell r="B280">
            <v>25000000000277</v>
          </cell>
          <cell r="C280" t="str">
            <v>Martimbul Rahman</v>
          </cell>
          <cell r="D280" t="str">
            <v/>
          </cell>
        </row>
        <row r="281">
          <cell r="B281">
            <v>25000000000278</v>
          </cell>
          <cell r="C281" t="str">
            <v>T. Marungkil U. S. Sagala</v>
          </cell>
          <cell r="D281" t="str">
            <v>3175101206750016</v>
          </cell>
        </row>
        <row r="282">
          <cell r="B282">
            <v>25000000000279</v>
          </cell>
          <cell r="C282" t="str">
            <v>Marzuki</v>
          </cell>
          <cell r="D282" t="str">
            <v/>
          </cell>
        </row>
        <row r="283">
          <cell r="B283">
            <v>25000000000280</v>
          </cell>
          <cell r="C283" t="str">
            <v>Mashuri Mashuri</v>
          </cell>
          <cell r="D283" t="str">
            <v/>
          </cell>
        </row>
        <row r="284">
          <cell r="B284">
            <v>25000000000281</v>
          </cell>
          <cell r="C284" t="str">
            <v>Mat Soleh</v>
          </cell>
          <cell r="D284" t="str">
            <v/>
          </cell>
        </row>
        <row r="285">
          <cell r="B285">
            <v>25000000000282</v>
          </cell>
          <cell r="C285" t="str">
            <v>Mhd Syahputra</v>
          </cell>
          <cell r="D285" t="str">
            <v/>
          </cell>
        </row>
        <row r="286">
          <cell r="B286">
            <v>25000000000283</v>
          </cell>
          <cell r="C286" t="str">
            <v>Mia Puspitasari</v>
          </cell>
          <cell r="D286" t="str">
            <v/>
          </cell>
        </row>
        <row r="287">
          <cell r="B287">
            <v>25000000000284</v>
          </cell>
          <cell r="C287" t="str">
            <v>Midin Ena</v>
          </cell>
          <cell r="D287" t="str">
            <v/>
          </cell>
        </row>
        <row r="288">
          <cell r="B288">
            <v>25000000000285</v>
          </cell>
          <cell r="C288" t="str">
            <v>Miftakhul Muzakky</v>
          </cell>
          <cell r="D288" t="str">
            <v/>
          </cell>
        </row>
        <row r="289">
          <cell r="B289">
            <v>25000000000286</v>
          </cell>
          <cell r="C289" t="str">
            <v>Mista</v>
          </cell>
          <cell r="D289" t="str">
            <v/>
          </cell>
        </row>
        <row r="290">
          <cell r="B290">
            <v>25000000000287</v>
          </cell>
          <cell r="C290" t="str">
            <v>Mochamad Samman</v>
          </cell>
          <cell r="D290" t="str">
            <v/>
          </cell>
        </row>
        <row r="291">
          <cell r="B291">
            <v>25000000000288</v>
          </cell>
          <cell r="C291" t="str">
            <v>Moh. Afif</v>
          </cell>
          <cell r="D291" t="str">
            <v/>
          </cell>
        </row>
        <row r="292">
          <cell r="B292">
            <v>25000000000289</v>
          </cell>
          <cell r="C292" t="str">
            <v>Mohammad Arman Tompo</v>
          </cell>
          <cell r="D292" t="str">
            <v/>
          </cell>
        </row>
        <row r="293">
          <cell r="B293">
            <v>25000000000290</v>
          </cell>
          <cell r="C293" t="str">
            <v>Mohd. Elfan Pratama</v>
          </cell>
          <cell r="D293" t="str">
            <v/>
          </cell>
        </row>
        <row r="294">
          <cell r="B294">
            <v>25000000000291</v>
          </cell>
          <cell r="C294" t="str">
            <v>Monang Simarmata</v>
          </cell>
          <cell r="D294" t="str">
            <v/>
          </cell>
        </row>
        <row r="295">
          <cell r="B295">
            <v>25000000000292</v>
          </cell>
          <cell r="C295" t="str">
            <v>Moritz Thomsen Marbun</v>
          </cell>
          <cell r="D295" t="str">
            <v/>
          </cell>
        </row>
        <row r="296">
          <cell r="B296">
            <v>25000000000293</v>
          </cell>
          <cell r="C296" t="str">
            <v>Muhamad Hamdan Rifai</v>
          </cell>
          <cell r="D296" t="str">
            <v/>
          </cell>
        </row>
        <row r="297">
          <cell r="B297">
            <v>25000000000294</v>
          </cell>
          <cell r="C297" t="str">
            <v>Muhamad Ikhsan</v>
          </cell>
          <cell r="D297" t="str">
            <v/>
          </cell>
        </row>
        <row r="298">
          <cell r="B298">
            <v>25000000000295</v>
          </cell>
          <cell r="C298" t="str">
            <v>Muhamad Nurhamsach</v>
          </cell>
          <cell r="D298" t="str">
            <v/>
          </cell>
        </row>
        <row r="299">
          <cell r="B299">
            <v>25000000000296</v>
          </cell>
          <cell r="C299" t="str">
            <v>Muhammad Ardiansyah</v>
          </cell>
          <cell r="D299" t="str">
            <v/>
          </cell>
        </row>
        <row r="300">
          <cell r="B300">
            <v>25000000000297</v>
          </cell>
          <cell r="C300" t="str">
            <v>Muhammad Khadafy</v>
          </cell>
          <cell r="D300" t="str">
            <v/>
          </cell>
        </row>
        <row r="301">
          <cell r="B301">
            <v>25000000000298</v>
          </cell>
          <cell r="C301" t="str">
            <v>Muhammad Taufan</v>
          </cell>
          <cell r="D301" t="str">
            <v/>
          </cell>
        </row>
        <row r="302">
          <cell r="B302">
            <v>25000000000299</v>
          </cell>
          <cell r="C302" t="str">
            <v>Muklis</v>
          </cell>
          <cell r="D302" t="str">
            <v/>
          </cell>
        </row>
        <row r="303">
          <cell r="B303">
            <v>25000000000300</v>
          </cell>
          <cell r="C303" t="str">
            <v>Mulia Rohanson Harahap</v>
          </cell>
          <cell r="D303" t="str">
            <v/>
          </cell>
        </row>
        <row r="304">
          <cell r="B304">
            <v>25000000000301</v>
          </cell>
          <cell r="C304" t="str">
            <v>Mullan Tresna</v>
          </cell>
          <cell r="D304" t="str">
            <v>3271046502760003</v>
          </cell>
        </row>
        <row r="305">
          <cell r="B305">
            <v>25000000000302</v>
          </cell>
          <cell r="C305" t="str">
            <v>Mulyadi</v>
          </cell>
          <cell r="D305" t="str">
            <v/>
          </cell>
        </row>
        <row r="306">
          <cell r="B306">
            <v>25000000000303</v>
          </cell>
          <cell r="C306" t="str">
            <v>Mulyono</v>
          </cell>
          <cell r="D306" t="str">
            <v/>
          </cell>
        </row>
        <row r="307">
          <cell r="B307">
            <v>25000000000304</v>
          </cell>
          <cell r="C307" t="str">
            <v>Murdiansyah</v>
          </cell>
          <cell r="D307" t="str">
            <v/>
          </cell>
        </row>
        <row r="308">
          <cell r="B308">
            <v>25000000000305</v>
          </cell>
          <cell r="C308" t="str">
            <v>Mursalim</v>
          </cell>
          <cell r="D308" t="str">
            <v/>
          </cell>
        </row>
        <row r="309">
          <cell r="B309">
            <v>25000000000306</v>
          </cell>
          <cell r="C309" t="str">
            <v>Nancy Meriana Sinaga</v>
          </cell>
          <cell r="D309" t="str">
            <v/>
          </cell>
        </row>
        <row r="310">
          <cell r="B310">
            <v>25000000000307</v>
          </cell>
          <cell r="C310" t="str">
            <v>Nandang Effendi</v>
          </cell>
          <cell r="D310" t="str">
            <v>3604131405710001</v>
          </cell>
        </row>
        <row r="311">
          <cell r="B311">
            <v>25000000000308</v>
          </cell>
          <cell r="C311" t="str">
            <v>Narno</v>
          </cell>
          <cell r="D311" t="str">
            <v/>
          </cell>
        </row>
        <row r="312">
          <cell r="B312">
            <v>25000000000309</v>
          </cell>
          <cell r="C312" t="str">
            <v>Nasrul Anwar P.</v>
          </cell>
          <cell r="D312" t="str">
            <v/>
          </cell>
        </row>
        <row r="313">
          <cell r="B313">
            <v>25000000000310</v>
          </cell>
          <cell r="C313" t="str">
            <v>Nawal</v>
          </cell>
          <cell r="D313" t="str">
            <v/>
          </cell>
        </row>
        <row r="314">
          <cell r="B314">
            <v>25000000000311</v>
          </cell>
          <cell r="C314" t="str">
            <v>Nawir Lahamutu</v>
          </cell>
          <cell r="D314" t="str">
            <v/>
          </cell>
        </row>
        <row r="315">
          <cell r="B315">
            <v>25000000000312</v>
          </cell>
          <cell r="C315" t="str">
            <v>Nicky Kurnia</v>
          </cell>
          <cell r="D315" t="str">
            <v/>
          </cell>
        </row>
        <row r="316">
          <cell r="B316">
            <v>25000000000313</v>
          </cell>
          <cell r="C316" t="str">
            <v>Noercholis Firmansyah</v>
          </cell>
          <cell r="D316" t="str">
            <v/>
          </cell>
        </row>
        <row r="317">
          <cell r="B317">
            <v>25000000000314</v>
          </cell>
          <cell r="C317" t="str">
            <v>Nopitasari</v>
          </cell>
          <cell r="D317" t="str">
            <v/>
          </cell>
        </row>
        <row r="318">
          <cell r="B318">
            <v>25000000000315</v>
          </cell>
          <cell r="C318" t="str">
            <v>Nora Meilissa</v>
          </cell>
          <cell r="D318" t="str">
            <v/>
          </cell>
        </row>
        <row r="319">
          <cell r="B319">
            <v>25000000000316</v>
          </cell>
          <cell r="C319" t="str">
            <v>Novalia</v>
          </cell>
          <cell r="D319" t="str">
            <v/>
          </cell>
        </row>
        <row r="320">
          <cell r="B320">
            <v>25000000000317</v>
          </cell>
          <cell r="C320" t="str">
            <v>Novan Nugraha</v>
          </cell>
          <cell r="D320" t="str">
            <v/>
          </cell>
        </row>
        <row r="321">
          <cell r="B321">
            <v>25000000000318</v>
          </cell>
          <cell r="C321" t="str">
            <v>Nugraha</v>
          </cell>
          <cell r="D321" t="str">
            <v/>
          </cell>
        </row>
        <row r="322">
          <cell r="B322">
            <v>25000000000319</v>
          </cell>
          <cell r="C322" t="str">
            <v>Nugroho Putranto</v>
          </cell>
          <cell r="D322" t="str">
            <v/>
          </cell>
        </row>
        <row r="323">
          <cell r="B323">
            <v>25000000000320</v>
          </cell>
          <cell r="C323" t="str">
            <v>Nur Indra Sri Melati</v>
          </cell>
          <cell r="D323" t="str">
            <v/>
          </cell>
        </row>
        <row r="324">
          <cell r="B324">
            <v>25000000000321</v>
          </cell>
          <cell r="C324" t="str">
            <v>Nur Kusumowati</v>
          </cell>
          <cell r="D324" t="str">
            <v/>
          </cell>
        </row>
        <row r="325">
          <cell r="B325">
            <v>25000000000322</v>
          </cell>
          <cell r="C325" t="str">
            <v>Nurhidayat</v>
          </cell>
          <cell r="D325" t="str">
            <v/>
          </cell>
        </row>
        <row r="326">
          <cell r="B326">
            <v>25000000000323</v>
          </cell>
          <cell r="C326" t="str">
            <v>Otong Bustori</v>
          </cell>
          <cell r="D326" t="str">
            <v/>
          </cell>
        </row>
        <row r="327">
          <cell r="B327">
            <v>25000000000324</v>
          </cell>
          <cell r="C327" t="str">
            <v>Paino Suprayinto</v>
          </cell>
          <cell r="D327" t="str">
            <v/>
          </cell>
        </row>
        <row r="328">
          <cell r="B328">
            <v>25000000000325</v>
          </cell>
          <cell r="C328" t="str">
            <v>Panca Yudi Baskoro</v>
          </cell>
          <cell r="D328" t="str">
            <v/>
          </cell>
        </row>
        <row r="329">
          <cell r="B329">
            <v>25000000000326</v>
          </cell>
          <cell r="C329" t="str">
            <v>Panji Bima Santri</v>
          </cell>
          <cell r="D329" t="str">
            <v/>
          </cell>
        </row>
        <row r="330">
          <cell r="B330">
            <v>25000000000327</v>
          </cell>
          <cell r="C330" t="str">
            <v>Parulian Napitupulu</v>
          </cell>
          <cell r="D330" t="str">
            <v/>
          </cell>
        </row>
        <row r="331">
          <cell r="B331">
            <v>25000000000328</v>
          </cell>
          <cell r="C331" t="str">
            <v>Paryanto</v>
          </cell>
          <cell r="D331" t="str">
            <v/>
          </cell>
        </row>
        <row r="332">
          <cell r="B332">
            <v>25000000000329</v>
          </cell>
          <cell r="C332" t="str">
            <v>Pikri Hidayat</v>
          </cell>
          <cell r="D332" t="str">
            <v/>
          </cell>
        </row>
        <row r="333">
          <cell r="B333">
            <v>25000000000330</v>
          </cell>
          <cell r="C333" t="str">
            <v>Prayanti Dewi Anggraini</v>
          </cell>
          <cell r="D333" t="str">
            <v/>
          </cell>
        </row>
        <row r="334">
          <cell r="B334">
            <v>25000000000331</v>
          </cell>
          <cell r="C334" t="str">
            <v>Prayati Zai</v>
          </cell>
          <cell r="D334" t="str">
            <v/>
          </cell>
        </row>
        <row r="335">
          <cell r="B335">
            <v>25000000000332</v>
          </cell>
          <cell r="C335" t="str">
            <v>Pristu Andonoto</v>
          </cell>
          <cell r="D335" t="str">
            <v/>
          </cell>
        </row>
        <row r="336">
          <cell r="B336">
            <v>25000000000333</v>
          </cell>
          <cell r="C336" t="str">
            <v>Putra Perdana Tirtomoyo</v>
          </cell>
          <cell r="D336" t="str">
            <v/>
          </cell>
        </row>
        <row r="337">
          <cell r="B337">
            <v>25000000000334</v>
          </cell>
          <cell r="C337" t="str">
            <v>R. Lar Kumalaning Tresno</v>
          </cell>
          <cell r="D337" t="str">
            <v/>
          </cell>
        </row>
        <row r="338">
          <cell r="B338">
            <v>25000000000335</v>
          </cell>
          <cell r="C338" t="str">
            <v>Rachmad</v>
          </cell>
          <cell r="D338" t="str">
            <v/>
          </cell>
        </row>
        <row r="339">
          <cell r="B339">
            <v>25000000000336</v>
          </cell>
          <cell r="C339" t="str">
            <v>Radjiman</v>
          </cell>
          <cell r="D339" t="str">
            <v/>
          </cell>
        </row>
        <row r="340">
          <cell r="B340">
            <v>25000000000337</v>
          </cell>
          <cell r="C340" t="str">
            <v>Rafi Firman Saputra</v>
          </cell>
          <cell r="D340" t="str">
            <v/>
          </cell>
        </row>
        <row r="341">
          <cell r="B341">
            <v>25000000000338</v>
          </cell>
          <cell r="C341" t="str">
            <v>Rahmat Riyadi</v>
          </cell>
          <cell r="D341" t="str">
            <v/>
          </cell>
        </row>
        <row r="342">
          <cell r="B342">
            <v>25000000000339</v>
          </cell>
          <cell r="C342" t="str">
            <v>Rahmat Sirfano</v>
          </cell>
          <cell r="D342" t="str">
            <v/>
          </cell>
        </row>
        <row r="343">
          <cell r="B343">
            <v>25000000000340</v>
          </cell>
          <cell r="C343" t="str">
            <v>Rais Indra Noor</v>
          </cell>
          <cell r="D343" t="str">
            <v/>
          </cell>
        </row>
        <row r="344">
          <cell r="B344">
            <v>25000000000341</v>
          </cell>
          <cell r="C344" t="str">
            <v>Rakman A. Hadi</v>
          </cell>
          <cell r="D344" t="str">
            <v/>
          </cell>
        </row>
        <row r="345">
          <cell r="B345">
            <v>25000000000342</v>
          </cell>
          <cell r="C345" t="str">
            <v>Ramaizon</v>
          </cell>
          <cell r="D345" t="str">
            <v/>
          </cell>
        </row>
        <row r="346">
          <cell r="B346">
            <v>25000000000343</v>
          </cell>
          <cell r="C346" t="str">
            <v>Rangga Darmawan</v>
          </cell>
          <cell r="D346" t="str">
            <v/>
          </cell>
        </row>
        <row r="347">
          <cell r="B347">
            <v>25000000000344</v>
          </cell>
          <cell r="C347" t="str">
            <v>Raoli Nainggolan</v>
          </cell>
          <cell r="D347" t="str">
            <v/>
          </cell>
        </row>
        <row r="348">
          <cell r="B348">
            <v>25000000000345</v>
          </cell>
          <cell r="C348" t="str">
            <v>Rayan Suryadikara</v>
          </cell>
          <cell r="D348" t="str">
            <v/>
          </cell>
        </row>
        <row r="349">
          <cell r="B349">
            <v>25000000000346</v>
          </cell>
          <cell r="C349" t="str">
            <v>Redi Setiadi</v>
          </cell>
          <cell r="D349" t="str">
            <v/>
          </cell>
        </row>
        <row r="350">
          <cell r="B350">
            <v>25000000000347</v>
          </cell>
          <cell r="C350" t="str">
            <v>Redi Subekti</v>
          </cell>
          <cell r="D350" t="str">
            <v>3275050308620012</v>
          </cell>
        </row>
        <row r="351">
          <cell r="B351">
            <v>25000000000348</v>
          </cell>
          <cell r="C351" t="str">
            <v>Rendy Prananta Purba</v>
          </cell>
          <cell r="D351" t="str">
            <v/>
          </cell>
        </row>
        <row r="352">
          <cell r="B352">
            <v>25000000000349</v>
          </cell>
          <cell r="C352" t="str">
            <v>Reni Septiana</v>
          </cell>
          <cell r="D352" t="str">
            <v/>
          </cell>
        </row>
        <row r="353">
          <cell r="B353">
            <v>25000000000350</v>
          </cell>
          <cell r="C353" t="str">
            <v>Rere Ronggolawe</v>
          </cell>
          <cell r="D353" t="str">
            <v/>
          </cell>
        </row>
        <row r="354">
          <cell r="B354">
            <v>25000000000351</v>
          </cell>
          <cell r="C354" t="str">
            <v>Retnasha Gameswari</v>
          </cell>
          <cell r="D354" t="str">
            <v/>
          </cell>
        </row>
        <row r="355">
          <cell r="B355">
            <v>25000000000352</v>
          </cell>
          <cell r="C355" t="str">
            <v>Rhino Priawan</v>
          </cell>
          <cell r="D355" t="str">
            <v>7371101110870009</v>
          </cell>
        </row>
        <row r="356">
          <cell r="B356">
            <v>25000000000353</v>
          </cell>
          <cell r="C356" t="str">
            <v>Rian Yushak</v>
          </cell>
          <cell r="D356" t="str">
            <v/>
          </cell>
        </row>
        <row r="357">
          <cell r="B357">
            <v>25000000000354</v>
          </cell>
          <cell r="C357" t="str">
            <v>Riandi</v>
          </cell>
          <cell r="D357" t="str">
            <v/>
          </cell>
        </row>
        <row r="358">
          <cell r="B358">
            <v>25000000000355</v>
          </cell>
          <cell r="C358" t="str">
            <v>Ricky Samuel</v>
          </cell>
          <cell r="D358" t="str">
            <v/>
          </cell>
        </row>
        <row r="359">
          <cell r="B359">
            <v>25000000000356</v>
          </cell>
          <cell r="C359" t="str">
            <v>Ridwan Nurhadi</v>
          </cell>
          <cell r="D359" t="str">
            <v/>
          </cell>
        </row>
        <row r="360">
          <cell r="B360">
            <v>25000000000357</v>
          </cell>
          <cell r="C360" t="str">
            <v>Rifki</v>
          </cell>
          <cell r="D360" t="str">
            <v/>
          </cell>
        </row>
        <row r="361">
          <cell r="B361">
            <v>25000000000358</v>
          </cell>
          <cell r="C361" t="str">
            <v>Rika Ginting</v>
          </cell>
          <cell r="D361" t="str">
            <v/>
          </cell>
        </row>
        <row r="362">
          <cell r="B362">
            <v>25000000000359</v>
          </cell>
          <cell r="C362" t="str">
            <v>Riki Chairul Anwar</v>
          </cell>
          <cell r="D362" t="str">
            <v/>
          </cell>
        </row>
        <row r="363">
          <cell r="B363">
            <v>25000000000360</v>
          </cell>
          <cell r="C363" t="str">
            <v>Riki Evindra</v>
          </cell>
          <cell r="D363" t="str">
            <v/>
          </cell>
        </row>
        <row r="364">
          <cell r="B364">
            <v>25000000000361</v>
          </cell>
          <cell r="C364" t="str">
            <v>Rinaldi Asrin</v>
          </cell>
          <cell r="D364" t="str">
            <v/>
          </cell>
        </row>
        <row r="365">
          <cell r="B365">
            <v>25000000000362</v>
          </cell>
          <cell r="C365" t="str">
            <v>Rio Hakim</v>
          </cell>
          <cell r="D365" t="str">
            <v/>
          </cell>
        </row>
        <row r="366">
          <cell r="B366">
            <v>25000000000363</v>
          </cell>
          <cell r="C366" t="str">
            <v>Rio Martha</v>
          </cell>
          <cell r="D366" t="str">
            <v/>
          </cell>
        </row>
        <row r="367">
          <cell r="B367">
            <v>25000000000364</v>
          </cell>
          <cell r="C367" t="str">
            <v>Risdyanto Risdyanto</v>
          </cell>
          <cell r="D367" t="str">
            <v/>
          </cell>
        </row>
        <row r="368">
          <cell r="B368">
            <v>25000000000365</v>
          </cell>
          <cell r="C368" t="str">
            <v>Rizak Tri Septian</v>
          </cell>
          <cell r="D368" t="str">
            <v/>
          </cell>
        </row>
        <row r="369">
          <cell r="B369">
            <v>25000000000366</v>
          </cell>
          <cell r="C369" t="str">
            <v>Rizki Akbar</v>
          </cell>
          <cell r="D369" t="str">
            <v/>
          </cell>
        </row>
        <row r="370">
          <cell r="B370">
            <v>25000000000367</v>
          </cell>
          <cell r="C370" t="str">
            <v>Rizky Fauzy</v>
          </cell>
          <cell r="D370" t="str">
            <v/>
          </cell>
        </row>
        <row r="371">
          <cell r="B371">
            <v>25000000000368</v>
          </cell>
          <cell r="C371" t="str">
            <v>Rizky Reza Pradipta</v>
          </cell>
          <cell r="D371" t="str">
            <v/>
          </cell>
        </row>
        <row r="372">
          <cell r="B372">
            <v>25000000000369</v>
          </cell>
          <cell r="C372" t="str">
            <v>Rohendi Rohendi</v>
          </cell>
          <cell r="D372" t="str">
            <v/>
          </cell>
        </row>
        <row r="373">
          <cell r="B373">
            <v>25000000000370</v>
          </cell>
          <cell r="C373" t="str">
            <v>Rohmani</v>
          </cell>
          <cell r="D373" t="str">
            <v/>
          </cell>
        </row>
        <row r="374">
          <cell r="B374">
            <v>25000000000371</v>
          </cell>
          <cell r="C374" t="str">
            <v>Rommel Hutapea</v>
          </cell>
          <cell r="D374" t="str">
            <v/>
          </cell>
        </row>
        <row r="375">
          <cell r="B375">
            <v>25000000000372</v>
          </cell>
          <cell r="C375" t="str">
            <v>Roy Aditya</v>
          </cell>
          <cell r="D375" t="str">
            <v>3175042308790007</v>
          </cell>
        </row>
        <row r="376">
          <cell r="B376">
            <v>25000000000373</v>
          </cell>
          <cell r="C376" t="str">
            <v>Rubah</v>
          </cell>
          <cell r="D376" t="str">
            <v/>
          </cell>
        </row>
        <row r="377">
          <cell r="B377">
            <v>25000000000374</v>
          </cell>
          <cell r="C377" t="str">
            <v>Rudi Junaedi</v>
          </cell>
          <cell r="D377" t="str">
            <v/>
          </cell>
        </row>
        <row r="378">
          <cell r="B378">
            <v>25000000000375</v>
          </cell>
          <cell r="C378" t="str">
            <v>Ruswandi</v>
          </cell>
          <cell r="D378" t="str">
            <v/>
          </cell>
        </row>
        <row r="379">
          <cell r="B379">
            <v>25000000000376</v>
          </cell>
          <cell r="C379" t="str">
            <v>Ryan Bagus Sasminta</v>
          </cell>
          <cell r="D379" t="str">
            <v/>
          </cell>
        </row>
        <row r="380">
          <cell r="B380">
            <v>25000000000377</v>
          </cell>
          <cell r="C380" t="str">
            <v>Saarah Andriani</v>
          </cell>
          <cell r="D380" t="str">
            <v/>
          </cell>
        </row>
        <row r="381">
          <cell r="B381">
            <v>25000000000378</v>
          </cell>
          <cell r="C381" t="str">
            <v>Safira Nurbaiti</v>
          </cell>
          <cell r="D381" t="str">
            <v/>
          </cell>
        </row>
        <row r="382">
          <cell r="B382">
            <v>25000000000379</v>
          </cell>
          <cell r="C382" t="str">
            <v>Saifulloh</v>
          </cell>
          <cell r="D382" t="str">
            <v/>
          </cell>
        </row>
        <row r="383">
          <cell r="B383">
            <v>25000000000380</v>
          </cell>
          <cell r="C383" t="str">
            <v>Saifuloh</v>
          </cell>
          <cell r="D383" t="str">
            <v/>
          </cell>
        </row>
        <row r="384">
          <cell r="B384">
            <v>25000000000381</v>
          </cell>
          <cell r="C384" t="str">
            <v>Sakinah Tantriani Lubis</v>
          </cell>
          <cell r="D384" t="str">
            <v/>
          </cell>
        </row>
        <row r="385">
          <cell r="B385">
            <v>25000000000382</v>
          </cell>
          <cell r="C385" t="str">
            <v>Abdul Samad</v>
          </cell>
          <cell r="D385" t="str">
            <v/>
          </cell>
        </row>
        <row r="386">
          <cell r="B386">
            <v>25000000000383</v>
          </cell>
          <cell r="C386" t="str">
            <v>Samsul Hadi</v>
          </cell>
          <cell r="D386" t="str">
            <v/>
          </cell>
        </row>
        <row r="387">
          <cell r="B387">
            <v>25000000000384</v>
          </cell>
          <cell r="C387" t="str">
            <v>Sandika</v>
          </cell>
          <cell r="D387" t="str">
            <v/>
          </cell>
        </row>
        <row r="388">
          <cell r="B388">
            <v>25000000000385</v>
          </cell>
          <cell r="C388" t="str">
            <v>Sang Toga Sitompul</v>
          </cell>
          <cell r="D388" t="str">
            <v/>
          </cell>
        </row>
        <row r="389">
          <cell r="B389">
            <v>25000000000386</v>
          </cell>
          <cell r="C389" t="str">
            <v>Santi Dewi R. W.</v>
          </cell>
          <cell r="D389" t="str">
            <v/>
          </cell>
        </row>
        <row r="390">
          <cell r="B390">
            <v>25000000000387</v>
          </cell>
          <cell r="C390" t="str">
            <v>Sarah Sibarani</v>
          </cell>
          <cell r="D390" t="str">
            <v/>
          </cell>
        </row>
        <row r="391">
          <cell r="B391">
            <v>25000000000388</v>
          </cell>
          <cell r="C391" t="str">
            <v>Sarif Hidayatul Umah</v>
          </cell>
          <cell r="D391" t="str">
            <v/>
          </cell>
        </row>
        <row r="392">
          <cell r="B392">
            <v>25000000000389</v>
          </cell>
          <cell r="C392" t="str">
            <v>Satria Budi Raharja</v>
          </cell>
          <cell r="D392" t="str">
            <v/>
          </cell>
        </row>
        <row r="393">
          <cell r="B393">
            <v>25000000000390</v>
          </cell>
          <cell r="C393" t="str">
            <v>Saut M. P. L. Tobing</v>
          </cell>
          <cell r="D393" t="str">
            <v/>
          </cell>
        </row>
        <row r="394">
          <cell r="B394">
            <v>25000000000391</v>
          </cell>
          <cell r="C394" t="str">
            <v>Seftiyan Hadi Maulana</v>
          </cell>
          <cell r="D394" t="str">
            <v>3276022909900017</v>
          </cell>
        </row>
        <row r="395">
          <cell r="B395">
            <v>25000000000392</v>
          </cell>
          <cell r="C395" t="str">
            <v>Sena Andi Satria</v>
          </cell>
          <cell r="D395" t="str">
            <v/>
          </cell>
        </row>
        <row r="396">
          <cell r="B396">
            <v>25000000000393</v>
          </cell>
          <cell r="C396" t="str">
            <v>Setiadi</v>
          </cell>
          <cell r="D396" t="str">
            <v>3174030112750005</v>
          </cell>
        </row>
        <row r="397">
          <cell r="B397">
            <v>25000000000394</v>
          </cell>
          <cell r="C397" t="str">
            <v>Sherly Tamira</v>
          </cell>
          <cell r="D397" t="str">
            <v/>
          </cell>
        </row>
        <row r="398">
          <cell r="B398">
            <v>25000000000395</v>
          </cell>
          <cell r="C398" t="str">
            <v>Shihab</v>
          </cell>
          <cell r="D398" t="str">
            <v/>
          </cell>
        </row>
        <row r="399">
          <cell r="B399">
            <v>25000000000396</v>
          </cell>
          <cell r="C399" t="str">
            <v>Shobarin Jabar</v>
          </cell>
          <cell r="D399" t="str">
            <v/>
          </cell>
        </row>
        <row r="400">
          <cell r="B400">
            <v>25000000000397</v>
          </cell>
          <cell r="C400" t="str">
            <v>Sholehah</v>
          </cell>
          <cell r="D400" t="str">
            <v>3674056205940005</v>
          </cell>
        </row>
        <row r="401">
          <cell r="B401">
            <v>25000000000398</v>
          </cell>
          <cell r="C401" t="str">
            <v>Sigit Rudiantono</v>
          </cell>
          <cell r="D401" t="str">
            <v/>
          </cell>
        </row>
        <row r="402">
          <cell r="B402">
            <v>25000000000399</v>
          </cell>
          <cell r="C402" t="str">
            <v>Silvia Putri</v>
          </cell>
          <cell r="D402" t="str">
            <v/>
          </cell>
        </row>
        <row r="403">
          <cell r="B403">
            <v>25000000000400</v>
          </cell>
          <cell r="C403" t="str">
            <v>Simron Ronaldi Nasution</v>
          </cell>
          <cell r="D403" t="str">
            <v/>
          </cell>
        </row>
        <row r="404">
          <cell r="B404">
            <v>25000000000401</v>
          </cell>
          <cell r="C404" t="str">
            <v>Sinta Vera Trikawati</v>
          </cell>
          <cell r="D404" t="str">
            <v/>
          </cell>
        </row>
        <row r="405">
          <cell r="B405">
            <v>25000000000402</v>
          </cell>
          <cell r="C405" t="str">
            <v>Sir Muhammad Zafrulloh Khan</v>
          </cell>
          <cell r="D405" t="str">
            <v/>
          </cell>
        </row>
        <row r="406">
          <cell r="B406">
            <v>25000000000403</v>
          </cell>
          <cell r="C406" t="str">
            <v>Siska Marlina</v>
          </cell>
          <cell r="D406" t="str">
            <v/>
          </cell>
        </row>
        <row r="407">
          <cell r="B407">
            <v>25000000000404</v>
          </cell>
          <cell r="C407" t="str">
            <v>Siswanto</v>
          </cell>
          <cell r="D407" t="str">
            <v/>
          </cell>
        </row>
        <row r="408">
          <cell r="B408">
            <v>25000000000405</v>
          </cell>
          <cell r="C408" t="str">
            <v>Siti Mulyani</v>
          </cell>
          <cell r="D408" t="str">
            <v/>
          </cell>
        </row>
        <row r="409">
          <cell r="B409">
            <v>25000000000406</v>
          </cell>
          <cell r="C409" t="str">
            <v>Sjanti Devi</v>
          </cell>
          <cell r="D409" t="str">
            <v/>
          </cell>
        </row>
        <row r="410">
          <cell r="B410">
            <v>25000000000407</v>
          </cell>
          <cell r="C410" t="str">
            <v>Slamet Budi Setiawan</v>
          </cell>
          <cell r="D410" t="str">
            <v/>
          </cell>
        </row>
        <row r="411">
          <cell r="B411">
            <v>25000000000408</v>
          </cell>
          <cell r="C411" t="str">
            <v>Sofyan Maulana</v>
          </cell>
          <cell r="D411" t="str">
            <v/>
          </cell>
        </row>
        <row r="412">
          <cell r="B412">
            <v>25000000000409</v>
          </cell>
          <cell r="C412" t="str">
            <v>Subagio</v>
          </cell>
          <cell r="D412" t="str">
            <v/>
          </cell>
        </row>
        <row r="413">
          <cell r="B413">
            <v>25000000000410</v>
          </cell>
          <cell r="C413" t="str">
            <v>Suci Mardiana</v>
          </cell>
          <cell r="D413" t="str">
            <v/>
          </cell>
        </row>
        <row r="414">
          <cell r="B414">
            <v>25000000000411</v>
          </cell>
          <cell r="C414" t="str">
            <v>Suci Rachma Sari</v>
          </cell>
          <cell r="D414" t="str">
            <v/>
          </cell>
        </row>
        <row r="415">
          <cell r="B415">
            <v>25000000000412</v>
          </cell>
          <cell r="C415" t="str">
            <v>Sudarlan</v>
          </cell>
          <cell r="D415" t="str">
            <v>3173061206730012</v>
          </cell>
        </row>
        <row r="416">
          <cell r="B416">
            <v>25000000000413</v>
          </cell>
          <cell r="C416" t="str">
            <v>Sufie Amalia</v>
          </cell>
          <cell r="D416" t="str">
            <v/>
          </cell>
        </row>
        <row r="417">
          <cell r="B417">
            <v>25000000000414</v>
          </cell>
          <cell r="C417" t="str">
            <v>Sugeng Ismanto</v>
          </cell>
          <cell r="D417" t="str">
            <v/>
          </cell>
        </row>
        <row r="418">
          <cell r="B418">
            <v>25000000000415</v>
          </cell>
          <cell r="C418" t="str">
            <v>Sugiarto</v>
          </cell>
          <cell r="D418" t="str">
            <v>3174071006860011</v>
          </cell>
        </row>
        <row r="419">
          <cell r="B419">
            <v>25000000000416</v>
          </cell>
          <cell r="C419" t="str">
            <v>Sulih</v>
          </cell>
          <cell r="D419" t="str">
            <v/>
          </cell>
        </row>
        <row r="420">
          <cell r="B420">
            <v>25000000000417</v>
          </cell>
          <cell r="C420" t="str">
            <v>Sumadi</v>
          </cell>
          <cell r="D420" t="str">
            <v/>
          </cell>
        </row>
        <row r="421">
          <cell r="B421">
            <v>25000000000418</v>
          </cell>
          <cell r="C421" t="str">
            <v>Sumirat</v>
          </cell>
          <cell r="D421" t="str">
            <v/>
          </cell>
        </row>
        <row r="422">
          <cell r="B422">
            <v>25000000000419</v>
          </cell>
          <cell r="C422" t="str">
            <v>Sunaryati</v>
          </cell>
          <cell r="D422" t="str">
            <v/>
          </cell>
        </row>
        <row r="423">
          <cell r="B423">
            <v>25000000000420</v>
          </cell>
          <cell r="C423" t="str">
            <v>Supriyadi</v>
          </cell>
          <cell r="D423" t="str">
            <v/>
          </cell>
        </row>
        <row r="424">
          <cell r="B424">
            <v>25000000000421</v>
          </cell>
          <cell r="C424" t="str">
            <v>Suriono Suriono</v>
          </cell>
          <cell r="D424" t="str">
            <v/>
          </cell>
        </row>
        <row r="425">
          <cell r="B425">
            <v>25000000000422</v>
          </cell>
          <cell r="C425" t="str">
            <v>Surono</v>
          </cell>
          <cell r="D425" t="str">
            <v/>
          </cell>
        </row>
        <row r="426">
          <cell r="B426">
            <v>25000000000423</v>
          </cell>
          <cell r="C426" t="str">
            <v>Surtoyo Syukri</v>
          </cell>
          <cell r="D426" t="str">
            <v/>
          </cell>
        </row>
        <row r="427">
          <cell r="B427">
            <v>25000000000424</v>
          </cell>
          <cell r="C427" t="str">
            <v>Suryadi</v>
          </cell>
          <cell r="D427" t="str">
            <v/>
          </cell>
        </row>
        <row r="428">
          <cell r="B428">
            <v>25000000000425</v>
          </cell>
          <cell r="C428" t="str">
            <v>Susilawati</v>
          </cell>
          <cell r="D428" t="str">
            <v/>
          </cell>
        </row>
        <row r="429">
          <cell r="B429">
            <v>25000000000426</v>
          </cell>
          <cell r="C429" t="str">
            <v>Sutarno</v>
          </cell>
          <cell r="D429" t="str">
            <v/>
          </cell>
        </row>
        <row r="430">
          <cell r="B430">
            <v>25000000000427</v>
          </cell>
          <cell r="C430" t="str">
            <v>Sutra Riandi</v>
          </cell>
          <cell r="D430" t="str">
            <v/>
          </cell>
        </row>
        <row r="431">
          <cell r="B431">
            <v>25000000000428</v>
          </cell>
          <cell r="C431" t="str">
            <v>Suyanto</v>
          </cell>
          <cell r="D431" t="str">
            <v/>
          </cell>
        </row>
        <row r="432">
          <cell r="B432">
            <v>25000000000429</v>
          </cell>
          <cell r="C432" t="str">
            <v>Swar Jono</v>
          </cell>
          <cell r="D432" t="str">
            <v/>
          </cell>
        </row>
        <row r="433">
          <cell r="B433">
            <v>25000000000430</v>
          </cell>
          <cell r="C433" t="str">
            <v>Syafruddin</v>
          </cell>
          <cell r="D433" t="str">
            <v/>
          </cell>
        </row>
        <row r="434">
          <cell r="B434">
            <v>25000000000431</v>
          </cell>
          <cell r="C434" t="str">
            <v>Syafrudin Machmud</v>
          </cell>
          <cell r="D434" t="str">
            <v/>
          </cell>
        </row>
        <row r="435">
          <cell r="B435">
            <v>25000000000432</v>
          </cell>
          <cell r="C435" t="str">
            <v>Syahrizal</v>
          </cell>
          <cell r="D435" t="str">
            <v/>
          </cell>
        </row>
        <row r="436">
          <cell r="B436">
            <v>25000000000433</v>
          </cell>
          <cell r="C436" t="str">
            <v>Syaiful Idjam</v>
          </cell>
          <cell r="D436" t="str">
            <v/>
          </cell>
        </row>
        <row r="437">
          <cell r="B437">
            <v>25000000000434</v>
          </cell>
          <cell r="C437" t="str">
            <v>Tajuddin Assubki Ismail</v>
          </cell>
          <cell r="D437" t="str">
            <v/>
          </cell>
        </row>
        <row r="438">
          <cell r="B438">
            <v>25000000000435</v>
          </cell>
          <cell r="C438" t="str">
            <v>Taslim</v>
          </cell>
          <cell r="D438" t="str">
            <v/>
          </cell>
        </row>
        <row r="439">
          <cell r="B439">
            <v>25000000000436</v>
          </cell>
          <cell r="C439" t="str">
            <v>Taufik Mulia Pane</v>
          </cell>
          <cell r="D439" t="str">
            <v/>
          </cell>
        </row>
        <row r="440">
          <cell r="B440">
            <v>25000000000437</v>
          </cell>
          <cell r="C440" t="str">
            <v>Tedy Harseno</v>
          </cell>
          <cell r="D440" t="str">
            <v/>
          </cell>
        </row>
        <row r="441">
          <cell r="B441">
            <v>25000000000438</v>
          </cell>
          <cell r="C441" t="str">
            <v>Teguh Joko Pamuji</v>
          </cell>
          <cell r="D441" t="str">
            <v/>
          </cell>
        </row>
        <row r="442">
          <cell r="B442">
            <v>25000000000439</v>
          </cell>
          <cell r="C442" t="str">
            <v>Teguh Pratama Januzir Sukin</v>
          </cell>
          <cell r="D442" t="str">
            <v>3174092710810006</v>
          </cell>
        </row>
        <row r="443">
          <cell r="B443">
            <v>25000000000440</v>
          </cell>
          <cell r="C443" t="str">
            <v>Teguh Susanto</v>
          </cell>
          <cell r="D443" t="str">
            <v/>
          </cell>
        </row>
        <row r="444">
          <cell r="B444">
            <v>25000000000441</v>
          </cell>
          <cell r="C444" t="str">
            <v>Tenri Sumange</v>
          </cell>
          <cell r="D444" t="str">
            <v/>
          </cell>
        </row>
        <row r="445">
          <cell r="B445">
            <v>25000000000442</v>
          </cell>
          <cell r="C445" t="str">
            <v>Teuku Zulkifli</v>
          </cell>
          <cell r="D445" t="str">
            <v/>
          </cell>
        </row>
        <row r="446">
          <cell r="B446">
            <v>25000000000443</v>
          </cell>
          <cell r="C446" t="str">
            <v>Tiara Kemalasari</v>
          </cell>
          <cell r="D446" t="str">
            <v/>
          </cell>
        </row>
        <row r="447">
          <cell r="B447">
            <v>25000000000444</v>
          </cell>
          <cell r="C447" t="str">
            <v>Tjhang Linawati</v>
          </cell>
          <cell r="D447" t="str">
            <v/>
          </cell>
        </row>
        <row r="448">
          <cell r="B448">
            <v>25000000000445</v>
          </cell>
          <cell r="C448" t="str">
            <v>Totok Kristianto</v>
          </cell>
          <cell r="D448" t="str">
            <v/>
          </cell>
        </row>
        <row r="449">
          <cell r="B449">
            <v>25000000000446</v>
          </cell>
          <cell r="C449" t="str">
            <v>Tri Aji</v>
          </cell>
          <cell r="D449" t="str">
            <v/>
          </cell>
        </row>
        <row r="450">
          <cell r="B450">
            <v>25000000000447</v>
          </cell>
          <cell r="C450" t="str">
            <v>Tri M. Saputra</v>
          </cell>
          <cell r="D450" t="str">
            <v/>
          </cell>
        </row>
        <row r="451">
          <cell r="B451">
            <v>25000000000448</v>
          </cell>
          <cell r="C451" t="str">
            <v>Triani Irma</v>
          </cell>
          <cell r="D451" t="str">
            <v/>
          </cell>
        </row>
        <row r="452">
          <cell r="B452">
            <v>25000000000449</v>
          </cell>
          <cell r="C452" t="str">
            <v>Trisyanto</v>
          </cell>
          <cell r="D452" t="str">
            <v/>
          </cell>
        </row>
        <row r="453">
          <cell r="B453">
            <v>25000000000450</v>
          </cell>
          <cell r="C453" t="str">
            <v>Triwiarti Dibya</v>
          </cell>
          <cell r="D453" t="str">
            <v/>
          </cell>
        </row>
        <row r="454">
          <cell r="B454">
            <v>25000000000451</v>
          </cell>
          <cell r="C454" t="str">
            <v>Triyono</v>
          </cell>
          <cell r="D454" t="str">
            <v/>
          </cell>
        </row>
        <row r="455">
          <cell r="B455">
            <v>25000000000452</v>
          </cell>
          <cell r="C455" t="str">
            <v>Turita Pramuning Marantina</v>
          </cell>
          <cell r="D455" t="str">
            <v>3174074303660008</v>
          </cell>
        </row>
        <row r="456">
          <cell r="B456">
            <v>25000000000453</v>
          </cell>
          <cell r="C456" t="str">
            <v>Tutus Ary</v>
          </cell>
          <cell r="D456" t="str">
            <v/>
          </cell>
        </row>
        <row r="457">
          <cell r="B457">
            <v>25000000000454</v>
          </cell>
          <cell r="C457" t="str">
            <v>Ubaidillah</v>
          </cell>
          <cell r="D457" t="str">
            <v/>
          </cell>
        </row>
        <row r="458">
          <cell r="B458">
            <v>25000000000455</v>
          </cell>
          <cell r="C458" t="str">
            <v>Ujang Barma</v>
          </cell>
          <cell r="D458" t="str">
            <v/>
          </cell>
        </row>
        <row r="459">
          <cell r="B459">
            <v>25000000000456</v>
          </cell>
          <cell r="C459" t="str">
            <v>Ujang Suryana</v>
          </cell>
          <cell r="D459" t="str">
            <v/>
          </cell>
        </row>
        <row r="460">
          <cell r="B460">
            <v>25000000000457</v>
          </cell>
          <cell r="C460" t="str">
            <v>Ulman Juanda</v>
          </cell>
          <cell r="D460" t="str">
            <v/>
          </cell>
        </row>
        <row r="461">
          <cell r="B461">
            <v>25000000000458</v>
          </cell>
          <cell r="C461" t="str">
            <v>Urbanus Boimau</v>
          </cell>
          <cell r="D461" t="str">
            <v>3175022605760013</v>
          </cell>
        </row>
        <row r="462">
          <cell r="B462">
            <v>25000000000459</v>
          </cell>
          <cell r="C462" t="str">
            <v>Uswatun Hasamah</v>
          </cell>
          <cell r="D462" t="str">
            <v/>
          </cell>
        </row>
        <row r="463">
          <cell r="B463">
            <v>25000000000460</v>
          </cell>
          <cell r="C463" t="str">
            <v>Uswatun Khasanah</v>
          </cell>
          <cell r="D463" t="str">
            <v/>
          </cell>
        </row>
        <row r="464">
          <cell r="B464">
            <v>25000000000461</v>
          </cell>
          <cell r="C464" t="str">
            <v>Utami Dewi</v>
          </cell>
          <cell r="D464" t="str">
            <v/>
          </cell>
        </row>
        <row r="465">
          <cell r="B465">
            <v>25000000000462</v>
          </cell>
          <cell r="C465" t="str">
            <v>Utanto</v>
          </cell>
          <cell r="D465" t="str">
            <v/>
          </cell>
        </row>
        <row r="466">
          <cell r="B466">
            <v>25000000000463</v>
          </cell>
          <cell r="C466" t="str">
            <v>Veradita Yulanda</v>
          </cell>
          <cell r="D466" t="str">
            <v/>
          </cell>
        </row>
        <row r="467">
          <cell r="B467">
            <v>25000000000464</v>
          </cell>
          <cell r="C467" t="str">
            <v>Vidhy Kartika Putri</v>
          </cell>
          <cell r="D467" t="str">
            <v/>
          </cell>
        </row>
        <row r="468">
          <cell r="B468">
            <v>25000000000465</v>
          </cell>
          <cell r="C468" t="str">
            <v>Vonny Agram</v>
          </cell>
          <cell r="D468" t="str">
            <v/>
          </cell>
        </row>
        <row r="469">
          <cell r="B469">
            <v>25000000000466</v>
          </cell>
          <cell r="C469" t="str">
            <v>Wahyu</v>
          </cell>
          <cell r="D469" t="str">
            <v/>
          </cell>
        </row>
        <row r="470">
          <cell r="B470">
            <v>25000000000467</v>
          </cell>
          <cell r="C470" t="str">
            <v>Wahyu Ramadhani</v>
          </cell>
          <cell r="D470" t="str">
            <v/>
          </cell>
        </row>
        <row r="471">
          <cell r="B471">
            <v>25000000000468</v>
          </cell>
          <cell r="C471" t="str">
            <v>Wahyu Widodo</v>
          </cell>
          <cell r="D471" t="str">
            <v/>
          </cell>
        </row>
        <row r="472">
          <cell r="B472">
            <v>25000000000469</v>
          </cell>
          <cell r="C472" t="str">
            <v>Warsito Edy Saputra</v>
          </cell>
          <cell r="D472" t="str">
            <v/>
          </cell>
        </row>
        <row r="473">
          <cell r="B473">
            <v>25000000000470</v>
          </cell>
          <cell r="C473" t="str">
            <v>Weldi Wimar</v>
          </cell>
          <cell r="D473" t="str">
            <v/>
          </cell>
        </row>
        <row r="474">
          <cell r="B474">
            <v>25000000000471</v>
          </cell>
          <cell r="C474" t="str">
            <v>Wendy Septiyan</v>
          </cell>
          <cell r="D474" t="str">
            <v/>
          </cell>
        </row>
        <row r="475">
          <cell r="B475">
            <v>25000000000472</v>
          </cell>
          <cell r="C475" t="str">
            <v>Willy Indarto</v>
          </cell>
          <cell r="D475" t="str">
            <v/>
          </cell>
        </row>
        <row r="476">
          <cell r="B476">
            <v>25000000000473</v>
          </cell>
          <cell r="C476" t="str">
            <v>Winda Suherman</v>
          </cell>
          <cell r="D476" t="str">
            <v/>
          </cell>
        </row>
        <row r="477">
          <cell r="B477">
            <v>25000000000474</v>
          </cell>
          <cell r="C477" t="str">
            <v>Wisnu Ardian</v>
          </cell>
          <cell r="D477" t="str">
            <v/>
          </cell>
        </row>
        <row r="478">
          <cell r="B478">
            <v>25000000000475</v>
          </cell>
          <cell r="C478" t="str">
            <v>Wisudanto C. Suntoyo</v>
          </cell>
          <cell r="D478" t="str">
            <v/>
          </cell>
        </row>
        <row r="479">
          <cell r="B479">
            <v>25000000000476</v>
          </cell>
          <cell r="C479" t="str">
            <v>Yahya Adyasa Febriansyah</v>
          </cell>
          <cell r="D479" t="str">
            <v/>
          </cell>
        </row>
        <row r="480">
          <cell r="B480">
            <v>25000000000477</v>
          </cell>
          <cell r="C480" t="str">
            <v>Yakup Sunaryo</v>
          </cell>
          <cell r="D480" t="str">
            <v/>
          </cell>
        </row>
        <row r="481">
          <cell r="B481">
            <v>25000000000478</v>
          </cell>
          <cell r="C481" t="str">
            <v>Yanuar Tri Ananda</v>
          </cell>
          <cell r="D481" t="str">
            <v/>
          </cell>
        </row>
        <row r="482">
          <cell r="B482">
            <v>25000000000479</v>
          </cell>
          <cell r="C482" t="str">
            <v>Yasir Liem</v>
          </cell>
          <cell r="D482" t="str">
            <v/>
          </cell>
        </row>
        <row r="483">
          <cell r="B483">
            <v>25000000000480</v>
          </cell>
          <cell r="C483" t="str">
            <v>Yefri Hendrayani</v>
          </cell>
          <cell r="D483" t="str">
            <v/>
          </cell>
        </row>
        <row r="484">
          <cell r="B484">
            <v>25000000000481</v>
          </cell>
          <cell r="C484" t="str">
            <v>Yessi Setiarini</v>
          </cell>
          <cell r="D484" t="str">
            <v/>
          </cell>
        </row>
        <row r="485">
          <cell r="B485">
            <v>25000000000482</v>
          </cell>
          <cell r="C485" t="str">
            <v>Yorid Fae</v>
          </cell>
          <cell r="D485" t="str">
            <v/>
          </cell>
        </row>
        <row r="486">
          <cell r="B486">
            <v>25000000000483</v>
          </cell>
          <cell r="C486" t="str">
            <v>Yosef Hang Wan</v>
          </cell>
          <cell r="D486" t="str">
            <v/>
          </cell>
        </row>
        <row r="487">
          <cell r="B487">
            <v>25000000000484</v>
          </cell>
          <cell r="C487" t="str">
            <v>Yossie Deliana</v>
          </cell>
          <cell r="D487" t="str">
            <v/>
          </cell>
        </row>
        <row r="488">
          <cell r="B488">
            <v>25000000000485</v>
          </cell>
          <cell r="C488" t="str">
            <v>Yudi Rahmadi</v>
          </cell>
          <cell r="D488" t="str">
            <v/>
          </cell>
        </row>
        <row r="489">
          <cell r="B489">
            <v>25000000000486</v>
          </cell>
          <cell r="C489" t="str">
            <v>Yudo Jati Rahmat Satrio</v>
          </cell>
          <cell r="D489" t="str">
            <v/>
          </cell>
        </row>
        <row r="490">
          <cell r="B490">
            <v>25000000000487</v>
          </cell>
          <cell r="C490" t="str">
            <v>Yuliandaru Suryoatmodjo</v>
          </cell>
          <cell r="D490" t="str">
            <v>3275090407740011</v>
          </cell>
        </row>
        <row r="491">
          <cell r="B491">
            <v>25000000000488</v>
          </cell>
          <cell r="C491" t="str">
            <v>Yulianta</v>
          </cell>
          <cell r="D491" t="str">
            <v/>
          </cell>
        </row>
        <row r="492">
          <cell r="B492">
            <v>25000000000489</v>
          </cell>
          <cell r="C492" t="str">
            <v>Yulianti</v>
          </cell>
          <cell r="D492" t="str">
            <v/>
          </cell>
        </row>
        <row r="493">
          <cell r="B493">
            <v>25000000000490</v>
          </cell>
          <cell r="C493" t="str">
            <v>Yulius</v>
          </cell>
          <cell r="D493" t="str">
            <v/>
          </cell>
        </row>
        <row r="494">
          <cell r="B494">
            <v>25000000000491</v>
          </cell>
          <cell r="C494" t="str">
            <v>Yunni Sazili</v>
          </cell>
          <cell r="D494" t="str">
            <v/>
          </cell>
        </row>
        <row r="495">
          <cell r="B495">
            <v>25000000000492</v>
          </cell>
          <cell r="C495" t="str">
            <v>Yusman</v>
          </cell>
          <cell r="D495" t="str">
            <v/>
          </cell>
        </row>
        <row r="496">
          <cell r="B496">
            <v>25000000000493</v>
          </cell>
          <cell r="C496" t="str">
            <v>Yusri Azhar</v>
          </cell>
          <cell r="D496" t="str">
            <v/>
          </cell>
        </row>
        <row r="497">
          <cell r="B497">
            <v>25000000000494</v>
          </cell>
          <cell r="C497" t="str">
            <v>Zafrizal</v>
          </cell>
          <cell r="D497" t="str">
            <v/>
          </cell>
        </row>
        <row r="498">
          <cell r="B498">
            <v>25000000000495</v>
          </cell>
          <cell r="C498" t="str">
            <v>Zafrizal Rifla (Ucok)</v>
          </cell>
          <cell r="D498" t="str">
            <v/>
          </cell>
        </row>
        <row r="499">
          <cell r="B499">
            <v>25000000000496</v>
          </cell>
          <cell r="C499" t="str">
            <v>Zainuddin</v>
          </cell>
          <cell r="D499" t="str">
            <v/>
          </cell>
        </row>
        <row r="500">
          <cell r="B500">
            <v>25000000000497</v>
          </cell>
          <cell r="C500" t="str">
            <v>Zainudin Anwar</v>
          </cell>
          <cell r="D500" t="str">
            <v>3174090601960003</v>
          </cell>
        </row>
        <row r="501">
          <cell r="B501">
            <v>25000000000498</v>
          </cell>
          <cell r="C501" t="str">
            <v>Zaire Dite Biscaya</v>
          </cell>
          <cell r="D501" t="str">
            <v/>
          </cell>
        </row>
        <row r="502">
          <cell r="B502">
            <v>25000000000499</v>
          </cell>
          <cell r="C502" t="str">
            <v>Zalfi Yandri</v>
          </cell>
          <cell r="D502" t="str">
            <v/>
          </cell>
        </row>
        <row r="503">
          <cell r="B503">
            <v>25000000000500</v>
          </cell>
          <cell r="C503" t="str">
            <v>Zam Roji</v>
          </cell>
          <cell r="D503" t="str">
            <v/>
          </cell>
        </row>
        <row r="504">
          <cell r="B504">
            <v>25000000000501</v>
          </cell>
          <cell r="C504" t="str">
            <v>Zulfikar K. Siregar</v>
          </cell>
          <cell r="D504" t="str">
            <v>1271201607700004</v>
          </cell>
        </row>
        <row r="505">
          <cell r="B505">
            <v>25000000000502</v>
          </cell>
          <cell r="C505" t="str">
            <v>Adythia Adikara</v>
          </cell>
          <cell r="D505" t="str">
            <v/>
          </cell>
        </row>
        <row r="506">
          <cell r="B506">
            <v>25000000000503</v>
          </cell>
          <cell r="C506" t="str">
            <v>Agus Sopyan Hadi</v>
          </cell>
          <cell r="D506" t="str">
            <v/>
          </cell>
        </row>
        <row r="507">
          <cell r="B507">
            <v>25000000000504</v>
          </cell>
          <cell r="C507" t="str">
            <v>Azis Purwandana</v>
          </cell>
          <cell r="D507" t="str">
            <v/>
          </cell>
        </row>
        <row r="508">
          <cell r="B508">
            <v>25000000000505</v>
          </cell>
          <cell r="C508" t="str">
            <v>Heryanto</v>
          </cell>
          <cell r="D508" t="str">
            <v/>
          </cell>
        </row>
        <row r="509">
          <cell r="B509">
            <v>25000000000506</v>
          </cell>
          <cell r="C509" t="str">
            <v>Imran</v>
          </cell>
          <cell r="D509" t="str">
            <v/>
          </cell>
        </row>
        <row r="510">
          <cell r="B510">
            <v>25000000000507</v>
          </cell>
          <cell r="C510" t="str">
            <v>Khamim Taryono</v>
          </cell>
          <cell r="D510" t="str">
            <v/>
          </cell>
        </row>
        <row r="511">
          <cell r="B511">
            <v>25000000000508</v>
          </cell>
          <cell r="C511" t="str">
            <v>Rafi Artman Siddiq</v>
          </cell>
          <cell r="D511" t="str">
            <v/>
          </cell>
        </row>
        <row r="512">
          <cell r="B512">
            <v>25000000000509</v>
          </cell>
          <cell r="C512" t="str">
            <v>Riza Emir Subekti</v>
          </cell>
          <cell r="D512" t="str">
            <v>3275053003920010</v>
          </cell>
        </row>
        <row r="513">
          <cell r="B513">
            <v>25000000000510</v>
          </cell>
          <cell r="C513" t="str">
            <v>Slamet Riadi</v>
          </cell>
          <cell r="D513" t="str">
            <v/>
          </cell>
        </row>
        <row r="514">
          <cell r="B514">
            <v>25000000000511</v>
          </cell>
          <cell r="C514" t="str">
            <v>Wisnu Andra Isdianto</v>
          </cell>
          <cell r="D514" t="str">
            <v/>
          </cell>
        </row>
        <row r="515">
          <cell r="B515">
            <v>25000000000512</v>
          </cell>
          <cell r="C515" t="str">
            <v>Agus Budi Setiawan</v>
          </cell>
          <cell r="D515" t="str">
            <v/>
          </cell>
        </row>
        <row r="516">
          <cell r="B516">
            <v>25000000000513</v>
          </cell>
          <cell r="C516" t="str">
            <v>Ahmad Choerul</v>
          </cell>
          <cell r="D516" t="str">
            <v>3175101105950001</v>
          </cell>
        </row>
        <row r="517">
          <cell r="B517">
            <v>25000000000514</v>
          </cell>
          <cell r="C517" t="str">
            <v>Achmad Yunadi</v>
          </cell>
          <cell r="D517" t="str">
            <v/>
          </cell>
        </row>
        <row r="518">
          <cell r="B518">
            <v>25000000000515</v>
          </cell>
          <cell r="C518" t="str">
            <v>Asep mulyana</v>
          </cell>
          <cell r="D518" t="str">
            <v/>
          </cell>
        </row>
        <row r="519">
          <cell r="B519">
            <v>25000000000516</v>
          </cell>
          <cell r="C519" t="str">
            <v>Bagus Isdiantara</v>
          </cell>
          <cell r="D519" t="str">
            <v/>
          </cell>
        </row>
        <row r="520">
          <cell r="B520">
            <v>25000000000517</v>
          </cell>
          <cell r="C520" t="str">
            <v>Cahyana</v>
          </cell>
          <cell r="D520" t="str">
            <v>3273250505830006</v>
          </cell>
        </row>
        <row r="521">
          <cell r="B521">
            <v>25000000000518</v>
          </cell>
          <cell r="C521" t="str">
            <v>Dede Hartanto</v>
          </cell>
          <cell r="D521" t="str">
            <v/>
          </cell>
        </row>
        <row r="522">
          <cell r="B522">
            <v>25000000000519</v>
          </cell>
          <cell r="C522" t="str">
            <v>Denny Achmad Ferlando</v>
          </cell>
          <cell r="D522" t="str">
            <v/>
          </cell>
        </row>
        <row r="523">
          <cell r="B523">
            <v>25000000000520</v>
          </cell>
          <cell r="C523" t="str">
            <v>Dian Setiawan</v>
          </cell>
          <cell r="D523" t="str">
            <v/>
          </cell>
        </row>
        <row r="524">
          <cell r="B524">
            <v>25000000000521</v>
          </cell>
          <cell r="C524" t="str">
            <v>Fabrian Danang Destiyara</v>
          </cell>
          <cell r="D524" t="str">
            <v>3174030112980003</v>
          </cell>
        </row>
        <row r="525">
          <cell r="B525">
            <v>25000000000522</v>
          </cell>
          <cell r="C525" t="str">
            <v>Ferdian Kriswantoro</v>
          </cell>
          <cell r="D525" t="str">
            <v/>
          </cell>
        </row>
        <row r="526">
          <cell r="B526">
            <v>25000000000523</v>
          </cell>
          <cell r="C526" t="str">
            <v>Fuzi Mafrozi</v>
          </cell>
          <cell r="D526" t="str">
            <v/>
          </cell>
        </row>
        <row r="527">
          <cell r="B527">
            <v>25000000000524</v>
          </cell>
          <cell r="C527" t="str">
            <v>Gilang Setiawan</v>
          </cell>
          <cell r="D527" t="str">
            <v/>
          </cell>
        </row>
        <row r="528">
          <cell r="B528">
            <v>25000000000525</v>
          </cell>
          <cell r="C528" t="str">
            <v>Idris Affandi</v>
          </cell>
          <cell r="D528" t="str">
            <v/>
          </cell>
        </row>
        <row r="529">
          <cell r="B529">
            <v>25000000000526</v>
          </cell>
          <cell r="C529" t="str">
            <v>Indra Wijaya</v>
          </cell>
          <cell r="D529" t="str">
            <v/>
          </cell>
        </row>
        <row r="530">
          <cell r="B530">
            <v>25000000000527</v>
          </cell>
          <cell r="C530" t="str">
            <v>Irma Maulidawati</v>
          </cell>
          <cell r="D530" t="str">
            <v>3174096508970001</v>
          </cell>
        </row>
        <row r="531">
          <cell r="B531">
            <v>25000000000528</v>
          </cell>
          <cell r="C531" t="str">
            <v>Istikaro Fauziah</v>
          </cell>
          <cell r="D531" t="str">
            <v>3174054210980004</v>
          </cell>
        </row>
        <row r="532">
          <cell r="B532">
            <v>25000000000529</v>
          </cell>
          <cell r="C532" t="str">
            <v>Muhammad Lukbani</v>
          </cell>
          <cell r="D532" t="str">
            <v/>
          </cell>
        </row>
        <row r="533">
          <cell r="B533">
            <v>25000000000530</v>
          </cell>
          <cell r="C533" t="str">
            <v>Muhammad Sholikhun</v>
          </cell>
          <cell r="D533" t="str">
            <v/>
          </cell>
        </row>
        <row r="534">
          <cell r="B534">
            <v>25000000000531</v>
          </cell>
          <cell r="C534" t="str">
            <v>Muhammad Syarifudin</v>
          </cell>
          <cell r="D534" t="str">
            <v/>
          </cell>
        </row>
        <row r="535">
          <cell r="B535">
            <v>25000000000532</v>
          </cell>
          <cell r="C535" t="str">
            <v>Nadia Rizkiah</v>
          </cell>
          <cell r="D535" t="str">
            <v/>
          </cell>
        </row>
        <row r="536">
          <cell r="B536">
            <v>25000000000533</v>
          </cell>
          <cell r="C536" t="str">
            <v>Nikko Septian</v>
          </cell>
          <cell r="D536" t="str">
            <v/>
          </cell>
        </row>
        <row r="537">
          <cell r="B537">
            <v>25000000000534</v>
          </cell>
          <cell r="C537" t="str">
            <v>Novizan</v>
          </cell>
          <cell r="D537" t="str">
            <v/>
          </cell>
        </row>
        <row r="538">
          <cell r="B538">
            <v>25000000000535</v>
          </cell>
          <cell r="C538" t="str">
            <v>Oqi Suhaqi Yunus</v>
          </cell>
          <cell r="D538" t="str">
            <v/>
          </cell>
        </row>
        <row r="539">
          <cell r="B539">
            <v>25000000000536</v>
          </cell>
          <cell r="C539" t="str">
            <v>Restu Dwi Anjayani</v>
          </cell>
          <cell r="D539" t="str">
            <v>3216085507950007</v>
          </cell>
        </row>
        <row r="540">
          <cell r="B540">
            <v>25000000000537</v>
          </cell>
          <cell r="C540" t="str">
            <v>Rizal Amri</v>
          </cell>
          <cell r="D540" t="str">
            <v/>
          </cell>
        </row>
        <row r="541">
          <cell r="B541">
            <v>25000000000538</v>
          </cell>
          <cell r="C541" t="str">
            <v>Ronny Anindika Arnold</v>
          </cell>
          <cell r="D541" t="str">
            <v/>
          </cell>
        </row>
        <row r="542">
          <cell r="B542">
            <v>25000000000539</v>
          </cell>
          <cell r="C542" t="str">
            <v>Samta Harahap</v>
          </cell>
          <cell r="D542" t="str">
            <v/>
          </cell>
        </row>
        <row r="543">
          <cell r="B543">
            <v>25000000000540</v>
          </cell>
          <cell r="C543" t="str">
            <v>Vingky Hendriek Yomerlin</v>
          </cell>
          <cell r="D543" t="str">
            <v/>
          </cell>
        </row>
        <row r="544">
          <cell r="B544">
            <v>25000000000541</v>
          </cell>
          <cell r="C544" t="str">
            <v>Wahyu Teluk Naga</v>
          </cell>
          <cell r="D544" t="str">
            <v/>
          </cell>
        </row>
        <row r="545">
          <cell r="B545">
            <v>25000000000542</v>
          </cell>
          <cell r="C545" t="str">
            <v>Wardah Laily Khoiriyah</v>
          </cell>
          <cell r="D545" t="str">
            <v>3671065910970003</v>
          </cell>
        </row>
        <row r="546">
          <cell r="B546">
            <v>25000000000543</v>
          </cell>
          <cell r="C546" t="str">
            <v>Wawan Kusworo</v>
          </cell>
          <cell r="D546" t="str">
            <v/>
          </cell>
        </row>
        <row r="547">
          <cell r="B547">
            <v>25000000000544</v>
          </cell>
          <cell r="C547" t="str">
            <v>Wulanraniasih</v>
          </cell>
          <cell r="D547" t="str">
            <v/>
          </cell>
        </row>
        <row r="548">
          <cell r="B548">
            <v>25000000000545</v>
          </cell>
          <cell r="C548" t="str">
            <v>Yogi Perbangkara</v>
          </cell>
          <cell r="D548" t="str">
            <v>3201290804850007</v>
          </cell>
        </row>
        <row r="549">
          <cell r="B549">
            <v>25000000000546</v>
          </cell>
          <cell r="C549" t="str">
            <v>Yusuf Fathurahman</v>
          </cell>
          <cell r="D549" t="str">
            <v/>
          </cell>
        </row>
        <row r="550">
          <cell r="B550">
            <v>25000000000547</v>
          </cell>
          <cell r="C550" t="str">
            <v>Zeinurani</v>
          </cell>
          <cell r="D550" t="str">
            <v/>
          </cell>
        </row>
        <row r="551">
          <cell r="B551">
            <v>25000000000548</v>
          </cell>
          <cell r="C551" t="str">
            <v>Sulaeman</v>
          </cell>
          <cell r="D551" t="str">
            <v>3201301508830001</v>
          </cell>
        </row>
        <row r="552">
          <cell r="B552">
            <v>25000000000549</v>
          </cell>
          <cell r="C552" t="str">
            <v>Agus Nuryadi</v>
          </cell>
          <cell r="D552" t="str">
            <v/>
          </cell>
        </row>
        <row r="553">
          <cell r="B553">
            <v>25000000000550</v>
          </cell>
          <cell r="C553" t="str">
            <v>Dian Tri Rahmawati</v>
          </cell>
          <cell r="D553" t="str">
            <v>3172046605010007</v>
          </cell>
        </row>
        <row r="554">
          <cell r="B554">
            <v>25000000000551</v>
          </cell>
          <cell r="C554" t="str">
            <v>Langgeng Eko Dwiantoro</v>
          </cell>
          <cell r="D554" t="str">
            <v>3173081411840012</v>
          </cell>
        </row>
        <row r="555">
          <cell r="B555">
            <v>25000000000552</v>
          </cell>
          <cell r="C555" t="str">
            <v>Aldi Rizaldi</v>
          </cell>
          <cell r="D555" t="str">
            <v/>
          </cell>
        </row>
        <row r="556">
          <cell r="B556">
            <v>25000000000553</v>
          </cell>
          <cell r="C556" t="str">
            <v>Masimin</v>
          </cell>
          <cell r="D556" t="str">
            <v/>
          </cell>
        </row>
        <row r="557">
          <cell r="B557">
            <v>25000000000554</v>
          </cell>
          <cell r="C557" t="str">
            <v>Santoso Dwi Cahyo</v>
          </cell>
          <cell r="D557" t="str">
            <v/>
          </cell>
        </row>
        <row r="558">
          <cell r="B558">
            <v>25000000000555</v>
          </cell>
          <cell r="C558" t="str">
            <v>Wartono</v>
          </cell>
          <cell r="D558" t="str">
            <v/>
          </cell>
        </row>
        <row r="559">
          <cell r="B559">
            <v>25000000000556</v>
          </cell>
          <cell r="C559" t="str">
            <v>Yusarman</v>
          </cell>
          <cell r="D559" t="str">
            <v/>
          </cell>
        </row>
        <row r="560">
          <cell r="B560">
            <v>25000000000557</v>
          </cell>
          <cell r="C560" t="str">
            <v>Abdul Rachman</v>
          </cell>
          <cell r="D560" t="str">
            <v/>
          </cell>
        </row>
        <row r="561">
          <cell r="B561">
            <v>25000000000558</v>
          </cell>
          <cell r="C561" t="str">
            <v>Aden Bagus</v>
          </cell>
          <cell r="D561" t="str">
            <v/>
          </cell>
        </row>
        <row r="562">
          <cell r="B562">
            <v>25000000000559</v>
          </cell>
          <cell r="C562" t="str">
            <v>Adhe Kurniawan</v>
          </cell>
          <cell r="D562" t="str">
            <v>3216050912800006</v>
          </cell>
        </row>
        <row r="563">
          <cell r="B563">
            <v>25000000000560</v>
          </cell>
          <cell r="C563" t="str">
            <v>Ahmad Fauzi</v>
          </cell>
          <cell r="D563" t="str">
            <v/>
          </cell>
        </row>
        <row r="564">
          <cell r="B564">
            <v>25000000000561</v>
          </cell>
          <cell r="C564" t="str">
            <v>Ahmad Gunawan</v>
          </cell>
          <cell r="D564" t="str">
            <v/>
          </cell>
        </row>
        <row r="565">
          <cell r="B565">
            <v>25000000000562</v>
          </cell>
          <cell r="C565" t="str">
            <v>Andri Andriyan</v>
          </cell>
          <cell r="D565" t="str">
            <v/>
          </cell>
        </row>
        <row r="566">
          <cell r="B566">
            <v>25000000000563</v>
          </cell>
          <cell r="C566" t="str">
            <v>Budi Sulistianto</v>
          </cell>
          <cell r="D566" t="str">
            <v/>
          </cell>
        </row>
        <row r="567">
          <cell r="B567">
            <v>25000000000564</v>
          </cell>
          <cell r="C567" t="str">
            <v>Eka Budi</v>
          </cell>
          <cell r="D567" t="str">
            <v/>
          </cell>
        </row>
        <row r="568">
          <cell r="B568">
            <v>25000000000565</v>
          </cell>
          <cell r="C568" t="str">
            <v>Haerul Gunawan</v>
          </cell>
          <cell r="D568" t="str">
            <v/>
          </cell>
        </row>
        <row r="569">
          <cell r="B569">
            <v>25000000000566</v>
          </cell>
          <cell r="C569" t="str">
            <v>Irvan Agus</v>
          </cell>
          <cell r="D569" t="str">
            <v/>
          </cell>
        </row>
        <row r="570">
          <cell r="B570">
            <v>25000000000567</v>
          </cell>
          <cell r="C570" t="str">
            <v>Joshika Pradirga</v>
          </cell>
          <cell r="D570" t="str">
            <v/>
          </cell>
        </row>
        <row r="571">
          <cell r="B571">
            <v>25000000000568</v>
          </cell>
          <cell r="C571" t="str">
            <v>Khaidir</v>
          </cell>
          <cell r="D571" t="str">
            <v/>
          </cell>
        </row>
        <row r="572">
          <cell r="B572">
            <v>25000000000569</v>
          </cell>
          <cell r="C572" t="str">
            <v>Latip Muhlanto</v>
          </cell>
          <cell r="D572" t="str">
            <v/>
          </cell>
        </row>
        <row r="573">
          <cell r="B573">
            <v>25000000000570</v>
          </cell>
          <cell r="C573" t="str">
            <v>Leonardo Putra</v>
          </cell>
          <cell r="D573" t="str">
            <v/>
          </cell>
        </row>
        <row r="574">
          <cell r="B574">
            <v>25000000000571</v>
          </cell>
          <cell r="C574" t="str">
            <v>Muhammad Ramadani</v>
          </cell>
          <cell r="D574" t="str">
            <v/>
          </cell>
        </row>
        <row r="575">
          <cell r="B575">
            <v>25000000000572</v>
          </cell>
          <cell r="C575" t="str">
            <v>Musdalipa</v>
          </cell>
          <cell r="D575" t="str">
            <v/>
          </cell>
        </row>
        <row r="576">
          <cell r="B576">
            <v>25000000000573</v>
          </cell>
          <cell r="C576" t="str">
            <v>Nico Melky</v>
          </cell>
          <cell r="D576" t="str">
            <v/>
          </cell>
        </row>
        <row r="577">
          <cell r="B577">
            <v>25000000000574</v>
          </cell>
          <cell r="C577" t="str">
            <v>Rahmata Novanisa</v>
          </cell>
          <cell r="D577" t="str">
            <v>3404026711900001</v>
          </cell>
        </row>
        <row r="578">
          <cell r="B578">
            <v>25000000000575</v>
          </cell>
          <cell r="C578" t="str">
            <v>Satrio Dhiaputra</v>
          </cell>
          <cell r="D578" t="str">
            <v/>
          </cell>
        </row>
        <row r="579">
          <cell r="B579">
            <v>25000000000576</v>
          </cell>
          <cell r="C579" t="str">
            <v>Sudirman</v>
          </cell>
          <cell r="D579" t="str">
            <v/>
          </cell>
        </row>
        <row r="580">
          <cell r="B580">
            <v>25000000000577</v>
          </cell>
          <cell r="C580" t="str">
            <v>Suparji</v>
          </cell>
          <cell r="D580" t="str">
            <v/>
          </cell>
        </row>
        <row r="581">
          <cell r="B581">
            <v>25000000000578</v>
          </cell>
          <cell r="C581" t="str">
            <v>Taufik Iskandar</v>
          </cell>
          <cell r="D581" t="str">
            <v/>
          </cell>
        </row>
        <row r="582">
          <cell r="B582">
            <v>25000000000579</v>
          </cell>
          <cell r="C582" t="str">
            <v>Tegar Hersaputra</v>
          </cell>
          <cell r="D582" t="str">
            <v>3578032706850002</v>
          </cell>
        </row>
        <row r="583">
          <cell r="B583">
            <v>25000000000580</v>
          </cell>
          <cell r="C583" t="str">
            <v>Togar Sihombing</v>
          </cell>
          <cell r="D583" t="str">
            <v/>
          </cell>
        </row>
        <row r="584">
          <cell r="B584">
            <v>25000000000581</v>
          </cell>
          <cell r="C584" t="str">
            <v>Wisnu Trenggono Wirayuda</v>
          </cell>
          <cell r="D584" t="str">
            <v>3175042505000006</v>
          </cell>
        </row>
        <row r="585">
          <cell r="B585">
            <v>25000000000582</v>
          </cell>
          <cell r="C585" t="str">
            <v>Yogo</v>
          </cell>
          <cell r="D585" t="str">
            <v/>
          </cell>
        </row>
        <row r="586">
          <cell r="B586">
            <v>25000000000583</v>
          </cell>
          <cell r="C586" t="str">
            <v>Yustiana Firda</v>
          </cell>
          <cell r="D586" t="str">
            <v/>
          </cell>
        </row>
        <row r="587">
          <cell r="B587">
            <v>25000000000584</v>
          </cell>
          <cell r="C587" t="str">
            <v>Zainal Abidin</v>
          </cell>
          <cell r="D587" t="str">
            <v/>
          </cell>
        </row>
        <row r="588">
          <cell r="B588">
            <v>25000000000585</v>
          </cell>
          <cell r="C588" t="str">
            <v>Budi Sandika</v>
          </cell>
          <cell r="D588" t="str">
            <v/>
          </cell>
        </row>
        <row r="589">
          <cell r="B589">
            <v>25000000000586</v>
          </cell>
          <cell r="C589" t="str">
            <v>Fachri Azhar</v>
          </cell>
          <cell r="D589" t="str">
            <v/>
          </cell>
        </row>
        <row r="590">
          <cell r="B590">
            <v>25000000000587</v>
          </cell>
          <cell r="C590" t="str">
            <v>Firmansyah Awaludin</v>
          </cell>
          <cell r="D590" t="str">
            <v/>
          </cell>
        </row>
        <row r="591">
          <cell r="B591">
            <v>25000000000588</v>
          </cell>
          <cell r="C591" t="str">
            <v>Iman Faisal Abdurahman</v>
          </cell>
          <cell r="D591" t="str">
            <v>3201070101760014</v>
          </cell>
        </row>
        <row r="592">
          <cell r="B592">
            <v>25000000000589</v>
          </cell>
          <cell r="C592" t="str">
            <v>Muhammad Irfan Alfikri Rayana</v>
          </cell>
          <cell r="D592" t="str">
            <v/>
          </cell>
        </row>
        <row r="593">
          <cell r="B593">
            <v>25000000000590</v>
          </cell>
          <cell r="C593" t="str">
            <v>Syafri Johansah</v>
          </cell>
          <cell r="D593" t="str">
            <v/>
          </cell>
        </row>
        <row r="594">
          <cell r="B594">
            <v>25000000000591</v>
          </cell>
          <cell r="C594" t="str">
            <v>Agus Sobar</v>
          </cell>
          <cell r="D594" t="str">
            <v/>
          </cell>
        </row>
        <row r="595">
          <cell r="B595">
            <v>25000000000592</v>
          </cell>
          <cell r="C595" t="str">
            <v>Ahmad Sandi Asyuri</v>
          </cell>
          <cell r="D595" t="str">
            <v>3275063007960011</v>
          </cell>
        </row>
        <row r="596">
          <cell r="B596">
            <v>25000000000593</v>
          </cell>
          <cell r="C596" t="str">
            <v>Andi Mapasoro</v>
          </cell>
          <cell r="D596" t="str">
            <v>3172030304730004</v>
          </cell>
        </row>
        <row r="597">
          <cell r="B597">
            <v>25000000000594</v>
          </cell>
          <cell r="C597" t="str">
            <v>Arie Gustaman</v>
          </cell>
          <cell r="D597" t="str">
            <v/>
          </cell>
        </row>
        <row r="598">
          <cell r="B598">
            <v>25000000000595</v>
          </cell>
          <cell r="C598" t="str">
            <v>Arief Yulianto</v>
          </cell>
          <cell r="D598" t="str">
            <v>3305170207940005</v>
          </cell>
        </row>
        <row r="599">
          <cell r="B599">
            <v>25000000000596</v>
          </cell>
          <cell r="C599" t="str">
            <v>Burhan</v>
          </cell>
          <cell r="D599" t="str">
            <v>3174031404610002</v>
          </cell>
        </row>
        <row r="600">
          <cell r="B600">
            <v>25000000000597</v>
          </cell>
          <cell r="C600" t="str">
            <v>Deby Syahputa</v>
          </cell>
          <cell r="D600" t="str">
            <v/>
          </cell>
        </row>
        <row r="601">
          <cell r="B601">
            <v>25000000000598</v>
          </cell>
          <cell r="C601" t="str">
            <v>Ibrahim Arya Yuda</v>
          </cell>
          <cell r="D601" t="str">
            <v/>
          </cell>
        </row>
        <row r="602">
          <cell r="B602">
            <v>25000000000599</v>
          </cell>
          <cell r="C602" t="str">
            <v>Jamil</v>
          </cell>
          <cell r="D602" t="str">
            <v/>
          </cell>
        </row>
        <row r="603">
          <cell r="B603">
            <v>25000000000600</v>
          </cell>
          <cell r="C603" t="str">
            <v>Kiki Prasetyo</v>
          </cell>
          <cell r="D603" t="str">
            <v/>
          </cell>
        </row>
        <row r="604">
          <cell r="B604">
            <v>25000000000601</v>
          </cell>
          <cell r="C604" t="str">
            <v>Mochamad Ulul Azmi Wira Utama</v>
          </cell>
          <cell r="D604" t="str">
            <v>3201022807940001</v>
          </cell>
        </row>
        <row r="605">
          <cell r="B605">
            <v>25000000000602</v>
          </cell>
          <cell r="C605" t="str">
            <v>Muhammad Bilal Sharony</v>
          </cell>
          <cell r="D605" t="str">
            <v/>
          </cell>
        </row>
        <row r="606">
          <cell r="B606">
            <v>25000000000603</v>
          </cell>
          <cell r="C606" t="str">
            <v>Muhammad Hairul</v>
          </cell>
          <cell r="D606" t="str">
            <v/>
          </cell>
        </row>
        <row r="607">
          <cell r="B607">
            <v>25000000000604</v>
          </cell>
          <cell r="C607" t="str">
            <v>Muhammad Rizal</v>
          </cell>
          <cell r="D607" t="str">
            <v>3173070507890002</v>
          </cell>
        </row>
        <row r="608">
          <cell r="B608">
            <v>25000000000605</v>
          </cell>
          <cell r="C608" t="str">
            <v>Rahmad Dwifar</v>
          </cell>
          <cell r="D608" t="str">
            <v>1371102805980004</v>
          </cell>
        </row>
        <row r="609">
          <cell r="B609">
            <v>25000000000606</v>
          </cell>
          <cell r="C609" t="str">
            <v>Reza Sanjaya</v>
          </cell>
          <cell r="D609" t="str">
            <v/>
          </cell>
        </row>
        <row r="610">
          <cell r="B610">
            <v>25000000000607</v>
          </cell>
          <cell r="C610" t="str">
            <v>Ridwan Nur Muttaqin</v>
          </cell>
          <cell r="D610" t="str">
            <v>3308102707940002</v>
          </cell>
        </row>
        <row r="611">
          <cell r="B611">
            <v>25000000000608</v>
          </cell>
          <cell r="C611" t="str">
            <v xml:space="preserve">Risaldi </v>
          </cell>
          <cell r="D611" t="str">
            <v/>
          </cell>
        </row>
        <row r="612">
          <cell r="B612">
            <v>25000000000609</v>
          </cell>
          <cell r="C612" t="str">
            <v>Risty Alawiyah</v>
          </cell>
          <cell r="D612" t="str">
            <v>3201305605900001</v>
          </cell>
        </row>
        <row r="613">
          <cell r="B613">
            <v>25000000000610</v>
          </cell>
          <cell r="C613" t="str">
            <v>Rustono</v>
          </cell>
          <cell r="D613" t="str">
            <v>3174032511700006</v>
          </cell>
        </row>
        <row r="614">
          <cell r="B614">
            <v>25000000000611</v>
          </cell>
          <cell r="C614" t="str">
            <v>Solihin</v>
          </cell>
          <cell r="D614" t="str">
            <v>3174030307740005</v>
          </cell>
        </row>
        <row r="615">
          <cell r="B615">
            <v>25000000000612</v>
          </cell>
          <cell r="C615" t="str">
            <v>Supriatna</v>
          </cell>
          <cell r="D615" t="str">
            <v>3276062106750003</v>
          </cell>
        </row>
        <row r="616">
          <cell r="B616">
            <v>25000000000613</v>
          </cell>
          <cell r="C616" t="str">
            <v>Taufik Aminudin</v>
          </cell>
          <cell r="D616" t="str">
            <v/>
          </cell>
        </row>
        <row r="617">
          <cell r="B617">
            <v>25000000000614</v>
          </cell>
          <cell r="C617" t="str">
            <v>Timotius Tabun</v>
          </cell>
          <cell r="D617" t="str">
            <v>3603121805810006</v>
          </cell>
        </row>
        <row r="618">
          <cell r="B618">
            <v>25000000000615</v>
          </cell>
          <cell r="C618" t="str">
            <v>Adi</v>
          </cell>
          <cell r="D618" t="str">
            <v>3171060503000001</v>
          </cell>
        </row>
      </sheetData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ED"/>
      <sheetName val="DataLookUp"/>
      <sheetName val="Sheet2"/>
      <sheetName val="Sheet4"/>
      <sheetName val="Sheet1"/>
    </sheetNames>
    <sheetDataSet>
      <sheetData sheetId="0"/>
      <sheetData sheetId="1">
        <row r="4">
          <cell r="B4">
            <v>167000000000001</v>
          </cell>
          <cell r="C4" t="str">
            <v>Bank Central Asia - 0063032911</v>
          </cell>
          <cell r="D4" t="str">
            <v>IDR</v>
          </cell>
          <cell r="E4" t="str">
            <v>Institution - PT. QDC Technologies</v>
          </cell>
        </row>
        <row r="5">
          <cell r="B5">
            <v>167000000000002</v>
          </cell>
          <cell r="C5" t="str">
            <v>Bank Central Asia - 0065557750</v>
          </cell>
          <cell r="D5" t="str">
            <v>IDR</v>
          </cell>
          <cell r="E5" t="str">
            <v>Institution - PT. QDC Technologies</v>
          </cell>
        </row>
        <row r="6">
          <cell r="B6">
            <v>167000000000003</v>
          </cell>
          <cell r="C6" t="str">
            <v>Bank Central Asia - 0068502911</v>
          </cell>
          <cell r="D6" t="str">
            <v>IDR</v>
          </cell>
          <cell r="E6" t="str">
            <v>Institution - PT. QDC Technologies</v>
          </cell>
        </row>
        <row r="7">
          <cell r="B7">
            <v>167000000000004</v>
          </cell>
          <cell r="C7" t="str">
            <v>Bank Central Asia - 2173050101</v>
          </cell>
          <cell r="D7" t="str">
            <v>IDR</v>
          </cell>
          <cell r="E7" t="str">
            <v>Institution - PT. QDC Technologies</v>
          </cell>
        </row>
        <row r="8">
          <cell r="B8">
            <v>167000000000005</v>
          </cell>
          <cell r="C8" t="str">
            <v>Bank Central Asia - 2173108214</v>
          </cell>
          <cell r="D8" t="str">
            <v>IDR</v>
          </cell>
          <cell r="E8" t="str">
            <v>Institution - PT. QDC Technologies</v>
          </cell>
        </row>
        <row r="9">
          <cell r="B9">
            <v>167000000000006</v>
          </cell>
          <cell r="C9" t="str">
            <v>Bank CIMB Niaga - 762375277200</v>
          </cell>
          <cell r="D9" t="str">
            <v>IDR</v>
          </cell>
          <cell r="E9" t="str">
            <v>Institution - PT. QDC Technologies</v>
          </cell>
        </row>
        <row r="10">
          <cell r="B10">
            <v>167000000000007</v>
          </cell>
          <cell r="C10" t="str">
            <v>Bank CIMB Niaga - 800039839400</v>
          </cell>
          <cell r="D10" t="str">
            <v>IDR</v>
          </cell>
          <cell r="E10" t="str">
            <v>Institution - PT. QDC Technologies</v>
          </cell>
        </row>
        <row r="11">
          <cell r="B11">
            <v>167000000000008</v>
          </cell>
          <cell r="C11" t="str">
            <v>Bank CIMB Niaga - 800039840100</v>
          </cell>
          <cell r="D11" t="str">
            <v>IDR</v>
          </cell>
          <cell r="E11" t="str">
            <v>Institution - PT. QDC Technologies</v>
          </cell>
        </row>
        <row r="12">
          <cell r="B12">
            <v>167000000000009</v>
          </cell>
          <cell r="C12" t="str">
            <v>Bank CIMB Niaga - 860012900500</v>
          </cell>
          <cell r="D12" t="str">
            <v>IDR</v>
          </cell>
          <cell r="E12" t="str">
            <v>Institution - PT. QDC Technologies</v>
          </cell>
        </row>
        <row r="13">
          <cell r="B13">
            <v>167000000000010</v>
          </cell>
          <cell r="C13" t="str">
            <v>Bank Commonwealth - 1051189606</v>
          </cell>
          <cell r="D13" t="str">
            <v>IDR</v>
          </cell>
          <cell r="E13" t="str">
            <v>Institution - PT. QDC Technologies</v>
          </cell>
        </row>
        <row r="14">
          <cell r="B14">
            <v>167000000000011</v>
          </cell>
          <cell r="C14" t="str">
            <v>Bank Commonwealth - 1051189707</v>
          </cell>
          <cell r="D14" t="str">
            <v>USD</v>
          </cell>
          <cell r="E14" t="str">
            <v>Institution - PT. QDC Technologies</v>
          </cell>
        </row>
        <row r="15">
          <cell r="B15">
            <v>167000000000012</v>
          </cell>
          <cell r="C15" t="str">
            <v>Bank KB Bukopin - 1001327468</v>
          </cell>
          <cell r="D15" t="str">
            <v>IDR</v>
          </cell>
          <cell r="E15" t="str">
            <v>Institution - PT. QDC Technologies</v>
          </cell>
        </row>
        <row r="16">
          <cell r="B16">
            <v>167000000000013</v>
          </cell>
          <cell r="C16" t="str">
            <v>Bank KB Bukopin - 1001374466</v>
          </cell>
          <cell r="D16" t="str">
            <v>IDR</v>
          </cell>
          <cell r="E16" t="str">
            <v>Institution - PT. QDC Technologies</v>
          </cell>
        </row>
        <row r="17">
          <cell r="B17">
            <v>167000000000014</v>
          </cell>
          <cell r="C17" t="str">
            <v>Bank KB Bukopin - 1002405420</v>
          </cell>
          <cell r="D17" t="str">
            <v>IDR</v>
          </cell>
          <cell r="E17" t="str">
            <v>Institution - PT. QDC Technologies</v>
          </cell>
        </row>
        <row r="18">
          <cell r="B18">
            <v>167000000000015</v>
          </cell>
          <cell r="C18" t="str">
            <v>Bank Mandiri - 0700009986097</v>
          </cell>
          <cell r="D18" t="str">
            <v>IDR</v>
          </cell>
          <cell r="E18" t="str">
            <v>Institution - PT. QDC Technologies</v>
          </cell>
        </row>
        <row r="19">
          <cell r="B19">
            <v>167000000000016</v>
          </cell>
          <cell r="C19" t="str">
            <v>Bank Mandiri - 0700010933104</v>
          </cell>
          <cell r="D19" t="str">
            <v>IDR</v>
          </cell>
          <cell r="E19" t="str">
            <v>Institution - PT. QDC Technologies</v>
          </cell>
        </row>
        <row r="20">
          <cell r="B20">
            <v>167000000000017</v>
          </cell>
          <cell r="C20" t="str">
            <v>Bank Negara Indonesia - 1999998082</v>
          </cell>
          <cell r="D20" t="str">
            <v>IDR</v>
          </cell>
          <cell r="E20" t="str">
            <v>Institution - PT. QDC Technologies</v>
          </cell>
        </row>
        <row r="21">
          <cell r="B21">
            <v>167000000000018</v>
          </cell>
          <cell r="C21" t="str">
            <v>Bank Negara Indonesia - 779207704</v>
          </cell>
          <cell r="D21" t="str">
            <v>IDR</v>
          </cell>
          <cell r="E21" t="str">
            <v>Institution - PT. QDC Technologies</v>
          </cell>
        </row>
        <row r="22">
          <cell r="B22">
            <v>167000000000019</v>
          </cell>
          <cell r="C22" t="str">
            <v>Bank Negara Indonesia - 779207715</v>
          </cell>
          <cell r="D22" t="str">
            <v>IDR</v>
          </cell>
          <cell r="E22" t="str">
            <v>Institution - PT. QDC Technologies</v>
          </cell>
        </row>
        <row r="23">
          <cell r="B23">
            <v>167000000000020</v>
          </cell>
          <cell r="C23" t="str">
            <v>Bank Negara Indonesia - 8995885888</v>
          </cell>
          <cell r="D23" t="str">
            <v>IDR</v>
          </cell>
          <cell r="E23" t="str">
            <v>Institution - PT. QDC Technologies</v>
          </cell>
        </row>
        <row r="24">
          <cell r="B24">
            <v>167000000000021</v>
          </cell>
          <cell r="C24" t="str">
            <v>Bank Negara Indonesia - 907670396</v>
          </cell>
          <cell r="D24" t="str">
            <v>IDR</v>
          </cell>
          <cell r="E24" t="str">
            <v>Institution - PT. QDC Technologies</v>
          </cell>
        </row>
        <row r="25">
          <cell r="B25">
            <v>167000000000022</v>
          </cell>
          <cell r="C25" t="str">
            <v>Bank OCBC Nilai Inti Sari Penyimpanan - 020800017913</v>
          </cell>
          <cell r="D25" t="str">
            <v>IDR</v>
          </cell>
          <cell r="E25" t="str">
            <v>Institution - PT. QDC Technologies</v>
          </cell>
        </row>
        <row r="26">
          <cell r="B26">
            <v>167000000000023</v>
          </cell>
          <cell r="C26" t="str">
            <v>Bank Pembangunan Daerah Bengkulu - 0080107000764</v>
          </cell>
          <cell r="D26" t="str">
            <v>IDR</v>
          </cell>
          <cell r="E26" t="str">
            <v>Institution - PT. QDC Technologies</v>
          </cell>
        </row>
        <row r="27">
          <cell r="B27">
            <v>167000000000024</v>
          </cell>
          <cell r="C27" t="str">
            <v>Bank Pembangunan Daerah Jawa Barat Banten - 8880888880888</v>
          </cell>
          <cell r="D27" t="str">
            <v>IDR</v>
          </cell>
          <cell r="E27" t="str">
            <v>Institution - PT. QDC Technologies</v>
          </cell>
        </row>
        <row r="28">
          <cell r="B28">
            <v>167000000000025</v>
          </cell>
          <cell r="C28" t="str">
            <v>Bank Pembangunan Daerah Jawa Timur - 035101616</v>
          </cell>
          <cell r="D28" t="str">
            <v>IDR</v>
          </cell>
          <cell r="E28" t="str">
            <v>Institution - PT. QDC Technologies</v>
          </cell>
        </row>
        <row r="29">
          <cell r="B29">
            <v>167000000000026</v>
          </cell>
          <cell r="C29" t="str">
            <v>Bank Pembangunan Daerah Jawa Timur - 1221001121</v>
          </cell>
          <cell r="D29" t="str">
            <v>IDR</v>
          </cell>
          <cell r="E29" t="str">
            <v>Institution - PT. QDC Technologies</v>
          </cell>
        </row>
        <row r="30">
          <cell r="B30">
            <v>167000000000027</v>
          </cell>
          <cell r="C30" t="str">
            <v>Bank Pembangunan Daerah Jawa Timur - 1231001251</v>
          </cell>
          <cell r="D30" t="str">
            <v>IDR</v>
          </cell>
          <cell r="E30" t="str">
            <v>Institution - PT. QDC Technologies</v>
          </cell>
        </row>
        <row r="31">
          <cell r="B31">
            <v>167000000000028</v>
          </cell>
          <cell r="C31" t="str">
            <v>Bank Pembangunan Daerah Kalimantan Selatan - 0400007001223</v>
          </cell>
          <cell r="D31" t="str">
            <v>IDR</v>
          </cell>
          <cell r="E31" t="str">
            <v>Institution - PT. QDC Technologies</v>
          </cell>
        </row>
        <row r="32">
          <cell r="B32">
            <v>167000000000029</v>
          </cell>
          <cell r="C32" t="str">
            <v>Bank Permata - 0701393414</v>
          </cell>
          <cell r="D32" t="str">
            <v>USD</v>
          </cell>
          <cell r="E32" t="str">
            <v>Institution - PT. QDC Technologies</v>
          </cell>
        </row>
        <row r="33">
          <cell r="B33">
            <v>167000000000030</v>
          </cell>
          <cell r="C33" t="str">
            <v>Bank Permata - 0701393481</v>
          </cell>
          <cell r="D33" t="str">
            <v>USD</v>
          </cell>
          <cell r="E33" t="str">
            <v>Institution - PT. QDC Technologies</v>
          </cell>
        </row>
        <row r="34">
          <cell r="B34">
            <v>167000000000031</v>
          </cell>
          <cell r="C34" t="str">
            <v>Bank Permata - 0701393570</v>
          </cell>
          <cell r="D34" t="str">
            <v>IDR</v>
          </cell>
          <cell r="E34" t="str">
            <v>Institution - PT. QDC Technologies</v>
          </cell>
        </row>
        <row r="35">
          <cell r="B35">
            <v>167000000000032</v>
          </cell>
          <cell r="C35" t="str">
            <v>Bank Permata - 0701393643</v>
          </cell>
          <cell r="D35" t="str">
            <v>IDR</v>
          </cell>
          <cell r="E35" t="str">
            <v>Institution - PT. QDC Technologies</v>
          </cell>
        </row>
        <row r="36">
          <cell r="B36">
            <v>167000000000033</v>
          </cell>
          <cell r="C36" t="str">
            <v>Bank Rakyat Indonesia - 005301004453305</v>
          </cell>
          <cell r="D36" t="str">
            <v>IDR</v>
          </cell>
          <cell r="E36" t="str">
            <v>Institution - PT. QDC Technologies</v>
          </cell>
        </row>
        <row r="37">
          <cell r="B37">
            <v>167000000000034</v>
          </cell>
          <cell r="C37" t="str">
            <v>Bank Rakyat Indonesia - 019301001230300</v>
          </cell>
          <cell r="D37" t="str">
            <v>IDR</v>
          </cell>
          <cell r="E37" t="str">
            <v>Institution - PT. QDC Technologies</v>
          </cell>
        </row>
        <row r="38">
          <cell r="B38">
            <v>167000000000035</v>
          </cell>
          <cell r="C38" t="str">
            <v>Bank Rakyat Indonesia - 019301003214300</v>
          </cell>
          <cell r="D38" t="str">
            <v>IDR</v>
          </cell>
          <cell r="E38" t="str">
            <v>Institution - PT. QDC Technologies</v>
          </cell>
        </row>
        <row r="39">
          <cell r="B39">
            <v>167000000000036</v>
          </cell>
          <cell r="C39" t="str">
            <v>Bank Rakyat Indonesia - 019301003667309</v>
          </cell>
          <cell r="D39" t="str">
            <v>IDR</v>
          </cell>
          <cell r="E39" t="str">
            <v>Institution - PT. QDC Technologies</v>
          </cell>
        </row>
        <row r="40">
          <cell r="B40">
            <v>167000000000037</v>
          </cell>
          <cell r="C40" t="str">
            <v>Bank Rakyat Indonesia - 019301003718304</v>
          </cell>
          <cell r="D40" t="str">
            <v>IDR</v>
          </cell>
          <cell r="E40" t="str">
            <v>Institution - PT. QDC Technologies</v>
          </cell>
        </row>
        <row r="41">
          <cell r="B41">
            <v>167000000000038</v>
          </cell>
          <cell r="C41" t="str">
            <v>Bank Rakyat Indonesia - 019301003719300</v>
          </cell>
          <cell r="D41" t="str">
            <v>IDR</v>
          </cell>
          <cell r="E41" t="str">
            <v>Institution - PT. QDC Technologies</v>
          </cell>
        </row>
        <row r="42">
          <cell r="B42">
            <v>167000000000039</v>
          </cell>
          <cell r="C42" t="str">
            <v>Bank Rakyat Indonesia - 019301003720301</v>
          </cell>
          <cell r="D42" t="str">
            <v>IDR</v>
          </cell>
          <cell r="E42" t="str">
            <v>Institution - PT. QDC Technologies</v>
          </cell>
        </row>
        <row r="43">
          <cell r="B43">
            <v>167000000000040</v>
          </cell>
          <cell r="C43" t="str">
            <v>Bank Rakyat Indonesia - 019301003881301</v>
          </cell>
          <cell r="D43" t="str">
            <v>IDR</v>
          </cell>
          <cell r="E43" t="str">
            <v>Institution - PT. QDC Technologies</v>
          </cell>
        </row>
        <row r="44">
          <cell r="B44">
            <v>167000000000041</v>
          </cell>
          <cell r="C44" t="str">
            <v>Bank Rakyat Indonesia - 035901002067300</v>
          </cell>
          <cell r="D44" t="str">
            <v>IDR</v>
          </cell>
          <cell r="E44" t="str">
            <v>Institution - PT. QDC Technologies</v>
          </cell>
        </row>
        <row r="45">
          <cell r="B45">
            <v>167000000000042</v>
          </cell>
          <cell r="C45" t="str">
            <v>Bank Rakyat Indonesia - 035901002951305</v>
          </cell>
          <cell r="D45" t="str">
            <v>IDR</v>
          </cell>
          <cell r="E45" t="str">
            <v>Institution - PT. QDC Technologies</v>
          </cell>
        </row>
        <row r="46">
          <cell r="B46">
            <v>167000000000043</v>
          </cell>
          <cell r="C46" t="str">
            <v>Bank Rakyat Indonesia - 035901002958307</v>
          </cell>
          <cell r="D46" t="str">
            <v>IDR</v>
          </cell>
          <cell r="E46" t="str">
            <v>Institution - PT. QDC Technologies</v>
          </cell>
        </row>
        <row r="47">
          <cell r="B47">
            <v>167000000000044</v>
          </cell>
          <cell r="C47" t="str">
            <v>Bank Rakyat Indonesia - 044101001553563</v>
          </cell>
          <cell r="D47" t="str">
            <v>IDR</v>
          </cell>
          <cell r="E47" t="str">
            <v>Institution - PT. QDC Technologies</v>
          </cell>
        </row>
        <row r="48">
          <cell r="B48">
            <v>167000000000045</v>
          </cell>
          <cell r="C48" t="str">
            <v>Bank Rakyat Indonesia - 044101002094300</v>
          </cell>
          <cell r="D48" t="str">
            <v>IDR</v>
          </cell>
          <cell r="E48" t="str">
            <v>Institution - PT. QDC Technologies</v>
          </cell>
        </row>
        <row r="49">
          <cell r="B49">
            <v>167000000000046</v>
          </cell>
          <cell r="C49" t="str">
            <v>Bank Rakyat Indonesia - 053801000258309</v>
          </cell>
          <cell r="D49" t="str">
            <v>IDR</v>
          </cell>
          <cell r="E49" t="str">
            <v>Institution - PT. QDC Technologies</v>
          </cell>
        </row>
        <row r="50">
          <cell r="B50">
            <v>167000000000047</v>
          </cell>
          <cell r="C50" t="str">
            <v>Bank Rakyat Indonesia - 34101002394304</v>
          </cell>
          <cell r="D50" t="str">
            <v>IDR</v>
          </cell>
          <cell r="E50" t="str">
            <v>Institution - PT. QDC Technologies</v>
          </cell>
        </row>
        <row r="51">
          <cell r="B51">
            <v>167000000000048</v>
          </cell>
          <cell r="C51" t="str">
            <v>Bank Rakyat Indonesia - 34101002395300</v>
          </cell>
          <cell r="D51" t="str">
            <v>USD</v>
          </cell>
          <cell r="E51" t="str">
            <v>Institution - PT. QDC Technologies</v>
          </cell>
        </row>
        <row r="52">
          <cell r="B52">
            <v>167000000000049</v>
          </cell>
          <cell r="C52" t="str">
            <v>Bank Standard Chartered - 30601430287</v>
          </cell>
          <cell r="D52" t="str">
            <v>USD</v>
          </cell>
          <cell r="E52" t="str">
            <v>Institution - PT. QDC Technologies</v>
          </cell>
        </row>
        <row r="53">
          <cell r="B53">
            <v>167000000000050</v>
          </cell>
          <cell r="C53" t="str">
            <v>Bank Standard Chartered - 30601430325</v>
          </cell>
          <cell r="D53" t="str">
            <v>IDR</v>
          </cell>
          <cell r="E53" t="str">
            <v>Institution - PT. QDC Technologies</v>
          </cell>
        </row>
        <row r="54">
          <cell r="B54">
            <v>167000000000051</v>
          </cell>
          <cell r="C54" t="str">
            <v>Bank Standard Chartered - 30601430376</v>
          </cell>
          <cell r="D54" t="str">
            <v>IDR</v>
          </cell>
          <cell r="E54" t="str">
            <v>Institution - PT. QDC Technologies</v>
          </cell>
        </row>
        <row r="55">
          <cell r="B55">
            <v>167000000000052</v>
          </cell>
          <cell r="C55" t="str">
            <v>Bank Standard Chartered - 30601430414</v>
          </cell>
          <cell r="D55" t="str">
            <v>IDR</v>
          </cell>
          <cell r="E55" t="str">
            <v>Institution - PT. QDC Technologies</v>
          </cell>
        </row>
        <row r="56">
          <cell r="B56">
            <v>167000000000053</v>
          </cell>
          <cell r="C56" t="str">
            <v>Bank Syariah Indonesia - 1006777593</v>
          </cell>
          <cell r="D56" t="str">
            <v>IDR</v>
          </cell>
          <cell r="E56" t="str">
            <v>Institution - PT. QDC Technologies</v>
          </cell>
        </row>
        <row r="57">
          <cell r="B57">
            <v>167000000000054</v>
          </cell>
          <cell r="C57" t="str">
            <v>Bank Syariah Indonesia - 7240736928</v>
          </cell>
          <cell r="D57" t="str">
            <v>IDR</v>
          </cell>
          <cell r="E57" t="str">
            <v>Institution - PT. QDC Technologies</v>
          </cell>
        </row>
        <row r="58">
          <cell r="B58">
            <v>167000000000055</v>
          </cell>
          <cell r="C58" t="str">
            <v>Bank Syariah Indonesia - 7240741347</v>
          </cell>
          <cell r="D58" t="str">
            <v>IDR</v>
          </cell>
          <cell r="E58" t="str">
            <v>Institution - PT. QDC Technologies</v>
          </cell>
        </row>
        <row r="59">
          <cell r="B59">
            <v>167000000000056</v>
          </cell>
          <cell r="C59" t="str">
            <v>Bank Tabungan Negara - 0100201300000052</v>
          </cell>
          <cell r="D59" t="str">
            <v>IDR</v>
          </cell>
          <cell r="E59" t="str">
            <v>Institution - PT. QDC Technologies</v>
          </cell>
        </row>
        <row r="60">
          <cell r="B60" t="str">
            <v/>
          </cell>
          <cell r="C60" t="str">
            <v/>
          </cell>
          <cell r="D60" t="str">
            <v/>
          </cell>
          <cell r="E60" t="str">
            <v/>
          </cell>
        </row>
        <row r="61">
          <cell r="B61">
            <v>167000000000057</v>
          </cell>
          <cell r="C61" t="str">
            <v>Bank Central Asia - 6550289791</v>
          </cell>
          <cell r="D61" t="str">
            <v>IDR</v>
          </cell>
          <cell r="E61" t="str">
            <v>Person - Teguh Pratama Januzir Sukin</v>
          </cell>
        </row>
        <row r="62">
          <cell r="B62">
            <v>167000000000058</v>
          </cell>
          <cell r="C62" t="str">
            <v>Bank Mandiri - 121-00-0599441-7</v>
          </cell>
          <cell r="D62" t="str">
            <v>IDR</v>
          </cell>
          <cell r="E62" t="str">
            <v>Person - Teguh Pratama Januzir Sukin</v>
          </cell>
        </row>
        <row r="63">
          <cell r="B63">
            <v>167000000000059</v>
          </cell>
          <cell r="C63" t="str">
            <v>Bank Rakyat Indonesia - 0206-01-095647-50-4</v>
          </cell>
          <cell r="D63" t="str">
            <v>IDR</v>
          </cell>
          <cell r="E63" t="str">
            <v>Person - Teguh Pratama Januzir Sukin</v>
          </cell>
        </row>
        <row r="64">
          <cell r="B64">
            <v>167000000000060</v>
          </cell>
          <cell r="C64" t="str">
            <v>Bank Central Asia - 0060262641</v>
          </cell>
          <cell r="D64" t="str">
            <v>IDR</v>
          </cell>
          <cell r="E64" t="str">
            <v>Person - Abdul Samad</v>
          </cell>
        </row>
        <row r="65">
          <cell r="B65">
            <v>167000000000061</v>
          </cell>
          <cell r="C65" t="str">
            <v>Bank Central Asia - 2040089643</v>
          </cell>
          <cell r="D65" t="str">
            <v>IDR</v>
          </cell>
          <cell r="E65" t="str">
            <v>Person - Achmad Yunadi</v>
          </cell>
        </row>
        <row r="66">
          <cell r="B66">
            <v>167000000000062</v>
          </cell>
          <cell r="C66" t="str">
            <v>Bank Central Asia - 0350780718</v>
          </cell>
          <cell r="D66" t="str">
            <v>IDR</v>
          </cell>
          <cell r="E66" t="str">
            <v>Person - Agnes Sutedja</v>
          </cell>
        </row>
        <row r="67">
          <cell r="B67">
            <v>167000000000063</v>
          </cell>
          <cell r="C67" t="str">
            <v>Bank Central Asia - 6821221339</v>
          </cell>
          <cell r="D67" t="str">
            <v>IDR</v>
          </cell>
          <cell r="E67" t="str">
            <v>Person - Agus Nuryadi</v>
          </cell>
        </row>
        <row r="68">
          <cell r="B68">
            <v>167000000000064</v>
          </cell>
          <cell r="C68" t="str">
            <v>Bank Central Asia - 5750423347</v>
          </cell>
          <cell r="D68" t="str">
            <v>IDR</v>
          </cell>
          <cell r="E68" t="str">
            <v>Person - Agus Salim</v>
          </cell>
        </row>
        <row r="69">
          <cell r="B69">
            <v>167000000000065</v>
          </cell>
          <cell r="C69" t="str">
            <v>Bank Central Asia - 7150306269</v>
          </cell>
          <cell r="D69" t="str">
            <v>IDR</v>
          </cell>
          <cell r="E69" t="str">
            <v>Person - Ahmad Syaifulloh</v>
          </cell>
        </row>
        <row r="70">
          <cell r="B70">
            <v>167000000000066</v>
          </cell>
          <cell r="C70" t="str">
            <v>Bank Central Asia - 2670159496</v>
          </cell>
          <cell r="D70" t="str">
            <v>IDR</v>
          </cell>
          <cell r="E70" t="str">
            <v>Person - Ahmad Choerul</v>
          </cell>
        </row>
        <row r="71">
          <cell r="B71">
            <v>167000000000067</v>
          </cell>
          <cell r="C71" t="str">
            <v>Bank Central Asia - 5520607058</v>
          </cell>
          <cell r="D71" t="str">
            <v>IDR</v>
          </cell>
          <cell r="E71" t="str">
            <v>Person - Aldi Mulyadi</v>
          </cell>
        </row>
        <row r="72">
          <cell r="B72">
            <v>167000000000068</v>
          </cell>
          <cell r="C72" t="str">
            <v>Bank Central Asia - 5520537742</v>
          </cell>
          <cell r="D72" t="str">
            <v>IDR</v>
          </cell>
          <cell r="E72" t="str">
            <v>Person - Annisa Dewi Arumsari</v>
          </cell>
        </row>
        <row r="73">
          <cell r="B73">
            <v>167000000000069</v>
          </cell>
          <cell r="C73" t="str">
            <v>Bank Central Asia - 4565061969</v>
          </cell>
          <cell r="D73" t="str">
            <v>IDR</v>
          </cell>
          <cell r="E73" t="str">
            <v>Person - Anugerah Januariansyah</v>
          </cell>
        </row>
        <row r="74">
          <cell r="B74">
            <v>167000000000070</v>
          </cell>
          <cell r="C74" t="str">
            <v>Bank Central Asia - 5520579321</v>
          </cell>
          <cell r="D74" t="str">
            <v>IDR</v>
          </cell>
          <cell r="E74" t="str">
            <v>Person - Belina Lindarwani</v>
          </cell>
        </row>
        <row r="75">
          <cell r="B75">
            <v>167000000000071</v>
          </cell>
          <cell r="C75" t="str">
            <v>Bank Central Asia - 1280247568</v>
          </cell>
          <cell r="D75" t="str">
            <v>IDR</v>
          </cell>
          <cell r="E75" t="str">
            <v>Person - Budianto</v>
          </cell>
        </row>
        <row r="76">
          <cell r="B76">
            <v>167000000000072</v>
          </cell>
          <cell r="C76" t="str">
            <v>Bank Central Asia - 2211206120</v>
          </cell>
          <cell r="D76" t="str">
            <v>IDR</v>
          </cell>
          <cell r="E76" t="str">
            <v>Person - Darsito</v>
          </cell>
        </row>
        <row r="77">
          <cell r="B77">
            <v>167000000000073</v>
          </cell>
          <cell r="C77" t="str">
            <v>Bank Central Asia - 2839669733</v>
          </cell>
          <cell r="D77" t="str">
            <v>IDR</v>
          </cell>
          <cell r="E77" t="str">
            <v>Person - Deddy Rochman</v>
          </cell>
        </row>
        <row r="78">
          <cell r="B78">
            <v>167000000000074</v>
          </cell>
          <cell r="C78" t="str">
            <v>Bank Central Asia - 2731371123</v>
          </cell>
          <cell r="D78" t="str">
            <v>IDR</v>
          </cell>
          <cell r="E78" t="str">
            <v>Person - Dionesius Sostenist Duka</v>
          </cell>
        </row>
        <row r="79">
          <cell r="B79">
            <v>167000000000075</v>
          </cell>
          <cell r="C79" t="str">
            <v>Bank Central Asia - 0060185646</v>
          </cell>
          <cell r="D79" t="str">
            <v>IDR</v>
          </cell>
          <cell r="E79" t="str">
            <v>Person - Edi Waluyo</v>
          </cell>
        </row>
        <row r="80">
          <cell r="B80">
            <v>167000000000076</v>
          </cell>
          <cell r="C80" t="str">
            <v>Bank Central Asia - 5211078091</v>
          </cell>
          <cell r="D80" t="str">
            <v>IDR</v>
          </cell>
          <cell r="E80" t="str">
            <v>Person - Eka Bagus Dwi Putra</v>
          </cell>
        </row>
        <row r="81">
          <cell r="B81">
            <v>167000000000077</v>
          </cell>
          <cell r="C81" t="str">
            <v>Bank Central Asia - 5855178874</v>
          </cell>
          <cell r="D81" t="str">
            <v>IDR</v>
          </cell>
          <cell r="E81" t="str">
            <v>Person - Eka Purwanti</v>
          </cell>
        </row>
        <row r="82">
          <cell r="B82">
            <v>167000000000078</v>
          </cell>
          <cell r="C82" t="str">
            <v>Bank Central Asia - 5750226541</v>
          </cell>
          <cell r="D82" t="str">
            <v>IDR</v>
          </cell>
          <cell r="E82" t="str">
            <v>Person - Endang Sutrisna</v>
          </cell>
        </row>
        <row r="83">
          <cell r="B83">
            <v>167000000000079</v>
          </cell>
          <cell r="C83" t="str">
            <v>Bank Central Asia - 8760378217</v>
          </cell>
          <cell r="D83" t="str">
            <v>IDR</v>
          </cell>
          <cell r="E83" t="str">
            <v>Person - Ferdian Kriswantoro</v>
          </cell>
        </row>
        <row r="84">
          <cell r="B84">
            <v>167000000000080</v>
          </cell>
          <cell r="C84" t="str">
            <v>Bank Central Asia - 8200472447</v>
          </cell>
          <cell r="D84" t="str">
            <v>IDR</v>
          </cell>
          <cell r="E84" t="str">
            <v>Person - Frando Judi Siahaan</v>
          </cell>
        </row>
        <row r="85">
          <cell r="B85">
            <v>167000000000081</v>
          </cell>
          <cell r="C85" t="str">
            <v>Bank Central Asia - 1281467889</v>
          </cell>
          <cell r="D85" t="str">
            <v>IDR</v>
          </cell>
          <cell r="E85" t="str">
            <v>Person - Gunawan</v>
          </cell>
        </row>
        <row r="86">
          <cell r="B86">
            <v>167000000000082</v>
          </cell>
          <cell r="C86" t="str">
            <v>Bank Central Asia - 3191643869</v>
          </cell>
          <cell r="D86" t="str">
            <v>IDR</v>
          </cell>
          <cell r="E86" t="str">
            <v>Person - Tajuddin Assubki Ismail</v>
          </cell>
        </row>
        <row r="87">
          <cell r="B87">
            <v>167000000000083</v>
          </cell>
          <cell r="C87" t="str">
            <v>Bank Central Asia - 5520226500</v>
          </cell>
          <cell r="D87" t="str">
            <v>IDR</v>
          </cell>
          <cell r="E87" t="str">
            <v>Person - Icha Mailinda Syamsoedin</v>
          </cell>
        </row>
        <row r="88">
          <cell r="B88">
            <v>167000000000084</v>
          </cell>
          <cell r="C88" t="str">
            <v>Bank Central Asia - 5520464753</v>
          </cell>
          <cell r="D88" t="str">
            <v>IDR</v>
          </cell>
          <cell r="E88" t="str">
            <v>Person - Ilham Akbar</v>
          </cell>
        </row>
        <row r="89">
          <cell r="B89">
            <v>167000000000085</v>
          </cell>
          <cell r="C89" t="str">
            <v>Bank Central Asia - 5520696425</v>
          </cell>
          <cell r="D89" t="str">
            <v>IDR</v>
          </cell>
          <cell r="E89" t="str">
            <v>Person - Irma Maulidawati</v>
          </cell>
        </row>
        <row r="90">
          <cell r="B90">
            <v>167000000000086</v>
          </cell>
          <cell r="C90" t="str">
            <v>Bank Central Asia - 7660328771</v>
          </cell>
          <cell r="D90" t="str">
            <v>IDR</v>
          </cell>
          <cell r="E90" t="str">
            <v>Person - Isa Taufiq</v>
          </cell>
        </row>
        <row r="91">
          <cell r="B91">
            <v>167000000000087</v>
          </cell>
          <cell r="C91" t="str">
            <v>Bank Central Asia - 4980153300</v>
          </cell>
          <cell r="D91" t="str">
            <v>IDR</v>
          </cell>
          <cell r="E91" t="str">
            <v>Person - Istikaro Fauziah</v>
          </cell>
        </row>
        <row r="92">
          <cell r="B92">
            <v>167000000000088</v>
          </cell>
          <cell r="C92" t="str">
            <v>Bank Central Asia - 5520190068</v>
          </cell>
          <cell r="D92" t="str">
            <v>IDR</v>
          </cell>
          <cell r="E92" t="str">
            <v>Person - Jimmywal</v>
          </cell>
        </row>
        <row r="93">
          <cell r="B93">
            <v>167000000000089</v>
          </cell>
          <cell r="C93" t="str">
            <v>Bank Central Asia - 0060238634</v>
          </cell>
          <cell r="D93" t="str">
            <v>IDR</v>
          </cell>
          <cell r="E93" t="str">
            <v>Person - Kornelius Sakan</v>
          </cell>
        </row>
        <row r="94">
          <cell r="B94">
            <v>167000000000090</v>
          </cell>
          <cell r="C94" t="str">
            <v>Bank Central Asia - 0060202915</v>
          </cell>
          <cell r="D94" t="str">
            <v>IDR</v>
          </cell>
          <cell r="E94" t="str">
            <v>Person - Fitriastuti Kurnia</v>
          </cell>
        </row>
        <row r="95">
          <cell r="B95">
            <v>167000000000091</v>
          </cell>
          <cell r="C95" t="str">
            <v>Bank Central Asia - 5520514947</v>
          </cell>
          <cell r="D95" t="str">
            <v>IDR</v>
          </cell>
          <cell r="E95" t="str">
            <v>Person - Lisma Natalia</v>
          </cell>
        </row>
        <row r="96">
          <cell r="B96">
            <v>167000000000092</v>
          </cell>
          <cell r="C96" t="str">
            <v>Bank Central Asia - 7865198493</v>
          </cell>
          <cell r="D96" t="str">
            <v>IDR</v>
          </cell>
          <cell r="E96" t="str">
            <v>Person - M. Fikri Caesarandi Hasibuan</v>
          </cell>
        </row>
        <row r="97">
          <cell r="B97">
            <v>167000000000093</v>
          </cell>
          <cell r="C97" t="str">
            <v>Bank Central Asia - 5750336223</v>
          </cell>
          <cell r="D97" t="str">
            <v>IDR</v>
          </cell>
          <cell r="E97" t="str">
            <v>Person - Marten Tabun</v>
          </cell>
        </row>
        <row r="98">
          <cell r="B98">
            <v>167000000000094</v>
          </cell>
          <cell r="C98" t="str">
            <v>Bank Central Asia - 0350189041</v>
          </cell>
          <cell r="D98" t="str">
            <v>IDR</v>
          </cell>
          <cell r="E98" t="str">
            <v>Person - Masimin</v>
          </cell>
        </row>
        <row r="99">
          <cell r="B99">
            <v>167000000000095</v>
          </cell>
          <cell r="C99" t="str">
            <v>Bank Central Asia - 7660282321</v>
          </cell>
          <cell r="D99" t="str">
            <v>IDR</v>
          </cell>
          <cell r="E99" t="str">
            <v>Person - Mullan Tresna</v>
          </cell>
        </row>
        <row r="100">
          <cell r="B100">
            <v>167000000000096</v>
          </cell>
          <cell r="C100" t="str">
            <v>Bank Central Asia - 7000245156</v>
          </cell>
          <cell r="D100" t="str">
            <v>IDR</v>
          </cell>
          <cell r="E100" t="str">
            <v>Person - Nandang Effendi</v>
          </cell>
        </row>
        <row r="101">
          <cell r="B101">
            <v>167000000000097</v>
          </cell>
          <cell r="C101" t="str">
            <v>Bank Central Asia - 8760571998</v>
          </cell>
          <cell r="D101" t="str">
            <v>IDR</v>
          </cell>
          <cell r="E101" t="str">
            <v>Person - Panca Yudi Baskoro</v>
          </cell>
        </row>
        <row r="102">
          <cell r="B102">
            <v>167000000000098</v>
          </cell>
          <cell r="C102" t="str">
            <v>Bank Central Asia - 0060098298</v>
          </cell>
          <cell r="D102" t="str">
            <v>IDR</v>
          </cell>
          <cell r="E102" t="str">
            <v>Person - Pantas Banjarnahor Marbun</v>
          </cell>
        </row>
        <row r="103">
          <cell r="B103">
            <v>167000000000099</v>
          </cell>
          <cell r="C103" t="str">
            <v>Bank Central Asia - 3831252381</v>
          </cell>
          <cell r="D103" t="str">
            <v>IDR</v>
          </cell>
          <cell r="E103" t="str">
            <v>Person - Prayanti Dewi Anggraini</v>
          </cell>
        </row>
        <row r="104">
          <cell r="B104">
            <v>167000000000100</v>
          </cell>
          <cell r="C104" t="str">
            <v>Bank Central Asia - 7660268949</v>
          </cell>
          <cell r="D104" t="str">
            <v>IDR</v>
          </cell>
          <cell r="E104" t="str">
            <v>Person - Rhino Priawan</v>
          </cell>
        </row>
        <row r="105">
          <cell r="B105">
            <v>167000000000101</v>
          </cell>
          <cell r="C105" t="str">
            <v>Bank Central Asia - 2170088924</v>
          </cell>
          <cell r="D105" t="str">
            <v>IDR</v>
          </cell>
          <cell r="E105" t="str">
            <v>Person - Riza Emir Subekti</v>
          </cell>
        </row>
        <row r="106">
          <cell r="B106">
            <v>167000000000102</v>
          </cell>
          <cell r="C106" t="str">
            <v>Bank Central Asia - 5025005331</v>
          </cell>
          <cell r="D106" t="str">
            <v>IDR</v>
          </cell>
          <cell r="E106" t="str">
            <v>Person - Sakinah Tantriani Lubis</v>
          </cell>
        </row>
        <row r="107">
          <cell r="B107">
            <v>167000000000103</v>
          </cell>
          <cell r="C107" t="str">
            <v>Bank Central Asia - 5325315714</v>
          </cell>
          <cell r="D107" t="str">
            <v>IDR</v>
          </cell>
          <cell r="E107" t="str">
            <v>Person - Seftiyan Hadi Maulana</v>
          </cell>
        </row>
        <row r="108">
          <cell r="B108">
            <v>167000000000104</v>
          </cell>
          <cell r="C108" t="str">
            <v>Bank Central Asia - 2101238654</v>
          </cell>
          <cell r="D108" t="str">
            <v>IDR</v>
          </cell>
          <cell r="E108" t="str">
            <v>Person - Setiadi</v>
          </cell>
        </row>
        <row r="109">
          <cell r="B109">
            <v>167000000000105</v>
          </cell>
          <cell r="C109" t="str">
            <v>Bank Central Asia - 0670059618</v>
          </cell>
          <cell r="D109" t="str">
            <v>IDR</v>
          </cell>
          <cell r="E109" t="str">
            <v>Person - Sholehah</v>
          </cell>
        </row>
        <row r="110">
          <cell r="B110">
            <v>167000000000106</v>
          </cell>
          <cell r="C110" t="str">
            <v>Bank Central Asia - 5750223151</v>
          </cell>
          <cell r="D110" t="str">
            <v>IDR</v>
          </cell>
          <cell r="E110" t="str">
            <v>Person - Sudarlan</v>
          </cell>
        </row>
        <row r="111">
          <cell r="B111">
            <v>167000000000107</v>
          </cell>
          <cell r="C111" t="str">
            <v>Bank Central Asia - 5490332288</v>
          </cell>
          <cell r="D111" t="str">
            <v>IDR</v>
          </cell>
          <cell r="E111" t="str">
            <v>Person - Sufie Amalia</v>
          </cell>
        </row>
        <row r="112">
          <cell r="B112">
            <v>167000000000108</v>
          </cell>
          <cell r="C112" t="str">
            <v>Bank Central Asia - 1280421665</v>
          </cell>
          <cell r="D112" t="str">
            <v>IDR</v>
          </cell>
          <cell r="E112" t="str">
            <v>Person - Suyanto</v>
          </cell>
        </row>
        <row r="113">
          <cell r="B113">
            <v>167000000000109</v>
          </cell>
          <cell r="C113" t="str">
            <v>Bank Central Asia - 7660251671</v>
          </cell>
          <cell r="D113" t="str">
            <v>IDR</v>
          </cell>
          <cell r="E113" t="str">
            <v>Person - T. Marungkil U. S. Sagala</v>
          </cell>
        </row>
        <row r="114">
          <cell r="B114">
            <v>167000000000110</v>
          </cell>
          <cell r="C114" t="str">
            <v>Bank Central Asia - 3751363751</v>
          </cell>
          <cell r="D114" t="str">
            <v>IDR</v>
          </cell>
          <cell r="E114" t="str">
            <v>Person - Turita Pramuning Marantina</v>
          </cell>
        </row>
        <row r="115">
          <cell r="B115">
            <v>167000000000111</v>
          </cell>
          <cell r="C115" t="str">
            <v>Bank Central Asia - 5520532155</v>
          </cell>
          <cell r="D115" t="str">
            <v>IDR</v>
          </cell>
          <cell r="E115" t="str">
            <v>Person - Wahyu Ramadhani</v>
          </cell>
        </row>
        <row r="116">
          <cell r="B116">
            <v>167000000000112</v>
          </cell>
          <cell r="C116" t="str">
            <v>Bank Central Asia - 8670430678</v>
          </cell>
          <cell r="D116" t="str">
            <v>IDR</v>
          </cell>
          <cell r="E116" t="str">
            <v>Person - Wardah Laily Khoiriyah</v>
          </cell>
        </row>
        <row r="117">
          <cell r="B117">
            <v>167000000000113</v>
          </cell>
          <cell r="C117" t="str">
            <v>Bank Central Asia - 2910590742</v>
          </cell>
          <cell r="D117" t="str">
            <v>IDR</v>
          </cell>
          <cell r="E117" t="str">
            <v>Person - Wisnu Ardian</v>
          </cell>
        </row>
        <row r="118">
          <cell r="B118">
            <v>167000000000114</v>
          </cell>
          <cell r="C118" t="str">
            <v>Bank Central Asia - 6860316941</v>
          </cell>
          <cell r="D118" t="str">
            <v>IDR</v>
          </cell>
          <cell r="E118" t="str">
            <v>Person - Wulanraniasih</v>
          </cell>
        </row>
        <row r="119">
          <cell r="B119">
            <v>167000000000115</v>
          </cell>
          <cell r="C119" t="str">
            <v>Bank Central Asia - 3721127379</v>
          </cell>
          <cell r="D119" t="str">
            <v>IDR</v>
          </cell>
          <cell r="E119" t="str">
            <v>Person - Yuliandaru Suryoatmodjo</v>
          </cell>
        </row>
        <row r="120">
          <cell r="B120">
            <v>167000000000116</v>
          </cell>
          <cell r="C120" t="str">
            <v>Bank Central Asia - 5520552261</v>
          </cell>
          <cell r="D120" t="str">
            <v>IDR</v>
          </cell>
          <cell r="E120" t="str">
            <v>Person - Zainudin Anwar</v>
          </cell>
        </row>
        <row r="121">
          <cell r="B121">
            <v>167000000000117</v>
          </cell>
          <cell r="C121" t="str">
            <v>Bank Central Asia - 0011754723</v>
          </cell>
          <cell r="D121" t="str">
            <v>IDR</v>
          </cell>
          <cell r="E121" t="str">
            <v>Person - Yusarman</v>
          </cell>
        </row>
        <row r="122">
          <cell r="B122">
            <v>167000000000118</v>
          </cell>
          <cell r="C122" t="str">
            <v>Bank Central Asia - 2821395781</v>
          </cell>
          <cell r="D122" t="str">
            <v>IDR</v>
          </cell>
          <cell r="E122" t="str">
            <v>Person - Jonhar Aziz</v>
          </cell>
        </row>
        <row r="123">
          <cell r="B123">
            <v>167000000000119</v>
          </cell>
          <cell r="C123" t="str">
            <v>Bank Central Asia - 2281429789</v>
          </cell>
          <cell r="D123" t="str">
            <v>IDR</v>
          </cell>
          <cell r="E123" t="str">
            <v>Person - Wartono</v>
          </cell>
        </row>
        <row r="124">
          <cell r="B124">
            <v>167000000000120</v>
          </cell>
          <cell r="C124" t="str">
            <v>Bank Central Asia - 5750622536</v>
          </cell>
          <cell r="D124" t="str">
            <v>IDR</v>
          </cell>
          <cell r="E124" t="str">
            <v>Person - Santoso Dwi Cahyo</v>
          </cell>
        </row>
        <row r="125">
          <cell r="B125">
            <v>167000000000121</v>
          </cell>
          <cell r="C125" t="str">
            <v>Bank Central Asia - 4860276548</v>
          </cell>
          <cell r="D125" t="str">
            <v>IDR</v>
          </cell>
          <cell r="E125" t="str">
            <v>Person - Restu Dwi Anjayani</v>
          </cell>
        </row>
        <row r="126">
          <cell r="B126">
            <v>167000000000122</v>
          </cell>
          <cell r="C126" t="str">
            <v>Bank Central Asia - 6540386232</v>
          </cell>
          <cell r="D126" t="str">
            <v>IDR</v>
          </cell>
          <cell r="E126" t="str">
            <v>Person - Oqi Suhaqi Yunus</v>
          </cell>
        </row>
        <row r="127">
          <cell r="B127">
            <v>167000000000123</v>
          </cell>
          <cell r="C127" t="str">
            <v>Bank Central Asia - 0670059618</v>
          </cell>
          <cell r="D127" t="str">
            <v>IDR</v>
          </cell>
          <cell r="E127" t="str">
            <v>Person - Yusuf Fathurahman</v>
          </cell>
        </row>
        <row r="128">
          <cell r="B128">
            <v>167000000000124</v>
          </cell>
          <cell r="C128" t="str">
            <v>Bank Central Asia - 0670059618</v>
          </cell>
          <cell r="D128" t="str">
            <v>IDR</v>
          </cell>
          <cell r="E128" t="str">
            <v>Person - Muhammad Syarifudin</v>
          </cell>
        </row>
        <row r="129">
          <cell r="B129">
            <v>167000000000125</v>
          </cell>
          <cell r="C129" t="str">
            <v>Bank Central Asia - 0670059618</v>
          </cell>
          <cell r="D129" t="str">
            <v>IDR</v>
          </cell>
          <cell r="E129" t="str">
            <v>Person - Dian Setiawan</v>
          </cell>
        </row>
        <row r="130">
          <cell r="B130">
            <v>167000000000126</v>
          </cell>
          <cell r="C130" t="str">
            <v>Bank Central Asia - 0670059618</v>
          </cell>
          <cell r="D130" t="str">
            <v>IDR</v>
          </cell>
          <cell r="E130" t="str">
            <v>Person - Muhammad Sholikhun</v>
          </cell>
        </row>
        <row r="131">
          <cell r="B131">
            <v>167000000000127</v>
          </cell>
          <cell r="C131" t="str">
            <v>Bank Central Asia - 8681161864</v>
          </cell>
          <cell r="D131" t="str">
            <v>IDR</v>
          </cell>
          <cell r="E131" t="str">
            <v>Person - Samta Harahap</v>
          </cell>
        </row>
        <row r="132">
          <cell r="B132">
            <v>167000000000128</v>
          </cell>
          <cell r="C132" t="str">
            <v>Bank Central Asia - 7125461581</v>
          </cell>
          <cell r="D132" t="str">
            <v>IDR</v>
          </cell>
          <cell r="E132" t="str">
            <v>Person - Muhammad Lukbani</v>
          </cell>
        </row>
        <row r="133">
          <cell r="B133">
            <v>167000000000129</v>
          </cell>
          <cell r="C133" t="str">
            <v xml:space="preserve"> - </v>
          </cell>
          <cell r="D133" t="str">
            <v>IDR</v>
          </cell>
          <cell r="E133" t="str">
            <v>Person - Abdul Rachman</v>
          </cell>
        </row>
        <row r="134">
          <cell r="B134">
            <v>167000000000130</v>
          </cell>
          <cell r="C134" t="str">
            <v xml:space="preserve"> - </v>
          </cell>
          <cell r="D134" t="str">
            <v>IDR</v>
          </cell>
          <cell r="E134" t="str">
            <v>Person - Aden Bagus</v>
          </cell>
        </row>
        <row r="135">
          <cell r="B135">
            <v>167000000000131</v>
          </cell>
          <cell r="C135" t="str">
            <v>Bank Central Asia - 2302269280</v>
          </cell>
          <cell r="D135" t="str">
            <v>IDR</v>
          </cell>
          <cell r="E135" t="str">
            <v>Person - Ahmad Faiz Haems Muda</v>
          </cell>
        </row>
        <row r="136">
          <cell r="B136">
            <v>167000000000132</v>
          </cell>
          <cell r="C136" t="str">
            <v>Bank Central Asia - 4271122556</v>
          </cell>
          <cell r="D136" t="str">
            <v>IDR</v>
          </cell>
          <cell r="E136" t="str">
            <v>Person - Grace Kurniawan</v>
          </cell>
        </row>
        <row r="137">
          <cell r="B137">
            <v>167000000000133</v>
          </cell>
          <cell r="C137" t="str">
            <v>Bank Rakyat Indonesia - 034101074863509</v>
          </cell>
          <cell r="D137" t="str">
            <v>IDR</v>
          </cell>
          <cell r="E137" t="str">
            <v>Person - Ares S. Mauboi</v>
          </cell>
        </row>
        <row r="138">
          <cell r="B138">
            <v>167000000000134</v>
          </cell>
          <cell r="C138" t="str">
            <v>Bank Rakyat Indonesia - 727401009580534</v>
          </cell>
          <cell r="D138" t="str">
            <v>IDR</v>
          </cell>
          <cell r="E138" t="str">
            <v>Person - Cahyana</v>
          </cell>
        </row>
        <row r="139">
          <cell r="B139">
            <v>167000000000135</v>
          </cell>
          <cell r="C139" t="str">
            <v>Bank Rakyat Indonesia - 033601013930530</v>
          </cell>
          <cell r="D139" t="str">
            <v>IDR</v>
          </cell>
          <cell r="E139" t="str">
            <v>Person - Davit Lumban Gaol</v>
          </cell>
        </row>
        <row r="140">
          <cell r="B140">
            <v>167000000000136</v>
          </cell>
          <cell r="C140" t="str">
            <v xml:space="preserve">Bank Rakyat Indonesia - 212401007578533 </v>
          </cell>
          <cell r="D140" t="str">
            <v>IDR</v>
          </cell>
          <cell r="E140" t="str">
            <v>Person - Dian Tri Rahmawati</v>
          </cell>
        </row>
        <row r="141">
          <cell r="B141">
            <v>167000000000137</v>
          </cell>
          <cell r="C141" t="str">
            <v>Bank Rakyat Indonesia - 353201013523538</v>
          </cell>
          <cell r="D141" t="str">
            <v>IDR</v>
          </cell>
          <cell r="E141" t="str">
            <v>Person - Edy Syahputra Situmeang</v>
          </cell>
        </row>
        <row r="142">
          <cell r="B142">
            <v>167000000000138</v>
          </cell>
          <cell r="C142" t="str">
            <v>Bank Rakyat Indonesia - 122301024676505</v>
          </cell>
          <cell r="D142" t="str">
            <v>IDR</v>
          </cell>
          <cell r="E142" t="str">
            <v>Person - Fabrian Danang Destiyara</v>
          </cell>
        </row>
        <row r="143">
          <cell r="B143">
            <v>167000000000139</v>
          </cell>
          <cell r="C143" t="str">
            <v>Bank Central Asia - 0021817308</v>
          </cell>
          <cell r="D143" t="str">
            <v>IDR</v>
          </cell>
          <cell r="E143" t="str">
            <v>Person - Langgeng Eko Dwiantoro</v>
          </cell>
        </row>
        <row r="144">
          <cell r="B144">
            <v>167000000000140</v>
          </cell>
          <cell r="C144" t="str">
            <v>Bank Rakyat Indonesia - 034101013725530</v>
          </cell>
          <cell r="D144" t="str">
            <v>IDR</v>
          </cell>
          <cell r="E144" t="str">
            <v>Person - Langgeng Eko Dwiantoro</v>
          </cell>
        </row>
        <row r="145">
          <cell r="B145">
            <v>167000000000141</v>
          </cell>
          <cell r="C145" t="str">
            <v>Bank Rakyat Indonesia - 034101085528508</v>
          </cell>
          <cell r="D145" t="str">
            <v>IDR</v>
          </cell>
          <cell r="E145" t="str">
            <v>Person - Roy Aditya</v>
          </cell>
        </row>
        <row r="146">
          <cell r="B146" t="str">
            <v/>
          </cell>
          <cell r="C146" t="str">
            <v/>
          </cell>
          <cell r="D146" t="str">
            <v/>
          </cell>
          <cell r="E146" t="str">
            <v/>
          </cell>
        </row>
        <row r="147">
          <cell r="B147">
            <v>167000000000142</v>
          </cell>
          <cell r="C147" t="str">
            <v>Bank Rakyat Indonesia - 034101082539500</v>
          </cell>
          <cell r="D147" t="str">
            <v>IDR</v>
          </cell>
          <cell r="E147" t="str">
            <v>Person - Sulaeman</v>
          </cell>
        </row>
        <row r="148">
          <cell r="B148">
            <v>167000000000143</v>
          </cell>
          <cell r="C148" t="str">
            <v>Bank Rakyat Indonesia - 026901024911506</v>
          </cell>
          <cell r="D148" t="str">
            <v>IDR</v>
          </cell>
          <cell r="E148" t="str">
            <v>Person - Urbanus Boimau</v>
          </cell>
        </row>
        <row r="149">
          <cell r="B149">
            <v>167000000000144</v>
          </cell>
          <cell r="C149" t="str">
            <v>Bank Central Asia - 5520769236</v>
          </cell>
          <cell r="D149" t="str">
            <v>IDR</v>
          </cell>
          <cell r="E149" t="str">
            <v>Person - Adhe Kurniawan</v>
          </cell>
        </row>
        <row r="150">
          <cell r="B150">
            <v>167000000000145</v>
          </cell>
          <cell r="C150" t="str">
            <v>Bank Rakyat Indonesia - 069501008650509</v>
          </cell>
          <cell r="D150" t="str">
            <v>IDR</v>
          </cell>
          <cell r="E150" t="str">
            <v>Person - Adhe Kurniawan</v>
          </cell>
        </row>
        <row r="151">
          <cell r="B151">
            <v>167000000000146</v>
          </cell>
          <cell r="C151" t="str">
            <v xml:space="preserve"> - </v>
          </cell>
          <cell r="D151" t="str">
            <v>Others</v>
          </cell>
          <cell r="E151" t="str">
            <v>Person - Ahmad Fauzi</v>
          </cell>
        </row>
        <row r="152">
          <cell r="B152">
            <v>167000000000147</v>
          </cell>
          <cell r="C152" t="str">
            <v xml:space="preserve"> - </v>
          </cell>
          <cell r="D152" t="str">
            <v>Others</v>
          </cell>
          <cell r="E152" t="str">
            <v>Person - Ahmad Gunawan</v>
          </cell>
        </row>
        <row r="153">
          <cell r="B153">
            <v>167000000000148</v>
          </cell>
          <cell r="C153" t="str">
            <v xml:space="preserve"> - </v>
          </cell>
          <cell r="D153" t="str">
            <v>Others</v>
          </cell>
          <cell r="E153" t="str">
            <v>Person - Andri Andriyan</v>
          </cell>
        </row>
        <row r="154">
          <cell r="B154">
            <v>167000000000149</v>
          </cell>
          <cell r="C154" t="str">
            <v xml:space="preserve"> - </v>
          </cell>
          <cell r="D154" t="str">
            <v>Others</v>
          </cell>
          <cell r="E154" t="str">
            <v>Person - Budi Sulistianto</v>
          </cell>
        </row>
        <row r="155">
          <cell r="B155">
            <v>167000000000150</v>
          </cell>
          <cell r="C155" t="str">
            <v xml:space="preserve"> - </v>
          </cell>
          <cell r="D155" t="str">
            <v>Others</v>
          </cell>
          <cell r="E155" t="str">
            <v>Person - Eka Budi</v>
          </cell>
        </row>
        <row r="156">
          <cell r="B156">
            <v>167000000000151</v>
          </cell>
          <cell r="C156" t="str">
            <v>Bank Central Asia - 5520776887</v>
          </cell>
          <cell r="D156" t="str">
            <v>IDR</v>
          </cell>
          <cell r="E156" t="str">
            <v>Person - Eka Kurniawan Hidayatullah</v>
          </cell>
        </row>
        <row r="157">
          <cell r="B157">
            <v>167000000000152</v>
          </cell>
          <cell r="C157" t="str">
            <v xml:space="preserve"> - </v>
          </cell>
          <cell r="D157" t="str">
            <v>Others</v>
          </cell>
          <cell r="E157" t="str">
            <v>Person - Haerul Gunawan</v>
          </cell>
        </row>
        <row r="158">
          <cell r="B158">
            <v>167000000000153</v>
          </cell>
          <cell r="C158" t="str">
            <v xml:space="preserve"> - </v>
          </cell>
          <cell r="D158" t="str">
            <v>Others</v>
          </cell>
          <cell r="E158" t="str">
            <v>Person - Irvan Agus</v>
          </cell>
        </row>
        <row r="159">
          <cell r="B159">
            <v>167000000000154</v>
          </cell>
          <cell r="C159" t="str">
            <v xml:space="preserve"> - </v>
          </cell>
          <cell r="D159" t="str">
            <v>Others</v>
          </cell>
          <cell r="E159" t="str">
            <v>Person - Joshika Pradirga</v>
          </cell>
        </row>
        <row r="160">
          <cell r="B160">
            <v>167000000000155</v>
          </cell>
          <cell r="C160" t="str">
            <v xml:space="preserve"> - </v>
          </cell>
          <cell r="D160" t="str">
            <v>Others</v>
          </cell>
          <cell r="E160" t="str">
            <v>Person - Khaidir</v>
          </cell>
        </row>
        <row r="161">
          <cell r="B161">
            <v>167000000000156</v>
          </cell>
          <cell r="C161" t="str">
            <v xml:space="preserve"> - </v>
          </cell>
          <cell r="D161" t="str">
            <v>Others</v>
          </cell>
          <cell r="E161" t="str">
            <v>Person - Latip Muhlanto</v>
          </cell>
        </row>
        <row r="162">
          <cell r="B162">
            <v>167000000000157</v>
          </cell>
          <cell r="C162" t="str">
            <v xml:space="preserve"> - </v>
          </cell>
          <cell r="D162" t="str">
            <v>Others</v>
          </cell>
          <cell r="E162" t="str">
            <v>Person - Leonardo Putra</v>
          </cell>
        </row>
        <row r="163">
          <cell r="B163">
            <v>167000000000158</v>
          </cell>
          <cell r="C163" t="str">
            <v xml:space="preserve"> - </v>
          </cell>
          <cell r="D163" t="str">
            <v>Others</v>
          </cell>
          <cell r="E163" t="str">
            <v>Person - Muhammad Ramadani</v>
          </cell>
        </row>
        <row r="164">
          <cell r="B164">
            <v>167000000000159</v>
          </cell>
          <cell r="C164" t="str">
            <v xml:space="preserve"> - </v>
          </cell>
          <cell r="D164" t="str">
            <v>Others</v>
          </cell>
          <cell r="E164" t="str">
            <v>Person - Musdalipa</v>
          </cell>
        </row>
        <row r="165">
          <cell r="B165">
            <v>167000000000160</v>
          </cell>
          <cell r="C165" t="str">
            <v xml:space="preserve"> - </v>
          </cell>
          <cell r="D165" t="str">
            <v>Others</v>
          </cell>
          <cell r="E165" t="str">
            <v>Person - Nico Melky</v>
          </cell>
        </row>
        <row r="166">
          <cell r="B166">
            <v>167000000000161</v>
          </cell>
          <cell r="C166" t="str">
            <v>Bank Central Asia - 8020227444</v>
          </cell>
          <cell r="D166" t="str">
            <v>IDR</v>
          </cell>
          <cell r="E166" t="str">
            <v>Person - Rahmata Novanisa</v>
          </cell>
        </row>
        <row r="167">
          <cell r="B167">
            <v>167000000000162</v>
          </cell>
          <cell r="C167" t="str">
            <v>Bank Central Asia - 0886361747</v>
          </cell>
          <cell r="D167" t="str">
            <v>IDR</v>
          </cell>
          <cell r="E167" t="str">
            <v>Person - Satrio Dhiaputra</v>
          </cell>
        </row>
        <row r="168">
          <cell r="B168">
            <v>167000000000163</v>
          </cell>
          <cell r="C168" t="str">
            <v xml:space="preserve"> - </v>
          </cell>
          <cell r="D168" t="str">
            <v>Others</v>
          </cell>
          <cell r="E168" t="str">
            <v>Person - Sudirman</v>
          </cell>
        </row>
        <row r="169">
          <cell r="B169">
            <v>167000000000164</v>
          </cell>
          <cell r="C169" t="str">
            <v xml:space="preserve"> - </v>
          </cell>
          <cell r="D169" t="str">
            <v>Others</v>
          </cell>
          <cell r="E169" t="str">
            <v>Person - Suparji</v>
          </cell>
        </row>
        <row r="170">
          <cell r="B170">
            <v>167000000000165</v>
          </cell>
          <cell r="C170" t="str">
            <v xml:space="preserve"> - </v>
          </cell>
          <cell r="D170" t="str">
            <v>Others</v>
          </cell>
          <cell r="E170" t="str">
            <v>Person - Taufik Iskandar</v>
          </cell>
        </row>
        <row r="171">
          <cell r="B171">
            <v>167000000000166</v>
          </cell>
          <cell r="C171" t="str">
            <v>Bank Central Asia - 8801497411</v>
          </cell>
          <cell r="D171" t="str">
            <v>IDR</v>
          </cell>
          <cell r="E171" t="str">
            <v>Person - Tegar Hersaputra</v>
          </cell>
        </row>
        <row r="172">
          <cell r="B172">
            <v>167000000000167</v>
          </cell>
          <cell r="C172" t="str">
            <v xml:space="preserve"> - </v>
          </cell>
          <cell r="D172" t="str">
            <v>Others</v>
          </cell>
          <cell r="E172" t="str">
            <v>Person - Togar Sihombing</v>
          </cell>
        </row>
        <row r="173">
          <cell r="B173">
            <v>167000000000168</v>
          </cell>
          <cell r="C173" t="str">
            <v>Bank Central Asia -  2730511712</v>
          </cell>
          <cell r="D173" t="str">
            <v>IDR</v>
          </cell>
          <cell r="E173" t="str">
            <v>Person - Wisnu Trenggono Wirayuda</v>
          </cell>
        </row>
        <row r="174">
          <cell r="B174">
            <v>167000000000169</v>
          </cell>
          <cell r="C174" t="str">
            <v xml:space="preserve"> - </v>
          </cell>
          <cell r="D174" t="str">
            <v>Others</v>
          </cell>
          <cell r="E174" t="str">
            <v>Person - Yogo</v>
          </cell>
        </row>
        <row r="175">
          <cell r="B175">
            <v>167000000000170</v>
          </cell>
          <cell r="C175" t="str">
            <v xml:space="preserve"> - </v>
          </cell>
          <cell r="D175" t="str">
            <v>Others</v>
          </cell>
          <cell r="E175" t="str">
            <v>Person - Yustiana Firda</v>
          </cell>
        </row>
        <row r="176">
          <cell r="B176">
            <v>167000000000171</v>
          </cell>
          <cell r="C176" t="str">
            <v xml:space="preserve"> - </v>
          </cell>
          <cell r="D176" t="str">
            <v>Others</v>
          </cell>
          <cell r="E176" t="str">
            <v>Person - Zainal Abidin</v>
          </cell>
        </row>
        <row r="177">
          <cell r="B177">
            <v>167000000000172</v>
          </cell>
          <cell r="C177" t="str">
            <v xml:space="preserve"> - </v>
          </cell>
          <cell r="D177" t="str">
            <v>Others</v>
          </cell>
          <cell r="E177" t="str">
            <v>Person - Budi Sandika</v>
          </cell>
        </row>
        <row r="178">
          <cell r="B178">
            <v>167000000000173</v>
          </cell>
          <cell r="C178" t="str">
            <v xml:space="preserve"> - </v>
          </cell>
          <cell r="D178" t="str">
            <v>Others</v>
          </cell>
          <cell r="E178" t="str">
            <v>Person - Fachri Azhar</v>
          </cell>
        </row>
        <row r="179">
          <cell r="B179">
            <v>167000000000174</v>
          </cell>
          <cell r="C179" t="str">
            <v xml:space="preserve"> - </v>
          </cell>
          <cell r="D179" t="str">
            <v>Others</v>
          </cell>
          <cell r="E179" t="str">
            <v>Person - Firmansyah Awaludin</v>
          </cell>
        </row>
        <row r="180">
          <cell r="B180">
            <v>167000000000175</v>
          </cell>
          <cell r="C180" t="str">
            <v>Bank Rakyat Indonesia - 038401073431507</v>
          </cell>
          <cell r="D180" t="str">
            <v>IDR</v>
          </cell>
          <cell r="E180" t="str">
            <v>Person - Iman Faisal Abdurahman</v>
          </cell>
        </row>
        <row r="181">
          <cell r="B181">
            <v>167000000000176</v>
          </cell>
          <cell r="C181" t="str">
            <v xml:space="preserve"> - </v>
          </cell>
          <cell r="D181" t="str">
            <v>Others</v>
          </cell>
          <cell r="E181" t="str">
            <v>Person - Muhammad Irfan Alfikri Rayana</v>
          </cell>
        </row>
        <row r="182">
          <cell r="B182">
            <v>167000000000177</v>
          </cell>
          <cell r="C182" t="str">
            <v xml:space="preserve"> - </v>
          </cell>
          <cell r="D182" t="str">
            <v>Others</v>
          </cell>
          <cell r="E182" t="str">
            <v>Person - Syafri Johansah</v>
          </cell>
        </row>
        <row r="183">
          <cell r="B183">
            <v>167000000000178</v>
          </cell>
          <cell r="C183" t="str">
            <v xml:space="preserve"> - </v>
          </cell>
          <cell r="D183" t="str">
            <v>Others</v>
          </cell>
          <cell r="E183" t="str">
            <v>Person - Agus Sobar</v>
          </cell>
        </row>
        <row r="184">
          <cell r="B184">
            <v>167000000000179</v>
          </cell>
          <cell r="C184" t="str">
            <v>Bank Central Asia - 0354409671</v>
          </cell>
          <cell r="D184" t="str">
            <v>IDR</v>
          </cell>
          <cell r="E184" t="str">
            <v>Person - Ahmad Sandi Asyuri</v>
          </cell>
        </row>
        <row r="185">
          <cell r="B185">
            <v>167000000000180</v>
          </cell>
          <cell r="C185" t="str">
            <v>Bank Central Asia - 7025035526</v>
          </cell>
          <cell r="D185" t="str">
            <v>IDR</v>
          </cell>
          <cell r="E185" t="str">
            <v>Person - Andi Mapasoro</v>
          </cell>
        </row>
        <row r="186">
          <cell r="B186">
            <v>167000000000181</v>
          </cell>
          <cell r="C186" t="str">
            <v xml:space="preserve"> - </v>
          </cell>
          <cell r="D186" t="str">
            <v>Others</v>
          </cell>
          <cell r="E186" t="str">
            <v>Person - Arie Gustaman</v>
          </cell>
        </row>
        <row r="187">
          <cell r="B187">
            <v>167000000000182</v>
          </cell>
          <cell r="C187" t="str">
            <v>Bank Rakyat Indonesia - 669501015343535</v>
          </cell>
          <cell r="D187" t="str">
            <v>IDR</v>
          </cell>
          <cell r="E187" t="str">
            <v>Person - Arief Yulianto</v>
          </cell>
        </row>
        <row r="188">
          <cell r="B188">
            <v>167000000000183</v>
          </cell>
          <cell r="C188" t="str">
            <v>Bank Rakyat Indonesia - 034101074857508</v>
          </cell>
          <cell r="D188" t="str">
            <v>IDR</v>
          </cell>
          <cell r="E188" t="str">
            <v>Person - Burhan</v>
          </cell>
        </row>
        <row r="189">
          <cell r="B189">
            <v>167000000000184</v>
          </cell>
          <cell r="C189" t="str">
            <v xml:space="preserve"> - </v>
          </cell>
          <cell r="D189" t="str">
            <v>Others</v>
          </cell>
          <cell r="E189" t="str">
            <v>Person - Deby Syahputa</v>
          </cell>
        </row>
        <row r="190">
          <cell r="B190">
            <v>167000000000185</v>
          </cell>
          <cell r="C190" t="str">
            <v xml:space="preserve"> - </v>
          </cell>
          <cell r="D190" t="str">
            <v>Others</v>
          </cell>
          <cell r="E190" t="str">
            <v>Person - Ibrahim Arya Yuda</v>
          </cell>
        </row>
        <row r="191">
          <cell r="B191">
            <v>167000000000186</v>
          </cell>
          <cell r="C191" t="str">
            <v xml:space="preserve"> - </v>
          </cell>
          <cell r="D191" t="str">
            <v>Others</v>
          </cell>
          <cell r="E191" t="str">
            <v>Person - Jamil</v>
          </cell>
        </row>
        <row r="192">
          <cell r="B192">
            <v>167000000000187</v>
          </cell>
          <cell r="C192" t="str">
            <v xml:space="preserve"> - </v>
          </cell>
          <cell r="D192" t="str">
            <v>Others</v>
          </cell>
          <cell r="E192" t="str">
            <v>Person - Kiki Prasetyo</v>
          </cell>
        </row>
        <row r="193">
          <cell r="B193">
            <v>167000000000188</v>
          </cell>
          <cell r="C193" t="str">
            <v xml:space="preserve"> - </v>
          </cell>
          <cell r="D193" t="str">
            <v>Others</v>
          </cell>
          <cell r="E193" t="str">
            <v>Person - Mochamad Ulul Azmi Wira Utama</v>
          </cell>
        </row>
        <row r="194">
          <cell r="B194">
            <v>167000000000189</v>
          </cell>
          <cell r="C194" t="str">
            <v xml:space="preserve"> - </v>
          </cell>
          <cell r="D194" t="str">
            <v>Others</v>
          </cell>
          <cell r="E194" t="str">
            <v>Person - Muhammad Bilal Sharony</v>
          </cell>
        </row>
        <row r="195">
          <cell r="B195">
            <v>167000000000190</v>
          </cell>
          <cell r="C195" t="str">
            <v xml:space="preserve"> - </v>
          </cell>
          <cell r="D195" t="str">
            <v>Others</v>
          </cell>
          <cell r="E195" t="str">
            <v>Person - Muhammad Hairul</v>
          </cell>
        </row>
        <row r="196">
          <cell r="B196">
            <v>167000000000191</v>
          </cell>
          <cell r="C196" t="str">
            <v xml:space="preserve"> - </v>
          </cell>
          <cell r="D196" t="str">
            <v>Others</v>
          </cell>
          <cell r="E196" t="str">
            <v>Person - Muhammad Rizal</v>
          </cell>
        </row>
        <row r="197">
          <cell r="B197">
            <v>167000000000192</v>
          </cell>
          <cell r="C197" t="str">
            <v xml:space="preserve"> - </v>
          </cell>
          <cell r="D197" t="str">
            <v>Others</v>
          </cell>
          <cell r="E197" t="str">
            <v>Person - Rahmad Dwifar</v>
          </cell>
        </row>
        <row r="198">
          <cell r="B198">
            <v>167000000000193</v>
          </cell>
          <cell r="C198" t="str">
            <v xml:space="preserve"> - </v>
          </cell>
          <cell r="D198" t="str">
            <v>Others</v>
          </cell>
          <cell r="E198" t="str">
            <v>Person - Reza Sanjaya</v>
          </cell>
        </row>
        <row r="199">
          <cell r="B199">
            <v>167000000000194</v>
          </cell>
          <cell r="C199" t="str">
            <v>Bank Central Asia - 7485341129</v>
          </cell>
          <cell r="D199" t="str">
            <v>IDR</v>
          </cell>
          <cell r="E199" t="str">
            <v>Person - Ridwan Nur Muttaqin</v>
          </cell>
        </row>
        <row r="200">
          <cell r="B200">
            <v>167000000000195</v>
          </cell>
          <cell r="C200" t="str">
            <v xml:space="preserve"> - </v>
          </cell>
          <cell r="D200" t="str">
            <v>Others</v>
          </cell>
          <cell r="E200" t="str">
            <v xml:space="preserve">Person - Risaldi </v>
          </cell>
        </row>
        <row r="201">
          <cell r="B201">
            <v>167000000000196</v>
          </cell>
          <cell r="C201" t="str">
            <v xml:space="preserve"> - </v>
          </cell>
          <cell r="D201" t="str">
            <v>Others</v>
          </cell>
          <cell r="E201" t="str">
            <v>Person - Risty Alawiyah</v>
          </cell>
        </row>
        <row r="202">
          <cell r="B202">
            <v>167000000000197</v>
          </cell>
          <cell r="C202" t="str">
            <v>Bank Rakyat Indonesia - 034101074859500</v>
          </cell>
          <cell r="D202" t="str">
            <v>IDR</v>
          </cell>
          <cell r="E202" t="str">
            <v>Person - Rustono</v>
          </cell>
        </row>
        <row r="203">
          <cell r="B203">
            <v>167000000000198</v>
          </cell>
          <cell r="C203" t="str">
            <v>Bank Rakyat Indonesia - 034101074862503</v>
          </cell>
          <cell r="D203" t="str">
            <v>IDR</v>
          </cell>
          <cell r="E203" t="str">
            <v>Person - Solihin</v>
          </cell>
        </row>
        <row r="204">
          <cell r="B204">
            <v>167000000000199</v>
          </cell>
          <cell r="C204" t="str">
            <v>Bank Rakyat Indonesia - 034101074867503</v>
          </cell>
          <cell r="D204" t="str">
            <v>IDR</v>
          </cell>
          <cell r="E204" t="str">
            <v>Person - Supriatna</v>
          </cell>
        </row>
        <row r="205">
          <cell r="B205">
            <v>167000000000200</v>
          </cell>
          <cell r="C205" t="str">
            <v>Bank Rakyat Indonesia - 010201029577531</v>
          </cell>
          <cell r="D205" t="str">
            <v>IDR</v>
          </cell>
          <cell r="E205" t="str">
            <v>Person - Taufik Aminudin</v>
          </cell>
        </row>
        <row r="206">
          <cell r="B206">
            <v>167000000000201</v>
          </cell>
          <cell r="C206" t="str">
            <v>Bank Rakyat Indonesia - 034101074865501</v>
          </cell>
          <cell r="D206" t="str">
            <v>IDR</v>
          </cell>
          <cell r="E206" t="str">
            <v>Person - Timotius Tabun</v>
          </cell>
        </row>
        <row r="207">
          <cell r="B207">
            <v>167000000000202</v>
          </cell>
          <cell r="C207" t="str">
            <v xml:space="preserve">Bank Rakyat Indonesia - </v>
          </cell>
          <cell r="D207" t="str">
            <v>Others</v>
          </cell>
          <cell r="E207" t="str">
            <v>Person - Adi</v>
          </cell>
        </row>
        <row r="208">
          <cell r="B208" t="str">
            <v/>
          </cell>
          <cell r="C208" t="str">
            <v/>
          </cell>
          <cell r="D208" t="str">
            <v/>
          </cell>
          <cell r="E208" t="str">
            <v/>
          </cell>
        </row>
        <row r="209">
          <cell r="B209" t="str">
            <v/>
          </cell>
          <cell r="C209" t="str">
            <v/>
          </cell>
          <cell r="D209" t="str">
            <v/>
          </cell>
          <cell r="E209" t="str">
            <v/>
          </cell>
        </row>
        <row r="210">
          <cell r="B210" t="str">
            <v/>
          </cell>
          <cell r="C210" t="str">
            <v/>
          </cell>
          <cell r="D210" t="str">
            <v/>
          </cell>
          <cell r="E210" t="str">
            <v/>
          </cell>
        </row>
        <row r="211">
          <cell r="B211" t="str">
            <v/>
          </cell>
          <cell r="C211" t="str">
            <v/>
          </cell>
          <cell r="D211" t="str">
            <v/>
          </cell>
          <cell r="E211" t="str">
            <v/>
          </cell>
        </row>
        <row r="212">
          <cell r="B212" t="str">
            <v/>
          </cell>
          <cell r="C212" t="str">
            <v/>
          </cell>
          <cell r="D212" t="str">
            <v/>
          </cell>
          <cell r="E212" t="str">
            <v/>
          </cell>
        </row>
        <row r="213">
          <cell r="B213" t="str">
            <v/>
          </cell>
          <cell r="C213" t="str">
            <v/>
          </cell>
          <cell r="D213" t="str">
            <v/>
          </cell>
          <cell r="E213" t="str">
            <v/>
          </cell>
        </row>
        <row r="214">
          <cell r="B214" t="str">
            <v/>
          </cell>
          <cell r="C214" t="str">
            <v/>
          </cell>
          <cell r="D214" t="str">
            <v/>
          </cell>
          <cell r="E214" t="str">
            <v/>
          </cell>
        </row>
        <row r="215">
          <cell r="B215" t="str">
            <v/>
          </cell>
          <cell r="C215" t="str">
            <v/>
          </cell>
          <cell r="D215" t="str">
            <v/>
          </cell>
          <cell r="E215" t="str">
            <v/>
          </cell>
        </row>
        <row r="216">
          <cell r="B216" t="str">
            <v/>
          </cell>
          <cell r="C216" t="str">
            <v/>
          </cell>
          <cell r="D216" t="str">
            <v/>
          </cell>
          <cell r="E216" t="str">
            <v/>
          </cell>
        </row>
        <row r="217">
          <cell r="B217" t="str">
            <v/>
          </cell>
          <cell r="C217" t="str">
            <v/>
          </cell>
          <cell r="D217" t="str">
            <v/>
          </cell>
          <cell r="E217" t="str">
            <v/>
          </cell>
        </row>
        <row r="218">
          <cell r="B218" t="str">
            <v/>
          </cell>
          <cell r="C218" t="str">
            <v/>
          </cell>
          <cell r="D218" t="str">
            <v/>
          </cell>
          <cell r="E218" t="str">
            <v/>
          </cell>
        </row>
        <row r="219">
          <cell r="B219" t="str">
            <v/>
          </cell>
          <cell r="C219" t="str">
            <v/>
          </cell>
          <cell r="D219" t="str">
            <v/>
          </cell>
          <cell r="E219" t="str">
            <v/>
          </cell>
        </row>
        <row r="220">
          <cell r="B220" t="str">
            <v/>
          </cell>
          <cell r="C220" t="str">
            <v/>
          </cell>
          <cell r="D220" t="str">
            <v/>
          </cell>
          <cell r="E220" t="str">
            <v/>
          </cell>
        </row>
        <row r="221">
          <cell r="B221" t="str">
            <v/>
          </cell>
          <cell r="C221" t="str">
            <v/>
          </cell>
          <cell r="D221" t="str">
            <v/>
          </cell>
          <cell r="E221" t="str">
            <v/>
          </cell>
        </row>
        <row r="222">
          <cell r="B222" t="str">
            <v/>
          </cell>
          <cell r="C222" t="str">
            <v/>
          </cell>
          <cell r="D222" t="str">
            <v/>
          </cell>
          <cell r="E222" t="str">
            <v/>
          </cell>
        </row>
        <row r="223">
          <cell r="B223" t="str">
            <v/>
          </cell>
          <cell r="C223" t="str">
            <v/>
          </cell>
          <cell r="D223" t="str">
            <v/>
          </cell>
          <cell r="E223" t="str">
            <v/>
          </cell>
        </row>
        <row r="224">
          <cell r="B224" t="str">
            <v/>
          </cell>
          <cell r="C224" t="str">
            <v/>
          </cell>
          <cell r="D224" t="str">
            <v/>
          </cell>
          <cell r="E224" t="str">
            <v/>
          </cell>
        </row>
        <row r="225">
          <cell r="B225" t="str">
            <v/>
          </cell>
          <cell r="C225" t="str">
            <v/>
          </cell>
          <cell r="D225" t="str">
            <v/>
          </cell>
          <cell r="E225" t="str">
            <v/>
          </cell>
        </row>
        <row r="226">
          <cell r="B226" t="str">
            <v/>
          </cell>
          <cell r="C226" t="str">
            <v/>
          </cell>
          <cell r="D226" t="str">
            <v/>
          </cell>
          <cell r="E226" t="str">
            <v/>
          </cell>
        </row>
        <row r="227">
          <cell r="B227" t="str">
            <v/>
          </cell>
          <cell r="C227" t="str">
            <v/>
          </cell>
          <cell r="D227" t="str">
            <v/>
          </cell>
          <cell r="E227" t="str">
            <v/>
          </cell>
        </row>
        <row r="228">
          <cell r="B228" t="str">
            <v/>
          </cell>
          <cell r="C228" t="str">
            <v/>
          </cell>
          <cell r="D228" t="str">
            <v/>
          </cell>
          <cell r="E228" t="str">
            <v/>
          </cell>
        </row>
        <row r="229">
          <cell r="B229" t="str">
            <v/>
          </cell>
          <cell r="C229" t="str">
            <v/>
          </cell>
          <cell r="D229" t="str">
            <v/>
          </cell>
          <cell r="E229" t="str">
            <v/>
          </cell>
        </row>
        <row r="230">
          <cell r="B230" t="str">
            <v/>
          </cell>
          <cell r="C230" t="str">
            <v/>
          </cell>
          <cell r="D230" t="str">
            <v/>
          </cell>
          <cell r="E230" t="str">
            <v/>
          </cell>
        </row>
        <row r="231">
          <cell r="B231" t="str">
            <v/>
          </cell>
          <cell r="C231" t="str">
            <v/>
          </cell>
          <cell r="D231" t="str">
            <v/>
          </cell>
          <cell r="E231" t="str">
            <v/>
          </cell>
        </row>
        <row r="232">
          <cell r="B232" t="str">
            <v/>
          </cell>
          <cell r="C232" t="str">
            <v/>
          </cell>
          <cell r="D232" t="str">
            <v/>
          </cell>
          <cell r="E232" t="str">
            <v/>
          </cell>
        </row>
        <row r="233">
          <cell r="B233" t="str">
            <v/>
          </cell>
          <cell r="C233" t="str">
            <v/>
          </cell>
          <cell r="D233" t="str">
            <v/>
          </cell>
          <cell r="E233" t="str">
            <v/>
          </cell>
        </row>
        <row r="234">
          <cell r="B234" t="str">
            <v/>
          </cell>
          <cell r="C234" t="str">
            <v/>
          </cell>
          <cell r="D234" t="str">
            <v/>
          </cell>
          <cell r="E234" t="str">
            <v/>
          </cell>
        </row>
        <row r="235">
          <cell r="B235" t="str">
            <v/>
          </cell>
          <cell r="C235" t="str">
            <v/>
          </cell>
          <cell r="D235" t="str">
            <v/>
          </cell>
          <cell r="E235" t="str">
            <v/>
          </cell>
        </row>
        <row r="236">
          <cell r="B236" t="str">
            <v/>
          </cell>
          <cell r="C236" t="str">
            <v/>
          </cell>
          <cell r="D236" t="str">
            <v/>
          </cell>
          <cell r="E236" t="str">
            <v/>
          </cell>
        </row>
        <row r="237">
          <cell r="B237" t="str">
            <v/>
          </cell>
          <cell r="C237" t="str">
            <v/>
          </cell>
          <cell r="D237" t="str">
            <v/>
          </cell>
          <cell r="E237" t="str">
            <v/>
          </cell>
        </row>
        <row r="238">
          <cell r="B238" t="str">
            <v/>
          </cell>
          <cell r="C238" t="str">
            <v/>
          </cell>
          <cell r="D238" t="str">
            <v/>
          </cell>
          <cell r="E238" t="str">
            <v/>
          </cell>
        </row>
        <row r="239">
          <cell r="B239" t="str">
            <v/>
          </cell>
          <cell r="C239" t="str">
            <v/>
          </cell>
          <cell r="D239" t="str">
            <v/>
          </cell>
          <cell r="E239" t="str">
            <v/>
          </cell>
        </row>
        <row r="240">
          <cell r="B240" t="str">
            <v/>
          </cell>
          <cell r="C240" t="str">
            <v/>
          </cell>
          <cell r="D240" t="str">
            <v/>
          </cell>
          <cell r="E240" t="str">
            <v/>
          </cell>
        </row>
        <row r="241">
          <cell r="B241" t="str">
            <v/>
          </cell>
          <cell r="C241" t="str">
            <v/>
          </cell>
          <cell r="D241" t="str">
            <v/>
          </cell>
          <cell r="E241" t="str">
            <v/>
          </cell>
        </row>
        <row r="242">
          <cell r="B242" t="str">
            <v/>
          </cell>
          <cell r="C242" t="str">
            <v/>
          </cell>
          <cell r="D242" t="str">
            <v/>
          </cell>
          <cell r="E242" t="str">
            <v/>
          </cell>
        </row>
        <row r="243">
          <cell r="B243" t="str">
            <v/>
          </cell>
          <cell r="C243" t="str">
            <v/>
          </cell>
          <cell r="D243" t="str">
            <v/>
          </cell>
          <cell r="E243" t="str">
            <v/>
          </cell>
        </row>
        <row r="244">
          <cell r="B244" t="str">
            <v/>
          </cell>
          <cell r="C244" t="str">
            <v/>
          </cell>
          <cell r="D244" t="str">
            <v/>
          </cell>
          <cell r="E244" t="str">
            <v/>
          </cell>
        </row>
        <row r="245">
          <cell r="B245" t="str">
            <v/>
          </cell>
          <cell r="C245" t="str">
            <v/>
          </cell>
          <cell r="D245" t="str">
            <v/>
          </cell>
          <cell r="E245" t="str">
            <v/>
          </cell>
        </row>
        <row r="246">
          <cell r="B246" t="str">
            <v/>
          </cell>
          <cell r="C246" t="str">
            <v/>
          </cell>
          <cell r="D246" t="str">
            <v/>
          </cell>
          <cell r="E246" t="str">
            <v/>
          </cell>
        </row>
        <row r="247">
          <cell r="B247" t="str">
            <v/>
          </cell>
          <cell r="C247" t="str">
            <v/>
          </cell>
          <cell r="D247" t="str">
            <v/>
          </cell>
          <cell r="E247" t="str">
            <v/>
          </cell>
        </row>
        <row r="248">
          <cell r="B248" t="str">
            <v/>
          </cell>
          <cell r="C248" t="str">
            <v/>
          </cell>
          <cell r="D248" t="str">
            <v/>
          </cell>
          <cell r="E248" t="str">
            <v/>
          </cell>
        </row>
        <row r="249">
          <cell r="B249" t="str">
            <v/>
          </cell>
          <cell r="C249" t="str">
            <v/>
          </cell>
          <cell r="D249" t="str">
            <v/>
          </cell>
          <cell r="E249" t="str">
            <v/>
          </cell>
        </row>
        <row r="250">
          <cell r="B250" t="str">
            <v/>
          </cell>
          <cell r="C250" t="str">
            <v/>
          </cell>
          <cell r="D250" t="str">
            <v/>
          </cell>
          <cell r="E250" t="str">
            <v/>
          </cell>
        </row>
        <row r="251">
          <cell r="B251" t="str">
            <v/>
          </cell>
          <cell r="C251" t="str">
            <v/>
          </cell>
          <cell r="D251" t="str">
            <v/>
          </cell>
          <cell r="E251" t="str">
            <v/>
          </cell>
        </row>
        <row r="252">
          <cell r="B252" t="str">
            <v/>
          </cell>
          <cell r="C252" t="str">
            <v/>
          </cell>
          <cell r="D252" t="str">
            <v/>
          </cell>
          <cell r="E252" t="str">
            <v/>
          </cell>
        </row>
        <row r="253">
          <cell r="B253" t="str">
            <v/>
          </cell>
          <cell r="C253" t="str">
            <v/>
          </cell>
          <cell r="D253" t="str">
            <v/>
          </cell>
          <cell r="E253" t="str">
            <v/>
          </cell>
        </row>
        <row r="254">
          <cell r="B254" t="str">
            <v/>
          </cell>
          <cell r="C254" t="str">
            <v/>
          </cell>
          <cell r="D254" t="str">
            <v/>
          </cell>
          <cell r="E254" t="str">
            <v/>
          </cell>
        </row>
        <row r="255">
          <cell r="B255" t="str">
            <v/>
          </cell>
          <cell r="C255" t="str">
            <v/>
          </cell>
          <cell r="D255" t="str">
            <v/>
          </cell>
          <cell r="E255" t="str">
            <v/>
          </cell>
        </row>
        <row r="256">
          <cell r="B256" t="str">
            <v/>
          </cell>
          <cell r="C256" t="str">
            <v/>
          </cell>
          <cell r="D256" t="str">
            <v/>
          </cell>
          <cell r="E256" t="str">
            <v/>
          </cell>
        </row>
        <row r="257">
          <cell r="B257" t="str">
            <v/>
          </cell>
          <cell r="C257" t="str">
            <v/>
          </cell>
          <cell r="D257" t="str">
            <v/>
          </cell>
          <cell r="E257" t="str">
            <v/>
          </cell>
        </row>
        <row r="258">
          <cell r="B258" t="str">
            <v/>
          </cell>
          <cell r="C258" t="str">
            <v/>
          </cell>
          <cell r="D258" t="str">
            <v/>
          </cell>
          <cell r="E258" t="str">
            <v/>
          </cell>
        </row>
        <row r="259">
          <cell r="B259" t="str">
            <v/>
          </cell>
          <cell r="C259" t="str">
            <v/>
          </cell>
          <cell r="D259" t="str">
            <v/>
          </cell>
          <cell r="E259" t="str">
            <v/>
          </cell>
        </row>
        <row r="260">
          <cell r="B260" t="str">
            <v/>
          </cell>
          <cell r="C260" t="str">
            <v/>
          </cell>
          <cell r="D260" t="str">
            <v/>
          </cell>
          <cell r="E260" t="str">
            <v/>
          </cell>
        </row>
        <row r="261">
          <cell r="B261" t="str">
            <v/>
          </cell>
          <cell r="C261" t="str">
            <v/>
          </cell>
          <cell r="D261" t="str">
            <v/>
          </cell>
          <cell r="E261" t="str">
            <v/>
          </cell>
        </row>
        <row r="262">
          <cell r="B262" t="str">
            <v/>
          </cell>
          <cell r="C262" t="str">
            <v/>
          </cell>
          <cell r="D262" t="str">
            <v/>
          </cell>
          <cell r="E262" t="str">
            <v/>
          </cell>
        </row>
        <row r="263">
          <cell r="B263" t="str">
            <v/>
          </cell>
          <cell r="C263" t="str">
            <v/>
          </cell>
          <cell r="D263" t="str">
            <v/>
          </cell>
          <cell r="E263" t="str">
            <v/>
          </cell>
        </row>
        <row r="264">
          <cell r="B264" t="str">
            <v/>
          </cell>
          <cell r="C264" t="str">
            <v/>
          </cell>
          <cell r="D264" t="str">
            <v/>
          </cell>
          <cell r="E264" t="str">
            <v/>
          </cell>
        </row>
        <row r="265">
          <cell r="B265" t="str">
            <v/>
          </cell>
          <cell r="C265" t="str">
            <v/>
          </cell>
          <cell r="D265" t="str">
            <v/>
          </cell>
          <cell r="E265" t="str">
            <v/>
          </cell>
        </row>
        <row r="266">
          <cell r="B266" t="str">
            <v/>
          </cell>
          <cell r="C266" t="str">
            <v/>
          </cell>
          <cell r="D266" t="str">
            <v/>
          </cell>
          <cell r="E266" t="str">
            <v/>
          </cell>
        </row>
        <row r="267">
          <cell r="B267" t="str">
            <v/>
          </cell>
          <cell r="C267" t="str">
            <v/>
          </cell>
          <cell r="D267" t="str">
            <v/>
          </cell>
          <cell r="E267" t="str">
            <v/>
          </cell>
        </row>
        <row r="268">
          <cell r="B268" t="str">
            <v/>
          </cell>
          <cell r="C268" t="str">
            <v/>
          </cell>
          <cell r="D268" t="str">
            <v/>
          </cell>
          <cell r="E268" t="str">
            <v/>
          </cell>
        </row>
        <row r="269">
          <cell r="B269" t="str">
            <v/>
          </cell>
          <cell r="C269" t="str">
            <v/>
          </cell>
          <cell r="D269" t="str">
            <v/>
          </cell>
          <cell r="E269" t="str">
            <v/>
          </cell>
        </row>
        <row r="270">
          <cell r="B270" t="str">
            <v/>
          </cell>
          <cell r="C270" t="str">
            <v/>
          </cell>
          <cell r="D270" t="str">
            <v/>
          </cell>
          <cell r="E270" t="str">
            <v/>
          </cell>
        </row>
        <row r="271">
          <cell r="B271" t="str">
            <v/>
          </cell>
          <cell r="C271" t="str">
            <v/>
          </cell>
          <cell r="D271" t="str">
            <v/>
          </cell>
          <cell r="E271" t="str">
            <v/>
          </cell>
        </row>
        <row r="272">
          <cell r="B272" t="str">
            <v/>
          </cell>
          <cell r="C272" t="str">
            <v/>
          </cell>
          <cell r="D272" t="str">
            <v/>
          </cell>
          <cell r="E272" t="str">
            <v/>
          </cell>
        </row>
        <row r="273">
          <cell r="B273" t="str">
            <v/>
          </cell>
          <cell r="C273" t="str">
            <v/>
          </cell>
          <cell r="D273" t="str">
            <v/>
          </cell>
          <cell r="E273" t="str">
            <v/>
          </cell>
        </row>
        <row r="274">
          <cell r="B274" t="str">
            <v/>
          </cell>
          <cell r="C274" t="str">
            <v/>
          </cell>
          <cell r="D274" t="str">
            <v/>
          </cell>
          <cell r="E274" t="str">
            <v/>
          </cell>
        </row>
        <row r="275">
          <cell r="B275" t="str">
            <v/>
          </cell>
          <cell r="C275" t="str">
            <v/>
          </cell>
          <cell r="D275" t="str">
            <v/>
          </cell>
          <cell r="E275" t="str">
            <v/>
          </cell>
        </row>
        <row r="276">
          <cell r="B276" t="str">
            <v/>
          </cell>
          <cell r="C276" t="str">
            <v/>
          </cell>
          <cell r="D276" t="str">
            <v/>
          </cell>
          <cell r="E276" t="str">
            <v/>
          </cell>
        </row>
        <row r="277">
          <cell r="B277" t="str">
            <v/>
          </cell>
          <cell r="C277" t="str">
            <v/>
          </cell>
          <cell r="D277" t="str">
            <v/>
          </cell>
          <cell r="E277" t="str">
            <v/>
          </cell>
        </row>
        <row r="278">
          <cell r="B278" t="str">
            <v/>
          </cell>
          <cell r="C278" t="str">
            <v/>
          </cell>
          <cell r="D278" t="str">
            <v/>
          </cell>
          <cell r="E278" t="str">
            <v/>
          </cell>
        </row>
        <row r="279">
          <cell r="B279" t="str">
            <v/>
          </cell>
          <cell r="C279" t="str">
            <v/>
          </cell>
          <cell r="D279" t="str">
            <v/>
          </cell>
          <cell r="E279" t="str">
            <v/>
          </cell>
        </row>
        <row r="280">
          <cell r="B280" t="str">
            <v/>
          </cell>
          <cell r="C280" t="str">
            <v/>
          </cell>
          <cell r="D280" t="str">
            <v/>
          </cell>
          <cell r="E280" t="str">
            <v/>
          </cell>
        </row>
        <row r="281">
          <cell r="B281" t="str">
            <v/>
          </cell>
          <cell r="C281" t="str">
            <v/>
          </cell>
          <cell r="D281" t="str">
            <v/>
          </cell>
          <cell r="E281" t="str">
            <v/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J286"/>
  <sheetViews>
    <sheetView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E13" sqref="E13"/>
    </sheetView>
  </sheetViews>
  <sheetFormatPr defaultRowHeight="12.75" x14ac:dyDescent="0.2"/>
  <cols>
    <col min="1" max="1" width="2.85546875" style="1" customWidth="1"/>
    <col min="2" max="2" width="14.5703125" style="1" bestFit="1" customWidth="1"/>
    <col min="3" max="3" width="30.140625" style="1" bestFit="1" customWidth="1"/>
    <col min="4" max="4" width="14.5703125" style="1" bestFit="1" customWidth="1"/>
    <col min="5" max="5" width="47.28515625" style="1" bestFit="1" customWidth="1"/>
    <col min="6" max="6" width="7.85546875" style="3" bestFit="1" customWidth="1"/>
    <col min="7" max="7" width="30.140625" style="12" bestFit="1" customWidth="1"/>
    <col min="8" max="8" width="2.85546875" style="1" customWidth="1"/>
    <col min="9" max="9" width="14" style="1" bestFit="1" customWidth="1"/>
    <col min="10" max="16384" width="9.140625" style="1"/>
  </cols>
  <sheetData>
    <row r="1" spans="2:10" ht="13.5" thickBot="1" x14ac:dyDescent="0.25"/>
    <row r="2" spans="2:10" ht="25.5" x14ac:dyDescent="0.2">
      <c r="B2" s="19" t="s">
        <v>0</v>
      </c>
      <c r="C2" s="20" t="s">
        <v>5</v>
      </c>
      <c r="D2" s="21" t="s">
        <v>1</v>
      </c>
      <c r="E2" s="21" t="s">
        <v>2</v>
      </c>
      <c r="F2" s="21" t="s">
        <v>3</v>
      </c>
      <c r="G2" s="22" t="s">
        <v>4</v>
      </c>
      <c r="I2" s="23" t="s">
        <v>6</v>
      </c>
      <c r="J2" s="24" t="s">
        <v>7</v>
      </c>
    </row>
    <row r="3" spans="2:10" ht="13.5" thickBot="1" x14ac:dyDescent="0.25">
      <c r="B3" s="6"/>
      <c r="C3" s="15"/>
      <c r="D3" s="7"/>
      <c r="E3" s="7"/>
      <c r="F3" s="7"/>
      <c r="G3" s="18"/>
      <c r="I3" s="25">
        <v>198000000000000</v>
      </c>
      <c r="J3" s="26"/>
    </row>
    <row r="4" spans="2:10" x14ac:dyDescent="0.2">
      <c r="B4" s="4">
        <v>124000000000001</v>
      </c>
      <c r="C4" s="16" t="str">
        <f>IF(EXACT($B4, ""), "", IF(FLOOR(SEED!$B4/1000000000000, 1)=124, "Institution - "&amp;VLOOKUP(SEED!$B4, '[1]DataLookUp - InstitutionBranch'!$B$4:$C$1000, 2, FALSE), "Person - "&amp;VLOOKUP(SEED!$B4, [2]DataLookUp!$B$4:$D$1000, 2, FALSE)))</f>
        <v>Institution - PT. QDC Technologies</v>
      </c>
      <c r="D4" s="4">
        <v>167000000000001</v>
      </c>
      <c r="E4" s="8" t="str">
        <f ca="1">IF(EXACT($D4, ""), "", VLOOKUP($D4, [3]DataLookUp!$B$4:$F$1000, 2, FALSE))</f>
        <v>Bank Central Asia - 0063032911</v>
      </c>
      <c r="F4" s="9" t="str">
        <f ca="1">IF(EXACT($D4, ""), "", VLOOKUP($D4, [3]DataLookUp!$B$4:$F$1000, 3, FALSE))</f>
        <v>IDR</v>
      </c>
      <c r="G4" s="13" t="str">
        <f ca="1">IF(EXACT($D4, ""), "", VLOOKUP($D4, [3]DataLookUp!$B$4:$F$1000, 4, FALSE))</f>
        <v>Institution - PT. QDC Technologies</v>
      </c>
      <c r="I4" s="27">
        <f xml:space="preserve"> I3 + IF(EXACT(J4, ""), 0, 1)</f>
        <v>198000000000001</v>
      </c>
      <c r="J4" s="28" t="str">
        <f>IF(EXACT(B4, ""), "", CONCATENATE("PERFORM ""SchData-OLTP-Master"".""Func_TblEntityBankAccount_SET""(varSystemLoginSession::bigint, null::bigint, null::varchar, null::timestamptz, null::timestamptz, null::varchar, varInstitutionBranchID::bigint, varBaseCurrencyID::bigint, ", IF(EXACT($B4, ""), "NULL", ""&amp;$B4&amp;""), "::bigint, ", IF(EXACT($D4, ""), "NULL", ""&amp;$D4&amp;""), "::bigint);"))</f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167000000000001::bigint);</v>
      </c>
    </row>
    <row r="5" spans="2:10" x14ac:dyDescent="0.2">
      <c r="B5" s="5">
        <v>124000000000001</v>
      </c>
      <c r="C5" s="17" t="str">
        <f>IF(EXACT($B5, ""), "", IF(FLOOR(SEED!$B5/1000000000000, 1)=124, "Institution - "&amp;VLOOKUP(SEED!$B5, '[1]DataLookUp - InstitutionBranch'!$B$4:$C$1000, 2, FALSE), "Person - "&amp;VLOOKUP(SEED!$B5, [2]DataLookUp!$B$4:$D$1000, 2, FALSE)))</f>
        <v>Institution - PT. QDC Technologies</v>
      </c>
      <c r="D5" s="5">
        <v>167000000000002</v>
      </c>
      <c r="E5" s="10" t="str">
        <f ca="1">IF(EXACT($D5, ""), "", VLOOKUP($D5, [3]DataLookUp!$B$4:$F$1000, 2, FALSE))</f>
        <v>Bank Central Asia - 0065557750</v>
      </c>
      <c r="F5" s="11" t="str">
        <f ca="1">IF(EXACT($D5, ""), "", VLOOKUP($D5, [3]DataLookUp!$B$4:$F$1000, 3, FALSE))</f>
        <v>IDR</v>
      </c>
      <c r="G5" s="14" t="str">
        <f ca="1">IF(EXACT($D5, ""), "", VLOOKUP($D5, [3]DataLookUp!$B$4:$F$1000, 4, FALSE))</f>
        <v>Institution - PT. QDC Technologies</v>
      </c>
      <c r="I5" s="27">
        <f t="shared" ref="I5" si="0" xml:space="preserve"> I4 + IF(EXACT(J5, ""), 0, 1)</f>
        <v>198000000000002</v>
      </c>
      <c r="J5" s="28" t="str">
        <f t="shared" ref="J5:J68" si="1">IF(EXACT(B5, ""), "", CONCATENATE("PERFORM ""SchData-OLTP-Master"".""Func_TblEntityBankAccount_SET""(varSystemLoginSession::bigint, null::bigint, null::varchar, null::timestamptz, null::timestamptz, null::varchar, varInstitutionBranchID::bigint, varBaseCurrencyID::bigint, ", IF(EXACT($B5, ""), "NULL", ""&amp;$B5&amp;""), "::bigint, ", IF(EXACT($D5, ""), "NULL", ""&amp;$D5&amp;""), "::bigint);"))</f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167000000000002::bigint);</v>
      </c>
    </row>
    <row r="6" spans="2:10" x14ac:dyDescent="0.2">
      <c r="B6" s="5">
        <v>124000000000001</v>
      </c>
      <c r="C6" s="17" t="str">
        <f>IF(EXACT($B6, ""), "", IF(FLOOR(SEED!$B6/1000000000000, 1)=124, "Institution - "&amp;VLOOKUP(SEED!$B6, '[1]DataLookUp - InstitutionBranch'!$B$4:$C$1000, 2, FALSE), "Person - "&amp;VLOOKUP(SEED!$B6, [2]DataLookUp!$B$4:$D$1000, 2, FALSE)))</f>
        <v>Institution - PT. QDC Technologies</v>
      </c>
      <c r="D6" s="5">
        <v>167000000000003</v>
      </c>
      <c r="E6" s="10" t="str">
        <f ca="1">IF(EXACT($D6, ""), "", VLOOKUP($D6, [3]DataLookUp!$B$4:$F$1000, 2, FALSE))</f>
        <v>Bank Central Asia - 0068502911</v>
      </c>
      <c r="F6" s="11" t="str">
        <f ca="1">IF(EXACT($D6, ""), "", VLOOKUP($D6, [3]DataLookUp!$B$4:$F$1000, 3, FALSE))</f>
        <v>IDR</v>
      </c>
      <c r="G6" s="14" t="str">
        <f ca="1">IF(EXACT($D6, ""), "", VLOOKUP($D6, [3]DataLookUp!$B$4:$F$1000, 4, FALSE))</f>
        <v>Institution - PT. QDC Technologies</v>
      </c>
      <c r="I6" s="27">
        <f t="shared" ref="I6:I19" si="2" xml:space="preserve"> I5 + IF(EXACT(J6, ""), 0, 1)</f>
        <v>198000000000003</v>
      </c>
      <c r="J6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167000000000003::bigint);</v>
      </c>
    </row>
    <row r="7" spans="2:10" x14ac:dyDescent="0.2">
      <c r="B7" s="5">
        <v>124000000000001</v>
      </c>
      <c r="C7" s="17" t="str">
        <f>IF(EXACT($B7, ""), "", IF(FLOOR(SEED!$B7/1000000000000, 1)=124, "Institution - "&amp;VLOOKUP(SEED!$B7, '[1]DataLookUp - InstitutionBranch'!$B$4:$C$1000, 2, FALSE), "Person - "&amp;VLOOKUP(SEED!$B7, [2]DataLookUp!$B$4:$D$1000, 2, FALSE)))</f>
        <v>Institution - PT. QDC Technologies</v>
      </c>
      <c r="D7" s="5">
        <v>167000000000004</v>
      </c>
      <c r="E7" s="10" t="str">
        <f ca="1">IF(EXACT($D7, ""), "", VLOOKUP($D7, [3]DataLookUp!$B$4:$F$1000, 2, FALSE))</f>
        <v>Bank Central Asia - 2173050101</v>
      </c>
      <c r="F7" s="11" t="str">
        <f ca="1">IF(EXACT($D7, ""), "", VLOOKUP($D7, [3]DataLookUp!$B$4:$F$1000, 3, FALSE))</f>
        <v>IDR</v>
      </c>
      <c r="G7" s="14" t="str">
        <f ca="1">IF(EXACT($D7, ""), "", VLOOKUP($D7, [3]DataLookUp!$B$4:$F$1000, 4, FALSE))</f>
        <v>Institution - PT. QDC Technologies</v>
      </c>
      <c r="I7" s="27">
        <f t="shared" si="2"/>
        <v>198000000000004</v>
      </c>
      <c r="J7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167000000000004::bigint);</v>
      </c>
    </row>
    <row r="8" spans="2:10" x14ac:dyDescent="0.2">
      <c r="B8" s="5">
        <v>124000000000001</v>
      </c>
      <c r="C8" s="17" t="str">
        <f>IF(EXACT($B8, ""), "", IF(FLOOR(SEED!$B8/1000000000000, 1)=124, "Institution - "&amp;VLOOKUP(SEED!$B8, '[1]DataLookUp - InstitutionBranch'!$B$4:$C$1000, 2, FALSE), "Person - "&amp;VLOOKUP(SEED!$B8, [2]DataLookUp!$B$4:$D$1000, 2, FALSE)))</f>
        <v>Institution - PT. QDC Technologies</v>
      </c>
      <c r="D8" s="5">
        <v>167000000000005</v>
      </c>
      <c r="E8" s="10" t="str">
        <f ca="1">IF(EXACT($D8, ""), "", VLOOKUP($D8, [3]DataLookUp!$B$4:$F$1000, 2, FALSE))</f>
        <v>Bank Central Asia - 2173108214</v>
      </c>
      <c r="F8" s="11" t="str">
        <f ca="1">IF(EXACT($D8, ""), "", VLOOKUP($D8, [3]DataLookUp!$B$4:$F$1000, 3, FALSE))</f>
        <v>IDR</v>
      </c>
      <c r="G8" s="14" t="str">
        <f ca="1">IF(EXACT($D8, ""), "", VLOOKUP($D8, [3]DataLookUp!$B$4:$F$1000, 4, FALSE))</f>
        <v>Institution - PT. QDC Technologies</v>
      </c>
      <c r="I8" s="27">
        <f t="shared" si="2"/>
        <v>198000000000005</v>
      </c>
      <c r="J8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167000000000005::bigint);</v>
      </c>
    </row>
    <row r="9" spans="2:10" x14ac:dyDescent="0.2">
      <c r="B9" s="5">
        <v>124000000000001</v>
      </c>
      <c r="C9" s="17" t="str">
        <f>IF(EXACT($B9, ""), "", IF(FLOOR(SEED!$B9/1000000000000, 1)=124, "Institution - "&amp;VLOOKUP(SEED!$B9, '[1]DataLookUp - InstitutionBranch'!$B$4:$C$1000, 2, FALSE), "Person - "&amp;VLOOKUP(SEED!$B9, [2]DataLookUp!$B$4:$D$1000, 2, FALSE)))</f>
        <v>Institution - PT. QDC Technologies</v>
      </c>
      <c r="D9" s="5">
        <v>167000000000006</v>
      </c>
      <c r="E9" s="10" t="str">
        <f ca="1">IF(EXACT($D9, ""), "", VLOOKUP($D9, [3]DataLookUp!$B$4:$F$1000, 2, FALSE))</f>
        <v>Bank CIMB Niaga - 762375277200</v>
      </c>
      <c r="F9" s="11" t="str">
        <f ca="1">IF(EXACT($D9, ""), "", VLOOKUP($D9, [3]DataLookUp!$B$4:$F$1000, 3, FALSE))</f>
        <v>IDR</v>
      </c>
      <c r="G9" s="14" t="str">
        <f ca="1">IF(EXACT($D9, ""), "", VLOOKUP($D9, [3]DataLookUp!$B$4:$F$1000, 4, FALSE))</f>
        <v>Institution - PT. QDC Technologies</v>
      </c>
      <c r="I9" s="27">
        <f t="shared" si="2"/>
        <v>198000000000006</v>
      </c>
      <c r="J9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167000000000006::bigint);</v>
      </c>
    </row>
    <row r="10" spans="2:10" x14ac:dyDescent="0.2">
      <c r="B10" s="5">
        <v>124000000000001</v>
      </c>
      <c r="C10" s="17" t="str">
        <f>IF(EXACT($B10, ""), "", IF(FLOOR(SEED!$B10/1000000000000, 1)=124, "Institution - "&amp;VLOOKUP(SEED!$B10, '[1]DataLookUp - InstitutionBranch'!$B$4:$C$1000, 2, FALSE), "Person - "&amp;VLOOKUP(SEED!$B10, [2]DataLookUp!$B$4:$D$1000, 2, FALSE)))</f>
        <v>Institution - PT. QDC Technologies</v>
      </c>
      <c r="D10" s="5">
        <v>167000000000007</v>
      </c>
      <c r="E10" s="10" t="str">
        <f ca="1">IF(EXACT($D10, ""), "", VLOOKUP($D10, [3]DataLookUp!$B$4:$F$1000, 2, FALSE))</f>
        <v>Bank CIMB Niaga - 800039839400</v>
      </c>
      <c r="F10" s="11" t="str">
        <f ca="1">IF(EXACT($D10, ""), "", VLOOKUP($D10, [3]DataLookUp!$B$4:$F$1000, 3, FALSE))</f>
        <v>IDR</v>
      </c>
      <c r="G10" s="14" t="str">
        <f ca="1">IF(EXACT($D10, ""), "", VLOOKUP($D10, [3]DataLookUp!$B$4:$F$1000, 4, FALSE))</f>
        <v>Institution - PT. QDC Technologies</v>
      </c>
      <c r="I10" s="27">
        <f t="shared" si="2"/>
        <v>198000000000007</v>
      </c>
      <c r="J10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167000000000007::bigint);</v>
      </c>
    </row>
    <row r="11" spans="2:10" x14ac:dyDescent="0.2">
      <c r="B11" s="5">
        <v>124000000000001</v>
      </c>
      <c r="C11" s="17" t="str">
        <f>IF(EXACT($B11, ""), "", IF(FLOOR(SEED!$B11/1000000000000, 1)=124, "Institution - "&amp;VLOOKUP(SEED!$B11, '[1]DataLookUp - InstitutionBranch'!$B$4:$C$1000, 2, FALSE), "Person - "&amp;VLOOKUP(SEED!$B11, [2]DataLookUp!$B$4:$D$1000, 2, FALSE)))</f>
        <v>Institution - PT. QDC Technologies</v>
      </c>
      <c r="D11" s="5">
        <v>167000000000008</v>
      </c>
      <c r="E11" s="10" t="str">
        <f ca="1">IF(EXACT($D11, ""), "", VLOOKUP($D11, [3]DataLookUp!$B$4:$F$1000, 2, FALSE))</f>
        <v>Bank CIMB Niaga - 800039840100</v>
      </c>
      <c r="F11" s="11" t="str">
        <f ca="1">IF(EXACT($D11, ""), "", VLOOKUP($D11, [3]DataLookUp!$B$4:$F$1000, 3, FALSE))</f>
        <v>IDR</v>
      </c>
      <c r="G11" s="14" t="str">
        <f ca="1">IF(EXACT($D11, ""), "", VLOOKUP($D11, [3]DataLookUp!$B$4:$F$1000, 4, FALSE))</f>
        <v>Institution - PT. QDC Technologies</v>
      </c>
      <c r="I11" s="27">
        <f t="shared" si="2"/>
        <v>198000000000008</v>
      </c>
      <c r="J11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167000000000008::bigint);</v>
      </c>
    </row>
    <row r="12" spans="2:10" x14ac:dyDescent="0.2">
      <c r="B12" s="5">
        <v>124000000000001</v>
      </c>
      <c r="C12" s="17" t="str">
        <f>IF(EXACT($B12, ""), "", IF(FLOOR(SEED!$B12/1000000000000, 1)=124, "Institution - "&amp;VLOOKUP(SEED!$B12, '[1]DataLookUp - InstitutionBranch'!$B$4:$C$1000, 2, FALSE), "Person - "&amp;VLOOKUP(SEED!$B12, [2]DataLookUp!$B$4:$D$1000, 2, FALSE)))</f>
        <v>Institution - PT. QDC Technologies</v>
      </c>
      <c r="D12" s="5">
        <v>167000000000009</v>
      </c>
      <c r="E12" s="10" t="str">
        <f ca="1">IF(EXACT($D12, ""), "", VLOOKUP($D12, [3]DataLookUp!$B$4:$F$1000, 2, FALSE))</f>
        <v>Bank CIMB Niaga - 860012900500</v>
      </c>
      <c r="F12" s="11" t="str">
        <f ca="1">IF(EXACT($D12, ""), "", VLOOKUP($D12, [3]DataLookUp!$B$4:$F$1000, 3, FALSE))</f>
        <v>IDR</v>
      </c>
      <c r="G12" s="14" t="str">
        <f ca="1">IF(EXACT($D12, ""), "", VLOOKUP($D12, [3]DataLookUp!$B$4:$F$1000, 4, FALSE))</f>
        <v>Institution - PT. QDC Technologies</v>
      </c>
      <c r="I12" s="27">
        <f t="shared" si="2"/>
        <v>198000000000009</v>
      </c>
      <c r="J12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167000000000009::bigint);</v>
      </c>
    </row>
    <row r="13" spans="2:10" x14ac:dyDescent="0.2">
      <c r="B13" s="5">
        <v>124000000000001</v>
      </c>
      <c r="C13" s="17" t="str">
        <f>IF(EXACT($B13, ""), "", IF(FLOOR(SEED!$B13/1000000000000, 1)=124, "Institution - "&amp;VLOOKUP(SEED!$B13, '[1]DataLookUp - InstitutionBranch'!$B$4:$C$1000, 2, FALSE), "Person - "&amp;VLOOKUP(SEED!$B13, [2]DataLookUp!$B$4:$D$1000, 2, FALSE)))</f>
        <v>Institution - PT. QDC Technologies</v>
      </c>
      <c r="D13" s="5">
        <v>167000000000010</v>
      </c>
      <c r="E13" s="10" t="str">
        <f ca="1">IF(EXACT($D13, ""), "", VLOOKUP($D13, [3]DataLookUp!$B$4:$F$1000, 2, FALSE))</f>
        <v>Bank Commonwealth - 1051189606</v>
      </c>
      <c r="F13" s="11" t="str">
        <f ca="1">IF(EXACT($D13, ""), "", VLOOKUP($D13, [3]DataLookUp!$B$4:$F$1000, 3, FALSE))</f>
        <v>IDR</v>
      </c>
      <c r="G13" s="14" t="str">
        <f ca="1">IF(EXACT($D13, ""), "", VLOOKUP($D13, [3]DataLookUp!$B$4:$F$1000, 4, FALSE))</f>
        <v>Institution - PT. QDC Technologies</v>
      </c>
      <c r="I13" s="27">
        <f t="shared" si="2"/>
        <v>198000000000010</v>
      </c>
      <c r="J13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167000000000010::bigint);</v>
      </c>
    </row>
    <row r="14" spans="2:10" x14ac:dyDescent="0.2">
      <c r="B14" s="5">
        <v>124000000000001</v>
      </c>
      <c r="C14" s="17" t="str">
        <f>IF(EXACT($B14, ""), "", IF(FLOOR(SEED!$B14/1000000000000, 1)=124, "Institution - "&amp;VLOOKUP(SEED!$B14, '[1]DataLookUp - InstitutionBranch'!$B$4:$C$1000, 2, FALSE), "Person - "&amp;VLOOKUP(SEED!$B14, [2]DataLookUp!$B$4:$D$1000, 2, FALSE)))</f>
        <v>Institution - PT. QDC Technologies</v>
      </c>
      <c r="D14" s="5">
        <v>167000000000011</v>
      </c>
      <c r="E14" s="10" t="str">
        <f ca="1">IF(EXACT($D14, ""), "", VLOOKUP($D14, [3]DataLookUp!$B$4:$F$1000, 2, FALSE))</f>
        <v>Bank Commonwealth - 1051189707</v>
      </c>
      <c r="F14" s="11" t="str">
        <f ca="1">IF(EXACT($D14, ""), "", VLOOKUP($D14, [3]DataLookUp!$B$4:$F$1000, 3, FALSE))</f>
        <v>USD</v>
      </c>
      <c r="G14" s="14" t="str">
        <f ca="1">IF(EXACT($D14, ""), "", VLOOKUP($D14, [3]DataLookUp!$B$4:$F$1000, 4, FALSE))</f>
        <v>Institution - PT. QDC Technologies</v>
      </c>
      <c r="I14" s="27">
        <f t="shared" si="2"/>
        <v>198000000000011</v>
      </c>
      <c r="J14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167000000000011::bigint);</v>
      </c>
    </row>
    <row r="15" spans="2:10" x14ac:dyDescent="0.2">
      <c r="B15" s="5">
        <v>124000000000001</v>
      </c>
      <c r="C15" s="17" t="str">
        <f>IF(EXACT($B15, ""), "", IF(FLOOR(SEED!$B15/1000000000000, 1)=124, "Institution - "&amp;VLOOKUP(SEED!$B15, '[1]DataLookUp - InstitutionBranch'!$B$4:$C$1000, 2, FALSE), "Person - "&amp;VLOOKUP(SEED!$B15, [2]DataLookUp!$B$4:$D$1000, 2, FALSE)))</f>
        <v>Institution - PT. QDC Technologies</v>
      </c>
      <c r="D15" s="5">
        <v>167000000000012</v>
      </c>
      <c r="E15" s="10" t="str">
        <f ca="1">IF(EXACT($D15, ""), "", VLOOKUP($D15, [3]DataLookUp!$B$4:$F$1000, 2, FALSE))</f>
        <v>Bank KB Bukopin - 1001327468</v>
      </c>
      <c r="F15" s="11" t="str">
        <f ca="1">IF(EXACT($D15, ""), "", VLOOKUP($D15, [3]DataLookUp!$B$4:$F$1000, 3, FALSE))</f>
        <v>IDR</v>
      </c>
      <c r="G15" s="14" t="str">
        <f ca="1">IF(EXACT($D15, ""), "", VLOOKUP($D15, [3]DataLookUp!$B$4:$F$1000, 4, FALSE))</f>
        <v>Institution - PT. QDC Technologies</v>
      </c>
      <c r="I15" s="27">
        <f t="shared" si="2"/>
        <v>198000000000012</v>
      </c>
      <c r="J15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167000000000012::bigint);</v>
      </c>
    </row>
    <row r="16" spans="2:10" x14ac:dyDescent="0.2">
      <c r="B16" s="5">
        <v>124000000000001</v>
      </c>
      <c r="C16" s="17" t="str">
        <f>IF(EXACT($B16, ""), "", IF(FLOOR(SEED!$B16/1000000000000, 1)=124, "Institution - "&amp;VLOOKUP(SEED!$B16, '[1]DataLookUp - InstitutionBranch'!$B$4:$C$1000, 2, FALSE), "Person - "&amp;VLOOKUP(SEED!$B16, [2]DataLookUp!$B$4:$D$1000, 2, FALSE)))</f>
        <v>Institution - PT. QDC Technologies</v>
      </c>
      <c r="D16" s="5">
        <v>167000000000013</v>
      </c>
      <c r="E16" s="10" t="str">
        <f ca="1">IF(EXACT($D16, ""), "", VLOOKUP($D16, [3]DataLookUp!$B$4:$F$1000, 2, FALSE))</f>
        <v>Bank KB Bukopin - 1001374466</v>
      </c>
      <c r="F16" s="11" t="str">
        <f ca="1">IF(EXACT($D16, ""), "", VLOOKUP($D16, [3]DataLookUp!$B$4:$F$1000, 3, FALSE))</f>
        <v>IDR</v>
      </c>
      <c r="G16" s="14" t="str">
        <f ca="1">IF(EXACT($D16, ""), "", VLOOKUP($D16, [3]DataLookUp!$B$4:$F$1000, 4, FALSE))</f>
        <v>Institution - PT. QDC Technologies</v>
      </c>
      <c r="I16" s="27">
        <f t="shared" si="2"/>
        <v>198000000000013</v>
      </c>
      <c r="J16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167000000000013::bigint);</v>
      </c>
    </row>
    <row r="17" spans="2:10" x14ac:dyDescent="0.2">
      <c r="B17" s="5">
        <v>124000000000001</v>
      </c>
      <c r="C17" s="17" t="str">
        <f>IF(EXACT($B17, ""), "", IF(FLOOR(SEED!$B17/1000000000000, 1)=124, "Institution - "&amp;VLOOKUP(SEED!$B17, '[1]DataLookUp - InstitutionBranch'!$B$4:$C$1000, 2, FALSE), "Person - "&amp;VLOOKUP(SEED!$B17, [2]DataLookUp!$B$4:$D$1000, 2, FALSE)))</f>
        <v>Institution - PT. QDC Technologies</v>
      </c>
      <c r="D17" s="5">
        <v>167000000000014</v>
      </c>
      <c r="E17" s="10" t="str">
        <f ca="1">IF(EXACT($D17, ""), "", VLOOKUP($D17, [3]DataLookUp!$B$4:$F$1000, 2, FALSE))</f>
        <v>Bank KB Bukopin - 1002405420</v>
      </c>
      <c r="F17" s="11" t="str">
        <f ca="1">IF(EXACT($D17, ""), "", VLOOKUP($D17, [3]DataLookUp!$B$4:$F$1000, 3, FALSE))</f>
        <v>IDR</v>
      </c>
      <c r="G17" s="14" t="str">
        <f ca="1">IF(EXACT($D17, ""), "", VLOOKUP($D17, [3]DataLookUp!$B$4:$F$1000, 4, FALSE))</f>
        <v>Institution - PT. QDC Technologies</v>
      </c>
      <c r="I17" s="27">
        <f t="shared" si="2"/>
        <v>198000000000014</v>
      </c>
      <c r="J17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167000000000014::bigint);</v>
      </c>
    </row>
    <row r="18" spans="2:10" x14ac:dyDescent="0.2">
      <c r="B18" s="5">
        <v>124000000000001</v>
      </c>
      <c r="C18" s="17" t="str">
        <f>IF(EXACT($B18, ""), "", IF(FLOOR(SEED!$B18/1000000000000, 1)=124, "Institution - "&amp;VLOOKUP(SEED!$B18, '[1]DataLookUp - InstitutionBranch'!$B$4:$C$1000, 2, FALSE), "Person - "&amp;VLOOKUP(SEED!$B18, [2]DataLookUp!$B$4:$D$1000, 2, FALSE)))</f>
        <v>Institution - PT. QDC Technologies</v>
      </c>
      <c r="D18" s="5">
        <v>167000000000015</v>
      </c>
      <c r="E18" s="10" t="str">
        <f ca="1">IF(EXACT($D18, ""), "", VLOOKUP($D18, [3]DataLookUp!$B$4:$F$1000, 2, FALSE))</f>
        <v>Bank Mandiri - 0700009986097</v>
      </c>
      <c r="F18" s="11" t="str">
        <f ca="1">IF(EXACT($D18, ""), "", VLOOKUP($D18, [3]DataLookUp!$B$4:$F$1000, 3, FALSE))</f>
        <v>IDR</v>
      </c>
      <c r="G18" s="14" t="str">
        <f ca="1">IF(EXACT($D18, ""), "", VLOOKUP($D18, [3]DataLookUp!$B$4:$F$1000, 4, FALSE))</f>
        <v>Institution - PT. QDC Technologies</v>
      </c>
      <c r="I18" s="27">
        <f t="shared" si="2"/>
        <v>198000000000015</v>
      </c>
      <c r="J18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167000000000015::bigint);</v>
      </c>
    </row>
    <row r="19" spans="2:10" x14ac:dyDescent="0.2">
      <c r="B19" s="5">
        <v>124000000000001</v>
      </c>
      <c r="C19" s="17" t="str">
        <f>IF(EXACT($B19, ""), "", IF(FLOOR(SEED!$B19/1000000000000, 1)=124, "Institution - "&amp;VLOOKUP(SEED!$B19, '[1]DataLookUp - InstitutionBranch'!$B$4:$C$1000, 2, FALSE), "Person - "&amp;VLOOKUP(SEED!$B19, [2]DataLookUp!$B$4:$D$1000, 2, FALSE)))</f>
        <v>Institution - PT. QDC Technologies</v>
      </c>
      <c r="D19" s="5">
        <v>167000000000016</v>
      </c>
      <c r="E19" s="10" t="str">
        <f ca="1">IF(EXACT($D19, ""), "", VLOOKUP($D19, [3]DataLookUp!$B$4:$F$1000, 2, FALSE))</f>
        <v>Bank Mandiri - 0700010933104</v>
      </c>
      <c r="F19" s="11" t="str">
        <f ca="1">IF(EXACT($D19, ""), "", VLOOKUP($D19, [3]DataLookUp!$B$4:$F$1000, 3, FALSE))</f>
        <v>IDR</v>
      </c>
      <c r="G19" s="14" t="str">
        <f ca="1">IF(EXACT($D19, ""), "", VLOOKUP($D19, [3]DataLookUp!$B$4:$F$1000, 4, FALSE))</f>
        <v>Institution - PT. QDC Technologies</v>
      </c>
      <c r="I19" s="27">
        <f t="shared" si="2"/>
        <v>198000000000016</v>
      </c>
      <c r="J19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167000000000016::bigint);</v>
      </c>
    </row>
    <row r="20" spans="2:10" x14ac:dyDescent="0.2">
      <c r="B20" s="5">
        <v>124000000000001</v>
      </c>
      <c r="C20" s="17" t="str">
        <f>IF(EXACT($B20, ""), "", IF(FLOOR(SEED!$B20/1000000000000, 1)=124, "Institution - "&amp;VLOOKUP(SEED!$B20, '[1]DataLookUp - InstitutionBranch'!$B$4:$C$1000, 2, FALSE), "Person - "&amp;VLOOKUP(SEED!$B20, [2]DataLookUp!$B$4:$D$1000, 2, FALSE)))</f>
        <v>Institution - PT. QDC Technologies</v>
      </c>
      <c r="D20" s="5">
        <v>167000000000017</v>
      </c>
      <c r="E20" s="10" t="str">
        <f ca="1">IF(EXACT($D20, ""), "", VLOOKUP($D20, [3]DataLookUp!$B$4:$F$1000, 2, FALSE))</f>
        <v>Bank Negara Indonesia - 1999998082</v>
      </c>
      <c r="F20" s="11" t="str">
        <f ca="1">IF(EXACT($D20, ""), "", VLOOKUP($D20, [3]DataLookUp!$B$4:$F$1000, 3, FALSE))</f>
        <v>IDR</v>
      </c>
      <c r="G20" s="14" t="str">
        <f ca="1">IF(EXACT($D20, ""), "", VLOOKUP($D20, [3]DataLookUp!$B$4:$F$1000, 4, FALSE))</f>
        <v>Institution - PT. QDC Technologies</v>
      </c>
      <c r="I20" s="27">
        <f t="shared" ref="I20:I83" si="3" xml:space="preserve"> I19 + IF(EXACT(J20, ""), 0, 1)</f>
        <v>198000000000017</v>
      </c>
      <c r="J20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167000000000017::bigint);</v>
      </c>
    </row>
    <row r="21" spans="2:10" x14ac:dyDescent="0.2">
      <c r="B21" s="5">
        <v>124000000000001</v>
      </c>
      <c r="C21" s="17" t="str">
        <f>IF(EXACT($B21, ""), "", IF(FLOOR(SEED!$B21/1000000000000, 1)=124, "Institution - "&amp;VLOOKUP(SEED!$B21, '[1]DataLookUp - InstitutionBranch'!$B$4:$C$1000, 2, FALSE), "Person - "&amp;VLOOKUP(SEED!$B21, [2]DataLookUp!$B$4:$D$1000, 2, FALSE)))</f>
        <v>Institution - PT. QDC Technologies</v>
      </c>
      <c r="D21" s="5">
        <v>167000000000018</v>
      </c>
      <c r="E21" s="10" t="str">
        <f ca="1">IF(EXACT($D21, ""), "", VLOOKUP($D21, [3]DataLookUp!$B$4:$F$1000, 2, FALSE))</f>
        <v>Bank Negara Indonesia - 779207704</v>
      </c>
      <c r="F21" s="11" t="str">
        <f ca="1">IF(EXACT($D21, ""), "", VLOOKUP($D21, [3]DataLookUp!$B$4:$F$1000, 3, FALSE))</f>
        <v>IDR</v>
      </c>
      <c r="G21" s="14" t="str">
        <f ca="1">IF(EXACT($D21, ""), "", VLOOKUP($D21, [3]DataLookUp!$B$4:$F$1000, 4, FALSE))</f>
        <v>Institution - PT. QDC Technologies</v>
      </c>
      <c r="I21" s="27">
        <f t="shared" si="3"/>
        <v>198000000000018</v>
      </c>
      <c r="J21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167000000000018::bigint);</v>
      </c>
    </row>
    <row r="22" spans="2:10" x14ac:dyDescent="0.2">
      <c r="B22" s="5">
        <v>124000000000001</v>
      </c>
      <c r="C22" s="17" t="str">
        <f>IF(EXACT($B22, ""), "", IF(FLOOR(SEED!$B22/1000000000000, 1)=124, "Institution - "&amp;VLOOKUP(SEED!$B22, '[1]DataLookUp - InstitutionBranch'!$B$4:$C$1000, 2, FALSE), "Person - "&amp;VLOOKUP(SEED!$B22, [2]DataLookUp!$B$4:$D$1000, 2, FALSE)))</f>
        <v>Institution - PT. QDC Technologies</v>
      </c>
      <c r="D22" s="5">
        <v>167000000000019</v>
      </c>
      <c r="E22" s="10" t="str">
        <f ca="1">IF(EXACT($D22, ""), "", VLOOKUP($D22, [3]DataLookUp!$B$4:$F$1000, 2, FALSE))</f>
        <v>Bank Negara Indonesia - 779207715</v>
      </c>
      <c r="F22" s="11" t="str">
        <f ca="1">IF(EXACT($D22, ""), "", VLOOKUP($D22, [3]DataLookUp!$B$4:$F$1000, 3, FALSE))</f>
        <v>IDR</v>
      </c>
      <c r="G22" s="14" t="str">
        <f ca="1">IF(EXACT($D22, ""), "", VLOOKUP($D22, [3]DataLookUp!$B$4:$F$1000, 4, FALSE))</f>
        <v>Institution - PT. QDC Technologies</v>
      </c>
      <c r="I22" s="27">
        <f t="shared" si="3"/>
        <v>198000000000019</v>
      </c>
      <c r="J22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167000000000019::bigint);</v>
      </c>
    </row>
    <row r="23" spans="2:10" x14ac:dyDescent="0.2">
      <c r="B23" s="5">
        <v>124000000000001</v>
      </c>
      <c r="C23" s="17" t="str">
        <f>IF(EXACT($B23, ""), "", IF(FLOOR(SEED!$B23/1000000000000, 1)=124, "Institution - "&amp;VLOOKUP(SEED!$B23, '[1]DataLookUp - InstitutionBranch'!$B$4:$C$1000, 2, FALSE), "Person - "&amp;VLOOKUP(SEED!$B23, [2]DataLookUp!$B$4:$D$1000, 2, FALSE)))</f>
        <v>Institution - PT. QDC Technologies</v>
      </c>
      <c r="D23" s="5">
        <v>167000000000020</v>
      </c>
      <c r="E23" s="10" t="str">
        <f ca="1">IF(EXACT($D23, ""), "", VLOOKUP($D23, [3]DataLookUp!$B$4:$F$1000, 2, FALSE))</f>
        <v>Bank Negara Indonesia - 8995885888</v>
      </c>
      <c r="F23" s="11" t="str">
        <f ca="1">IF(EXACT($D23, ""), "", VLOOKUP($D23, [3]DataLookUp!$B$4:$F$1000, 3, FALSE))</f>
        <v>IDR</v>
      </c>
      <c r="G23" s="14" t="str">
        <f ca="1">IF(EXACT($D23, ""), "", VLOOKUP($D23, [3]DataLookUp!$B$4:$F$1000, 4, FALSE))</f>
        <v>Institution - PT. QDC Technologies</v>
      </c>
      <c r="I23" s="27">
        <f t="shared" si="3"/>
        <v>198000000000020</v>
      </c>
      <c r="J23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167000000000020::bigint);</v>
      </c>
    </row>
    <row r="24" spans="2:10" x14ac:dyDescent="0.2">
      <c r="B24" s="5">
        <v>124000000000001</v>
      </c>
      <c r="C24" s="17" t="str">
        <f>IF(EXACT($B24, ""), "", IF(FLOOR(SEED!$B24/1000000000000, 1)=124, "Institution - "&amp;VLOOKUP(SEED!$B24, '[1]DataLookUp - InstitutionBranch'!$B$4:$C$1000, 2, FALSE), "Person - "&amp;VLOOKUP(SEED!$B24, [2]DataLookUp!$B$4:$D$1000, 2, FALSE)))</f>
        <v>Institution - PT. QDC Technologies</v>
      </c>
      <c r="D24" s="5">
        <v>167000000000021</v>
      </c>
      <c r="E24" s="10" t="str">
        <f ca="1">IF(EXACT($D24, ""), "", VLOOKUP($D24, [3]DataLookUp!$B$4:$F$1000, 2, FALSE))</f>
        <v>Bank Negara Indonesia - 907670396</v>
      </c>
      <c r="F24" s="11" t="str">
        <f ca="1">IF(EXACT($D24, ""), "", VLOOKUP($D24, [3]DataLookUp!$B$4:$F$1000, 3, FALSE))</f>
        <v>IDR</v>
      </c>
      <c r="G24" s="14" t="str">
        <f ca="1">IF(EXACT($D24, ""), "", VLOOKUP($D24, [3]DataLookUp!$B$4:$F$1000, 4, FALSE))</f>
        <v>Institution - PT. QDC Technologies</v>
      </c>
      <c r="I24" s="27">
        <f t="shared" si="3"/>
        <v>198000000000021</v>
      </c>
      <c r="J24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167000000000021::bigint);</v>
      </c>
    </row>
    <row r="25" spans="2:10" x14ac:dyDescent="0.2">
      <c r="B25" s="5">
        <v>124000000000001</v>
      </c>
      <c r="C25" s="17" t="str">
        <f>IF(EXACT($B25, ""), "", IF(FLOOR(SEED!$B25/1000000000000, 1)=124, "Institution - "&amp;VLOOKUP(SEED!$B25, '[1]DataLookUp - InstitutionBranch'!$B$4:$C$1000, 2, FALSE), "Person - "&amp;VLOOKUP(SEED!$B25, [2]DataLookUp!$B$4:$D$1000, 2, FALSE)))</f>
        <v>Institution - PT. QDC Technologies</v>
      </c>
      <c r="D25" s="5">
        <v>167000000000022</v>
      </c>
      <c r="E25" s="10" t="str">
        <f ca="1">IF(EXACT($D25, ""), "", VLOOKUP($D25, [3]DataLookUp!$B$4:$F$1000, 2, FALSE))</f>
        <v>Bank OCBC Nilai Inti Sari Penyimpanan - 020800017913</v>
      </c>
      <c r="F25" s="11" t="str">
        <f ca="1">IF(EXACT($D25, ""), "", VLOOKUP($D25, [3]DataLookUp!$B$4:$F$1000, 3, FALSE))</f>
        <v>IDR</v>
      </c>
      <c r="G25" s="14" t="str">
        <f ca="1">IF(EXACT($D25, ""), "", VLOOKUP($D25, [3]DataLookUp!$B$4:$F$1000, 4, FALSE))</f>
        <v>Institution - PT. QDC Technologies</v>
      </c>
      <c r="I25" s="27">
        <f t="shared" si="3"/>
        <v>198000000000022</v>
      </c>
      <c r="J25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167000000000022::bigint);</v>
      </c>
    </row>
    <row r="26" spans="2:10" x14ac:dyDescent="0.2">
      <c r="B26" s="5">
        <v>124000000000001</v>
      </c>
      <c r="C26" s="17" t="str">
        <f>IF(EXACT($B26, ""), "", IF(FLOOR(SEED!$B26/1000000000000, 1)=124, "Institution - "&amp;VLOOKUP(SEED!$B26, '[1]DataLookUp - InstitutionBranch'!$B$4:$C$1000, 2, FALSE), "Person - "&amp;VLOOKUP(SEED!$B26, [2]DataLookUp!$B$4:$D$1000, 2, FALSE)))</f>
        <v>Institution - PT. QDC Technologies</v>
      </c>
      <c r="D26" s="5">
        <v>167000000000023</v>
      </c>
      <c r="E26" s="10" t="str">
        <f ca="1">IF(EXACT($D26, ""), "", VLOOKUP($D26, [3]DataLookUp!$B$4:$F$1000, 2, FALSE))</f>
        <v>Bank Pembangunan Daerah Bengkulu - 0080107000764</v>
      </c>
      <c r="F26" s="11" t="str">
        <f ca="1">IF(EXACT($D26, ""), "", VLOOKUP($D26, [3]DataLookUp!$B$4:$F$1000, 3, FALSE))</f>
        <v>IDR</v>
      </c>
      <c r="G26" s="14" t="str">
        <f ca="1">IF(EXACT($D26, ""), "", VLOOKUP($D26, [3]DataLookUp!$B$4:$F$1000, 4, FALSE))</f>
        <v>Institution - PT. QDC Technologies</v>
      </c>
      <c r="I26" s="27">
        <f t="shared" si="3"/>
        <v>198000000000023</v>
      </c>
      <c r="J26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167000000000023::bigint);</v>
      </c>
    </row>
    <row r="27" spans="2:10" x14ac:dyDescent="0.2">
      <c r="B27" s="5">
        <v>124000000000001</v>
      </c>
      <c r="C27" s="17" t="str">
        <f>IF(EXACT($B27, ""), "", IF(FLOOR(SEED!$B27/1000000000000, 1)=124, "Institution - "&amp;VLOOKUP(SEED!$B27, '[1]DataLookUp - InstitutionBranch'!$B$4:$C$1000, 2, FALSE), "Person - "&amp;VLOOKUP(SEED!$B27, [2]DataLookUp!$B$4:$D$1000, 2, FALSE)))</f>
        <v>Institution - PT. QDC Technologies</v>
      </c>
      <c r="D27" s="5">
        <v>167000000000024</v>
      </c>
      <c r="E27" s="10" t="str">
        <f ca="1">IF(EXACT($D27, ""), "", VLOOKUP($D27, [3]DataLookUp!$B$4:$F$1000, 2, FALSE))</f>
        <v>Bank Pembangunan Daerah Jawa Barat Banten - 8880888880888</v>
      </c>
      <c r="F27" s="11" t="str">
        <f ca="1">IF(EXACT($D27, ""), "", VLOOKUP($D27, [3]DataLookUp!$B$4:$F$1000, 3, FALSE))</f>
        <v>IDR</v>
      </c>
      <c r="G27" s="14" t="str">
        <f ca="1">IF(EXACT($D27, ""), "", VLOOKUP($D27, [3]DataLookUp!$B$4:$F$1000, 4, FALSE))</f>
        <v>Institution - PT. QDC Technologies</v>
      </c>
      <c r="I27" s="27">
        <f t="shared" si="3"/>
        <v>198000000000024</v>
      </c>
      <c r="J27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167000000000024::bigint);</v>
      </c>
    </row>
    <row r="28" spans="2:10" x14ac:dyDescent="0.2">
      <c r="B28" s="5">
        <v>124000000000001</v>
      </c>
      <c r="C28" s="17" t="str">
        <f>IF(EXACT($B28, ""), "", IF(FLOOR(SEED!$B28/1000000000000, 1)=124, "Institution - "&amp;VLOOKUP(SEED!$B28, '[1]DataLookUp - InstitutionBranch'!$B$4:$C$1000, 2, FALSE), "Person - "&amp;VLOOKUP(SEED!$B28, [2]DataLookUp!$B$4:$D$1000, 2, FALSE)))</f>
        <v>Institution - PT. QDC Technologies</v>
      </c>
      <c r="D28" s="5">
        <v>167000000000025</v>
      </c>
      <c r="E28" s="10" t="str">
        <f ca="1">IF(EXACT($D28, ""), "", VLOOKUP($D28, [3]DataLookUp!$B$4:$F$1000, 2, FALSE))</f>
        <v>Bank Pembangunan Daerah Jawa Timur - 035101616</v>
      </c>
      <c r="F28" s="11" t="str">
        <f ca="1">IF(EXACT($D28, ""), "", VLOOKUP($D28, [3]DataLookUp!$B$4:$F$1000, 3, FALSE))</f>
        <v>IDR</v>
      </c>
      <c r="G28" s="14" t="str">
        <f ca="1">IF(EXACT($D28, ""), "", VLOOKUP($D28, [3]DataLookUp!$B$4:$F$1000, 4, FALSE))</f>
        <v>Institution - PT. QDC Technologies</v>
      </c>
      <c r="I28" s="27">
        <f t="shared" si="3"/>
        <v>198000000000025</v>
      </c>
      <c r="J28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167000000000025::bigint);</v>
      </c>
    </row>
    <row r="29" spans="2:10" x14ac:dyDescent="0.2">
      <c r="B29" s="5">
        <v>124000000000001</v>
      </c>
      <c r="C29" s="17" t="str">
        <f>IF(EXACT($B29, ""), "", IF(FLOOR(SEED!$B29/1000000000000, 1)=124, "Institution - "&amp;VLOOKUP(SEED!$B29, '[1]DataLookUp - InstitutionBranch'!$B$4:$C$1000, 2, FALSE), "Person - "&amp;VLOOKUP(SEED!$B29, [2]DataLookUp!$B$4:$D$1000, 2, FALSE)))</f>
        <v>Institution - PT. QDC Technologies</v>
      </c>
      <c r="D29" s="5">
        <v>167000000000026</v>
      </c>
      <c r="E29" s="10" t="str">
        <f ca="1">IF(EXACT($D29, ""), "", VLOOKUP($D29, [3]DataLookUp!$B$4:$F$1000, 2, FALSE))</f>
        <v>Bank Pembangunan Daerah Jawa Timur - 1221001121</v>
      </c>
      <c r="F29" s="11" t="str">
        <f ca="1">IF(EXACT($D29, ""), "", VLOOKUP($D29, [3]DataLookUp!$B$4:$F$1000, 3, FALSE))</f>
        <v>IDR</v>
      </c>
      <c r="G29" s="14" t="str">
        <f ca="1">IF(EXACT($D29, ""), "", VLOOKUP($D29, [3]DataLookUp!$B$4:$F$1000, 4, FALSE))</f>
        <v>Institution - PT. QDC Technologies</v>
      </c>
      <c r="I29" s="27">
        <f t="shared" si="3"/>
        <v>198000000000026</v>
      </c>
      <c r="J29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167000000000026::bigint);</v>
      </c>
    </row>
    <row r="30" spans="2:10" x14ac:dyDescent="0.2">
      <c r="B30" s="5">
        <v>124000000000001</v>
      </c>
      <c r="C30" s="17" t="str">
        <f>IF(EXACT($B30, ""), "", IF(FLOOR(SEED!$B30/1000000000000, 1)=124, "Institution - "&amp;VLOOKUP(SEED!$B30, '[1]DataLookUp - InstitutionBranch'!$B$4:$C$1000, 2, FALSE), "Person - "&amp;VLOOKUP(SEED!$B30, [2]DataLookUp!$B$4:$D$1000, 2, FALSE)))</f>
        <v>Institution - PT. QDC Technologies</v>
      </c>
      <c r="D30" s="5">
        <v>167000000000027</v>
      </c>
      <c r="E30" s="10" t="str">
        <f ca="1">IF(EXACT($D30, ""), "", VLOOKUP($D30, [3]DataLookUp!$B$4:$F$1000, 2, FALSE))</f>
        <v>Bank Pembangunan Daerah Jawa Timur - 1231001251</v>
      </c>
      <c r="F30" s="11" t="str">
        <f ca="1">IF(EXACT($D30, ""), "", VLOOKUP($D30, [3]DataLookUp!$B$4:$F$1000, 3, FALSE))</f>
        <v>IDR</v>
      </c>
      <c r="G30" s="14" t="str">
        <f ca="1">IF(EXACT($D30, ""), "", VLOOKUP($D30, [3]DataLookUp!$B$4:$F$1000, 4, FALSE))</f>
        <v>Institution - PT. QDC Technologies</v>
      </c>
      <c r="I30" s="27">
        <f t="shared" si="3"/>
        <v>198000000000027</v>
      </c>
      <c r="J30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167000000000027::bigint);</v>
      </c>
    </row>
    <row r="31" spans="2:10" x14ac:dyDescent="0.2">
      <c r="B31" s="5">
        <v>124000000000001</v>
      </c>
      <c r="C31" s="17" t="str">
        <f>IF(EXACT($B31, ""), "", IF(FLOOR(SEED!$B31/1000000000000, 1)=124, "Institution - "&amp;VLOOKUP(SEED!$B31, '[1]DataLookUp - InstitutionBranch'!$B$4:$C$1000, 2, FALSE), "Person - "&amp;VLOOKUP(SEED!$B31, [2]DataLookUp!$B$4:$D$1000, 2, FALSE)))</f>
        <v>Institution - PT. QDC Technologies</v>
      </c>
      <c r="D31" s="5">
        <v>167000000000028</v>
      </c>
      <c r="E31" s="10" t="str">
        <f ca="1">IF(EXACT($D31, ""), "", VLOOKUP($D31, [3]DataLookUp!$B$4:$F$1000, 2, FALSE))</f>
        <v>Bank Pembangunan Daerah Kalimantan Selatan - 0400007001223</v>
      </c>
      <c r="F31" s="11" t="str">
        <f ca="1">IF(EXACT($D31, ""), "", VLOOKUP($D31, [3]DataLookUp!$B$4:$F$1000, 3, FALSE))</f>
        <v>IDR</v>
      </c>
      <c r="G31" s="14" t="str">
        <f ca="1">IF(EXACT($D31, ""), "", VLOOKUP($D31, [3]DataLookUp!$B$4:$F$1000, 4, FALSE))</f>
        <v>Institution - PT. QDC Technologies</v>
      </c>
      <c r="I31" s="27">
        <f t="shared" si="3"/>
        <v>198000000000028</v>
      </c>
      <c r="J31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167000000000028::bigint);</v>
      </c>
    </row>
    <row r="32" spans="2:10" x14ac:dyDescent="0.2">
      <c r="B32" s="5">
        <v>124000000000001</v>
      </c>
      <c r="C32" s="17" t="str">
        <f>IF(EXACT($B32, ""), "", IF(FLOOR(SEED!$B32/1000000000000, 1)=124, "Institution - "&amp;VLOOKUP(SEED!$B32, '[1]DataLookUp - InstitutionBranch'!$B$4:$C$1000, 2, FALSE), "Person - "&amp;VLOOKUP(SEED!$B32, [2]DataLookUp!$B$4:$D$1000, 2, FALSE)))</f>
        <v>Institution - PT. QDC Technologies</v>
      </c>
      <c r="D32" s="5">
        <v>167000000000029</v>
      </c>
      <c r="E32" s="10" t="str">
        <f ca="1">IF(EXACT($D32, ""), "", VLOOKUP($D32, [3]DataLookUp!$B$4:$F$1000, 2, FALSE))</f>
        <v>Bank Permata - 0701393414</v>
      </c>
      <c r="F32" s="11" t="str">
        <f ca="1">IF(EXACT($D32, ""), "", VLOOKUP($D32, [3]DataLookUp!$B$4:$F$1000, 3, FALSE))</f>
        <v>USD</v>
      </c>
      <c r="G32" s="14" t="str">
        <f ca="1">IF(EXACT($D32, ""), "", VLOOKUP($D32, [3]DataLookUp!$B$4:$F$1000, 4, FALSE))</f>
        <v>Institution - PT. QDC Technologies</v>
      </c>
      <c r="I32" s="27">
        <f t="shared" si="3"/>
        <v>198000000000029</v>
      </c>
      <c r="J32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167000000000029::bigint);</v>
      </c>
    </row>
    <row r="33" spans="2:10" x14ac:dyDescent="0.2">
      <c r="B33" s="5">
        <v>124000000000001</v>
      </c>
      <c r="C33" s="17" t="str">
        <f>IF(EXACT($B33, ""), "", IF(FLOOR(SEED!$B33/1000000000000, 1)=124, "Institution - "&amp;VLOOKUP(SEED!$B33, '[1]DataLookUp - InstitutionBranch'!$B$4:$C$1000, 2, FALSE), "Person - "&amp;VLOOKUP(SEED!$B33, [2]DataLookUp!$B$4:$D$1000, 2, FALSE)))</f>
        <v>Institution - PT. QDC Technologies</v>
      </c>
      <c r="D33" s="5">
        <v>167000000000030</v>
      </c>
      <c r="E33" s="10" t="str">
        <f ca="1">IF(EXACT($D33, ""), "", VLOOKUP($D33, [3]DataLookUp!$B$4:$F$1000, 2, FALSE))</f>
        <v>Bank Permata - 0701393481</v>
      </c>
      <c r="F33" s="11" t="str">
        <f ca="1">IF(EXACT($D33, ""), "", VLOOKUP($D33, [3]DataLookUp!$B$4:$F$1000, 3, FALSE))</f>
        <v>USD</v>
      </c>
      <c r="G33" s="14" t="str">
        <f ca="1">IF(EXACT($D33, ""), "", VLOOKUP($D33, [3]DataLookUp!$B$4:$F$1000, 4, FALSE))</f>
        <v>Institution - PT. QDC Technologies</v>
      </c>
      <c r="I33" s="27">
        <f t="shared" si="3"/>
        <v>198000000000030</v>
      </c>
      <c r="J33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167000000000030::bigint);</v>
      </c>
    </row>
    <row r="34" spans="2:10" x14ac:dyDescent="0.2">
      <c r="B34" s="5">
        <v>124000000000001</v>
      </c>
      <c r="C34" s="17" t="str">
        <f>IF(EXACT($B34, ""), "", IF(FLOOR(SEED!$B34/1000000000000, 1)=124, "Institution - "&amp;VLOOKUP(SEED!$B34, '[1]DataLookUp - InstitutionBranch'!$B$4:$C$1000, 2, FALSE), "Person - "&amp;VLOOKUP(SEED!$B34, [2]DataLookUp!$B$4:$D$1000, 2, FALSE)))</f>
        <v>Institution - PT. QDC Technologies</v>
      </c>
      <c r="D34" s="5">
        <v>167000000000031</v>
      </c>
      <c r="E34" s="10" t="str">
        <f ca="1">IF(EXACT($D34, ""), "", VLOOKUP($D34, [3]DataLookUp!$B$4:$F$1000, 2, FALSE))</f>
        <v>Bank Permata - 0701393570</v>
      </c>
      <c r="F34" s="11" t="str">
        <f ca="1">IF(EXACT($D34, ""), "", VLOOKUP($D34, [3]DataLookUp!$B$4:$F$1000, 3, FALSE))</f>
        <v>IDR</v>
      </c>
      <c r="G34" s="14" t="str">
        <f ca="1">IF(EXACT($D34, ""), "", VLOOKUP($D34, [3]DataLookUp!$B$4:$F$1000, 4, FALSE))</f>
        <v>Institution - PT. QDC Technologies</v>
      </c>
      <c r="I34" s="27">
        <f t="shared" si="3"/>
        <v>198000000000031</v>
      </c>
      <c r="J34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167000000000031::bigint);</v>
      </c>
    </row>
    <row r="35" spans="2:10" x14ac:dyDescent="0.2">
      <c r="B35" s="5">
        <v>124000000000001</v>
      </c>
      <c r="C35" s="17" t="str">
        <f>IF(EXACT($B35, ""), "", IF(FLOOR(SEED!$B35/1000000000000, 1)=124, "Institution - "&amp;VLOOKUP(SEED!$B35, '[1]DataLookUp - InstitutionBranch'!$B$4:$C$1000, 2, FALSE), "Person - "&amp;VLOOKUP(SEED!$B35, [2]DataLookUp!$B$4:$D$1000, 2, FALSE)))</f>
        <v>Institution - PT. QDC Technologies</v>
      </c>
      <c r="D35" s="5">
        <v>167000000000032</v>
      </c>
      <c r="E35" s="10" t="str">
        <f ca="1">IF(EXACT($D35, ""), "", VLOOKUP($D35, [3]DataLookUp!$B$4:$F$1000, 2, FALSE))</f>
        <v>Bank Permata - 0701393643</v>
      </c>
      <c r="F35" s="11" t="str">
        <f ca="1">IF(EXACT($D35, ""), "", VLOOKUP($D35, [3]DataLookUp!$B$4:$F$1000, 3, FALSE))</f>
        <v>IDR</v>
      </c>
      <c r="G35" s="14" t="str">
        <f ca="1">IF(EXACT($D35, ""), "", VLOOKUP($D35, [3]DataLookUp!$B$4:$F$1000, 4, FALSE))</f>
        <v>Institution - PT. QDC Technologies</v>
      </c>
      <c r="I35" s="27">
        <f t="shared" si="3"/>
        <v>198000000000032</v>
      </c>
      <c r="J35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167000000000032::bigint);</v>
      </c>
    </row>
    <row r="36" spans="2:10" x14ac:dyDescent="0.2">
      <c r="B36" s="5">
        <v>124000000000001</v>
      </c>
      <c r="C36" s="17" t="str">
        <f>IF(EXACT($B36, ""), "", IF(FLOOR(SEED!$B36/1000000000000, 1)=124, "Institution - "&amp;VLOOKUP(SEED!$B36, '[1]DataLookUp - InstitutionBranch'!$B$4:$C$1000, 2, FALSE), "Person - "&amp;VLOOKUP(SEED!$B36, [2]DataLookUp!$B$4:$D$1000, 2, FALSE)))</f>
        <v>Institution - PT. QDC Technologies</v>
      </c>
      <c r="D36" s="5">
        <v>167000000000033</v>
      </c>
      <c r="E36" s="10" t="str">
        <f ca="1">IF(EXACT($D36, ""), "", VLOOKUP($D36, [3]DataLookUp!$B$4:$F$1000, 2, FALSE))</f>
        <v>Bank Rakyat Indonesia - 005301004453305</v>
      </c>
      <c r="F36" s="11" t="str">
        <f ca="1">IF(EXACT($D36, ""), "", VLOOKUP($D36, [3]DataLookUp!$B$4:$F$1000, 3, FALSE))</f>
        <v>IDR</v>
      </c>
      <c r="G36" s="14" t="str">
        <f ca="1">IF(EXACT($D36, ""), "", VLOOKUP($D36, [3]DataLookUp!$B$4:$F$1000, 4, FALSE))</f>
        <v>Institution - PT. QDC Technologies</v>
      </c>
      <c r="I36" s="27">
        <f t="shared" si="3"/>
        <v>198000000000033</v>
      </c>
      <c r="J36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167000000000033::bigint);</v>
      </c>
    </row>
    <row r="37" spans="2:10" x14ac:dyDescent="0.2">
      <c r="B37" s="5">
        <v>124000000000001</v>
      </c>
      <c r="C37" s="17" t="str">
        <f>IF(EXACT($B37, ""), "", IF(FLOOR(SEED!$B37/1000000000000, 1)=124, "Institution - "&amp;VLOOKUP(SEED!$B37, '[1]DataLookUp - InstitutionBranch'!$B$4:$C$1000, 2, FALSE), "Person - "&amp;VLOOKUP(SEED!$B37, [2]DataLookUp!$B$4:$D$1000, 2, FALSE)))</f>
        <v>Institution - PT. QDC Technologies</v>
      </c>
      <c r="D37" s="5">
        <v>167000000000034</v>
      </c>
      <c r="E37" s="10" t="str">
        <f ca="1">IF(EXACT($D37, ""), "", VLOOKUP($D37, [3]DataLookUp!$B$4:$F$1000, 2, FALSE))</f>
        <v>Bank Rakyat Indonesia - 019301001230300</v>
      </c>
      <c r="F37" s="11" t="str">
        <f ca="1">IF(EXACT($D37, ""), "", VLOOKUP($D37, [3]DataLookUp!$B$4:$F$1000, 3, FALSE))</f>
        <v>IDR</v>
      </c>
      <c r="G37" s="14" t="str">
        <f ca="1">IF(EXACT($D37, ""), "", VLOOKUP($D37, [3]DataLookUp!$B$4:$F$1000, 4, FALSE))</f>
        <v>Institution - PT. QDC Technologies</v>
      </c>
      <c r="I37" s="27">
        <f t="shared" si="3"/>
        <v>198000000000034</v>
      </c>
      <c r="J37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167000000000034::bigint);</v>
      </c>
    </row>
    <row r="38" spans="2:10" x14ac:dyDescent="0.2">
      <c r="B38" s="5">
        <v>124000000000001</v>
      </c>
      <c r="C38" s="17" t="str">
        <f>IF(EXACT($B38, ""), "", IF(FLOOR(SEED!$B38/1000000000000, 1)=124, "Institution - "&amp;VLOOKUP(SEED!$B38, '[1]DataLookUp - InstitutionBranch'!$B$4:$C$1000, 2, FALSE), "Person - "&amp;VLOOKUP(SEED!$B38, [2]DataLookUp!$B$4:$D$1000, 2, FALSE)))</f>
        <v>Institution - PT. QDC Technologies</v>
      </c>
      <c r="D38" s="5">
        <v>167000000000035</v>
      </c>
      <c r="E38" s="10" t="str">
        <f ca="1">IF(EXACT($D38, ""), "", VLOOKUP($D38, [3]DataLookUp!$B$4:$F$1000, 2, FALSE))</f>
        <v>Bank Rakyat Indonesia - 019301003214300</v>
      </c>
      <c r="F38" s="11" t="str">
        <f ca="1">IF(EXACT($D38, ""), "", VLOOKUP($D38, [3]DataLookUp!$B$4:$F$1000, 3, FALSE))</f>
        <v>IDR</v>
      </c>
      <c r="G38" s="14" t="str">
        <f ca="1">IF(EXACT($D38, ""), "", VLOOKUP($D38, [3]DataLookUp!$B$4:$F$1000, 4, FALSE))</f>
        <v>Institution - PT. QDC Technologies</v>
      </c>
      <c r="I38" s="27">
        <f t="shared" si="3"/>
        <v>198000000000035</v>
      </c>
      <c r="J38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167000000000035::bigint);</v>
      </c>
    </row>
    <row r="39" spans="2:10" x14ac:dyDescent="0.2">
      <c r="B39" s="5">
        <v>124000000000001</v>
      </c>
      <c r="C39" s="17" t="str">
        <f>IF(EXACT($B39, ""), "", IF(FLOOR(SEED!$B39/1000000000000, 1)=124, "Institution - "&amp;VLOOKUP(SEED!$B39, '[1]DataLookUp - InstitutionBranch'!$B$4:$C$1000, 2, FALSE), "Person - "&amp;VLOOKUP(SEED!$B39, [2]DataLookUp!$B$4:$D$1000, 2, FALSE)))</f>
        <v>Institution - PT. QDC Technologies</v>
      </c>
      <c r="D39" s="5">
        <v>167000000000036</v>
      </c>
      <c r="E39" s="10" t="str">
        <f ca="1">IF(EXACT($D39, ""), "", VLOOKUP($D39, [3]DataLookUp!$B$4:$F$1000, 2, FALSE))</f>
        <v>Bank Rakyat Indonesia - 019301003667309</v>
      </c>
      <c r="F39" s="11" t="str">
        <f ca="1">IF(EXACT($D39, ""), "", VLOOKUP($D39, [3]DataLookUp!$B$4:$F$1000, 3, FALSE))</f>
        <v>IDR</v>
      </c>
      <c r="G39" s="14" t="str">
        <f ca="1">IF(EXACT($D39, ""), "", VLOOKUP($D39, [3]DataLookUp!$B$4:$F$1000, 4, FALSE))</f>
        <v>Institution - PT. QDC Technologies</v>
      </c>
      <c r="I39" s="27">
        <f t="shared" si="3"/>
        <v>198000000000036</v>
      </c>
      <c r="J39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167000000000036::bigint);</v>
      </c>
    </row>
    <row r="40" spans="2:10" x14ac:dyDescent="0.2">
      <c r="B40" s="5">
        <v>124000000000001</v>
      </c>
      <c r="C40" s="17" t="str">
        <f>IF(EXACT($B40, ""), "", IF(FLOOR(SEED!$B40/1000000000000, 1)=124, "Institution - "&amp;VLOOKUP(SEED!$B40, '[1]DataLookUp - InstitutionBranch'!$B$4:$C$1000, 2, FALSE), "Person - "&amp;VLOOKUP(SEED!$B40, [2]DataLookUp!$B$4:$D$1000, 2, FALSE)))</f>
        <v>Institution - PT. QDC Technologies</v>
      </c>
      <c r="D40" s="5">
        <v>167000000000037</v>
      </c>
      <c r="E40" s="10" t="str">
        <f ca="1">IF(EXACT($D40, ""), "", VLOOKUP($D40, [3]DataLookUp!$B$4:$F$1000, 2, FALSE))</f>
        <v>Bank Rakyat Indonesia - 019301003718304</v>
      </c>
      <c r="F40" s="11" t="str">
        <f ca="1">IF(EXACT($D40, ""), "", VLOOKUP($D40, [3]DataLookUp!$B$4:$F$1000, 3, FALSE))</f>
        <v>IDR</v>
      </c>
      <c r="G40" s="14" t="str">
        <f ca="1">IF(EXACT($D40, ""), "", VLOOKUP($D40, [3]DataLookUp!$B$4:$F$1000, 4, FALSE))</f>
        <v>Institution - PT. QDC Technologies</v>
      </c>
      <c r="I40" s="27">
        <f t="shared" si="3"/>
        <v>198000000000037</v>
      </c>
      <c r="J40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167000000000037::bigint);</v>
      </c>
    </row>
    <row r="41" spans="2:10" x14ac:dyDescent="0.2">
      <c r="B41" s="5">
        <v>124000000000001</v>
      </c>
      <c r="C41" s="17" t="str">
        <f>IF(EXACT($B41, ""), "", IF(FLOOR(SEED!$B41/1000000000000, 1)=124, "Institution - "&amp;VLOOKUP(SEED!$B41, '[1]DataLookUp - InstitutionBranch'!$B$4:$C$1000, 2, FALSE), "Person - "&amp;VLOOKUP(SEED!$B41, [2]DataLookUp!$B$4:$D$1000, 2, FALSE)))</f>
        <v>Institution - PT. QDC Technologies</v>
      </c>
      <c r="D41" s="5">
        <v>167000000000038</v>
      </c>
      <c r="E41" s="10" t="str">
        <f ca="1">IF(EXACT($D41, ""), "", VLOOKUP($D41, [3]DataLookUp!$B$4:$F$1000, 2, FALSE))</f>
        <v>Bank Rakyat Indonesia - 019301003719300</v>
      </c>
      <c r="F41" s="11" t="str">
        <f ca="1">IF(EXACT($D41, ""), "", VLOOKUP($D41, [3]DataLookUp!$B$4:$F$1000, 3, FALSE))</f>
        <v>IDR</v>
      </c>
      <c r="G41" s="14" t="str">
        <f ca="1">IF(EXACT($D41, ""), "", VLOOKUP($D41, [3]DataLookUp!$B$4:$F$1000, 4, FALSE))</f>
        <v>Institution - PT. QDC Technologies</v>
      </c>
      <c r="I41" s="27">
        <f t="shared" si="3"/>
        <v>198000000000038</v>
      </c>
      <c r="J41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167000000000038::bigint);</v>
      </c>
    </row>
    <row r="42" spans="2:10" x14ac:dyDescent="0.2">
      <c r="B42" s="5">
        <v>124000000000001</v>
      </c>
      <c r="C42" s="17" t="str">
        <f>IF(EXACT($B42, ""), "", IF(FLOOR(SEED!$B42/1000000000000, 1)=124, "Institution - "&amp;VLOOKUP(SEED!$B42, '[1]DataLookUp - InstitutionBranch'!$B$4:$C$1000, 2, FALSE), "Person - "&amp;VLOOKUP(SEED!$B42, [2]DataLookUp!$B$4:$D$1000, 2, FALSE)))</f>
        <v>Institution - PT. QDC Technologies</v>
      </c>
      <c r="D42" s="5">
        <v>167000000000039</v>
      </c>
      <c r="E42" s="10" t="str">
        <f ca="1">IF(EXACT($D42, ""), "", VLOOKUP($D42, [3]DataLookUp!$B$4:$F$1000, 2, FALSE))</f>
        <v>Bank Rakyat Indonesia - 019301003720301</v>
      </c>
      <c r="F42" s="11" t="str">
        <f ca="1">IF(EXACT($D42, ""), "", VLOOKUP($D42, [3]DataLookUp!$B$4:$F$1000, 3, FALSE))</f>
        <v>IDR</v>
      </c>
      <c r="G42" s="14" t="str">
        <f ca="1">IF(EXACT($D42, ""), "", VLOOKUP($D42, [3]DataLookUp!$B$4:$F$1000, 4, FALSE))</f>
        <v>Institution - PT. QDC Technologies</v>
      </c>
      <c r="I42" s="27">
        <f t="shared" si="3"/>
        <v>198000000000039</v>
      </c>
      <c r="J42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167000000000039::bigint);</v>
      </c>
    </row>
    <row r="43" spans="2:10" x14ac:dyDescent="0.2">
      <c r="B43" s="5">
        <v>124000000000001</v>
      </c>
      <c r="C43" s="17" t="str">
        <f>IF(EXACT($B43, ""), "", IF(FLOOR(SEED!$B43/1000000000000, 1)=124, "Institution - "&amp;VLOOKUP(SEED!$B43, '[1]DataLookUp - InstitutionBranch'!$B$4:$C$1000, 2, FALSE), "Person - "&amp;VLOOKUP(SEED!$B43, [2]DataLookUp!$B$4:$D$1000, 2, FALSE)))</f>
        <v>Institution - PT. QDC Technologies</v>
      </c>
      <c r="D43" s="5">
        <v>167000000000040</v>
      </c>
      <c r="E43" s="10" t="str">
        <f ca="1">IF(EXACT($D43, ""), "", VLOOKUP($D43, [3]DataLookUp!$B$4:$F$1000, 2, FALSE))</f>
        <v>Bank Rakyat Indonesia - 019301003881301</v>
      </c>
      <c r="F43" s="11" t="str">
        <f ca="1">IF(EXACT($D43, ""), "", VLOOKUP($D43, [3]DataLookUp!$B$4:$F$1000, 3, FALSE))</f>
        <v>IDR</v>
      </c>
      <c r="G43" s="14" t="str">
        <f ca="1">IF(EXACT($D43, ""), "", VLOOKUP($D43, [3]DataLookUp!$B$4:$F$1000, 4, FALSE))</f>
        <v>Institution - PT. QDC Technologies</v>
      </c>
      <c r="I43" s="27">
        <f t="shared" si="3"/>
        <v>198000000000040</v>
      </c>
      <c r="J43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167000000000040::bigint);</v>
      </c>
    </row>
    <row r="44" spans="2:10" x14ac:dyDescent="0.2">
      <c r="B44" s="5">
        <v>124000000000001</v>
      </c>
      <c r="C44" s="17" t="str">
        <f>IF(EXACT($B44, ""), "", IF(FLOOR(SEED!$B44/1000000000000, 1)=124, "Institution - "&amp;VLOOKUP(SEED!$B44, '[1]DataLookUp - InstitutionBranch'!$B$4:$C$1000, 2, FALSE), "Person - "&amp;VLOOKUP(SEED!$B44, [2]DataLookUp!$B$4:$D$1000, 2, FALSE)))</f>
        <v>Institution - PT. QDC Technologies</v>
      </c>
      <c r="D44" s="5">
        <v>167000000000041</v>
      </c>
      <c r="E44" s="10" t="str">
        <f ca="1">IF(EXACT($D44, ""), "", VLOOKUP($D44, [3]DataLookUp!$B$4:$F$1000, 2, FALSE))</f>
        <v>Bank Rakyat Indonesia - 035901002067300</v>
      </c>
      <c r="F44" s="11" t="str">
        <f ca="1">IF(EXACT($D44, ""), "", VLOOKUP($D44, [3]DataLookUp!$B$4:$F$1000, 3, FALSE))</f>
        <v>IDR</v>
      </c>
      <c r="G44" s="14" t="str">
        <f ca="1">IF(EXACT($D44, ""), "", VLOOKUP($D44, [3]DataLookUp!$B$4:$F$1000, 4, FALSE))</f>
        <v>Institution - PT. QDC Technologies</v>
      </c>
      <c r="I44" s="27">
        <f t="shared" si="3"/>
        <v>198000000000041</v>
      </c>
      <c r="J44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167000000000041::bigint);</v>
      </c>
    </row>
    <row r="45" spans="2:10" x14ac:dyDescent="0.2">
      <c r="B45" s="5">
        <v>124000000000001</v>
      </c>
      <c r="C45" s="17" t="str">
        <f>IF(EXACT($B45, ""), "", IF(FLOOR(SEED!$B45/1000000000000, 1)=124, "Institution - "&amp;VLOOKUP(SEED!$B45, '[1]DataLookUp - InstitutionBranch'!$B$4:$C$1000, 2, FALSE), "Person - "&amp;VLOOKUP(SEED!$B45, [2]DataLookUp!$B$4:$D$1000, 2, FALSE)))</f>
        <v>Institution - PT. QDC Technologies</v>
      </c>
      <c r="D45" s="5">
        <v>167000000000042</v>
      </c>
      <c r="E45" s="10" t="str">
        <f ca="1">IF(EXACT($D45, ""), "", VLOOKUP($D45, [3]DataLookUp!$B$4:$F$1000, 2, FALSE))</f>
        <v>Bank Rakyat Indonesia - 035901002951305</v>
      </c>
      <c r="F45" s="11" t="str">
        <f ca="1">IF(EXACT($D45, ""), "", VLOOKUP($D45, [3]DataLookUp!$B$4:$F$1000, 3, FALSE))</f>
        <v>IDR</v>
      </c>
      <c r="G45" s="14" t="str">
        <f ca="1">IF(EXACT($D45, ""), "", VLOOKUP($D45, [3]DataLookUp!$B$4:$F$1000, 4, FALSE))</f>
        <v>Institution - PT. QDC Technologies</v>
      </c>
      <c r="I45" s="27">
        <f t="shared" si="3"/>
        <v>198000000000042</v>
      </c>
      <c r="J45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167000000000042::bigint);</v>
      </c>
    </row>
    <row r="46" spans="2:10" x14ac:dyDescent="0.2">
      <c r="B46" s="5">
        <v>124000000000001</v>
      </c>
      <c r="C46" s="17" t="str">
        <f>IF(EXACT($B46, ""), "", IF(FLOOR(SEED!$B46/1000000000000, 1)=124, "Institution - "&amp;VLOOKUP(SEED!$B46, '[1]DataLookUp - InstitutionBranch'!$B$4:$C$1000, 2, FALSE), "Person - "&amp;VLOOKUP(SEED!$B46, [2]DataLookUp!$B$4:$D$1000, 2, FALSE)))</f>
        <v>Institution - PT. QDC Technologies</v>
      </c>
      <c r="D46" s="5">
        <v>167000000000043</v>
      </c>
      <c r="E46" s="10" t="str">
        <f ca="1">IF(EXACT($D46, ""), "", VLOOKUP($D46, [3]DataLookUp!$B$4:$F$1000, 2, FALSE))</f>
        <v>Bank Rakyat Indonesia - 035901002958307</v>
      </c>
      <c r="F46" s="11" t="str">
        <f ca="1">IF(EXACT($D46, ""), "", VLOOKUP($D46, [3]DataLookUp!$B$4:$F$1000, 3, FALSE))</f>
        <v>IDR</v>
      </c>
      <c r="G46" s="14" t="str">
        <f ca="1">IF(EXACT($D46, ""), "", VLOOKUP($D46, [3]DataLookUp!$B$4:$F$1000, 4, FALSE))</f>
        <v>Institution - PT. QDC Technologies</v>
      </c>
      <c r="I46" s="27">
        <f t="shared" si="3"/>
        <v>198000000000043</v>
      </c>
      <c r="J46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167000000000043::bigint);</v>
      </c>
    </row>
    <row r="47" spans="2:10" x14ac:dyDescent="0.2">
      <c r="B47" s="5">
        <v>124000000000001</v>
      </c>
      <c r="C47" s="17" t="str">
        <f>IF(EXACT($B47, ""), "", IF(FLOOR(SEED!$B47/1000000000000, 1)=124, "Institution - "&amp;VLOOKUP(SEED!$B47, '[1]DataLookUp - InstitutionBranch'!$B$4:$C$1000, 2, FALSE), "Person - "&amp;VLOOKUP(SEED!$B47, [2]DataLookUp!$B$4:$D$1000, 2, FALSE)))</f>
        <v>Institution - PT. QDC Technologies</v>
      </c>
      <c r="D47" s="5">
        <v>167000000000044</v>
      </c>
      <c r="E47" s="10" t="str">
        <f ca="1">IF(EXACT($D47, ""), "", VLOOKUP($D47, [3]DataLookUp!$B$4:$F$1000, 2, FALSE))</f>
        <v>Bank Rakyat Indonesia - 044101001553563</v>
      </c>
      <c r="F47" s="11" t="str">
        <f ca="1">IF(EXACT($D47, ""), "", VLOOKUP($D47, [3]DataLookUp!$B$4:$F$1000, 3, FALSE))</f>
        <v>IDR</v>
      </c>
      <c r="G47" s="14" t="str">
        <f ca="1">IF(EXACT($D47, ""), "", VLOOKUP($D47, [3]DataLookUp!$B$4:$F$1000, 4, FALSE))</f>
        <v>Institution - PT. QDC Technologies</v>
      </c>
      <c r="I47" s="27">
        <f t="shared" si="3"/>
        <v>198000000000044</v>
      </c>
      <c r="J47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167000000000044::bigint);</v>
      </c>
    </row>
    <row r="48" spans="2:10" x14ac:dyDescent="0.2">
      <c r="B48" s="5">
        <v>124000000000001</v>
      </c>
      <c r="C48" s="17" t="str">
        <f>IF(EXACT($B48, ""), "", IF(FLOOR(SEED!$B48/1000000000000, 1)=124, "Institution - "&amp;VLOOKUP(SEED!$B48, '[1]DataLookUp - InstitutionBranch'!$B$4:$C$1000, 2, FALSE), "Person - "&amp;VLOOKUP(SEED!$B48, [2]DataLookUp!$B$4:$D$1000, 2, FALSE)))</f>
        <v>Institution - PT. QDC Technologies</v>
      </c>
      <c r="D48" s="5">
        <v>167000000000045</v>
      </c>
      <c r="E48" s="10" t="str">
        <f ca="1">IF(EXACT($D48, ""), "", VLOOKUP($D48, [3]DataLookUp!$B$4:$F$1000, 2, FALSE))</f>
        <v>Bank Rakyat Indonesia - 044101002094300</v>
      </c>
      <c r="F48" s="11" t="str">
        <f ca="1">IF(EXACT($D48, ""), "", VLOOKUP($D48, [3]DataLookUp!$B$4:$F$1000, 3, FALSE))</f>
        <v>IDR</v>
      </c>
      <c r="G48" s="14" t="str">
        <f ca="1">IF(EXACT($D48, ""), "", VLOOKUP($D48, [3]DataLookUp!$B$4:$F$1000, 4, FALSE))</f>
        <v>Institution - PT. QDC Technologies</v>
      </c>
      <c r="I48" s="27">
        <f t="shared" si="3"/>
        <v>198000000000045</v>
      </c>
      <c r="J48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167000000000045::bigint);</v>
      </c>
    </row>
    <row r="49" spans="2:10" x14ac:dyDescent="0.2">
      <c r="B49" s="5">
        <v>124000000000001</v>
      </c>
      <c r="C49" s="17" t="str">
        <f>IF(EXACT($B49, ""), "", IF(FLOOR(SEED!$B49/1000000000000, 1)=124, "Institution - "&amp;VLOOKUP(SEED!$B49, '[1]DataLookUp - InstitutionBranch'!$B$4:$C$1000, 2, FALSE), "Person - "&amp;VLOOKUP(SEED!$B49, [2]DataLookUp!$B$4:$D$1000, 2, FALSE)))</f>
        <v>Institution - PT. QDC Technologies</v>
      </c>
      <c r="D49" s="5">
        <v>167000000000046</v>
      </c>
      <c r="E49" s="10" t="str">
        <f ca="1">IF(EXACT($D49, ""), "", VLOOKUP($D49, [3]DataLookUp!$B$4:$F$1000, 2, FALSE))</f>
        <v>Bank Rakyat Indonesia - 053801000258309</v>
      </c>
      <c r="F49" s="11" t="str">
        <f ca="1">IF(EXACT($D49, ""), "", VLOOKUP($D49, [3]DataLookUp!$B$4:$F$1000, 3, FALSE))</f>
        <v>IDR</v>
      </c>
      <c r="G49" s="14" t="str">
        <f ca="1">IF(EXACT($D49, ""), "", VLOOKUP($D49, [3]DataLookUp!$B$4:$F$1000, 4, FALSE))</f>
        <v>Institution - PT. QDC Technologies</v>
      </c>
      <c r="I49" s="27">
        <f t="shared" si="3"/>
        <v>198000000000046</v>
      </c>
      <c r="J49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167000000000046::bigint);</v>
      </c>
    </row>
    <row r="50" spans="2:10" x14ac:dyDescent="0.2">
      <c r="B50" s="5">
        <v>124000000000001</v>
      </c>
      <c r="C50" s="17" t="str">
        <f>IF(EXACT($B50, ""), "", IF(FLOOR(SEED!$B50/1000000000000, 1)=124, "Institution - "&amp;VLOOKUP(SEED!$B50, '[1]DataLookUp - InstitutionBranch'!$B$4:$C$1000, 2, FALSE), "Person - "&amp;VLOOKUP(SEED!$B50, [2]DataLookUp!$B$4:$D$1000, 2, FALSE)))</f>
        <v>Institution - PT. QDC Technologies</v>
      </c>
      <c r="D50" s="5">
        <v>167000000000047</v>
      </c>
      <c r="E50" s="10" t="str">
        <f ca="1">IF(EXACT($D50, ""), "", VLOOKUP($D50, [3]DataLookUp!$B$4:$F$1000, 2, FALSE))</f>
        <v>Bank Rakyat Indonesia - 34101002394304</v>
      </c>
      <c r="F50" s="11" t="str">
        <f ca="1">IF(EXACT($D50, ""), "", VLOOKUP($D50, [3]DataLookUp!$B$4:$F$1000, 3, FALSE))</f>
        <v>IDR</v>
      </c>
      <c r="G50" s="14" t="str">
        <f ca="1">IF(EXACT($D50, ""), "", VLOOKUP($D50, [3]DataLookUp!$B$4:$F$1000, 4, FALSE))</f>
        <v>Institution - PT. QDC Technologies</v>
      </c>
      <c r="I50" s="27">
        <f t="shared" si="3"/>
        <v>198000000000047</v>
      </c>
      <c r="J50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167000000000047::bigint);</v>
      </c>
    </row>
    <row r="51" spans="2:10" x14ac:dyDescent="0.2">
      <c r="B51" s="5">
        <v>124000000000001</v>
      </c>
      <c r="C51" s="17" t="str">
        <f>IF(EXACT($B51, ""), "", IF(FLOOR(SEED!$B51/1000000000000, 1)=124, "Institution - "&amp;VLOOKUP(SEED!$B51, '[1]DataLookUp - InstitutionBranch'!$B$4:$C$1000, 2, FALSE), "Person - "&amp;VLOOKUP(SEED!$B51, [2]DataLookUp!$B$4:$D$1000, 2, FALSE)))</f>
        <v>Institution - PT. QDC Technologies</v>
      </c>
      <c r="D51" s="5">
        <v>167000000000048</v>
      </c>
      <c r="E51" s="10" t="str">
        <f ca="1">IF(EXACT($D51, ""), "", VLOOKUP($D51, [3]DataLookUp!$B$4:$F$1000, 2, FALSE))</f>
        <v>Bank Rakyat Indonesia - 34101002395300</v>
      </c>
      <c r="F51" s="11" t="str">
        <f ca="1">IF(EXACT($D51, ""), "", VLOOKUP($D51, [3]DataLookUp!$B$4:$F$1000, 3, FALSE))</f>
        <v>USD</v>
      </c>
      <c r="G51" s="14" t="str">
        <f ca="1">IF(EXACT($D51, ""), "", VLOOKUP($D51, [3]DataLookUp!$B$4:$F$1000, 4, FALSE))</f>
        <v>Institution - PT. QDC Technologies</v>
      </c>
      <c r="I51" s="27">
        <f t="shared" si="3"/>
        <v>198000000000048</v>
      </c>
      <c r="J51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167000000000048::bigint);</v>
      </c>
    </row>
    <row r="52" spans="2:10" x14ac:dyDescent="0.2">
      <c r="B52" s="5">
        <v>124000000000001</v>
      </c>
      <c r="C52" s="17" t="str">
        <f>IF(EXACT($B52, ""), "", IF(FLOOR(SEED!$B52/1000000000000, 1)=124, "Institution - "&amp;VLOOKUP(SEED!$B52, '[1]DataLookUp - InstitutionBranch'!$B$4:$C$1000, 2, FALSE), "Person - "&amp;VLOOKUP(SEED!$B52, [2]DataLookUp!$B$4:$D$1000, 2, FALSE)))</f>
        <v>Institution - PT. QDC Technologies</v>
      </c>
      <c r="D52" s="5">
        <v>167000000000049</v>
      </c>
      <c r="E52" s="10" t="str">
        <f ca="1">IF(EXACT($D52, ""), "", VLOOKUP($D52, [3]DataLookUp!$B$4:$F$1000, 2, FALSE))</f>
        <v>Bank Standard Chartered - 30601430287</v>
      </c>
      <c r="F52" s="11" t="str">
        <f ca="1">IF(EXACT($D52, ""), "", VLOOKUP($D52, [3]DataLookUp!$B$4:$F$1000, 3, FALSE))</f>
        <v>USD</v>
      </c>
      <c r="G52" s="14" t="str">
        <f ca="1">IF(EXACT($D52, ""), "", VLOOKUP($D52, [3]DataLookUp!$B$4:$F$1000, 4, FALSE))</f>
        <v>Institution - PT. QDC Technologies</v>
      </c>
      <c r="I52" s="27">
        <f t="shared" si="3"/>
        <v>198000000000049</v>
      </c>
      <c r="J52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167000000000049::bigint);</v>
      </c>
    </row>
    <row r="53" spans="2:10" x14ac:dyDescent="0.2">
      <c r="B53" s="5">
        <v>124000000000001</v>
      </c>
      <c r="C53" s="17" t="str">
        <f>IF(EXACT($B53, ""), "", IF(FLOOR(SEED!$B53/1000000000000, 1)=124, "Institution - "&amp;VLOOKUP(SEED!$B53, '[1]DataLookUp - InstitutionBranch'!$B$4:$C$1000, 2, FALSE), "Person - "&amp;VLOOKUP(SEED!$B53, [2]DataLookUp!$B$4:$D$1000, 2, FALSE)))</f>
        <v>Institution - PT. QDC Technologies</v>
      </c>
      <c r="D53" s="5">
        <v>167000000000050</v>
      </c>
      <c r="E53" s="10" t="str">
        <f ca="1">IF(EXACT($D53, ""), "", VLOOKUP($D53, [3]DataLookUp!$B$4:$F$1000, 2, FALSE))</f>
        <v>Bank Standard Chartered - 30601430325</v>
      </c>
      <c r="F53" s="11" t="str">
        <f ca="1">IF(EXACT($D53, ""), "", VLOOKUP($D53, [3]DataLookUp!$B$4:$F$1000, 3, FALSE))</f>
        <v>IDR</v>
      </c>
      <c r="G53" s="14" t="str">
        <f ca="1">IF(EXACT($D53, ""), "", VLOOKUP($D53, [3]DataLookUp!$B$4:$F$1000, 4, FALSE))</f>
        <v>Institution - PT. QDC Technologies</v>
      </c>
      <c r="I53" s="27">
        <f t="shared" si="3"/>
        <v>198000000000050</v>
      </c>
      <c r="J53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167000000000050::bigint);</v>
      </c>
    </row>
    <row r="54" spans="2:10" x14ac:dyDescent="0.2">
      <c r="B54" s="5">
        <v>124000000000001</v>
      </c>
      <c r="C54" s="17" t="str">
        <f>IF(EXACT($B54, ""), "", IF(FLOOR(SEED!$B54/1000000000000, 1)=124, "Institution - "&amp;VLOOKUP(SEED!$B54, '[1]DataLookUp - InstitutionBranch'!$B$4:$C$1000, 2, FALSE), "Person - "&amp;VLOOKUP(SEED!$B54, [2]DataLookUp!$B$4:$D$1000, 2, FALSE)))</f>
        <v>Institution - PT. QDC Technologies</v>
      </c>
      <c r="D54" s="5">
        <v>167000000000051</v>
      </c>
      <c r="E54" s="10" t="str">
        <f ca="1">IF(EXACT($D54, ""), "", VLOOKUP($D54, [3]DataLookUp!$B$4:$F$1000, 2, FALSE))</f>
        <v>Bank Standard Chartered - 30601430376</v>
      </c>
      <c r="F54" s="11" t="str">
        <f ca="1">IF(EXACT($D54, ""), "", VLOOKUP($D54, [3]DataLookUp!$B$4:$F$1000, 3, FALSE))</f>
        <v>IDR</v>
      </c>
      <c r="G54" s="14" t="str">
        <f ca="1">IF(EXACT($D54, ""), "", VLOOKUP($D54, [3]DataLookUp!$B$4:$F$1000, 4, FALSE))</f>
        <v>Institution - PT. QDC Technologies</v>
      </c>
      <c r="I54" s="27">
        <f t="shared" si="3"/>
        <v>198000000000051</v>
      </c>
      <c r="J54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167000000000051::bigint);</v>
      </c>
    </row>
    <row r="55" spans="2:10" x14ac:dyDescent="0.2">
      <c r="B55" s="5">
        <v>124000000000001</v>
      </c>
      <c r="C55" s="17" t="str">
        <f>IF(EXACT($B55, ""), "", IF(FLOOR(SEED!$B55/1000000000000, 1)=124, "Institution - "&amp;VLOOKUP(SEED!$B55, '[1]DataLookUp - InstitutionBranch'!$B$4:$C$1000, 2, FALSE), "Person - "&amp;VLOOKUP(SEED!$B55, [2]DataLookUp!$B$4:$D$1000, 2, FALSE)))</f>
        <v>Institution - PT. QDC Technologies</v>
      </c>
      <c r="D55" s="5">
        <v>167000000000052</v>
      </c>
      <c r="E55" s="10" t="str">
        <f ca="1">IF(EXACT($D55, ""), "", VLOOKUP($D55, [3]DataLookUp!$B$4:$F$1000, 2, FALSE))</f>
        <v>Bank Standard Chartered - 30601430414</v>
      </c>
      <c r="F55" s="11" t="str">
        <f ca="1">IF(EXACT($D55, ""), "", VLOOKUP($D55, [3]DataLookUp!$B$4:$F$1000, 3, FALSE))</f>
        <v>IDR</v>
      </c>
      <c r="G55" s="14" t="str">
        <f ca="1">IF(EXACT($D55, ""), "", VLOOKUP($D55, [3]DataLookUp!$B$4:$F$1000, 4, FALSE))</f>
        <v>Institution - PT. QDC Technologies</v>
      </c>
      <c r="I55" s="27">
        <f t="shared" si="3"/>
        <v>198000000000052</v>
      </c>
      <c r="J55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167000000000052::bigint);</v>
      </c>
    </row>
    <row r="56" spans="2:10" x14ac:dyDescent="0.2">
      <c r="B56" s="5">
        <v>124000000000001</v>
      </c>
      <c r="C56" s="17" t="str">
        <f>IF(EXACT($B56, ""), "", IF(FLOOR(SEED!$B56/1000000000000, 1)=124, "Institution - "&amp;VLOOKUP(SEED!$B56, '[1]DataLookUp - InstitutionBranch'!$B$4:$C$1000, 2, FALSE), "Person - "&amp;VLOOKUP(SEED!$B56, [2]DataLookUp!$B$4:$D$1000, 2, FALSE)))</f>
        <v>Institution - PT. QDC Technologies</v>
      </c>
      <c r="D56" s="5">
        <v>167000000000053</v>
      </c>
      <c r="E56" s="10" t="str">
        <f ca="1">IF(EXACT($D56, ""), "", VLOOKUP($D56, [3]DataLookUp!$B$4:$F$1000, 2, FALSE))</f>
        <v>Bank Syariah Indonesia - 1006777593</v>
      </c>
      <c r="F56" s="11" t="str">
        <f ca="1">IF(EXACT($D56, ""), "", VLOOKUP($D56, [3]DataLookUp!$B$4:$F$1000, 3, FALSE))</f>
        <v>IDR</v>
      </c>
      <c r="G56" s="14" t="str">
        <f ca="1">IF(EXACT($D56, ""), "", VLOOKUP($D56, [3]DataLookUp!$B$4:$F$1000, 4, FALSE))</f>
        <v>Institution - PT. QDC Technologies</v>
      </c>
      <c r="I56" s="27">
        <f t="shared" si="3"/>
        <v>198000000000053</v>
      </c>
      <c r="J56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167000000000053::bigint);</v>
      </c>
    </row>
    <row r="57" spans="2:10" x14ac:dyDescent="0.2">
      <c r="B57" s="5">
        <v>124000000000001</v>
      </c>
      <c r="C57" s="17" t="str">
        <f>IF(EXACT($B57, ""), "", IF(FLOOR(SEED!$B57/1000000000000, 1)=124, "Institution - "&amp;VLOOKUP(SEED!$B57, '[1]DataLookUp - InstitutionBranch'!$B$4:$C$1000, 2, FALSE), "Person - "&amp;VLOOKUP(SEED!$B57, [2]DataLookUp!$B$4:$D$1000, 2, FALSE)))</f>
        <v>Institution - PT. QDC Technologies</v>
      </c>
      <c r="D57" s="5">
        <v>167000000000054</v>
      </c>
      <c r="E57" s="10" t="str">
        <f ca="1">IF(EXACT($D57, ""), "", VLOOKUP($D57, [3]DataLookUp!$B$4:$F$1000, 2, FALSE))</f>
        <v>Bank Syariah Indonesia - 7240736928</v>
      </c>
      <c r="F57" s="11" t="str">
        <f ca="1">IF(EXACT($D57, ""), "", VLOOKUP($D57, [3]DataLookUp!$B$4:$F$1000, 3, FALSE))</f>
        <v>IDR</v>
      </c>
      <c r="G57" s="14" t="str">
        <f ca="1">IF(EXACT($D57, ""), "", VLOOKUP($D57, [3]DataLookUp!$B$4:$F$1000, 4, FALSE))</f>
        <v>Institution - PT. QDC Technologies</v>
      </c>
      <c r="I57" s="27">
        <f t="shared" si="3"/>
        <v>198000000000054</v>
      </c>
      <c r="J57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167000000000054::bigint);</v>
      </c>
    </row>
    <row r="58" spans="2:10" x14ac:dyDescent="0.2">
      <c r="B58" s="5">
        <v>124000000000001</v>
      </c>
      <c r="C58" s="17" t="str">
        <f>IF(EXACT($B58, ""), "", IF(FLOOR(SEED!$B58/1000000000000, 1)=124, "Institution - "&amp;VLOOKUP(SEED!$B58, '[1]DataLookUp - InstitutionBranch'!$B$4:$C$1000, 2, FALSE), "Person - "&amp;VLOOKUP(SEED!$B58, [2]DataLookUp!$B$4:$D$1000, 2, FALSE)))</f>
        <v>Institution - PT. QDC Technologies</v>
      </c>
      <c r="D58" s="5">
        <v>167000000000055</v>
      </c>
      <c r="E58" s="10" t="str">
        <f ca="1">IF(EXACT($D58, ""), "", VLOOKUP($D58, [3]DataLookUp!$B$4:$F$1000, 2, FALSE))</f>
        <v>Bank Syariah Indonesia - 7240741347</v>
      </c>
      <c r="F58" s="11" t="str">
        <f ca="1">IF(EXACT($D58, ""), "", VLOOKUP($D58, [3]DataLookUp!$B$4:$F$1000, 3, FALSE))</f>
        <v>IDR</v>
      </c>
      <c r="G58" s="14" t="str">
        <f ca="1">IF(EXACT($D58, ""), "", VLOOKUP($D58, [3]DataLookUp!$B$4:$F$1000, 4, FALSE))</f>
        <v>Institution - PT. QDC Technologies</v>
      </c>
      <c r="I58" s="27">
        <f t="shared" si="3"/>
        <v>198000000000055</v>
      </c>
      <c r="J58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167000000000055::bigint);</v>
      </c>
    </row>
    <row r="59" spans="2:10" x14ac:dyDescent="0.2">
      <c r="B59" s="5">
        <v>124000000000001</v>
      </c>
      <c r="C59" s="17" t="str">
        <f>IF(EXACT($B59, ""), "", IF(FLOOR(SEED!$B59/1000000000000, 1)=124, "Institution - "&amp;VLOOKUP(SEED!$B59, '[1]DataLookUp - InstitutionBranch'!$B$4:$C$1000, 2, FALSE), "Person - "&amp;VLOOKUP(SEED!$B59, [2]DataLookUp!$B$4:$D$1000, 2, FALSE)))</f>
        <v>Institution - PT. QDC Technologies</v>
      </c>
      <c r="D59" s="5">
        <v>167000000000056</v>
      </c>
      <c r="E59" s="10" t="str">
        <f ca="1">IF(EXACT($D59, ""), "", VLOOKUP($D59, [3]DataLookUp!$B$4:$F$1000, 2, FALSE))</f>
        <v>Bank Tabungan Negara - 0100201300000052</v>
      </c>
      <c r="F59" s="11" t="str">
        <f ca="1">IF(EXACT($D59, ""), "", VLOOKUP($D59, [3]DataLookUp!$B$4:$F$1000, 3, FALSE))</f>
        <v>IDR</v>
      </c>
      <c r="G59" s="14" t="str">
        <f ca="1">IF(EXACT($D59, ""), "", VLOOKUP($D59, [3]DataLookUp!$B$4:$F$1000, 4, FALSE))</f>
        <v>Institution - PT. QDC Technologies</v>
      </c>
      <c r="I59" s="27">
        <f t="shared" si="3"/>
        <v>198000000000056</v>
      </c>
      <c r="J59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124000000000001::bigint, 167000000000056::bigint);</v>
      </c>
    </row>
    <row r="60" spans="2:10" x14ac:dyDescent="0.2">
      <c r="B60" s="5">
        <v>25000000000439</v>
      </c>
      <c r="C60" s="17" t="str">
        <f>IF(EXACT($B60, ""), "", IF(FLOOR(SEED!$B60/1000000000000, 1)=124, "Institution - "&amp;VLOOKUP(SEED!$B60, '[1]DataLookUp - InstitutionBranch'!$B$4:$C$1000, 2, FALSE), "Person - "&amp;VLOOKUP(SEED!$B60, [2]DataLookUp!$B$4:$D$1000, 2, FALSE)))</f>
        <v>Person - Teguh Pratama Januzir Sukin</v>
      </c>
      <c r="D60" s="5">
        <v>167000000000057</v>
      </c>
      <c r="E60" s="10" t="str">
        <f ca="1">IF(EXACT($D60, ""), "", VLOOKUP($D60, [3]DataLookUp!$B$4:$F$1000, 2, FALSE))</f>
        <v>Bank Central Asia - 6550289791</v>
      </c>
      <c r="F60" s="11" t="str">
        <f ca="1">IF(EXACT($D60, ""), "", VLOOKUP($D60, [3]DataLookUp!$B$4:$F$1000, 3, FALSE))</f>
        <v>IDR</v>
      </c>
      <c r="G60" s="14" t="str">
        <f ca="1">IF(EXACT($D60, ""), "", VLOOKUP($D60, [3]DataLookUp!$B$4:$F$1000, 4, FALSE))</f>
        <v>Person - Teguh Pratama Januzir Sukin</v>
      </c>
      <c r="I60" s="27">
        <f t="shared" si="3"/>
        <v>198000000000057</v>
      </c>
      <c r="J60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25000000000439::bigint, 167000000000057::bigint);</v>
      </c>
    </row>
    <row r="61" spans="2:10" x14ac:dyDescent="0.2">
      <c r="B61" s="5">
        <v>25000000000439</v>
      </c>
      <c r="C61" s="17" t="str">
        <f>IF(EXACT($B61, ""), "", IF(FLOOR(SEED!$B61/1000000000000, 1)=124, "Institution - "&amp;VLOOKUP(SEED!$B61, '[1]DataLookUp - InstitutionBranch'!$B$4:$C$1000, 2, FALSE), "Person - "&amp;VLOOKUP(SEED!$B61, [2]DataLookUp!$B$4:$D$1000, 2, FALSE)))</f>
        <v>Person - Teguh Pratama Januzir Sukin</v>
      </c>
      <c r="D61" s="5">
        <v>167000000000058</v>
      </c>
      <c r="E61" s="10" t="str">
        <f ca="1">IF(EXACT($D61, ""), "", VLOOKUP($D61, [3]DataLookUp!$B$4:$F$1000, 2, FALSE))</f>
        <v>Bank Mandiri - 121-00-0599441-7</v>
      </c>
      <c r="F61" s="11" t="str">
        <f ca="1">IF(EXACT($D61, ""), "", VLOOKUP($D61, [3]DataLookUp!$B$4:$F$1000, 3, FALSE))</f>
        <v>IDR</v>
      </c>
      <c r="G61" s="14" t="str">
        <f ca="1">IF(EXACT($D61, ""), "", VLOOKUP($D61, [3]DataLookUp!$B$4:$F$1000, 4, FALSE))</f>
        <v>Person - Teguh Pratama Januzir Sukin</v>
      </c>
      <c r="I61" s="27">
        <f t="shared" si="3"/>
        <v>198000000000058</v>
      </c>
      <c r="J61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25000000000439::bigint, 167000000000058::bigint);</v>
      </c>
    </row>
    <row r="62" spans="2:10" x14ac:dyDescent="0.2">
      <c r="B62" s="5">
        <v>25000000000439</v>
      </c>
      <c r="C62" s="17" t="str">
        <f>IF(EXACT($B62, ""), "", IF(FLOOR(SEED!$B62/1000000000000, 1)=124, "Institution - "&amp;VLOOKUP(SEED!$B62, '[1]DataLookUp - InstitutionBranch'!$B$4:$C$1000, 2, FALSE), "Person - "&amp;VLOOKUP(SEED!$B62, [2]DataLookUp!$B$4:$D$1000, 2, FALSE)))</f>
        <v>Person - Teguh Pratama Januzir Sukin</v>
      </c>
      <c r="D62" s="5">
        <v>167000000000059</v>
      </c>
      <c r="E62" s="10" t="str">
        <f ca="1">IF(EXACT($D62, ""), "", VLOOKUP($D62, [3]DataLookUp!$B$4:$F$1000, 2, FALSE))</f>
        <v>Bank Rakyat Indonesia - 0206-01-095647-50-4</v>
      </c>
      <c r="F62" s="11" t="str">
        <f ca="1">IF(EXACT($D62, ""), "", VLOOKUP($D62, [3]DataLookUp!$B$4:$F$1000, 3, FALSE))</f>
        <v>IDR</v>
      </c>
      <c r="G62" s="14" t="str">
        <f ca="1">IF(EXACT($D62, ""), "", VLOOKUP($D62, [3]DataLookUp!$B$4:$F$1000, 4, FALSE))</f>
        <v>Person - Teguh Pratama Januzir Sukin</v>
      </c>
      <c r="I62" s="27">
        <f t="shared" si="3"/>
        <v>198000000000059</v>
      </c>
      <c r="J62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25000000000439::bigint, 167000000000059::bigint);</v>
      </c>
    </row>
    <row r="63" spans="2:10" x14ac:dyDescent="0.2">
      <c r="B63" s="5">
        <v>25000000000382</v>
      </c>
      <c r="C63" s="17" t="str">
        <f>IF(EXACT($B63, ""), "", IF(FLOOR(SEED!$B63/1000000000000, 1)=124, "Institution - "&amp;VLOOKUP(SEED!$B63, '[1]DataLookUp - InstitutionBranch'!$B$4:$C$1000, 2, FALSE), "Person - "&amp;VLOOKUP(SEED!$B63, [2]DataLookUp!$B$4:$D$1000, 2, FALSE)))</f>
        <v>Person - Abdul Samad</v>
      </c>
      <c r="D63" s="5">
        <v>167000000000060</v>
      </c>
      <c r="E63" s="10" t="str">
        <f ca="1">IF(EXACT($D63, ""), "", VLOOKUP($D63, [3]DataLookUp!$B$4:$F$1000, 2, FALSE))</f>
        <v>Bank Central Asia - 0060262641</v>
      </c>
      <c r="F63" s="11" t="str">
        <f ca="1">IF(EXACT($D63, ""), "", VLOOKUP($D63, [3]DataLookUp!$B$4:$F$1000, 3, FALSE))</f>
        <v>IDR</v>
      </c>
      <c r="G63" s="14" t="str">
        <f ca="1">IF(EXACT($D63, ""), "", VLOOKUP($D63, [3]DataLookUp!$B$4:$F$1000, 4, FALSE))</f>
        <v>Person - Abdul Samad</v>
      </c>
      <c r="I63" s="27">
        <f t="shared" si="3"/>
        <v>198000000000060</v>
      </c>
      <c r="J63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25000000000382::bigint, 167000000000060::bigint);</v>
      </c>
    </row>
    <row r="64" spans="2:10" x14ac:dyDescent="0.2">
      <c r="B64" s="5">
        <v>25000000000514</v>
      </c>
      <c r="C64" s="17" t="str">
        <f>IF(EXACT($B64, ""), "", IF(FLOOR(SEED!$B64/1000000000000, 1)=124, "Institution - "&amp;VLOOKUP(SEED!$B64, '[1]DataLookUp - InstitutionBranch'!$B$4:$C$1000, 2, FALSE), "Person - "&amp;VLOOKUP(SEED!$B64, [2]DataLookUp!$B$4:$D$1000, 2, FALSE)))</f>
        <v>Person - Achmad Yunadi</v>
      </c>
      <c r="D64" s="5">
        <v>167000000000061</v>
      </c>
      <c r="E64" s="10" t="str">
        <f ca="1">IF(EXACT($D64, ""), "", VLOOKUP($D64, [3]DataLookUp!$B$4:$F$1000, 2, FALSE))</f>
        <v>Bank Central Asia - 2040089643</v>
      </c>
      <c r="F64" s="11" t="str">
        <f ca="1">IF(EXACT($D64, ""), "", VLOOKUP($D64, [3]DataLookUp!$B$4:$F$1000, 3, FALSE))</f>
        <v>IDR</v>
      </c>
      <c r="G64" s="14" t="str">
        <f ca="1">IF(EXACT($D64, ""), "", VLOOKUP($D64, [3]DataLookUp!$B$4:$F$1000, 4, FALSE))</f>
        <v>Person - Achmad Yunadi</v>
      </c>
      <c r="I64" s="27">
        <f t="shared" si="3"/>
        <v>198000000000061</v>
      </c>
      <c r="J64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25000000000514::bigint, 167000000000061::bigint);</v>
      </c>
    </row>
    <row r="65" spans="2:10" x14ac:dyDescent="0.2">
      <c r="B65" s="5">
        <v>25000000000012</v>
      </c>
      <c r="C65" s="17" t="str">
        <f>IF(EXACT($B65, ""), "", IF(FLOOR(SEED!$B65/1000000000000, 1)=124, "Institution - "&amp;VLOOKUP(SEED!$B65, '[1]DataLookUp - InstitutionBranch'!$B$4:$C$1000, 2, FALSE), "Person - "&amp;VLOOKUP(SEED!$B65, [2]DataLookUp!$B$4:$D$1000, 2, FALSE)))</f>
        <v>Person - Agnes Sutedja</v>
      </c>
      <c r="D65" s="5">
        <v>167000000000062</v>
      </c>
      <c r="E65" s="10" t="str">
        <f ca="1">IF(EXACT($D65, ""), "", VLOOKUP($D65, [3]DataLookUp!$B$4:$F$1000, 2, FALSE))</f>
        <v>Bank Central Asia - 0350780718</v>
      </c>
      <c r="F65" s="11" t="str">
        <f ca="1">IF(EXACT($D65, ""), "", VLOOKUP($D65, [3]DataLookUp!$B$4:$F$1000, 3, FALSE))</f>
        <v>IDR</v>
      </c>
      <c r="G65" s="14" t="str">
        <f ca="1">IF(EXACT($D65, ""), "", VLOOKUP($D65, [3]DataLookUp!$B$4:$F$1000, 4, FALSE))</f>
        <v>Person - Agnes Sutedja</v>
      </c>
      <c r="I65" s="27">
        <f t="shared" si="3"/>
        <v>198000000000062</v>
      </c>
      <c r="J65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25000000000012::bigint, 167000000000062::bigint);</v>
      </c>
    </row>
    <row r="66" spans="2:10" x14ac:dyDescent="0.2">
      <c r="B66" s="5">
        <v>25000000000549</v>
      </c>
      <c r="C66" s="17" t="str">
        <f>IF(EXACT($B66, ""), "", IF(FLOOR(SEED!$B66/1000000000000, 1)=124, "Institution - "&amp;VLOOKUP(SEED!$B66, '[1]DataLookUp - InstitutionBranch'!$B$4:$C$1000, 2, FALSE), "Person - "&amp;VLOOKUP(SEED!$B66, [2]DataLookUp!$B$4:$D$1000, 2, FALSE)))</f>
        <v>Person - Agus Nuryadi</v>
      </c>
      <c r="D66" s="5">
        <v>167000000000063</v>
      </c>
      <c r="E66" s="10" t="str">
        <f ca="1">IF(EXACT($D66, ""), "", VLOOKUP($D66, [3]DataLookUp!$B$4:$F$1000, 2, FALSE))</f>
        <v>Bank Central Asia - 6821221339</v>
      </c>
      <c r="F66" s="11" t="str">
        <f ca="1">IF(EXACT($D66, ""), "", VLOOKUP($D66, [3]DataLookUp!$B$4:$F$1000, 3, FALSE))</f>
        <v>IDR</v>
      </c>
      <c r="G66" s="14" t="str">
        <f ca="1">IF(EXACT($D66, ""), "", VLOOKUP($D66, [3]DataLookUp!$B$4:$F$1000, 4, FALSE))</f>
        <v>Person - Agus Nuryadi</v>
      </c>
      <c r="I66" s="27">
        <f t="shared" si="3"/>
        <v>198000000000063</v>
      </c>
      <c r="J66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25000000000549::bigint, 167000000000063::bigint);</v>
      </c>
    </row>
    <row r="67" spans="2:10" x14ac:dyDescent="0.2">
      <c r="B67" s="5">
        <v>25000000000015</v>
      </c>
      <c r="C67" s="17" t="str">
        <f>IF(EXACT($B67, ""), "", IF(FLOOR(SEED!$B67/1000000000000, 1)=124, "Institution - "&amp;VLOOKUP(SEED!$B67, '[1]DataLookUp - InstitutionBranch'!$B$4:$C$1000, 2, FALSE), "Person - "&amp;VLOOKUP(SEED!$B67, [2]DataLookUp!$B$4:$D$1000, 2, FALSE)))</f>
        <v>Person - Agus Salim</v>
      </c>
      <c r="D67" s="5">
        <v>167000000000064</v>
      </c>
      <c r="E67" s="10" t="str">
        <f ca="1">IF(EXACT($D67, ""), "", VLOOKUP($D67, [3]DataLookUp!$B$4:$F$1000, 2, FALSE))</f>
        <v>Bank Central Asia - 5750423347</v>
      </c>
      <c r="F67" s="11" t="str">
        <f ca="1">IF(EXACT($D67, ""), "", VLOOKUP($D67, [3]DataLookUp!$B$4:$F$1000, 3, FALSE))</f>
        <v>IDR</v>
      </c>
      <c r="G67" s="14" t="str">
        <f ca="1">IF(EXACT($D67, ""), "", VLOOKUP($D67, [3]DataLookUp!$B$4:$F$1000, 4, FALSE))</f>
        <v>Person - Agus Salim</v>
      </c>
      <c r="I67" s="27">
        <f t="shared" si="3"/>
        <v>198000000000064</v>
      </c>
      <c r="J67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25000000000015::bigint, 167000000000064::bigint);</v>
      </c>
    </row>
    <row r="68" spans="2:10" x14ac:dyDescent="0.2">
      <c r="B68" s="5">
        <v>25000000000019</v>
      </c>
      <c r="C68" s="17" t="str">
        <f>IF(EXACT($B68, ""), "", IF(FLOOR(SEED!$B68/1000000000000, 1)=124, "Institution - "&amp;VLOOKUP(SEED!$B68, '[1]DataLookUp - InstitutionBranch'!$B$4:$C$1000, 2, FALSE), "Person - "&amp;VLOOKUP(SEED!$B68, [2]DataLookUp!$B$4:$D$1000, 2, FALSE)))</f>
        <v>Person - Ahmad Syaifulloh</v>
      </c>
      <c r="D68" s="5">
        <v>167000000000065</v>
      </c>
      <c r="E68" s="10" t="str">
        <f ca="1">IF(EXACT($D68, ""), "", VLOOKUP($D68, [3]DataLookUp!$B$4:$F$1000, 2, FALSE))</f>
        <v>Bank Central Asia - 7150306269</v>
      </c>
      <c r="F68" s="11" t="str">
        <f ca="1">IF(EXACT($D68, ""), "", VLOOKUP($D68, [3]DataLookUp!$B$4:$F$1000, 3, FALSE))</f>
        <v>IDR</v>
      </c>
      <c r="G68" s="14" t="str">
        <f ca="1">IF(EXACT($D68, ""), "", VLOOKUP($D68, [3]DataLookUp!$B$4:$F$1000, 4, FALSE))</f>
        <v>Person - Ahmad Syaifulloh</v>
      </c>
      <c r="I68" s="27">
        <f t="shared" si="3"/>
        <v>198000000000065</v>
      </c>
      <c r="J68" s="28" t="str">
        <f t="shared" si="1"/>
        <v>PERFORM "SchData-OLTP-Master"."Func_TblEntityBankAccount_SET"(varSystemLoginSession::bigint, null::bigint, null::varchar, null::timestamptz, null::timestamptz, null::varchar, varInstitutionBranchID::bigint, varBaseCurrencyID::bigint, 25000000000019::bigint, 167000000000065::bigint);</v>
      </c>
    </row>
    <row r="69" spans="2:10" x14ac:dyDescent="0.2">
      <c r="B69" s="5">
        <v>25000000000513</v>
      </c>
      <c r="C69" s="17" t="str">
        <f>IF(EXACT($B69, ""), "", IF(FLOOR(SEED!$B69/1000000000000, 1)=124, "Institution - "&amp;VLOOKUP(SEED!$B69, '[1]DataLookUp - InstitutionBranch'!$B$4:$C$1000, 2, FALSE), "Person - "&amp;VLOOKUP(SEED!$B69, [2]DataLookUp!$B$4:$D$1000, 2, FALSE)))</f>
        <v>Person - Ahmad Choerul</v>
      </c>
      <c r="D69" s="5">
        <v>167000000000066</v>
      </c>
      <c r="E69" s="10" t="str">
        <f ca="1">IF(EXACT($D69, ""), "", VLOOKUP($D69, [3]DataLookUp!$B$4:$F$1000, 2, FALSE))</f>
        <v>Bank Central Asia - 2670159496</v>
      </c>
      <c r="F69" s="11" t="str">
        <f ca="1">IF(EXACT($D69, ""), "", VLOOKUP($D69, [3]DataLookUp!$B$4:$F$1000, 3, FALSE))</f>
        <v>IDR</v>
      </c>
      <c r="G69" s="14" t="str">
        <f ca="1">IF(EXACT($D69, ""), "", VLOOKUP($D69, [3]DataLookUp!$B$4:$F$1000, 4, FALSE))</f>
        <v>Person - Ahmad Choerul</v>
      </c>
      <c r="I69" s="27">
        <f t="shared" si="3"/>
        <v>198000000000066</v>
      </c>
      <c r="J69" s="28" t="str">
        <f t="shared" ref="J69:J132" si="4">IF(EXACT(B69, ""), "", CONCATENATE("PERFORM ""SchData-OLTP-Master"".""Func_TblEntityBankAccount_SET""(varSystemLoginSession::bigint, null::bigint, null::varchar, null::timestamptz, null::timestamptz, null::varchar, varInstitutionBranchID::bigint, varBaseCurrencyID::bigint, ", IF(EXACT($B69, ""), "NULL", ""&amp;$B69&amp;""), "::bigint, ", IF(EXACT($D69, ""), "NULL", ""&amp;$D69&amp;""), "::bigint);"))</f>
        <v>PERFORM "SchData-OLTP-Master"."Func_TblEntityBankAccount_SET"(varSystemLoginSession::bigint, null::bigint, null::varchar, null::timestamptz, null::timestamptz, null::varchar, varInstitutionBranchID::bigint, varBaseCurrencyID::bigint, 25000000000513::bigint, 167000000000066::bigint);</v>
      </c>
    </row>
    <row r="70" spans="2:10" x14ac:dyDescent="0.2">
      <c r="B70" s="5">
        <v>25000000000023</v>
      </c>
      <c r="C70" s="17" t="str">
        <f>IF(EXACT($B70, ""), "", IF(FLOOR(SEED!$B70/1000000000000, 1)=124, "Institution - "&amp;VLOOKUP(SEED!$B70, '[1]DataLookUp - InstitutionBranch'!$B$4:$C$1000, 2, FALSE), "Person - "&amp;VLOOKUP(SEED!$B70, [2]DataLookUp!$B$4:$D$1000, 2, FALSE)))</f>
        <v>Person - Aldi Mulyadi</v>
      </c>
      <c r="D70" s="5">
        <v>167000000000067</v>
      </c>
      <c r="E70" s="10" t="str">
        <f ca="1">IF(EXACT($D70, ""), "", VLOOKUP($D70, [3]DataLookUp!$B$4:$F$1000, 2, FALSE))</f>
        <v>Bank Central Asia - 5520607058</v>
      </c>
      <c r="F70" s="11" t="str">
        <f ca="1">IF(EXACT($D70, ""), "", VLOOKUP($D70, [3]DataLookUp!$B$4:$F$1000, 3, FALSE))</f>
        <v>IDR</v>
      </c>
      <c r="G70" s="14" t="str">
        <f ca="1">IF(EXACT($D70, ""), "", VLOOKUP($D70, [3]DataLookUp!$B$4:$F$1000, 4, FALSE))</f>
        <v>Person - Aldi Mulyadi</v>
      </c>
      <c r="I70" s="27">
        <f t="shared" si="3"/>
        <v>198000000000067</v>
      </c>
      <c r="J70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25000000000023::bigint, 167000000000067::bigint);</v>
      </c>
    </row>
    <row r="71" spans="2:10" x14ac:dyDescent="0.2">
      <c r="B71" s="5">
        <v>25000000000039</v>
      </c>
      <c r="C71" s="17" t="str">
        <f>IF(EXACT($B71, ""), "", IF(FLOOR(SEED!$B71/1000000000000, 1)=124, "Institution - "&amp;VLOOKUP(SEED!$B71, '[1]DataLookUp - InstitutionBranch'!$B$4:$C$1000, 2, FALSE), "Person - "&amp;VLOOKUP(SEED!$B71, [2]DataLookUp!$B$4:$D$1000, 2, FALSE)))</f>
        <v>Person - Annisa Dewi Arumsari</v>
      </c>
      <c r="D71" s="5">
        <v>167000000000068</v>
      </c>
      <c r="E71" s="10" t="str">
        <f ca="1">IF(EXACT($D71, ""), "", VLOOKUP($D71, [3]DataLookUp!$B$4:$F$1000, 2, FALSE))</f>
        <v>Bank Central Asia - 5520537742</v>
      </c>
      <c r="F71" s="11" t="str">
        <f ca="1">IF(EXACT($D71, ""), "", VLOOKUP($D71, [3]DataLookUp!$B$4:$F$1000, 3, FALSE))</f>
        <v>IDR</v>
      </c>
      <c r="G71" s="14" t="str">
        <f ca="1">IF(EXACT($D71, ""), "", VLOOKUP($D71, [3]DataLookUp!$B$4:$F$1000, 4, FALSE))</f>
        <v>Person - Annisa Dewi Arumsari</v>
      </c>
      <c r="I71" s="27">
        <f t="shared" si="3"/>
        <v>198000000000068</v>
      </c>
      <c r="J71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25000000000039::bigint, 167000000000068::bigint);</v>
      </c>
    </row>
    <row r="72" spans="2:10" x14ac:dyDescent="0.2">
      <c r="B72" s="5">
        <v>25000000000044</v>
      </c>
      <c r="C72" s="17" t="str">
        <f>IF(EXACT($B72, ""), "", IF(FLOOR(SEED!$B72/1000000000000, 1)=124, "Institution - "&amp;VLOOKUP(SEED!$B72, '[1]DataLookUp - InstitutionBranch'!$B$4:$C$1000, 2, FALSE), "Person - "&amp;VLOOKUP(SEED!$B72, [2]DataLookUp!$B$4:$D$1000, 2, FALSE)))</f>
        <v>Person - Anugerah Januariansyah</v>
      </c>
      <c r="D72" s="5">
        <v>167000000000069</v>
      </c>
      <c r="E72" s="10" t="str">
        <f ca="1">IF(EXACT($D72, ""), "", VLOOKUP($D72, [3]DataLookUp!$B$4:$F$1000, 2, FALSE))</f>
        <v>Bank Central Asia - 4565061969</v>
      </c>
      <c r="F72" s="11" t="str">
        <f ca="1">IF(EXACT($D72, ""), "", VLOOKUP($D72, [3]DataLookUp!$B$4:$F$1000, 3, FALSE))</f>
        <v>IDR</v>
      </c>
      <c r="G72" s="14" t="str">
        <f ca="1">IF(EXACT($D72, ""), "", VLOOKUP($D72, [3]DataLookUp!$B$4:$F$1000, 4, FALSE))</f>
        <v>Person - Anugerah Januariansyah</v>
      </c>
      <c r="I72" s="27">
        <f t="shared" si="3"/>
        <v>198000000000069</v>
      </c>
      <c r="J72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25000000000044::bigint, 167000000000069::bigint);</v>
      </c>
    </row>
    <row r="73" spans="2:10" x14ac:dyDescent="0.2">
      <c r="B73" s="5">
        <v>25000000000075</v>
      </c>
      <c r="C73" s="17" t="str">
        <f>IF(EXACT($B73, ""), "", IF(FLOOR(SEED!$B73/1000000000000, 1)=124, "Institution - "&amp;VLOOKUP(SEED!$B73, '[1]DataLookUp - InstitutionBranch'!$B$4:$C$1000, 2, FALSE), "Person - "&amp;VLOOKUP(SEED!$B73, [2]DataLookUp!$B$4:$D$1000, 2, FALSE)))</f>
        <v>Person - Belina Lindarwani</v>
      </c>
      <c r="D73" s="5">
        <v>167000000000070</v>
      </c>
      <c r="E73" s="10" t="str">
        <f ca="1">IF(EXACT($D73, ""), "", VLOOKUP($D73, [3]DataLookUp!$B$4:$F$1000, 2, FALSE))</f>
        <v>Bank Central Asia - 5520579321</v>
      </c>
      <c r="F73" s="11" t="str">
        <f ca="1">IF(EXACT($D73, ""), "", VLOOKUP($D73, [3]DataLookUp!$B$4:$F$1000, 3, FALSE))</f>
        <v>IDR</v>
      </c>
      <c r="G73" s="14" t="str">
        <f ca="1">IF(EXACT($D73, ""), "", VLOOKUP($D73, [3]DataLookUp!$B$4:$F$1000, 4, FALSE))</f>
        <v>Person - Belina Lindarwani</v>
      </c>
      <c r="I73" s="27">
        <f t="shared" si="3"/>
        <v>198000000000070</v>
      </c>
      <c r="J73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25000000000075::bigint, 167000000000070::bigint);</v>
      </c>
    </row>
    <row r="74" spans="2:10" x14ac:dyDescent="0.2">
      <c r="B74" s="5">
        <v>25000000000082</v>
      </c>
      <c r="C74" s="17" t="str">
        <f>IF(EXACT($B74, ""), "", IF(FLOOR(SEED!$B74/1000000000000, 1)=124, "Institution - "&amp;VLOOKUP(SEED!$B74, '[1]DataLookUp - InstitutionBranch'!$B$4:$C$1000, 2, FALSE), "Person - "&amp;VLOOKUP(SEED!$B74, [2]DataLookUp!$B$4:$D$1000, 2, FALSE)))</f>
        <v>Person - Budianto</v>
      </c>
      <c r="D74" s="5">
        <v>167000000000071</v>
      </c>
      <c r="E74" s="10" t="str">
        <f ca="1">IF(EXACT($D74, ""), "", VLOOKUP($D74, [3]DataLookUp!$B$4:$F$1000, 2, FALSE))</f>
        <v>Bank Central Asia - 1280247568</v>
      </c>
      <c r="F74" s="11" t="str">
        <f ca="1">IF(EXACT($D74, ""), "", VLOOKUP($D74, [3]DataLookUp!$B$4:$F$1000, 3, FALSE))</f>
        <v>IDR</v>
      </c>
      <c r="G74" s="14" t="str">
        <f ca="1">IF(EXACT($D74, ""), "", VLOOKUP($D74, [3]DataLookUp!$B$4:$F$1000, 4, FALSE))</f>
        <v>Person - Budianto</v>
      </c>
      <c r="I74" s="27">
        <f t="shared" si="3"/>
        <v>198000000000071</v>
      </c>
      <c r="J74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25000000000082::bigint, 167000000000071::bigint);</v>
      </c>
    </row>
    <row r="75" spans="2:10" x14ac:dyDescent="0.2">
      <c r="B75" s="5">
        <v>25000000000092</v>
      </c>
      <c r="C75" s="17" t="str">
        <f>IF(EXACT($B75, ""), "", IF(FLOOR(SEED!$B75/1000000000000, 1)=124, "Institution - "&amp;VLOOKUP(SEED!$B75, '[1]DataLookUp - InstitutionBranch'!$B$4:$C$1000, 2, FALSE), "Person - "&amp;VLOOKUP(SEED!$B75, [2]DataLookUp!$B$4:$D$1000, 2, FALSE)))</f>
        <v>Person - Darsito</v>
      </c>
      <c r="D75" s="5">
        <v>167000000000072</v>
      </c>
      <c r="E75" s="10" t="str">
        <f ca="1">IF(EXACT($D75, ""), "", VLOOKUP($D75, [3]DataLookUp!$B$4:$F$1000, 2, FALSE))</f>
        <v>Bank Central Asia - 2211206120</v>
      </c>
      <c r="F75" s="11" t="str">
        <f ca="1">IF(EXACT($D75, ""), "", VLOOKUP($D75, [3]DataLookUp!$B$4:$F$1000, 3, FALSE))</f>
        <v>IDR</v>
      </c>
      <c r="G75" s="14" t="str">
        <f ca="1">IF(EXACT($D75, ""), "", VLOOKUP($D75, [3]DataLookUp!$B$4:$F$1000, 4, FALSE))</f>
        <v>Person - Darsito</v>
      </c>
      <c r="I75" s="27">
        <f t="shared" si="3"/>
        <v>198000000000072</v>
      </c>
      <c r="J75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25000000000092::bigint, 167000000000072::bigint);</v>
      </c>
    </row>
    <row r="76" spans="2:10" x14ac:dyDescent="0.2">
      <c r="B76" s="5">
        <v>25000000000094</v>
      </c>
      <c r="C76" s="17" t="str">
        <f>IF(EXACT($B76, ""), "", IF(FLOOR(SEED!$B76/1000000000000, 1)=124, "Institution - "&amp;VLOOKUP(SEED!$B76, '[1]DataLookUp - InstitutionBranch'!$B$4:$C$1000, 2, FALSE), "Person - "&amp;VLOOKUP(SEED!$B76, [2]DataLookUp!$B$4:$D$1000, 2, FALSE)))</f>
        <v>Person - Deddy Rochman</v>
      </c>
      <c r="D76" s="5">
        <v>167000000000073</v>
      </c>
      <c r="E76" s="10" t="str">
        <f ca="1">IF(EXACT($D76, ""), "", VLOOKUP($D76, [3]DataLookUp!$B$4:$F$1000, 2, FALSE))</f>
        <v>Bank Central Asia - 2839669733</v>
      </c>
      <c r="F76" s="11" t="str">
        <f ca="1">IF(EXACT($D76, ""), "", VLOOKUP($D76, [3]DataLookUp!$B$4:$F$1000, 3, FALSE))</f>
        <v>IDR</v>
      </c>
      <c r="G76" s="14" t="str">
        <f ca="1">IF(EXACT($D76, ""), "", VLOOKUP($D76, [3]DataLookUp!$B$4:$F$1000, 4, FALSE))</f>
        <v>Person - Deddy Rochman</v>
      </c>
      <c r="I76" s="27">
        <f t="shared" si="3"/>
        <v>198000000000073</v>
      </c>
      <c r="J76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25000000000094::bigint, 167000000000073::bigint);</v>
      </c>
    </row>
    <row r="77" spans="2:10" x14ac:dyDescent="0.2">
      <c r="B77" s="5">
        <v>25000000000106</v>
      </c>
      <c r="C77" s="17" t="str">
        <f>IF(EXACT($B77, ""), "", IF(FLOOR(SEED!$B77/1000000000000, 1)=124, "Institution - "&amp;VLOOKUP(SEED!$B77, '[1]DataLookUp - InstitutionBranch'!$B$4:$C$1000, 2, FALSE), "Person - "&amp;VLOOKUP(SEED!$B77, [2]DataLookUp!$B$4:$D$1000, 2, FALSE)))</f>
        <v>Person - Dionesius Sostenist Duka</v>
      </c>
      <c r="D77" s="5">
        <v>167000000000074</v>
      </c>
      <c r="E77" s="10" t="str">
        <f ca="1">IF(EXACT($D77, ""), "", VLOOKUP($D77, [3]DataLookUp!$B$4:$F$1000, 2, FALSE))</f>
        <v>Bank Central Asia - 2731371123</v>
      </c>
      <c r="F77" s="11" t="str">
        <f ca="1">IF(EXACT($D77, ""), "", VLOOKUP($D77, [3]DataLookUp!$B$4:$F$1000, 3, FALSE))</f>
        <v>IDR</v>
      </c>
      <c r="G77" s="14" t="str">
        <f ca="1">IF(EXACT($D77, ""), "", VLOOKUP($D77, [3]DataLookUp!$B$4:$F$1000, 4, FALSE))</f>
        <v>Person - Dionesius Sostenist Duka</v>
      </c>
      <c r="I77" s="27">
        <f t="shared" si="3"/>
        <v>198000000000074</v>
      </c>
      <c r="J77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25000000000106::bigint, 167000000000074::bigint);</v>
      </c>
    </row>
    <row r="78" spans="2:10" x14ac:dyDescent="0.2">
      <c r="B78" s="5">
        <v>25000000000116</v>
      </c>
      <c r="C78" s="17" t="str">
        <f>IF(EXACT($B78, ""), "", IF(FLOOR(SEED!$B78/1000000000000, 1)=124, "Institution - "&amp;VLOOKUP(SEED!$B78, '[1]DataLookUp - InstitutionBranch'!$B$4:$C$1000, 2, FALSE), "Person - "&amp;VLOOKUP(SEED!$B78, [2]DataLookUp!$B$4:$D$1000, 2, FALSE)))</f>
        <v>Person - Edi Waluyo</v>
      </c>
      <c r="D78" s="5">
        <v>167000000000075</v>
      </c>
      <c r="E78" s="10" t="str">
        <f ca="1">IF(EXACT($D78, ""), "", VLOOKUP($D78, [3]DataLookUp!$B$4:$F$1000, 2, FALSE))</f>
        <v>Bank Central Asia - 0060185646</v>
      </c>
      <c r="F78" s="11" t="str">
        <f ca="1">IF(EXACT($D78, ""), "", VLOOKUP($D78, [3]DataLookUp!$B$4:$F$1000, 3, FALSE))</f>
        <v>IDR</v>
      </c>
      <c r="G78" s="14" t="str">
        <f ca="1">IF(EXACT($D78, ""), "", VLOOKUP($D78, [3]DataLookUp!$B$4:$F$1000, 4, FALSE))</f>
        <v>Person - Edi Waluyo</v>
      </c>
      <c r="I78" s="27">
        <f t="shared" si="3"/>
        <v>198000000000075</v>
      </c>
      <c r="J78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25000000000116::bigint, 167000000000075::bigint);</v>
      </c>
    </row>
    <row r="79" spans="2:10" x14ac:dyDescent="0.2">
      <c r="B79" s="5">
        <v>25000000000123</v>
      </c>
      <c r="C79" s="17" t="str">
        <f>IF(EXACT($B79, ""), "", IF(FLOOR(SEED!$B79/1000000000000, 1)=124, "Institution - "&amp;VLOOKUP(SEED!$B79, '[1]DataLookUp - InstitutionBranch'!$B$4:$C$1000, 2, FALSE), "Person - "&amp;VLOOKUP(SEED!$B79, [2]DataLookUp!$B$4:$D$1000, 2, FALSE)))</f>
        <v>Person - Eka Bagus Dwi Putra</v>
      </c>
      <c r="D79" s="5">
        <v>167000000000076</v>
      </c>
      <c r="E79" s="10" t="str">
        <f ca="1">IF(EXACT($D79, ""), "", VLOOKUP($D79, [3]DataLookUp!$B$4:$F$1000, 2, FALSE))</f>
        <v>Bank Central Asia - 5211078091</v>
      </c>
      <c r="F79" s="11" t="str">
        <f ca="1">IF(EXACT($D79, ""), "", VLOOKUP($D79, [3]DataLookUp!$B$4:$F$1000, 3, FALSE))</f>
        <v>IDR</v>
      </c>
      <c r="G79" s="14" t="str">
        <f ca="1">IF(EXACT($D79, ""), "", VLOOKUP($D79, [3]DataLookUp!$B$4:$F$1000, 4, FALSE))</f>
        <v>Person - Eka Bagus Dwi Putra</v>
      </c>
      <c r="I79" s="27">
        <f t="shared" si="3"/>
        <v>198000000000076</v>
      </c>
      <c r="J79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25000000000123::bigint, 167000000000076::bigint);</v>
      </c>
    </row>
    <row r="80" spans="2:10" x14ac:dyDescent="0.2">
      <c r="B80" s="5">
        <v>25000000000125</v>
      </c>
      <c r="C80" s="17" t="str">
        <f>IF(EXACT($B80, ""), "", IF(FLOOR(SEED!$B80/1000000000000, 1)=124, "Institution - "&amp;VLOOKUP(SEED!$B80, '[1]DataLookUp - InstitutionBranch'!$B$4:$C$1000, 2, FALSE), "Person - "&amp;VLOOKUP(SEED!$B80, [2]DataLookUp!$B$4:$D$1000, 2, FALSE)))</f>
        <v>Person - Eka Purwanti</v>
      </c>
      <c r="D80" s="5">
        <v>167000000000077</v>
      </c>
      <c r="E80" s="10" t="str">
        <f ca="1">IF(EXACT($D80, ""), "", VLOOKUP($D80, [3]DataLookUp!$B$4:$F$1000, 2, FALSE))</f>
        <v>Bank Central Asia - 5855178874</v>
      </c>
      <c r="F80" s="11" t="str">
        <f ca="1">IF(EXACT($D80, ""), "", VLOOKUP($D80, [3]DataLookUp!$B$4:$F$1000, 3, FALSE))</f>
        <v>IDR</v>
      </c>
      <c r="G80" s="14" t="str">
        <f ca="1">IF(EXACT($D80, ""), "", VLOOKUP($D80, [3]DataLookUp!$B$4:$F$1000, 4, FALSE))</f>
        <v>Person - Eka Purwanti</v>
      </c>
      <c r="I80" s="27">
        <f t="shared" si="3"/>
        <v>198000000000077</v>
      </c>
      <c r="J80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25000000000125::bigint, 167000000000077::bigint);</v>
      </c>
    </row>
    <row r="81" spans="2:10" x14ac:dyDescent="0.2">
      <c r="B81" s="5">
        <v>25000000000138</v>
      </c>
      <c r="C81" s="17" t="str">
        <f>IF(EXACT($B81, ""), "", IF(FLOOR(SEED!$B81/1000000000000, 1)=124, "Institution - "&amp;VLOOKUP(SEED!$B81, '[1]DataLookUp - InstitutionBranch'!$B$4:$C$1000, 2, FALSE), "Person - "&amp;VLOOKUP(SEED!$B81, [2]DataLookUp!$B$4:$D$1000, 2, FALSE)))</f>
        <v>Person - Endang Sutrisna</v>
      </c>
      <c r="D81" s="5">
        <v>167000000000078</v>
      </c>
      <c r="E81" s="10" t="str">
        <f ca="1">IF(EXACT($D81, ""), "", VLOOKUP($D81, [3]DataLookUp!$B$4:$F$1000, 2, FALSE))</f>
        <v>Bank Central Asia - 5750226541</v>
      </c>
      <c r="F81" s="11" t="str">
        <f ca="1">IF(EXACT($D81, ""), "", VLOOKUP($D81, [3]DataLookUp!$B$4:$F$1000, 3, FALSE))</f>
        <v>IDR</v>
      </c>
      <c r="G81" s="14" t="str">
        <f ca="1">IF(EXACT($D81, ""), "", VLOOKUP($D81, [3]DataLookUp!$B$4:$F$1000, 4, FALSE))</f>
        <v>Person - Endang Sutrisna</v>
      </c>
      <c r="I81" s="27">
        <f t="shared" si="3"/>
        <v>198000000000078</v>
      </c>
      <c r="J81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25000000000138::bigint, 167000000000078::bigint);</v>
      </c>
    </row>
    <row r="82" spans="2:10" x14ac:dyDescent="0.2">
      <c r="B82" s="5">
        <v>25000000000522</v>
      </c>
      <c r="C82" s="17" t="str">
        <f>IF(EXACT($B82, ""), "", IF(FLOOR(SEED!$B82/1000000000000, 1)=124, "Institution - "&amp;VLOOKUP(SEED!$B82, '[1]DataLookUp - InstitutionBranch'!$B$4:$C$1000, 2, FALSE), "Person - "&amp;VLOOKUP(SEED!$B82, [2]DataLookUp!$B$4:$D$1000, 2, FALSE)))</f>
        <v>Person - Ferdian Kriswantoro</v>
      </c>
      <c r="D82" s="5">
        <v>167000000000079</v>
      </c>
      <c r="E82" s="10" t="str">
        <f ca="1">IF(EXACT($D82, ""), "", VLOOKUP($D82, [3]DataLookUp!$B$4:$F$1000, 2, FALSE))</f>
        <v>Bank Central Asia - 8760378217</v>
      </c>
      <c r="F82" s="11" t="str">
        <f ca="1">IF(EXACT($D82, ""), "", VLOOKUP($D82, [3]DataLookUp!$B$4:$F$1000, 3, FALSE))</f>
        <v>IDR</v>
      </c>
      <c r="G82" s="14" t="str">
        <f ca="1">IF(EXACT($D82, ""), "", VLOOKUP($D82, [3]DataLookUp!$B$4:$F$1000, 4, FALSE))</f>
        <v>Person - Ferdian Kriswantoro</v>
      </c>
      <c r="I82" s="27">
        <f t="shared" si="3"/>
        <v>198000000000079</v>
      </c>
      <c r="J82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25000000000522::bigint, 167000000000079::bigint);</v>
      </c>
    </row>
    <row r="83" spans="2:10" x14ac:dyDescent="0.2">
      <c r="B83" s="5">
        <v>25000000000159</v>
      </c>
      <c r="C83" s="17" t="str">
        <f>IF(EXACT($B83, ""), "", IF(FLOOR(SEED!$B83/1000000000000, 1)=124, "Institution - "&amp;VLOOKUP(SEED!$B83, '[1]DataLookUp - InstitutionBranch'!$B$4:$C$1000, 2, FALSE), "Person - "&amp;VLOOKUP(SEED!$B83, [2]DataLookUp!$B$4:$D$1000, 2, FALSE)))</f>
        <v>Person - Frando Judi Siahaan</v>
      </c>
      <c r="D83" s="5">
        <v>167000000000080</v>
      </c>
      <c r="E83" s="10" t="str">
        <f ca="1">IF(EXACT($D83, ""), "", VLOOKUP($D83, [3]DataLookUp!$B$4:$F$1000, 2, FALSE))</f>
        <v>Bank Central Asia - 8200472447</v>
      </c>
      <c r="F83" s="11" t="str">
        <f ca="1">IF(EXACT($D83, ""), "", VLOOKUP($D83, [3]DataLookUp!$B$4:$F$1000, 3, FALSE))</f>
        <v>IDR</v>
      </c>
      <c r="G83" s="14" t="str">
        <f ca="1">IF(EXACT($D83, ""), "", VLOOKUP($D83, [3]DataLookUp!$B$4:$F$1000, 4, FALSE))</f>
        <v>Person - Frando Judi Siahaan</v>
      </c>
      <c r="I83" s="27">
        <f t="shared" si="3"/>
        <v>198000000000080</v>
      </c>
      <c r="J83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25000000000159::bigint, 167000000000080::bigint);</v>
      </c>
    </row>
    <row r="84" spans="2:10" x14ac:dyDescent="0.2">
      <c r="B84" s="5">
        <v>25000000000168</v>
      </c>
      <c r="C84" s="17" t="str">
        <f>IF(EXACT($B84, ""), "", IF(FLOOR(SEED!$B84/1000000000000, 1)=124, "Institution - "&amp;VLOOKUP(SEED!$B84, '[1]DataLookUp - InstitutionBranch'!$B$4:$C$1000, 2, FALSE), "Person - "&amp;VLOOKUP(SEED!$B84, [2]DataLookUp!$B$4:$D$1000, 2, FALSE)))</f>
        <v>Person - Gunawan</v>
      </c>
      <c r="D84" s="5">
        <v>167000000000081</v>
      </c>
      <c r="E84" s="10" t="str">
        <f ca="1">IF(EXACT($D84, ""), "", VLOOKUP($D84, [3]DataLookUp!$B$4:$F$1000, 2, FALSE))</f>
        <v>Bank Central Asia - 1281467889</v>
      </c>
      <c r="F84" s="11" t="str">
        <f ca="1">IF(EXACT($D84, ""), "", VLOOKUP($D84, [3]DataLookUp!$B$4:$F$1000, 3, FALSE))</f>
        <v>IDR</v>
      </c>
      <c r="G84" s="14" t="str">
        <f ca="1">IF(EXACT($D84, ""), "", VLOOKUP($D84, [3]DataLookUp!$B$4:$F$1000, 4, FALSE))</f>
        <v>Person - Gunawan</v>
      </c>
      <c r="I84" s="27">
        <f t="shared" ref="I84:I147" si="5" xml:space="preserve"> I83 + IF(EXACT(J84, ""), 0, 1)</f>
        <v>198000000000081</v>
      </c>
      <c r="J84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25000000000168::bigint, 167000000000081::bigint);</v>
      </c>
    </row>
    <row r="85" spans="2:10" x14ac:dyDescent="0.2">
      <c r="B85" s="5">
        <v>25000000000434</v>
      </c>
      <c r="C85" s="17" t="str">
        <f>IF(EXACT($B85, ""), "", IF(FLOOR(SEED!$B85/1000000000000, 1)=124, "Institution - "&amp;VLOOKUP(SEED!$B85, '[1]DataLookUp - InstitutionBranch'!$B$4:$C$1000, 2, FALSE), "Person - "&amp;VLOOKUP(SEED!$B85, [2]DataLookUp!$B$4:$D$1000, 2, FALSE)))</f>
        <v>Person - Tajuddin Assubki Ismail</v>
      </c>
      <c r="D85" s="5">
        <v>167000000000082</v>
      </c>
      <c r="E85" s="10" t="str">
        <f ca="1">IF(EXACT($D85, ""), "", VLOOKUP($D85, [3]DataLookUp!$B$4:$F$1000, 2, FALSE))</f>
        <v>Bank Central Asia - 3191643869</v>
      </c>
      <c r="F85" s="11" t="str">
        <f ca="1">IF(EXACT($D85, ""), "", VLOOKUP($D85, [3]DataLookUp!$B$4:$F$1000, 3, FALSE))</f>
        <v>IDR</v>
      </c>
      <c r="G85" s="14" t="str">
        <f ca="1">IF(EXACT($D85, ""), "", VLOOKUP($D85, [3]DataLookUp!$B$4:$F$1000, 4, FALSE))</f>
        <v>Person - Tajuddin Assubki Ismail</v>
      </c>
      <c r="I85" s="27">
        <f t="shared" si="5"/>
        <v>198000000000082</v>
      </c>
      <c r="J85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25000000000434::bigint, 167000000000082::bigint);</v>
      </c>
    </row>
    <row r="86" spans="2:10" x14ac:dyDescent="0.2">
      <c r="B86" s="5">
        <v>25000000000196</v>
      </c>
      <c r="C86" s="17" t="str">
        <f>IF(EXACT($B86, ""), "", IF(FLOOR(SEED!$B86/1000000000000, 1)=124, "Institution - "&amp;VLOOKUP(SEED!$B86, '[1]DataLookUp - InstitutionBranch'!$B$4:$C$1000, 2, FALSE), "Person - "&amp;VLOOKUP(SEED!$B86, [2]DataLookUp!$B$4:$D$1000, 2, FALSE)))</f>
        <v>Person - Icha Mailinda Syamsoedin</v>
      </c>
      <c r="D86" s="5">
        <v>167000000000083</v>
      </c>
      <c r="E86" s="10" t="str">
        <f ca="1">IF(EXACT($D86, ""), "", VLOOKUP($D86, [3]DataLookUp!$B$4:$F$1000, 2, FALSE))</f>
        <v>Bank Central Asia - 5520226500</v>
      </c>
      <c r="F86" s="11" t="str">
        <f ca="1">IF(EXACT($D86, ""), "", VLOOKUP($D86, [3]DataLookUp!$B$4:$F$1000, 3, FALSE))</f>
        <v>IDR</v>
      </c>
      <c r="G86" s="14" t="str">
        <f ca="1">IF(EXACT($D86, ""), "", VLOOKUP($D86, [3]DataLookUp!$B$4:$F$1000, 4, FALSE))</f>
        <v>Person - Icha Mailinda Syamsoedin</v>
      </c>
      <c r="I86" s="27">
        <f t="shared" si="5"/>
        <v>198000000000083</v>
      </c>
      <c r="J86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25000000000196::bigint, 167000000000083::bigint);</v>
      </c>
    </row>
    <row r="87" spans="2:10" x14ac:dyDescent="0.2">
      <c r="B87" s="5">
        <v>25000000000204</v>
      </c>
      <c r="C87" s="17" t="str">
        <f>IF(EXACT($B87, ""), "", IF(FLOOR(SEED!$B87/1000000000000, 1)=124, "Institution - "&amp;VLOOKUP(SEED!$B87, '[1]DataLookUp - InstitutionBranch'!$B$4:$C$1000, 2, FALSE), "Person - "&amp;VLOOKUP(SEED!$B87, [2]DataLookUp!$B$4:$D$1000, 2, FALSE)))</f>
        <v>Person - Ilham Akbar</v>
      </c>
      <c r="D87" s="5">
        <v>167000000000084</v>
      </c>
      <c r="E87" s="10" t="str">
        <f ca="1">IF(EXACT($D87, ""), "", VLOOKUP($D87, [3]DataLookUp!$B$4:$F$1000, 2, FALSE))</f>
        <v>Bank Central Asia - 5520464753</v>
      </c>
      <c r="F87" s="11" t="str">
        <f ca="1">IF(EXACT($D87, ""), "", VLOOKUP($D87, [3]DataLookUp!$B$4:$F$1000, 3, FALSE))</f>
        <v>IDR</v>
      </c>
      <c r="G87" s="14" t="str">
        <f ca="1">IF(EXACT($D87, ""), "", VLOOKUP($D87, [3]DataLookUp!$B$4:$F$1000, 4, FALSE))</f>
        <v>Person - Ilham Akbar</v>
      </c>
      <c r="I87" s="27">
        <f t="shared" si="5"/>
        <v>198000000000084</v>
      </c>
      <c r="J87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25000000000204::bigint, 167000000000084::bigint);</v>
      </c>
    </row>
    <row r="88" spans="2:10" x14ac:dyDescent="0.2">
      <c r="B88" s="5">
        <v>25000000000527</v>
      </c>
      <c r="C88" s="17" t="str">
        <f>IF(EXACT($B88, ""), "", IF(FLOOR(SEED!$B88/1000000000000, 1)=124, "Institution - "&amp;VLOOKUP(SEED!$B88, '[1]DataLookUp - InstitutionBranch'!$B$4:$C$1000, 2, FALSE), "Person - "&amp;VLOOKUP(SEED!$B88, [2]DataLookUp!$B$4:$D$1000, 2, FALSE)))</f>
        <v>Person - Irma Maulidawati</v>
      </c>
      <c r="D88" s="5">
        <v>167000000000085</v>
      </c>
      <c r="E88" s="10" t="str">
        <f ca="1">IF(EXACT($D88, ""), "", VLOOKUP($D88, [3]DataLookUp!$B$4:$F$1000, 2, FALSE))</f>
        <v>Bank Central Asia - 5520696425</v>
      </c>
      <c r="F88" s="11" t="str">
        <f ca="1">IF(EXACT($D88, ""), "", VLOOKUP($D88, [3]DataLookUp!$B$4:$F$1000, 3, FALSE))</f>
        <v>IDR</v>
      </c>
      <c r="G88" s="14" t="str">
        <f ca="1">IF(EXACT($D88, ""), "", VLOOKUP($D88, [3]DataLookUp!$B$4:$F$1000, 4, FALSE))</f>
        <v>Person - Irma Maulidawati</v>
      </c>
      <c r="I88" s="27">
        <f t="shared" si="5"/>
        <v>198000000000085</v>
      </c>
      <c r="J88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25000000000527::bigint, 167000000000085::bigint);</v>
      </c>
    </row>
    <row r="89" spans="2:10" x14ac:dyDescent="0.2">
      <c r="B89" s="5">
        <v>25000000000217</v>
      </c>
      <c r="C89" s="17" t="str">
        <f>IF(EXACT($B89, ""), "", IF(FLOOR(SEED!$B89/1000000000000, 1)=124, "Institution - "&amp;VLOOKUP(SEED!$B89, '[1]DataLookUp - InstitutionBranch'!$B$4:$C$1000, 2, FALSE), "Person - "&amp;VLOOKUP(SEED!$B89, [2]DataLookUp!$B$4:$D$1000, 2, FALSE)))</f>
        <v>Person - Isa Taufiq</v>
      </c>
      <c r="D89" s="5">
        <v>167000000000086</v>
      </c>
      <c r="E89" s="10" t="str">
        <f ca="1">IF(EXACT($D89, ""), "", VLOOKUP($D89, [3]DataLookUp!$B$4:$F$1000, 2, FALSE))</f>
        <v>Bank Central Asia - 7660328771</v>
      </c>
      <c r="F89" s="11" t="str">
        <f ca="1">IF(EXACT($D89, ""), "", VLOOKUP($D89, [3]DataLookUp!$B$4:$F$1000, 3, FALSE))</f>
        <v>IDR</v>
      </c>
      <c r="G89" s="14" t="str">
        <f ca="1">IF(EXACT($D89, ""), "", VLOOKUP($D89, [3]DataLookUp!$B$4:$F$1000, 4, FALSE))</f>
        <v>Person - Isa Taufiq</v>
      </c>
      <c r="I89" s="27">
        <f t="shared" si="5"/>
        <v>198000000000086</v>
      </c>
      <c r="J89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25000000000217::bigint, 167000000000086::bigint);</v>
      </c>
    </row>
    <row r="90" spans="2:10" x14ac:dyDescent="0.2">
      <c r="B90" s="5">
        <v>25000000000528</v>
      </c>
      <c r="C90" s="17" t="str">
        <f>IF(EXACT($B90, ""), "", IF(FLOOR(SEED!$B90/1000000000000, 1)=124, "Institution - "&amp;VLOOKUP(SEED!$B90, '[1]DataLookUp - InstitutionBranch'!$B$4:$C$1000, 2, FALSE), "Person - "&amp;VLOOKUP(SEED!$B90, [2]DataLookUp!$B$4:$D$1000, 2, FALSE)))</f>
        <v>Person - Istikaro Fauziah</v>
      </c>
      <c r="D90" s="5">
        <v>167000000000087</v>
      </c>
      <c r="E90" s="10" t="str">
        <f ca="1">IF(EXACT($D90, ""), "", VLOOKUP($D90, [3]DataLookUp!$B$4:$F$1000, 2, FALSE))</f>
        <v>Bank Central Asia - 4980153300</v>
      </c>
      <c r="F90" s="11" t="str">
        <f ca="1">IF(EXACT($D90, ""), "", VLOOKUP($D90, [3]DataLookUp!$B$4:$F$1000, 3, FALSE))</f>
        <v>IDR</v>
      </c>
      <c r="G90" s="14" t="str">
        <f ca="1">IF(EXACT($D90, ""), "", VLOOKUP($D90, [3]DataLookUp!$B$4:$F$1000, 4, FALSE))</f>
        <v>Person - Istikaro Fauziah</v>
      </c>
      <c r="I90" s="27">
        <f t="shared" si="5"/>
        <v>198000000000087</v>
      </c>
      <c r="J90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25000000000528::bigint, 167000000000087::bigint);</v>
      </c>
    </row>
    <row r="91" spans="2:10" x14ac:dyDescent="0.2">
      <c r="B91" s="5">
        <v>25000000000232</v>
      </c>
      <c r="C91" s="17" t="str">
        <f>IF(EXACT($B91, ""), "", IF(FLOOR(SEED!$B91/1000000000000, 1)=124, "Institution - "&amp;VLOOKUP(SEED!$B91, '[1]DataLookUp - InstitutionBranch'!$B$4:$C$1000, 2, FALSE), "Person - "&amp;VLOOKUP(SEED!$B91, [2]DataLookUp!$B$4:$D$1000, 2, FALSE)))</f>
        <v>Person - Jimmywal</v>
      </c>
      <c r="D91" s="5">
        <v>167000000000088</v>
      </c>
      <c r="E91" s="10" t="str">
        <f ca="1">IF(EXACT($D91, ""), "", VLOOKUP($D91, [3]DataLookUp!$B$4:$F$1000, 2, FALSE))</f>
        <v>Bank Central Asia - 5520190068</v>
      </c>
      <c r="F91" s="11" t="str">
        <f ca="1">IF(EXACT($D91, ""), "", VLOOKUP($D91, [3]DataLookUp!$B$4:$F$1000, 3, FALSE))</f>
        <v>IDR</v>
      </c>
      <c r="G91" s="14" t="str">
        <f ca="1">IF(EXACT($D91, ""), "", VLOOKUP($D91, [3]DataLookUp!$B$4:$F$1000, 4, FALSE))</f>
        <v>Person - Jimmywal</v>
      </c>
      <c r="I91" s="27">
        <f t="shared" si="5"/>
        <v>198000000000088</v>
      </c>
      <c r="J91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25000000000232::bigint, 167000000000088::bigint);</v>
      </c>
    </row>
    <row r="92" spans="2:10" x14ac:dyDescent="0.2">
      <c r="B92" s="5">
        <v>25000000000253</v>
      </c>
      <c r="C92" s="17" t="str">
        <f>IF(EXACT($B92, ""), "", IF(FLOOR(SEED!$B92/1000000000000, 1)=124, "Institution - "&amp;VLOOKUP(SEED!$B92, '[1]DataLookUp - InstitutionBranch'!$B$4:$C$1000, 2, FALSE), "Person - "&amp;VLOOKUP(SEED!$B92, [2]DataLookUp!$B$4:$D$1000, 2, FALSE)))</f>
        <v>Person - Kornelius Sakan</v>
      </c>
      <c r="D92" s="5">
        <v>167000000000089</v>
      </c>
      <c r="E92" s="10" t="str">
        <f ca="1">IF(EXACT($D92, ""), "", VLOOKUP($D92, [3]DataLookUp!$B$4:$F$1000, 2, FALSE))</f>
        <v>Bank Central Asia - 0060238634</v>
      </c>
      <c r="F92" s="11" t="str">
        <f ca="1">IF(EXACT($D92, ""), "", VLOOKUP($D92, [3]DataLookUp!$B$4:$F$1000, 3, FALSE))</f>
        <v>IDR</v>
      </c>
      <c r="G92" s="14" t="str">
        <f ca="1">IF(EXACT($D92, ""), "", VLOOKUP($D92, [3]DataLookUp!$B$4:$F$1000, 4, FALSE))</f>
        <v>Person - Kornelius Sakan</v>
      </c>
      <c r="I92" s="27">
        <f t="shared" si="5"/>
        <v>198000000000089</v>
      </c>
      <c r="J92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25000000000253::bigint, 167000000000089::bigint);</v>
      </c>
    </row>
    <row r="93" spans="2:10" x14ac:dyDescent="0.2">
      <c r="B93" s="5">
        <v>25000000000157</v>
      </c>
      <c r="C93" s="17" t="str">
        <f>IF(EXACT($B93, ""), "", IF(FLOOR(SEED!$B93/1000000000000, 1)=124, "Institution - "&amp;VLOOKUP(SEED!$B93, '[1]DataLookUp - InstitutionBranch'!$B$4:$C$1000, 2, FALSE), "Person - "&amp;VLOOKUP(SEED!$B93, [2]DataLookUp!$B$4:$D$1000, 2, FALSE)))</f>
        <v>Person - Fitriastuti Kurnia</v>
      </c>
      <c r="D93" s="5">
        <v>167000000000090</v>
      </c>
      <c r="E93" s="10" t="str">
        <f ca="1">IF(EXACT($D93, ""), "", VLOOKUP($D93, [3]DataLookUp!$B$4:$F$1000, 2, FALSE))</f>
        <v>Bank Central Asia - 0060202915</v>
      </c>
      <c r="F93" s="11" t="str">
        <f ca="1">IF(EXACT($D93, ""), "", VLOOKUP($D93, [3]DataLookUp!$B$4:$F$1000, 3, FALSE))</f>
        <v>IDR</v>
      </c>
      <c r="G93" s="14" t="str">
        <f ca="1">IF(EXACT($D93, ""), "", VLOOKUP($D93, [3]DataLookUp!$B$4:$F$1000, 4, FALSE))</f>
        <v>Person - Fitriastuti Kurnia</v>
      </c>
      <c r="I93" s="27">
        <f t="shared" si="5"/>
        <v>198000000000090</v>
      </c>
      <c r="J93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25000000000157::bigint, 167000000000090::bigint);</v>
      </c>
    </row>
    <row r="94" spans="2:10" x14ac:dyDescent="0.2">
      <c r="B94" s="5">
        <v>25000000000262</v>
      </c>
      <c r="C94" s="17" t="str">
        <f>IF(EXACT($B94, ""), "", IF(FLOOR(SEED!$B94/1000000000000, 1)=124, "Institution - "&amp;VLOOKUP(SEED!$B94, '[1]DataLookUp - InstitutionBranch'!$B$4:$C$1000, 2, FALSE), "Person - "&amp;VLOOKUP(SEED!$B94, [2]DataLookUp!$B$4:$D$1000, 2, FALSE)))</f>
        <v>Person - Lisma Natalia</v>
      </c>
      <c r="D94" s="5">
        <v>167000000000091</v>
      </c>
      <c r="E94" s="10" t="str">
        <f ca="1">IF(EXACT($D94, ""), "", VLOOKUP($D94, [3]DataLookUp!$B$4:$F$1000, 2, FALSE))</f>
        <v>Bank Central Asia - 5520514947</v>
      </c>
      <c r="F94" s="11" t="str">
        <f ca="1">IF(EXACT($D94, ""), "", VLOOKUP($D94, [3]DataLookUp!$B$4:$F$1000, 3, FALSE))</f>
        <v>IDR</v>
      </c>
      <c r="G94" s="14" t="str">
        <f ca="1">IF(EXACT($D94, ""), "", VLOOKUP($D94, [3]DataLookUp!$B$4:$F$1000, 4, FALSE))</f>
        <v>Person - Lisma Natalia</v>
      </c>
      <c r="I94" s="27">
        <f t="shared" si="5"/>
        <v>198000000000091</v>
      </c>
      <c r="J94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25000000000262::bigint, 167000000000091::bigint);</v>
      </c>
    </row>
    <row r="95" spans="2:10" x14ac:dyDescent="0.2">
      <c r="B95" s="5">
        <v>25000000000155</v>
      </c>
      <c r="C95" s="17" t="str">
        <f>IF(EXACT($B95, ""), "", IF(FLOOR(SEED!$B95/1000000000000, 1)=124, "Institution - "&amp;VLOOKUP(SEED!$B95, '[1]DataLookUp - InstitutionBranch'!$B$4:$C$1000, 2, FALSE), "Person - "&amp;VLOOKUP(SEED!$B95, [2]DataLookUp!$B$4:$D$1000, 2, FALSE)))</f>
        <v>Person - M. Fikri Caesarandi Hasibuan</v>
      </c>
      <c r="D95" s="5">
        <v>167000000000092</v>
      </c>
      <c r="E95" s="10" t="str">
        <f ca="1">IF(EXACT($D95, ""), "", VLOOKUP($D95, [3]DataLookUp!$B$4:$F$1000, 2, FALSE))</f>
        <v>Bank Central Asia - 7865198493</v>
      </c>
      <c r="F95" s="11" t="str">
        <f ca="1">IF(EXACT($D95, ""), "", VLOOKUP($D95, [3]DataLookUp!$B$4:$F$1000, 3, FALSE))</f>
        <v>IDR</v>
      </c>
      <c r="G95" s="14" t="str">
        <f ca="1">IF(EXACT($D95, ""), "", VLOOKUP($D95, [3]DataLookUp!$B$4:$F$1000, 4, FALSE))</f>
        <v>Person - M. Fikri Caesarandi Hasibuan</v>
      </c>
      <c r="I95" s="27">
        <f t="shared" si="5"/>
        <v>198000000000092</v>
      </c>
      <c r="J95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25000000000155::bigint, 167000000000092::bigint);</v>
      </c>
    </row>
    <row r="96" spans="2:10" x14ac:dyDescent="0.2">
      <c r="B96" s="5">
        <v>25000000000276</v>
      </c>
      <c r="C96" s="17" t="str">
        <f>IF(EXACT($B96, ""), "", IF(FLOOR(SEED!$B96/1000000000000, 1)=124, "Institution - "&amp;VLOOKUP(SEED!$B96, '[1]DataLookUp - InstitutionBranch'!$B$4:$C$1000, 2, FALSE), "Person - "&amp;VLOOKUP(SEED!$B96, [2]DataLookUp!$B$4:$D$1000, 2, FALSE)))</f>
        <v>Person - Marten Tabun</v>
      </c>
      <c r="D96" s="5">
        <v>167000000000093</v>
      </c>
      <c r="E96" s="10" t="str">
        <f ca="1">IF(EXACT($D96, ""), "", VLOOKUP($D96, [3]DataLookUp!$B$4:$F$1000, 2, FALSE))</f>
        <v>Bank Central Asia - 5750336223</v>
      </c>
      <c r="F96" s="11" t="str">
        <f ca="1">IF(EXACT($D96, ""), "", VLOOKUP($D96, [3]DataLookUp!$B$4:$F$1000, 3, FALSE))</f>
        <v>IDR</v>
      </c>
      <c r="G96" s="14" t="str">
        <f ca="1">IF(EXACT($D96, ""), "", VLOOKUP($D96, [3]DataLookUp!$B$4:$F$1000, 4, FALSE))</f>
        <v>Person - Marten Tabun</v>
      </c>
      <c r="I96" s="27">
        <f t="shared" si="5"/>
        <v>198000000000093</v>
      </c>
      <c r="J96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25000000000276::bigint, 167000000000093::bigint);</v>
      </c>
    </row>
    <row r="97" spans="2:10" x14ac:dyDescent="0.2">
      <c r="B97" s="5">
        <v>25000000000553</v>
      </c>
      <c r="C97" s="17" t="str">
        <f>IF(EXACT($B97, ""), "", IF(FLOOR(SEED!$B97/1000000000000, 1)=124, "Institution - "&amp;VLOOKUP(SEED!$B97, '[1]DataLookUp - InstitutionBranch'!$B$4:$C$1000, 2, FALSE), "Person - "&amp;VLOOKUP(SEED!$B97, [2]DataLookUp!$B$4:$D$1000, 2, FALSE)))</f>
        <v>Person - Masimin</v>
      </c>
      <c r="D97" s="5">
        <v>167000000000094</v>
      </c>
      <c r="E97" s="10" t="str">
        <f ca="1">IF(EXACT($D97, ""), "", VLOOKUP($D97, [3]DataLookUp!$B$4:$F$1000, 2, FALSE))</f>
        <v>Bank Central Asia - 0350189041</v>
      </c>
      <c r="F97" s="11" t="str">
        <f ca="1">IF(EXACT($D97, ""), "", VLOOKUP($D97, [3]DataLookUp!$B$4:$F$1000, 3, FALSE))</f>
        <v>IDR</v>
      </c>
      <c r="G97" s="14" t="str">
        <f ca="1">IF(EXACT($D97, ""), "", VLOOKUP($D97, [3]DataLookUp!$B$4:$F$1000, 4, FALSE))</f>
        <v>Person - Masimin</v>
      </c>
      <c r="I97" s="27">
        <f t="shared" si="5"/>
        <v>198000000000094</v>
      </c>
      <c r="J97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25000000000553::bigint, 167000000000094::bigint);</v>
      </c>
    </row>
    <row r="98" spans="2:10" x14ac:dyDescent="0.2">
      <c r="B98" s="5">
        <v>25000000000301</v>
      </c>
      <c r="C98" s="17" t="str">
        <f>IF(EXACT($B98, ""), "", IF(FLOOR(SEED!$B98/1000000000000, 1)=124, "Institution - "&amp;VLOOKUP(SEED!$B98, '[1]DataLookUp - InstitutionBranch'!$B$4:$C$1000, 2, FALSE), "Person - "&amp;VLOOKUP(SEED!$B98, [2]DataLookUp!$B$4:$D$1000, 2, FALSE)))</f>
        <v>Person - Mullan Tresna</v>
      </c>
      <c r="D98" s="5">
        <v>167000000000095</v>
      </c>
      <c r="E98" s="10" t="str">
        <f ca="1">IF(EXACT($D98, ""), "", VLOOKUP($D98, [3]DataLookUp!$B$4:$F$1000, 2, FALSE))</f>
        <v>Bank Central Asia - 7660282321</v>
      </c>
      <c r="F98" s="11" t="str">
        <f ca="1">IF(EXACT($D98, ""), "", VLOOKUP($D98, [3]DataLookUp!$B$4:$F$1000, 3, FALSE))</f>
        <v>IDR</v>
      </c>
      <c r="G98" s="14" t="str">
        <f ca="1">IF(EXACT($D98, ""), "", VLOOKUP($D98, [3]DataLookUp!$B$4:$F$1000, 4, FALSE))</f>
        <v>Person - Mullan Tresna</v>
      </c>
      <c r="I98" s="27">
        <f t="shared" si="5"/>
        <v>198000000000095</v>
      </c>
      <c r="J98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25000000000301::bigint, 167000000000095::bigint);</v>
      </c>
    </row>
    <row r="99" spans="2:10" x14ac:dyDescent="0.2">
      <c r="B99" s="5">
        <v>25000000000307</v>
      </c>
      <c r="C99" s="17" t="str">
        <f>IF(EXACT($B99, ""), "", IF(FLOOR(SEED!$B99/1000000000000, 1)=124, "Institution - "&amp;VLOOKUP(SEED!$B99, '[1]DataLookUp - InstitutionBranch'!$B$4:$C$1000, 2, FALSE), "Person - "&amp;VLOOKUP(SEED!$B99, [2]DataLookUp!$B$4:$D$1000, 2, FALSE)))</f>
        <v>Person - Nandang Effendi</v>
      </c>
      <c r="D99" s="5">
        <v>167000000000096</v>
      </c>
      <c r="E99" s="10" t="str">
        <f ca="1">IF(EXACT($D99, ""), "", VLOOKUP($D99, [3]DataLookUp!$B$4:$F$1000, 2, FALSE))</f>
        <v>Bank Central Asia - 7000245156</v>
      </c>
      <c r="F99" s="11" t="str">
        <f ca="1">IF(EXACT($D99, ""), "", VLOOKUP($D99, [3]DataLookUp!$B$4:$F$1000, 3, FALSE))</f>
        <v>IDR</v>
      </c>
      <c r="G99" s="14" t="str">
        <f ca="1">IF(EXACT($D99, ""), "", VLOOKUP($D99, [3]DataLookUp!$B$4:$F$1000, 4, FALSE))</f>
        <v>Person - Nandang Effendi</v>
      </c>
      <c r="I99" s="27">
        <f t="shared" si="5"/>
        <v>198000000000096</v>
      </c>
      <c r="J99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25000000000307::bigint, 167000000000096::bigint);</v>
      </c>
    </row>
    <row r="100" spans="2:10" x14ac:dyDescent="0.2">
      <c r="B100" s="5">
        <v>25000000000325</v>
      </c>
      <c r="C100" s="17" t="str">
        <f>IF(EXACT($B100, ""), "", IF(FLOOR(SEED!$B100/1000000000000, 1)=124, "Institution - "&amp;VLOOKUP(SEED!$B100, '[1]DataLookUp - InstitutionBranch'!$B$4:$C$1000, 2, FALSE), "Person - "&amp;VLOOKUP(SEED!$B100, [2]DataLookUp!$B$4:$D$1000, 2, FALSE)))</f>
        <v>Person - Panca Yudi Baskoro</v>
      </c>
      <c r="D100" s="5">
        <v>167000000000097</v>
      </c>
      <c r="E100" s="10" t="str">
        <f ca="1">IF(EXACT($D100, ""), "", VLOOKUP($D100, [3]DataLookUp!$B$4:$F$1000, 2, FALSE))</f>
        <v>Bank Central Asia - 8760571998</v>
      </c>
      <c r="F100" s="11" t="str">
        <f ca="1">IF(EXACT($D100, ""), "", VLOOKUP($D100, [3]DataLookUp!$B$4:$F$1000, 3, FALSE))</f>
        <v>IDR</v>
      </c>
      <c r="G100" s="14" t="str">
        <f ca="1">IF(EXACT($D100, ""), "", VLOOKUP($D100, [3]DataLookUp!$B$4:$F$1000, 4, FALSE))</f>
        <v>Person - Panca Yudi Baskoro</v>
      </c>
      <c r="I100" s="27">
        <f t="shared" si="5"/>
        <v>198000000000097</v>
      </c>
      <c r="J100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25000000000325::bigint, 167000000000097::bigint);</v>
      </c>
    </row>
    <row r="101" spans="2:10" x14ac:dyDescent="0.2">
      <c r="B101" s="5">
        <v>25000000000273</v>
      </c>
      <c r="C101" s="17" t="str">
        <f>IF(EXACT($B101, ""), "", IF(FLOOR(SEED!$B101/1000000000000, 1)=124, "Institution - "&amp;VLOOKUP(SEED!$B101, '[1]DataLookUp - InstitutionBranch'!$B$4:$C$1000, 2, FALSE), "Person - "&amp;VLOOKUP(SEED!$B101, [2]DataLookUp!$B$4:$D$1000, 2, FALSE)))</f>
        <v>Person - Pantas Banjarnahor Marbun</v>
      </c>
      <c r="D101" s="5">
        <v>167000000000098</v>
      </c>
      <c r="E101" s="10" t="str">
        <f ca="1">IF(EXACT($D101, ""), "", VLOOKUP($D101, [3]DataLookUp!$B$4:$F$1000, 2, FALSE))</f>
        <v>Bank Central Asia - 0060098298</v>
      </c>
      <c r="F101" s="11" t="str">
        <f ca="1">IF(EXACT($D101, ""), "", VLOOKUP($D101, [3]DataLookUp!$B$4:$F$1000, 3, FALSE))</f>
        <v>IDR</v>
      </c>
      <c r="G101" s="14" t="str">
        <f ca="1">IF(EXACT($D101, ""), "", VLOOKUP($D101, [3]DataLookUp!$B$4:$F$1000, 4, FALSE))</f>
        <v>Person - Pantas Banjarnahor Marbun</v>
      </c>
      <c r="I101" s="27">
        <f t="shared" si="5"/>
        <v>198000000000098</v>
      </c>
      <c r="J101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25000000000273::bigint, 167000000000098::bigint);</v>
      </c>
    </row>
    <row r="102" spans="2:10" x14ac:dyDescent="0.2">
      <c r="B102" s="5">
        <v>25000000000330</v>
      </c>
      <c r="C102" s="17" t="str">
        <f>IF(EXACT($B102, ""), "", IF(FLOOR(SEED!$B102/1000000000000, 1)=124, "Institution - "&amp;VLOOKUP(SEED!$B102, '[1]DataLookUp - InstitutionBranch'!$B$4:$C$1000, 2, FALSE), "Person - "&amp;VLOOKUP(SEED!$B102, [2]DataLookUp!$B$4:$D$1000, 2, FALSE)))</f>
        <v>Person - Prayanti Dewi Anggraini</v>
      </c>
      <c r="D102" s="5">
        <v>167000000000099</v>
      </c>
      <c r="E102" s="10" t="str">
        <f ca="1">IF(EXACT($D102, ""), "", VLOOKUP($D102, [3]DataLookUp!$B$4:$F$1000, 2, FALSE))</f>
        <v>Bank Central Asia - 3831252381</v>
      </c>
      <c r="F102" s="11" t="str">
        <f ca="1">IF(EXACT($D102, ""), "", VLOOKUP($D102, [3]DataLookUp!$B$4:$F$1000, 3, FALSE))</f>
        <v>IDR</v>
      </c>
      <c r="G102" s="14" t="str">
        <f ca="1">IF(EXACT($D102, ""), "", VLOOKUP($D102, [3]DataLookUp!$B$4:$F$1000, 4, FALSE))</f>
        <v>Person - Prayanti Dewi Anggraini</v>
      </c>
      <c r="I102" s="27">
        <f t="shared" si="5"/>
        <v>198000000000099</v>
      </c>
      <c r="J102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25000000000330::bigint, 167000000000099::bigint);</v>
      </c>
    </row>
    <row r="103" spans="2:10" x14ac:dyDescent="0.2">
      <c r="B103" s="5">
        <v>25000000000352</v>
      </c>
      <c r="C103" s="17" t="str">
        <f>IF(EXACT($B103, ""), "", IF(FLOOR(SEED!$B103/1000000000000, 1)=124, "Institution - "&amp;VLOOKUP(SEED!$B103, '[1]DataLookUp - InstitutionBranch'!$B$4:$C$1000, 2, FALSE), "Person - "&amp;VLOOKUP(SEED!$B103, [2]DataLookUp!$B$4:$D$1000, 2, FALSE)))</f>
        <v>Person - Rhino Priawan</v>
      </c>
      <c r="D103" s="5">
        <v>167000000000100</v>
      </c>
      <c r="E103" s="10" t="str">
        <f ca="1">IF(EXACT($D103, ""), "", VLOOKUP($D103, [3]DataLookUp!$B$4:$F$1000, 2, FALSE))</f>
        <v>Bank Central Asia - 7660268949</v>
      </c>
      <c r="F103" s="11" t="str">
        <f ca="1">IF(EXACT($D103, ""), "", VLOOKUP($D103, [3]DataLookUp!$B$4:$F$1000, 3, FALSE))</f>
        <v>IDR</v>
      </c>
      <c r="G103" s="14" t="str">
        <f ca="1">IF(EXACT($D103, ""), "", VLOOKUP($D103, [3]DataLookUp!$B$4:$F$1000, 4, FALSE))</f>
        <v>Person - Rhino Priawan</v>
      </c>
      <c r="I103" s="27">
        <f t="shared" si="5"/>
        <v>198000000000100</v>
      </c>
      <c r="J103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25000000000352::bigint, 167000000000100::bigint);</v>
      </c>
    </row>
    <row r="104" spans="2:10" x14ac:dyDescent="0.2">
      <c r="B104" s="5">
        <v>25000000000509</v>
      </c>
      <c r="C104" s="17" t="str">
        <f>IF(EXACT($B104, ""), "", IF(FLOOR(SEED!$B104/1000000000000, 1)=124, "Institution - "&amp;VLOOKUP(SEED!$B104, '[1]DataLookUp - InstitutionBranch'!$B$4:$C$1000, 2, FALSE), "Person - "&amp;VLOOKUP(SEED!$B104, [2]DataLookUp!$B$4:$D$1000, 2, FALSE)))</f>
        <v>Person - Riza Emir Subekti</v>
      </c>
      <c r="D104" s="5">
        <v>167000000000101</v>
      </c>
      <c r="E104" s="10" t="str">
        <f ca="1">IF(EXACT($D104, ""), "", VLOOKUP($D104, [3]DataLookUp!$B$4:$F$1000, 2, FALSE))</f>
        <v>Bank Central Asia - 2170088924</v>
      </c>
      <c r="F104" s="11" t="str">
        <f ca="1">IF(EXACT($D104, ""), "", VLOOKUP($D104, [3]DataLookUp!$B$4:$F$1000, 3, FALSE))</f>
        <v>IDR</v>
      </c>
      <c r="G104" s="14" t="str">
        <f ca="1">IF(EXACT($D104, ""), "", VLOOKUP($D104, [3]DataLookUp!$B$4:$F$1000, 4, FALSE))</f>
        <v>Person - Riza Emir Subekti</v>
      </c>
      <c r="I104" s="27">
        <f t="shared" si="5"/>
        <v>198000000000101</v>
      </c>
      <c r="J104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25000000000509::bigint, 167000000000101::bigint);</v>
      </c>
    </row>
    <row r="105" spans="2:10" x14ac:dyDescent="0.2">
      <c r="B105" s="5">
        <v>25000000000381</v>
      </c>
      <c r="C105" s="17" t="str">
        <f>IF(EXACT($B105, ""), "", IF(FLOOR(SEED!$B105/1000000000000, 1)=124, "Institution - "&amp;VLOOKUP(SEED!$B105, '[1]DataLookUp - InstitutionBranch'!$B$4:$C$1000, 2, FALSE), "Person - "&amp;VLOOKUP(SEED!$B105, [2]DataLookUp!$B$4:$D$1000, 2, FALSE)))</f>
        <v>Person - Sakinah Tantriani Lubis</v>
      </c>
      <c r="D105" s="5">
        <v>167000000000102</v>
      </c>
      <c r="E105" s="10" t="str">
        <f ca="1">IF(EXACT($D105, ""), "", VLOOKUP($D105, [3]DataLookUp!$B$4:$F$1000, 2, FALSE))</f>
        <v>Bank Central Asia - 5025005331</v>
      </c>
      <c r="F105" s="11" t="str">
        <f ca="1">IF(EXACT($D105, ""), "", VLOOKUP($D105, [3]DataLookUp!$B$4:$F$1000, 3, FALSE))</f>
        <v>IDR</v>
      </c>
      <c r="G105" s="14" t="str">
        <f ca="1">IF(EXACT($D105, ""), "", VLOOKUP($D105, [3]DataLookUp!$B$4:$F$1000, 4, FALSE))</f>
        <v>Person - Sakinah Tantriani Lubis</v>
      </c>
      <c r="I105" s="27">
        <f t="shared" si="5"/>
        <v>198000000000102</v>
      </c>
      <c r="J105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25000000000381::bigint, 167000000000102::bigint);</v>
      </c>
    </row>
    <row r="106" spans="2:10" x14ac:dyDescent="0.2">
      <c r="B106" s="5">
        <v>25000000000391</v>
      </c>
      <c r="C106" s="17" t="str">
        <f>IF(EXACT($B106, ""), "", IF(FLOOR(SEED!$B106/1000000000000, 1)=124, "Institution - "&amp;VLOOKUP(SEED!$B106, '[1]DataLookUp - InstitutionBranch'!$B$4:$C$1000, 2, FALSE), "Person - "&amp;VLOOKUP(SEED!$B106, [2]DataLookUp!$B$4:$D$1000, 2, FALSE)))</f>
        <v>Person - Seftiyan Hadi Maulana</v>
      </c>
      <c r="D106" s="5">
        <v>167000000000103</v>
      </c>
      <c r="E106" s="10" t="str">
        <f ca="1">IF(EXACT($D106, ""), "", VLOOKUP($D106, [3]DataLookUp!$B$4:$F$1000, 2, FALSE))</f>
        <v>Bank Central Asia - 5325315714</v>
      </c>
      <c r="F106" s="11" t="str">
        <f ca="1">IF(EXACT($D106, ""), "", VLOOKUP($D106, [3]DataLookUp!$B$4:$F$1000, 3, FALSE))</f>
        <v>IDR</v>
      </c>
      <c r="G106" s="14" t="str">
        <f ca="1">IF(EXACT($D106, ""), "", VLOOKUP($D106, [3]DataLookUp!$B$4:$F$1000, 4, FALSE))</f>
        <v>Person - Seftiyan Hadi Maulana</v>
      </c>
      <c r="I106" s="27">
        <f t="shared" si="5"/>
        <v>198000000000103</v>
      </c>
      <c r="J106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25000000000391::bigint, 167000000000103::bigint);</v>
      </c>
    </row>
    <row r="107" spans="2:10" x14ac:dyDescent="0.2">
      <c r="B107" s="5">
        <v>25000000000393</v>
      </c>
      <c r="C107" s="17" t="str">
        <f>IF(EXACT($B107, ""), "", IF(FLOOR(SEED!$B107/1000000000000, 1)=124, "Institution - "&amp;VLOOKUP(SEED!$B107, '[1]DataLookUp - InstitutionBranch'!$B$4:$C$1000, 2, FALSE), "Person - "&amp;VLOOKUP(SEED!$B107, [2]DataLookUp!$B$4:$D$1000, 2, FALSE)))</f>
        <v>Person - Setiadi</v>
      </c>
      <c r="D107" s="5">
        <v>167000000000104</v>
      </c>
      <c r="E107" s="10" t="str">
        <f ca="1">IF(EXACT($D107, ""), "", VLOOKUP($D107, [3]DataLookUp!$B$4:$F$1000, 2, FALSE))</f>
        <v>Bank Central Asia - 2101238654</v>
      </c>
      <c r="F107" s="11" t="str">
        <f ca="1">IF(EXACT($D107, ""), "", VLOOKUP($D107, [3]DataLookUp!$B$4:$F$1000, 3, FALSE))</f>
        <v>IDR</v>
      </c>
      <c r="G107" s="14" t="str">
        <f ca="1">IF(EXACT($D107, ""), "", VLOOKUP($D107, [3]DataLookUp!$B$4:$F$1000, 4, FALSE))</f>
        <v>Person - Setiadi</v>
      </c>
      <c r="I107" s="27">
        <f t="shared" si="5"/>
        <v>198000000000104</v>
      </c>
      <c r="J107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25000000000393::bigint, 167000000000104::bigint);</v>
      </c>
    </row>
    <row r="108" spans="2:10" x14ac:dyDescent="0.2">
      <c r="B108" s="5">
        <v>25000000000397</v>
      </c>
      <c r="C108" s="17" t="str">
        <f>IF(EXACT($B108, ""), "", IF(FLOOR(SEED!$B108/1000000000000, 1)=124, "Institution - "&amp;VLOOKUP(SEED!$B108, '[1]DataLookUp - InstitutionBranch'!$B$4:$C$1000, 2, FALSE), "Person - "&amp;VLOOKUP(SEED!$B108, [2]DataLookUp!$B$4:$D$1000, 2, FALSE)))</f>
        <v>Person - Sholehah</v>
      </c>
      <c r="D108" s="5">
        <v>167000000000105</v>
      </c>
      <c r="E108" s="10" t="str">
        <f ca="1">IF(EXACT($D108, ""), "", VLOOKUP($D108, [3]DataLookUp!$B$4:$F$1000, 2, FALSE))</f>
        <v>Bank Central Asia - 0670059618</v>
      </c>
      <c r="F108" s="11" t="str">
        <f ca="1">IF(EXACT($D108, ""), "", VLOOKUP($D108, [3]DataLookUp!$B$4:$F$1000, 3, FALSE))</f>
        <v>IDR</v>
      </c>
      <c r="G108" s="14" t="str">
        <f ca="1">IF(EXACT($D108, ""), "", VLOOKUP($D108, [3]DataLookUp!$B$4:$F$1000, 4, FALSE))</f>
        <v>Person - Sholehah</v>
      </c>
      <c r="I108" s="27">
        <f t="shared" si="5"/>
        <v>198000000000105</v>
      </c>
      <c r="J108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25000000000397::bigint, 167000000000105::bigint);</v>
      </c>
    </row>
    <row r="109" spans="2:10" x14ac:dyDescent="0.2">
      <c r="B109" s="5">
        <v>25000000000412</v>
      </c>
      <c r="C109" s="17" t="str">
        <f>IF(EXACT($B109, ""), "", IF(FLOOR(SEED!$B109/1000000000000, 1)=124, "Institution - "&amp;VLOOKUP(SEED!$B109, '[1]DataLookUp - InstitutionBranch'!$B$4:$C$1000, 2, FALSE), "Person - "&amp;VLOOKUP(SEED!$B109, [2]DataLookUp!$B$4:$D$1000, 2, FALSE)))</f>
        <v>Person - Sudarlan</v>
      </c>
      <c r="D109" s="5">
        <v>167000000000106</v>
      </c>
      <c r="E109" s="10" t="str">
        <f ca="1">IF(EXACT($D109, ""), "", VLOOKUP($D109, [3]DataLookUp!$B$4:$F$1000, 2, FALSE))</f>
        <v>Bank Central Asia - 5750223151</v>
      </c>
      <c r="F109" s="11" t="str">
        <f ca="1">IF(EXACT($D109, ""), "", VLOOKUP($D109, [3]DataLookUp!$B$4:$F$1000, 3, FALSE))</f>
        <v>IDR</v>
      </c>
      <c r="G109" s="14" t="str">
        <f ca="1">IF(EXACT($D109, ""), "", VLOOKUP($D109, [3]DataLookUp!$B$4:$F$1000, 4, FALSE))</f>
        <v>Person - Sudarlan</v>
      </c>
      <c r="I109" s="27">
        <f t="shared" si="5"/>
        <v>198000000000106</v>
      </c>
      <c r="J109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25000000000412::bigint, 167000000000106::bigint);</v>
      </c>
    </row>
    <row r="110" spans="2:10" x14ac:dyDescent="0.2">
      <c r="B110" s="5">
        <v>25000000000413</v>
      </c>
      <c r="C110" s="17" t="str">
        <f>IF(EXACT($B110, ""), "", IF(FLOOR(SEED!$B110/1000000000000, 1)=124, "Institution - "&amp;VLOOKUP(SEED!$B110, '[1]DataLookUp - InstitutionBranch'!$B$4:$C$1000, 2, FALSE), "Person - "&amp;VLOOKUP(SEED!$B110, [2]DataLookUp!$B$4:$D$1000, 2, FALSE)))</f>
        <v>Person - Sufie Amalia</v>
      </c>
      <c r="D110" s="5">
        <v>167000000000107</v>
      </c>
      <c r="E110" s="10" t="str">
        <f ca="1">IF(EXACT($D110, ""), "", VLOOKUP($D110, [3]DataLookUp!$B$4:$F$1000, 2, FALSE))</f>
        <v>Bank Central Asia - 5490332288</v>
      </c>
      <c r="F110" s="11" t="str">
        <f ca="1">IF(EXACT($D110, ""), "", VLOOKUP($D110, [3]DataLookUp!$B$4:$F$1000, 3, FALSE))</f>
        <v>IDR</v>
      </c>
      <c r="G110" s="14" t="str">
        <f ca="1">IF(EXACT($D110, ""), "", VLOOKUP($D110, [3]DataLookUp!$B$4:$F$1000, 4, FALSE))</f>
        <v>Person - Sufie Amalia</v>
      </c>
      <c r="I110" s="27">
        <f t="shared" si="5"/>
        <v>198000000000107</v>
      </c>
      <c r="J110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25000000000413::bigint, 167000000000107::bigint);</v>
      </c>
    </row>
    <row r="111" spans="2:10" x14ac:dyDescent="0.2">
      <c r="B111" s="5">
        <v>25000000000428</v>
      </c>
      <c r="C111" s="17" t="str">
        <f>IF(EXACT($B111, ""), "", IF(FLOOR(SEED!$B111/1000000000000, 1)=124, "Institution - "&amp;VLOOKUP(SEED!$B111, '[1]DataLookUp - InstitutionBranch'!$B$4:$C$1000, 2, FALSE), "Person - "&amp;VLOOKUP(SEED!$B111, [2]DataLookUp!$B$4:$D$1000, 2, FALSE)))</f>
        <v>Person - Suyanto</v>
      </c>
      <c r="D111" s="5">
        <v>167000000000108</v>
      </c>
      <c r="E111" s="10" t="str">
        <f ca="1">IF(EXACT($D111, ""), "", VLOOKUP($D111, [3]DataLookUp!$B$4:$F$1000, 2, FALSE))</f>
        <v>Bank Central Asia - 1280421665</v>
      </c>
      <c r="F111" s="11" t="str">
        <f ca="1">IF(EXACT($D111, ""), "", VLOOKUP($D111, [3]DataLookUp!$B$4:$F$1000, 3, FALSE))</f>
        <v>IDR</v>
      </c>
      <c r="G111" s="14" t="str">
        <f ca="1">IF(EXACT($D111, ""), "", VLOOKUP($D111, [3]DataLookUp!$B$4:$F$1000, 4, FALSE))</f>
        <v>Person - Suyanto</v>
      </c>
      <c r="I111" s="27">
        <f t="shared" si="5"/>
        <v>198000000000108</v>
      </c>
      <c r="J111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25000000000428::bigint, 167000000000108::bigint);</v>
      </c>
    </row>
    <row r="112" spans="2:10" x14ac:dyDescent="0.2">
      <c r="B112" s="5">
        <v>25000000000278</v>
      </c>
      <c r="C112" s="17" t="str">
        <f>IF(EXACT($B112, ""), "", IF(FLOOR(SEED!$B112/1000000000000, 1)=124, "Institution - "&amp;VLOOKUP(SEED!$B112, '[1]DataLookUp - InstitutionBranch'!$B$4:$C$1000, 2, FALSE), "Person - "&amp;VLOOKUP(SEED!$B112, [2]DataLookUp!$B$4:$D$1000, 2, FALSE)))</f>
        <v>Person - T. Marungkil U. S. Sagala</v>
      </c>
      <c r="D112" s="5">
        <v>167000000000109</v>
      </c>
      <c r="E112" s="10" t="str">
        <f ca="1">IF(EXACT($D112, ""), "", VLOOKUP($D112, [3]DataLookUp!$B$4:$F$1000, 2, FALSE))</f>
        <v>Bank Central Asia - 7660251671</v>
      </c>
      <c r="F112" s="11" t="str">
        <f ca="1">IF(EXACT($D112, ""), "", VLOOKUP($D112, [3]DataLookUp!$B$4:$F$1000, 3, FALSE))</f>
        <v>IDR</v>
      </c>
      <c r="G112" s="14" t="str">
        <f ca="1">IF(EXACT($D112, ""), "", VLOOKUP($D112, [3]DataLookUp!$B$4:$F$1000, 4, FALSE))</f>
        <v>Person - T. Marungkil U. S. Sagala</v>
      </c>
      <c r="I112" s="27">
        <f t="shared" si="5"/>
        <v>198000000000109</v>
      </c>
      <c r="J112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25000000000278::bigint, 167000000000109::bigint);</v>
      </c>
    </row>
    <row r="113" spans="2:10" x14ac:dyDescent="0.2">
      <c r="B113" s="5">
        <v>25000000000452</v>
      </c>
      <c r="C113" s="17" t="str">
        <f>IF(EXACT($B113, ""), "", IF(FLOOR(SEED!$B113/1000000000000, 1)=124, "Institution - "&amp;VLOOKUP(SEED!$B113, '[1]DataLookUp - InstitutionBranch'!$B$4:$C$1000, 2, FALSE), "Person - "&amp;VLOOKUP(SEED!$B113, [2]DataLookUp!$B$4:$D$1000, 2, FALSE)))</f>
        <v>Person - Turita Pramuning Marantina</v>
      </c>
      <c r="D113" s="5">
        <v>167000000000110</v>
      </c>
      <c r="E113" s="10" t="str">
        <f ca="1">IF(EXACT($D113, ""), "", VLOOKUP($D113, [3]DataLookUp!$B$4:$F$1000, 2, FALSE))</f>
        <v>Bank Central Asia - 3751363751</v>
      </c>
      <c r="F113" s="11" t="str">
        <f ca="1">IF(EXACT($D113, ""), "", VLOOKUP($D113, [3]DataLookUp!$B$4:$F$1000, 3, FALSE))</f>
        <v>IDR</v>
      </c>
      <c r="G113" s="14" t="str">
        <f ca="1">IF(EXACT($D113, ""), "", VLOOKUP($D113, [3]DataLookUp!$B$4:$F$1000, 4, FALSE))</f>
        <v>Person - Turita Pramuning Marantina</v>
      </c>
      <c r="I113" s="27">
        <f t="shared" si="5"/>
        <v>198000000000110</v>
      </c>
      <c r="J113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25000000000452::bigint, 167000000000110::bigint);</v>
      </c>
    </row>
    <row r="114" spans="2:10" x14ac:dyDescent="0.2">
      <c r="B114" s="5">
        <v>25000000000467</v>
      </c>
      <c r="C114" s="17" t="str">
        <f>IF(EXACT($B114, ""), "", IF(FLOOR(SEED!$B114/1000000000000, 1)=124, "Institution - "&amp;VLOOKUP(SEED!$B114, '[1]DataLookUp - InstitutionBranch'!$B$4:$C$1000, 2, FALSE), "Person - "&amp;VLOOKUP(SEED!$B114, [2]DataLookUp!$B$4:$D$1000, 2, FALSE)))</f>
        <v>Person - Wahyu Ramadhani</v>
      </c>
      <c r="D114" s="5">
        <v>167000000000111</v>
      </c>
      <c r="E114" s="10" t="str">
        <f ca="1">IF(EXACT($D114, ""), "", VLOOKUP($D114, [3]DataLookUp!$B$4:$F$1000, 2, FALSE))</f>
        <v>Bank Central Asia - 5520532155</v>
      </c>
      <c r="F114" s="11" t="str">
        <f ca="1">IF(EXACT($D114, ""), "", VLOOKUP($D114, [3]DataLookUp!$B$4:$F$1000, 3, FALSE))</f>
        <v>IDR</v>
      </c>
      <c r="G114" s="14" t="str">
        <f ca="1">IF(EXACT($D114, ""), "", VLOOKUP($D114, [3]DataLookUp!$B$4:$F$1000, 4, FALSE))</f>
        <v>Person - Wahyu Ramadhani</v>
      </c>
      <c r="I114" s="27">
        <f t="shared" si="5"/>
        <v>198000000000111</v>
      </c>
      <c r="J114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25000000000467::bigint, 167000000000111::bigint);</v>
      </c>
    </row>
    <row r="115" spans="2:10" x14ac:dyDescent="0.2">
      <c r="B115" s="5">
        <v>25000000000542</v>
      </c>
      <c r="C115" s="17" t="str">
        <f>IF(EXACT($B115, ""), "", IF(FLOOR(SEED!$B115/1000000000000, 1)=124, "Institution - "&amp;VLOOKUP(SEED!$B115, '[1]DataLookUp - InstitutionBranch'!$B$4:$C$1000, 2, FALSE), "Person - "&amp;VLOOKUP(SEED!$B115, [2]DataLookUp!$B$4:$D$1000, 2, FALSE)))</f>
        <v>Person - Wardah Laily Khoiriyah</v>
      </c>
      <c r="D115" s="5">
        <v>167000000000112</v>
      </c>
      <c r="E115" s="10" t="str">
        <f ca="1">IF(EXACT($D115, ""), "", VLOOKUP($D115, [3]DataLookUp!$B$4:$F$1000, 2, FALSE))</f>
        <v>Bank Central Asia - 8670430678</v>
      </c>
      <c r="F115" s="11" t="str">
        <f ca="1">IF(EXACT($D115, ""), "", VLOOKUP($D115, [3]DataLookUp!$B$4:$F$1000, 3, FALSE))</f>
        <v>IDR</v>
      </c>
      <c r="G115" s="14" t="str">
        <f ca="1">IF(EXACT($D115, ""), "", VLOOKUP($D115, [3]DataLookUp!$B$4:$F$1000, 4, FALSE))</f>
        <v>Person - Wardah Laily Khoiriyah</v>
      </c>
      <c r="I115" s="27">
        <f t="shared" si="5"/>
        <v>198000000000112</v>
      </c>
      <c r="J115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25000000000542::bigint, 167000000000112::bigint);</v>
      </c>
    </row>
    <row r="116" spans="2:10" x14ac:dyDescent="0.2">
      <c r="B116" s="5">
        <v>25000000000474</v>
      </c>
      <c r="C116" s="17" t="str">
        <f>IF(EXACT($B116, ""), "", IF(FLOOR(SEED!$B116/1000000000000, 1)=124, "Institution - "&amp;VLOOKUP(SEED!$B116, '[1]DataLookUp - InstitutionBranch'!$B$4:$C$1000, 2, FALSE), "Person - "&amp;VLOOKUP(SEED!$B116, [2]DataLookUp!$B$4:$D$1000, 2, FALSE)))</f>
        <v>Person - Wisnu Ardian</v>
      </c>
      <c r="D116" s="5">
        <v>167000000000113</v>
      </c>
      <c r="E116" s="10" t="str">
        <f ca="1">IF(EXACT($D116, ""), "", VLOOKUP($D116, [3]DataLookUp!$B$4:$F$1000, 2, FALSE))</f>
        <v>Bank Central Asia - 2910590742</v>
      </c>
      <c r="F116" s="11" t="str">
        <f ca="1">IF(EXACT($D116, ""), "", VLOOKUP($D116, [3]DataLookUp!$B$4:$F$1000, 3, FALSE))</f>
        <v>IDR</v>
      </c>
      <c r="G116" s="14" t="str">
        <f ca="1">IF(EXACT($D116, ""), "", VLOOKUP($D116, [3]DataLookUp!$B$4:$F$1000, 4, FALSE))</f>
        <v>Person - Wisnu Ardian</v>
      </c>
      <c r="I116" s="27">
        <f t="shared" si="5"/>
        <v>198000000000113</v>
      </c>
      <c r="J116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25000000000474::bigint, 167000000000113::bigint);</v>
      </c>
    </row>
    <row r="117" spans="2:10" x14ac:dyDescent="0.2">
      <c r="B117" s="5">
        <v>25000000000544</v>
      </c>
      <c r="C117" s="17" t="str">
        <f>IF(EXACT($B117, ""), "", IF(FLOOR(SEED!$B117/1000000000000, 1)=124, "Institution - "&amp;VLOOKUP(SEED!$B117, '[1]DataLookUp - InstitutionBranch'!$B$4:$C$1000, 2, FALSE), "Person - "&amp;VLOOKUP(SEED!$B117, [2]DataLookUp!$B$4:$D$1000, 2, FALSE)))</f>
        <v>Person - Wulanraniasih</v>
      </c>
      <c r="D117" s="5">
        <v>167000000000114</v>
      </c>
      <c r="E117" s="10" t="str">
        <f ca="1">IF(EXACT($D117, ""), "", VLOOKUP($D117, [3]DataLookUp!$B$4:$F$1000, 2, FALSE))</f>
        <v>Bank Central Asia - 6860316941</v>
      </c>
      <c r="F117" s="11" t="str">
        <f ca="1">IF(EXACT($D117, ""), "", VLOOKUP($D117, [3]DataLookUp!$B$4:$F$1000, 3, FALSE))</f>
        <v>IDR</v>
      </c>
      <c r="G117" s="14" t="str">
        <f ca="1">IF(EXACT($D117, ""), "", VLOOKUP($D117, [3]DataLookUp!$B$4:$F$1000, 4, FALSE))</f>
        <v>Person - Wulanraniasih</v>
      </c>
      <c r="I117" s="27">
        <f t="shared" si="5"/>
        <v>198000000000114</v>
      </c>
      <c r="J117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25000000000544::bigint, 167000000000114::bigint);</v>
      </c>
    </row>
    <row r="118" spans="2:10" x14ac:dyDescent="0.2">
      <c r="B118" s="5">
        <v>25000000000487</v>
      </c>
      <c r="C118" s="17" t="str">
        <f>IF(EXACT($B118, ""), "", IF(FLOOR(SEED!$B118/1000000000000, 1)=124, "Institution - "&amp;VLOOKUP(SEED!$B118, '[1]DataLookUp - InstitutionBranch'!$B$4:$C$1000, 2, FALSE), "Person - "&amp;VLOOKUP(SEED!$B118, [2]DataLookUp!$B$4:$D$1000, 2, FALSE)))</f>
        <v>Person - Yuliandaru Suryoatmodjo</v>
      </c>
      <c r="D118" s="5">
        <v>167000000000115</v>
      </c>
      <c r="E118" s="10" t="str">
        <f ca="1">IF(EXACT($D118, ""), "", VLOOKUP($D118, [3]DataLookUp!$B$4:$F$1000, 2, FALSE))</f>
        <v>Bank Central Asia - 3721127379</v>
      </c>
      <c r="F118" s="11" t="str">
        <f ca="1">IF(EXACT($D118, ""), "", VLOOKUP($D118, [3]DataLookUp!$B$4:$F$1000, 3, FALSE))</f>
        <v>IDR</v>
      </c>
      <c r="G118" s="14" t="str">
        <f ca="1">IF(EXACT($D118, ""), "", VLOOKUP($D118, [3]DataLookUp!$B$4:$F$1000, 4, FALSE))</f>
        <v>Person - Yuliandaru Suryoatmodjo</v>
      </c>
      <c r="I118" s="27">
        <f t="shared" si="5"/>
        <v>198000000000115</v>
      </c>
      <c r="J118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25000000000487::bigint, 167000000000115::bigint);</v>
      </c>
    </row>
    <row r="119" spans="2:10" x14ac:dyDescent="0.2">
      <c r="B119" s="5">
        <v>25000000000497</v>
      </c>
      <c r="C119" s="17" t="str">
        <f>IF(EXACT($B119, ""), "", IF(FLOOR(SEED!$B119/1000000000000, 1)=124, "Institution - "&amp;VLOOKUP(SEED!$B119, '[1]DataLookUp - InstitutionBranch'!$B$4:$C$1000, 2, FALSE), "Person - "&amp;VLOOKUP(SEED!$B119, [2]DataLookUp!$B$4:$D$1000, 2, FALSE)))</f>
        <v>Person - Zainudin Anwar</v>
      </c>
      <c r="D119" s="5">
        <v>167000000000116</v>
      </c>
      <c r="E119" s="10" t="str">
        <f ca="1">IF(EXACT($D119, ""), "", VLOOKUP($D119, [3]DataLookUp!$B$4:$F$1000, 2, FALSE))</f>
        <v>Bank Central Asia - 5520552261</v>
      </c>
      <c r="F119" s="11" t="str">
        <f ca="1">IF(EXACT($D119, ""), "", VLOOKUP($D119, [3]DataLookUp!$B$4:$F$1000, 3, FALSE))</f>
        <v>IDR</v>
      </c>
      <c r="G119" s="14" t="str">
        <f ca="1">IF(EXACT($D119, ""), "", VLOOKUP($D119, [3]DataLookUp!$B$4:$F$1000, 4, FALSE))</f>
        <v>Person - Zainudin Anwar</v>
      </c>
      <c r="I119" s="27">
        <f t="shared" si="5"/>
        <v>198000000000116</v>
      </c>
      <c r="J119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25000000000497::bigint, 167000000000116::bigint);</v>
      </c>
    </row>
    <row r="120" spans="2:10" x14ac:dyDescent="0.2">
      <c r="B120" s="5">
        <v>25000000000556</v>
      </c>
      <c r="C120" s="17" t="str">
        <f>IF(EXACT($B120, ""), "", IF(FLOOR(SEED!$B120/1000000000000, 1)=124, "Institution - "&amp;VLOOKUP(SEED!$B120, '[1]DataLookUp - InstitutionBranch'!$B$4:$C$1000, 2, FALSE), "Person - "&amp;VLOOKUP(SEED!$B120, [2]DataLookUp!$B$4:$D$1000, 2, FALSE)))</f>
        <v>Person - Yusarman</v>
      </c>
      <c r="D120" s="5">
        <v>167000000000117</v>
      </c>
      <c r="E120" s="10" t="str">
        <f ca="1">IF(EXACT($D120, ""), "", VLOOKUP($D120, [3]DataLookUp!$B$4:$F$1000, 2, FALSE))</f>
        <v>Bank Central Asia - 0011754723</v>
      </c>
      <c r="F120" s="11" t="str">
        <f ca="1">IF(EXACT($D120, ""), "", VLOOKUP($D120, [3]DataLookUp!$B$4:$F$1000, 3, FALSE))</f>
        <v>IDR</v>
      </c>
      <c r="G120" s="14" t="str">
        <f ca="1">IF(EXACT($D120, ""), "", VLOOKUP($D120, [3]DataLookUp!$B$4:$F$1000, 4, FALSE))</f>
        <v>Person - Yusarman</v>
      </c>
      <c r="I120" s="27">
        <f t="shared" si="5"/>
        <v>198000000000117</v>
      </c>
      <c r="J120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25000000000556::bigint, 167000000000117::bigint);</v>
      </c>
    </row>
    <row r="121" spans="2:10" x14ac:dyDescent="0.2">
      <c r="B121" s="5">
        <v>25000000000237</v>
      </c>
      <c r="C121" s="17" t="str">
        <f>IF(EXACT($B121, ""), "", IF(FLOOR(SEED!$B121/1000000000000, 1)=124, "Institution - "&amp;VLOOKUP(SEED!$B121, '[1]DataLookUp - InstitutionBranch'!$B$4:$C$1000, 2, FALSE), "Person - "&amp;VLOOKUP(SEED!$B121, [2]DataLookUp!$B$4:$D$1000, 2, FALSE)))</f>
        <v>Person - Jonhar Aziz</v>
      </c>
      <c r="D121" s="5">
        <v>167000000000118</v>
      </c>
      <c r="E121" s="10" t="str">
        <f ca="1">IF(EXACT($D121, ""), "", VLOOKUP($D121, [3]DataLookUp!$B$4:$F$1000, 2, FALSE))</f>
        <v>Bank Central Asia - 2821395781</v>
      </c>
      <c r="F121" s="11" t="str">
        <f ca="1">IF(EXACT($D121, ""), "", VLOOKUP($D121, [3]DataLookUp!$B$4:$F$1000, 3, FALSE))</f>
        <v>IDR</v>
      </c>
      <c r="G121" s="14" t="str">
        <f ca="1">IF(EXACT($D121, ""), "", VLOOKUP($D121, [3]DataLookUp!$B$4:$F$1000, 4, FALSE))</f>
        <v>Person - Jonhar Aziz</v>
      </c>
      <c r="I121" s="27">
        <f t="shared" si="5"/>
        <v>198000000000118</v>
      </c>
      <c r="J121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25000000000237::bigint, 167000000000118::bigint);</v>
      </c>
    </row>
    <row r="122" spans="2:10" x14ac:dyDescent="0.2">
      <c r="B122" s="5">
        <v>25000000000555</v>
      </c>
      <c r="C122" s="17" t="str">
        <f>IF(EXACT($B122, ""), "", IF(FLOOR(SEED!$B122/1000000000000, 1)=124, "Institution - "&amp;VLOOKUP(SEED!$B122, '[1]DataLookUp - InstitutionBranch'!$B$4:$C$1000, 2, FALSE), "Person - "&amp;VLOOKUP(SEED!$B122, [2]DataLookUp!$B$4:$D$1000, 2, FALSE)))</f>
        <v>Person - Wartono</v>
      </c>
      <c r="D122" s="5">
        <v>167000000000119</v>
      </c>
      <c r="E122" s="10" t="str">
        <f ca="1">IF(EXACT($D122, ""), "", VLOOKUP($D122, [3]DataLookUp!$B$4:$F$1000, 2, FALSE))</f>
        <v>Bank Central Asia - 2281429789</v>
      </c>
      <c r="F122" s="11" t="str">
        <f ca="1">IF(EXACT($D122, ""), "", VLOOKUP($D122, [3]DataLookUp!$B$4:$F$1000, 3, FALSE))</f>
        <v>IDR</v>
      </c>
      <c r="G122" s="14" t="str">
        <f ca="1">IF(EXACT($D122, ""), "", VLOOKUP($D122, [3]DataLookUp!$B$4:$F$1000, 4, FALSE))</f>
        <v>Person - Wartono</v>
      </c>
      <c r="I122" s="27">
        <f t="shared" si="5"/>
        <v>198000000000119</v>
      </c>
      <c r="J122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25000000000555::bigint, 167000000000119::bigint);</v>
      </c>
    </row>
    <row r="123" spans="2:10" x14ac:dyDescent="0.2">
      <c r="B123" s="5">
        <v>25000000000554</v>
      </c>
      <c r="C123" s="17" t="str">
        <f>IF(EXACT($B123, ""), "", IF(FLOOR(SEED!$B123/1000000000000, 1)=124, "Institution - "&amp;VLOOKUP(SEED!$B123, '[1]DataLookUp - InstitutionBranch'!$B$4:$C$1000, 2, FALSE), "Person - "&amp;VLOOKUP(SEED!$B123, [2]DataLookUp!$B$4:$D$1000, 2, FALSE)))</f>
        <v>Person - Santoso Dwi Cahyo</v>
      </c>
      <c r="D123" s="5">
        <v>167000000000120</v>
      </c>
      <c r="E123" s="10" t="str">
        <f ca="1">IF(EXACT($D123, ""), "", VLOOKUP($D123, [3]DataLookUp!$B$4:$F$1000, 2, FALSE))</f>
        <v>Bank Central Asia - 5750622536</v>
      </c>
      <c r="F123" s="11" t="str">
        <f ca="1">IF(EXACT($D123, ""), "", VLOOKUP($D123, [3]DataLookUp!$B$4:$F$1000, 3, FALSE))</f>
        <v>IDR</v>
      </c>
      <c r="G123" s="14" t="str">
        <f ca="1">IF(EXACT($D123, ""), "", VLOOKUP($D123, [3]DataLookUp!$B$4:$F$1000, 4, FALSE))</f>
        <v>Person - Santoso Dwi Cahyo</v>
      </c>
      <c r="I123" s="27">
        <f t="shared" si="5"/>
        <v>198000000000120</v>
      </c>
      <c r="J123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25000000000554::bigint, 167000000000120::bigint);</v>
      </c>
    </row>
    <row r="124" spans="2:10" x14ac:dyDescent="0.2">
      <c r="B124" s="5">
        <v>25000000000536</v>
      </c>
      <c r="C124" s="17" t="str">
        <f>IF(EXACT($B124, ""), "", IF(FLOOR(SEED!$B124/1000000000000, 1)=124, "Institution - "&amp;VLOOKUP(SEED!$B124, '[1]DataLookUp - InstitutionBranch'!$B$4:$C$1000, 2, FALSE), "Person - "&amp;VLOOKUP(SEED!$B124, [2]DataLookUp!$B$4:$D$1000, 2, FALSE)))</f>
        <v>Person - Restu Dwi Anjayani</v>
      </c>
      <c r="D124" s="5">
        <v>167000000000121</v>
      </c>
      <c r="E124" s="10" t="str">
        <f ca="1">IF(EXACT($D124, ""), "", VLOOKUP($D124, [3]DataLookUp!$B$4:$F$1000, 2, FALSE))</f>
        <v>Bank Central Asia - 4860276548</v>
      </c>
      <c r="F124" s="11" t="str">
        <f ca="1">IF(EXACT($D124, ""), "", VLOOKUP($D124, [3]DataLookUp!$B$4:$F$1000, 3, FALSE))</f>
        <v>IDR</v>
      </c>
      <c r="G124" s="14" t="str">
        <f ca="1">IF(EXACT($D124, ""), "", VLOOKUP($D124, [3]DataLookUp!$B$4:$F$1000, 4, FALSE))</f>
        <v>Person - Restu Dwi Anjayani</v>
      </c>
      <c r="I124" s="27">
        <f t="shared" si="5"/>
        <v>198000000000121</v>
      </c>
      <c r="J124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25000000000536::bigint, 167000000000121::bigint);</v>
      </c>
    </row>
    <row r="125" spans="2:10" x14ac:dyDescent="0.2">
      <c r="B125" s="5">
        <v>25000000000535</v>
      </c>
      <c r="C125" s="17" t="str">
        <f>IF(EXACT($B125, ""), "", IF(FLOOR(SEED!$B125/1000000000000, 1)=124, "Institution - "&amp;VLOOKUP(SEED!$B125, '[1]DataLookUp - InstitutionBranch'!$B$4:$C$1000, 2, FALSE), "Person - "&amp;VLOOKUP(SEED!$B125, [2]DataLookUp!$B$4:$D$1000, 2, FALSE)))</f>
        <v>Person - Oqi Suhaqi Yunus</v>
      </c>
      <c r="D125" s="5">
        <v>167000000000122</v>
      </c>
      <c r="E125" s="10" t="str">
        <f ca="1">IF(EXACT($D125, ""), "", VLOOKUP($D125, [3]DataLookUp!$B$4:$F$1000, 2, FALSE))</f>
        <v>Bank Central Asia - 6540386232</v>
      </c>
      <c r="F125" s="11" t="str">
        <f ca="1">IF(EXACT($D125, ""), "", VLOOKUP($D125, [3]DataLookUp!$B$4:$F$1000, 3, FALSE))</f>
        <v>IDR</v>
      </c>
      <c r="G125" s="14" t="str">
        <f ca="1">IF(EXACT($D125, ""), "", VLOOKUP($D125, [3]DataLookUp!$B$4:$F$1000, 4, FALSE))</f>
        <v>Person - Oqi Suhaqi Yunus</v>
      </c>
      <c r="I125" s="27">
        <f t="shared" si="5"/>
        <v>198000000000122</v>
      </c>
      <c r="J125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25000000000535::bigint, 167000000000122::bigint);</v>
      </c>
    </row>
    <row r="126" spans="2:10" x14ac:dyDescent="0.2">
      <c r="B126" s="5">
        <v>25000000000546</v>
      </c>
      <c r="C126" s="17" t="str">
        <f>IF(EXACT($B126, ""), "", IF(FLOOR(SEED!$B126/1000000000000, 1)=124, "Institution - "&amp;VLOOKUP(SEED!$B126, '[1]DataLookUp - InstitutionBranch'!$B$4:$C$1000, 2, FALSE), "Person - "&amp;VLOOKUP(SEED!$B126, [2]DataLookUp!$B$4:$D$1000, 2, FALSE)))</f>
        <v>Person - Yusuf Fathurahman</v>
      </c>
      <c r="D126" s="5">
        <v>167000000000123</v>
      </c>
      <c r="E126" s="10" t="str">
        <f ca="1">IF(EXACT($D126, ""), "", VLOOKUP($D126, [3]DataLookUp!$B$4:$F$1000, 2, FALSE))</f>
        <v>Bank Central Asia - 0670059618</v>
      </c>
      <c r="F126" s="11" t="str">
        <f ca="1">IF(EXACT($D126, ""), "", VLOOKUP($D126, [3]DataLookUp!$B$4:$F$1000, 3, FALSE))</f>
        <v>IDR</v>
      </c>
      <c r="G126" s="14" t="str">
        <f ca="1">IF(EXACT($D126, ""), "", VLOOKUP($D126, [3]DataLookUp!$B$4:$F$1000, 4, FALSE))</f>
        <v>Person - Yusuf Fathurahman</v>
      </c>
      <c r="I126" s="27">
        <f t="shared" si="5"/>
        <v>198000000000123</v>
      </c>
      <c r="J126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25000000000546::bigint, 167000000000123::bigint);</v>
      </c>
    </row>
    <row r="127" spans="2:10" x14ac:dyDescent="0.2">
      <c r="B127" s="5">
        <v>25000000000531</v>
      </c>
      <c r="C127" s="17" t="str">
        <f>IF(EXACT($B127, ""), "", IF(FLOOR(SEED!$B127/1000000000000, 1)=124, "Institution - "&amp;VLOOKUP(SEED!$B127, '[1]DataLookUp - InstitutionBranch'!$B$4:$C$1000, 2, FALSE), "Person - "&amp;VLOOKUP(SEED!$B127, [2]DataLookUp!$B$4:$D$1000, 2, FALSE)))</f>
        <v>Person - Muhammad Syarifudin</v>
      </c>
      <c r="D127" s="5">
        <v>167000000000124</v>
      </c>
      <c r="E127" s="10" t="str">
        <f ca="1">IF(EXACT($D127, ""), "", VLOOKUP($D127, [3]DataLookUp!$B$4:$F$1000, 2, FALSE))</f>
        <v>Bank Central Asia - 0670059618</v>
      </c>
      <c r="F127" s="11" t="str">
        <f ca="1">IF(EXACT($D127, ""), "", VLOOKUP($D127, [3]DataLookUp!$B$4:$F$1000, 3, FALSE))</f>
        <v>IDR</v>
      </c>
      <c r="G127" s="14" t="str">
        <f ca="1">IF(EXACT($D127, ""), "", VLOOKUP($D127, [3]DataLookUp!$B$4:$F$1000, 4, FALSE))</f>
        <v>Person - Muhammad Syarifudin</v>
      </c>
      <c r="I127" s="27">
        <f t="shared" si="5"/>
        <v>198000000000124</v>
      </c>
      <c r="J127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25000000000531::bigint, 167000000000124::bigint);</v>
      </c>
    </row>
    <row r="128" spans="2:10" x14ac:dyDescent="0.2">
      <c r="B128" s="5">
        <v>25000000000520</v>
      </c>
      <c r="C128" s="17" t="str">
        <f>IF(EXACT($B128, ""), "", IF(FLOOR(SEED!$B128/1000000000000, 1)=124, "Institution - "&amp;VLOOKUP(SEED!$B128, '[1]DataLookUp - InstitutionBranch'!$B$4:$C$1000, 2, FALSE), "Person - "&amp;VLOOKUP(SEED!$B128, [2]DataLookUp!$B$4:$D$1000, 2, FALSE)))</f>
        <v>Person - Dian Setiawan</v>
      </c>
      <c r="D128" s="5">
        <v>167000000000125</v>
      </c>
      <c r="E128" s="10" t="str">
        <f ca="1">IF(EXACT($D128, ""), "", VLOOKUP($D128, [3]DataLookUp!$B$4:$F$1000, 2, FALSE))</f>
        <v>Bank Central Asia - 0670059618</v>
      </c>
      <c r="F128" s="11" t="str">
        <f ca="1">IF(EXACT($D128, ""), "", VLOOKUP($D128, [3]DataLookUp!$B$4:$F$1000, 3, FALSE))</f>
        <v>IDR</v>
      </c>
      <c r="G128" s="14" t="str">
        <f ca="1">IF(EXACT($D128, ""), "", VLOOKUP($D128, [3]DataLookUp!$B$4:$F$1000, 4, FALSE))</f>
        <v>Person - Dian Setiawan</v>
      </c>
      <c r="I128" s="27">
        <f t="shared" si="5"/>
        <v>198000000000125</v>
      </c>
      <c r="J128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25000000000520::bigint, 167000000000125::bigint);</v>
      </c>
    </row>
    <row r="129" spans="2:10" x14ac:dyDescent="0.2">
      <c r="B129" s="5">
        <v>25000000000530</v>
      </c>
      <c r="C129" s="17" t="str">
        <f>IF(EXACT($B129, ""), "", IF(FLOOR(SEED!$B129/1000000000000, 1)=124, "Institution - "&amp;VLOOKUP(SEED!$B129, '[1]DataLookUp - InstitutionBranch'!$B$4:$C$1000, 2, FALSE), "Person - "&amp;VLOOKUP(SEED!$B129, [2]DataLookUp!$B$4:$D$1000, 2, FALSE)))</f>
        <v>Person - Muhammad Sholikhun</v>
      </c>
      <c r="D129" s="5">
        <v>167000000000126</v>
      </c>
      <c r="E129" s="10" t="str">
        <f ca="1">IF(EXACT($D129, ""), "", VLOOKUP($D129, [3]DataLookUp!$B$4:$F$1000, 2, FALSE))</f>
        <v>Bank Central Asia - 0670059618</v>
      </c>
      <c r="F129" s="11" t="str">
        <f ca="1">IF(EXACT($D129, ""), "", VLOOKUP($D129, [3]DataLookUp!$B$4:$F$1000, 3, FALSE))</f>
        <v>IDR</v>
      </c>
      <c r="G129" s="14" t="str">
        <f ca="1">IF(EXACT($D129, ""), "", VLOOKUP($D129, [3]DataLookUp!$B$4:$F$1000, 4, FALSE))</f>
        <v>Person - Muhammad Sholikhun</v>
      </c>
      <c r="I129" s="27">
        <f t="shared" si="5"/>
        <v>198000000000126</v>
      </c>
      <c r="J129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25000000000530::bigint, 167000000000126::bigint);</v>
      </c>
    </row>
    <row r="130" spans="2:10" x14ac:dyDescent="0.2">
      <c r="B130" s="5">
        <v>25000000000539</v>
      </c>
      <c r="C130" s="17" t="str">
        <f>IF(EXACT($B130, ""), "", IF(FLOOR(SEED!$B130/1000000000000, 1)=124, "Institution - "&amp;VLOOKUP(SEED!$B130, '[1]DataLookUp - InstitutionBranch'!$B$4:$C$1000, 2, FALSE), "Person - "&amp;VLOOKUP(SEED!$B130, [2]DataLookUp!$B$4:$D$1000, 2, FALSE)))</f>
        <v>Person - Samta Harahap</v>
      </c>
      <c r="D130" s="5">
        <v>167000000000127</v>
      </c>
      <c r="E130" s="10" t="str">
        <f ca="1">IF(EXACT($D130, ""), "", VLOOKUP($D130, [3]DataLookUp!$B$4:$F$1000, 2, FALSE))</f>
        <v>Bank Central Asia - 8681161864</v>
      </c>
      <c r="F130" s="11" t="str">
        <f ca="1">IF(EXACT($D130, ""), "", VLOOKUP($D130, [3]DataLookUp!$B$4:$F$1000, 3, FALSE))</f>
        <v>IDR</v>
      </c>
      <c r="G130" s="14" t="str">
        <f ca="1">IF(EXACT($D130, ""), "", VLOOKUP($D130, [3]DataLookUp!$B$4:$F$1000, 4, FALSE))</f>
        <v>Person - Samta Harahap</v>
      </c>
      <c r="I130" s="27">
        <f t="shared" si="5"/>
        <v>198000000000127</v>
      </c>
      <c r="J130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25000000000539::bigint, 167000000000127::bigint);</v>
      </c>
    </row>
    <row r="131" spans="2:10" x14ac:dyDescent="0.2">
      <c r="B131" s="5">
        <v>25000000000529</v>
      </c>
      <c r="C131" s="17" t="str">
        <f>IF(EXACT($B131, ""), "", IF(FLOOR(SEED!$B131/1000000000000, 1)=124, "Institution - "&amp;VLOOKUP(SEED!$B131, '[1]DataLookUp - InstitutionBranch'!$B$4:$C$1000, 2, FALSE), "Person - "&amp;VLOOKUP(SEED!$B131, [2]DataLookUp!$B$4:$D$1000, 2, FALSE)))</f>
        <v>Person - Muhammad Lukbani</v>
      </c>
      <c r="D131" s="5">
        <v>167000000000128</v>
      </c>
      <c r="E131" s="10" t="str">
        <f ca="1">IF(EXACT($D131, ""), "", VLOOKUP($D131, [3]DataLookUp!$B$4:$F$1000, 2, FALSE))</f>
        <v>Bank Central Asia - 7125461581</v>
      </c>
      <c r="F131" s="11" t="str">
        <f ca="1">IF(EXACT($D131, ""), "", VLOOKUP($D131, [3]DataLookUp!$B$4:$F$1000, 3, FALSE))</f>
        <v>IDR</v>
      </c>
      <c r="G131" s="14" t="str">
        <f ca="1">IF(EXACT($D131, ""), "", VLOOKUP($D131, [3]DataLookUp!$B$4:$F$1000, 4, FALSE))</f>
        <v>Person - Muhammad Lukbani</v>
      </c>
      <c r="I131" s="27">
        <f t="shared" si="5"/>
        <v>198000000000128</v>
      </c>
      <c r="J131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25000000000529::bigint, 167000000000128::bigint);</v>
      </c>
    </row>
    <row r="132" spans="2:10" x14ac:dyDescent="0.2">
      <c r="B132" s="5">
        <v>25000000000557</v>
      </c>
      <c r="C132" s="17" t="str">
        <f>IF(EXACT($B132, ""), "", IF(FLOOR(SEED!$B132/1000000000000, 1)=124, "Institution - "&amp;VLOOKUP(SEED!$B132, '[1]DataLookUp - InstitutionBranch'!$B$4:$C$1000, 2, FALSE), "Person - "&amp;VLOOKUP(SEED!$B132, [2]DataLookUp!$B$4:$D$1000, 2, FALSE)))</f>
        <v>Person - Abdul Rachman</v>
      </c>
      <c r="D132" s="5">
        <v>167000000000129</v>
      </c>
      <c r="E132" s="10" t="str">
        <f ca="1">IF(EXACT($D132, ""), "", VLOOKUP($D132, [3]DataLookUp!$B$4:$F$1000, 2, FALSE))</f>
        <v xml:space="preserve"> - </v>
      </c>
      <c r="F132" s="11" t="str">
        <f ca="1">IF(EXACT($D132, ""), "", VLOOKUP($D132, [3]DataLookUp!$B$4:$F$1000, 3, FALSE))</f>
        <v>IDR</v>
      </c>
      <c r="G132" s="14" t="str">
        <f ca="1">IF(EXACT($D132, ""), "", VLOOKUP($D132, [3]DataLookUp!$B$4:$F$1000, 4, FALSE))</f>
        <v>Person - Abdul Rachman</v>
      </c>
      <c r="I132" s="27">
        <f t="shared" si="5"/>
        <v>198000000000129</v>
      </c>
      <c r="J132" s="28" t="str">
        <f t="shared" si="4"/>
        <v>PERFORM "SchData-OLTP-Master"."Func_TblEntityBankAccount_SET"(varSystemLoginSession::bigint, null::bigint, null::varchar, null::timestamptz, null::timestamptz, null::varchar, varInstitutionBranchID::bigint, varBaseCurrencyID::bigint, 25000000000557::bigint, 167000000000129::bigint);</v>
      </c>
    </row>
    <row r="133" spans="2:10" x14ac:dyDescent="0.2">
      <c r="B133" s="5">
        <v>25000000000558</v>
      </c>
      <c r="C133" s="17" t="str">
        <f>IF(EXACT($B133, ""), "", IF(FLOOR(SEED!$B133/1000000000000, 1)=124, "Institution - "&amp;VLOOKUP(SEED!$B133, '[1]DataLookUp - InstitutionBranch'!$B$4:$C$1000, 2, FALSE), "Person - "&amp;VLOOKUP(SEED!$B133, [2]DataLookUp!$B$4:$D$1000, 2, FALSE)))</f>
        <v>Person - Aden Bagus</v>
      </c>
      <c r="D133" s="5">
        <v>167000000000130</v>
      </c>
      <c r="E133" s="10" t="str">
        <f ca="1">IF(EXACT($D133, ""), "", VLOOKUP($D133, [3]DataLookUp!$B$4:$F$1000, 2, FALSE))</f>
        <v xml:space="preserve"> - </v>
      </c>
      <c r="F133" s="11" t="str">
        <f ca="1">IF(EXACT($D133, ""), "", VLOOKUP($D133, [3]DataLookUp!$B$4:$F$1000, 3, FALSE))</f>
        <v>IDR</v>
      </c>
      <c r="G133" s="14" t="str">
        <f ca="1">IF(EXACT($D133, ""), "", VLOOKUP($D133, [3]DataLookUp!$B$4:$F$1000, 4, FALSE))</f>
        <v>Person - Aden Bagus</v>
      </c>
      <c r="I133" s="27">
        <f t="shared" si="5"/>
        <v>198000000000130</v>
      </c>
      <c r="J133" s="28" t="str">
        <f t="shared" ref="J133:J196" si="6">IF(EXACT(B133, ""), "", CONCATENATE("PERFORM ""SchData-OLTP-Master"".""Func_TblEntityBankAccount_SET""(varSystemLoginSession::bigint, null::bigint, null::varchar, null::timestamptz, null::timestamptz, null::varchar, varInstitutionBranchID::bigint, varBaseCurrencyID::bigint, ", IF(EXACT($B133, ""), "NULL", ""&amp;$B133&amp;""), "::bigint, ", IF(EXACT($D133, ""), "NULL", ""&amp;$D133&amp;""), "::bigint);"))</f>
        <v>PERFORM "SchData-OLTP-Master"."Func_TblEntityBankAccount_SET"(varSystemLoginSession::bigint, null::bigint, null::varchar, null::timestamptz, null::timestamptz, null::varchar, varInstitutionBranchID::bigint, varBaseCurrencyID::bigint, 25000000000558::bigint, 167000000000130::bigint);</v>
      </c>
    </row>
    <row r="134" spans="2:10" x14ac:dyDescent="0.2">
      <c r="B134" s="5">
        <v>25000000000017</v>
      </c>
      <c r="C134" s="17" t="str">
        <f>IF(EXACT($B134, ""), "", IF(FLOOR(SEED!$B134/1000000000000, 1)=124, "Institution - "&amp;VLOOKUP(SEED!$B134, '[1]DataLookUp - InstitutionBranch'!$B$4:$C$1000, 2, FALSE), "Person - "&amp;VLOOKUP(SEED!$B134, [2]DataLookUp!$B$4:$D$1000, 2, FALSE)))</f>
        <v>Person - Ahmad Faiz Haems Muda</v>
      </c>
      <c r="D134" s="5">
        <v>167000000000131</v>
      </c>
      <c r="E134" s="10" t="str">
        <f ca="1">IF(EXACT($D134, ""), "", VLOOKUP($D134, [3]DataLookUp!$B$4:$F$1000, 2, FALSE))</f>
        <v>Bank Central Asia - 2302269280</v>
      </c>
      <c r="F134" s="11" t="str">
        <f ca="1">IF(EXACT($D134, ""), "", VLOOKUP($D134, [3]DataLookUp!$B$4:$F$1000, 3, FALSE))</f>
        <v>IDR</v>
      </c>
      <c r="G134" s="14" t="str">
        <f ca="1">IF(EXACT($D134, ""), "", VLOOKUP($D134, [3]DataLookUp!$B$4:$F$1000, 4, FALSE))</f>
        <v>Person - Ahmad Faiz Haems Muda</v>
      </c>
      <c r="I134" s="27">
        <f t="shared" si="5"/>
        <v>198000000000131</v>
      </c>
      <c r="J134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25000000000017::bigint, 167000000000131::bigint);</v>
      </c>
    </row>
    <row r="135" spans="2:10" x14ac:dyDescent="0.2">
      <c r="B135" s="5">
        <v>25000000000167</v>
      </c>
      <c r="C135" s="17" t="str">
        <f>IF(EXACT($B135, ""), "", IF(FLOOR(SEED!$B135/1000000000000, 1)=124, "Institution - "&amp;VLOOKUP(SEED!$B135, '[1]DataLookUp - InstitutionBranch'!$B$4:$C$1000, 2, FALSE), "Person - "&amp;VLOOKUP(SEED!$B135, [2]DataLookUp!$B$4:$D$1000, 2, FALSE)))</f>
        <v>Person - Grace Kurniawan</v>
      </c>
      <c r="D135" s="5">
        <v>167000000000132</v>
      </c>
      <c r="E135" s="10" t="str">
        <f ca="1">IF(EXACT($D135, ""), "", VLOOKUP($D135, [3]DataLookUp!$B$4:$F$1000, 2, FALSE))</f>
        <v>Bank Central Asia - 4271122556</v>
      </c>
      <c r="F135" s="11" t="str">
        <f ca="1">IF(EXACT($D135, ""), "", VLOOKUP($D135, [3]DataLookUp!$B$4:$F$1000, 3, FALSE))</f>
        <v>IDR</v>
      </c>
      <c r="G135" s="14" t="str">
        <f ca="1">IF(EXACT($D135, ""), "", VLOOKUP($D135, [3]DataLookUp!$B$4:$F$1000, 4, FALSE))</f>
        <v>Person - Grace Kurniawan</v>
      </c>
      <c r="I135" s="27">
        <f t="shared" si="5"/>
        <v>198000000000132</v>
      </c>
      <c r="J135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25000000000167::bigint, 167000000000132::bigint);</v>
      </c>
    </row>
    <row r="136" spans="2:10" x14ac:dyDescent="0.2">
      <c r="B136" s="5">
        <v>25000000000051</v>
      </c>
      <c r="C136" s="17" t="str">
        <f>IF(EXACT($B136, ""), "", IF(FLOOR(SEED!$B136/1000000000000, 1)=124, "Institution - "&amp;VLOOKUP(SEED!$B136, '[1]DataLookUp - InstitutionBranch'!$B$4:$C$1000, 2, FALSE), "Person - "&amp;VLOOKUP(SEED!$B136, [2]DataLookUp!$B$4:$D$1000, 2, FALSE)))</f>
        <v>Person - Ares S. Mauboi</v>
      </c>
      <c r="D136" s="5">
        <v>167000000000133</v>
      </c>
      <c r="E136" s="10" t="str">
        <f ca="1">IF(EXACT($D136, ""), "", VLOOKUP($D136, [3]DataLookUp!$B$4:$F$1000, 2, FALSE))</f>
        <v>Bank Rakyat Indonesia - 034101074863509</v>
      </c>
      <c r="F136" s="11" t="str">
        <f ca="1">IF(EXACT($D136, ""), "", VLOOKUP($D136, [3]DataLookUp!$B$4:$F$1000, 3, FALSE))</f>
        <v>IDR</v>
      </c>
      <c r="G136" s="14" t="str">
        <f ca="1">IF(EXACT($D136, ""), "", VLOOKUP($D136, [3]DataLookUp!$B$4:$F$1000, 4, FALSE))</f>
        <v>Person - Ares S. Mauboi</v>
      </c>
      <c r="I136" s="27">
        <f t="shared" si="5"/>
        <v>198000000000133</v>
      </c>
      <c r="J136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25000000000051::bigint, 167000000000133::bigint);</v>
      </c>
    </row>
    <row r="137" spans="2:10" x14ac:dyDescent="0.2">
      <c r="B137" s="5">
        <v>25000000000517</v>
      </c>
      <c r="C137" s="17" t="str">
        <f>IF(EXACT($B137, ""), "", IF(FLOOR(SEED!$B137/1000000000000, 1)=124, "Institution - "&amp;VLOOKUP(SEED!$B137, '[1]DataLookUp - InstitutionBranch'!$B$4:$C$1000, 2, FALSE), "Person - "&amp;VLOOKUP(SEED!$B137, [2]DataLookUp!$B$4:$D$1000, 2, FALSE)))</f>
        <v>Person - Cahyana</v>
      </c>
      <c r="D137" s="5">
        <v>167000000000134</v>
      </c>
      <c r="E137" s="10" t="str">
        <f ca="1">IF(EXACT($D137, ""), "", VLOOKUP($D137, [3]DataLookUp!$B$4:$F$1000, 2, FALSE))</f>
        <v>Bank Rakyat Indonesia - 727401009580534</v>
      </c>
      <c r="F137" s="11" t="str">
        <f ca="1">IF(EXACT($D137, ""), "", VLOOKUP($D137, [3]DataLookUp!$B$4:$F$1000, 3, FALSE))</f>
        <v>IDR</v>
      </c>
      <c r="G137" s="14" t="str">
        <f ca="1">IF(EXACT($D137, ""), "", VLOOKUP($D137, [3]DataLookUp!$B$4:$F$1000, 4, FALSE))</f>
        <v>Person - Cahyana</v>
      </c>
      <c r="I137" s="27">
        <f t="shared" si="5"/>
        <v>198000000000134</v>
      </c>
      <c r="J137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25000000000517::bigint, 167000000000134::bigint);</v>
      </c>
    </row>
    <row r="138" spans="2:10" x14ac:dyDescent="0.2">
      <c r="B138" s="5">
        <v>25000000000093</v>
      </c>
      <c r="C138" s="17" t="str">
        <f>IF(EXACT($B138, ""), "", IF(FLOOR(SEED!$B138/1000000000000, 1)=124, "Institution - "&amp;VLOOKUP(SEED!$B138, '[1]DataLookUp - InstitutionBranch'!$B$4:$C$1000, 2, FALSE), "Person - "&amp;VLOOKUP(SEED!$B138, [2]DataLookUp!$B$4:$D$1000, 2, FALSE)))</f>
        <v>Person - Davit Lumban Gaol</v>
      </c>
      <c r="D138" s="5">
        <v>167000000000135</v>
      </c>
      <c r="E138" s="10" t="str">
        <f ca="1">IF(EXACT($D138, ""), "", VLOOKUP($D138, [3]DataLookUp!$B$4:$F$1000, 2, FALSE))</f>
        <v>Bank Rakyat Indonesia - 033601013930530</v>
      </c>
      <c r="F138" s="11" t="str">
        <f ca="1">IF(EXACT($D138, ""), "", VLOOKUP($D138, [3]DataLookUp!$B$4:$F$1000, 3, FALSE))</f>
        <v>IDR</v>
      </c>
      <c r="G138" s="14" t="str">
        <f ca="1">IF(EXACT($D138, ""), "", VLOOKUP($D138, [3]DataLookUp!$B$4:$F$1000, 4, FALSE))</f>
        <v>Person - Davit Lumban Gaol</v>
      </c>
      <c r="I138" s="27">
        <f t="shared" si="5"/>
        <v>198000000000135</v>
      </c>
      <c r="J138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25000000000093::bigint, 167000000000135::bigint);</v>
      </c>
    </row>
    <row r="139" spans="2:10" x14ac:dyDescent="0.2">
      <c r="B139" s="5">
        <v>25000000000550</v>
      </c>
      <c r="C139" s="17" t="str">
        <f>IF(EXACT($B139, ""), "", IF(FLOOR(SEED!$B139/1000000000000, 1)=124, "Institution - "&amp;VLOOKUP(SEED!$B139, '[1]DataLookUp - InstitutionBranch'!$B$4:$C$1000, 2, FALSE), "Person - "&amp;VLOOKUP(SEED!$B139, [2]DataLookUp!$B$4:$D$1000, 2, FALSE)))</f>
        <v>Person - Dian Tri Rahmawati</v>
      </c>
      <c r="D139" s="5">
        <v>167000000000136</v>
      </c>
      <c r="E139" s="10" t="str">
        <f ca="1">IF(EXACT($D139, ""), "", VLOOKUP($D139, [3]DataLookUp!$B$4:$F$1000, 2, FALSE))</f>
        <v xml:space="preserve">Bank Rakyat Indonesia - 212401007578533 </v>
      </c>
      <c r="F139" s="11" t="str">
        <f ca="1">IF(EXACT($D139, ""), "", VLOOKUP($D139, [3]DataLookUp!$B$4:$F$1000, 3, FALSE))</f>
        <v>IDR</v>
      </c>
      <c r="G139" s="14" t="str">
        <f ca="1">IF(EXACT($D139, ""), "", VLOOKUP($D139, [3]DataLookUp!$B$4:$F$1000, 4, FALSE))</f>
        <v>Person - Dian Tri Rahmawati</v>
      </c>
      <c r="I139" s="27">
        <f t="shared" si="5"/>
        <v>198000000000136</v>
      </c>
      <c r="J139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25000000000550::bigint, 167000000000136::bigint);</v>
      </c>
    </row>
    <row r="140" spans="2:10" x14ac:dyDescent="0.2">
      <c r="B140" s="5">
        <v>25000000000120</v>
      </c>
      <c r="C140" s="17" t="str">
        <f>IF(EXACT($B140, ""), "", IF(FLOOR(SEED!$B140/1000000000000, 1)=124, "Institution - "&amp;VLOOKUP(SEED!$B140, '[1]DataLookUp - InstitutionBranch'!$B$4:$C$1000, 2, FALSE), "Person - "&amp;VLOOKUP(SEED!$B140, [2]DataLookUp!$B$4:$D$1000, 2, FALSE)))</f>
        <v>Person - Edy Syahputra Situmeang</v>
      </c>
      <c r="D140" s="5">
        <v>167000000000137</v>
      </c>
      <c r="E140" s="10" t="str">
        <f ca="1">IF(EXACT($D140, ""), "", VLOOKUP($D140, [3]DataLookUp!$B$4:$F$1000, 2, FALSE))</f>
        <v>Bank Rakyat Indonesia - 353201013523538</v>
      </c>
      <c r="F140" s="11" t="str">
        <f ca="1">IF(EXACT($D140, ""), "", VLOOKUP($D140, [3]DataLookUp!$B$4:$F$1000, 3, FALSE))</f>
        <v>IDR</v>
      </c>
      <c r="G140" s="14" t="str">
        <f ca="1">IF(EXACT($D140, ""), "", VLOOKUP($D140, [3]DataLookUp!$B$4:$F$1000, 4, FALSE))</f>
        <v>Person - Edy Syahputra Situmeang</v>
      </c>
      <c r="I140" s="27">
        <f t="shared" si="5"/>
        <v>198000000000137</v>
      </c>
      <c r="J140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25000000000120::bigint, 167000000000137::bigint);</v>
      </c>
    </row>
    <row r="141" spans="2:10" x14ac:dyDescent="0.2">
      <c r="B141" s="5">
        <v>25000000000521</v>
      </c>
      <c r="C141" s="17" t="str">
        <f>IF(EXACT($B141, ""), "", IF(FLOOR(SEED!$B141/1000000000000, 1)=124, "Institution - "&amp;VLOOKUP(SEED!$B141, '[1]DataLookUp - InstitutionBranch'!$B$4:$C$1000, 2, FALSE), "Person - "&amp;VLOOKUP(SEED!$B141, [2]DataLookUp!$B$4:$D$1000, 2, FALSE)))</f>
        <v>Person - Fabrian Danang Destiyara</v>
      </c>
      <c r="D141" s="5">
        <v>167000000000138</v>
      </c>
      <c r="E141" s="10" t="str">
        <f ca="1">IF(EXACT($D141, ""), "", VLOOKUP($D141, [3]DataLookUp!$B$4:$F$1000, 2, FALSE))</f>
        <v>Bank Rakyat Indonesia - 122301024676505</v>
      </c>
      <c r="F141" s="11" t="str">
        <f ca="1">IF(EXACT($D141, ""), "", VLOOKUP($D141, [3]DataLookUp!$B$4:$F$1000, 3, FALSE))</f>
        <v>IDR</v>
      </c>
      <c r="G141" s="14" t="str">
        <f ca="1">IF(EXACT($D141, ""), "", VLOOKUP($D141, [3]DataLookUp!$B$4:$F$1000, 4, FALSE))</f>
        <v>Person - Fabrian Danang Destiyara</v>
      </c>
      <c r="I141" s="27">
        <f t="shared" si="5"/>
        <v>198000000000138</v>
      </c>
      <c r="J141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25000000000521::bigint, 167000000000138::bigint);</v>
      </c>
    </row>
    <row r="142" spans="2:10" x14ac:dyDescent="0.2">
      <c r="B142" s="5">
        <v>25000000000551</v>
      </c>
      <c r="C142" s="17" t="str">
        <f>IF(EXACT($B142, ""), "", IF(FLOOR(SEED!$B142/1000000000000, 1)=124, "Institution - "&amp;VLOOKUP(SEED!$B142, '[1]DataLookUp - InstitutionBranch'!$B$4:$C$1000, 2, FALSE), "Person - "&amp;VLOOKUP(SEED!$B142, [2]DataLookUp!$B$4:$D$1000, 2, FALSE)))</f>
        <v>Person - Langgeng Eko Dwiantoro</v>
      </c>
      <c r="D142" s="5">
        <v>167000000000139</v>
      </c>
      <c r="E142" s="10" t="str">
        <f ca="1">IF(EXACT($D142, ""), "", VLOOKUP($D142, [3]DataLookUp!$B$4:$F$1000, 2, FALSE))</f>
        <v>Bank Central Asia - 0021817308</v>
      </c>
      <c r="F142" s="11" t="str">
        <f ca="1">IF(EXACT($D142, ""), "", VLOOKUP($D142, [3]DataLookUp!$B$4:$F$1000, 3, FALSE))</f>
        <v>IDR</v>
      </c>
      <c r="G142" s="14" t="str">
        <f ca="1">IF(EXACT($D142, ""), "", VLOOKUP($D142, [3]DataLookUp!$B$4:$F$1000, 4, FALSE))</f>
        <v>Person - Langgeng Eko Dwiantoro</v>
      </c>
      <c r="I142" s="27">
        <f t="shared" si="5"/>
        <v>198000000000139</v>
      </c>
      <c r="J142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25000000000551::bigint, 167000000000139::bigint);</v>
      </c>
    </row>
    <row r="143" spans="2:10" x14ac:dyDescent="0.2">
      <c r="B143" s="5">
        <v>25000000000551</v>
      </c>
      <c r="C143" s="17" t="str">
        <f>IF(EXACT($B143, ""), "", IF(FLOOR(SEED!$B143/1000000000000, 1)=124, "Institution - "&amp;VLOOKUP(SEED!$B143, '[1]DataLookUp - InstitutionBranch'!$B$4:$C$1000, 2, FALSE), "Person - "&amp;VLOOKUP(SEED!$B143, [2]DataLookUp!$B$4:$D$1000, 2, FALSE)))</f>
        <v>Person - Langgeng Eko Dwiantoro</v>
      </c>
      <c r="D143" s="5">
        <v>167000000000140</v>
      </c>
      <c r="E143" s="10" t="str">
        <f ca="1">IF(EXACT($D143, ""), "", VLOOKUP($D143, [3]DataLookUp!$B$4:$F$1000, 2, FALSE))</f>
        <v>Bank Rakyat Indonesia - 034101013725530</v>
      </c>
      <c r="F143" s="11" t="str">
        <f ca="1">IF(EXACT($D143, ""), "", VLOOKUP($D143, [3]DataLookUp!$B$4:$F$1000, 3, FALSE))</f>
        <v>IDR</v>
      </c>
      <c r="G143" s="14" t="str">
        <f ca="1">IF(EXACT($D143, ""), "", VLOOKUP($D143, [3]DataLookUp!$B$4:$F$1000, 4, FALSE))</f>
        <v>Person - Langgeng Eko Dwiantoro</v>
      </c>
      <c r="I143" s="27">
        <f t="shared" si="5"/>
        <v>198000000000140</v>
      </c>
      <c r="J143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25000000000551::bigint, 167000000000140::bigint);</v>
      </c>
    </row>
    <row r="144" spans="2:10" x14ac:dyDescent="0.2">
      <c r="B144" s="5">
        <v>25000000000372</v>
      </c>
      <c r="C144" s="17" t="str">
        <f>IF(EXACT($B144, ""), "", IF(FLOOR(SEED!$B144/1000000000000, 1)=124, "Institution - "&amp;VLOOKUP(SEED!$B144, '[1]DataLookUp - InstitutionBranch'!$B$4:$C$1000, 2, FALSE), "Person - "&amp;VLOOKUP(SEED!$B144, [2]DataLookUp!$B$4:$D$1000, 2, FALSE)))</f>
        <v>Person - Roy Aditya</v>
      </c>
      <c r="D144" s="5">
        <v>167000000000141</v>
      </c>
      <c r="E144" s="10" t="str">
        <f ca="1">IF(EXACT($D144, ""), "", VLOOKUP($D144, [3]DataLookUp!$B$4:$F$1000, 2, FALSE))</f>
        <v>Bank Rakyat Indonesia - 034101085528508</v>
      </c>
      <c r="F144" s="11" t="str">
        <f ca="1">IF(EXACT($D144, ""), "", VLOOKUP($D144, [3]DataLookUp!$B$4:$F$1000, 3, FALSE))</f>
        <v>IDR</v>
      </c>
      <c r="G144" s="14" t="str">
        <f ca="1">IF(EXACT($D144, ""), "", VLOOKUP($D144, [3]DataLookUp!$B$4:$F$1000, 4, FALSE))</f>
        <v>Person - Roy Aditya</v>
      </c>
      <c r="I144" s="27">
        <f t="shared" si="5"/>
        <v>198000000000141</v>
      </c>
      <c r="J144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25000000000372::bigint, 167000000000141::bigint);</v>
      </c>
    </row>
    <row r="145" spans="2:10" x14ac:dyDescent="0.2">
      <c r="B145" s="5">
        <v>25000000000415</v>
      </c>
      <c r="C145" s="17" t="str">
        <f>IF(EXACT($B145, ""), "", IF(FLOOR(SEED!$B145/1000000000000, 1)=124, "Institution - "&amp;VLOOKUP(SEED!$B145, '[1]DataLookUp - InstitutionBranch'!$B$4:$C$1000, 2, FALSE), "Person - "&amp;VLOOKUP(SEED!$B145, [2]DataLookUp!$B$4:$D$1000, 2, FALSE)))</f>
        <v>Person - Sugiarto</v>
      </c>
      <c r="D145" s="5">
        <v>167000000000142</v>
      </c>
      <c r="E145" s="10" t="str">
        <f ca="1">IF(EXACT($D145, ""), "", VLOOKUP($D145, [3]DataLookUp!$B$4:$F$1000, 2, FALSE))</f>
        <v>Bank Rakyat Indonesia - 034101082539500</v>
      </c>
      <c r="F145" s="11" t="str">
        <f ca="1">IF(EXACT($D145, ""), "", VLOOKUP($D145, [3]DataLookUp!$B$4:$F$1000, 3, FALSE))</f>
        <v>IDR</v>
      </c>
      <c r="G145" s="14" t="str">
        <f ca="1">IF(EXACT($D145, ""), "", VLOOKUP($D145, [3]DataLookUp!$B$4:$F$1000, 4, FALSE))</f>
        <v>Person - Sulaeman</v>
      </c>
      <c r="I145" s="27">
        <f t="shared" si="5"/>
        <v>198000000000142</v>
      </c>
      <c r="J145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25000000000415::bigint, 167000000000142::bigint);</v>
      </c>
    </row>
    <row r="146" spans="2:10" x14ac:dyDescent="0.2">
      <c r="B146" s="5">
        <v>25000000000548</v>
      </c>
      <c r="C146" s="17" t="str">
        <f>IF(EXACT($B146, ""), "", IF(FLOOR(SEED!$B146/1000000000000, 1)=124, "Institution - "&amp;VLOOKUP(SEED!$B146, '[1]DataLookUp - InstitutionBranch'!$B$4:$C$1000, 2, FALSE), "Person - "&amp;VLOOKUP(SEED!$B146, [2]DataLookUp!$B$4:$D$1000, 2, FALSE)))</f>
        <v>Person - Sulaeman</v>
      </c>
      <c r="D146" s="5">
        <v>167000000000143</v>
      </c>
      <c r="E146" s="10" t="str">
        <f ca="1">IF(EXACT($D146, ""), "", VLOOKUP($D146, [3]DataLookUp!$B$4:$F$1000, 2, FALSE))</f>
        <v>Bank Rakyat Indonesia - 026901024911506</v>
      </c>
      <c r="F146" s="11" t="str">
        <f ca="1">IF(EXACT($D146, ""), "", VLOOKUP($D146, [3]DataLookUp!$B$4:$F$1000, 3, FALSE))</f>
        <v>IDR</v>
      </c>
      <c r="G146" s="14" t="str">
        <f ca="1">IF(EXACT($D146, ""), "", VLOOKUP($D146, [3]DataLookUp!$B$4:$F$1000, 4, FALSE))</f>
        <v>Person - Urbanus Boimau</v>
      </c>
      <c r="I146" s="27">
        <f t="shared" si="5"/>
        <v>198000000000143</v>
      </c>
      <c r="J146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25000000000548::bigint, 167000000000143::bigint);</v>
      </c>
    </row>
    <row r="147" spans="2:10" x14ac:dyDescent="0.2">
      <c r="B147" s="5">
        <v>25000000000458</v>
      </c>
      <c r="C147" s="17" t="str">
        <f>IF(EXACT($B147, ""), "", IF(FLOOR(SEED!$B147/1000000000000, 1)=124, "Institution - "&amp;VLOOKUP(SEED!$B147, '[1]DataLookUp - InstitutionBranch'!$B$4:$C$1000, 2, FALSE), "Person - "&amp;VLOOKUP(SEED!$B147, [2]DataLookUp!$B$4:$D$1000, 2, FALSE)))</f>
        <v>Person - Urbanus Boimau</v>
      </c>
      <c r="D147" s="5">
        <v>167000000000144</v>
      </c>
      <c r="E147" s="10" t="str">
        <f ca="1">IF(EXACT($D147, ""), "", VLOOKUP($D147, [3]DataLookUp!$B$4:$F$1000, 2, FALSE))</f>
        <v>Bank Central Asia - 5520769236</v>
      </c>
      <c r="F147" s="11" t="str">
        <f ca="1">IF(EXACT($D147, ""), "", VLOOKUP($D147, [3]DataLookUp!$B$4:$F$1000, 3, FALSE))</f>
        <v>IDR</v>
      </c>
      <c r="G147" s="14" t="str">
        <f ca="1">IF(EXACT($D147, ""), "", VLOOKUP($D147, [3]DataLookUp!$B$4:$F$1000, 4, FALSE))</f>
        <v>Person - Adhe Kurniawan</v>
      </c>
      <c r="I147" s="27">
        <f t="shared" si="5"/>
        <v>198000000000144</v>
      </c>
      <c r="J147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25000000000458::bigint, 167000000000144::bigint);</v>
      </c>
    </row>
    <row r="148" spans="2:10" x14ac:dyDescent="0.2">
      <c r="B148" s="5">
        <v>25000000000559</v>
      </c>
      <c r="C148" s="17" t="str">
        <f>IF(EXACT($B148, ""), "", IF(FLOOR(SEED!$B148/1000000000000, 1)=124, "Institution - "&amp;VLOOKUP(SEED!$B148, '[1]DataLookUp - InstitutionBranch'!$B$4:$C$1000, 2, FALSE), "Person - "&amp;VLOOKUP(SEED!$B148, [2]DataLookUp!$B$4:$D$1000, 2, FALSE)))</f>
        <v>Person - Adhe Kurniawan</v>
      </c>
      <c r="D148" s="5">
        <v>167000000000145</v>
      </c>
      <c r="E148" s="10" t="str">
        <f ca="1">IF(EXACT($D148, ""), "", VLOOKUP($D148, [3]DataLookUp!$B$4:$F$1000, 2, FALSE))</f>
        <v>Bank Rakyat Indonesia - 069501008650509</v>
      </c>
      <c r="F148" s="11" t="str">
        <f ca="1">IF(EXACT($D148, ""), "", VLOOKUP($D148, [3]DataLookUp!$B$4:$F$1000, 3, FALSE))</f>
        <v>IDR</v>
      </c>
      <c r="G148" s="14" t="str">
        <f ca="1">IF(EXACT($D148, ""), "", VLOOKUP($D148, [3]DataLookUp!$B$4:$F$1000, 4, FALSE))</f>
        <v>Person - Adhe Kurniawan</v>
      </c>
      <c r="I148" s="27">
        <f t="shared" ref="I148:I211" si="7" xml:space="preserve"> I147 + IF(EXACT(J148, ""), 0, 1)</f>
        <v>198000000000145</v>
      </c>
      <c r="J148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25000000000559::bigint, 167000000000145::bigint);</v>
      </c>
    </row>
    <row r="149" spans="2:10" x14ac:dyDescent="0.2">
      <c r="B149" s="5">
        <v>25000000000559</v>
      </c>
      <c r="C149" s="17" t="str">
        <f>IF(EXACT($B149, ""), "", IF(FLOOR(SEED!$B149/1000000000000, 1)=124, "Institution - "&amp;VLOOKUP(SEED!$B149, '[1]DataLookUp - InstitutionBranch'!$B$4:$C$1000, 2, FALSE), "Person - "&amp;VLOOKUP(SEED!$B149, [2]DataLookUp!$B$4:$D$1000, 2, FALSE)))</f>
        <v>Person - Adhe Kurniawan</v>
      </c>
      <c r="D149" s="5">
        <v>167000000000146</v>
      </c>
      <c r="E149" s="10" t="str">
        <f ca="1">IF(EXACT($D149, ""), "", VLOOKUP($D149, [3]DataLookUp!$B$4:$F$1000, 2, FALSE))</f>
        <v xml:space="preserve"> - </v>
      </c>
      <c r="F149" s="11" t="str">
        <f ca="1">IF(EXACT($D149, ""), "", VLOOKUP($D149, [3]DataLookUp!$B$4:$F$1000, 3, FALSE))</f>
        <v>Others</v>
      </c>
      <c r="G149" s="14" t="str">
        <f ca="1">IF(EXACT($D149, ""), "", VLOOKUP($D149, [3]DataLookUp!$B$4:$F$1000, 4, FALSE))</f>
        <v>Person - Ahmad Fauzi</v>
      </c>
      <c r="I149" s="27">
        <f t="shared" si="7"/>
        <v>198000000000146</v>
      </c>
      <c r="J149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25000000000559::bigint, 167000000000146::bigint);</v>
      </c>
    </row>
    <row r="150" spans="2:10" x14ac:dyDescent="0.2">
      <c r="B150" s="5">
        <v>25000000000560</v>
      </c>
      <c r="C150" s="17" t="str">
        <f>IF(EXACT($B150, ""), "", IF(FLOOR(SEED!$B150/1000000000000, 1)=124, "Institution - "&amp;VLOOKUP(SEED!$B150, '[1]DataLookUp - InstitutionBranch'!$B$4:$C$1000, 2, FALSE), "Person - "&amp;VLOOKUP(SEED!$B150, [2]DataLookUp!$B$4:$D$1000, 2, FALSE)))</f>
        <v>Person - Ahmad Fauzi</v>
      </c>
      <c r="D150" s="5">
        <v>167000000000147</v>
      </c>
      <c r="E150" s="10" t="str">
        <f ca="1">IF(EXACT($D150, ""), "", VLOOKUP($D150, [3]DataLookUp!$B$4:$F$1000, 2, FALSE))</f>
        <v xml:space="preserve"> - </v>
      </c>
      <c r="F150" s="11" t="str">
        <f ca="1">IF(EXACT($D150, ""), "", VLOOKUP($D150, [3]DataLookUp!$B$4:$F$1000, 3, FALSE))</f>
        <v>Others</v>
      </c>
      <c r="G150" s="14" t="str">
        <f ca="1">IF(EXACT($D150, ""), "", VLOOKUP($D150, [3]DataLookUp!$B$4:$F$1000, 4, FALSE))</f>
        <v>Person - Ahmad Gunawan</v>
      </c>
      <c r="I150" s="27">
        <f t="shared" si="7"/>
        <v>198000000000147</v>
      </c>
      <c r="J150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25000000000560::bigint, 167000000000147::bigint);</v>
      </c>
    </row>
    <row r="151" spans="2:10" x14ac:dyDescent="0.2">
      <c r="B151" s="5">
        <v>25000000000561</v>
      </c>
      <c r="C151" s="17" t="str">
        <f>IF(EXACT($B151, ""), "", IF(FLOOR(SEED!$B151/1000000000000, 1)=124, "Institution - "&amp;VLOOKUP(SEED!$B151, '[1]DataLookUp - InstitutionBranch'!$B$4:$C$1000, 2, FALSE), "Person - "&amp;VLOOKUP(SEED!$B151, [2]DataLookUp!$B$4:$D$1000, 2, FALSE)))</f>
        <v>Person - Ahmad Gunawan</v>
      </c>
      <c r="D151" s="5">
        <v>167000000000148</v>
      </c>
      <c r="E151" s="10" t="str">
        <f ca="1">IF(EXACT($D151, ""), "", VLOOKUP($D151, [3]DataLookUp!$B$4:$F$1000, 2, FALSE))</f>
        <v xml:space="preserve"> - </v>
      </c>
      <c r="F151" s="11" t="str">
        <f ca="1">IF(EXACT($D151, ""), "", VLOOKUP($D151, [3]DataLookUp!$B$4:$F$1000, 3, FALSE))</f>
        <v>Others</v>
      </c>
      <c r="G151" s="14" t="str">
        <f ca="1">IF(EXACT($D151, ""), "", VLOOKUP($D151, [3]DataLookUp!$B$4:$F$1000, 4, FALSE))</f>
        <v>Person - Andri Andriyan</v>
      </c>
      <c r="I151" s="27">
        <f t="shared" si="7"/>
        <v>198000000000148</v>
      </c>
      <c r="J151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25000000000561::bigint, 167000000000148::bigint);</v>
      </c>
    </row>
    <row r="152" spans="2:10" x14ac:dyDescent="0.2">
      <c r="B152" s="5">
        <v>25000000000562</v>
      </c>
      <c r="C152" s="17" t="str">
        <f>IF(EXACT($B152, ""), "", IF(FLOOR(SEED!$B152/1000000000000, 1)=124, "Institution - "&amp;VLOOKUP(SEED!$B152, '[1]DataLookUp - InstitutionBranch'!$B$4:$C$1000, 2, FALSE), "Person - "&amp;VLOOKUP(SEED!$B152, [2]DataLookUp!$B$4:$D$1000, 2, FALSE)))</f>
        <v>Person - Andri Andriyan</v>
      </c>
      <c r="D152" s="5">
        <v>167000000000149</v>
      </c>
      <c r="E152" s="10" t="str">
        <f ca="1">IF(EXACT($D152, ""), "", VLOOKUP($D152, [3]DataLookUp!$B$4:$F$1000, 2, FALSE))</f>
        <v xml:space="preserve"> - </v>
      </c>
      <c r="F152" s="11" t="str">
        <f ca="1">IF(EXACT($D152, ""), "", VLOOKUP($D152, [3]DataLookUp!$B$4:$F$1000, 3, FALSE))</f>
        <v>Others</v>
      </c>
      <c r="G152" s="14" t="str">
        <f ca="1">IF(EXACT($D152, ""), "", VLOOKUP($D152, [3]DataLookUp!$B$4:$F$1000, 4, FALSE))</f>
        <v>Person - Budi Sulistianto</v>
      </c>
      <c r="I152" s="27">
        <f t="shared" si="7"/>
        <v>198000000000149</v>
      </c>
      <c r="J152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25000000000562::bigint, 167000000000149::bigint);</v>
      </c>
    </row>
    <row r="153" spans="2:10" x14ac:dyDescent="0.2">
      <c r="B153" s="5">
        <v>25000000000563</v>
      </c>
      <c r="C153" s="17" t="str">
        <f>IF(EXACT($B153, ""), "", IF(FLOOR(SEED!$B153/1000000000000, 1)=124, "Institution - "&amp;VLOOKUP(SEED!$B153, '[1]DataLookUp - InstitutionBranch'!$B$4:$C$1000, 2, FALSE), "Person - "&amp;VLOOKUP(SEED!$B153, [2]DataLookUp!$B$4:$D$1000, 2, FALSE)))</f>
        <v>Person - Budi Sulistianto</v>
      </c>
      <c r="D153" s="5">
        <v>167000000000150</v>
      </c>
      <c r="E153" s="10" t="str">
        <f ca="1">IF(EXACT($D153, ""), "", VLOOKUP($D153, [3]DataLookUp!$B$4:$F$1000, 2, FALSE))</f>
        <v xml:space="preserve"> - </v>
      </c>
      <c r="F153" s="11" t="str">
        <f ca="1">IF(EXACT($D153, ""), "", VLOOKUP($D153, [3]DataLookUp!$B$4:$F$1000, 3, FALSE))</f>
        <v>Others</v>
      </c>
      <c r="G153" s="14" t="str">
        <f ca="1">IF(EXACT($D153, ""), "", VLOOKUP($D153, [3]DataLookUp!$B$4:$F$1000, 4, FALSE))</f>
        <v>Person - Eka Budi</v>
      </c>
      <c r="I153" s="27">
        <f t="shared" si="7"/>
        <v>198000000000150</v>
      </c>
      <c r="J153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25000000000563::bigint, 167000000000150::bigint);</v>
      </c>
    </row>
    <row r="154" spans="2:10" x14ac:dyDescent="0.2">
      <c r="B154" s="5">
        <v>25000000000564</v>
      </c>
      <c r="C154" s="17" t="str">
        <f>IF(EXACT($B154, ""), "", IF(FLOOR(SEED!$B154/1000000000000, 1)=124, "Institution - "&amp;VLOOKUP(SEED!$B154, '[1]DataLookUp - InstitutionBranch'!$B$4:$C$1000, 2, FALSE), "Person - "&amp;VLOOKUP(SEED!$B154, [2]DataLookUp!$B$4:$D$1000, 2, FALSE)))</f>
        <v>Person - Eka Budi</v>
      </c>
      <c r="D154" s="5">
        <v>167000000000151</v>
      </c>
      <c r="E154" s="10" t="str">
        <f ca="1">IF(EXACT($D154, ""), "", VLOOKUP($D154, [3]DataLookUp!$B$4:$F$1000, 2, FALSE))</f>
        <v>Bank Central Asia - 5520776887</v>
      </c>
      <c r="F154" s="11" t="str">
        <f ca="1">IF(EXACT($D154, ""), "", VLOOKUP($D154, [3]DataLookUp!$B$4:$F$1000, 3, FALSE))</f>
        <v>IDR</v>
      </c>
      <c r="G154" s="14" t="str">
        <f ca="1">IF(EXACT($D154, ""), "", VLOOKUP($D154, [3]DataLookUp!$B$4:$F$1000, 4, FALSE))</f>
        <v>Person - Eka Kurniawan Hidayatullah</v>
      </c>
      <c r="I154" s="27">
        <f t="shared" si="7"/>
        <v>198000000000151</v>
      </c>
      <c r="J154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25000000000564::bigint, 167000000000151::bigint);</v>
      </c>
    </row>
    <row r="155" spans="2:10" x14ac:dyDescent="0.2">
      <c r="B155" s="5">
        <v>25000000000126</v>
      </c>
      <c r="C155" s="17" t="str">
        <f>IF(EXACT($B155, ""), "", IF(FLOOR(SEED!$B155/1000000000000, 1)=124, "Institution - "&amp;VLOOKUP(SEED!$B155, '[1]DataLookUp - InstitutionBranch'!$B$4:$C$1000, 2, FALSE), "Person - "&amp;VLOOKUP(SEED!$B155, [2]DataLookUp!$B$4:$D$1000, 2, FALSE)))</f>
        <v>Person - Eka Kurniawan Hidayatullah</v>
      </c>
      <c r="D155" s="5">
        <v>167000000000152</v>
      </c>
      <c r="E155" s="10" t="str">
        <f ca="1">IF(EXACT($D155, ""), "", VLOOKUP($D155, [3]DataLookUp!$B$4:$F$1000, 2, FALSE))</f>
        <v xml:space="preserve"> - </v>
      </c>
      <c r="F155" s="11" t="str">
        <f ca="1">IF(EXACT($D155, ""), "", VLOOKUP($D155, [3]DataLookUp!$B$4:$F$1000, 3, FALSE))</f>
        <v>Others</v>
      </c>
      <c r="G155" s="14" t="str">
        <f ca="1">IF(EXACT($D155, ""), "", VLOOKUP($D155, [3]DataLookUp!$B$4:$F$1000, 4, FALSE))</f>
        <v>Person - Haerul Gunawan</v>
      </c>
      <c r="I155" s="27">
        <f t="shared" si="7"/>
        <v>198000000000152</v>
      </c>
      <c r="J155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25000000000126::bigint, 167000000000152::bigint);</v>
      </c>
    </row>
    <row r="156" spans="2:10" x14ac:dyDescent="0.2">
      <c r="B156" s="5">
        <v>25000000000565</v>
      </c>
      <c r="C156" s="17" t="str">
        <f>IF(EXACT($B156, ""), "", IF(FLOOR(SEED!$B156/1000000000000, 1)=124, "Institution - "&amp;VLOOKUP(SEED!$B156, '[1]DataLookUp - InstitutionBranch'!$B$4:$C$1000, 2, FALSE), "Person - "&amp;VLOOKUP(SEED!$B156, [2]DataLookUp!$B$4:$D$1000, 2, FALSE)))</f>
        <v>Person - Haerul Gunawan</v>
      </c>
      <c r="D156" s="5">
        <v>167000000000153</v>
      </c>
      <c r="E156" s="10" t="str">
        <f ca="1">IF(EXACT($D156, ""), "", VLOOKUP($D156, [3]DataLookUp!$B$4:$F$1000, 2, FALSE))</f>
        <v xml:space="preserve"> - </v>
      </c>
      <c r="F156" s="11" t="str">
        <f ca="1">IF(EXACT($D156, ""), "", VLOOKUP($D156, [3]DataLookUp!$B$4:$F$1000, 3, FALSE))</f>
        <v>Others</v>
      </c>
      <c r="G156" s="14" t="str">
        <f ca="1">IF(EXACT($D156, ""), "", VLOOKUP($D156, [3]DataLookUp!$B$4:$F$1000, 4, FALSE))</f>
        <v>Person - Irvan Agus</v>
      </c>
      <c r="I156" s="27">
        <f t="shared" si="7"/>
        <v>198000000000153</v>
      </c>
      <c r="J156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25000000000565::bigint, 167000000000153::bigint);</v>
      </c>
    </row>
    <row r="157" spans="2:10" x14ac:dyDescent="0.2">
      <c r="B157" s="5">
        <v>25000000000566</v>
      </c>
      <c r="C157" s="17" t="str">
        <f>IF(EXACT($B157, ""), "", IF(FLOOR(SEED!$B157/1000000000000, 1)=124, "Institution - "&amp;VLOOKUP(SEED!$B157, '[1]DataLookUp - InstitutionBranch'!$B$4:$C$1000, 2, FALSE), "Person - "&amp;VLOOKUP(SEED!$B157, [2]DataLookUp!$B$4:$D$1000, 2, FALSE)))</f>
        <v>Person - Irvan Agus</v>
      </c>
      <c r="D157" s="5">
        <v>167000000000154</v>
      </c>
      <c r="E157" s="10" t="str">
        <f ca="1">IF(EXACT($D157, ""), "", VLOOKUP($D157, [3]DataLookUp!$B$4:$F$1000, 2, FALSE))</f>
        <v xml:space="preserve"> - </v>
      </c>
      <c r="F157" s="11" t="str">
        <f ca="1">IF(EXACT($D157, ""), "", VLOOKUP($D157, [3]DataLookUp!$B$4:$F$1000, 3, FALSE))</f>
        <v>Others</v>
      </c>
      <c r="G157" s="14" t="str">
        <f ca="1">IF(EXACT($D157, ""), "", VLOOKUP($D157, [3]DataLookUp!$B$4:$F$1000, 4, FALSE))</f>
        <v>Person - Joshika Pradirga</v>
      </c>
      <c r="I157" s="27">
        <f t="shared" si="7"/>
        <v>198000000000154</v>
      </c>
      <c r="J157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25000000000566::bigint, 167000000000154::bigint);</v>
      </c>
    </row>
    <row r="158" spans="2:10" x14ac:dyDescent="0.2">
      <c r="B158" s="5">
        <v>25000000000567</v>
      </c>
      <c r="C158" s="17" t="str">
        <f>IF(EXACT($B158, ""), "", IF(FLOOR(SEED!$B158/1000000000000, 1)=124, "Institution - "&amp;VLOOKUP(SEED!$B158, '[1]DataLookUp - InstitutionBranch'!$B$4:$C$1000, 2, FALSE), "Person - "&amp;VLOOKUP(SEED!$B158, [2]DataLookUp!$B$4:$D$1000, 2, FALSE)))</f>
        <v>Person - Joshika Pradirga</v>
      </c>
      <c r="D158" s="5">
        <v>167000000000155</v>
      </c>
      <c r="E158" s="10" t="str">
        <f ca="1">IF(EXACT($D158, ""), "", VLOOKUP($D158, [3]DataLookUp!$B$4:$F$1000, 2, FALSE))</f>
        <v xml:space="preserve"> - </v>
      </c>
      <c r="F158" s="11" t="str">
        <f ca="1">IF(EXACT($D158, ""), "", VLOOKUP($D158, [3]DataLookUp!$B$4:$F$1000, 3, FALSE))</f>
        <v>Others</v>
      </c>
      <c r="G158" s="14" t="str">
        <f ca="1">IF(EXACT($D158, ""), "", VLOOKUP($D158, [3]DataLookUp!$B$4:$F$1000, 4, FALSE))</f>
        <v>Person - Khaidir</v>
      </c>
      <c r="I158" s="27">
        <f t="shared" si="7"/>
        <v>198000000000155</v>
      </c>
      <c r="J158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25000000000567::bigint, 167000000000155::bigint);</v>
      </c>
    </row>
    <row r="159" spans="2:10" x14ac:dyDescent="0.2">
      <c r="B159" s="5">
        <v>25000000000568</v>
      </c>
      <c r="C159" s="17" t="str">
        <f>IF(EXACT($B159, ""), "", IF(FLOOR(SEED!$B159/1000000000000, 1)=124, "Institution - "&amp;VLOOKUP(SEED!$B159, '[1]DataLookUp - InstitutionBranch'!$B$4:$C$1000, 2, FALSE), "Person - "&amp;VLOOKUP(SEED!$B159, [2]DataLookUp!$B$4:$D$1000, 2, FALSE)))</f>
        <v>Person - Khaidir</v>
      </c>
      <c r="D159" s="5">
        <v>167000000000156</v>
      </c>
      <c r="E159" s="10" t="str">
        <f ca="1">IF(EXACT($D159, ""), "", VLOOKUP($D159, [3]DataLookUp!$B$4:$F$1000, 2, FALSE))</f>
        <v xml:space="preserve"> - </v>
      </c>
      <c r="F159" s="11" t="str">
        <f ca="1">IF(EXACT($D159, ""), "", VLOOKUP($D159, [3]DataLookUp!$B$4:$F$1000, 3, FALSE))</f>
        <v>Others</v>
      </c>
      <c r="G159" s="14" t="str">
        <f ca="1">IF(EXACT($D159, ""), "", VLOOKUP($D159, [3]DataLookUp!$B$4:$F$1000, 4, FALSE))</f>
        <v>Person - Latip Muhlanto</v>
      </c>
      <c r="I159" s="27">
        <f t="shared" si="7"/>
        <v>198000000000156</v>
      </c>
      <c r="J159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25000000000568::bigint, 167000000000156::bigint);</v>
      </c>
    </row>
    <row r="160" spans="2:10" x14ac:dyDescent="0.2">
      <c r="B160" s="5">
        <v>25000000000569</v>
      </c>
      <c r="C160" s="17" t="str">
        <f>IF(EXACT($B160, ""), "", IF(FLOOR(SEED!$B160/1000000000000, 1)=124, "Institution - "&amp;VLOOKUP(SEED!$B160, '[1]DataLookUp - InstitutionBranch'!$B$4:$C$1000, 2, FALSE), "Person - "&amp;VLOOKUP(SEED!$B160, [2]DataLookUp!$B$4:$D$1000, 2, FALSE)))</f>
        <v>Person - Latip Muhlanto</v>
      </c>
      <c r="D160" s="5">
        <v>167000000000157</v>
      </c>
      <c r="E160" s="10" t="str">
        <f ca="1">IF(EXACT($D160, ""), "", VLOOKUP($D160, [3]DataLookUp!$B$4:$F$1000, 2, FALSE))</f>
        <v xml:space="preserve"> - </v>
      </c>
      <c r="F160" s="11" t="str">
        <f ca="1">IF(EXACT($D160, ""), "", VLOOKUP($D160, [3]DataLookUp!$B$4:$F$1000, 3, FALSE))</f>
        <v>Others</v>
      </c>
      <c r="G160" s="14" t="str">
        <f ca="1">IF(EXACT($D160, ""), "", VLOOKUP($D160, [3]DataLookUp!$B$4:$F$1000, 4, FALSE))</f>
        <v>Person - Leonardo Putra</v>
      </c>
      <c r="I160" s="27">
        <f t="shared" si="7"/>
        <v>198000000000157</v>
      </c>
      <c r="J160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25000000000569::bigint, 167000000000157::bigint);</v>
      </c>
    </row>
    <row r="161" spans="2:10" x14ac:dyDescent="0.2">
      <c r="B161" s="5">
        <v>25000000000570</v>
      </c>
      <c r="C161" s="17" t="str">
        <f>IF(EXACT($B161, ""), "", IF(FLOOR(SEED!$B161/1000000000000, 1)=124, "Institution - "&amp;VLOOKUP(SEED!$B161, '[1]DataLookUp - InstitutionBranch'!$B$4:$C$1000, 2, FALSE), "Person - "&amp;VLOOKUP(SEED!$B161, [2]DataLookUp!$B$4:$D$1000, 2, FALSE)))</f>
        <v>Person - Leonardo Putra</v>
      </c>
      <c r="D161" s="5">
        <v>167000000000158</v>
      </c>
      <c r="E161" s="10" t="str">
        <f ca="1">IF(EXACT($D161, ""), "", VLOOKUP($D161, [3]DataLookUp!$B$4:$F$1000, 2, FALSE))</f>
        <v xml:space="preserve"> - </v>
      </c>
      <c r="F161" s="11" t="str">
        <f ca="1">IF(EXACT($D161, ""), "", VLOOKUP($D161, [3]DataLookUp!$B$4:$F$1000, 3, FALSE))</f>
        <v>Others</v>
      </c>
      <c r="G161" s="14" t="str">
        <f ca="1">IF(EXACT($D161, ""), "", VLOOKUP($D161, [3]DataLookUp!$B$4:$F$1000, 4, FALSE))</f>
        <v>Person - Muhammad Ramadani</v>
      </c>
      <c r="I161" s="27">
        <f t="shared" si="7"/>
        <v>198000000000158</v>
      </c>
      <c r="J161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25000000000570::bigint, 167000000000158::bigint);</v>
      </c>
    </row>
    <row r="162" spans="2:10" x14ac:dyDescent="0.2">
      <c r="B162" s="5">
        <v>25000000000571</v>
      </c>
      <c r="C162" s="17" t="str">
        <f>IF(EXACT($B162, ""), "", IF(FLOOR(SEED!$B162/1000000000000, 1)=124, "Institution - "&amp;VLOOKUP(SEED!$B162, '[1]DataLookUp - InstitutionBranch'!$B$4:$C$1000, 2, FALSE), "Person - "&amp;VLOOKUP(SEED!$B162, [2]DataLookUp!$B$4:$D$1000, 2, FALSE)))</f>
        <v>Person - Muhammad Ramadani</v>
      </c>
      <c r="D162" s="5">
        <v>167000000000159</v>
      </c>
      <c r="E162" s="10" t="str">
        <f ca="1">IF(EXACT($D162, ""), "", VLOOKUP($D162, [3]DataLookUp!$B$4:$F$1000, 2, FALSE))</f>
        <v xml:space="preserve"> - </v>
      </c>
      <c r="F162" s="11" t="str">
        <f ca="1">IF(EXACT($D162, ""), "", VLOOKUP($D162, [3]DataLookUp!$B$4:$F$1000, 3, FALSE))</f>
        <v>Others</v>
      </c>
      <c r="G162" s="14" t="str">
        <f ca="1">IF(EXACT($D162, ""), "", VLOOKUP($D162, [3]DataLookUp!$B$4:$F$1000, 4, FALSE))</f>
        <v>Person - Musdalipa</v>
      </c>
      <c r="I162" s="27">
        <f t="shared" si="7"/>
        <v>198000000000159</v>
      </c>
      <c r="J162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25000000000571::bigint, 167000000000159::bigint);</v>
      </c>
    </row>
    <row r="163" spans="2:10" x14ac:dyDescent="0.2">
      <c r="B163" s="5">
        <v>25000000000572</v>
      </c>
      <c r="C163" s="17" t="str">
        <f>IF(EXACT($B163, ""), "", IF(FLOOR(SEED!$B163/1000000000000, 1)=124, "Institution - "&amp;VLOOKUP(SEED!$B163, '[1]DataLookUp - InstitutionBranch'!$B$4:$C$1000, 2, FALSE), "Person - "&amp;VLOOKUP(SEED!$B163, [2]DataLookUp!$B$4:$D$1000, 2, FALSE)))</f>
        <v>Person - Musdalipa</v>
      </c>
      <c r="D163" s="5">
        <v>167000000000160</v>
      </c>
      <c r="E163" s="10" t="str">
        <f ca="1">IF(EXACT($D163, ""), "", VLOOKUP($D163, [3]DataLookUp!$B$4:$F$1000, 2, FALSE))</f>
        <v xml:space="preserve"> - </v>
      </c>
      <c r="F163" s="11" t="str">
        <f ca="1">IF(EXACT($D163, ""), "", VLOOKUP($D163, [3]DataLookUp!$B$4:$F$1000, 3, FALSE))</f>
        <v>Others</v>
      </c>
      <c r="G163" s="14" t="str">
        <f ca="1">IF(EXACT($D163, ""), "", VLOOKUP($D163, [3]DataLookUp!$B$4:$F$1000, 4, FALSE))</f>
        <v>Person - Nico Melky</v>
      </c>
      <c r="I163" s="27">
        <f t="shared" si="7"/>
        <v>198000000000160</v>
      </c>
      <c r="J163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25000000000572::bigint, 167000000000160::bigint);</v>
      </c>
    </row>
    <row r="164" spans="2:10" x14ac:dyDescent="0.2">
      <c r="B164" s="5">
        <v>25000000000573</v>
      </c>
      <c r="C164" s="17" t="str">
        <f>IF(EXACT($B164, ""), "", IF(FLOOR(SEED!$B164/1000000000000, 1)=124, "Institution - "&amp;VLOOKUP(SEED!$B164, '[1]DataLookUp - InstitutionBranch'!$B$4:$C$1000, 2, FALSE), "Person - "&amp;VLOOKUP(SEED!$B164, [2]DataLookUp!$B$4:$D$1000, 2, FALSE)))</f>
        <v>Person - Nico Melky</v>
      </c>
      <c r="D164" s="5">
        <v>167000000000161</v>
      </c>
      <c r="E164" s="10" t="str">
        <f ca="1">IF(EXACT($D164, ""), "", VLOOKUP($D164, [3]DataLookUp!$B$4:$F$1000, 2, FALSE))</f>
        <v>Bank Central Asia - 8020227444</v>
      </c>
      <c r="F164" s="11" t="str">
        <f ca="1">IF(EXACT($D164, ""), "", VLOOKUP($D164, [3]DataLookUp!$B$4:$F$1000, 3, FALSE))</f>
        <v>IDR</v>
      </c>
      <c r="G164" s="14" t="str">
        <f ca="1">IF(EXACT($D164, ""), "", VLOOKUP($D164, [3]DataLookUp!$B$4:$F$1000, 4, FALSE))</f>
        <v>Person - Rahmata Novanisa</v>
      </c>
      <c r="I164" s="27">
        <f t="shared" si="7"/>
        <v>198000000000161</v>
      </c>
      <c r="J164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25000000000573::bigint, 167000000000161::bigint);</v>
      </c>
    </row>
    <row r="165" spans="2:10" x14ac:dyDescent="0.2">
      <c r="B165" s="5">
        <v>25000000000574</v>
      </c>
      <c r="C165" s="17" t="str">
        <f>IF(EXACT($B165, ""), "", IF(FLOOR(SEED!$B165/1000000000000, 1)=124, "Institution - "&amp;VLOOKUP(SEED!$B165, '[1]DataLookUp - InstitutionBranch'!$B$4:$C$1000, 2, FALSE), "Person - "&amp;VLOOKUP(SEED!$B165, [2]DataLookUp!$B$4:$D$1000, 2, FALSE)))</f>
        <v>Person - Rahmata Novanisa</v>
      </c>
      <c r="D165" s="5">
        <v>167000000000162</v>
      </c>
      <c r="E165" s="10" t="str">
        <f ca="1">IF(EXACT($D165, ""), "", VLOOKUP($D165, [3]DataLookUp!$B$4:$F$1000, 2, FALSE))</f>
        <v>Bank Central Asia - 0886361747</v>
      </c>
      <c r="F165" s="11" t="str">
        <f ca="1">IF(EXACT($D165, ""), "", VLOOKUP($D165, [3]DataLookUp!$B$4:$F$1000, 3, FALSE))</f>
        <v>IDR</v>
      </c>
      <c r="G165" s="14" t="str">
        <f ca="1">IF(EXACT($D165, ""), "", VLOOKUP($D165, [3]DataLookUp!$B$4:$F$1000, 4, FALSE))</f>
        <v>Person - Satrio Dhiaputra</v>
      </c>
      <c r="I165" s="27">
        <f t="shared" si="7"/>
        <v>198000000000162</v>
      </c>
      <c r="J165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25000000000574::bigint, 167000000000162::bigint);</v>
      </c>
    </row>
    <row r="166" spans="2:10" x14ac:dyDescent="0.2">
      <c r="B166" s="5">
        <v>25000000000575</v>
      </c>
      <c r="C166" s="17" t="str">
        <f>IF(EXACT($B166, ""), "", IF(FLOOR(SEED!$B166/1000000000000, 1)=124, "Institution - "&amp;VLOOKUP(SEED!$B166, '[1]DataLookUp - InstitutionBranch'!$B$4:$C$1000, 2, FALSE), "Person - "&amp;VLOOKUP(SEED!$B166, [2]DataLookUp!$B$4:$D$1000, 2, FALSE)))</f>
        <v>Person - Satrio Dhiaputra</v>
      </c>
      <c r="D166" s="5">
        <v>167000000000163</v>
      </c>
      <c r="E166" s="10" t="str">
        <f ca="1">IF(EXACT($D166, ""), "", VLOOKUP($D166, [3]DataLookUp!$B$4:$F$1000, 2, FALSE))</f>
        <v xml:space="preserve"> - </v>
      </c>
      <c r="F166" s="11" t="str">
        <f ca="1">IF(EXACT($D166, ""), "", VLOOKUP($D166, [3]DataLookUp!$B$4:$F$1000, 3, FALSE))</f>
        <v>Others</v>
      </c>
      <c r="G166" s="14" t="str">
        <f ca="1">IF(EXACT($D166, ""), "", VLOOKUP($D166, [3]DataLookUp!$B$4:$F$1000, 4, FALSE))</f>
        <v>Person - Sudirman</v>
      </c>
      <c r="I166" s="27">
        <f t="shared" si="7"/>
        <v>198000000000163</v>
      </c>
      <c r="J166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25000000000575::bigint, 167000000000163::bigint);</v>
      </c>
    </row>
    <row r="167" spans="2:10" x14ac:dyDescent="0.2">
      <c r="B167" s="5">
        <v>25000000000576</v>
      </c>
      <c r="C167" s="17" t="str">
        <f>IF(EXACT($B167, ""), "", IF(FLOOR(SEED!$B167/1000000000000, 1)=124, "Institution - "&amp;VLOOKUP(SEED!$B167, '[1]DataLookUp - InstitutionBranch'!$B$4:$C$1000, 2, FALSE), "Person - "&amp;VLOOKUP(SEED!$B167, [2]DataLookUp!$B$4:$D$1000, 2, FALSE)))</f>
        <v>Person - Sudirman</v>
      </c>
      <c r="D167" s="5">
        <v>167000000000164</v>
      </c>
      <c r="E167" s="10" t="str">
        <f ca="1">IF(EXACT($D167, ""), "", VLOOKUP($D167, [3]DataLookUp!$B$4:$F$1000, 2, FALSE))</f>
        <v xml:space="preserve"> - </v>
      </c>
      <c r="F167" s="11" t="str">
        <f ca="1">IF(EXACT($D167, ""), "", VLOOKUP($D167, [3]DataLookUp!$B$4:$F$1000, 3, FALSE))</f>
        <v>Others</v>
      </c>
      <c r="G167" s="14" t="str">
        <f ca="1">IF(EXACT($D167, ""), "", VLOOKUP($D167, [3]DataLookUp!$B$4:$F$1000, 4, FALSE))</f>
        <v>Person - Suparji</v>
      </c>
      <c r="I167" s="27">
        <f t="shared" si="7"/>
        <v>198000000000164</v>
      </c>
      <c r="J167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25000000000576::bigint, 167000000000164::bigint);</v>
      </c>
    </row>
    <row r="168" spans="2:10" x14ac:dyDescent="0.2">
      <c r="B168" s="5">
        <v>25000000000577</v>
      </c>
      <c r="C168" s="17" t="str">
        <f>IF(EXACT($B168, ""), "", IF(FLOOR(SEED!$B168/1000000000000, 1)=124, "Institution - "&amp;VLOOKUP(SEED!$B168, '[1]DataLookUp - InstitutionBranch'!$B$4:$C$1000, 2, FALSE), "Person - "&amp;VLOOKUP(SEED!$B168, [2]DataLookUp!$B$4:$D$1000, 2, FALSE)))</f>
        <v>Person - Suparji</v>
      </c>
      <c r="D168" s="5">
        <v>167000000000165</v>
      </c>
      <c r="E168" s="10" t="str">
        <f ca="1">IF(EXACT($D168, ""), "", VLOOKUP($D168, [3]DataLookUp!$B$4:$F$1000, 2, FALSE))</f>
        <v xml:space="preserve"> - </v>
      </c>
      <c r="F168" s="11" t="str">
        <f ca="1">IF(EXACT($D168, ""), "", VLOOKUP($D168, [3]DataLookUp!$B$4:$F$1000, 3, FALSE))</f>
        <v>Others</v>
      </c>
      <c r="G168" s="14" t="str">
        <f ca="1">IF(EXACT($D168, ""), "", VLOOKUP($D168, [3]DataLookUp!$B$4:$F$1000, 4, FALSE))</f>
        <v>Person - Taufik Iskandar</v>
      </c>
      <c r="I168" s="27">
        <f t="shared" si="7"/>
        <v>198000000000165</v>
      </c>
      <c r="J168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25000000000577::bigint, 167000000000165::bigint);</v>
      </c>
    </row>
    <row r="169" spans="2:10" x14ac:dyDescent="0.2">
      <c r="B169" s="5">
        <v>25000000000578</v>
      </c>
      <c r="C169" s="17" t="str">
        <f>IF(EXACT($B169, ""), "", IF(FLOOR(SEED!$B169/1000000000000, 1)=124, "Institution - "&amp;VLOOKUP(SEED!$B169, '[1]DataLookUp - InstitutionBranch'!$B$4:$C$1000, 2, FALSE), "Person - "&amp;VLOOKUP(SEED!$B169, [2]DataLookUp!$B$4:$D$1000, 2, FALSE)))</f>
        <v>Person - Taufik Iskandar</v>
      </c>
      <c r="D169" s="5">
        <v>167000000000166</v>
      </c>
      <c r="E169" s="10" t="str">
        <f ca="1">IF(EXACT($D169, ""), "", VLOOKUP($D169, [3]DataLookUp!$B$4:$F$1000, 2, FALSE))</f>
        <v>Bank Central Asia - 8801497411</v>
      </c>
      <c r="F169" s="11" t="str">
        <f ca="1">IF(EXACT($D169, ""), "", VLOOKUP($D169, [3]DataLookUp!$B$4:$F$1000, 3, FALSE))</f>
        <v>IDR</v>
      </c>
      <c r="G169" s="14" t="str">
        <f ca="1">IF(EXACT($D169, ""), "", VLOOKUP($D169, [3]DataLookUp!$B$4:$F$1000, 4, FALSE))</f>
        <v>Person - Tegar Hersaputra</v>
      </c>
      <c r="I169" s="27">
        <f t="shared" si="7"/>
        <v>198000000000166</v>
      </c>
      <c r="J169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25000000000578::bigint, 167000000000166::bigint);</v>
      </c>
    </row>
    <row r="170" spans="2:10" x14ac:dyDescent="0.2">
      <c r="B170" s="5">
        <v>25000000000579</v>
      </c>
      <c r="C170" s="17" t="str">
        <f>IF(EXACT($B170, ""), "", IF(FLOOR(SEED!$B170/1000000000000, 1)=124, "Institution - "&amp;VLOOKUP(SEED!$B170, '[1]DataLookUp - InstitutionBranch'!$B$4:$C$1000, 2, FALSE), "Person - "&amp;VLOOKUP(SEED!$B170, [2]DataLookUp!$B$4:$D$1000, 2, FALSE)))</f>
        <v>Person - Tegar Hersaputra</v>
      </c>
      <c r="D170" s="5">
        <v>167000000000167</v>
      </c>
      <c r="E170" s="10" t="str">
        <f ca="1">IF(EXACT($D170, ""), "", VLOOKUP($D170, [3]DataLookUp!$B$4:$F$1000, 2, FALSE))</f>
        <v xml:space="preserve"> - </v>
      </c>
      <c r="F170" s="11" t="str">
        <f ca="1">IF(EXACT($D170, ""), "", VLOOKUP($D170, [3]DataLookUp!$B$4:$F$1000, 3, FALSE))</f>
        <v>Others</v>
      </c>
      <c r="G170" s="14" t="str">
        <f ca="1">IF(EXACT($D170, ""), "", VLOOKUP($D170, [3]DataLookUp!$B$4:$F$1000, 4, FALSE))</f>
        <v>Person - Togar Sihombing</v>
      </c>
      <c r="I170" s="27">
        <f t="shared" si="7"/>
        <v>198000000000167</v>
      </c>
      <c r="J170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25000000000579::bigint, 167000000000167::bigint);</v>
      </c>
    </row>
    <row r="171" spans="2:10" x14ac:dyDescent="0.2">
      <c r="B171" s="5">
        <v>25000000000580</v>
      </c>
      <c r="C171" s="17" t="str">
        <f>IF(EXACT($B171, ""), "", IF(FLOOR(SEED!$B171/1000000000000, 1)=124, "Institution - "&amp;VLOOKUP(SEED!$B171, '[1]DataLookUp - InstitutionBranch'!$B$4:$C$1000, 2, FALSE), "Person - "&amp;VLOOKUP(SEED!$B171, [2]DataLookUp!$B$4:$D$1000, 2, FALSE)))</f>
        <v>Person - Togar Sihombing</v>
      </c>
      <c r="D171" s="5">
        <v>167000000000168</v>
      </c>
      <c r="E171" s="10" t="str">
        <f ca="1">IF(EXACT($D171, ""), "", VLOOKUP($D171, [3]DataLookUp!$B$4:$F$1000, 2, FALSE))</f>
        <v>Bank Central Asia -  2730511712</v>
      </c>
      <c r="F171" s="11" t="str">
        <f ca="1">IF(EXACT($D171, ""), "", VLOOKUP($D171, [3]DataLookUp!$B$4:$F$1000, 3, FALSE))</f>
        <v>IDR</v>
      </c>
      <c r="G171" s="14" t="str">
        <f ca="1">IF(EXACT($D171, ""), "", VLOOKUP($D171, [3]DataLookUp!$B$4:$F$1000, 4, FALSE))</f>
        <v>Person - Wisnu Trenggono Wirayuda</v>
      </c>
      <c r="I171" s="27">
        <f t="shared" si="7"/>
        <v>198000000000168</v>
      </c>
      <c r="J171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25000000000580::bigint, 167000000000168::bigint);</v>
      </c>
    </row>
    <row r="172" spans="2:10" x14ac:dyDescent="0.2">
      <c r="B172" s="5">
        <v>25000000000581</v>
      </c>
      <c r="C172" s="17" t="str">
        <f>IF(EXACT($B172, ""), "", IF(FLOOR(SEED!$B172/1000000000000, 1)=124, "Institution - "&amp;VLOOKUP(SEED!$B172, '[1]DataLookUp - InstitutionBranch'!$B$4:$C$1000, 2, FALSE), "Person - "&amp;VLOOKUP(SEED!$B172, [2]DataLookUp!$B$4:$D$1000, 2, FALSE)))</f>
        <v>Person - Wisnu Trenggono Wirayuda</v>
      </c>
      <c r="D172" s="5">
        <v>167000000000169</v>
      </c>
      <c r="E172" s="10" t="str">
        <f ca="1">IF(EXACT($D172, ""), "", VLOOKUP($D172, [3]DataLookUp!$B$4:$F$1000, 2, FALSE))</f>
        <v xml:space="preserve"> - </v>
      </c>
      <c r="F172" s="11" t="str">
        <f ca="1">IF(EXACT($D172, ""), "", VLOOKUP($D172, [3]DataLookUp!$B$4:$F$1000, 3, FALSE))</f>
        <v>Others</v>
      </c>
      <c r="G172" s="14" t="str">
        <f ca="1">IF(EXACT($D172, ""), "", VLOOKUP($D172, [3]DataLookUp!$B$4:$F$1000, 4, FALSE))</f>
        <v>Person - Yogo</v>
      </c>
      <c r="I172" s="27">
        <f t="shared" si="7"/>
        <v>198000000000169</v>
      </c>
      <c r="J172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25000000000581::bigint, 167000000000169::bigint);</v>
      </c>
    </row>
    <row r="173" spans="2:10" x14ac:dyDescent="0.2">
      <c r="B173" s="5">
        <v>25000000000582</v>
      </c>
      <c r="C173" s="17" t="str">
        <f>IF(EXACT($B173, ""), "", IF(FLOOR(SEED!$B173/1000000000000, 1)=124, "Institution - "&amp;VLOOKUP(SEED!$B173, '[1]DataLookUp - InstitutionBranch'!$B$4:$C$1000, 2, FALSE), "Person - "&amp;VLOOKUP(SEED!$B173, [2]DataLookUp!$B$4:$D$1000, 2, FALSE)))</f>
        <v>Person - Yogo</v>
      </c>
      <c r="D173" s="5">
        <v>167000000000170</v>
      </c>
      <c r="E173" s="10" t="str">
        <f ca="1">IF(EXACT($D173, ""), "", VLOOKUP($D173, [3]DataLookUp!$B$4:$F$1000, 2, FALSE))</f>
        <v xml:space="preserve"> - </v>
      </c>
      <c r="F173" s="11" t="str">
        <f ca="1">IF(EXACT($D173, ""), "", VLOOKUP($D173, [3]DataLookUp!$B$4:$F$1000, 3, FALSE))</f>
        <v>Others</v>
      </c>
      <c r="G173" s="14" t="str">
        <f ca="1">IF(EXACT($D173, ""), "", VLOOKUP($D173, [3]DataLookUp!$B$4:$F$1000, 4, FALSE))</f>
        <v>Person - Yustiana Firda</v>
      </c>
      <c r="I173" s="27">
        <f t="shared" si="7"/>
        <v>198000000000170</v>
      </c>
      <c r="J173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25000000000582::bigint, 167000000000170::bigint);</v>
      </c>
    </row>
    <row r="174" spans="2:10" x14ac:dyDescent="0.2">
      <c r="B174" s="5">
        <v>25000000000583</v>
      </c>
      <c r="C174" s="17" t="str">
        <f>IF(EXACT($B174, ""), "", IF(FLOOR(SEED!$B174/1000000000000, 1)=124, "Institution - "&amp;VLOOKUP(SEED!$B174, '[1]DataLookUp - InstitutionBranch'!$B$4:$C$1000, 2, FALSE), "Person - "&amp;VLOOKUP(SEED!$B174, [2]DataLookUp!$B$4:$D$1000, 2, FALSE)))</f>
        <v>Person - Yustiana Firda</v>
      </c>
      <c r="D174" s="5">
        <v>167000000000171</v>
      </c>
      <c r="E174" s="10" t="str">
        <f ca="1">IF(EXACT($D174, ""), "", VLOOKUP($D174, [3]DataLookUp!$B$4:$F$1000, 2, FALSE))</f>
        <v xml:space="preserve"> - </v>
      </c>
      <c r="F174" s="11" t="str">
        <f ca="1">IF(EXACT($D174, ""), "", VLOOKUP($D174, [3]DataLookUp!$B$4:$F$1000, 3, FALSE))</f>
        <v>Others</v>
      </c>
      <c r="G174" s="14" t="str">
        <f ca="1">IF(EXACT($D174, ""), "", VLOOKUP($D174, [3]DataLookUp!$B$4:$F$1000, 4, FALSE))</f>
        <v>Person - Zainal Abidin</v>
      </c>
      <c r="I174" s="27">
        <f t="shared" si="7"/>
        <v>198000000000171</v>
      </c>
      <c r="J174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25000000000583::bigint, 167000000000171::bigint);</v>
      </c>
    </row>
    <row r="175" spans="2:10" x14ac:dyDescent="0.2">
      <c r="B175" s="5">
        <v>25000000000584</v>
      </c>
      <c r="C175" s="17" t="str">
        <f>IF(EXACT($B175, ""), "", IF(FLOOR(SEED!$B175/1000000000000, 1)=124, "Institution - "&amp;VLOOKUP(SEED!$B175, '[1]DataLookUp - InstitutionBranch'!$B$4:$C$1000, 2, FALSE), "Person - "&amp;VLOOKUP(SEED!$B175, [2]DataLookUp!$B$4:$D$1000, 2, FALSE)))</f>
        <v>Person - Zainal Abidin</v>
      </c>
      <c r="D175" s="5">
        <v>167000000000172</v>
      </c>
      <c r="E175" s="10" t="str">
        <f ca="1">IF(EXACT($D175, ""), "", VLOOKUP($D175, [3]DataLookUp!$B$4:$F$1000, 2, FALSE))</f>
        <v xml:space="preserve"> - </v>
      </c>
      <c r="F175" s="11" t="str">
        <f ca="1">IF(EXACT($D175, ""), "", VLOOKUP($D175, [3]DataLookUp!$B$4:$F$1000, 3, FALSE))</f>
        <v>Others</v>
      </c>
      <c r="G175" s="14" t="str">
        <f ca="1">IF(EXACT($D175, ""), "", VLOOKUP($D175, [3]DataLookUp!$B$4:$F$1000, 4, FALSE))</f>
        <v>Person - Budi Sandika</v>
      </c>
      <c r="I175" s="27">
        <f t="shared" si="7"/>
        <v>198000000000172</v>
      </c>
      <c r="J175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25000000000584::bigint, 167000000000172::bigint);</v>
      </c>
    </row>
    <row r="176" spans="2:10" x14ac:dyDescent="0.2">
      <c r="B176" s="5">
        <v>25000000000585</v>
      </c>
      <c r="C176" s="17" t="str">
        <f>IF(EXACT($B176, ""), "", IF(FLOOR(SEED!$B176/1000000000000, 1)=124, "Institution - "&amp;VLOOKUP(SEED!$B176, '[1]DataLookUp - InstitutionBranch'!$B$4:$C$1000, 2, FALSE), "Person - "&amp;VLOOKUP(SEED!$B176, [2]DataLookUp!$B$4:$D$1000, 2, FALSE)))</f>
        <v>Person - Budi Sandika</v>
      </c>
      <c r="D176" s="5">
        <v>167000000000173</v>
      </c>
      <c r="E176" s="10" t="str">
        <f ca="1">IF(EXACT($D176, ""), "", VLOOKUP($D176, [3]DataLookUp!$B$4:$F$1000, 2, FALSE))</f>
        <v xml:space="preserve"> - </v>
      </c>
      <c r="F176" s="11" t="str">
        <f ca="1">IF(EXACT($D176, ""), "", VLOOKUP($D176, [3]DataLookUp!$B$4:$F$1000, 3, FALSE))</f>
        <v>Others</v>
      </c>
      <c r="G176" s="14" t="str">
        <f ca="1">IF(EXACT($D176, ""), "", VLOOKUP($D176, [3]DataLookUp!$B$4:$F$1000, 4, FALSE))</f>
        <v>Person - Fachri Azhar</v>
      </c>
      <c r="I176" s="27">
        <f t="shared" si="7"/>
        <v>198000000000173</v>
      </c>
      <c r="J176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25000000000585::bigint, 167000000000173::bigint);</v>
      </c>
    </row>
    <row r="177" spans="2:10" x14ac:dyDescent="0.2">
      <c r="B177" s="5">
        <v>25000000000586</v>
      </c>
      <c r="C177" s="17" t="str">
        <f>IF(EXACT($B177, ""), "", IF(FLOOR(SEED!$B177/1000000000000, 1)=124, "Institution - "&amp;VLOOKUP(SEED!$B177, '[1]DataLookUp - InstitutionBranch'!$B$4:$C$1000, 2, FALSE), "Person - "&amp;VLOOKUP(SEED!$B177, [2]DataLookUp!$B$4:$D$1000, 2, FALSE)))</f>
        <v>Person - Fachri Azhar</v>
      </c>
      <c r="D177" s="5">
        <v>167000000000174</v>
      </c>
      <c r="E177" s="10" t="str">
        <f ca="1">IF(EXACT($D177, ""), "", VLOOKUP($D177, [3]DataLookUp!$B$4:$F$1000, 2, FALSE))</f>
        <v xml:space="preserve"> - </v>
      </c>
      <c r="F177" s="11" t="str">
        <f ca="1">IF(EXACT($D177, ""), "", VLOOKUP($D177, [3]DataLookUp!$B$4:$F$1000, 3, FALSE))</f>
        <v>Others</v>
      </c>
      <c r="G177" s="14" t="str">
        <f ca="1">IF(EXACT($D177, ""), "", VLOOKUP($D177, [3]DataLookUp!$B$4:$F$1000, 4, FALSE))</f>
        <v>Person - Firmansyah Awaludin</v>
      </c>
      <c r="I177" s="27">
        <f t="shared" si="7"/>
        <v>198000000000174</v>
      </c>
      <c r="J177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25000000000586::bigint, 167000000000174::bigint);</v>
      </c>
    </row>
    <row r="178" spans="2:10" x14ac:dyDescent="0.2">
      <c r="B178" s="5">
        <v>25000000000587</v>
      </c>
      <c r="C178" s="17" t="str">
        <f>IF(EXACT($B178, ""), "", IF(FLOOR(SEED!$B178/1000000000000, 1)=124, "Institution - "&amp;VLOOKUP(SEED!$B178, '[1]DataLookUp - InstitutionBranch'!$B$4:$C$1000, 2, FALSE), "Person - "&amp;VLOOKUP(SEED!$B178, [2]DataLookUp!$B$4:$D$1000, 2, FALSE)))</f>
        <v>Person - Firmansyah Awaludin</v>
      </c>
      <c r="D178" s="5">
        <v>167000000000175</v>
      </c>
      <c r="E178" s="10" t="str">
        <f ca="1">IF(EXACT($D178, ""), "", VLOOKUP($D178, [3]DataLookUp!$B$4:$F$1000, 2, FALSE))</f>
        <v>Bank Rakyat Indonesia - 038401073431507</v>
      </c>
      <c r="F178" s="11" t="str">
        <f ca="1">IF(EXACT($D178, ""), "", VLOOKUP($D178, [3]DataLookUp!$B$4:$F$1000, 3, FALSE))</f>
        <v>IDR</v>
      </c>
      <c r="G178" s="14" t="str">
        <f ca="1">IF(EXACT($D178, ""), "", VLOOKUP($D178, [3]DataLookUp!$B$4:$F$1000, 4, FALSE))</f>
        <v>Person - Iman Faisal Abdurahman</v>
      </c>
      <c r="I178" s="27">
        <f t="shared" si="7"/>
        <v>198000000000175</v>
      </c>
      <c r="J178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25000000000587::bigint, 167000000000175::bigint);</v>
      </c>
    </row>
    <row r="179" spans="2:10" x14ac:dyDescent="0.2">
      <c r="B179" s="5">
        <v>25000000000588</v>
      </c>
      <c r="C179" s="17" t="str">
        <f>IF(EXACT($B179, ""), "", IF(FLOOR(SEED!$B179/1000000000000, 1)=124, "Institution - "&amp;VLOOKUP(SEED!$B179, '[1]DataLookUp - InstitutionBranch'!$B$4:$C$1000, 2, FALSE), "Person - "&amp;VLOOKUP(SEED!$B179, [2]DataLookUp!$B$4:$D$1000, 2, FALSE)))</f>
        <v>Person - Iman Faisal Abdurahman</v>
      </c>
      <c r="D179" s="5">
        <v>167000000000176</v>
      </c>
      <c r="E179" s="10" t="str">
        <f ca="1">IF(EXACT($D179, ""), "", VLOOKUP($D179, [3]DataLookUp!$B$4:$F$1000, 2, FALSE))</f>
        <v xml:space="preserve"> - </v>
      </c>
      <c r="F179" s="11" t="str">
        <f ca="1">IF(EXACT($D179, ""), "", VLOOKUP($D179, [3]DataLookUp!$B$4:$F$1000, 3, FALSE))</f>
        <v>Others</v>
      </c>
      <c r="G179" s="14" t="str">
        <f ca="1">IF(EXACT($D179, ""), "", VLOOKUP($D179, [3]DataLookUp!$B$4:$F$1000, 4, FALSE))</f>
        <v>Person - Muhammad Irfan Alfikri Rayana</v>
      </c>
      <c r="I179" s="27">
        <f t="shared" si="7"/>
        <v>198000000000176</v>
      </c>
      <c r="J179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25000000000588::bigint, 167000000000176::bigint);</v>
      </c>
    </row>
    <row r="180" spans="2:10" x14ac:dyDescent="0.2">
      <c r="B180" s="5">
        <v>25000000000589</v>
      </c>
      <c r="C180" s="17" t="str">
        <f>IF(EXACT($B180, ""), "", IF(FLOOR(SEED!$B180/1000000000000, 1)=124, "Institution - "&amp;VLOOKUP(SEED!$B180, '[1]DataLookUp - InstitutionBranch'!$B$4:$C$1000, 2, FALSE), "Person - "&amp;VLOOKUP(SEED!$B180, [2]DataLookUp!$B$4:$D$1000, 2, FALSE)))</f>
        <v>Person - Muhammad Irfan Alfikri Rayana</v>
      </c>
      <c r="D180" s="5">
        <v>167000000000177</v>
      </c>
      <c r="E180" s="10" t="str">
        <f ca="1">IF(EXACT($D180, ""), "", VLOOKUP($D180, [3]DataLookUp!$B$4:$F$1000, 2, FALSE))</f>
        <v xml:space="preserve"> - </v>
      </c>
      <c r="F180" s="11" t="str">
        <f ca="1">IF(EXACT($D180, ""), "", VLOOKUP($D180, [3]DataLookUp!$B$4:$F$1000, 3, FALSE))</f>
        <v>Others</v>
      </c>
      <c r="G180" s="14" t="str">
        <f ca="1">IF(EXACT($D180, ""), "", VLOOKUP($D180, [3]DataLookUp!$B$4:$F$1000, 4, FALSE))</f>
        <v>Person - Syafri Johansah</v>
      </c>
      <c r="I180" s="27">
        <f t="shared" si="7"/>
        <v>198000000000177</v>
      </c>
      <c r="J180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25000000000589::bigint, 167000000000177::bigint);</v>
      </c>
    </row>
    <row r="181" spans="2:10" x14ac:dyDescent="0.2">
      <c r="B181" s="5">
        <v>25000000000590</v>
      </c>
      <c r="C181" s="17" t="str">
        <f>IF(EXACT($B181, ""), "", IF(FLOOR(SEED!$B181/1000000000000, 1)=124, "Institution - "&amp;VLOOKUP(SEED!$B181, '[1]DataLookUp - InstitutionBranch'!$B$4:$C$1000, 2, FALSE), "Person - "&amp;VLOOKUP(SEED!$B181, [2]DataLookUp!$B$4:$D$1000, 2, FALSE)))</f>
        <v>Person - Syafri Johansah</v>
      </c>
      <c r="D181" s="5">
        <v>167000000000178</v>
      </c>
      <c r="E181" s="10" t="str">
        <f ca="1">IF(EXACT($D181, ""), "", VLOOKUP($D181, [3]DataLookUp!$B$4:$F$1000, 2, FALSE))</f>
        <v xml:space="preserve"> - </v>
      </c>
      <c r="F181" s="11" t="str">
        <f ca="1">IF(EXACT($D181, ""), "", VLOOKUP($D181, [3]DataLookUp!$B$4:$F$1000, 3, FALSE))</f>
        <v>Others</v>
      </c>
      <c r="G181" s="14" t="str">
        <f ca="1">IF(EXACT($D181, ""), "", VLOOKUP($D181, [3]DataLookUp!$B$4:$F$1000, 4, FALSE))</f>
        <v>Person - Agus Sobar</v>
      </c>
      <c r="I181" s="27">
        <f t="shared" si="7"/>
        <v>198000000000178</v>
      </c>
      <c r="J181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25000000000590::bigint, 167000000000178::bigint);</v>
      </c>
    </row>
    <row r="182" spans="2:10" x14ac:dyDescent="0.2">
      <c r="B182" s="5">
        <v>25000000000591</v>
      </c>
      <c r="C182" s="17" t="str">
        <f>IF(EXACT($B182, ""), "", IF(FLOOR(SEED!$B182/1000000000000, 1)=124, "Institution - "&amp;VLOOKUP(SEED!$B182, '[1]DataLookUp - InstitutionBranch'!$B$4:$C$1000, 2, FALSE), "Person - "&amp;VLOOKUP(SEED!$B182, [2]DataLookUp!$B$4:$D$1000, 2, FALSE)))</f>
        <v>Person - Agus Sobar</v>
      </c>
      <c r="D182" s="5">
        <v>167000000000179</v>
      </c>
      <c r="E182" s="10" t="str">
        <f ca="1">IF(EXACT($D182, ""), "", VLOOKUP($D182, [3]DataLookUp!$B$4:$F$1000, 2, FALSE))</f>
        <v>Bank Central Asia - 0354409671</v>
      </c>
      <c r="F182" s="11" t="str">
        <f ca="1">IF(EXACT($D182, ""), "", VLOOKUP($D182, [3]DataLookUp!$B$4:$F$1000, 3, FALSE))</f>
        <v>IDR</v>
      </c>
      <c r="G182" s="14" t="str">
        <f ca="1">IF(EXACT($D182, ""), "", VLOOKUP($D182, [3]DataLookUp!$B$4:$F$1000, 4, FALSE))</f>
        <v>Person - Ahmad Sandi Asyuri</v>
      </c>
      <c r="I182" s="27">
        <f t="shared" si="7"/>
        <v>198000000000179</v>
      </c>
      <c r="J182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25000000000591::bigint, 167000000000179::bigint);</v>
      </c>
    </row>
    <row r="183" spans="2:10" x14ac:dyDescent="0.2">
      <c r="B183" s="5">
        <v>25000000000592</v>
      </c>
      <c r="C183" s="17" t="str">
        <f>IF(EXACT($B183, ""), "", IF(FLOOR(SEED!$B183/1000000000000, 1)=124, "Institution - "&amp;VLOOKUP(SEED!$B183, '[1]DataLookUp - InstitutionBranch'!$B$4:$C$1000, 2, FALSE), "Person - "&amp;VLOOKUP(SEED!$B183, [2]DataLookUp!$B$4:$D$1000, 2, FALSE)))</f>
        <v>Person - Ahmad Sandi Asyuri</v>
      </c>
      <c r="D183" s="5">
        <v>167000000000180</v>
      </c>
      <c r="E183" s="10" t="str">
        <f ca="1">IF(EXACT($D183, ""), "", VLOOKUP($D183, [3]DataLookUp!$B$4:$F$1000, 2, FALSE))</f>
        <v>Bank Central Asia - 7025035526</v>
      </c>
      <c r="F183" s="11" t="str">
        <f ca="1">IF(EXACT($D183, ""), "", VLOOKUP($D183, [3]DataLookUp!$B$4:$F$1000, 3, FALSE))</f>
        <v>IDR</v>
      </c>
      <c r="G183" s="14" t="str">
        <f ca="1">IF(EXACT($D183, ""), "", VLOOKUP($D183, [3]DataLookUp!$B$4:$F$1000, 4, FALSE))</f>
        <v>Person - Andi Mapasoro</v>
      </c>
      <c r="I183" s="27">
        <f t="shared" si="7"/>
        <v>198000000000180</v>
      </c>
      <c r="J183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25000000000592::bigint, 167000000000180::bigint);</v>
      </c>
    </row>
    <row r="184" spans="2:10" x14ac:dyDescent="0.2">
      <c r="B184" s="5">
        <v>25000000000593</v>
      </c>
      <c r="C184" s="17" t="str">
        <f>IF(EXACT($B184, ""), "", IF(FLOOR(SEED!$B184/1000000000000, 1)=124, "Institution - "&amp;VLOOKUP(SEED!$B184, '[1]DataLookUp - InstitutionBranch'!$B$4:$C$1000, 2, FALSE), "Person - "&amp;VLOOKUP(SEED!$B184, [2]DataLookUp!$B$4:$D$1000, 2, FALSE)))</f>
        <v>Person - Andi Mapasoro</v>
      </c>
      <c r="D184" s="5">
        <v>167000000000181</v>
      </c>
      <c r="E184" s="10" t="str">
        <f ca="1">IF(EXACT($D184, ""), "", VLOOKUP($D184, [3]DataLookUp!$B$4:$F$1000, 2, FALSE))</f>
        <v xml:space="preserve"> - </v>
      </c>
      <c r="F184" s="11" t="str">
        <f ca="1">IF(EXACT($D184, ""), "", VLOOKUP($D184, [3]DataLookUp!$B$4:$F$1000, 3, FALSE))</f>
        <v>Others</v>
      </c>
      <c r="G184" s="14" t="str">
        <f ca="1">IF(EXACT($D184, ""), "", VLOOKUP($D184, [3]DataLookUp!$B$4:$F$1000, 4, FALSE))</f>
        <v>Person - Arie Gustaman</v>
      </c>
      <c r="I184" s="27">
        <f t="shared" si="7"/>
        <v>198000000000181</v>
      </c>
      <c r="J184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25000000000593::bigint, 167000000000181::bigint);</v>
      </c>
    </row>
    <row r="185" spans="2:10" x14ac:dyDescent="0.2">
      <c r="B185" s="5">
        <v>25000000000594</v>
      </c>
      <c r="C185" s="17" t="str">
        <f>IF(EXACT($B185, ""), "", IF(FLOOR(SEED!$B185/1000000000000, 1)=124, "Institution - "&amp;VLOOKUP(SEED!$B185, '[1]DataLookUp - InstitutionBranch'!$B$4:$C$1000, 2, FALSE), "Person - "&amp;VLOOKUP(SEED!$B185, [2]DataLookUp!$B$4:$D$1000, 2, FALSE)))</f>
        <v>Person - Arie Gustaman</v>
      </c>
      <c r="D185" s="5">
        <v>167000000000182</v>
      </c>
      <c r="E185" s="10" t="str">
        <f ca="1">IF(EXACT($D185, ""), "", VLOOKUP($D185, [3]DataLookUp!$B$4:$F$1000, 2, FALSE))</f>
        <v>Bank Rakyat Indonesia - 669501015343535</v>
      </c>
      <c r="F185" s="11" t="str">
        <f ca="1">IF(EXACT($D185, ""), "", VLOOKUP($D185, [3]DataLookUp!$B$4:$F$1000, 3, FALSE))</f>
        <v>IDR</v>
      </c>
      <c r="G185" s="14" t="str">
        <f ca="1">IF(EXACT($D185, ""), "", VLOOKUP($D185, [3]DataLookUp!$B$4:$F$1000, 4, FALSE))</f>
        <v>Person - Arief Yulianto</v>
      </c>
      <c r="I185" s="27">
        <f t="shared" si="7"/>
        <v>198000000000182</v>
      </c>
      <c r="J185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25000000000594::bigint, 167000000000182::bigint);</v>
      </c>
    </row>
    <row r="186" spans="2:10" x14ac:dyDescent="0.2">
      <c r="B186" s="5">
        <v>25000000000595</v>
      </c>
      <c r="C186" s="17" t="str">
        <f>IF(EXACT($B186, ""), "", IF(FLOOR(SEED!$B186/1000000000000, 1)=124, "Institution - "&amp;VLOOKUP(SEED!$B186, '[1]DataLookUp - InstitutionBranch'!$B$4:$C$1000, 2, FALSE), "Person - "&amp;VLOOKUP(SEED!$B186, [2]DataLookUp!$B$4:$D$1000, 2, FALSE)))</f>
        <v>Person - Arief Yulianto</v>
      </c>
      <c r="D186" s="5">
        <v>167000000000183</v>
      </c>
      <c r="E186" s="10" t="str">
        <f ca="1">IF(EXACT($D186, ""), "", VLOOKUP($D186, [3]DataLookUp!$B$4:$F$1000, 2, FALSE))</f>
        <v>Bank Rakyat Indonesia - 034101074857508</v>
      </c>
      <c r="F186" s="11" t="str">
        <f ca="1">IF(EXACT($D186, ""), "", VLOOKUP($D186, [3]DataLookUp!$B$4:$F$1000, 3, FALSE))</f>
        <v>IDR</v>
      </c>
      <c r="G186" s="14" t="str">
        <f ca="1">IF(EXACT($D186, ""), "", VLOOKUP($D186, [3]DataLookUp!$B$4:$F$1000, 4, FALSE))</f>
        <v>Person - Burhan</v>
      </c>
      <c r="I186" s="27">
        <f t="shared" si="7"/>
        <v>198000000000183</v>
      </c>
      <c r="J186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25000000000595::bigint, 167000000000183::bigint);</v>
      </c>
    </row>
    <row r="187" spans="2:10" x14ac:dyDescent="0.2">
      <c r="B187" s="5">
        <v>25000000000596</v>
      </c>
      <c r="C187" s="17" t="str">
        <f>IF(EXACT($B187, ""), "", IF(FLOOR(SEED!$B187/1000000000000, 1)=124, "Institution - "&amp;VLOOKUP(SEED!$B187, '[1]DataLookUp - InstitutionBranch'!$B$4:$C$1000, 2, FALSE), "Person - "&amp;VLOOKUP(SEED!$B187, [2]DataLookUp!$B$4:$D$1000, 2, FALSE)))</f>
        <v>Person - Burhan</v>
      </c>
      <c r="D187" s="5">
        <v>167000000000184</v>
      </c>
      <c r="E187" s="10" t="str">
        <f ca="1">IF(EXACT($D187, ""), "", VLOOKUP($D187, [3]DataLookUp!$B$4:$F$1000, 2, FALSE))</f>
        <v xml:space="preserve"> - </v>
      </c>
      <c r="F187" s="11" t="str">
        <f ca="1">IF(EXACT($D187, ""), "", VLOOKUP($D187, [3]DataLookUp!$B$4:$F$1000, 3, FALSE))</f>
        <v>Others</v>
      </c>
      <c r="G187" s="14" t="str">
        <f ca="1">IF(EXACT($D187, ""), "", VLOOKUP($D187, [3]DataLookUp!$B$4:$F$1000, 4, FALSE))</f>
        <v>Person - Deby Syahputa</v>
      </c>
      <c r="I187" s="27">
        <f t="shared" si="7"/>
        <v>198000000000184</v>
      </c>
      <c r="J187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25000000000596::bigint, 167000000000184::bigint);</v>
      </c>
    </row>
    <row r="188" spans="2:10" x14ac:dyDescent="0.2">
      <c r="B188" s="5">
        <v>25000000000597</v>
      </c>
      <c r="C188" s="17" t="str">
        <f>IF(EXACT($B188, ""), "", IF(FLOOR(SEED!$B188/1000000000000, 1)=124, "Institution - "&amp;VLOOKUP(SEED!$B188, '[1]DataLookUp - InstitutionBranch'!$B$4:$C$1000, 2, FALSE), "Person - "&amp;VLOOKUP(SEED!$B188, [2]DataLookUp!$B$4:$D$1000, 2, FALSE)))</f>
        <v>Person - Deby Syahputa</v>
      </c>
      <c r="D188" s="5">
        <v>167000000000185</v>
      </c>
      <c r="E188" s="10" t="str">
        <f ca="1">IF(EXACT($D188, ""), "", VLOOKUP($D188, [3]DataLookUp!$B$4:$F$1000, 2, FALSE))</f>
        <v xml:space="preserve"> - </v>
      </c>
      <c r="F188" s="11" t="str">
        <f ca="1">IF(EXACT($D188, ""), "", VLOOKUP($D188, [3]DataLookUp!$B$4:$F$1000, 3, FALSE))</f>
        <v>Others</v>
      </c>
      <c r="G188" s="14" t="str">
        <f ca="1">IF(EXACT($D188, ""), "", VLOOKUP($D188, [3]DataLookUp!$B$4:$F$1000, 4, FALSE))</f>
        <v>Person - Ibrahim Arya Yuda</v>
      </c>
      <c r="I188" s="27">
        <f t="shared" si="7"/>
        <v>198000000000185</v>
      </c>
      <c r="J188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25000000000597::bigint, 167000000000185::bigint);</v>
      </c>
    </row>
    <row r="189" spans="2:10" x14ac:dyDescent="0.2">
      <c r="B189" s="5">
        <v>25000000000598</v>
      </c>
      <c r="C189" s="17" t="str">
        <f>IF(EXACT($B189, ""), "", IF(FLOOR(SEED!$B189/1000000000000, 1)=124, "Institution - "&amp;VLOOKUP(SEED!$B189, '[1]DataLookUp - InstitutionBranch'!$B$4:$C$1000, 2, FALSE), "Person - "&amp;VLOOKUP(SEED!$B189, [2]DataLookUp!$B$4:$D$1000, 2, FALSE)))</f>
        <v>Person - Ibrahim Arya Yuda</v>
      </c>
      <c r="D189" s="5">
        <v>167000000000186</v>
      </c>
      <c r="E189" s="10" t="str">
        <f ca="1">IF(EXACT($D189, ""), "", VLOOKUP($D189, [3]DataLookUp!$B$4:$F$1000, 2, FALSE))</f>
        <v xml:space="preserve"> - </v>
      </c>
      <c r="F189" s="11" t="str">
        <f ca="1">IF(EXACT($D189, ""), "", VLOOKUP($D189, [3]DataLookUp!$B$4:$F$1000, 3, FALSE))</f>
        <v>Others</v>
      </c>
      <c r="G189" s="14" t="str">
        <f ca="1">IF(EXACT($D189, ""), "", VLOOKUP($D189, [3]DataLookUp!$B$4:$F$1000, 4, FALSE))</f>
        <v>Person - Jamil</v>
      </c>
      <c r="I189" s="27">
        <f t="shared" si="7"/>
        <v>198000000000186</v>
      </c>
      <c r="J189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25000000000598::bigint, 167000000000186::bigint);</v>
      </c>
    </row>
    <row r="190" spans="2:10" x14ac:dyDescent="0.2">
      <c r="B190" s="5">
        <v>25000000000599</v>
      </c>
      <c r="C190" s="17" t="str">
        <f>IF(EXACT($B190, ""), "", IF(FLOOR(SEED!$B190/1000000000000, 1)=124, "Institution - "&amp;VLOOKUP(SEED!$B190, '[1]DataLookUp - InstitutionBranch'!$B$4:$C$1000, 2, FALSE), "Person - "&amp;VLOOKUP(SEED!$B190, [2]DataLookUp!$B$4:$D$1000, 2, FALSE)))</f>
        <v>Person - Jamil</v>
      </c>
      <c r="D190" s="5">
        <v>167000000000187</v>
      </c>
      <c r="E190" s="10" t="str">
        <f ca="1">IF(EXACT($D190, ""), "", VLOOKUP($D190, [3]DataLookUp!$B$4:$F$1000, 2, FALSE))</f>
        <v xml:space="preserve"> - </v>
      </c>
      <c r="F190" s="11" t="str">
        <f ca="1">IF(EXACT($D190, ""), "", VLOOKUP($D190, [3]DataLookUp!$B$4:$F$1000, 3, FALSE))</f>
        <v>Others</v>
      </c>
      <c r="G190" s="14" t="str">
        <f ca="1">IF(EXACT($D190, ""), "", VLOOKUP($D190, [3]DataLookUp!$B$4:$F$1000, 4, FALSE))</f>
        <v>Person - Kiki Prasetyo</v>
      </c>
      <c r="I190" s="27">
        <f t="shared" si="7"/>
        <v>198000000000187</v>
      </c>
      <c r="J190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25000000000599::bigint, 167000000000187::bigint);</v>
      </c>
    </row>
    <row r="191" spans="2:10" x14ac:dyDescent="0.2">
      <c r="B191" s="5">
        <v>25000000000600</v>
      </c>
      <c r="C191" s="17" t="str">
        <f>IF(EXACT($B191, ""), "", IF(FLOOR(SEED!$B191/1000000000000, 1)=124, "Institution - "&amp;VLOOKUP(SEED!$B191, '[1]DataLookUp - InstitutionBranch'!$B$4:$C$1000, 2, FALSE), "Person - "&amp;VLOOKUP(SEED!$B191, [2]DataLookUp!$B$4:$D$1000, 2, FALSE)))</f>
        <v>Person - Kiki Prasetyo</v>
      </c>
      <c r="D191" s="5">
        <v>167000000000188</v>
      </c>
      <c r="E191" s="10" t="str">
        <f ca="1">IF(EXACT($D191, ""), "", VLOOKUP($D191, [3]DataLookUp!$B$4:$F$1000, 2, FALSE))</f>
        <v xml:space="preserve"> - </v>
      </c>
      <c r="F191" s="11" t="str">
        <f ca="1">IF(EXACT($D191, ""), "", VLOOKUP($D191, [3]DataLookUp!$B$4:$F$1000, 3, FALSE))</f>
        <v>Others</v>
      </c>
      <c r="G191" s="14" t="str">
        <f ca="1">IF(EXACT($D191, ""), "", VLOOKUP($D191, [3]DataLookUp!$B$4:$F$1000, 4, FALSE))</f>
        <v>Person - Mochamad Ulul Azmi Wira Utama</v>
      </c>
      <c r="I191" s="27">
        <f t="shared" si="7"/>
        <v>198000000000188</v>
      </c>
      <c r="J191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25000000000600::bigint, 167000000000188::bigint);</v>
      </c>
    </row>
    <row r="192" spans="2:10" x14ac:dyDescent="0.2">
      <c r="B192" s="5">
        <v>25000000000601</v>
      </c>
      <c r="C192" s="17" t="str">
        <f>IF(EXACT($B192, ""), "", IF(FLOOR(SEED!$B192/1000000000000, 1)=124, "Institution - "&amp;VLOOKUP(SEED!$B192, '[1]DataLookUp - InstitutionBranch'!$B$4:$C$1000, 2, FALSE), "Person - "&amp;VLOOKUP(SEED!$B192, [2]DataLookUp!$B$4:$D$1000, 2, FALSE)))</f>
        <v>Person - Mochamad Ulul Azmi Wira Utama</v>
      </c>
      <c r="D192" s="5">
        <v>167000000000189</v>
      </c>
      <c r="E192" s="10" t="str">
        <f ca="1">IF(EXACT($D192, ""), "", VLOOKUP($D192, [3]DataLookUp!$B$4:$F$1000, 2, FALSE))</f>
        <v xml:space="preserve"> - </v>
      </c>
      <c r="F192" s="11" t="str">
        <f ca="1">IF(EXACT($D192, ""), "", VLOOKUP($D192, [3]DataLookUp!$B$4:$F$1000, 3, FALSE))</f>
        <v>Others</v>
      </c>
      <c r="G192" s="14" t="str">
        <f ca="1">IF(EXACT($D192, ""), "", VLOOKUP($D192, [3]DataLookUp!$B$4:$F$1000, 4, FALSE))</f>
        <v>Person - Muhammad Bilal Sharony</v>
      </c>
      <c r="I192" s="27">
        <f t="shared" si="7"/>
        <v>198000000000189</v>
      </c>
      <c r="J192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25000000000601::bigint, 167000000000189::bigint);</v>
      </c>
    </row>
    <row r="193" spans="2:10" x14ac:dyDescent="0.2">
      <c r="B193" s="5">
        <v>25000000000602</v>
      </c>
      <c r="C193" s="17" t="str">
        <f>IF(EXACT($B193, ""), "", IF(FLOOR(SEED!$B193/1000000000000, 1)=124, "Institution - "&amp;VLOOKUP(SEED!$B193, '[1]DataLookUp - InstitutionBranch'!$B$4:$C$1000, 2, FALSE), "Person - "&amp;VLOOKUP(SEED!$B193, [2]DataLookUp!$B$4:$D$1000, 2, FALSE)))</f>
        <v>Person - Muhammad Bilal Sharony</v>
      </c>
      <c r="D193" s="5">
        <v>167000000000190</v>
      </c>
      <c r="E193" s="10" t="str">
        <f ca="1">IF(EXACT($D193, ""), "", VLOOKUP($D193, [3]DataLookUp!$B$4:$F$1000, 2, FALSE))</f>
        <v xml:space="preserve"> - </v>
      </c>
      <c r="F193" s="11" t="str">
        <f ca="1">IF(EXACT($D193, ""), "", VLOOKUP($D193, [3]DataLookUp!$B$4:$F$1000, 3, FALSE))</f>
        <v>Others</v>
      </c>
      <c r="G193" s="14" t="str">
        <f ca="1">IF(EXACT($D193, ""), "", VLOOKUP($D193, [3]DataLookUp!$B$4:$F$1000, 4, FALSE))</f>
        <v>Person - Muhammad Hairul</v>
      </c>
      <c r="I193" s="27">
        <f t="shared" si="7"/>
        <v>198000000000190</v>
      </c>
      <c r="J193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25000000000602::bigint, 167000000000190::bigint);</v>
      </c>
    </row>
    <row r="194" spans="2:10" x14ac:dyDescent="0.2">
      <c r="B194" s="5">
        <v>25000000000603</v>
      </c>
      <c r="C194" s="17" t="str">
        <f>IF(EXACT($B194, ""), "", IF(FLOOR(SEED!$B194/1000000000000, 1)=124, "Institution - "&amp;VLOOKUP(SEED!$B194, '[1]DataLookUp - InstitutionBranch'!$B$4:$C$1000, 2, FALSE), "Person - "&amp;VLOOKUP(SEED!$B194, [2]DataLookUp!$B$4:$D$1000, 2, FALSE)))</f>
        <v>Person - Muhammad Hairul</v>
      </c>
      <c r="D194" s="5">
        <v>167000000000191</v>
      </c>
      <c r="E194" s="10" t="str">
        <f ca="1">IF(EXACT($D194, ""), "", VLOOKUP($D194, [3]DataLookUp!$B$4:$F$1000, 2, FALSE))</f>
        <v xml:space="preserve"> - </v>
      </c>
      <c r="F194" s="11" t="str">
        <f ca="1">IF(EXACT($D194, ""), "", VLOOKUP($D194, [3]DataLookUp!$B$4:$F$1000, 3, FALSE))</f>
        <v>Others</v>
      </c>
      <c r="G194" s="14" t="str">
        <f ca="1">IF(EXACT($D194, ""), "", VLOOKUP($D194, [3]DataLookUp!$B$4:$F$1000, 4, FALSE))</f>
        <v>Person - Muhammad Rizal</v>
      </c>
      <c r="I194" s="27">
        <f t="shared" si="7"/>
        <v>198000000000191</v>
      </c>
      <c r="J194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25000000000603::bigint, 167000000000191::bigint);</v>
      </c>
    </row>
    <row r="195" spans="2:10" x14ac:dyDescent="0.2">
      <c r="B195" s="5">
        <v>25000000000604</v>
      </c>
      <c r="C195" s="17" t="str">
        <f>IF(EXACT($B195, ""), "", IF(FLOOR(SEED!$B195/1000000000000, 1)=124, "Institution - "&amp;VLOOKUP(SEED!$B195, '[1]DataLookUp - InstitutionBranch'!$B$4:$C$1000, 2, FALSE), "Person - "&amp;VLOOKUP(SEED!$B195, [2]DataLookUp!$B$4:$D$1000, 2, FALSE)))</f>
        <v>Person - Muhammad Rizal</v>
      </c>
      <c r="D195" s="5">
        <v>167000000000192</v>
      </c>
      <c r="E195" s="10" t="str">
        <f ca="1">IF(EXACT($D195, ""), "", VLOOKUP($D195, [3]DataLookUp!$B$4:$F$1000, 2, FALSE))</f>
        <v xml:space="preserve"> - </v>
      </c>
      <c r="F195" s="11" t="str">
        <f ca="1">IF(EXACT($D195, ""), "", VLOOKUP($D195, [3]DataLookUp!$B$4:$F$1000, 3, FALSE))</f>
        <v>Others</v>
      </c>
      <c r="G195" s="14" t="str">
        <f ca="1">IF(EXACT($D195, ""), "", VLOOKUP($D195, [3]DataLookUp!$B$4:$F$1000, 4, FALSE))</f>
        <v>Person - Rahmad Dwifar</v>
      </c>
      <c r="I195" s="27">
        <f t="shared" si="7"/>
        <v>198000000000192</v>
      </c>
      <c r="J195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25000000000604::bigint, 167000000000192::bigint);</v>
      </c>
    </row>
    <row r="196" spans="2:10" x14ac:dyDescent="0.2">
      <c r="B196" s="5">
        <v>25000000000605</v>
      </c>
      <c r="C196" s="17" t="str">
        <f>IF(EXACT($B196, ""), "", IF(FLOOR(SEED!$B196/1000000000000, 1)=124, "Institution - "&amp;VLOOKUP(SEED!$B196, '[1]DataLookUp - InstitutionBranch'!$B$4:$C$1000, 2, FALSE), "Person - "&amp;VLOOKUP(SEED!$B196, [2]DataLookUp!$B$4:$D$1000, 2, FALSE)))</f>
        <v>Person - Rahmad Dwifar</v>
      </c>
      <c r="D196" s="5">
        <v>167000000000193</v>
      </c>
      <c r="E196" s="10" t="str">
        <f ca="1">IF(EXACT($D196, ""), "", VLOOKUP($D196, [3]DataLookUp!$B$4:$F$1000, 2, FALSE))</f>
        <v xml:space="preserve"> - </v>
      </c>
      <c r="F196" s="11" t="str">
        <f ca="1">IF(EXACT($D196, ""), "", VLOOKUP($D196, [3]DataLookUp!$B$4:$F$1000, 3, FALSE))</f>
        <v>Others</v>
      </c>
      <c r="G196" s="14" t="str">
        <f ca="1">IF(EXACT($D196, ""), "", VLOOKUP($D196, [3]DataLookUp!$B$4:$F$1000, 4, FALSE))</f>
        <v>Person - Reza Sanjaya</v>
      </c>
      <c r="I196" s="27">
        <f t="shared" si="7"/>
        <v>198000000000193</v>
      </c>
      <c r="J196" s="28" t="str">
        <f t="shared" si="6"/>
        <v>PERFORM "SchData-OLTP-Master"."Func_TblEntityBankAccount_SET"(varSystemLoginSession::bigint, null::bigint, null::varchar, null::timestamptz, null::timestamptz, null::varchar, varInstitutionBranchID::bigint, varBaseCurrencyID::bigint, 25000000000605::bigint, 167000000000193::bigint);</v>
      </c>
    </row>
    <row r="197" spans="2:10" x14ac:dyDescent="0.2">
      <c r="B197" s="5">
        <v>25000000000606</v>
      </c>
      <c r="C197" s="17" t="str">
        <f>IF(EXACT($B197, ""), "", IF(FLOOR(SEED!$B197/1000000000000, 1)=124, "Institution - "&amp;VLOOKUP(SEED!$B197, '[1]DataLookUp - InstitutionBranch'!$B$4:$C$1000, 2, FALSE), "Person - "&amp;VLOOKUP(SEED!$B197, [2]DataLookUp!$B$4:$D$1000, 2, FALSE)))</f>
        <v>Person - Reza Sanjaya</v>
      </c>
      <c r="D197" s="5">
        <v>167000000000194</v>
      </c>
      <c r="E197" s="10" t="str">
        <f ca="1">IF(EXACT($D197, ""), "", VLOOKUP($D197, [3]DataLookUp!$B$4:$F$1000, 2, FALSE))</f>
        <v>Bank Central Asia - 7485341129</v>
      </c>
      <c r="F197" s="11" t="str">
        <f ca="1">IF(EXACT($D197, ""), "", VLOOKUP($D197, [3]DataLookUp!$B$4:$F$1000, 3, FALSE))</f>
        <v>IDR</v>
      </c>
      <c r="G197" s="14" t="str">
        <f ca="1">IF(EXACT($D197, ""), "", VLOOKUP($D197, [3]DataLookUp!$B$4:$F$1000, 4, FALSE))</f>
        <v>Person - Ridwan Nur Muttaqin</v>
      </c>
      <c r="I197" s="27">
        <f t="shared" si="7"/>
        <v>198000000000194</v>
      </c>
      <c r="J197" s="28" t="str">
        <f t="shared" ref="J197:J260" si="8">IF(EXACT(B197, ""), "", CONCATENATE("PERFORM ""SchData-OLTP-Master"".""Func_TblEntityBankAccount_SET""(varSystemLoginSession::bigint, null::bigint, null::varchar, null::timestamptz, null::timestamptz, null::varchar, varInstitutionBranchID::bigint, varBaseCurrencyID::bigint, ", IF(EXACT($B197, ""), "NULL", ""&amp;$B197&amp;""), "::bigint, ", IF(EXACT($D197, ""), "NULL", ""&amp;$D197&amp;""), "::bigint);"))</f>
        <v>PERFORM "SchData-OLTP-Master"."Func_TblEntityBankAccount_SET"(varSystemLoginSession::bigint, null::bigint, null::varchar, null::timestamptz, null::timestamptz, null::varchar, varInstitutionBranchID::bigint, varBaseCurrencyID::bigint, 25000000000606::bigint, 167000000000194::bigint);</v>
      </c>
    </row>
    <row r="198" spans="2:10" x14ac:dyDescent="0.2">
      <c r="B198" s="5">
        <v>25000000000607</v>
      </c>
      <c r="C198" s="17" t="str">
        <f>IF(EXACT($B198, ""), "", IF(FLOOR(SEED!$B198/1000000000000, 1)=124, "Institution - "&amp;VLOOKUP(SEED!$B198, '[1]DataLookUp - InstitutionBranch'!$B$4:$C$1000, 2, FALSE), "Person - "&amp;VLOOKUP(SEED!$B198, [2]DataLookUp!$B$4:$D$1000, 2, FALSE)))</f>
        <v>Person - Ridwan Nur Muttaqin</v>
      </c>
      <c r="D198" s="5">
        <v>167000000000195</v>
      </c>
      <c r="E198" s="10" t="str">
        <f ca="1">IF(EXACT($D198, ""), "", VLOOKUP($D198, [3]DataLookUp!$B$4:$F$1000, 2, FALSE))</f>
        <v xml:space="preserve"> - </v>
      </c>
      <c r="F198" s="11" t="str">
        <f ca="1">IF(EXACT($D198, ""), "", VLOOKUP($D198, [3]DataLookUp!$B$4:$F$1000, 3, FALSE))</f>
        <v>Others</v>
      </c>
      <c r="G198" s="14" t="str">
        <f ca="1">IF(EXACT($D198, ""), "", VLOOKUP($D198, [3]DataLookUp!$B$4:$F$1000, 4, FALSE))</f>
        <v xml:space="preserve">Person - Risaldi </v>
      </c>
      <c r="I198" s="27">
        <f t="shared" si="7"/>
        <v>198000000000195</v>
      </c>
      <c r="J198" s="28" t="str">
        <f t="shared" si="8"/>
        <v>PERFORM "SchData-OLTP-Master"."Func_TblEntityBankAccount_SET"(varSystemLoginSession::bigint, null::bigint, null::varchar, null::timestamptz, null::timestamptz, null::varchar, varInstitutionBranchID::bigint, varBaseCurrencyID::bigint, 25000000000607::bigint, 167000000000195::bigint);</v>
      </c>
    </row>
    <row r="199" spans="2:10" x14ac:dyDescent="0.2">
      <c r="B199" s="5">
        <v>25000000000608</v>
      </c>
      <c r="C199" s="17" t="str">
        <f>IF(EXACT($B199, ""), "", IF(FLOOR(SEED!$B199/1000000000000, 1)=124, "Institution - "&amp;VLOOKUP(SEED!$B199, '[1]DataLookUp - InstitutionBranch'!$B$4:$C$1000, 2, FALSE), "Person - "&amp;VLOOKUP(SEED!$B199, [2]DataLookUp!$B$4:$D$1000, 2, FALSE)))</f>
        <v xml:space="preserve">Person - Risaldi </v>
      </c>
      <c r="D199" s="5">
        <v>167000000000196</v>
      </c>
      <c r="E199" s="10" t="str">
        <f ca="1">IF(EXACT($D199, ""), "", VLOOKUP($D199, [3]DataLookUp!$B$4:$F$1000, 2, FALSE))</f>
        <v xml:space="preserve"> - </v>
      </c>
      <c r="F199" s="11" t="str">
        <f ca="1">IF(EXACT($D199, ""), "", VLOOKUP($D199, [3]DataLookUp!$B$4:$F$1000, 3, FALSE))</f>
        <v>Others</v>
      </c>
      <c r="G199" s="14" t="str">
        <f ca="1">IF(EXACT($D199, ""), "", VLOOKUP($D199, [3]DataLookUp!$B$4:$F$1000, 4, FALSE))</f>
        <v>Person - Risty Alawiyah</v>
      </c>
      <c r="I199" s="27">
        <f t="shared" si="7"/>
        <v>198000000000196</v>
      </c>
      <c r="J199" s="28" t="str">
        <f t="shared" si="8"/>
        <v>PERFORM "SchData-OLTP-Master"."Func_TblEntityBankAccount_SET"(varSystemLoginSession::bigint, null::bigint, null::varchar, null::timestamptz, null::timestamptz, null::varchar, varInstitutionBranchID::bigint, varBaseCurrencyID::bigint, 25000000000608::bigint, 167000000000196::bigint);</v>
      </c>
    </row>
    <row r="200" spans="2:10" x14ac:dyDescent="0.2">
      <c r="B200" s="5">
        <v>25000000000609</v>
      </c>
      <c r="C200" s="17" t="str">
        <f>IF(EXACT($B200, ""), "", IF(FLOOR(SEED!$B200/1000000000000, 1)=124, "Institution - "&amp;VLOOKUP(SEED!$B200, '[1]DataLookUp - InstitutionBranch'!$B$4:$C$1000, 2, FALSE), "Person - "&amp;VLOOKUP(SEED!$B200, [2]DataLookUp!$B$4:$D$1000, 2, FALSE)))</f>
        <v>Person - Risty Alawiyah</v>
      </c>
      <c r="D200" s="5">
        <v>167000000000197</v>
      </c>
      <c r="E200" s="10" t="str">
        <f ca="1">IF(EXACT($D200, ""), "", VLOOKUP($D200, [3]DataLookUp!$B$4:$F$1000, 2, FALSE))</f>
        <v>Bank Rakyat Indonesia - 034101074859500</v>
      </c>
      <c r="F200" s="11" t="str">
        <f ca="1">IF(EXACT($D200, ""), "", VLOOKUP($D200, [3]DataLookUp!$B$4:$F$1000, 3, FALSE))</f>
        <v>IDR</v>
      </c>
      <c r="G200" s="14" t="str">
        <f ca="1">IF(EXACT($D200, ""), "", VLOOKUP($D200, [3]DataLookUp!$B$4:$F$1000, 4, FALSE))</f>
        <v>Person - Rustono</v>
      </c>
      <c r="I200" s="27">
        <f t="shared" si="7"/>
        <v>198000000000197</v>
      </c>
      <c r="J200" s="28" t="str">
        <f t="shared" si="8"/>
        <v>PERFORM "SchData-OLTP-Master"."Func_TblEntityBankAccount_SET"(varSystemLoginSession::bigint, null::bigint, null::varchar, null::timestamptz, null::timestamptz, null::varchar, varInstitutionBranchID::bigint, varBaseCurrencyID::bigint, 25000000000609::bigint, 167000000000197::bigint);</v>
      </c>
    </row>
    <row r="201" spans="2:10" x14ac:dyDescent="0.2">
      <c r="B201" s="5">
        <v>25000000000610</v>
      </c>
      <c r="C201" s="17" t="str">
        <f>IF(EXACT($B201, ""), "", IF(FLOOR(SEED!$B201/1000000000000, 1)=124, "Institution - "&amp;VLOOKUP(SEED!$B201, '[1]DataLookUp - InstitutionBranch'!$B$4:$C$1000, 2, FALSE), "Person - "&amp;VLOOKUP(SEED!$B201, [2]DataLookUp!$B$4:$D$1000, 2, FALSE)))</f>
        <v>Person - Rustono</v>
      </c>
      <c r="D201" s="5">
        <v>167000000000198</v>
      </c>
      <c r="E201" s="10" t="str">
        <f ca="1">IF(EXACT($D201, ""), "", VLOOKUP($D201, [3]DataLookUp!$B$4:$F$1000, 2, FALSE))</f>
        <v>Bank Rakyat Indonesia - 034101074862503</v>
      </c>
      <c r="F201" s="11" t="str">
        <f ca="1">IF(EXACT($D201, ""), "", VLOOKUP($D201, [3]DataLookUp!$B$4:$F$1000, 3, FALSE))</f>
        <v>IDR</v>
      </c>
      <c r="G201" s="14" t="str">
        <f ca="1">IF(EXACT($D201, ""), "", VLOOKUP($D201, [3]DataLookUp!$B$4:$F$1000, 4, FALSE))</f>
        <v>Person - Solihin</v>
      </c>
      <c r="I201" s="27">
        <f t="shared" si="7"/>
        <v>198000000000198</v>
      </c>
      <c r="J201" s="28" t="str">
        <f t="shared" si="8"/>
        <v>PERFORM "SchData-OLTP-Master"."Func_TblEntityBankAccount_SET"(varSystemLoginSession::bigint, null::bigint, null::varchar, null::timestamptz, null::timestamptz, null::varchar, varInstitutionBranchID::bigint, varBaseCurrencyID::bigint, 25000000000610::bigint, 167000000000198::bigint);</v>
      </c>
    </row>
    <row r="202" spans="2:10" x14ac:dyDescent="0.2">
      <c r="B202" s="5">
        <v>25000000000611</v>
      </c>
      <c r="C202" s="17" t="str">
        <f>IF(EXACT($B202, ""), "", IF(FLOOR(SEED!$B202/1000000000000, 1)=124, "Institution - "&amp;VLOOKUP(SEED!$B202, '[1]DataLookUp - InstitutionBranch'!$B$4:$C$1000, 2, FALSE), "Person - "&amp;VLOOKUP(SEED!$B202, [2]DataLookUp!$B$4:$D$1000, 2, FALSE)))</f>
        <v>Person - Solihin</v>
      </c>
      <c r="D202" s="5">
        <v>167000000000199</v>
      </c>
      <c r="E202" s="10" t="str">
        <f ca="1">IF(EXACT($D202, ""), "", VLOOKUP($D202, [3]DataLookUp!$B$4:$F$1000, 2, FALSE))</f>
        <v>Bank Rakyat Indonesia - 034101074867503</v>
      </c>
      <c r="F202" s="11" t="str">
        <f ca="1">IF(EXACT($D202, ""), "", VLOOKUP($D202, [3]DataLookUp!$B$4:$F$1000, 3, FALSE))</f>
        <v>IDR</v>
      </c>
      <c r="G202" s="14" t="str">
        <f ca="1">IF(EXACT($D202, ""), "", VLOOKUP($D202, [3]DataLookUp!$B$4:$F$1000, 4, FALSE))</f>
        <v>Person - Supriatna</v>
      </c>
      <c r="I202" s="27">
        <f t="shared" si="7"/>
        <v>198000000000199</v>
      </c>
      <c r="J202" s="28" t="str">
        <f t="shared" si="8"/>
        <v>PERFORM "SchData-OLTP-Master"."Func_TblEntityBankAccount_SET"(varSystemLoginSession::bigint, null::bigint, null::varchar, null::timestamptz, null::timestamptz, null::varchar, varInstitutionBranchID::bigint, varBaseCurrencyID::bigint, 25000000000611::bigint, 167000000000199::bigint);</v>
      </c>
    </row>
    <row r="203" spans="2:10" x14ac:dyDescent="0.2">
      <c r="B203" s="5">
        <v>25000000000612</v>
      </c>
      <c r="C203" s="17" t="str">
        <f>IF(EXACT($B203, ""), "", IF(FLOOR(SEED!$B203/1000000000000, 1)=124, "Institution - "&amp;VLOOKUP(SEED!$B203, '[1]DataLookUp - InstitutionBranch'!$B$4:$C$1000, 2, FALSE), "Person - "&amp;VLOOKUP(SEED!$B203, [2]DataLookUp!$B$4:$D$1000, 2, FALSE)))</f>
        <v>Person - Supriatna</v>
      </c>
      <c r="D203" s="5">
        <v>167000000000200</v>
      </c>
      <c r="E203" s="10" t="str">
        <f ca="1">IF(EXACT($D203, ""), "", VLOOKUP($D203, [3]DataLookUp!$B$4:$F$1000, 2, FALSE))</f>
        <v>Bank Rakyat Indonesia - 010201029577531</v>
      </c>
      <c r="F203" s="11" t="str">
        <f ca="1">IF(EXACT($D203, ""), "", VLOOKUP($D203, [3]DataLookUp!$B$4:$F$1000, 3, FALSE))</f>
        <v>IDR</v>
      </c>
      <c r="G203" s="14" t="str">
        <f ca="1">IF(EXACT($D203, ""), "", VLOOKUP($D203, [3]DataLookUp!$B$4:$F$1000, 4, FALSE))</f>
        <v>Person - Taufik Aminudin</v>
      </c>
      <c r="I203" s="27">
        <f t="shared" si="7"/>
        <v>198000000000200</v>
      </c>
      <c r="J203" s="28" t="str">
        <f t="shared" si="8"/>
        <v>PERFORM "SchData-OLTP-Master"."Func_TblEntityBankAccount_SET"(varSystemLoginSession::bigint, null::bigint, null::varchar, null::timestamptz, null::timestamptz, null::varchar, varInstitutionBranchID::bigint, varBaseCurrencyID::bigint, 25000000000612::bigint, 167000000000200::bigint);</v>
      </c>
    </row>
    <row r="204" spans="2:10" x14ac:dyDescent="0.2">
      <c r="B204" s="5">
        <v>25000000000613</v>
      </c>
      <c r="C204" s="17" t="str">
        <f>IF(EXACT($B204, ""), "", IF(FLOOR(SEED!$B204/1000000000000, 1)=124, "Institution - "&amp;VLOOKUP(SEED!$B204, '[1]DataLookUp - InstitutionBranch'!$B$4:$C$1000, 2, FALSE), "Person - "&amp;VLOOKUP(SEED!$B204, [2]DataLookUp!$B$4:$D$1000, 2, FALSE)))</f>
        <v>Person - Taufik Aminudin</v>
      </c>
      <c r="D204" s="5">
        <v>167000000000201</v>
      </c>
      <c r="E204" s="10" t="str">
        <f ca="1">IF(EXACT($D204, ""), "", VLOOKUP($D204, [3]DataLookUp!$B$4:$F$1000, 2, FALSE))</f>
        <v>Bank Rakyat Indonesia - 034101074865501</v>
      </c>
      <c r="F204" s="11" t="str">
        <f ca="1">IF(EXACT($D204, ""), "", VLOOKUP($D204, [3]DataLookUp!$B$4:$F$1000, 3, FALSE))</f>
        <v>IDR</v>
      </c>
      <c r="G204" s="14" t="str">
        <f ca="1">IF(EXACT($D204, ""), "", VLOOKUP($D204, [3]DataLookUp!$B$4:$F$1000, 4, FALSE))</f>
        <v>Person - Timotius Tabun</v>
      </c>
      <c r="I204" s="27">
        <f t="shared" si="7"/>
        <v>198000000000201</v>
      </c>
      <c r="J204" s="28" t="str">
        <f t="shared" si="8"/>
        <v>PERFORM "SchData-OLTP-Master"."Func_TblEntityBankAccount_SET"(varSystemLoginSession::bigint, null::bigint, null::varchar, null::timestamptz, null::timestamptz, null::varchar, varInstitutionBranchID::bigint, varBaseCurrencyID::bigint, 25000000000613::bigint, 167000000000201::bigint);</v>
      </c>
    </row>
    <row r="205" spans="2:10" x14ac:dyDescent="0.2">
      <c r="B205" s="5">
        <v>25000000000614</v>
      </c>
      <c r="C205" s="17" t="str">
        <f>IF(EXACT($B205, ""), "", IF(FLOOR(SEED!$B205/1000000000000, 1)=124, "Institution - "&amp;VLOOKUP(SEED!$B205, '[1]DataLookUp - InstitutionBranch'!$B$4:$C$1000, 2, FALSE), "Person - "&amp;VLOOKUP(SEED!$B205, [2]DataLookUp!$B$4:$D$1000, 2, FALSE)))</f>
        <v>Person - Timotius Tabun</v>
      </c>
      <c r="D205" s="5">
        <v>167000000000202</v>
      </c>
      <c r="E205" s="10" t="str">
        <f ca="1">IF(EXACT($D205, ""), "", VLOOKUP($D205, [3]DataLookUp!$B$4:$F$1000, 2, FALSE))</f>
        <v xml:space="preserve">Bank Rakyat Indonesia - </v>
      </c>
      <c r="F205" s="11" t="str">
        <f ca="1">IF(EXACT($D205, ""), "", VLOOKUP($D205, [3]DataLookUp!$B$4:$F$1000, 3, FALSE))</f>
        <v>Others</v>
      </c>
      <c r="G205" s="14" t="str">
        <f ca="1">IF(EXACT($D205, ""), "", VLOOKUP($D205, [3]DataLookUp!$B$4:$F$1000, 4, FALSE))</f>
        <v>Person - Adi</v>
      </c>
      <c r="I205" s="27">
        <f t="shared" si="7"/>
        <v>198000000000202</v>
      </c>
      <c r="J205" s="28" t="str">
        <f t="shared" si="8"/>
        <v>PERFORM "SchData-OLTP-Master"."Func_TblEntityBankAccount_SET"(varSystemLoginSession::bigint, null::bigint, null::varchar, null::timestamptz, null::timestamptz, null::varchar, varInstitutionBranchID::bigint, varBaseCurrencyID::bigint, 25000000000614::bigint, 167000000000202::bigint);</v>
      </c>
    </row>
    <row r="206" spans="2:10" x14ac:dyDescent="0.2">
      <c r="B206" s="5">
        <v>25000000000615</v>
      </c>
      <c r="C206" s="17" t="str">
        <f>IF(EXACT($B206, ""), "", IF(FLOOR(SEED!$B206/1000000000000, 1)=124, "Institution - "&amp;VLOOKUP(SEED!$B206, '[1]DataLookUp - InstitutionBranch'!$B$4:$C$1000, 2, FALSE), "Person - "&amp;VLOOKUP(SEED!$B206, [2]DataLookUp!$B$4:$D$1000, 2, FALSE)))</f>
        <v>Person - Adi</v>
      </c>
      <c r="D206" s="5"/>
      <c r="E206" s="10" t="str">
        <f>IF(EXACT($D206, ""), "", VLOOKUP($D206, [3]DataLookUp!$B$4:$F$1000, 2, FALSE))</f>
        <v/>
      </c>
      <c r="F206" s="11" t="str">
        <f>IF(EXACT($D206, ""), "", VLOOKUP($D206, [3]DataLookUp!$B$4:$F$1000, 3, FALSE))</f>
        <v/>
      </c>
      <c r="G206" s="14" t="str">
        <f>IF(EXACT($D206, ""), "", VLOOKUP($D206, [3]DataLookUp!$B$4:$F$1000, 4, FALSE))</f>
        <v/>
      </c>
      <c r="I206" s="27">
        <f t="shared" si="7"/>
        <v>198000000000203</v>
      </c>
      <c r="J206" s="28" t="str">
        <f t="shared" si="8"/>
        <v>PERFORM "SchData-OLTP-Master"."Func_TblEntityBankAccount_SET"(varSystemLoginSession::bigint, null::bigint, null::varchar, null::timestamptz, null::timestamptz, null::varchar, varInstitutionBranchID::bigint, varBaseCurrencyID::bigint, 25000000000615::bigint, NULL::bigint);</v>
      </c>
    </row>
    <row r="207" spans="2:10" x14ac:dyDescent="0.2">
      <c r="B207" s="5"/>
      <c r="C207" s="17"/>
      <c r="D207" s="5"/>
      <c r="E207" s="10"/>
      <c r="F207" s="11"/>
      <c r="G207" s="14"/>
      <c r="I207" s="27">
        <f t="shared" si="7"/>
        <v>198000000000203</v>
      </c>
      <c r="J207" s="28" t="str">
        <f t="shared" si="8"/>
        <v/>
      </c>
    </row>
    <row r="208" spans="2:10" x14ac:dyDescent="0.2">
      <c r="B208" s="5"/>
      <c r="C208" s="17"/>
      <c r="D208" s="5"/>
      <c r="E208" s="10"/>
      <c r="F208" s="11"/>
      <c r="G208" s="14"/>
      <c r="I208" s="27">
        <f t="shared" si="7"/>
        <v>198000000000203</v>
      </c>
      <c r="J208" s="28" t="str">
        <f t="shared" si="8"/>
        <v/>
      </c>
    </row>
    <row r="209" spans="2:10" x14ac:dyDescent="0.2">
      <c r="B209" s="5"/>
      <c r="C209" s="17"/>
      <c r="D209" s="5"/>
      <c r="E209" s="10"/>
      <c r="F209" s="11"/>
      <c r="G209" s="14"/>
      <c r="I209" s="27">
        <f t="shared" si="7"/>
        <v>198000000000203</v>
      </c>
      <c r="J209" s="28" t="str">
        <f t="shared" si="8"/>
        <v/>
      </c>
    </row>
    <row r="210" spans="2:10" x14ac:dyDescent="0.2">
      <c r="B210" s="5"/>
      <c r="C210" s="17"/>
      <c r="D210" s="5"/>
      <c r="E210" s="10"/>
      <c r="F210" s="11"/>
      <c r="G210" s="14"/>
      <c r="I210" s="27">
        <f t="shared" si="7"/>
        <v>198000000000203</v>
      </c>
      <c r="J210" s="28" t="str">
        <f t="shared" si="8"/>
        <v/>
      </c>
    </row>
    <row r="211" spans="2:10" x14ac:dyDescent="0.2">
      <c r="B211" s="5"/>
      <c r="C211" s="17"/>
      <c r="D211" s="5"/>
      <c r="E211" s="10"/>
      <c r="F211" s="11"/>
      <c r="G211" s="14"/>
      <c r="I211" s="27">
        <f t="shared" si="7"/>
        <v>198000000000203</v>
      </c>
      <c r="J211" s="28" t="str">
        <f t="shared" si="8"/>
        <v/>
      </c>
    </row>
    <row r="212" spans="2:10" x14ac:dyDescent="0.2">
      <c r="B212" s="5"/>
      <c r="C212" s="17"/>
      <c r="D212" s="5"/>
      <c r="E212" s="10"/>
      <c r="F212" s="11"/>
      <c r="G212" s="14"/>
      <c r="I212" s="27">
        <f t="shared" ref="I212:I273" si="9" xml:space="preserve"> I211 + IF(EXACT(J212, ""), 0, 1)</f>
        <v>198000000000203</v>
      </c>
      <c r="J212" s="28" t="str">
        <f t="shared" si="8"/>
        <v/>
      </c>
    </row>
    <row r="213" spans="2:10" x14ac:dyDescent="0.2">
      <c r="B213" s="5"/>
      <c r="C213" s="17"/>
      <c r="D213" s="5"/>
      <c r="E213" s="10"/>
      <c r="F213" s="11"/>
      <c r="G213" s="14"/>
      <c r="I213" s="27">
        <f t="shared" si="9"/>
        <v>198000000000203</v>
      </c>
      <c r="J213" s="28" t="str">
        <f t="shared" si="8"/>
        <v/>
      </c>
    </row>
    <row r="214" spans="2:10" x14ac:dyDescent="0.2">
      <c r="B214" s="5"/>
      <c r="C214" s="17"/>
      <c r="D214" s="5"/>
      <c r="E214" s="10"/>
      <c r="F214" s="11"/>
      <c r="G214" s="14"/>
      <c r="I214" s="27">
        <f t="shared" si="9"/>
        <v>198000000000203</v>
      </c>
      <c r="J214" s="28" t="str">
        <f t="shared" si="8"/>
        <v/>
      </c>
    </row>
    <row r="215" spans="2:10" x14ac:dyDescent="0.2">
      <c r="B215" s="5"/>
      <c r="C215" s="17"/>
      <c r="D215" s="5"/>
      <c r="E215" s="10"/>
      <c r="F215" s="11"/>
      <c r="G215" s="14"/>
      <c r="I215" s="27">
        <f t="shared" si="9"/>
        <v>198000000000203</v>
      </c>
      <c r="J215" s="28" t="str">
        <f t="shared" si="8"/>
        <v/>
      </c>
    </row>
    <row r="216" spans="2:10" x14ac:dyDescent="0.2">
      <c r="B216" s="5"/>
      <c r="C216" s="17"/>
      <c r="D216" s="5"/>
      <c r="E216" s="10"/>
      <c r="F216" s="11"/>
      <c r="G216" s="14"/>
      <c r="I216" s="27">
        <f t="shared" si="9"/>
        <v>198000000000203</v>
      </c>
      <c r="J216" s="28" t="str">
        <f t="shared" si="8"/>
        <v/>
      </c>
    </row>
    <row r="217" spans="2:10" x14ac:dyDescent="0.2">
      <c r="B217" s="5"/>
      <c r="C217" s="17"/>
      <c r="D217" s="5"/>
      <c r="E217" s="10"/>
      <c r="F217" s="11"/>
      <c r="G217" s="14"/>
      <c r="I217" s="27">
        <f t="shared" si="9"/>
        <v>198000000000203</v>
      </c>
      <c r="J217" s="28" t="str">
        <f t="shared" si="8"/>
        <v/>
      </c>
    </row>
    <row r="218" spans="2:10" x14ac:dyDescent="0.2">
      <c r="B218" s="5"/>
      <c r="C218" s="17"/>
      <c r="D218" s="5"/>
      <c r="E218" s="10"/>
      <c r="F218" s="11"/>
      <c r="G218" s="14"/>
      <c r="I218" s="27">
        <f t="shared" si="9"/>
        <v>198000000000203</v>
      </c>
      <c r="J218" s="28" t="str">
        <f t="shared" si="8"/>
        <v/>
      </c>
    </row>
    <row r="219" spans="2:10" x14ac:dyDescent="0.2">
      <c r="B219" s="5"/>
      <c r="C219" s="17"/>
      <c r="D219" s="5"/>
      <c r="E219" s="10"/>
      <c r="F219" s="11"/>
      <c r="G219" s="14"/>
      <c r="I219" s="27">
        <f t="shared" si="9"/>
        <v>198000000000203</v>
      </c>
      <c r="J219" s="28" t="str">
        <f t="shared" si="8"/>
        <v/>
      </c>
    </row>
    <row r="220" spans="2:10" x14ac:dyDescent="0.2">
      <c r="B220" s="5"/>
      <c r="C220" s="17"/>
      <c r="D220" s="5"/>
      <c r="E220" s="10"/>
      <c r="F220" s="11"/>
      <c r="G220" s="14"/>
      <c r="I220" s="27">
        <f t="shared" si="9"/>
        <v>198000000000203</v>
      </c>
      <c r="J220" s="28" t="str">
        <f t="shared" si="8"/>
        <v/>
      </c>
    </row>
    <row r="221" spans="2:10" x14ac:dyDescent="0.2">
      <c r="B221" s="5"/>
      <c r="C221" s="17"/>
      <c r="D221" s="5"/>
      <c r="E221" s="10"/>
      <c r="F221" s="11"/>
      <c r="G221" s="14"/>
      <c r="I221" s="27">
        <f t="shared" si="9"/>
        <v>198000000000203</v>
      </c>
      <c r="J221" s="28" t="str">
        <f t="shared" si="8"/>
        <v/>
      </c>
    </row>
    <row r="222" spans="2:10" x14ac:dyDescent="0.2">
      <c r="B222" s="5"/>
      <c r="C222" s="17"/>
      <c r="D222" s="5"/>
      <c r="E222" s="10"/>
      <c r="F222" s="11"/>
      <c r="G222" s="14"/>
      <c r="I222" s="27">
        <f t="shared" si="9"/>
        <v>198000000000203</v>
      </c>
      <c r="J222" s="28" t="str">
        <f t="shared" si="8"/>
        <v/>
      </c>
    </row>
    <row r="223" spans="2:10" x14ac:dyDescent="0.2">
      <c r="B223" s="5"/>
      <c r="C223" s="17"/>
      <c r="D223" s="5"/>
      <c r="E223" s="10"/>
      <c r="F223" s="11"/>
      <c r="G223" s="14"/>
      <c r="I223" s="27">
        <f t="shared" si="9"/>
        <v>198000000000203</v>
      </c>
      <c r="J223" s="28" t="str">
        <f t="shared" si="8"/>
        <v/>
      </c>
    </row>
    <row r="224" spans="2:10" x14ac:dyDescent="0.2">
      <c r="B224" s="5"/>
      <c r="C224" s="17"/>
      <c r="D224" s="5"/>
      <c r="E224" s="10"/>
      <c r="F224" s="11"/>
      <c r="G224" s="14"/>
      <c r="I224" s="27">
        <f t="shared" si="9"/>
        <v>198000000000203</v>
      </c>
      <c r="J224" s="28" t="str">
        <f t="shared" si="8"/>
        <v/>
      </c>
    </row>
    <row r="225" spans="2:10" x14ac:dyDescent="0.2">
      <c r="B225" s="5"/>
      <c r="C225" s="17"/>
      <c r="D225" s="5"/>
      <c r="E225" s="10"/>
      <c r="F225" s="11"/>
      <c r="G225" s="14"/>
      <c r="I225" s="27">
        <f t="shared" si="9"/>
        <v>198000000000203</v>
      </c>
      <c r="J225" s="28" t="str">
        <f t="shared" si="8"/>
        <v/>
      </c>
    </row>
    <row r="226" spans="2:10" x14ac:dyDescent="0.2">
      <c r="B226" s="5"/>
      <c r="C226" s="17"/>
      <c r="D226" s="5"/>
      <c r="E226" s="10"/>
      <c r="F226" s="11"/>
      <c r="G226" s="14"/>
      <c r="I226" s="27">
        <f t="shared" si="9"/>
        <v>198000000000203</v>
      </c>
      <c r="J226" s="28" t="str">
        <f t="shared" si="8"/>
        <v/>
      </c>
    </row>
    <row r="227" spans="2:10" x14ac:dyDescent="0.2">
      <c r="B227" s="5"/>
      <c r="C227" s="17"/>
      <c r="D227" s="5"/>
      <c r="E227" s="10"/>
      <c r="F227" s="11"/>
      <c r="G227" s="14"/>
      <c r="I227" s="27">
        <f t="shared" si="9"/>
        <v>198000000000203</v>
      </c>
      <c r="J227" s="28" t="str">
        <f t="shared" si="8"/>
        <v/>
      </c>
    </row>
    <row r="228" spans="2:10" x14ac:dyDescent="0.2">
      <c r="B228" s="5"/>
      <c r="C228" s="17"/>
      <c r="D228" s="5"/>
      <c r="E228" s="10"/>
      <c r="F228" s="11"/>
      <c r="G228" s="14"/>
      <c r="I228" s="27">
        <f t="shared" si="9"/>
        <v>198000000000203</v>
      </c>
      <c r="J228" s="28" t="str">
        <f t="shared" si="8"/>
        <v/>
      </c>
    </row>
    <row r="229" spans="2:10" x14ac:dyDescent="0.2">
      <c r="B229" s="5"/>
      <c r="C229" s="17"/>
      <c r="D229" s="5"/>
      <c r="E229" s="10"/>
      <c r="F229" s="11"/>
      <c r="G229" s="14"/>
      <c r="I229" s="27">
        <f t="shared" si="9"/>
        <v>198000000000203</v>
      </c>
      <c r="J229" s="28" t="str">
        <f t="shared" si="8"/>
        <v/>
      </c>
    </row>
    <row r="230" spans="2:10" x14ac:dyDescent="0.2">
      <c r="B230" s="5"/>
      <c r="C230" s="17"/>
      <c r="D230" s="5"/>
      <c r="E230" s="10"/>
      <c r="F230" s="11"/>
      <c r="G230" s="14"/>
      <c r="I230" s="27">
        <f t="shared" si="9"/>
        <v>198000000000203</v>
      </c>
      <c r="J230" s="28" t="str">
        <f t="shared" si="8"/>
        <v/>
      </c>
    </row>
    <row r="231" spans="2:10" x14ac:dyDescent="0.2">
      <c r="B231" s="5"/>
      <c r="C231" s="17"/>
      <c r="D231" s="5"/>
      <c r="E231" s="10"/>
      <c r="F231" s="11"/>
      <c r="G231" s="14"/>
      <c r="I231" s="27">
        <f t="shared" si="9"/>
        <v>198000000000203</v>
      </c>
      <c r="J231" s="28" t="str">
        <f t="shared" si="8"/>
        <v/>
      </c>
    </row>
    <row r="232" spans="2:10" x14ac:dyDescent="0.2">
      <c r="B232" s="5"/>
      <c r="C232" s="17"/>
      <c r="D232" s="5"/>
      <c r="E232" s="10"/>
      <c r="F232" s="11"/>
      <c r="G232" s="14"/>
      <c r="I232" s="27">
        <f t="shared" si="9"/>
        <v>198000000000203</v>
      </c>
      <c r="J232" s="28" t="str">
        <f t="shared" si="8"/>
        <v/>
      </c>
    </row>
    <row r="233" spans="2:10" x14ac:dyDescent="0.2">
      <c r="B233" s="5"/>
      <c r="C233" s="17"/>
      <c r="D233" s="5"/>
      <c r="E233" s="10"/>
      <c r="F233" s="11"/>
      <c r="G233" s="14"/>
      <c r="I233" s="27">
        <f t="shared" si="9"/>
        <v>198000000000203</v>
      </c>
      <c r="J233" s="28" t="str">
        <f t="shared" si="8"/>
        <v/>
      </c>
    </row>
    <row r="234" spans="2:10" x14ac:dyDescent="0.2">
      <c r="B234" s="5"/>
      <c r="C234" s="17"/>
      <c r="D234" s="5"/>
      <c r="E234" s="10"/>
      <c r="F234" s="11"/>
      <c r="G234" s="14"/>
      <c r="I234" s="27">
        <f t="shared" si="9"/>
        <v>198000000000203</v>
      </c>
      <c r="J234" s="28" t="str">
        <f t="shared" si="8"/>
        <v/>
      </c>
    </row>
    <row r="235" spans="2:10" x14ac:dyDescent="0.2">
      <c r="B235" s="5"/>
      <c r="C235" s="17"/>
      <c r="D235" s="5"/>
      <c r="E235" s="10"/>
      <c r="F235" s="11"/>
      <c r="G235" s="14"/>
      <c r="I235" s="27">
        <f t="shared" si="9"/>
        <v>198000000000203</v>
      </c>
      <c r="J235" s="28" t="str">
        <f t="shared" si="8"/>
        <v/>
      </c>
    </row>
    <row r="236" spans="2:10" x14ac:dyDescent="0.2">
      <c r="B236" s="5"/>
      <c r="C236" s="17"/>
      <c r="D236" s="5"/>
      <c r="E236" s="10"/>
      <c r="F236" s="11"/>
      <c r="G236" s="14"/>
      <c r="I236" s="27">
        <f t="shared" si="9"/>
        <v>198000000000203</v>
      </c>
      <c r="J236" s="28" t="str">
        <f t="shared" si="8"/>
        <v/>
      </c>
    </row>
    <row r="237" spans="2:10" x14ac:dyDescent="0.2">
      <c r="B237" s="5"/>
      <c r="C237" s="17"/>
      <c r="D237" s="5"/>
      <c r="E237" s="10"/>
      <c r="F237" s="11"/>
      <c r="G237" s="14"/>
      <c r="I237" s="27">
        <f t="shared" si="9"/>
        <v>198000000000203</v>
      </c>
      <c r="J237" s="28" t="str">
        <f t="shared" si="8"/>
        <v/>
      </c>
    </row>
    <row r="238" spans="2:10" x14ac:dyDescent="0.2">
      <c r="B238" s="5"/>
      <c r="C238" s="17"/>
      <c r="D238" s="5"/>
      <c r="E238" s="10"/>
      <c r="F238" s="11"/>
      <c r="G238" s="14"/>
      <c r="I238" s="27">
        <f t="shared" si="9"/>
        <v>198000000000203</v>
      </c>
      <c r="J238" s="28" t="str">
        <f t="shared" si="8"/>
        <v/>
      </c>
    </row>
    <row r="239" spans="2:10" x14ac:dyDescent="0.2">
      <c r="B239" s="5"/>
      <c r="C239" s="17"/>
      <c r="D239" s="5"/>
      <c r="E239" s="10"/>
      <c r="F239" s="11"/>
      <c r="G239" s="14"/>
      <c r="I239" s="27">
        <f t="shared" si="9"/>
        <v>198000000000203</v>
      </c>
      <c r="J239" s="28" t="str">
        <f t="shared" si="8"/>
        <v/>
      </c>
    </row>
    <row r="240" spans="2:10" x14ac:dyDescent="0.2">
      <c r="B240" s="5"/>
      <c r="C240" s="17"/>
      <c r="D240" s="5"/>
      <c r="E240" s="10"/>
      <c r="F240" s="11"/>
      <c r="G240" s="14"/>
      <c r="I240" s="27">
        <f t="shared" si="9"/>
        <v>198000000000203</v>
      </c>
      <c r="J240" s="28" t="str">
        <f t="shared" si="8"/>
        <v/>
      </c>
    </row>
    <row r="241" spans="2:10" x14ac:dyDescent="0.2">
      <c r="B241" s="5"/>
      <c r="C241" s="17"/>
      <c r="D241" s="5"/>
      <c r="E241" s="10"/>
      <c r="F241" s="11"/>
      <c r="G241" s="14"/>
      <c r="I241" s="27">
        <f t="shared" si="9"/>
        <v>198000000000203</v>
      </c>
      <c r="J241" s="28" t="str">
        <f t="shared" si="8"/>
        <v/>
      </c>
    </row>
    <row r="242" spans="2:10" x14ac:dyDescent="0.2">
      <c r="B242" s="5"/>
      <c r="C242" s="17"/>
      <c r="D242" s="5"/>
      <c r="E242" s="10"/>
      <c r="F242" s="11"/>
      <c r="G242" s="14"/>
      <c r="I242" s="27">
        <f t="shared" si="9"/>
        <v>198000000000203</v>
      </c>
      <c r="J242" s="28" t="str">
        <f t="shared" si="8"/>
        <v/>
      </c>
    </row>
    <row r="243" spans="2:10" x14ac:dyDescent="0.2">
      <c r="B243" s="5"/>
      <c r="C243" s="17"/>
      <c r="D243" s="5"/>
      <c r="E243" s="10"/>
      <c r="F243" s="11"/>
      <c r="G243" s="14"/>
      <c r="I243" s="27">
        <f t="shared" si="9"/>
        <v>198000000000203</v>
      </c>
      <c r="J243" s="28" t="str">
        <f t="shared" si="8"/>
        <v/>
      </c>
    </row>
    <row r="244" spans="2:10" x14ac:dyDescent="0.2">
      <c r="B244" s="5"/>
      <c r="C244" s="17"/>
      <c r="D244" s="5"/>
      <c r="E244" s="10"/>
      <c r="F244" s="11"/>
      <c r="G244" s="14"/>
      <c r="I244" s="27">
        <f t="shared" si="9"/>
        <v>198000000000203</v>
      </c>
      <c r="J244" s="28" t="str">
        <f t="shared" si="8"/>
        <v/>
      </c>
    </row>
    <row r="245" spans="2:10" x14ac:dyDescent="0.2">
      <c r="B245" s="5"/>
      <c r="C245" s="17"/>
      <c r="D245" s="5"/>
      <c r="E245" s="10"/>
      <c r="F245" s="11"/>
      <c r="G245" s="14"/>
      <c r="I245" s="27">
        <f t="shared" si="9"/>
        <v>198000000000203</v>
      </c>
      <c r="J245" s="28" t="str">
        <f t="shared" si="8"/>
        <v/>
      </c>
    </row>
    <row r="246" spans="2:10" x14ac:dyDescent="0.2">
      <c r="B246" s="5"/>
      <c r="C246" s="17"/>
      <c r="D246" s="5"/>
      <c r="E246" s="10"/>
      <c r="F246" s="11"/>
      <c r="G246" s="14"/>
      <c r="I246" s="27">
        <f t="shared" si="9"/>
        <v>198000000000203</v>
      </c>
      <c r="J246" s="28" t="str">
        <f t="shared" si="8"/>
        <v/>
      </c>
    </row>
    <row r="247" spans="2:10" x14ac:dyDescent="0.2">
      <c r="B247" s="5"/>
      <c r="C247" s="17"/>
      <c r="D247" s="5"/>
      <c r="E247" s="10"/>
      <c r="F247" s="11"/>
      <c r="G247" s="14"/>
      <c r="I247" s="27">
        <f t="shared" si="9"/>
        <v>198000000000203</v>
      </c>
      <c r="J247" s="28" t="str">
        <f t="shared" si="8"/>
        <v/>
      </c>
    </row>
    <row r="248" spans="2:10" x14ac:dyDescent="0.2">
      <c r="B248" s="5"/>
      <c r="C248" s="17"/>
      <c r="D248" s="5"/>
      <c r="E248" s="10"/>
      <c r="F248" s="11"/>
      <c r="G248" s="14"/>
      <c r="I248" s="27">
        <f t="shared" si="9"/>
        <v>198000000000203</v>
      </c>
      <c r="J248" s="28" t="str">
        <f t="shared" si="8"/>
        <v/>
      </c>
    </row>
    <row r="249" spans="2:10" x14ac:dyDescent="0.2">
      <c r="B249" s="5"/>
      <c r="C249" s="17"/>
      <c r="D249" s="5"/>
      <c r="E249" s="10"/>
      <c r="F249" s="11"/>
      <c r="G249" s="14"/>
      <c r="I249" s="27">
        <f t="shared" si="9"/>
        <v>198000000000203</v>
      </c>
      <c r="J249" s="28" t="str">
        <f t="shared" si="8"/>
        <v/>
      </c>
    </row>
    <row r="250" spans="2:10" x14ac:dyDescent="0.2">
      <c r="B250" s="5"/>
      <c r="C250" s="17"/>
      <c r="D250" s="5"/>
      <c r="E250" s="10"/>
      <c r="F250" s="11"/>
      <c r="G250" s="14"/>
      <c r="I250" s="27">
        <f t="shared" si="9"/>
        <v>198000000000203</v>
      </c>
      <c r="J250" s="28" t="str">
        <f t="shared" si="8"/>
        <v/>
      </c>
    </row>
    <row r="251" spans="2:10" x14ac:dyDescent="0.2">
      <c r="B251" s="5"/>
      <c r="C251" s="17"/>
      <c r="D251" s="5"/>
      <c r="E251" s="10"/>
      <c r="F251" s="11"/>
      <c r="G251" s="14"/>
      <c r="I251" s="27">
        <f t="shared" si="9"/>
        <v>198000000000203</v>
      </c>
      <c r="J251" s="28" t="str">
        <f t="shared" si="8"/>
        <v/>
      </c>
    </row>
    <row r="252" spans="2:10" x14ac:dyDescent="0.2">
      <c r="B252" s="5"/>
      <c r="C252" s="17"/>
      <c r="D252" s="5"/>
      <c r="E252" s="10"/>
      <c r="F252" s="11"/>
      <c r="G252" s="14"/>
      <c r="I252" s="27">
        <f t="shared" si="9"/>
        <v>198000000000203</v>
      </c>
      <c r="J252" s="28" t="str">
        <f t="shared" si="8"/>
        <v/>
      </c>
    </row>
    <row r="253" spans="2:10" x14ac:dyDescent="0.2">
      <c r="B253" s="5"/>
      <c r="C253" s="17"/>
      <c r="D253" s="5"/>
      <c r="E253" s="10"/>
      <c r="F253" s="11"/>
      <c r="G253" s="14"/>
      <c r="I253" s="27">
        <f t="shared" si="9"/>
        <v>198000000000203</v>
      </c>
      <c r="J253" s="28" t="str">
        <f t="shared" si="8"/>
        <v/>
      </c>
    </row>
    <row r="254" spans="2:10" x14ac:dyDescent="0.2">
      <c r="B254" s="5"/>
      <c r="C254" s="17"/>
      <c r="D254" s="5"/>
      <c r="E254" s="10"/>
      <c r="F254" s="11"/>
      <c r="G254" s="14"/>
      <c r="I254" s="27">
        <f t="shared" si="9"/>
        <v>198000000000203</v>
      </c>
      <c r="J254" s="28" t="str">
        <f t="shared" si="8"/>
        <v/>
      </c>
    </row>
    <row r="255" spans="2:10" x14ac:dyDescent="0.2">
      <c r="B255" s="5"/>
      <c r="C255" s="17"/>
      <c r="D255" s="5"/>
      <c r="E255" s="10"/>
      <c r="F255" s="11"/>
      <c r="G255" s="14"/>
      <c r="I255" s="27">
        <f t="shared" si="9"/>
        <v>198000000000203</v>
      </c>
      <c r="J255" s="28" t="str">
        <f t="shared" si="8"/>
        <v/>
      </c>
    </row>
    <row r="256" spans="2:10" x14ac:dyDescent="0.2">
      <c r="B256" s="5"/>
      <c r="C256" s="17"/>
      <c r="D256" s="5"/>
      <c r="E256" s="10"/>
      <c r="F256" s="11"/>
      <c r="G256" s="14"/>
      <c r="I256" s="27">
        <f t="shared" si="9"/>
        <v>198000000000203</v>
      </c>
      <c r="J256" s="28" t="str">
        <f t="shared" si="8"/>
        <v/>
      </c>
    </row>
    <row r="257" spans="2:10" x14ac:dyDescent="0.2">
      <c r="B257" s="5"/>
      <c r="C257" s="17"/>
      <c r="D257" s="5"/>
      <c r="E257" s="10"/>
      <c r="F257" s="11"/>
      <c r="G257" s="14"/>
      <c r="I257" s="27">
        <f t="shared" si="9"/>
        <v>198000000000203</v>
      </c>
      <c r="J257" s="28" t="str">
        <f t="shared" si="8"/>
        <v/>
      </c>
    </row>
    <row r="258" spans="2:10" x14ac:dyDescent="0.2">
      <c r="B258" s="5"/>
      <c r="C258" s="17"/>
      <c r="D258" s="5"/>
      <c r="E258" s="10"/>
      <c r="F258" s="11"/>
      <c r="G258" s="14"/>
      <c r="I258" s="27">
        <f t="shared" si="9"/>
        <v>198000000000203</v>
      </c>
      <c r="J258" s="28" t="str">
        <f t="shared" si="8"/>
        <v/>
      </c>
    </row>
    <row r="259" spans="2:10" x14ac:dyDescent="0.2">
      <c r="B259" s="5"/>
      <c r="C259" s="17"/>
      <c r="D259" s="5"/>
      <c r="E259" s="10"/>
      <c r="F259" s="11"/>
      <c r="G259" s="14"/>
      <c r="I259" s="27">
        <f t="shared" si="9"/>
        <v>198000000000203</v>
      </c>
      <c r="J259" s="28" t="str">
        <f t="shared" si="8"/>
        <v/>
      </c>
    </row>
    <row r="260" spans="2:10" x14ac:dyDescent="0.2">
      <c r="B260" s="5"/>
      <c r="C260" s="17"/>
      <c r="D260" s="5"/>
      <c r="E260" s="10"/>
      <c r="F260" s="11"/>
      <c r="G260" s="14"/>
      <c r="I260" s="27">
        <f t="shared" si="9"/>
        <v>198000000000203</v>
      </c>
      <c r="J260" s="28" t="str">
        <f t="shared" si="8"/>
        <v/>
      </c>
    </row>
    <row r="261" spans="2:10" x14ac:dyDescent="0.2">
      <c r="B261" s="5"/>
      <c r="C261" s="17"/>
      <c r="D261" s="5"/>
      <c r="E261" s="10"/>
      <c r="F261" s="11"/>
      <c r="G261" s="14"/>
      <c r="I261" s="27">
        <f t="shared" si="9"/>
        <v>198000000000203</v>
      </c>
      <c r="J261" s="28" t="str">
        <f t="shared" ref="J261:J273" si="10">IF(EXACT(B261, ""), "", CONCATENATE("PERFORM ""SchData-OLTP-Master"".""Func_TblEntityBankAccount_SET""(varSystemLoginSession::bigint, null::bigint, null::varchar, null::timestamptz, null::timestamptz, null::varchar, varInstitutionBranchID::bigint, varBaseCurrencyID::bigint, ", IF(EXACT($B261, ""), "NULL", ""&amp;$B261&amp;""), "::bigint, ", IF(EXACT($D261, ""), "NULL", ""&amp;$D261&amp;""), "::bigint);"))</f>
        <v/>
      </c>
    </row>
    <row r="262" spans="2:10" x14ac:dyDescent="0.2">
      <c r="B262" s="5"/>
      <c r="C262" s="17"/>
      <c r="D262" s="5"/>
      <c r="E262" s="10"/>
      <c r="F262" s="11"/>
      <c r="G262" s="14"/>
      <c r="I262" s="27">
        <f t="shared" si="9"/>
        <v>198000000000203</v>
      </c>
      <c r="J262" s="28" t="str">
        <f t="shared" si="10"/>
        <v/>
      </c>
    </row>
    <row r="263" spans="2:10" x14ac:dyDescent="0.2">
      <c r="B263" s="5"/>
      <c r="C263" s="17"/>
      <c r="D263" s="5"/>
      <c r="E263" s="10"/>
      <c r="F263" s="11"/>
      <c r="G263" s="14"/>
      <c r="I263" s="27">
        <f t="shared" si="9"/>
        <v>198000000000203</v>
      </c>
      <c r="J263" s="28" t="str">
        <f t="shared" si="10"/>
        <v/>
      </c>
    </row>
    <row r="264" spans="2:10" x14ac:dyDescent="0.2">
      <c r="B264" s="5"/>
      <c r="C264" s="17"/>
      <c r="D264" s="5"/>
      <c r="E264" s="10"/>
      <c r="F264" s="11"/>
      <c r="G264" s="14"/>
      <c r="I264" s="27">
        <f t="shared" si="9"/>
        <v>198000000000203</v>
      </c>
      <c r="J264" s="28" t="str">
        <f t="shared" si="10"/>
        <v/>
      </c>
    </row>
    <row r="265" spans="2:10" x14ac:dyDescent="0.2">
      <c r="B265" s="5"/>
      <c r="C265" s="17"/>
      <c r="D265" s="5"/>
      <c r="E265" s="10"/>
      <c r="F265" s="11"/>
      <c r="G265" s="14"/>
      <c r="I265" s="27">
        <f t="shared" si="9"/>
        <v>198000000000203</v>
      </c>
      <c r="J265" s="28" t="str">
        <f t="shared" si="10"/>
        <v/>
      </c>
    </row>
    <row r="266" spans="2:10" x14ac:dyDescent="0.2">
      <c r="B266" s="5"/>
      <c r="C266" s="17"/>
      <c r="D266" s="5"/>
      <c r="E266" s="10"/>
      <c r="F266" s="11"/>
      <c r="G266" s="14"/>
      <c r="I266" s="27">
        <f t="shared" si="9"/>
        <v>198000000000203</v>
      </c>
      <c r="J266" s="28" t="str">
        <f t="shared" si="10"/>
        <v/>
      </c>
    </row>
    <row r="267" spans="2:10" x14ac:dyDescent="0.2">
      <c r="B267" s="5"/>
      <c r="C267" s="17"/>
      <c r="D267" s="5"/>
      <c r="E267" s="10"/>
      <c r="F267" s="11"/>
      <c r="G267" s="14"/>
      <c r="I267" s="27">
        <f t="shared" si="9"/>
        <v>198000000000203</v>
      </c>
      <c r="J267" s="28" t="str">
        <f t="shared" si="10"/>
        <v/>
      </c>
    </row>
    <row r="268" spans="2:10" x14ac:dyDescent="0.2">
      <c r="B268" s="5"/>
      <c r="C268" s="17"/>
      <c r="D268" s="5"/>
      <c r="E268" s="10"/>
      <c r="F268" s="11"/>
      <c r="G268" s="14"/>
      <c r="I268" s="27">
        <f t="shared" si="9"/>
        <v>198000000000203</v>
      </c>
      <c r="J268" s="28" t="str">
        <f t="shared" si="10"/>
        <v/>
      </c>
    </row>
    <row r="269" spans="2:10" x14ac:dyDescent="0.2">
      <c r="B269" s="5"/>
      <c r="C269" s="17"/>
      <c r="D269" s="5"/>
      <c r="E269" s="10"/>
      <c r="F269" s="11"/>
      <c r="G269" s="14"/>
      <c r="I269" s="27">
        <f t="shared" si="9"/>
        <v>198000000000203</v>
      </c>
      <c r="J269" s="28" t="str">
        <f t="shared" si="10"/>
        <v/>
      </c>
    </row>
    <row r="270" spans="2:10" x14ac:dyDescent="0.2">
      <c r="B270" s="5"/>
      <c r="C270" s="17"/>
      <c r="D270" s="5"/>
      <c r="E270" s="10"/>
      <c r="F270" s="11"/>
      <c r="G270" s="14"/>
      <c r="I270" s="27">
        <f t="shared" si="9"/>
        <v>198000000000203</v>
      </c>
      <c r="J270" s="28" t="str">
        <f t="shared" si="10"/>
        <v/>
      </c>
    </row>
    <row r="271" spans="2:10" x14ac:dyDescent="0.2">
      <c r="B271" s="5"/>
      <c r="C271" s="17"/>
      <c r="D271" s="5"/>
      <c r="E271" s="10"/>
      <c r="F271" s="11"/>
      <c r="G271" s="14"/>
      <c r="I271" s="27">
        <f t="shared" si="9"/>
        <v>198000000000203</v>
      </c>
      <c r="J271" s="28" t="str">
        <f t="shared" si="10"/>
        <v/>
      </c>
    </row>
    <row r="272" spans="2:10" x14ac:dyDescent="0.2">
      <c r="B272" s="5"/>
      <c r="C272" s="17"/>
      <c r="D272" s="5"/>
      <c r="E272" s="10"/>
      <c r="F272" s="11"/>
      <c r="G272" s="14"/>
      <c r="I272" s="27">
        <f t="shared" si="9"/>
        <v>198000000000203</v>
      </c>
      <c r="J272" s="28" t="str">
        <f t="shared" si="10"/>
        <v/>
      </c>
    </row>
    <row r="273" spans="2:10" x14ac:dyDescent="0.2">
      <c r="B273" s="5"/>
      <c r="C273" s="17"/>
      <c r="D273" s="5"/>
      <c r="E273" s="10"/>
      <c r="F273" s="11"/>
      <c r="G273" s="14"/>
      <c r="I273" s="27">
        <f t="shared" si="9"/>
        <v>198000000000203</v>
      </c>
      <c r="J273" s="28" t="str">
        <f t="shared" si="10"/>
        <v/>
      </c>
    </row>
    <row r="274" spans="2:10" x14ac:dyDescent="0.2">
      <c r="B274" s="5"/>
      <c r="C274" s="17"/>
      <c r="D274" s="5"/>
      <c r="E274" s="10"/>
      <c r="F274" s="11"/>
      <c r="G274" s="14"/>
    </row>
    <row r="275" spans="2:10" x14ac:dyDescent="0.2">
      <c r="B275" s="5"/>
      <c r="C275" s="17"/>
      <c r="D275" s="5"/>
      <c r="E275" s="10"/>
      <c r="F275" s="11"/>
      <c r="G275" s="14"/>
    </row>
    <row r="276" spans="2:10" x14ac:dyDescent="0.2">
      <c r="B276" s="5"/>
      <c r="C276" s="17"/>
      <c r="D276" s="5"/>
      <c r="E276" s="10"/>
      <c r="F276" s="11"/>
      <c r="G276" s="14"/>
    </row>
    <row r="277" spans="2:10" x14ac:dyDescent="0.2">
      <c r="B277" s="5"/>
      <c r="C277" s="17"/>
      <c r="D277" s="5"/>
      <c r="E277" s="10"/>
      <c r="F277" s="11"/>
      <c r="G277" s="14"/>
    </row>
    <row r="278" spans="2:10" x14ac:dyDescent="0.2">
      <c r="B278" s="5"/>
      <c r="C278" s="17"/>
      <c r="D278" s="5"/>
      <c r="E278" s="10"/>
      <c r="F278" s="11"/>
      <c r="G278" s="14"/>
    </row>
    <row r="279" spans="2:10" x14ac:dyDescent="0.2">
      <c r="B279" s="5"/>
      <c r="C279" s="17"/>
      <c r="D279" s="5"/>
      <c r="E279" s="10"/>
      <c r="F279" s="11"/>
      <c r="G279" s="14"/>
    </row>
    <row r="280" spans="2:10" x14ac:dyDescent="0.2">
      <c r="B280" s="5"/>
      <c r="C280" s="17"/>
      <c r="D280" s="5"/>
      <c r="E280" s="10"/>
      <c r="F280" s="11"/>
      <c r="G280" s="14"/>
    </row>
    <row r="281" spans="2:10" x14ac:dyDescent="0.2">
      <c r="B281" s="5"/>
      <c r="C281" s="17"/>
      <c r="D281" s="5"/>
      <c r="E281" s="10"/>
      <c r="F281" s="11"/>
      <c r="G281" s="14"/>
    </row>
    <row r="282" spans="2:10" x14ac:dyDescent="0.2">
      <c r="B282" s="5"/>
      <c r="C282" s="17"/>
      <c r="D282" s="5"/>
      <c r="E282" s="10"/>
      <c r="F282" s="11"/>
      <c r="G282" s="14"/>
    </row>
    <row r="283" spans="2:10" x14ac:dyDescent="0.2">
      <c r="B283" s="5"/>
      <c r="C283" s="17"/>
      <c r="D283" s="5"/>
      <c r="E283" s="10"/>
      <c r="F283" s="11"/>
      <c r="G283" s="14"/>
    </row>
    <row r="284" spans="2:10" x14ac:dyDescent="0.2">
      <c r="B284" s="5"/>
      <c r="C284" s="17"/>
      <c r="D284" s="5"/>
      <c r="E284" s="10"/>
      <c r="F284" s="11"/>
      <c r="G284" s="14"/>
    </row>
    <row r="285" spans="2:10" x14ac:dyDescent="0.2">
      <c r="B285" s="5"/>
      <c r="C285" s="17"/>
      <c r="D285" s="5"/>
      <c r="E285" s="10"/>
      <c r="F285" s="11"/>
      <c r="G285" s="14"/>
    </row>
    <row r="286" spans="2:10" x14ac:dyDescent="0.2">
      <c r="B286" s="5"/>
      <c r="C286" s="17"/>
      <c r="D286" s="5"/>
      <c r="E286" s="10"/>
      <c r="F286" s="11"/>
      <c r="G286" s="14"/>
    </row>
  </sheetData>
  <conditionalFormatting sqref="I4:I273">
    <cfRule type="expression" dxfId="0" priority="1">
      <formula>EXACT(I3, I4)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E304"/>
  <sheetViews>
    <sheetView workbookViewId="0">
      <selection activeCell="D10" sqref="D10"/>
    </sheetView>
  </sheetViews>
  <sheetFormatPr defaultRowHeight="12.75" x14ac:dyDescent="0.2"/>
  <cols>
    <col min="1" max="1" width="2.85546875" style="1" customWidth="1"/>
    <col min="2" max="2" width="14" style="2" bestFit="1" customWidth="1"/>
    <col min="3" max="3" width="30.140625" style="1" bestFit="1" customWidth="1"/>
    <col min="4" max="4" width="47.28515625" style="1" bestFit="1" customWidth="1"/>
    <col min="5" max="5" width="9.140625" style="3"/>
    <col min="6" max="16384" width="9.140625" style="1"/>
  </cols>
  <sheetData>
    <row r="1" spans="2:5" ht="13.5" thickBot="1" x14ac:dyDescent="0.25"/>
    <row r="2" spans="2:5" x14ac:dyDescent="0.2">
      <c r="B2" s="29" t="s">
        <v>8</v>
      </c>
      <c r="C2" s="21" t="s">
        <v>5</v>
      </c>
      <c r="D2" s="21" t="s">
        <v>2</v>
      </c>
      <c r="E2" s="21" t="s">
        <v>3</v>
      </c>
    </row>
    <row r="3" spans="2:5" ht="13.5" thickBot="1" x14ac:dyDescent="0.25">
      <c r="B3" s="30"/>
      <c r="C3" s="31"/>
      <c r="D3" s="7"/>
      <c r="E3" s="7"/>
    </row>
    <row r="4" spans="2:5" x14ac:dyDescent="0.2">
      <c r="B4" s="32">
        <f>IF(EXACT(SEED!J4, ""), "", SEED!I4)</f>
        <v>198000000000001</v>
      </c>
      <c r="C4" s="8" t="str">
        <f>IF(EXACT($B4, ""), "", SEED!$C4)</f>
        <v>Institution - PT. QDC Technologies</v>
      </c>
      <c r="D4" s="8" t="str">
        <f ca="1">IF(EXACT($B4, ""), "", SEED!$E4)</f>
        <v>Bank Central Asia - 0063032911</v>
      </c>
      <c r="E4" s="9" t="str">
        <f ca="1">IF(EXACT($B4, ""), "", SEED!$F4)</f>
        <v>IDR</v>
      </c>
    </row>
    <row r="5" spans="2:5" x14ac:dyDescent="0.2">
      <c r="B5" s="33">
        <f>IF(EXACT(SEED!J5, ""), "", SEED!I5)</f>
        <v>198000000000002</v>
      </c>
      <c r="C5" s="10" t="str">
        <f>IF(EXACT($B5, ""), "", SEED!$C5)</f>
        <v>Institution - PT. QDC Technologies</v>
      </c>
      <c r="D5" s="10" t="str">
        <f ca="1">IF(EXACT($B5, ""), "", SEED!$E5)</f>
        <v>Bank Central Asia - 0065557750</v>
      </c>
      <c r="E5" s="11" t="str">
        <f ca="1">IF(EXACT($B5, ""), "", SEED!$F5)</f>
        <v>IDR</v>
      </c>
    </row>
    <row r="6" spans="2:5" x14ac:dyDescent="0.2">
      <c r="B6" s="33">
        <f>IF(EXACT(SEED!J6, ""), "", SEED!I6)</f>
        <v>198000000000003</v>
      </c>
      <c r="C6" s="10" t="str">
        <f>IF(EXACT($B6, ""), "", SEED!$C6)</f>
        <v>Institution - PT. QDC Technologies</v>
      </c>
      <c r="D6" s="10" t="str">
        <f ca="1">IF(EXACT($B6, ""), "", SEED!$E6)</f>
        <v>Bank Central Asia - 0068502911</v>
      </c>
      <c r="E6" s="11" t="str">
        <f ca="1">IF(EXACT($B6, ""), "", SEED!$F6)</f>
        <v>IDR</v>
      </c>
    </row>
    <row r="7" spans="2:5" x14ac:dyDescent="0.2">
      <c r="B7" s="33">
        <f>IF(EXACT(SEED!J7, ""), "", SEED!I7)</f>
        <v>198000000000004</v>
      </c>
      <c r="C7" s="10" t="str">
        <f>IF(EXACT($B7, ""), "", SEED!$C7)</f>
        <v>Institution - PT. QDC Technologies</v>
      </c>
      <c r="D7" s="10" t="str">
        <f ca="1">IF(EXACT($B7, ""), "", SEED!$E7)</f>
        <v>Bank Central Asia - 2173050101</v>
      </c>
      <c r="E7" s="11" t="str">
        <f ca="1">IF(EXACT($B7, ""), "", SEED!$F7)</f>
        <v>IDR</v>
      </c>
    </row>
    <row r="8" spans="2:5" x14ac:dyDescent="0.2">
      <c r="B8" s="33">
        <f>IF(EXACT(SEED!J8, ""), "", SEED!I8)</f>
        <v>198000000000005</v>
      </c>
      <c r="C8" s="10" t="str">
        <f>IF(EXACT($B8, ""), "", SEED!$C8)</f>
        <v>Institution - PT. QDC Technologies</v>
      </c>
      <c r="D8" s="10" t="str">
        <f ca="1">IF(EXACT($B8, ""), "", SEED!$E8)</f>
        <v>Bank Central Asia - 2173108214</v>
      </c>
      <c r="E8" s="11" t="str">
        <f ca="1">IF(EXACT($B8, ""), "", SEED!$F8)</f>
        <v>IDR</v>
      </c>
    </row>
    <row r="9" spans="2:5" x14ac:dyDescent="0.2">
      <c r="B9" s="33">
        <f>IF(EXACT(SEED!J9, ""), "", SEED!I9)</f>
        <v>198000000000006</v>
      </c>
      <c r="C9" s="10" t="str">
        <f>IF(EXACT($B9, ""), "", SEED!$C9)</f>
        <v>Institution - PT. QDC Technologies</v>
      </c>
      <c r="D9" s="10" t="str">
        <f ca="1">IF(EXACT($B9, ""), "", SEED!$E9)</f>
        <v>Bank CIMB Niaga - 762375277200</v>
      </c>
      <c r="E9" s="11" t="str">
        <f ca="1">IF(EXACT($B9, ""), "", SEED!$F9)</f>
        <v>IDR</v>
      </c>
    </row>
    <row r="10" spans="2:5" x14ac:dyDescent="0.2">
      <c r="B10" s="33">
        <f>IF(EXACT(SEED!J10, ""), "", SEED!I10)</f>
        <v>198000000000007</v>
      </c>
      <c r="C10" s="10" t="str">
        <f>IF(EXACT($B10, ""), "", SEED!$C10)</f>
        <v>Institution - PT. QDC Technologies</v>
      </c>
      <c r="D10" s="10" t="str">
        <f ca="1">IF(EXACT($B10, ""), "", SEED!$E10)</f>
        <v>Bank CIMB Niaga - 800039839400</v>
      </c>
      <c r="E10" s="11" t="str">
        <f ca="1">IF(EXACT($B10, ""), "", SEED!$F10)</f>
        <v>IDR</v>
      </c>
    </row>
    <row r="11" spans="2:5" x14ac:dyDescent="0.2">
      <c r="B11" s="33">
        <f>IF(EXACT(SEED!J11, ""), "", SEED!I11)</f>
        <v>198000000000008</v>
      </c>
      <c r="C11" s="10" t="str">
        <f>IF(EXACT($B11, ""), "", SEED!$C11)</f>
        <v>Institution - PT. QDC Technologies</v>
      </c>
      <c r="D11" s="10" t="str">
        <f ca="1">IF(EXACT($B11, ""), "", SEED!$E11)</f>
        <v>Bank CIMB Niaga - 800039840100</v>
      </c>
      <c r="E11" s="11" t="str">
        <f ca="1">IF(EXACT($B11, ""), "", SEED!$F11)</f>
        <v>IDR</v>
      </c>
    </row>
    <row r="12" spans="2:5" x14ac:dyDescent="0.2">
      <c r="B12" s="33">
        <f>IF(EXACT(SEED!J12, ""), "", SEED!I12)</f>
        <v>198000000000009</v>
      </c>
      <c r="C12" s="10" t="str">
        <f>IF(EXACT($B12, ""), "", SEED!$C12)</f>
        <v>Institution - PT. QDC Technologies</v>
      </c>
      <c r="D12" s="10" t="str">
        <f ca="1">IF(EXACT($B12, ""), "", SEED!$E12)</f>
        <v>Bank CIMB Niaga - 860012900500</v>
      </c>
      <c r="E12" s="11" t="str">
        <f ca="1">IF(EXACT($B12, ""), "", SEED!$F12)</f>
        <v>IDR</v>
      </c>
    </row>
    <row r="13" spans="2:5" x14ac:dyDescent="0.2">
      <c r="B13" s="33">
        <f>IF(EXACT(SEED!J13, ""), "", SEED!I13)</f>
        <v>198000000000010</v>
      </c>
      <c r="C13" s="10" t="str">
        <f>IF(EXACT($B13, ""), "", SEED!$C13)</f>
        <v>Institution - PT. QDC Technologies</v>
      </c>
      <c r="D13" s="10" t="str">
        <f ca="1">IF(EXACT($B13, ""), "", SEED!$E13)</f>
        <v>Bank Commonwealth - 1051189606</v>
      </c>
      <c r="E13" s="11" t="str">
        <f ca="1">IF(EXACT($B13, ""), "", SEED!$F13)</f>
        <v>IDR</v>
      </c>
    </row>
    <row r="14" spans="2:5" x14ac:dyDescent="0.2">
      <c r="B14" s="33">
        <f>IF(EXACT(SEED!J14, ""), "", SEED!I14)</f>
        <v>198000000000011</v>
      </c>
      <c r="C14" s="10" t="str">
        <f>IF(EXACT($B14, ""), "", SEED!$C14)</f>
        <v>Institution - PT. QDC Technologies</v>
      </c>
      <c r="D14" s="10" t="str">
        <f ca="1">IF(EXACT($B14, ""), "", SEED!$E14)</f>
        <v>Bank Commonwealth - 1051189707</v>
      </c>
      <c r="E14" s="11" t="str">
        <f ca="1">IF(EXACT($B14, ""), "", SEED!$F14)</f>
        <v>USD</v>
      </c>
    </row>
    <row r="15" spans="2:5" x14ac:dyDescent="0.2">
      <c r="B15" s="33">
        <f>IF(EXACT(SEED!J15, ""), "", SEED!I15)</f>
        <v>198000000000012</v>
      </c>
      <c r="C15" s="10" t="str">
        <f>IF(EXACT($B15, ""), "", SEED!$C15)</f>
        <v>Institution - PT. QDC Technologies</v>
      </c>
      <c r="D15" s="10" t="str">
        <f ca="1">IF(EXACT($B15, ""), "", SEED!$E15)</f>
        <v>Bank KB Bukopin - 1001327468</v>
      </c>
      <c r="E15" s="11" t="str">
        <f ca="1">IF(EXACT($B15, ""), "", SEED!$F15)</f>
        <v>IDR</v>
      </c>
    </row>
    <row r="16" spans="2:5" x14ac:dyDescent="0.2">
      <c r="B16" s="33">
        <f>IF(EXACT(SEED!J16, ""), "", SEED!I16)</f>
        <v>198000000000013</v>
      </c>
      <c r="C16" s="10" t="str">
        <f>IF(EXACT($B16, ""), "", SEED!$C16)</f>
        <v>Institution - PT. QDC Technologies</v>
      </c>
      <c r="D16" s="10" t="str">
        <f ca="1">IF(EXACT($B16, ""), "", SEED!$E16)</f>
        <v>Bank KB Bukopin - 1001374466</v>
      </c>
      <c r="E16" s="11" t="str">
        <f ca="1">IF(EXACT($B16, ""), "", SEED!$F16)</f>
        <v>IDR</v>
      </c>
    </row>
    <row r="17" spans="2:5" x14ac:dyDescent="0.2">
      <c r="B17" s="33">
        <f>IF(EXACT(SEED!J17, ""), "", SEED!I17)</f>
        <v>198000000000014</v>
      </c>
      <c r="C17" s="10" t="str">
        <f>IF(EXACT($B17, ""), "", SEED!$C17)</f>
        <v>Institution - PT. QDC Technologies</v>
      </c>
      <c r="D17" s="10" t="str">
        <f ca="1">IF(EXACT($B17, ""), "", SEED!$E17)</f>
        <v>Bank KB Bukopin - 1002405420</v>
      </c>
      <c r="E17" s="11" t="str">
        <f ca="1">IF(EXACT($B17, ""), "", SEED!$F17)</f>
        <v>IDR</v>
      </c>
    </row>
    <row r="18" spans="2:5" x14ac:dyDescent="0.2">
      <c r="B18" s="33">
        <f>IF(EXACT(SEED!J18, ""), "", SEED!I18)</f>
        <v>198000000000015</v>
      </c>
      <c r="C18" s="10" t="str">
        <f>IF(EXACT($B18, ""), "", SEED!$C18)</f>
        <v>Institution - PT. QDC Technologies</v>
      </c>
      <c r="D18" s="10" t="str">
        <f ca="1">IF(EXACT($B18, ""), "", SEED!$E18)</f>
        <v>Bank Mandiri - 0700009986097</v>
      </c>
      <c r="E18" s="11" t="str">
        <f ca="1">IF(EXACT($B18, ""), "", SEED!$F18)</f>
        <v>IDR</v>
      </c>
    </row>
    <row r="19" spans="2:5" x14ac:dyDescent="0.2">
      <c r="B19" s="33">
        <f>IF(EXACT(SEED!J19, ""), "", SEED!I19)</f>
        <v>198000000000016</v>
      </c>
      <c r="C19" s="10" t="str">
        <f>IF(EXACT($B19, ""), "", SEED!$C19)</f>
        <v>Institution - PT. QDC Technologies</v>
      </c>
      <c r="D19" s="10" t="str">
        <f ca="1">IF(EXACT($B19, ""), "", SEED!$E19)</f>
        <v>Bank Mandiri - 0700010933104</v>
      </c>
      <c r="E19" s="11" t="str">
        <f ca="1">IF(EXACT($B19, ""), "", SEED!$F19)</f>
        <v>IDR</v>
      </c>
    </row>
    <row r="20" spans="2:5" x14ac:dyDescent="0.2">
      <c r="B20" s="33">
        <f>IF(EXACT(SEED!J20, ""), "", SEED!I20)</f>
        <v>198000000000017</v>
      </c>
      <c r="C20" s="10" t="str">
        <f>IF(EXACT($B20, ""), "", SEED!$C20)</f>
        <v>Institution - PT. QDC Technologies</v>
      </c>
      <c r="D20" s="10" t="str">
        <f ca="1">IF(EXACT($B20, ""), "", SEED!$E20)</f>
        <v>Bank Negara Indonesia - 1999998082</v>
      </c>
      <c r="E20" s="11" t="str">
        <f ca="1">IF(EXACT($B20, ""), "", SEED!$F20)</f>
        <v>IDR</v>
      </c>
    </row>
    <row r="21" spans="2:5" x14ac:dyDescent="0.2">
      <c r="B21" s="33">
        <f>IF(EXACT(SEED!J21, ""), "", SEED!I21)</f>
        <v>198000000000018</v>
      </c>
      <c r="C21" s="10" t="str">
        <f>IF(EXACT($B21, ""), "", SEED!$C21)</f>
        <v>Institution - PT. QDC Technologies</v>
      </c>
      <c r="D21" s="10" t="str">
        <f ca="1">IF(EXACT($B21, ""), "", SEED!$E21)</f>
        <v>Bank Negara Indonesia - 779207704</v>
      </c>
      <c r="E21" s="11" t="str">
        <f ca="1">IF(EXACT($B21, ""), "", SEED!$F21)</f>
        <v>IDR</v>
      </c>
    </row>
    <row r="22" spans="2:5" x14ac:dyDescent="0.2">
      <c r="B22" s="33">
        <f>IF(EXACT(SEED!J22, ""), "", SEED!I22)</f>
        <v>198000000000019</v>
      </c>
      <c r="C22" s="10" t="str">
        <f>IF(EXACT($B22, ""), "", SEED!$C22)</f>
        <v>Institution - PT. QDC Technologies</v>
      </c>
      <c r="D22" s="10" t="str">
        <f ca="1">IF(EXACT($B22, ""), "", SEED!$E22)</f>
        <v>Bank Negara Indonesia - 779207715</v>
      </c>
      <c r="E22" s="11" t="str">
        <f ca="1">IF(EXACT($B22, ""), "", SEED!$F22)</f>
        <v>IDR</v>
      </c>
    </row>
    <row r="23" spans="2:5" x14ac:dyDescent="0.2">
      <c r="B23" s="33">
        <f>IF(EXACT(SEED!J23, ""), "", SEED!I23)</f>
        <v>198000000000020</v>
      </c>
      <c r="C23" s="10" t="str">
        <f>IF(EXACT($B23, ""), "", SEED!$C23)</f>
        <v>Institution - PT. QDC Technologies</v>
      </c>
      <c r="D23" s="10" t="str">
        <f ca="1">IF(EXACT($B23, ""), "", SEED!$E23)</f>
        <v>Bank Negara Indonesia - 8995885888</v>
      </c>
      <c r="E23" s="11" t="str">
        <f ca="1">IF(EXACT($B23, ""), "", SEED!$F23)</f>
        <v>IDR</v>
      </c>
    </row>
    <row r="24" spans="2:5" x14ac:dyDescent="0.2">
      <c r="B24" s="33">
        <f>IF(EXACT(SEED!J24, ""), "", SEED!I24)</f>
        <v>198000000000021</v>
      </c>
      <c r="C24" s="10" t="str">
        <f>IF(EXACT($B24, ""), "", SEED!$C24)</f>
        <v>Institution - PT. QDC Technologies</v>
      </c>
      <c r="D24" s="10" t="str">
        <f ca="1">IF(EXACT($B24, ""), "", SEED!$E24)</f>
        <v>Bank Negara Indonesia - 907670396</v>
      </c>
      <c r="E24" s="11" t="str">
        <f ca="1">IF(EXACT($B24, ""), "", SEED!$F24)</f>
        <v>IDR</v>
      </c>
    </row>
    <row r="25" spans="2:5" x14ac:dyDescent="0.2">
      <c r="B25" s="33">
        <f>IF(EXACT(SEED!J25, ""), "", SEED!I25)</f>
        <v>198000000000022</v>
      </c>
      <c r="C25" s="10" t="str">
        <f>IF(EXACT($B25, ""), "", SEED!$C25)</f>
        <v>Institution - PT. QDC Technologies</v>
      </c>
      <c r="D25" s="10" t="str">
        <f ca="1">IF(EXACT($B25, ""), "", SEED!$E25)</f>
        <v>Bank OCBC Nilai Inti Sari Penyimpanan - 020800017913</v>
      </c>
      <c r="E25" s="11" t="str">
        <f ca="1">IF(EXACT($B25, ""), "", SEED!$F25)</f>
        <v>IDR</v>
      </c>
    </row>
    <row r="26" spans="2:5" x14ac:dyDescent="0.2">
      <c r="B26" s="33">
        <f>IF(EXACT(SEED!J26, ""), "", SEED!I26)</f>
        <v>198000000000023</v>
      </c>
      <c r="C26" s="10" t="str">
        <f>IF(EXACT($B26, ""), "", SEED!$C26)</f>
        <v>Institution - PT. QDC Technologies</v>
      </c>
      <c r="D26" s="10" t="str">
        <f ca="1">IF(EXACT($B26, ""), "", SEED!$E26)</f>
        <v>Bank Pembangunan Daerah Bengkulu - 0080107000764</v>
      </c>
      <c r="E26" s="11" t="str">
        <f ca="1">IF(EXACT($B26, ""), "", SEED!$F26)</f>
        <v>IDR</v>
      </c>
    </row>
    <row r="27" spans="2:5" x14ac:dyDescent="0.2">
      <c r="B27" s="33">
        <f>IF(EXACT(SEED!J27, ""), "", SEED!I27)</f>
        <v>198000000000024</v>
      </c>
      <c r="C27" s="10" t="str">
        <f>IF(EXACT($B27, ""), "", SEED!$C27)</f>
        <v>Institution - PT. QDC Technologies</v>
      </c>
      <c r="D27" s="10" t="str">
        <f ca="1">IF(EXACT($B27, ""), "", SEED!$E27)</f>
        <v>Bank Pembangunan Daerah Jawa Barat Banten - 8880888880888</v>
      </c>
      <c r="E27" s="11" t="str">
        <f ca="1">IF(EXACT($B27, ""), "", SEED!$F27)</f>
        <v>IDR</v>
      </c>
    </row>
    <row r="28" spans="2:5" x14ac:dyDescent="0.2">
      <c r="B28" s="33">
        <f>IF(EXACT(SEED!J28, ""), "", SEED!I28)</f>
        <v>198000000000025</v>
      </c>
      <c r="C28" s="10" t="str">
        <f>IF(EXACT($B28, ""), "", SEED!$C28)</f>
        <v>Institution - PT. QDC Technologies</v>
      </c>
      <c r="D28" s="10" t="str">
        <f ca="1">IF(EXACT($B28, ""), "", SEED!$E28)</f>
        <v>Bank Pembangunan Daerah Jawa Timur - 035101616</v>
      </c>
      <c r="E28" s="11" t="str">
        <f ca="1">IF(EXACT($B28, ""), "", SEED!$F28)</f>
        <v>IDR</v>
      </c>
    </row>
    <row r="29" spans="2:5" x14ac:dyDescent="0.2">
      <c r="B29" s="33">
        <f>IF(EXACT(SEED!J29, ""), "", SEED!I29)</f>
        <v>198000000000026</v>
      </c>
      <c r="C29" s="10" t="str">
        <f>IF(EXACT($B29, ""), "", SEED!$C29)</f>
        <v>Institution - PT. QDC Technologies</v>
      </c>
      <c r="D29" s="10" t="str">
        <f ca="1">IF(EXACT($B29, ""), "", SEED!$E29)</f>
        <v>Bank Pembangunan Daerah Jawa Timur - 1221001121</v>
      </c>
      <c r="E29" s="11" t="str">
        <f ca="1">IF(EXACT($B29, ""), "", SEED!$F29)</f>
        <v>IDR</v>
      </c>
    </row>
    <row r="30" spans="2:5" x14ac:dyDescent="0.2">
      <c r="B30" s="33">
        <f>IF(EXACT(SEED!J30, ""), "", SEED!I30)</f>
        <v>198000000000027</v>
      </c>
      <c r="C30" s="10" t="str">
        <f>IF(EXACT($B30, ""), "", SEED!$C30)</f>
        <v>Institution - PT. QDC Technologies</v>
      </c>
      <c r="D30" s="10" t="str">
        <f ca="1">IF(EXACT($B30, ""), "", SEED!$E30)</f>
        <v>Bank Pembangunan Daerah Jawa Timur - 1231001251</v>
      </c>
      <c r="E30" s="11" t="str">
        <f ca="1">IF(EXACT($B30, ""), "", SEED!$F30)</f>
        <v>IDR</v>
      </c>
    </row>
    <row r="31" spans="2:5" x14ac:dyDescent="0.2">
      <c r="B31" s="33">
        <f>IF(EXACT(SEED!J31, ""), "", SEED!I31)</f>
        <v>198000000000028</v>
      </c>
      <c r="C31" s="10" t="str">
        <f>IF(EXACT($B31, ""), "", SEED!$C31)</f>
        <v>Institution - PT. QDC Technologies</v>
      </c>
      <c r="D31" s="10" t="str">
        <f ca="1">IF(EXACT($B31, ""), "", SEED!$E31)</f>
        <v>Bank Pembangunan Daerah Kalimantan Selatan - 0400007001223</v>
      </c>
      <c r="E31" s="11" t="str">
        <f ca="1">IF(EXACT($B31, ""), "", SEED!$F31)</f>
        <v>IDR</v>
      </c>
    </row>
    <row r="32" spans="2:5" x14ac:dyDescent="0.2">
      <c r="B32" s="33">
        <f>IF(EXACT(SEED!J32, ""), "", SEED!I32)</f>
        <v>198000000000029</v>
      </c>
      <c r="C32" s="10" t="str">
        <f>IF(EXACT($B32, ""), "", SEED!$C32)</f>
        <v>Institution - PT. QDC Technologies</v>
      </c>
      <c r="D32" s="10" t="str">
        <f ca="1">IF(EXACT($B32, ""), "", SEED!$E32)</f>
        <v>Bank Permata - 0701393414</v>
      </c>
      <c r="E32" s="11" t="str">
        <f ca="1">IF(EXACT($B32, ""), "", SEED!$F32)</f>
        <v>USD</v>
      </c>
    </row>
    <row r="33" spans="2:5" x14ac:dyDescent="0.2">
      <c r="B33" s="33">
        <f>IF(EXACT(SEED!J33, ""), "", SEED!I33)</f>
        <v>198000000000030</v>
      </c>
      <c r="C33" s="10" t="str">
        <f>IF(EXACT($B33, ""), "", SEED!$C33)</f>
        <v>Institution - PT. QDC Technologies</v>
      </c>
      <c r="D33" s="10" t="str">
        <f ca="1">IF(EXACT($B33, ""), "", SEED!$E33)</f>
        <v>Bank Permata - 0701393481</v>
      </c>
      <c r="E33" s="11" t="str">
        <f ca="1">IF(EXACT($B33, ""), "", SEED!$F33)</f>
        <v>USD</v>
      </c>
    </row>
    <row r="34" spans="2:5" x14ac:dyDescent="0.2">
      <c r="B34" s="33">
        <f>IF(EXACT(SEED!J34, ""), "", SEED!I34)</f>
        <v>198000000000031</v>
      </c>
      <c r="C34" s="10" t="str">
        <f>IF(EXACT($B34, ""), "", SEED!$C34)</f>
        <v>Institution - PT. QDC Technologies</v>
      </c>
      <c r="D34" s="10" t="str">
        <f ca="1">IF(EXACT($B34, ""), "", SEED!$E34)</f>
        <v>Bank Permata - 0701393570</v>
      </c>
      <c r="E34" s="11" t="str">
        <f ca="1">IF(EXACT($B34, ""), "", SEED!$F34)</f>
        <v>IDR</v>
      </c>
    </row>
    <row r="35" spans="2:5" x14ac:dyDescent="0.2">
      <c r="B35" s="33">
        <f>IF(EXACT(SEED!J35, ""), "", SEED!I35)</f>
        <v>198000000000032</v>
      </c>
      <c r="C35" s="10" t="str">
        <f>IF(EXACT($B35, ""), "", SEED!$C35)</f>
        <v>Institution - PT. QDC Technologies</v>
      </c>
      <c r="D35" s="10" t="str">
        <f ca="1">IF(EXACT($B35, ""), "", SEED!$E35)</f>
        <v>Bank Permata - 0701393643</v>
      </c>
      <c r="E35" s="11" t="str">
        <f ca="1">IF(EXACT($B35, ""), "", SEED!$F35)</f>
        <v>IDR</v>
      </c>
    </row>
    <row r="36" spans="2:5" x14ac:dyDescent="0.2">
      <c r="B36" s="33">
        <f>IF(EXACT(SEED!J36, ""), "", SEED!I36)</f>
        <v>198000000000033</v>
      </c>
      <c r="C36" s="10" t="str">
        <f>IF(EXACT($B36, ""), "", SEED!$C36)</f>
        <v>Institution - PT. QDC Technologies</v>
      </c>
      <c r="D36" s="10" t="str">
        <f ca="1">IF(EXACT($B36, ""), "", SEED!$E36)</f>
        <v>Bank Rakyat Indonesia - 005301004453305</v>
      </c>
      <c r="E36" s="11" t="str">
        <f ca="1">IF(EXACT($B36, ""), "", SEED!$F36)</f>
        <v>IDR</v>
      </c>
    </row>
    <row r="37" spans="2:5" x14ac:dyDescent="0.2">
      <c r="B37" s="33">
        <f>IF(EXACT(SEED!J37, ""), "", SEED!I37)</f>
        <v>198000000000034</v>
      </c>
      <c r="C37" s="10" t="str">
        <f>IF(EXACT($B37, ""), "", SEED!$C37)</f>
        <v>Institution - PT. QDC Technologies</v>
      </c>
      <c r="D37" s="10" t="str">
        <f ca="1">IF(EXACT($B37, ""), "", SEED!$E37)</f>
        <v>Bank Rakyat Indonesia - 019301001230300</v>
      </c>
      <c r="E37" s="11" t="str">
        <f ca="1">IF(EXACT($B37, ""), "", SEED!$F37)</f>
        <v>IDR</v>
      </c>
    </row>
    <row r="38" spans="2:5" x14ac:dyDescent="0.2">
      <c r="B38" s="33">
        <f>IF(EXACT(SEED!J38, ""), "", SEED!I38)</f>
        <v>198000000000035</v>
      </c>
      <c r="C38" s="10" t="str">
        <f>IF(EXACT($B38, ""), "", SEED!$C38)</f>
        <v>Institution - PT. QDC Technologies</v>
      </c>
      <c r="D38" s="10" t="str">
        <f ca="1">IF(EXACT($B38, ""), "", SEED!$E38)</f>
        <v>Bank Rakyat Indonesia - 019301003214300</v>
      </c>
      <c r="E38" s="11" t="str">
        <f ca="1">IF(EXACT($B38, ""), "", SEED!$F38)</f>
        <v>IDR</v>
      </c>
    </row>
    <row r="39" spans="2:5" x14ac:dyDescent="0.2">
      <c r="B39" s="33">
        <f>IF(EXACT(SEED!J39, ""), "", SEED!I39)</f>
        <v>198000000000036</v>
      </c>
      <c r="C39" s="10" t="str">
        <f>IF(EXACT($B39, ""), "", SEED!$C39)</f>
        <v>Institution - PT. QDC Technologies</v>
      </c>
      <c r="D39" s="10" t="str">
        <f ca="1">IF(EXACT($B39, ""), "", SEED!$E39)</f>
        <v>Bank Rakyat Indonesia - 019301003667309</v>
      </c>
      <c r="E39" s="11" t="str">
        <f ca="1">IF(EXACT($B39, ""), "", SEED!$F39)</f>
        <v>IDR</v>
      </c>
    </row>
    <row r="40" spans="2:5" x14ac:dyDescent="0.2">
      <c r="B40" s="33">
        <f>IF(EXACT(SEED!J40, ""), "", SEED!I40)</f>
        <v>198000000000037</v>
      </c>
      <c r="C40" s="10" t="str">
        <f>IF(EXACT($B40, ""), "", SEED!$C40)</f>
        <v>Institution - PT. QDC Technologies</v>
      </c>
      <c r="D40" s="10" t="str">
        <f ca="1">IF(EXACT($B40, ""), "", SEED!$E40)</f>
        <v>Bank Rakyat Indonesia - 019301003718304</v>
      </c>
      <c r="E40" s="11" t="str">
        <f ca="1">IF(EXACT($B40, ""), "", SEED!$F40)</f>
        <v>IDR</v>
      </c>
    </row>
    <row r="41" spans="2:5" x14ac:dyDescent="0.2">
      <c r="B41" s="33">
        <f>IF(EXACT(SEED!J41, ""), "", SEED!I41)</f>
        <v>198000000000038</v>
      </c>
      <c r="C41" s="10" t="str">
        <f>IF(EXACT($B41, ""), "", SEED!$C41)</f>
        <v>Institution - PT. QDC Technologies</v>
      </c>
      <c r="D41" s="10" t="str">
        <f ca="1">IF(EXACT($B41, ""), "", SEED!$E41)</f>
        <v>Bank Rakyat Indonesia - 019301003719300</v>
      </c>
      <c r="E41" s="11" t="str">
        <f ca="1">IF(EXACT($B41, ""), "", SEED!$F41)</f>
        <v>IDR</v>
      </c>
    </row>
    <row r="42" spans="2:5" x14ac:dyDescent="0.2">
      <c r="B42" s="33">
        <f>IF(EXACT(SEED!J42, ""), "", SEED!I42)</f>
        <v>198000000000039</v>
      </c>
      <c r="C42" s="10" t="str">
        <f>IF(EXACT($B42, ""), "", SEED!$C42)</f>
        <v>Institution - PT. QDC Technologies</v>
      </c>
      <c r="D42" s="10" t="str">
        <f ca="1">IF(EXACT($B42, ""), "", SEED!$E42)</f>
        <v>Bank Rakyat Indonesia - 019301003720301</v>
      </c>
      <c r="E42" s="11" t="str">
        <f ca="1">IF(EXACT($B42, ""), "", SEED!$F42)</f>
        <v>IDR</v>
      </c>
    </row>
    <row r="43" spans="2:5" x14ac:dyDescent="0.2">
      <c r="B43" s="33">
        <f>IF(EXACT(SEED!J43, ""), "", SEED!I43)</f>
        <v>198000000000040</v>
      </c>
      <c r="C43" s="10" t="str">
        <f>IF(EXACT($B43, ""), "", SEED!$C43)</f>
        <v>Institution - PT. QDC Technologies</v>
      </c>
      <c r="D43" s="10" t="str">
        <f ca="1">IF(EXACT($B43, ""), "", SEED!$E43)</f>
        <v>Bank Rakyat Indonesia - 019301003881301</v>
      </c>
      <c r="E43" s="11" t="str">
        <f ca="1">IF(EXACT($B43, ""), "", SEED!$F43)</f>
        <v>IDR</v>
      </c>
    </row>
    <row r="44" spans="2:5" x14ac:dyDescent="0.2">
      <c r="B44" s="33">
        <f>IF(EXACT(SEED!J44, ""), "", SEED!I44)</f>
        <v>198000000000041</v>
      </c>
      <c r="C44" s="10" t="str">
        <f>IF(EXACT($B44, ""), "", SEED!$C44)</f>
        <v>Institution - PT. QDC Technologies</v>
      </c>
      <c r="D44" s="10" t="str">
        <f ca="1">IF(EXACT($B44, ""), "", SEED!$E44)</f>
        <v>Bank Rakyat Indonesia - 035901002067300</v>
      </c>
      <c r="E44" s="11" t="str">
        <f ca="1">IF(EXACT($B44, ""), "", SEED!$F44)</f>
        <v>IDR</v>
      </c>
    </row>
    <row r="45" spans="2:5" x14ac:dyDescent="0.2">
      <c r="B45" s="33">
        <f>IF(EXACT(SEED!J45, ""), "", SEED!I45)</f>
        <v>198000000000042</v>
      </c>
      <c r="C45" s="10" t="str">
        <f>IF(EXACT($B45, ""), "", SEED!$C45)</f>
        <v>Institution - PT. QDC Technologies</v>
      </c>
      <c r="D45" s="10" t="str">
        <f ca="1">IF(EXACT($B45, ""), "", SEED!$E45)</f>
        <v>Bank Rakyat Indonesia - 035901002951305</v>
      </c>
      <c r="E45" s="11" t="str">
        <f ca="1">IF(EXACT($B45, ""), "", SEED!$F45)</f>
        <v>IDR</v>
      </c>
    </row>
    <row r="46" spans="2:5" x14ac:dyDescent="0.2">
      <c r="B46" s="33">
        <f>IF(EXACT(SEED!J46, ""), "", SEED!I46)</f>
        <v>198000000000043</v>
      </c>
      <c r="C46" s="10" t="str">
        <f>IF(EXACT($B46, ""), "", SEED!$C46)</f>
        <v>Institution - PT. QDC Technologies</v>
      </c>
      <c r="D46" s="10" t="str">
        <f ca="1">IF(EXACT($B46, ""), "", SEED!$E46)</f>
        <v>Bank Rakyat Indonesia - 035901002958307</v>
      </c>
      <c r="E46" s="11" t="str">
        <f ca="1">IF(EXACT($B46, ""), "", SEED!$F46)</f>
        <v>IDR</v>
      </c>
    </row>
    <row r="47" spans="2:5" x14ac:dyDescent="0.2">
      <c r="B47" s="33">
        <f>IF(EXACT(SEED!J47, ""), "", SEED!I47)</f>
        <v>198000000000044</v>
      </c>
      <c r="C47" s="10" t="str">
        <f>IF(EXACT($B47, ""), "", SEED!$C47)</f>
        <v>Institution - PT. QDC Technologies</v>
      </c>
      <c r="D47" s="10" t="str">
        <f ca="1">IF(EXACT($B47, ""), "", SEED!$E47)</f>
        <v>Bank Rakyat Indonesia - 044101001553563</v>
      </c>
      <c r="E47" s="11" t="str">
        <f ca="1">IF(EXACT($B47, ""), "", SEED!$F47)</f>
        <v>IDR</v>
      </c>
    </row>
    <row r="48" spans="2:5" x14ac:dyDescent="0.2">
      <c r="B48" s="33">
        <f>IF(EXACT(SEED!J48, ""), "", SEED!I48)</f>
        <v>198000000000045</v>
      </c>
      <c r="C48" s="10" t="str">
        <f>IF(EXACT($B48, ""), "", SEED!$C48)</f>
        <v>Institution - PT. QDC Technologies</v>
      </c>
      <c r="D48" s="10" t="str">
        <f ca="1">IF(EXACT($B48, ""), "", SEED!$E48)</f>
        <v>Bank Rakyat Indonesia - 044101002094300</v>
      </c>
      <c r="E48" s="11" t="str">
        <f ca="1">IF(EXACT($B48, ""), "", SEED!$F48)</f>
        <v>IDR</v>
      </c>
    </row>
    <row r="49" spans="2:5" x14ac:dyDescent="0.2">
      <c r="B49" s="33">
        <f>IF(EXACT(SEED!J49, ""), "", SEED!I49)</f>
        <v>198000000000046</v>
      </c>
      <c r="C49" s="10" t="str">
        <f>IF(EXACT($B49, ""), "", SEED!$C49)</f>
        <v>Institution - PT. QDC Technologies</v>
      </c>
      <c r="D49" s="10" t="str">
        <f ca="1">IF(EXACT($B49, ""), "", SEED!$E49)</f>
        <v>Bank Rakyat Indonesia - 053801000258309</v>
      </c>
      <c r="E49" s="11" t="str">
        <f ca="1">IF(EXACT($B49, ""), "", SEED!$F49)</f>
        <v>IDR</v>
      </c>
    </row>
    <row r="50" spans="2:5" x14ac:dyDescent="0.2">
      <c r="B50" s="33">
        <f>IF(EXACT(SEED!J50, ""), "", SEED!I50)</f>
        <v>198000000000047</v>
      </c>
      <c r="C50" s="10" t="str">
        <f>IF(EXACT($B50, ""), "", SEED!$C50)</f>
        <v>Institution - PT. QDC Technologies</v>
      </c>
      <c r="D50" s="10" t="str">
        <f ca="1">IF(EXACT($B50, ""), "", SEED!$E50)</f>
        <v>Bank Rakyat Indonesia - 34101002394304</v>
      </c>
      <c r="E50" s="11" t="str">
        <f ca="1">IF(EXACT($B50, ""), "", SEED!$F50)</f>
        <v>IDR</v>
      </c>
    </row>
    <row r="51" spans="2:5" x14ac:dyDescent="0.2">
      <c r="B51" s="33">
        <f>IF(EXACT(SEED!J51, ""), "", SEED!I51)</f>
        <v>198000000000048</v>
      </c>
      <c r="C51" s="10" t="str">
        <f>IF(EXACT($B51, ""), "", SEED!$C51)</f>
        <v>Institution - PT. QDC Technologies</v>
      </c>
      <c r="D51" s="10" t="str">
        <f ca="1">IF(EXACT($B51, ""), "", SEED!$E51)</f>
        <v>Bank Rakyat Indonesia - 34101002395300</v>
      </c>
      <c r="E51" s="11" t="str">
        <f ca="1">IF(EXACT($B51, ""), "", SEED!$F51)</f>
        <v>USD</v>
      </c>
    </row>
    <row r="52" spans="2:5" x14ac:dyDescent="0.2">
      <c r="B52" s="33">
        <f>IF(EXACT(SEED!J52, ""), "", SEED!I52)</f>
        <v>198000000000049</v>
      </c>
      <c r="C52" s="10" t="str">
        <f>IF(EXACT($B52, ""), "", SEED!$C52)</f>
        <v>Institution - PT. QDC Technologies</v>
      </c>
      <c r="D52" s="10" t="str">
        <f ca="1">IF(EXACT($B52, ""), "", SEED!$E52)</f>
        <v>Bank Standard Chartered - 30601430287</v>
      </c>
      <c r="E52" s="11" t="str">
        <f ca="1">IF(EXACT($B52, ""), "", SEED!$F52)</f>
        <v>USD</v>
      </c>
    </row>
    <row r="53" spans="2:5" x14ac:dyDescent="0.2">
      <c r="B53" s="33">
        <f>IF(EXACT(SEED!J53, ""), "", SEED!I53)</f>
        <v>198000000000050</v>
      </c>
      <c r="C53" s="10" t="str">
        <f>IF(EXACT($B53, ""), "", SEED!$C53)</f>
        <v>Institution - PT. QDC Technologies</v>
      </c>
      <c r="D53" s="10" t="str">
        <f ca="1">IF(EXACT($B53, ""), "", SEED!$E53)</f>
        <v>Bank Standard Chartered - 30601430325</v>
      </c>
      <c r="E53" s="11" t="str">
        <f ca="1">IF(EXACT($B53, ""), "", SEED!$F53)</f>
        <v>IDR</v>
      </c>
    </row>
    <row r="54" spans="2:5" x14ac:dyDescent="0.2">
      <c r="B54" s="33">
        <f>IF(EXACT(SEED!J54, ""), "", SEED!I54)</f>
        <v>198000000000051</v>
      </c>
      <c r="C54" s="10" t="str">
        <f>IF(EXACT($B54, ""), "", SEED!$C54)</f>
        <v>Institution - PT. QDC Technologies</v>
      </c>
      <c r="D54" s="10" t="str">
        <f ca="1">IF(EXACT($B54, ""), "", SEED!$E54)</f>
        <v>Bank Standard Chartered - 30601430376</v>
      </c>
      <c r="E54" s="11" t="str">
        <f ca="1">IF(EXACT($B54, ""), "", SEED!$F54)</f>
        <v>IDR</v>
      </c>
    </row>
    <row r="55" spans="2:5" x14ac:dyDescent="0.2">
      <c r="B55" s="33">
        <f>IF(EXACT(SEED!J55, ""), "", SEED!I55)</f>
        <v>198000000000052</v>
      </c>
      <c r="C55" s="10" t="str">
        <f>IF(EXACT($B55, ""), "", SEED!$C55)</f>
        <v>Institution - PT. QDC Technologies</v>
      </c>
      <c r="D55" s="10" t="str">
        <f ca="1">IF(EXACT($B55, ""), "", SEED!$E55)</f>
        <v>Bank Standard Chartered - 30601430414</v>
      </c>
      <c r="E55" s="11" t="str">
        <f ca="1">IF(EXACT($B55, ""), "", SEED!$F55)</f>
        <v>IDR</v>
      </c>
    </row>
    <row r="56" spans="2:5" x14ac:dyDescent="0.2">
      <c r="B56" s="33">
        <f>IF(EXACT(SEED!J56, ""), "", SEED!I56)</f>
        <v>198000000000053</v>
      </c>
      <c r="C56" s="10" t="str">
        <f>IF(EXACT($B56, ""), "", SEED!$C56)</f>
        <v>Institution - PT. QDC Technologies</v>
      </c>
      <c r="D56" s="10" t="str">
        <f ca="1">IF(EXACT($B56, ""), "", SEED!$E56)</f>
        <v>Bank Syariah Indonesia - 1006777593</v>
      </c>
      <c r="E56" s="11" t="str">
        <f ca="1">IF(EXACT($B56, ""), "", SEED!$F56)</f>
        <v>IDR</v>
      </c>
    </row>
    <row r="57" spans="2:5" x14ac:dyDescent="0.2">
      <c r="B57" s="33">
        <f>IF(EXACT(SEED!J57, ""), "", SEED!I57)</f>
        <v>198000000000054</v>
      </c>
      <c r="C57" s="10" t="str">
        <f>IF(EXACT($B57, ""), "", SEED!$C57)</f>
        <v>Institution - PT. QDC Technologies</v>
      </c>
      <c r="D57" s="10" t="str">
        <f ca="1">IF(EXACT($B57, ""), "", SEED!$E57)</f>
        <v>Bank Syariah Indonesia - 7240736928</v>
      </c>
      <c r="E57" s="11" t="str">
        <f ca="1">IF(EXACT($B57, ""), "", SEED!$F57)</f>
        <v>IDR</v>
      </c>
    </row>
    <row r="58" spans="2:5" x14ac:dyDescent="0.2">
      <c r="B58" s="33">
        <f>IF(EXACT(SEED!J58, ""), "", SEED!I58)</f>
        <v>198000000000055</v>
      </c>
      <c r="C58" s="10" t="str">
        <f>IF(EXACT($B58, ""), "", SEED!$C58)</f>
        <v>Institution - PT. QDC Technologies</v>
      </c>
      <c r="D58" s="10" t="str">
        <f ca="1">IF(EXACT($B58, ""), "", SEED!$E58)</f>
        <v>Bank Syariah Indonesia - 7240741347</v>
      </c>
      <c r="E58" s="11" t="str">
        <f ca="1">IF(EXACT($B58, ""), "", SEED!$F58)</f>
        <v>IDR</v>
      </c>
    </row>
    <row r="59" spans="2:5" x14ac:dyDescent="0.2">
      <c r="B59" s="33">
        <f>IF(EXACT(SEED!J59, ""), "", SEED!I59)</f>
        <v>198000000000056</v>
      </c>
      <c r="C59" s="10" t="str">
        <f>IF(EXACT($B59, ""), "", SEED!$C59)</f>
        <v>Institution - PT. QDC Technologies</v>
      </c>
      <c r="D59" s="10" t="str">
        <f ca="1">IF(EXACT($B59, ""), "", SEED!$E59)</f>
        <v>Bank Tabungan Negara - 0100201300000052</v>
      </c>
      <c r="E59" s="11" t="str">
        <f ca="1">IF(EXACT($B59, ""), "", SEED!$F59)</f>
        <v>IDR</v>
      </c>
    </row>
    <row r="60" spans="2:5" x14ac:dyDescent="0.2">
      <c r="B60" s="33">
        <f>IF(EXACT(SEED!J60, ""), "", SEED!I60)</f>
        <v>198000000000057</v>
      </c>
      <c r="C60" s="10" t="str">
        <f>IF(EXACT($B60, ""), "", SEED!$C60)</f>
        <v>Person - Teguh Pratama Januzir Sukin</v>
      </c>
      <c r="D60" s="10" t="str">
        <f ca="1">IF(EXACT($B60, ""), "", SEED!$E60)</f>
        <v>Bank Central Asia - 6550289791</v>
      </c>
      <c r="E60" s="11" t="str">
        <f ca="1">IF(EXACT($B60, ""), "", SEED!$F60)</f>
        <v>IDR</v>
      </c>
    </row>
    <row r="61" spans="2:5" x14ac:dyDescent="0.2">
      <c r="B61" s="33">
        <f>IF(EXACT(SEED!J61, ""), "", SEED!I61)</f>
        <v>198000000000058</v>
      </c>
      <c r="C61" s="10" t="str">
        <f>IF(EXACT($B61, ""), "", SEED!$C61)</f>
        <v>Person - Teguh Pratama Januzir Sukin</v>
      </c>
      <c r="D61" s="10" t="str">
        <f ca="1">IF(EXACT($B61, ""), "", SEED!$E61)</f>
        <v>Bank Mandiri - 121-00-0599441-7</v>
      </c>
      <c r="E61" s="11" t="str">
        <f ca="1">IF(EXACT($B61, ""), "", SEED!$F61)</f>
        <v>IDR</v>
      </c>
    </row>
    <row r="62" spans="2:5" x14ac:dyDescent="0.2">
      <c r="B62" s="33">
        <f>IF(EXACT(SEED!J62, ""), "", SEED!I62)</f>
        <v>198000000000059</v>
      </c>
      <c r="C62" s="10" t="str">
        <f>IF(EXACT($B62, ""), "", SEED!$C62)</f>
        <v>Person - Teguh Pratama Januzir Sukin</v>
      </c>
      <c r="D62" s="10" t="str">
        <f ca="1">IF(EXACT($B62, ""), "", SEED!$E62)</f>
        <v>Bank Rakyat Indonesia - 0206-01-095647-50-4</v>
      </c>
      <c r="E62" s="11" t="str">
        <f ca="1">IF(EXACT($B62, ""), "", SEED!$F62)</f>
        <v>IDR</v>
      </c>
    </row>
    <row r="63" spans="2:5" x14ac:dyDescent="0.2">
      <c r="B63" s="33">
        <f>IF(EXACT(SEED!J63, ""), "", SEED!I63)</f>
        <v>198000000000060</v>
      </c>
      <c r="C63" s="10" t="str">
        <f>IF(EXACT($B63, ""), "", SEED!$C63)</f>
        <v>Person - Abdul Samad</v>
      </c>
      <c r="D63" s="10" t="str">
        <f ca="1">IF(EXACT($B63, ""), "", SEED!$E63)</f>
        <v>Bank Central Asia - 0060262641</v>
      </c>
      <c r="E63" s="11" t="str">
        <f ca="1">IF(EXACT($B63, ""), "", SEED!$F63)</f>
        <v>IDR</v>
      </c>
    </row>
    <row r="64" spans="2:5" x14ac:dyDescent="0.2">
      <c r="B64" s="33">
        <f>IF(EXACT(SEED!J64, ""), "", SEED!I64)</f>
        <v>198000000000061</v>
      </c>
      <c r="C64" s="10" t="str">
        <f>IF(EXACT($B64, ""), "", SEED!$C64)</f>
        <v>Person - Achmad Yunadi</v>
      </c>
      <c r="D64" s="10" t="str">
        <f ca="1">IF(EXACT($B64, ""), "", SEED!$E64)</f>
        <v>Bank Central Asia - 2040089643</v>
      </c>
      <c r="E64" s="11" t="str">
        <f ca="1">IF(EXACT($B64, ""), "", SEED!$F64)</f>
        <v>IDR</v>
      </c>
    </row>
    <row r="65" spans="2:5" x14ac:dyDescent="0.2">
      <c r="B65" s="33">
        <f>IF(EXACT(SEED!J65, ""), "", SEED!I65)</f>
        <v>198000000000062</v>
      </c>
      <c r="C65" s="10" t="str">
        <f>IF(EXACT($B65, ""), "", SEED!$C65)</f>
        <v>Person - Agnes Sutedja</v>
      </c>
      <c r="D65" s="10" t="str">
        <f ca="1">IF(EXACT($B65, ""), "", SEED!$E65)</f>
        <v>Bank Central Asia - 0350780718</v>
      </c>
      <c r="E65" s="11" t="str">
        <f ca="1">IF(EXACT($B65, ""), "", SEED!$F65)</f>
        <v>IDR</v>
      </c>
    </row>
    <row r="66" spans="2:5" x14ac:dyDescent="0.2">
      <c r="B66" s="33">
        <f>IF(EXACT(SEED!J66, ""), "", SEED!I66)</f>
        <v>198000000000063</v>
      </c>
      <c r="C66" s="10" t="str">
        <f>IF(EXACT($B66, ""), "", SEED!$C66)</f>
        <v>Person - Agus Nuryadi</v>
      </c>
      <c r="D66" s="10" t="str">
        <f ca="1">IF(EXACT($B66, ""), "", SEED!$E66)</f>
        <v>Bank Central Asia - 6821221339</v>
      </c>
      <c r="E66" s="11" t="str">
        <f ca="1">IF(EXACT($B66, ""), "", SEED!$F66)</f>
        <v>IDR</v>
      </c>
    </row>
    <row r="67" spans="2:5" x14ac:dyDescent="0.2">
      <c r="B67" s="33">
        <f>IF(EXACT(SEED!J67, ""), "", SEED!I67)</f>
        <v>198000000000064</v>
      </c>
      <c r="C67" s="10" t="str">
        <f>IF(EXACT($B67, ""), "", SEED!$C67)</f>
        <v>Person - Agus Salim</v>
      </c>
      <c r="D67" s="10" t="str">
        <f ca="1">IF(EXACT($B67, ""), "", SEED!$E67)</f>
        <v>Bank Central Asia - 5750423347</v>
      </c>
      <c r="E67" s="11" t="str">
        <f ca="1">IF(EXACT($B67, ""), "", SEED!$F67)</f>
        <v>IDR</v>
      </c>
    </row>
    <row r="68" spans="2:5" x14ac:dyDescent="0.2">
      <c r="B68" s="33">
        <f>IF(EXACT(SEED!J68, ""), "", SEED!I68)</f>
        <v>198000000000065</v>
      </c>
      <c r="C68" s="10" t="str">
        <f>IF(EXACT($B68, ""), "", SEED!$C68)</f>
        <v>Person - Ahmad Syaifulloh</v>
      </c>
      <c r="D68" s="10" t="str">
        <f ca="1">IF(EXACT($B68, ""), "", SEED!$E68)</f>
        <v>Bank Central Asia - 7150306269</v>
      </c>
      <c r="E68" s="11" t="str">
        <f ca="1">IF(EXACT($B68, ""), "", SEED!$F68)</f>
        <v>IDR</v>
      </c>
    </row>
    <row r="69" spans="2:5" x14ac:dyDescent="0.2">
      <c r="B69" s="33">
        <f>IF(EXACT(SEED!J69, ""), "", SEED!I69)</f>
        <v>198000000000066</v>
      </c>
      <c r="C69" s="10" t="str">
        <f>IF(EXACT($B69, ""), "", SEED!$C69)</f>
        <v>Person - Ahmad Choerul</v>
      </c>
      <c r="D69" s="10" t="str">
        <f ca="1">IF(EXACT($B69, ""), "", SEED!$E69)</f>
        <v>Bank Central Asia - 2670159496</v>
      </c>
      <c r="E69" s="11" t="str">
        <f ca="1">IF(EXACT($B69, ""), "", SEED!$F69)</f>
        <v>IDR</v>
      </c>
    </row>
    <row r="70" spans="2:5" x14ac:dyDescent="0.2">
      <c r="B70" s="33">
        <f>IF(EXACT(SEED!J70, ""), "", SEED!I70)</f>
        <v>198000000000067</v>
      </c>
      <c r="C70" s="10" t="str">
        <f>IF(EXACT($B70, ""), "", SEED!$C70)</f>
        <v>Person - Aldi Mulyadi</v>
      </c>
      <c r="D70" s="10" t="str">
        <f ca="1">IF(EXACT($B70, ""), "", SEED!$E70)</f>
        <v>Bank Central Asia - 5520607058</v>
      </c>
      <c r="E70" s="11" t="str">
        <f ca="1">IF(EXACT($B70, ""), "", SEED!$F70)</f>
        <v>IDR</v>
      </c>
    </row>
    <row r="71" spans="2:5" x14ac:dyDescent="0.2">
      <c r="B71" s="33">
        <f>IF(EXACT(SEED!J71, ""), "", SEED!I71)</f>
        <v>198000000000068</v>
      </c>
      <c r="C71" s="10" t="str">
        <f>IF(EXACT($B71, ""), "", SEED!$C71)</f>
        <v>Person - Annisa Dewi Arumsari</v>
      </c>
      <c r="D71" s="10" t="str">
        <f ca="1">IF(EXACT($B71, ""), "", SEED!$E71)</f>
        <v>Bank Central Asia - 5520537742</v>
      </c>
      <c r="E71" s="11" t="str">
        <f ca="1">IF(EXACT($B71, ""), "", SEED!$F71)</f>
        <v>IDR</v>
      </c>
    </row>
    <row r="72" spans="2:5" x14ac:dyDescent="0.2">
      <c r="B72" s="33">
        <f>IF(EXACT(SEED!J72, ""), "", SEED!I72)</f>
        <v>198000000000069</v>
      </c>
      <c r="C72" s="10" t="str">
        <f>IF(EXACT($B72, ""), "", SEED!$C72)</f>
        <v>Person - Anugerah Januariansyah</v>
      </c>
      <c r="D72" s="10" t="str">
        <f ca="1">IF(EXACT($B72, ""), "", SEED!$E72)</f>
        <v>Bank Central Asia - 4565061969</v>
      </c>
      <c r="E72" s="11" t="str">
        <f ca="1">IF(EXACT($B72, ""), "", SEED!$F72)</f>
        <v>IDR</v>
      </c>
    </row>
    <row r="73" spans="2:5" x14ac:dyDescent="0.2">
      <c r="B73" s="33">
        <f>IF(EXACT(SEED!J73, ""), "", SEED!I73)</f>
        <v>198000000000070</v>
      </c>
      <c r="C73" s="10" t="str">
        <f>IF(EXACT($B73, ""), "", SEED!$C73)</f>
        <v>Person - Belina Lindarwani</v>
      </c>
      <c r="D73" s="10" t="str">
        <f ca="1">IF(EXACT($B73, ""), "", SEED!$E73)</f>
        <v>Bank Central Asia - 5520579321</v>
      </c>
      <c r="E73" s="11" t="str">
        <f ca="1">IF(EXACT($B73, ""), "", SEED!$F73)</f>
        <v>IDR</v>
      </c>
    </row>
    <row r="74" spans="2:5" x14ac:dyDescent="0.2">
      <c r="B74" s="33">
        <f>IF(EXACT(SEED!J74, ""), "", SEED!I74)</f>
        <v>198000000000071</v>
      </c>
      <c r="C74" s="10" t="str">
        <f>IF(EXACT($B74, ""), "", SEED!$C74)</f>
        <v>Person - Budianto</v>
      </c>
      <c r="D74" s="10" t="str">
        <f ca="1">IF(EXACT($B74, ""), "", SEED!$E74)</f>
        <v>Bank Central Asia - 1280247568</v>
      </c>
      <c r="E74" s="11" t="str">
        <f ca="1">IF(EXACT($B74, ""), "", SEED!$F74)</f>
        <v>IDR</v>
      </c>
    </row>
    <row r="75" spans="2:5" x14ac:dyDescent="0.2">
      <c r="B75" s="33">
        <f>IF(EXACT(SEED!J75, ""), "", SEED!I75)</f>
        <v>198000000000072</v>
      </c>
      <c r="C75" s="10" t="str">
        <f>IF(EXACT($B75, ""), "", SEED!$C75)</f>
        <v>Person - Darsito</v>
      </c>
      <c r="D75" s="10" t="str">
        <f ca="1">IF(EXACT($B75, ""), "", SEED!$E75)</f>
        <v>Bank Central Asia - 2211206120</v>
      </c>
      <c r="E75" s="11" t="str">
        <f ca="1">IF(EXACT($B75, ""), "", SEED!$F75)</f>
        <v>IDR</v>
      </c>
    </row>
    <row r="76" spans="2:5" x14ac:dyDescent="0.2">
      <c r="B76" s="33">
        <f>IF(EXACT(SEED!J76, ""), "", SEED!I76)</f>
        <v>198000000000073</v>
      </c>
      <c r="C76" s="10" t="str">
        <f>IF(EXACT($B76, ""), "", SEED!$C76)</f>
        <v>Person - Deddy Rochman</v>
      </c>
      <c r="D76" s="10" t="str">
        <f ca="1">IF(EXACT($B76, ""), "", SEED!$E76)</f>
        <v>Bank Central Asia - 2839669733</v>
      </c>
      <c r="E76" s="11" t="str">
        <f ca="1">IF(EXACT($B76, ""), "", SEED!$F76)</f>
        <v>IDR</v>
      </c>
    </row>
    <row r="77" spans="2:5" x14ac:dyDescent="0.2">
      <c r="B77" s="33">
        <f>IF(EXACT(SEED!J77, ""), "", SEED!I77)</f>
        <v>198000000000074</v>
      </c>
      <c r="C77" s="10" t="str">
        <f>IF(EXACT($B77, ""), "", SEED!$C77)</f>
        <v>Person - Dionesius Sostenist Duka</v>
      </c>
      <c r="D77" s="10" t="str">
        <f ca="1">IF(EXACT($B77, ""), "", SEED!$E77)</f>
        <v>Bank Central Asia - 2731371123</v>
      </c>
      <c r="E77" s="11" t="str">
        <f ca="1">IF(EXACT($B77, ""), "", SEED!$F77)</f>
        <v>IDR</v>
      </c>
    </row>
    <row r="78" spans="2:5" x14ac:dyDescent="0.2">
      <c r="B78" s="33">
        <f>IF(EXACT(SEED!J78, ""), "", SEED!I78)</f>
        <v>198000000000075</v>
      </c>
      <c r="C78" s="10" t="str">
        <f>IF(EXACT($B78, ""), "", SEED!$C78)</f>
        <v>Person - Edi Waluyo</v>
      </c>
      <c r="D78" s="10" t="str">
        <f ca="1">IF(EXACT($B78, ""), "", SEED!$E78)</f>
        <v>Bank Central Asia - 0060185646</v>
      </c>
      <c r="E78" s="11" t="str">
        <f ca="1">IF(EXACT($B78, ""), "", SEED!$F78)</f>
        <v>IDR</v>
      </c>
    </row>
    <row r="79" spans="2:5" x14ac:dyDescent="0.2">
      <c r="B79" s="33">
        <f>IF(EXACT(SEED!J79, ""), "", SEED!I79)</f>
        <v>198000000000076</v>
      </c>
      <c r="C79" s="10" t="str">
        <f>IF(EXACT($B79, ""), "", SEED!$C79)</f>
        <v>Person - Eka Bagus Dwi Putra</v>
      </c>
      <c r="D79" s="10" t="str">
        <f ca="1">IF(EXACT($B79, ""), "", SEED!$E79)</f>
        <v>Bank Central Asia - 5211078091</v>
      </c>
      <c r="E79" s="11" t="str">
        <f ca="1">IF(EXACT($B79, ""), "", SEED!$F79)</f>
        <v>IDR</v>
      </c>
    </row>
    <row r="80" spans="2:5" x14ac:dyDescent="0.2">
      <c r="B80" s="33">
        <f>IF(EXACT(SEED!J80, ""), "", SEED!I80)</f>
        <v>198000000000077</v>
      </c>
      <c r="C80" s="10" t="str">
        <f>IF(EXACT($B80, ""), "", SEED!$C80)</f>
        <v>Person - Eka Purwanti</v>
      </c>
      <c r="D80" s="10" t="str">
        <f ca="1">IF(EXACT($B80, ""), "", SEED!$E80)</f>
        <v>Bank Central Asia - 5855178874</v>
      </c>
      <c r="E80" s="11" t="str">
        <f ca="1">IF(EXACT($B80, ""), "", SEED!$F80)</f>
        <v>IDR</v>
      </c>
    </row>
    <row r="81" spans="2:5" x14ac:dyDescent="0.2">
      <c r="B81" s="33">
        <f>IF(EXACT(SEED!J81, ""), "", SEED!I81)</f>
        <v>198000000000078</v>
      </c>
      <c r="C81" s="10" t="str">
        <f>IF(EXACT($B81, ""), "", SEED!$C81)</f>
        <v>Person - Endang Sutrisna</v>
      </c>
      <c r="D81" s="10" t="str">
        <f ca="1">IF(EXACT($B81, ""), "", SEED!$E81)</f>
        <v>Bank Central Asia - 5750226541</v>
      </c>
      <c r="E81" s="11" t="str">
        <f ca="1">IF(EXACT($B81, ""), "", SEED!$F81)</f>
        <v>IDR</v>
      </c>
    </row>
    <row r="82" spans="2:5" x14ac:dyDescent="0.2">
      <c r="B82" s="33">
        <f>IF(EXACT(SEED!J82, ""), "", SEED!I82)</f>
        <v>198000000000079</v>
      </c>
      <c r="C82" s="10" t="str">
        <f>IF(EXACT($B82, ""), "", SEED!$C82)</f>
        <v>Person - Ferdian Kriswantoro</v>
      </c>
      <c r="D82" s="10" t="str">
        <f ca="1">IF(EXACT($B82, ""), "", SEED!$E82)</f>
        <v>Bank Central Asia - 8760378217</v>
      </c>
      <c r="E82" s="11" t="str">
        <f ca="1">IF(EXACT($B82, ""), "", SEED!$F82)</f>
        <v>IDR</v>
      </c>
    </row>
    <row r="83" spans="2:5" x14ac:dyDescent="0.2">
      <c r="B83" s="33">
        <f>IF(EXACT(SEED!J83, ""), "", SEED!I83)</f>
        <v>198000000000080</v>
      </c>
      <c r="C83" s="10" t="str">
        <f>IF(EXACT($B83, ""), "", SEED!$C83)</f>
        <v>Person - Frando Judi Siahaan</v>
      </c>
      <c r="D83" s="10" t="str">
        <f ca="1">IF(EXACT($B83, ""), "", SEED!$E83)</f>
        <v>Bank Central Asia - 8200472447</v>
      </c>
      <c r="E83" s="11" t="str">
        <f ca="1">IF(EXACT($B83, ""), "", SEED!$F83)</f>
        <v>IDR</v>
      </c>
    </row>
    <row r="84" spans="2:5" x14ac:dyDescent="0.2">
      <c r="B84" s="33">
        <f>IF(EXACT(SEED!J84, ""), "", SEED!I84)</f>
        <v>198000000000081</v>
      </c>
      <c r="C84" s="10" t="str">
        <f>IF(EXACT($B84, ""), "", SEED!$C84)</f>
        <v>Person - Gunawan</v>
      </c>
      <c r="D84" s="10" t="str">
        <f ca="1">IF(EXACT($B84, ""), "", SEED!$E84)</f>
        <v>Bank Central Asia - 1281467889</v>
      </c>
      <c r="E84" s="11" t="str">
        <f ca="1">IF(EXACT($B84, ""), "", SEED!$F84)</f>
        <v>IDR</v>
      </c>
    </row>
    <row r="85" spans="2:5" x14ac:dyDescent="0.2">
      <c r="B85" s="33">
        <f>IF(EXACT(SEED!J85, ""), "", SEED!I85)</f>
        <v>198000000000082</v>
      </c>
      <c r="C85" s="10" t="str">
        <f>IF(EXACT($B85, ""), "", SEED!$C85)</f>
        <v>Person - Tajuddin Assubki Ismail</v>
      </c>
      <c r="D85" s="10" t="str">
        <f ca="1">IF(EXACT($B85, ""), "", SEED!$E85)</f>
        <v>Bank Central Asia - 3191643869</v>
      </c>
      <c r="E85" s="11" t="str">
        <f ca="1">IF(EXACT($B85, ""), "", SEED!$F85)</f>
        <v>IDR</v>
      </c>
    </row>
    <row r="86" spans="2:5" x14ac:dyDescent="0.2">
      <c r="B86" s="33">
        <f>IF(EXACT(SEED!J86, ""), "", SEED!I86)</f>
        <v>198000000000083</v>
      </c>
      <c r="C86" s="10" t="str">
        <f>IF(EXACT($B86, ""), "", SEED!$C86)</f>
        <v>Person - Icha Mailinda Syamsoedin</v>
      </c>
      <c r="D86" s="10" t="str">
        <f ca="1">IF(EXACT($B86, ""), "", SEED!$E86)</f>
        <v>Bank Central Asia - 5520226500</v>
      </c>
      <c r="E86" s="11" t="str">
        <f ca="1">IF(EXACT($B86, ""), "", SEED!$F86)</f>
        <v>IDR</v>
      </c>
    </row>
    <row r="87" spans="2:5" x14ac:dyDescent="0.2">
      <c r="B87" s="33">
        <f>IF(EXACT(SEED!J87, ""), "", SEED!I87)</f>
        <v>198000000000084</v>
      </c>
      <c r="C87" s="10" t="str">
        <f>IF(EXACT($B87, ""), "", SEED!$C87)</f>
        <v>Person - Ilham Akbar</v>
      </c>
      <c r="D87" s="10" t="str">
        <f ca="1">IF(EXACT($B87, ""), "", SEED!$E87)</f>
        <v>Bank Central Asia - 5520464753</v>
      </c>
      <c r="E87" s="11" t="str">
        <f ca="1">IF(EXACT($B87, ""), "", SEED!$F87)</f>
        <v>IDR</v>
      </c>
    </row>
    <row r="88" spans="2:5" x14ac:dyDescent="0.2">
      <c r="B88" s="33">
        <f>IF(EXACT(SEED!J88, ""), "", SEED!I88)</f>
        <v>198000000000085</v>
      </c>
      <c r="C88" s="10" t="str">
        <f>IF(EXACT($B88, ""), "", SEED!$C88)</f>
        <v>Person - Irma Maulidawati</v>
      </c>
      <c r="D88" s="10" t="str">
        <f ca="1">IF(EXACT($B88, ""), "", SEED!$E88)</f>
        <v>Bank Central Asia - 5520696425</v>
      </c>
      <c r="E88" s="11" t="str">
        <f ca="1">IF(EXACT($B88, ""), "", SEED!$F88)</f>
        <v>IDR</v>
      </c>
    </row>
    <row r="89" spans="2:5" x14ac:dyDescent="0.2">
      <c r="B89" s="33">
        <f>IF(EXACT(SEED!J89, ""), "", SEED!I89)</f>
        <v>198000000000086</v>
      </c>
      <c r="C89" s="10" t="str">
        <f>IF(EXACT($B89, ""), "", SEED!$C89)</f>
        <v>Person - Isa Taufiq</v>
      </c>
      <c r="D89" s="10" t="str">
        <f ca="1">IF(EXACT($B89, ""), "", SEED!$E89)</f>
        <v>Bank Central Asia - 7660328771</v>
      </c>
      <c r="E89" s="11" t="str">
        <f ca="1">IF(EXACT($B89, ""), "", SEED!$F89)</f>
        <v>IDR</v>
      </c>
    </row>
    <row r="90" spans="2:5" x14ac:dyDescent="0.2">
      <c r="B90" s="33">
        <f>IF(EXACT(SEED!J90, ""), "", SEED!I90)</f>
        <v>198000000000087</v>
      </c>
      <c r="C90" s="10" t="str">
        <f>IF(EXACT($B90, ""), "", SEED!$C90)</f>
        <v>Person - Istikaro Fauziah</v>
      </c>
      <c r="D90" s="10" t="str">
        <f ca="1">IF(EXACT($B90, ""), "", SEED!$E90)</f>
        <v>Bank Central Asia - 4980153300</v>
      </c>
      <c r="E90" s="11" t="str">
        <f ca="1">IF(EXACT($B90, ""), "", SEED!$F90)</f>
        <v>IDR</v>
      </c>
    </row>
    <row r="91" spans="2:5" x14ac:dyDescent="0.2">
      <c r="B91" s="33">
        <f>IF(EXACT(SEED!J91, ""), "", SEED!I91)</f>
        <v>198000000000088</v>
      </c>
      <c r="C91" s="10" t="str">
        <f>IF(EXACT($B91, ""), "", SEED!$C91)</f>
        <v>Person - Jimmywal</v>
      </c>
      <c r="D91" s="10" t="str">
        <f ca="1">IF(EXACT($B91, ""), "", SEED!$E91)</f>
        <v>Bank Central Asia - 5520190068</v>
      </c>
      <c r="E91" s="11" t="str">
        <f ca="1">IF(EXACT($B91, ""), "", SEED!$F91)</f>
        <v>IDR</v>
      </c>
    </row>
    <row r="92" spans="2:5" x14ac:dyDescent="0.2">
      <c r="B92" s="33">
        <f>IF(EXACT(SEED!J92, ""), "", SEED!I92)</f>
        <v>198000000000089</v>
      </c>
      <c r="C92" s="10" t="str">
        <f>IF(EXACT($B92, ""), "", SEED!$C92)</f>
        <v>Person - Kornelius Sakan</v>
      </c>
      <c r="D92" s="10" t="str">
        <f ca="1">IF(EXACT($B92, ""), "", SEED!$E92)</f>
        <v>Bank Central Asia - 0060238634</v>
      </c>
      <c r="E92" s="11" t="str">
        <f ca="1">IF(EXACT($B92, ""), "", SEED!$F92)</f>
        <v>IDR</v>
      </c>
    </row>
    <row r="93" spans="2:5" x14ac:dyDescent="0.2">
      <c r="B93" s="33">
        <f>IF(EXACT(SEED!J93, ""), "", SEED!I93)</f>
        <v>198000000000090</v>
      </c>
      <c r="C93" s="10" t="str">
        <f>IF(EXACT($B93, ""), "", SEED!$C93)</f>
        <v>Person - Fitriastuti Kurnia</v>
      </c>
      <c r="D93" s="10" t="str">
        <f ca="1">IF(EXACT($B93, ""), "", SEED!$E93)</f>
        <v>Bank Central Asia - 0060202915</v>
      </c>
      <c r="E93" s="11" t="str">
        <f ca="1">IF(EXACT($B93, ""), "", SEED!$F93)</f>
        <v>IDR</v>
      </c>
    </row>
    <row r="94" spans="2:5" x14ac:dyDescent="0.2">
      <c r="B94" s="33">
        <f>IF(EXACT(SEED!J94, ""), "", SEED!I94)</f>
        <v>198000000000091</v>
      </c>
      <c r="C94" s="10" t="str">
        <f>IF(EXACT($B94, ""), "", SEED!$C94)</f>
        <v>Person - Lisma Natalia</v>
      </c>
      <c r="D94" s="10" t="str">
        <f ca="1">IF(EXACT($B94, ""), "", SEED!$E94)</f>
        <v>Bank Central Asia - 5520514947</v>
      </c>
      <c r="E94" s="11" t="str">
        <f ca="1">IF(EXACT($B94, ""), "", SEED!$F94)</f>
        <v>IDR</v>
      </c>
    </row>
    <row r="95" spans="2:5" x14ac:dyDescent="0.2">
      <c r="B95" s="33">
        <f>IF(EXACT(SEED!J95, ""), "", SEED!I95)</f>
        <v>198000000000092</v>
      </c>
      <c r="C95" s="10" t="str">
        <f>IF(EXACT($B95, ""), "", SEED!$C95)</f>
        <v>Person - M. Fikri Caesarandi Hasibuan</v>
      </c>
      <c r="D95" s="10" t="str">
        <f ca="1">IF(EXACT($B95, ""), "", SEED!$E95)</f>
        <v>Bank Central Asia - 7865198493</v>
      </c>
      <c r="E95" s="11" t="str">
        <f ca="1">IF(EXACT($B95, ""), "", SEED!$F95)</f>
        <v>IDR</v>
      </c>
    </row>
    <row r="96" spans="2:5" x14ac:dyDescent="0.2">
      <c r="B96" s="33">
        <f>IF(EXACT(SEED!J96, ""), "", SEED!I96)</f>
        <v>198000000000093</v>
      </c>
      <c r="C96" s="10" t="str">
        <f>IF(EXACT($B96, ""), "", SEED!$C96)</f>
        <v>Person - Marten Tabun</v>
      </c>
      <c r="D96" s="10" t="str">
        <f ca="1">IF(EXACT($B96, ""), "", SEED!$E96)</f>
        <v>Bank Central Asia - 5750336223</v>
      </c>
      <c r="E96" s="11" t="str">
        <f ca="1">IF(EXACT($B96, ""), "", SEED!$F96)</f>
        <v>IDR</v>
      </c>
    </row>
    <row r="97" spans="2:5" x14ac:dyDescent="0.2">
      <c r="B97" s="33">
        <f>IF(EXACT(SEED!J97, ""), "", SEED!I97)</f>
        <v>198000000000094</v>
      </c>
      <c r="C97" s="10" t="str">
        <f>IF(EXACT($B97, ""), "", SEED!$C97)</f>
        <v>Person - Masimin</v>
      </c>
      <c r="D97" s="10" t="str">
        <f ca="1">IF(EXACT($B97, ""), "", SEED!$E97)</f>
        <v>Bank Central Asia - 0350189041</v>
      </c>
      <c r="E97" s="11" t="str">
        <f ca="1">IF(EXACT($B97, ""), "", SEED!$F97)</f>
        <v>IDR</v>
      </c>
    </row>
    <row r="98" spans="2:5" x14ac:dyDescent="0.2">
      <c r="B98" s="33">
        <f>IF(EXACT(SEED!J98, ""), "", SEED!I98)</f>
        <v>198000000000095</v>
      </c>
      <c r="C98" s="10" t="str">
        <f>IF(EXACT($B98, ""), "", SEED!$C98)</f>
        <v>Person - Mullan Tresna</v>
      </c>
      <c r="D98" s="10" t="str">
        <f ca="1">IF(EXACT($B98, ""), "", SEED!$E98)</f>
        <v>Bank Central Asia - 7660282321</v>
      </c>
      <c r="E98" s="11" t="str">
        <f ca="1">IF(EXACT($B98, ""), "", SEED!$F98)</f>
        <v>IDR</v>
      </c>
    </row>
    <row r="99" spans="2:5" x14ac:dyDescent="0.2">
      <c r="B99" s="33">
        <f>IF(EXACT(SEED!J99, ""), "", SEED!I99)</f>
        <v>198000000000096</v>
      </c>
      <c r="C99" s="10" t="str">
        <f>IF(EXACT($B99, ""), "", SEED!$C99)</f>
        <v>Person - Nandang Effendi</v>
      </c>
      <c r="D99" s="10" t="str">
        <f ca="1">IF(EXACT($B99, ""), "", SEED!$E99)</f>
        <v>Bank Central Asia - 7000245156</v>
      </c>
      <c r="E99" s="11" t="str">
        <f ca="1">IF(EXACT($B99, ""), "", SEED!$F99)</f>
        <v>IDR</v>
      </c>
    </row>
    <row r="100" spans="2:5" x14ac:dyDescent="0.2">
      <c r="B100" s="33">
        <f>IF(EXACT(SEED!J100, ""), "", SEED!I100)</f>
        <v>198000000000097</v>
      </c>
      <c r="C100" s="10" t="str">
        <f>IF(EXACT($B100, ""), "", SEED!$C100)</f>
        <v>Person - Panca Yudi Baskoro</v>
      </c>
      <c r="D100" s="10" t="str">
        <f ca="1">IF(EXACT($B100, ""), "", SEED!$E100)</f>
        <v>Bank Central Asia - 8760571998</v>
      </c>
      <c r="E100" s="11" t="str">
        <f ca="1">IF(EXACT($B100, ""), "", SEED!$F100)</f>
        <v>IDR</v>
      </c>
    </row>
    <row r="101" spans="2:5" x14ac:dyDescent="0.2">
      <c r="B101" s="33">
        <f>IF(EXACT(SEED!J101, ""), "", SEED!I101)</f>
        <v>198000000000098</v>
      </c>
      <c r="C101" s="10" t="str">
        <f>IF(EXACT($B101, ""), "", SEED!$C101)</f>
        <v>Person - Pantas Banjarnahor Marbun</v>
      </c>
      <c r="D101" s="10" t="str">
        <f ca="1">IF(EXACT($B101, ""), "", SEED!$E101)</f>
        <v>Bank Central Asia - 0060098298</v>
      </c>
      <c r="E101" s="11" t="str">
        <f ca="1">IF(EXACT($B101, ""), "", SEED!$F101)</f>
        <v>IDR</v>
      </c>
    </row>
    <row r="102" spans="2:5" x14ac:dyDescent="0.2">
      <c r="B102" s="33">
        <f>IF(EXACT(SEED!J102, ""), "", SEED!I102)</f>
        <v>198000000000099</v>
      </c>
      <c r="C102" s="10" t="str">
        <f>IF(EXACT($B102, ""), "", SEED!$C102)</f>
        <v>Person - Prayanti Dewi Anggraini</v>
      </c>
      <c r="D102" s="10" t="str">
        <f ca="1">IF(EXACT($B102, ""), "", SEED!$E102)</f>
        <v>Bank Central Asia - 3831252381</v>
      </c>
      <c r="E102" s="11" t="str">
        <f ca="1">IF(EXACT($B102, ""), "", SEED!$F102)</f>
        <v>IDR</v>
      </c>
    </row>
    <row r="103" spans="2:5" x14ac:dyDescent="0.2">
      <c r="B103" s="33">
        <f>IF(EXACT(SEED!J103, ""), "", SEED!I103)</f>
        <v>198000000000100</v>
      </c>
      <c r="C103" s="10" t="str">
        <f>IF(EXACT($B103, ""), "", SEED!$C103)</f>
        <v>Person - Rhino Priawan</v>
      </c>
      <c r="D103" s="10" t="str">
        <f ca="1">IF(EXACT($B103, ""), "", SEED!$E103)</f>
        <v>Bank Central Asia - 7660268949</v>
      </c>
      <c r="E103" s="11" t="str">
        <f ca="1">IF(EXACT($B103, ""), "", SEED!$F103)</f>
        <v>IDR</v>
      </c>
    </row>
    <row r="104" spans="2:5" x14ac:dyDescent="0.2">
      <c r="B104" s="33">
        <f>IF(EXACT(SEED!J104, ""), "", SEED!I104)</f>
        <v>198000000000101</v>
      </c>
      <c r="C104" s="10" t="str">
        <f>IF(EXACT($B104, ""), "", SEED!$C104)</f>
        <v>Person - Riza Emir Subekti</v>
      </c>
      <c r="D104" s="10" t="str">
        <f ca="1">IF(EXACT($B104, ""), "", SEED!$E104)</f>
        <v>Bank Central Asia - 2170088924</v>
      </c>
      <c r="E104" s="11" t="str">
        <f ca="1">IF(EXACT($B104, ""), "", SEED!$F104)</f>
        <v>IDR</v>
      </c>
    </row>
    <row r="105" spans="2:5" x14ac:dyDescent="0.2">
      <c r="B105" s="33">
        <f>IF(EXACT(SEED!J105, ""), "", SEED!I105)</f>
        <v>198000000000102</v>
      </c>
      <c r="C105" s="10" t="str">
        <f>IF(EXACT($B105, ""), "", SEED!$C105)</f>
        <v>Person - Sakinah Tantriani Lubis</v>
      </c>
      <c r="D105" s="10" t="str">
        <f ca="1">IF(EXACT($B105, ""), "", SEED!$E105)</f>
        <v>Bank Central Asia - 5025005331</v>
      </c>
      <c r="E105" s="11" t="str">
        <f ca="1">IF(EXACT($B105, ""), "", SEED!$F105)</f>
        <v>IDR</v>
      </c>
    </row>
    <row r="106" spans="2:5" x14ac:dyDescent="0.2">
      <c r="B106" s="33">
        <f>IF(EXACT(SEED!J106, ""), "", SEED!I106)</f>
        <v>198000000000103</v>
      </c>
      <c r="C106" s="10" t="str">
        <f>IF(EXACT($B106, ""), "", SEED!$C106)</f>
        <v>Person - Seftiyan Hadi Maulana</v>
      </c>
      <c r="D106" s="10" t="str">
        <f ca="1">IF(EXACT($B106, ""), "", SEED!$E106)</f>
        <v>Bank Central Asia - 5325315714</v>
      </c>
      <c r="E106" s="11" t="str">
        <f ca="1">IF(EXACT($B106, ""), "", SEED!$F106)</f>
        <v>IDR</v>
      </c>
    </row>
    <row r="107" spans="2:5" x14ac:dyDescent="0.2">
      <c r="B107" s="33">
        <f>IF(EXACT(SEED!J107, ""), "", SEED!I107)</f>
        <v>198000000000104</v>
      </c>
      <c r="C107" s="10" t="str">
        <f>IF(EXACT($B107, ""), "", SEED!$C107)</f>
        <v>Person - Setiadi</v>
      </c>
      <c r="D107" s="10" t="str">
        <f ca="1">IF(EXACT($B107, ""), "", SEED!$E107)</f>
        <v>Bank Central Asia - 2101238654</v>
      </c>
      <c r="E107" s="11" t="str">
        <f ca="1">IF(EXACT($B107, ""), "", SEED!$F107)</f>
        <v>IDR</v>
      </c>
    </row>
    <row r="108" spans="2:5" x14ac:dyDescent="0.2">
      <c r="B108" s="33">
        <f>IF(EXACT(SEED!J108, ""), "", SEED!I108)</f>
        <v>198000000000105</v>
      </c>
      <c r="C108" s="10" t="str">
        <f>IF(EXACT($B108, ""), "", SEED!$C108)</f>
        <v>Person - Sholehah</v>
      </c>
      <c r="D108" s="10" t="str">
        <f ca="1">IF(EXACT($B108, ""), "", SEED!$E108)</f>
        <v>Bank Central Asia - 0670059618</v>
      </c>
      <c r="E108" s="11" t="str">
        <f ca="1">IF(EXACT($B108, ""), "", SEED!$F108)</f>
        <v>IDR</v>
      </c>
    </row>
    <row r="109" spans="2:5" x14ac:dyDescent="0.2">
      <c r="B109" s="33">
        <f>IF(EXACT(SEED!J109, ""), "", SEED!I109)</f>
        <v>198000000000106</v>
      </c>
      <c r="C109" s="10" t="str">
        <f>IF(EXACT($B109, ""), "", SEED!$C109)</f>
        <v>Person - Sudarlan</v>
      </c>
      <c r="D109" s="10" t="str">
        <f ca="1">IF(EXACT($B109, ""), "", SEED!$E109)</f>
        <v>Bank Central Asia - 5750223151</v>
      </c>
      <c r="E109" s="11" t="str">
        <f ca="1">IF(EXACT($B109, ""), "", SEED!$F109)</f>
        <v>IDR</v>
      </c>
    </row>
    <row r="110" spans="2:5" x14ac:dyDescent="0.2">
      <c r="B110" s="33">
        <f>IF(EXACT(SEED!J110, ""), "", SEED!I110)</f>
        <v>198000000000107</v>
      </c>
      <c r="C110" s="10" t="str">
        <f>IF(EXACT($B110, ""), "", SEED!$C110)</f>
        <v>Person - Sufie Amalia</v>
      </c>
      <c r="D110" s="10" t="str">
        <f ca="1">IF(EXACT($B110, ""), "", SEED!$E110)</f>
        <v>Bank Central Asia - 5490332288</v>
      </c>
      <c r="E110" s="11" t="str">
        <f ca="1">IF(EXACT($B110, ""), "", SEED!$F110)</f>
        <v>IDR</v>
      </c>
    </row>
    <row r="111" spans="2:5" x14ac:dyDescent="0.2">
      <c r="B111" s="33">
        <f>IF(EXACT(SEED!J111, ""), "", SEED!I111)</f>
        <v>198000000000108</v>
      </c>
      <c r="C111" s="10" t="str">
        <f>IF(EXACT($B111, ""), "", SEED!$C111)</f>
        <v>Person - Suyanto</v>
      </c>
      <c r="D111" s="10" t="str">
        <f ca="1">IF(EXACT($B111, ""), "", SEED!$E111)</f>
        <v>Bank Central Asia - 1280421665</v>
      </c>
      <c r="E111" s="11" t="str">
        <f ca="1">IF(EXACT($B111, ""), "", SEED!$F111)</f>
        <v>IDR</v>
      </c>
    </row>
    <row r="112" spans="2:5" x14ac:dyDescent="0.2">
      <c r="B112" s="33">
        <f>IF(EXACT(SEED!J112, ""), "", SEED!I112)</f>
        <v>198000000000109</v>
      </c>
      <c r="C112" s="10" t="str">
        <f>IF(EXACT($B112, ""), "", SEED!$C112)</f>
        <v>Person - T. Marungkil U. S. Sagala</v>
      </c>
      <c r="D112" s="10" t="str">
        <f ca="1">IF(EXACT($B112, ""), "", SEED!$E112)</f>
        <v>Bank Central Asia - 7660251671</v>
      </c>
      <c r="E112" s="11" t="str">
        <f ca="1">IF(EXACT($B112, ""), "", SEED!$F112)</f>
        <v>IDR</v>
      </c>
    </row>
    <row r="113" spans="2:5" x14ac:dyDescent="0.2">
      <c r="B113" s="33">
        <f>IF(EXACT(SEED!J113, ""), "", SEED!I113)</f>
        <v>198000000000110</v>
      </c>
      <c r="C113" s="10" t="str">
        <f>IF(EXACT($B113, ""), "", SEED!$C113)</f>
        <v>Person - Turita Pramuning Marantina</v>
      </c>
      <c r="D113" s="10" t="str">
        <f ca="1">IF(EXACT($B113, ""), "", SEED!$E113)</f>
        <v>Bank Central Asia - 3751363751</v>
      </c>
      <c r="E113" s="11" t="str">
        <f ca="1">IF(EXACT($B113, ""), "", SEED!$F113)</f>
        <v>IDR</v>
      </c>
    </row>
    <row r="114" spans="2:5" x14ac:dyDescent="0.2">
      <c r="B114" s="33">
        <f>IF(EXACT(SEED!J114, ""), "", SEED!I114)</f>
        <v>198000000000111</v>
      </c>
      <c r="C114" s="10" t="str">
        <f>IF(EXACT($B114, ""), "", SEED!$C114)</f>
        <v>Person - Wahyu Ramadhani</v>
      </c>
      <c r="D114" s="10" t="str">
        <f ca="1">IF(EXACT($B114, ""), "", SEED!$E114)</f>
        <v>Bank Central Asia - 5520532155</v>
      </c>
      <c r="E114" s="11" t="str">
        <f ca="1">IF(EXACT($B114, ""), "", SEED!$F114)</f>
        <v>IDR</v>
      </c>
    </row>
    <row r="115" spans="2:5" x14ac:dyDescent="0.2">
      <c r="B115" s="33">
        <f>IF(EXACT(SEED!J115, ""), "", SEED!I115)</f>
        <v>198000000000112</v>
      </c>
      <c r="C115" s="10" t="str">
        <f>IF(EXACT($B115, ""), "", SEED!$C115)</f>
        <v>Person - Wardah Laily Khoiriyah</v>
      </c>
      <c r="D115" s="10" t="str">
        <f ca="1">IF(EXACT($B115, ""), "", SEED!$E115)</f>
        <v>Bank Central Asia - 8670430678</v>
      </c>
      <c r="E115" s="11" t="str">
        <f ca="1">IF(EXACT($B115, ""), "", SEED!$F115)</f>
        <v>IDR</v>
      </c>
    </row>
    <row r="116" spans="2:5" x14ac:dyDescent="0.2">
      <c r="B116" s="33">
        <f>IF(EXACT(SEED!J116, ""), "", SEED!I116)</f>
        <v>198000000000113</v>
      </c>
      <c r="C116" s="10" t="str">
        <f>IF(EXACT($B116, ""), "", SEED!$C116)</f>
        <v>Person - Wisnu Ardian</v>
      </c>
      <c r="D116" s="10" t="str">
        <f ca="1">IF(EXACT($B116, ""), "", SEED!$E116)</f>
        <v>Bank Central Asia - 2910590742</v>
      </c>
      <c r="E116" s="11" t="str">
        <f ca="1">IF(EXACT($B116, ""), "", SEED!$F116)</f>
        <v>IDR</v>
      </c>
    </row>
    <row r="117" spans="2:5" x14ac:dyDescent="0.2">
      <c r="B117" s="33">
        <f>IF(EXACT(SEED!J117, ""), "", SEED!I117)</f>
        <v>198000000000114</v>
      </c>
      <c r="C117" s="10" t="str">
        <f>IF(EXACT($B117, ""), "", SEED!$C117)</f>
        <v>Person - Wulanraniasih</v>
      </c>
      <c r="D117" s="10" t="str">
        <f ca="1">IF(EXACT($B117, ""), "", SEED!$E117)</f>
        <v>Bank Central Asia - 6860316941</v>
      </c>
      <c r="E117" s="11" t="str">
        <f ca="1">IF(EXACT($B117, ""), "", SEED!$F117)</f>
        <v>IDR</v>
      </c>
    </row>
    <row r="118" spans="2:5" x14ac:dyDescent="0.2">
      <c r="B118" s="33">
        <f>IF(EXACT(SEED!J118, ""), "", SEED!I118)</f>
        <v>198000000000115</v>
      </c>
      <c r="C118" s="10" t="str">
        <f>IF(EXACT($B118, ""), "", SEED!$C118)</f>
        <v>Person - Yuliandaru Suryoatmodjo</v>
      </c>
      <c r="D118" s="10" t="str">
        <f ca="1">IF(EXACT($B118, ""), "", SEED!$E118)</f>
        <v>Bank Central Asia - 3721127379</v>
      </c>
      <c r="E118" s="11" t="str">
        <f ca="1">IF(EXACT($B118, ""), "", SEED!$F118)</f>
        <v>IDR</v>
      </c>
    </row>
    <row r="119" spans="2:5" x14ac:dyDescent="0.2">
      <c r="B119" s="33">
        <f>IF(EXACT(SEED!J119, ""), "", SEED!I119)</f>
        <v>198000000000116</v>
      </c>
      <c r="C119" s="10" t="str">
        <f>IF(EXACT($B119, ""), "", SEED!$C119)</f>
        <v>Person - Zainudin Anwar</v>
      </c>
      <c r="D119" s="10" t="str">
        <f ca="1">IF(EXACT($B119, ""), "", SEED!$E119)</f>
        <v>Bank Central Asia - 5520552261</v>
      </c>
      <c r="E119" s="11" t="str">
        <f ca="1">IF(EXACT($B119, ""), "", SEED!$F119)</f>
        <v>IDR</v>
      </c>
    </row>
    <row r="120" spans="2:5" x14ac:dyDescent="0.2">
      <c r="B120" s="33">
        <f>IF(EXACT(SEED!J120, ""), "", SEED!I120)</f>
        <v>198000000000117</v>
      </c>
      <c r="C120" s="10" t="str">
        <f>IF(EXACT($B120, ""), "", SEED!$C120)</f>
        <v>Person - Yusarman</v>
      </c>
      <c r="D120" s="10" t="str">
        <f ca="1">IF(EXACT($B120, ""), "", SEED!$E120)</f>
        <v>Bank Central Asia - 0011754723</v>
      </c>
      <c r="E120" s="11" t="str">
        <f ca="1">IF(EXACT($B120, ""), "", SEED!$F120)</f>
        <v>IDR</v>
      </c>
    </row>
    <row r="121" spans="2:5" x14ac:dyDescent="0.2">
      <c r="B121" s="33">
        <f>IF(EXACT(SEED!J121, ""), "", SEED!I121)</f>
        <v>198000000000118</v>
      </c>
      <c r="C121" s="10" t="str">
        <f>IF(EXACT($B121, ""), "", SEED!$C121)</f>
        <v>Person - Jonhar Aziz</v>
      </c>
      <c r="D121" s="10" t="str">
        <f ca="1">IF(EXACT($B121, ""), "", SEED!$E121)</f>
        <v>Bank Central Asia - 2821395781</v>
      </c>
      <c r="E121" s="11" t="str">
        <f ca="1">IF(EXACT($B121, ""), "", SEED!$F121)</f>
        <v>IDR</v>
      </c>
    </row>
    <row r="122" spans="2:5" x14ac:dyDescent="0.2">
      <c r="B122" s="33">
        <f>IF(EXACT(SEED!J122, ""), "", SEED!I122)</f>
        <v>198000000000119</v>
      </c>
      <c r="C122" s="10" t="str">
        <f>IF(EXACT($B122, ""), "", SEED!$C122)</f>
        <v>Person - Wartono</v>
      </c>
      <c r="D122" s="10" t="str">
        <f ca="1">IF(EXACT($B122, ""), "", SEED!$E122)</f>
        <v>Bank Central Asia - 2281429789</v>
      </c>
      <c r="E122" s="11" t="str">
        <f ca="1">IF(EXACT($B122, ""), "", SEED!$F122)</f>
        <v>IDR</v>
      </c>
    </row>
    <row r="123" spans="2:5" x14ac:dyDescent="0.2">
      <c r="B123" s="33">
        <f>IF(EXACT(SEED!J123, ""), "", SEED!I123)</f>
        <v>198000000000120</v>
      </c>
      <c r="C123" s="10" t="str">
        <f>IF(EXACT($B123, ""), "", SEED!$C123)</f>
        <v>Person - Santoso Dwi Cahyo</v>
      </c>
      <c r="D123" s="10" t="str">
        <f ca="1">IF(EXACT($B123, ""), "", SEED!$E123)</f>
        <v>Bank Central Asia - 5750622536</v>
      </c>
      <c r="E123" s="11" t="str">
        <f ca="1">IF(EXACT($B123, ""), "", SEED!$F123)</f>
        <v>IDR</v>
      </c>
    </row>
    <row r="124" spans="2:5" x14ac:dyDescent="0.2">
      <c r="B124" s="33">
        <f>IF(EXACT(SEED!J124, ""), "", SEED!I124)</f>
        <v>198000000000121</v>
      </c>
      <c r="C124" s="10" t="str">
        <f>IF(EXACT($B124, ""), "", SEED!$C124)</f>
        <v>Person - Restu Dwi Anjayani</v>
      </c>
      <c r="D124" s="10" t="str">
        <f ca="1">IF(EXACT($B124, ""), "", SEED!$E124)</f>
        <v>Bank Central Asia - 4860276548</v>
      </c>
      <c r="E124" s="11" t="str">
        <f ca="1">IF(EXACT($B124, ""), "", SEED!$F124)</f>
        <v>IDR</v>
      </c>
    </row>
    <row r="125" spans="2:5" x14ac:dyDescent="0.2">
      <c r="B125" s="33">
        <f>IF(EXACT(SEED!J125, ""), "", SEED!I125)</f>
        <v>198000000000122</v>
      </c>
      <c r="C125" s="10" t="str">
        <f>IF(EXACT($B125, ""), "", SEED!$C125)</f>
        <v>Person - Oqi Suhaqi Yunus</v>
      </c>
      <c r="D125" s="10" t="str">
        <f ca="1">IF(EXACT($B125, ""), "", SEED!$E125)</f>
        <v>Bank Central Asia - 6540386232</v>
      </c>
      <c r="E125" s="11" t="str">
        <f ca="1">IF(EXACT($B125, ""), "", SEED!$F125)</f>
        <v>IDR</v>
      </c>
    </row>
    <row r="126" spans="2:5" x14ac:dyDescent="0.2">
      <c r="B126" s="33">
        <f>IF(EXACT(SEED!J126, ""), "", SEED!I126)</f>
        <v>198000000000123</v>
      </c>
      <c r="C126" s="10" t="str">
        <f>IF(EXACT($B126, ""), "", SEED!$C126)</f>
        <v>Person - Yusuf Fathurahman</v>
      </c>
      <c r="D126" s="10" t="str">
        <f ca="1">IF(EXACT($B126, ""), "", SEED!$E126)</f>
        <v>Bank Central Asia - 0670059618</v>
      </c>
      <c r="E126" s="11" t="str">
        <f ca="1">IF(EXACT($B126, ""), "", SEED!$F126)</f>
        <v>IDR</v>
      </c>
    </row>
    <row r="127" spans="2:5" x14ac:dyDescent="0.2">
      <c r="B127" s="33">
        <f>IF(EXACT(SEED!J127, ""), "", SEED!I127)</f>
        <v>198000000000124</v>
      </c>
      <c r="C127" s="10" t="str">
        <f>IF(EXACT($B127, ""), "", SEED!$C127)</f>
        <v>Person - Muhammad Syarifudin</v>
      </c>
      <c r="D127" s="10" t="str">
        <f ca="1">IF(EXACT($B127, ""), "", SEED!$E127)</f>
        <v>Bank Central Asia - 0670059618</v>
      </c>
      <c r="E127" s="11" t="str">
        <f ca="1">IF(EXACT($B127, ""), "", SEED!$F127)</f>
        <v>IDR</v>
      </c>
    </row>
    <row r="128" spans="2:5" x14ac:dyDescent="0.2">
      <c r="B128" s="33">
        <f>IF(EXACT(SEED!J128, ""), "", SEED!I128)</f>
        <v>198000000000125</v>
      </c>
      <c r="C128" s="10" t="str">
        <f>IF(EXACT($B128, ""), "", SEED!$C128)</f>
        <v>Person - Dian Setiawan</v>
      </c>
      <c r="D128" s="10" t="str">
        <f ca="1">IF(EXACT($B128, ""), "", SEED!$E128)</f>
        <v>Bank Central Asia - 0670059618</v>
      </c>
      <c r="E128" s="11" t="str">
        <f ca="1">IF(EXACT($B128, ""), "", SEED!$F128)</f>
        <v>IDR</v>
      </c>
    </row>
    <row r="129" spans="2:5" x14ac:dyDescent="0.2">
      <c r="B129" s="33">
        <f>IF(EXACT(SEED!J129, ""), "", SEED!I129)</f>
        <v>198000000000126</v>
      </c>
      <c r="C129" s="10" t="str">
        <f>IF(EXACT($B129, ""), "", SEED!$C129)</f>
        <v>Person - Muhammad Sholikhun</v>
      </c>
      <c r="D129" s="10" t="str">
        <f ca="1">IF(EXACT($B129, ""), "", SEED!$E129)</f>
        <v>Bank Central Asia - 0670059618</v>
      </c>
      <c r="E129" s="11" t="str">
        <f ca="1">IF(EXACT($B129, ""), "", SEED!$F129)</f>
        <v>IDR</v>
      </c>
    </row>
    <row r="130" spans="2:5" x14ac:dyDescent="0.2">
      <c r="B130" s="33">
        <f>IF(EXACT(SEED!J130, ""), "", SEED!I130)</f>
        <v>198000000000127</v>
      </c>
      <c r="C130" s="10" t="str">
        <f>IF(EXACT($B130, ""), "", SEED!$C130)</f>
        <v>Person - Samta Harahap</v>
      </c>
      <c r="D130" s="10" t="str">
        <f ca="1">IF(EXACT($B130, ""), "", SEED!$E130)</f>
        <v>Bank Central Asia - 8681161864</v>
      </c>
      <c r="E130" s="11" t="str">
        <f ca="1">IF(EXACT($B130, ""), "", SEED!$F130)</f>
        <v>IDR</v>
      </c>
    </row>
    <row r="131" spans="2:5" x14ac:dyDescent="0.2">
      <c r="B131" s="33">
        <f>IF(EXACT(SEED!J131, ""), "", SEED!I131)</f>
        <v>198000000000128</v>
      </c>
      <c r="C131" s="10" t="str">
        <f>IF(EXACT($B131, ""), "", SEED!$C131)</f>
        <v>Person - Muhammad Lukbani</v>
      </c>
      <c r="D131" s="10" t="str">
        <f ca="1">IF(EXACT($B131, ""), "", SEED!$E131)</f>
        <v>Bank Central Asia - 7125461581</v>
      </c>
      <c r="E131" s="11" t="str">
        <f ca="1">IF(EXACT($B131, ""), "", SEED!$F131)</f>
        <v>IDR</v>
      </c>
    </row>
    <row r="132" spans="2:5" x14ac:dyDescent="0.2">
      <c r="B132" s="33">
        <f>IF(EXACT(SEED!J132, ""), "", SEED!I132)</f>
        <v>198000000000129</v>
      </c>
      <c r="C132" s="10" t="str">
        <f>IF(EXACT($B132, ""), "", SEED!$C132)</f>
        <v>Person - Abdul Rachman</v>
      </c>
      <c r="D132" s="10" t="str">
        <f ca="1">IF(EXACT($B132, ""), "", SEED!$E132)</f>
        <v xml:space="preserve"> - </v>
      </c>
      <c r="E132" s="11" t="str">
        <f ca="1">IF(EXACT($B132, ""), "", SEED!$F132)</f>
        <v>IDR</v>
      </c>
    </row>
    <row r="133" spans="2:5" x14ac:dyDescent="0.2">
      <c r="B133" s="33">
        <f>IF(EXACT(SEED!J133, ""), "", SEED!I133)</f>
        <v>198000000000130</v>
      </c>
      <c r="C133" s="10" t="str">
        <f>IF(EXACT($B133, ""), "", SEED!$C133)</f>
        <v>Person - Aden Bagus</v>
      </c>
      <c r="D133" s="10" t="str">
        <f ca="1">IF(EXACT($B133, ""), "", SEED!$E133)</f>
        <v xml:space="preserve"> - </v>
      </c>
      <c r="E133" s="11" t="str">
        <f ca="1">IF(EXACT($B133, ""), "", SEED!$F133)</f>
        <v>IDR</v>
      </c>
    </row>
    <row r="134" spans="2:5" x14ac:dyDescent="0.2">
      <c r="B134" s="33">
        <f>IF(EXACT(SEED!J134, ""), "", SEED!I134)</f>
        <v>198000000000131</v>
      </c>
      <c r="C134" s="10" t="str">
        <f>IF(EXACT($B134, ""), "", SEED!$C134)</f>
        <v>Person - Ahmad Faiz Haems Muda</v>
      </c>
      <c r="D134" s="10" t="str">
        <f ca="1">IF(EXACT($B134, ""), "", SEED!$E134)</f>
        <v>Bank Central Asia - 2302269280</v>
      </c>
      <c r="E134" s="11" t="str">
        <f ca="1">IF(EXACT($B134, ""), "", SEED!$F134)</f>
        <v>IDR</v>
      </c>
    </row>
    <row r="135" spans="2:5" x14ac:dyDescent="0.2">
      <c r="B135" s="33">
        <f>IF(EXACT(SEED!J135, ""), "", SEED!I135)</f>
        <v>198000000000132</v>
      </c>
      <c r="C135" s="10" t="str">
        <f>IF(EXACT($B135, ""), "", SEED!$C135)</f>
        <v>Person - Grace Kurniawan</v>
      </c>
      <c r="D135" s="10" t="str">
        <f ca="1">IF(EXACT($B135, ""), "", SEED!$E135)</f>
        <v>Bank Central Asia - 4271122556</v>
      </c>
      <c r="E135" s="11" t="str">
        <f ca="1">IF(EXACT($B135, ""), "", SEED!$F135)</f>
        <v>IDR</v>
      </c>
    </row>
    <row r="136" spans="2:5" x14ac:dyDescent="0.2">
      <c r="B136" s="33">
        <f>IF(EXACT(SEED!J136, ""), "", SEED!I136)</f>
        <v>198000000000133</v>
      </c>
      <c r="C136" s="10" t="str">
        <f>IF(EXACT($B136, ""), "", SEED!$C136)</f>
        <v>Person - Ares S. Mauboi</v>
      </c>
      <c r="D136" s="10" t="str">
        <f ca="1">IF(EXACT($B136, ""), "", SEED!$E136)</f>
        <v>Bank Rakyat Indonesia - 034101074863509</v>
      </c>
      <c r="E136" s="11" t="str">
        <f ca="1">IF(EXACT($B136, ""), "", SEED!$F136)</f>
        <v>IDR</v>
      </c>
    </row>
    <row r="137" spans="2:5" x14ac:dyDescent="0.2">
      <c r="B137" s="33">
        <f>IF(EXACT(SEED!J137, ""), "", SEED!I137)</f>
        <v>198000000000134</v>
      </c>
      <c r="C137" s="10" t="str">
        <f>IF(EXACT($B137, ""), "", SEED!$C137)</f>
        <v>Person - Cahyana</v>
      </c>
      <c r="D137" s="10" t="str">
        <f ca="1">IF(EXACT($B137, ""), "", SEED!$E137)</f>
        <v>Bank Rakyat Indonesia - 727401009580534</v>
      </c>
      <c r="E137" s="11" t="str">
        <f ca="1">IF(EXACT($B137, ""), "", SEED!$F137)</f>
        <v>IDR</v>
      </c>
    </row>
    <row r="138" spans="2:5" x14ac:dyDescent="0.2">
      <c r="B138" s="33">
        <f>IF(EXACT(SEED!J138, ""), "", SEED!I138)</f>
        <v>198000000000135</v>
      </c>
      <c r="C138" s="10" t="str">
        <f>IF(EXACT($B138, ""), "", SEED!$C138)</f>
        <v>Person - Davit Lumban Gaol</v>
      </c>
      <c r="D138" s="10" t="str">
        <f ca="1">IF(EXACT($B138, ""), "", SEED!$E138)</f>
        <v>Bank Rakyat Indonesia - 033601013930530</v>
      </c>
      <c r="E138" s="11" t="str">
        <f ca="1">IF(EXACT($B138, ""), "", SEED!$F138)</f>
        <v>IDR</v>
      </c>
    </row>
    <row r="139" spans="2:5" x14ac:dyDescent="0.2">
      <c r="B139" s="33">
        <f>IF(EXACT(SEED!J139, ""), "", SEED!I139)</f>
        <v>198000000000136</v>
      </c>
      <c r="C139" s="10" t="str">
        <f>IF(EXACT($B139, ""), "", SEED!$C139)</f>
        <v>Person - Dian Tri Rahmawati</v>
      </c>
      <c r="D139" s="10" t="str">
        <f ca="1">IF(EXACT($B139, ""), "", SEED!$E139)</f>
        <v xml:space="preserve">Bank Rakyat Indonesia - 212401007578533 </v>
      </c>
      <c r="E139" s="11" t="str">
        <f ca="1">IF(EXACT($B139, ""), "", SEED!$F139)</f>
        <v>IDR</v>
      </c>
    </row>
    <row r="140" spans="2:5" x14ac:dyDescent="0.2">
      <c r="B140" s="33">
        <f>IF(EXACT(SEED!J140, ""), "", SEED!I140)</f>
        <v>198000000000137</v>
      </c>
      <c r="C140" s="10" t="str">
        <f>IF(EXACT($B140, ""), "", SEED!$C140)</f>
        <v>Person - Edy Syahputra Situmeang</v>
      </c>
      <c r="D140" s="10" t="str">
        <f ca="1">IF(EXACT($B140, ""), "", SEED!$E140)</f>
        <v>Bank Rakyat Indonesia - 353201013523538</v>
      </c>
      <c r="E140" s="11" t="str">
        <f ca="1">IF(EXACT($B140, ""), "", SEED!$F140)</f>
        <v>IDR</v>
      </c>
    </row>
    <row r="141" spans="2:5" x14ac:dyDescent="0.2">
      <c r="B141" s="33">
        <f>IF(EXACT(SEED!J141, ""), "", SEED!I141)</f>
        <v>198000000000138</v>
      </c>
      <c r="C141" s="10" t="str">
        <f>IF(EXACT($B141, ""), "", SEED!$C141)</f>
        <v>Person - Fabrian Danang Destiyara</v>
      </c>
      <c r="D141" s="10" t="str">
        <f ca="1">IF(EXACT($B141, ""), "", SEED!$E141)</f>
        <v>Bank Rakyat Indonesia - 122301024676505</v>
      </c>
      <c r="E141" s="11" t="str">
        <f ca="1">IF(EXACT($B141, ""), "", SEED!$F141)</f>
        <v>IDR</v>
      </c>
    </row>
    <row r="142" spans="2:5" x14ac:dyDescent="0.2">
      <c r="B142" s="33">
        <f>IF(EXACT(SEED!J142, ""), "", SEED!I142)</f>
        <v>198000000000139</v>
      </c>
      <c r="C142" s="10" t="str">
        <f>IF(EXACT($B142, ""), "", SEED!$C142)</f>
        <v>Person - Langgeng Eko Dwiantoro</v>
      </c>
      <c r="D142" s="10" t="str">
        <f ca="1">IF(EXACT($B142, ""), "", SEED!$E142)</f>
        <v>Bank Central Asia - 0021817308</v>
      </c>
      <c r="E142" s="11" t="str">
        <f ca="1">IF(EXACT($B142, ""), "", SEED!$F142)</f>
        <v>IDR</v>
      </c>
    </row>
    <row r="143" spans="2:5" x14ac:dyDescent="0.2">
      <c r="B143" s="33">
        <f>IF(EXACT(SEED!J143, ""), "", SEED!I143)</f>
        <v>198000000000140</v>
      </c>
      <c r="C143" s="10" t="str">
        <f>IF(EXACT($B143, ""), "", SEED!$C143)</f>
        <v>Person - Langgeng Eko Dwiantoro</v>
      </c>
      <c r="D143" s="10" t="str">
        <f ca="1">IF(EXACT($B143, ""), "", SEED!$E143)</f>
        <v>Bank Rakyat Indonesia - 034101013725530</v>
      </c>
      <c r="E143" s="11" t="str">
        <f ca="1">IF(EXACT($B143, ""), "", SEED!$F143)</f>
        <v>IDR</v>
      </c>
    </row>
    <row r="144" spans="2:5" x14ac:dyDescent="0.2">
      <c r="B144" s="33">
        <f>IF(EXACT(SEED!J144, ""), "", SEED!I144)</f>
        <v>198000000000141</v>
      </c>
      <c r="C144" s="10" t="str">
        <f>IF(EXACT($B144, ""), "", SEED!$C144)</f>
        <v>Person - Roy Aditya</v>
      </c>
      <c r="D144" s="10" t="str">
        <f ca="1">IF(EXACT($B144, ""), "", SEED!$E144)</f>
        <v>Bank Rakyat Indonesia - 034101085528508</v>
      </c>
      <c r="E144" s="11" t="str">
        <f ca="1">IF(EXACT($B144, ""), "", SEED!$F144)</f>
        <v>IDR</v>
      </c>
    </row>
    <row r="145" spans="2:5" x14ac:dyDescent="0.2">
      <c r="B145" s="33">
        <f>IF(EXACT(SEED!J145, ""), "", SEED!I145)</f>
        <v>198000000000142</v>
      </c>
      <c r="C145" s="10" t="str">
        <f>IF(EXACT($B145, ""), "", SEED!$C145)</f>
        <v>Person - Sugiarto</v>
      </c>
      <c r="D145" s="10" t="str">
        <f ca="1">IF(EXACT($B145, ""), "", SEED!$E145)</f>
        <v>Bank Rakyat Indonesia - 034101082539500</v>
      </c>
      <c r="E145" s="11" t="str">
        <f ca="1">IF(EXACT($B145, ""), "", SEED!$F145)</f>
        <v>IDR</v>
      </c>
    </row>
    <row r="146" spans="2:5" x14ac:dyDescent="0.2">
      <c r="B146" s="33">
        <f>IF(EXACT(SEED!J146, ""), "", SEED!I146)</f>
        <v>198000000000143</v>
      </c>
      <c r="C146" s="10" t="str">
        <f>IF(EXACT($B146, ""), "", SEED!$C146)</f>
        <v>Person - Sulaeman</v>
      </c>
      <c r="D146" s="10" t="str">
        <f ca="1">IF(EXACT($B146, ""), "", SEED!$E146)</f>
        <v>Bank Rakyat Indonesia - 026901024911506</v>
      </c>
      <c r="E146" s="11" t="str">
        <f ca="1">IF(EXACT($B146, ""), "", SEED!$F146)</f>
        <v>IDR</v>
      </c>
    </row>
    <row r="147" spans="2:5" x14ac:dyDescent="0.2">
      <c r="B147" s="33">
        <f>IF(EXACT(SEED!J147, ""), "", SEED!I147)</f>
        <v>198000000000144</v>
      </c>
      <c r="C147" s="10" t="str">
        <f>IF(EXACT($B147, ""), "", SEED!$C147)</f>
        <v>Person - Urbanus Boimau</v>
      </c>
      <c r="D147" s="10" t="str">
        <f ca="1">IF(EXACT($B147, ""), "", SEED!$E147)</f>
        <v>Bank Central Asia - 5520769236</v>
      </c>
      <c r="E147" s="11" t="str">
        <f ca="1">IF(EXACT($B147, ""), "", SEED!$F147)</f>
        <v>IDR</v>
      </c>
    </row>
    <row r="148" spans="2:5" x14ac:dyDescent="0.2">
      <c r="B148" s="33">
        <f>IF(EXACT(SEED!J148, ""), "", SEED!I148)</f>
        <v>198000000000145</v>
      </c>
      <c r="C148" s="10" t="str">
        <f>IF(EXACT($B148, ""), "", SEED!$C148)</f>
        <v>Person - Adhe Kurniawan</v>
      </c>
      <c r="D148" s="10" t="str">
        <f ca="1">IF(EXACT($B148, ""), "", SEED!$E148)</f>
        <v>Bank Rakyat Indonesia - 069501008650509</v>
      </c>
      <c r="E148" s="11" t="str">
        <f ca="1">IF(EXACT($B148, ""), "", SEED!$F148)</f>
        <v>IDR</v>
      </c>
    </row>
    <row r="149" spans="2:5" x14ac:dyDescent="0.2">
      <c r="B149" s="33">
        <f>IF(EXACT(SEED!J149, ""), "", SEED!I149)</f>
        <v>198000000000146</v>
      </c>
      <c r="C149" s="10" t="str">
        <f>IF(EXACT($B149, ""), "", SEED!$C149)</f>
        <v>Person - Adhe Kurniawan</v>
      </c>
      <c r="D149" s="10" t="str">
        <f ca="1">IF(EXACT($B149, ""), "", SEED!$E149)</f>
        <v xml:space="preserve"> - </v>
      </c>
      <c r="E149" s="11" t="str">
        <f ca="1">IF(EXACT($B149, ""), "", SEED!$F149)</f>
        <v>Others</v>
      </c>
    </row>
    <row r="150" spans="2:5" x14ac:dyDescent="0.2">
      <c r="B150" s="33">
        <f>IF(EXACT(SEED!J150, ""), "", SEED!I150)</f>
        <v>198000000000147</v>
      </c>
      <c r="C150" s="10" t="str">
        <f>IF(EXACT($B150, ""), "", SEED!$C150)</f>
        <v>Person - Ahmad Fauzi</v>
      </c>
      <c r="D150" s="10" t="str">
        <f ca="1">IF(EXACT($B150, ""), "", SEED!$E150)</f>
        <v xml:space="preserve"> - </v>
      </c>
      <c r="E150" s="11" t="str">
        <f ca="1">IF(EXACT($B150, ""), "", SEED!$F150)</f>
        <v>Others</v>
      </c>
    </row>
    <row r="151" spans="2:5" x14ac:dyDescent="0.2">
      <c r="B151" s="33">
        <f>IF(EXACT(SEED!J151, ""), "", SEED!I151)</f>
        <v>198000000000148</v>
      </c>
      <c r="C151" s="10" t="str">
        <f>IF(EXACT($B151, ""), "", SEED!$C151)</f>
        <v>Person - Ahmad Gunawan</v>
      </c>
      <c r="D151" s="10" t="str">
        <f ca="1">IF(EXACT($B151, ""), "", SEED!$E151)</f>
        <v xml:space="preserve"> - </v>
      </c>
      <c r="E151" s="11" t="str">
        <f ca="1">IF(EXACT($B151, ""), "", SEED!$F151)</f>
        <v>Others</v>
      </c>
    </row>
    <row r="152" spans="2:5" x14ac:dyDescent="0.2">
      <c r="B152" s="33">
        <f>IF(EXACT(SEED!J152, ""), "", SEED!I152)</f>
        <v>198000000000149</v>
      </c>
      <c r="C152" s="10" t="str">
        <f>IF(EXACT($B152, ""), "", SEED!$C152)</f>
        <v>Person - Andri Andriyan</v>
      </c>
      <c r="D152" s="10" t="str">
        <f ca="1">IF(EXACT($B152, ""), "", SEED!$E152)</f>
        <v xml:space="preserve"> - </v>
      </c>
      <c r="E152" s="11" t="str">
        <f ca="1">IF(EXACT($B152, ""), "", SEED!$F152)</f>
        <v>Others</v>
      </c>
    </row>
    <row r="153" spans="2:5" x14ac:dyDescent="0.2">
      <c r="B153" s="33">
        <f>IF(EXACT(SEED!J153, ""), "", SEED!I153)</f>
        <v>198000000000150</v>
      </c>
      <c r="C153" s="10" t="str">
        <f>IF(EXACT($B153, ""), "", SEED!$C153)</f>
        <v>Person - Budi Sulistianto</v>
      </c>
      <c r="D153" s="10" t="str">
        <f ca="1">IF(EXACT($B153, ""), "", SEED!$E153)</f>
        <v xml:space="preserve"> - </v>
      </c>
      <c r="E153" s="11" t="str">
        <f ca="1">IF(EXACT($B153, ""), "", SEED!$F153)</f>
        <v>Others</v>
      </c>
    </row>
    <row r="154" spans="2:5" x14ac:dyDescent="0.2">
      <c r="B154" s="33">
        <f>IF(EXACT(SEED!J154, ""), "", SEED!I154)</f>
        <v>198000000000151</v>
      </c>
      <c r="C154" s="10" t="str">
        <f>IF(EXACT($B154, ""), "", SEED!$C154)</f>
        <v>Person - Eka Budi</v>
      </c>
      <c r="D154" s="10" t="str">
        <f ca="1">IF(EXACT($B154, ""), "", SEED!$E154)</f>
        <v>Bank Central Asia - 5520776887</v>
      </c>
      <c r="E154" s="11" t="str">
        <f ca="1">IF(EXACT($B154, ""), "", SEED!$F154)</f>
        <v>IDR</v>
      </c>
    </row>
    <row r="155" spans="2:5" x14ac:dyDescent="0.2">
      <c r="B155" s="33">
        <f>IF(EXACT(SEED!J155, ""), "", SEED!I155)</f>
        <v>198000000000152</v>
      </c>
      <c r="C155" s="10" t="str">
        <f>IF(EXACT($B155, ""), "", SEED!$C155)</f>
        <v>Person - Eka Kurniawan Hidayatullah</v>
      </c>
      <c r="D155" s="10" t="str">
        <f ca="1">IF(EXACT($B155, ""), "", SEED!$E155)</f>
        <v xml:space="preserve"> - </v>
      </c>
      <c r="E155" s="11" t="str">
        <f ca="1">IF(EXACT($B155, ""), "", SEED!$F155)</f>
        <v>Others</v>
      </c>
    </row>
    <row r="156" spans="2:5" x14ac:dyDescent="0.2">
      <c r="B156" s="33">
        <f>IF(EXACT(SEED!J156, ""), "", SEED!I156)</f>
        <v>198000000000153</v>
      </c>
      <c r="C156" s="10" t="str">
        <f>IF(EXACT($B156, ""), "", SEED!$C156)</f>
        <v>Person - Haerul Gunawan</v>
      </c>
      <c r="D156" s="10" t="str">
        <f ca="1">IF(EXACT($B156, ""), "", SEED!$E156)</f>
        <v xml:space="preserve"> - </v>
      </c>
      <c r="E156" s="11" t="str">
        <f ca="1">IF(EXACT($B156, ""), "", SEED!$F156)</f>
        <v>Others</v>
      </c>
    </row>
    <row r="157" spans="2:5" x14ac:dyDescent="0.2">
      <c r="B157" s="33">
        <f>IF(EXACT(SEED!J157, ""), "", SEED!I157)</f>
        <v>198000000000154</v>
      </c>
      <c r="C157" s="10" t="str">
        <f>IF(EXACT($B157, ""), "", SEED!$C157)</f>
        <v>Person - Irvan Agus</v>
      </c>
      <c r="D157" s="10" t="str">
        <f ca="1">IF(EXACT($B157, ""), "", SEED!$E157)</f>
        <v xml:space="preserve"> - </v>
      </c>
      <c r="E157" s="11" t="str">
        <f ca="1">IF(EXACT($B157, ""), "", SEED!$F157)</f>
        <v>Others</v>
      </c>
    </row>
    <row r="158" spans="2:5" x14ac:dyDescent="0.2">
      <c r="B158" s="33">
        <f>IF(EXACT(SEED!J158, ""), "", SEED!I158)</f>
        <v>198000000000155</v>
      </c>
      <c r="C158" s="10" t="str">
        <f>IF(EXACT($B158, ""), "", SEED!$C158)</f>
        <v>Person - Joshika Pradirga</v>
      </c>
      <c r="D158" s="10" t="str">
        <f ca="1">IF(EXACT($B158, ""), "", SEED!$E158)</f>
        <v xml:space="preserve"> - </v>
      </c>
      <c r="E158" s="11" t="str">
        <f ca="1">IF(EXACT($B158, ""), "", SEED!$F158)</f>
        <v>Others</v>
      </c>
    </row>
    <row r="159" spans="2:5" x14ac:dyDescent="0.2">
      <c r="B159" s="33">
        <f>IF(EXACT(SEED!J159, ""), "", SEED!I159)</f>
        <v>198000000000156</v>
      </c>
      <c r="C159" s="10" t="str">
        <f>IF(EXACT($B159, ""), "", SEED!$C159)</f>
        <v>Person - Khaidir</v>
      </c>
      <c r="D159" s="10" t="str">
        <f ca="1">IF(EXACT($B159, ""), "", SEED!$E159)</f>
        <v xml:space="preserve"> - </v>
      </c>
      <c r="E159" s="11" t="str">
        <f ca="1">IF(EXACT($B159, ""), "", SEED!$F159)</f>
        <v>Others</v>
      </c>
    </row>
    <row r="160" spans="2:5" x14ac:dyDescent="0.2">
      <c r="B160" s="33">
        <f>IF(EXACT(SEED!J160, ""), "", SEED!I160)</f>
        <v>198000000000157</v>
      </c>
      <c r="C160" s="10" t="str">
        <f>IF(EXACT($B160, ""), "", SEED!$C160)</f>
        <v>Person - Latip Muhlanto</v>
      </c>
      <c r="D160" s="10" t="str">
        <f ca="1">IF(EXACT($B160, ""), "", SEED!$E160)</f>
        <v xml:space="preserve"> - </v>
      </c>
      <c r="E160" s="11" t="str">
        <f ca="1">IF(EXACT($B160, ""), "", SEED!$F160)</f>
        <v>Others</v>
      </c>
    </row>
    <row r="161" spans="2:5" x14ac:dyDescent="0.2">
      <c r="B161" s="33">
        <f>IF(EXACT(SEED!J161, ""), "", SEED!I161)</f>
        <v>198000000000158</v>
      </c>
      <c r="C161" s="10" t="str">
        <f>IF(EXACT($B161, ""), "", SEED!$C161)</f>
        <v>Person - Leonardo Putra</v>
      </c>
      <c r="D161" s="10" t="str">
        <f ca="1">IF(EXACT($B161, ""), "", SEED!$E161)</f>
        <v xml:space="preserve"> - </v>
      </c>
      <c r="E161" s="11" t="str">
        <f ca="1">IF(EXACT($B161, ""), "", SEED!$F161)</f>
        <v>Others</v>
      </c>
    </row>
    <row r="162" spans="2:5" x14ac:dyDescent="0.2">
      <c r="B162" s="33">
        <f>IF(EXACT(SEED!J162, ""), "", SEED!I162)</f>
        <v>198000000000159</v>
      </c>
      <c r="C162" s="10" t="str">
        <f>IF(EXACT($B162, ""), "", SEED!$C162)</f>
        <v>Person - Muhammad Ramadani</v>
      </c>
      <c r="D162" s="10" t="str">
        <f ca="1">IF(EXACT($B162, ""), "", SEED!$E162)</f>
        <v xml:space="preserve"> - </v>
      </c>
      <c r="E162" s="11" t="str">
        <f ca="1">IF(EXACT($B162, ""), "", SEED!$F162)</f>
        <v>Others</v>
      </c>
    </row>
    <row r="163" spans="2:5" x14ac:dyDescent="0.2">
      <c r="B163" s="33">
        <f>IF(EXACT(SEED!J163, ""), "", SEED!I163)</f>
        <v>198000000000160</v>
      </c>
      <c r="C163" s="10" t="str">
        <f>IF(EXACT($B163, ""), "", SEED!$C163)</f>
        <v>Person - Musdalipa</v>
      </c>
      <c r="D163" s="10" t="str">
        <f ca="1">IF(EXACT($B163, ""), "", SEED!$E163)</f>
        <v xml:space="preserve"> - </v>
      </c>
      <c r="E163" s="11" t="str">
        <f ca="1">IF(EXACT($B163, ""), "", SEED!$F163)</f>
        <v>Others</v>
      </c>
    </row>
    <row r="164" spans="2:5" x14ac:dyDescent="0.2">
      <c r="B164" s="33">
        <f>IF(EXACT(SEED!J164, ""), "", SEED!I164)</f>
        <v>198000000000161</v>
      </c>
      <c r="C164" s="10" t="str">
        <f>IF(EXACT($B164, ""), "", SEED!$C164)</f>
        <v>Person - Nico Melky</v>
      </c>
      <c r="D164" s="10" t="str">
        <f ca="1">IF(EXACT($B164, ""), "", SEED!$E164)</f>
        <v>Bank Central Asia - 8020227444</v>
      </c>
      <c r="E164" s="11" t="str">
        <f ca="1">IF(EXACT($B164, ""), "", SEED!$F164)</f>
        <v>IDR</v>
      </c>
    </row>
    <row r="165" spans="2:5" x14ac:dyDescent="0.2">
      <c r="B165" s="33">
        <f>IF(EXACT(SEED!J165, ""), "", SEED!I165)</f>
        <v>198000000000162</v>
      </c>
      <c r="C165" s="10" t="str">
        <f>IF(EXACT($B165, ""), "", SEED!$C165)</f>
        <v>Person - Rahmata Novanisa</v>
      </c>
      <c r="D165" s="10" t="str">
        <f ca="1">IF(EXACT($B165, ""), "", SEED!$E165)</f>
        <v>Bank Central Asia - 0886361747</v>
      </c>
      <c r="E165" s="11" t="str">
        <f ca="1">IF(EXACT($B165, ""), "", SEED!$F165)</f>
        <v>IDR</v>
      </c>
    </row>
    <row r="166" spans="2:5" x14ac:dyDescent="0.2">
      <c r="B166" s="33">
        <f>IF(EXACT(SEED!J166, ""), "", SEED!I166)</f>
        <v>198000000000163</v>
      </c>
      <c r="C166" s="10" t="str">
        <f>IF(EXACT($B166, ""), "", SEED!$C166)</f>
        <v>Person - Satrio Dhiaputra</v>
      </c>
      <c r="D166" s="10" t="str">
        <f ca="1">IF(EXACT($B166, ""), "", SEED!$E166)</f>
        <v xml:space="preserve"> - </v>
      </c>
      <c r="E166" s="11" t="str">
        <f ca="1">IF(EXACT($B166, ""), "", SEED!$F166)</f>
        <v>Others</v>
      </c>
    </row>
    <row r="167" spans="2:5" x14ac:dyDescent="0.2">
      <c r="B167" s="33">
        <f>IF(EXACT(SEED!J167, ""), "", SEED!I167)</f>
        <v>198000000000164</v>
      </c>
      <c r="C167" s="10" t="str">
        <f>IF(EXACT($B167, ""), "", SEED!$C167)</f>
        <v>Person - Sudirman</v>
      </c>
      <c r="D167" s="10" t="str">
        <f ca="1">IF(EXACT($B167, ""), "", SEED!$E167)</f>
        <v xml:space="preserve"> - </v>
      </c>
      <c r="E167" s="11" t="str">
        <f ca="1">IF(EXACT($B167, ""), "", SEED!$F167)</f>
        <v>Others</v>
      </c>
    </row>
    <row r="168" spans="2:5" x14ac:dyDescent="0.2">
      <c r="B168" s="33">
        <f>IF(EXACT(SEED!J168, ""), "", SEED!I168)</f>
        <v>198000000000165</v>
      </c>
      <c r="C168" s="10" t="str">
        <f>IF(EXACT($B168, ""), "", SEED!$C168)</f>
        <v>Person - Suparji</v>
      </c>
      <c r="D168" s="10" t="str">
        <f ca="1">IF(EXACT($B168, ""), "", SEED!$E168)</f>
        <v xml:space="preserve"> - </v>
      </c>
      <c r="E168" s="11" t="str">
        <f ca="1">IF(EXACT($B168, ""), "", SEED!$F168)</f>
        <v>Others</v>
      </c>
    </row>
    <row r="169" spans="2:5" x14ac:dyDescent="0.2">
      <c r="B169" s="33">
        <f>IF(EXACT(SEED!J169, ""), "", SEED!I169)</f>
        <v>198000000000166</v>
      </c>
      <c r="C169" s="10" t="str">
        <f>IF(EXACT($B169, ""), "", SEED!$C169)</f>
        <v>Person - Taufik Iskandar</v>
      </c>
      <c r="D169" s="10" t="str">
        <f ca="1">IF(EXACT($B169, ""), "", SEED!$E169)</f>
        <v>Bank Central Asia - 8801497411</v>
      </c>
      <c r="E169" s="11" t="str">
        <f ca="1">IF(EXACT($B169, ""), "", SEED!$F169)</f>
        <v>IDR</v>
      </c>
    </row>
    <row r="170" spans="2:5" x14ac:dyDescent="0.2">
      <c r="B170" s="33">
        <f>IF(EXACT(SEED!J170, ""), "", SEED!I170)</f>
        <v>198000000000167</v>
      </c>
      <c r="C170" s="10" t="str">
        <f>IF(EXACT($B170, ""), "", SEED!$C170)</f>
        <v>Person - Tegar Hersaputra</v>
      </c>
      <c r="D170" s="10" t="str">
        <f ca="1">IF(EXACT($B170, ""), "", SEED!$E170)</f>
        <v xml:space="preserve"> - </v>
      </c>
      <c r="E170" s="11" t="str">
        <f ca="1">IF(EXACT($B170, ""), "", SEED!$F170)</f>
        <v>Others</v>
      </c>
    </row>
    <row r="171" spans="2:5" x14ac:dyDescent="0.2">
      <c r="B171" s="33">
        <f>IF(EXACT(SEED!J171, ""), "", SEED!I171)</f>
        <v>198000000000168</v>
      </c>
      <c r="C171" s="10" t="str">
        <f>IF(EXACT($B171, ""), "", SEED!$C171)</f>
        <v>Person - Togar Sihombing</v>
      </c>
      <c r="D171" s="10" t="str">
        <f ca="1">IF(EXACT($B171, ""), "", SEED!$E171)</f>
        <v>Bank Central Asia -  2730511712</v>
      </c>
      <c r="E171" s="11" t="str">
        <f ca="1">IF(EXACT($B171, ""), "", SEED!$F171)</f>
        <v>IDR</v>
      </c>
    </row>
    <row r="172" spans="2:5" x14ac:dyDescent="0.2">
      <c r="B172" s="33">
        <f>IF(EXACT(SEED!J172, ""), "", SEED!I172)</f>
        <v>198000000000169</v>
      </c>
      <c r="C172" s="10" t="str">
        <f>IF(EXACT($B172, ""), "", SEED!$C172)</f>
        <v>Person - Wisnu Trenggono Wirayuda</v>
      </c>
      <c r="D172" s="10" t="str">
        <f ca="1">IF(EXACT($B172, ""), "", SEED!$E172)</f>
        <v xml:space="preserve"> - </v>
      </c>
      <c r="E172" s="11" t="str">
        <f ca="1">IF(EXACT($B172, ""), "", SEED!$F172)</f>
        <v>Others</v>
      </c>
    </row>
    <row r="173" spans="2:5" x14ac:dyDescent="0.2">
      <c r="B173" s="33">
        <f>IF(EXACT(SEED!J173, ""), "", SEED!I173)</f>
        <v>198000000000170</v>
      </c>
      <c r="C173" s="10" t="str">
        <f>IF(EXACT($B173, ""), "", SEED!$C173)</f>
        <v>Person - Yogo</v>
      </c>
      <c r="D173" s="10" t="str">
        <f ca="1">IF(EXACT($B173, ""), "", SEED!$E173)</f>
        <v xml:space="preserve"> - </v>
      </c>
      <c r="E173" s="11" t="str">
        <f ca="1">IF(EXACT($B173, ""), "", SEED!$F173)</f>
        <v>Others</v>
      </c>
    </row>
    <row r="174" spans="2:5" x14ac:dyDescent="0.2">
      <c r="B174" s="33">
        <f>IF(EXACT(SEED!J174, ""), "", SEED!I174)</f>
        <v>198000000000171</v>
      </c>
      <c r="C174" s="10" t="str">
        <f>IF(EXACT($B174, ""), "", SEED!$C174)</f>
        <v>Person - Yustiana Firda</v>
      </c>
      <c r="D174" s="10" t="str">
        <f ca="1">IF(EXACT($B174, ""), "", SEED!$E174)</f>
        <v xml:space="preserve"> - </v>
      </c>
      <c r="E174" s="11" t="str">
        <f ca="1">IF(EXACT($B174, ""), "", SEED!$F174)</f>
        <v>Others</v>
      </c>
    </row>
    <row r="175" spans="2:5" x14ac:dyDescent="0.2">
      <c r="B175" s="33">
        <f>IF(EXACT(SEED!J175, ""), "", SEED!I175)</f>
        <v>198000000000172</v>
      </c>
      <c r="C175" s="10" t="str">
        <f>IF(EXACT($B175, ""), "", SEED!$C175)</f>
        <v>Person - Zainal Abidin</v>
      </c>
      <c r="D175" s="10" t="str">
        <f ca="1">IF(EXACT($B175, ""), "", SEED!$E175)</f>
        <v xml:space="preserve"> - </v>
      </c>
      <c r="E175" s="11" t="str">
        <f ca="1">IF(EXACT($B175, ""), "", SEED!$F175)</f>
        <v>Others</v>
      </c>
    </row>
    <row r="176" spans="2:5" x14ac:dyDescent="0.2">
      <c r="B176" s="33">
        <f>IF(EXACT(SEED!J176, ""), "", SEED!I176)</f>
        <v>198000000000173</v>
      </c>
      <c r="C176" s="10" t="str">
        <f>IF(EXACT($B176, ""), "", SEED!$C176)</f>
        <v>Person - Budi Sandika</v>
      </c>
      <c r="D176" s="10" t="str">
        <f ca="1">IF(EXACT($B176, ""), "", SEED!$E176)</f>
        <v xml:space="preserve"> - </v>
      </c>
      <c r="E176" s="11" t="str">
        <f ca="1">IF(EXACT($B176, ""), "", SEED!$F176)</f>
        <v>Others</v>
      </c>
    </row>
    <row r="177" spans="2:5" x14ac:dyDescent="0.2">
      <c r="B177" s="33">
        <f>IF(EXACT(SEED!J177, ""), "", SEED!I177)</f>
        <v>198000000000174</v>
      </c>
      <c r="C177" s="10" t="str">
        <f>IF(EXACT($B177, ""), "", SEED!$C177)</f>
        <v>Person - Fachri Azhar</v>
      </c>
      <c r="D177" s="10" t="str">
        <f ca="1">IF(EXACT($B177, ""), "", SEED!$E177)</f>
        <v xml:space="preserve"> - </v>
      </c>
      <c r="E177" s="11" t="str">
        <f ca="1">IF(EXACT($B177, ""), "", SEED!$F177)</f>
        <v>Others</v>
      </c>
    </row>
    <row r="178" spans="2:5" x14ac:dyDescent="0.2">
      <c r="B178" s="33">
        <f>IF(EXACT(SEED!J178, ""), "", SEED!I178)</f>
        <v>198000000000175</v>
      </c>
      <c r="C178" s="10" t="str">
        <f>IF(EXACT($B178, ""), "", SEED!$C178)</f>
        <v>Person - Firmansyah Awaludin</v>
      </c>
      <c r="D178" s="10" t="str">
        <f ca="1">IF(EXACT($B178, ""), "", SEED!$E178)</f>
        <v>Bank Rakyat Indonesia - 038401073431507</v>
      </c>
      <c r="E178" s="11" t="str">
        <f ca="1">IF(EXACT($B178, ""), "", SEED!$F178)</f>
        <v>IDR</v>
      </c>
    </row>
    <row r="179" spans="2:5" x14ac:dyDescent="0.2">
      <c r="B179" s="33">
        <f>IF(EXACT(SEED!J179, ""), "", SEED!I179)</f>
        <v>198000000000176</v>
      </c>
      <c r="C179" s="10" t="str">
        <f>IF(EXACT($B179, ""), "", SEED!$C179)</f>
        <v>Person - Iman Faisal Abdurahman</v>
      </c>
      <c r="D179" s="10" t="str">
        <f ca="1">IF(EXACT($B179, ""), "", SEED!$E179)</f>
        <v xml:space="preserve"> - </v>
      </c>
      <c r="E179" s="11" t="str">
        <f ca="1">IF(EXACT($B179, ""), "", SEED!$F179)</f>
        <v>Others</v>
      </c>
    </row>
    <row r="180" spans="2:5" x14ac:dyDescent="0.2">
      <c r="B180" s="33">
        <f>IF(EXACT(SEED!J180, ""), "", SEED!I180)</f>
        <v>198000000000177</v>
      </c>
      <c r="C180" s="10" t="str">
        <f>IF(EXACT($B180, ""), "", SEED!$C180)</f>
        <v>Person - Muhammad Irfan Alfikri Rayana</v>
      </c>
      <c r="D180" s="10" t="str">
        <f ca="1">IF(EXACT($B180, ""), "", SEED!$E180)</f>
        <v xml:space="preserve"> - </v>
      </c>
      <c r="E180" s="11" t="str">
        <f ca="1">IF(EXACT($B180, ""), "", SEED!$F180)</f>
        <v>Others</v>
      </c>
    </row>
    <row r="181" spans="2:5" x14ac:dyDescent="0.2">
      <c r="B181" s="33">
        <f>IF(EXACT(SEED!J181, ""), "", SEED!I181)</f>
        <v>198000000000178</v>
      </c>
      <c r="C181" s="10" t="str">
        <f>IF(EXACT($B181, ""), "", SEED!$C181)</f>
        <v>Person - Syafri Johansah</v>
      </c>
      <c r="D181" s="10" t="str">
        <f ca="1">IF(EXACT($B181, ""), "", SEED!$E181)</f>
        <v xml:space="preserve"> - </v>
      </c>
      <c r="E181" s="11" t="str">
        <f ca="1">IF(EXACT($B181, ""), "", SEED!$F181)</f>
        <v>Others</v>
      </c>
    </row>
    <row r="182" spans="2:5" x14ac:dyDescent="0.2">
      <c r="B182" s="33">
        <f>IF(EXACT(SEED!J182, ""), "", SEED!I182)</f>
        <v>198000000000179</v>
      </c>
      <c r="C182" s="10" t="str">
        <f>IF(EXACT($B182, ""), "", SEED!$C182)</f>
        <v>Person - Agus Sobar</v>
      </c>
      <c r="D182" s="10" t="str">
        <f ca="1">IF(EXACT($B182, ""), "", SEED!$E182)</f>
        <v>Bank Central Asia - 0354409671</v>
      </c>
      <c r="E182" s="11" t="str">
        <f ca="1">IF(EXACT($B182, ""), "", SEED!$F182)</f>
        <v>IDR</v>
      </c>
    </row>
    <row r="183" spans="2:5" x14ac:dyDescent="0.2">
      <c r="B183" s="33">
        <f>IF(EXACT(SEED!J183, ""), "", SEED!I183)</f>
        <v>198000000000180</v>
      </c>
      <c r="C183" s="10" t="str">
        <f>IF(EXACT($B183, ""), "", SEED!$C183)</f>
        <v>Person - Ahmad Sandi Asyuri</v>
      </c>
      <c r="D183" s="10" t="str">
        <f ca="1">IF(EXACT($B183, ""), "", SEED!$E183)</f>
        <v>Bank Central Asia - 7025035526</v>
      </c>
      <c r="E183" s="11" t="str">
        <f ca="1">IF(EXACT($B183, ""), "", SEED!$F183)</f>
        <v>IDR</v>
      </c>
    </row>
    <row r="184" spans="2:5" x14ac:dyDescent="0.2">
      <c r="B184" s="33">
        <f>IF(EXACT(SEED!J184, ""), "", SEED!I184)</f>
        <v>198000000000181</v>
      </c>
      <c r="C184" s="10" t="str">
        <f>IF(EXACT($B184, ""), "", SEED!$C184)</f>
        <v>Person - Andi Mapasoro</v>
      </c>
      <c r="D184" s="10" t="str">
        <f ca="1">IF(EXACT($B184, ""), "", SEED!$E184)</f>
        <v xml:space="preserve"> - </v>
      </c>
      <c r="E184" s="11" t="str">
        <f ca="1">IF(EXACT($B184, ""), "", SEED!$F184)</f>
        <v>Others</v>
      </c>
    </row>
    <row r="185" spans="2:5" x14ac:dyDescent="0.2">
      <c r="B185" s="33">
        <f>IF(EXACT(SEED!J185, ""), "", SEED!I185)</f>
        <v>198000000000182</v>
      </c>
      <c r="C185" s="10" t="str">
        <f>IF(EXACT($B185, ""), "", SEED!$C185)</f>
        <v>Person - Arie Gustaman</v>
      </c>
      <c r="D185" s="10" t="str">
        <f ca="1">IF(EXACT($B185, ""), "", SEED!$E185)</f>
        <v>Bank Rakyat Indonesia - 669501015343535</v>
      </c>
      <c r="E185" s="11" t="str">
        <f ca="1">IF(EXACT($B185, ""), "", SEED!$F185)</f>
        <v>IDR</v>
      </c>
    </row>
    <row r="186" spans="2:5" x14ac:dyDescent="0.2">
      <c r="B186" s="33">
        <f>IF(EXACT(SEED!J186, ""), "", SEED!I186)</f>
        <v>198000000000183</v>
      </c>
      <c r="C186" s="10" t="str">
        <f>IF(EXACT($B186, ""), "", SEED!$C186)</f>
        <v>Person - Arief Yulianto</v>
      </c>
      <c r="D186" s="10" t="str">
        <f ca="1">IF(EXACT($B186, ""), "", SEED!$E186)</f>
        <v>Bank Rakyat Indonesia - 034101074857508</v>
      </c>
      <c r="E186" s="11" t="str">
        <f ca="1">IF(EXACT($B186, ""), "", SEED!$F186)</f>
        <v>IDR</v>
      </c>
    </row>
    <row r="187" spans="2:5" x14ac:dyDescent="0.2">
      <c r="B187" s="33">
        <f>IF(EXACT(SEED!J187, ""), "", SEED!I187)</f>
        <v>198000000000184</v>
      </c>
      <c r="C187" s="10" t="str">
        <f>IF(EXACT($B187, ""), "", SEED!$C187)</f>
        <v>Person - Burhan</v>
      </c>
      <c r="D187" s="10" t="str">
        <f ca="1">IF(EXACT($B187, ""), "", SEED!$E187)</f>
        <v xml:space="preserve"> - </v>
      </c>
      <c r="E187" s="11" t="str">
        <f ca="1">IF(EXACT($B187, ""), "", SEED!$F187)</f>
        <v>Others</v>
      </c>
    </row>
    <row r="188" spans="2:5" x14ac:dyDescent="0.2">
      <c r="B188" s="33">
        <f>IF(EXACT(SEED!J188, ""), "", SEED!I188)</f>
        <v>198000000000185</v>
      </c>
      <c r="C188" s="10" t="str">
        <f>IF(EXACT($B188, ""), "", SEED!$C188)</f>
        <v>Person - Deby Syahputa</v>
      </c>
      <c r="D188" s="10" t="str">
        <f ca="1">IF(EXACT($B188, ""), "", SEED!$E188)</f>
        <v xml:space="preserve"> - </v>
      </c>
      <c r="E188" s="11" t="str">
        <f ca="1">IF(EXACT($B188, ""), "", SEED!$F188)</f>
        <v>Others</v>
      </c>
    </row>
    <row r="189" spans="2:5" x14ac:dyDescent="0.2">
      <c r="B189" s="33">
        <f>IF(EXACT(SEED!J189, ""), "", SEED!I189)</f>
        <v>198000000000186</v>
      </c>
      <c r="C189" s="10" t="str">
        <f>IF(EXACT($B189, ""), "", SEED!$C189)</f>
        <v>Person - Ibrahim Arya Yuda</v>
      </c>
      <c r="D189" s="10" t="str">
        <f ca="1">IF(EXACT($B189, ""), "", SEED!$E189)</f>
        <v xml:space="preserve"> - </v>
      </c>
      <c r="E189" s="11" t="str">
        <f ca="1">IF(EXACT($B189, ""), "", SEED!$F189)</f>
        <v>Others</v>
      </c>
    </row>
    <row r="190" spans="2:5" x14ac:dyDescent="0.2">
      <c r="B190" s="33">
        <f>IF(EXACT(SEED!J190, ""), "", SEED!I190)</f>
        <v>198000000000187</v>
      </c>
      <c r="C190" s="10" t="str">
        <f>IF(EXACT($B190, ""), "", SEED!$C190)</f>
        <v>Person - Jamil</v>
      </c>
      <c r="D190" s="10" t="str">
        <f ca="1">IF(EXACT($B190, ""), "", SEED!$E190)</f>
        <v xml:space="preserve"> - </v>
      </c>
      <c r="E190" s="11" t="str">
        <f ca="1">IF(EXACT($B190, ""), "", SEED!$F190)</f>
        <v>Others</v>
      </c>
    </row>
    <row r="191" spans="2:5" x14ac:dyDescent="0.2">
      <c r="B191" s="33">
        <f>IF(EXACT(SEED!J191, ""), "", SEED!I191)</f>
        <v>198000000000188</v>
      </c>
      <c r="C191" s="10" t="str">
        <f>IF(EXACT($B191, ""), "", SEED!$C191)</f>
        <v>Person - Kiki Prasetyo</v>
      </c>
      <c r="D191" s="10" t="str">
        <f ca="1">IF(EXACT($B191, ""), "", SEED!$E191)</f>
        <v xml:space="preserve"> - </v>
      </c>
      <c r="E191" s="11" t="str">
        <f ca="1">IF(EXACT($B191, ""), "", SEED!$F191)</f>
        <v>Others</v>
      </c>
    </row>
    <row r="192" spans="2:5" x14ac:dyDescent="0.2">
      <c r="B192" s="33">
        <f>IF(EXACT(SEED!J192, ""), "", SEED!I192)</f>
        <v>198000000000189</v>
      </c>
      <c r="C192" s="10" t="str">
        <f>IF(EXACT($B192, ""), "", SEED!$C192)</f>
        <v>Person - Mochamad Ulul Azmi Wira Utama</v>
      </c>
      <c r="D192" s="10" t="str">
        <f ca="1">IF(EXACT($B192, ""), "", SEED!$E192)</f>
        <v xml:space="preserve"> - </v>
      </c>
      <c r="E192" s="11" t="str">
        <f ca="1">IF(EXACT($B192, ""), "", SEED!$F192)</f>
        <v>Others</v>
      </c>
    </row>
    <row r="193" spans="2:5" x14ac:dyDescent="0.2">
      <c r="B193" s="33">
        <f>IF(EXACT(SEED!J193, ""), "", SEED!I193)</f>
        <v>198000000000190</v>
      </c>
      <c r="C193" s="10" t="str">
        <f>IF(EXACT($B193, ""), "", SEED!$C193)</f>
        <v>Person - Muhammad Bilal Sharony</v>
      </c>
      <c r="D193" s="10" t="str">
        <f ca="1">IF(EXACT($B193, ""), "", SEED!$E193)</f>
        <v xml:space="preserve"> - </v>
      </c>
      <c r="E193" s="11" t="str">
        <f ca="1">IF(EXACT($B193, ""), "", SEED!$F193)</f>
        <v>Others</v>
      </c>
    </row>
    <row r="194" spans="2:5" x14ac:dyDescent="0.2">
      <c r="B194" s="33">
        <f>IF(EXACT(SEED!J194, ""), "", SEED!I194)</f>
        <v>198000000000191</v>
      </c>
      <c r="C194" s="10" t="str">
        <f>IF(EXACT($B194, ""), "", SEED!$C194)</f>
        <v>Person - Muhammad Hairul</v>
      </c>
      <c r="D194" s="10" t="str">
        <f ca="1">IF(EXACT($B194, ""), "", SEED!$E194)</f>
        <v xml:space="preserve"> - </v>
      </c>
      <c r="E194" s="11" t="str">
        <f ca="1">IF(EXACT($B194, ""), "", SEED!$F194)</f>
        <v>Others</v>
      </c>
    </row>
    <row r="195" spans="2:5" x14ac:dyDescent="0.2">
      <c r="B195" s="33">
        <f>IF(EXACT(SEED!J195, ""), "", SEED!I195)</f>
        <v>198000000000192</v>
      </c>
      <c r="C195" s="10" t="str">
        <f>IF(EXACT($B195, ""), "", SEED!$C195)</f>
        <v>Person - Muhammad Rizal</v>
      </c>
      <c r="D195" s="10" t="str">
        <f ca="1">IF(EXACT($B195, ""), "", SEED!$E195)</f>
        <v xml:space="preserve"> - </v>
      </c>
      <c r="E195" s="11" t="str">
        <f ca="1">IF(EXACT($B195, ""), "", SEED!$F195)</f>
        <v>Others</v>
      </c>
    </row>
    <row r="196" spans="2:5" x14ac:dyDescent="0.2">
      <c r="B196" s="33">
        <f>IF(EXACT(SEED!J196, ""), "", SEED!I196)</f>
        <v>198000000000193</v>
      </c>
      <c r="C196" s="10" t="str">
        <f>IF(EXACT($B196, ""), "", SEED!$C196)</f>
        <v>Person - Rahmad Dwifar</v>
      </c>
      <c r="D196" s="10" t="str">
        <f ca="1">IF(EXACT($B196, ""), "", SEED!$E196)</f>
        <v xml:space="preserve"> - </v>
      </c>
      <c r="E196" s="11" t="str">
        <f ca="1">IF(EXACT($B196, ""), "", SEED!$F196)</f>
        <v>Others</v>
      </c>
    </row>
    <row r="197" spans="2:5" x14ac:dyDescent="0.2">
      <c r="B197" s="33">
        <f>IF(EXACT(SEED!J197, ""), "", SEED!I197)</f>
        <v>198000000000194</v>
      </c>
      <c r="C197" s="10" t="str">
        <f>IF(EXACT($B197, ""), "", SEED!$C197)</f>
        <v>Person - Reza Sanjaya</v>
      </c>
      <c r="D197" s="10" t="str">
        <f ca="1">IF(EXACT($B197, ""), "", SEED!$E197)</f>
        <v>Bank Central Asia - 7485341129</v>
      </c>
      <c r="E197" s="11" t="str">
        <f ca="1">IF(EXACT($B197, ""), "", SEED!$F197)</f>
        <v>IDR</v>
      </c>
    </row>
    <row r="198" spans="2:5" x14ac:dyDescent="0.2">
      <c r="B198" s="33">
        <f>IF(EXACT(SEED!J198, ""), "", SEED!I198)</f>
        <v>198000000000195</v>
      </c>
      <c r="C198" s="10" t="str">
        <f>IF(EXACT($B198, ""), "", SEED!$C198)</f>
        <v>Person - Ridwan Nur Muttaqin</v>
      </c>
      <c r="D198" s="10" t="str">
        <f ca="1">IF(EXACT($B198, ""), "", SEED!$E198)</f>
        <v xml:space="preserve"> - </v>
      </c>
      <c r="E198" s="11" t="str">
        <f ca="1">IF(EXACT($B198, ""), "", SEED!$F198)</f>
        <v>Others</v>
      </c>
    </row>
    <row r="199" spans="2:5" x14ac:dyDescent="0.2">
      <c r="B199" s="33">
        <f>IF(EXACT(SEED!J199, ""), "", SEED!I199)</f>
        <v>198000000000196</v>
      </c>
      <c r="C199" s="10" t="str">
        <f>IF(EXACT($B199, ""), "", SEED!$C199)</f>
        <v xml:space="preserve">Person - Risaldi </v>
      </c>
      <c r="D199" s="10" t="str">
        <f ca="1">IF(EXACT($B199, ""), "", SEED!$E199)</f>
        <v xml:space="preserve"> - </v>
      </c>
      <c r="E199" s="11" t="str">
        <f ca="1">IF(EXACT($B199, ""), "", SEED!$F199)</f>
        <v>Others</v>
      </c>
    </row>
    <row r="200" spans="2:5" x14ac:dyDescent="0.2">
      <c r="B200" s="33">
        <f>IF(EXACT(SEED!J200, ""), "", SEED!I200)</f>
        <v>198000000000197</v>
      </c>
      <c r="C200" s="10" t="str">
        <f>IF(EXACT($B200, ""), "", SEED!$C200)</f>
        <v>Person - Risty Alawiyah</v>
      </c>
      <c r="D200" s="10" t="str">
        <f ca="1">IF(EXACT($B200, ""), "", SEED!$E200)</f>
        <v>Bank Rakyat Indonesia - 034101074859500</v>
      </c>
      <c r="E200" s="11" t="str">
        <f ca="1">IF(EXACT($B200, ""), "", SEED!$F200)</f>
        <v>IDR</v>
      </c>
    </row>
    <row r="201" spans="2:5" x14ac:dyDescent="0.2">
      <c r="B201" s="33">
        <f>IF(EXACT(SEED!J201, ""), "", SEED!I201)</f>
        <v>198000000000198</v>
      </c>
      <c r="C201" s="10" t="str">
        <f>IF(EXACT($B201, ""), "", SEED!$C201)</f>
        <v>Person - Rustono</v>
      </c>
      <c r="D201" s="10" t="str">
        <f ca="1">IF(EXACT($B201, ""), "", SEED!$E201)</f>
        <v>Bank Rakyat Indonesia - 034101074862503</v>
      </c>
      <c r="E201" s="11" t="str">
        <f ca="1">IF(EXACT($B201, ""), "", SEED!$F201)</f>
        <v>IDR</v>
      </c>
    </row>
    <row r="202" spans="2:5" x14ac:dyDescent="0.2">
      <c r="B202" s="33">
        <f>IF(EXACT(SEED!J202, ""), "", SEED!I202)</f>
        <v>198000000000199</v>
      </c>
      <c r="C202" s="10" t="str">
        <f>IF(EXACT($B202, ""), "", SEED!$C202)</f>
        <v>Person - Solihin</v>
      </c>
      <c r="D202" s="10" t="str">
        <f ca="1">IF(EXACT($B202, ""), "", SEED!$E202)</f>
        <v>Bank Rakyat Indonesia - 034101074867503</v>
      </c>
      <c r="E202" s="11" t="str">
        <f ca="1">IF(EXACT($B202, ""), "", SEED!$F202)</f>
        <v>IDR</v>
      </c>
    </row>
    <row r="203" spans="2:5" x14ac:dyDescent="0.2">
      <c r="B203" s="33">
        <f>IF(EXACT(SEED!J203, ""), "", SEED!I203)</f>
        <v>198000000000200</v>
      </c>
      <c r="C203" s="10" t="str">
        <f>IF(EXACT($B203, ""), "", SEED!$C203)</f>
        <v>Person - Supriatna</v>
      </c>
      <c r="D203" s="10" t="str">
        <f ca="1">IF(EXACT($B203, ""), "", SEED!$E203)</f>
        <v>Bank Rakyat Indonesia - 010201029577531</v>
      </c>
      <c r="E203" s="11" t="str">
        <f ca="1">IF(EXACT($B203, ""), "", SEED!$F203)</f>
        <v>IDR</v>
      </c>
    </row>
    <row r="204" spans="2:5" x14ac:dyDescent="0.2">
      <c r="B204" s="33">
        <f>IF(EXACT(SEED!J204, ""), "", SEED!I204)</f>
        <v>198000000000201</v>
      </c>
      <c r="C204" s="10" t="str">
        <f>IF(EXACT($B204, ""), "", SEED!$C204)</f>
        <v>Person - Taufik Aminudin</v>
      </c>
      <c r="D204" s="10" t="str">
        <f ca="1">IF(EXACT($B204, ""), "", SEED!$E204)</f>
        <v>Bank Rakyat Indonesia - 034101074865501</v>
      </c>
      <c r="E204" s="11" t="str">
        <f ca="1">IF(EXACT($B204, ""), "", SEED!$F204)</f>
        <v>IDR</v>
      </c>
    </row>
    <row r="205" spans="2:5" x14ac:dyDescent="0.2">
      <c r="B205" s="33">
        <f>IF(EXACT(SEED!J205, ""), "", SEED!I205)</f>
        <v>198000000000202</v>
      </c>
      <c r="C205" s="10" t="str">
        <f>IF(EXACT($B205, ""), "", SEED!$C205)</f>
        <v>Person - Timotius Tabun</v>
      </c>
      <c r="D205" s="10" t="str">
        <f ca="1">IF(EXACT($B205, ""), "", SEED!$E205)</f>
        <v xml:space="preserve">Bank Rakyat Indonesia - </v>
      </c>
      <c r="E205" s="11" t="str">
        <f ca="1">IF(EXACT($B205, ""), "", SEED!$F205)</f>
        <v>Others</v>
      </c>
    </row>
    <row r="206" spans="2:5" x14ac:dyDescent="0.2">
      <c r="B206" s="33">
        <f>IF(EXACT(SEED!J206, ""), "", SEED!I206)</f>
        <v>198000000000203</v>
      </c>
      <c r="C206" s="10" t="str">
        <f>IF(EXACT($B206, ""), "", SEED!$C206)</f>
        <v>Person - Adi</v>
      </c>
      <c r="D206" s="10" t="str">
        <f>IF(EXACT($B206, ""), "", SEED!$E206)</f>
        <v/>
      </c>
      <c r="E206" s="11" t="str">
        <f>IF(EXACT($B206, ""), "", SEED!$F206)</f>
        <v/>
      </c>
    </row>
    <row r="207" spans="2:5" x14ac:dyDescent="0.2">
      <c r="B207" s="33" t="str">
        <f>IF(EXACT(SEED!J207, ""), "", SEED!I207)</f>
        <v/>
      </c>
      <c r="C207" s="10" t="str">
        <f>IF(EXACT($B207, ""), "", SEED!$C207)</f>
        <v/>
      </c>
      <c r="D207" s="10" t="str">
        <f>IF(EXACT($B207, ""), "", SEED!$E207)</f>
        <v/>
      </c>
      <c r="E207" s="11" t="str">
        <f>IF(EXACT($B207, ""), "", SEED!$F207)</f>
        <v/>
      </c>
    </row>
    <row r="208" spans="2:5" x14ac:dyDescent="0.2">
      <c r="B208" s="33" t="str">
        <f>IF(EXACT(SEED!J208, ""), "", SEED!I208)</f>
        <v/>
      </c>
      <c r="C208" s="10" t="str">
        <f>IF(EXACT($B208, ""), "", SEED!$C208)</f>
        <v/>
      </c>
      <c r="D208" s="10" t="str">
        <f>IF(EXACT($B208, ""), "", SEED!$E208)</f>
        <v/>
      </c>
      <c r="E208" s="11" t="str">
        <f>IF(EXACT($B208, ""), "", SEED!$F208)</f>
        <v/>
      </c>
    </row>
    <row r="209" spans="2:5" x14ac:dyDescent="0.2">
      <c r="B209" s="33" t="str">
        <f>IF(EXACT(SEED!J209, ""), "", SEED!I209)</f>
        <v/>
      </c>
      <c r="C209" s="10" t="str">
        <f>IF(EXACT($B209, ""), "", SEED!$C209)</f>
        <v/>
      </c>
      <c r="D209" s="10" t="str">
        <f>IF(EXACT($B209, ""), "", SEED!$E209)</f>
        <v/>
      </c>
      <c r="E209" s="11" t="str">
        <f>IF(EXACT($B209, ""), "", SEED!$F209)</f>
        <v/>
      </c>
    </row>
    <row r="210" spans="2:5" x14ac:dyDescent="0.2">
      <c r="B210" s="33" t="str">
        <f>IF(EXACT(SEED!J210, ""), "", SEED!I210)</f>
        <v/>
      </c>
      <c r="C210" s="10" t="str">
        <f>IF(EXACT($B210, ""), "", SEED!$C210)</f>
        <v/>
      </c>
      <c r="D210" s="10" t="str">
        <f>IF(EXACT($B210, ""), "", SEED!$E210)</f>
        <v/>
      </c>
      <c r="E210" s="11" t="str">
        <f>IF(EXACT($B210, ""), "", SEED!$F210)</f>
        <v/>
      </c>
    </row>
    <row r="211" spans="2:5" x14ac:dyDescent="0.2">
      <c r="B211" s="33" t="str">
        <f>IF(EXACT(SEED!J211, ""), "", SEED!I211)</f>
        <v/>
      </c>
      <c r="C211" s="10" t="str">
        <f>IF(EXACT($B211, ""), "", SEED!$C211)</f>
        <v/>
      </c>
      <c r="D211" s="10" t="str">
        <f>IF(EXACT($B211, ""), "", SEED!$E211)</f>
        <v/>
      </c>
      <c r="E211" s="11" t="str">
        <f>IF(EXACT($B211, ""), "", SEED!$F211)</f>
        <v/>
      </c>
    </row>
    <row r="212" spans="2:5" x14ac:dyDescent="0.2">
      <c r="B212" s="33" t="str">
        <f>IF(EXACT(SEED!J212, ""), "", SEED!I212)</f>
        <v/>
      </c>
      <c r="C212" s="10" t="str">
        <f>IF(EXACT($B212, ""), "", SEED!$C212)</f>
        <v/>
      </c>
      <c r="D212" s="10" t="str">
        <f>IF(EXACT($B212, ""), "", SEED!$E212)</f>
        <v/>
      </c>
      <c r="E212" s="11" t="str">
        <f>IF(EXACT($B212, ""), "", SEED!$F212)</f>
        <v/>
      </c>
    </row>
    <row r="213" spans="2:5" x14ac:dyDescent="0.2">
      <c r="B213" s="33" t="str">
        <f>IF(EXACT(SEED!J213, ""), "", SEED!I213)</f>
        <v/>
      </c>
      <c r="C213" s="10" t="str">
        <f>IF(EXACT($B213, ""), "", SEED!$C213)</f>
        <v/>
      </c>
      <c r="D213" s="10" t="str">
        <f>IF(EXACT($B213, ""), "", SEED!$E213)</f>
        <v/>
      </c>
      <c r="E213" s="11" t="str">
        <f>IF(EXACT($B213, ""), "", SEED!$F213)</f>
        <v/>
      </c>
    </row>
    <row r="214" spans="2:5" x14ac:dyDescent="0.2">
      <c r="B214" s="33" t="str">
        <f>IF(EXACT(SEED!J214, ""), "", SEED!I214)</f>
        <v/>
      </c>
      <c r="C214" s="10" t="str">
        <f>IF(EXACT($B214, ""), "", SEED!$C214)</f>
        <v/>
      </c>
      <c r="D214" s="10" t="str">
        <f>IF(EXACT($B214, ""), "", SEED!$E214)</f>
        <v/>
      </c>
      <c r="E214" s="11" t="str">
        <f>IF(EXACT($B214, ""), "", SEED!$F214)</f>
        <v/>
      </c>
    </row>
    <row r="215" spans="2:5" x14ac:dyDescent="0.2">
      <c r="B215" s="33" t="str">
        <f>IF(EXACT(SEED!J215, ""), "", SEED!I215)</f>
        <v/>
      </c>
      <c r="C215" s="10" t="str">
        <f>IF(EXACT($B215, ""), "", SEED!$C215)</f>
        <v/>
      </c>
      <c r="D215" s="10" t="str">
        <f>IF(EXACT($B215, ""), "", SEED!$E215)</f>
        <v/>
      </c>
      <c r="E215" s="11" t="str">
        <f>IF(EXACT($B215, ""), "", SEED!$F215)</f>
        <v/>
      </c>
    </row>
    <row r="216" spans="2:5" x14ac:dyDescent="0.2">
      <c r="B216" s="33" t="str">
        <f>IF(EXACT(SEED!J216, ""), "", SEED!I216)</f>
        <v/>
      </c>
      <c r="C216" s="10" t="str">
        <f>IF(EXACT($B216, ""), "", SEED!$C216)</f>
        <v/>
      </c>
      <c r="D216" s="10" t="str">
        <f>IF(EXACT($B216, ""), "", SEED!$E216)</f>
        <v/>
      </c>
      <c r="E216" s="11" t="str">
        <f>IF(EXACT($B216, ""), "", SEED!$F216)</f>
        <v/>
      </c>
    </row>
    <row r="217" spans="2:5" x14ac:dyDescent="0.2">
      <c r="B217" s="33" t="str">
        <f>IF(EXACT(SEED!J217, ""), "", SEED!I217)</f>
        <v/>
      </c>
      <c r="C217" s="10" t="str">
        <f>IF(EXACT($B217, ""), "", SEED!$C217)</f>
        <v/>
      </c>
      <c r="D217" s="10" t="str">
        <f>IF(EXACT($B217, ""), "", SEED!$E217)</f>
        <v/>
      </c>
      <c r="E217" s="11" t="str">
        <f>IF(EXACT($B217, ""), "", SEED!$F217)</f>
        <v/>
      </c>
    </row>
    <row r="218" spans="2:5" x14ac:dyDescent="0.2">
      <c r="B218" s="33" t="str">
        <f>IF(EXACT(SEED!J218, ""), "", SEED!I218)</f>
        <v/>
      </c>
      <c r="C218" s="10" t="str">
        <f>IF(EXACT($B218, ""), "", SEED!$C218)</f>
        <v/>
      </c>
      <c r="D218" s="10" t="str">
        <f>IF(EXACT($B218, ""), "", SEED!$E218)</f>
        <v/>
      </c>
      <c r="E218" s="11" t="str">
        <f>IF(EXACT($B218, ""), "", SEED!$F218)</f>
        <v/>
      </c>
    </row>
    <row r="219" spans="2:5" x14ac:dyDescent="0.2">
      <c r="B219" s="33" t="str">
        <f>IF(EXACT(SEED!J219, ""), "", SEED!I219)</f>
        <v/>
      </c>
      <c r="C219" s="10" t="str">
        <f>IF(EXACT($B219, ""), "", SEED!$C219)</f>
        <v/>
      </c>
      <c r="D219" s="10" t="str">
        <f>IF(EXACT($B219, ""), "", SEED!$E219)</f>
        <v/>
      </c>
      <c r="E219" s="11" t="str">
        <f>IF(EXACT($B219, ""), "", SEED!$F219)</f>
        <v/>
      </c>
    </row>
    <row r="220" spans="2:5" x14ac:dyDescent="0.2">
      <c r="B220" s="33" t="str">
        <f>IF(EXACT(SEED!J220, ""), "", SEED!I220)</f>
        <v/>
      </c>
      <c r="C220" s="10" t="str">
        <f>IF(EXACT($B220, ""), "", SEED!$C220)</f>
        <v/>
      </c>
      <c r="D220" s="10" t="str">
        <f>IF(EXACT($B220, ""), "", SEED!$E220)</f>
        <v/>
      </c>
      <c r="E220" s="11" t="str">
        <f>IF(EXACT($B220, ""), "", SEED!$F220)</f>
        <v/>
      </c>
    </row>
    <row r="221" spans="2:5" x14ac:dyDescent="0.2">
      <c r="B221" s="33" t="str">
        <f>IF(EXACT(SEED!J221, ""), "", SEED!I221)</f>
        <v/>
      </c>
      <c r="C221" s="10" t="str">
        <f>IF(EXACT($B221, ""), "", SEED!$C221)</f>
        <v/>
      </c>
      <c r="D221" s="10" t="str">
        <f>IF(EXACT($B221, ""), "", SEED!$E221)</f>
        <v/>
      </c>
      <c r="E221" s="11" t="str">
        <f>IF(EXACT($B221, ""), "", SEED!$F221)</f>
        <v/>
      </c>
    </row>
    <row r="222" spans="2:5" x14ac:dyDescent="0.2">
      <c r="B222" s="33" t="str">
        <f>IF(EXACT(SEED!J222, ""), "", SEED!I222)</f>
        <v/>
      </c>
      <c r="C222" s="10" t="str">
        <f>IF(EXACT($B222, ""), "", SEED!$C222)</f>
        <v/>
      </c>
      <c r="D222" s="10" t="str">
        <f>IF(EXACT($B222, ""), "", SEED!$E222)</f>
        <v/>
      </c>
      <c r="E222" s="11" t="str">
        <f>IF(EXACT($B222, ""), "", SEED!$F222)</f>
        <v/>
      </c>
    </row>
    <row r="223" spans="2:5" x14ac:dyDescent="0.2">
      <c r="B223" s="33" t="str">
        <f>IF(EXACT(SEED!J223, ""), "", SEED!I223)</f>
        <v/>
      </c>
      <c r="C223" s="10" t="str">
        <f>IF(EXACT($B223, ""), "", SEED!$C223)</f>
        <v/>
      </c>
      <c r="D223" s="10" t="str">
        <f>IF(EXACT($B223, ""), "", SEED!$E223)</f>
        <v/>
      </c>
      <c r="E223" s="11" t="str">
        <f>IF(EXACT($B223, ""), "", SEED!$F223)</f>
        <v/>
      </c>
    </row>
    <row r="224" spans="2:5" x14ac:dyDescent="0.2">
      <c r="B224" s="33" t="str">
        <f>IF(EXACT(SEED!J224, ""), "", SEED!I224)</f>
        <v/>
      </c>
      <c r="C224" s="10" t="str">
        <f>IF(EXACT($B224, ""), "", SEED!$C224)</f>
        <v/>
      </c>
      <c r="D224" s="10" t="str">
        <f>IF(EXACT($B224, ""), "", SEED!$E224)</f>
        <v/>
      </c>
      <c r="E224" s="11" t="str">
        <f>IF(EXACT($B224, ""), "", SEED!$F224)</f>
        <v/>
      </c>
    </row>
    <row r="225" spans="2:5" x14ac:dyDescent="0.2">
      <c r="B225" s="33" t="str">
        <f>IF(EXACT(SEED!J225, ""), "", SEED!I225)</f>
        <v/>
      </c>
      <c r="C225" s="10" t="str">
        <f>IF(EXACT($B225, ""), "", SEED!$C225)</f>
        <v/>
      </c>
      <c r="D225" s="10" t="str">
        <f>IF(EXACT($B225, ""), "", SEED!$E225)</f>
        <v/>
      </c>
      <c r="E225" s="11" t="str">
        <f>IF(EXACT($B225, ""), "", SEED!$F225)</f>
        <v/>
      </c>
    </row>
    <row r="226" spans="2:5" x14ac:dyDescent="0.2">
      <c r="B226" s="33" t="str">
        <f>IF(EXACT(SEED!J226, ""), "", SEED!I226)</f>
        <v/>
      </c>
      <c r="C226" s="10" t="str">
        <f>IF(EXACT($B226, ""), "", SEED!$C226)</f>
        <v/>
      </c>
      <c r="D226" s="10" t="str">
        <f>IF(EXACT($B226, ""), "", SEED!$E226)</f>
        <v/>
      </c>
      <c r="E226" s="11" t="str">
        <f>IF(EXACT($B226, ""), "", SEED!$F226)</f>
        <v/>
      </c>
    </row>
    <row r="227" spans="2:5" x14ac:dyDescent="0.2">
      <c r="B227" s="33" t="str">
        <f>IF(EXACT(SEED!J227, ""), "", SEED!I227)</f>
        <v/>
      </c>
      <c r="C227" s="10" t="str">
        <f>IF(EXACT($B227, ""), "", SEED!$C227)</f>
        <v/>
      </c>
      <c r="D227" s="10" t="str">
        <f>IF(EXACT($B227, ""), "", SEED!$E227)</f>
        <v/>
      </c>
      <c r="E227" s="11" t="str">
        <f>IF(EXACT($B227, ""), "", SEED!$F227)</f>
        <v/>
      </c>
    </row>
    <row r="228" spans="2:5" x14ac:dyDescent="0.2">
      <c r="B228" s="33" t="str">
        <f>IF(EXACT(SEED!J228, ""), "", SEED!I228)</f>
        <v/>
      </c>
      <c r="C228" s="10" t="str">
        <f>IF(EXACT($B228, ""), "", SEED!$C228)</f>
        <v/>
      </c>
      <c r="D228" s="10" t="str">
        <f>IF(EXACT($B228, ""), "", SEED!$E228)</f>
        <v/>
      </c>
      <c r="E228" s="11" t="str">
        <f>IF(EXACT($B228, ""), "", SEED!$F228)</f>
        <v/>
      </c>
    </row>
    <row r="229" spans="2:5" x14ac:dyDescent="0.2">
      <c r="B229" s="33" t="str">
        <f>IF(EXACT(SEED!J229, ""), "", SEED!I229)</f>
        <v/>
      </c>
      <c r="C229" s="10" t="str">
        <f>IF(EXACT($B229, ""), "", SEED!$C229)</f>
        <v/>
      </c>
      <c r="D229" s="10" t="str">
        <f>IF(EXACT($B229, ""), "", SEED!$E229)</f>
        <v/>
      </c>
      <c r="E229" s="11" t="str">
        <f>IF(EXACT($B229, ""), "", SEED!$F229)</f>
        <v/>
      </c>
    </row>
    <row r="230" spans="2:5" x14ac:dyDescent="0.2">
      <c r="B230" s="33" t="str">
        <f>IF(EXACT(SEED!J230, ""), "", SEED!I230)</f>
        <v/>
      </c>
      <c r="C230" s="10" t="str">
        <f>IF(EXACT($B230, ""), "", SEED!$C230)</f>
        <v/>
      </c>
      <c r="D230" s="10" t="str">
        <f>IF(EXACT($B230, ""), "", SEED!$E230)</f>
        <v/>
      </c>
      <c r="E230" s="11" t="str">
        <f>IF(EXACT($B230, ""), "", SEED!$F230)</f>
        <v/>
      </c>
    </row>
    <row r="231" spans="2:5" x14ac:dyDescent="0.2">
      <c r="B231" s="33" t="str">
        <f>IF(EXACT(SEED!J231, ""), "", SEED!I231)</f>
        <v/>
      </c>
      <c r="C231" s="10" t="str">
        <f>IF(EXACT($B231, ""), "", SEED!$C231)</f>
        <v/>
      </c>
      <c r="D231" s="10" t="str">
        <f>IF(EXACT($B231, ""), "", SEED!$E231)</f>
        <v/>
      </c>
      <c r="E231" s="11" t="str">
        <f>IF(EXACT($B231, ""), "", SEED!$F231)</f>
        <v/>
      </c>
    </row>
    <row r="232" spans="2:5" x14ac:dyDescent="0.2">
      <c r="B232" s="33" t="str">
        <f>IF(EXACT(SEED!J232, ""), "", SEED!I232)</f>
        <v/>
      </c>
      <c r="C232" s="10" t="str">
        <f>IF(EXACT($B232, ""), "", SEED!$C232)</f>
        <v/>
      </c>
      <c r="D232" s="10" t="str">
        <f>IF(EXACT($B232, ""), "", SEED!$E232)</f>
        <v/>
      </c>
      <c r="E232" s="11" t="str">
        <f>IF(EXACT($B232, ""), "", SEED!$F232)</f>
        <v/>
      </c>
    </row>
    <row r="233" spans="2:5" x14ac:dyDescent="0.2">
      <c r="B233" s="33" t="str">
        <f>IF(EXACT(SEED!J233, ""), "", SEED!I233)</f>
        <v/>
      </c>
      <c r="C233" s="10" t="str">
        <f>IF(EXACT($B233, ""), "", SEED!$C233)</f>
        <v/>
      </c>
      <c r="D233" s="10" t="str">
        <f>IF(EXACT($B233, ""), "", SEED!$E233)</f>
        <v/>
      </c>
      <c r="E233" s="11" t="str">
        <f>IF(EXACT($B233, ""), "", SEED!$F233)</f>
        <v/>
      </c>
    </row>
    <row r="234" spans="2:5" x14ac:dyDescent="0.2">
      <c r="B234" s="33" t="str">
        <f>IF(EXACT(SEED!J234, ""), "", SEED!I234)</f>
        <v/>
      </c>
      <c r="C234" s="10" t="str">
        <f>IF(EXACT($B234, ""), "", SEED!$C234)</f>
        <v/>
      </c>
      <c r="D234" s="10" t="str">
        <f>IF(EXACT($B234, ""), "", SEED!$E234)</f>
        <v/>
      </c>
      <c r="E234" s="11" t="str">
        <f>IF(EXACT($B234, ""), "", SEED!$F234)</f>
        <v/>
      </c>
    </row>
    <row r="235" spans="2:5" x14ac:dyDescent="0.2">
      <c r="B235" s="33" t="str">
        <f>IF(EXACT(SEED!J235, ""), "", SEED!I235)</f>
        <v/>
      </c>
      <c r="C235" s="10" t="str">
        <f>IF(EXACT($B235, ""), "", SEED!$C235)</f>
        <v/>
      </c>
      <c r="D235" s="10" t="str">
        <f>IF(EXACT($B235, ""), "", SEED!$E235)</f>
        <v/>
      </c>
      <c r="E235" s="11" t="str">
        <f>IF(EXACT($B235, ""), "", SEED!$F235)</f>
        <v/>
      </c>
    </row>
    <row r="236" spans="2:5" x14ac:dyDescent="0.2">
      <c r="B236" s="33" t="str">
        <f>IF(EXACT(SEED!J236, ""), "", SEED!I236)</f>
        <v/>
      </c>
      <c r="C236" s="10" t="str">
        <f>IF(EXACT($B236, ""), "", SEED!$C236)</f>
        <v/>
      </c>
      <c r="D236" s="10" t="str">
        <f>IF(EXACT($B236, ""), "", SEED!$E236)</f>
        <v/>
      </c>
      <c r="E236" s="11" t="str">
        <f>IF(EXACT($B236, ""), "", SEED!$F236)</f>
        <v/>
      </c>
    </row>
    <row r="237" spans="2:5" x14ac:dyDescent="0.2">
      <c r="B237" s="33" t="str">
        <f>IF(EXACT(SEED!J237, ""), "", SEED!I237)</f>
        <v/>
      </c>
      <c r="C237" s="10" t="str">
        <f>IF(EXACT($B237, ""), "", SEED!$C237)</f>
        <v/>
      </c>
      <c r="D237" s="10" t="str">
        <f>IF(EXACT($B237, ""), "", SEED!$E237)</f>
        <v/>
      </c>
      <c r="E237" s="11" t="str">
        <f>IF(EXACT($B237, ""), "", SEED!$F237)</f>
        <v/>
      </c>
    </row>
    <row r="238" spans="2:5" x14ac:dyDescent="0.2">
      <c r="B238" s="33" t="str">
        <f>IF(EXACT(SEED!J238, ""), "", SEED!I238)</f>
        <v/>
      </c>
      <c r="C238" s="10" t="str">
        <f>IF(EXACT($B238, ""), "", SEED!$C238)</f>
        <v/>
      </c>
      <c r="D238" s="10" t="str">
        <f>IF(EXACT($B238, ""), "", SEED!$E238)</f>
        <v/>
      </c>
      <c r="E238" s="11" t="str">
        <f>IF(EXACT($B238, ""), "", SEED!$F238)</f>
        <v/>
      </c>
    </row>
    <row r="239" spans="2:5" x14ac:dyDescent="0.2">
      <c r="B239" s="33" t="str">
        <f>IF(EXACT(SEED!J239, ""), "", SEED!I239)</f>
        <v/>
      </c>
      <c r="C239" s="10" t="str">
        <f>IF(EXACT($B239, ""), "", SEED!$C239)</f>
        <v/>
      </c>
      <c r="D239" s="10" t="str">
        <f>IF(EXACT($B239, ""), "", SEED!$E239)</f>
        <v/>
      </c>
      <c r="E239" s="11" t="str">
        <f>IF(EXACT($B239, ""), "", SEED!$F239)</f>
        <v/>
      </c>
    </row>
    <row r="240" spans="2:5" x14ac:dyDescent="0.2">
      <c r="B240" s="33" t="str">
        <f>IF(EXACT(SEED!J240, ""), "", SEED!I240)</f>
        <v/>
      </c>
      <c r="C240" s="10" t="str">
        <f>IF(EXACT($B240, ""), "", SEED!$C240)</f>
        <v/>
      </c>
      <c r="D240" s="10" t="str">
        <f>IF(EXACT($B240, ""), "", SEED!$E240)</f>
        <v/>
      </c>
      <c r="E240" s="11" t="str">
        <f>IF(EXACT($B240, ""), "", SEED!$F240)</f>
        <v/>
      </c>
    </row>
    <row r="241" spans="2:5" x14ac:dyDescent="0.2">
      <c r="B241" s="33" t="str">
        <f>IF(EXACT(SEED!J241, ""), "", SEED!I241)</f>
        <v/>
      </c>
      <c r="C241" s="10" t="str">
        <f>IF(EXACT($B241, ""), "", SEED!$C241)</f>
        <v/>
      </c>
      <c r="D241" s="10" t="str">
        <f>IF(EXACT($B241, ""), "", SEED!$E241)</f>
        <v/>
      </c>
      <c r="E241" s="11" t="str">
        <f>IF(EXACT($B241, ""), "", SEED!$F241)</f>
        <v/>
      </c>
    </row>
    <row r="242" spans="2:5" x14ac:dyDescent="0.2">
      <c r="B242" s="33" t="str">
        <f>IF(EXACT(SEED!J242, ""), "", SEED!I242)</f>
        <v/>
      </c>
      <c r="C242" s="10" t="str">
        <f>IF(EXACT($B242, ""), "", SEED!$C242)</f>
        <v/>
      </c>
      <c r="D242" s="10" t="str">
        <f>IF(EXACT($B242, ""), "", SEED!$E242)</f>
        <v/>
      </c>
      <c r="E242" s="11" t="str">
        <f>IF(EXACT($B242, ""), "", SEED!$F242)</f>
        <v/>
      </c>
    </row>
    <row r="243" spans="2:5" x14ac:dyDescent="0.2">
      <c r="B243" s="33" t="str">
        <f>IF(EXACT(SEED!J243, ""), "", SEED!I243)</f>
        <v/>
      </c>
      <c r="C243" s="10" t="str">
        <f>IF(EXACT($B243, ""), "", SEED!$C243)</f>
        <v/>
      </c>
      <c r="D243" s="10" t="str">
        <f>IF(EXACT($B243, ""), "", SEED!$E243)</f>
        <v/>
      </c>
      <c r="E243" s="11" t="str">
        <f>IF(EXACT($B243, ""), "", SEED!$F243)</f>
        <v/>
      </c>
    </row>
    <row r="244" spans="2:5" x14ac:dyDescent="0.2">
      <c r="B244" s="33" t="str">
        <f>IF(EXACT(SEED!J244, ""), "", SEED!I244)</f>
        <v/>
      </c>
      <c r="C244" s="10" t="str">
        <f>IF(EXACT($B244, ""), "", SEED!$C244)</f>
        <v/>
      </c>
      <c r="D244" s="10" t="str">
        <f>IF(EXACT($B244, ""), "", SEED!$E244)</f>
        <v/>
      </c>
      <c r="E244" s="11" t="str">
        <f>IF(EXACT($B244, ""), "", SEED!$F244)</f>
        <v/>
      </c>
    </row>
    <row r="245" spans="2:5" x14ac:dyDescent="0.2">
      <c r="B245" s="33" t="str">
        <f>IF(EXACT(SEED!J245, ""), "", SEED!I245)</f>
        <v/>
      </c>
      <c r="C245" s="10" t="str">
        <f>IF(EXACT($B245, ""), "", SEED!$C245)</f>
        <v/>
      </c>
      <c r="D245" s="10" t="str">
        <f>IF(EXACT($B245, ""), "", SEED!$E245)</f>
        <v/>
      </c>
      <c r="E245" s="11" t="str">
        <f>IF(EXACT($B245, ""), "", SEED!$F245)</f>
        <v/>
      </c>
    </row>
    <row r="246" spans="2:5" x14ac:dyDescent="0.2">
      <c r="B246" s="33" t="str">
        <f>IF(EXACT(SEED!J246, ""), "", SEED!I246)</f>
        <v/>
      </c>
      <c r="C246" s="10" t="str">
        <f>IF(EXACT($B246, ""), "", SEED!$C246)</f>
        <v/>
      </c>
      <c r="D246" s="10" t="str">
        <f>IF(EXACT($B246, ""), "", SEED!$E246)</f>
        <v/>
      </c>
      <c r="E246" s="11" t="str">
        <f>IF(EXACT($B246, ""), "", SEED!$F246)</f>
        <v/>
      </c>
    </row>
    <row r="247" spans="2:5" x14ac:dyDescent="0.2">
      <c r="B247" s="33" t="str">
        <f>IF(EXACT(SEED!J247, ""), "", SEED!I247)</f>
        <v/>
      </c>
      <c r="C247" s="10" t="str">
        <f>IF(EXACT($B247, ""), "", SEED!$C247)</f>
        <v/>
      </c>
      <c r="D247" s="10" t="str">
        <f>IF(EXACT($B247, ""), "", SEED!$E247)</f>
        <v/>
      </c>
      <c r="E247" s="11" t="str">
        <f>IF(EXACT($B247, ""), "", SEED!$F247)</f>
        <v/>
      </c>
    </row>
    <row r="248" spans="2:5" x14ac:dyDescent="0.2">
      <c r="B248" s="33" t="str">
        <f>IF(EXACT(SEED!J248, ""), "", SEED!I248)</f>
        <v/>
      </c>
      <c r="C248" s="10" t="str">
        <f>IF(EXACT($B248, ""), "", SEED!$C248)</f>
        <v/>
      </c>
      <c r="D248" s="10" t="str">
        <f>IF(EXACT($B248, ""), "", SEED!$E248)</f>
        <v/>
      </c>
      <c r="E248" s="11" t="str">
        <f>IF(EXACT($B248, ""), "", SEED!$F248)</f>
        <v/>
      </c>
    </row>
    <row r="249" spans="2:5" x14ac:dyDescent="0.2">
      <c r="B249" s="33" t="str">
        <f>IF(EXACT(SEED!J249, ""), "", SEED!I249)</f>
        <v/>
      </c>
      <c r="C249" s="10" t="str">
        <f>IF(EXACT($B249, ""), "", SEED!$C249)</f>
        <v/>
      </c>
      <c r="D249" s="10" t="str">
        <f>IF(EXACT($B249, ""), "", SEED!$E249)</f>
        <v/>
      </c>
      <c r="E249" s="11" t="str">
        <f>IF(EXACT($B249, ""), "", SEED!$F249)</f>
        <v/>
      </c>
    </row>
    <row r="250" spans="2:5" x14ac:dyDescent="0.2">
      <c r="B250" s="33" t="str">
        <f>IF(EXACT(SEED!J250, ""), "", SEED!I250)</f>
        <v/>
      </c>
      <c r="C250" s="10" t="str">
        <f>IF(EXACT($B250, ""), "", SEED!$C250)</f>
        <v/>
      </c>
      <c r="D250" s="10" t="str">
        <f>IF(EXACT($B250, ""), "", SEED!$E250)</f>
        <v/>
      </c>
      <c r="E250" s="11" t="str">
        <f>IF(EXACT($B250, ""), "", SEED!$F250)</f>
        <v/>
      </c>
    </row>
    <row r="251" spans="2:5" x14ac:dyDescent="0.2">
      <c r="B251" s="33" t="str">
        <f>IF(EXACT(SEED!J251, ""), "", SEED!I251)</f>
        <v/>
      </c>
      <c r="C251" s="10" t="str">
        <f>IF(EXACT($B251, ""), "", SEED!$C251)</f>
        <v/>
      </c>
      <c r="D251" s="10" t="str">
        <f>IF(EXACT($B251, ""), "", SEED!$E251)</f>
        <v/>
      </c>
      <c r="E251" s="11" t="str">
        <f>IF(EXACT($B251, ""), "", SEED!$F251)</f>
        <v/>
      </c>
    </row>
    <row r="252" spans="2:5" x14ac:dyDescent="0.2">
      <c r="B252" s="33" t="str">
        <f>IF(EXACT(SEED!J252, ""), "", SEED!I252)</f>
        <v/>
      </c>
      <c r="C252" s="10" t="str">
        <f>IF(EXACT($B252, ""), "", SEED!$C252)</f>
        <v/>
      </c>
      <c r="D252" s="10" t="str">
        <f>IF(EXACT($B252, ""), "", SEED!$E252)</f>
        <v/>
      </c>
      <c r="E252" s="11" t="str">
        <f>IF(EXACT($B252, ""), "", SEED!$F252)</f>
        <v/>
      </c>
    </row>
    <row r="253" spans="2:5" x14ac:dyDescent="0.2">
      <c r="B253" s="33" t="str">
        <f>IF(EXACT(SEED!J253, ""), "", SEED!I253)</f>
        <v/>
      </c>
      <c r="C253" s="10" t="str">
        <f>IF(EXACT($B253, ""), "", SEED!$C253)</f>
        <v/>
      </c>
      <c r="D253" s="10" t="str">
        <f>IF(EXACT($B253, ""), "", SEED!$E253)</f>
        <v/>
      </c>
      <c r="E253" s="11" t="str">
        <f>IF(EXACT($B253, ""), "", SEED!$F253)</f>
        <v/>
      </c>
    </row>
    <row r="254" spans="2:5" x14ac:dyDescent="0.2">
      <c r="B254" s="33" t="str">
        <f>IF(EXACT(SEED!J254, ""), "", SEED!I254)</f>
        <v/>
      </c>
      <c r="C254" s="10" t="str">
        <f>IF(EXACT($B254, ""), "", SEED!$C254)</f>
        <v/>
      </c>
      <c r="D254" s="10" t="str">
        <f>IF(EXACT($B254, ""), "", SEED!$E254)</f>
        <v/>
      </c>
      <c r="E254" s="11" t="str">
        <f>IF(EXACT($B254, ""), "", SEED!$F254)</f>
        <v/>
      </c>
    </row>
    <row r="255" spans="2:5" x14ac:dyDescent="0.2">
      <c r="B255" s="33" t="str">
        <f>IF(EXACT(SEED!J255, ""), "", SEED!I255)</f>
        <v/>
      </c>
      <c r="C255" s="10" t="str">
        <f>IF(EXACT($B255, ""), "", SEED!$C255)</f>
        <v/>
      </c>
      <c r="D255" s="10" t="str">
        <f>IF(EXACT($B255, ""), "", SEED!$E255)</f>
        <v/>
      </c>
      <c r="E255" s="11" t="str">
        <f>IF(EXACT($B255, ""), "", SEED!$F255)</f>
        <v/>
      </c>
    </row>
    <row r="256" spans="2:5" x14ac:dyDescent="0.2">
      <c r="B256" s="33" t="str">
        <f>IF(EXACT(SEED!J256, ""), "", SEED!I256)</f>
        <v/>
      </c>
      <c r="C256" s="10" t="str">
        <f>IF(EXACT($B256, ""), "", SEED!$C256)</f>
        <v/>
      </c>
      <c r="D256" s="10" t="str">
        <f>IF(EXACT($B256, ""), "", SEED!$E256)</f>
        <v/>
      </c>
      <c r="E256" s="11" t="str">
        <f>IF(EXACT($B256, ""), "", SEED!$F256)</f>
        <v/>
      </c>
    </row>
    <row r="257" spans="2:5" x14ac:dyDescent="0.2">
      <c r="B257" s="33" t="str">
        <f>IF(EXACT(SEED!J257, ""), "", SEED!I257)</f>
        <v/>
      </c>
      <c r="C257" s="10" t="str">
        <f>IF(EXACT($B257, ""), "", SEED!$C257)</f>
        <v/>
      </c>
      <c r="D257" s="10" t="str">
        <f>IF(EXACT($B257, ""), "", SEED!$E257)</f>
        <v/>
      </c>
      <c r="E257" s="11" t="str">
        <f>IF(EXACT($B257, ""), "", SEED!$F257)</f>
        <v/>
      </c>
    </row>
    <row r="258" spans="2:5" x14ac:dyDescent="0.2">
      <c r="B258" s="33" t="str">
        <f>IF(EXACT(SEED!J258, ""), "", SEED!I258)</f>
        <v/>
      </c>
      <c r="C258" s="10" t="str">
        <f>IF(EXACT($B258, ""), "", SEED!$C258)</f>
        <v/>
      </c>
      <c r="D258" s="10" t="str">
        <f>IF(EXACT($B258, ""), "", SEED!$E258)</f>
        <v/>
      </c>
      <c r="E258" s="11" t="str">
        <f>IF(EXACT($B258, ""), "", SEED!$F258)</f>
        <v/>
      </c>
    </row>
    <row r="259" spans="2:5" x14ac:dyDescent="0.2">
      <c r="B259" s="33" t="str">
        <f>IF(EXACT(SEED!J259, ""), "", SEED!I259)</f>
        <v/>
      </c>
      <c r="C259" s="10" t="str">
        <f>IF(EXACT($B259, ""), "", SEED!$C259)</f>
        <v/>
      </c>
      <c r="D259" s="10" t="str">
        <f>IF(EXACT($B259, ""), "", SEED!$E259)</f>
        <v/>
      </c>
      <c r="E259" s="11" t="str">
        <f>IF(EXACT($B259, ""), "", SEED!$F259)</f>
        <v/>
      </c>
    </row>
    <row r="260" spans="2:5" x14ac:dyDescent="0.2">
      <c r="B260" s="33" t="str">
        <f>IF(EXACT(SEED!J260, ""), "", SEED!I260)</f>
        <v/>
      </c>
      <c r="C260" s="10" t="str">
        <f>IF(EXACT($B260, ""), "", SEED!$C260)</f>
        <v/>
      </c>
      <c r="D260" s="10" t="str">
        <f>IF(EXACT($B260, ""), "", SEED!$E260)</f>
        <v/>
      </c>
      <c r="E260" s="11" t="str">
        <f>IF(EXACT($B260, ""), "", SEED!$F260)</f>
        <v/>
      </c>
    </row>
    <row r="261" spans="2:5" x14ac:dyDescent="0.2">
      <c r="B261" s="33" t="str">
        <f>IF(EXACT(SEED!J261, ""), "", SEED!I261)</f>
        <v/>
      </c>
      <c r="C261" s="10" t="str">
        <f>IF(EXACT($B261, ""), "", SEED!$C261)</f>
        <v/>
      </c>
      <c r="D261" s="10" t="str">
        <f>IF(EXACT($B261, ""), "", SEED!$E261)</f>
        <v/>
      </c>
      <c r="E261" s="11" t="str">
        <f>IF(EXACT($B261, ""), "", SEED!$F261)</f>
        <v/>
      </c>
    </row>
    <row r="262" spans="2:5" x14ac:dyDescent="0.2">
      <c r="B262" s="33" t="str">
        <f>IF(EXACT(SEED!J262, ""), "", SEED!I262)</f>
        <v/>
      </c>
      <c r="C262" s="10" t="str">
        <f>IF(EXACT($B262, ""), "", SEED!$C262)</f>
        <v/>
      </c>
      <c r="D262" s="10" t="str">
        <f>IF(EXACT($B262, ""), "", SEED!$E262)</f>
        <v/>
      </c>
      <c r="E262" s="11" t="str">
        <f>IF(EXACT($B262, ""), "", SEED!$F262)</f>
        <v/>
      </c>
    </row>
    <row r="263" spans="2:5" x14ac:dyDescent="0.2">
      <c r="B263" s="33" t="str">
        <f>IF(EXACT(SEED!J263, ""), "", SEED!I263)</f>
        <v/>
      </c>
      <c r="C263" s="10" t="str">
        <f>IF(EXACT($B263, ""), "", SEED!$C263)</f>
        <v/>
      </c>
      <c r="D263" s="10" t="str">
        <f>IF(EXACT($B263, ""), "", SEED!$E263)</f>
        <v/>
      </c>
      <c r="E263" s="11" t="str">
        <f>IF(EXACT($B263, ""), "", SEED!$F263)</f>
        <v/>
      </c>
    </row>
    <row r="264" spans="2:5" x14ac:dyDescent="0.2">
      <c r="B264" s="33" t="str">
        <f>IF(EXACT(SEED!J264, ""), "", SEED!I264)</f>
        <v/>
      </c>
      <c r="C264" s="10" t="str">
        <f>IF(EXACT($B264, ""), "", SEED!$C264)</f>
        <v/>
      </c>
      <c r="D264" s="10" t="str">
        <f>IF(EXACT($B264, ""), "", SEED!$E264)</f>
        <v/>
      </c>
      <c r="E264" s="11" t="str">
        <f>IF(EXACT($B264, ""), "", SEED!$F264)</f>
        <v/>
      </c>
    </row>
    <row r="265" spans="2:5" x14ac:dyDescent="0.2">
      <c r="B265" s="33" t="str">
        <f>IF(EXACT(SEED!J265, ""), "", SEED!I265)</f>
        <v/>
      </c>
      <c r="C265" s="10" t="str">
        <f>IF(EXACT($B265, ""), "", SEED!$C265)</f>
        <v/>
      </c>
      <c r="D265" s="10" t="str">
        <f>IF(EXACT($B265, ""), "", SEED!$E265)</f>
        <v/>
      </c>
      <c r="E265" s="11" t="str">
        <f>IF(EXACT($B265, ""), "", SEED!$F265)</f>
        <v/>
      </c>
    </row>
    <row r="266" spans="2:5" x14ac:dyDescent="0.2">
      <c r="B266" s="33" t="str">
        <f>IF(EXACT(SEED!J266, ""), "", SEED!I266)</f>
        <v/>
      </c>
      <c r="C266" s="10" t="str">
        <f>IF(EXACT($B266, ""), "", SEED!$C266)</f>
        <v/>
      </c>
      <c r="D266" s="10" t="str">
        <f>IF(EXACT($B266, ""), "", SEED!$E266)</f>
        <v/>
      </c>
      <c r="E266" s="11" t="str">
        <f>IF(EXACT($B266, ""), "", SEED!$F266)</f>
        <v/>
      </c>
    </row>
    <row r="267" spans="2:5" x14ac:dyDescent="0.2">
      <c r="B267" s="33" t="str">
        <f>IF(EXACT(SEED!J267, ""), "", SEED!I267)</f>
        <v/>
      </c>
      <c r="C267" s="10" t="str">
        <f>IF(EXACT($B267, ""), "", SEED!$C267)</f>
        <v/>
      </c>
      <c r="D267" s="10" t="str">
        <f>IF(EXACT($B267, ""), "", SEED!$E267)</f>
        <v/>
      </c>
      <c r="E267" s="11" t="str">
        <f>IF(EXACT($B267, ""), "", SEED!$F267)</f>
        <v/>
      </c>
    </row>
    <row r="268" spans="2:5" x14ac:dyDescent="0.2">
      <c r="B268" s="33" t="str">
        <f>IF(EXACT(SEED!J268, ""), "", SEED!I268)</f>
        <v/>
      </c>
      <c r="C268" s="10" t="str">
        <f>IF(EXACT($B268, ""), "", SEED!$C268)</f>
        <v/>
      </c>
      <c r="D268" s="10" t="str">
        <f>IF(EXACT($B268, ""), "", SEED!$E268)</f>
        <v/>
      </c>
      <c r="E268" s="11" t="str">
        <f>IF(EXACT($B268, ""), "", SEED!$F268)</f>
        <v/>
      </c>
    </row>
    <row r="269" spans="2:5" x14ac:dyDescent="0.2">
      <c r="B269" s="33" t="str">
        <f>IF(EXACT(SEED!J269, ""), "", SEED!I269)</f>
        <v/>
      </c>
      <c r="C269" s="10" t="str">
        <f>IF(EXACT($B269, ""), "", SEED!$C269)</f>
        <v/>
      </c>
      <c r="D269" s="10" t="str">
        <f>IF(EXACT($B269, ""), "", SEED!$E269)</f>
        <v/>
      </c>
      <c r="E269" s="11" t="str">
        <f>IF(EXACT($B269, ""), "", SEED!$F269)</f>
        <v/>
      </c>
    </row>
    <row r="270" spans="2:5" x14ac:dyDescent="0.2">
      <c r="B270" s="33" t="str">
        <f>IF(EXACT(SEED!J270, ""), "", SEED!I270)</f>
        <v/>
      </c>
      <c r="C270" s="10" t="str">
        <f>IF(EXACT($B270, ""), "", SEED!$C270)</f>
        <v/>
      </c>
      <c r="D270" s="10" t="str">
        <f>IF(EXACT($B270, ""), "", SEED!$E270)</f>
        <v/>
      </c>
      <c r="E270" s="11" t="str">
        <f>IF(EXACT($B270, ""), "", SEED!$F270)</f>
        <v/>
      </c>
    </row>
    <row r="271" spans="2:5" x14ac:dyDescent="0.2">
      <c r="B271" s="33" t="str">
        <f>IF(EXACT(SEED!J271, ""), "", SEED!I271)</f>
        <v/>
      </c>
      <c r="C271" s="10" t="str">
        <f>IF(EXACT($B271, ""), "", SEED!$C271)</f>
        <v/>
      </c>
      <c r="D271" s="10" t="str">
        <f>IF(EXACT($B271, ""), "", SEED!$E271)</f>
        <v/>
      </c>
      <c r="E271" s="11" t="str">
        <f>IF(EXACT($B271, ""), "", SEED!$F271)</f>
        <v/>
      </c>
    </row>
    <row r="272" spans="2:5" x14ac:dyDescent="0.2">
      <c r="B272" s="33" t="str">
        <f>IF(EXACT(SEED!J272, ""), "", SEED!I272)</f>
        <v/>
      </c>
      <c r="C272" s="10" t="str">
        <f>IF(EXACT($B272, ""), "", SEED!$C272)</f>
        <v/>
      </c>
      <c r="D272" s="10" t="str">
        <f>IF(EXACT($B272, ""), "", SEED!$E272)</f>
        <v/>
      </c>
      <c r="E272" s="11" t="str">
        <f>IF(EXACT($B272, ""), "", SEED!$F272)</f>
        <v/>
      </c>
    </row>
    <row r="273" spans="2:5" x14ac:dyDescent="0.2">
      <c r="B273" s="33" t="str">
        <f>IF(EXACT(SEED!J273, ""), "", SEED!I273)</f>
        <v/>
      </c>
      <c r="C273" s="10" t="str">
        <f>IF(EXACT($B273, ""), "", SEED!$C273)</f>
        <v/>
      </c>
      <c r="D273" s="10" t="str">
        <f>IF(EXACT($B273, ""), "", SEED!$E273)</f>
        <v/>
      </c>
      <c r="E273" s="11" t="str">
        <f>IF(EXACT($B273, ""), "", SEED!$F273)</f>
        <v/>
      </c>
    </row>
    <row r="274" spans="2:5" x14ac:dyDescent="0.2">
      <c r="B274" s="33" t="str">
        <f>IF(EXACT(SEED!J274, ""), "", SEED!I274)</f>
        <v/>
      </c>
      <c r="C274" s="10" t="str">
        <f>IF(EXACT($B274, ""), "", SEED!$C274)</f>
        <v/>
      </c>
      <c r="D274" s="10" t="str">
        <f>IF(EXACT($B274, ""), "", SEED!$E274)</f>
        <v/>
      </c>
      <c r="E274" s="11" t="str">
        <f>IF(EXACT($B274, ""), "", SEED!$F274)</f>
        <v/>
      </c>
    </row>
    <row r="275" spans="2:5" x14ac:dyDescent="0.2">
      <c r="B275" s="33" t="str">
        <f>IF(EXACT(SEED!J275, ""), "", SEED!I275)</f>
        <v/>
      </c>
      <c r="C275" s="10" t="str">
        <f>IF(EXACT($B275, ""), "", SEED!$C275)</f>
        <v/>
      </c>
      <c r="D275" s="10" t="str">
        <f>IF(EXACT($B275, ""), "", SEED!$E275)</f>
        <v/>
      </c>
      <c r="E275" s="11" t="str">
        <f>IF(EXACT($B275, ""), "", SEED!$F275)</f>
        <v/>
      </c>
    </row>
    <row r="276" spans="2:5" x14ac:dyDescent="0.2">
      <c r="B276" s="33" t="str">
        <f>IF(EXACT(SEED!J276, ""), "", SEED!I276)</f>
        <v/>
      </c>
      <c r="C276" s="10" t="str">
        <f>IF(EXACT($B276, ""), "", SEED!$C276)</f>
        <v/>
      </c>
      <c r="D276" s="10" t="str">
        <f>IF(EXACT($B276, ""), "", SEED!$E276)</f>
        <v/>
      </c>
      <c r="E276" s="11" t="str">
        <f>IF(EXACT($B276, ""), "", SEED!$F276)</f>
        <v/>
      </c>
    </row>
    <row r="277" spans="2:5" x14ac:dyDescent="0.2">
      <c r="B277" s="33" t="str">
        <f>IF(EXACT(SEED!J277, ""), "", SEED!I277)</f>
        <v/>
      </c>
      <c r="C277" s="10" t="str">
        <f>IF(EXACT($B277, ""), "", SEED!$C277)</f>
        <v/>
      </c>
      <c r="D277" s="10" t="str">
        <f>IF(EXACT($B277, ""), "", SEED!$E277)</f>
        <v/>
      </c>
      <c r="E277" s="11" t="str">
        <f>IF(EXACT($B277, ""), "", SEED!$F277)</f>
        <v/>
      </c>
    </row>
    <row r="278" spans="2:5" x14ac:dyDescent="0.2">
      <c r="B278" s="33" t="str">
        <f>IF(EXACT(SEED!J278, ""), "", SEED!I278)</f>
        <v/>
      </c>
      <c r="C278" s="10" t="str">
        <f>IF(EXACT($B278, ""), "", SEED!$C278)</f>
        <v/>
      </c>
      <c r="D278" s="10" t="str">
        <f>IF(EXACT($B278, ""), "", SEED!$E278)</f>
        <v/>
      </c>
      <c r="E278" s="11" t="str">
        <f>IF(EXACT($B278, ""), "", SEED!$F278)</f>
        <v/>
      </c>
    </row>
    <row r="279" spans="2:5" x14ac:dyDescent="0.2">
      <c r="B279" s="33" t="str">
        <f>IF(EXACT(SEED!J279, ""), "", SEED!I279)</f>
        <v/>
      </c>
      <c r="C279" s="10" t="str">
        <f>IF(EXACT($B279, ""), "", SEED!$C279)</f>
        <v/>
      </c>
      <c r="D279" s="10" t="str">
        <f>IF(EXACT($B279, ""), "", SEED!$E279)</f>
        <v/>
      </c>
      <c r="E279" s="11" t="str">
        <f>IF(EXACT($B279, ""), "", SEED!$F279)</f>
        <v/>
      </c>
    </row>
    <row r="280" spans="2:5" x14ac:dyDescent="0.2">
      <c r="B280" s="33" t="str">
        <f>IF(EXACT(SEED!J280, ""), "", SEED!I280)</f>
        <v/>
      </c>
      <c r="C280" s="10" t="str">
        <f>IF(EXACT($B280, ""), "", SEED!$C280)</f>
        <v/>
      </c>
      <c r="D280" s="10" t="str">
        <f>IF(EXACT($B280, ""), "", SEED!$E280)</f>
        <v/>
      </c>
      <c r="E280" s="11" t="str">
        <f>IF(EXACT($B280, ""), "", SEED!$F280)</f>
        <v/>
      </c>
    </row>
    <row r="281" spans="2:5" x14ac:dyDescent="0.2">
      <c r="B281" s="33" t="str">
        <f>IF(EXACT(SEED!J281, ""), "", SEED!I281)</f>
        <v/>
      </c>
      <c r="C281" s="10" t="str">
        <f>IF(EXACT($B281, ""), "", SEED!$C281)</f>
        <v/>
      </c>
      <c r="D281" s="10" t="str">
        <f>IF(EXACT($B281, ""), "", SEED!$E281)</f>
        <v/>
      </c>
      <c r="E281" s="11" t="str">
        <f>IF(EXACT($B281, ""), "", SEED!$F281)</f>
        <v/>
      </c>
    </row>
    <row r="282" spans="2:5" x14ac:dyDescent="0.2">
      <c r="B282" s="33" t="str">
        <f>IF(EXACT(SEED!J282, ""), "", SEED!I282)</f>
        <v/>
      </c>
      <c r="C282" s="10" t="str">
        <f>IF(EXACT($B282, ""), "", SEED!$C282)</f>
        <v/>
      </c>
      <c r="D282" s="10" t="str">
        <f>IF(EXACT($B282, ""), "", SEED!$E282)</f>
        <v/>
      </c>
      <c r="E282" s="11" t="str">
        <f>IF(EXACT($B282, ""), "", SEED!$F282)</f>
        <v/>
      </c>
    </row>
    <row r="283" spans="2:5" x14ac:dyDescent="0.2">
      <c r="B283" s="33" t="str">
        <f>IF(EXACT(SEED!J283, ""), "", SEED!I283)</f>
        <v/>
      </c>
      <c r="C283" s="10" t="str">
        <f>IF(EXACT($B283, ""), "", SEED!$C283)</f>
        <v/>
      </c>
      <c r="D283" s="10" t="str">
        <f>IF(EXACT($B283, ""), "", SEED!$E283)</f>
        <v/>
      </c>
      <c r="E283" s="11" t="str">
        <f>IF(EXACT($B283, ""), "", SEED!$F283)</f>
        <v/>
      </c>
    </row>
    <row r="284" spans="2:5" x14ac:dyDescent="0.2">
      <c r="B284" s="33" t="str">
        <f>IF(EXACT(SEED!J284, ""), "", SEED!I284)</f>
        <v/>
      </c>
      <c r="C284" s="10" t="str">
        <f>IF(EXACT($B284, ""), "", SEED!$C284)</f>
        <v/>
      </c>
      <c r="D284" s="10" t="str">
        <f>IF(EXACT($B284, ""), "", SEED!$E284)</f>
        <v/>
      </c>
      <c r="E284" s="11" t="str">
        <f>IF(EXACT($B284, ""), "", SEED!$F284)</f>
        <v/>
      </c>
    </row>
    <row r="285" spans="2:5" x14ac:dyDescent="0.2">
      <c r="B285" s="33" t="str">
        <f>IF(EXACT(SEED!J285, ""), "", SEED!I285)</f>
        <v/>
      </c>
      <c r="C285" s="10" t="str">
        <f>IF(EXACT($B285, ""), "", SEED!$C285)</f>
        <v/>
      </c>
      <c r="D285" s="10" t="str">
        <f>IF(EXACT($B285, ""), "", SEED!$E285)</f>
        <v/>
      </c>
      <c r="E285" s="11" t="str">
        <f>IF(EXACT($B285, ""), "", SEED!$F285)</f>
        <v/>
      </c>
    </row>
    <row r="286" spans="2:5" x14ac:dyDescent="0.2">
      <c r="B286" s="33" t="str">
        <f>IF(EXACT(SEED!J286, ""), "", SEED!I286)</f>
        <v/>
      </c>
      <c r="C286" s="10" t="str">
        <f>IF(EXACT($B286, ""), "", SEED!$C286)</f>
        <v/>
      </c>
      <c r="D286" s="10" t="str">
        <f>IF(EXACT($B286, ""), "", SEED!$E286)</f>
        <v/>
      </c>
      <c r="E286" s="11" t="str">
        <f>IF(EXACT($B286, ""), "", SEED!$F286)</f>
        <v/>
      </c>
    </row>
    <row r="287" spans="2:5" x14ac:dyDescent="0.2">
      <c r="B287" s="33" t="str">
        <f>IF(EXACT(SEED!J287, ""), "", SEED!I287)</f>
        <v/>
      </c>
      <c r="C287" s="10" t="str">
        <f>IF(EXACT($B287, ""), "", SEED!$C287)</f>
        <v/>
      </c>
      <c r="D287" s="10" t="str">
        <f>IF(EXACT($B287, ""), "", SEED!$E287)</f>
        <v/>
      </c>
      <c r="E287" s="11" t="str">
        <f>IF(EXACT($B287, ""), "", SEED!$F287)</f>
        <v/>
      </c>
    </row>
    <row r="288" spans="2:5" x14ac:dyDescent="0.2">
      <c r="B288" s="33" t="str">
        <f>IF(EXACT(SEED!J288, ""), "", SEED!I288)</f>
        <v/>
      </c>
      <c r="C288" s="10" t="str">
        <f>IF(EXACT($B288, ""), "", SEED!$C288)</f>
        <v/>
      </c>
      <c r="D288" s="10" t="str">
        <f>IF(EXACT($B288, ""), "", SEED!$E288)</f>
        <v/>
      </c>
      <c r="E288" s="11" t="str">
        <f>IF(EXACT($B288, ""), "", SEED!$F288)</f>
        <v/>
      </c>
    </row>
    <row r="289" spans="2:5" x14ac:dyDescent="0.2">
      <c r="B289" s="33" t="str">
        <f>IF(EXACT(SEED!J289, ""), "", SEED!I289)</f>
        <v/>
      </c>
      <c r="C289" s="10" t="str">
        <f>IF(EXACT($B289, ""), "", SEED!$C289)</f>
        <v/>
      </c>
      <c r="D289" s="10" t="str">
        <f>IF(EXACT($B289, ""), "", SEED!$E289)</f>
        <v/>
      </c>
      <c r="E289" s="11" t="str">
        <f>IF(EXACT($B289, ""), "", SEED!$F289)</f>
        <v/>
      </c>
    </row>
    <row r="290" spans="2:5" x14ac:dyDescent="0.2">
      <c r="B290" s="33" t="str">
        <f>IF(EXACT(SEED!J290, ""), "", SEED!I290)</f>
        <v/>
      </c>
      <c r="C290" s="10" t="str">
        <f>IF(EXACT($B290, ""), "", SEED!$C290)</f>
        <v/>
      </c>
      <c r="D290" s="10" t="str">
        <f>IF(EXACT($B290, ""), "", SEED!$E290)</f>
        <v/>
      </c>
      <c r="E290" s="11" t="str">
        <f>IF(EXACT($B290, ""), "", SEED!$F290)</f>
        <v/>
      </c>
    </row>
    <row r="291" spans="2:5" x14ac:dyDescent="0.2">
      <c r="B291" s="33" t="str">
        <f>IF(EXACT(SEED!J291, ""), "", SEED!I291)</f>
        <v/>
      </c>
      <c r="C291" s="10" t="str">
        <f>IF(EXACT($B291, ""), "", SEED!$C291)</f>
        <v/>
      </c>
      <c r="D291" s="10" t="str">
        <f>IF(EXACT($B291, ""), "", SEED!$E291)</f>
        <v/>
      </c>
      <c r="E291" s="11" t="str">
        <f>IF(EXACT($B291, ""), "", SEED!$F291)</f>
        <v/>
      </c>
    </row>
    <row r="292" spans="2:5" x14ac:dyDescent="0.2">
      <c r="B292" s="33" t="str">
        <f>IF(EXACT(SEED!J292, ""), "", SEED!I292)</f>
        <v/>
      </c>
      <c r="C292" s="10" t="str">
        <f>IF(EXACT($B292, ""), "", SEED!$C292)</f>
        <v/>
      </c>
      <c r="D292" s="10" t="str">
        <f>IF(EXACT($B292, ""), "", SEED!$E292)</f>
        <v/>
      </c>
      <c r="E292" s="11" t="str">
        <f>IF(EXACT($B292, ""), "", SEED!$F292)</f>
        <v/>
      </c>
    </row>
    <row r="293" spans="2:5" x14ac:dyDescent="0.2">
      <c r="B293" s="33" t="str">
        <f>IF(EXACT(SEED!J293, ""), "", SEED!I293)</f>
        <v/>
      </c>
      <c r="C293" s="10" t="str">
        <f>IF(EXACT($B293, ""), "", SEED!$C293)</f>
        <v/>
      </c>
      <c r="D293" s="10" t="str">
        <f>IF(EXACT($B293, ""), "", SEED!$E293)</f>
        <v/>
      </c>
      <c r="E293" s="11" t="str">
        <f>IF(EXACT($B293, ""), "", SEED!$F293)</f>
        <v/>
      </c>
    </row>
    <row r="294" spans="2:5" x14ac:dyDescent="0.2">
      <c r="B294" s="33" t="str">
        <f>IF(EXACT(SEED!J294, ""), "", SEED!I294)</f>
        <v/>
      </c>
      <c r="C294" s="10" t="str">
        <f>IF(EXACT($B294, ""), "", SEED!$C294)</f>
        <v/>
      </c>
      <c r="D294" s="10" t="str">
        <f>IF(EXACT($B294, ""), "", SEED!$E294)</f>
        <v/>
      </c>
      <c r="E294" s="11" t="str">
        <f>IF(EXACT($B294, ""), "", SEED!$F294)</f>
        <v/>
      </c>
    </row>
    <row r="295" spans="2:5" x14ac:dyDescent="0.2">
      <c r="B295" s="33" t="str">
        <f>IF(EXACT(SEED!J295, ""), "", SEED!I295)</f>
        <v/>
      </c>
      <c r="C295" s="10" t="str">
        <f>IF(EXACT($B295, ""), "", SEED!$C295)</f>
        <v/>
      </c>
      <c r="D295" s="10" t="str">
        <f>IF(EXACT($B295, ""), "", SEED!$E295)</f>
        <v/>
      </c>
      <c r="E295" s="11" t="str">
        <f>IF(EXACT($B295, ""), "", SEED!$F295)</f>
        <v/>
      </c>
    </row>
    <row r="296" spans="2:5" x14ac:dyDescent="0.2">
      <c r="B296" s="33" t="str">
        <f>IF(EXACT(SEED!J296, ""), "", SEED!I296)</f>
        <v/>
      </c>
      <c r="C296" s="10" t="str">
        <f>IF(EXACT($B296, ""), "", SEED!$C296)</f>
        <v/>
      </c>
      <c r="D296" s="10" t="str">
        <f>IF(EXACT($B296, ""), "", SEED!$E296)</f>
        <v/>
      </c>
      <c r="E296" s="11" t="str">
        <f>IF(EXACT($B296, ""), "", SEED!$F296)</f>
        <v/>
      </c>
    </row>
    <row r="297" spans="2:5" x14ac:dyDescent="0.2">
      <c r="B297" s="33" t="str">
        <f>IF(EXACT(SEED!J297, ""), "", SEED!I297)</f>
        <v/>
      </c>
      <c r="C297" s="10" t="str">
        <f>IF(EXACT($B297, ""), "", SEED!$C297)</f>
        <v/>
      </c>
      <c r="D297" s="10" t="str">
        <f>IF(EXACT($B297, ""), "", SEED!$E297)</f>
        <v/>
      </c>
      <c r="E297" s="11" t="str">
        <f>IF(EXACT($B297, ""), "", SEED!$F297)</f>
        <v/>
      </c>
    </row>
    <row r="298" spans="2:5" x14ac:dyDescent="0.2">
      <c r="B298" s="33" t="str">
        <f>IF(EXACT(SEED!J298, ""), "", SEED!I298)</f>
        <v/>
      </c>
      <c r="C298" s="10" t="str">
        <f>IF(EXACT($B298, ""), "", SEED!$C298)</f>
        <v/>
      </c>
      <c r="D298" s="10" t="str">
        <f>IF(EXACT($B298, ""), "", SEED!$E298)</f>
        <v/>
      </c>
      <c r="E298" s="11" t="str">
        <f>IF(EXACT($B298, ""), "", SEED!$F298)</f>
        <v/>
      </c>
    </row>
    <row r="299" spans="2:5" x14ac:dyDescent="0.2">
      <c r="B299" s="33" t="str">
        <f>IF(EXACT(SEED!J299, ""), "", SEED!I299)</f>
        <v/>
      </c>
      <c r="C299" s="10" t="str">
        <f>IF(EXACT($B299, ""), "", SEED!$C299)</f>
        <v/>
      </c>
      <c r="D299" s="10" t="str">
        <f>IF(EXACT($B299, ""), "", SEED!$E299)</f>
        <v/>
      </c>
      <c r="E299" s="11" t="str">
        <f>IF(EXACT($B299, ""), "", SEED!$F299)</f>
        <v/>
      </c>
    </row>
    <row r="300" spans="2:5" x14ac:dyDescent="0.2">
      <c r="B300" s="33" t="str">
        <f>IF(EXACT(SEED!J300, ""), "", SEED!I300)</f>
        <v/>
      </c>
      <c r="C300" s="10" t="str">
        <f>IF(EXACT($B300, ""), "", SEED!$C300)</f>
        <v/>
      </c>
      <c r="D300" s="10" t="str">
        <f>IF(EXACT($B300, ""), "", SEED!$E300)</f>
        <v/>
      </c>
      <c r="E300" s="11" t="str">
        <f>IF(EXACT($B300, ""), "", SEED!$F300)</f>
        <v/>
      </c>
    </row>
    <row r="301" spans="2:5" x14ac:dyDescent="0.2">
      <c r="B301" s="33" t="str">
        <f>IF(EXACT(SEED!J301, ""), "", SEED!I301)</f>
        <v/>
      </c>
      <c r="C301" s="10" t="str">
        <f>IF(EXACT($B301, ""), "", SEED!$C301)</f>
        <v/>
      </c>
      <c r="D301" s="10" t="str">
        <f>IF(EXACT($B301, ""), "", SEED!$E301)</f>
        <v/>
      </c>
      <c r="E301" s="11" t="str">
        <f>IF(EXACT($B301, ""), "", SEED!$F301)</f>
        <v/>
      </c>
    </row>
    <row r="302" spans="2:5" x14ac:dyDescent="0.2">
      <c r="B302" s="33" t="str">
        <f>IF(EXACT(SEED!J302, ""), "", SEED!I302)</f>
        <v/>
      </c>
      <c r="C302" s="10" t="str">
        <f>IF(EXACT($B302, ""), "", SEED!$C302)</f>
        <v/>
      </c>
      <c r="D302" s="10" t="str">
        <f>IF(EXACT($B302, ""), "", SEED!$E302)</f>
        <v/>
      </c>
      <c r="E302" s="11" t="str">
        <f>IF(EXACT($B302, ""), "", SEED!$F302)</f>
        <v/>
      </c>
    </row>
    <row r="303" spans="2:5" x14ac:dyDescent="0.2">
      <c r="B303" s="33" t="str">
        <f>IF(EXACT(SEED!J303, ""), "", SEED!I303)</f>
        <v/>
      </c>
      <c r="C303" s="10" t="str">
        <f>IF(EXACT($B303, ""), "", SEED!$C303)</f>
        <v/>
      </c>
      <c r="D303" s="10" t="str">
        <f>IF(EXACT($B303, ""), "", SEED!$E303)</f>
        <v/>
      </c>
      <c r="E303" s="11" t="str">
        <f>IF(EXACT($B303, ""), "", SEED!$F303)</f>
        <v/>
      </c>
    </row>
    <row r="304" spans="2:5" x14ac:dyDescent="0.2">
      <c r="B304" s="33" t="str">
        <f>IF(EXACT(SEED!J304, ""), "", SEED!I304)</f>
        <v/>
      </c>
      <c r="C304" s="10" t="str">
        <f>IF(EXACT($B304, ""), "", SEED!$C304)</f>
        <v/>
      </c>
      <c r="D304" s="10" t="str">
        <f>IF(EXACT($B304, ""), "", SEED!$E304)</f>
        <v/>
      </c>
      <c r="E304" s="11" t="str">
        <f>IF(EXACT($B304, ""), "", SEED!$F304)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SEED</vt:lpstr>
      <vt:lpstr>DataLookUp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2026-01-08T10:15:09Z</dcterms:modified>
</cp:coreProperties>
</file>