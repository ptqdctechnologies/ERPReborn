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5985"/>
  </bookViews>
  <sheets>
    <sheet name="MAIN" sheetId="1" r:id="rId1"/>
    <sheet name="DataLookUp" sheetId="2" r:id="rId2"/>
  </sheets>
  <externalReferences>
    <externalReference r:id="rId3"/>
    <externalReference r:id="rId4"/>
  </externalReferences>
  <calcPr calcId="152511"/>
</workbook>
</file>

<file path=xl/calcChain.xml><?xml version="1.0" encoding="utf-8"?>
<calcChain xmlns="http://schemas.openxmlformats.org/spreadsheetml/2006/main">
  <c r="D621" i="1" l="1"/>
  <c r="E621" i="1" s="1"/>
  <c r="C621" i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5" i="1"/>
  <c r="C5" i="1" s="1"/>
  <c r="B6" i="1"/>
  <c r="C6" i="1" s="1"/>
  <c r="B7" i="1"/>
  <c r="C7" i="1" s="1"/>
  <c r="B8" i="1"/>
  <c r="C8" i="1" s="1"/>
  <c r="B9" i="1"/>
  <c r="C9" i="1" s="1"/>
  <c r="B4" i="1"/>
  <c r="C4" i="1" s="1"/>
  <c r="I621" i="1" l="1"/>
  <c r="D620" i="1"/>
  <c r="E620" i="1" s="1"/>
  <c r="D619" i="1"/>
  <c r="E619" i="1" s="1"/>
  <c r="D617" i="1" l="1"/>
  <c r="D618" i="1"/>
  <c r="D615" i="1"/>
  <c r="D613" i="1"/>
  <c r="D614" i="1"/>
  <c r="D612" i="1"/>
  <c r="D610" i="1"/>
  <c r="D608" i="1"/>
  <c r="D607" i="1"/>
  <c r="D605" i="1"/>
  <c r="D604" i="1"/>
  <c r="D601" i="1"/>
  <c r="D599" i="1"/>
  <c r="D596" i="1"/>
  <c r="D595" i="1"/>
  <c r="D591" i="1"/>
  <c r="D590" i="1"/>
  <c r="D584" i="1"/>
  <c r="D582" i="1"/>
  <c r="D578" i="1"/>
  <c r="D577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16" i="1"/>
  <c r="E17" i="1"/>
  <c r="E18" i="1"/>
  <c r="E19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9" i="1"/>
  <c r="E80" i="1"/>
  <c r="E81" i="1"/>
  <c r="E82" i="1"/>
  <c r="E83" i="1"/>
  <c r="E84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7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9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6" i="1"/>
  <c r="E237" i="1"/>
  <c r="E238" i="1"/>
  <c r="E239" i="1"/>
  <c r="E240" i="1"/>
  <c r="E241" i="1"/>
  <c r="E242" i="1"/>
  <c r="E243" i="1"/>
  <c r="E244" i="1"/>
  <c r="E245" i="1"/>
  <c r="E246" i="1"/>
  <c r="E248" i="1"/>
  <c r="E249" i="1"/>
  <c r="E250" i="1"/>
  <c r="E251" i="1"/>
  <c r="E252" i="1"/>
  <c r="E253" i="1"/>
  <c r="E254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7" i="1"/>
  <c r="E278" i="1"/>
  <c r="E279" i="1"/>
  <c r="E280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5" i="1"/>
  <c r="E386" i="1"/>
  <c r="E387" i="1"/>
  <c r="E388" i="1"/>
  <c r="E389" i="1"/>
  <c r="E390" i="1"/>
  <c r="E391" i="1"/>
  <c r="E392" i="1"/>
  <c r="E393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2" i="1"/>
  <c r="E433" i="1"/>
  <c r="E434" i="1"/>
  <c r="E435" i="1"/>
  <c r="E436" i="1"/>
  <c r="E437" i="1"/>
  <c r="E438" i="1"/>
  <c r="E439" i="1"/>
  <c r="E440" i="1"/>
  <c r="E441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1" i="1"/>
  <c r="E492" i="1"/>
  <c r="E493" i="1"/>
  <c r="E494" i="1"/>
  <c r="E495" i="1"/>
  <c r="E496" i="1"/>
  <c r="E497" i="1"/>
  <c r="E498" i="1"/>
  <c r="E499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7" i="1"/>
  <c r="E518" i="1"/>
  <c r="E519" i="1"/>
  <c r="E521" i="1"/>
  <c r="E522" i="1"/>
  <c r="E523" i="1"/>
  <c r="E524" i="1"/>
  <c r="E527" i="1"/>
  <c r="E528" i="1"/>
  <c r="E529" i="1"/>
  <c r="E532" i="1"/>
  <c r="E533" i="1"/>
  <c r="E534" i="1"/>
  <c r="E535" i="1"/>
  <c r="E536" i="1"/>
  <c r="E537" i="1"/>
  <c r="E538" i="1"/>
  <c r="E540" i="1"/>
  <c r="E541" i="1"/>
  <c r="E542" i="1"/>
  <c r="E543" i="1"/>
  <c r="E544" i="1"/>
  <c r="E546" i="1"/>
  <c r="E547" i="1"/>
  <c r="E549" i="1"/>
  <c r="E552" i="1"/>
  <c r="E553" i="1"/>
  <c r="E558" i="1"/>
  <c r="E559" i="1"/>
  <c r="E560" i="1"/>
  <c r="E561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14" i="1"/>
  <c r="E13" i="1"/>
  <c r="E12" i="1"/>
  <c r="E11" i="1"/>
  <c r="E10" i="1"/>
  <c r="E9" i="1"/>
  <c r="E8" i="1"/>
  <c r="E7" i="1"/>
  <c r="E6" i="1"/>
  <c r="E5" i="1"/>
  <c r="E4" i="1"/>
  <c r="I616" i="1" l="1"/>
  <c r="B616" i="2"/>
  <c r="C616" i="2"/>
  <c r="D616" i="2"/>
  <c r="E616" i="2"/>
  <c r="I593" i="1" l="1"/>
  <c r="I594" i="1"/>
  <c r="I595" i="1"/>
  <c r="I598" i="1"/>
  <c r="I599" i="1"/>
  <c r="I601" i="1"/>
  <c r="I603" i="1"/>
  <c r="I604" i="1"/>
  <c r="I607" i="1"/>
  <c r="I610" i="1"/>
  <c r="I622" i="1"/>
  <c r="B619" i="2" l="1"/>
  <c r="C619" i="2"/>
  <c r="D619" i="2"/>
  <c r="E619" i="2"/>
  <c r="C610" i="2"/>
  <c r="D610" i="2"/>
  <c r="E610" i="2"/>
  <c r="F614" i="2"/>
  <c r="C607" i="2"/>
  <c r="D607" i="2"/>
  <c r="E607" i="2"/>
  <c r="F611" i="2"/>
  <c r="C604" i="2"/>
  <c r="D604" i="2"/>
  <c r="E604" i="2"/>
  <c r="F608" i="2"/>
  <c r="B603" i="2"/>
  <c r="C603" i="2"/>
  <c r="D603" i="2"/>
  <c r="E603" i="2"/>
  <c r="F607" i="2"/>
  <c r="C601" i="2"/>
  <c r="D601" i="2"/>
  <c r="E601" i="2"/>
  <c r="F605" i="2"/>
  <c r="C599" i="2"/>
  <c r="D599" i="2"/>
  <c r="E599" i="2"/>
  <c r="F603" i="2"/>
  <c r="B598" i="2"/>
  <c r="C598" i="2"/>
  <c r="D598" i="2"/>
  <c r="E598" i="2"/>
  <c r="F602" i="2"/>
  <c r="C595" i="2"/>
  <c r="D595" i="2"/>
  <c r="E595" i="2"/>
  <c r="F599" i="2"/>
  <c r="B594" i="2"/>
  <c r="C594" i="2"/>
  <c r="D594" i="2"/>
  <c r="E594" i="2"/>
  <c r="F598" i="2"/>
  <c r="B593" i="2"/>
  <c r="C593" i="2"/>
  <c r="D593" i="2"/>
  <c r="E593" i="2"/>
  <c r="F597" i="2"/>
  <c r="D350" i="1" l="1"/>
  <c r="E350" i="1" s="1"/>
  <c r="I586" i="1"/>
  <c r="I587" i="1"/>
  <c r="I588" i="1"/>
  <c r="I589" i="1"/>
  <c r="I590" i="1"/>
  <c r="F594" i="2" l="1"/>
  <c r="C590" i="2"/>
  <c r="D590" i="2"/>
  <c r="E590" i="2"/>
  <c r="F593" i="2"/>
  <c r="C589" i="2"/>
  <c r="D589" i="2"/>
  <c r="E589" i="2"/>
  <c r="B589" i="2"/>
  <c r="C588" i="2"/>
  <c r="D588" i="2"/>
  <c r="E588" i="2"/>
  <c r="B588" i="2"/>
  <c r="C587" i="2"/>
  <c r="D587" i="2"/>
  <c r="E587" i="2"/>
  <c r="B587" i="2"/>
  <c r="C586" i="2"/>
  <c r="D586" i="2"/>
  <c r="E586" i="2"/>
  <c r="B586" i="2"/>
  <c r="D255" i="1"/>
  <c r="E255" i="1" s="1"/>
  <c r="D562" i="1"/>
  <c r="E562" i="1" s="1"/>
  <c r="F2" i="2"/>
  <c r="E2" i="2"/>
  <c r="D2" i="2"/>
  <c r="C2" i="2"/>
  <c r="D20" i="1" l="1"/>
  <c r="E20" i="1" s="1"/>
  <c r="I16" i="1"/>
  <c r="I17" i="1"/>
  <c r="I18" i="1"/>
  <c r="I19" i="1"/>
  <c r="I21" i="1"/>
  <c r="I22" i="1"/>
  <c r="I23" i="1"/>
  <c r="I24" i="1"/>
  <c r="I25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9" i="1"/>
  <c r="I80" i="1"/>
  <c r="I81" i="1"/>
  <c r="I82" i="1"/>
  <c r="I83" i="1"/>
  <c r="I84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7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9" i="1"/>
  <c r="I161" i="1"/>
  <c r="I162" i="1"/>
  <c r="I163" i="1"/>
  <c r="I164" i="1"/>
  <c r="I165" i="1"/>
  <c r="I166" i="1"/>
  <c r="I167" i="1"/>
  <c r="I168" i="1"/>
  <c r="I169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6" i="1"/>
  <c r="I237" i="1"/>
  <c r="I238" i="1"/>
  <c r="I239" i="1"/>
  <c r="I240" i="1"/>
  <c r="I241" i="1"/>
  <c r="I242" i="1"/>
  <c r="I243" i="1"/>
  <c r="I244" i="1"/>
  <c r="I245" i="1"/>
  <c r="I246" i="1"/>
  <c r="I248" i="1"/>
  <c r="I249" i="1"/>
  <c r="I250" i="1"/>
  <c r="I251" i="1"/>
  <c r="I252" i="1"/>
  <c r="I253" i="1"/>
  <c r="I254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5" i="1"/>
  <c r="I386" i="1"/>
  <c r="I387" i="1"/>
  <c r="I388" i="1"/>
  <c r="I389" i="1"/>
  <c r="I390" i="1"/>
  <c r="I391" i="1"/>
  <c r="I392" i="1"/>
  <c r="I393" i="1"/>
  <c r="I395" i="1"/>
  <c r="I396" i="1"/>
  <c r="I397" i="1"/>
  <c r="I398" i="1"/>
  <c r="I399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2" i="1"/>
  <c r="I433" i="1"/>
  <c r="I434" i="1"/>
  <c r="I435" i="1"/>
  <c r="I436" i="1"/>
  <c r="I437" i="1"/>
  <c r="I438" i="1"/>
  <c r="I439" i="1"/>
  <c r="I440" i="1"/>
  <c r="I441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1" i="1"/>
  <c r="I492" i="1"/>
  <c r="I493" i="1"/>
  <c r="I494" i="1"/>
  <c r="I495" i="1"/>
  <c r="I496" i="1"/>
  <c r="I497" i="1"/>
  <c r="I498" i="1"/>
  <c r="I499" i="1"/>
  <c r="I502" i="1"/>
  <c r="I503" i="1"/>
  <c r="I504" i="1"/>
  <c r="I505" i="1"/>
  <c r="I506" i="1"/>
  <c r="I507" i="1"/>
  <c r="I508" i="1"/>
  <c r="I509" i="1"/>
  <c r="I510" i="1"/>
  <c r="I511" i="1"/>
  <c r="I513" i="1"/>
  <c r="I514" i="1"/>
  <c r="I515" i="1"/>
  <c r="I517" i="1"/>
  <c r="I518" i="1"/>
  <c r="I519" i="1"/>
  <c r="I521" i="1"/>
  <c r="I522" i="1"/>
  <c r="I523" i="1"/>
  <c r="I524" i="1"/>
  <c r="I527" i="1"/>
  <c r="I528" i="1"/>
  <c r="I529" i="1"/>
  <c r="I532" i="1"/>
  <c r="I533" i="1"/>
  <c r="I534" i="1"/>
  <c r="I535" i="1"/>
  <c r="I536" i="1"/>
  <c r="I537" i="1"/>
  <c r="I538" i="1"/>
  <c r="I540" i="1"/>
  <c r="I541" i="1"/>
  <c r="I542" i="1"/>
  <c r="I543" i="1"/>
  <c r="I544" i="1"/>
  <c r="I546" i="1"/>
  <c r="I547" i="1"/>
  <c r="I549" i="1"/>
  <c r="I552" i="1"/>
  <c r="I553" i="1"/>
  <c r="I558" i="1"/>
  <c r="I559" i="1"/>
  <c r="I560" i="1"/>
  <c r="I561" i="1"/>
  <c r="I563" i="1"/>
  <c r="I564" i="1"/>
  <c r="I565" i="1"/>
  <c r="I566" i="1"/>
  <c r="I567" i="1"/>
  <c r="I569" i="1"/>
  <c r="I570" i="1"/>
  <c r="I571" i="1"/>
  <c r="I572" i="1"/>
  <c r="I573" i="1"/>
  <c r="I574" i="1"/>
  <c r="I575" i="1"/>
  <c r="I576" i="1"/>
  <c r="I577" i="1"/>
  <c r="I580" i="1"/>
  <c r="I581" i="1"/>
  <c r="I582" i="1"/>
  <c r="I584" i="1"/>
  <c r="I14" i="1"/>
  <c r="I13" i="1"/>
  <c r="I12" i="1"/>
  <c r="I11" i="1"/>
  <c r="I10" i="1"/>
  <c r="I9" i="1"/>
  <c r="I8" i="1"/>
  <c r="I7" i="1"/>
  <c r="I6" i="1"/>
  <c r="I5" i="1"/>
  <c r="I4" i="1"/>
  <c r="D170" i="1" l="1"/>
  <c r="E170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F4" i="2"/>
  <c r="E4" i="2"/>
  <c r="D4" i="2"/>
  <c r="C4" i="2"/>
  <c r="B4" i="2"/>
  <c r="F5" i="2"/>
  <c r="E5" i="2"/>
  <c r="D5" i="2"/>
  <c r="C5" i="2"/>
  <c r="B5" i="2"/>
  <c r="F6" i="2"/>
  <c r="E6" i="2"/>
  <c r="D6" i="2"/>
  <c r="C6" i="2"/>
  <c r="B6" i="2"/>
  <c r="F7" i="2"/>
  <c r="E7" i="2"/>
  <c r="D7" i="2"/>
  <c r="C7" i="2"/>
  <c r="B7" i="2"/>
  <c r="F8" i="2"/>
  <c r="E8" i="2"/>
  <c r="D8" i="2"/>
  <c r="C8" i="2"/>
  <c r="B8" i="2"/>
  <c r="F9" i="2"/>
  <c r="E9" i="2"/>
  <c r="D9" i="2"/>
  <c r="C9" i="2"/>
  <c r="B9" i="2"/>
  <c r="F10" i="2"/>
  <c r="E10" i="2"/>
  <c r="D10" i="2"/>
  <c r="C10" i="2"/>
  <c r="B10" i="2"/>
  <c r="F11" i="2"/>
  <c r="E11" i="2"/>
  <c r="D11" i="2"/>
  <c r="C11" i="2"/>
  <c r="B11" i="2"/>
  <c r="F12" i="2"/>
  <c r="E12" i="2"/>
  <c r="D12" i="2"/>
  <c r="C12" i="2"/>
  <c r="B12" i="2"/>
  <c r="F13" i="2"/>
  <c r="E13" i="2"/>
  <c r="D13" i="2"/>
  <c r="C13" i="2"/>
  <c r="B13" i="2"/>
  <c r="F14" i="2"/>
  <c r="E14" i="2"/>
  <c r="D14" i="2"/>
  <c r="C14" i="2"/>
  <c r="B14" i="2"/>
  <c r="F592" i="2"/>
  <c r="F591" i="2"/>
  <c r="F586" i="2"/>
  <c r="F584" i="2"/>
  <c r="E584" i="2"/>
  <c r="D584" i="2"/>
  <c r="C584" i="2"/>
  <c r="F582" i="2"/>
  <c r="E582" i="2"/>
  <c r="D582" i="2"/>
  <c r="C582" i="2"/>
  <c r="F581" i="2"/>
  <c r="E581" i="2"/>
  <c r="D581" i="2"/>
  <c r="C581" i="2"/>
  <c r="B581" i="2"/>
  <c r="F580" i="2"/>
  <c r="E580" i="2"/>
  <c r="D580" i="2"/>
  <c r="C580" i="2"/>
  <c r="B580" i="2"/>
  <c r="F577" i="2"/>
  <c r="E577" i="2"/>
  <c r="D577" i="2"/>
  <c r="C577" i="2"/>
  <c r="F576" i="2"/>
  <c r="E576" i="2"/>
  <c r="D576" i="2"/>
  <c r="C576" i="2"/>
  <c r="F575" i="2"/>
  <c r="E575" i="2"/>
  <c r="D575" i="2"/>
  <c r="C575" i="2"/>
  <c r="B575" i="2"/>
  <c r="F574" i="2"/>
  <c r="E574" i="2"/>
  <c r="D574" i="2"/>
  <c r="C574" i="2"/>
  <c r="B574" i="2"/>
  <c r="F573" i="2"/>
  <c r="E573" i="2"/>
  <c r="D573" i="2"/>
  <c r="C573" i="2"/>
  <c r="B573" i="2"/>
  <c r="F572" i="2"/>
  <c r="E572" i="2"/>
  <c r="D572" i="2"/>
  <c r="C572" i="2"/>
  <c r="B572" i="2"/>
  <c r="F571" i="2"/>
  <c r="E571" i="2"/>
  <c r="D571" i="2"/>
  <c r="C571" i="2"/>
  <c r="B571" i="2"/>
  <c r="F570" i="2"/>
  <c r="E570" i="2"/>
  <c r="D570" i="2"/>
  <c r="C570" i="2"/>
  <c r="B570" i="2"/>
  <c r="F569" i="2"/>
  <c r="E569" i="2"/>
  <c r="D569" i="2"/>
  <c r="C569" i="2"/>
  <c r="B569" i="2"/>
  <c r="F567" i="2"/>
  <c r="E567" i="2"/>
  <c r="D567" i="2"/>
  <c r="C567" i="2"/>
  <c r="B567" i="2"/>
  <c r="F566" i="2"/>
  <c r="E566" i="2"/>
  <c r="D566" i="2"/>
  <c r="C566" i="2"/>
  <c r="B566" i="2"/>
  <c r="F565" i="2"/>
  <c r="E565" i="2"/>
  <c r="D565" i="2"/>
  <c r="C565" i="2"/>
  <c r="B565" i="2"/>
  <c r="F564" i="2"/>
  <c r="E564" i="2"/>
  <c r="D564" i="2"/>
  <c r="C564" i="2"/>
  <c r="B564" i="2"/>
  <c r="F563" i="2"/>
  <c r="E563" i="2"/>
  <c r="D563" i="2"/>
  <c r="C563" i="2"/>
  <c r="B563" i="2"/>
  <c r="F561" i="2"/>
  <c r="E561" i="2"/>
  <c r="D561" i="2"/>
  <c r="C561" i="2"/>
  <c r="B561" i="2"/>
  <c r="F560" i="2"/>
  <c r="E560" i="2"/>
  <c r="D560" i="2"/>
  <c r="C560" i="2"/>
  <c r="B560" i="2"/>
  <c r="F559" i="2"/>
  <c r="E559" i="2"/>
  <c r="D559" i="2"/>
  <c r="C559" i="2"/>
  <c r="B559" i="2"/>
  <c r="F558" i="2"/>
  <c r="E558" i="2"/>
  <c r="D558" i="2"/>
  <c r="C558" i="2"/>
  <c r="B558" i="2"/>
  <c r="F553" i="2"/>
  <c r="E553" i="2"/>
  <c r="D553" i="2"/>
  <c r="C553" i="2"/>
  <c r="B553" i="2"/>
  <c r="F552" i="2"/>
  <c r="E552" i="2"/>
  <c r="D552" i="2"/>
  <c r="C552" i="2"/>
  <c r="B552" i="2"/>
  <c r="F549" i="2"/>
  <c r="E549" i="2"/>
  <c r="D549" i="2"/>
  <c r="C549" i="2"/>
  <c r="B549" i="2"/>
  <c r="F547" i="2"/>
  <c r="E547" i="2"/>
  <c r="D547" i="2"/>
  <c r="C547" i="2"/>
  <c r="B547" i="2"/>
  <c r="F546" i="2"/>
  <c r="E546" i="2"/>
  <c r="D546" i="2"/>
  <c r="C546" i="2"/>
  <c r="B546" i="2"/>
  <c r="F544" i="2"/>
  <c r="E544" i="2"/>
  <c r="D544" i="2"/>
  <c r="C544" i="2"/>
  <c r="B544" i="2"/>
  <c r="F543" i="2"/>
  <c r="E543" i="2"/>
  <c r="D543" i="2"/>
  <c r="C543" i="2"/>
  <c r="B543" i="2"/>
  <c r="F542" i="2"/>
  <c r="E542" i="2"/>
  <c r="D542" i="2"/>
  <c r="C542" i="2"/>
  <c r="B542" i="2"/>
  <c r="F541" i="2"/>
  <c r="E541" i="2"/>
  <c r="D541" i="2"/>
  <c r="C541" i="2"/>
  <c r="B541" i="2"/>
  <c r="F540" i="2"/>
  <c r="E540" i="2"/>
  <c r="D540" i="2"/>
  <c r="C540" i="2"/>
  <c r="B540" i="2"/>
  <c r="F538" i="2"/>
  <c r="E538" i="2"/>
  <c r="D538" i="2"/>
  <c r="C538" i="2"/>
  <c r="B538" i="2"/>
  <c r="F537" i="2"/>
  <c r="E537" i="2"/>
  <c r="D537" i="2"/>
  <c r="C537" i="2"/>
  <c r="B537" i="2"/>
  <c r="F536" i="2"/>
  <c r="E536" i="2"/>
  <c r="D536" i="2"/>
  <c r="C536" i="2"/>
  <c r="B536" i="2"/>
  <c r="F535" i="2"/>
  <c r="E535" i="2"/>
  <c r="D535" i="2"/>
  <c r="C535" i="2"/>
  <c r="B535" i="2"/>
  <c r="F534" i="2"/>
  <c r="E534" i="2"/>
  <c r="D534" i="2"/>
  <c r="C534" i="2"/>
  <c r="B534" i="2"/>
  <c r="F533" i="2"/>
  <c r="E533" i="2"/>
  <c r="D533" i="2"/>
  <c r="C533" i="2"/>
  <c r="B533" i="2"/>
  <c r="F532" i="2"/>
  <c r="E532" i="2"/>
  <c r="D532" i="2"/>
  <c r="C532" i="2"/>
  <c r="B532" i="2"/>
  <c r="F529" i="2"/>
  <c r="E529" i="2"/>
  <c r="D529" i="2"/>
  <c r="C529" i="2"/>
  <c r="B529" i="2"/>
  <c r="F528" i="2"/>
  <c r="E528" i="2"/>
  <c r="D528" i="2"/>
  <c r="C528" i="2"/>
  <c r="B528" i="2"/>
  <c r="F527" i="2"/>
  <c r="E527" i="2"/>
  <c r="D527" i="2"/>
  <c r="C527" i="2"/>
  <c r="B527" i="2"/>
  <c r="F524" i="2"/>
  <c r="E524" i="2"/>
  <c r="D524" i="2"/>
  <c r="C524" i="2"/>
  <c r="B524" i="2"/>
  <c r="F523" i="2"/>
  <c r="E523" i="2"/>
  <c r="D523" i="2"/>
  <c r="C523" i="2"/>
  <c r="B523" i="2"/>
  <c r="F522" i="2"/>
  <c r="E522" i="2"/>
  <c r="D522" i="2"/>
  <c r="C522" i="2"/>
  <c r="B522" i="2"/>
  <c r="F521" i="2"/>
  <c r="E521" i="2"/>
  <c r="D521" i="2"/>
  <c r="C521" i="2"/>
  <c r="B521" i="2"/>
  <c r="F519" i="2"/>
  <c r="E519" i="2"/>
  <c r="D519" i="2"/>
  <c r="C519" i="2"/>
  <c r="B519" i="2"/>
  <c r="F518" i="2"/>
  <c r="E518" i="2"/>
  <c r="D518" i="2"/>
  <c r="C518" i="2"/>
  <c r="B518" i="2"/>
  <c r="F517" i="2"/>
  <c r="E517" i="2"/>
  <c r="D517" i="2"/>
  <c r="C517" i="2"/>
  <c r="B517" i="2"/>
  <c r="F515" i="2"/>
  <c r="E515" i="2"/>
  <c r="D515" i="2"/>
  <c r="C515" i="2"/>
  <c r="B515" i="2"/>
  <c r="F514" i="2"/>
  <c r="E514" i="2"/>
  <c r="D514" i="2"/>
  <c r="C514" i="2"/>
  <c r="B514" i="2"/>
  <c r="F513" i="2"/>
  <c r="E513" i="2"/>
  <c r="D513" i="2"/>
  <c r="C513" i="2"/>
  <c r="B513" i="2"/>
  <c r="F511" i="2"/>
  <c r="E511" i="2"/>
  <c r="D511" i="2"/>
  <c r="C511" i="2"/>
  <c r="B511" i="2"/>
  <c r="F510" i="2"/>
  <c r="E510" i="2"/>
  <c r="D510" i="2"/>
  <c r="C510" i="2"/>
  <c r="B510" i="2"/>
  <c r="F509" i="2"/>
  <c r="E509" i="2"/>
  <c r="D509" i="2"/>
  <c r="C509" i="2"/>
  <c r="B509" i="2"/>
  <c r="F508" i="2"/>
  <c r="E508" i="2"/>
  <c r="D508" i="2"/>
  <c r="C508" i="2"/>
  <c r="B508" i="2"/>
  <c r="F507" i="2"/>
  <c r="E507" i="2"/>
  <c r="D507" i="2"/>
  <c r="C507" i="2"/>
  <c r="B507" i="2"/>
  <c r="F506" i="2"/>
  <c r="E506" i="2"/>
  <c r="D506" i="2"/>
  <c r="C506" i="2"/>
  <c r="B506" i="2"/>
  <c r="F505" i="2"/>
  <c r="E505" i="2"/>
  <c r="D505" i="2"/>
  <c r="C505" i="2"/>
  <c r="B505" i="2"/>
  <c r="F504" i="2"/>
  <c r="E504" i="2"/>
  <c r="D504" i="2"/>
  <c r="C504" i="2"/>
  <c r="B504" i="2"/>
  <c r="F503" i="2"/>
  <c r="E503" i="2"/>
  <c r="D503" i="2"/>
  <c r="C503" i="2"/>
  <c r="B503" i="2"/>
  <c r="F502" i="2"/>
  <c r="E502" i="2"/>
  <c r="D502" i="2"/>
  <c r="C502" i="2"/>
  <c r="B502" i="2"/>
  <c r="F499" i="2"/>
  <c r="E499" i="2"/>
  <c r="D499" i="2"/>
  <c r="C499" i="2"/>
  <c r="B499" i="2"/>
  <c r="F498" i="2"/>
  <c r="E498" i="2"/>
  <c r="D498" i="2"/>
  <c r="C498" i="2"/>
  <c r="B498" i="2"/>
  <c r="F497" i="2"/>
  <c r="E497" i="2"/>
  <c r="D497" i="2"/>
  <c r="C497" i="2"/>
  <c r="B497" i="2"/>
  <c r="F496" i="2"/>
  <c r="E496" i="2"/>
  <c r="D496" i="2"/>
  <c r="C496" i="2"/>
  <c r="B496" i="2"/>
  <c r="F495" i="2"/>
  <c r="E495" i="2"/>
  <c r="D495" i="2"/>
  <c r="C495" i="2"/>
  <c r="B495" i="2"/>
  <c r="F494" i="2"/>
  <c r="E494" i="2"/>
  <c r="D494" i="2"/>
  <c r="C494" i="2"/>
  <c r="B494" i="2"/>
  <c r="F493" i="2"/>
  <c r="E493" i="2"/>
  <c r="D493" i="2"/>
  <c r="C493" i="2"/>
  <c r="B493" i="2"/>
  <c r="F492" i="2"/>
  <c r="E492" i="2"/>
  <c r="D492" i="2"/>
  <c r="C492" i="2"/>
  <c r="B492" i="2"/>
  <c r="F491" i="2"/>
  <c r="E491" i="2"/>
  <c r="D491" i="2"/>
  <c r="C491" i="2"/>
  <c r="B491" i="2"/>
  <c r="F489" i="2"/>
  <c r="E489" i="2"/>
  <c r="D489" i="2"/>
  <c r="C489" i="2"/>
  <c r="B489" i="2"/>
  <c r="F488" i="2"/>
  <c r="E488" i="2"/>
  <c r="D488" i="2"/>
  <c r="C488" i="2"/>
  <c r="B488" i="2"/>
  <c r="F487" i="2"/>
  <c r="E487" i="2"/>
  <c r="D487" i="2"/>
  <c r="C487" i="2"/>
  <c r="B487" i="2"/>
  <c r="F486" i="2"/>
  <c r="E486" i="2"/>
  <c r="D486" i="2"/>
  <c r="C486" i="2"/>
  <c r="B486" i="2"/>
  <c r="F485" i="2"/>
  <c r="E485" i="2"/>
  <c r="D485" i="2"/>
  <c r="C485" i="2"/>
  <c r="B485" i="2"/>
  <c r="F484" i="2"/>
  <c r="E484" i="2"/>
  <c r="D484" i="2"/>
  <c r="C484" i="2"/>
  <c r="B484" i="2"/>
  <c r="F483" i="2"/>
  <c r="E483" i="2"/>
  <c r="D483" i="2"/>
  <c r="C483" i="2"/>
  <c r="B483" i="2"/>
  <c r="F482" i="2"/>
  <c r="E482" i="2"/>
  <c r="D482" i="2"/>
  <c r="C482" i="2"/>
  <c r="B482" i="2"/>
  <c r="F481" i="2"/>
  <c r="E481" i="2"/>
  <c r="D481" i="2"/>
  <c r="C481" i="2"/>
  <c r="B481" i="2"/>
  <c r="F480" i="2"/>
  <c r="E480" i="2"/>
  <c r="D480" i="2"/>
  <c r="C480" i="2"/>
  <c r="B480" i="2"/>
  <c r="F479" i="2"/>
  <c r="E479" i="2"/>
  <c r="D479" i="2"/>
  <c r="C479" i="2"/>
  <c r="B479" i="2"/>
  <c r="F478" i="2"/>
  <c r="E478" i="2"/>
  <c r="D478" i="2"/>
  <c r="C478" i="2"/>
  <c r="B478" i="2"/>
  <c r="F477" i="2"/>
  <c r="E477" i="2"/>
  <c r="D477" i="2"/>
  <c r="C477" i="2"/>
  <c r="B477" i="2"/>
  <c r="F476" i="2"/>
  <c r="E476" i="2"/>
  <c r="D476" i="2"/>
  <c r="C476" i="2"/>
  <c r="B476" i="2"/>
  <c r="F475" i="2"/>
  <c r="E475" i="2"/>
  <c r="D475" i="2"/>
  <c r="C475" i="2"/>
  <c r="B475" i="2"/>
  <c r="F474" i="2"/>
  <c r="E474" i="2"/>
  <c r="D474" i="2"/>
  <c r="C474" i="2"/>
  <c r="B474" i="2"/>
  <c r="F473" i="2"/>
  <c r="E473" i="2"/>
  <c r="D473" i="2"/>
  <c r="C473" i="2"/>
  <c r="B473" i="2"/>
  <c r="F472" i="2"/>
  <c r="E472" i="2"/>
  <c r="D472" i="2"/>
  <c r="C472" i="2"/>
  <c r="B472" i="2"/>
  <c r="F471" i="2"/>
  <c r="E471" i="2"/>
  <c r="D471" i="2"/>
  <c r="C471" i="2"/>
  <c r="B471" i="2"/>
  <c r="F470" i="2"/>
  <c r="E470" i="2"/>
  <c r="D470" i="2"/>
  <c r="C470" i="2"/>
  <c r="B470" i="2"/>
  <c r="F469" i="2"/>
  <c r="E469" i="2"/>
  <c r="D469" i="2"/>
  <c r="C469" i="2"/>
  <c r="B469" i="2"/>
  <c r="F468" i="2"/>
  <c r="E468" i="2"/>
  <c r="D468" i="2"/>
  <c r="C468" i="2"/>
  <c r="B468" i="2"/>
  <c r="F467" i="2"/>
  <c r="E467" i="2"/>
  <c r="D467" i="2"/>
  <c r="C467" i="2"/>
  <c r="B467" i="2"/>
  <c r="F466" i="2"/>
  <c r="E466" i="2"/>
  <c r="D466" i="2"/>
  <c r="C466" i="2"/>
  <c r="B466" i="2"/>
  <c r="F465" i="2"/>
  <c r="E465" i="2"/>
  <c r="D465" i="2"/>
  <c r="C465" i="2"/>
  <c r="B465" i="2"/>
  <c r="F464" i="2"/>
  <c r="E464" i="2"/>
  <c r="D464" i="2"/>
  <c r="C464" i="2"/>
  <c r="B464" i="2"/>
  <c r="F463" i="2"/>
  <c r="E463" i="2"/>
  <c r="D463" i="2"/>
  <c r="C463" i="2"/>
  <c r="B463" i="2"/>
  <c r="F462" i="2"/>
  <c r="E462" i="2"/>
  <c r="D462" i="2"/>
  <c r="C462" i="2"/>
  <c r="B462" i="2"/>
  <c r="F461" i="2"/>
  <c r="E461" i="2"/>
  <c r="D461" i="2"/>
  <c r="C461" i="2"/>
  <c r="B461" i="2"/>
  <c r="F460" i="2"/>
  <c r="E460" i="2"/>
  <c r="D460" i="2"/>
  <c r="C460" i="2"/>
  <c r="B460" i="2"/>
  <c r="F459" i="2"/>
  <c r="E459" i="2"/>
  <c r="D459" i="2"/>
  <c r="C459" i="2"/>
  <c r="B459" i="2"/>
  <c r="F458" i="2"/>
  <c r="E458" i="2"/>
  <c r="D458" i="2"/>
  <c r="C458" i="2"/>
  <c r="B458" i="2"/>
  <c r="F457" i="2"/>
  <c r="E457" i="2"/>
  <c r="D457" i="2"/>
  <c r="C457" i="2"/>
  <c r="B457" i="2"/>
  <c r="F456" i="2"/>
  <c r="E456" i="2"/>
  <c r="D456" i="2"/>
  <c r="C456" i="2"/>
  <c r="B456" i="2"/>
  <c r="F454" i="2"/>
  <c r="E454" i="2"/>
  <c r="D454" i="2"/>
  <c r="C454" i="2"/>
  <c r="B454" i="2"/>
  <c r="F453" i="2"/>
  <c r="E453" i="2"/>
  <c r="D453" i="2"/>
  <c r="C453" i="2"/>
  <c r="B453" i="2"/>
  <c r="F452" i="2"/>
  <c r="E452" i="2"/>
  <c r="D452" i="2"/>
  <c r="C452" i="2"/>
  <c r="B452" i="2"/>
  <c r="F451" i="2"/>
  <c r="E451" i="2"/>
  <c r="D451" i="2"/>
  <c r="C451" i="2"/>
  <c r="B451" i="2"/>
  <c r="F450" i="2"/>
  <c r="E450" i="2"/>
  <c r="D450" i="2"/>
  <c r="C450" i="2"/>
  <c r="B450" i="2"/>
  <c r="F449" i="2"/>
  <c r="E449" i="2"/>
  <c r="D449" i="2"/>
  <c r="C449" i="2"/>
  <c r="B449" i="2"/>
  <c r="F448" i="2"/>
  <c r="E448" i="2"/>
  <c r="D448" i="2"/>
  <c r="C448" i="2"/>
  <c r="B448" i="2"/>
  <c r="F447" i="2"/>
  <c r="E447" i="2"/>
  <c r="D447" i="2"/>
  <c r="C447" i="2"/>
  <c r="B447" i="2"/>
  <c r="F446" i="2"/>
  <c r="E446" i="2"/>
  <c r="D446" i="2"/>
  <c r="C446" i="2"/>
  <c r="B446" i="2"/>
  <c r="F445" i="2"/>
  <c r="E445" i="2"/>
  <c r="D445" i="2"/>
  <c r="C445" i="2"/>
  <c r="B445" i="2"/>
  <c r="F444" i="2"/>
  <c r="E444" i="2"/>
  <c r="D444" i="2"/>
  <c r="C444" i="2"/>
  <c r="B444" i="2"/>
  <c r="F443" i="2"/>
  <c r="E443" i="2"/>
  <c r="D443" i="2"/>
  <c r="C443" i="2"/>
  <c r="B443" i="2"/>
  <c r="F441" i="2"/>
  <c r="E441" i="2"/>
  <c r="D441" i="2"/>
  <c r="C441" i="2"/>
  <c r="B441" i="2"/>
  <c r="F440" i="2"/>
  <c r="E440" i="2"/>
  <c r="D440" i="2"/>
  <c r="C440" i="2"/>
  <c r="B440" i="2"/>
  <c r="F439" i="2"/>
  <c r="E439" i="2"/>
  <c r="D439" i="2"/>
  <c r="C439" i="2"/>
  <c r="B439" i="2"/>
  <c r="F438" i="2"/>
  <c r="E438" i="2"/>
  <c r="D438" i="2"/>
  <c r="C438" i="2"/>
  <c r="B438" i="2"/>
  <c r="F437" i="2"/>
  <c r="E437" i="2"/>
  <c r="D437" i="2"/>
  <c r="C437" i="2"/>
  <c r="B437" i="2"/>
  <c r="F436" i="2"/>
  <c r="E436" i="2"/>
  <c r="D436" i="2"/>
  <c r="C436" i="2"/>
  <c r="B436" i="2"/>
  <c r="F435" i="2"/>
  <c r="E435" i="2"/>
  <c r="D435" i="2"/>
  <c r="C435" i="2"/>
  <c r="B435" i="2"/>
  <c r="F434" i="2"/>
  <c r="E434" i="2"/>
  <c r="D434" i="2"/>
  <c r="C434" i="2"/>
  <c r="B434" i="2"/>
  <c r="F433" i="2"/>
  <c r="E433" i="2"/>
  <c r="D433" i="2"/>
  <c r="C433" i="2"/>
  <c r="B433" i="2"/>
  <c r="F432" i="2"/>
  <c r="E432" i="2"/>
  <c r="D432" i="2"/>
  <c r="C432" i="2"/>
  <c r="B432" i="2"/>
  <c r="F430" i="2"/>
  <c r="E430" i="2"/>
  <c r="D430" i="2"/>
  <c r="C430" i="2"/>
  <c r="B430" i="2"/>
  <c r="F429" i="2"/>
  <c r="E429" i="2"/>
  <c r="D429" i="2"/>
  <c r="C429" i="2"/>
  <c r="B429" i="2"/>
  <c r="F428" i="2"/>
  <c r="E428" i="2"/>
  <c r="D428" i="2"/>
  <c r="C428" i="2"/>
  <c r="B428" i="2"/>
  <c r="F427" i="2"/>
  <c r="E427" i="2"/>
  <c r="D427" i="2"/>
  <c r="C427" i="2"/>
  <c r="B427" i="2"/>
  <c r="F426" i="2"/>
  <c r="E426" i="2"/>
  <c r="D426" i="2"/>
  <c r="C426" i="2"/>
  <c r="B426" i="2"/>
  <c r="F425" i="2"/>
  <c r="E425" i="2"/>
  <c r="D425" i="2"/>
  <c r="C425" i="2"/>
  <c r="B425" i="2"/>
  <c r="F424" i="2"/>
  <c r="E424" i="2"/>
  <c r="D424" i="2"/>
  <c r="C424" i="2"/>
  <c r="B424" i="2"/>
  <c r="F423" i="2"/>
  <c r="E423" i="2"/>
  <c r="D423" i="2"/>
  <c r="C423" i="2"/>
  <c r="B423" i="2"/>
  <c r="F422" i="2"/>
  <c r="E422" i="2"/>
  <c r="D422" i="2"/>
  <c r="C422" i="2"/>
  <c r="B422" i="2"/>
  <c r="F421" i="2"/>
  <c r="E421" i="2"/>
  <c r="D421" i="2"/>
  <c r="C421" i="2"/>
  <c r="B421" i="2"/>
  <c r="F420" i="2"/>
  <c r="E420" i="2"/>
  <c r="D420" i="2"/>
  <c r="C420" i="2"/>
  <c r="B420" i="2"/>
  <c r="F419" i="2"/>
  <c r="E419" i="2"/>
  <c r="D419" i="2"/>
  <c r="C419" i="2"/>
  <c r="B419" i="2"/>
  <c r="F418" i="2"/>
  <c r="E418" i="2"/>
  <c r="D418" i="2"/>
  <c r="C418" i="2"/>
  <c r="B418" i="2"/>
  <c r="F417" i="2"/>
  <c r="E417" i="2"/>
  <c r="D417" i="2"/>
  <c r="C417" i="2"/>
  <c r="B417" i="2"/>
  <c r="F415" i="2"/>
  <c r="E415" i="2"/>
  <c r="D415" i="2"/>
  <c r="C415" i="2"/>
  <c r="B415" i="2"/>
  <c r="F414" i="2"/>
  <c r="E414" i="2"/>
  <c r="D414" i="2"/>
  <c r="C414" i="2"/>
  <c r="B414" i="2"/>
  <c r="F413" i="2"/>
  <c r="E413" i="2"/>
  <c r="D413" i="2"/>
  <c r="C413" i="2"/>
  <c r="B413" i="2"/>
  <c r="F412" i="2"/>
  <c r="E412" i="2"/>
  <c r="D412" i="2"/>
  <c r="C412" i="2"/>
  <c r="B412" i="2"/>
  <c r="F411" i="2"/>
  <c r="E411" i="2"/>
  <c r="D411" i="2"/>
  <c r="C411" i="2"/>
  <c r="B411" i="2"/>
  <c r="F410" i="2"/>
  <c r="E410" i="2"/>
  <c r="D410" i="2"/>
  <c r="C410" i="2"/>
  <c r="B410" i="2"/>
  <c r="F409" i="2"/>
  <c r="E409" i="2"/>
  <c r="D409" i="2"/>
  <c r="C409" i="2"/>
  <c r="B409" i="2"/>
  <c r="F408" i="2"/>
  <c r="E408" i="2"/>
  <c r="D408" i="2"/>
  <c r="C408" i="2"/>
  <c r="B408" i="2"/>
  <c r="F407" i="2"/>
  <c r="E407" i="2"/>
  <c r="D407" i="2"/>
  <c r="C407" i="2"/>
  <c r="B407" i="2"/>
  <c r="F406" i="2"/>
  <c r="E406" i="2"/>
  <c r="D406" i="2"/>
  <c r="C406" i="2"/>
  <c r="B406" i="2"/>
  <c r="F405" i="2"/>
  <c r="E405" i="2"/>
  <c r="D405" i="2"/>
  <c r="C405" i="2"/>
  <c r="B405" i="2"/>
  <c r="F404" i="2"/>
  <c r="E404" i="2"/>
  <c r="D404" i="2"/>
  <c r="C404" i="2"/>
  <c r="B404" i="2"/>
  <c r="F403" i="2"/>
  <c r="E403" i="2"/>
  <c r="D403" i="2"/>
  <c r="C403" i="2"/>
  <c r="B403" i="2"/>
  <c r="F402" i="2"/>
  <c r="E402" i="2"/>
  <c r="D402" i="2"/>
  <c r="C402" i="2"/>
  <c r="B402" i="2"/>
  <c r="F401" i="2"/>
  <c r="E401" i="2"/>
  <c r="D401" i="2"/>
  <c r="C401" i="2"/>
  <c r="B401" i="2"/>
  <c r="F399" i="2"/>
  <c r="E399" i="2"/>
  <c r="D399" i="2"/>
  <c r="C399" i="2"/>
  <c r="B399" i="2"/>
  <c r="F398" i="2"/>
  <c r="E398" i="2"/>
  <c r="D398" i="2"/>
  <c r="C398" i="2"/>
  <c r="B398" i="2"/>
  <c r="F397" i="2"/>
  <c r="E397" i="2"/>
  <c r="D397" i="2"/>
  <c r="C397" i="2"/>
  <c r="B397" i="2"/>
  <c r="F396" i="2"/>
  <c r="E396" i="2"/>
  <c r="D396" i="2"/>
  <c r="C396" i="2"/>
  <c r="B396" i="2"/>
  <c r="F395" i="2"/>
  <c r="E395" i="2"/>
  <c r="D395" i="2"/>
  <c r="C395" i="2"/>
  <c r="B395" i="2"/>
  <c r="F393" i="2"/>
  <c r="E393" i="2"/>
  <c r="D393" i="2"/>
  <c r="C393" i="2"/>
  <c r="B393" i="2"/>
  <c r="F392" i="2"/>
  <c r="E392" i="2"/>
  <c r="D392" i="2"/>
  <c r="C392" i="2"/>
  <c r="B392" i="2"/>
  <c r="F391" i="2"/>
  <c r="E391" i="2"/>
  <c r="D391" i="2"/>
  <c r="C391" i="2"/>
  <c r="B391" i="2"/>
  <c r="F390" i="2"/>
  <c r="E390" i="2"/>
  <c r="D390" i="2"/>
  <c r="C390" i="2"/>
  <c r="B390" i="2"/>
  <c r="F389" i="2"/>
  <c r="E389" i="2"/>
  <c r="D389" i="2"/>
  <c r="C389" i="2"/>
  <c r="B389" i="2"/>
  <c r="F388" i="2"/>
  <c r="E388" i="2"/>
  <c r="D388" i="2"/>
  <c r="C388" i="2"/>
  <c r="B388" i="2"/>
  <c r="F387" i="2"/>
  <c r="E387" i="2"/>
  <c r="D387" i="2"/>
  <c r="C387" i="2"/>
  <c r="B387" i="2"/>
  <c r="F386" i="2"/>
  <c r="E386" i="2"/>
  <c r="D386" i="2"/>
  <c r="C386" i="2"/>
  <c r="B386" i="2"/>
  <c r="F385" i="2"/>
  <c r="E385" i="2"/>
  <c r="D385" i="2"/>
  <c r="C385" i="2"/>
  <c r="B385" i="2"/>
  <c r="F383" i="2"/>
  <c r="E383" i="2"/>
  <c r="D383" i="2"/>
  <c r="C383" i="2"/>
  <c r="B383" i="2"/>
  <c r="F382" i="2"/>
  <c r="E382" i="2"/>
  <c r="D382" i="2"/>
  <c r="C382" i="2"/>
  <c r="B382" i="2"/>
  <c r="F381" i="2"/>
  <c r="E381" i="2"/>
  <c r="D381" i="2"/>
  <c r="C381" i="2"/>
  <c r="B381" i="2"/>
  <c r="F380" i="2"/>
  <c r="E380" i="2"/>
  <c r="D380" i="2"/>
  <c r="C380" i="2"/>
  <c r="B380" i="2"/>
  <c r="F379" i="2"/>
  <c r="E379" i="2"/>
  <c r="D379" i="2"/>
  <c r="C379" i="2"/>
  <c r="B379" i="2"/>
  <c r="F378" i="2"/>
  <c r="E378" i="2"/>
  <c r="D378" i="2"/>
  <c r="C378" i="2"/>
  <c r="B378" i="2"/>
  <c r="F377" i="2"/>
  <c r="E377" i="2"/>
  <c r="D377" i="2"/>
  <c r="C377" i="2"/>
  <c r="B377" i="2"/>
  <c r="F376" i="2"/>
  <c r="E376" i="2"/>
  <c r="D376" i="2"/>
  <c r="C376" i="2"/>
  <c r="B376" i="2"/>
  <c r="F375" i="2"/>
  <c r="E375" i="2"/>
  <c r="D375" i="2"/>
  <c r="C375" i="2"/>
  <c r="B375" i="2"/>
  <c r="F374" i="2"/>
  <c r="E374" i="2"/>
  <c r="D374" i="2"/>
  <c r="C374" i="2"/>
  <c r="B374" i="2"/>
  <c r="F373" i="2"/>
  <c r="E373" i="2"/>
  <c r="D373" i="2"/>
  <c r="C373" i="2"/>
  <c r="B373" i="2"/>
  <c r="F372" i="2"/>
  <c r="E372" i="2"/>
  <c r="D372" i="2"/>
  <c r="C372" i="2"/>
  <c r="B372" i="2"/>
  <c r="F371" i="2"/>
  <c r="E371" i="2"/>
  <c r="D371" i="2"/>
  <c r="C371" i="2"/>
  <c r="B371" i="2"/>
  <c r="F370" i="2"/>
  <c r="E370" i="2"/>
  <c r="D370" i="2"/>
  <c r="C370" i="2"/>
  <c r="B370" i="2"/>
  <c r="F369" i="2"/>
  <c r="E369" i="2"/>
  <c r="D369" i="2"/>
  <c r="C369" i="2"/>
  <c r="B369" i="2"/>
  <c r="F368" i="2"/>
  <c r="E368" i="2"/>
  <c r="D368" i="2"/>
  <c r="C368" i="2"/>
  <c r="B368" i="2"/>
  <c r="F367" i="2"/>
  <c r="E367" i="2"/>
  <c r="D367" i="2"/>
  <c r="C367" i="2"/>
  <c r="B367" i="2"/>
  <c r="F366" i="2"/>
  <c r="E366" i="2"/>
  <c r="D366" i="2"/>
  <c r="C366" i="2"/>
  <c r="B366" i="2"/>
  <c r="F365" i="2"/>
  <c r="E365" i="2"/>
  <c r="D365" i="2"/>
  <c r="C365" i="2"/>
  <c r="B365" i="2"/>
  <c r="F364" i="2"/>
  <c r="E364" i="2"/>
  <c r="D364" i="2"/>
  <c r="C364" i="2"/>
  <c r="B364" i="2"/>
  <c r="F363" i="2"/>
  <c r="E363" i="2"/>
  <c r="D363" i="2"/>
  <c r="C363" i="2"/>
  <c r="B363" i="2"/>
  <c r="F362" i="2"/>
  <c r="E362" i="2"/>
  <c r="D362" i="2"/>
  <c r="C362" i="2"/>
  <c r="B362" i="2"/>
  <c r="F361" i="2"/>
  <c r="E361" i="2"/>
  <c r="D361" i="2"/>
  <c r="C361" i="2"/>
  <c r="B361" i="2"/>
  <c r="F360" i="2"/>
  <c r="E360" i="2"/>
  <c r="D360" i="2"/>
  <c r="C360" i="2"/>
  <c r="B360" i="2"/>
  <c r="F359" i="2"/>
  <c r="E359" i="2"/>
  <c r="D359" i="2"/>
  <c r="C359" i="2"/>
  <c r="B359" i="2"/>
  <c r="F358" i="2"/>
  <c r="E358" i="2"/>
  <c r="D358" i="2"/>
  <c r="C358" i="2"/>
  <c r="B358" i="2"/>
  <c r="F357" i="2"/>
  <c r="E357" i="2"/>
  <c r="D357" i="2"/>
  <c r="C357" i="2"/>
  <c r="B357" i="2"/>
  <c r="F356" i="2"/>
  <c r="E356" i="2"/>
  <c r="D356" i="2"/>
  <c r="C356" i="2"/>
  <c r="B356" i="2"/>
  <c r="F355" i="2"/>
  <c r="E355" i="2"/>
  <c r="D355" i="2"/>
  <c r="C355" i="2"/>
  <c r="B355" i="2"/>
  <c r="F354" i="2"/>
  <c r="E354" i="2"/>
  <c r="D354" i="2"/>
  <c r="C354" i="2"/>
  <c r="B354" i="2"/>
  <c r="F353" i="2"/>
  <c r="E353" i="2"/>
  <c r="D353" i="2"/>
  <c r="C353" i="2"/>
  <c r="B353" i="2"/>
  <c r="F352" i="2"/>
  <c r="E352" i="2"/>
  <c r="D352" i="2"/>
  <c r="C352" i="2"/>
  <c r="B352" i="2"/>
  <c r="F351" i="2"/>
  <c r="E351" i="2"/>
  <c r="D351" i="2"/>
  <c r="C351" i="2"/>
  <c r="B351" i="2"/>
  <c r="F349" i="2"/>
  <c r="E349" i="2"/>
  <c r="D349" i="2"/>
  <c r="C349" i="2"/>
  <c r="B349" i="2"/>
  <c r="F348" i="2"/>
  <c r="E348" i="2"/>
  <c r="D348" i="2"/>
  <c r="C348" i="2"/>
  <c r="B348" i="2"/>
  <c r="F347" i="2"/>
  <c r="E347" i="2"/>
  <c r="D347" i="2"/>
  <c r="C347" i="2"/>
  <c r="B347" i="2"/>
  <c r="F346" i="2"/>
  <c r="E346" i="2"/>
  <c r="D346" i="2"/>
  <c r="C346" i="2"/>
  <c r="B346" i="2"/>
  <c r="F345" i="2"/>
  <c r="E345" i="2"/>
  <c r="D345" i="2"/>
  <c r="C345" i="2"/>
  <c r="B345" i="2"/>
  <c r="F344" i="2"/>
  <c r="E344" i="2"/>
  <c r="D344" i="2"/>
  <c r="C344" i="2"/>
  <c r="B344" i="2"/>
  <c r="F343" i="2"/>
  <c r="E343" i="2"/>
  <c r="D343" i="2"/>
  <c r="C343" i="2"/>
  <c r="B343" i="2"/>
  <c r="F342" i="2"/>
  <c r="E342" i="2"/>
  <c r="D342" i="2"/>
  <c r="C342" i="2"/>
  <c r="B342" i="2"/>
  <c r="F341" i="2"/>
  <c r="E341" i="2"/>
  <c r="D341" i="2"/>
  <c r="C341" i="2"/>
  <c r="B341" i="2"/>
  <c r="F340" i="2"/>
  <c r="E340" i="2"/>
  <c r="D340" i="2"/>
  <c r="C340" i="2"/>
  <c r="B340" i="2"/>
  <c r="F339" i="2"/>
  <c r="E339" i="2"/>
  <c r="D339" i="2"/>
  <c r="C339" i="2"/>
  <c r="B339" i="2"/>
  <c r="F338" i="2"/>
  <c r="E338" i="2"/>
  <c r="D338" i="2"/>
  <c r="C338" i="2"/>
  <c r="B338" i="2"/>
  <c r="F337" i="2"/>
  <c r="E337" i="2"/>
  <c r="D337" i="2"/>
  <c r="C337" i="2"/>
  <c r="B337" i="2"/>
  <c r="F336" i="2"/>
  <c r="E336" i="2"/>
  <c r="D336" i="2"/>
  <c r="C336" i="2"/>
  <c r="B336" i="2"/>
  <c r="F335" i="2"/>
  <c r="E335" i="2"/>
  <c r="D335" i="2"/>
  <c r="C335" i="2"/>
  <c r="B335" i="2"/>
  <c r="F334" i="2"/>
  <c r="E334" i="2"/>
  <c r="D334" i="2"/>
  <c r="C334" i="2"/>
  <c r="B334" i="2"/>
  <c r="F333" i="2"/>
  <c r="E333" i="2"/>
  <c r="D333" i="2"/>
  <c r="C333" i="2"/>
  <c r="B333" i="2"/>
  <c r="F332" i="2"/>
  <c r="E332" i="2"/>
  <c r="D332" i="2"/>
  <c r="C332" i="2"/>
  <c r="B332" i="2"/>
  <c r="F331" i="2"/>
  <c r="E331" i="2"/>
  <c r="D331" i="2"/>
  <c r="C331" i="2"/>
  <c r="B331" i="2"/>
  <c r="F330" i="2"/>
  <c r="E330" i="2"/>
  <c r="D330" i="2"/>
  <c r="C330" i="2"/>
  <c r="B330" i="2"/>
  <c r="F329" i="2"/>
  <c r="E329" i="2"/>
  <c r="D329" i="2"/>
  <c r="C329" i="2"/>
  <c r="B329" i="2"/>
  <c r="F328" i="2"/>
  <c r="E328" i="2"/>
  <c r="D328" i="2"/>
  <c r="C328" i="2"/>
  <c r="B328" i="2"/>
  <c r="F327" i="2"/>
  <c r="E327" i="2"/>
  <c r="D327" i="2"/>
  <c r="C327" i="2"/>
  <c r="B327" i="2"/>
  <c r="F326" i="2"/>
  <c r="E326" i="2"/>
  <c r="D326" i="2"/>
  <c r="C326" i="2"/>
  <c r="B326" i="2"/>
  <c r="F325" i="2"/>
  <c r="E325" i="2"/>
  <c r="D325" i="2"/>
  <c r="C325" i="2"/>
  <c r="B325" i="2"/>
  <c r="F324" i="2"/>
  <c r="E324" i="2"/>
  <c r="D324" i="2"/>
  <c r="C324" i="2"/>
  <c r="B324" i="2"/>
  <c r="F323" i="2"/>
  <c r="E323" i="2"/>
  <c r="D323" i="2"/>
  <c r="C323" i="2"/>
  <c r="B323" i="2"/>
  <c r="F322" i="2"/>
  <c r="E322" i="2"/>
  <c r="D322" i="2"/>
  <c r="C322" i="2"/>
  <c r="B322" i="2"/>
  <c r="F321" i="2"/>
  <c r="E321" i="2"/>
  <c r="D321" i="2"/>
  <c r="C321" i="2"/>
  <c r="B321" i="2"/>
  <c r="F320" i="2"/>
  <c r="E320" i="2"/>
  <c r="D320" i="2"/>
  <c r="C320" i="2"/>
  <c r="B320" i="2"/>
  <c r="F319" i="2"/>
  <c r="E319" i="2"/>
  <c r="D319" i="2"/>
  <c r="C319" i="2"/>
  <c r="B319" i="2"/>
  <c r="F318" i="2"/>
  <c r="E318" i="2"/>
  <c r="D318" i="2"/>
  <c r="C318" i="2"/>
  <c r="B318" i="2"/>
  <c r="F317" i="2"/>
  <c r="E317" i="2"/>
  <c r="D317" i="2"/>
  <c r="C317" i="2"/>
  <c r="B317" i="2"/>
  <c r="F316" i="2"/>
  <c r="E316" i="2"/>
  <c r="D316" i="2"/>
  <c r="C316" i="2"/>
  <c r="B316" i="2"/>
  <c r="F315" i="2"/>
  <c r="E315" i="2"/>
  <c r="D315" i="2"/>
  <c r="C315" i="2"/>
  <c r="B315" i="2"/>
  <c r="F314" i="2"/>
  <c r="E314" i="2"/>
  <c r="D314" i="2"/>
  <c r="C314" i="2"/>
  <c r="B314" i="2"/>
  <c r="F313" i="2"/>
  <c r="E313" i="2"/>
  <c r="D313" i="2"/>
  <c r="C313" i="2"/>
  <c r="B313" i="2"/>
  <c r="F312" i="2"/>
  <c r="E312" i="2"/>
  <c r="D312" i="2"/>
  <c r="C312" i="2"/>
  <c r="B312" i="2"/>
  <c r="F311" i="2"/>
  <c r="E311" i="2"/>
  <c r="D311" i="2"/>
  <c r="C311" i="2"/>
  <c r="B311" i="2"/>
  <c r="F310" i="2"/>
  <c r="E310" i="2"/>
  <c r="D310" i="2"/>
  <c r="C310" i="2"/>
  <c r="B310" i="2"/>
  <c r="F309" i="2"/>
  <c r="E309" i="2"/>
  <c r="D309" i="2"/>
  <c r="C309" i="2"/>
  <c r="B309" i="2"/>
  <c r="F308" i="2"/>
  <c r="E308" i="2"/>
  <c r="D308" i="2"/>
  <c r="C308" i="2"/>
  <c r="B308" i="2"/>
  <c r="F307" i="2"/>
  <c r="E307" i="2"/>
  <c r="D307" i="2"/>
  <c r="C307" i="2"/>
  <c r="B307" i="2"/>
  <c r="F306" i="2"/>
  <c r="E306" i="2"/>
  <c r="D306" i="2"/>
  <c r="C306" i="2"/>
  <c r="B306" i="2"/>
  <c r="F305" i="2"/>
  <c r="E305" i="2"/>
  <c r="D305" i="2"/>
  <c r="C305" i="2"/>
  <c r="B305" i="2"/>
  <c r="F303" i="2"/>
  <c r="E303" i="2"/>
  <c r="D303" i="2"/>
  <c r="C303" i="2"/>
  <c r="B303" i="2"/>
  <c r="F302" i="2"/>
  <c r="E302" i="2"/>
  <c r="D302" i="2"/>
  <c r="C302" i="2"/>
  <c r="B302" i="2"/>
  <c r="F301" i="2"/>
  <c r="E301" i="2"/>
  <c r="D301" i="2"/>
  <c r="C301" i="2"/>
  <c r="B301" i="2"/>
  <c r="F300" i="2"/>
  <c r="E300" i="2"/>
  <c r="D300" i="2"/>
  <c r="C300" i="2"/>
  <c r="B300" i="2"/>
  <c r="F299" i="2"/>
  <c r="E299" i="2"/>
  <c r="D299" i="2"/>
  <c r="C299" i="2"/>
  <c r="B299" i="2"/>
  <c r="F298" i="2"/>
  <c r="E298" i="2"/>
  <c r="D298" i="2"/>
  <c r="C298" i="2"/>
  <c r="B298" i="2"/>
  <c r="F297" i="2"/>
  <c r="E297" i="2"/>
  <c r="D297" i="2"/>
  <c r="C297" i="2"/>
  <c r="B297" i="2"/>
  <c r="F296" i="2"/>
  <c r="E296" i="2"/>
  <c r="D296" i="2"/>
  <c r="C296" i="2"/>
  <c r="B296" i="2"/>
  <c r="F295" i="2"/>
  <c r="E295" i="2"/>
  <c r="D295" i="2"/>
  <c r="C295" i="2"/>
  <c r="B295" i="2"/>
  <c r="F294" i="2"/>
  <c r="E294" i="2"/>
  <c r="D294" i="2"/>
  <c r="C294" i="2"/>
  <c r="B294" i="2"/>
  <c r="F293" i="2"/>
  <c r="E293" i="2"/>
  <c r="D293" i="2"/>
  <c r="C293" i="2"/>
  <c r="B293" i="2"/>
  <c r="F292" i="2"/>
  <c r="E292" i="2"/>
  <c r="D292" i="2"/>
  <c r="C292" i="2"/>
  <c r="B292" i="2"/>
  <c r="F291" i="2"/>
  <c r="E291" i="2"/>
  <c r="D291" i="2"/>
  <c r="C291" i="2"/>
  <c r="B291" i="2"/>
  <c r="F290" i="2"/>
  <c r="E290" i="2"/>
  <c r="D290" i="2"/>
  <c r="C290" i="2"/>
  <c r="B290" i="2"/>
  <c r="F289" i="2"/>
  <c r="E289" i="2"/>
  <c r="D289" i="2"/>
  <c r="C289" i="2"/>
  <c r="B289" i="2"/>
  <c r="F288" i="2"/>
  <c r="E288" i="2"/>
  <c r="D288" i="2"/>
  <c r="C288" i="2"/>
  <c r="B288" i="2"/>
  <c r="F287" i="2"/>
  <c r="E287" i="2"/>
  <c r="D287" i="2"/>
  <c r="C287" i="2"/>
  <c r="B287" i="2"/>
  <c r="F286" i="2"/>
  <c r="E286" i="2"/>
  <c r="D286" i="2"/>
  <c r="C286" i="2"/>
  <c r="B286" i="2"/>
  <c r="F285" i="2"/>
  <c r="E285" i="2"/>
  <c r="D285" i="2"/>
  <c r="C285" i="2"/>
  <c r="B285" i="2"/>
  <c r="F284" i="2"/>
  <c r="E284" i="2"/>
  <c r="D284" i="2"/>
  <c r="C284" i="2"/>
  <c r="B284" i="2"/>
  <c r="F283" i="2"/>
  <c r="E283" i="2"/>
  <c r="D283" i="2"/>
  <c r="C283" i="2"/>
  <c r="B283" i="2"/>
  <c r="F282" i="2"/>
  <c r="E282" i="2"/>
  <c r="D282" i="2"/>
  <c r="C282" i="2"/>
  <c r="B282" i="2"/>
  <c r="F280" i="2"/>
  <c r="E280" i="2"/>
  <c r="D280" i="2"/>
  <c r="C280" i="2"/>
  <c r="B280" i="2"/>
  <c r="F279" i="2"/>
  <c r="E279" i="2"/>
  <c r="D279" i="2"/>
  <c r="C279" i="2"/>
  <c r="B279" i="2"/>
  <c r="F278" i="2"/>
  <c r="E278" i="2"/>
  <c r="D278" i="2"/>
  <c r="C278" i="2"/>
  <c r="B278" i="2"/>
  <c r="F277" i="2"/>
  <c r="E277" i="2"/>
  <c r="D277" i="2"/>
  <c r="C277" i="2"/>
  <c r="B277" i="2"/>
  <c r="F275" i="2"/>
  <c r="E275" i="2"/>
  <c r="D275" i="2"/>
  <c r="C275" i="2"/>
  <c r="B275" i="2"/>
  <c r="F274" i="2"/>
  <c r="E274" i="2"/>
  <c r="D274" i="2"/>
  <c r="C274" i="2"/>
  <c r="B274" i="2"/>
  <c r="F273" i="2"/>
  <c r="E273" i="2"/>
  <c r="D273" i="2"/>
  <c r="C273" i="2"/>
  <c r="B273" i="2"/>
  <c r="F272" i="2"/>
  <c r="E272" i="2"/>
  <c r="D272" i="2"/>
  <c r="C272" i="2"/>
  <c r="B272" i="2"/>
  <c r="F271" i="2"/>
  <c r="E271" i="2"/>
  <c r="D271" i="2"/>
  <c r="C271" i="2"/>
  <c r="B271" i="2"/>
  <c r="F270" i="2"/>
  <c r="E270" i="2"/>
  <c r="D270" i="2"/>
  <c r="C270" i="2"/>
  <c r="B270" i="2"/>
  <c r="F269" i="2"/>
  <c r="E269" i="2"/>
  <c r="D269" i="2"/>
  <c r="C269" i="2"/>
  <c r="B269" i="2"/>
  <c r="F268" i="2"/>
  <c r="E268" i="2"/>
  <c r="D268" i="2"/>
  <c r="C268" i="2"/>
  <c r="B268" i="2"/>
  <c r="F267" i="2"/>
  <c r="E267" i="2"/>
  <c r="D267" i="2"/>
  <c r="C267" i="2"/>
  <c r="B267" i="2"/>
  <c r="F266" i="2"/>
  <c r="E266" i="2"/>
  <c r="D266" i="2"/>
  <c r="C266" i="2"/>
  <c r="B266" i="2"/>
  <c r="F265" i="2"/>
  <c r="E265" i="2"/>
  <c r="D265" i="2"/>
  <c r="C265" i="2"/>
  <c r="B265" i="2"/>
  <c r="F264" i="2"/>
  <c r="E264" i="2"/>
  <c r="D264" i="2"/>
  <c r="C264" i="2"/>
  <c r="B264" i="2"/>
  <c r="F263" i="2"/>
  <c r="E263" i="2"/>
  <c r="D263" i="2"/>
  <c r="C263" i="2"/>
  <c r="B263" i="2"/>
  <c r="F262" i="2"/>
  <c r="E262" i="2"/>
  <c r="D262" i="2"/>
  <c r="C262" i="2"/>
  <c r="B262" i="2"/>
  <c r="F261" i="2"/>
  <c r="E261" i="2"/>
  <c r="D261" i="2"/>
  <c r="C261" i="2"/>
  <c r="B261" i="2"/>
  <c r="F260" i="2"/>
  <c r="E260" i="2"/>
  <c r="D260" i="2"/>
  <c r="C260" i="2"/>
  <c r="B260" i="2"/>
  <c r="F259" i="2"/>
  <c r="E259" i="2"/>
  <c r="D259" i="2"/>
  <c r="C259" i="2"/>
  <c r="B259" i="2"/>
  <c r="F258" i="2"/>
  <c r="E258" i="2"/>
  <c r="D258" i="2"/>
  <c r="C258" i="2"/>
  <c r="B258" i="2"/>
  <c r="F257" i="2"/>
  <c r="E257" i="2"/>
  <c r="D257" i="2"/>
  <c r="C257" i="2"/>
  <c r="B257" i="2"/>
  <c r="F254" i="2"/>
  <c r="E254" i="2"/>
  <c r="D254" i="2"/>
  <c r="C254" i="2"/>
  <c r="B254" i="2"/>
  <c r="F253" i="2"/>
  <c r="E253" i="2"/>
  <c r="D253" i="2"/>
  <c r="C253" i="2"/>
  <c r="B253" i="2"/>
  <c r="F252" i="2"/>
  <c r="E252" i="2"/>
  <c r="D252" i="2"/>
  <c r="C252" i="2"/>
  <c r="B252" i="2"/>
  <c r="F251" i="2"/>
  <c r="E251" i="2"/>
  <c r="D251" i="2"/>
  <c r="C251" i="2"/>
  <c r="B251" i="2"/>
  <c r="F250" i="2"/>
  <c r="E250" i="2"/>
  <c r="D250" i="2"/>
  <c r="C250" i="2"/>
  <c r="B250" i="2"/>
  <c r="F249" i="2"/>
  <c r="E249" i="2"/>
  <c r="D249" i="2"/>
  <c r="C249" i="2"/>
  <c r="B249" i="2"/>
  <c r="F248" i="2"/>
  <c r="E248" i="2"/>
  <c r="D248" i="2"/>
  <c r="C248" i="2"/>
  <c r="B248" i="2"/>
  <c r="F246" i="2"/>
  <c r="E246" i="2"/>
  <c r="D246" i="2"/>
  <c r="C246" i="2"/>
  <c r="B246" i="2"/>
  <c r="F245" i="2"/>
  <c r="E245" i="2"/>
  <c r="D245" i="2"/>
  <c r="C245" i="2"/>
  <c r="B245" i="2"/>
  <c r="F244" i="2"/>
  <c r="E244" i="2"/>
  <c r="D244" i="2"/>
  <c r="C244" i="2"/>
  <c r="B244" i="2"/>
  <c r="F243" i="2"/>
  <c r="E243" i="2"/>
  <c r="D243" i="2"/>
  <c r="C243" i="2"/>
  <c r="B243" i="2"/>
  <c r="F242" i="2"/>
  <c r="E242" i="2"/>
  <c r="D242" i="2"/>
  <c r="C242" i="2"/>
  <c r="B242" i="2"/>
  <c r="F241" i="2"/>
  <c r="E241" i="2"/>
  <c r="D241" i="2"/>
  <c r="C241" i="2"/>
  <c r="B241" i="2"/>
  <c r="F240" i="2"/>
  <c r="E240" i="2"/>
  <c r="D240" i="2"/>
  <c r="C240" i="2"/>
  <c r="B240" i="2"/>
  <c r="F239" i="2"/>
  <c r="E239" i="2"/>
  <c r="D239" i="2"/>
  <c r="C239" i="2"/>
  <c r="B239" i="2"/>
  <c r="F238" i="2"/>
  <c r="E238" i="2"/>
  <c r="D238" i="2"/>
  <c r="C238" i="2"/>
  <c r="B238" i="2"/>
  <c r="F237" i="2"/>
  <c r="E237" i="2"/>
  <c r="D237" i="2"/>
  <c r="C237" i="2"/>
  <c r="B237" i="2"/>
  <c r="F236" i="2"/>
  <c r="E236" i="2"/>
  <c r="D236" i="2"/>
  <c r="C236" i="2"/>
  <c r="B236" i="2"/>
  <c r="F234" i="2"/>
  <c r="E234" i="2"/>
  <c r="D234" i="2"/>
  <c r="C234" i="2"/>
  <c r="B234" i="2"/>
  <c r="F233" i="2"/>
  <c r="E233" i="2"/>
  <c r="D233" i="2"/>
  <c r="C233" i="2"/>
  <c r="B233" i="2"/>
  <c r="F232" i="2"/>
  <c r="E232" i="2"/>
  <c r="D232" i="2"/>
  <c r="C232" i="2"/>
  <c r="B232" i="2"/>
  <c r="F231" i="2"/>
  <c r="E231" i="2"/>
  <c r="D231" i="2"/>
  <c r="C231" i="2"/>
  <c r="B231" i="2"/>
  <c r="F230" i="2"/>
  <c r="E230" i="2"/>
  <c r="D230" i="2"/>
  <c r="C230" i="2"/>
  <c r="B230" i="2"/>
  <c r="F229" i="2"/>
  <c r="E229" i="2"/>
  <c r="D229" i="2"/>
  <c r="C229" i="2"/>
  <c r="B229" i="2"/>
  <c r="F228" i="2"/>
  <c r="E228" i="2"/>
  <c r="D228" i="2"/>
  <c r="C228" i="2"/>
  <c r="B228" i="2"/>
  <c r="F227" i="2"/>
  <c r="E227" i="2"/>
  <c r="D227" i="2"/>
  <c r="C227" i="2"/>
  <c r="B227" i="2"/>
  <c r="F226" i="2"/>
  <c r="E226" i="2"/>
  <c r="D226" i="2"/>
  <c r="C226" i="2"/>
  <c r="B226" i="2"/>
  <c r="F225" i="2"/>
  <c r="E225" i="2"/>
  <c r="D225" i="2"/>
  <c r="C225" i="2"/>
  <c r="B225" i="2"/>
  <c r="F224" i="2"/>
  <c r="E224" i="2"/>
  <c r="D224" i="2"/>
  <c r="C224" i="2"/>
  <c r="B224" i="2"/>
  <c r="F223" i="2"/>
  <c r="E223" i="2"/>
  <c r="D223" i="2"/>
  <c r="C223" i="2"/>
  <c r="B223" i="2"/>
  <c r="F222" i="2"/>
  <c r="E222" i="2"/>
  <c r="D222" i="2"/>
  <c r="C222" i="2"/>
  <c r="B222" i="2"/>
  <c r="F221" i="2"/>
  <c r="E221" i="2"/>
  <c r="D221" i="2"/>
  <c r="C221" i="2"/>
  <c r="B221" i="2"/>
  <c r="F220" i="2"/>
  <c r="E220" i="2"/>
  <c r="D220" i="2"/>
  <c r="C220" i="2"/>
  <c r="B220" i="2"/>
  <c r="F219" i="2"/>
  <c r="E219" i="2"/>
  <c r="D219" i="2"/>
  <c r="C219" i="2"/>
  <c r="B219" i="2"/>
  <c r="F218" i="2"/>
  <c r="E218" i="2"/>
  <c r="D218" i="2"/>
  <c r="C218" i="2"/>
  <c r="B218" i="2"/>
  <c r="F217" i="2"/>
  <c r="E217" i="2"/>
  <c r="D217" i="2"/>
  <c r="C217" i="2"/>
  <c r="B217" i="2"/>
  <c r="F216" i="2"/>
  <c r="E216" i="2"/>
  <c r="D216" i="2"/>
  <c r="C216" i="2"/>
  <c r="B216" i="2"/>
  <c r="F215" i="2"/>
  <c r="E215" i="2"/>
  <c r="D215" i="2"/>
  <c r="C215" i="2"/>
  <c r="B215" i="2"/>
  <c r="F214" i="2"/>
  <c r="E214" i="2"/>
  <c r="D214" i="2"/>
  <c r="C214" i="2"/>
  <c r="B214" i="2"/>
  <c r="F213" i="2"/>
  <c r="E213" i="2"/>
  <c r="D213" i="2"/>
  <c r="C213" i="2"/>
  <c r="B213" i="2"/>
  <c r="F212" i="2"/>
  <c r="E212" i="2"/>
  <c r="D212" i="2"/>
  <c r="C212" i="2"/>
  <c r="B212" i="2"/>
  <c r="F211" i="2"/>
  <c r="E211" i="2"/>
  <c r="D211" i="2"/>
  <c r="C211" i="2"/>
  <c r="B211" i="2"/>
  <c r="F210" i="2"/>
  <c r="E210" i="2"/>
  <c r="D210" i="2"/>
  <c r="C210" i="2"/>
  <c r="B210" i="2"/>
  <c r="F209" i="2"/>
  <c r="E209" i="2"/>
  <c r="D209" i="2"/>
  <c r="C209" i="2"/>
  <c r="B209" i="2"/>
  <c r="F208" i="2"/>
  <c r="E208" i="2"/>
  <c r="D208" i="2"/>
  <c r="C208" i="2"/>
  <c r="B208" i="2"/>
  <c r="F207" i="2"/>
  <c r="E207" i="2"/>
  <c r="D207" i="2"/>
  <c r="C207" i="2"/>
  <c r="B207" i="2"/>
  <c r="F206" i="2"/>
  <c r="E206" i="2"/>
  <c r="D206" i="2"/>
  <c r="C206" i="2"/>
  <c r="B206" i="2"/>
  <c r="F205" i="2"/>
  <c r="E205" i="2"/>
  <c r="D205" i="2"/>
  <c r="C205" i="2"/>
  <c r="B205" i="2"/>
  <c r="F204" i="2"/>
  <c r="E204" i="2"/>
  <c r="D204" i="2"/>
  <c r="C204" i="2"/>
  <c r="B204" i="2"/>
  <c r="F203" i="2"/>
  <c r="E203" i="2"/>
  <c r="D203" i="2"/>
  <c r="C203" i="2"/>
  <c r="B203" i="2"/>
  <c r="F202" i="2"/>
  <c r="E202" i="2"/>
  <c r="D202" i="2"/>
  <c r="C202" i="2"/>
  <c r="B202" i="2"/>
  <c r="F201" i="2"/>
  <c r="E201" i="2"/>
  <c r="D201" i="2"/>
  <c r="C201" i="2"/>
  <c r="B201" i="2"/>
  <c r="F200" i="2"/>
  <c r="E200" i="2"/>
  <c r="D200" i="2"/>
  <c r="C200" i="2"/>
  <c r="B200" i="2"/>
  <c r="F198" i="2"/>
  <c r="E198" i="2"/>
  <c r="D198" i="2"/>
  <c r="C198" i="2"/>
  <c r="B198" i="2"/>
  <c r="F197" i="2"/>
  <c r="E197" i="2"/>
  <c r="D197" i="2"/>
  <c r="C197" i="2"/>
  <c r="B197" i="2"/>
  <c r="F196" i="2"/>
  <c r="E196" i="2"/>
  <c r="D196" i="2"/>
  <c r="C196" i="2"/>
  <c r="B196" i="2"/>
  <c r="F195" i="2"/>
  <c r="E195" i="2"/>
  <c r="D195" i="2"/>
  <c r="C195" i="2"/>
  <c r="B195" i="2"/>
  <c r="F194" i="2"/>
  <c r="E194" i="2"/>
  <c r="D194" i="2"/>
  <c r="C194" i="2"/>
  <c r="B194" i="2"/>
  <c r="F193" i="2"/>
  <c r="E193" i="2"/>
  <c r="D193" i="2"/>
  <c r="C193" i="2"/>
  <c r="B193" i="2"/>
  <c r="F192" i="2"/>
  <c r="E192" i="2"/>
  <c r="D192" i="2"/>
  <c r="C192" i="2"/>
  <c r="B192" i="2"/>
  <c r="F191" i="2"/>
  <c r="E191" i="2"/>
  <c r="D191" i="2"/>
  <c r="C191" i="2"/>
  <c r="B191" i="2"/>
  <c r="F190" i="2"/>
  <c r="E190" i="2"/>
  <c r="D190" i="2"/>
  <c r="C190" i="2"/>
  <c r="B190" i="2"/>
  <c r="F189" i="2"/>
  <c r="E189" i="2"/>
  <c r="D189" i="2"/>
  <c r="C189" i="2"/>
  <c r="B189" i="2"/>
  <c r="F188" i="2"/>
  <c r="E188" i="2"/>
  <c r="D188" i="2"/>
  <c r="C188" i="2"/>
  <c r="B188" i="2"/>
  <c r="F187" i="2"/>
  <c r="E187" i="2"/>
  <c r="D187" i="2"/>
  <c r="C187" i="2"/>
  <c r="B187" i="2"/>
  <c r="F186" i="2"/>
  <c r="E186" i="2"/>
  <c r="D186" i="2"/>
  <c r="C186" i="2"/>
  <c r="B186" i="2"/>
  <c r="F185" i="2"/>
  <c r="E185" i="2"/>
  <c r="D185" i="2"/>
  <c r="C185" i="2"/>
  <c r="B185" i="2"/>
  <c r="F184" i="2"/>
  <c r="E184" i="2"/>
  <c r="D184" i="2"/>
  <c r="C184" i="2"/>
  <c r="B184" i="2"/>
  <c r="F183" i="2"/>
  <c r="E183" i="2"/>
  <c r="D183" i="2"/>
  <c r="C183" i="2"/>
  <c r="B183" i="2"/>
  <c r="F182" i="2"/>
  <c r="E182" i="2"/>
  <c r="D182" i="2"/>
  <c r="C182" i="2"/>
  <c r="B182" i="2"/>
  <c r="F181" i="2"/>
  <c r="E181" i="2"/>
  <c r="D181" i="2"/>
  <c r="C181" i="2"/>
  <c r="B181" i="2"/>
  <c r="F180" i="2"/>
  <c r="E180" i="2"/>
  <c r="D180" i="2"/>
  <c r="C180" i="2"/>
  <c r="B180" i="2"/>
  <c r="F179" i="2"/>
  <c r="E179" i="2"/>
  <c r="D179" i="2"/>
  <c r="C179" i="2"/>
  <c r="B179" i="2"/>
  <c r="F178" i="2"/>
  <c r="E178" i="2"/>
  <c r="D178" i="2"/>
  <c r="C178" i="2"/>
  <c r="B178" i="2"/>
  <c r="F177" i="2"/>
  <c r="E177" i="2"/>
  <c r="D177" i="2"/>
  <c r="C177" i="2"/>
  <c r="B177" i="2"/>
  <c r="F176" i="2"/>
  <c r="E176" i="2"/>
  <c r="D176" i="2"/>
  <c r="C176" i="2"/>
  <c r="B176" i="2"/>
  <c r="F175" i="2"/>
  <c r="E175" i="2"/>
  <c r="D175" i="2"/>
  <c r="C175" i="2"/>
  <c r="B175" i="2"/>
  <c r="F174" i="2"/>
  <c r="E174" i="2"/>
  <c r="D174" i="2"/>
  <c r="C174" i="2"/>
  <c r="B174" i="2"/>
  <c r="F173" i="2"/>
  <c r="E173" i="2"/>
  <c r="D173" i="2"/>
  <c r="C173" i="2"/>
  <c r="B173" i="2"/>
  <c r="F172" i="2"/>
  <c r="E172" i="2"/>
  <c r="D172" i="2"/>
  <c r="C172" i="2"/>
  <c r="B172" i="2"/>
  <c r="F169" i="2"/>
  <c r="E169" i="2"/>
  <c r="D169" i="2"/>
  <c r="C169" i="2"/>
  <c r="B169" i="2"/>
  <c r="F168" i="2"/>
  <c r="E168" i="2"/>
  <c r="D168" i="2"/>
  <c r="C168" i="2"/>
  <c r="B168" i="2"/>
  <c r="F167" i="2"/>
  <c r="E167" i="2"/>
  <c r="D167" i="2"/>
  <c r="C167" i="2"/>
  <c r="B167" i="2"/>
  <c r="F166" i="2"/>
  <c r="E166" i="2"/>
  <c r="D166" i="2"/>
  <c r="C166" i="2"/>
  <c r="B166" i="2"/>
  <c r="F165" i="2"/>
  <c r="E165" i="2"/>
  <c r="D165" i="2"/>
  <c r="C165" i="2"/>
  <c r="B165" i="2"/>
  <c r="F164" i="2"/>
  <c r="E164" i="2"/>
  <c r="D164" i="2"/>
  <c r="C164" i="2"/>
  <c r="B164" i="2"/>
  <c r="F163" i="2"/>
  <c r="E163" i="2"/>
  <c r="D163" i="2"/>
  <c r="C163" i="2"/>
  <c r="B163" i="2"/>
  <c r="F162" i="2"/>
  <c r="E162" i="2"/>
  <c r="D162" i="2"/>
  <c r="C162" i="2"/>
  <c r="B162" i="2"/>
  <c r="F161" i="2"/>
  <c r="E161" i="2"/>
  <c r="D161" i="2"/>
  <c r="C161" i="2"/>
  <c r="B161" i="2"/>
  <c r="F159" i="2"/>
  <c r="E159" i="2"/>
  <c r="D159" i="2"/>
  <c r="C159" i="2"/>
  <c r="B159" i="2"/>
  <c r="F156" i="2"/>
  <c r="E156" i="2"/>
  <c r="D156" i="2"/>
  <c r="C156" i="2"/>
  <c r="B156" i="2"/>
  <c r="F155" i="2"/>
  <c r="E155" i="2"/>
  <c r="D155" i="2"/>
  <c r="C155" i="2"/>
  <c r="B155" i="2"/>
  <c r="F154" i="2"/>
  <c r="E154" i="2"/>
  <c r="D154" i="2"/>
  <c r="C154" i="2"/>
  <c r="B154" i="2"/>
  <c r="F153" i="2"/>
  <c r="E153" i="2"/>
  <c r="D153" i="2"/>
  <c r="C153" i="2"/>
  <c r="B153" i="2"/>
  <c r="F152" i="2"/>
  <c r="E152" i="2"/>
  <c r="D152" i="2"/>
  <c r="C152" i="2"/>
  <c r="B152" i="2"/>
  <c r="F151" i="2"/>
  <c r="E151" i="2"/>
  <c r="D151" i="2"/>
  <c r="C151" i="2"/>
  <c r="B151" i="2"/>
  <c r="F150" i="2"/>
  <c r="E150" i="2"/>
  <c r="D150" i="2"/>
  <c r="C150" i="2"/>
  <c r="B150" i="2"/>
  <c r="F149" i="2"/>
  <c r="E149" i="2"/>
  <c r="D149" i="2"/>
  <c r="C149" i="2"/>
  <c r="B149" i="2"/>
  <c r="F148" i="2"/>
  <c r="E148" i="2"/>
  <c r="D148" i="2"/>
  <c r="C148" i="2"/>
  <c r="B148" i="2"/>
  <c r="F147" i="2"/>
  <c r="E147" i="2"/>
  <c r="D147" i="2"/>
  <c r="C147" i="2"/>
  <c r="B147" i="2"/>
  <c r="F146" i="2"/>
  <c r="E146" i="2"/>
  <c r="D146" i="2"/>
  <c r="C146" i="2"/>
  <c r="B146" i="2"/>
  <c r="F145" i="2"/>
  <c r="E145" i="2"/>
  <c r="D145" i="2"/>
  <c r="C145" i="2"/>
  <c r="B145" i="2"/>
  <c r="F144" i="2"/>
  <c r="E144" i="2"/>
  <c r="D144" i="2"/>
  <c r="C144" i="2"/>
  <c r="B144" i="2"/>
  <c r="F143" i="2"/>
  <c r="E143" i="2"/>
  <c r="D143" i="2"/>
  <c r="C143" i="2"/>
  <c r="B143" i="2"/>
  <c r="F142" i="2"/>
  <c r="E142" i="2"/>
  <c r="D142" i="2"/>
  <c r="C142" i="2"/>
  <c r="B142" i="2"/>
  <c r="F141" i="2"/>
  <c r="E141" i="2"/>
  <c r="D141" i="2"/>
  <c r="C141" i="2"/>
  <c r="B141" i="2"/>
  <c r="F140" i="2"/>
  <c r="E140" i="2"/>
  <c r="D140" i="2"/>
  <c r="C140" i="2"/>
  <c r="B140" i="2"/>
  <c r="F139" i="2"/>
  <c r="E139" i="2"/>
  <c r="D139" i="2"/>
  <c r="C139" i="2"/>
  <c r="B139" i="2"/>
  <c r="F138" i="2"/>
  <c r="E138" i="2"/>
  <c r="D138" i="2"/>
  <c r="C138" i="2"/>
  <c r="B138" i="2"/>
  <c r="F137" i="2"/>
  <c r="E137" i="2"/>
  <c r="D137" i="2"/>
  <c r="C137" i="2"/>
  <c r="B137" i="2"/>
  <c r="F136" i="2"/>
  <c r="E136" i="2"/>
  <c r="D136" i="2"/>
  <c r="C136" i="2"/>
  <c r="B136" i="2"/>
  <c r="F135" i="2"/>
  <c r="E135" i="2"/>
  <c r="D135" i="2"/>
  <c r="C135" i="2"/>
  <c r="B135" i="2"/>
  <c r="F134" i="2"/>
  <c r="E134" i="2"/>
  <c r="D134" i="2"/>
  <c r="C134" i="2"/>
  <c r="B134" i="2"/>
  <c r="F133" i="2"/>
  <c r="E133" i="2"/>
  <c r="D133" i="2"/>
  <c r="C133" i="2"/>
  <c r="B133" i="2"/>
  <c r="F132" i="2"/>
  <c r="E132" i="2"/>
  <c r="D132" i="2"/>
  <c r="C132" i="2"/>
  <c r="B132" i="2"/>
  <c r="F131" i="2"/>
  <c r="E131" i="2"/>
  <c r="D131" i="2"/>
  <c r="C131" i="2"/>
  <c r="B131" i="2"/>
  <c r="F130" i="2"/>
  <c r="E130" i="2"/>
  <c r="D130" i="2"/>
  <c r="C130" i="2"/>
  <c r="B130" i="2"/>
  <c r="F129" i="2"/>
  <c r="E129" i="2"/>
  <c r="D129" i="2"/>
  <c r="C129" i="2"/>
  <c r="F127" i="2"/>
  <c r="E127" i="2"/>
  <c r="D127" i="2"/>
  <c r="C127" i="2"/>
  <c r="B127" i="2"/>
  <c r="F125" i="2"/>
  <c r="E125" i="2"/>
  <c r="D125" i="2"/>
  <c r="C125" i="2"/>
  <c r="B125" i="2"/>
  <c r="F124" i="2"/>
  <c r="E124" i="2"/>
  <c r="D124" i="2"/>
  <c r="C124" i="2"/>
  <c r="B124" i="2"/>
  <c r="F123" i="2"/>
  <c r="E123" i="2"/>
  <c r="D123" i="2"/>
  <c r="C123" i="2"/>
  <c r="B123" i="2"/>
  <c r="F122" i="2"/>
  <c r="E122" i="2"/>
  <c r="D122" i="2"/>
  <c r="C122" i="2"/>
  <c r="B122" i="2"/>
  <c r="F121" i="2"/>
  <c r="E121" i="2"/>
  <c r="D121" i="2"/>
  <c r="C121" i="2"/>
  <c r="B121" i="2"/>
  <c r="F120" i="2"/>
  <c r="E120" i="2"/>
  <c r="D120" i="2"/>
  <c r="C120" i="2"/>
  <c r="B120" i="2"/>
  <c r="F119" i="2"/>
  <c r="E119" i="2"/>
  <c r="D119" i="2"/>
  <c r="C119" i="2"/>
  <c r="B119" i="2"/>
  <c r="F118" i="2"/>
  <c r="E118" i="2"/>
  <c r="D118" i="2"/>
  <c r="C118" i="2"/>
  <c r="B118" i="2"/>
  <c r="F117" i="2"/>
  <c r="E117" i="2"/>
  <c r="D117" i="2"/>
  <c r="C117" i="2"/>
  <c r="B117" i="2"/>
  <c r="F116" i="2"/>
  <c r="E116" i="2"/>
  <c r="D116" i="2"/>
  <c r="C116" i="2"/>
  <c r="B116" i="2"/>
  <c r="F115" i="2"/>
  <c r="E115" i="2"/>
  <c r="D115" i="2"/>
  <c r="C115" i="2"/>
  <c r="B115" i="2"/>
  <c r="F114" i="2"/>
  <c r="E114" i="2"/>
  <c r="D114" i="2"/>
  <c r="C114" i="2"/>
  <c r="B114" i="2"/>
  <c r="F113" i="2"/>
  <c r="E113" i="2"/>
  <c r="D113" i="2"/>
  <c r="C113" i="2"/>
  <c r="B113" i="2"/>
  <c r="F112" i="2"/>
  <c r="E112" i="2"/>
  <c r="D112" i="2"/>
  <c r="C112" i="2"/>
  <c r="B112" i="2"/>
  <c r="F111" i="2"/>
  <c r="E111" i="2"/>
  <c r="D111" i="2"/>
  <c r="C111" i="2"/>
  <c r="B111" i="2"/>
  <c r="F110" i="2"/>
  <c r="E110" i="2"/>
  <c r="D110" i="2"/>
  <c r="C110" i="2"/>
  <c r="B110" i="2"/>
  <c r="F109" i="2"/>
  <c r="E109" i="2"/>
  <c r="D109" i="2"/>
  <c r="C109" i="2"/>
  <c r="B109" i="2"/>
  <c r="F108" i="2"/>
  <c r="E108" i="2"/>
  <c r="D108" i="2"/>
  <c r="C108" i="2"/>
  <c r="B108" i="2"/>
  <c r="F107" i="2"/>
  <c r="E107" i="2"/>
  <c r="D107" i="2"/>
  <c r="C107" i="2"/>
  <c r="B107" i="2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2" i="2"/>
  <c r="E102" i="2"/>
  <c r="D102" i="2"/>
  <c r="C102" i="2"/>
  <c r="B102" i="2"/>
  <c r="F101" i="2"/>
  <c r="E101" i="2"/>
  <c r="D101" i="2"/>
  <c r="C101" i="2"/>
  <c r="B101" i="2"/>
  <c r="F100" i="2"/>
  <c r="E100" i="2"/>
  <c r="D100" i="2"/>
  <c r="C100" i="2"/>
  <c r="B100" i="2"/>
  <c r="F99" i="2"/>
  <c r="E99" i="2"/>
  <c r="D99" i="2"/>
  <c r="C99" i="2"/>
  <c r="B99" i="2"/>
  <c r="F98" i="2"/>
  <c r="E98" i="2"/>
  <c r="D98" i="2"/>
  <c r="C98" i="2"/>
  <c r="B98" i="2"/>
  <c r="F97" i="2"/>
  <c r="E97" i="2"/>
  <c r="D97" i="2"/>
  <c r="C97" i="2"/>
  <c r="B97" i="2"/>
  <c r="F96" i="2"/>
  <c r="E96" i="2"/>
  <c r="D96" i="2"/>
  <c r="C96" i="2"/>
  <c r="B96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6" i="2"/>
  <c r="E86" i="2"/>
  <c r="D86" i="2"/>
  <c r="C86" i="2"/>
  <c r="B86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D235" i="1" l="1"/>
  <c r="E235" i="1" s="1"/>
  <c r="D247" i="1"/>
  <c r="E247" i="1" s="1"/>
  <c r="D281" i="1"/>
  <c r="E281" i="1" s="1"/>
  <c r="D512" i="1"/>
  <c r="E512" i="1" s="1"/>
  <c r="D276" i="1" l="1"/>
  <c r="E276" i="1" s="1"/>
  <c r="D126" i="1" l="1"/>
  <c r="E126" i="1" s="1"/>
  <c r="D128" i="1"/>
  <c r="E128" i="1" s="1"/>
  <c r="E157" i="1"/>
  <c r="D158" i="1"/>
  <c r="E158" i="1" s="1"/>
  <c r="D160" i="1"/>
  <c r="E160" i="1" s="1"/>
  <c r="D501" i="1"/>
  <c r="E501" i="1" s="1"/>
  <c r="D545" i="1"/>
  <c r="E545" i="1" s="1"/>
  <c r="D103" i="1" l="1"/>
  <c r="E103" i="1" s="1"/>
  <c r="D384" i="1"/>
  <c r="E384" i="1" s="1"/>
  <c r="D550" i="1"/>
  <c r="E550" i="1" s="1"/>
  <c r="D85" i="1" l="1"/>
  <c r="E85" i="1" s="1"/>
  <c r="D304" i="1"/>
  <c r="E304" i="1" s="1"/>
  <c r="D78" i="1" l="1"/>
  <c r="E78" i="1" s="1"/>
  <c r="D530" i="1"/>
  <c r="E530" i="1" s="1"/>
  <c r="D442" i="1" l="1"/>
  <c r="E442" i="1" s="1"/>
  <c r="D500" i="1" l="1"/>
  <c r="E500" i="1" s="1"/>
  <c r="D557" i="1"/>
  <c r="E557" i="1" s="1"/>
  <c r="D199" i="1" l="1"/>
  <c r="E199" i="1" s="1"/>
  <c r="D26" i="1" l="1"/>
  <c r="E26" i="1" s="1"/>
  <c r="D431" i="1"/>
  <c r="E431" i="1" s="1"/>
  <c r="D525" i="1" l="1"/>
  <c r="E525" i="1" s="1"/>
  <c r="D526" i="1" l="1"/>
  <c r="E526" i="1" s="1"/>
  <c r="D455" i="1" l="1"/>
  <c r="E455" i="1" s="1"/>
  <c r="D490" i="1" l="1"/>
  <c r="E490" i="1" s="1"/>
  <c r="D548" i="1" l="1"/>
  <c r="E548" i="1" s="1"/>
  <c r="D394" i="1" l="1"/>
  <c r="E394" i="1" s="1"/>
  <c r="D516" i="1" l="1"/>
  <c r="E516" i="1" s="1"/>
  <c r="D15" i="1" l="1"/>
  <c r="E15" i="1" s="1"/>
  <c r="D171" i="1" l="1"/>
  <c r="E171" i="1" s="1"/>
  <c r="D539" i="1"/>
  <c r="E539" i="1" s="1"/>
  <c r="D416" i="1" l="1"/>
  <c r="E416" i="1" s="1"/>
  <c r="D531" i="1"/>
  <c r="E531" i="1" s="1"/>
  <c r="D256" i="1" l="1"/>
  <c r="E256" i="1" s="1"/>
  <c r="D520" i="1" l="1"/>
  <c r="E520" i="1" s="1"/>
  <c r="D551" i="1"/>
  <c r="E551" i="1" s="1"/>
  <c r="D556" i="1"/>
  <c r="E556" i="1" s="1"/>
  <c r="D555" i="1"/>
  <c r="E555" i="1" s="1"/>
  <c r="D554" i="1"/>
  <c r="E554" i="1" s="1"/>
  <c r="I15" i="1" l="1"/>
  <c r="H15" i="1" l="1"/>
  <c r="H16" i="1" s="1"/>
  <c r="H17" i="1" s="1"/>
  <c r="H18" i="1" s="1"/>
  <c r="H19" i="1" s="1"/>
  <c r="F15" i="2"/>
  <c r="E15" i="2"/>
  <c r="C15" i="2"/>
  <c r="B15" i="2"/>
  <c r="D15" i="2"/>
  <c r="I20" i="1" l="1"/>
  <c r="F20" i="2" l="1"/>
  <c r="E20" i="2"/>
  <c r="C20" i="2"/>
  <c r="D20" i="2"/>
  <c r="H20" i="1"/>
  <c r="H21" i="1" s="1"/>
  <c r="H22" i="1" s="1"/>
  <c r="H23" i="1" s="1"/>
  <c r="H24" i="1" s="1"/>
  <c r="H25" i="1" s="1"/>
  <c r="B20" i="2" l="1"/>
  <c r="I26" i="1" l="1"/>
  <c r="F26" i="2" l="1"/>
  <c r="E26" i="2"/>
  <c r="C26" i="2"/>
  <c r="D26" i="2"/>
  <c r="H26" i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B26" i="2" l="1"/>
  <c r="I78" i="1" l="1"/>
  <c r="F78" i="2" l="1"/>
  <c r="E78" i="2"/>
  <c r="C78" i="2"/>
  <c r="D78" i="2"/>
  <c r="H78" i="1"/>
  <c r="H79" i="1" s="1"/>
  <c r="H80" i="1" s="1"/>
  <c r="H81" i="1" s="1"/>
  <c r="H82" i="1" s="1"/>
  <c r="H83" i="1" s="1"/>
  <c r="H84" i="1" s="1"/>
  <c r="B78" i="2" l="1"/>
  <c r="I85" i="1" l="1"/>
  <c r="F85" i="2" l="1"/>
  <c r="E85" i="2"/>
  <c r="C85" i="2"/>
  <c r="D85" i="2"/>
  <c r="H85" i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B85" i="2" l="1"/>
  <c r="I103" i="1" l="1"/>
  <c r="F103" i="2" l="1"/>
  <c r="E103" i="2"/>
  <c r="C103" i="2"/>
  <c r="D103" i="2"/>
  <c r="H103" i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B103" i="2" l="1"/>
  <c r="I126" i="1" l="1"/>
  <c r="F126" i="2" l="1"/>
  <c r="E126" i="2"/>
  <c r="C126" i="2"/>
  <c r="D126" i="2"/>
  <c r="H126" i="1"/>
  <c r="H127" i="1" s="1"/>
  <c r="B126" i="2" l="1"/>
  <c r="I128" i="1"/>
  <c r="F128" i="2" l="1"/>
  <c r="E128" i="2"/>
  <c r="C128" i="2"/>
  <c r="D128" i="2"/>
  <c r="H128" i="1"/>
  <c r="H129" i="1" s="1"/>
  <c r="H130" i="1" l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B129" i="2"/>
  <c r="B128" i="2"/>
  <c r="I157" i="1" l="1"/>
  <c r="F157" i="2" l="1"/>
  <c r="E157" i="2"/>
  <c r="C157" i="2"/>
  <c r="D157" i="2"/>
  <c r="H157" i="1"/>
  <c r="I158" i="1"/>
  <c r="F158" i="2" l="1"/>
  <c r="E158" i="2"/>
  <c r="C158" i="2"/>
  <c r="D158" i="2"/>
  <c r="H158" i="1"/>
  <c r="H159" i="1" s="1"/>
  <c r="B157" i="2"/>
  <c r="B158" i="2" l="1"/>
  <c r="I160" i="1"/>
  <c r="F160" i="2" l="1"/>
  <c r="E160" i="2"/>
  <c r="C160" i="2"/>
  <c r="D160" i="2"/>
  <c r="H160" i="1"/>
  <c r="H161" i="1" s="1"/>
  <c r="H162" i="1" s="1"/>
  <c r="H163" i="1" s="1"/>
  <c r="H164" i="1" s="1"/>
  <c r="H165" i="1" s="1"/>
  <c r="H166" i="1" s="1"/>
  <c r="H167" i="1" s="1"/>
  <c r="H168" i="1" s="1"/>
  <c r="H169" i="1" s="1"/>
  <c r="B160" i="2" l="1"/>
  <c r="I170" i="1" l="1"/>
  <c r="F170" i="2" l="1"/>
  <c r="E170" i="2"/>
  <c r="D170" i="2"/>
  <c r="C170" i="2"/>
  <c r="H170" i="1"/>
  <c r="I171" i="1"/>
  <c r="F171" i="2" l="1"/>
  <c r="E171" i="2"/>
  <c r="D171" i="2"/>
  <c r="C171" i="2"/>
  <c r="H171" i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B170" i="2"/>
  <c r="B171" i="2" l="1"/>
  <c r="I199" i="1" l="1"/>
  <c r="F199" i="2" l="1"/>
  <c r="E199" i="2"/>
  <c r="D199" i="2"/>
  <c r="C199" i="2"/>
  <c r="H199" i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B199" i="2" l="1"/>
  <c r="I235" i="1" l="1"/>
  <c r="F235" i="2" l="1"/>
  <c r="E235" i="2"/>
  <c r="D235" i="2"/>
  <c r="C235" i="2"/>
  <c r="H235" i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B235" i="2" l="1"/>
  <c r="I247" i="1" l="1"/>
  <c r="F247" i="2" l="1"/>
  <c r="E247" i="2"/>
  <c r="D247" i="2"/>
  <c r="C247" i="2"/>
  <c r="H247" i="1"/>
  <c r="H248" i="1" s="1"/>
  <c r="H249" i="1" s="1"/>
  <c r="H250" i="1" s="1"/>
  <c r="H251" i="1" s="1"/>
  <c r="H252" i="1" s="1"/>
  <c r="H253" i="1" s="1"/>
  <c r="H254" i="1" s="1"/>
  <c r="B247" i="2" l="1"/>
  <c r="I255" i="1" l="1"/>
  <c r="F255" i="2" l="1"/>
  <c r="E255" i="2"/>
  <c r="D255" i="2"/>
  <c r="C255" i="2"/>
  <c r="H255" i="1"/>
  <c r="I256" i="1"/>
  <c r="F256" i="2" l="1"/>
  <c r="E256" i="2"/>
  <c r="D256" i="2"/>
  <c r="C256" i="2"/>
  <c r="H256" i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B255" i="2"/>
  <c r="B256" i="2" l="1"/>
  <c r="I276" i="1" l="1"/>
  <c r="F276" i="2" l="1"/>
  <c r="E276" i="2"/>
  <c r="D276" i="2"/>
  <c r="C276" i="2"/>
  <c r="H276" i="1"/>
  <c r="H277" i="1" s="1"/>
  <c r="H278" i="1" s="1"/>
  <c r="H279" i="1" s="1"/>
  <c r="H280" i="1" s="1"/>
  <c r="B276" i="2" l="1"/>
  <c r="I281" i="1" l="1"/>
  <c r="F281" i="2" l="1"/>
  <c r="E281" i="2"/>
  <c r="D281" i="2"/>
  <c r="C281" i="2"/>
  <c r="H281" i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B281" i="2" l="1"/>
  <c r="I304" i="1" l="1"/>
  <c r="F304" i="2" l="1"/>
  <c r="E304" i="2"/>
  <c r="D304" i="2"/>
  <c r="C304" i="2"/>
  <c r="H304" i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B304" i="2" l="1"/>
  <c r="I350" i="1" l="1"/>
  <c r="F350" i="2" l="1"/>
  <c r="E350" i="2"/>
  <c r="D350" i="2"/>
  <c r="C350" i="2"/>
  <c r="H350" i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B350" i="2" l="1"/>
  <c r="I384" i="1" l="1"/>
  <c r="F384" i="2" l="1"/>
  <c r="E384" i="2"/>
  <c r="D384" i="2"/>
  <c r="C384" i="2"/>
  <c r="H384" i="1"/>
  <c r="H385" i="1" s="1"/>
  <c r="H386" i="1" s="1"/>
  <c r="H387" i="1" s="1"/>
  <c r="H388" i="1" s="1"/>
  <c r="H389" i="1" s="1"/>
  <c r="H390" i="1" s="1"/>
  <c r="H391" i="1" s="1"/>
  <c r="H392" i="1" s="1"/>
  <c r="H393" i="1" s="1"/>
  <c r="B384" i="2" l="1"/>
  <c r="I394" i="1" l="1"/>
  <c r="F394" i="2" l="1"/>
  <c r="E394" i="2"/>
  <c r="D394" i="2"/>
  <c r="C394" i="2"/>
  <c r="H394" i="1"/>
  <c r="H395" i="1" s="1"/>
  <c r="H396" i="1" s="1"/>
  <c r="H397" i="1" s="1"/>
  <c r="H398" i="1" s="1"/>
  <c r="H399" i="1" s="1"/>
  <c r="B394" i="2" l="1"/>
  <c r="I400" i="1" l="1"/>
  <c r="F400" i="2" l="1"/>
  <c r="E400" i="2"/>
  <c r="D400" i="2"/>
  <c r="C400" i="2"/>
  <c r="H400" i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B400" i="2" l="1"/>
  <c r="I416" i="1" l="1"/>
  <c r="F416" i="2" l="1"/>
  <c r="E416" i="2"/>
  <c r="D416" i="2"/>
  <c r="C416" i="2"/>
  <c r="H416" i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B416" i="2" l="1"/>
  <c r="I431" i="1" l="1"/>
  <c r="F431" i="2" l="1"/>
  <c r="E431" i="2"/>
  <c r="D431" i="2"/>
  <c r="C431" i="2"/>
  <c r="H431" i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B431" i="2" l="1"/>
  <c r="I442" i="1" l="1"/>
  <c r="F442" i="2" l="1"/>
  <c r="E442" i="2"/>
  <c r="D442" i="2"/>
  <c r="C442" i="2"/>
  <c r="H442" i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B442" i="2" l="1"/>
  <c r="I455" i="1" l="1"/>
  <c r="F455" i="2" l="1"/>
  <c r="E455" i="2"/>
  <c r="D455" i="2"/>
  <c r="C455" i="2"/>
  <c r="H455" i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B455" i="2" l="1"/>
  <c r="I490" i="1" l="1"/>
  <c r="F490" i="2" l="1"/>
  <c r="E490" i="2"/>
  <c r="D490" i="2"/>
  <c r="C490" i="2"/>
  <c r="H490" i="1"/>
  <c r="H491" i="1" s="1"/>
  <c r="H492" i="1" s="1"/>
  <c r="H493" i="1" s="1"/>
  <c r="H494" i="1" s="1"/>
  <c r="H495" i="1" s="1"/>
  <c r="H496" i="1" s="1"/>
  <c r="H497" i="1" s="1"/>
  <c r="H498" i="1" s="1"/>
  <c r="H499" i="1" s="1"/>
  <c r="B490" i="2" l="1"/>
  <c r="I500" i="1" l="1"/>
  <c r="F500" i="2" l="1"/>
  <c r="E500" i="2"/>
  <c r="D500" i="2"/>
  <c r="C500" i="2"/>
  <c r="H500" i="1"/>
  <c r="I501" i="1"/>
  <c r="F501" i="2" l="1"/>
  <c r="E501" i="2"/>
  <c r="D501" i="2"/>
  <c r="C501" i="2"/>
  <c r="H501" i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B500" i="2"/>
  <c r="B501" i="2" l="1"/>
  <c r="I512" i="1" l="1"/>
  <c r="F512" i="2" l="1"/>
  <c r="E512" i="2"/>
  <c r="D512" i="2"/>
  <c r="C512" i="2"/>
  <c r="H512" i="1"/>
  <c r="H513" i="1" s="1"/>
  <c r="H514" i="1" s="1"/>
  <c r="H515" i="1" s="1"/>
  <c r="B512" i="2" l="1"/>
  <c r="I516" i="1" l="1"/>
  <c r="F516" i="2" l="1"/>
  <c r="E516" i="2"/>
  <c r="D516" i="2"/>
  <c r="C516" i="2"/>
  <c r="H516" i="1"/>
  <c r="H517" i="1" s="1"/>
  <c r="H518" i="1" s="1"/>
  <c r="H519" i="1" s="1"/>
  <c r="B516" i="2" l="1"/>
  <c r="I520" i="1" l="1"/>
  <c r="F520" i="2" l="1"/>
  <c r="E520" i="2"/>
  <c r="D520" i="2"/>
  <c r="C520" i="2"/>
  <c r="H520" i="1"/>
  <c r="H521" i="1" s="1"/>
  <c r="H522" i="1" s="1"/>
  <c r="H523" i="1" s="1"/>
  <c r="H524" i="1" s="1"/>
  <c r="B520" i="2" l="1"/>
  <c r="I525" i="1" l="1"/>
  <c r="F525" i="2" l="1"/>
  <c r="E525" i="2"/>
  <c r="D525" i="2"/>
  <c r="C525" i="2"/>
  <c r="H525" i="1"/>
  <c r="I526" i="1"/>
  <c r="F526" i="2" l="1"/>
  <c r="E526" i="2"/>
  <c r="D526" i="2"/>
  <c r="C526" i="2"/>
  <c r="H526" i="1"/>
  <c r="H527" i="1" s="1"/>
  <c r="H528" i="1" s="1"/>
  <c r="H529" i="1" s="1"/>
  <c r="B525" i="2"/>
  <c r="B526" i="2" l="1"/>
  <c r="I530" i="1" l="1"/>
  <c r="F530" i="2" l="1"/>
  <c r="E530" i="2"/>
  <c r="D530" i="2"/>
  <c r="C530" i="2"/>
  <c r="H530" i="1"/>
  <c r="I531" i="1"/>
  <c r="F531" i="2" l="1"/>
  <c r="E531" i="2"/>
  <c r="D531" i="2"/>
  <c r="C531" i="2"/>
  <c r="H531" i="1"/>
  <c r="H532" i="1" s="1"/>
  <c r="H533" i="1" s="1"/>
  <c r="H534" i="1" s="1"/>
  <c r="H535" i="1" s="1"/>
  <c r="H536" i="1" s="1"/>
  <c r="H537" i="1" s="1"/>
  <c r="H538" i="1" s="1"/>
  <c r="B530" i="2"/>
  <c r="B531" i="2" l="1"/>
  <c r="I539" i="1" l="1"/>
  <c r="F539" i="2" l="1"/>
  <c r="E539" i="2"/>
  <c r="D539" i="2"/>
  <c r="C539" i="2"/>
  <c r="H539" i="1"/>
  <c r="H540" i="1" s="1"/>
  <c r="H541" i="1" s="1"/>
  <c r="H542" i="1" s="1"/>
  <c r="H543" i="1" s="1"/>
  <c r="H544" i="1" s="1"/>
  <c r="B539" i="2" l="1"/>
  <c r="I545" i="1" l="1"/>
  <c r="F545" i="2" l="1"/>
  <c r="E545" i="2"/>
  <c r="D545" i="2"/>
  <c r="C545" i="2"/>
  <c r="H545" i="1"/>
  <c r="H546" i="1" s="1"/>
  <c r="H547" i="1" s="1"/>
  <c r="B545" i="2" l="1"/>
  <c r="I548" i="1" l="1"/>
  <c r="F548" i="2" l="1"/>
  <c r="E548" i="2"/>
  <c r="D548" i="2"/>
  <c r="C548" i="2"/>
  <c r="H548" i="1"/>
  <c r="H549" i="1" s="1"/>
  <c r="B548" i="2" l="1"/>
  <c r="I550" i="1"/>
  <c r="F550" i="2" l="1"/>
  <c r="E550" i="2"/>
  <c r="D550" i="2"/>
  <c r="C550" i="2"/>
  <c r="H550" i="1"/>
  <c r="I551" i="1"/>
  <c r="F551" i="2" l="1"/>
  <c r="E551" i="2"/>
  <c r="D551" i="2"/>
  <c r="C551" i="2"/>
  <c r="H551" i="1"/>
  <c r="H552" i="1" s="1"/>
  <c r="H553" i="1" s="1"/>
  <c r="B550" i="2"/>
  <c r="B551" i="2" l="1"/>
  <c r="I554" i="1" l="1"/>
  <c r="F554" i="2" l="1"/>
  <c r="E554" i="2"/>
  <c r="D554" i="2"/>
  <c r="C554" i="2"/>
  <c r="H554" i="1"/>
  <c r="I555" i="1"/>
  <c r="F555" i="2" l="1"/>
  <c r="E555" i="2"/>
  <c r="D555" i="2"/>
  <c r="C555" i="2"/>
  <c r="H555" i="1"/>
  <c r="B554" i="2"/>
  <c r="I556" i="1"/>
  <c r="F556" i="2" l="1"/>
  <c r="E556" i="2"/>
  <c r="D556" i="2"/>
  <c r="C556" i="2"/>
  <c r="H556" i="1"/>
  <c r="B555" i="2"/>
  <c r="I557" i="1"/>
  <c r="F557" i="2" l="1"/>
  <c r="E557" i="2"/>
  <c r="D557" i="2"/>
  <c r="C557" i="2"/>
  <c r="H557" i="1"/>
  <c r="H558" i="1" s="1"/>
  <c r="H559" i="1" s="1"/>
  <c r="H560" i="1" s="1"/>
  <c r="H561" i="1" s="1"/>
  <c r="B556" i="2"/>
  <c r="B557" i="2" l="1"/>
  <c r="I562" i="1" l="1"/>
  <c r="F562" i="2" l="1"/>
  <c r="E562" i="2"/>
  <c r="D562" i="2"/>
  <c r="C562" i="2"/>
  <c r="H562" i="1"/>
  <c r="H563" i="1" s="1"/>
  <c r="H564" i="1" s="1"/>
  <c r="H565" i="1" s="1"/>
  <c r="H566" i="1" s="1"/>
  <c r="H567" i="1" s="1"/>
  <c r="B562" i="2" l="1"/>
  <c r="I568" i="1" l="1"/>
  <c r="F568" i="2" l="1"/>
  <c r="E568" i="2"/>
  <c r="D568" i="2"/>
  <c r="C568" i="2"/>
  <c r="H568" i="1"/>
  <c r="H569" i="1" s="1"/>
  <c r="H570" i="1" s="1"/>
  <c r="H571" i="1" s="1"/>
  <c r="H572" i="1" s="1"/>
  <c r="H573" i="1" s="1"/>
  <c r="H574" i="1" s="1"/>
  <c r="H575" i="1" s="1"/>
  <c r="H576" i="1" s="1"/>
  <c r="H577" i="1" l="1"/>
  <c r="B577" i="2" s="1"/>
  <c r="B576" i="2"/>
  <c r="B568" i="2"/>
  <c r="I578" i="1" l="1"/>
  <c r="F578" i="2" l="1"/>
  <c r="E578" i="2"/>
  <c r="D578" i="2"/>
  <c r="C578" i="2"/>
  <c r="H578" i="1"/>
  <c r="I579" i="1"/>
  <c r="F579" i="2" l="1"/>
  <c r="E579" i="2"/>
  <c r="D579" i="2"/>
  <c r="C579" i="2"/>
  <c r="H579" i="1"/>
  <c r="H580" i="1" s="1"/>
  <c r="H581" i="1" s="1"/>
  <c r="H582" i="1" s="1"/>
  <c r="B582" i="2" s="1"/>
  <c r="B578" i="2"/>
  <c r="B579" i="2" l="1"/>
  <c r="I583" i="1" l="1"/>
  <c r="F583" i="2" l="1"/>
  <c r="E583" i="2"/>
  <c r="D583" i="2"/>
  <c r="C583" i="2"/>
  <c r="H583" i="1"/>
  <c r="H584" i="1" s="1"/>
  <c r="B584" i="2" s="1"/>
  <c r="B583" i="2" l="1"/>
  <c r="I585" i="1"/>
  <c r="F585" i="2" l="1"/>
  <c r="E585" i="2"/>
  <c r="D585" i="2"/>
  <c r="C585" i="2"/>
  <c r="H585" i="1"/>
  <c r="H586" i="1" s="1"/>
  <c r="H587" i="1" s="1"/>
  <c r="H588" i="1" s="1"/>
  <c r="H589" i="1" s="1"/>
  <c r="H590" i="1" s="1"/>
  <c r="B590" i="2" s="1"/>
  <c r="B585" i="2" l="1"/>
  <c r="I591" i="1" l="1"/>
  <c r="F595" i="2" l="1"/>
  <c r="C591" i="2"/>
  <c r="D591" i="2"/>
  <c r="E591" i="2"/>
  <c r="H591" i="1"/>
  <c r="I592" i="1"/>
  <c r="F596" i="2" l="1"/>
  <c r="C592" i="2"/>
  <c r="D592" i="2"/>
  <c r="E592" i="2"/>
  <c r="H592" i="1"/>
  <c r="H593" i="1" s="1"/>
  <c r="H594" i="1" s="1"/>
  <c r="H595" i="1" s="1"/>
  <c r="B595" i="2" s="1"/>
  <c r="B591" i="2"/>
  <c r="B592" i="2" l="1"/>
  <c r="I597" i="1" l="1"/>
  <c r="I596" i="1"/>
  <c r="C596" i="2" l="1"/>
  <c r="D596" i="2"/>
  <c r="E596" i="2"/>
  <c r="F600" i="2"/>
  <c r="H596" i="1"/>
  <c r="H597" i="1" s="1"/>
  <c r="H598" i="1" s="1"/>
  <c r="H599" i="1" s="1"/>
  <c r="B599" i="2" s="1"/>
  <c r="C597" i="2"/>
  <c r="D597" i="2"/>
  <c r="E597" i="2"/>
  <c r="F601" i="2"/>
  <c r="B597" i="2"/>
  <c r="B596" i="2" l="1"/>
  <c r="I600" i="1" l="1"/>
  <c r="C600" i="2" l="1"/>
  <c r="D600" i="2"/>
  <c r="E600" i="2"/>
  <c r="F604" i="2"/>
  <c r="H600" i="1"/>
  <c r="H601" i="1" s="1"/>
  <c r="B601" i="2" s="1"/>
  <c r="I602" i="1" l="1"/>
  <c r="H602" i="1"/>
  <c r="H603" i="1" s="1"/>
  <c r="H604" i="1" s="1"/>
  <c r="B604" i="2" s="1"/>
  <c r="B600" i="2"/>
  <c r="B602" i="2" l="1"/>
  <c r="C602" i="2"/>
  <c r="D602" i="2"/>
  <c r="E602" i="2"/>
  <c r="F606" i="2"/>
  <c r="I605" i="1" l="1"/>
  <c r="C605" i="2" l="1"/>
  <c r="D605" i="2"/>
  <c r="E605" i="2"/>
  <c r="F609" i="2"/>
  <c r="H605" i="1"/>
  <c r="B605" i="2" l="1"/>
  <c r="I606" i="1"/>
  <c r="C606" i="2" l="1"/>
  <c r="D606" i="2"/>
  <c r="E606" i="2"/>
  <c r="F610" i="2"/>
  <c r="H606" i="1"/>
  <c r="H607" i="1" s="1"/>
  <c r="B607" i="2" s="1"/>
  <c r="I609" i="1" l="1"/>
  <c r="I608" i="1"/>
  <c r="B606" i="2"/>
  <c r="C608" i="2" l="1"/>
  <c r="D608" i="2"/>
  <c r="E608" i="2"/>
  <c r="F612" i="2"/>
  <c r="C609" i="2"/>
  <c r="D609" i="2"/>
  <c r="E609" i="2"/>
  <c r="F613" i="2"/>
  <c r="H608" i="1"/>
  <c r="H609" i="1" s="1"/>
  <c r="H610" i="1" s="1"/>
  <c r="B610" i="2" s="1"/>
  <c r="B609" i="2" l="1"/>
  <c r="I611" i="1"/>
  <c r="B608" i="2"/>
  <c r="C611" i="2" l="1"/>
  <c r="D611" i="2"/>
  <c r="E611" i="2"/>
  <c r="F615" i="2"/>
  <c r="H611" i="1"/>
  <c r="B611" i="2" l="1"/>
  <c r="I612" i="1" l="1"/>
  <c r="I613" i="1" l="1"/>
  <c r="C612" i="2"/>
  <c r="D612" i="2"/>
  <c r="E612" i="2"/>
  <c r="F616" i="2"/>
  <c r="H612" i="1"/>
  <c r="I614" i="1" l="1"/>
  <c r="B612" i="2"/>
  <c r="H613" i="1"/>
  <c r="H614" i="1" s="1"/>
  <c r="C613" i="2"/>
  <c r="D613" i="2"/>
  <c r="E613" i="2"/>
  <c r="F617" i="2"/>
  <c r="B613" i="2"/>
  <c r="I615" i="1" l="1"/>
  <c r="H615" i="1"/>
  <c r="H616" i="1" s="1"/>
  <c r="C614" i="2"/>
  <c r="D614" i="2"/>
  <c r="E614" i="2"/>
  <c r="F618" i="2"/>
  <c r="B614" i="2"/>
  <c r="C615" i="2" l="1"/>
  <c r="D615" i="2"/>
  <c r="E615" i="2"/>
  <c r="F619" i="2"/>
  <c r="B615" i="2"/>
  <c r="I617" i="1" l="1"/>
  <c r="I618" i="1" l="1"/>
  <c r="C617" i="2"/>
  <c r="D617" i="2"/>
  <c r="E617" i="2"/>
  <c r="H617" i="1"/>
  <c r="H618" i="1" s="1"/>
  <c r="B618" i="2" l="1"/>
  <c r="B617" i="2"/>
  <c r="C618" i="2"/>
  <c r="D618" i="2"/>
  <c r="E618" i="2"/>
  <c r="I619" i="1"/>
  <c r="H619" i="1" s="1"/>
  <c r="I620" i="1"/>
  <c r="H620" i="1" l="1"/>
  <c r="H621" i="1" s="1"/>
</calcChain>
</file>

<file path=xl/sharedStrings.xml><?xml version="1.0" encoding="utf-8"?>
<sst xmlns="http://schemas.openxmlformats.org/spreadsheetml/2006/main" count="8" uniqueCount="8">
  <si>
    <t>Ref ID
Worker Career Internal</t>
  </si>
  <si>
    <t>Worker Name</t>
  </si>
  <si>
    <t>Ref ID
User Role</t>
  </si>
  <si>
    <t>Ref ID
Combined Budget</t>
  </si>
  <si>
    <t>SYS_PID Prediction</t>
  </si>
  <si>
    <t>SQL Syntax</t>
  </si>
  <si>
    <t>Sys_PID</t>
  </si>
  <si>
    <t>User Role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</si>
</sst>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2" xfId="0" applyNumberFormat="1" applyFont="1" applyBorder="1"/>
    <xf numFmtId="1" fontId="1" fillId="0" borderId="1" xfId="0" applyNumberFormat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1" fillId="3" borderId="7" xfId="0" applyFont="1" applyFill="1" applyBorder="1"/>
    <xf numFmtId="1" fontId="1" fillId="3" borderId="7" xfId="0" applyNumberFormat="1" applyFont="1" applyFill="1" applyBorder="1"/>
    <xf numFmtId="1" fontId="1" fillId="3" borderId="8" xfId="0" applyNumberFormat="1" applyFont="1" applyFill="1" applyBorder="1"/>
    <xf numFmtId="1" fontId="3" fillId="4" borderId="9" xfId="0" applyNumberFormat="1" applyFont="1" applyFill="1" applyBorder="1" applyAlignment="1">
      <alignment horizontal="center" vertical="center" wrapText="1"/>
    </xf>
    <xf numFmtId="1" fontId="3" fillId="4" borderId="10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/>
    <xf numFmtId="1" fontId="1" fillId="7" borderId="2" xfId="0" applyNumberFormat="1" applyFont="1" applyFill="1" applyBorder="1"/>
    <xf numFmtId="0" fontId="1" fillId="0" borderId="0" xfId="0" applyFont="1" applyBorder="1"/>
    <xf numFmtId="1" fontId="1" fillId="0" borderId="0" xfId="0" applyNumberFormat="1" applyFont="1" applyBorder="1"/>
    <xf numFmtId="1" fontId="4" fillId="6" borderId="11" xfId="0" applyNumberFormat="1" applyFont="1" applyFill="1" applyBorder="1" applyAlignment="1"/>
    <xf numFmtId="1" fontId="4" fillId="6" borderId="12" xfId="0" applyNumberFormat="1" applyFont="1" applyFill="1" applyBorder="1" applyAlignment="1"/>
    <xf numFmtId="1" fontId="2" fillId="2" borderId="3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/>
    </xf>
    <xf numFmtId="1" fontId="1" fillId="5" borderId="2" xfId="0" applyNumberFormat="1" applyFont="1" applyFill="1" applyBorder="1"/>
    <xf numFmtId="0" fontId="1" fillId="0" borderId="1" xfId="0" applyFont="1" applyBorder="1"/>
    <xf numFmtId="1" fontId="1" fillId="0" borderId="13" xfId="0" applyNumberFormat="1" applyFont="1" applyBorder="1"/>
    <xf numFmtId="1" fontId="5" fillId="5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/>
    <xf numFmtId="1" fontId="1" fillId="0" borderId="14" xfId="0" applyNumberFormat="1" applyFont="1" applyBorder="1"/>
    <xf numFmtId="1" fontId="1" fillId="3" borderId="15" xfId="0" applyNumberFormat="1" applyFont="1" applyFill="1" applyBorder="1"/>
  </cellXfs>
  <cellStyles count="1">
    <cellStyle name="Normal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umanResource.TblWork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User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  <sheetName val="MAIN - OrgJobsPos"/>
      <sheetName val="MAIN - OrgDepartment"/>
      <sheetName val="Internal Career (Last Position)"/>
      <sheetName val="DataLookUp - InternalCareer(LP)"/>
      <sheetName val="Internal Career (Previous Pos)"/>
      <sheetName val="Sheet2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164000000000001</v>
          </cell>
          <cell r="C4">
            <v>32000000000001</v>
          </cell>
          <cell r="D4" t="str">
            <v>Abdollah Syani Siregar</v>
          </cell>
        </row>
        <row r="5">
          <cell r="B5">
            <v>164000000000002</v>
          </cell>
          <cell r="C5">
            <v>32000000000002</v>
          </cell>
          <cell r="D5" t="str">
            <v>Abdul Karim</v>
          </cell>
        </row>
        <row r="6">
          <cell r="B6">
            <v>164000000000003</v>
          </cell>
          <cell r="C6">
            <v>32000000000003</v>
          </cell>
          <cell r="D6" t="str">
            <v>Abdul Rahman Sitompul</v>
          </cell>
        </row>
        <row r="7">
          <cell r="B7">
            <v>164000000000004</v>
          </cell>
          <cell r="C7">
            <v>32000000000004</v>
          </cell>
          <cell r="D7" t="str">
            <v>Abdul Risan</v>
          </cell>
        </row>
        <row r="8">
          <cell r="B8">
            <v>164000000000005</v>
          </cell>
          <cell r="C8">
            <v>32000000000005</v>
          </cell>
          <cell r="D8" t="str">
            <v>Abdullah Nabil</v>
          </cell>
        </row>
        <row r="9">
          <cell r="B9">
            <v>164000000000006</v>
          </cell>
          <cell r="C9">
            <v>32000000000006</v>
          </cell>
          <cell r="D9" t="str">
            <v>Adhitya Danar</v>
          </cell>
        </row>
        <row r="10">
          <cell r="B10">
            <v>164000000000007</v>
          </cell>
          <cell r="C10">
            <v>32000000000007</v>
          </cell>
          <cell r="D10" t="str">
            <v>Adi Ruswandi</v>
          </cell>
        </row>
        <row r="11">
          <cell r="B11">
            <v>164000000000008</v>
          </cell>
          <cell r="C11">
            <v>32000000000008</v>
          </cell>
          <cell r="D11" t="str">
            <v>Adietya Dharmawan</v>
          </cell>
        </row>
        <row r="12">
          <cell r="B12">
            <v>164000000000009</v>
          </cell>
          <cell r="C12">
            <v>32000000000009</v>
          </cell>
          <cell r="D12" t="str">
            <v>Aditya Yudha Prawira</v>
          </cell>
        </row>
        <row r="13">
          <cell r="B13">
            <v>164000000000010</v>
          </cell>
          <cell r="C13">
            <v>32000000000010</v>
          </cell>
          <cell r="D13" t="str">
            <v>Adli Margie</v>
          </cell>
        </row>
        <row r="14">
          <cell r="B14">
            <v>164000000000011</v>
          </cell>
          <cell r="C14">
            <v>32000000000011</v>
          </cell>
          <cell r="D14" t="str">
            <v>Afrida Eka Putri</v>
          </cell>
        </row>
        <row r="15">
          <cell r="B15">
            <v>164000000000012</v>
          </cell>
          <cell r="C15">
            <v>32000000000012</v>
          </cell>
          <cell r="D15" t="str">
            <v>Agnes Sutedja</v>
          </cell>
        </row>
        <row r="16">
          <cell r="B16">
            <v>164000000000013</v>
          </cell>
          <cell r="C16">
            <v>32000000000013</v>
          </cell>
          <cell r="D16" t="str">
            <v>Agung Hendarto</v>
          </cell>
        </row>
        <row r="17">
          <cell r="B17">
            <v>164000000000014</v>
          </cell>
          <cell r="C17">
            <v>32000000000014</v>
          </cell>
          <cell r="D17" t="str">
            <v>Agus Priyatno Mahmudo</v>
          </cell>
        </row>
        <row r="18">
          <cell r="B18">
            <v>164000000000015</v>
          </cell>
          <cell r="C18">
            <v>32000000000015</v>
          </cell>
          <cell r="D18" t="str">
            <v>Agus Salim</v>
          </cell>
        </row>
        <row r="19">
          <cell r="B19">
            <v>164000000000016</v>
          </cell>
          <cell r="C19">
            <v>32000000000016</v>
          </cell>
          <cell r="D19" t="str">
            <v>Agus Tanto</v>
          </cell>
        </row>
        <row r="20">
          <cell r="B20">
            <v>164000000000017</v>
          </cell>
          <cell r="C20">
            <v>32000000000017</v>
          </cell>
          <cell r="D20" t="str">
            <v>Ahmad Faiz Haems Muda</v>
          </cell>
        </row>
        <row r="21">
          <cell r="B21">
            <v>164000000000018</v>
          </cell>
          <cell r="C21">
            <v>32000000000018</v>
          </cell>
          <cell r="D21" t="str">
            <v>Ahmad Faza</v>
          </cell>
        </row>
        <row r="22">
          <cell r="B22">
            <v>164000000000019</v>
          </cell>
          <cell r="C22">
            <v>32000000000019</v>
          </cell>
          <cell r="D22" t="str">
            <v>Ahmad Syaifulloh</v>
          </cell>
        </row>
        <row r="23">
          <cell r="B23">
            <v>164000000000020</v>
          </cell>
          <cell r="C23">
            <v>32000000000020</v>
          </cell>
          <cell r="D23" t="str">
            <v>Ahmad Zulkarnaen</v>
          </cell>
        </row>
        <row r="24">
          <cell r="B24">
            <v>164000000000021</v>
          </cell>
          <cell r="C24">
            <v>32000000000021</v>
          </cell>
          <cell r="D24" t="str">
            <v>Ajan</v>
          </cell>
        </row>
        <row r="25">
          <cell r="B25">
            <v>164000000000022</v>
          </cell>
          <cell r="C25">
            <v>32000000000022</v>
          </cell>
          <cell r="D25" t="str">
            <v>Al Amin</v>
          </cell>
        </row>
        <row r="26">
          <cell r="B26">
            <v>164000000000023</v>
          </cell>
          <cell r="C26">
            <v>32000000000023</v>
          </cell>
          <cell r="D26" t="str">
            <v>Aldi Mulyadi</v>
          </cell>
        </row>
        <row r="27">
          <cell r="B27">
            <v>164000000000024</v>
          </cell>
          <cell r="C27">
            <v>32000000000024</v>
          </cell>
          <cell r="D27" t="str">
            <v>Alexandri</v>
          </cell>
        </row>
        <row r="28">
          <cell r="B28">
            <v>164000000000025</v>
          </cell>
          <cell r="C28">
            <v>32000000000025</v>
          </cell>
          <cell r="D28" t="str">
            <v>Alfaedi</v>
          </cell>
        </row>
        <row r="29">
          <cell r="B29">
            <v>164000000000026</v>
          </cell>
          <cell r="C29">
            <v>32000000000026</v>
          </cell>
          <cell r="D29" t="str">
            <v>Ali Wahono</v>
          </cell>
        </row>
        <row r="30">
          <cell r="B30">
            <v>164000000000027</v>
          </cell>
          <cell r="C30">
            <v>32000000000027</v>
          </cell>
          <cell r="D30" t="str">
            <v>Alphaliyanri Lasria</v>
          </cell>
        </row>
        <row r="31">
          <cell r="B31">
            <v>164000000000028</v>
          </cell>
          <cell r="C31">
            <v>32000000000028</v>
          </cell>
          <cell r="D31" t="str">
            <v>Ambon Rumalean</v>
          </cell>
        </row>
        <row r="32">
          <cell r="B32">
            <v>164000000000029</v>
          </cell>
          <cell r="C32">
            <v>32000000000029</v>
          </cell>
          <cell r="D32" t="str">
            <v>Amir Sofyan Hadi</v>
          </cell>
        </row>
        <row r="33">
          <cell r="B33">
            <v>164000000000030</v>
          </cell>
          <cell r="C33">
            <v>32000000000030</v>
          </cell>
          <cell r="D33" t="str">
            <v>Anak Agung Netti Ariani</v>
          </cell>
        </row>
        <row r="34">
          <cell r="B34">
            <v>164000000000031</v>
          </cell>
          <cell r="C34">
            <v>32000000000031</v>
          </cell>
          <cell r="D34" t="str">
            <v>Andri Gunawan</v>
          </cell>
        </row>
        <row r="35">
          <cell r="B35">
            <v>164000000000032</v>
          </cell>
          <cell r="C35">
            <v>32000000000032</v>
          </cell>
          <cell r="D35" t="str">
            <v>Andri Herdiansyah</v>
          </cell>
        </row>
        <row r="36">
          <cell r="B36">
            <v>164000000000033</v>
          </cell>
          <cell r="C36">
            <v>32000000000033</v>
          </cell>
          <cell r="D36" t="str">
            <v>Andrie</v>
          </cell>
        </row>
        <row r="37">
          <cell r="B37">
            <v>164000000000034</v>
          </cell>
          <cell r="C37">
            <v>32000000000034</v>
          </cell>
          <cell r="D37" t="str">
            <v>Anggina Tri Yudandi</v>
          </cell>
        </row>
        <row r="38">
          <cell r="B38">
            <v>164000000000035</v>
          </cell>
          <cell r="C38">
            <v>32000000000035</v>
          </cell>
          <cell r="D38" t="str">
            <v>Anggit Ismiyanto</v>
          </cell>
        </row>
        <row r="39">
          <cell r="B39">
            <v>164000000000036</v>
          </cell>
          <cell r="C39">
            <v>32000000000036</v>
          </cell>
          <cell r="D39" t="str">
            <v>Anika Setyowati</v>
          </cell>
        </row>
        <row r="40">
          <cell r="B40">
            <v>164000000000037</v>
          </cell>
          <cell r="C40">
            <v>32000000000037</v>
          </cell>
          <cell r="D40" t="str">
            <v>Anisah</v>
          </cell>
        </row>
        <row r="41">
          <cell r="B41">
            <v>164000000000038</v>
          </cell>
          <cell r="C41">
            <v>32000000000038</v>
          </cell>
          <cell r="D41" t="str">
            <v>Anna Savitrie</v>
          </cell>
        </row>
        <row r="42">
          <cell r="B42">
            <v>164000000000039</v>
          </cell>
          <cell r="C42">
            <v>32000000000039</v>
          </cell>
          <cell r="D42" t="str">
            <v>Annisa Dewi Arumsari</v>
          </cell>
        </row>
        <row r="43">
          <cell r="B43">
            <v>164000000000040</v>
          </cell>
          <cell r="C43">
            <v>32000000000040</v>
          </cell>
          <cell r="D43" t="str">
            <v>Annyes Sri Maristi</v>
          </cell>
        </row>
        <row r="44">
          <cell r="B44">
            <v>164000000000041</v>
          </cell>
          <cell r="C44">
            <v>32000000000041</v>
          </cell>
          <cell r="D44" t="str">
            <v>Antok</v>
          </cell>
        </row>
        <row r="45">
          <cell r="B45">
            <v>164000000000042</v>
          </cell>
          <cell r="C45">
            <v>32000000000042</v>
          </cell>
          <cell r="D45" t="str">
            <v>Anton Iryanto</v>
          </cell>
        </row>
        <row r="46">
          <cell r="B46">
            <v>164000000000043</v>
          </cell>
          <cell r="C46">
            <v>32000000000043</v>
          </cell>
          <cell r="D46" t="str">
            <v>Antony Pakpahan</v>
          </cell>
        </row>
        <row r="47">
          <cell r="B47">
            <v>164000000000044</v>
          </cell>
          <cell r="C47">
            <v>32000000000044</v>
          </cell>
          <cell r="D47" t="str">
            <v>Anugerah Januariansyah</v>
          </cell>
        </row>
        <row r="48">
          <cell r="B48">
            <v>164000000000045</v>
          </cell>
          <cell r="C48">
            <v>32000000000045</v>
          </cell>
          <cell r="D48" t="str">
            <v>Anwar Purnomo</v>
          </cell>
        </row>
        <row r="49">
          <cell r="B49">
            <v>164000000000046</v>
          </cell>
          <cell r="C49">
            <v>32000000000046</v>
          </cell>
          <cell r="D49" t="str">
            <v>Ardhi Swasono</v>
          </cell>
        </row>
        <row r="50">
          <cell r="B50">
            <v>164000000000047</v>
          </cell>
          <cell r="C50">
            <v>32000000000047</v>
          </cell>
          <cell r="D50" t="str">
            <v>Ardi</v>
          </cell>
        </row>
        <row r="51">
          <cell r="B51">
            <v>164000000000048</v>
          </cell>
          <cell r="C51">
            <v>32000000000048</v>
          </cell>
          <cell r="D51" t="str">
            <v>Ardiansyah</v>
          </cell>
        </row>
        <row r="52">
          <cell r="B52">
            <v>164000000000049</v>
          </cell>
          <cell r="C52">
            <v>32000000000049</v>
          </cell>
          <cell r="D52" t="str">
            <v>Ardisam</v>
          </cell>
        </row>
        <row r="53">
          <cell r="B53">
            <v>164000000000050</v>
          </cell>
          <cell r="C53">
            <v>32000000000050</v>
          </cell>
          <cell r="D53" t="str">
            <v>Ardita</v>
          </cell>
        </row>
        <row r="54">
          <cell r="B54">
            <v>164000000000051</v>
          </cell>
          <cell r="C54">
            <v>32000000000051</v>
          </cell>
          <cell r="D54" t="str">
            <v>Ares S. Mauboi</v>
          </cell>
        </row>
        <row r="55">
          <cell r="B55">
            <v>164000000000052</v>
          </cell>
          <cell r="C55">
            <v>32000000000052</v>
          </cell>
          <cell r="D55" t="str">
            <v>Arfah Hanum</v>
          </cell>
        </row>
        <row r="56">
          <cell r="B56">
            <v>164000000000053</v>
          </cell>
          <cell r="C56">
            <v>32000000000053</v>
          </cell>
          <cell r="D56" t="str">
            <v>Arfianti Haryani</v>
          </cell>
        </row>
        <row r="57">
          <cell r="B57">
            <v>164000000000054</v>
          </cell>
          <cell r="C57">
            <v>32000000000054</v>
          </cell>
          <cell r="D57" t="str">
            <v>Ari Priwarsono</v>
          </cell>
        </row>
        <row r="58">
          <cell r="B58">
            <v>164000000000055</v>
          </cell>
          <cell r="C58">
            <v>32000000000055</v>
          </cell>
          <cell r="D58" t="str">
            <v>Ari Yuniasmono</v>
          </cell>
        </row>
        <row r="59">
          <cell r="B59">
            <v>164000000000056</v>
          </cell>
          <cell r="C59">
            <v>32000000000056</v>
          </cell>
          <cell r="D59" t="str">
            <v>Arif Gunawan</v>
          </cell>
        </row>
        <row r="60">
          <cell r="B60">
            <v>164000000000057</v>
          </cell>
          <cell r="C60">
            <v>32000000000057</v>
          </cell>
          <cell r="D60" t="str">
            <v>Arif Prasetyo</v>
          </cell>
        </row>
        <row r="61">
          <cell r="B61">
            <v>164000000000058</v>
          </cell>
          <cell r="C61">
            <v>32000000000058</v>
          </cell>
          <cell r="D61" t="str">
            <v>Arini</v>
          </cell>
        </row>
        <row r="62">
          <cell r="B62">
            <v>164000000000059</v>
          </cell>
          <cell r="C62">
            <v>32000000000059</v>
          </cell>
          <cell r="D62" t="str">
            <v>Ario Setyo Gunawan</v>
          </cell>
        </row>
        <row r="63">
          <cell r="B63">
            <v>164000000000060</v>
          </cell>
          <cell r="C63">
            <v>32000000000060</v>
          </cell>
          <cell r="D63" t="str">
            <v>Ario Yulianto Wibowo</v>
          </cell>
        </row>
        <row r="64">
          <cell r="B64">
            <v>164000000000061</v>
          </cell>
          <cell r="C64">
            <v>32000000000061</v>
          </cell>
          <cell r="D64" t="str">
            <v>Aris Widodo Pamungkas</v>
          </cell>
        </row>
        <row r="65">
          <cell r="B65">
            <v>164000000000062</v>
          </cell>
          <cell r="C65">
            <v>32000000000062</v>
          </cell>
          <cell r="D65" t="str">
            <v>Arjiyanto</v>
          </cell>
        </row>
        <row r="66">
          <cell r="B66">
            <v>164000000000063</v>
          </cell>
          <cell r="C66">
            <v>32000000000063</v>
          </cell>
          <cell r="D66" t="str">
            <v>Arman</v>
          </cell>
        </row>
        <row r="67">
          <cell r="B67">
            <v>164000000000064</v>
          </cell>
          <cell r="C67">
            <v>32000000000064</v>
          </cell>
          <cell r="D67" t="str">
            <v>Aryoko Sudiro</v>
          </cell>
        </row>
        <row r="68">
          <cell r="B68">
            <v>164000000000065</v>
          </cell>
          <cell r="C68">
            <v>32000000000065</v>
          </cell>
          <cell r="D68" t="str">
            <v>Astamyugo</v>
          </cell>
        </row>
        <row r="69">
          <cell r="B69">
            <v>164000000000066</v>
          </cell>
          <cell r="C69">
            <v>32000000000066</v>
          </cell>
          <cell r="D69" t="str">
            <v>Atmo Sastro Dinoto</v>
          </cell>
        </row>
        <row r="70">
          <cell r="B70">
            <v>164000000000067</v>
          </cell>
          <cell r="C70">
            <v>32000000000067</v>
          </cell>
          <cell r="D70" t="str">
            <v>Awaludin</v>
          </cell>
        </row>
        <row r="71">
          <cell r="B71">
            <v>164000000000068</v>
          </cell>
          <cell r="C71">
            <v>32000000000068</v>
          </cell>
          <cell r="D71" t="str">
            <v>Bachtiar</v>
          </cell>
        </row>
        <row r="72">
          <cell r="B72">
            <v>164000000000069</v>
          </cell>
          <cell r="C72">
            <v>32000000000069</v>
          </cell>
          <cell r="D72" t="str">
            <v>Bambang Irawan</v>
          </cell>
        </row>
        <row r="73">
          <cell r="B73">
            <v>164000000000070</v>
          </cell>
          <cell r="C73">
            <v>32000000000070</v>
          </cell>
          <cell r="D73" t="str">
            <v>Bambang Prihatin</v>
          </cell>
        </row>
        <row r="74">
          <cell r="B74">
            <v>164000000000071</v>
          </cell>
          <cell r="C74">
            <v>32000000000071</v>
          </cell>
          <cell r="D74" t="str">
            <v>Bani Mustazeni</v>
          </cell>
        </row>
        <row r="75">
          <cell r="B75">
            <v>164000000000072</v>
          </cell>
          <cell r="C75">
            <v>32000000000072</v>
          </cell>
          <cell r="D75" t="str">
            <v>Bardai</v>
          </cell>
        </row>
        <row r="76">
          <cell r="B76">
            <v>164000000000073</v>
          </cell>
          <cell r="C76">
            <v>32000000000073</v>
          </cell>
          <cell r="D76" t="str">
            <v>Barika</v>
          </cell>
        </row>
        <row r="77">
          <cell r="B77">
            <v>164000000000074</v>
          </cell>
          <cell r="C77">
            <v>32000000000074</v>
          </cell>
          <cell r="D77" t="str">
            <v>Bela Retmalantika</v>
          </cell>
        </row>
        <row r="78">
          <cell r="B78">
            <v>164000000000075</v>
          </cell>
          <cell r="C78">
            <v>32000000000075</v>
          </cell>
          <cell r="D78" t="str">
            <v>Belina Lindarwani</v>
          </cell>
        </row>
        <row r="79">
          <cell r="B79">
            <v>164000000000076</v>
          </cell>
          <cell r="C79">
            <v>32000000000076</v>
          </cell>
          <cell r="D79" t="str">
            <v>Benita Sofia</v>
          </cell>
        </row>
        <row r="80">
          <cell r="B80">
            <v>164000000000077</v>
          </cell>
          <cell r="C80">
            <v>32000000000077</v>
          </cell>
          <cell r="D80" t="str">
            <v>Bherly Novrandy</v>
          </cell>
        </row>
        <row r="81">
          <cell r="B81">
            <v>164000000000078</v>
          </cell>
          <cell r="C81">
            <v>32000000000078</v>
          </cell>
          <cell r="D81" t="str">
            <v>Binsar</v>
          </cell>
        </row>
        <row r="82">
          <cell r="B82">
            <v>164000000000079</v>
          </cell>
          <cell r="C82">
            <v>32000000000079</v>
          </cell>
          <cell r="D82" t="str">
            <v>Bondhan Sosiarta</v>
          </cell>
        </row>
        <row r="83">
          <cell r="B83">
            <v>164000000000080</v>
          </cell>
          <cell r="C83">
            <v>32000000000080</v>
          </cell>
          <cell r="D83" t="str">
            <v>Budi Pranata Sinaga</v>
          </cell>
        </row>
        <row r="84">
          <cell r="B84">
            <v>164000000000081</v>
          </cell>
          <cell r="C84">
            <v>32000000000081</v>
          </cell>
          <cell r="D84" t="str">
            <v>Budi Satrio</v>
          </cell>
        </row>
        <row r="85">
          <cell r="B85">
            <v>164000000000082</v>
          </cell>
          <cell r="C85">
            <v>32000000000082</v>
          </cell>
          <cell r="D85" t="str">
            <v>Budianto</v>
          </cell>
        </row>
        <row r="86">
          <cell r="B86">
            <v>164000000000083</v>
          </cell>
          <cell r="C86">
            <v>32000000000083</v>
          </cell>
          <cell r="D86" t="str">
            <v>Budiman</v>
          </cell>
        </row>
        <row r="87">
          <cell r="B87">
            <v>164000000000084</v>
          </cell>
          <cell r="C87">
            <v>32000000000084</v>
          </cell>
          <cell r="D87" t="str">
            <v>Cahyaning Annisa</v>
          </cell>
        </row>
        <row r="88">
          <cell r="B88">
            <v>164000000000085</v>
          </cell>
          <cell r="C88">
            <v>32000000000085</v>
          </cell>
          <cell r="D88" t="str">
            <v>Cahyaningrum Widiastuti</v>
          </cell>
        </row>
        <row r="89">
          <cell r="B89">
            <v>164000000000086</v>
          </cell>
          <cell r="C89">
            <v>32000000000086</v>
          </cell>
          <cell r="D89" t="str">
            <v>Cecep Maulana</v>
          </cell>
        </row>
        <row r="90">
          <cell r="B90">
            <v>164000000000087</v>
          </cell>
          <cell r="C90">
            <v>32000000000087</v>
          </cell>
          <cell r="D90" t="str">
            <v>Chairul Musaddat</v>
          </cell>
        </row>
        <row r="91">
          <cell r="B91">
            <v>164000000000088</v>
          </cell>
          <cell r="C91">
            <v>32000000000088</v>
          </cell>
          <cell r="D91" t="str">
            <v>Christianto</v>
          </cell>
        </row>
        <row r="92">
          <cell r="B92">
            <v>164000000000089</v>
          </cell>
          <cell r="C92">
            <v>32000000000089</v>
          </cell>
          <cell r="D92" t="str">
            <v>Dadan Hermawan</v>
          </cell>
        </row>
        <row r="93">
          <cell r="B93">
            <v>164000000000090</v>
          </cell>
          <cell r="C93">
            <v>32000000000090</v>
          </cell>
          <cell r="D93" t="str">
            <v>Dadan Suhendar</v>
          </cell>
        </row>
        <row r="94">
          <cell r="B94">
            <v>164000000000091</v>
          </cell>
          <cell r="C94">
            <v>32000000000091</v>
          </cell>
          <cell r="D94" t="str">
            <v>Dadi Anda Zuchradi</v>
          </cell>
        </row>
        <row r="95">
          <cell r="B95">
            <v>164000000000092</v>
          </cell>
          <cell r="C95">
            <v>32000000000092</v>
          </cell>
          <cell r="D95" t="str">
            <v>Darsito</v>
          </cell>
        </row>
        <row r="96">
          <cell r="B96">
            <v>164000000000093</v>
          </cell>
          <cell r="C96">
            <v>32000000000093</v>
          </cell>
          <cell r="D96" t="str">
            <v>Davit Lumban Gaol</v>
          </cell>
        </row>
        <row r="97">
          <cell r="B97">
            <v>164000000000094</v>
          </cell>
          <cell r="C97">
            <v>32000000000094</v>
          </cell>
          <cell r="D97" t="str">
            <v>Deddy Rochman</v>
          </cell>
        </row>
        <row r="98">
          <cell r="B98">
            <v>164000000000095</v>
          </cell>
          <cell r="C98">
            <v>32000000000095</v>
          </cell>
          <cell r="D98" t="str">
            <v>Dedi Kusnadi</v>
          </cell>
        </row>
        <row r="99">
          <cell r="B99">
            <v>164000000000096</v>
          </cell>
          <cell r="C99">
            <v>32000000000096</v>
          </cell>
          <cell r="D99" t="str">
            <v>Dedi Marciano Rizanur</v>
          </cell>
        </row>
        <row r="100">
          <cell r="B100">
            <v>164000000000097</v>
          </cell>
          <cell r="C100">
            <v>32000000000097</v>
          </cell>
          <cell r="D100" t="str">
            <v>Dedi Rianto</v>
          </cell>
        </row>
        <row r="101">
          <cell r="B101">
            <v>164000000000098</v>
          </cell>
          <cell r="C101">
            <v>32000000000098</v>
          </cell>
          <cell r="D101" t="str">
            <v>Dedi Syahputra</v>
          </cell>
        </row>
        <row r="102">
          <cell r="B102">
            <v>164000000000099</v>
          </cell>
          <cell r="C102">
            <v>32000000000099</v>
          </cell>
          <cell r="D102" t="str">
            <v>Deni Setiawan</v>
          </cell>
        </row>
        <row r="103">
          <cell r="B103">
            <v>164000000000100</v>
          </cell>
          <cell r="C103">
            <v>32000000000100</v>
          </cell>
          <cell r="D103" t="str">
            <v>Deny Adi Purnama</v>
          </cell>
        </row>
        <row r="104">
          <cell r="B104">
            <v>164000000000101</v>
          </cell>
          <cell r="C104">
            <v>32000000000101</v>
          </cell>
          <cell r="D104" t="str">
            <v>Desi Herawati</v>
          </cell>
        </row>
        <row r="105">
          <cell r="B105">
            <v>164000000000102</v>
          </cell>
          <cell r="C105">
            <v>32000000000102</v>
          </cell>
          <cell r="D105" t="str">
            <v>Desi Setiowati</v>
          </cell>
        </row>
        <row r="106">
          <cell r="B106">
            <v>164000000000103</v>
          </cell>
          <cell r="C106">
            <v>32000000000103</v>
          </cell>
          <cell r="D106" t="str">
            <v>Dian Firdaus</v>
          </cell>
        </row>
        <row r="107">
          <cell r="B107">
            <v>164000000000104</v>
          </cell>
          <cell r="C107">
            <v>32000000000104</v>
          </cell>
          <cell r="D107" t="str">
            <v>Dian Hariyana</v>
          </cell>
        </row>
        <row r="108">
          <cell r="B108">
            <v>164000000000105</v>
          </cell>
          <cell r="C108">
            <v>32000000000105</v>
          </cell>
          <cell r="D108" t="str">
            <v>Dinnar Budiarti</v>
          </cell>
        </row>
        <row r="109">
          <cell r="B109">
            <v>164000000000106</v>
          </cell>
          <cell r="C109">
            <v>32000000000106</v>
          </cell>
          <cell r="D109" t="str">
            <v>Dionesius Sostenist Duka</v>
          </cell>
        </row>
        <row r="110">
          <cell r="B110">
            <v>164000000000107</v>
          </cell>
          <cell r="C110">
            <v>32000000000107</v>
          </cell>
          <cell r="D110" t="str">
            <v>Diyah Martina</v>
          </cell>
        </row>
        <row r="111">
          <cell r="B111">
            <v>164000000000108</v>
          </cell>
          <cell r="C111">
            <v>32000000000108</v>
          </cell>
          <cell r="D111" t="str">
            <v>Djuang Tampubolon</v>
          </cell>
        </row>
        <row r="112">
          <cell r="B112">
            <v>164000000000109</v>
          </cell>
          <cell r="C112">
            <v>32000000000109</v>
          </cell>
          <cell r="D112" t="str">
            <v>Dodit Widiarto</v>
          </cell>
        </row>
        <row r="113">
          <cell r="B113">
            <v>164000000000110</v>
          </cell>
          <cell r="C113">
            <v>32000000000110</v>
          </cell>
          <cell r="D113" t="str">
            <v>Dony Darmawan</v>
          </cell>
        </row>
        <row r="114">
          <cell r="B114">
            <v>164000000000111</v>
          </cell>
          <cell r="C114">
            <v>32000000000111</v>
          </cell>
          <cell r="D114" t="str">
            <v>Dony Setiawan</v>
          </cell>
        </row>
        <row r="115">
          <cell r="B115">
            <v>164000000000112</v>
          </cell>
          <cell r="C115">
            <v>32000000000112</v>
          </cell>
          <cell r="D115" t="str">
            <v>Dudi Rustandi</v>
          </cell>
        </row>
        <row r="116">
          <cell r="B116">
            <v>164000000000113</v>
          </cell>
          <cell r="C116">
            <v>32000000000113</v>
          </cell>
          <cell r="D116" t="str">
            <v>Dudung</v>
          </cell>
        </row>
        <row r="117">
          <cell r="B117">
            <v>164000000000114</v>
          </cell>
          <cell r="C117">
            <v>32000000000114</v>
          </cell>
          <cell r="D117" t="str">
            <v>Dwi Joko Setio Tjaroko</v>
          </cell>
        </row>
        <row r="118">
          <cell r="B118">
            <v>164000000000115</v>
          </cell>
          <cell r="C118">
            <v>32000000000115</v>
          </cell>
          <cell r="D118" t="str">
            <v>Dwinanto Prabowo</v>
          </cell>
        </row>
        <row r="119">
          <cell r="B119">
            <v>164000000000116</v>
          </cell>
          <cell r="C119">
            <v>32000000000116</v>
          </cell>
          <cell r="D119" t="str">
            <v>Edi Waluyo</v>
          </cell>
        </row>
        <row r="120">
          <cell r="B120">
            <v>164000000000117</v>
          </cell>
          <cell r="C120">
            <v>32000000000117</v>
          </cell>
          <cell r="D120" t="str">
            <v>Edi Siswanto</v>
          </cell>
        </row>
        <row r="121">
          <cell r="B121">
            <v>164000000000118</v>
          </cell>
          <cell r="C121">
            <v>32000000000118</v>
          </cell>
          <cell r="D121" t="str">
            <v>Edi Turnip</v>
          </cell>
        </row>
        <row r="122">
          <cell r="B122">
            <v>164000000000119</v>
          </cell>
          <cell r="C122">
            <v>32000000000119</v>
          </cell>
          <cell r="D122" t="str">
            <v>Edy Putra Waskita</v>
          </cell>
        </row>
        <row r="123">
          <cell r="B123">
            <v>164000000000120</v>
          </cell>
          <cell r="C123">
            <v>32000000000120</v>
          </cell>
          <cell r="D123" t="str">
            <v>Edy Syahputra Situmeang</v>
          </cell>
        </row>
        <row r="124">
          <cell r="B124">
            <v>164000000000121</v>
          </cell>
          <cell r="C124">
            <v>32000000000121</v>
          </cell>
          <cell r="D124" t="str">
            <v>Effendi fendi</v>
          </cell>
        </row>
        <row r="125">
          <cell r="B125">
            <v>164000000000122</v>
          </cell>
          <cell r="C125">
            <v>32000000000122</v>
          </cell>
          <cell r="D125" t="str">
            <v>Efrina Dwililia</v>
          </cell>
        </row>
        <row r="126">
          <cell r="B126">
            <v>164000000000123</v>
          </cell>
          <cell r="C126">
            <v>32000000000123</v>
          </cell>
          <cell r="D126" t="str">
            <v>Eka Bagus Dwi Putra</v>
          </cell>
        </row>
        <row r="127">
          <cell r="B127">
            <v>164000000000124</v>
          </cell>
          <cell r="C127">
            <v>32000000000124</v>
          </cell>
          <cell r="D127" t="str">
            <v>Eka Hamidah</v>
          </cell>
        </row>
        <row r="128">
          <cell r="B128">
            <v>164000000000125</v>
          </cell>
          <cell r="C128">
            <v>32000000000125</v>
          </cell>
          <cell r="D128" t="str">
            <v>Eka Purwanti</v>
          </cell>
        </row>
        <row r="129">
          <cell r="B129">
            <v>164000000000126</v>
          </cell>
          <cell r="C129">
            <v>32000000000126</v>
          </cell>
          <cell r="D129" t="str">
            <v>Eka Kurniawan Hidayatullah</v>
          </cell>
        </row>
        <row r="130">
          <cell r="B130">
            <v>164000000000127</v>
          </cell>
          <cell r="C130">
            <v>32000000000127</v>
          </cell>
          <cell r="D130" t="str">
            <v>Eko Laksono</v>
          </cell>
        </row>
        <row r="131">
          <cell r="B131">
            <v>164000000000128</v>
          </cell>
          <cell r="C131">
            <v>32000000000128</v>
          </cell>
          <cell r="D131" t="str">
            <v>Eko Syambudi</v>
          </cell>
        </row>
        <row r="132">
          <cell r="B132">
            <v>164000000000129</v>
          </cell>
          <cell r="C132">
            <v>32000000000129</v>
          </cell>
          <cell r="D132" t="str">
            <v>Elieser Ferdy P.</v>
          </cell>
        </row>
        <row r="133">
          <cell r="B133">
            <v>164000000000130</v>
          </cell>
          <cell r="C133">
            <v>32000000000130</v>
          </cell>
          <cell r="D133" t="str">
            <v>Elisa</v>
          </cell>
        </row>
        <row r="134">
          <cell r="B134">
            <v>164000000000131</v>
          </cell>
          <cell r="C134">
            <v>32000000000131</v>
          </cell>
          <cell r="D134" t="str">
            <v>Elsa Jayanti</v>
          </cell>
        </row>
        <row r="135">
          <cell r="B135">
            <v>164000000000132</v>
          </cell>
          <cell r="C135">
            <v>32000000000132</v>
          </cell>
          <cell r="D135" t="str">
            <v>Elsa Mardian</v>
          </cell>
        </row>
        <row r="136">
          <cell r="B136">
            <v>164000000000133</v>
          </cell>
          <cell r="C136">
            <v>32000000000133</v>
          </cell>
          <cell r="D136" t="str">
            <v>Emir Paranita Nasution</v>
          </cell>
        </row>
        <row r="137">
          <cell r="B137">
            <v>164000000000134</v>
          </cell>
          <cell r="C137">
            <v>32000000000134</v>
          </cell>
          <cell r="D137" t="str">
            <v>Enceng Hemawan</v>
          </cell>
        </row>
        <row r="138">
          <cell r="B138">
            <v>164000000000135</v>
          </cell>
          <cell r="C138">
            <v>32000000000135</v>
          </cell>
          <cell r="D138" t="str">
            <v>Endang</v>
          </cell>
        </row>
        <row r="139">
          <cell r="B139">
            <v>164000000000136</v>
          </cell>
          <cell r="C139">
            <v>32000000000136</v>
          </cell>
          <cell r="D139" t="str">
            <v>Endang Lestari</v>
          </cell>
        </row>
        <row r="140">
          <cell r="B140">
            <v>164000000000137</v>
          </cell>
          <cell r="C140">
            <v>32000000000137</v>
          </cell>
          <cell r="D140" t="str">
            <v>Endang Sobari</v>
          </cell>
        </row>
        <row r="141">
          <cell r="B141">
            <v>164000000000138</v>
          </cell>
          <cell r="C141">
            <v>32000000000138</v>
          </cell>
          <cell r="D141" t="str">
            <v>Endang Sutrisna</v>
          </cell>
        </row>
        <row r="142">
          <cell r="B142">
            <v>164000000000139</v>
          </cell>
          <cell r="C142">
            <v>32000000000139</v>
          </cell>
          <cell r="D142" t="str">
            <v>Erfananda Rasyid</v>
          </cell>
        </row>
        <row r="143">
          <cell r="B143">
            <v>164000000000140</v>
          </cell>
          <cell r="C143">
            <v>32000000000140</v>
          </cell>
          <cell r="D143" t="str">
            <v>Ernawati</v>
          </cell>
        </row>
        <row r="144">
          <cell r="B144">
            <v>164000000000141</v>
          </cell>
          <cell r="C144">
            <v>32000000000141</v>
          </cell>
          <cell r="D144" t="str">
            <v>Erwin Firmansyah</v>
          </cell>
        </row>
        <row r="145">
          <cell r="B145">
            <v>164000000000142</v>
          </cell>
          <cell r="C145">
            <v>32000000000142</v>
          </cell>
          <cell r="D145" t="str">
            <v>Erwin Said</v>
          </cell>
        </row>
        <row r="146">
          <cell r="B146">
            <v>164000000000143</v>
          </cell>
          <cell r="C146">
            <v>32000000000143</v>
          </cell>
          <cell r="D146" t="str">
            <v>Esa Annahar</v>
          </cell>
        </row>
        <row r="147">
          <cell r="B147">
            <v>164000000000144</v>
          </cell>
          <cell r="C147">
            <v>32000000000144</v>
          </cell>
          <cell r="D147" t="str">
            <v>Faiz Horifal</v>
          </cell>
        </row>
        <row r="148">
          <cell r="B148">
            <v>164000000000145</v>
          </cell>
          <cell r="C148">
            <v>32000000000145</v>
          </cell>
          <cell r="D148" t="str">
            <v>Fani Dwi Astutik</v>
          </cell>
        </row>
        <row r="149">
          <cell r="B149">
            <v>164000000000146</v>
          </cell>
          <cell r="C149">
            <v>32000000000146</v>
          </cell>
          <cell r="D149" t="str">
            <v>Fardi Nauli R</v>
          </cell>
        </row>
        <row r="150">
          <cell r="B150">
            <v>164000000000147</v>
          </cell>
          <cell r="C150">
            <v>32000000000147</v>
          </cell>
          <cell r="D150" t="str">
            <v>Farekh Huzair</v>
          </cell>
        </row>
        <row r="151">
          <cell r="B151">
            <v>164000000000148</v>
          </cell>
          <cell r="C151">
            <v>32000000000148</v>
          </cell>
          <cell r="D151" t="str">
            <v>Farhana</v>
          </cell>
        </row>
        <row r="152">
          <cell r="B152">
            <v>164000000000149</v>
          </cell>
          <cell r="C152">
            <v>32000000000149</v>
          </cell>
          <cell r="D152" t="str">
            <v>Febriyanto Ahdiat</v>
          </cell>
        </row>
        <row r="153">
          <cell r="B153">
            <v>164000000000150</v>
          </cell>
          <cell r="C153">
            <v>32000000000150</v>
          </cell>
          <cell r="D153" t="str">
            <v>Febryan Mahsyar</v>
          </cell>
        </row>
        <row r="154">
          <cell r="B154">
            <v>164000000000151</v>
          </cell>
          <cell r="C154">
            <v>32000000000151</v>
          </cell>
          <cell r="D154" t="str">
            <v>Felpy</v>
          </cell>
        </row>
        <row r="155">
          <cell r="B155">
            <v>164000000000152</v>
          </cell>
          <cell r="C155">
            <v>32000000000152</v>
          </cell>
          <cell r="D155" t="str">
            <v>Feri Priyanto</v>
          </cell>
        </row>
        <row r="156">
          <cell r="B156">
            <v>164000000000153</v>
          </cell>
          <cell r="C156">
            <v>32000000000153</v>
          </cell>
          <cell r="D156" t="str">
            <v>Ferry P Simanjuntak</v>
          </cell>
        </row>
        <row r="157">
          <cell r="B157">
            <v>164000000000154</v>
          </cell>
          <cell r="C157">
            <v>32000000000154</v>
          </cell>
          <cell r="D157" t="str">
            <v>Fikri</v>
          </cell>
        </row>
        <row r="158">
          <cell r="B158">
            <v>164000000000155</v>
          </cell>
          <cell r="C158">
            <v>32000000000155</v>
          </cell>
          <cell r="D158" t="str">
            <v>M. Fikri Caesarandi Hasibuan</v>
          </cell>
        </row>
        <row r="159">
          <cell r="B159">
            <v>164000000000156</v>
          </cell>
          <cell r="C159">
            <v>32000000000156</v>
          </cell>
          <cell r="D159" t="str">
            <v>Firman Akbar</v>
          </cell>
        </row>
        <row r="160">
          <cell r="B160">
            <v>164000000000157</v>
          </cell>
          <cell r="C160">
            <v>32000000000157</v>
          </cell>
          <cell r="D160" t="str">
            <v>Fitriastuti Kurnia</v>
          </cell>
        </row>
        <row r="161">
          <cell r="B161">
            <v>164000000000158</v>
          </cell>
          <cell r="C161">
            <v>32000000000158</v>
          </cell>
          <cell r="D161" t="str">
            <v>Francis Imanuel</v>
          </cell>
        </row>
        <row r="162">
          <cell r="B162">
            <v>164000000000159</v>
          </cell>
          <cell r="C162">
            <v>32000000000159</v>
          </cell>
          <cell r="D162" t="str">
            <v>Frando Judi Siahaan</v>
          </cell>
        </row>
        <row r="163">
          <cell r="B163">
            <v>164000000000160</v>
          </cell>
          <cell r="C163">
            <v>32000000000160</v>
          </cell>
          <cell r="D163" t="str">
            <v>Frederika Intan</v>
          </cell>
        </row>
        <row r="164">
          <cell r="B164">
            <v>164000000000161</v>
          </cell>
          <cell r="C164">
            <v>32000000000161</v>
          </cell>
          <cell r="D164" t="str">
            <v>Fuad Febrian</v>
          </cell>
        </row>
        <row r="165">
          <cell r="B165">
            <v>164000000000162</v>
          </cell>
          <cell r="C165">
            <v>32000000000162</v>
          </cell>
          <cell r="D165" t="str">
            <v>Wiyadianto</v>
          </cell>
        </row>
        <row r="166">
          <cell r="B166">
            <v>164000000000163</v>
          </cell>
          <cell r="C166">
            <v>32000000000163</v>
          </cell>
          <cell r="D166" t="str">
            <v>Galuh Swastika</v>
          </cell>
        </row>
        <row r="167">
          <cell r="B167">
            <v>164000000000164</v>
          </cell>
          <cell r="C167">
            <v>32000000000164</v>
          </cell>
          <cell r="D167" t="str">
            <v>Ganda Yuharis R.</v>
          </cell>
        </row>
        <row r="168">
          <cell r="B168">
            <v>164000000000165</v>
          </cell>
          <cell r="C168">
            <v>32000000000165</v>
          </cell>
          <cell r="D168" t="str">
            <v>Gatot Harsono</v>
          </cell>
        </row>
        <row r="169">
          <cell r="B169">
            <v>164000000000166</v>
          </cell>
          <cell r="C169">
            <v>32000000000166</v>
          </cell>
          <cell r="D169" t="str">
            <v>Gina Septa</v>
          </cell>
        </row>
        <row r="170">
          <cell r="B170">
            <v>164000000000167</v>
          </cell>
          <cell r="C170">
            <v>32000000000167</v>
          </cell>
          <cell r="D170" t="str">
            <v>Grace Kurniawan</v>
          </cell>
        </row>
        <row r="171">
          <cell r="B171">
            <v>164000000000168</v>
          </cell>
          <cell r="C171">
            <v>32000000000168</v>
          </cell>
          <cell r="D171" t="str">
            <v>Gunawan</v>
          </cell>
        </row>
        <row r="172">
          <cell r="B172">
            <v>164000000000169</v>
          </cell>
          <cell r="C172">
            <v>32000000000169</v>
          </cell>
          <cell r="D172" t="str">
            <v>Gustia Rakhmanita</v>
          </cell>
        </row>
        <row r="173">
          <cell r="B173">
            <v>164000000000170</v>
          </cell>
          <cell r="C173">
            <v>32000000000170</v>
          </cell>
          <cell r="D173" t="str">
            <v>Habib Abdullah</v>
          </cell>
        </row>
        <row r="174">
          <cell r="B174">
            <v>164000000000171</v>
          </cell>
          <cell r="C174">
            <v>32000000000171</v>
          </cell>
          <cell r="D174" t="str">
            <v>Hadi Kasmuri</v>
          </cell>
        </row>
        <row r="175">
          <cell r="B175">
            <v>164000000000172</v>
          </cell>
          <cell r="C175">
            <v>32000000000172</v>
          </cell>
          <cell r="D175" t="str">
            <v>Haikal</v>
          </cell>
        </row>
        <row r="176">
          <cell r="B176">
            <v>164000000000173</v>
          </cell>
          <cell r="C176">
            <v>32000000000173</v>
          </cell>
          <cell r="D176" t="str">
            <v>Hanantowiryo Tamtama</v>
          </cell>
        </row>
        <row r="177">
          <cell r="B177">
            <v>164000000000174</v>
          </cell>
          <cell r="C177">
            <v>32000000000174</v>
          </cell>
          <cell r="D177" t="str">
            <v>Handoko</v>
          </cell>
        </row>
        <row r="178">
          <cell r="B178">
            <v>164000000000175</v>
          </cell>
          <cell r="C178">
            <v>32000000000175</v>
          </cell>
          <cell r="D178" t="str">
            <v>Hanif Ashari</v>
          </cell>
        </row>
        <row r="179">
          <cell r="B179">
            <v>164000000000176</v>
          </cell>
          <cell r="C179">
            <v>32000000000176</v>
          </cell>
          <cell r="D179" t="str">
            <v>Hanif Eko Saputro</v>
          </cell>
        </row>
        <row r="180">
          <cell r="B180">
            <v>164000000000177</v>
          </cell>
          <cell r="C180">
            <v>32000000000177</v>
          </cell>
          <cell r="D180" t="str">
            <v>Hardianto</v>
          </cell>
        </row>
        <row r="181">
          <cell r="B181">
            <v>164000000000178</v>
          </cell>
          <cell r="C181">
            <v>32000000000178</v>
          </cell>
          <cell r="D181" t="str">
            <v>Harlen Amudi Purba</v>
          </cell>
        </row>
        <row r="182">
          <cell r="B182">
            <v>164000000000179</v>
          </cell>
          <cell r="C182">
            <v>32000000000179</v>
          </cell>
          <cell r="D182" t="str">
            <v>Harry Isnaeni</v>
          </cell>
        </row>
        <row r="183">
          <cell r="B183">
            <v>164000000000180</v>
          </cell>
          <cell r="C183">
            <v>32000000000180</v>
          </cell>
          <cell r="D183" t="str">
            <v>Hasan Gani</v>
          </cell>
        </row>
        <row r="184">
          <cell r="B184">
            <v>164000000000181</v>
          </cell>
          <cell r="C184">
            <v>32000000000181</v>
          </cell>
          <cell r="D184" t="str">
            <v>Hasrul</v>
          </cell>
        </row>
        <row r="185">
          <cell r="B185">
            <v>164000000000182</v>
          </cell>
          <cell r="C185">
            <v>32000000000182</v>
          </cell>
          <cell r="D185" t="str">
            <v>Hendar Pambudi</v>
          </cell>
        </row>
        <row r="186">
          <cell r="B186">
            <v>164000000000183</v>
          </cell>
          <cell r="C186">
            <v>32000000000183</v>
          </cell>
          <cell r="D186" t="str">
            <v>Hendri Kustian</v>
          </cell>
        </row>
        <row r="187">
          <cell r="B187">
            <v>164000000000184</v>
          </cell>
          <cell r="C187">
            <v>32000000000184</v>
          </cell>
          <cell r="D187" t="str">
            <v>Hendrik</v>
          </cell>
        </row>
        <row r="188">
          <cell r="B188">
            <v>164000000000185</v>
          </cell>
          <cell r="C188">
            <v>32000000000185</v>
          </cell>
          <cell r="D188" t="str">
            <v>Herdi Yulia Rohmana</v>
          </cell>
        </row>
        <row r="189">
          <cell r="B189">
            <v>164000000000186</v>
          </cell>
          <cell r="C189">
            <v>32000000000186</v>
          </cell>
          <cell r="D189" t="str">
            <v>Heri Susanto</v>
          </cell>
        </row>
        <row r="190">
          <cell r="B190">
            <v>164000000000187</v>
          </cell>
          <cell r="C190">
            <v>32000000000187</v>
          </cell>
          <cell r="D190" t="str">
            <v>Herlin Juli Asri</v>
          </cell>
        </row>
        <row r="191">
          <cell r="B191">
            <v>164000000000188</v>
          </cell>
          <cell r="C191">
            <v>32000000000188</v>
          </cell>
          <cell r="D191" t="str">
            <v>Herman Budoyo</v>
          </cell>
        </row>
        <row r="192">
          <cell r="B192">
            <v>164000000000189</v>
          </cell>
          <cell r="C192">
            <v>32000000000189</v>
          </cell>
          <cell r="D192" t="str">
            <v>Herni Yuliati</v>
          </cell>
        </row>
        <row r="193">
          <cell r="B193">
            <v>164000000000190</v>
          </cell>
          <cell r="C193">
            <v>32000000000190</v>
          </cell>
          <cell r="D193" t="str">
            <v>Hernita Dwi</v>
          </cell>
        </row>
        <row r="194">
          <cell r="B194">
            <v>164000000000191</v>
          </cell>
          <cell r="C194">
            <v>32000000000191</v>
          </cell>
          <cell r="D194" t="str">
            <v>Herri Setyawan</v>
          </cell>
        </row>
        <row r="195">
          <cell r="B195">
            <v>164000000000192</v>
          </cell>
          <cell r="C195">
            <v>32000000000192</v>
          </cell>
          <cell r="D195" t="str">
            <v>Heru Sugiri</v>
          </cell>
        </row>
        <row r="196">
          <cell r="B196">
            <v>164000000000193</v>
          </cell>
          <cell r="C196">
            <v>32000000000193</v>
          </cell>
          <cell r="D196" t="str">
            <v>Hervian Bagus Saputra</v>
          </cell>
        </row>
        <row r="197">
          <cell r="B197">
            <v>164000000000194</v>
          </cell>
          <cell r="C197">
            <v>32000000000194</v>
          </cell>
          <cell r="D197" t="str">
            <v>H.R. Marlina S. T. R.</v>
          </cell>
        </row>
        <row r="198">
          <cell r="B198">
            <v>164000000000195</v>
          </cell>
          <cell r="C198">
            <v>32000000000195</v>
          </cell>
          <cell r="D198" t="str">
            <v>Ibrahim Soukani</v>
          </cell>
        </row>
        <row r="199">
          <cell r="B199">
            <v>164000000000196</v>
          </cell>
          <cell r="C199">
            <v>32000000000196</v>
          </cell>
          <cell r="D199" t="str">
            <v>Icha Mailinda Syamsoedin</v>
          </cell>
        </row>
        <row r="200">
          <cell r="B200">
            <v>164000000000197</v>
          </cell>
          <cell r="C200">
            <v>32000000000197</v>
          </cell>
          <cell r="D200" t="str">
            <v>Ichsanudin</v>
          </cell>
        </row>
        <row r="201">
          <cell r="B201">
            <v>164000000000198</v>
          </cell>
          <cell r="C201">
            <v>32000000000198</v>
          </cell>
          <cell r="D201" t="str">
            <v>Ida Tri Wulaningsih</v>
          </cell>
        </row>
        <row r="202">
          <cell r="B202">
            <v>164000000000199</v>
          </cell>
          <cell r="C202">
            <v>32000000000199</v>
          </cell>
          <cell r="D202" t="str">
            <v>Idham</v>
          </cell>
        </row>
        <row r="203">
          <cell r="B203">
            <v>164000000000200</v>
          </cell>
          <cell r="C203">
            <v>32000000000200</v>
          </cell>
          <cell r="D203" t="str">
            <v>Idham Nasution</v>
          </cell>
        </row>
        <row r="204">
          <cell r="B204">
            <v>164000000000201</v>
          </cell>
          <cell r="C204">
            <v>32000000000201</v>
          </cell>
          <cell r="D204" t="str">
            <v>Idian</v>
          </cell>
        </row>
        <row r="205">
          <cell r="B205">
            <v>164000000000202</v>
          </cell>
          <cell r="C205">
            <v>32000000000202</v>
          </cell>
          <cell r="D205" t="str">
            <v>Ikun M. Soedrajat</v>
          </cell>
        </row>
        <row r="206">
          <cell r="B206">
            <v>164000000000203</v>
          </cell>
          <cell r="C206">
            <v>32000000000203</v>
          </cell>
          <cell r="D206" t="str">
            <v>Ilham Arisyandy</v>
          </cell>
        </row>
        <row r="207">
          <cell r="B207">
            <v>164000000000204</v>
          </cell>
          <cell r="C207">
            <v>32000000000204</v>
          </cell>
          <cell r="D207" t="str">
            <v>Ilham Akbar</v>
          </cell>
        </row>
        <row r="208">
          <cell r="B208">
            <v>164000000000205</v>
          </cell>
          <cell r="C208">
            <v>32000000000205</v>
          </cell>
          <cell r="D208" t="str">
            <v>Imam Basuki</v>
          </cell>
        </row>
        <row r="209">
          <cell r="B209">
            <v>164000000000206</v>
          </cell>
          <cell r="C209">
            <v>32000000000206</v>
          </cell>
          <cell r="D209" t="str">
            <v>Imam Mustofa</v>
          </cell>
        </row>
        <row r="210">
          <cell r="B210">
            <v>164000000000207</v>
          </cell>
          <cell r="C210">
            <v>32000000000207</v>
          </cell>
          <cell r="D210" t="str">
            <v>Imam Safiiy</v>
          </cell>
        </row>
        <row r="211">
          <cell r="B211">
            <v>164000000000208</v>
          </cell>
          <cell r="C211">
            <v>32000000000208</v>
          </cell>
          <cell r="D211" t="str">
            <v>Iman Hakiki</v>
          </cell>
        </row>
        <row r="212">
          <cell r="B212">
            <v>164000000000209</v>
          </cell>
          <cell r="C212">
            <v>32000000000209</v>
          </cell>
          <cell r="D212" t="str">
            <v>Imelda Claudia</v>
          </cell>
        </row>
        <row r="213">
          <cell r="B213">
            <v>164000000000210</v>
          </cell>
          <cell r="C213">
            <v>32000000000210</v>
          </cell>
          <cell r="D213" t="str">
            <v>Indawan Haryadi</v>
          </cell>
        </row>
        <row r="214">
          <cell r="B214">
            <v>164000000000211</v>
          </cell>
          <cell r="C214">
            <v>32000000000211</v>
          </cell>
          <cell r="D214" t="str">
            <v>Indra Jaya</v>
          </cell>
        </row>
        <row r="215">
          <cell r="B215">
            <v>164000000000212</v>
          </cell>
          <cell r="C215">
            <v>32000000000212</v>
          </cell>
          <cell r="D215" t="str">
            <v>Indra Muchtar</v>
          </cell>
        </row>
        <row r="216">
          <cell r="B216">
            <v>164000000000213</v>
          </cell>
          <cell r="C216">
            <v>32000000000213</v>
          </cell>
          <cell r="D216" t="str">
            <v>Irvan</v>
          </cell>
        </row>
        <row r="217">
          <cell r="B217">
            <v>164000000000214</v>
          </cell>
          <cell r="C217">
            <v>32000000000214</v>
          </cell>
          <cell r="D217" t="str">
            <v>Irvan Agus Dharma Eka Putra</v>
          </cell>
        </row>
        <row r="218">
          <cell r="B218">
            <v>164000000000215</v>
          </cell>
          <cell r="C218">
            <v>32000000000215</v>
          </cell>
          <cell r="D218" t="str">
            <v>Irwan</v>
          </cell>
        </row>
        <row r="219">
          <cell r="B219">
            <v>164000000000216</v>
          </cell>
          <cell r="C219">
            <v>32000000000216</v>
          </cell>
          <cell r="D219" t="str">
            <v>Isa Anshori</v>
          </cell>
        </row>
        <row r="220">
          <cell r="B220">
            <v>164000000000217</v>
          </cell>
          <cell r="C220">
            <v>32000000000217</v>
          </cell>
          <cell r="D220" t="str">
            <v>Isa Taufiq</v>
          </cell>
        </row>
        <row r="221">
          <cell r="B221">
            <v>164000000000218</v>
          </cell>
          <cell r="C221">
            <v>32000000000218</v>
          </cell>
          <cell r="D221" t="str">
            <v>Iskandarsyah</v>
          </cell>
        </row>
        <row r="222">
          <cell r="B222">
            <v>164000000000219</v>
          </cell>
          <cell r="C222">
            <v>32000000000219</v>
          </cell>
          <cell r="D222" t="str">
            <v>Istanto Istanto</v>
          </cell>
        </row>
        <row r="223">
          <cell r="B223">
            <v>164000000000220</v>
          </cell>
          <cell r="C223">
            <v>32000000000220</v>
          </cell>
          <cell r="D223" t="str">
            <v>Iswahyuni</v>
          </cell>
        </row>
        <row r="224">
          <cell r="B224">
            <v>164000000000221</v>
          </cell>
          <cell r="C224">
            <v>32000000000221</v>
          </cell>
          <cell r="D224" t="str">
            <v>Iva Nurvahayati</v>
          </cell>
        </row>
        <row r="225">
          <cell r="B225">
            <v>164000000000222</v>
          </cell>
          <cell r="C225">
            <v>32000000000222</v>
          </cell>
          <cell r="D225" t="str">
            <v>Iwan Setiawan</v>
          </cell>
        </row>
        <row r="226">
          <cell r="B226">
            <v>164000000000223</v>
          </cell>
          <cell r="C226">
            <v>32000000000223</v>
          </cell>
          <cell r="D226" t="str">
            <v>Iwan Sumantri</v>
          </cell>
        </row>
        <row r="227">
          <cell r="B227">
            <v>164000000000224</v>
          </cell>
          <cell r="C227">
            <v>32000000000224</v>
          </cell>
          <cell r="D227" t="str">
            <v>Iwan Wibawa</v>
          </cell>
        </row>
        <row r="228">
          <cell r="B228">
            <v>164000000000225</v>
          </cell>
          <cell r="C228">
            <v>32000000000225</v>
          </cell>
          <cell r="D228" t="str">
            <v>Iyus Darwin</v>
          </cell>
        </row>
        <row r="229">
          <cell r="B229">
            <v>164000000000226</v>
          </cell>
          <cell r="C229">
            <v>32000000000226</v>
          </cell>
          <cell r="D229" t="str">
            <v>Jaenudin</v>
          </cell>
        </row>
        <row r="230">
          <cell r="B230">
            <v>164000000000227</v>
          </cell>
          <cell r="C230">
            <v>32000000000227</v>
          </cell>
          <cell r="D230" t="str">
            <v>Jaruli Samosir</v>
          </cell>
        </row>
        <row r="231">
          <cell r="B231">
            <v>164000000000228</v>
          </cell>
          <cell r="C231">
            <v>32000000000228</v>
          </cell>
          <cell r="D231" t="str">
            <v>Jaya Ganef</v>
          </cell>
        </row>
        <row r="232">
          <cell r="B232">
            <v>164000000000229</v>
          </cell>
          <cell r="C232">
            <v>32000000000229</v>
          </cell>
          <cell r="D232" t="str">
            <v>Jaya Sitepu</v>
          </cell>
        </row>
        <row r="233">
          <cell r="B233">
            <v>164000000000230</v>
          </cell>
          <cell r="C233">
            <v>32000000000230</v>
          </cell>
          <cell r="D233" t="str">
            <v>Jeefrianda H. P. Sigalingging</v>
          </cell>
        </row>
        <row r="234">
          <cell r="B234">
            <v>164000000000231</v>
          </cell>
          <cell r="C234">
            <v>32000000000231</v>
          </cell>
          <cell r="D234" t="str">
            <v>Jerry Djajasaputra</v>
          </cell>
        </row>
        <row r="235">
          <cell r="B235">
            <v>164000000000232</v>
          </cell>
          <cell r="C235">
            <v>32000000000232</v>
          </cell>
          <cell r="D235" t="str">
            <v>Jimmywal</v>
          </cell>
        </row>
        <row r="236">
          <cell r="B236">
            <v>164000000000233</v>
          </cell>
          <cell r="C236">
            <v>32000000000233</v>
          </cell>
          <cell r="D236" t="str">
            <v>Jodie Satria</v>
          </cell>
        </row>
        <row r="237">
          <cell r="B237">
            <v>164000000000234</v>
          </cell>
          <cell r="C237">
            <v>32000000000234</v>
          </cell>
          <cell r="D237" t="str">
            <v>Johannes Silalahi</v>
          </cell>
        </row>
        <row r="238">
          <cell r="B238">
            <v>164000000000235</v>
          </cell>
          <cell r="C238">
            <v>32000000000235</v>
          </cell>
          <cell r="D238" t="str">
            <v>Joko Wiyono</v>
          </cell>
        </row>
        <row r="239">
          <cell r="B239">
            <v>164000000000236</v>
          </cell>
          <cell r="C239">
            <v>32000000000236</v>
          </cell>
          <cell r="D239" t="str">
            <v>Jondril Hantoni</v>
          </cell>
        </row>
        <row r="240">
          <cell r="B240">
            <v>164000000000237</v>
          </cell>
          <cell r="C240">
            <v>32000000000237</v>
          </cell>
          <cell r="D240" t="str">
            <v>Jonhar Aziz</v>
          </cell>
        </row>
        <row r="241">
          <cell r="B241">
            <v>164000000000238</v>
          </cell>
          <cell r="C241">
            <v>32000000000238</v>
          </cell>
          <cell r="D241" t="str">
            <v>Juan Talitha</v>
          </cell>
        </row>
        <row r="242">
          <cell r="B242">
            <v>164000000000239</v>
          </cell>
          <cell r="C242">
            <v>32000000000239</v>
          </cell>
          <cell r="D242" t="str">
            <v>Juharja Juharja</v>
          </cell>
        </row>
        <row r="243">
          <cell r="B243">
            <v>164000000000240</v>
          </cell>
          <cell r="C243">
            <v>32000000000240</v>
          </cell>
          <cell r="D243" t="str">
            <v>Juminar</v>
          </cell>
        </row>
        <row r="244">
          <cell r="B244">
            <v>164000000000241</v>
          </cell>
          <cell r="C244">
            <v>32000000000241</v>
          </cell>
          <cell r="D244" t="str">
            <v>Jumino</v>
          </cell>
        </row>
        <row r="245">
          <cell r="B245">
            <v>164000000000242</v>
          </cell>
          <cell r="C245">
            <v>32000000000242</v>
          </cell>
          <cell r="D245" t="str">
            <v>Junaedi</v>
          </cell>
        </row>
        <row r="246">
          <cell r="B246">
            <v>164000000000243</v>
          </cell>
          <cell r="C246">
            <v>32000000000243</v>
          </cell>
          <cell r="D246" t="str">
            <v>Junaidi</v>
          </cell>
        </row>
        <row r="247">
          <cell r="B247">
            <v>164000000000244</v>
          </cell>
          <cell r="C247">
            <v>32000000000244</v>
          </cell>
          <cell r="D247" t="str">
            <v>Jusuf Bobby Putra</v>
          </cell>
        </row>
        <row r="248">
          <cell r="B248">
            <v>164000000000245</v>
          </cell>
          <cell r="C248">
            <v>32000000000245</v>
          </cell>
          <cell r="D248" t="str">
            <v>Jusuf Gandi</v>
          </cell>
        </row>
        <row r="249">
          <cell r="B249">
            <v>164000000000246</v>
          </cell>
          <cell r="C249">
            <v>32000000000246</v>
          </cell>
          <cell r="D249" t="str">
            <v>Kahar Triyono</v>
          </cell>
        </row>
        <row r="250">
          <cell r="B250">
            <v>164000000000247</v>
          </cell>
          <cell r="C250">
            <v>32000000000247</v>
          </cell>
          <cell r="D250" t="str">
            <v>Keila</v>
          </cell>
        </row>
        <row r="251">
          <cell r="B251">
            <v>164000000000248</v>
          </cell>
          <cell r="C251">
            <v>32000000000248</v>
          </cell>
          <cell r="D251" t="str">
            <v>Kendra Daniswara</v>
          </cell>
        </row>
        <row r="252">
          <cell r="B252">
            <v>164000000000249</v>
          </cell>
          <cell r="C252">
            <v>32000000000249</v>
          </cell>
          <cell r="D252" t="str">
            <v>Kevin Henokh Tambunan</v>
          </cell>
        </row>
        <row r="253">
          <cell r="B253">
            <v>164000000000250</v>
          </cell>
          <cell r="C253">
            <v>32000000000250</v>
          </cell>
          <cell r="D253" t="str">
            <v>Khafid Fahrurrozi</v>
          </cell>
        </row>
        <row r="254">
          <cell r="B254">
            <v>164000000000251</v>
          </cell>
          <cell r="C254">
            <v>32000000000251</v>
          </cell>
          <cell r="D254" t="str">
            <v>Kholik</v>
          </cell>
        </row>
        <row r="255">
          <cell r="B255">
            <v>164000000000252</v>
          </cell>
          <cell r="C255">
            <v>32000000000252</v>
          </cell>
          <cell r="D255" t="str">
            <v>Kiki Mustikawati</v>
          </cell>
        </row>
        <row r="256">
          <cell r="B256">
            <v>164000000000253</v>
          </cell>
          <cell r="C256">
            <v>32000000000253</v>
          </cell>
          <cell r="D256" t="str">
            <v>Kornelius Sakan</v>
          </cell>
        </row>
        <row r="257">
          <cell r="B257">
            <v>164000000000254</v>
          </cell>
          <cell r="C257">
            <v>32000000000254</v>
          </cell>
          <cell r="D257" t="str">
            <v>Kosasih</v>
          </cell>
        </row>
        <row r="258">
          <cell r="B258">
            <v>164000000000255</v>
          </cell>
          <cell r="C258">
            <v>32000000000255</v>
          </cell>
          <cell r="D258" t="str">
            <v>Krisnawan</v>
          </cell>
        </row>
        <row r="259">
          <cell r="B259">
            <v>164000000000256</v>
          </cell>
          <cell r="C259">
            <v>32000000000256</v>
          </cell>
          <cell r="D259" t="str">
            <v>Kurniadi</v>
          </cell>
        </row>
        <row r="260">
          <cell r="B260">
            <v>164000000000257</v>
          </cell>
          <cell r="C260">
            <v>32000000000257</v>
          </cell>
          <cell r="D260" t="str">
            <v>Kurniawan</v>
          </cell>
        </row>
        <row r="261">
          <cell r="B261">
            <v>164000000000258</v>
          </cell>
          <cell r="C261">
            <v>32000000000258</v>
          </cell>
          <cell r="D261" t="str">
            <v>Laode</v>
          </cell>
        </row>
        <row r="262">
          <cell r="B262">
            <v>164000000000259</v>
          </cell>
          <cell r="C262">
            <v>32000000000259</v>
          </cell>
          <cell r="D262" t="str">
            <v>Leo Nababan</v>
          </cell>
        </row>
        <row r="263">
          <cell r="B263">
            <v>164000000000260</v>
          </cell>
          <cell r="C263">
            <v>32000000000260</v>
          </cell>
          <cell r="D263" t="str">
            <v>Liani Atmaningrum</v>
          </cell>
        </row>
        <row r="264">
          <cell r="B264">
            <v>164000000000261</v>
          </cell>
          <cell r="C264">
            <v>32000000000261</v>
          </cell>
          <cell r="D264" t="str">
            <v>Liaseptriani Liaseptriani</v>
          </cell>
        </row>
        <row r="265">
          <cell r="B265">
            <v>164000000000262</v>
          </cell>
          <cell r="C265">
            <v>32000000000262</v>
          </cell>
          <cell r="D265" t="str">
            <v>Lisma Natalia</v>
          </cell>
        </row>
        <row r="266">
          <cell r="B266">
            <v>164000000000263</v>
          </cell>
          <cell r="C266">
            <v>32000000000263</v>
          </cell>
          <cell r="D266" t="str">
            <v>Listyo Hartanto</v>
          </cell>
        </row>
        <row r="267">
          <cell r="B267">
            <v>164000000000264</v>
          </cell>
          <cell r="C267">
            <v>32000000000264</v>
          </cell>
          <cell r="D267" t="str">
            <v>M. Ari Ardizah Nasution</v>
          </cell>
        </row>
        <row r="268">
          <cell r="B268">
            <v>164000000000265</v>
          </cell>
          <cell r="C268">
            <v>32000000000265</v>
          </cell>
          <cell r="D268" t="str">
            <v>M. Denny  Micrazudin</v>
          </cell>
        </row>
        <row r="269">
          <cell r="B269">
            <v>164000000000266</v>
          </cell>
          <cell r="C269">
            <v>32000000000266</v>
          </cell>
          <cell r="D269" t="str">
            <v>M. Ridho Pramudia</v>
          </cell>
        </row>
        <row r="270">
          <cell r="B270">
            <v>164000000000267</v>
          </cell>
          <cell r="C270">
            <v>32000000000267</v>
          </cell>
          <cell r="D270" t="str">
            <v>M. Rusdi</v>
          </cell>
        </row>
        <row r="271">
          <cell r="B271">
            <v>164000000000268</v>
          </cell>
          <cell r="C271">
            <v>32000000000268</v>
          </cell>
          <cell r="D271" t="str">
            <v>M. Ervan Isyawal Akbar</v>
          </cell>
        </row>
        <row r="272">
          <cell r="B272">
            <v>164000000000269</v>
          </cell>
          <cell r="C272">
            <v>32000000000269</v>
          </cell>
          <cell r="D272" t="str">
            <v>Maharani Tanjungsari</v>
          </cell>
        </row>
        <row r="273">
          <cell r="B273">
            <v>164000000000270</v>
          </cell>
          <cell r="C273">
            <v>32000000000270</v>
          </cell>
          <cell r="D273" t="str">
            <v>Maharani Uthmaniah</v>
          </cell>
        </row>
        <row r="274">
          <cell r="B274">
            <v>164000000000271</v>
          </cell>
          <cell r="C274">
            <v>32000000000271</v>
          </cell>
          <cell r="D274" t="str">
            <v>Manotar Tamba</v>
          </cell>
        </row>
        <row r="275">
          <cell r="B275">
            <v>164000000000272</v>
          </cell>
          <cell r="C275">
            <v>32000000000272</v>
          </cell>
          <cell r="D275" t="str">
            <v>Maradona Manurung</v>
          </cell>
        </row>
        <row r="276">
          <cell r="B276">
            <v>164000000000273</v>
          </cell>
          <cell r="C276">
            <v>32000000000273</v>
          </cell>
          <cell r="D276" t="str">
            <v>Pantas Banjarnahor Marbun</v>
          </cell>
        </row>
        <row r="277">
          <cell r="B277">
            <v>164000000000274</v>
          </cell>
          <cell r="C277">
            <v>32000000000274</v>
          </cell>
          <cell r="D277" t="str">
            <v>Marcella Avia Ramadhinaningrum</v>
          </cell>
        </row>
        <row r="278">
          <cell r="B278">
            <v>164000000000275</v>
          </cell>
          <cell r="C278">
            <v>32000000000275</v>
          </cell>
          <cell r="D278" t="str">
            <v>Marissa Watak</v>
          </cell>
        </row>
        <row r="279">
          <cell r="B279">
            <v>164000000000276</v>
          </cell>
          <cell r="C279">
            <v>32000000000276</v>
          </cell>
          <cell r="D279" t="str">
            <v>Marten Tabun</v>
          </cell>
        </row>
        <row r="280">
          <cell r="B280">
            <v>164000000000277</v>
          </cell>
          <cell r="C280">
            <v>32000000000277</v>
          </cell>
          <cell r="D280" t="str">
            <v>Martimbul Rahman</v>
          </cell>
        </row>
        <row r="281">
          <cell r="B281">
            <v>164000000000278</v>
          </cell>
          <cell r="C281">
            <v>32000000000278</v>
          </cell>
          <cell r="D281" t="str">
            <v>T. Marungkil U. S. Sagala</v>
          </cell>
        </row>
        <row r="282">
          <cell r="B282">
            <v>164000000000279</v>
          </cell>
          <cell r="C282">
            <v>32000000000279</v>
          </cell>
          <cell r="D282" t="str">
            <v>Marzuki</v>
          </cell>
        </row>
        <row r="283">
          <cell r="B283">
            <v>164000000000280</v>
          </cell>
          <cell r="C283">
            <v>32000000000280</v>
          </cell>
          <cell r="D283" t="str">
            <v>Mashuri Mashuri</v>
          </cell>
        </row>
        <row r="284">
          <cell r="B284">
            <v>164000000000281</v>
          </cell>
          <cell r="C284">
            <v>32000000000281</v>
          </cell>
          <cell r="D284" t="str">
            <v>Mat Soleh</v>
          </cell>
        </row>
        <row r="285">
          <cell r="B285">
            <v>164000000000282</v>
          </cell>
          <cell r="C285">
            <v>32000000000282</v>
          </cell>
          <cell r="D285" t="str">
            <v>Mhd Syahputra</v>
          </cell>
        </row>
        <row r="286">
          <cell r="B286">
            <v>164000000000283</v>
          </cell>
          <cell r="C286">
            <v>32000000000283</v>
          </cell>
          <cell r="D286" t="str">
            <v>Mia Puspitasari</v>
          </cell>
        </row>
        <row r="287">
          <cell r="B287">
            <v>164000000000284</v>
          </cell>
          <cell r="C287">
            <v>32000000000284</v>
          </cell>
          <cell r="D287" t="str">
            <v>Midin Ena</v>
          </cell>
        </row>
        <row r="288">
          <cell r="B288">
            <v>164000000000285</v>
          </cell>
          <cell r="C288">
            <v>32000000000285</v>
          </cell>
          <cell r="D288" t="str">
            <v>Miftakhul Muzakky</v>
          </cell>
        </row>
        <row r="289">
          <cell r="B289">
            <v>164000000000286</v>
          </cell>
          <cell r="C289">
            <v>32000000000286</v>
          </cell>
          <cell r="D289" t="str">
            <v>Mista</v>
          </cell>
        </row>
        <row r="290">
          <cell r="B290">
            <v>164000000000287</v>
          </cell>
          <cell r="C290">
            <v>32000000000287</v>
          </cell>
          <cell r="D290" t="str">
            <v>Mochamad Samman</v>
          </cell>
        </row>
        <row r="291">
          <cell r="B291">
            <v>164000000000288</v>
          </cell>
          <cell r="C291">
            <v>32000000000288</v>
          </cell>
          <cell r="D291" t="str">
            <v>Moh. Afif</v>
          </cell>
        </row>
        <row r="292">
          <cell r="B292">
            <v>164000000000289</v>
          </cell>
          <cell r="C292">
            <v>32000000000289</v>
          </cell>
          <cell r="D292" t="str">
            <v>Mohammad Arman Tompo</v>
          </cell>
        </row>
        <row r="293">
          <cell r="B293">
            <v>164000000000290</v>
          </cell>
          <cell r="C293">
            <v>32000000000290</v>
          </cell>
          <cell r="D293" t="str">
            <v>Mohd. Elfan Pratama</v>
          </cell>
        </row>
        <row r="294">
          <cell r="B294">
            <v>164000000000291</v>
          </cell>
          <cell r="C294">
            <v>32000000000291</v>
          </cell>
          <cell r="D294" t="str">
            <v>Monang Simarmata</v>
          </cell>
        </row>
        <row r="295">
          <cell r="B295">
            <v>164000000000292</v>
          </cell>
          <cell r="C295">
            <v>32000000000292</v>
          </cell>
          <cell r="D295" t="str">
            <v>Moritz Thomsen Marbun</v>
          </cell>
        </row>
        <row r="296">
          <cell r="B296">
            <v>164000000000293</v>
          </cell>
          <cell r="C296">
            <v>32000000000293</v>
          </cell>
          <cell r="D296" t="str">
            <v>Muhamad Hamdan Rifai</v>
          </cell>
        </row>
        <row r="297">
          <cell r="B297">
            <v>164000000000294</v>
          </cell>
          <cell r="C297">
            <v>32000000000294</v>
          </cell>
          <cell r="D297" t="str">
            <v>Muhamad Ikhsan</v>
          </cell>
        </row>
        <row r="298">
          <cell r="B298">
            <v>164000000000295</v>
          </cell>
          <cell r="C298">
            <v>32000000000295</v>
          </cell>
          <cell r="D298" t="str">
            <v>Muhamad Nurhamsach</v>
          </cell>
        </row>
        <row r="299">
          <cell r="B299">
            <v>164000000000296</v>
          </cell>
          <cell r="C299">
            <v>32000000000296</v>
          </cell>
          <cell r="D299" t="str">
            <v>Muhammad Ardiansyah</v>
          </cell>
        </row>
        <row r="300">
          <cell r="B300">
            <v>164000000000297</v>
          </cell>
          <cell r="C300">
            <v>32000000000297</v>
          </cell>
          <cell r="D300" t="str">
            <v>Muhammad Khadafy</v>
          </cell>
        </row>
        <row r="301">
          <cell r="B301">
            <v>164000000000298</v>
          </cell>
          <cell r="C301">
            <v>32000000000298</v>
          </cell>
          <cell r="D301" t="str">
            <v>Muhammad Taufan</v>
          </cell>
        </row>
        <row r="302">
          <cell r="B302">
            <v>164000000000299</v>
          </cell>
          <cell r="C302">
            <v>32000000000299</v>
          </cell>
          <cell r="D302" t="str">
            <v>Muklis</v>
          </cell>
        </row>
        <row r="303">
          <cell r="B303">
            <v>164000000000300</v>
          </cell>
          <cell r="C303">
            <v>32000000000300</v>
          </cell>
          <cell r="D303" t="str">
            <v>Mulia Rohanson Harahap</v>
          </cell>
        </row>
        <row r="304">
          <cell r="B304">
            <v>164000000000301</v>
          </cell>
          <cell r="C304">
            <v>32000000000301</v>
          </cell>
          <cell r="D304" t="str">
            <v>Mullan Tresna</v>
          </cell>
        </row>
        <row r="305">
          <cell r="B305">
            <v>164000000000302</v>
          </cell>
          <cell r="C305">
            <v>32000000000302</v>
          </cell>
          <cell r="D305" t="str">
            <v>Mulyadi</v>
          </cell>
        </row>
        <row r="306">
          <cell r="B306">
            <v>164000000000303</v>
          </cell>
          <cell r="C306">
            <v>32000000000303</v>
          </cell>
          <cell r="D306" t="str">
            <v>Mulyono</v>
          </cell>
        </row>
        <row r="307">
          <cell r="B307">
            <v>164000000000304</v>
          </cell>
          <cell r="C307">
            <v>32000000000304</v>
          </cell>
          <cell r="D307" t="str">
            <v>Murdiansyah</v>
          </cell>
        </row>
        <row r="308">
          <cell r="B308">
            <v>164000000000305</v>
          </cell>
          <cell r="C308">
            <v>32000000000305</v>
          </cell>
          <cell r="D308" t="str">
            <v>Mursalim</v>
          </cell>
        </row>
        <row r="309">
          <cell r="B309">
            <v>164000000000306</v>
          </cell>
          <cell r="C309">
            <v>32000000000306</v>
          </cell>
          <cell r="D309" t="str">
            <v>Nancy Meriana Sinaga</v>
          </cell>
        </row>
        <row r="310">
          <cell r="B310">
            <v>164000000000307</v>
          </cell>
          <cell r="C310">
            <v>32000000000307</v>
          </cell>
          <cell r="D310" t="str">
            <v>Nandang Effendi</v>
          </cell>
        </row>
        <row r="311">
          <cell r="B311">
            <v>164000000000308</v>
          </cell>
          <cell r="C311">
            <v>32000000000308</v>
          </cell>
          <cell r="D311" t="str">
            <v>Narno</v>
          </cell>
        </row>
        <row r="312">
          <cell r="B312">
            <v>164000000000309</v>
          </cell>
          <cell r="C312">
            <v>32000000000309</v>
          </cell>
          <cell r="D312" t="str">
            <v>Nasrul Anwar P.</v>
          </cell>
        </row>
        <row r="313">
          <cell r="B313">
            <v>164000000000310</v>
          </cell>
          <cell r="C313">
            <v>32000000000310</v>
          </cell>
          <cell r="D313" t="str">
            <v>Nawal</v>
          </cell>
        </row>
        <row r="314">
          <cell r="B314">
            <v>164000000000311</v>
          </cell>
          <cell r="C314">
            <v>32000000000311</v>
          </cell>
          <cell r="D314" t="str">
            <v>Nawir Lahamutu</v>
          </cell>
        </row>
        <row r="315">
          <cell r="B315">
            <v>164000000000312</v>
          </cell>
          <cell r="C315">
            <v>32000000000312</v>
          </cell>
          <cell r="D315" t="str">
            <v>Nicky Kurnia</v>
          </cell>
        </row>
        <row r="316">
          <cell r="B316">
            <v>164000000000313</v>
          </cell>
          <cell r="C316">
            <v>32000000000313</v>
          </cell>
          <cell r="D316" t="str">
            <v>Noercholis Firmansyah</v>
          </cell>
        </row>
        <row r="317">
          <cell r="B317">
            <v>164000000000314</v>
          </cell>
          <cell r="C317">
            <v>32000000000314</v>
          </cell>
          <cell r="D317" t="str">
            <v>Nopitasari</v>
          </cell>
        </row>
        <row r="318">
          <cell r="B318">
            <v>164000000000315</v>
          </cell>
          <cell r="C318">
            <v>32000000000315</v>
          </cell>
          <cell r="D318" t="str">
            <v>Nora Meilissa</v>
          </cell>
        </row>
        <row r="319">
          <cell r="B319">
            <v>164000000000316</v>
          </cell>
          <cell r="C319">
            <v>32000000000316</v>
          </cell>
          <cell r="D319" t="str">
            <v>Novalia</v>
          </cell>
        </row>
        <row r="320">
          <cell r="B320">
            <v>164000000000317</v>
          </cell>
          <cell r="C320">
            <v>32000000000317</v>
          </cell>
          <cell r="D320" t="str">
            <v>Novan Nugraha</v>
          </cell>
        </row>
        <row r="321">
          <cell r="B321">
            <v>164000000000318</v>
          </cell>
          <cell r="C321">
            <v>32000000000318</v>
          </cell>
          <cell r="D321" t="str">
            <v>Nugraha</v>
          </cell>
        </row>
        <row r="322">
          <cell r="B322">
            <v>164000000000319</v>
          </cell>
          <cell r="C322">
            <v>32000000000319</v>
          </cell>
          <cell r="D322" t="str">
            <v>Nugroho Putranto</v>
          </cell>
        </row>
        <row r="323">
          <cell r="B323">
            <v>164000000000320</v>
          </cell>
          <cell r="C323">
            <v>32000000000320</v>
          </cell>
          <cell r="D323" t="str">
            <v>Nur Indra Sri Melati</v>
          </cell>
        </row>
        <row r="324">
          <cell r="B324">
            <v>164000000000321</v>
          </cell>
          <cell r="C324">
            <v>32000000000321</v>
          </cell>
          <cell r="D324" t="str">
            <v>Nur Kusumowati</v>
          </cell>
        </row>
        <row r="325">
          <cell r="B325">
            <v>164000000000322</v>
          </cell>
          <cell r="C325">
            <v>32000000000322</v>
          </cell>
          <cell r="D325" t="str">
            <v>Nurhidayat</v>
          </cell>
        </row>
        <row r="326">
          <cell r="B326">
            <v>164000000000323</v>
          </cell>
          <cell r="C326">
            <v>32000000000323</v>
          </cell>
          <cell r="D326" t="str">
            <v>Otong Bustori</v>
          </cell>
        </row>
        <row r="327">
          <cell r="B327">
            <v>164000000000324</v>
          </cell>
          <cell r="C327">
            <v>32000000000324</v>
          </cell>
          <cell r="D327" t="str">
            <v>Paino Suprayinto</v>
          </cell>
        </row>
        <row r="328">
          <cell r="B328">
            <v>164000000000325</v>
          </cell>
          <cell r="C328">
            <v>32000000000325</v>
          </cell>
          <cell r="D328" t="str">
            <v>Panca Yudi Baskoro</v>
          </cell>
        </row>
        <row r="329">
          <cell r="B329">
            <v>164000000000326</v>
          </cell>
          <cell r="C329">
            <v>32000000000326</v>
          </cell>
          <cell r="D329" t="str">
            <v>Panji Bima Santri</v>
          </cell>
        </row>
        <row r="330">
          <cell r="B330">
            <v>164000000000327</v>
          </cell>
          <cell r="C330">
            <v>32000000000327</v>
          </cell>
          <cell r="D330" t="str">
            <v>Parulian Napitupulu</v>
          </cell>
        </row>
        <row r="331">
          <cell r="B331">
            <v>164000000000328</v>
          </cell>
          <cell r="C331">
            <v>32000000000328</v>
          </cell>
          <cell r="D331" t="str">
            <v>Paryanto</v>
          </cell>
        </row>
        <row r="332">
          <cell r="B332">
            <v>164000000000329</v>
          </cell>
          <cell r="C332">
            <v>32000000000329</v>
          </cell>
          <cell r="D332" t="str">
            <v>Pikri Hidayat</v>
          </cell>
        </row>
        <row r="333">
          <cell r="B333">
            <v>164000000000330</v>
          </cell>
          <cell r="C333">
            <v>32000000000330</v>
          </cell>
          <cell r="D333" t="str">
            <v>Prayanti Dewi Anggraini</v>
          </cell>
        </row>
        <row r="334">
          <cell r="B334">
            <v>164000000000331</v>
          </cell>
          <cell r="C334">
            <v>32000000000331</v>
          </cell>
          <cell r="D334" t="str">
            <v>Prayati Zai</v>
          </cell>
        </row>
        <row r="335">
          <cell r="B335">
            <v>164000000000332</v>
          </cell>
          <cell r="C335">
            <v>32000000000332</v>
          </cell>
          <cell r="D335" t="str">
            <v>Pristu Andonoto</v>
          </cell>
        </row>
        <row r="336">
          <cell r="B336">
            <v>164000000000333</v>
          </cell>
          <cell r="C336">
            <v>32000000000333</v>
          </cell>
          <cell r="D336" t="str">
            <v>Putra Perdana Tirtomoyo</v>
          </cell>
        </row>
        <row r="337">
          <cell r="B337">
            <v>164000000000334</v>
          </cell>
          <cell r="C337">
            <v>32000000000334</v>
          </cell>
          <cell r="D337" t="str">
            <v>R. Lar Kumalaning Tresno</v>
          </cell>
        </row>
        <row r="338">
          <cell r="B338">
            <v>164000000000335</v>
          </cell>
          <cell r="C338">
            <v>32000000000335</v>
          </cell>
          <cell r="D338" t="str">
            <v>Rachmad</v>
          </cell>
        </row>
        <row r="339">
          <cell r="B339">
            <v>164000000000336</v>
          </cell>
          <cell r="C339">
            <v>32000000000336</v>
          </cell>
          <cell r="D339" t="str">
            <v>Radjiman</v>
          </cell>
        </row>
        <row r="340">
          <cell r="B340">
            <v>164000000000337</v>
          </cell>
          <cell r="C340">
            <v>32000000000337</v>
          </cell>
          <cell r="D340" t="str">
            <v>Rafi Firman Saputra</v>
          </cell>
        </row>
        <row r="341">
          <cell r="B341">
            <v>164000000000338</v>
          </cell>
          <cell r="C341">
            <v>32000000000338</v>
          </cell>
          <cell r="D341" t="str">
            <v>Rahmat Riyadi</v>
          </cell>
        </row>
        <row r="342">
          <cell r="B342">
            <v>164000000000339</v>
          </cell>
          <cell r="C342">
            <v>32000000000339</v>
          </cell>
          <cell r="D342" t="str">
            <v>Rahmat Sirfano</v>
          </cell>
        </row>
        <row r="343">
          <cell r="B343">
            <v>164000000000340</v>
          </cell>
          <cell r="C343">
            <v>32000000000340</v>
          </cell>
          <cell r="D343" t="str">
            <v>Rais Indra Noor</v>
          </cell>
        </row>
        <row r="344">
          <cell r="B344">
            <v>164000000000341</v>
          </cell>
          <cell r="C344">
            <v>32000000000341</v>
          </cell>
          <cell r="D344" t="str">
            <v>Rakman A. Hadi</v>
          </cell>
        </row>
        <row r="345">
          <cell r="B345">
            <v>164000000000342</v>
          </cell>
          <cell r="C345">
            <v>32000000000342</v>
          </cell>
          <cell r="D345" t="str">
            <v>Ramaizon</v>
          </cell>
        </row>
        <row r="346">
          <cell r="B346">
            <v>164000000000343</v>
          </cell>
          <cell r="C346">
            <v>32000000000343</v>
          </cell>
          <cell r="D346" t="str">
            <v>Rangga Darmawan</v>
          </cell>
        </row>
        <row r="347">
          <cell r="B347">
            <v>164000000000344</v>
          </cell>
          <cell r="C347">
            <v>32000000000344</v>
          </cell>
          <cell r="D347" t="str">
            <v>Raoli Nainggolan</v>
          </cell>
        </row>
        <row r="348">
          <cell r="B348">
            <v>164000000000345</v>
          </cell>
          <cell r="C348">
            <v>32000000000345</v>
          </cell>
          <cell r="D348" t="str">
            <v>Rayan Suryadikara</v>
          </cell>
        </row>
        <row r="349">
          <cell r="B349">
            <v>164000000000346</v>
          </cell>
          <cell r="C349">
            <v>32000000000346</v>
          </cell>
          <cell r="D349" t="str">
            <v>Redi Setiadi</v>
          </cell>
        </row>
        <row r="350">
          <cell r="B350">
            <v>164000000000347</v>
          </cell>
          <cell r="C350">
            <v>32000000000347</v>
          </cell>
          <cell r="D350" t="str">
            <v>Redi Subekti</v>
          </cell>
        </row>
        <row r="351">
          <cell r="B351">
            <v>164000000000348</v>
          </cell>
          <cell r="C351">
            <v>32000000000348</v>
          </cell>
          <cell r="D351" t="str">
            <v>Rendy Prananta Purba</v>
          </cell>
        </row>
        <row r="352">
          <cell r="B352">
            <v>164000000000349</v>
          </cell>
          <cell r="C352">
            <v>32000000000349</v>
          </cell>
          <cell r="D352" t="str">
            <v>Reni Septiana</v>
          </cell>
        </row>
        <row r="353">
          <cell r="B353">
            <v>164000000000350</v>
          </cell>
          <cell r="C353">
            <v>32000000000350</v>
          </cell>
          <cell r="D353" t="str">
            <v>Rere Ronggolawe</v>
          </cell>
        </row>
        <row r="354">
          <cell r="B354">
            <v>164000000000351</v>
          </cell>
          <cell r="C354">
            <v>32000000000351</v>
          </cell>
          <cell r="D354" t="str">
            <v>Retnasha Gameswari</v>
          </cell>
        </row>
        <row r="355">
          <cell r="B355">
            <v>164000000000352</v>
          </cell>
          <cell r="C355">
            <v>32000000000352</v>
          </cell>
          <cell r="D355" t="str">
            <v>Rhino Priawan</v>
          </cell>
        </row>
        <row r="356">
          <cell r="B356">
            <v>164000000000353</v>
          </cell>
          <cell r="C356">
            <v>32000000000353</v>
          </cell>
          <cell r="D356" t="str">
            <v>Rian Yushak</v>
          </cell>
        </row>
        <row r="357">
          <cell r="B357">
            <v>164000000000354</v>
          </cell>
          <cell r="C357">
            <v>32000000000354</v>
          </cell>
          <cell r="D357" t="str">
            <v>Riandi</v>
          </cell>
        </row>
        <row r="358">
          <cell r="B358">
            <v>164000000000355</v>
          </cell>
          <cell r="C358">
            <v>32000000000355</v>
          </cell>
          <cell r="D358" t="str">
            <v>Ricky Samuel</v>
          </cell>
        </row>
        <row r="359">
          <cell r="B359">
            <v>164000000000356</v>
          </cell>
          <cell r="C359">
            <v>32000000000356</v>
          </cell>
          <cell r="D359" t="str">
            <v>Ridwan Nurhadi</v>
          </cell>
        </row>
        <row r="360">
          <cell r="B360">
            <v>164000000000357</v>
          </cell>
          <cell r="C360">
            <v>32000000000357</v>
          </cell>
          <cell r="D360" t="str">
            <v>Rifki</v>
          </cell>
        </row>
        <row r="361">
          <cell r="B361">
            <v>164000000000358</v>
          </cell>
          <cell r="C361">
            <v>32000000000358</v>
          </cell>
          <cell r="D361" t="str">
            <v>Rika Ginting</v>
          </cell>
        </row>
        <row r="362">
          <cell r="B362">
            <v>164000000000359</v>
          </cell>
          <cell r="C362">
            <v>32000000000359</v>
          </cell>
          <cell r="D362" t="str">
            <v>Riki Chairul Anwar</v>
          </cell>
        </row>
        <row r="363">
          <cell r="B363">
            <v>164000000000360</v>
          </cell>
          <cell r="C363">
            <v>32000000000360</v>
          </cell>
          <cell r="D363" t="str">
            <v>Riki Evindra</v>
          </cell>
        </row>
        <row r="364">
          <cell r="B364">
            <v>164000000000361</v>
          </cell>
          <cell r="C364">
            <v>32000000000361</v>
          </cell>
          <cell r="D364" t="str">
            <v>Rinaldi Asrin</v>
          </cell>
        </row>
        <row r="365">
          <cell r="B365">
            <v>164000000000362</v>
          </cell>
          <cell r="C365">
            <v>32000000000362</v>
          </cell>
          <cell r="D365" t="str">
            <v>Rio Hakim</v>
          </cell>
        </row>
        <row r="366">
          <cell r="B366">
            <v>164000000000363</v>
          </cell>
          <cell r="C366">
            <v>32000000000363</v>
          </cell>
          <cell r="D366" t="str">
            <v>Rio Martha</v>
          </cell>
        </row>
        <row r="367">
          <cell r="B367">
            <v>164000000000364</v>
          </cell>
          <cell r="C367">
            <v>32000000000364</v>
          </cell>
          <cell r="D367" t="str">
            <v>Risdyanto Risdyanto</v>
          </cell>
        </row>
        <row r="368">
          <cell r="B368">
            <v>164000000000365</v>
          </cell>
          <cell r="C368">
            <v>32000000000365</v>
          </cell>
          <cell r="D368" t="str">
            <v>Rizak Tri Septian</v>
          </cell>
        </row>
        <row r="369">
          <cell r="B369">
            <v>164000000000366</v>
          </cell>
          <cell r="C369">
            <v>32000000000366</v>
          </cell>
          <cell r="D369" t="str">
            <v>Rizki Akbar</v>
          </cell>
        </row>
        <row r="370">
          <cell r="B370">
            <v>164000000000367</v>
          </cell>
          <cell r="C370">
            <v>32000000000367</v>
          </cell>
          <cell r="D370" t="str">
            <v>Rizky Fauzy</v>
          </cell>
        </row>
        <row r="371">
          <cell r="B371">
            <v>164000000000368</v>
          </cell>
          <cell r="C371">
            <v>32000000000368</v>
          </cell>
          <cell r="D371" t="str">
            <v>Rizky Reza Pradipta</v>
          </cell>
        </row>
        <row r="372">
          <cell r="B372">
            <v>164000000000369</v>
          </cell>
          <cell r="C372">
            <v>32000000000369</v>
          </cell>
          <cell r="D372" t="str">
            <v>Rohendi Rohendi</v>
          </cell>
        </row>
        <row r="373">
          <cell r="B373">
            <v>164000000000370</v>
          </cell>
          <cell r="C373">
            <v>32000000000370</v>
          </cell>
          <cell r="D373" t="str">
            <v>Rohmani</v>
          </cell>
        </row>
        <row r="374">
          <cell r="B374">
            <v>164000000000371</v>
          </cell>
          <cell r="C374">
            <v>32000000000371</v>
          </cell>
          <cell r="D374" t="str">
            <v>Rommel Hutapea</v>
          </cell>
        </row>
        <row r="375">
          <cell r="B375">
            <v>164000000000372</v>
          </cell>
          <cell r="C375">
            <v>32000000000372</v>
          </cell>
          <cell r="D375" t="str">
            <v>Roy Aditya</v>
          </cell>
        </row>
        <row r="376">
          <cell r="B376">
            <v>164000000000373</v>
          </cell>
          <cell r="C376">
            <v>32000000000373</v>
          </cell>
          <cell r="D376" t="str">
            <v>Rubah</v>
          </cell>
        </row>
        <row r="377">
          <cell r="B377">
            <v>164000000000374</v>
          </cell>
          <cell r="C377">
            <v>32000000000374</v>
          </cell>
          <cell r="D377" t="str">
            <v>Rudi Junaedi</v>
          </cell>
        </row>
        <row r="378">
          <cell r="B378">
            <v>164000000000375</v>
          </cell>
          <cell r="C378">
            <v>32000000000375</v>
          </cell>
          <cell r="D378" t="str">
            <v>Ruswandi</v>
          </cell>
        </row>
        <row r="379">
          <cell r="B379">
            <v>164000000000376</v>
          </cell>
          <cell r="C379">
            <v>32000000000376</v>
          </cell>
          <cell r="D379" t="str">
            <v>Ryan Bagus Sasminta</v>
          </cell>
        </row>
        <row r="380">
          <cell r="B380">
            <v>164000000000377</v>
          </cell>
          <cell r="C380">
            <v>32000000000377</v>
          </cell>
          <cell r="D380" t="str">
            <v>Saarah Andriani</v>
          </cell>
        </row>
        <row r="381">
          <cell r="B381">
            <v>164000000000378</v>
          </cell>
          <cell r="C381">
            <v>32000000000378</v>
          </cell>
          <cell r="D381" t="str">
            <v>Safira Nurbaiti</v>
          </cell>
        </row>
        <row r="382">
          <cell r="B382">
            <v>164000000000379</v>
          </cell>
          <cell r="C382">
            <v>32000000000379</v>
          </cell>
          <cell r="D382" t="str">
            <v>Saifulloh</v>
          </cell>
        </row>
        <row r="383">
          <cell r="B383">
            <v>164000000000380</v>
          </cell>
          <cell r="C383">
            <v>32000000000380</v>
          </cell>
          <cell r="D383" t="str">
            <v>Saifuloh</v>
          </cell>
        </row>
        <row r="384">
          <cell r="B384">
            <v>164000000000381</v>
          </cell>
          <cell r="C384">
            <v>32000000000381</v>
          </cell>
          <cell r="D384" t="str">
            <v>Sakinah Tantriani Lubis</v>
          </cell>
        </row>
        <row r="385">
          <cell r="B385">
            <v>164000000000382</v>
          </cell>
          <cell r="C385">
            <v>32000000000382</v>
          </cell>
          <cell r="D385" t="str">
            <v>Abdul Samad</v>
          </cell>
        </row>
        <row r="386">
          <cell r="B386">
            <v>164000000000383</v>
          </cell>
          <cell r="C386">
            <v>32000000000383</v>
          </cell>
          <cell r="D386" t="str">
            <v>Samsul Hadi</v>
          </cell>
        </row>
        <row r="387">
          <cell r="B387">
            <v>164000000000384</v>
          </cell>
          <cell r="C387">
            <v>32000000000384</v>
          </cell>
          <cell r="D387" t="str">
            <v>Sandika</v>
          </cell>
        </row>
        <row r="388">
          <cell r="B388">
            <v>164000000000385</v>
          </cell>
          <cell r="C388">
            <v>32000000000385</v>
          </cell>
          <cell r="D388" t="str">
            <v>Sang Toga Sitompul</v>
          </cell>
        </row>
        <row r="389">
          <cell r="B389">
            <v>164000000000386</v>
          </cell>
          <cell r="C389">
            <v>32000000000386</v>
          </cell>
          <cell r="D389" t="str">
            <v>Santi Dewi R. W.</v>
          </cell>
        </row>
        <row r="390">
          <cell r="B390">
            <v>164000000000387</v>
          </cell>
          <cell r="C390">
            <v>32000000000387</v>
          </cell>
          <cell r="D390" t="str">
            <v>Sarah Sibarani</v>
          </cell>
        </row>
        <row r="391">
          <cell r="B391">
            <v>164000000000388</v>
          </cell>
          <cell r="C391">
            <v>32000000000388</v>
          </cell>
          <cell r="D391" t="str">
            <v>Sarif Hidayatul Umah</v>
          </cell>
        </row>
        <row r="392">
          <cell r="B392">
            <v>164000000000389</v>
          </cell>
          <cell r="C392">
            <v>32000000000389</v>
          </cell>
          <cell r="D392" t="str">
            <v>Satria Budi Raharja</v>
          </cell>
        </row>
        <row r="393">
          <cell r="B393">
            <v>164000000000390</v>
          </cell>
          <cell r="C393">
            <v>32000000000390</v>
          </cell>
          <cell r="D393" t="str">
            <v>Saut M. P. L. Tobing</v>
          </cell>
        </row>
        <row r="394">
          <cell r="B394">
            <v>164000000000391</v>
          </cell>
          <cell r="C394">
            <v>32000000000391</v>
          </cell>
          <cell r="D394" t="str">
            <v>Seftiyan Hadi Maulana</v>
          </cell>
        </row>
        <row r="395">
          <cell r="B395">
            <v>164000000000392</v>
          </cell>
          <cell r="C395">
            <v>32000000000392</v>
          </cell>
          <cell r="D395" t="str">
            <v>Sena Andi Satria</v>
          </cell>
        </row>
        <row r="396">
          <cell r="B396">
            <v>164000000000393</v>
          </cell>
          <cell r="C396">
            <v>32000000000393</v>
          </cell>
          <cell r="D396" t="str">
            <v>Setiadi</v>
          </cell>
        </row>
        <row r="397">
          <cell r="B397">
            <v>164000000000394</v>
          </cell>
          <cell r="C397">
            <v>32000000000394</v>
          </cell>
          <cell r="D397" t="str">
            <v>Sherly Tamira</v>
          </cell>
        </row>
        <row r="398">
          <cell r="B398">
            <v>164000000000395</v>
          </cell>
          <cell r="C398">
            <v>32000000000395</v>
          </cell>
          <cell r="D398" t="str">
            <v>Shihab</v>
          </cell>
        </row>
        <row r="399">
          <cell r="B399">
            <v>164000000000396</v>
          </cell>
          <cell r="C399">
            <v>32000000000396</v>
          </cell>
          <cell r="D399" t="str">
            <v>Shobarin Jabar</v>
          </cell>
        </row>
        <row r="400">
          <cell r="B400">
            <v>164000000000397</v>
          </cell>
          <cell r="C400">
            <v>32000000000397</v>
          </cell>
          <cell r="D400" t="str">
            <v>Sholehah</v>
          </cell>
        </row>
        <row r="401">
          <cell r="B401">
            <v>164000000000398</v>
          </cell>
          <cell r="C401">
            <v>32000000000398</v>
          </cell>
          <cell r="D401" t="str">
            <v>Sigit Rudiantono</v>
          </cell>
        </row>
        <row r="402">
          <cell r="B402">
            <v>164000000000399</v>
          </cell>
          <cell r="C402">
            <v>32000000000399</v>
          </cell>
          <cell r="D402" t="str">
            <v>Silvia Putri</v>
          </cell>
        </row>
        <row r="403">
          <cell r="B403">
            <v>164000000000400</v>
          </cell>
          <cell r="C403">
            <v>32000000000400</v>
          </cell>
          <cell r="D403" t="str">
            <v>Simron Ronaldi Nasution</v>
          </cell>
        </row>
        <row r="404">
          <cell r="B404">
            <v>164000000000401</v>
          </cell>
          <cell r="C404">
            <v>32000000000401</v>
          </cell>
          <cell r="D404" t="str">
            <v>Sinta Vera Trikawati</v>
          </cell>
        </row>
        <row r="405">
          <cell r="B405">
            <v>164000000000402</v>
          </cell>
          <cell r="C405">
            <v>32000000000402</v>
          </cell>
          <cell r="D405" t="str">
            <v>Sir Muhammad Zafrulloh Khan</v>
          </cell>
        </row>
        <row r="406">
          <cell r="B406">
            <v>164000000000403</v>
          </cell>
          <cell r="C406">
            <v>32000000000403</v>
          </cell>
          <cell r="D406" t="str">
            <v>Siska Marlina</v>
          </cell>
        </row>
        <row r="407">
          <cell r="B407">
            <v>164000000000404</v>
          </cell>
          <cell r="C407">
            <v>32000000000404</v>
          </cell>
          <cell r="D407" t="str">
            <v>Siswanto</v>
          </cell>
        </row>
        <row r="408">
          <cell r="B408">
            <v>164000000000405</v>
          </cell>
          <cell r="C408">
            <v>32000000000405</v>
          </cell>
          <cell r="D408" t="str">
            <v>Siti Mulyani</v>
          </cell>
        </row>
        <row r="409">
          <cell r="B409">
            <v>164000000000406</v>
          </cell>
          <cell r="C409">
            <v>32000000000406</v>
          </cell>
          <cell r="D409" t="str">
            <v>Sjanti Devi</v>
          </cell>
        </row>
        <row r="410">
          <cell r="B410">
            <v>164000000000407</v>
          </cell>
          <cell r="C410">
            <v>32000000000407</v>
          </cell>
          <cell r="D410" t="str">
            <v>Slamet Budi Setiawan</v>
          </cell>
        </row>
        <row r="411">
          <cell r="B411">
            <v>164000000000408</v>
          </cell>
          <cell r="C411">
            <v>32000000000408</v>
          </cell>
          <cell r="D411" t="str">
            <v>Sofyan Maulana</v>
          </cell>
        </row>
        <row r="412">
          <cell r="B412">
            <v>164000000000409</v>
          </cell>
          <cell r="C412">
            <v>32000000000409</v>
          </cell>
          <cell r="D412" t="str">
            <v>Subagio</v>
          </cell>
        </row>
        <row r="413">
          <cell r="B413">
            <v>164000000000410</v>
          </cell>
          <cell r="C413">
            <v>32000000000410</v>
          </cell>
          <cell r="D413" t="str">
            <v>Suci Mardiana</v>
          </cell>
        </row>
        <row r="414">
          <cell r="B414">
            <v>164000000000411</v>
          </cell>
          <cell r="C414">
            <v>32000000000411</v>
          </cell>
          <cell r="D414" t="str">
            <v>Suci Rachma Sari</v>
          </cell>
        </row>
        <row r="415">
          <cell r="B415">
            <v>164000000000412</v>
          </cell>
          <cell r="C415">
            <v>32000000000412</v>
          </cell>
          <cell r="D415" t="str">
            <v>Sudarlan</v>
          </cell>
        </row>
        <row r="416">
          <cell r="B416">
            <v>164000000000413</v>
          </cell>
          <cell r="C416">
            <v>32000000000413</v>
          </cell>
          <cell r="D416" t="str">
            <v>Sufie Amalia</v>
          </cell>
        </row>
        <row r="417">
          <cell r="B417">
            <v>164000000000414</v>
          </cell>
          <cell r="C417">
            <v>32000000000414</v>
          </cell>
          <cell r="D417" t="str">
            <v>Sugeng Ismanto</v>
          </cell>
        </row>
        <row r="418">
          <cell r="B418">
            <v>164000000000415</v>
          </cell>
          <cell r="C418">
            <v>32000000000415</v>
          </cell>
          <cell r="D418" t="str">
            <v>Sugiarto</v>
          </cell>
        </row>
        <row r="419">
          <cell r="B419">
            <v>164000000000416</v>
          </cell>
          <cell r="C419">
            <v>32000000000416</v>
          </cell>
          <cell r="D419" t="str">
            <v>Sulih</v>
          </cell>
        </row>
        <row r="420">
          <cell r="B420">
            <v>164000000000417</v>
          </cell>
          <cell r="C420">
            <v>32000000000417</v>
          </cell>
          <cell r="D420" t="str">
            <v>Sumadi</v>
          </cell>
        </row>
        <row r="421">
          <cell r="B421">
            <v>164000000000418</v>
          </cell>
          <cell r="C421">
            <v>32000000000418</v>
          </cell>
          <cell r="D421" t="str">
            <v>Sumirat</v>
          </cell>
        </row>
        <row r="422">
          <cell r="B422">
            <v>164000000000419</v>
          </cell>
          <cell r="C422">
            <v>32000000000419</v>
          </cell>
          <cell r="D422" t="str">
            <v>Sunaryati</v>
          </cell>
        </row>
        <row r="423">
          <cell r="B423">
            <v>164000000000420</v>
          </cell>
          <cell r="C423">
            <v>32000000000420</v>
          </cell>
          <cell r="D423" t="str">
            <v>Supriyadi</v>
          </cell>
        </row>
        <row r="424">
          <cell r="B424">
            <v>164000000000421</v>
          </cell>
          <cell r="C424">
            <v>32000000000421</v>
          </cell>
          <cell r="D424" t="str">
            <v>Suriono Suriono</v>
          </cell>
        </row>
        <row r="425">
          <cell r="B425">
            <v>164000000000422</v>
          </cell>
          <cell r="C425">
            <v>32000000000422</v>
          </cell>
          <cell r="D425" t="str">
            <v>Surono</v>
          </cell>
        </row>
        <row r="426">
          <cell r="B426">
            <v>164000000000423</v>
          </cell>
          <cell r="C426">
            <v>32000000000423</v>
          </cell>
          <cell r="D426" t="str">
            <v>Surtoyo Syukri</v>
          </cell>
        </row>
        <row r="427">
          <cell r="B427">
            <v>164000000000424</v>
          </cell>
          <cell r="C427">
            <v>32000000000424</v>
          </cell>
          <cell r="D427" t="str">
            <v>Suryadi</v>
          </cell>
        </row>
        <row r="428">
          <cell r="B428">
            <v>164000000000425</v>
          </cell>
          <cell r="C428">
            <v>32000000000425</v>
          </cell>
          <cell r="D428" t="str">
            <v>Susilawati</v>
          </cell>
        </row>
        <row r="429">
          <cell r="B429">
            <v>164000000000426</v>
          </cell>
          <cell r="C429">
            <v>32000000000426</v>
          </cell>
          <cell r="D429" t="str">
            <v>Sutarno</v>
          </cell>
        </row>
        <row r="430">
          <cell r="B430">
            <v>164000000000427</v>
          </cell>
          <cell r="C430">
            <v>32000000000427</v>
          </cell>
          <cell r="D430" t="str">
            <v>Sutra Riandi</v>
          </cell>
        </row>
        <row r="431">
          <cell r="B431">
            <v>164000000000428</v>
          </cell>
          <cell r="C431">
            <v>32000000000428</v>
          </cell>
          <cell r="D431" t="str">
            <v>Suyanto</v>
          </cell>
        </row>
        <row r="432">
          <cell r="B432">
            <v>164000000000429</v>
          </cell>
          <cell r="C432">
            <v>32000000000429</v>
          </cell>
          <cell r="D432" t="str">
            <v>Swar Jono</v>
          </cell>
        </row>
        <row r="433">
          <cell r="B433">
            <v>164000000000430</v>
          </cell>
          <cell r="C433">
            <v>32000000000430</v>
          </cell>
          <cell r="D433" t="str">
            <v>Syafruddin</v>
          </cell>
        </row>
        <row r="434">
          <cell r="B434">
            <v>164000000000431</v>
          </cell>
          <cell r="C434">
            <v>32000000000431</v>
          </cell>
          <cell r="D434" t="str">
            <v>Syafrudin Machmud</v>
          </cell>
        </row>
        <row r="435">
          <cell r="B435">
            <v>164000000000432</v>
          </cell>
          <cell r="C435">
            <v>32000000000432</v>
          </cell>
          <cell r="D435" t="str">
            <v>Syahrizal</v>
          </cell>
        </row>
        <row r="436">
          <cell r="B436">
            <v>164000000000433</v>
          </cell>
          <cell r="C436">
            <v>32000000000433</v>
          </cell>
          <cell r="D436" t="str">
            <v>Syaiful Idjam</v>
          </cell>
        </row>
        <row r="437">
          <cell r="B437">
            <v>164000000000434</v>
          </cell>
          <cell r="C437">
            <v>32000000000434</v>
          </cell>
          <cell r="D437" t="str">
            <v>Tajuddin Assubki Ismail</v>
          </cell>
        </row>
        <row r="438">
          <cell r="B438">
            <v>164000000000435</v>
          </cell>
          <cell r="C438">
            <v>32000000000435</v>
          </cell>
          <cell r="D438" t="str">
            <v>Taslim</v>
          </cell>
        </row>
        <row r="439">
          <cell r="B439">
            <v>164000000000436</v>
          </cell>
          <cell r="C439">
            <v>32000000000436</v>
          </cell>
          <cell r="D439" t="str">
            <v>Taufik Mulia Pane</v>
          </cell>
        </row>
        <row r="440">
          <cell r="B440">
            <v>164000000000437</v>
          </cell>
          <cell r="C440">
            <v>32000000000437</v>
          </cell>
          <cell r="D440" t="str">
            <v>Tedy Harseno</v>
          </cell>
        </row>
        <row r="441">
          <cell r="B441">
            <v>164000000000438</v>
          </cell>
          <cell r="C441">
            <v>32000000000438</v>
          </cell>
          <cell r="D441" t="str">
            <v>Teguh Joko Pamuji</v>
          </cell>
        </row>
        <row r="442">
          <cell r="B442">
            <v>164000000000439</v>
          </cell>
          <cell r="C442">
            <v>32000000000439</v>
          </cell>
          <cell r="D442" t="str">
            <v>Teguh Pratama Januzir Sukin</v>
          </cell>
        </row>
        <row r="443">
          <cell r="B443">
            <v>164000000000440</v>
          </cell>
          <cell r="C443">
            <v>32000000000440</v>
          </cell>
          <cell r="D443" t="str">
            <v>Teguh Susanto</v>
          </cell>
        </row>
        <row r="444">
          <cell r="B444">
            <v>164000000000441</v>
          </cell>
          <cell r="C444">
            <v>32000000000441</v>
          </cell>
          <cell r="D444" t="str">
            <v>Tenri Sumange</v>
          </cell>
        </row>
        <row r="445">
          <cell r="B445">
            <v>164000000000442</v>
          </cell>
          <cell r="C445">
            <v>32000000000442</v>
          </cell>
          <cell r="D445" t="str">
            <v>Teuku Zulkifli</v>
          </cell>
        </row>
        <row r="446">
          <cell r="B446">
            <v>164000000000443</v>
          </cell>
          <cell r="C446">
            <v>32000000000443</v>
          </cell>
          <cell r="D446" t="str">
            <v>Tiara Kemalasari</v>
          </cell>
        </row>
        <row r="447">
          <cell r="B447">
            <v>164000000000444</v>
          </cell>
          <cell r="C447">
            <v>32000000000444</v>
          </cell>
          <cell r="D447" t="str">
            <v>Tjhang Linawati</v>
          </cell>
        </row>
        <row r="448">
          <cell r="B448">
            <v>164000000000445</v>
          </cell>
          <cell r="C448">
            <v>32000000000445</v>
          </cell>
          <cell r="D448" t="str">
            <v>Totok Kristianto</v>
          </cell>
        </row>
        <row r="449">
          <cell r="B449">
            <v>164000000000446</v>
          </cell>
          <cell r="C449">
            <v>32000000000446</v>
          </cell>
          <cell r="D449" t="str">
            <v>Tri Aji</v>
          </cell>
        </row>
        <row r="450">
          <cell r="B450">
            <v>164000000000447</v>
          </cell>
          <cell r="C450">
            <v>32000000000447</v>
          </cell>
          <cell r="D450" t="str">
            <v>Tri M. Saputra</v>
          </cell>
        </row>
        <row r="451">
          <cell r="B451">
            <v>164000000000448</v>
          </cell>
          <cell r="C451">
            <v>32000000000448</v>
          </cell>
          <cell r="D451" t="str">
            <v>Triani Irma</v>
          </cell>
        </row>
        <row r="452">
          <cell r="B452">
            <v>164000000000449</v>
          </cell>
          <cell r="C452">
            <v>32000000000449</v>
          </cell>
          <cell r="D452" t="str">
            <v>Trisyanto</v>
          </cell>
        </row>
        <row r="453">
          <cell r="B453">
            <v>164000000000450</v>
          </cell>
          <cell r="C453">
            <v>32000000000450</v>
          </cell>
          <cell r="D453" t="str">
            <v>Triwiarti Dibya</v>
          </cell>
        </row>
        <row r="454">
          <cell r="B454">
            <v>164000000000451</v>
          </cell>
          <cell r="C454">
            <v>32000000000451</v>
          </cell>
          <cell r="D454" t="str">
            <v>Triyono</v>
          </cell>
        </row>
        <row r="455">
          <cell r="B455">
            <v>164000000000452</v>
          </cell>
          <cell r="C455">
            <v>32000000000452</v>
          </cell>
          <cell r="D455" t="str">
            <v>Turita Pramuning Marantina</v>
          </cell>
        </row>
        <row r="456">
          <cell r="B456">
            <v>164000000000453</v>
          </cell>
          <cell r="C456">
            <v>32000000000453</v>
          </cell>
          <cell r="D456" t="str">
            <v>Tutus Ary</v>
          </cell>
        </row>
        <row r="457">
          <cell r="B457">
            <v>164000000000454</v>
          </cell>
          <cell r="C457">
            <v>32000000000454</v>
          </cell>
          <cell r="D457" t="str">
            <v>Ubaidillah</v>
          </cell>
        </row>
        <row r="458">
          <cell r="B458">
            <v>164000000000455</v>
          </cell>
          <cell r="C458">
            <v>32000000000455</v>
          </cell>
          <cell r="D458" t="str">
            <v>Ujang Barma</v>
          </cell>
        </row>
        <row r="459">
          <cell r="B459">
            <v>164000000000456</v>
          </cell>
          <cell r="C459">
            <v>32000000000456</v>
          </cell>
          <cell r="D459" t="str">
            <v>Ujang Suryana</v>
          </cell>
        </row>
        <row r="460">
          <cell r="B460">
            <v>164000000000457</v>
          </cell>
          <cell r="C460">
            <v>32000000000457</v>
          </cell>
          <cell r="D460" t="str">
            <v>Ulman Juanda</v>
          </cell>
        </row>
        <row r="461">
          <cell r="B461">
            <v>164000000000458</v>
          </cell>
          <cell r="C461">
            <v>32000000000458</v>
          </cell>
          <cell r="D461" t="str">
            <v>Urbanus Boimau</v>
          </cell>
        </row>
        <row r="462">
          <cell r="B462">
            <v>164000000000459</v>
          </cell>
          <cell r="C462">
            <v>32000000000459</v>
          </cell>
          <cell r="D462" t="str">
            <v>Uswatun Hasamah</v>
          </cell>
        </row>
        <row r="463">
          <cell r="B463">
            <v>164000000000460</v>
          </cell>
          <cell r="C463">
            <v>32000000000460</v>
          </cell>
          <cell r="D463" t="str">
            <v>Uswatun Khasanah</v>
          </cell>
        </row>
        <row r="464">
          <cell r="B464">
            <v>164000000000461</v>
          </cell>
          <cell r="C464">
            <v>32000000000461</v>
          </cell>
          <cell r="D464" t="str">
            <v>Utami Dewi</v>
          </cell>
        </row>
        <row r="465">
          <cell r="B465">
            <v>164000000000462</v>
          </cell>
          <cell r="C465">
            <v>32000000000462</v>
          </cell>
          <cell r="D465" t="str">
            <v>Utanto</v>
          </cell>
        </row>
        <row r="466">
          <cell r="B466">
            <v>164000000000463</v>
          </cell>
          <cell r="C466">
            <v>32000000000463</v>
          </cell>
          <cell r="D466" t="str">
            <v>Veradita Yulanda</v>
          </cell>
        </row>
        <row r="467">
          <cell r="B467">
            <v>164000000000464</v>
          </cell>
          <cell r="C467">
            <v>32000000000464</v>
          </cell>
          <cell r="D467" t="str">
            <v>Vidhy Kartika Putri</v>
          </cell>
        </row>
        <row r="468">
          <cell r="B468">
            <v>164000000000465</v>
          </cell>
          <cell r="C468">
            <v>32000000000465</v>
          </cell>
          <cell r="D468" t="str">
            <v>Vonny Agram</v>
          </cell>
        </row>
        <row r="469">
          <cell r="B469">
            <v>164000000000466</v>
          </cell>
          <cell r="C469">
            <v>32000000000466</v>
          </cell>
          <cell r="D469" t="str">
            <v>Wahyu</v>
          </cell>
        </row>
        <row r="470">
          <cell r="B470">
            <v>164000000000467</v>
          </cell>
          <cell r="C470">
            <v>32000000000467</v>
          </cell>
          <cell r="D470" t="str">
            <v>Wahyu Ramadhani</v>
          </cell>
        </row>
        <row r="471">
          <cell r="B471">
            <v>164000000000468</v>
          </cell>
          <cell r="C471">
            <v>32000000000468</v>
          </cell>
          <cell r="D471" t="str">
            <v>Wahyu Widodo</v>
          </cell>
        </row>
        <row r="472">
          <cell r="B472">
            <v>164000000000469</v>
          </cell>
          <cell r="C472">
            <v>32000000000469</v>
          </cell>
          <cell r="D472" t="str">
            <v>Warsito Edy Saputra</v>
          </cell>
        </row>
        <row r="473">
          <cell r="B473">
            <v>164000000000470</v>
          </cell>
          <cell r="C473">
            <v>32000000000470</v>
          </cell>
          <cell r="D473" t="str">
            <v>Weldi Wimar</v>
          </cell>
        </row>
        <row r="474">
          <cell r="B474">
            <v>164000000000471</v>
          </cell>
          <cell r="C474">
            <v>32000000000471</v>
          </cell>
          <cell r="D474" t="str">
            <v>Wendy Septiyan</v>
          </cell>
        </row>
        <row r="475">
          <cell r="B475">
            <v>164000000000472</v>
          </cell>
          <cell r="C475">
            <v>32000000000472</v>
          </cell>
          <cell r="D475" t="str">
            <v>Willy Indarto</v>
          </cell>
        </row>
        <row r="476">
          <cell r="B476">
            <v>164000000000473</v>
          </cell>
          <cell r="C476">
            <v>32000000000473</v>
          </cell>
          <cell r="D476" t="str">
            <v>Winda Suherman</v>
          </cell>
        </row>
        <row r="477">
          <cell r="B477">
            <v>164000000000474</v>
          </cell>
          <cell r="C477">
            <v>32000000000474</v>
          </cell>
          <cell r="D477" t="str">
            <v>Wisnu Ardian</v>
          </cell>
        </row>
        <row r="478">
          <cell r="B478">
            <v>164000000000475</v>
          </cell>
          <cell r="C478">
            <v>32000000000475</v>
          </cell>
          <cell r="D478" t="str">
            <v>Wisudanto C. Suntoyo</v>
          </cell>
        </row>
        <row r="479">
          <cell r="B479">
            <v>164000000000476</v>
          </cell>
          <cell r="C479">
            <v>32000000000476</v>
          </cell>
          <cell r="D479" t="str">
            <v>Yahya Adyasa Febriansyah</v>
          </cell>
        </row>
        <row r="480">
          <cell r="B480">
            <v>164000000000477</v>
          </cell>
          <cell r="C480">
            <v>32000000000477</v>
          </cell>
          <cell r="D480" t="str">
            <v>Yakup Sunaryo</v>
          </cell>
        </row>
        <row r="481">
          <cell r="B481">
            <v>164000000000478</v>
          </cell>
          <cell r="C481">
            <v>32000000000478</v>
          </cell>
          <cell r="D481" t="str">
            <v>Yanuar Tri Ananda</v>
          </cell>
        </row>
        <row r="482">
          <cell r="B482">
            <v>164000000000479</v>
          </cell>
          <cell r="C482">
            <v>32000000000479</v>
          </cell>
          <cell r="D482" t="str">
            <v>Yasir Liem</v>
          </cell>
        </row>
        <row r="483">
          <cell r="B483">
            <v>164000000000480</v>
          </cell>
          <cell r="C483">
            <v>32000000000480</v>
          </cell>
          <cell r="D483" t="str">
            <v>Yefri Hendrayani</v>
          </cell>
        </row>
        <row r="484">
          <cell r="B484">
            <v>164000000000481</v>
          </cell>
          <cell r="C484">
            <v>32000000000481</v>
          </cell>
          <cell r="D484" t="str">
            <v>Yessi Setiarini</v>
          </cell>
        </row>
        <row r="485">
          <cell r="B485">
            <v>164000000000482</v>
          </cell>
          <cell r="C485">
            <v>32000000000482</v>
          </cell>
          <cell r="D485" t="str">
            <v>Yorid Fae</v>
          </cell>
        </row>
        <row r="486">
          <cell r="B486">
            <v>164000000000483</v>
          </cell>
          <cell r="C486">
            <v>32000000000483</v>
          </cell>
          <cell r="D486" t="str">
            <v>Yosef Hang Wan</v>
          </cell>
        </row>
        <row r="487">
          <cell r="B487">
            <v>164000000000484</v>
          </cell>
          <cell r="C487">
            <v>32000000000484</v>
          </cell>
          <cell r="D487" t="str">
            <v>Yossie Deliana</v>
          </cell>
        </row>
        <row r="488">
          <cell r="B488">
            <v>164000000000485</v>
          </cell>
          <cell r="C488">
            <v>32000000000485</v>
          </cell>
          <cell r="D488" t="str">
            <v>Yudi Rahmadi</v>
          </cell>
        </row>
        <row r="489">
          <cell r="B489">
            <v>164000000000486</v>
          </cell>
          <cell r="C489">
            <v>32000000000486</v>
          </cell>
          <cell r="D489" t="str">
            <v>Yudo Jati Rahmat Satrio</v>
          </cell>
        </row>
        <row r="490">
          <cell r="B490">
            <v>164000000000487</v>
          </cell>
          <cell r="C490">
            <v>32000000000487</v>
          </cell>
          <cell r="D490" t="str">
            <v>Yuliandaru Suryoatmodjo</v>
          </cell>
        </row>
        <row r="491">
          <cell r="B491">
            <v>164000000000488</v>
          </cell>
          <cell r="C491">
            <v>32000000000488</v>
          </cell>
          <cell r="D491" t="str">
            <v>Yulianta</v>
          </cell>
        </row>
        <row r="492">
          <cell r="B492">
            <v>164000000000489</v>
          </cell>
          <cell r="C492">
            <v>32000000000489</v>
          </cell>
          <cell r="D492" t="str">
            <v>Yulianti</v>
          </cell>
        </row>
        <row r="493">
          <cell r="B493">
            <v>164000000000490</v>
          </cell>
          <cell r="C493">
            <v>32000000000490</v>
          </cell>
          <cell r="D493" t="str">
            <v>Yulius</v>
          </cell>
        </row>
        <row r="494">
          <cell r="B494">
            <v>164000000000491</v>
          </cell>
          <cell r="C494">
            <v>32000000000491</v>
          </cell>
          <cell r="D494" t="str">
            <v>Yunni Sazili</v>
          </cell>
        </row>
        <row r="495">
          <cell r="B495">
            <v>164000000000492</v>
          </cell>
          <cell r="C495">
            <v>32000000000492</v>
          </cell>
          <cell r="D495" t="str">
            <v>Yusman</v>
          </cell>
        </row>
        <row r="496">
          <cell r="B496">
            <v>164000000000493</v>
          </cell>
          <cell r="C496">
            <v>32000000000493</v>
          </cell>
          <cell r="D496" t="str">
            <v>Yusri Azhar</v>
          </cell>
        </row>
        <row r="497">
          <cell r="B497">
            <v>164000000000494</v>
          </cell>
          <cell r="C497">
            <v>32000000000494</v>
          </cell>
          <cell r="D497" t="str">
            <v>Zafrizal</v>
          </cell>
        </row>
        <row r="498">
          <cell r="B498">
            <v>164000000000495</v>
          </cell>
          <cell r="C498">
            <v>32000000000495</v>
          </cell>
          <cell r="D498" t="str">
            <v>Zafrizal Rifla (Ucok)</v>
          </cell>
        </row>
        <row r="499">
          <cell r="B499">
            <v>164000000000496</v>
          </cell>
          <cell r="C499">
            <v>32000000000496</v>
          </cell>
          <cell r="D499" t="str">
            <v>Zainuddin</v>
          </cell>
        </row>
        <row r="500">
          <cell r="B500">
            <v>164000000000497</v>
          </cell>
          <cell r="C500">
            <v>32000000000497</v>
          </cell>
          <cell r="D500" t="str">
            <v>Zainudin Anwar</v>
          </cell>
        </row>
        <row r="501">
          <cell r="B501">
            <v>164000000000498</v>
          </cell>
          <cell r="C501">
            <v>32000000000498</v>
          </cell>
          <cell r="D501" t="str">
            <v>Zaire Dite Biscaya</v>
          </cell>
        </row>
        <row r="502">
          <cell r="B502">
            <v>164000000000499</v>
          </cell>
          <cell r="C502">
            <v>32000000000499</v>
          </cell>
          <cell r="D502" t="str">
            <v>Zalfi Yandri</v>
          </cell>
        </row>
        <row r="503">
          <cell r="B503">
            <v>164000000000500</v>
          </cell>
          <cell r="C503">
            <v>32000000000500</v>
          </cell>
          <cell r="D503" t="str">
            <v>Zam Roji</v>
          </cell>
        </row>
        <row r="504">
          <cell r="B504">
            <v>164000000000501</v>
          </cell>
          <cell r="C504">
            <v>32000000000501</v>
          </cell>
          <cell r="D504" t="str">
            <v>Zulfikar K. Siregar</v>
          </cell>
        </row>
        <row r="505">
          <cell r="B505">
            <v>164000000000502</v>
          </cell>
          <cell r="C505">
            <v>32000000000502</v>
          </cell>
          <cell r="D505" t="str">
            <v>Adythia Adikara</v>
          </cell>
        </row>
        <row r="506">
          <cell r="B506">
            <v>164000000000503</v>
          </cell>
          <cell r="C506">
            <v>32000000000503</v>
          </cell>
          <cell r="D506" t="str">
            <v>Agus Sopyan Hadi</v>
          </cell>
        </row>
        <row r="507">
          <cell r="B507">
            <v>164000000000504</v>
          </cell>
          <cell r="C507">
            <v>32000000000504</v>
          </cell>
          <cell r="D507" t="str">
            <v>Azis Purwandana</v>
          </cell>
        </row>
        <row r="508">
          <cell r="B508">
            <v>164000000000505</v>
          </cell>
          <cell r="C508">
            <v>32000000000505</v>
          </cell>
          <cell r="D508" t="str">
            <v>Heryanto</v>
          </cell>
        </row>
        <row r="509">
          <cell r="B509">
            <v>164000000000506</v>
          </cell>
          <cell r="C509">
            <v>32000000000506</v>
          </cell>
          <cell r="D509" t="str">
            <v>Imran</v>
          </cell>
        </row>
        <row r="510">
          <cell r="B510">
            <v>164000000000507</v>
          </cell>
          <cell r="C510">
            <v>32000000000507</v>
          </cell>
          <cell r="D510" t="str">
            <v>Khamim Taryono</v>
          </cell>
        </row>
        <row r="511">
          <cell r="B511">
            <v>164000000000508</v>
          </cell>
          <cell r="C511">
            <v>32000000000508</v>
          </cell>
          <cell r="D511" t="str">
            <v>Rafi Artman Siddiq</v>
          </cell>
        </row>
        <row r="512">
          <cell r="B512">
            <v>164000000000509</v>
          </cell>
          <cell r="C512">
            <v>32000000000509</v>
          </cell>
          <cell r="D512" t="str">
            <v>Riza Emir Subekti</v>
          </cell>
        </row>
        <row r="513">
          <cell r="B513">
            <v>164000000000510</v>
          </cell>
          <cell r="C513">
            <v>32000000000510</v>
          </cell>
          <cell r="D513" t="str">
            <v>Slamet Riadi</v>
          </cell>
        </row>
        <row r="514">
          <cell r="B514">
            <v>164000000000511</v>
          </cell>
          <cell r="C514">
            <v>32000000000511</v>
          </cell>
          <cell r="D514" t="str">
            <v>Wisnu Andra Isdianto</v>
          </cell>
        </row>
        <row r="515">
          <cell r="B515">
            <v>164000000000512</v>
          </cell>
          <cell r="C515">
            <v>32000000000512</v>
          </cell>
          <cell r="D515" t="str">
            <v>Agus Budi Setiawan</v>
          </cell>
        </row>
        <row r="516">
          <cell r="B516">
            <v>164000000000513</v>
          </cell>
          <cell r="C516">
            <v>32000000000513</v>
          </cell>
          <cell r="D516" t="str">
            <v>Ahmad Choerul</v>
          </cell>
        </row>
        <row r="517">
          <cell r="B517">
            <v>164000000000514</v>
          </cell>
          <cell r="C517">
            <v>32000000000514</v>
          </cell>
          <cell r="D517" t="str">
            <v>Achmad Yunadi</v>
          </cell>
        </row>
        <row r="518">
          <cell r="B518">
            <v>164000000000515</v>
          </cell>
          <cell r="C518">
            <v>32000000000515</v>
          </cell>
          <cell r="D518" t="str">
            <v>Asep mulyana</v>
          </cell>
        </row>
        <row r="519">
          <cell r="B519">
            <v>164000000000516</v>
          </cell>
          <cell r="C519">
            <v>32000000000516</v>
          </cell>
          <cell r="D519" t="str">
            <v>Bagus Isdiantara</v>
          </cell>
        </row>
        <row r="520">
          <cell r="B520">
            <v>164000000000517</v>
          </cell>
          <cell r="C520">
            <v>32000000000517</v>
          </cell>
          <cell r="D520" t="str">
            <v>Cahyana</v>
          </cell>
        </row>
        <row r="521">
          <cell r="B521">
            <v>164000000000518</v>
          </cell>
          <cell r="C521">
            <v>32000000000518</v>
          </cell>
          <cell r="D521" t="str">
            <v>Dede Hartanto</v>
          </cell>
        </row>
        <row r="522">
          <cell r="B522">
            <v>164000000000519</v>
          </cell>
          <cell r="C522">
            <v>32000000000519</v>
          </cell>
          <cell r="D522" t="str">
            <v>Denny Achmad Ferlando</v>
          </cell>
        </row>
        <row r="523">
          <cell r="B523">
            <v>164000000000520</v>
          </cell>
          <cell r="C523">
            <v>32000000000520</v>
          </cell>
          <cell r="D523" t="str">
            <v>Dian Setiawan</v>
          </cell>
        </row>
        <row r="524">
          <cell r="B524">
            <v>164000000000521</v>
          </cell>
          <cell r="C524">
            <v>32000000000521</v>
          </cell>
          <cell r="D524" t="str">
            <v>Fabrian Danang Destiyara</v>
          </cell>
        </row>
        <row r="525">
          <cell r="B525">
            <v>164000000000522</v>
          </cell>
          <cell r="C525">
            <v>32000000000522</v>
          </cell>
          <cell r="D525" t="str">
            <v>Ferdian Kriswantoro</v>
          </cell>
        </row>
        <row r="526">
          <cell r="B526">
            <v>164000000000523</v>
          </cell>
          <cell r="C526">
            <v>32000000000523</v>
          </cell>
          <cell r="D526" t="str">
            <v>Fuzi Mafrozi</v>
          </cell>
        </row>
        <row r="527">
          <cell r="B527">
            <v>164000000000524</v>
          </cell>
          <cell r="C527">
            <v>32000000000524</v>
          </cell>
          <cell r="D527" t="str">
            <v>Gilang Setiawan</v>
          </cell>
        </row>
        <row r="528">
          <cell r="B528">
            <v>164000000000525</v>
          </cell>
          <cell r="C528">
            <v>32000000000525</v>
          </cell>
          <cell r="D528" t="str">
            <v>Idris Affandi</v>
          </cell>
        </row>
        <row r="529">
          <cell r="B529">
            <v>164000000000526</v>
          </cell>
          <cell r="C529">
            <v>32000000000526</v>
          </cell>
          <cell r="D529" t="str">
            <v>Indra Wijaya</v>
          </cell>
        </row>
        <row r="530">
          <cell r="B530">
            <v>164000000000527</v>
          </cell>
          <cell r="C530">
            <v>32000000000527</v>
          </cell>
          <cell r="D530" t="str">
            <v>Irma Maulidawati</v>
          </cell>
        </row>
        <row r="531">
          <cell r="B531">
            <v>164000000000528</v>
          </cell>
          <cell r="C531">
            <v>32000000000528</v>
          </cell>
          <cell r="D531" t="str">
            <v>Istikaro Fauziah</v>
          </cell>
        </row>
        <row r="532">
          <cell r="B532">
            <v>164000000000529</v>
          </cell>
          <cell r="C532">
            <v>32000000000529</v>
          </cell>
          <cell r="D532" t="str">
            <v>Muhammad Lukbani</v>
          </cell>
        </row>
        <row r="533">
          <cell r="B533">
            <v>164000000000530</v>
          </cell>
          <cell r="C533">
            <v>32000000000530</v>
          </cell>
          <cell r="D533" t="str">
            <v>Muhammad Sholikhun</v>
          </cell>
        </row>
        <row r="534">
          <cell r="B534">
            <v>164000000000531</v>
          </cell>
          <cell r="C534">
            <v>32000000000531</v>
          </cell>
          <cell r="D534" t="str">
            <v>Muhammad Syarifudin</v>
          </cell>
        </row>
        <row r="535">
          <cell r="B535">
            <v>164000000000532</v>
          </cell>
          <cell r="C535">
            <v>32000000000532</v>
          </cell>
          <cell r="D535" t="str">
            <v>Nadia Rizkiah</v>
          </cell>
        </row>
        <row r="536">
          <cell r="B536">
            <v>164000000000533</v>
          </cell>
          <cell r="C536">
            <v>32000000000533</v>
          </cell>
          <cell r="D536" t="str">
            <v>Nikko Septian</v>
          </cell>
        </row>
        <row r="537">
          <cell r="B537">
            <v>164000000000534</v>
          </cell>
          <cell r="C537">
            <v>32000000000534</v>
          </cell>
          <cell r="D537" t="str">
            <v>Novizan</v>
          </cell>
        </row>
        <row r="538">
          <cell r="B538">
            <v>164000000000535</v>
          </cell>
          <cell r="C538">
            <v>32000000000535</v>
          </cell>
          <cell r="D538" t="str">
            <v>Oqi Suhaqi Yunus</v>
          </cell>
        </row>
        <row r="539">
          <cell r="B539">
            <v>164000000000536</v>
          </cell>
          <cell r="C539">
            <v>32000000000536</v>
          </cell>
          <cell r="D539" t="str">
            <v>Restu Dwi Anjayani</v>
          </cell>
        </row>
        <row r="540">
          <cell r="B540">
            <v>164000000000537</v>
          </cell>
          <cell r="C540">
            <v>32000000000537</v>
          </cell>
          <cell r="D540" t="str">
            <v>Rizal Amri</v>
          </cell>
        </row>
        <row r="541">
          <cell r="B541">
            <v>164000000000538</v>
          </cell>
          <cell r="C541">
            <v>32000000000538</v>
          </cell>
          <cell r="D541" t="str">
            <v>Ronny Anindika Arnold</v>
          </cell>
        </row>
        <row r="542">
          <cell r="B542">
            <v>164000000000539</v>
          </cell>
          <cell r="C542">
            <v>32000000000539</v>
          </cell>
          <cell r="D542" t="str">
            <v>Samta Harahap</v>
          </cell>
        </row>
        <row r="543">
          <cell r="B543">
            <v>164000000000540</v>
          </cell>
          <cell r="C543">
            <v>32000000000540</v>
          </cell>
          <cell r="D543" t="str">
            <v>Vingky Hendriek Yomerlin</v>
          </cell>
        </row>
        <row r="544">
          <cell r="B544">
            <v>164000000000541</v>
          </cell>
          <cell r="C544">
            <v>32000000000541</v>
          </cell>
          <cell r="D544" t="str">
            <v>Wahyu Teluk Naga</v>
          </cell>
        </row>
        <row r="545">
          <cell r="B545">
            <v>164000000000542</v>
          </cell>
          <cell r="C545">
            <v>32000000000542</v>
          </cell>
          <cell r="D545" t="str">
            <v>Wardah Laily Khoiriyah</v>
          </cell>
        </row>
        <row r="546">
          <cell r="B546">
            <v>164000000000543</v>
          </cell>
          <cell r="C546">
            <v>32000000000543</v>
          </cell>
          <cell r="D546" t="str">
            <v>Wawan Kusworo</v>
          </cell>
        </row>
        <row r="547">
          <cell r="B547">
            <v>164000000000544</v>
          </cell>
          <cell r="C547">
            <v>32000000000544</v>
          </cell>
          <cell r="D547" t="str">
            <v>Wulanraniasih</v>
          </cell>
        </row>
        <row r="548">
          <cell r="B548">
            <v>164000000000545</v>
          </cell>
          <cell r="C548">
            <v>32000000000545</v>
          </cell>
          <cell r="D548" t="str">
            <v>Yogi Perbangkara</v>
          </cell>
        </row>
        <row r="549">
          <cell r="B549">
            <v>164000000000546</v>
          </cell>
          <cell r="C549">
            <v>32000000000546</v>
          </cell>
          <cell r="D549" t="str">
            <v>Yusuf Fathurahman</v>
          </cell>
        </row>
        <row r="550">
          <cell r="B550">
            <v>164000000000547</v>
          </cell>
          <cell r="C550">
            <v>32000000000547</v>
          </cell>
          <cell r="D550" t="str">
            <v>Zeinurani</v>
          </cell>
        </row>
        <row r="551">
          <cell r="B551">
            <v>164000000000548</v>
          </cell>
          <cell r="C551">
            <v>32000000000548</v>
          </cell>
          <cell r="D551" t="str">
            <v>Sulaeman</v>
          </cell>
        </row>
        <row r="552">
          <cell r="B552">
            <v>164000000000549</v>
          </cell>
          <cell r="C552">
            <v>32000000000549</v>
          </cell>
          <cell r="D552" t="str">
            <v>Agus Nuryadi</v>
          </cell>
        </row>
        <row r="553">
          <cell r="B553">
            <v>164000000000550</v>
          </cell>
          <cell r="C553">
            <v>32000000000550</v>
          </cell>
          <cell r="D553" t="str">
            <v>Dian Tri Rahmawati</v>
          </cell>
        </row>
        <row r="554">
          <cell r="B554">
            <v>164000000000551</v>
          </cell>
          <cell r="C554">
            <v>32000000000551</v>
          </cell>
          <cell r="D554" t="str">
            <v>Langgeng Eko Dwiantoro</v>
          </cell>
        </row>
        <row r="555">
          <cell r="B555">
            <v>164000000000552</v>
          </cell>
          <cell r="C555">
            <v>32000000000552</v>
          </cell>
          <cell r="D555" t="str">
            <v>Aldi Rizaldi</v>
          </cell>
        </row>
        <row r="556">
          <cell r="B556">
            <v>164000000000553</v>
          </cell>
          <cell r="C556">
            <v>32000000000553</v>
          </cell>
          <cell r="D556" t="str">
            <v>Masimin</v>
          </cell>
        </row>
        <row r="557">
          <cell r="B557">
            <v>164000000000554</v>
          </cell>
          <cell r="C557">
            <v>32000000000554</v>
          </cell>
          <cell r="D557" t="str">
            <v>Santoso Dwi Cahyo</v>
          </cell>
        </row>
        <row r="558">
          <cell r="B558">
            <v>164000000000555</v>
          </cell>
          <cell r="C558">
            <v>32000000000555</v>
          </cell>
          <cell r="D558" t="str">
            <v>Wartono</v>
          </cell>
        </row>
        <row r="559">
          <cell r="B559">
            <v>164000000000556</v>
          </cell>
          <cell r="C559">
            <v>32000000000556</v>
          </cell>
          <cell r="D559" t="str">
            <v>Yusarman</v>
          </cell>
        </row>
        <row r="560">
          <cell r="B560">
            <v>164000000000557</v>
          </cell>
          <cell r="C560">
            <v>32000000000557</v>
          </cell>
          <cell r="D560" t="str">
            <v>Abdul Rachman</v>
          </cell>
        </row>
        <row r="561">
          <cell r="B561">
            <v>164000000000558</v>
          </cell>
          <cell r="C561">
            <v>32000000000558</v>
          </cell>
          <cell r="D561" t="str">
            <v>Aden Bagus</v>
          </cell>
        </row>
        <row r="562">
          <cell r="B562">
            <v>164000000000559</v>
          </cell>
          <cell r="C562">
            <v>32000000000559</v>
          </cell>
          <cell r="D562" t="str">
            <v>Adhe Kurniawan</v>
          </cell>
        </row>
        <row r="563">
          <cell r="B563">
            <v>164000000000560</v>
          </cell>
          <cell r="C563">
            <v>32000000000560</v>
          </cell>
          <cell r="D563" t="str">
            <v>Ahmad Fauzi</v>
          </cell>
        </row>
        <row r="564">
          <cell r="B564">
            <v>164000000000561</v>
          </cell>
          <cell r="C564">
            <v>32000000000561</v>
          </cell>
          <cell r="D564" t="str">
            <v>Ahmad Gunawan</v>
          </cell>
        </row>
        <row r="565">
          <cell r="B565">
            <v>164000000000562</v>
          </cell>
          <cell r="C565">
            <v>32000000000562</v>
          </cell>
          <cell r="D565" t="str">
            <v>Andri Andriyan</v>
          </cell>
        </row>
        <row r="566">
          <cell r="B566">
            <v>164000000000563</v>
          </cell>
          <cell r="C566">
            <v>32000000000563</v>
          </cell>
          <cell r="D566" t="str">
            <v>Budi Sulistianto</v>
          </cell>
        </row>
        <row r="567">
          <cell r="B567">
            <v>164000000000564</v>
          </cell>
          <cell r="C567">
            <v>32000000000564</v>
          </cell>
          <cell r="D567" t="str">
            <v>Eka Budi</v>
          </cell>
        </row>
        <row r="568">
          <cell r="B568">
            <v>164000000000565</v>
          </cell>
          <cell r="C568">
            <v>32000000000565</v>
          </cell>
          <cell r="D568" t="str">
            <v>Haerul Gunawan</v>
          </cell>
        </row>
        <row r="569">
          <cell r="B569">
            <v>164000000000566</v>
          </cell>
          <cell r="C569">
            <v>32000000000566</v>
          </cell>
          <cell r="D569" t="str">
            <v>Irvan Agus</v>
          </cell>
        </row>
        <row r="570">
          <cell r="B570">
            <v>164000000000567</v>
          </cell>
          <cell r="C570">
            <v>32000000000567</v>
          </cell>
          <cell r="D570" t="str">
            <v>Joshika Pradirga</v>
          </cell>
        </row>
        <row r="571">
          <cell r="B571">
            <v>164000000000568</v>
          </cell>
          <cell r="C571">
            <v>32000000000568</v>
          </cell>
          <cell r="D571" t="str">
            <v>Khaidir</v>
          </cell>
        </row>
        <row r="572">
          <cell r="B572">
            <v>164000000000569</v>
          </cell>
          <cell r="C572">
            <v>32000000000569</v>
          </cell>
          <cell r="D572" t="str">
            <v>Latip Muhlanto</v>
          </cell>
        </row>
        <row r="573">
          <cell r="B573">
            <v>164000000000570</v>
          </cell>
          <cell r="C573">
            <v>32000000000570</v>
          </cell>
          <cell r="D573" t="str">
            <v>Leonardo Putra</v>
          </cell>
        </row>
        <row r="574">
          <cell r="B574">
            <v>164000000000571</v>
          </cell>
          <cell r="C574">
            <v>32000000000571</v>
          </cell>
          <cell r="D574" t="str">
            <v>Muhammad Ramadani</v>
          </cell>
        </row>
        <row r="575">
          <cell r="B575">
            <v>164000000000572</v>
          </cell>
          <cell r="C575">
            <v>32000000000572</v>
          </cell>
          <cell r="D575" t="str">
            <v>Musdalipa</v>
          </cell>
        </row>
        <row r="576">
          <cell r="B576">
            <v>164000000000573</v>
          </cell>
          <cell r="C576">
            <v>32000000000573</v>
          </cell>
          <cell r="D576" t="str">
            <v>Nico Melky</v>
          </cell>
        </row>
        <row r="577">
          <cell r="B577">
            <v>164000000000574</v>
          </cell>
          <cell r="C577">
            <v>32000000000574</v>
          </cell>
          <cell r="D577" t="str">
            <v>Rahmata Novanisa</v>
          </cell>
        </row>
        <row r="578">
          <cell r="B578">
            <v>164000000000575</v>
          </cell>
          <cell r="C578">
            <v>32000000000575</v>
          </cell>
          <cell r="D578" t="str">
            <v>Satrio Dhiaputra</v>
          </cell>
        </row>
        <row r="579">
          <cell r="B579">
            <v>164000000000576</v>
          </cell>
          <cell r="C579">
            <v>32000000000576</v>
          </cell>
          <cell r="D579" t="str">
            <v>Sudirman</v>
          </cell>
        </row>
        <row r="580">
          <cell r="B580">
            <v>164000000000577</v>
          </cell>
          <cell r="C580">
            <v>32000000000577</v>
          </cell>
          <cell r="D580" t="str">
            <v>Suparji</v>
          </cell>
        </row>
        <row r="581">
          <cell r="B581">
            <v>164000000000578</v>
          </cell>
          <cell r="C581">
            <v>32000000000578</v>
          </cell>
          <cell r="D581" t="str">
            <v>Taufik Iskandar</v>
          </cell>
        </row>
        <row r="582">
          <cell r="B582">
            <v>164000000000579</v>
          </cell>
          <cell r="C582">
            <v>32000000000579</v>
          </cell>
          <cell r="D582" t="str">
            <v>Tegar Hersaputra</v>
          </cell>
        </row>
        <row r="583">
          <cell r="B583">
            <v>164000000000580</v>
          </cell>
          <cell r="C583">
            <v>32000000000580</v>
          </cell>
          <cell r="D583" t="str">
            <v>Togar Sihombing</v>
          </cell>
        </row>
        <row r="584">
          <cell r="B584">
            <v>164000000000581</v>
          </cell>
          <cell r="C584">
            <v>32000000000581</v>
          </cell>
          <cell r="D584" t="str">
            <v>Wisnu Trenggono Wirayuda</v>
          </cell>
        </row>
        <row r="585">
          <cell r="B585">
            <v>164000000000582</v>
          </cell>
          <cell r="C585">
            <v>32000000000582</v>
          </cell>
          <cell r="D585" t="str">
            <v>Yogo</v>
          </cell>
        </row>
        <row r="586">
          <cell r="B586">
            <v>164000000000583</v>
          </cell>
          <cell r="C586">
            <v>32000000000583</v>
          </cell>
          <cell r="D586" t="str">
            <v>Yustiana Firda</v>
          </cell>
        </row>
        <row r="587">
          <cell r="B587">
            <v>164000000000584</v>
          </cell>
          <cell r="C587">
            <v>32000000000584</v>
          </cell>
          <cell r="D587" t="str">
            <v>Zainal Abidin</v>
          </cell>
        </row>
        <row r="588">
          <cell r="B588">
            <v>164000000000585</v>
          </cell>
          <cell r="C588">
            <v>32000000000585</v>
          </cell>
          <cell r="D588" t="str">
            <v>Budi Sandika</v>
          </cell>
        </row>
        <row r="589">
          <cell r="B589">
            <v>164000000000586</v>
          </cell>
          <cell r="C589">
            <v>32000000000586</v>
          </cell>
          <cell r="D589" t="str">
            <v>Fachri Azhar</v>
          </cell>
        </row>
        <row r="590">
          <cell r="B590">
            <v>164000000000587</v>
          </cell>
          <cell r="C590">
            <v>32000000000587</v>
          </cell>
          <cell r="D590" t="str">
            <v>Firmansyah Awaludin</v>
          </cell>
        </row>
        <row r="591">
          <cell r="B591">
            <v>164000000000588</v>
          </cell>
          <cell r="C591">
            <v>32000000000588</v>
          </cell>
          <cell r="D591" t="str">
            <v>Iman Faisal Abdurahman</v>
          </cell>
        </row>
        <row r="592">
          <cell r="B592">
            <v>164000000000589</v>
          </cell>
          <cell r="C592">
            <v>32000000000589</v>
          </cell>
          <cell r="D592" t="str">
            <v>Muhammad Irfan Alfikri Rayana</v>
          </cell>
        </row>
        <row r="593">
          <cell r="B593">
            <v>164000000000590</v>
          </cell>
          <cell r="C593">
            <v>32000000000590</v>
          </cell>
          <cell r="D593" t="str">
            <v>Syafri Johansah</v>
          </cell>
        </row>
        <row r="594">
          <cell r="B594">
            <v>164000000000591</v>
          </cell>
          <cell r="C594">
            <v>32000000000591</v>
          </cell>
          <cell r="D594" t="str">
            <v>Agus Sobar</v>
          </cell>
        </row>
        <row r="595">
          <cell r="B595">
            <v>164000000000592</v>
          </cell>
          <cell r="C595">
            <v>32000000000592</v>
          </cell>
          <cell r="D595" t="str">
            <v>Ahmad Sandi Asyuri</v>
          </cell>
        </row>
        <row r="596">
          <cell r="B596">
            <v>164000000000593</v>
          </cell>
          <cell r="C596">
            <v>32000000000593</v>
          </cell>
          <cell r="D596" t="str">
            <v>Andi Mapasoro</v>
          </cell>
        </row>
        <row r="597">
          <cell r="B597">
            <v>164000000000594</v>
          </cell>
          <cell r="C597">
            <v>32000000000594</v>
          </cell>
          <cell r="D597" t="str">
            <v>Arie Gustaman</v>
          </cell>
        </row>
        <row r="598">
          <cell r="B598">
            <v>164000000000595</v>
          </cell>
          <cell r="C598">
            <v>32000000000595</v>
          </cell>
          <cell r="D598" t="str">
            <v>Arief Yulianto</v>
          </cell>
        </row>
        <row r="599">
          <cell r="B599">
            <v>164000000000596</v>
          </cell>
          <cell r="C599">
            <v>32000000000596</v>
          </cell>
          <cell r="D599" t="str">
            <v>Burhan</v>
          </cell>
        </row>
        <row r="600">
          <cell r="B600">
            <v>164000000000597</v>
          </cell>
          <cell r="C600">
            <v>32000000000597</v>
          </cell>
          <cell r="D600" t="str">
            <v>Deby Syahputa</v>
          </cell>
        </row>
        <row r="601">
          <cell r="B601">
            <v>164000000000598</v>
          </cell>
          <cell r="C601">
            <v>32000000000598</v>
          </cell>
          <cell r="D601" t="str">
            <v>Ibrahim Arya Yuda</v>
          </cell>
        </row>
        <row r="602">
          <cell r="B602">
            <v>164000000000599</v>
          </cell>
          <cell r="C602">
            <v>32000000000599</v>
          </cell>
          <cell r="D602" t="str">
            <v>Jamil</v>
          </cell>
        </row>
        <row r="603">
          <cell r="B603">
            <v>164000000000600</v>
          </cell>
          <cell r="C603">
            <v>32000000000600</v>
          </cell>
          <cell r="D603" t="str">
            <v>Kiki Prasetyo</v>
          </cell>
        </row>
        <row r="604">
          <cell r="B604">
            <v>164000000000601</v>
          </cell>
          <cell r="C604">
            <v>32000000000601</v>
          </cell>
          <cell r="D604" t="str">
            <v>Mochamad Ulul Azmi Wira Utama</v>
          </cell>
        </row>
        <row r="605">
          <cell r="B605">
            <v>164000000000602</v>
          </cell>
          <cell r="C605">
            <v>32000000000602</v>
          </cell>
          <cell r="D605" t="str">
            <v>Muhammad Bilal Sharony</v>
          </cell>
        </row>
        <row r="606">
          <cell r="B606">
            <v>164000000000603</v>
          </cell>
          <cell r="C606">
            <v>32000000000603</v>
          </cell>
          <cell r="D606" t="str">
            <v>Muhammad Hairul</v>
          </cell>
        </row>
        <row r="607">
          <cell r="B607">
            <v>164000000000604</v>
          </cell>
          <cell r="C607">
            <v>32000000000604</v>
          </cell>
          <cell r="D607" t="str">
            <v>Muhammad Rizal</v>
          </cell>
        </row>
        <row r="608">
          <cell r="B608">
            <v>164000000000605</v>
          </cell>
          <cell r="C608">
            <v>32000000000605</v>
          </cell>
          <cell r="D608" t="str">
            <v>Rahmad Dwifar</v>
          </cell>
        </row>
        <row r="609">
          <cell r="B609">
            <v>164000000000606</v>
          </cell>
          <cell r="C609">
            <v>32000000000606</v>
          </cell>
          <cell r="D609" t="str">
            <v>Reza Sanjaya</v>
          </cell>
        </row>
        <row r="610">
          <cell r="B610">
            <v>164000000000607</v>
          </cell>
          <cell r="C610">
            <v>32000000000607</v>
          </cell>
          <cell r="D610" t="str">
            <v>Ridwan Nur Muttaqin</v>
          </cell>
        </row>
        <row r="611">
          <cell r="B611">
            <v>164000000000608</v>
          </cell>
          <cell r="C611">
            <v>32000000000608</v>
          </cell>
          <cell r="D611" t="str">
            <v xml:space="preserve">Risaldi </v>
          </cell>
        </row>
        <row r="612">
          <cell r="B612">
            <v>164000000000609</v>
          </cell>
          <cell r="C612">
            <v>32000000000609</v>
          </cell>
          <cell r="D612" t="str">
            <v>Risty Alawiyah</v>
          </cell>
        </row>
        <row r="613">
          <cell r="B613">
            <v>164000000000610</v>
          </cell>
          <cell r="C613">
            <v>32000000000610</v>
          </cell>
          <cell r="D613" t="str">
            <v>Rustono</v>
          </cell>
        </row>
        <row r="614">
          <cell r="B614">
            <v>164000000000611</v>
          </cell>
          <cell r="C614">
            <v>32000000000611</v>
          </cell>
          <cell r="D614" t="str">
            <v>Solihin</v>
          </cell>
        </row>
        <row r="615">
          <cell r="B615">
            <v>164000000000612</v>
          </cell>
          <cell r="C615">
            <v>32000000000612</v>
          </cell>
          <cell r="D615" t="str">
            <v>Supriatna</v>
          </cell>
        </row>
        <row r="616">
          <cell r="B616">
            <v>164000000000613</v>
          </cell>
          <cell r="C616">
            <v>32000000000613</v>
          </cell>
          <cell r="D616" t="str">
            <v>Taufik Aminudin</v>
          </cell>
        </row>
        <row r="617">
          <cell r="B617">
            <v>164000000000614</v>
          </cell>
          <cell r="C617">
            <v>32000000000614</v>
          </cell>
          <cell r="D617" t="str">
            <v>Timotius Tabun</v>
          </cell>
        </row>
        <row r="618">
          <cell r="B618">
            <v>164000000000615</v>
          </cell>
          <cell r="C618">
            <v>32000000000615</v>
          </cell>
          <cell r="D618" t="str">
            <v>Adi</v>
          </cell>
        </row>
        <row r="619">
          <cell r="B619">
            <v>164000000000616</v>
          </cell>
          <cell r="C619">
            <v>32000000000616</v>
          </cell>
          <cell r="D619" t="str">
            <v>Andrean Fahrizi</v>
          </cell>
        </row>
        <row r="620">
          <cell r="B620">
            <v>164000000000617</v>
          </cell>
          <cell r="C620">
            <v>32000000000617</v>
          </cell>
          <cell r="D620" t="str">
            <v>Amar Abdilah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>
        <row r="7">
          <cell r="D7">
            <v>95000000000003</v>
          </cell>
        </row>
        <row r="14">
          <cell r="D14">
            <v>95000000000008</v>
          </cell>
        </row>
        <row r="15">
          <cell r="D15">
            <v>95000000000009</v>
          </cell>
        </row>
        <row r="23">
          <cell r="D23">
            <v>95000000000016</v>
          </cell>
        </row>
        <row r="24">
          <cell r="D24">
            <v>95000000000017</v>
          </cell>
        </row>
        <row r="25">
          <cell r="D25">
            <v>95000000000018</v>
          </cell>
        </row>
        <row r="27">
          <cell r="D27">
            <v>95000000000019</v>
          </cell>
        </row>
        <row r="29">
          <cell r="D29">
            <v>95000000000021</v>
          </cell>
        </row>
        <row r="32">
          <cell r="D32">
            <v>95000000000024</v>
          </cell>
        </row>
        <row r="38">
          <cell r="D38">
            <v>95000000000029</v>
          </cell>
        </row>
        <row r="40">
          <cell r="D40">
            <v>95000000000031</v>
          </cell>
        </row>
        <row r="42">
          <cell r="D42">
            <v>95000000000032</v>
          </cell>
        </row>
        <row r="44">
          <cell r="D44">
            <v>95000000000034</v>
          </cell>
        </row>
        <row r="46">
          <cell r="D46">
            <v>95000000000035</v>
          </cell>
        </row>
        <row r="48">
          <cell r="D48">
            <v>95000000000037</v>
          </cell>
        </row>
        <row r="49">
          <cell r="D49">
            <v>95000000000038</v>
          </cell>
        </row>
        <row r="50">
          <cell r="D50">
            <v>95000000000039</v>
          </cell>
        </row>
        <row r="53">
          <cell r="D53">
            <v>95000000000041</v>
          </cell>
        </row>
        <row r="54">
          <cell r="D54">
            <v>95000000000042</v>
          </cell>
        </row>
        <row r="56">
          <cell r="D56">
            <v>95000000000043</v>
          </cell>
        </row>
        <row r="57">
          <cell r="D57">
            <v>95000000000044</v>
          </cell>
        </row>
        <row r="58">
          <cell r="D58">
            <v>95000000000045</v>
          </cell>
        </row>
        <row r="59">
          <cell r="D59">
            <v>95000000000046</v>
          </cell>
        </row>
        <row r="60">
          <cell r="D60">
            <v>95000000000047</v>
          </cell>
        </row>
        <row r="62">
          <cell r="D62">
            <v>95000000000048</v>
          </cell>
        </row>
        <row r="64">
          <cell r="D64">
            <v>95000000000050</v>
          </cell>
        </row>
        <row r="68">
          <cell r="D68">
            <v>95000000000053</v>
          </cell>
        </row>
        <row r="72">
          <cell r="D72">
            <v>95000000000056</v>
          </cell>
        </row>
        <row r="83">
          <cell r="D83">
            <v>95000000000064</v>
          </cell>
        </row>
        <row r="84">
          <cell r="D84">
            <v>95000000000065</v>
          </cell>
        </row>
      </sheetData>
      <sheetData sheetId="1">
        <row r="4">
          <cell r="B4">
            <v>95000000000001</v>
          </cell>
          <cell r="C4" t="str">
            <v>Super User</v>
          </cell>
        </row>
        <row r="5">
          <cell r="B5">
            <v>95000000000002</v>
          </cell>
          <cell r="C5" t="str">
            <v>Guest</v>
          </cell>
        </row>
        <row r="6">
          <cell r="B6" t="str">
            <v/>
          </cell>
          <cell r="C6" t="str">
            <v/>
          </cell>
        </row>
        <row r="7">
          <cell r="B7">
            <v>95000000000003</v>
          </cell>
          <cell r="C7" t="str">
            <v>Default Employee Role</v>
          </cell>
        </row>
        <row r="8">
          <cell r="B8" t="str">
            <v/>
          </cell>
          <cell r="C8" t="str">
            <v/>
          </cell>
        </row>
        <row r="9">
          <cell r="B9">
            <v>95000000000004</v>
          </cell>
          <cell r="C9" t="str">
            <v>Share Holder</v>
          </cell>
        </row>
        <row r="10">
          <cell r="B10">
            <v>95000000000005</v>
          </cell>
          <cell r="C10" t="str">
            <v>Stack Holder</v>
          </cell>
        </row>
        <row r="11">
          <cell r="B11">
            <v>95000000000006</v>
          </cell>
          <cell r="C11" t="str">
            <v>Public Accounting Firm</v>
          </cell>
        </row>
        <row r="12">
          <cell r="B12">
            <v>95000000000007</v>
          </cell>
          <cell r="C12" t="str">
            <v>Commissary</v>
          </cell>
        </row>
        <row r="13">
          <cell r="B13" t="str">
            <v/>
          </cell>
          <cell r="C13" t="str">
            <v/>
          </cell>
        </row>
        <row r="14">
          <cell r="B14">
            <v>95000000000008</v>
          </cell>
          <cell r="C14" t="str">
            <v>Director</v>
          </cell>
        </row>
        <row r="15">
          <cell r="B15">
            <v>95000000000009</v>
          </cell>
          <cell r="C15" t="str">
            <v>President Director</v>
          </cell>
        </row>
        <row r="16">
          <cell r="B16">
            <v>95000000000010</v>
          </cell>
          <cell r="C16" t="str">
            <v>Finance Director</v>
          </cell>
        </row>
        <row r="17">
          <cell r="B17">
            <v>95000000000011</v>
          </cell>
          <cell r="C17" t="str">
            <v>Operational Director</v>
          </cell>
        </row>
        <row r="18">
          <cell r="B18">
            <v>95000000000012</v>
          </cell>
          <cell r="C18" t="str">
            <v>Marketing Director</v>
          </cell>
        </row>
        <row r="19">
          <cell r="B19">
            <v>95000000000013</v>
          </cell>
          <cell r="C19" t="str">
            <v>Information Technology Director</v>
          </cell>
        </row>
        <row r="20">
          <cell r="B20" t="str">
            <v/>
          </cell>
          <cell r="C20" t="str">
            <v/>
          </cell>
        </row>
        <row r="21">
          <cell r="B21">
            <v>95000000000014</v>
          </cell>
          <cell r="C21" t="str">
            <v>Project General Manager</v>
          </cell>
        </row>
        <row r="22">
          <cell r="B22">
            <v>95000000000015</v>
          </cell>
          <cell r="C22" t="str">
            <v>Project Management Officer</v>
          </cell>
        </row>
        <row r="23">
          <cell r="B23">
            <v>95000000000016</v>
          </cell>
          <cell r="C23" t="str">
            <v>Finance, Accounting, &amp; Tax General Manager</v>
          </cell>
        </row>
        <row r="24">
          <cell r="B24">
            <v>95000000000017</v>
          </cell>
          <cell r="C24" t="str">
            <v>HR, GA, &amp; TAM General Manager</v>
          </cell>
        </row>
        <row r="25">
          <cell r="B25">
            <v>95000000000018</v>
          </cell>
          <cell r="C25" t="str">
            <v>Sales General Manager</v>
          </cell>
        </row>
        <row r="26">
          <cell r="B26" t="str">
            <v/>
          </cell>
          <cell r="C26" t="str">
            <v/>
          </cell>
        </row>
        <row r="27">
          <cell r="B27">
            <v>95000000000019</v>
          </cell>
          <cell r="C27" t="str">
            <v>Project Manager</v>
          </cell>
        </row>
        <row r="28">
          <cell r="B28">
            <v>95000000000020</v>
          </cell>
          <cell r="C28" t="str">
            <v>Site Manager</v>
          </cell>
        </row>
        <row r="29">
          <cell r="B29">
            <v>95000000000021</v>
          </cell>
          <cell r="C29" t="str">
            <v>Project Controller Coordinator</v>
          </cell>
        </row>
        <row r="30">
          <cell r="B30">
            <v>95000000000022</v>
          </cell>
          <cell r="C30" t="str">
            <v>Project Controller Staff</v>
          </cell>
        </row>
        <row r="31">
          <cell r="B31">
            <v>95000000000023</v>
          </cell>
          <cell r="C31" t="str">
            <v>Project Administrator Coordinator</v>
          </cell>
        </row>
        <row r="32">
          <cell r="B32">
            <v>95000000000024</v>
          </cell>
          <cell r="C32" t="str">
            <v>Project Administrator Staff</v>
          </cell>
        </row>
        <row r="33">
          <cell r="B33">
            <v>95000000000025</v>
          </cell>
          <cell r="C33" t="str">
            <v>Project Worker Coordinator</v>
          </cell>
        </row>
        <row r="34">
          <cell r="B34">
            <v>95000000000026</v>
          </cell>
          <cell r="C34" t="str">
            <v>Project Worker Staff</v>
          </cell>
        </row>
        <row r="35">
          <cell r="B35" t="str">
            <v/>
          </cell>
          <cell r="C35" t="str">
            <v/>
          </cell>
        </row>
        <row r="36">
          <cell r="B36">
            <v>95000000000027</v>
          </cell>
          <cell r="C36" t="str">
            <v>Finance Manager</v>
          </cell>
        </row>
        <row r="37">
          <cell r="B37">
            <v>95000000000028</v>
          </cell>
          <cell r="C37" t="str">
            <v>Cashier &amp; Treasury Coordinator</v>
          </cell>
        </row>
        <row r="38">
          <cell r="B38">
            <v>95000000000029</v>
          </cell>
          <cell r="C38" t="str">
            <v>Cashier &amp; Treasury Staff</v>
          </cell>
        </row>
        <row r="39">
          <cell r="B39">
            <v>95000000000030</v>
          </cell>
          <cell r="C39" t="str">
            <v>Cost Controller Coordinator</v>
          </cell>
        </row>
        <row r="40">
          <cell r="B40">
            <v>95000000000031</v>
          </cell>
          <cell r="C40" t="str">
            <v>Cost Controller Staff</v>
          </cell>
        </row>
        <row r="41">
          <cell r="B41" t="str">
            <v/>
          </cell>
          <cell r="C41" t="str">
            <v/>
          </cell>
        </row>
        <row r="42">
          <cell r="B42">
            <v>95000000000032</v>
          </cell>
          <cell r="C42" t="str">
            <v>Accounting &amp; Tax Manager</v>
          </cell>
        </row>
        <row r="43">
          <cell r="B43">
            <v>95000000000033</v>
          </cell>
          <cell r="C43" t="str">
            <v>Accounting &amp; Tax Coordinator</v>
          </cell>
        </row>
        <row r="44">
          <cell r="B44">
            <v>95000000000034</v>
          </cell>
          <cell r="C44" t="str">
            <v>Accounting &amp; Tax Staff</v>
          </cell>
        </row>
        <row r="45">
          <cell r="B45" t="str">
            <v/>
          </cell>
          <cell r="C45" t="str">
            <v/>
          </cell>
        </row>
        <row r="46">
          <cell r="B46">
            <v>95000000000035</v>
          </cell>
          <cell r="C46" t="str">
            <v>IT System Manager</v>
          </cell>
        </row>
        <row r="47">
          <cell r="B47">
            <v>95000000000036</v>
          </cell>
          <cell r="C47" t="str">
            <v>IT System Engineer Coordinator</v>
          </cell>
        </row>
        <row r="48">
          <cell r="B48">
            <v>95000000000037</v>
          </cell>
          <cell r="C48" t="str">
            <v>IT System Engineer Staff</v>
          </cell>
        </row>
        <row r="49">
          <cell r="B49">
            <v>95000000000038</v>
          </cell>
          <cell r="C49" t="str">
            <v>IT Software Engineer Coordinator</v>
          </cell>
        </row>
        <row r="50">
          <cell r="B50">
            <v>95000000000039</v>
          </cell>
          <cell r="C50" t="str">
            <v>IT Software Engineer Staff</v>
          </cell>
        </row>
        <row r="51">
          <cell r="B51" t="str">
            <v/>
          </cell>
          <cell r="C51" t="str">
            <v/>
          </cell>
        </row>
        <row r="52">
          <cell r="B52">
            <v>95000000000040</v>
          </cell>
          <cell r="C52" t="str">
            <v>Procurement Manager</v>
          </cell>
        </row>
        <row r="53">
          <cell r="B53">
            <v>95000000000041</v>
          </cell>
          <cell r="C53" t="str">
            <v>Procurement Coordinator</v>
          </cell>
        </row>
        <row r="54">
          <cell r="B54">
            <v>95000000000042</v>
          </cell>
          <cell r="C54" t="str">
            <v>Procurement Staff</v>
          </cell>
        </row>
        <row r="55">
          <cell r="B55" t="str">
            <v/>
          </cell>
          <cell r="C55" t="str">
            <v/>
          </cell>
        </row>
        <row r="56">
          <cell r="B56">
            <v>95000000000043</v>
          </cell>
          <cell r="C56" t="str">
            <v>Sales Manager</v>
          </cell>
        </row>
        <row r="57">
          <cell r="B57">
            <v>95000000000044</v>
          </cell>
          <cell r="C57" t="str">
            <v>Sales Coordinator</v>
          </cell>
        </row>
        <row r="58">
          <cell r="B58">
            <v>95000000000045</v>
          </cell>
          <cell r="C58" t="str">
            <v>Bid And Sales Administrator Staff</v>
          </cell>
        </row>
        <row r="59">
          <cell r="B59">
            <v>95000000000046</v>
          </cell>
          <cell r="C59" t="str">
            <v>Sales Estimator Coordinator</v>
          </cell>
        </row>
        <row r="60">
          <cell r="B60">
            <v>95000000000047</v>
          </cell>
          <cell r="C60" t="str">
            <v>Sales Estimator Staff</v>
          </cell>
        </row>
        <row r="61">
          <cell r="B61" t="str">
            <v/>
          </cell>
          <cell r="C61" t="str">
            <v/>
          </cell>
        </row>
        <row r="62">
          <cell r="B62">
            <v>95000000000048</v>
          </cell>
          <cell r="C62" t="str">
            <v>Health Safety Environment Manager</v>
          </cell>
        </row>
        <row r="63">
          <cell r="B63">
            <v>95000000000049</v>
          </cell>
          <cell r="C63" t="str">
            <v>Health Safety Environment Coordinator</v>
          </cell>
        </row>
        <row r="64">
          <cell r="B64">
            <v>95000000000050</v>
          </cell>
          <cell r="C64" t="str">
            <v>Health Safety Environment Staff</v>
          </cell>
        </row>
        <row r="65">
          <cell r="B65" t="str">
            <v/>
          </cell>
          <cell r="C65" t="str">
            <v/>
          </cell>
        </row>
        <row r="66">
          <cell r="B66">
            <v>95000000000051</v>
          </cell>
          <cell r="C66" t="str">
            <v>Human Resource Development Manager</v>
          </cell>
        </row>
        <row r="67">
          <cell r="B67">
            <v>95000000000052</v>
          </cell>
          <cell r="C67" t="str">
            <v>Human Resource Development Coordinator</v>
          </cell>
        </row>
        <row r="68">
          <cell r="B68">
            <v>95000000000053</v>
          </cell>
          <cell r="C68" t="str">
            <v>Human Resource Development Staff</v>
          </cell>
        </row>
        <row r="69">
          <cell r="B69" t="str">
            <v/>
          </cell>
          <cell r="C69" t="str">
            <v/>
          </cell>
        </row>
        <row r="70">
          <cell r="B70">
            <v>95000000000054</v>
          </cell>
          <cell r="C70" t="str">
            <v>General Affairs Manager</v>
          </cell>
        </row>
        <row r="71">
          <cell r="B71">
            <v>95000000000055</v>
          </cell>
          <cell r="C71" t="str">
            <v>General Affairs Coordinator</v>
          </cell>
        </row>
        <row r="72">
          <cell r="B72">
            <v>95000000000056</v>
          </cell>
          <cell r="C72" t="str">
            <v>General Affairs Staff</v>
          </cell>
        </row>
        <row r="73">
          <cell r="B73" t="str">
            <v/>
          </cell>
          <cell r="C73" t="str">
            <v/>
          </cell>
        </row>
        <row r="74">
          <cell r="B74">
            <v>95000000000057</v>
          </cell>
          <cell r="C74" t="str">
            <v>Legal Manager</v>
          </cell>
        </row>
        <row r="75">
          <cell r="B75">
            <v>95000000000058</v>
          </cell>
          <cell r="C75" t="str">
            <v>Legal Coordinator</v>
          </cell>
        </row>
        <row r="76">
          <cell r="B76">
            <v>95000000000059</v>
          </cell>
          <cell r="C76" t="str">
            <v>Legal Staff</v>
          </cell>
        </row>
        <row r="77">
          <cell r="B77" t="str">
            <v/>
          </cell>
          <cell r="C77" t="str">
            <v/>
          </cell>
        </row>
        <row r="78">
          <cell r="B78">
            <v>95000000000060</v>
          </cell>
          <cell r="C78" t="str">
            <v>Tools And Asset Manager</v>
          </cell>
        </row>
        <row r="79">
          <cell r="B79">
            <v>95000000000061</v>
          </cell>
          <cell r="C79" t="str">
            <v>Tools And Asset Coordinator</v>
          </cell>
        </row>
        <row r="80">
          <cell r="B80">
            <v>95000000000062</v>
          </cell>
          <cell r="C80" t="str">
            <v>Tools And Asset Staff</v>
          </cell>
        </row>
        <row r="81">
          <cell r="B81" t="str">
            <v/>
          </cell>
          <cell r="C81" t="str">
            <v/>
          </cell>
        </row>
        <row r="82">
          <cell r="B82">
            <v>95000000000063</v>
          </cell>
          <cell r="C82" t="str">
            <v>Engineering Manager</v>
          </cell>
        </row>
        <row r="83">
          <cell r="B83">
            <v>95000000000064</v>
          </cell>
          <cell r="C83" t="str">
            <v>Engineering Coordinator</v>
          </cell>
        </row>
        <row r="84">
          <cell r="B84">
            <v>95000000000065</v>
          </cell>
          <cell r="C84" t="str">
            <v>Engineering Staff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I622"/>
  <sheetViews>
    <sheetView tabSelected="1" workbookViewId="0">
      <pane xSplit="2" ySplit="3" topLeftCell="C149" activePane="bottomRight" state="frozen"/>
      <selection activeCell="D230" sqref="D230"/>
      <selection pane="topRight" activeCell="D230" sqref="D230"/>
      <selection pane="bottomLeft" activeCell="D230" sqref="D230"/>
      <selection pane="bottomRight" activeCell="D158" sqref="D158"/>
    </sheetView>
  </sheetViews>
  <sheetFormatPr defaultRowHeight="12.75" x14ac:dyDescent="0.2"/>
  <cols>
    <col min="1" max="1" width="3" style="1" customWidth="1"/>
    <col min="2" max="2" width="14" style="1" bestFit="1" customWidth="1"/>
    <col min="3" max="3" width="24.140625" style="1" bestFit="1" customWidth="1"/>
    <col min="4" max="4" width="13.140625" style="2" bestFit="1" customWidth="1"/>
    <col min="5" max="5" width="32.7109375" style="2" bestFit="1" customWidth="1"/>
    <col min="6" max="6" width="13.140625" style="2" bestFit="1" customWidth="1"/>
    <col min="7" max="7" width="2.85546875" style="1" customWidth="1"/>
    <col min="8" max="8" width="14" style="1" bestFit="1" customWidth="1"/>
    <col min="9" max="16384" width="9.140625" style="1"/>
  </cols>
  <sheetData>
    <row r="1" spans="2:9" s="19" customFormat="1" ht="13.5" thickBot="1" x14ac:dyDescent="0.25">
      <c r="D1" s="20"/>
      <c r="E1" s="20"/>
      <c r="F1" s="20"/>
    </row>
    <row r="2" spans="2:9" ht="38.25" x14ac:dyDescent="0.2">
      <c r="B2" s="5" t="s">
        <v>0</v>
      </c>
      <c r="C2" s="6" t="s">
        <v>1</v>
      </c>
      <c r="D2" s="7" t="s">
        <v>2</v>
      </c>
      <c r="E2" s="7" t="s">
        <v>7</v>
      </c>
      <c r="F2" s="8" t="s">
        <v>3</v>
      </c>
      <c r="H2" s="13" t="s">
        <v>4</v>
      </c>
      <c r="I2" s="14" t="s">
        <v>5</v>
      </c>
    </row>
    <row r="3" spans="2:9" ht="13.5" thickBot="1" x14ac:dyDescent="0.25">
      <c r="B3" s="9"/>
      <c r="C3" s="10"/>
      <c r="D3" s="11"/>
      <c r="E3" s="31"/>
      <c r="F3" s="12"/>
      <c r="H3" s="21">
        <v>225000000000000</v>
      </c>
      <c r="I3" s="22"/>
    </row>
    <row r="4" spans="2:9" x14ac:dyDescent="0.2">
      <c r="B4" s="18">
        <f>IF(EXACT('[1]DataLookUp - InternalCareer(LP)'!$B4, ""), "", '[1]DataLookUp - InternalCareer(LP)'!$B4)</f>
        <v>164000000000001</v>
      </c>
      <c r="C4" s="18" t="str">
        <f>IF(EXACT($B4, ""), "", VLOOKUP(B4, '[1]DataLookUp - InternalCareer(LP)'!$B$4:$D$620, 3, FALSE))</f>
        <v>Abdollah Syani Siregar</v>
      </c>
      <c r="D4" s="3"/>
      <c r="E4" s="18" t="str">
        <f>IF(EXACT($D4, ""), "", VLOOKUP($D4, [2]DataLookUp!$B$4:$C$84, 2, FALSE))</f>
        <v/>
      </c>
      <c r="F4" s="3"/>
      <c r="H4" s="15">
        <f xml:space="preserve"> H3 + IF(EXACT(I4, ""), 0, 1)</f>
        <v>225000000000000</v>
      </c>
      <c r="I4" s="16" t="str">
        <f t="shared" ref="I4:I14" si="0">IF(EXACT(D4, ""), "", CONCATENATE("PERFORM ""SchData-OLTP-HumanResource"".""Func_TblMapper_WorkerCareerInternalToUserRole_SET""(varSystemLoginSession, null::bigint, null::varchar, null::timestamptz, null::timestamptz, null::varchar, varInstitutionBranchID, varBaseCurrencyID, ", IF(EXACT(B4, ""), "null", B4), "::bigint, ", IF(EXACT(D4, ""), "null", D4), "::bigint, ", IF(EXACT(F4, ""), "null", F4), "::bigint);"))</f>
        <v/>
      </c>
    </row>
    <row r="5" spans="2:9" x14ac:dyDescent="0.2">
      <c r="B5" s="18">
        <f>IF(EXACT('[1]DataLookUp - InternalCareer(LP)'!$B5, ""), "", '[1]DataLookUp - InternalCareer(LP)'!$B5)</f>
        <v>164000000000002</v>
      </c>
      <c r="C5" s="18" t="str">
        <f>IF(EXACT($B5, ""), "", VLOOKUP(B5, '[1]DataLookUp - InternalCareer(LP)'!$B$4:$D$620, 3, FALSE))</f>
        <v>Abdul Karim</v>
      </c>
      <c r="D5" s="3"/>
      <c r="E5" s="18" t="str">
        <f>IF(EXACT($D5, ""), "", VLOOKUP($D5, [2]DataLookUp!$B$4:$C$84, 2, FALSE))</f>
        <v/>
      </c>
      <c r="F5" s="3"/>
      <c r="H5" s="15">
        <f xml:space="preserve"> H4 + IF(EXACT(I5, ""), 0, 1)</f>
        <v>225000000000000</v>
      </c>
      <c r="I5" s="16" t="str">
        <f t="shared" si="0"/>
        <v/>
      </c>
    </row>
    <row r="6" spans="2:9" x14ac:dyDescent="0.2">
      <c r="B6" s="18">
        <f>IF(EXACT('[1]DataLookUp - InternalCareer(LP)'!$B6, ""), "", '[1]DataLookUp - InternalCareer(LP)'!$B6)</f>
        <v>164000000000003</v>
      </c>
      <c r="C6" s="18" t="str">
        <f>IF(EXACT($B6, ""), "", VLOOKUP(B6, '[1]DataLookUp - InternalCareer(LP)'!$B$4:$D$620, 3, FALSE))</f>
        <v>Abdul Rahman Sitompul</v>
      </c>
      <c r="D6" s="3"/>
      <c r="E6" s="18" t="str">
        <f>IF(EXACT($D6, ""), "", VLOOKUP($D6, [2]DataLookUp!$B$4:$C$84, 2, FALSE))</f>
        <v/>
      </c>
      <c r="F6" s="3"/>
      <c r="H6" s="15">
        <f t="shared" ref="H6:H69" si="1" xml:space="preserve"> H5 + IF(EXACT(I6, ""), 0, 1)</f>
        <v>225000000000000</v>
      </c>
      <c r="I6" s="16" t="str">
        <f t="shared" si="0"/>
        <v/>
      </c>
    </row>
    <row r="7" spans="2:9" x14ac:dyDescent="0.2">
      <c r="B7" s="18">
        <f>IF(EXACT('[1]DataLookUp - InternalCareer(LP)'!$B7, ""), "", '[1]DataLookUp - InternalCareer(LP)'!$B7)</f>
        <v>164000000000004</v>
      </c>
      <c r="C7" s="18" t="str">
        <f>IF(EXACT($B7, ""), "", VLOOKUP(B7, '[1]DataLookUp - InternalCareer(LP)'!$B$4:$D$620, 3, FALSE))</f>
        <v>Abdul Risan</v>
      </c>
      <c r="D7" s="3"/>
      <c r="E7" s="18" t="str">
        <f>IF(EXACT($D7, ""), "", VLOOKUP($D7, [2]DataLookUp!$B$4:$C$84, 2, FALSE))</f>
        <v/>
      </c>
      <c r="F7" s="3"/>
      <c r="H7" s="15">
        <f t="shared" si="1"/>
        <v>225000000000000</v>
      </c>
      <c r="I7" s="16" t="str">
        <f t="shared" si="0"/>
        <v/>
      </c>
    </row>
    <row r="8" spans="2:9" x14ac:dyDescent="0.2">
      <c r="B8" s="18">
        <f>IF(EXACT('[1]DataLookUp - InternalCareer(LP)'!$B8, ""), "", '[1]DataLookUp - InternalCareer(LP)'!$B8)</f>
        <v>164000000000005</v>
      </c>
      <c r="C8" s="18" t="str">
        <f>IF(EXACT($B8, ""), "", VLOOKUP(B8, '[1]DataLookUp - InternalCareer(LP)'!$B$4:$D$620, 3, FALSE))</f>
        <v>Abdullah Nabil</v>
      </c>
      <c r="D8" s="3"/>
      <c r="E8" s="18" t="str">
        <f>IF(EXACT($D8, ""), "", VLOOKUP($D8, [2]DataLookUp!$B$4:$C$84, 2, FALSE))</f>
        <v/>
      </c>
      <c r="F8" s="3"/>
      <c r="H8" s="15">
        <f t="shared" si="1"/>
        <v>225000000000000</v>
      </c>
      <c r="I8" s="16" t="str">
        <f t="shared" si="0"/>
        <v/>
      </c>
    </row>
    <row r="9" spans="2:9" x14ac:dyDescent="0.2">
      <c r="B9" s="18">
        <f>IF(EXACT('[1]DataLookUp - InternalCareer(LP)'!$B9, ""), "", '[1]DataLookUp - InternalCareer(LP)'!$B9)</f>
        <v>164000000000006</v>
      </c>
      <c r="C9" s="18" t="str">
        <f>IF(EXACT($B9, ""), "", VLOOKUP(B9, '[1]DataLookUp - InternalCareer(LP)'!$B$4:$D$620, 3, FALSE))</f>
        <v>Adhitya Danar</v>
      </c>
      <c r="D9" s="3"/>
      <c r="E9" s="18" t="str">
        <f>IF(EXACT($D9, ""), "", VLOOKUP($D9, [2]DataLookUp!$B$4:$C$84, 2, FALSE))</f>
        <v/>
      </c>
      <c r="F9" s="3"/>
      <c r="H9" s="15">
        <f t="shared" si="1"/>
        <v>225000000000000</v>
      </c>
      <c r="I9" s="16" t="str">
        <f t="shared" si="0"/>
        <v/>
      </c>
    </row>
    <row r="10" spans="2:9" x14ac:dyDescent="0.2">
      <c r="B10" s="18">
        <f>IF(EXACT('[1]DataLookUp - InternalCareer(LP)'!$B10, ""), "", '[1]DataLookUp - InternalCareer(LP)'!$B10)</f>
        <v>164000000000007</v>
      </c>
      <c r="C10" s="18" t="str">
        <f>IF(EXACT($B10, ""), "", VLOOKUP(B10, '[1]DataLookUp - InternalCareer(LP)'!$B$4:$D$620, 3, FALSE))</f>
        <v>Adi Ruswandi</v>
      </c>
      <c r="D10" s="3"/>
      <c r="E10" s="18" t="str">
        <f>IF(EXACT($D10, ""), "", VLOOKUP($D10, [2]DataLookUp!$B$4:$C$84, 2, FALSE))</f>
        <v/>
      </c>
      <c r="F10" s="3"/>
      <c r="H10" s="15">
        <f t="shared" si="1"/>
        <v>225000000000000</v>
      </c>
      <c r="I10" s="16" t="str">
        <f t="shared" si="0"/>
        <v/>
      </c>
    </row>
    <row r="11" spans="2:9" x14ac:dyDescent="0.2">
      <c r="B11" s="18">
        <f>IF(EXACT('[1]DataLookUp - InternalCareer(LP)'!$B11, ""), "", '[1]DataLookUp - InternalCareer(LP)'!$B11)</f>
        <v>164000000000008</v>
      </c>
      <c r="C11" s="18" t="str">
        <f>IF(EXACT($B11, ""), "", VLOOKUP(B11, '[1]DataLookUp - InternalCareer(LP)'!$B$4:$D$620, 3, FALSE))</f>
        <v>Adietya Dharmawan</v>
      </c>
      <c r="D11" s="3"/>
      <c r="E11" s="18" t="str">
        <f>IF(EXACT($D11, ""), "", VLOOKUP($D11, [2]DataLookUp!$B$4:$C$84, 2, FALSE))</f>
        <v/>
      </c>
      <c r="F11" s="3"/>
      <c r="H11" s="15">
        <f t="shared" si="1"/>
        <v>225000000000000</v>
      </c>
      <c r="I11" s="16" t="str">
        <f t="shared" si="0"/>
        <v/>
      </c>
    </row>
    <row r="12" spans="2:9" x14ac:dyDescent="0.2">
      <c r="B12" s="18">
        <f>IF(EXACT('[1]DataLookUp - InternalCareer(LP)'!$B12, ""), "", '[1]DataLookUp - InternalCareer(LP)'!$B12)</f>
        <v>164000000000009</v>
      </c>
      <c r="C12" s="18" t="str">
        <f>IF(EXACT($B12, ""), "", VLOOKUP(B12, '[1]DataLookUp - InternalCareer(LP)'!$B$4:$D$620, 3, FALSE))</f>
        <v>Aditya Yudha Prawira</v>
      </c>
      <c r="D12" s="3"/>
      <c r="E12" s="18" t="str">
        <f>IF(EXACT($D12, ""), "", VLOOKUP($D12, [2]DataLookUp!$B$4:$C$84, 2, FALSE))</f>
        <v/>
      </c>
      <c r="F12" s="3"/>
      <c r="H12" s="15">
        <f t="shared" si="1"/>
        <v>225000000000000</v>
      </c>
      <c r="I12" s="16" t="str">
        <f t="shared" si="0"/>
        <v/>
      </c>
    </row>
    <row r="13" spans="2:9" x14ac:dyDescent="0.2">
      <c r="B13" s="18">
        <f>IF(EXACT('[1]DataLookUp - InternalCareer(LP)'!$B13, ""), "", '[1]DataLookUp - InternalCareer(LP)'!$B13)</f>
        <v>164000000000010</v>
      </c>
      <c r="C13" s="18" t="str">
        <f>IF(EXACT($B13, ""), "", VLOOKUP(B13, '[1]DataLookUp - InternalCareer(LP)'!$B$4:$D$620, 3, FALSE))</f>
        <v>Adli Margie</v>
      </c>
      <c r="D13" s="3"/>
      <c r="E13" s="18" t="str">
        <f>IF(EXACT($D13, ""), "", VLOOKUP($D13, [2]DataLookUp!$B$4:$C$84, 2, FALSE))</f>
        <v/>
      </c>
      <c r="F13" s="3"/>
      <c r="H13" s="15">
        <f t="shared" si="1"/>
        <v>225000000000000</v>
      </c>
      <c r="I13" s="16" t="str">
        <f t="shared" si="0"/>
        <v/>
      </c>
    </row>
    <row r="14" spans="2:9" x14ac:dyDescent="0.2">
      <c r="B14" s="18">
        <f>IF(EXACT('[1]DataLookUp - InternalCareer(LP)'!$B14, ""), "", '[1]DataLookUp - InternalCareer(LP)'!$B14)</f>
        <v>164000000000011</v>
      </c>
      <c r="C14" s="18" t="str">
        <f>IF(EXACT($B14, ""), "", VLOOKUP(B14, '[1]DataLookUp - InternalCareer(LP)'!$B$4:$D$620, 3, FALSE))</f>
        <v>Afrida Eka Putri</v>
      </c>
      <c r="D14" s="3"/>
      <c r="E14" s="18" t="str">
        <f>IF(EXACT($D14, ""), "", VLOOKUP($D14, [2]DataLookUp!$B$4:$C$84, 2, FALSE))</f>
        <v/>
      </c>
      <c r="F14" s="3"/>
      <c r="H14" s="15">
        <f t="shared" si="1"/>
        <v>225000000000000</v>
      </c>
      <c r="I14" s="16" t="str">
        <f t="shared" si="0"/>
        <v/>
      </c>
    </row>
    <row r="15" spans="2:9" x14ac:dyDescent="0.2">
      <c r="B15" s="18">
        <f>IF(EXACT('[1]DataLookUp - InternalCareer(LP)'!$B15, ""), "", '[1]DataLookUp - InternalCareer(LP)'!$B15)</f>
        <v>164000000000012</v>
      </c>
      <c r="C15" s="18" t="str">
        <f>IF(EXACT($B15, ""), "", VLOOKUP(B15, '[1]DataLookUp - InternalCareer(LP)'!$B$4:$D$620, 3, FALSE))</f>
        <v>Agnes Sutedja</v>
      </c>
      <c r="D15" s="3">
        <f>[2]MAIN!$D$62</f>
        <v>95000000000048</v>
      </c>
      <c r="E15" s="18" t="str">
        <f>IF(EXACT($D15, ""), "", VLOOKUP($D15, [2]DataLookUp!$B$4:$C$84, 2, FALSE))</f>
        <v>Health Safety Environment Manager</v>
      </c>
      <c r="F15" s="3"/>
      <c r="H15" s="15">
        <f t="shared" si="1"/>
        <v>225000000000001</v>
      </c>
      <c r="I15" s="16" t="str">
        <f>IF(EXACT(D15, ""), "", CONCATENATE("PERFORM ""SchData-OLTP-HumanResource"".""Func_TblMapper_WorkerCareerInternalToUserRole_SET""(varSystemLoginSession, null::bigint, null::varchar, null::timestamptz, null::timestamptz, null::varchar, varInstitutionBranchID, varBaseCurrencyID, ", IF(EXACT(B15, ""), "null", B15), "::bigint, ", IF(EXACT(D15, ""), "null", D15), "::bigint, ", IF(EXACT(F15, ""), "null", F15), "::bigint);"))</f>
        <v>PERFORM "SchData-OLTP-HumanResource"."Func_TblMapper_WorkerCareerInternalToUserRole_SET"(varSystemLoginSession, null::bigint, null::varchar, null::timestamptz, null::timestamptz, null::varchar, varInstitutionBranchID, varBaseCurrencyID, 164000000000012::bigint, 95000000000048::bigint, null::bigint);</v>
      </c>
    </row>
    <row r="16" spans="2:9" x14ac:dyDescent="0.2">
      <c r="B16" s="18">
        <f>IF(EXACT('[1]DataLookUp - InternalCareer(LP)'!$B16, ""), "", '[1]DataLookUp - InternalCareer(LP)'!$B16)</f>
        <v>164000000000013</v>
      </c>
      <c r="C16" s="18" t="str">
        <f>IF(EXACT($B16, ""), "", VLOOKUP(B16, '[1]DataLookUp - InternalCareer(LP)'!$B$4:$D$620, 3, FALSE))</f>
        <v>Agung Hendarto</v>
      </c>
      <c r="D16" s="3"/>
      <c r="E16" s="18" t="str">
        <f>IF(EXACT($D16, ""), "", VLOOKUP($D16, [2]DataLookUp!$B$4:$C$84, 2, FALSE))</f>
        <v/>
      </c>
      <c r="F16" s="3"/>
      <c r="H16" s="15">
        <f t="shared" si="1"/>
        <v>225000000000001</v>
      </c>
      <c r="I16" s="16" t="str">
        <f t="shared" ref="I16:I79" si="2">IF(EXACT(D16, ""), "", CONCATENATE("PERFORM ""SchData-OLTP-HumanResource"".""Func_TblMapper_WorkerCareerInternalToUserRole_SET""(varSystemLoginSession, null::bigint, null::varchar, null::timestamptz, null::timestamptz, null::varchar, varInstitutionBranchID, varBaseCurrencyID, ", IF(EXACT(B16, ""), "null", B16), "::bigint, ", IF(EXACT(D16, ""), "null", D16), "::bigint, ", IF(EXACT(F16, ""), "null", F16), "::bigint);"))</f>
        <v/>
      </c>
    </row>
    <row r="17" spans="2:9" x14ac:dyDescent="0.2">
      <c r="B17" s="18">
        <f>IF(EXACT('[1]DataLookUp - InternalCareer(LP)'!$B17, ""), "", '[1]DataLookUp - InternalCareer(LP)'!$B17)</f>
        <v>164000000000014</v>
      </c>
      <c r="C17" s="18" t="str">
        <f>IF(EXACT($B17, ""), "", VLOOKUP(B17, '[1]DataLookUp - InternalCareer(LP)'!$B$4:$D$620, 3, FALSE))</f>
        <v>Agus Priyatno Mahmudo</v>
      </c>
      <c r="D17" s="3"/>
      <c r="E17" s="18" t="str">
        <f>IF(EXACT($D17, ""), "", VLOOKUP($D17, [2]DataLookUp!$B$4:$C$84, 2, FALSE))</f>
        <v/>
      </c>
      <c r="F17" s="3"/>
      <c r="H17" s="15">
        <f t="shared" si="1"/>
        <v>225000000000001</v>
      </c>
      <c r="I17" s="16" t="str">
        <f t="shared" si="2"/>
        <v/>
      </c>
    </row>
    <row r="18" spans="2:9" x14ac:dyDescent="0.2">
      <c r="B18" s="18">
        <f>IF(EXACT('[1]DataLookUp - InternalCareer(LP)'!$B18, ""), "", '[1]DataLookUp - InternalCareer(LP)'!$B18)</f>
        <v>164000000000015</v>
      </c>
      <c r="C18" s="18" t="str">
        <f>IF(EXACT($B18, ""), "", VLOOKUP(B18, '[1]DataLookUp - InternalCareer(LP)'!$B$4:$D$620, 3, FALSE))</f>
        <v>Agus Salim</v>
      </c>
      <c r="D18" s="3"/>
      <c r="E18" s="18" t="str">
        <f>IF(EXACT($D18, ""), "", VLOOKUP($D18, [2]DataLookUp!$B$4:$C$84, 2, FALSE))</f>
        <v/>
      </c>
      <c r="F18" s="3"/>
      <c r="H18" s="15">
        <f t="shared" si="1"/>
        <v>225000000000001</v>
      </c>
      <c r="I18" s="16" t="str">
        <f t="shared" si="2"/>
        <v/>
      </c>
    </row>
    <row r="19" spans="2:9" x14ac:dyDescent="0.2">
      <c r="B19" s="18">
        <f>IF(EXACT('[1]DataLookUp - InternalCareer(LP)'!$B19, ""), "", '[1]DataLookUp - InternalCareer(LP)'!$B19)</f>
        <v>164000000000016</v>
      </c>
      <c r="C19" s="18" t="str">
        <f>IF(EXACT($B19, ""), "", VLOOKUP(B19, '[1]DataLookUp - InternalCareer(LP)'!$B$4:$D$620, 3, FALSE))</f>
        <v>Agus Tanto</v>
      </c>
      <c r="D19" s="3"/>
      <c r="E19" s="18" t="str">
        <f>IF(EXACT($D19, ""), "", VLOOKUP($D19, [2]DataLookUp!$B$4:$C$84, 2, FALSE))</f>
        <v/>
      </c>
      <c r="F19" s="3"/>
      <c r="H19" s="15">
        <f t="shared" si="1"/>
        <v>225000000000001</v>
      </c>
      <c r="I19" s="16" t="str">
        <f t="shared" si="2"/>
        <v/>
      </c>
    </row>
    <row r="20" spans="2:9" x14ac:dyDescent="0.2">
      <c r="B20" s="18">
        <f>IF(EXACT('[1]DataLookUp - InternalCareer(LP)'!$B20, ""), "", '[1]DataLookUp - InternalCareer(LP)'!$B20)</f>
        <v>164000000000017</v>
      </c>
      <c r="C20" s="18" t="str">
        <f>IF(EXACT($B20, ""), "", VLOOKUP(B20, '[1]DataLookUp - InternalCareer(LP)'!$B$4:$D$620, 3, FALSE))</f>
        <v>Ahmad Faiz Haems Muda</v>
      </c>
      <c r="D20" s="3">
        <f>[2]MAIN!$D$24</f>
        <v>95000000000017</v>
      </c>
      <c r="E20" s="18" t="str">
        <f>IF(EXACT($D20, ""), "", VLOOKUP($D20, [2]DataLookUp!$B$4:$C$84, 2, FALSE))</f>
        <v>HR, GA, &amp; TAM General Manager</v>
      </c>
      <c r="F20" s="3"/>
      <c r="H20" s="15">
        <f t="shared" si="1"/>
        <v>225000000000002</v>
      </c>
      <c r="I20" s="16" t="str">
        <f t="shared" si="2"/>
        <v>PERFORM "SchData-OLTP-HumanResource"."Func_TblMapper_WorkerCareerInternalToUserRole_SET"(varSystemLoginSession, null::bigint, null::varchar, null::timestamptz, null::timestamptz, null::varchar, varInstitutionBranchID, varBaseCurrencyID, 164000000000017::bigint, 95000000000017::bigint, null::bigint);</v>
      </c>
    </row>
    <row r="21" spans="2:9" x14ac:dyDescent="0.2">
      <c r="B21" s="18">
        <f>IF(EXACT('[1]DataLookUp - InternalCareer(LP)'!$B21, ""), "", '[1]DataLookUp - InternalCareer(LP)'!$B21)</f>
        <v>164000000000018</v>
      </c>
      <c r="C21" s="18" t="str">
        <f>IF(EXACT($B21, ""), "", VLOOKUP(B21, '[1]DataLookUp - InternalCareer(LP)'!$B$4:$D$620, 3, FALSE))</f>
        <v>Ahmad Faza</v>
      </c>
      <c r="D21" s="3"/>
      <c r="E21" s="18" t="str">
        <f>IF(EXACT($D21, ""), "", VLOOKUP($D21, [2]DataLookUp!$B$4:$C$84, 2, FALSE))</f>
        <v/>
      </c>
      <c r="F21" s="3"/>
      <c r="H21" s="15">
        <f t="shared" si="1"/>
        <v>225000000000002</v>
      </c>
      <c r="I21" s="16" t="str">
        <f t="shared" si="2"/>
        <v/>
      </c>
    </row>
    <row r="22" spans="2:9" x14ac:dyDescent="0.2">
      <c r="B22" s="18">
        <f>IF(EXACT('[1]DataLookUp - InternalCareer(LP)'!$B22, ""), "", '[1]DataLookUp - InternalCareer(LP)'!$B22)</f>
        <v>164000000000019</v>
      </c>
      <c r="C22" s="18" t="str">
        <f>IF(EXACT($B22, ""), "", VLOOKUP(B22, '[1]DataLookUp - InternalCareer(LP)'!$B$4:$D$620, 3, FALSE))</f>
        <v>Ahmad Syaifulloh</v>
      </c>
      <c r="D22" s="3"/>
      <c r="E22" s="18" t="str">
        <f>IF(EXACT($D22, ""), "", VLOOKUP($D22, [2]DataLookUp!$B$4:$C$84, 2, FALSE))</f>
        <v/>
      </c>
      <c r="F22" s="3"/>
      <c r="H22" s="15">
        <f t="shared" si="1"/>
        <v>225000000000002</v>
      </c>
      <c r="I22" s="16" t="str">
        <f t="shared" si="2"/>
        <v/>
      </c>
    </row>
    <row r="23" spans="2:9" x14ac:dyDescent="0.2">
      <c r="B23" s="18">
        <f>IF(EXACT('[1]DataLookUp - InternalCareer(LP)'!$B23, ""), "", '[1]DataLookUp - InternalCareer(LP)'!$B23)</f>
        <v>164000000000020</v>
      </c>
      <c r="C23" s="18" t="str">
        <f>IF(EXACT($B23, ""), "", VLOOKUP(B23, '[1]DataLookUp - InternalCareer(LP)'!$B$4:$D$620, 3, FALSE))</f>
        <v>Ahmad Zulkarnaen</v>
      </c>
      <c r="D23" s="3"/>
      <c r="E23" s="18" t="str">
        <f>IF(EXACT($D23, ""), "", VLOOKUP($D23, [2]DataLookUp!$B$4:$C$84, 2, FALSE))</f>
        <v/>
      </c>
      <c r="F23" s="3"/>
      <c r="H23" s="15">
        <f t="shared" si="1"/>
        <v>225000000000002</v>
      </c>
      <c r="I23" s="16" t="str">
        <f t="shared" si="2"/>
        <v/>
      </c>
    </row>
    <row r="24" spans="2:9" x14ac:dyDescent="0.2">
      <c r="B24" s="18">
        <f>IF(EXACT('[1]DataLookUp - InternalCareer(LP)'!$B24, ""), "", '[1]DataLookUp - InternalCareer(LP)'!$B24)</f>
        <v>164000000000021</v>
      </c>
      <c r="C24" s="18" t="str">
        <f>IF(EXACT($B24, ""), "", VLOOKUP(B24, '[1]DataLookUp - InternalCareer(LP)'!$B$4:$D$620, 3, FALSE))</f>
        <v>Ajan</v>
      </c>
      <c r="D24" s="3"/>
      <c r="E24" s="18" t="str">
        <f>IF(EXACT($D24, ""), "", VLOOKUP($D24, [2]DataLookUp!$B$4:$C$84, 2, FALSE))</f>
        <v/>
      </c>
      <c r="F24" s="3"/>
      <c r="H24" s="15">
        <f t="shared" si="1"/>
        <v>225000000000002</v>
      </c>
      <c r="I24" s="16" t="str">
        <f t="shared" si="2"/>
        <v/>
      </c>
    </row>
    <row r="25" spans="2:9" x14ac:dyDescent="0.2">
      <c r="B25" s="18">
        <f>IF(EXACT('[1]DataLookUp - InternalCareer(LP)'!$B25, ""), "", '[1]DataLookUp - InternalCareer(LP)'!$B25)</f>
        <v>164000000000022</v>
      </c>
      <c r="C25" s="18" t="str">
        <f>IF(EXACT($B25, ""), "", VLOOKUP(B25, '[1]DataLookUp - InternalCareer(LP)'!$B$4:$D$620, 3, FALSE))</f>
        <v>Al Amin</v>
      </c>
      <c r="D25" s="3"/>
      <c r="E25" s="18" t="str">
        <f>IF(EXACT($D25, ""), "", VLOOKUP($D25, [2]DataLookUp!$B$4:$C$84, 2, FALSE))</f>
        <v/>
      </c>
      <c r="F25" s="3"/>
      <c r="H25" s="15">
        <f t="shared" si="1"/>
        <v>225000000000002</v>
      </c>
      <c r="I25" s="16" t="str">
        <f t="shared" si="2"/>
        <v/>
      </c>
    </row>
    <row r="26" spans="2:9" x14ac:dyDescent="0.2">
      <c r="B26" s="18">
        <f>IF(EXACT('[1]DataLookUp - InternalCareer(LP)'!$B26, ""), "", '[1]DataLookUp - InternalCareer(LP)'!$B26)</f>
        <v>164000000000023</v>
      </c>
      <c r="C26" s="18" t="str">
        <f>IF(EXACT($B26, ""), "", VLOOKUP(B26, '[1]DataLookUp - InternalCareer(LP)'!$B$4:$D$620, 3, FALSE))</f>
        <v>Aldi Mulyadi</v>
      </c>
      <c r="D26" s="3">
        <f>[2]MAIN!$D$50</f>
        <v>95000000000039</v>
      </c>
      <c r="E26" s="18" t="str">
        <f>IF(EXACT($D26, ""), "", VLOOKUP($D26, [2]DataLookUp!$B$4:$C$84, 2, FALSE))</f>
        <v>IT Software Engineer Staff</v>
      </c>
      <c r="F26" s="3"/>
      <c r="H26" s="15">
        <f t="shared" si="1"/>
        <v>225000000000003</v>
      </c>
      <c r="I26" s="16" t="str">
        <f t="shared" si="2"/>
        <v>PERFORM "SchData-OLTP-HumanResource"."Func_TblMapper_WorkerCareerInternalToUserRole_SET"(varSystemLoginSession, null::bigint, null::varchar, null::timestamptz, null::timestamptz, null::varchar, varInstitutionBranchID, varBaseCurrencyID, 164000000000023::bigint, 95000000000039::bigint, null::bigint);</v>
      </c>
    </row>
    <row r="27" spans="2:9" x14ac:dyDescent="0.2">
      <c r="B27" s="18">
        <f>IF(EXACT('[1]DataLookUp - InternalCareer(LP)'!$B27, ""), "", '[1]DataLookUp - InternalCareer(LP)'!$B27)</f>
        <v>164000000000024</v>
      </c>
      <c r="C27" s="18" t="str">
        <f>IF(EXACT($B27, ""), "", VLOOKUP(B27, '[1]DataLookUp - InternalCareer(LP)'!$B$4:$D$620, 3, FALSE))</f>
        <v>Alexandri</v>
      </c>
      <c r="D27" s="3"/>
      <c r="E27" s="18" t="str">
        <f>IF(EXACT($D27, ""), "", VLOOKUP($D27, [2]DataLookUp!$B$4:$C$84, 2, FALSE))</f>
        <v/>
      </c>
      <c r="F27" s="3"/>
      <c r="H27" s="15">
        <f t="shared" si="1"/>
        <v>225000000000003</v>
      </c>
      <c r="I27" s="16" t="str">
        <f t="shared" si="2"/>
        <v/>
      </c>
    </row>
    <row r="28" spans="2:9" x14ac:dyDescent="0.2">
      <c r="B28" s="18">
        <f>IF(EXACT('[1]DataLookUp - InternalCareer(LP)'!$B28, ""), "", '[1]DataLookUp - InternalCareer(LP)'!$B28)</f>
        <v>164000000000025</v>
      </c>
      <c r="C28" s="18" t="str">
        <f>IF(EXACT($B28, ""), "", VLOOKUP(B28, '[1]DataLookUp - InternalCareer(LP)'!$B$4:$D$620, 3, FALSE))</f>
        <v>Alfaedi</v>
      </c>
      <c r="D28" s="3"/>
      <c r="E28" s="18" t="str">
        <f>IF(EXACT($D28, ""), "", VLOOKUP($D28, [2]DataLookUp!$B$4:$C$84, 2, FALSE))</f>
        <v/>
      </c>
      <c r="F28" s="3"/>
      <c r="H28" s="15">
        <f t="shared" si="1"/>
        <v>225000000000003</v>
      </c>
      <c r="I28" s="16" t="str">
        <f t="shared" si="2"/>
        <v/>
      </c>
    </row>
    <row r="29" spans="2:9" x14ac:dyDescent="0.2">
      <c r="B29" s="18">
        <f>IF(EXACT('[1]DataLookUp - InternalCareer(LP)'!$B29, ""), "", '[1]DataLookUp - InternalCareer(LP)'!$B29)</f>
        <v>164000000000026</v>
      </c>
      <c r="C29" s="18" t="str">
        <f>IF(EXACT($B29, ""), "", VLOOKUP(B29, '[1]DataLookUp - InternalCareer(LP)'!$B$4:$D$620, 3, FALSE))</f>
        <v>Ali Wahono</v>
      </c>
      <c r="D29" s="3"/>
      <c r="E29" s="18" t="str">
        <f>IF(EXACT($D29, ""), "", VLOOKUP($D29, [2]DataLookUp!$B$4:$C$84, 2, FALSE))</f>
        <v/>
      </c>
      <c r="F29" s="3"/>
      <c r="H29" s="15">
        <f t="shared" si="1"/>
        <v>225000000000003</v>
      </c>
      <c r="I29" s="16" t="str">
        <f t="shared" si="2"/>
        <v/>
      </c>
    </row>
    <row r="30" spans="2:9" x14ac:dyDescent="0.2">
      <c r="B30" s="18">
        <f>IF(EXACT('[1]DataLookUp - InternalCareer(LP)'!$B30, ""), "", '[1]DataLookUp - InternalCareer(LP)'!$B30)</f>
        <v>164000000000027</v>
      </c>
      <c r="C30" s="18" t="str">
        <f>IF(EXACT($B30, ""), "", VLOOKUP(B30, '[1]DataLookUp - InternalCareer(LP)'!$B$4:$D$620, 3, FALSE))</f>
        <v>Alphaliyanri Lasria</v>
      </c>
      <c r="D30" s="3"/>
      <c r="E30" s="18" t="str">
        <f>IF(EXACT($D30, ""), "", VLOOKUP($D30, [2]DataLookUp!$B$4:$C$84, 2, FALSE))</f>
        <v/>
      </c>
      <c r="F30" s="3"/>
      <c r="H30" s="15">
        <f t="shared" si="1"/>
        <v>225000000000003</v>
      </c>
      <c r="I30" s="16" t="str">
        <f t="shared" si="2"/>
        <v/>
      </c>
    </row>
    <row r="31" spans="2:9" x14ac:dyDescent="0.2">
      <c r="B31" s="18">
        <f>IF(EXACT('[1]DataLookUp - InternalCareer(LP)'!$B31, ""), "", '[1]DataLookUp - InternalCareer(LP)'!$B31)</f>
        <v>164000000000028</v>
      </c>
      <c r="C31" s="18" t="str">
        <f>IF(EXACT($B31, ""), "", VLOOKUP(B31, '[1]DataLookUp - InternalCareer(LP)'!$B$4:$D$620, 3, FALSE))</f>
        <v>Ambon Rumalean</v>
      </c>
      <c r="D31" s="3"/>
      <c r="E31" s="18" t="str">
        <f>IF(EXACT($D31, ""), "", VLOOKUP($D31, [2]DataLookUp!$B$4:$C$84, 2, FALSE))</f>
        <v/>
      </c>
      <c r="F31" s="3"/>
      <c r="H31" s="15">
        <f t="shared" si="1"/>
        <v>225000000000003</v>
      </c>
      <c r="I31" s="16" t="str">
        <f t="shared" si="2"/>
        <v/>
      </c>
    </row>
    <row r="32" spans="2:9" x14ac:dyDescent="0.2">
      <c r="B32" s="18">
        <f>IF(EXACT('[1]DataLookUp - InternalCareer(LP)'!$B32, ""), "", '[1]DataLookUp - InternalCareer(LP)'!$B32)</f>
        <v>164000000000029</v>
      </c>
      <c r="C32" s="18" t="str">
        <f>IF(EXACT($B32, ""), "", VLOOKUP(B32, '[1]DataLookUp - InternalCareer(LP)'!$B$4:$D$620, 3, FALSE))</f>
        <v>Amir Sofyan Hadi</v>
      </c>
      <c r="D32" s="3"/>
      <c r="E32" s="18" t="str">
        <f>IF(EXACT($D32, ""), "", VLOOKUP($D32, [2]DataLookUp!$B$4:$C$84, 2, FALSE))</f>
        <v/>
      </c>
      <c r="F32" s="3"/>
      <c r="H32" s="15">
        <f t="shared" si="1"/>
        <v>225000000000003</v>
      </c>
      <c r="I32" s="16" t="str">
        <f t="shared" si="2"/>
        <v/>
      </c>
    </row>
    <row r="33" spans="2:9" x14ac:dyDescent="0.2">
      <c r="B33" s="18">
        <f>IF(EXACT('[1]DataLookUp - InternalCareer(LP)'!$B33, ""), "", '[1]DataLookUp - InternalCareer(LP)'!$B33)</f>
        <v>164000000000030</v>
      </c>
      <c r="C33" s="18" t="str">
        <f>IF(EXACT($B33, ""), "", VLOOKUP(B33, '[1]DataLookUp - InternalCareer(LP)'!$B$4:$D$620, 3, FALSE))</f>
        <v>Anak Agung Netti Ariani</v>
      </c>
      <c r="D33" s="3"/>
      <c r="E33" s="18" t="str">
        <f>IF(EXACT($D33, ""), "", VLOOKUP($D33, [2]DataLookUp!$B$4:$C$84, 2, FALSE))</f>
        <v/>
      </c>
      <c r="F33" s="3"/>
      <c r="H33" s="15">
        <f t="shared" si="1"/>
        <v>225000000000003</v>
      </c>
      <c r="I33" s="16" t="str">
        <f t="shared" si="2"/>
        <v/>
      </c>
    </row>
    <row r="34" spans="2:9" x14ac:dyDescent="0.2">
      <c r="B34" s="18">
        <f>IF(EXACT('[1]DataLookUp - InternalCareer(LP)'!$B34, ""), "", '[1]DataLookUp - InternalCareer(LP)'!$B34)</f>
        <v>164000000000031</v>
      </c>
      <c r="C34" s="18" t="str">
        <f>IF(EXACT($B34, ""), "", VLOOKUP(B34, '[1]DataLookUp - InternalCareer(LP)'!$B$4:$D$620, 3, FALSE))</f>
        <v>Andri Gunawan</v>
      </c>
      <c r="D34" s="3"/>
      <c r="E34" s="18" t="str">
        <f>IF(EXACT($D34, ""), "", VLOOKUP($D34, [2]DataLookUp!$B$4:$C$84, 2, FALSE))</f>
        <v/>
      </c>
      <c r="F34" s="3"/>
      <c r="H34" s="15">
        <f t="shared" si="1"/>
        <v>225000000000003</v>
      </c>
      <c r="I34" s="16" t="str">
        <f t="shared" si="2"/>
        <v/>
      </c>
    </row>
    <row r="35" spans="2:9" x14ac:dyDescent="0.2">
      <c r="B35" s="18">
        <f>IF(EXACT('[1]DataLookUp - InternalCareer(LP)'!$B35, ""), "", '[1]DataLookUp - InternalCareer(LP)'!$B35)</f>
        <v>164000000000032</v>
      </c>
      <c r="C35" s="18" t="str">
        <f>IF(EXACT($B35, ""), "", VLOOKUP(B35, '[1]DataLookUp - InternalCareer(LP)'!$B$4:$D$620, 3, FALSE))</f>
        <v>Andri Herdiansyah</v>
      </c>
      <c r="D35" s="3"/>
      <c r="E35" s="18" t="str">
        <f>IF(EXACT($D35, ""), "", VLOOKUP($D35, [2]DataLookUp!$B$4:$C$84, 2, FALSE))</f>
        <v/>
      </c>
      <c r="F35" s="3"/>
      <c r="H35" s="15">
        <f t="shared" si="1"/>
        <v>225000000000003</v>
      </c>
      <c r="I35" s="16" t="str">
        <f t="shared" si="2"/>
        <v/>
      </c>
    </row>
    <row r="36" spans="2:9" x14ac:dyDescent="0.2">
      <c r="B36" s="18">
        <f>IF(EXACT('[1]DataLookUp - InternalCareer(LP)'!$B36, ""), "", '[1]DataLookUp - InternalCareer(LP)'!$B36)</f>
        <v>164000000000033</v>
      </c>
      <c r="C36" s="18" t="str">
        <f>IF(EXACT($B36, ""), "", VLOOKUP(B36, '[1]DataLookUp - InternalCareer(LP)'!$B$4:$D$620, 3, FALSE))</f>
        <v>Andrie</v>
      </c>
      <c r="D36" s="3"/>
      <c r="E36" s="18" t="str">
        <f>IF(EXACT($D36, ""), "", VLOOKUP($D36, [2]DataLookUp!$B$4:$C$84, 2, FALSE))</f>
        <v/>
      </c>
      <c r="F36" s="3"/>
      <c r="H36" s="15">
        <f t="shared" si="1"/>
        <v>225000000000003</v>
      </c>
      <c r="I36" s="16" t="str">
        <f t="shared" si="2"/>
        <v/>
      </c>
    </row>
    <row r="37" spans="2:9" x14ac:dyDescent="0.2">
      <c r="B37" s="18">
        <f>IF(EXACT('[1]DataLookUp - InternalCareer(LP)'!$B37, ""), "", '[1]DataLookUp - InternalCareer(LP)'!$B37)</f>
        <v>164000000000034</v>
      </c>
      <c r="C37" s="18" t="str">
        <f>IF(EXACT($B37, ""), "", VLOOKUP(B37, '[1]DataLookUp - InternalCareer(LP)'!$B$4:$D$620, 3, FALSE))</f>
        <v>Anggina Tri Yudandi</v>
      </c>
      <c r="D37" s="3"/>
      <c r="E37" s="18" t="str">
        <f>IF(EXACT($D37, ""), "", VLOOKUP($D37, [2]DataLookUp!$B$4:$C$84, 2, FALSE))</f>
        <v/>
      </c>
      <c r="F37" s="3"/>
      <c r="H37" s="15">
        <f t="shared" si="1"/>
        <v>225000000000003</v>
      </c>
      <c r="I37" s="16" t="str">
        <f t="shared" si="2"/>
        <v/>
      </c>
    </row>
    <row r="38" spans="2:9" x14ac:dyDescent="0.2">
      <c r="B38" s="18">
        <f>IF(EXACT('[1]DataLookUp - InternalCareer(LP)'!$B38, ""), "", '[1]DataLookUp - InternalCareer(LP)'!$B38)</f>
        <v>164000000000035</v>
      </c>
      <c r="C38" s="18" t="str">
        <f>IF(EXACT($B38, ""), "", VLOOKUP(B38, '[1]DataLookUp - InternalCareer(LP)'!$B$4:$D$620, 3, FALSE))</f>
        <v>Anggit Ismiyanto</v>
      </c>
      <c r="D38" s="3"/>
      <c r="E38" s="18" t="str">
        <f>IF(EXACT($D38, ""), "", VLOOKUP($D38, [2]DataLookUp!$B$4:$C$84, 2, FALSE))</f>
        <v/>
      </c>
      <c r="F38" s="3"/>
      <c r="H38" s="15">
        <f t="shared" si="1"/>
        <v>225000000000003</v>
      </c>
      <c r="I38" s="16" t="str">
        <f t="shared" si="2"/>
        <v/>
      </c>
    </row>
    <row r="39" spans="2:9" x14ac:dyDescent="0.2">
      <c r="B39" s="18">
        <f>IF(EXACT('[1]DataLookUp - InternalCareer(LP)'!$B39, ""), "", '[1]DataLookUp - InternalCareer(LP)'!$B39)</f>
        <v>164000000000036</v>
      </c>
      <c r="C39" s="18" t="str">
        <f>IF(EXACT($B39, ""), "", VLOOKUP(B39, '[1]DataLookUp - InternalCareer(LP)'!$B$4:$D$620, 3, FALSE))</f>
        <v>Anika Setyowati</v>
      </c>
      <c r="D39" s="3"/>
      <c r="E39" s="18" t="str">
        <f>IF(EXACT($D39, ""), "", VLOOKUP($D39, [2]DataLookUp!$B$4:$C$84, 2, FALSE))</f>
        <v/>
      </c>
      <c r="F39" s="3"/>
      <c r="H39" s="15">
        <f t="shared" si="1"/>
        <v>225000000000003</v>
      </c>
      <c r="I39" s="16" t="str">
        <f t="shared" si="2"/>
        <v/>
      </c>
    </row>
    <row r="40" spans="2:9" x14ac:dyDescent="0.2">
      <c r="B40" s="18">
        <f>IF(EXACT('[1]DataLookUp - InternalCareer(LP)'!$B40, ""), "", '[1]DataLookUp - InternalCareer(LP)'!$B40)</f>
        <v>164000000000037</v>
      </c>
      <c r="C40" s="18" t="str">
        <f>IF(EXACT($B40, ""), "", VLOOKUP(B40, '[1]DataLookUp - InternalCareer(LP)'!$B$4:$D$620, 3, FALSE))</f>
        <v>Anisah</v>
      </c>
      <c r="D40" s="3"/>
      <c r="E40" s="18" t="str">
        <f>IF(EXACT($D40, ""), "", VLOOKUP($D40, [2]DataLookUp!$B$4:$C$84, 2, FALSE))</f>
        <v/>
      </c>
      <c r="F40" s="3"/>
      <c r="H40" s="15">
        <f t="shared" si="1"/>
        <v>225000000000003</v>
      </c>
      <c r="I40" s="16" t="str">
        <f t="shared" si="2"/>
        <v/>
      </c>
    </row>
    <row r="41" spans="2:9" x14ac:dyDescent="0.2">
      <c r="B41" s="18">
        <f>IF(EXACT('[1]DataLookUp - InternalCareer(LP)'!$B41, ""), "", '[1]DataLookUp - InternalCareer(LP)'!$B41)</f>
        <v>164000000000038</v>
      </c>
      <c r="C41" s="18" t="str">
        <f>IF(EXACT($B41, ""), "", VLOOKUP(B41, '[1]DataLookUp - InternalCareer(LP)'!$B$4:$D$620, 3, FALSE))</f>
        <v>Anna Savitrie</v>
      </c>
      <c r="D41" s="3"/>
      <c r="E41" s="18" t="str">
        <f>IF(EXACT($D41, ""), "", VLOOKUP($D41, [2]DataLookUp!$B$4:$C$84, 2, FALSE))</f>
        <v/>
      </c>
      <c r="F41" s="3"/>
      <c r="H41" s="15">
        <f t="shared" si="1"/>
        <v>225000000000003</v>
      </c>
      <c r="I41" s="16" t="str">
        <f t="shared" si="2"/>
        <v/>
      </c>
    </row>
    <row r="42" spans="2:9" x14ac:dyDescent="0.2">
      <c r="B42" s="18">
        <f>IF(EXACT('[1]DataLookUp - InternalCareer(LP)'!$B42, ""), "", '[1]DataLookUp - InternalCareer(LP)'!$B42)</f>
        <v>164000000000039</v>
      </c>
      <c r="C42" s="18" t="str">
        <f>IF(EXACT($B42, ""), "", VLOOKUP(B42, '[1]DataLookUp - InternalCareer(LP)'!$B$4:$D$620, 3, FALSE))</f>
        <v>Annisa Dewi Arumsari</v>
      </c>
      <c r="D42" s="3"/>
      <c r="E42" s="18" t="str">
        <f>IF(EXACT($D42, ""), "", VLOOKUP($D42, [2]DataLookUp!$B$4:$C$84, 2, FALSE))</f>
        <v/>
      </c>
      <c r="F42" s="3"/>
      <c r="H42" s="15">
        <f t="shared" si="1"/>
        <v>225000000000003</v>
      </c>
      <c r="I42" s="16" t="str">
        <f t="shared" si="2"/>
        <v/>
      </c>
    </row>
    <row r="43" spans="2:9" x14ac:dyDescent="0.2">
      <c r="B43" s="18">
        <f>IF(EXACT('[1]DataLookUp - InternalCareer(LP)'!$B43, ""), "", '[1]DataLookUp - InternalCareer(LP)'!$B43)</f>
        <v>164000000000040</v>
      </c>
      <c r="C43" s="18" t="str">
        <f>IF(EXACT($B43, ""), "", VLOOKUP(B43, '[1]DataLookUp - InternalCareer(LP)'!$B$4:$D$620, 3, FALSE))</f>
        <v>Annyes Sri Maristi</v>
      </c>
      <c r="D43" s="3"/>
      <c r="E43" s="18" t="str">
        <f>IF(EXACT($D43, ""), "", VLOOKUP($D43, [2]DataLookUp!$B$4:$C$84, 2, FALSE))</f>
        <v/>
      </c>
      <c r="F43" s="3"/>
      <c r="H43" s="15">
        <f t="shared" si="1"/>
        <v>225000000000003</v>
      </c>
      <c r="I43" s="16" t="str">
        <f t="shared" si="2"/>
        <v/>
      </c>
    </row>
    <row r="44" spans="2:9" x14ac:dyDescent="0.2">
      <c r="B44" s="18">
        <f>IF(EXACT('[1]DataLookUp - InternalCareer(LP)'!$B44, ""), "", '[1]DataLookUp - InternalCareer(LP)'!$B44)</f>
        <v>164000000000041</v>
      </c>
      <c r="C44" s="18" t="str">
        <f>IF(EXACT($B44, ""), "", VLOOKUP(B44, '[1]DataLookUp - InternalCareer(LP)'!$B$4:$D$620, 3, FALSE))</f>
        <v>Antok</v>
      </c>
      <c r="D44" s="3"/>
      <c r="E44" s="18" t="str">
        <f>IF(EXACT($D44, ""), "", VLOOKUP($D44, [2]DataLookUp!$B$4:$C$84, 2, FALSE))</f>
        <v/>
      </c>
      <c r="F44" s="3"/>
      <c r="H44" s="15">
        <f t="shared" si="1"/>
        <v>225000000000003</v>
      </c>
      <c r="I44" s="16" t="str">
        <f t="shared" si="2"/>
        <v/>
      </c>
    </row>
    <row r="45" spans="2:9" x14ac:dyDescent="0.2">
      <c r="B45" s="18">
        <f>IF(EXACT('[1]DataLookUp - InternalCareer(LP)'!$B45, ""), "", '[1]DataLookUp - InternalCareer(LP)'!$B45)</f>
        <v>164000000000042</v>
      </c>
      <c r="C45" s="18" t="str">
        <f>IF(EXACT($B45, ""), "", VLOOKUP(B45, '[1]DataLookUp - InternalCareer(LP)'!$B$4:$D$620, 3, FALSE))</f>
        <v>Anton Iryanto</v>
      </c>
      <c r="D45" s="3"/>
      <c r="E45" s="18" t="str">
        <f>IF(EXACT($D45, ""), "", VLOOKUP($D45, [2]DataLookUp!$B$4:$C$84, 2, FALSE))</f>
        <v/>
      </c>
      <c r="F45" s="3"/>
      <c r="H45" s="15">
        <f t="shared" si="1"/>
        <v>225000000000003</v>
      </c>
      <c r="I45" s="16" t="str">
        <f t="shared" si="2"/>
        <v/>
      </c>
    </row>
    <row r="46" spans="2:9" x14ac:dyDescent="0.2">
      <c r="B46" s="18">
        <f>IF(EXACT('[1]DataLookUp - InternalCareer(LP)'!$B46, ""), "", '[1]DataLookUp - InternalCareer(LP)'!$B46)</f>
        <v>164000000000043</v>
      </c>
      <c r="C46" s="18" t="str">
        <f>IF(EXACT($B46, ""), "", VLOOKUP(B46, '[1]DataLookUp - InternalCareer(LP)'!$B$4:$D$620, 3, FALSE))</f>
        <v>Antony Pakpahan</v>
      </c>
      <c r="D46" s="3"/>
      <c r="E46" s="18" t="str">
        <f>IF(EXACT($D46, ""), "", VLOOKUP($D46, [2]DataLookUp!$B$4:$C$84, 2, FALSE))</f>
        <v/>
      </c>
      <c r="F46" s="3"/>
      <c r="H46" s="15">
        <f t="shared" si="1"/>
        <v>225000000000003</v>
      </c>
      <c r="I46" s="16" t="str">
        <f t="shared" si="2"/>
        <v/>
      </c>
    </row>
    <row r="47" spans="2:9" x14ac:dyDescent="0.2">
      <c r="B47" s="18">
        <f>IF(EXACT('[1]DataLookUp - InternalCareer(LP)'!$B47, ""), "", '[1]DataLookUp - InternalCareer(LP)'!$B47)</f>
        <v>164000000000044</v>
      </c>
      <c r="C47" s="18" t="str">
        <f>IF(EXACT($B47, ""), "", VLOOKUP(B47, '[1]DataLookUp - InternalCareer(LP)'!$B$4:$D$620, 3, FALSE))</f>
        <v>Anugerah Januariansyah</v>
      </c>
      <c r="D47" s="3"/>
      <c r="E47" s="18" t="str">
        <f>IF(EXACT($D47, ""), "", VLOOKUP($D47, [2]DataLookUp!$B$4:$C$84, 2, FALSE))</f>
        <v/>
      </c>
      <c r="F47" s="3"/>
      <c r="H47" s="15">
        <f t="shared" si="1"/>
        <v>225000000000003</v>
      </c>
      <c r="I47" s="16" t="str">
        <f t="shared" si="2"/>
        <v/>
      </c>
    </row>
    <row r="48" spans="2:9" x14ac:dyDescent="0.2">
      <c r="B48" s="18">
        <f>IF(EXACT('[1]DataLookUp - InternalCareer(LP)'!$B48, ""), "", '[1]DataLookUp - InternalCareer(LP)'!$B48)</f>
        <v>164000000000045</v>
      </c>
      <c r="C48" s="18" t="str">
        <f>IF(EXACT($B48, ""), "", VLOOKUP(B48, '[1]DataLookUp - InternalCareer(LP)'!$B$4:$D$620, 3, FALSE))</f>
        <v>Anwar Purnomo</v>
      </c>
      <c r="D48" s="3"/>
      <c r="E48" s="18" t="str">
        <f>IF(EXACT($D48, ""), "", VLOOKUP($D48, [2]DataLookUp!$B$4:$C$84, 2, FALSE))</f>
        <v/>
      </c>
      <c r="F48" s="3"/>
      <c r="H48" s="15">
        <f t="shared" si="1"/>
        <v>225000000000003</v>
      </c>
      <c r="I48" s="16" t="str">
        <f t="shared" si="2"/>
        <v/>
      </c>
    </row>
    <row r="49" spans="2:9" x14ac:dyDescent="0.2">
      <c r="B49" s="18">
        <f>IF(EXACT('[1]DataLookUp - InternalCareer(LP)'!$B49, ""), "", '[1]DataLookUp - InternalCareer(LP)'!$B49)</f>
        <v>164000000000046</v>
      </c>
      <c r="C49" s="18" t="str">
        <f>IF(EXACT($B49, ""), "", VLOOKUP(B49, '[1]DataLookUp - InternalCareer(LP)'!$B$4:$D$620, 3, FALSE))</f>
        <v>Ardhi Swasono</v>
      </c>
      <c r="D49" s="3"/>
      <c r="E49" s="18" t="str">
        <f>IF(EXACT($D49, ""), "", VLOOKUP($D49, [2]DataLookUp!$B$4:$C$84, 2, FALSE))</f>
        <v/>
      </c>
      <c r="F49" s="3"/>
      <c r="H49" s="15">
        <f t="shared" si="1"/>
        <v>225000000000003</v>
      </c>
      <c r="I49" s="16" t="str">
        <f t="shared" si="2"/>
        <v/>
      </c>
    </row>
    <row r="50" spans="2:9" x14ac:dyDescent="0.2">
      <c r="B50" s="18">
        <f>IF(EXACT('[1]DataLookUp - InternalCareer(LP)'!$B50, ""), "", '[1]DataLookUp - InternalCareer(LP)'!$B50)</f>
        <v>164000000000047</v>
      </c>
      <c r="C50" s="18" t="str">
        <f>IF(EXACT($B50, ""), "", VLOOKUP(B50, '[1]DataLookUp - InternalCareer(LP)'!$B$4:$D$620, 3, FALSE))</f>
        <v>Ardi</v>
      </c>
      <c r="D50" s="3"/>
      <c r="E50" s="18" t="str">
        <f>IF(EXACT($D50, ""), "", VLOOKUP($D50, [2]DataLookUp!$B$4:$C$84, 2, FALSE))</f>
        <v/>
      </c>
      <c r="F50" s="3"/>
      <c r="H50" s="15">
        <f t="shared" si="1"/>
        <v>225000000000003</v>
      </c>
      <c r="I50" s="16" t="str">
        <f t="shared" si="2"/>
        <v/>
      </c>
    </row>
    <row r="51" spans="2:9" x14ac:dyDescent="0.2">
      <c r="B51" s="18">
        <f>IF(EXACT('[1]DataLookUp - InternalCareer(LP)'!$B51, ""), "", '[1]DataLookUp - InternalCareer(LP)'!$B51)</f>
        <v>164000000000048</v>
      </c>
      <c r="C51" s="18" t="str">
        <f>IF(EXACT($B51, ""), "", VLOOKUP(B51, '[1]DataLookUp - InternalCareer(LP)'!$B$4:$D$620, 3, FALSE))</f>
        <v>Ardiansyah</v>
      </c>
      <c r="D51" s="3"/>
      <c r="E51" s="18" t="str">
        <f>IF(EXACT($D51, ""), "", VLOOKUP($D51, [2]DataLookUp!$B$4:$C$84, 2, FALSE))</f>
        <v/>
      </c>
      <c r="F51" s="3"/>
      <c r="H51" s="15">
        <f t="shared" si="1"/>
        <v>225000000000003</v>
      </c>
      <c r="I51" s="16" t="str">
        <f t="shared" si="2"/>
        <v/>
      </c>
    </row>
    <row r="52" spans="2:9" x14ac:dyDescent="0.2">
      <c r="B52" s="18">
        <f>IF(EXACT('[1]DataLookUp - InternalCareer(LP)'!$B52, ""), "", '[1]DataLookUp - InternalCareer(LP)'!$B52)</f>
        <v>164000000000049</v>
      </c>
      <c r="C52" s="18" t="str">
        <f>IF(EXACT($B52, ""), "", VLOOKUP(B52, '[1]DataLookUp - InternalCareer(LP)'!$B$4:$D$620, 3, FALSE))</f>
        <v>Ardisam</v>
      </c>
      <c r="D52" s="3"/>
      <c r="E52" s="18" t="str">
        <f>IF(EXACT($D52, ""), "", VLOOKUP($D52, [2]DataLookUp!$B$4:$C$84, 2, FALSE))</f>
        <v/>
      </c>
      <c r="F52" s="3"/>
      <c r="H52" s="15">
        <f t="shared" si="1"/>
        <v>225000000000003</v>
      </c>
      <c r="I52" s="16" t="str">
        <f t="shared" si="2"/>
        <v/>
      </c>
    </row>
    <row r="53" spans="2:9" x14ac:dyDescent="0.2">
      <c r="B53" s="18">
        <f>IF(EXACT('[1]DataLookUp - InternalCareer(LP)'!$B53, ""), "", '[1]DataLookUp - InternalCareer(LP)'!$B53)</f>
        <v>164000000000050</v>
      </c>
      <c r="C53" s="18" t="str">
        <f>IF(EXACT($B53, ""), "", VLOOKUP(B53, '[1]DataLookUp - InternalCareer(LP)'!$B$4:$D$620, 3, FALSE))</f>
        <v>Ardita</v>
      </c>
      <c r="D53" s="3"/>
      <c r="E53" s="18" t="str">
        <f>IF(EXACT($D53, ""), "", VLOOKUP($D53, [2]DataLookUp!$B$4:$C$84, 2, FALSE))</f>
        <v/>
      </c>
      <c r="F53" s="3"/>
      <c r="H53" s="15">
        <f t="shared" si="1"/>
        <v>225000000000003</v>
      </c>
      <c r="I53" s="16" t="str">
        <f t="shared" si="2"/>
        <v/>
      </c>
    </row>
    <row r="54" spans="2:9" x14ac:dyDescent="0.2">
      <c r="B54" s="18">
        <f>IF(EXACT('[1]DataLookUp - InternalCareer(LP)'!$B54, ""), "", '[1]DataLookUp - InternalCareer(LP)'!$B54)</f>
        <v>164000000000051</v>
      </c>
      <c r="C54" s="18" t="str">
        <f>IF(EXACT($B54, ""), "", VLOOKUP(B54, '[1]DataLookUp - InternalCareer(LP)'!$B$4:$D$620, 3, FALSE))</f>
        <v>Ares S. Mauboi</v>
      </c>
      <c r="D54" s="3"/>
      <c r="E54" s="18" t="str">
        <f>IF(EXACT($D54, ""), "", VLOOKUP($D54, [2]DataLookUp!$B$4:$C$84, 2, FALSE))</f>
        <v/>
      </c>
      <c r="F54" s="3"/>
      <c r="H54" s="15">
        <f t="shared" si="1"/>
        <v>225000000000003</v>
      </c>
      <c r="I54" s="16" t="str">
        <f t="shared" si="2"/>
        <v/>
      </c>
    </row>
    <row r="55" spans="2:9" x14ac:dyDescent="0.2">
      <c r="B55" s="18">
        <f>IF(EXACT('[1]DataLookUp - InternalCareer(LP)'!$B55, ""), "", '[1]DataLookUp - InternalCareer(LP)'!$B55)</f>
        <v>164000000000052</v>
      </c>
      <c r="C55" s="18" t="str">
        <f>IF(EXACT($B55, ""), "", VLOOKUP(B55, '[1]DataLookUp - InternalCareer(LP)'!$B$4:$D$620, 3, FALSE))</f>
        <v>Arfah Hanum</v>
      </c>
      <c r="D55" s="3"/>
      <c r="E55" s="18" t="str">
        <f>IF(EXACT($D55, ""), "", VLOOKUP($D55, [2]DataLookUp!$B$4:$C$84, 2, FALSE))</f>
        <v/>
      </c>
      <c r="F55" s="3"/>
      <c r="H55" s="15">
        <f t="shared" si="1"/>
        <v>225000000000003</v>
      </c>
      <c r="I55" s="16" t="str">
        <f t="shared" si="2"/>
        <v/>
      </c>
    </row>
    <row r="56" spans="2:9" x14ac:dyDescent="0.2">
      <c r="B56" s="18">
        <f>IF(EXACT('[1]DataLookUp - InternalCareer(LP)'!$B56, ""), "", '[1]DataLookUp - InternalCareer(LP)'!$B56)</f>
        <v>164000000000053</v>
      </c>
      <c r="C56" s="18" t="str">
        <f>IF(EXACT($B56, ""), "", VLOOKUP(B56, '[1]DataLookUp - InternalCareer(LP)'!$B$4:$D$620, 3, FALSE))</f>
        <v>Arfianti Haryani</v>
      </c>
      <c r="D56" s="3"/>
      <c r="E56" s="18" t="str">
        <f>IF(EXACT($D56, ""), "", VLOOKUP($D56, [2]DataLookUp!$B$4:$C$84, 2, FALSE))</f>
        <v/>
      </c>
      <c r="F56" s="3"/>
      <c r="H56" s="15">
        <f t="shared" si="1"/>
        <v>225000000000003</v>
      </c>
      <c r="I56" s="16" t="str">
        <f t="shared" si="2"/>
        <v/>
      </c>
    </row>
    <row r="57" spans="2:9" x14ac:dyDescent="0.2">
      <c r="B57" s="18">
        <f>IF(EXACT('[1]DataLookUp - InternalCareer(LP)'!$B57, ""), "", '[1]DataLookUp - InternalCareer(LP)'!$B57)</f>
        <v>164000000000054</v>
      </c>
      <c r="C57" s="18" t="str">
        <f>IF(EXACT($B57, ""), "", VLOOKUP(B57, '[1]DataLookUp - InternalCareer(LP)'!$B$4:$D$620, 3, FALSE))</f>
        <v>Ari Priwarsono</v>
      </c>
      <c r="D57" s="3"/>
      <c r="E57" s="18" t="str">
        <f>IF(EXACT($D57, ""), "", VLOOKUP($D57, [2]DataLookUp!$B$4:$C$84, 2, FALSE))</f>
        <v/>
      </c>
      <c r="F57" s="3"/>
      <c r="H57" s="15">
        <f t="shared" si="1"/>
        <v>225000000000003</v>
      </c>
      <c r="I57" s="16" t="str">
        <f t="shared" si="2"/>
        <v/>
      </c>
    </row>
    <row r="58" spans="2:9" x14ac:dyDescent="0.2">
      <c r="B58" s="18">
        <f>IF(EXACT('[1]DataLookUp - InternalCareer(LP)'!$B58, ""), "", '[1]DataLookUp - InternalCareer(LP)'!$B58)</f>
        <v>164000000000055</v>
      </c>
      <c r="C58" s="18" t="str">
        <f>IF(EXACT($B58, ""), "", VLOOKUP(B58, '[1]DataLookUp - InternalCareer(LP)'!$B$4:$D$620, 3, FALSE))</f>
        <v>Ari Yuniasmono</v>
      </c>
      <c r="D58" s="3"/>
      <c r="E58" s="18" t="str">
        <f>IF(EXACT($D58, ""), "", VLOOKUP($D58, [2]DataLookUp!$B$4:$C$84, 2, FALSE))</f>
        <v/>
      </c>
      <c r="F58" s="3"/>
      <c r="H58" s="15">
        <f t="shared" si="1"/>
        <v>225000000000003</v>
      </c>
      <c r="I58" s="16" t="str">
        <f t="shared" si="2"/>
        <v/>
      </c>
    </row>
    <row r="59" spans="2:9" x14ac:dyDescent="0.2">
      <c r="B59" s="18">
        <f>IF(EXACT('[1]DataLookUp - InternalCareer(LP)'!$B59, ""), "", '[1]DataLookUp - InternalCareer(LP)'!$B59)</f>
        <v>164000000000056</v>
      </c>
      <c r="C59" s="18" t="str">
        <f>IF(EXACT($B59, ""), "", VLOOKUP(B59, '[1]DataLookUp - InternalCareer(LP)'!$B$4:$D$620, 3, FALSE))</f>
        <v>Arif Gunawan</v>
      </c>
      <c r="D59" s="3"/>
      <c r="E59" s="18" t="str">
        <f>IF(EXACT($D59, ""), "", VLOOKUP($D59, [2]DataLookUp!$B$4:$C$84, 2, FALSE))</f>
        <v/>
      </c>
      <c r="F59" s="3"/>
      <c r="H59" s="15">
        <f t="shared" si="1"/>
        <v>225000000000003</v>
      </c>
      <c r="I59" s="16" t="str">
        <f t="shared" si="2"/>
        <v/>
      </c>
    </row>
    <row r="60" spans="2:9" x14ac:dyDescent="0.2">
      <c r="B60" s="18">
        <f>IF(EXACT('[1]DataLookUp - InternalCareer(LP)'!$B60, ""), "", '[1]DataLookUp - InternalCareer(LP)'!$B60)</f>
        <v>164000000000057</v>
      </c>
      <c r="C60" s="18" t="str">
        <f>IF(EXACT($B60, ""), "", VLOOKUP(B60, '[1]DataLookUp - InternalCareer(LP)'!$B$4:$D$620, 3, FALSE))</f>
        <v>Arif Prasetyo</v>
      </c>
      <c r="D60" s="3"/>
      <c r="E60" s="18" t="str">
        <f>IF(EXACT($D60, ""), "", VLOOKUP($D60, [2]DataLookUp!$B$4:$C$84, 2, FALSE))</f>
        <v/>
      </c>
      <c r="F60" s="3"/>
      <c r="H60" s="15">
        <f t="shared" si="1"/>
        <v>225000000000003</v>
      </c>
      <c r="I60" s="16" t="str">
        <f t="shared" si="2"/>
        <v/>
      </c>
    </row>
    <row r="61" spans="2:9" x14ac:dyDescent="0.2">
      <c r="B61" s="18">
        <f>IF(EXACT('[1]DataLookUp - InternalCareer(LP)'!$B61, ""), "", '[1]DataLookUp - InternalCareer(LP)'!$B61)</f>
        <v>164000000000058</v>
      </c>
      <c r="C61" s="18" t="str">
        <f>IF(EXACT($B61, ""), "", VLOOKUP(B61, '[1]DataLookUp - InternalCareer(LP)'!$B$4:$D$620, 3, FALSE))</f>
        <v>Arini</v>
      </c>
      <c r="D61" s="3"/>
      <c r="E61" s="18" t="str">
        <f>IF(EXACT($D61, ""), "", VLOOKUP($D61, [2]DataLookUp!$B$4:$C$84, 2, FALSE))</f>
        <v/>
      </c>
      <c r="F61" s="3"/>
      <c r="H61" s="15">
        <f t="shared" si="1"/>
        <v>225000000000003</v>
      </c>
      <c r="I61" s="16" t="str">
        <f t="shared" si="2"/>
        <v/>
      </c>
    </row>
    <row r="62" spans="2:9" x14ac:dyDescent="0.2">
      <c r="B62" s="18">
        <f>IF(EXACT('[1]DataLookUp - InternalCareer(LP)'!$B62, ""), "", '[1]DataLookUp - InternalCareer(LP)'!$B62)</f>
        <v>164000000000059</v>
      </c>
      <c r="C62" s="18" t="str">
        <f>IF(EXACT($B62, ""), "", VLOOKUP(B62, '[1]DataLookUp - InternalCareer(LP)'!$B$4:$D$620, 3, FALSE))</f>
        <v>Ario Setyo Gunawan</v>
      </c>
      <c r="D62" s="3"/>
      <c r="E62" s="18" t="str">
        <f>IF(EXACT($D62, ""), "", VLOOKUP($D62, [2]DataLookUp!$B$4:$C$84, 2, FALSE))</f>
        <v/>
      </c>
      <c r="F62" s="3"/>
      <c r="H62" s="15">
        <f t="shared" si="1"/>
        <v>225000000000003</v>
      </c>
      <c r="I62" s="16" t="str">
        <f t="shared" si="2"/>
        <v/>
      </c>
    </row>
    <row r="63" spans="2:9" x14ac:dyDescent="0.2">
      <c r="B63" s="18">
        <f>IF(EXACT('[1]DataLookUp - InternalCareer(LP)'!$B63, ""), "", '[1]DataLookUp - InternalCareer(LP)'!$B63)</f>
        <v>164000000000060</v>
      </c>
      <c r="C63" s="18" t="str">
        <f>IF(EXACT($B63, ""), "", VLOOKUP(B63, '[1]DataLookUp - InternalCareer(LP)'!$B$4:$D$620, 3, FALSE))</f>
        <v>Ario Yulianto Wibowo</v>
      </c>
      <c r="D63" s="3"/>
      <c r="E63" s="18" t="str">
        <f>IF(EXACT($D63, ""), "", VLOOKUP($D63, [2]DataLookUp!$B$4:$C$84, 2, FALSE))</f>
        <v/>
      </c>
      <c r="F63" s="3"/>
      <c r="H63" s="15">
        <f t="shared" si="1"/>
        <v>225000000000003</v>
      </c>
      <c r="I63" s="16" t="str">
        <f t="shared" si="2"/>
        <v/>
      </c>
    </row>
    <row r="64" spans="2:9" x14ac:dyDescent="0.2">
      <c r="B64" s="18">
        <f>IF(EXACT('[1]DataLookUp - InternalCareer(LP)'!$B64, ""), "", '[1]DataLookUp - InternalCareer(LP)'!$B64)</f>
        <v>164000000000061</v>
      </c>
      <c r="C64" s="18" t="str">
        <f>IF(EXACT($B64, ""), "", VLOOKUP(B64, '[1]DataLookUp - InternalCareer(LP)'!$B$4:$D$620, 3, FALSE))</f>
        <v>Aris Widodo Pamungkas</v>
      </c>
      <c r="D64" s="3"/>
      <c r="E64" s="18" t="str">
        <f>IF(EXACT($D64, ""), "", VLOOKUP($D64, [2]DataLookUp!$B$4:$C$84, 2, FALSE))</f>
        <v/>
      </c>
      <c r="F64" s="3"/>
      <c r="H64" s="15">
        <f t="shared" si="1"/>
        <v>225000000000003</v>
      </c>
      <c r="I64" s="16" t="str">
        <f t="shared" si="2"/>
        <v/>
      </c>
    </row>
    <row r="65" spans="2:9" x14ac:dyDescent="0.2">
      <c r="B65" s="18">
        <f>IF(EXACT('[1]DataLookUp - InternalCareer(LP)'!$B65, ""), "", '[1]DataLookUp - InternalCareer(LP)'!$B65)</f>
        <v>164000000000062</v>
      </c>
      <c r="C65" s="18" t="str">
        <f>IF(EXACT($B65, ""), "", VLOOKUP(B65, '[1]DataLookUp - InternalCareer(LP)'!$B$4:$D$620, 3, FALSE))</f>
        <v>Arjiyanto</v>
      </c>
      <c r="D65" s="3"/>
      <c r="E65" s="18" t="str">
        <f>IF(EXACT($D65, ""), "", VLOOKUP($D65, [2]DataLookUp!$B$4:$C$84, 2, FALSE))</f>
        <v/>
      </c>
      <c r="F65" s="3"/>
      <c r="H65" s="15">
        <f t="shared" si="1"/>
        <v>225000000000003</v>
      </c>
      <c r="I65" s="16" t="str">
        <f t="shared" si="2"/>
        <v/>
      </c>
    </row>
    <row r="66" spans="2:9" x14ac:dyDescent="0.2">
      <c r="B66" s="18">
        <f>IF(EXACT('[1]DataLookUp - InternalCareer(LP)'!$B66, ""), "", '[1]DataLookUp - InternalCareer(LP)'!$B66)</f>
        <v>164000000000063</v>
      </c>
      <c r="C66" s="18" t="str">
        <f>IF(EXACT($B66, ""), "", VLOOKUP(B66, '[1]DataLookUp - InternalCareer(LP)'!$B$4:$D$620, 3, FALSE))</f>
        <v>Arman</v>
      </c>
      <c r="D66" s="3"/>
      <c r="E66" s="18" t="str">
        <f>IF(EXACT($D66, ""), "", VLOOKUP($D66, [2]DataLookUp!$B$4:$C$84, 2, FALSE))</f>
        <v/>
      </c>
      <c r="F66" s="3"/>
      <c r="H66" s="15">
        <f t="shared" si="1"/>
        <v>225000000000003</v>
      </c>
      <c r="I66" s="16" t="str">
        <f t="shared" si="2"/>
        <v/>
      </c>
    </row>
    <row r="67" spans="2:9" x14ac:dyDescent="0.2">
      <c r="B67" s="18">
        <f>IF(EXACT('[1]DataLookUp - InternalCareer(LP)'!$B67, ""), "", '[1]DataLookUp - InternalCareer(LP)'!$B67)</f>
        <v>164000000000064</v>
      </c>
      <c r="C67" s="18" t="str">
        <f>IF(EXACT($B67, ""), "", VLOOKUP(B67, '[1]DataLookUp - InternalCareer(LP)'!$B$4:$D$620, 3, FALSE))</f>
        <v>Aryoko Sudiro</v>
      </c>
      <c r="D67" s="3"/>
      <c r="E67" s="18" t="str">
        <f>IF(EXACT($D67, ""), "", VLOOKUP($D67, [2]DataLookUp!$B$4:$C$84, 2, FALSE))</f>
        <v/>
      </c>
      <c r="F67" s="3"/>
      <c r="H67" s="15">
        <f t="shared" si="1"/>
        <v>225000000000003</v>
      </c>
      <c r="I67" s="16" t="str">
        <f t="shared" si="2"/>
        <v/>
      </c>
    </row>
    <row r="68" spans="2:9" x14ac:dyDescent="0.2">
      <c r="B68" s="18">
        <f>IF(EXACT('[1]DataLookUp - InternalCareer(LP)'!$B68, ""), "", '[1]DataLookUp - InternalCareer(LP)'!$B68)</f>
        <v>164000000000065</v>
      </c>
      <c r="C68" s="18" t="str">
        <f>IF(EXACT($B68, ""), "", VLOOKUP(B68, '[1]DataLookUp - InternalCareer(LP)'!$B$4:$D$620, 3, FALSE))</f>
        <v>Astamyugo</v>
      </c>
      <c r="D68" s="3"/>
      <c r="E68" s="18" t="str">
        <f>IF(EXACT($D68, ""), "", VLOOKUP($D68, [2]DataLookUp!$B$4:$C$84, 2, FALSE))</f>
        <v/>
      </c>
      <c r="F68" s="3"/>
      <c r="H68" s="15">
        <f t="shared" si="1"/>
        <v>225000000000003</v>
      </c>
      <c r="I68" s="16" t="str">
        <f t="shared" si="2"/>
        <v/>
      </c>
    </row>
    <row r="69" spans="2:9" x14ac:dyDescent="0.2">
      <c r="B69" s="18">
        <f>IF(EXACT('[1]DataLookUp - InternalCareer(LP)'!$B69, ""), "", '[1]DataLookUp - InternalCareer(LP)'!$B69)</f>
        <v>164000000000066</v>
      </c>
      <c r="C69" s="18" t="str">
        <f>IF(EXACT($B69, ""), "", VLOOKUP(B69, '[1]DataLookUp - InternalCareer(LP)'!$B$4:$D$620, 3, FALSE))</f>
        <v>Atmo Sastro Dinoto</v>
      </c>
      <c r="D69" s="3"/>
      <c r="E69" s="18" t="str">
        <f>IF(EXACT($D69, ""), "", VLOOKUP($D69, [2]DataLookUp!$B$4:$C$84, 2, FALSE))</f>
        <v/>
      </c>
      <c r="F69" s="3"/>
      <c r="H69" s="15">
        <f t="shared" si="1"/>
        <v>225000000000003</v>
      </c>
      <c r="I69" s="16" t="str">
        <f t="shared" si="2"/>
        <v/>
      </c>
    </row>
    <row r="70" spans="2:9" x14ac:dyDescent="0.2">
      <c r="B70" s="18">
        <f>IF(EXACT('[1]DataLookUp - InternalCareer(LP)'!$B70, ""), "", '[1]DataLookUp - InternalCareer(LP)'!$B70)</f>
        <v>164000000000067</v>
      </c>
      <c r="C70" s="18" t="str">
        <f>IF(EXACT($B70, ""), "", VLOOKUP(B70, '[1]DataLookUp - InternalCareer(LP)'!$B$4:$D$620, 3, FALSE))</f>
        <v>Awaludin</v>
      </c>
      <c r="D70" s="3"/>
      <c r="E70" s="18" t="str">
        <f>IF(EXACT($D70, ""), "", VLOOKUP($D70, [2]DataLookUp!$B$4:$C$84, 2, FALSE))</f>
        <v/>
      </c>
      <c r="F70" s="3"/>
      <c r="H70" s="15">
        <f t="shared" ref="H70:H133" si="3" xml:space="preserve"> H69 + IF(EXACT(I70, ""), 0, 1)</f>
        <v>225000000000003</v>
      </c>
      <c r="I70" s="16" t="str">
        <f t="shared" si="2"/>
        <v/>
      </c>
    </row>
    <row r="71" spans="2:9" x14ac:dyDescent="0.2">
      <c r="B71" s="18">
        <f>IF(EXACT('[1]DataLookUp - InternalCareer(LP)'!$B71, ""), "", '[1]DataLookUp - InternalCareer(LP)'!$B71)</f>
        <v>164000000000068</v>
      </c>
      <c r="C71" s="18" t="str">
        <f>IF(EXACT($B71, ""), "", VLOOKUP(B71, '[1]DataLookUp - InternalCareer(LP)'!$B$4:$D$620, 3, FALSE))</f>
        <v>Bachtiar</v>
      </c>
      <c r="D71" s="3"/>
      <c r="E71" s="18" t="str">
        <f>IF(EXACT($D71, ""), "", VLOOKUP($D71, [2]DataLookUp!$B$4:$C$84, 2, FALSE))</f>
        <v/>
      </c>
      <c r="F71" s="3"/>
      <c r="H71" s="15">
        <f t="shared" si="3"/>
        <v>225000000000003</v>
      </c>
      <c r="I71" s="16" t="str">
        <f t="shared" si="2"/>
        <v/>
      </c>
    </row>
    <row r="72" spans="2:9" x14ac:dyDescent="0.2">
      <c r="B72" s="18">
        <f>IF(EXACT('[1]DataLookUp - InternalCareer(LP)'!$B72, ""), "", '[1]DataLookUp - InternalCareer(LP)'!$B72)</f>
        <v>164000000000069</v>
      </c>
      <c r="C72" s="18" t="str">
        <f>IF(EXACT($B72, ""), "", VLOOKUP(B72, '[1]DataLookUp - InternalCareer(LP)'!$B$4:$D$620, 3, FALSE))</f>
        <v>Bambang Irawan</v>
      </c>
      <c r="D72" s="3"/>
      <c r="E72" s="18" t="str">
        <f>IF(EXACT($D72, ""), "", VLOOKUP($D72, [2]DataLookUp!$B$4:$C$84, 2, FALSE))</f>
        <v/>
      </c>
      <c r="F72" s="3"/>
      <c r="H72" s="15">
        <f t="shared" si="3"/>
        <v>225000000000003</v>
      </c>
      <c r="I72" s="16" t="str">
        <f t="shared" si="2"/>
        <v/>
      </c>
    </row>
    <row r="73" spans="2:9" x14ac:dyDescent="0.2">
      <c r="B73" s="18">
        <f>IF(EXACT('[1]DataLookUp - InternalCareer(LP)'!$B73, ""), "", '[1]DataLookUp - InternalCareer(LP)'!$B73)</f>
        <v>164000000000070</v>
      </c>
      <c r="C73" s="18" t="str">
        <f>IF(EXACT($B73, ""), "", VLOOKUP(B73, '[1]DataLookUp - InternalCareer(LP)'!$B$4:$D$620, 3, FALSE))</f>
        <v>Bambang Prihatin</v>
      </c>
      <c r="D73" s="3"/>
      <c r="E73" s="18" t="str">
        <f>IF(EXACT($D73, ""), "", VLOOKUP($D73, [2]DataLookUp!$B$4:$C$84, 2, FALSE))</f>
        <v/>
      </c>
      <c r="F73" s="3"/>
      <c r="H73" s="15">
        <f t="shared" si="3"/>
        <v>225000000000003</v>
      </c>
      <c r="I73" s="16" t="str">
        <f t="shared" si="2"/>
        <v/>
      </c>
    </row>
    <row r="74" spans="2:9" x14ac:dyDescent="0.2">
      <c r="B74" s="18">
        <f>IF(EXACT('[1]DataLookUp - InternalCareer(LP)'!$B74, ""), "", '[1]DataLookUp - InternalCareer(LP)'!$B74)</f>
        <v>164000000000071</v>
      </c>
      <c r="C74" s="18" t="str">
        <f>IF(EXACT($B74, ""), "", VLOOKUP(B74, '[1]DataLookUp - InternalCareer(LP)'!$B$4:$D$620, 3, FALSE))</f>
        <v>Bani Mustazeni</v>
      </c>
      <c r="D74" s="3"/>
      <c r="E74" s="18" t="str">
        <f>IF(EXACT($D74, ""), "", VLOOKUP($D74, [2]DataLookUp!$B$4:$C$84, 2, FALSE))</f>
        <v/>
      </c>
      <c r="F74" s="3"/>
      <c r="H74" s="15">
        <f t="shared" si="3"/>
        <v>225000000000003</v>
      </c>
      <c r="I74" s="16" t="str">
        <f t="shared" si="2"/>
        <v/>
      </c>
    </row>
    <row r="75" spans="2:9" x14ac:dyDescent="0.2">
      <c r="B75" s="18">
        <f>IF(EXACT('[1]DataLookUp - InternalCareer(LP)'!$B75, ""), "", '[1]DataLookUp - InternalCareer(LP)'!$B75)</f>
        <v>164000000000072</v>
      </c>
      <c r="C75" s="18" t="str">
        <f>IF(EXACT($B75, ""), "", VLOOKUP(B75, '[1]DataLookUp - InternalCareer(LP)'!$B$4:$D$620, 3, FALSE))</f>
        <v>Bardai</v>
      </c>
      <c r="D75" s="3"/>
      <c r="E75" s="18" t="str">
        <f>IF(EXACT($D75, ""), "", VLOOKUP($D75, [2]DataLookUp!$B$4:$C$84, 2, FALSE))</f>
        <v/>
      </c>
      <c r="F75" s="3"/>
      <c r="H75" s="15">
        <f t="shared" si="3"/>
        <v>225000000000003</v>
      </c>
      <c r="I75" s="16" t="str">
        <f t="shared" si="2"/>
        <v/>
      </c>
    </row>
    <row r="76" spans="2:9" x14ac:dyDescent="0.2">
      <c r="B76" s="18">
        <f>IF(EXACT('[1]DataLookUp - InternalCareer(LP)'!$B76, ""), "", '[1]DataLookUp - InternalCareer(LP)'!$B76)</f>
        <v>164000000000073</v>
      </c>
      <c r="C76" s="18" t="str">
        <f>IF(EXACT($B76, ""), "", VLOOKUP(B76, '[1]DataLookUp - InternalCareer(LP)'!$B$4:$D$620, 3, FALSE))</f>
        <v>Barika</v>
      </c>
      <c r="D76" s="3"/>
      <c r="E76" s="18" t="str">
        <f>IF(EXACT($D76, ""), "", VLOOKUP($D76, [2]DataLookUp!$B$4:$C$84, 2, FALSE))</f>
        <v/>
      </c>
      <c r="F76" s="3"/>
      <c r="H76" s="15">
        <f t="shared" si="3"/>
        <v>225000000000003</v>
      </c>
      <c r="I76" s="16" t="str">
        <f t="shared" si="2"/>
        <v/>
      </c>
    </row>
    <row r="77" spans="2:9" x14ac:dyDescent="0.2">
      <c r="B77" s="18">
        <f>IF(EXACT('[1]DataLookUp - InternalCareer(LP)'!$B77, ""), "", '[1]DataLookUp - InternalCareer(LP)'!$B77)</f>
        <v>164000000000074</v>
      </c>
      <c r="C77" s="18" t="str">
        <f>IF(EXACT($B77, ""), "", VLOOKUP(B77, '[1]DataLookUp - InternalCareer(LP)'!$B$4:$D$620, 3, FALSE))</f>
        <v>Bela Retmalantika</v>
      </c>
      <c r="D77" s="3"/>
      <c r="E77" s="18" t="str">
        <f>IF(EXACT($D77, ""), "", VLOOKUP($D77, [2]DataLookUp!$B$4:$C$84, 2, FALSE))</f>
        <v/>
      </c>
      <c r="F77" s="3"/>
      <c r="H77" s="15">
        <f t="shared" si="3"/>
        <v>225000000000003</v>
      </c>
      <c r="I77" s="16" t="str">
        <f t="shared" si="2"/>
        <v/>
      </c>
    </row>
    <row r="78" spans="2:9" x14ac:dyDescent="0.2">
      <c r="B78" s="18">
        <f>IF(EXACT('[1]DataLookUp - InternalCareer(LP)'!$B78, ""), "", '[1]DataLookUp - InternalCareer(LP)'!$B78)</f>
        <v>164000000000075</v>
      </c>
      <c r="C78" s="18" t="str">
        <f>IF(EXACT($B78, ""), "", VLOOKUP(B78, '[1]DataLookUp - InternalCareer(LP)'!$B$4:$D$620, 3, FALSE))</f>
        <v>Belina Lindarwani</v>
      </c>
      <c r="D78" s="3">
        <f>[2]MAIN!$D$44</f>
        <v>95000000000034</v>
      </c>
      <c r="E78" s="18" t="str">
        <f>IF(EXACT($D78, ""), "", VLOOKUP($D78, [2]DataLookUp!$B$4:$C$84, 2, FALSE))</f>
        <v>Accounting &amp; Tax Staff</v>
      </c>
      <c r="F78" s="3"/>
      <c r="H78" s="15">
        <f t="shared" si="3"/>
        <v>225000000000004</v>
      </c>
      <c r="I78" s="16" t="str">
        <f t="shared" si="2"/>
        <v>PERFORM "SchData-OLTP-HumanResource"."Func_TblMapper_WorkerCareerInternalToUserRole_SET"(varSystemLoginSession, null::bigint, null::varchar, null::timestamptz, null::timestamptz, null::varchar, varInstitutionBranchID, varBaseCurrencyID, 164000000000075::bigint, 95000000000034::bigint, null::bigint);</v>
      </c>
    </row>
    <row r="79" spans="2:9" x14ac:dyDescent="0.2">
      <c r="B79" s="18">
        <f>IF(EXACT('[1]DataLookUp - InternalCareer(LP)'!$B79, ""), "", '[1]DataLookUp - InternalCareer(LP)'!$B79)</f>
        <v>164000000000076</v>
      </c>
      <c r="C79" s="18" t="str">
        <f>IF(EXACT($B79, ""), "", VLOOKUP(B79, '[1]DataLookUp - InternalCareer(LP)'!$B$4:$D$620, 3, FALSE))</f>
        <v>Benita Sofia</v>
      </c>
      <c r="D79" s="3"/>
      <c r="E79" s="18" t="str">
        <f>IF(EXACT($D79, ""), "", VLOOKUP($D79, [2]DataLookUp!$B$4:$C$84, 2, FALSE))</f>
        <v/>
      </c>
      <c r="F79" s="3"/>
      <c r="H79" s="15">
        <f t="shared" si="3"/>
        <v>225000000000004</v>
      </c>
      <c r="I79" s="16" t="str">
        <f t="shared" si="2"/>
        <v/>
      </c>
    </row>
    <row r="80" spans="2:9" x14ac:dyDescent="0.2">
      <c r="B80" s="18">
        <f>IF(EXACT('[1]DataLookUp - InternalCareer(LP)'!$B80, ""), "", '[1]DataLookUp - InternalCareer(LP)'!$B80)</f>
        <v>164000000000077</v>
      </c>
      <c r="C80" s="18" t="str">
        <f>IF(EXACT($B80, ""), "", VLOOKUP(B80, '[1]DataLookUp - InternalCareer(LP)'!$B$4:$D$620, 3, FALSE))</f>
        <v>Bherly Novrandy</v>
      </c>
      <c r="D80" s="3"/>
      <c r="E80" s="18" t="str">
        <f>IF(EXACT($D80, ""), "", VLOOKUP($D80, [2]DataLookUp!$B$4:$C$84, 2, FALSE))</f>
        <v/>
      </c>
      <c r="F80" s="3"/>
      <c r="H80" s="15">
        <f t="shared" si="3"/>
        <v>225000000000004</v>
      </c>
      <c r="I80" s="16" t="str">
        <f t="shared" ref="I80:I143" si="4">IF(EXACT(D80, ""), "", CONCATENATE("PERFORM ""SchData-OLTP-HumanResource"".""Func_TblMapper_WorkerCareerInternalToUserRole_SET""(varSystemLoginSession, null::bigint, null::varchar, null::timestamptz, null::timestamptz, null::varchar, varInstitutionBranchID, varBaseCurrencyID, ", IF(EXACT(B80, ""), "null", B80), "::bigint, ", IF(EXACT(D80, ""), "null", D80), "::bigint, ", IF(EXACT(F80, ""), "null", F80), "::bigint);"))</f>
        <v/>
      </c>
    </row>
    <row r="81" spans="2:9" x14ac:dyDescent="0.2">
      <c r="B81" s="18">
        <f>IF(EXACT('[1]DataLookUp - InternalCareer(LP)'!$B81, ""), "", '[1]DataLookUp - InternalCareer(LP)'!$B81)</f>
        <v>164000000000078</v>
      </c>
      <c r="C81" s="18" t="str">
        <f>IF(EXACT($B81, ""), "", VLOOKUP(B81, '[1]DataLookUp - InternalCareer(LP)'!$B$4:$D$620, 3, FALSE))</f>
        <v>Binsar</v>
      </c>
      <c r="D81" s="3"/>
      <c r="E81" s="18" t="str">
        <f>IF(EXACT($D81, ""), "", VLOOKUP($D81, [2]DataLookUp!$B$4:$C$84, 2, FALSE))</f>
        <v/>
      </c>
      <c r="F81" s="3"/>
      <c r="H81" s="15">
        <f t="shared" si="3"/>
        <v>225000000000004</v>
      </c>
      <c r="I81" s="16" t="str">
        <f t="shared" si="4"/>
        <v/>
      </c>
    </row>
    <row r="82" spans="2:9" x14ac:dyDescent="0.2">
      <c r="B82" s="18">
        <f>IF(EXACT('[1]DataLookUp - InternalCareer(LP)'!$B82, ""), "", '[1]DataLookUp - InternalCareer(LP)'!$B82)</f>
        <v>164000000000079</v>
      </c>
      <c r="C82" s="18" t="str">
        <f>IF(EXACT($B82, ""), "", VLOOKUP(B82, '[1]DataLookUp - InternalCareer(LP)'!$B$4:$D$620, 3, FALSE))</f>
        <v>Bondhan Sosiarta</v>
      </c>
      <c r="D82" s="3"/>
      <c r="E82" s="18" t="str">
        <f>IF(EXACT($D82, ""), "", VLOOKUP($D82, [2]DataLookUp!$B$4:$C$84, 2, FALSE))</f>
        <v/>
      </c>
      <c r="F82" s="3"/>
      <c r="H82" s="15">
        <f t="shared" si="3"/>
        <v>225000000000004</v>
      </c>
      <c r="I82" s="16" t="str">
        <f t="shared" si="4"/>
        <v/>
      </c>
    </row>
    <row r="83" spans="2:9" x14ac:dyDescent="0.2">
      <c r="B83" s="18">
        <f>IF(EXACT('[1]DataLookUp - InternalCareer(LP)'!$B83, ""), "", '[1]DataLookUp - InternalCareer(LP)'!$B83)</f>
        <v>164000000000080</v>
      </c>
      <c r="C83" s="18" t="str">
        <f>IF(EXACT($B83, ""), "", VLOOKUP(B83, '[1]DataLookUp - InternalCareer(LP)'!$B$4:$D$620, 3, FALSE))</f>
        <v>Budi Pranata Sinaga</v>
      </c>
      <c r="D83" s="3"/>
      <c r="E83" s="18" t="str">
        <f>IF(EXACT($D83, ""), "", VLOOKUP($D83, [2]DataLookUp!$B$4:$C$84, 2, FALSE))</f>
        <v/>
      </c>
      <c r="F83" s="3"/>
      <c r="H83" s="15">
        <f t="shared" si="3"/>
        <v>225000000000004</v>
      </c>
      <c r="I83" s="16" t="str">
        <f t="shared" si="4"/>
        <v/>
      </c>
    </row>
    <row r="84" spans="2:9" x14ac:dyDescent="0.2">
      <c r="B84" s="18">
        <f>IF(EXACT('[1]DataLookUp - InternalCareer(LP)'!$B84, ""), "", '[1]DataLookUp - InternalCareer(LP)'!$B84)</f>
        <v>164000000000081</v>
      </c>
      <c r="C84" s="18" t="str">
        <f>IF(EXACT($B84, ""), "", VLOOKUP(B84, '[1]DataLookUp - InternalCareer(LP)'!$B$4:$D$620, 3, FALSE))</f>
        <v>Budi Satrio</v>
      </c>
      <c r="D84" s="3"/>
      <c r="E84" s="18" t="str">
        <f>IF(EXACT($D84, ""), "", VLOOKUP($D84, [2]DataLookUp!$B$4:$C$84, 2, FALSE))</f>
        <v/>
      </c>
      <c r="F84" s="3"/>
      <c r="H84" s="15">
        <f t="shared" si="3"/>
        <v>225000000000004</v>
      </c>
      <c r="I84" s="16" t="str">
        <f t="shared" si="4"/>
        <v/>
      </c>
    </row>
    <row r="85" spans="2:9" x14ac:dyDescent="0.2">
      <c r="B85" s="18">
        <f>IF(EXACT('[1]DataLookUp - InternalCareer(LP)'!$B85, ""), "", '[1]DataLookUp - InternalCareer(LP)'!$B85)</f>
        <v>164000000000082</v>
      </c>
      <c r="C85" s="18" t="str">
        <f>IF(EXACT($B85, ""), "", VLOOKUP(B85, '[1]DataLookUp - InternalCareer(LP)'!$B$4:$D$620, 3, FALSE))</f>
        <v>Budianto</v>
      </c>
      <c r="D85" s="3">
        <f>[2]MAIN!$D$42</f>
        <v>95000000000032</v>
      </c>
      <c r="E85" s="18" t="str">
        <f>IF(EXACT($D85, ""), "", VLOOKUP($D85, [2]DataLookUp!$B$4:$C$84, 2, FALSE))</f>
        <v>Accounting &amp; Tax Manager</v>
      </c>
      <c r="F85" s="3"/>
      <c r="H85" s="15">
        <f t="shared" si="3"/>
        <v>225000000000005</v>
      </c>
      <c r="I85" s="16" t="str">
        <f t="shared" si="4"/>
        <v>PERFORM "SchData-OLTP-HumanResource"."Func_TblMapper_WorkerCareerInternalToUserRole_SET"(varSystemLoginSession, null::bigint, null::varchar, null::timestamptz, null::timestamptz, null::varchar, varInstitutionBranchID, varBaseCurrencyID, 164000000000082::bigint, 95000000000032::bigint, null::bigint);</v>
      </c>
    </row>
    <row r="86" spans="2:9" x14ac:dyDescent="0.2">
      <c r="B86" s="18">
        <f>IF(EXACT('[1]DataLookUp - InternalCareer(LP)'!$B86, ""), "", '[1]DataLookUp - InternalCareer(LP)'!$B86)</f>
        <v>164000000000083</v>
      </c>
      <c r="C86" s="18" t="str">
        <f>IF(EXACT($B86, ""), "", VLOOKUP(B86, '[1]DataLookUp - InternalCareer(LP)'!$B$4:$D$620, 3, FALSE))</f>
        <v>Budiman</v>
      </c>
      <c r="D86" s="3"/>
      <c r="E86" s="18" t="str">
        <f>IF(EXACT($D86, ""), "", VLOOKUP($D86, [2]DataLookUp!$B$4:$C$84, 2, FALSE))</f>
        <v/>
      </c>
      <c r="F86" s="3"/>
      <c r="H86" s="15">
        <f t="shared" si="3"/>
        <v>225000000000005</v>
      </c>
      <c r="I86" s="16" t="str">
        <f t="shared" si="4"/>
        <v/>
      </c>
    </row>
    <row r="87" spans="2:9" x14ac:dyDescent="0.2">
      <c r="B87" s="18">
        <f>IF(EXACT('[1]DataLookUp - InternalCareer(LP)'!$B87, ""), "", '[1]DataLookUp - InternalCareer(LP)'!$B87)</f>
        <v>164000000000084</v>
      </c>
      <c r="C87" s="18" t="str">
        <f>IF(EXACT($B87, ""), "", VLOOKUP(B87, '[1]DataLookUp - InternalCareer(LP)'!$B$4:$D$620, 3, FALSE))</f>
        <v>Cahyaning Annisa</v>
      </c>
      <c r="D87" s="3"/>
      <c r="E87" s="18" t="str">
        <f>IF(EXACT($D87, ""), "", VLOOKUP($D87, [2]DataLookUp!$B$4:$C$84, 2, FALSE))</f>
        <v/>
      </c>
      <c r="F87" s="3"/>
      <c r="H87" s="15">
        <f t="shared" si="3"/>
        <v>225000000000005</v>
      </c>
      <c r="I87" s="16" t="str">
        <f t="shared" si="4"/>
        <v/>
      </c>
    </row>
    <row r="88" spans="2:9" x14ac:dyDescent="0.2">
      <c r="B88" s="18">
        <f>IF(EXACT('[1]DataLookUp - InternalCareer(LP)'!$B88, ""), "", '[1]DataLookUp - InternalCareer(LP)'!$B88)</f>
        <v>164000000000085</v>
      </c>
      <c r="C88" s="18" t="str">
        <f>IF(EXACT($B88, ""), "", VLOOKUP(B88, '[1]DataLookUp - InternalCareer(LP)'!$B$4:$D$620, 3, FALSE))</f>
        <v>Cahyaningrum Widiastuti</v>
      </c>
      <c r="D88" s="3"/>
      <c r="E88" s="18" t="str">
        <f>IF(EXACT($D88, ""), "", VLOOKUP($D88, [2]DataLookUp!$B$4:$C$84, 2, FALSE))</f>
        <v/>
      </c>
      <c r="F88" s="3"/>
      <c r="H88" s="15">
        <f t="shared" si="3"/>
        <v>225000000000005</v>
      </c>
      <c r="I88" s="16" t="str">
        <f t="shared" si="4"/>
        <v/>
      </c>
    </row>
    <row r="89" spans="2:9" x14ac:dyDescent="0.2">
      <c r="B89" s="18">
        <f>IF(EXACT('[1]DataLookUp - InternalCareer(LP)'!$B89, ""), "", '[1]DataLookUp - InternalCareer(LP)'!$B89)</f>
        <v>164000000000086</v>
      </c>
      <c r="C89" s="18" t="str">
        <f>IF(EXACT($B89, ""), "", VLOOKUP(B89, '[1]DataLookUp - InternalCareer(LP)'!$B$4:$D$620, 3, FALSE))</f>
        <v>Cecep Maulana</v>
      </c>
      <c r="D89" s="3"/>
      <c r="E89" s="18" t="str">
        <f>IF(EXACT($D89, ""), "", VLOOKUP($D89, [2]DataLookUp!$B$4:$C$84, 2, FALSE))</f>
        <v/>
      </c>
      <c r="F89" s="3"/>
      <c r="H89" s="15">
        <f t="shared" si="3"/>
        <v>225000000000005</v>
      </c>
      <c r="I89" s="16" t="str">
        <f t="shared" si="4"/>
        <v/>
      </c>
    </row>
    <row r="90" spans="2:9" x14ac:dyDescent="0.2">
      <c r="B90" s="18">
        <f>IF(EXACT('[1]DataLookUp - InternalCareer(LP)'!$B90, ""), "", '[1]DataLookUp - InternalCareer(LP)'!$B90)</f>
        <v>164000000000087</v>
      </c>
      <c r="C90" s="18" t="str">
        <f>IF(EXACT($B90, ""), "", VLOOKUP(B90, '[1]DataLookUp - InternalCareer(LP)'!$B$4:$D$620, 3, FALSE))</f>
        <v>Chairul Musaddat</v>
      </c>
      <c r="D90" s="3"/>
      <c r="E90" s="18" t="str">
        <f>IF(EXACT($D90, ""), "", VLOOKUP($D90, [2]DataLookUp!$B$4:$C$84, 2, FALSE))</f>
        <v/>
      </c>
      <c r="F90" s="3"/>
      <c r="H90" s="15">
        <f t="shared" si="3"/>
        <v>225000000000005</v>
      </c>
      <c r="I90" s="16" t="str">
        <f t="shared" si="4"/>
        <v/>
      </c>
    </row>
    <row r="91" spans="2:9" x14ac:dyDescent="0.2">
      <c r="B91" s="18">
        <f>IF(EXACT('[1]DataLookUp - InternalCareer(LP)'!$B91, ""), "", '[1]DataLookUp - InternalCareer(LP)'!$B91)</f>
        <v>164000000000088</v>
      </c>
      <c r="C91" s="18" t="str">
        <f>IF(EXACT($B91, ""), "", VLOOKUP(B91, '[1]DataLookUp - InternalCareer(LP)'!$B$4:$D$620, 3, FALSE))</f>
        <v>Christianto</v>
      </c>
      <c r="D91" s="3"/>
      <c r="E91" s="18" t="str">
        <f>IF(EXACT($D91, ""), "", VLOOKUP($D91, [2]DataLookUp!$B$4:$C$84, 2, FALSE))</f>
        <v/>
      </c>
      <c r="F91" s="3"/>
      <c r="H91" s="15">
        <f t="shared" si="3"/>
        <v>225000000000005</v>
      </c>
      <c r="I91" s="16" t="str">
        <f t="shared" si="4"/>
        <v/>
      </c>
    </row>
    <row r="92" spans="2:9" x14ac:dyDescent="0.2">
      <c r="B92" s="18">
        <f>IF(EXACT('[1]DataLookUp - InternalCareer(LP)'!$B92, ""), "", '[1]DataLookUp - InternalCareer(LP)'!$B92)</f>
        <v>164000000000089</v>
      </c>
      <c r="C92" s="18" t="str">
        <f>IF(EXACT($B92, ""), "", VLOOKUP(B92, '[1]DataLookUp - InternalCareer(LP)'!$B$4:$D$620, 3, FALSE))</f>
        <v>Dadan Hermawan</v>
      </c>
      <c r="D92" s="3"/>
      <c r="E92" s="18" t="str">
        <f>IF(EXACT($D92, ""), "", VLOOKUP($D92, [2]DataLookUp!$B$4:$C$84, 2, FALSE))</f>
        <v/>
      </c>
      <c r="F92" s="3"/>
      <c r="H92" s="15">
        <f t="shared" si="3"/>
        <v>225000000000005</v>
      </c>
      <c r="I92" s="16" t="str">
        <f t="shared" si="4"/>
        <v/>
      </c>
    </row>
    <row r="93" spans="2:9" x14ac:dyDescent="0.2">
      <c r="B93" s="18">
        <f>IF(EXACT('[1]DataLookUp - InternalCareer(LP)'!$B93, ""), "", '[1]DataLookUp - InternalCareer(LP)'!$B93)</f>
        <v>164000000000090</v>
      </c>
      <c r="C93" s="18" t="str">
        <f>IF(EXACT($B93, ""), "", VLOOKUP(B93, '[1]DataLookUp - InternalCareer(LP)'!$B$4:$D$620, 3, FALSE))</f>
        <v>Dadan Suhendar</v>
      </c>
      <c r="D93" s="3"/>
      <c r="E93" s="18" t="str">
        <f>IF(EXACT($D93, ""), "", VLOOKUP($D93, [2]DataLookUp!$B$4:$C$84, 2, FALSE))</f>
        <v/>
      </c>
      <c r="F93" s="3"/>
      <c r="H93" s="15">
        <f t="shared" si="3"/>
        <v>225000000000005</v>
      </c>
      <c r="I93" s="16" t="str">
        <f t="shared" si="4"/>
        <v/>
      </c>
    </row>
    <row r="94" spans="2:9" x14ac:dyDescent="0.2">
      <c r="B94" s="18">
        <f>IF(EXACT('[1]DataLookUp - InternalCareer(LP)'!$B94, ""), "", '[1]DataLookUp - InternalCareer(LP)'!$B94)</f>
        <v>164000000000091</v>
      </c>
      <c r="C94" s="18" t="str">
        <f>IF(EXACT($B94, ""), "", VLOOKUP(B94, '[1]DataLookUp - InternalCareer(LP)'!$B$4:$D$620, 3, FALSE))</f>
        <v>Dadi Anda Zuchradi</v>
      </c>
      <c r="D94" s="3"/>
      <c r="E94" s="18" t="str">
        <f>IF(EXACT($D94, ""), "", VLOOKUP($D94, [2]DataLookUp!$B$4:$C$84, 2, FALSE))</f>
        <v/>
      </c>
      <c r="F94" s="3"/>
      <c r="H94" s="15">
        <f t="shared" si="3"/>
        <v>225000000000005</v>
      </c>
      <c r="I94" s="16" t="str">
        <f t="shared" si="4"/>
        <v/>
      </c>
    </row>
    <row r="95" spans="2:9" x14ac:dyDescent="0.2">
      <c r="B95" s="18">
        <f>IF(EXACT('[1]DataLookUp - InternalCareer(LP)'!$B95, ""), "", '[1]DataLookUp - InternalCareer(LP)'!$B95)</f>
        <v>164000000000092</v>
      </c>
      <c r="C95" s="18" t="str">
        <f>IF(EXACT($B95, ""), "", VLOOKUP(B95, '[1]DataLookUp - InternalCareer(LP)'!$B$4:$D$620, 3, FALSE))</f>
        <v>Darsito</v>
      </c>
      <c r="D95" s="3"/>
      <c r="E95" s="18" t="str">
        <f>IF(EXACT($D95, ""), "", VLOOKUP($D95, [2]DataLookUp!$B$4:$C$84, 2, FALSE))</f>
        <v/>
      </c>
      <c r="F95" s="3"/>
      <c r="H95" s="15">
        <f t="shared" si="3"/>
        <v>225000000000005</v>
      </c>
      <c r="I95" s="16" t="str">
        <f t="shared" si="4"/>
        <v/>
      </c>
    </row>
    <row r="96" spans="2:9" x14ac:dyDescent="0.2">
      <c r="B96" s="18">
        <f>IF(EXACT('[1]DataLookUp - InternalCareer(LP)'!$B96, ""), "", '[1]DataLookUp - InternalCareer(LP)'!$B96)</f>
        <v>164000000000093</v>
      </c>
      <c r="C96" s="18" t="str">
        <f>IF(EXACT($B96, ""), "", VLOOKUP(B96, '[1]DataLookUp - InternalCareer(LP)'!$B$4:$D$620, 3, FALSE))</f>
        <v>Davit Lumban Gaol</v>
      </c>
      <c r="D96" s="3"/>
      <c r="E96" s="18" t="str">
        <f>IF(EXACT($D96, ""), "", VLOOKUP($D96, [2]DataLookUp!$B$4:$C$84, 2, FALSE))</f>
        <v/>
      </c>
      <c r="F96" s="3"/>
      <c r="H96" s="15">
        <f t="shared" si="3"/>
        <v>225000000000005</v>
      </c>
      <c r="I96" s="16" t="str">
        <f t="shared" si="4"/>
        <v/>
      </c>
    </row>
    <row r="97" spans="2:9" x14ac:dyDescent="0.2">
      <c r="B97" s="18">
        <f>IF(EXACT('[1]DataLookUp - InternalCareer(LP)'!$B97, ""), "", '[1]DataLookUp - InternalCareer(LP)'!$B97)</f>
        <v>164000000000094</v>
      </c>
      <c r="C97" s="18" t="str">
        <f>IF(EXACT($B97, ""), "", VLOOKUP(B97, '[1]DataLookUp - InternalCareer(LP)'!$B$4:$D$620, 3, FALSE))</f>
        <v>Deddy Rochman</v>
      </c>
      <c r="D97" s="3"/>
      <c r="E97" s="18" t="str">
        <f>IF(EXACT($D97, ""), "", VLOOKUP($D97, [2]DataLookUp!$B$4:$C$84, 2, FALSE))</f>
        <v/>
      </c>
      <c r="F97" s="3"/>
      <c r="H97" s="15">
        <f t="shared" si="3"/>
        <v>225000000000005</v>
      </c>
      <c r="I97" s="16" t="str">
        <f t="shared" si="4"/>
        <v/>
      </c>
    </row>
    <row r="98" spans="2:9" x14ac:dyDescent="0.2">
      <c r="B98" s="18">
        <f>IF(EXACT('[1]DataLookUp - InternalCareer(LP)'!$B98, ""), "", '[1]DataLookUp - InternalCareer(LP)'!$B98)</f>
        <v>164000000000095</v>
      </c>
      <c r="C98" s="18" t="str">
        <f>IF(EXACT($B98, ""), "", VLOOKUP(B98, '[1]DataLookUp - InternalCareer(LP)'!$B$4:$D$620, 3, FALSE))</f>
        <v>Dedi Kusnadi</v>
      </c>
      <c r="D98" s="3"/>
      <c r="E98" s="18" t="str">
        <f>IF(EXACT($D98, ""), "", VLOOKUP($D98, [2]DataLookUp!$B$4:$C$84, 2, FALSE))</f>
        <v/>
      </c>
      <c r="F98" s="3"/>
      <c r="H98" s="15">
        <f t="shared" si="3"/>
        <v>225000000000005</v>
      </c>
      <c r="I98" s="16" t="str">
        <f t="shared" si="4"/>
        <v/>
      </c>
    </row>
    <row r="99" spans="2:9" x14ac:dyDescent="0.2">
      <c r="B99" s="18">
        <f>IF(EXACT('[1]DataLookUp - InternalCareer(LP)'!$B99, ""), "", '[1]DataLookUp - InternalCareer(LP)'!$B99)</f>
        <v>164000000000096</v>
      </c>
      <c r="C99" s="18" t="str">
        <f>IF(EXACT($B99, ""), "", VLOOKUP(B99, '[1]DataLookUp - InternalCareer(LP)'!$B$4:$D$620, 3, FALSE))</f>
        <v>Dedi Marciano Rizanur</v>
      </c>
      <c r="D99" s="3"/>
      <c r="E99" s="18" t="str">
        <f>IF(EXACT($D99, ""), "", VLOOKUP($D99, [2]DataLookUp!$B$4:$C$84, 2, FALSE))</f>
        <v/>
      </c>
      <c r="F99" s="3"/>
      <c r="H99" s="15">
        <f t="shared" si="3"/>
        <v>225000000000005</v>
      </c>
      <c r="I99" s="16" t="str">
        <f t="shared" si="4"/>
        <v/>
      </c>
    </row>
    <row r="100" spans="2:9" x14ac:dyDescent="0.2">
      <c r="B100" s="18">
        <f>IF(EXACT('[1]DataLookUp - InternalCareer(LP)'!$B100, ""), "", '[1]DataLookUp - InternalCareer(LP)'!$B100)</f>
        <v>164000000000097</v>
      </c>
      <c r="C100" s="18" t="str">
        <f>IF(EXACT($B100, ""), "", VLOOKUP(B100, '[1]DataLookUp - InternalCareer(LP)'!$B$4:$D$620, 3, FALSE))</f>
        <v>Dedi Rianto</v>
      </c>
      <c r="D100" s="3"/>
      <c r="E100" s="18" t="str">
        <f>IF(EXACT($D100, ""), "", VLOOKUP($D100, [2]DataLookUp!$B$4:$C$84, 2, FALSE))</f>
        <v/>
      </c>
      <c r="F100" s="3"/>
      <c r="H100" s="15">
        <f t="shared" si="3"/>
        <v>225000000000005</v>
      </c>
      <c r="I100" s="16" t="str">
        <f t="shared" si="4"/>
        <v/>
      </c>
    </row>
    <row r="101" spans="2:9" x14ac:dyDescent="0.2">
      <c r="B101" s="18">
        <f>IF(EXACT('[1]DataLookUp - InternalCareer(LP)'!$B101, ""), "", '[1]DataLookUp - InternalCareer(LP)'!$B101)</f>
        <v>164000000000098</v>
      </c>
      <c r="C101" s="18" t="str">
        <f>IF(EXACT($B101, ""), "", VLOOKUP(B101, '[1]DataLookUp - InternalCareer(LP)'!$B$4:$D$620, 3, FALSE))</f>
        <v>Dedi Syahputra</v>
      </c>
      <c r="D101" s="3"/>
      <c r="E101" s="18" t="str">
        <f>IF(EXACT($D101, ""), "", VLOOKUP($D101, [2]DataLookUp!$B$4:$C$84, 2, FALSE))</f>
        <v/>
      </c>
      <c r="F101" s="3"/>
      <c r="H101" s="15">
        <f t="shared" si="3"/>
        <v>225000000000005</v>
      </c>
      <c r="I101" s="16" t="str">
        <f t="shared" si="4"/>
        <v/>
      </c>
    </row>
    <row r="102" spans="2:9" x14ac:dyDescent="0.2">
      <c r="B102" s="18">
        <f>IF(EXACT('[1]DataLookUp - InternalCareer(LP)'!$B102, ""), "", '[1]DataLookUp - InternalCareer(LP)'!$B102)</f>
        <v>164000000000099</v>
      </c>
      <c r="C102" s="18" t="str">
        <f>IF(EXACT($B102, ""), "", VLOOKUP(B102, '[1]DataLookUp - InternalCareer(LP)'!$B$4:$D$620, 3, FALSE))</f>
        <v>Deni Setiawan</v>
      </c>
      <c r="D102" s="3"/>
      <c r="E102" s="18" t="str">
        <f>IF(EXACT($D102, ""), "", VLOOKUP($D102, [2]DataLookUp!$B$4:$C$84, 2, FALSE))</f>
        <v/>
      </c>
      <c r="F102" s="3"/>
      <c r="H102" s="15">
        <f t="shared" si="3"/>
        <v>225000000000005</v>
      </c>
      <c r="I102" s="16" t="str">
        <f t="shared" si="4"/>
        <v/>
      </c>
    </row>
    <row r="103" spans="2:9" x14ac:dyDescent="0.2">
      <c r="B103" s="18">
        <f>IF(EXACT('[1]DataLookUp - InternalCareer(LP)'!$B103, ""), "", '[1]DataLookUp - InternalCareer(LP)'!$B103)</f>
        <v>164000000000100</v>
      </c>
      <c r="C103" s="18" t="str">
        <f>IF(EXACT($B103, ""), "", VLOOKUP(B103, '[1]DataLookUp - InternalCareer(LP)'!$B$4:$D$620, 3, FALSE))</f>
        <v>Deny Adi Purnama</v>
      </c>
      <c r="D103" s="3">
        <f>[2]MAIN!$D$38</f>
        <v>95000000000029</v>
      </c>
      <c r="E103" s="18" t="str">
        <f>IF(EXACT($D103, ""), "", VLOOKUP($D103, [2]DataLookUp!$B$4:$C$84, 2, FALSE))</f>
        <v>Cashier &amp; Treasury Staff</v>
      </c>
      <c r="F103" s="3"/>
      <c r="H103" s="15">
        <f t="shared" si="3"/>
        <v>225000000000006</v>
      </c>
      <c r="I103" s="16" t="str">
        <f t="shared" si="4"/>
        <v>PERFORM "SchData-OLTP-HumanResource"."Func_TblMapper_WorkerCareerInternalToUserRole_SET"(varSystemLoginSession, null::bigint, null::varchar, null::timestamptz, null::timestamptz, null::varchar, varInstitutionBranchID, varBaseCurrencyID, 164000000000100::bigint, 95000000000029::bigint, null::bigint);</v>
      </c>
    </row>
    <row r="104" spans="2:9" x14ac:dyDescent="0.2">
      <c r="B104" s="18">
        <f>IF(EXACT('[1]DataLookUp - InternalCareer(LP)'!$B104, ""), "", '[1]DataLookUp - InternalCareer(LP)'!$B104)</f>
        <v>164000000000101</v>
      </c>
      <c r="C104" s="18" t="str">
        <f>IF(EXACT($B104, ""), "", VLOOKUP(B104, '[1]DataLookUp - InternalCareer(LP)'!$B$4:$D$620, 3, FALSE))</f>
        <v>Desi Herawati</v>
      </c>
      <c r="D104" s="3"/>
      <c r="E104" s="18" t="str">
        <f>IF(EXACT($D104, ""), "", VLOOKUP($D104, [2]DataLookUp!$B$4:$C$84, 2, FALSE))</f>
        <v/>
      </c>
      <c r="F104" s="3"/>
      <c r="H104" s="15">
        <f t="shared" si="3"/>
        <v>225000000000006</v>
      </c>
      <c r="I104" s="16" t="str">
        <f t="shared" si="4"/>
        <v/>
      </c>
    </row>
    <row r="105" spans="2:9" x14ac:dyDescent="0.2">
      <c r="B105" s="18">
        <f>IF(EXACT('[1]DataLookUp - InternalCareer(LP)'!$B105, ""), "", '[1]DataLookUp - InternalCareer(LP)'!$B105)</f>
        <v>164000000000102</v>
      </c>
      <c r="C105" s="18" t="str">
        <f>IF(EXACT($B105, ""), "", VLOOKUP(B105, '[1]DataLookUp - InternalCareer(LP)'!$B$4:$D$620, 3, FALSE))</f>
        <v>Desi Setiowati</v>
      </c>
      <c r="D105" s="3"/>
      <c r="E105" s="18" t="str">
        <f>IF(EXACT($D105, ""), "", VLOOKUP($D105, [2]DataLookUp!$B$4:$C$84, 2, FALSE))</f>
        <v/>
      </c>
      <c r="F105" s="3"/>
      <c r="H105" s="15">
        <f t="shared" si="3"/>
        <v>225000000000006</v>
      </c>
      <c r="I105" s="16" t="str">
        <f t="shared" si="4"/>
        <v/>
      </c>
    </row>
    <row r="106" spans="2:9" x14ac:dyDescent="0.2">
      <c r="B106" s="18">
        <f>IF(EXACT('[1]DataLookUp - InternalCareer(LP)'!$B106, ""), "", '[1]DataLookUp - InternalCareer(LP)'!$B106)</f>
        <v>164000000000103</v>
      </c>
      <c r="C106" s="18" t="str">
        <f>IF(EXACT($B106, ""), "", VLOOKUP(B106, '[1]DataLookUp - InternalCareer(LP)'!$B$4:$D$620, 3, FALSE))</f>
        <v>Dian Firdaus</v>
      </c>
      <c r="D106" s="3"/>
      <c r="E106" s="18" t="str">
        <f>IF(EXACT($D106, ""), "", VLOOKUP($D106, [2]DataLookUp!$B$4:$C$84, 2, FALSE))</f>
        <v/>
      </c>
      <c r="F106" s="3"/>
      <c r="H106" s="15">
        <f t="shared" si="3"/>
        <v>225000000000006</v>
      </c>
      <c r="I106" s="16" t="str">
        <f t="shared" si="4"/>
        <v/>
      </c>
    </row>
    <row r="107" spans="2:9" x14ac:dyDescent="0.2">
      <c r="B107" s="18">
        <f>IF(EXACT('[1]DataLookUp - InternalCareer(LP)'!$B107, ""), "", '[1]DataLookUp - InternalCareer(LP)'!$B107)</f>
        <v>164000000000104</v>
      </c>
      <c r="C107" s="18" t="str">
        <f>IF(EXACT($B107, ""), "", VLOOKUP(B107, '[1]DataLookUp - InternalCareer(LP)'!$B$4:$D$620, 3, FALSE))</f>
        <v>Dian Hariyana</v>
      </c>
      <c r="D107" s="3"/>
      <c r="E107" s="18" t="str">
        <f>IF(EXACT($D107, ""), "", VLOOKUP($D107, [2]DataLookUp!$B$4:$C$84, 2, FALSE))</f>
        <v/>
      </c>
      <c r="F107" s="3"/>
      <c r="H107" s="15">
        <f t="shared" si="3"/>
        <v>225000000000006</v>
      </c>
      <c r="I107" s="16" t="str">
        <f t="shared" si="4"/>
        <v/>
      </c>
    </row>
    <row r="108" spans="2:9" x14ac:dyDescent="0.2">
      <c r="B108" s="18">
        <f>IF(EXACT('[1]DataLookUp - InternalCareer(LP)'!$B108, ""), "", '[1]DataLookUp - InternalCareer(LP)'!$B108)</f>
        <v>164000000000105</v>
      </c>
      <c r="C108" s="18" t="str">
        <f>IF(EXACT($B108, ""), "", VLOOKUP(B108, '[1]DataLookUp - InternalCareer(LP)'!$B$4:$D$620, 3, FALSE))</f>
        <v>Dinnar Budiarti</v>
      </c>
      <c r="D108" s="3"/>
      <c r="E108" s="18" t="str">
        <f>IF(EXACT($D108, ""), "", VLOOKUP($D108, [2]DataLookUp!$B$4:$C$84, 2, FALSE))</f>
        <v/>
      </c>
      <c r="F108" s="3"/>
      <c r="H108" s="15">
        <f t="shared" si="3"/>
        <v>225000000000006</v>
      </c>
      <c r="I108" s="16" t="str">
        <f t="shared" si="4"/>
        <v/>
      </c>
    </row>
    <row r="109" spans="2:9" x14ac:dyDescent="0.2">
      <c r="B109" s="18">
        <f>IF(EXACT('[1]DataLookUp - InternalCareer(LP)'!$B109, ""), "", '[1]DataLookUp - InternalCareer(LP)'!$B109)</f>
        <v>164000000000106</v>
      </c>
      <c r="C109" s="18" t="str">
        <f>IF(EXACT($B109, ""), "", VLOOKUP(B109, '[1]DataLookUp - InternalCareer(LP)'!$B$4:$D$620, 3, FALSE))</f>
        <v>Dionesius Sostenist Duka</v>
      </c>
      <c r="D109" s="3"/>
      <c r="E109" s="18" t="str">
        <f>IF(EXACT($D109, ""), "", VLOOKUP($D109, [2]DataLookUp!$B$4:$C$84, 2, FALSE))</f>
        <v/>
      </c>
      <c r="F109" s="3"/>
      <c r="H109" s="15">
        <f t="shared" si="3"/>
        <v>225000000000006</v>
      </c>
      <c r="I109" s="16" t="str">
        <f t="shared" si="4"/>
        <v/>
      </c>
    </row>
    <row r="110" spans="2:9" x14ac:dyDescent="0.2">
      <c r="B110" s="18">
        <f>IF(EXACT('[1]DataLookUp - InternalCareer(LP)'!$B110, ""), "", '[1]DataLookUp - InternalCareer(LP)'!$B110)</f>
        <v>164000000000107</v>
      </c>
      <c r="C110" s="18" t="str">
        <f>IF(EXACT($B110, ""), "", VLOOKUP(B110, '[1]DataLookUp - InternalCareer(LP)'!$B$4:$D$620, 3, FALSE))</f>
        <v>Diyah Martina</v>
      </c>
      <c r="D110" s="3"/>
      <c r="E110" s="18" t="str">
        <f>IF(EXACT($D110, ""), "", VLOOKUP($D110, [2]DataLookUp!$B$4:$C$84, 2, FALSE))</f>
        <v/>
      </c>
      <c r="F110" s="3"/>
      <c r="H110" s="15">
        <f t="shared" si="3"/>
        <v>225000000000006</v>
      </c>
      <c r="I110" s="16" t="str">
        <f t="shared" si="4"/>
        <v/>
      </c>
    </row>
    <row r="111" spans="2:9" x14ac:dyDescent="0.2">
      <c r="B111" s="18">
        <f>IF(EXACT('[1]DataLookUp - InternalCareer(LP)'!$B111, ""), "", '[1]DataLookUp - InternalCareer(LP)'!$B111)</f>
        <v>164000000000108</v>
      </c>
      <c r="C111" s="18" t="str">
        <f>IF(EXACT($B111, ""), "", VLOOKUP(B111, '[1]DataLookUp - InternalCareer(LP)'!$B$4:$D$620, 3, FALSE))</f>
        <v>Djuang Tampubolon</v>
      </c>
      <c r="D111" s="3"/>
      <c r="E111" s="18" t="str">
        <f>IF(EXACT($D111, ""), "", VLOOKUP($D111, [2]DataLookUp!$B$4:$C$84, 2, FALSE))</f>
        <v/>
      </c>
      <c r="F111" s="3"/>
      <c r="H111" s="15">
        <f t="shared" si="3"/>
        <v>225000000000006</v>
      </c>
      <c r="I111" s="16" t="str">
        <f t="shared" si="4"/>
        <v/>
      </c>
    </row>
    <row r="112" spans="2:9" x14ac:dyDescent="0.2">
      <c r="B112" s="18">
        <f>IF(EXACT('[1]DataLookUp - InternalCareer(LP)'!$B112, ""), "", '[1]DataLookUp - InternalCareer(LP)'!$B112)</f>
        <v>164000000000109</v>
      </c>
      <c r="C112" s="18" t="str">
        <f>IF(EXACT($B112, ""), "", VLOOKUP(B112, '[1]DataLookUp - InternalCareer(LP)'!$B$4:$D$620, 3, FALSE))</f>
        <v>Dodit Widiarto</v>
      </c>
      <c r="D112" s="3"/>
      <c r="E112" s="18" t="str">
        <f>IF(EXACT($D112, ""), "", VLOOKUP($D112, [2]DataLookUp!$B$4:$C$84, 2, FALSE))</f>
        <v/>
      </c>
      <c r="F112" s="3"/>
      <c r="H112" s="15">
        <f t="shared" si="3"/>
        <v>225000000000006</v>
      </c>
      <c r="I112" s="16" t="str">
        <f t="shared" si="4"/>
        <v/>
      </c>
    </row>
    <row r="113" spans="2:9" x14ac:dyDescent="0.2">
      <c r="B113" s="18">
        <f>IF(EXACT('[1]DataLookUp - InternalCareer(LP)'!$B113, ""), "", '[1]DataLookUp - InternalCareer(LP)'!$B113)</f>
        <v>164000000000110</v>
      </c>
      <c r="C113" s="18" t="str">
        <f>IF(EXACT($B113, ""), "", VLOOKUP(B113, '[1]DataLookUp - InternalCareer(LP)'!$B$4:$D$620, 3, FALSE))</f>
        <v>Dony Darmawan</v>
      </c>
      <c r="D113" s="3"/>
      <c r="E113" s="18" t="str">
        <f>IF(EXACT($D113, ""), "", VLOOKUP($D113, [2]DataLookUp!$B$4:$C$84, 2, FALSE))</f>
        <v/>
      </c>
      <c r="F113" s="3"/>
      <c r="H113" s="15">
        <f t="shared" si="3"/>
        <v>225000000000006</v>
      </c>
      <c r="I113" s="16" t="str">
        <f t="shared" si="4"/>
        <v/>
      </c>
    </row>
    <row r="114" spans="2:9" x14ac:dyDescent="0.2">
      <c r="B114" s="18">
        <f>IF(EXACT('[1]DataLookUp - InternalCareer(LP)'!$B114, ""), "", '[1]DataLookUp - InternalCareer(LP)'!$B114)</f>
        <v>164000000000111</v>
      </c>
      <c r="C114" s="18" t="str">
        <f>IF(EXACT($B114, ""), "", VLOOKUP(B114, '[1]DataLookUp - InternalCareer(LP)'!$B$4:$D$620, 3, FALSE))</f>
        <v>Dony Setiawan</v>
      </c>
      <c r="D114" s="3"/>
      <c r="E114" s="18" t="str">
        <f>IF(EXACT($D114, ""), "", VLOOKUP($D114, [2]DataLookUp!$B$4:$C$84, 2, FALSE))</f>
        <v/>
      </c>
      <c r="F114" s="3"/>
      <c r="H114" s="15">
        <f t="shared" si="3"/>
        <v>225000000000006</v>
      </c>
      <c r="I114" s="16" t="str">
        <f t="shared" si="4"/>
        <v/>
      </c>
    </row>
    <row r="115" spans="2:9" x14ac:dyDescent="0.2">
      <c r="B115" s="18">
        <f>IF(EXACT('[1]DataLookUp - InternalCareer(LP)'!$B115, ""), "", '[1]DataLookUp - InternalCareer(LP)'!$B115)</f>
        <v>164000000000112</v>
      </c>
      <c r="C115" s="18" t="str">
        <f>IF(EXACT($B115, ""), "", VLOOKUP(B115, '[1]DataLookUp - InternalCareer(LP)'!$B$4:$D$620, 3, FALSE))</f>
        <v>Dudi Rustandi</v>
      </c>
      <c r="D115" s="3"/>
      <c r="E115" s="18" t="str">
        <f>IF(EXACT($D115, ""), "", VLOOKUP($D115, [2]DataLookUp!$B$4:$C$84, 2, FALSE))</f>
        <v/>
      </c>
      <c r="F115" s="3"/>
      <c r="H115" s="15">
        <f t="shared" si="3"/>
        <v>225000000000006</v>
      </c>
      <c r="I115" s="16" t="str">
        <f t="shared" si="4"/>
        <v/>
      </c>
    </row>
    <row r="116" spans="2:9" x14ac:dyDescent="0.2">
      <c r="B116" s="18">
        <f>IF(EXACT('[1]DataLookUp - InternalCareer(LP)'!$B116, ""), "", '[1]DataLookUp - InternalCareer(LP)'!$B116)</f>
        <v>164000000000113</v>
      </c>
      <c r="C116" s="18" t="str">
        <f>IF(EXACT($B116, ""), "", VLOOKUP(B116, '[1]DataLookUp - InternalCareer(LP)'!$B$4:$D$620, 3, FALSE))</f>
        <v>Dudung</v>
      </c>
      <c r="D116" s="3"/>
      <c r="E116" s="18" t="str">
        <f>IF(EXACT($D116, ""), "", VLOOKUP($D116, [2]DataLookUp!$B$4:$C$84, 2, FALSE))</f>
        <v/>
      </c>
      <c r="F116" s="3"/>
      <c r="H116" s="15">
        <f t="shared" si="3"/>
        <v>225000000000006</v>
      </c>
      <c r="I116" s="16" t="str">
        <f t="shared" si="4"/>
        <v/>
      </c>
    </row>
    <row r="117" spans="2:9" x14ac:dyDescent="0.2">
      <c r="B117" s="18">
        <f>IF(EXACT('[1]DataLookUp - InternalCareer(LP)'!$B117, ""), "", '[1]DataLookUp - InternalCareer(LP)'!$B117)</f>
        <v>164000000000114</v>
      </c>
      <c r="C117" s="18" t="str">
        <f>IF(EXACT($B117, ""), "", VLOOKUP(B117, '[1]DataLookUp - InternalCareer(LP)'!$B$4:$D$620, 3, FALSE))</f>
        <v>Dwi Joko Setio Tjaroko</v>
      </c>
      <c r="D117" s="3"/>
      <c r="E117" s="18" t="str">
        <f>IF(EXACT($D117, ""), "", VLOOKUP($D117, [2]DataLookUp!$B$4:$C$84, 2, FALSE))</f>
        <v/>
      </c>
      <c r="F117" s="3"/>
      <c r="H117" s="15">
        <f t="shared" si="3"/>
        <v>225000000000006</v>
      </c>
      <c r="I117" s="16" t="str">
        <f t="shared" si="4"/>
        <v/>
      </c>
    </row>
    <row r="118" spans="2:9" x14ac:dyDescent="0.2">
      <c r="B118" s="18">
        <f>IF(EXACT('[1]DataLookUp - InternalCareer(LP)'!$B118, ""), "", '[1]DataLookUp - InternalCareer(LP)'!$B118)</f>
        <v>164000000000115</v>
      </c>
      <c r="C118" s="18" t="str">
        <f>IF(EXACT($B118, ""), "", VLOOKUP(B118, '[1]DataLookUp - InternalCareer(LP)'!$B$4:$D$620, 3, FALSE))</f>
        <v>Dwinanto Prabowo</v>
      </c>
      <c r="D118" s="3"/>
      <c r="E118" s="18" t="str">
        <f>IF(EXACT($D118, ""), "", VLOOKUP($D118, [2]DataLookUp!$B$4:$C$84, 2, FALSE))</f>
        <v/>
      </c>
      <c r="F118" s="3"/>
      <c r="H118" s="15">
        <f t="shared" si="3"/>
        <v>225000000000006</v>
      </c>
      <c r="I118" s="16" t="str">
        <f t="shared" si="4"/>
        <v/>
      </c>
    </row>
    <row r="119" spans="2:9" x14ac:dyDescent="0.2">
      <c r="B119" s="18">
        <f>IF(EXACT('[1]DataLookUp - InternalCareer(LP)'!$B119, ""), "", '[1]DataLookUp - InternalCareer(LP)'!$B119)</f>
        <v>164000000000116</v>
      </c>
      <c r="C119" s="18" t="str">
        <f>IF(EXACT($B119, ""), "", VLOOKUP(B119, '[1]DataLookUp - InternalCareer(LP)'!$B$4:$D$620, 3, FALSE))</f>
        <v>Edi Waluyo</v>
      </c>
      <c r="D119" s="3"/>
      <c r="E119" s="18" t="str">
        <f>IF(EXACT($D119, ""), "", VLOOKUP($D119, [2]DataLookUp!$B$4:$C$84, 2, FALSE))</f>
        <v/>
      </c>
      <c r="F119" s="3"/>
      <c r="H119" s="15">
        <f t="shared" si="3"/>
        <v>225000000000006</v>
      </c>
      <c r="I119" s="16" t="str">
        <f t="shared" si="4"/>
        <v/>
      </c>
    </row>
    <row r="120" spans="2:9" x14ac:dyDescent="0.2">
      <c r="B120" s="18">
        <f>IF(EXACT('[1]DataLookUp - InternalCareer(LP)'!$B120, ""), "", '[1]DataLookUp - InternalCareer(LP)'!$B120)</f>
        <v>164000000000117</v>
      </c>
      <c r="C120" s="18" t="str">
        <f>IF(EXACT($B120, ""), "", VLOOKUP(B120, '[1]DataLookUp - InternalCareer(LP)'!$B$4:$D$620, 3, FALSE))</f>
        <v>Edi Siswanto</v>
      </c>
      <c r="D120" s="3"/>
      <c r="E120" s="18" t="str">
        <f>IF(EXACT($D120, ""), "", VLOOKUP($D120, [2]DataLookUp!$B$4:$C$84, 2, FALSE))</f>
        <v/>
      </c>
      <c r="F120" s="3"/>
      <c r="H120" s="15">
        <f t="shared" si="3"/>
        <v>225000000000006</v>
      </c>
      <c r="I120" s="16" t="str">
        <f t="shared" si="4"/>
        <v/>
      </c>
    </row>
    <row r="121" spans="2:9" x14ac:dyDescent="0.2">
      <c r="B121" s="18">
        <f>IF(EXACT('[1]DataLookUp - InternalCareer(LP)'!$B121, ""), "", '[1]DataLookUp - InternalCareer(LP)'!$B121)</f>
        <v>164000000000118</v>
      </c>
      <c r="C121" s="18" t="str">
        <f>IF(EXACT($B121, ""), "", VLOOKUP(B121, '[1]DataLookUp - InternalCareer(LP)'!$B$4:$D$620, 3, FALSE))</f>
        <v>Edi Turnip</v>
      </c>
      <c r="D121" s="3"/>
      <c r="E121" s="18" t="str">
        <f>IF(EXACT($D121, ""), "", VLOOKUP($D121, [2]DataLookUp!$B$4:$C$84, 2, FALSE))</f>
        <v/>
      </c>
      <c r="F121" s="3"/>
      <c r="H121" s="15">
        <f t="shared" si="3"/>
        <v>225000000000006</v>
      </c>
      <c r="I121" s="16" t="str">
        <f t="shared" si="4"/>
        <v/>
      </c>
    </row>
    <row r="122" spans="2:9" x14ac:dyDescent="0.2">
      <c r="B122" s="18">
        <f>IF(EXACT('[1]DataLookUp - InternalCareer(LP)'!$B122, ""), "", '[1]DataLookUp - InternalCareer(LP)'!$B122)</f>
        <v>164000000000119</v>
      </c>
      <c r="C122" s="18" t="str">
        <f>IF(EXACT($B122, ""), "", VLOOKUP(B122, '[1]DataLookUp - InternalCareer(LP)'!$B$4:$D$620, 3, FALSE))</f>
        <v>Edy Putra Waskita</v>
      </c>
      <c r="D122" s="3"/>
      <c r="E122" s="18" t="str">
        <f>IF(EXACT($D122, ""), "", VLOOKUP($D122, [2]DataLookUp!$B$4:$C$84, 2, FALSE))</f>
        <v/>
      </c>
      <c r="F122" s="3"/>
      <c r="H122" s="15">
        <f t="shared" si="3"/>
        <v>225000000000006</v>
      </c>
      <c r="I122" s="16" t="str">
        <f t="shared" si="4"/>
        <v/>
      </c>
    </row>
    <row r="123" spans="2:9" x14ac:dyDescent="0.2">
      <c r="B123" s="18">
        <f>IF(EXACT('[1]DataLookUp - InternalCareer(LP)'!$B123, ""), "", '[1]DataLookUp - InternalCareer(LP)'!$B123)</f>
        <v>164000000000120</v>
      </c>
      <c r="C123" s="18" t="str">
        <f>IF(EXACT($B123, ""), "", VLOOKUP(B123, '[1]DataLookUp - InternalCareer(LP)'!$B$4:$D$620, 3, FALSE))</f>
        <v>Edy Syahputra Situmeang</v>
      </c>
      <c r="D123" s="3"/>
      <c r="E123" s="18" t="str">
        <f>IF(EXACT($D123, ""), "", VLOOKUP($D123, [2]DataLookUp!$B$4:$C$84, 2, FALSE))</f>
        <v/>
      </c>
      <c r="F123" s="3"/>
      <c r="H123" s="15">
        <f t="shared" si="3"/>
        <v>225000000000006</v>
      </c>
      <c r="I123" s="16" t="str">
        <f t="shared" si="4"/>
        <v/>
      </c>
    </row>
    <row r="124" spans="2:9" x14ac:dyDescent="0.2">
      <c r="B124" s="18">
        <f>IF(EXACT('[1]DataLookUp - InternalCareer(LP)'!$B124, ""), "", '[1]DataLookUp - InternalCareer(LP)'!$B124)</f>
        <v>164000000000121</v>
      </c>
      <c r="C124" s="18" t="str">
        <f>IF(EXACT($B124, ""), "", VLOOKUP(B124, '[1]DataLookUp - InternalCareer(LP)'!$B$4:$D$620, 3, FALSE))</f>
        <v>Effendi fendi</v>
      </c>
      <c r="D124" s="3"/>
      <c r="E124" s="18" t="str">
        <f>IF(EXACT($D124, ""), "", VLOOKUP($D124, [2]DataLookUp!$B$4:$C$84, 2, FALSE))</f>
        <v/>
      </c>
      <c r="F124" s="3"/>
      <c r="H124" s="15">
        <f t="shared" si="3"/>
        <v>225000000000006</v>
      </c>
      <c r="I124" s="16" t="str">
        <f t="shared" si="4"/>
        <v/>
      </c>
    </row>
    <row r="125" spans="2:9" x14ac:dyDescent="0.2">
      <c r="B125" s="18">
        <f>IF(EXACT('[1]DataLookUp - InternalCareer(LP)'!$B125, ""), "", '[1]DataLookUp - InternalCareer(LP)'!$B125)</f>
        <v>164000000000122</v>
      </c>
      <c r="C125" s="18" t="str">
        <f>IF(EXACT($B125, ""), "", VLOOKUP(B125, '[1]DataLookUp - InternalCareer(LP)'!$B$4:$D$620, 3, FALSE))</f>
        <v>Efrina Dwililia</v>
      </c>
      <c r="D125" s="3"/>
      <c r="E125" s="18" t="str">
        <f>IF(EXACT($D125, ""), "", VLOOKUP($D125, [2]DataLookUp!$B$4:$C$84, 2, FALSE))</f>
        <v/>
      </c>
      <c r="F125" s="3"/>
      <c r="H125" s="15">
        <f t="shared" si="3"/>
        <v>225000000000006</v>
      </c>
      <c r="I125" s="16" t="str">
        <f t="shared" si="4"/>
        <v/>
      </c>
    </row>
    <row r="126" spans="2:9" x14ac:dyDescent="0.2">
      <c r="B126" s="18">
        <f>IF(EXACT('[1]DataLookUp - InternalCareer(LP)'!$B126, ""), "", '[1]DataLookUp - InternalCareer(LP)'!$B126)</f>
        <v>164000000000123</v>
      </c>
      <c r="C126" s="18" t="str">
        <f>IF(EXACT($B126, ""), "", VLOOKUP(B126, '[1]DataLookUp - InternalCareer(LP)'!$B$4:$D$620, 3, FALSE))</f>
        <v>Eka Bagus Dwi Putra</v>
      </c>
      <c r="D126" s="3">
        <f>[2]MAIN!$D$32</f>
        <v>95000000000024</v>
      </c>
      <c r="E126" s="18" t="str">
        <f>IF(EXACT($D126, ""), "", VLOOKUP($D126, [2]DataLookUp!$B$4:$C$84, 2, FALSE))</f>
        <v>Project Administrator Staff</v>
      </c>
      <c r="F126" s="3"/>
      <c r="H126" s="15">
        <f t="shared" si="3"/>
        <v>225000000000007</v>
      </c>
      <c r="I126" s="16" t="str">
        <f t="shared" si="4"/>
        <v>PERFORM "SchData-OLTP-HumanResource"."Func_TblMapper_WorkerCareerInternalToUserRole_SET"(varSystemLoginSession, null::bigint, null::varchar, null::timestamptz, null::timestamptz, null::varchar, varInstitutionBranchID, varBaseCurrencyID, 164000000000123::bigint, 95000000000024::bigint, null::bigint);</v>
      </c>
    </row>
    <row r="127" spans="2:9" x14ac:dyDescent="0.2">
      <c r="B127" s="18">
        <f>IF(EXACT('[1]DataLookUp - InternalCareer(LP)'!$B127, ""), "", '[1]DataLookUp - InternalCareer(LP)'!$B127)</f>
        <v>164000000000124</v>
      </c>
      <c r="C127" s="18" t="str">
        <f>IF(EXACT($B127, ""), "", VLOOKUP(B127, '[1]DataLookUp - InternalCareer(LP)'!$B$4:$D$620, 3, FALSE))</f>
        <v>Eka Hamidah</v>
      </c>
      <c r="D127" s="3"/>
      <c r="E127" s="18" t="str">
        <f>IF(EXACT($D127, ""), "", VLOOKUP($D127, [2]DataLookUp!$B$4:$C$84, 2, FALSE))</f>
        <v/>
      </c>
      <c r="F127" s="3"/>
      <c r="H127" s="15">
        <f t="shared" si="3"/>
        <v>225000000000007</v>
      </c>
      <c r="I127" s="16" t="str">
        <f t="shared" si="4"/>
        <v/>
      </c>
    </row>
    <row r="128" spans="2:9" x14ac:dyDescent="0.2">
      <c r="B128" s="18">
        <f>IF(EXACT('[1]DataLookUp - InternalCareer(LP)'!$B128, ""), "", '[1]DataLookUp - InternalCareer(LP)'!$B128)</f>
        <v>164000000000125</v>
      </c>
      <c r="C128" s="18" t="str">
        <f>IF(EXACT($B128, ""), "", VLOOKUP(B128, '[1]DataLookUp - InternalCareer(LP)'!$B$4:$D$620, 3, FALSE))</f>
        <v>Eka Purwanti</v>
      </c>
      <c r="D128" s="3">
        <f>[2]MAIN!$D$32</f>
        <v>95000000000024</v>
      </c>
      <c r="E128" s="18" t="str">
        <f>IF(EXACT($D128, ""), "", VLOOKUP($D128, [2]DataLookUp!$B$4:$C$84, 2, FALSE))</f>
        <v>Project Administrator Staff</v>
      </c>
      <c r="F128" s="3">
        <v>46000000000009</v>
      </c>
      <c r="H128" s="15">
        <f t="shared" si="3"/>
        <v>225000000000008</v>
      </c>
      <c r="I128" s="16" t="str">
        <f t="shared" si="4"/>
        <v>PERFORM "SchData-OLTP-HumanResource"."Func_TblMapper_WorkerCareerInternalToUserRole_SET"(varSystemLoginSession, null::bigint, null::varchar, null::timestamptz, null::timestamptz, null::varchar, varInstitutionBranchID, varBaseCurrencyID, 164000000000125::bigint, 95000000000024::bigint, 46000000000009::bigint);</v>
      </c>
    </row>
    <row r="129" spans="2:9" x14ac:dyDescent="0.2">
      <c r="B129" s="18">
        <f>IF(EXACT('[1]DataLookUp - InternalCareer(LP)'!$B129, ""), "", '[1]DataLookUp - InternalCareer(LP)'!$B129)</f>
        <v>164000000000126</v>
      </c>
      <c r="C129" s="18" t="str">
        <f>IF(EXACT($B129, ""), "", VLOOKUP(B129, '[1]DataLookUp - InternalCareer(LP)'!$B$4:$D$620, 3, FALSE))</f>
        <v>Eka Kurniawan Hidayatullah</v>
      </c>
      <c r="D129" s="3">
        <v>95000000000041</v>
      </c>
      <c r="E129" s="18" t="str">
        <f>IF(EXACT($D129, ""), "", VLOOKUP($D129, [2]DataLookUp!$B$4:$C$84, 2, FALSE))</f>
        <v>Procurement Coordinator</v>
      </c>
      <c r="F129" s="3"/>
      <c r="H129" s="15">
        <f t="shared" si="3"/>
        <v>225000000000009</v>
      </c>
      <c r="I129" s="16" t="str">
        <f t="shared" si="4"/>
        <v>PERFORM "SchData-OLTP-HumanResource"."Func_TblMapper_WorkerCareerInternalToUserRole_SET"(varSystemLoginSession, null::bigint, null::varchar, null::timestamptz, null::timestamptz, null::varchar, varInstitutionBranchID, varBaseCurrencyID, 164000000000126::bigint, 95000000000041::bigint, null::bigint);</v>
      </c>
    </row>
    <row r="130" spans="2:9" x14ac:dyDescent="0.2">
      <c r="B130" s="18">
        <f>IF(EXACT('[1]DataLookUp - InternalCareer(LP)'!$B130, ""), "", '[1]DataLookUp - InternalCareer(LP)'!$B130)</f>
        <v>164000000000127</v>
      </c>
      <c r="C130" s="18" t="str">
        <f>IF(EXACT($B130, ""), "", VLOOKUP(B130, '[1]DataLookUp - InternalCareer(LP)'!$B$4:$D$620, 3, FALSE))</f>
        <v>Eko Laksono</v>
      </c>
      <c r="D130" s="3"/>
      <c r="E130" s="18" t="str">
        <f>IF(EXACT($D130, ""), "", VLOOKUP($D130, [2]DataLookUp!$B$4:$C$84, 2, FALSE))</f>
        <v/>
      </c>
      <c r="F130" s="3"/>
      <c r="H130" s="15">
        <f t="shared" si="3"/>
        <v>225000000000009</v>
      </c>
      <c r="I130" s="16" t="str">
        <f t="shared" si="4"/>
        <v/>
      </c>
    </row>
    <row r="131" spans="2:9" x14ac:dyDescent="0.2">
      <c r="B131" s="18">
        <f>IF(EXACT('[1]DataLookUp - InternalCareer(LP)'!$B131, ""), "", '[1]DataLookUp - InternalCareer(LP)'!$B131)</f>
        <v>164000000000128</v>
      </c>
      <c r="C131" s="18" t="str">
        <f>IF(EXACT($B131, ""), "", VLOOKUP(B131, '[1]DataLookUp - InternalCareer(LP)'!$B$4:$D$620, 3, FALSE))</f>
        <v>Eko Syambudi</v>
      </c>
      <c r="D131" s="3"/>
      <c r="E131" s="18" t="str">
        <f>IF(EXACT($D131, ""), "", VLOOKUP($D131, [2]DataLookUp!$B$4:$C$84, 2, FALSE))</f>
        <v/>
      </c>
      <c r="F131" s="3"/>
      <c r="H131" s="15">
        <f t="shared" si="3"/>
        <v>225000000000009</v>
      </c>
      <c r="I131" s="16" t="str">
        <f t="shared" si="4"/>
        <v/>
      </c>
    </row>
    <row r="132" spans="2:9" x14ac:dyDescent="0.2">
      <c r="B132" s="18">
        <f>IF(EXACT('[1]DataLookUp - InternalCareer(LP)'!$B132, ""), "", '[1]DataLookUp - InternalCareer(LP)'!$B132)</f>
        <v>164000000000129</v>
      </c>
      <c r="C132" s="18" t="str">
        <f>IF(EXACT($B132, ""), "", VLOOKUP(B132, '[1]DataLookUp - InternalCareer(LP)'!$B$4:$D$620, 3, FALSE))</f>
        <v>Elieser Ferdy P.</v>
      </c>
      <c r="D132" s="3"/>
      <c r="E132" s="18" t="str">
        <f>IF(EXACT($D132, ""), "", VLOOKUP($D132, [2]DataLookUp!$B$4:$C$84, 2, FALSE))</f>
        <v/>
      </c>
      <c r="F132" s="3"/>
      <c r="H132" s="15">
        <f t="shared" si="3"/>
        <v>225000000000009</v>
      </c>
      <c r="I132" s="16" t="str">
        <f t="shared" si="4"/>
        <v/>
      </c>
    </row>
    <row r="133" spans="2:9" x14ac:dyDescent="0.2">
      <c r="B133" s="18">
        <f>IF(EXACT('[1]DataLookUp - InternalCareer(LP)'!$B133, ""), "", '[1]DataLookUp - InternalCareer(LP)'!$B133)</f>
        <v>164000000000130</v>
      </c>
      <c r="C133" s="18" t="str">
        <f>IF(EXACT($B133, ""), "", VLOOKUP(B133, '[1]DataLookUp - InternalCareer(LP)'!$B$4:$D$620, 3, FALSE))</f>
        <v>Elisa</v>
      </c>
      <c r="D133" s="3"/>
      <c r="E133" s="18" t="str">
        <f>IF(EXACT($D133, ""), "", VLOOKUP($D133, [2]DataLookUp!$B$4:$C$84, 2, FALSE))</f>
        <v/>
      </c>
      <c r="F133" s="3"/>
      <c r="H133" s="15">
        <f t="shared" si="3"/>
        <v>225000000000009</v>
      </c>
      <c r="I133" s="16" t="str">
        <f t="shared" si="4"/>
        <v/>
      </c>
    </row>
    <row r="134" spans="2:9" x14ac:dyDescent="0.2">
      <c r="B134" s="18">
        <f>IF(EXACT('[1]DataLookUp - InternalCareer(LP)'!$B134, ""), "", '[1]DataLookUp - InternalCareer(LP)'!$B134)</f>
        <v>164000000000131</v>
      </c>
      <c r="C134" s="18" t="str">
        <f>IF(EXACT($B134, ""), "", VLOOKUP(B134, '[1]DataLookUp - InternalCareer(LP)'!$B$4:$D$620, 3, FALSE))</f>
        <v>Elsa Jayanti</v>
      </c>
      <c r="D134" s="3"/>
      <c r="E134" s="18" t="str">
        <f>IF(EXACT($D134, ""), "", VLOOKUP($D134, [2]DataLookUp!$B$4:$C$84, 2, FALSE))</f>
        <v/>
      </c>
      <c r="F134" s="3"/>
      <c r="H134" s="15">
        <f t="shared" ref="H134:H197" si="5" xml:space="preserve"> H133 + IF(EXACT(I134, ""), 0, 1)</f>
        <v>225000000000009</v>
      </c>
      <c r="I134" s="16" t="str">
        <f t="shared" si="4"/>
        <v/>
      </c>
    </row>
    <row r="135" spans="2:9" x14ac:dyDescent="0.2">
      <c r="B135" s="18">
        <f>IF(EXACT('[1]DataLookUp - InternalCareer(LP)'!$B135, ""), "", '[1]DataLookUp - InternalCareer(LP)'!$B135)</f>
        <v>164000000000132</v>
      </c>
      <c r="C135" s="18" t="str">
        <f>IF(EXACT($B135, ""), "", VLOOKUP(B135, '[1]DataLookUp - InternalCareer(LP)'!$B$4:$D$620, 3, FALSE))</f>
        <v>Elsa Mardian</v>
      </c>
      <c r="D135" s="3"/>
      <c r="E135" s="18" t="str">
        <f>IF(EXACT($D135, ""), "", VLOOKUP($D135, [2]DataLookUp!$B$4:$C$84, 2, FALSE))</f>
        <v/>
      </c>
      <c r="F135" s="3"/>
      <c r="H135" s="15">
        <f t="shared" si="5"/>
        <v>225000000000009</v>
      </c>
      <c r="I135" s="16" t="str">
        <f t="shared" si="4"/>
        <v/>
      </c>
    </row>
    <row r="136" spans="2:9" x14ac:dyDescent="0.2">
      <c r="B136" s="18">
        <f>IF(EXACT('[1]DataLookUp - InternalCareer(LP)'!$B136, ""), "", '[1]DataLookUp - InternalCareer(LP)'!$B136)</f>
        <v>164000000000133</v>
      </c>
      <c r="C136" s="18" t="str">
        <f>IF(EXACT($B136, ""), "", VLOOKUP(B136, '[1]DataLookUp - InternalCareer(LP)'!$B$4:$D$620, 3, FALSE))</f>
        <v>Emir Paranita Nasution</v>
      </c>
      <c r="D136" s="3"/>
      <c r="E136" s="18" t="str">
        <f>IF(EXACT($D136, ""), "", VLOOKUP($D136, [2]DataLookUp!$B$4:$C$84, 2, FALSE))</f>
        <v/>
      </c>
      <c r="F136" s="3"/>
      <c r="H136" s="15">
        <f t="shared" si="5"/>
        <v>225000000000009</v>
      </c>
      <c r="I136" s="16" t="str">
        <f t="shared" si="4"/>
        <v/>
      </c>
    </row>
    <row r="137" spans="2:9" x14ac:dyDescent="0.2">
      <c r="B137" s="18">
        <f>IF(EXACT('[1]DataLookUp - InternalCareer(LP)'!$B137, ""), "", '[1]DataLookUp - InternalCareer(LP)'!$B137)</f>
        <v>164000000000134</v>
      </c>
      <c r="C137" s="18" t="str">
        <f>IF(EXACT($B137, ""), "", VLOOKUP(B137, '[1]DataLookUp - InternalCareer(LP)'!$B$4:$D$620, 3, FALSE))</f>
        <v>Enceng Hemawan</v>
      </c>
      <c r="D137" s="3"/>
      <c r="E137" s="18" t="str">
        <f>IF(EXACT($D137, ""), "", VLOOKUP($D137, [2]DataLookUp!$B$4:$C$84, 2, FALSE))</f>
        <v/>
      </c>
      <c r="F137" s="3"/>
      <c r="H137" s="15">
        <f t="shared" si="5"/>
        <v>225000000000009</v>
      </c>
      <c r="I137" s="16" t="str">
        <f t="shared" si="4"/>
        <v/>
      </c>
    </row>
    <row r="138" spans="2:9" x14ac:dyDescent="0.2">
      <c r="B138" s="18">
        <f>IF(EXACT('[1]DataLookUp - InternalCareer(LP)'!$B138, ""), "", '[1]DataLookUp - InternalCareer(LP)'!$B138)</f>
        <v>164000000000135</v>
      </c>
      <c r="C138" s="18" t="str">
        <f>IF(EXACT($B138, ""), "", VLOOKUP(B138, '[1]DataLookUp - InternalCareer(LP)'!$B$4:$D$620, 3, FALSE))</f>
        <v>Endang</v>
      </c>
      <c r="D138" s="3"/>
      <c r="E138" s="18" t="str">
        <f>IF(EXACT($D138, ""), "", VLOOKUP($D138, [2]DataLookUp!$B$4:$C$84, 2, FALSE))</f>
        <v/>
      </c>
      <c r="F138" s="3"/>
      <c r="H138" s="15">
        <f t="shared" si="5"/>
        <v>225000000000009</v>
      </c>
      <c r="I138" s="16" t="str">
        <f t="shared" si="4"/>
        <v/>
      </c>
    </row>
    <row r="139" spans="2:9" x14ac:dyDescent="0.2">
      <c r="B139" s="18">
        <f>IF(EXACT('[1]DataLookUp - InternalCareer(LP)'!$B139, ""), "", '[1]DataLookUp - InternalCareer(LP)'!$B139)</f>
        <v>164000000000136</v>
      </c>
      <c r="C139" s="18" t="str">
        <f>IF(EXACT($B139, ""), "", VLOOKUP(B139, '[1]DataLookUp - InternalCareer(LP)'!$B$4:$D$620, 3, FALSE))</f>
        <v>Endang Lestari</v>
      </c>
      <c r="D139" s="3"/>
      <c r="E139" s="18" t="str">
        <f>IF(EXACT($D139, ""), "", VLOOKUP($D139, [2]DataLookUp!$B$4:$C$84, 2, FALSE))</f>
        <v/>
      </c>
      <c r="F139" s="3"/>
      <c r="H139" s="15">
        <f t="shared" si="5"/>
        <v>225000000000009</v>
      </c>
      <c r="I139" s="16" t="str">
        <f t="shared" si="4"/>
        <v/>
      </c>
    </row>
    <row r="140" spans="2:9" x14ac:dyDescent="0.2">
      <c r="B140" s="18">
        <f>IF(EXACT('[1]DataLookUp - InternalCareer(LP)'!$B140, ""), "", '[1]DataLookUp - InternalCareer(LP)'!$B140)</f>
        <v>164000000000137</v>
      </c>
      <c r="C140" s="18" t="str">
        <f>IF(EXACT($B140, ""), "", VLOOKUP(B140, '[1]DataLookUp - InternalCareer(LP)'!$B$4:$D$620, 3, FALSE))</f>
        <v>Endang Sobari</v>
      </c>
      <c r="D140" s="3"/>
      <c r="E140" s="18" t="str">
        <f>IF(EXACT($D140, ""), "", VLOOKUP($D140, [2]DataLookUp!$B$4:$C$84, 2, FALSE))</f>
        <v/>
      </c>
      <c r="F140" s="3"/>
      <c r="H140" s="15">
        <f t="shared" si="5"/>
        <v>225000000000009</v>
      </c>
      <c r="I140" s="16" t="str">
        <f t="shared" si="4"/>
        <v/>
      </c>
    </row>
    <row r="141" spans="2:9" x14ac:dyDescent="0.2">
      <c r="B141" s="18">
        <f>IF(EXACT('[1]DataLookUp - InternalCareer(LP)'!$B141, ""), "", '[1]DataLookUp - InternalCareer(LP)'!$B141)</f>
        <v>164000000000138</v>
      </c>
      <c r="C141" s="18" t="str">
        <f>IF(EXACT($B141, ""), "", VLOOKUP(B141, '[1]DataLookUp - InternalCareer(LP)'!$B$4:$D$620, 3, FALSE))</f>
        <v>Endang Sutrisna</v>
      </c>
      <c r="D141" s="3"/>
      <c r="E141" s="18" t="str">
        <f>IF(EXACT($D141, ""), "", VLOOKUP($D141, [2]DataLookUp!$B$4:$C$84, 2, FALSE))</f>
        <v/>
      </c>
      <c r="F141" s="3"/>
      <c r="H141" s="15">
        <f t="shared" si="5"/>
        <v>225000000000009</v>
      </c>
      <c r="I141" s="16" t="str">
        <f t="shared" si="4"/>
        <v/>
      </c>
    </row>
    <row r="142" spans="2:9" x14ac:dyDescent="0.2">
      <c r="B142" s="18">
        <f>IF(EXACT('[1]DataLookUp - InternalCareer(LP)'!$B142, ""), "", '[1]DataLookUp - InternalCareer(LP)'!$B142)</f>
        <v>164000000000139</v>
      </c>
      <c r="C142" s="18" t="str">
        <f>IF(EXACT($B142, ""), "", VLOOKUP(B142, '[1]DataLookUp - InternalCareer(LP)'!$B$4:$D$620, 3, FALSE))</f>
        <v>Erfananda Rasyid</v>
      </c>
      <c r="D142" s="3"/>
      <c r="E142" s="18" t="str">
        <f>IF(EXACT($D142, ""), "", VLOOKUP($D142, [2]DataLookUp!$B$4:$C$84, 2, FALSE))</f>
        <v/>
      </c>
      <c r="F142" s="3"/>
      <c r="H142" s="15">
        <f t="shared" si="5"/>
        <v>225000000000009</v>
      </c>
      <c r="I142" s="16" t="str">
        <f t="shared" si="4"/>
        <v/>
      </c>
    </row>
    <row r="143" spans="2:9" x14ac:dyDescent="0.2">
      <c r="B143" s="18">
        <f>IF(EXACT('[1]DataLookUp - InternalCareer(LP)'!$B143, ""), "", '[1]DataLookUp - InternalCareer(LP)'!$B143)</f>
        <v>164000000000140</v>
      </c>
      <c r="C143" s="18" t="str">
        <f>IF(EXACT($B143, ""), "", VLOOKUP(B143, '[1]DataLookUp - InternalCareer(LP)'!$B$4:$D$620, 3, FALSE))</f>
        <v>Ernawati</v>
      </c>
      <c r="D143" s="3"/>
      <c r="E143" s="18" t="str">
        <f>IF(EXACT($D143, ""), "", VLOOKUP($D143, [2]DataLookUp!$B$4:$C$84, 2, FALSE))</f>
        <v/>
      </c>
      <c r="F143" s="3"/>
      <c r="H143" s="15">
        <f t="shared" si="5"/>
        <v>225000000000009</v>
      </c>
      <c r="I143" s="16" t="str">
        <f t="shared" si="4"/>
        <v/>
      </c>
    </row>
    <row r="144" spans="2:9" x14ac:dyDescent="0.2">
      <c r="B144" s="18">
        <f>IF(EXACT('[1]DataLookUp - InternalCareer(LP)'!$B144, ""), "", '[1]DataLookUp - InternalCareer(LP)'!$B144)</f>
        <v>164000000000141</v>
      </c>
      <c r="C144" s="18" t="str">
        <f>IF(EXACT($B144, ""), "", VLOOKUP(B144, '[1]DataLookUp - InternalCareer(LP)'!$B$4:$D$620, 3, FALSE))</f>
        <v>Erwin Firmansyah</v>
      </c>
      <c r="D144" s="3"/>
      <c r="E144" s="18" t="str">
        <f>IF(EXACT($D144, ""), "", VLOOKUP($D144, [2]DataLookUp!$B$4:$C$84, 2, FALSE))</f>
        <v/>
      </c>
      <c r="F144" s="3"/>
      <c r="H144" s="15">
        <f t="shared" si="5"/>
        <v>225000000000009</v>
      </c>
      <c r="I144" s="16" t="str">
        <f t="shared" ref="I144:I207" si="6">IF(EXACT(D144, ""), "", CONCATENATE("PERFORM ""SchData-OLTP-HumanResource"".""Func_TblMapper_WorkerCareerInternalToUserRole_SET""(varSystemLoginSession, null::bigint, null::varchar, null::timestamptz, null::timestamptz, null::varchar, varInstitutionBranchID, varBaseCurrencyID, ", IF(EXACT(B144, ""), "null", B144), "::bigint, ", IF(EXACT(D144, ""), "null", D144), "::bigint, ", IF(EXACT(F144, ""), "null", F144), "::bigint);"))</f>
        <v/>
      </c>
    </row>
    <row r="145" spans="2:9" x14ac:dyDescent="0.2">
      <c r="B145" s="18">
        <f>IF(EXACT('[1]DataLookUp - InternalCareer(LP)'!$B145, ""), "", '[1]DataLookUp - InternalCareer(LP)'!$B145)</f>
        <v>164000000000142</v>
      </c>
      <c r="C145" s="18" t="str">
        <f>IF(EXACT($B145, ""), "", VLOOKUP(B145, '[1]DataLookUp - InternalCareer(LP)'!$B$4:$D$620, 3, FALSE))</f>
        <v>Erwin Said</v>
      </c>
      <c r="D145" s="3"/>
      <c r="E145" s="18" t="str">
        <f>IF(EXACT($D145, ""), "", VLOOKUP($D145, [2]DataLookUp!$B$4:$C$84, 2, FALSE))</f>
        <v/>
      </c>
      <c r="F145" s="3"/>
      <c r="H145" s="15">
        <f t="shared" si="5"/>
        <v>225000000000009</v>
      </c>
      <c r="I145" s="16" t="str">
        <f t="shared" si="6"/>
        <v/>
      </c>
    </row>
    <row r="146" spans="2:9" x14ac:dyDescent="0.2">
      <c r="B146" s="18">
        <f>IF(EXACT('[1]DataLookUp - InternalCareer(LP)'!$B146, ""), "", '[1]DataLookUp - InternalCareer(LP)'!$B146)</f>
        <v>164000000000143</v>
      </c>
      <c r="C146" s="18" t="str">
        <f>IF(EXACT($B146, ""), "", VLOOKUP(B146, '[1]DataLookUp - InternalCareer(LP)'!$B$4:$D$620, 3, FALSE))</f>
        <v>Esa Annahar</v>
      </c>
      <c r="D146" s="3"/>
      <c r="E146" s="18" t="str">
        <f>IF(EXACT($D146, ""), "", VLOOKUP($D146, [2]DataLookUp!$B$4:$C$84, 2, FALSE))</f>
        <v/>
      </c>
      <c r="F146" s="3"/>
      <c r="H146" s="15">
        <f t="shared" si="5"/>
        <v>225000000000009</v>
      </c>
      <c r="I146" s="16" t="str">
        <f t="shared" si="6"/>
        <v/>
      </c>
    </row>
    <row r="147" spans="2:9" x14ac:dyDescent="0.2">
      <c r="B147" s="18">
        <f>IF(EXACT('[1]DataLookUp - InternalCareer(LP)'!$B147, ""), "", '[1]DataLookUp - InternalCareer(LP)'!$B147)</f>
        <v>164000000000144</v>
      </c>
      <c r="C147" s="18" t="str">
        <f>IF(EXACT($B147, ""), "", VLOOKUP(B147, '[1]DataLookUp - InternalCareer(LP)'!$B$4:$D$620, 3, FALSE))</f>
        <v>Faiz Horifal</v>
      </c>
      <c r="D147" s="3"/>
      <c r="E147" s="18" t="str">
        <f>IF(EXACT($D147, ""), "", VLOOKUP($D147, [2]DataLookUp!$B$4:$C$84, 2, FALSE))</f>
        <v/>
      </c>
      <c r="F147" s="3"/>
      <c r="H147" s="15">
        <f t="shared" si="5"/>
        <v>225000000000009</v>
      </c>
      <c r="I147" s="16" t="str">
        <f t="shared" si="6"/>
        <v/>
      </c>
    </row>
    <row r="148" spans="2:9" x14ac:dyDescent="0.2">
      <c r="B148" s="18">
        <f>IF(EXACT('[1]DataLookUp - InternalCareer(LP)'!$B148, ""), "", '[1]DataLookUp - InternalCareer(LP)'!$B148)</f>
        <v>164000000000145</v>
      </c>
      <c r="C148" s="18" t="str">
        <f>IF(EXACT($B148, ""), "", VLOOKUP(B148, '[1]DataLookUp - InternalCareer(LP)'!$B$4:$D$620, 3, FALSE))</f>
        <v>Fani Dwi Astutik</v>
      </c>
      <c r="D148" s="3"/>
      <c r="E148" s="18" t="str">
        <f>IF(EXACT($D148, ""), "", VLOOKUP($D148, [2]DataLookUp!$B$4:$C$84, 2, FALSE))</f>
        <v/>
      </c>
      <c r="F148" s="3"/>
      <c r="H148" s="15">
        <f t="shared" si="5"/>
        <v>225000000000009</v>
      </c>
      <c r="I148" s="16" t="str">
        <f t="shared" si="6"/>
        <v/>
      </c>
    </row>
    <row r="149" spans="2:9" x14ac:dyDescent="0.2">
      <c r="B149" s="18">
        <f>IF(EXACT('[1]DataLookUp - InternalCareer(LP)'!$B149, ""), "", '[1]DataLookUp - InternalCareer(LP)'!$B149)</f>
        <v>164000000000146</v>
      </c>
      <c r="C149" s="18" t="str">
        <f>IF(EXACT($B149, ""), "", VLOOKUP(B149, '[1]DataLookUp - InternalCareer(LP)'!$B$4:$D$620, 3, FALSE))</f>
        <v>Fardi Nauli R</v>
      </c>
      <c r="D149" s="3"/>
      <c r="E149" s="18" t="str">
        <f>IF(EXACT($D149, ""), "", VLOOKUP($D149, [2]DataLookUp!$B$4:$C$84, 2, FALSE))</f>
        <v/>
      </c>
      <c r="F149" s="3"/>
      <c r="H149" s="15">
        <f t="shared" si="5"/>
        <v>225000000000009</v>
      </c>
      <c r="I149" s="16" t="str">
        <f t="shared" si="6"/>
        <v/>
      </c>
    </row>
    <row r="150" spans="2:9" x14ac:dyDescent="0.2">
      <c r="B150" s="18">
        <f>IF(EXACT('[1]DataLookUp - InternalCareer(LP)'!$B150, ""), "", '[1]DataLookUp - InternalCareer(LP)'!$B150)</f>
        <v>164000000000147</v>
      </c>
      <c r="C150" s="18" t="str">
        <f>IF(EXACT($B150, ""), "", VLOOKUP(B150, '[1]DataLookUp - InternalCareer(LP)'!$B$4:$D$620, 3, FALSE))</f>
        <v>Farekh Huzair</v>
      </c>
      <c r="D150" s="3"/>
      <c r="E150" s="18" t="str">
        <f>IF(EXACT($D150, ""), "", VLOOKUP($D150, [2]DataLookUp!$B$4:$C$84, 2, FALSE))</f>
        <v/>
      </c>
      <c r="F150" s="3"/>
      <c r="H150" s="15">
        <f t="shared" si="5"/>
        <v>225000000000009</v>
      </c>
      <c r="I150" s="16" t="str">
        <f t="shared" si="6"/>
        <v/>
      </c>
    </row>
    <row r="151" spans="2:9" x14ac:dyDescent="0.2">
      <c r="B151" s="18">
        <f>IF(EXACT('[1]DataLookUp - InternalCareer(LP)'!$B151, ""), "", '[1]DataLookUp - InternalCareer(LP)'!$B151)</f>
        <v>164000000000148</v>
      </c>
      <c r="C151" s="18" t="str">
        <f>IF(EXACT($B151, ""), "", VLOOKUP(B151, '[1]DataLookUp - InternalCareer(LP)'!$B$4:$D$620, 3, FALSE))</f>
        <v>Farhana</v>
      </c>
      <c r="D151" s="3"/>
      <c r="E151" s="18" t="str">
        <f>IF(EXACT($D151, ""), "", VLOOKUP($D151, [2]DataLookUp!$B$4:$C$84, 2, FALSE))</f>
        <v/>
      </c>
      <c r="F151" s="3"/>
      <c r="H151" s="15">
        <f t="shared" si="5"/>
        <v>225000000000009</v>
      </c>
      <c r="I151" s="16" t="str">
        <f t="shared" si="6"/>
        <v/>
      </c>
    </row>
    <row r="152" spans="2:9" x14ac:dyDescent="0.2">
      <c r="B152" s="18">
        <f>IF(EXACT('[1]DataLookUp - InternalCareer(LP)'!$B152, ""), "", '[1]DataLookUp - InternalCareer(LP)'!$B152)</f>
        <v>164000000000149</v>
      </c>
      <c r="C152" s="18" t="str">
        <f>IF(EXACT($B152, ""), "", VLOOKUP(B152, '[1]DataLookUp - InternalCareer(LP)'!$B$4:$D$620, 3, FALSE))</f>
        <v>Febriyanto Ahdiat</v>
      </c>
      <c r="D152" s="3"/>
      <c r="E152" s="18" t="str">
        <f>IF(EXACT($D152, ""), "", VLOOKUP($D152, [2]DataLookUp!$B$4:$C$84, 2, FALSE))</f>
        <v/>
      </c>
      <c r="F152" s="3"/>
      <c r="H152" s="15">
        <f t="shared" si="5"/>
        <v>225000000000009</v>
      </c>
      <c r="I152" s="16" t="str">
        <f t="shared" si="6"/>
        <v/>
      </c>
    </row>
    <row r="153" spans="2:9" x14ac:dyDescent="0.2">
      <c r="B153" s="18">
        <f>IF(EXACT('[1]DataLookUp - InternalCareer(LP)'!$B153, ""), "", '[1]DataLookUp - InternalCareer(LP)'!$B153)</f>
        <v>164000000000150</v>
      </c>
      <c r="C153" s="18" t="str">
        <f>IF(EXACT($B153, ""), "", VLOOKUP(B153, '[1]DataLookUp - InternalCareer(LP)'!$B$4:$D$620, 3, FALSE))</f>
        <v>Febryan Mahsyar</v>
      </c>
      <c r="D153" s="3"/>
      <c r="E153" s="18" t="str">
        <f>IF(EXACT($D153, ""), "", VLOOKUP($D153, [2]DataLookUp!$B$4:$C$84, 2, FALSE))</f>
        <v/>
      </c>
      <c r="F153" s="3"/>
      <c r="H153" s="15">
        <f t="shared" si="5"/>
        <v>225000000000009</v>
      </c>
      <c r="I153" s="16" t="str">
        <f t="shared" si="6"/>
        <v/>
      </c>
    </row>
    <row r="154" spans="2:9" x14ac:dyDescent="0.2">
      <c r="B154" s="18">
        <f>IF(EXACT('[1]DataLookUp - InternalCareer(LP)'!$B154, ""), "", '[1]DataLookUp - InternalCareer(LP)'!$B154)</f>
        <v>164000000000151</v>
      </c>
      <c r="C154" s="18" t="str">
        <f>IF(EXACT($B154, ""), "", VLOOKUP(B154, '[1]DataLookUp - InternalCareer(LP)'!$B$4:$D$620, 3, FALSE))</f>
        <v>Felpy</v>
      </c>
      <c r="D154" s="3"/>
      <c r="E154" s="18" t="str">
        <f>IF(EXACT($D154, ""), "", VLOOKUP($D154, [2]DataLookUp!$B$4:$C$84, 2, FALSE))</f>
        <v/>
      </c>
      <c r="F154" s="3"/>
      <c r="H154" s="15">
        <f t="shared" si="5"/>
        <v>225000000000009</v>
      </c>
      <c r="I154" s="16" t="str">
        <f t="shared" si="6"/>
        <v/>
      </c>
    </row>
    <row r="155" spans="2:9" x14ac:dyDescent="0.2">
      <c r="B155" s="18">
        <f>IF(EXACT('[1]DataLookUp - InternalCareer(LP)'!$B155, ""), "", '[1]DataLookUp - InternalCareer(LP)'!$B155)</f>
        <v>164000000000152</v>
      </c>
      <c r="C155" s="18" t="str">
        <f>IF(EXACT($B155, ""), "", VLOOKUP(B155, '[1]DataLookUp - InternalCareer(LP)'!$B$4:$D$620, 3, FALSE))</f>
        <v>Feri Priyanto</v>
      </c>
      <c r="D155" s="3"/>
      <c r="E155" s="18" t="str">
        <f>IF(EXACT($D155, ""), "", VLOOKUP($D155, [2]DataLookUp!$B$4:$C$84, 2, FALSE))</f>
        <v/>
      </c>
      <c r="F155" s="3"/>
      <c r="H155" s="15">
        <f t="shared" si="5"/>
        <v>225000000000009</v>
      </c>
      <c r="I155" s="16" t="str">
        <f t="shared" si="6"/>
        <v/>
      </c>
    </row>
    <row r="156" spans="2:9" x14ac:dyDescent="0.2">
      <c r="B156" s="18">
        <f>IF(EXACT('[1]DataLookUp - InternalCareer(LP)'!$B156, ""), "", '[1]DataLookUp - InternalCareer(LP)'!$B156)</f>
        <v>164000000000153</v>
      </c>
      <c r="C156" s="18" t="str">
        <f>IF(EXACT($B156, ""), "", VLOOKUP(B156, '[1]DataLookUp - InternalCareer(LP)'!$B$4:$D$620, 3, FALSE))</f>
        <v>Ferry P Simanjuntak</v>
      </c>
      <c r="D156" s="3"/>
      <c r="E156" s="18" t="str">
        <f>IF(EXACT($D156, ""), "", VLOOKUP($D156, [2]DataLookUp!$B$4:$C$84, 2, FALSE))</f>
        <v/>
      </c>
      <c r="F156" s="3"/>
      <c r="H156" s="15">
        <f t="shared" si="5"/>
        <v>225000000000009</v>
      </c>
      <c r="I156" s="16" t="str">
        <f t="shared" si="6"/>
        <v/>
      </c>
    </row>
    <row r="157" spans="2:9" x14ac:dyDescent="0.2">
      <c r="B157" s="18">
        <f>IF(EXACT('[1]DataLookUp - InternalCareer(LP)'!$B157, ""), "", '[1]DataLookUp - InternalCareer(LP)'!$B157)</f>
        <v>164000000000154</v>
      </c>
      <c r="C157" s="18" t="str">
        <f>IF(EXACT($B157, ""), "", VLOOKUP(B157, '[1]DataLookUp - InternalCareer(LP)'!$B$4:$D$620, 3, FALSE))</f>
        <v>Fikri</v>
      </c>
      <c r="D157" s="3"/>
      <c r="E157" s="18" t="str">
        <f>IF(EXACT($D157, ""), "", VLOOKUP($D157, [2]DataLookUp!$B$4:$C$84, 2, FALSE))</f>
        <v/>
      </c>
      <c r="F157" s="3"/>
      <c r="H157" s="15">
        <f t="shared" si="5"/>
        <v>225000000000009</v>
      </c>
      <c r="I157" s="16" t="str">
        <f t="shared" si="6"/>
        <v/>
      </c>
    </row>
    <row r="158" spans="2:9" x14ac:dyDescent="0.2">
      <c r="B158" s="18">
        <f>IF(EXACT('[1]DataLookUp - InternalCareer(LP)'!$B158, ""), "", '[1]DataLookUp - InternalCareer(LP)'!$B158)</f>
        <v>164000000000155</v>
      </c>
      <c r="C158" s="18" t="str">
        <f>IF(EXACT($B158, ""), "", VLOOKUP(B158, '[1]DataLookUp - InternalCareer(LP)'!$B$4:$D$620, 3, FALSE))</f>
        <v>M. Fikri Caesarandi Hasibuan</v>
      </c>
      <c r="D158" s="3">
        <f>[2]MAIN!$D$32</f>
        <v>95000000000024</v>
      </c>
      <c r="E158" s="18" t="str">
        <f>IF(EXACT($D158, ""), "", VLOOKUP($D158, [2]DataLookUp!$B$4:$C$84, 2, FALSE))</f>
        <v>Project Administrator Staff</v>
      </c>
      <c r="F158" s="3">
        <v>46000000000033</v>
      </c>
      <c r="H158" s="15">
        <f t="shared" si="5"/>
        <v>225000000000010</v>
      </c>
      <c r="I158" s="16" t="str">
        <f t="shared" si="6"/>
        <v>PERFORM "SchData-OLTP-HumanResource"."Func_TblMapper_WorkerCareerInternalToUserRole_SET"(varSystemLoginSession, null::bigint, null::varchar, null::timestamptz, null::timestamptz, null::varchar, varInstitutionBranchID, varBaseCurrencyID, 164000000000155::bigint, 95000000000024::bigint, 46000000000033::bigint);</v>
      </c>
    </row>
    <row r="159" spans="2:9" x14ac:dyDescent="0.2">
      <c r="B159" s="18">
        <f>IF(EXACT('[1]DataLookUp - InternalCareer(LP)'!$B159, ""), "", '[1]DataLookUp - InternalCareer(LP)'!$B159)</f>
        <v>164000000000156</v>
      </c>
      <c r="C159" s="18" t="str">
        <f>IF(EXACT($B159, ""), "", VLOOKUP(B159, '[1]DataLookUp - InternalCareer(LP)'!$B$4:$D$620, 3, FALSE))</f>
        <v>Firman Akbar</v>
      </c>
      <c r="D159" s="3"/>
      <c r="E159" s="18" t="str">
        <f>IF(EXACT($D159, ""), "", VLOOKUP($D159, [2]DataLookUp!$B$4:$C$84, 2, FALSE))</f>
        <v/>
      </c>
      <c r="F159" s="3"/>
      <c r="H159" s="15">
        <f t="shared" si="5"/>
        <v>225000000000010</v>
      </c>
      <c r="I159" s="16" t="str">
        <f t="shared" si="6"/>
        <v/>
      </c>
    </row>
    <row r="160" spans="2:9" x14ac:dyDescent="0.2">
      <c r="B160" s="18">
        <f>IF(EXACT('[1]DataLookUp - InternalCareer(LP)'!$B160, ""), "", '[1]DataLookUp - InternalCareer(LP)'!$B160)</f>
        <v>164000000000157</v>
      </c>
      <c r="C160" s="18" t="str">
        <f>IF(EXACT($B160, ""), "", VLOOKUP(B160, '[1]DataLookUp - InternalCareer(LP)'!$B$4:$D$620, 3, FALSE))</f>
        <v>Fitriastuti Kurnia</v>
      </c>
      <c r="D160" s="3">
        <f>[2]MAIN!$D$32</f>
        <v>95000000000024</v>
      </c>
      <c r="E160" s="18" t="str">
        <f>IF(EXACT($D160, ""), "", VLOOKUP($D160, [2]DataLookUp!$B$4:$C$84, 2, FALSE))</f>
        <v>Project Administrator Staff</v>
      </c>
      <c r="F160" s="3"/>
      <c r="H160" s="15">
        <f t="shared" si="5"/>
        <v>225000000000011</v>
      </c>
      <c r="I160" s="16" t="str">
        <f t="shared" si="6"/>
        <v>PERFORM "SchData-OLTP-HumanResource"."Func_TblMapper_WorkerCareerInternalToUserRole_SET"(varSystemLoginSession, null::bigint, null::varchar, null::timestamptz, null::timestamptz, null::varchar, varInstitutionBranchID, varBaseCurrencyID, 164000000000157::bigint, 95000000000024::bigint, null::bigint);</v>
      </c>
    </row>
    <row r="161" spans="2:9" x14ac:dyDescent="0.2">
      <c r="B161" s="18">
        <f>IF(EXACT('[1]DataLookUp - InternalCareer(LP)'!$B161, ""), "", '[1]DataLookUp - InternalCareer(LP)'!$B161)</f>
        <v>164000000000158</v>
      </c>
      <c r="C161" s="18" t="str">
        <f>IF(EXACT($B161, ""), "", VLOOKUP(B161, '[1]DataLookUp - InternalCareer(LP)'!$B$4:$D$620, 3, FALSE))</f>
        <v>Francis Imanuel</v>
      </c>
      <c r="D161" s="3"/>
      <c r="E161" s="18" t="str">
        <f>IF(EXACT($D161, ""), "", VLOOKUP($D161, [2]DataLookUp!$B$4:$C$84, 2, FALSE))</f>
        <v/>
      </c>
      <c r="F161" s="3"/>
      <c r="H161" s="15">
        <f t="shared" si="5"/>
        <v>225000000000011</v>
      </c>
      <c r="I161" s="16" t="str">
        <f t="shared" si="6"/>
        <v/>
      </c>
    </row>
    <row r="162" spans="2:9" x14ac:dyDescent="0.2">
      <c r="B162" s="18">
        <f>IF(EXACT('[1]DataLookUp - InternalCareer(LP)'!$B162, ""), "", '[1]DataLookUp - InternalCareer(LP)'!$B162)</f>
        <v>164000000000159</v>
      </c>
      <c r="C162" s="18" t="str">
        <f>IF(EXACT($B162, ""), "", VLOOKUP(B162, '[1]DataLookUp - InternalCareer(LP)'!$B$4:$D$620, 3, FALSE))</f>
        <v>Frando Judi Siahaan</v>
      </c>
      <c r="D162" s="3"/>
      <c r="E162" s="18" t="str">
        <f>IF(EXACT($D162, ""), "", VLOOKUP($D162, [2]DataLookUp!$B$4:$C$84, 2, FALSE))</f>
        <v/>
      </c>
      <c r="F162" s="3"/>
      <c r="H162" s="15">
        <f t="shared" si="5"/>
        <v>225000000000011</v>
      </c>
      <c r="I162" s="16" t="str">
        <f t="shared" si="6"/>
        <v/>
      </c>
    </row>
    <row r="163" spans="2:9" x14ac:dyDescent="0.2">
      <c r="B163" s="18">
        <f>IF(EXACT('[1]DataLookUp - InternalCareer(LP)'!$B163, ""), "", '[1]DataLookUp - InternalCareer(LP)'!$B163)</f>
        <v>164000000000160</v>
      </c>
      <c r="C163" s="18" t="str">
        <f>IF(EXACT($B163, ""), "", VLOOKUP(B163, '[1]DataLookUp - InternalCareer(LP)'!$B$4:$D$620, 3, FALSE))</f>
        <v>Frederika Intan</v>
      </c>
      <c r="D163" s="3"/>
      <c r="E163" s="18" t="str">
        <f>IF(EXACT($D163, ""), "", VLOOKUP($D163, [2]DataLookUp!$B$4:$C$84, 2, FALSE))</f>
        <v/>
      </c>
      <c r="F163" s="3"/>
      <c r="H163" s="15">
        <f t="shared" si="5"/>
        <v>225000000000011</v>
      </c>
      <c r="I163" s="16" t="str">
        <f t="shared" si="6"/>
        <v/>
      </c>
    </row>
    <row r="164" spans="2:9" x14ac:dyDescent="0.2">
      <c r="B164" s="18">
        <f>IF(EXACT('[1]DataLookUp - InternalCareer(LP)'!$B164, ""), "", '[1]DataLookUp - InternalCareer(LP)'!$B164)</f>
        <v>164000000000161</v>
      </c>
      <c r="C164" s="18" t="str">
        <f>IF(EXACT($B164, ""), "", VLOOKUP(B164, '[1]DataLookUp - InternalCareer(LP)'!$B$4:$D$620, 3, FALSE))</f>
        <v>Fuad Febrian</v>
      </c>
      <c r="D164" s="3"/>
      <c r="E164" s="18" t="str">
        <f>IF(EXACT($D164, ""), "", VLOOKUP($D164, [2]DataLookUp!$B$4:$C$84, 2, FALSE))</f>
        <v/>
      </c>
      <c r="F164" s="3"/>
      <c r="H164" s="15">
        <f t="shared" si="5"/>
        <v>225000000000011</v>
      </c>
      <c r="I164" s="16" t="str">
        <f t="shared" si="6"/>
        <v/>
      </c>
    </row>
    <row r="165" spans="2:9" x14ac:dyDescent="0.2">
      <c r="B165" s="18">
        <f>IF(EXACT('[1]DataLookUp - InternalCareer(LP)'!$B165, ""), "", '[1]DataLookUp - InternalCareer(LP)'!$B165)</f>
        <v>164000000000162</v>
      </c>
      <c r="C165" s="18" t="str">
        <f>IF(EXACT($B165, ""), "", VLOOKUP(B165, '[1]DataLookUp - InternalCareer(LP)'!$B$4:$D$620, 3, FALSE))</f>
        <v>Wiyadianto</v>
      </c>
      <c r="D165" s="3"/>
      <c r="E165" s="18" t="str">
        <f>IF(EXACT($D165, ""), "", VLOOKUP($D165, [2]DataLookUp!$B$4:$C$84, 2, FALSE))</f>
        <v/>
      </c>
      <c r="F165" s="3"/>
      <c r="H165" s="15">
        <f t="shared" si="5"/>
        <v>225000000000011</v>
      </c>
      <c r="I165" s="16" t="str">
        <f t="shared" si="6"/>
        <v/>
      </c>
    </row>
    <row r="166" spans="2:9" x14ac:dyDescent="0.2">
      <c r="B166" s="18">
        <f>IF(EXACT('[1]DataLookUp - InternalCareer(LP)'!$B166, ""), "", '[1]DataLookUp - InternalCareer(LP)'!$B166)</f>
        <v>164000000000163</v>
      </c>
      <c r="C166" s="18" t="str">
        <f>IF(EXACT($B166, ""), "", VLOOKUP(B166, '[1]DataLookUp - InternalCareer(LP)'!$B$4:$D$620, 3, FALSE))</f>
        <v>Galuh Swastika</v>
      </c>
      <c r="D166" s="3"/>
      <c r="E166" s="18" t="str">
        <f>IF(EXACT($D166, ""), "", VLOOKUP($D166, [2]DataLookUp!$B$4:$C$84, 2, FALSE))</f>
        <v/>
      </c>
      <c r="F166" s="3"/>
      <c r="H166" s="15">
        <f t="shared" si="5"/>
        <v>225000000000011</v>
      </c>
      <c r="I166" s="16" t="str">
        <f t="shared" si="6"/>
        <v/>
      </c>
    </row>
    <row r="167" spans="2:9" x14ac:dyDescent="0.2">
      <c r="B167" s="18">
        <f>IF(EXACT('[1]DataLookUp - InternalCareer(LP)'!$B167, ""), "", '[1]DataLookUp - InternalCareer(LP)'!$B167)</f>
        <v>164000000000164</v>
      </c>
      <c r="C167" s="18" t="str">
        <f>IF(EXACT($B167, ""), "", VLOOKUP(B167, '[1]DataLookUp - InternalCareer(LP)'!$B$4:$D$620, 3, FALSE))</f>
        <v>Ganda Yuharis R.</v>
      </c>
      <c r="D167" s="3"/>
      <c r="E167" s="18" t="str">
        <f>IF(EXACT($D167, ""), "", VLOOKUP($D167, [2]DataLookUp!$B$4:$C$84, 2, FALSE))</f>
        <v/>
      </c>
      <c r="F167" s="3"/>
      <c r="H167" s="15">
        <f t="shared" si="5"/>
        <v>225000000000011</v>
      </c>
      <c r="I167" s="16" t="str">
        <f t="shared" si="6"/>
        <v/>
      </c>
    </row>
    <row r="168" spans="2:9" x14ac:dyDescent="0.2">
      <c r="B168" s="18">
        <f>IF(EXACT('[1]DataLookUp - InternalCareer(LP)'!$B168, ""), "", '[1]DataLookUp - InternalCareer(LP)'!$B168)</f>
        <v>164000000000165</v>
      </c>
      <c r="C168" s="18" t="str">
        <f>IF(EXACT($B168, ""), "", VLOOKUP(B168, '[1]DataLookUp - InternalCareer(LP)'!$B$4:$D$620, 3, FALSE))</f>
        <v>Gatot Harsono</v>
      </c>
      <c r="D168" s="3"/>
      <c r="E168" s="18" t="str">
        <f>IF(EXACT($D168, ""), "", VLOOKUP($D168, [2]DataLookUp!$B$4:$C$84, 2, FALSE))</f>
        <v/>
      </c>
      <c r="F168" s="3"/>
      <c r="H168" s="15">
        <f t="shared" si="5"/>
        <v>225000000000011</v>
      </c>
      <c r="I168" s="16" t="str">
        <f t="shared" si="6"/>
        <v/>
      </c>
    </row>
    <row r="169" spans="2:9" x14ac:dyDescent="0.2">
      <c r="B169" s="18">
        <f>IF(EXACT('[1]DataLookUp - InternalCareer(LP)'!$B169, ""), "", '[1]DataLookUp - InternalCareer(LP)'!$B169)</f>
        <v>164000000000166</v>
      </c>
      <c r="C169" s="18" t="str">
        <f>IF(EXACT($B169, ""), "", VLOOKUP(B169, '[1]DataLookUp - InternalCareer(LP)'!$B$4:$D$620, 3, FALSE))</f>
        <v>Gina Septa</v>
      </c>
      <c r="D169" s="3"/>
      <c r="E169" s="18" t="str">
        <f>IF(EXACT($D169, ""), "", VLOOKUP($D169, [2]DataLookUp!$B$4:$C$84, 2, FALSE))</f>
        <v/>
      </c>
      <c r="F169" s="3"/>
      <c r="H169" s="15">
        <f t="shared" si="5"/>
        <v>225000000000011</v>
      </c>
      <c r="I169" s="16" t="str">
        <f t="shared" si="6"/>
        <v/>
      </c>
    </row>
    <row r="170" spans="2:9" x14ac:dyDescent="0.2">
      <c r="B170" s="18">
        <f>IF(EXACT('[1]DataLookUp - InternalCareer(LP)'!$B170, ""), "", '[1]DataLookUp - InternalCareer(LP)'!$B170)</f>
        <v>164000000000167</v>
      </c>
      <c r="C170" s="18" t="str">
        <f>IF(EXACT($B170, ""), "", VLOOKUP(B170, '[1]DataLookUp - InternalCareer(LP)'!$B$4:$D$620, 3, FALSE))</f>
        <v>Grace Kurniawan</v>
      </c>
      <c r="D170" s="3">
        <f>[2]MAIN!$D$25</f>
        <v>95000000000018</v>
      </c>
      <c r="E170" s="18" t="str">
        <f>IF(EXACT($D170, ""), "", VLOOKUP($D170, [2]DataLookUp!$B$4:$C$84, 2, FALSE))</f>
        <v>Sales General Manager</v>
      </c>
      <c r="F170" s="3"/>
      <c r="H170" s="15">
        <f t="shared" si="5"/>
        <v>225000000000012</v>
      </c>
      <c r="I170" s="16" t="str">
        <f t="shared" si="6"/>
        <v>PERFORM "SchData-OLTP-HumanResource"."Func_TblMapper_WorkerCareerInternalToUserRole_SET"(varSystemLoginSession, null::bigint, null::varchar, null::timestamptz, null::timestamptz, null::varchar, varInstitutionBranchID, varBaseCurrencyID, 164000000000167::bigint, 95000000000018::bigint, null::bigint);</v>
      </c>
    </row>
    <row r="171" spans="2:9" x14ac:dyDescent="0.2">
      <c r="B171" s="18">
        <f>IF(EXACT('[1]DataLookUp - InternalCareer(LP)'!$B171, ""), "", '[1]DataLookUp - InternalCareer(LP)'!$B171)</f>
        <v>164000000000168</v>
      </c>
      <c r="C171" s="18" t="str">
        <f>IF(EXACT($B171, ""), "", VLOOKUP(B171, '[1]DataLookUp - InternalCareer(LP)'!$B$4:$D$620, 3, FALSE))</f>
        <v>Gunawan</v>
      </c>
      <c r="D171" s="3">
        <f>[2]MAIN!$D$64</f>
        <v>95000000000050</v>
      </c>
      <c r="E171" s="18" t="str">
        <f>IF(EXACT($D171, ""), "", VLOOKUP($D171, [2]DataLookUp!$B$4:$C$84, 2, FALSE))</f>
        <v>Health Safety Environment Staff</v>
      </c>
      <c r="F171" s="3"/>
      <c r="H171" s="15">
        <f t="shared" si="5"/>
        <v>225000000000013</v>
      </c>
      <c r="I171" s="16" t="str">
        <f t="shared" si="6"/>
        <v>PERFORM "SchData-OLTP-HumanResource"."Func_TblMapper_WorkerCareerInternalToUserRole_SET"(varSystemLoginSession, null::bigint, null::varchar, null::timestamptz, null::timestamptz, null::varchar, varInstitutionBranchID, varBaseCurrencyID, 164000000000168::bigint, 95000000000050::bigint, null::bigint);</v>
      </c>
    </row>
    <row r="172" spans="2:9" x14ac:dyDescent="0.2">
      <c r="B172" s="18">
        <f>IF(EXACT('[1]DataLookUp - InternalCareer(LP)'!$B172, ""), "", '[1]DataLookUp - InternalCareer(LP)'!$B172)</f>
        <v>164000000000169</v>
      </c>
      <c r="C172" s="18" t="str">
        <f>IF(EXACT($B172, ""), "", VLOOKUP(B172, '[1]DataLookUp - InternalCareer(LP)'!$B$4:$D$620, 3, FALSE))</f>
        <v>Gustia Rakhmanita</v>
      </c>
      <c r="D172" s="3"/>
      <c r="E172" s="18" t="str">
        <f>IF(EXACT($D172, ""), "", VLOOKUP($D172, [2]DataLookUp!$B$4:$C$84, 2, FALSE))</f>
        <v/>
      </c>
      <c r="F172" s="3"/>
      <c r="H172" s="15">
        <f t="shared" si="5"/>
        <v>225000000000013</v>
      </c>
      <c r="I172" s="16" t="str">
        <f t="shared" si="6"/>
        <v/>
      </c>
    </row>
    <row r="173" spans="2:9" x14ac:dyDescent="0.2">
      <c r="B173" s="18">
        <f>IF(EXACT('[1]DataLookUp - InternalCareer(LP)'!$B173, ""), "", '[1]DataLookUp - InternalCareer(LP)'!$B173)</f>
        <v>164000000000170</v>
      </c>
      <c r="C173" s="18" t="str">
        <f>IF(EXACT($B173, ""), "", VLOOKUP(B173, '[1]DataLookUp - InternalCareer(LP)'!$B$4:$D$620, 3, FALSE))</f>
        <v>Habib Abdullah</v>
      </c>
      <c r="D173" s="3"/>
      <c r="E173" s="18" t="str">
        <f>IF(EXACT($D173, ""), "", VLOOKUP($D173, [2]DataLookUp!$B$4:$C$84, 2, FALSE))</f>
        <v/>
      </c>
      <c r="F173" s="3"/>
      <c r="H173" s="15">
        <f t="shared" si="5"/>
        <v>225000000000013</v>
      </c>
      <c r="I173" s="16" t="str">
        <f t="shared" si="6"/>
        <v/>
      </c>
    </row>
    <row r="174" spans="2:9" x14ac:dyDescent="0.2">
      <c r="B174" s="18">
        <f>IF(EXACT('[1]DataLookUp - InternalCareer(LP)'!$B174, ""), "", '[1]DataLookUp - InternalCareer(LP)'!$B174)</f>
        <v>164000000000171</v>
      </c>
      <c r="C174" s="18" t="str">
        <f>IF(EXACT($B174, ""), "", VLOOKUP(B174, '[1]DataLookUp - InternalCareer(LP)'!$B$4:$D$620, 3, FALSE))</f>
        <v>Hadi Kasmuri</v>
      </c>
      <c r="D174" s="3"/>
      <c r="E174" s="18" t="str">
        <f>IF(EXACT($D174, ""), "", VLOOKUP($D174, [2]DataLookUp!$B$4:$C$84, 2, FALSE))</f>
        <v/>
      </c>
      <c r="F174" s="3"/>
      <c r="H174" s="15">
        <f t="shared" si="5"/>
        <v>225000000000013</v>
      </c>
      <c r="I174" s="16" t="str">
        <f t="shared" si="6"/>
        <v/>
      </c>
    </row>
    <row r="175" spans="2:9" x14ac:dyDescent="0.2">
      <c r="B175" s="18">
        <f>IF(EXACT('[1]DataLookUp - InternalCareer(LP)'!$B175, ""), "", '[1]DataLookUp - InternalCareer(LP)'!$B175)</f>
        <v>164000000000172</v>
      </c>
      <c r="C175" s="18" t="str">
        <f>IF(EXACT($B175, ""), "", VLOOKUP(B175, '[1]DataLookUp - InternalCareer(LP)'!$B$4:$D$620, 3, FALSE))</f>
        <v>Haikal</v>
      </c>
      <c r="D175" s="3"/>
      <c r="E175" s="18" t="str">
        <f>IF(EXACT($D175, ""), "", VLOOKUP($D175, [2]DataLookUp!$B$4:$C$84, 2, FALSE))</f>
        <v/>
      </c>
      <c r="F175" s="3"/>
      <c r="H175" s="15">
        <f t="shared" si="5"/>
        <v>225000000000013</v>
      </c>
      <c r="I175" s="16" t="str">
        <f t="shared" si="6"/>
        <v/>
      </c>
    </row>
    <row r="176" spans="2:9" x14ac:dyDescent="0.2">
      <c r="B176" s="18">
        <f>IF(EXACT('[1]DataLookUp - InternalCareer(LP)'!$B176, ""), "", '[1]DataLookUp - InternalCareer(LP)'!$B176)</f>
        <v>164000000000173</v>
      </c>
      <c r="C176" s="18" t="str">
        <f>IF(EXACT($B176, ""), "", VLOOKUP(B176, '[1]DataLookUp - InternalCareer(LP)'!$B$4:$D$620, 3, FALSE))</f>
        <v>Hanantowiryo Tamtama</v>
      </c>
      <c r="D176" s="3"/>
      <c r="E176" s="18" t="str">
        <f>IF(EXACT($D176, ""), "", VLOOKUP($D176, [2]DataLookUp!$B$4:$C$84, 2, FALSE))</f>
        <v/>
      </c>
      <c r="F176" s="3"/>
      <c r="H176" s="15">
        <f t="shared" si="5"/>
        <v>225000000000013</v>
      </c>
      <c r="I176" s="16" t="str">
        <f t="shared" si="6"/>
        <v/>
      </c>
    </row>
    <row r="177" spans="2:9" x14ac:dyDescent="0.2">
      <c r="B177" s="18">
        <f>IF(EXACT('[1]DataLookUp - InternalCareer(LP)'!$B177, ""), "", '[1]DataLookUp - InternalCareer(LP)'!$B177)</f>
        <v>164000000000174</v>
      </c>
      <c r="C177" s="18" t="str">
        <f>IF(EXACT($B177, ""), "", VLOOKUP(B177, '[1]DataLookUp - InternalCareer(LP)'!$B$4:$D$620, 3, FALSE))</f>
        <v>Handoko</v>
      </c>
      <c r="D177" s="3"/>
      <c r="E177" s="18" t="str">
        <f>IF(EXACT($D177, ""), "", VLOOKUP($D177, [2]DataLookUp!$B$4:$C$84, 2, FALSE))</f>
        <v/>
      </c>
      <c r="F177" s="3"/>
      <c r="H177" s="15">
        <f t="shared" si="5"/>
        <v>225000000000013</v>
      </c>
      <c r="I177" s="16" t="str">
        <f t="shared" si="6"/>
        <v/>
      </c>
    </row>
    <row r="178" spans="2:9" x14ac:dyDescent="0.2">
      <c r="B178" s="18">
        <f>IF(EXACT('[1]DataLookUp - InternalCareer(LP)'!$B178, ""), "", '[1]DataLookUp - InternalCareer(LP)'!$B178)</f>
        <v>164000000000175</v>
      </c>
      <c r="C178" s="18" t="str">
        <f>IF(EXACT($B178, ""), "", VLOOKUP(B178, '[1]DataLookUp - InternalCareer(LP)'!$B$4:$D$620, 3, FALSE))</f>
        <v>Hanif Ashari</v>
      </c>
      <c r="D178" s="3"/>
      <c r="E178" s="18" t="str">
        <f>IF(EXACT($D178, ""), "", VLOOKUP($D178, [2]DataLookUp!$B$4:$C$84, 2, FALSE))</f>
        <v/>
      </c>
      <c r="F178" s="3"/>
      <c r="H178" s="15">
        <f t="shared" si="5"/>
        <v>225000000000013</v>
      </c>
      <c r="I178" s="16" t="str">
        <f t="shared" si="6"/>
        <v/>
      </c>
    </row>
    <row r="179" spans="2:9" x14ac:dyDescent="0.2">
      <c r="B179" s="18">
        <f>IF(EXACT('[1]DataLookUp - InternalCareer(LP)'!$B179, ""), "", '[1]DataLookUp - InternalCareer(LP)'!$B179)</f>
        <v>164000000000176</v>
      </c>
      <c r="C179" s="18" t="str">
        <f>IF(EXACT($B179, ""), "", VLOOKUP(B179, '[1]DataLookUp - InternalCareer(LP)'!$B$4:$D$620, 3, FALSE))</f>
        <v>Hanif Eko Saputro</v>
      </c>
      <c r="D179" s="3"/>
      <c r="E179" s="18" t="str">
        <f>IF(EXACT($D179, ""), "", VLOOKUP($D179, [2]DataLookUp!$B$4:$C$84, 2, FALSE))</f>
        <v/>
      </c>
      <c r="F179" s="3"/>
      <c r="H179" s="15">
        <f t="shared" si="5"/>
        <v>225000000000013</v>
      </c>
      <c r="I179" s="16" t="str">
        <f t="shared" si="6"/>
        <v/>
      </c>
    </row>
    <row r="180" spans="2:9" x14ac:dyDescent="0.2">
      <c r="B180" s="18">
        <f>IF(EXACT('[1]DataLookUp - InternalCareer(LP)'!$B180, ""), "", '[1]DataLookUp - InternalCareer(LP)'!$B180)</f>
        <v>164000000000177</v>
      </c>
      <c r="C180" s="18" t="str">
        <f>IF(EXACT($B180, ""), "", VLOOKUP(B180, '[1]DataLookUp - InternalCareer(LP)'!$B$4:$D$620, 3, FALSE))</f>
        <v>Hardianto</v>
      </c>
      <c r="D180" s="3"/>
      <c r="E180" s="18" t="str">
        <f>IF(EXACT($D180, ""), "", VLOOKUP($D180, [2]DataLookUp!$B$4:$C$84, 2, FALSE))</f>
        <v/>
      </c>
      <c r="F180" s="3"/>
      <c r="H180" s="15">
        <f t="shared" si="5"/>
        <v>225000000000013</v>
      </c>
      <c r="I180" s="16" t="str">
        <f t="shared" si="6"/>
        <v/>
      </c>
    </row>
    <row r="181" spans="2:9" x14ac:dyDescent="0.2">
      <c r="B181" s="18">
        <f>IF(EXACT('[1]DataLookUp - InternalCareer(LP)'!$B181, ""), "", '[1]DataLookUp - InternalCareer(LP)'!$B181)</f>
        <v>164000000000178</v>
      </c>
      <c r="C181" s="18" t="str">
        <f>IF(EXACT($B181, ""), "", VLOOKUP(B181, '[1]DataLookUp - InternalCareer(LP)'!$B$4:$D$620, 3, FALSE))</f>
        <v>Harlen Amudi Purba</v>
      </c>
      <c r="D181" s="3"/>
      <c r="E181" s="18" t="str">
        <f>IF(EXACT($D181, ""), "", VLOOKUP($D181, [2]DataLookUp!$B$4:$C$84, 2, FALSE))</f>
        <v/>
      </c>
      <c r="F181" s="3"/>
      <c r="H181" s="15">
        <f t="shared" si="5"/>
        <v>225000000000013</v>
      </c>
      <c r="I181" s="16" t="str">
        <f t="shared" si="6"/>
        <v/>
      </c>
    </row>
    <row r="182" spans="2:9" x14ac:dyDescent="0.2">
      <c r="B182" s="18">
        <f>IF(EXACT('[1]DataLookUp - InternalCareer(LP)'!$B182, ""), "", '[1]DataLookUp - InternalCareer(LP)'!$B182)</f>
        <v>164000000000179</v>
      </c>
      <c r="C182" s="18" t="str">
        <f>IF(EXACT($B182, ""), "", VLOOKUP(B182, '[1]DataLookUp - InternalCareer(LP)'!$B$4:$D$620, 3, FALSE))</f>
        <v>Harry Isnaeni</v>
      </c>
      <c r="D182" s="3"/>
      <c r="E182" s="18" t="str">
        <f>IF(EXACT($D182, ""), "", VLOOKUP($D182, [2]DataLookUp!$B$4:$C$84, 2, FALSE))</f>
        <v/>
      </c>
      <c r="F182" s="3"/>
      <c r="H182" s="15">
        <f t="shared" si="5"/>
        <v>225000000000013</v>
      </c>
      <c r="I182" s="16" t="str">
        <f t="shared" si="6"/>
        <v/>
      </c>
    </row>
    <row r="183" spans="2:9" x14ac:dyDescent="0.2">
      <c r="B183" s="18">
        <f>IF(EXACT('[1]DataLookUp - InternalCareer(LP)'!$B183, ""), "", '[1]DataLookUp - InternalCareer(LP)'!$B183)</f>
        <v>164000000000180</v>
      </c>
      <c r="C183" s="18" t="str">
        <f>IF(EXACT($B183, ""), "", VLOOKUP(B183, '[1]DataLookUp - InternalCareer(LP)'!$B$4:$D$620, 3, FALSE))</f>
        <v>Hasan Gani</v>
      </c>
      <c r="D183" s="3"/>
      <c r="E183" s="18" t="str">
        <f>IF(EXACT($D183, ""), "", VLOOKUP($D183, [2]DataLookUp!$B$4:$C$84, 2, FALSE))</f>
        <v/>
      </c>
      <c r="F183" s="3"/>
      <c r="H183" s="15">
        <f t="shared" si="5"/>
        <v>225000000000013</v>
      </c>
      <c r="I183" s="16" t="str">
        <f t="shared" si="6"/>
        <v/>
      </c>
    </row>
    <row r="184" spans="2:9" x14ac:dyDescent="0.2">
      <c r="B184" s="18">
        <f>IF(EXACT('[1]DataLookUp - InternalCareer(LP)'!$B184, ""), "", '[1]DataLookUp - InternalCareer(LP)'!$B184)</f>
        <v>164000000000181</v>
      </c>
      <c r="C184" s="18" t="str">
        <f>IF(EXACT($B184, ""), "", VLOOKUP(B184, '[1]DataLookUp - InternalCareer(LP)'!$B$4:$D$620, 3, FALSE))</f>
        <v>Hasrul</v>
      </c>
      <c r="D184" s="3"/>
      <c r="E184" s="18" t="str">
        <f>IF(EXACT($D184, ""), "", VLOOKUP($D184, [2]DataLookUp!$B$4:$C$84, 2, FALSE))</f>
        <v/>
      </c>
      <c r="F184" s="3"/>
      <c r="H184" s="15">
        <f t="shared" si="5"/>
        <v>225000000000013</v>
      </c>
      <c r="I184" s="16" t="str">
        <f t="shared" si="6"/>
        <v/>
      </c>
    </row>
    <row r="185" spans="2:9" x14ac:dyDescent="0.2">
      <c r="B185" s="18">
        <f>IF(EXACT('[1]DataLookUp - InternalCareer(LP)'!$B185, ""), "", '[1]DataLookUp - InternalCareer(LP)'!$B185)</f>
        <v>164000000000182</v>
      </c>
      <c r="C185" s="18" t="str">
        <f>IF(EXACT($B185, ""), "", VLOOKUP(B185, '[1]DataLookUp - InternalCareer(LP)'!$B$4:$D$620, 3, FALSE))</f>
        <v>Hendar Pambudi</v>
      </c>
      <c r="D185" s="3"/>
      <c r="E185" s="18" t="str">
        <f>IF(EXACT($D185, ""), "", VLOOKUP($D185, [2]DataLookUp!$B$4:$C$84, 2, FALSE))</f>
        <v/>
      </c>
      <c r="F185" s="3"/>
      <c r="H185" s="15">
        <f t="shared" si="5"/>
        <v>225000000000013</v>
      </c>
      <c r="I185" s="16" t="str">
        <f t="shared" si="6"/>
        <v/>
      </c>
    </row>
    <row r="186" spans="2:9" x14ac:dyDescent="0.2">
      <c r="B186" s="18">
        <f>IF(EXACT('[1]DataLookUp - InternalCareer(LP)'!$B186, ""), "", '[1]DataLookUp - InternalCareer(LP)'!$B186)</f>
        <v>164000000000183</v>
      </c>
      <c r="C186" s="18" t="str">
        <f>IF(EXACT($B186, ""), "", VLOOKUP(B186, '[1]DataLookUp - InternalCareer(LP)'!$B$4:$D$620, 3, FALSE))</f>
        <v>Hendri Kustian</v>
      </c>
      <c r="D186" s="3"/>
      <c r="E186" s="18" t="str">
        <f>IF(EXACT($D186, ""), "", VLOOKUP($D186, [2]DataLookUp!$B$4:$C$84, 2, FALSE))</f>
        <v/>
      </c>
      <c r="F186" s="3"/>
      <c r="H186" s="15">
        <f t="shared" si="5"/>
        <v>225000000000013</v>
      </c>
      <c r="I186" s="16" t="str">
        <f t="shared" si="6"/>
        <v/>
      </c>
    </row>
    <row r="187" spans="2:9" x14ac:dyDescent="0.2">
      <c r="B187" s="18">
        <f>IF(EXACT('[1]DataLookUp - InternalCareer(LP)'!$B187, ""), "", '[1]DataLookUp - InternalCareer(LP)'!$B187)</f>
        <v>164000000000184</v>
      </c>
      <c r="C187" s="18" t="str">
        <f>IF(EXACT($B187, ""), "", VLOOKUP(B187, '[1]DataLookUp - InternalCareer(LP)'!$B$4:$D$620, 3, FALSE))</f>
        <v>Hendrik</v>
      </c>
      <c r="D187" s="3"/>
      <c r="E187" s="18" t="str">
        <f>IF(EXACT($D187, ""), "", VLOOKUP($D187, [2]DataLookUp!$B$4:$C$84, 2, FALSE))</f>
        <v/>
      </c>
      <c r="F187" s="3"/>
      <c r="H187" s="15">
        <f t="shared" si="5"/>
        <v>225000000000013</v>
      </c>
      <c r="I187" s="16" t="str">
        <f t="shared" si="6"/>
        <v/>
      </c>
    </row>
    <row r="188" spans="2:9" x14ac:dyDescent="0.2">
      <c r="B188" s="18">
        <f>IF(EXACT('[1]DataLookUp - InternalCareer(LP)'!$B188, ""), "", '[1]DataLookUp - InternalCareer(LP)'!$B188)</f>
        <v>164000000000185</v>
      </c>
      <c r="C188" s="18" t="str">
        <f>IF(EXACT($B188, ""), "", VLOOKUP(B188, '[1]DataLookUp - InternalCareer(LP)'!$B$4:$D$620, 3, FALSE))</f>
        <v>Herdi Yulia Rohmana</v>
      </c>
      <c r="D188" s="3"/>
      <c r="E188" s="18" t="str">
        <f>IF(EXACT($D188, ""), "", VLOOKUP($D188, [2]DataLookUp!$B$4:$C$84, 2, FALSE))</f>
        <v/>
      </c>
      <c r="F188" s="3"/>
      <c r="H188" s="15">
        <f t="shared" si="5"/>
        <v>225000000000013</v>
      </c>
      <c r="I188" s="16" t="str">
        <f t="shared" si="6"/>
        <v/>
      </c>
    </row>
    <row r="189" spans="2:9" x14ac:dyDescent="0.2">
      <c r="B189" s="18">
        <f>IF(EXACT('[1]DataLookUp - InternalCareer(LP)'!$B189, ""), "", '[1]DataLookUp - InternalCareer(LP)'!$B189)</f>
        <v>164000000000186</v>
      </c>
      <c r="C189" s="18" t="str">
        <f>IF(EXACT($B189, ""), "", VLOOKUP(B189, '[1]DataLookUp - InternalCareer(LP)'!$B$4:$D$620, 3, FALSE))</f>
        <v>Heri Susanto</v>
      </c>
      <c r="D189" s="3"/>
      <c r="E189" s="18" t="str">
        <f>IF(EXACT($D189, ""), "", VLOOKUP($D189, [2]DataLookUp!$B$4:$C$84, 2, FALSE))</f>
        <v/>
      </c>
      <c r="F189" s="3"/>
      <c r="H189" s="15">
        <f t="shared" si="5"/>
        <v>225000000000013</v>
      </c>
      <c r="I189" s="16" t="str">
        <f t="shared" si="6"/>
        <v/>
      </c>
    </row>
    <row r="190" spans="2:9" x14ac:dyDescent="0.2">
      <c r="B190" s="18">
        <f>IF(EXACT('[1]DataLookUp - InternalCareer(LP)'!$B190, ""), "", '[1]DataLookUp - InternalCareer(LP)'!$B190)</f>
        <v>164000000000187</v>
      </c>
      <c r="C190" s="18" t="str">
        <f>IF(EXACT($B190, ""), "", VLOOKUP(B190, '[1]DataLookUp - InternalCareer(LP)'!$B$4:$D$620, 3, FALSE))</f>
        <v>Herlin Juli Asri</v>
      </c>
      <c r="D190" s="3"/>
      <c r="E190" s="18" t="str">
        <f>IF(EXACT($D190, ""), "", VLOOKUP($D190, [2]DataLookUp!$B$4:$C$84, 2, FALSE))</f>
        <v/>
      </c>
      <c r="F190" s="3"/>
      <c r="H190" s="15">
        <f t="shared" si="5"/>
        <v>225000000000013</v>
      </c>
      <c r="I190" s="16" t="str">
        <f t="shared" si="6"/>
        <v/>
      </c>
    </row>
    <row r="191" spans="2:9" x14ac:dyDescent="0.2">
      <c r="B191" s="18">
        <f>IF(EXACT('[1]DataLookUp - InternalCareer(LP)'!$B191, ""), "", '[1]DataLookUp - InternalCareer(LP)'!$B191)</f>
        <v>164000000000188</v>
      </c>
      <c r="C191" s="18" t="str">
        <f>IF(EXACT($B191, ""), "", VLOOKUP(B191, '[1]DataLookUp - InternalCareer(LP)'!$B$4:$D$620, 3, FALSE))</f>
        <v>Herman Budoyo</v>
      </c>
      <c r="D191" s="3"/>
      <c r="E191" s="18" t="str">
        <f>IF(EXACT($D191, ""), "", VLOOKUP($D191, [2]DataLookUp!$B$4:$C$84, 2, FALSE))</f>
        <v/>
      </c>
      <c r="F191" s="3"/>
      <c r="H191" s="15">
        <f t="shared" si="5"/>
        <v>225000000000013</v>
      </c>
      <c r="I191" s="16" t="str">
        <f t="shared" si="6"/>
        <v/>
      </c>
    </row>
    <row r="192" spans="2:9" x14ac:dyDescent="0.2">
      <c r="B192" s="18">
        <f>IF(EXACT('[1]DataLookUp - InternalCareer(LP)'!$B192, ""), "", '[1]DataLookUp - InternalCareer(LP)'!$B192)</f>
        <v>164000000000189</v>
      </c>
      <c r="C192" s="18" t="str">
        <f>IF(EXACT($B192, ""), "", VLOOKUP(B192, '[1]DataLookUp - InternalCareer(LP)'!$B$4:$D$620, 3, FALSE))</f>
        <v>Herni Yuliati</v>
      </c>
      <c r="D192" s="3"/>
      <c r="E192" s="18" t="str">
        <f>IF(EXACT($D192, ""), "", VLOOKUP($D192, [2]DataLookUp!$B$4:$C$84, 2, FALSE))</f>
        <v/>
      </c>
      <c r="F192" s="3"/>
      <c r="H192" s="15">
        <f t="shared" si="5"/>
        <v>225000000000013</v>
      </c>
      <c r="I192" s="16" t="str">
        <f t="shared" si="6"/>
        <v/>
      </c>
    </row>
    <row r="193" spans="2:9" x14ac:dyDescent="0.2">
      <c r="B193" s="18">
        <f>IF(EXACT('[1]DataLookUp - InternalCareer(LP)'!$B193, ""), "", '[1]DataLookUp - InternalCareer(LP)'!$B193)</f>
        <v>164000000000190</v>
      </c>
      <c r="C193" s="18" t="str">
        <f>IF(EXACT($B193, ""), "", VLOOKUP(B193, '[1]DataLookUp - InternalCareer(LP)'!$B$4:$D$620, 3, FALSE))</f>
        <v>Hernita Dwi</v>
      </c>
      <c r="D193" s="3"/>
      <c r="E193" s="18" t="str">
        <f>IF(EXACT($D193, ""), "", VLOOKUP($D193, [2]DataLookUp!$B$4:$C$84, 2, FALSE))</f>
        <v/>
      </c>
      <c r="F193" s="3"/>
      <c r="H193" s="15">
        <f t="shared" si="5"/>
        <v>225000000000013</v>
      </c>
      <c r="I193" s="16" t="str">
        <f t="shared" si="6"/>
        <v/>
      </c>
    </row>
    <row r="194" spans="2:9" x14ac:dyDescent="0.2">
      <c r="B194" s="18">
        <f>IF(EXACT('[1]DataLookUp - InternalCareer(LP)'!$B194, ""), "", '[1]DataLookUp - InternalCareer(LP)'!$B194)</f>
        <v>164000000000191</v>
      </c>
      <c r="C194" s="18" t="str">
        <f>IF(EXACT($B194, ""), "", VLOOKUP(B194, '[1]DataLookUp - InternalCareer(LP)'!$B$4:$D$620, 3, FALSE))</f>
        <v>Herri Setyawan</v>
      </c>
      <c r="D194" s="3"/>
      <c r="E194" s="18" t="str">
        <f>IF(EXACT($D194, ""), "", VLOOKUP($D194, [2]DataLookUp!$B$4:$C$84, 2, FALSE))</f>
        <v/>
      </c>
      <c r="F194" s="3"/>
      <c r="H194" s="15">
        <f t="shared" si="5"/>
        <v>225000000000013</v>
      </c>
      <c r="I194" s="16" t="str">
        <f t="shared" si="6"/>
        <v/>
      </c>
    </row>
    <row r="195" spans="2:9" x14ac:dyDescent="0.2">
      <c r="B195" s="18">
        <f>IF(EXACT('[1]DataLookUp - InternalCareer(LP)'!$B195, ""), "", '[1]DataLookUp - InternalCareer(LP)'!$B195)</f>
        <v>164000000000192</v>
      </c>
      <c r="C195" s="18" t="str">
        <f>IF(EXACT($B195, ""), "", VLOOKUP(B195, '[1]DataLookUp - InternalCareer(LP)'!$B$4:$D$620, 3, FALSE))</f>
        <v>Heru Sugiri</v>
      </c>
      <c r="D195" s="3"/>
      <c r="E195" s="18" t="str">
        <f>IF(EXACT($D195, ""), "", VLOOKUP($D195, [2]DataLookUp!$B$4:$C$84, 2, FALSE))</f>
        <v/>
      </c>
      <c r="F195" s="3"/>
      <c r="H195" s="15">
        <f t="shared" si="5"/>
        <v>225000000000013</v>
      </c>
      <c r="I195" s="16" t="str">
        <f t="shared" si="6"/>
        <v/>
      </c>
    </row>
    <row r="196" spans="2:9" x14ac:dyDescent="0.2">
      <c r="B196" s="18">
        <f>IF(EXACT('[1]DataLookUp - InternalCareer(LP)'!$B196, ""), "", '[1]DataLookUp - InternalCareer(LP)'!$B196)</f>
        <v>164000000000193</v>
      </c>
      <c r="C196" s="18" t="str">
        <f>IF(EXACT($B196, ""), "", VLOOKUP(B196, '[1]DataLookUp - InternalCareer(LP)'!$B$4:$D$620, 3, FALSE))</f>
        <v>Hervian Bagus Saputra</v>
      </c>
      <c r="D196" s="3"/>
      <c r="E196" s="18" t="str">
        <f>IF(EXACT($D196, ""), "", VLOOKUP($D196, [2]DataLookUp!$B$4:$C$84, 2, FALSE))</f>
        <v/>
      </c>
      <c r="F196" s="3"/>
      <c r="H196" s="15">
        <f t="shared" si="5"/>
        <v>225000000000013</v>
      </c>
      <c r="I196" s="16" t="str">
        <f t="shared" si="6"/>
        <v/>
      </c>
    </row>
    <row r="197" spans="2:9" x14ac:dyDescent="0.2">
      <c r="B197" s="18">
        <f>IF(EXACT('[1]DataLookUp - InternalCareer(LP)'!$B197, ""), "", '[1]DataLookUp - InternalCareer(LP)'!$B197)</f>
        <v>164000000000194</v>
      </c>
      <c r="C197" s="18" t="str">
        <f>IF(EXACT($B197, ""), "", VLOOKUP(B197, '[1]DataLookUp - InternalCareer(LP)'!$B$4:$D$620, 3, FALSE))</f>
        <v>H.R. Marlina S. T. R.</v>
      </c>
      <c r="D197" s="3"/>
      <c r="E197" s="18" t="str">
        <f>IF(EXACT($D197, ""), "", VLOOKUP($D197, [2]DataLookUp!$B$4:$C$84, 2, FALSE))</f>
        <v/>
      </c>
      <c r="F197" s="3"/>
      <c r="H197" s="15">
        <f t="shared" si="5"/>
        <v>225000000000013</v>
      </c>
      <c r="I197" s="16" t="str">
        <f t="shared" si="6"/>
        <v/>
      </c>
    </row>
    <row r="198" spans="2:9" x14ac:dyDescent="0.2">
      <c r="B198" s="18">
        <f>IF(EXACT('[1]DataLookUp - InternalCareer(LP)'!$B198, ""), "", '[1]DataLookUp - InternalCareer(LP)'!$B198)</f>
        <v>164000000000195</v>
      </c>
      <c r="C198" s="18" t="str">
        <f>IF(EXACT($B198, ""), "", VLOOKUP(B198, '[1]DataLookUp - InternalCareer(LP)'!$B$4:$D$620, 3, FALSE))</f>
        <v>Ibrahim Soukani</v>
      </c>
      <c r="D198" s="3"/>
      <c r="E198" s="18" t="str">
        <f>IF(EXACT($D198, ""), "", VLOOKUP($D198, [2]DataLookUp!$B$4:$C$84, 2, FALSE))</f>
        <v/>
      </c>
      <c r="F198" s="3"/>
      <c r="H198" s="15">
        <f t="shared" ref="H198:H261" si="7" xml:space="preserve"> H197 + IF(EXACT(I198, ""), 0, 1)</f>
        <v>225000000000013</v>
      </c>
      <c r="I198" s="16" t="str">
        <f t="shared" si="6"/>
        <v/>
      </c>
    </row>
    <row r="199" spans="2:9" x14ac:dyDescent="0.2">
      <c r="B199" s="18">
        <f>IF(EXACT('[1]DataLookUp - InternalCareer(LP)'!$B199, ""), "", '[1]DataLookUp - InternalCareer(LP)'!$B199)</f>
        <v>164000000000196</v>
      </c>
      <c r="C199" s="18" t="str">
        <f>IF(EXACT($B199, ""), "", VLOOKUP(B199, '[1]DataLookUp - InternalCareer(LP)'!$B$4:$D$620, 3, FALSE))</f>
        <v>Icha Mailinda Syamsoedin</v>
      </c>
      <c r="D199" s="3">
        <f>[2]MAIN!$D$49</f>
        <v>95000000000038</v>
      </c>
      <c r="E199" s="18" t="str">
        <f>IF(EXACT($D199, ""), "", VLOOKUP($D199, [2]DataLookUp!$B$4:$C$84, 2, FALSE))</f>
        <v>IT Software Engineer Coordinator</v>
      </c>
      <c r="F199" s="3"/>
      <c r="H199" s="15">
        <f t="shared" si="7"/>
        <v>225000000000014</v>
      </c>
      <c r="I199" s="16" t="str">
        <f t="shared" si="6"/>
        <v>PERFORM "SchData-OLTP-HumanResource"."Func_TblMapper_WorkerCareerInternalToUserRole_SET"(varSystemLoginSession, null::bigint, null::varchar, null::timestamptz, null::timestamptz, null::varchar, varInstitutionBranchID, varBaseCurrencyID, 164000000000196::bigint, 95000000000038::bigint, null::bigint);</v>
      </c>
    </row>
    <row r="200" spans="2:9" x14ac:dyDescent="0.2">
      <c r="B200" s="18">
        <f>IF(EXACT('[1]DataLookUp - InternalCareer(LP)'!$B200, ""), "", '[1]DataLookUp - InternalCareer(LP)'!$B200)</f>
        <v>164000000000197</v>
      </c>
      <c r="C200" s="18" t="str">
        <f>IF(EXACT($B200, ""), "", VLOOKUP(B200, '[1]DataLookUp - InternalCareer(LP)'!$B$4:$D$620, 3, FALSE))</f>
        <v>Ichsanudin</v>
      </c>
      <c r="D200" s="3"/>
      <c r="E200" s="18" t="str">
        <f>IF(EXACT($D200, ""), "", VLOOKUP($D200, [2]DataLookUp!$B$4:$C$84, 2, FALSE))</f>
        <v/>
      </c>
      <c r="F200" s="3"/>
      <c r="H200" s="15">
        <f t="shared" si="7"/>
        <v>225000000000014</v>
      </c>
      <c r="I200" s="16" t="str">
        <f t="shared" si="6"/>
        <v/>
      </c>
    </row>
    <row r="201" spans="2:9" x14ac:dyDescent="0.2">
      <c r="B201" s="18">
        <f>IF(EXACT('[1]DataLookUp - InternalCareer(LP)'!$B201, ""), "", '[1]DataLookUp - InternalCareer(LP)'!$B201)</f>
        <v>164000000000198</v>
      </c>
      <c r="C201" s="18" t="str">
        <f>IF(EXACT($B201, ""), "", VLOOKUP(B201, '[1]DataLookUp - InternalCareer(LP)'!$B$4:$D$620, 3, FALSE))</f>
        <v>Ida Tri Wulaningsih</v>
      </c>
      <c r="D201" s="3"/>
      <c r="E201" s="18" t="str">
        <f>IF(EXACT($D201, ""), "", VLOOKUP($D201, [2]DataLookUp!$B$4:$C$84, 2, FALSE))</f>
        <v/>
      </c>
      <c r="F201" s="3"/>
      <c r="H201" s="15">
        <f t="shared" si="7"/>
        <v>225000000000014</v>
      </c>
      <c r="I201" s="16" t="str">
        <f t="shared" si="6"/>
        <v/>
      </c>
    </row>
    <row r="202" spans="2:9" x14ac:dyDescent="0.2">
      <c r="B202" s="18">
        <f>IF(EXACT('[1]DataLookUp - InternalCareer(LP)'!$B202, ""), "", '[1]DataLookUp - InternalCareer(LP)'!$B202)</f>
        <v>164000000000199</v>
      </c>
      <c r="C202" s="18" t="str">
        <f>IF(EXACT($B202, ""), "", VLOOKUP(B202, '[1]DataLookUp - InternalCareer(LP)'!$B$4:$D$620, 3, FALSE))</f>
        <v>Idham</v>
      </c>
      <c r="D202" s="3"/>
      <c r="E202" s="18" t="str">
        <f>IF(EXACT($D202, ""), "", VLOOKUP($D202, [2]DataLookUp!$B$4:$C$84, 2, FALSE))</f>
        <v/>
      </c>
      <c r="F202" s="3"/>
      <c r="H202" s="15">
        <f t="shared" si="7"/>
        <v>225000000000014</v>
      </c>
      <c r="I202" s="16" t="str">
        <f t="shared" si="6"/>
        <v/>
      </c>
    </row>
    <row r="203" spans="2:9" x14ac:dyDescent="0.2">
      <c r="B203" s="18">
        <f>IF(EXACT('[1]DataLookUp - InternalCareer(LP)'!$B203, ""), "", '[1]DataLookUp - InternalCareer(LP)'!$B203)</f>
        <v>164000000000200</v>
      </c>
      <c r="C203" s="18" t="str">
        <f>IF(EXACT($B203, ""), "", VLOOKUP(B203, '[1]DataLookUp - InternalCareer(LP)'!$B$4:$D$620, 3, FALSE))</f>
        <v>Idham Nasution</v>
      </c>
      <c r="D203" s="3"/>
      <c r="E203" s="18" t="str">
        <f>IF(EXACT($D203, ""), "", VLOOKUP($D203, [2]DataLookUp!$B$4:$C$84, 2, FALSE))</f>
        <v/>
      </c>
      <c r="F203" s="3"/>
      <c r="H203" s="15">
        <f t="shared" si="7"/>
        <v>225000000000014</v>
      </c>
      <c r="I203" s="16" t="str">
        <f t="shared" si="6"/>
        <v/>
      </c>
    </row>
    <row r="204" spans="2:9" x14ac:dyDescent="0.2">
      <c r="B204" s="18">
        <f>IF(EXACT('[1]DataLookUp - InternalCareer(LP)'!$B204, ""), "", '[1]DataLookUp - InternalCareer(LP)'!$B204)</f>
        <v>164000000000201</v>
      </c>
      <c r="C204" s="18" t="str">
        <f>IF(EXACT($B204, ""), "", VLOOKUP(B204, '[1]DataLookUp - InternalCareer(LP)'!$B$4:$D$620, 3, FALSE))</f>
        <v>Idian</v>
      </c>
      <c r="D204" s="3"/>
      <c r="E204" s="18" t="str">
        <f>IF(EXACT($D204, ""), "", VLOOKUP($D204, [2]DataLookUp!$B$4:$C$84, 2, FALSE))</f>
        <v/>
      </c>
      <c r="F204" s="3"/>
      <c r="H204" s="15">
        <f t="shared" si="7"/>
        <v>225000000000014</v>
      </c>
      <c r="I204" s="16" t="str">
        <f t="shared" si="6"/>
        <v/>
      </c>
    </row>
    <row r="205" spans="2:9" x14ac:dyDescent="0.2">
      <c r="B205" s="18">
        <f>IF(EXACT('[1]DataLookUp - InternalCareer(LP)'!$B205, ""), "", '[1]DataLookUp - InternalCareer(LP)'!$B205)</f>
        <v>164000000000202</v>
      </c>
      <c r="C205" s="18" t="str">
        <f>IF(EXACT($B205, ""), "", VLOOKUP(B205, '[1]DataLookUp - InternalCareer(LP)'!$B$4:$D$620, 3, FALSE))</f>
        <v>Ikun M. Soedrajat</v>
      </c>
      <c r="D205" s="3"/>
      <c r="E205" s="18" t="str">
        <f>IF(EXACT($D205, ""), "", VLOOKUP($D205, [2]DataLookUp!$B$4:$C$84, 2, FALSE))</f>
        <v/>
      </c>
      <c r="F205" s="3"/>
      <c r="H205" s="15">
        <f t="shared" si="7"/>
        <v>225000000000014</v>
      </c>
      <c r="I205" s="16" t="str">
        <f t="shared" si="6"/>
        <v/>
      </c>
    </row>
    <row r="206" spans="2:9" x14ac:dyDescent="0.2">
      <c r="B206" s="18">
        <f>IF(EXACT('[1]DataLookUp - InternalCareer(LP)'!$B206, ""), "", '[1]DataLookUp - InternalCareer(LP)'!$B206)</f>
        <v>164000000000203</v>
      </c>
      <c r="C206" s="18" t="str">
        <f>IF(EXACT($B206, ""), "", VLOOKUP(B206, '[1]DataLookUp - InternalCareer(LP)'!$B$4:$D$620, 3, FALSE))</f>
        <v>Ilham Arisyandy</v>
      </c>
      <c r="D206" s="3"/>
      <c r="E206" s="18" t="str">
        <f>IF(EXACT($D206, ""), "", VLOOKUP($D206, [2]DataLookUp!$B$4:$C$84, 2, FALSE))</f>
        <v/>
      </c>
      <c r="F206" s="3"/>
      <c r="H206" s="15">
        <f t="shared" si="7"/>
        <v>225000000000014</v>
      </c>
      <c r="I206" s="16" t="str">
        <f t="shared" si="6"/>
        <v/>
      </c>
    </row>
    <row r="207" spans="2:9" x14ac:dyDescent="0.2">
      <c r="B207" s="18">
        <f>IF(EXACT('[1]DataLookUp - InternalCareer(LP)'!$B207, ""), "", '[1]DataLookUp - InternalCareer(LP)'!$B207)</f>
        <v>164000000000204</v>
      </c>
      <c r="C207" s="18" t="str">
        <f>IF(EXACT($B207, ""), "", VLOOKUP(B207, '[1]DataLookUp - InternalCareer(LP)'!$B$4:$D$620, 3, FALSE))</f>
        <v>Ilham Akbar</v>
      </c>
      <c r="D207" s="3"/>
      <c r="E207" s="18" t="str">
        <f>IF(EXACT($D207, ""), "", VLOOKUP($D207, [2]DataLookUp!$B$4:$C$84, 2, FALSE))</f>
        <v/>
      </c>
      <c r="F207" s="3"/>
      <c r="H207" s="15">
        <f t="shared" si="7"/>
        <v>225000000000014</v>
      </c>
      <c r="I207" s="16" t="str">
        <f t="shared" si="6"/>
        <v/>
      </c>
    </row>
    <row r="208" spans="2:9" x14ac:dyDescent="0.2">
      <c r="B208" s="18">
        <f>IF(EXACT('[1]DataLookUp - InternalCareer(LP)'!$B208, ""), "", '[1]DataLookUp - InternalCareer(LP)'!$B208)</f>
        <v>164000000000205</v>
      </c>
      <c r="C208" s="18" t="str">
        <f>IF(EXACT($B208, ""), "", VLOOKUP(B208, '[1]DataLookUp - InternalCareer(LP)'!$B$4:$D$620, 3, FALSE))</f>
        <v>Imam Basuki</v>
      </c>
      <c r="D208" s="3"/>
      <c r="E208" s="18" t="str">
        <f>IF(EXACT($D208, ""), "", VLOOKUP($D208, [2]DataLookUp!$B$4:$C$84, 2, FALSE))</f>
        <v/>
      </c>
      <c r="F208" s="3"/>
      <c r="H208" s="15">
        <f t="shared" si="7"/>
        <v>225000000000014</v>
      </c>
      <c r="I208" s="16" t="str">
        <f t="shared" ref="I208:I271" si="8">IF(EXACT(D208, ""), "", CONCATENATE("PERFORM ""SchData-OLTP-HumanResource"".""Func_TblMapper_WorkerCareerInternalToUserRole_SET""(varSystemLoginSession, null::bigint, null::varchar, null::timestamptz, null::timestamptz, null::varchar, varInstitutionBranchID, varBaseCurrencyID, ", IF(EXACT(B208, ""), "null", B208), "::bigint, ", IF(EXACT(D208, ""), "null", D208), "::bigint, ", IF(EXACT(F208, ""), "null", F208), "::bigint);"))</f>
        <v/>
      </c>
    </row>
    <row r="209" spans="2:9" x14ac:dyDescent="0.2">
      <c r="B209" s="18">
        <f>IF(EXACT('[1]DataLookUp - InternalCareer(LP)'!$B209, ""), "", '[1]DataLookUp - InternalCareer(LP)'!$B209)</f>
        <v>164000000000206</v>
      </c>
      <c r="C209" s="18" t="str">
        <f>IF(EXACT($B209, ""), "", VLOOKUP(B209, '[1]DataLookUp - InternalCareer(LP)'!$B$4:$D$620, 3, FALSE))</f>
        <v>Imam Mustofa</v>
      </c>
      <c r="D209" s="3"/>
      <c r="E209" s="18" t="str">
        <f>IF(EXACT($D209, ""), "", VLOOKUP($D209, [2]DataLookUp!$B$4:$C$84, 2, FALSE))</f>
        <v/>
      </c>
      <c r="F209" s="3"/>
      <c r="H209" s="15">
        <f t="shared" si="7"/>
        <v>225000000000014</v>
      </c>
      <c r="I209" s="16" t="str">
        <f t="shared" si="8"/>
        <v/>
      </c>
    </row>
    <row r="210" spans="2:9" x14ac:dyDescent="0.2">
      <c r="B210" s="18">
        <f>IF(EXACT('[1]DataLookUp - InternalCareer(LP)'!$B210, ""), "", '[1]DataLookUp - InternalCareer(LP)'!$B210)</f>
        <v>164000000000207</v>
      </c>
      <c r="C210" s="18" t="str">
        <f>IF(EXACT($B210, ""), "", VLOOKUP(B210, '[1]DataLookUp - InternalCareer(LP)'!$B$4:$D$620, 3, FALSE))</f>
        <v>Imam Safiiy</v>
      </c>
      <c r="D210" s="3"/>
      <c r="E210" s="18" t="str">
        <f>IF(EXACT($D210, ""), "", VLOOKUP($D210, [2]DataLookUp!$B$4:$C$84, 2, FALSE))</f>
        <v/>
      </c>
      <c r="F210" s="3"/>
      <c r="H210" s="15">
        <f t="shared" si="7"/>
        <v>225000000000014</v>
      </c>
      <c r="I210" s="16" t="str">
        <f t="shared" si="8"/>
        <v/>
      </c>
    </row>
    <row r="211" spans="2:9" x14ac:dyDescent="0.2">
      <c r="B211" s="18">
        <f>IF(EXACT('[1]DataLookUp - InternalCareer(LP)'!$B211, ""), "", '[1]DataLookUp - InternalCareer(LP)'!$B211)</f>
        <v>164000000000208</v>
      </c>
      <c r="C211" s="18" t="str">
        <f>IF(EXACT($B211, ""), "", VLOOKUP(B211, '[1]DataLookUp - InternalCareer(LP)'!$B$4:$D$620, 3, FALSE))</f>
        <v>Iman Hakiki</v>
      </c>
      <c r="D211" s="3"/>
      <c r="E211" s="18" t="str">
        <f>IF(EXACT($D211, ""), "", VLOOKUP($D211, [2]DataLookUp!$B$4:$C$84, 2, FALSE))</f>
        <v/>
      </c>
      <c r="F211" s="3"/>
      <c r="H211" s="15">
        <f t="shared" si="7"/>
        <v>225000000000014</v>
      </c>
      <c r="I211" s="16" t="str">
        <f t="shared" si="8"/>
        <v/>
      </c>
    </row>
    <row r="212" spans="2:9" x14ac:dyDescent="0.2">
      <c r="B212" s="18">
        <f>IF(EXACT('[1]DataLookUp - InternalCareer(LP)'!$B212, ""), "", '[1]DataLookUp - InternalCareer(LP)'!$B212)</f>
        <v>164000000000209</v>
      </c>
      <c r="C212" s="18" t="str">
        <f>IF(EXACT($B212, ""), "", VLOOKUP(B212, '[1]DataLookUp - InternalCareer(LP)'!$B$4:$D$620, 3, FALSE))</f>
        <v>Imelda Claudia</v>
      </c>
      <c r="D212" s="3"/>
      <c r="E212" s="18" t="str">
        <f>IF(EXACT($D212, ""), "", VLOOKUP($D212, [2]DataLookUp!$B$4:$C$84, 2, FALSE))</f>
        <v/>
      </c>
      <c r="F212" s="3"/>
      <c r="H212" s="15">
        <f t="shared" si="7"/>
        <v>225000000000014</v>
      </c>
      <c r="I212" s="16" t="str">
        <f t="shared" si="8"/>
        <v/>
      </c>
    </row>
    <row r="213" spans="2:9" x14ac:dyDescent="0.2">
      <c r="B213" s="18">
        <f>IF(EXACT('[1]DataLookUp - InternalCareer(LP)'!$B213, ""), "", '[1]DataLookUp - InternalCareer(LP)'!$B213)</f>
        <v>164000000000210</v>
      </c>
      <c r="C213" s="18" t="str">
        <f>IF(EXACT($B213, ""), "", VLOOKUP(B213, '[1]DataLookUp - InternalCareer(LP)'!$B$4:$D$620, 3, FALSE))</f>
        <v>Indawan Haryadi</v>
      </c>
      <c r="D213" s="3"/>
      <c r="E213" s="18" t="str">
        <f>IF(EXACT($D213, ""), "", VLOOKUP($D213, [2]DataLookUp!$B$4:$C$84, 2, FALSE))</f>
        <v/>
      </c>
      <c r="F213" s="3"/>
      <c r="H213" s="15">
        <f t="shared" si="7"/>
        <v>225000000000014</v>
      </c>
      <c r="I213" s="16" t="str">
        <f t="shared" si="8"/>
        <v/>
      </c>
    </row>
    <row r="214" spans="2:9" x14ac:dyDescent="0.2">
      <c r="B214" s="18">
        <f>IF(EXACT('[1]DataLookUp - InternalCareer(LP)'!$B214, ""), "", '[1]DataLookUp - InternalCareer(LP)'!$B214)</f>
        <v>164000000000211</v>
      </c>
      <c r="C214" s="18" t="str">
        <f>IF(EXACT($B214, ""), "", VLOOKUP(B214, '[1]DataLookUp - InternalCareer(LP)'!$B$4:$D$620, 3, FALSE))</f>
        <v>Indra Jaya</v>
      </c>
      <c r="D214" s="3"/>
      <c r="E214" s="18" t="str">
        <f>IF(EXACT($D214, ""), "", VLOOKUP($D214, [2]DataLookUp!$B$4:$C$84, 2, FALSE))</f>
        <v/>
      </c>
      <c r="F214" s="3"/>
      <c r="H214" s="15">
        <f t="shared" si="7"/>
        <v>225000000000014</v>
      </c>
      <c r="I214" s="16" t="str">
        <f t="shared" si="8"/>
        <v/>
      </c>
    </row>
    <row r="215" spans="2:9" x14ac:dyDescent="0.2">
      <c r="B215" s="18">
        <f>IF(EXACT('[1]DataLookUp - InternalCareer(LP)'!$B215, ""), "", '[1]DataLookUp - InternalCareer(LP)'!$B215)</f>
        <v>164000000000212</v>
      </c>
      <c r="C215" s="18" t="str">
        <f>IF(EXACT($B215, ""), "", VLOOKUP(B215, '[1]DataLookUp - InternalCareer(LP)'!$B$4:$D$620, 3, FALSE))</f>
        <v>Indra Muchtar</v>
      </c>
      <c r="D215" s="3"/>
      <c r="E215" s="18" t="str">
        <f>IF(EXACT($D215, ""), "", VLOOKUP($D215, [2]DataLookUp!$B$4:$C$84, 2, FALSE))</f>
        <v/>
      </c>
      <c r="F215" s="3"/>
      <c r="H215" s="15">
        <f t="shared" si="7"/>
        <v>225000000000014</v>
      </c>
      <c r="I215" s="16" t="str">
        <f t="shared" si="8"/>
        <v/>
      </c>
    </row>
    <row r="216" spans="2:9" x14ac:dyDescent="0.2">
      <c r="B216" s="18">
        <f>IF(EXACT('[1]DataLookUp - InternalCareer(LP)'!$B216, ""), "", '[1]DataLookUp - InternalCareer(LP)'!$B216)</f>
        <v>164000000000213</v>
      </c>
      <c r="C216" s="18" t="str">
        <f>IF(EXACT($B216, ""), "", VLOOKUP(B216, '[1]DataLookUp - InternalCareer(LP)'!$B$4:$D$620, 3, FALSE))</f>
        <v>Irvan</v>
      </c>
      <c r="D216" s="3"/>
      <c r="E216" s="18" t="str">
        <f>IF(EXACT($D216, ""), "", VLOOKUP($D216, [2]DataLookUp!$B$4:$C$84, 2, FALSE))</f>
        <v/>
      </c>
      <c r="F216" s="3"/>
      <c r="H216" s="15">
        <f t="shared" si="7"/>
        <v>225000000000014</v>
      </c>
      <c r="I216" s="16" t="str">
        <f t="shared" si="8"/>
        <v/>
      </c>
    </row>
    <row r="217" spans="2:9" x14ac:dyDescent="0.2">
      <c r="B217" s="18">
        <f>IF(EXACT('[1]DataLookUp - InternalCareer(LP)'!$B217, ""), "", '[1]DataLookUp - InternalCareer(LP)'!$B217)</f>
        <v>164000000000214</v>
      </c>
      <c r="C217" s="18" t="str">
        <f>IF(EXACT($B217, ""), "", VLOOKUP(B217, '[1]DataLookUp - InternalCareer(LP)'!$B$4:$D$620, 3, FALSE))</f>
        <v>Irvan Agus Dharma Eka Putra</v>
      </c>
      <c r="D217" s="3"/>
      <c r="E217" s="18" t="str">
        <f>IF(EXACT($D217, ""), "", VLOOKUP($D217, [2]DataLookUp!$B$4:$C$84, 2, FALSE))</f>
        <v/>
      </c>
      <c r="F217" s="3"/>
      <c r="H217" s="15">
        <f t="shared" si="7"/>
        <v>225000000000014</v>
      </c>
      <c r="I217" s="16" t="str">
        <f t="shared" si="8"/>
        <v/>
      </c>
    </row>
    <row r="218" spans="2:9" x14ac:dyDescent="0.2">
      <c r="B218" s="18">
        <f>IF(EXACT('[1]DataLookUp - InternalCareer(LP)'!$B218, ""), "", '[1]DataLookUp - InternalCareer(LP)'!$B218)</f>
        <v>164000000000215</v>
      </c>
      <c r="C218" s="18" t="str">
        <f>IF(EXACT($B218, ""), "", VLOOKUP(B218, '[1]DataLookUp - InternalCareer(LP)'!$B$4:$D$620, 3, FALSE))</f>
        <v>Irwan</v>
      </c>
      <c r="D218" s="3"/>
      <c r="E218" s="18" t="str">
        <f>IF(EXACT($D218, ""), "", VLOOKUP($D218, [2]DataLookUp!$B$4:$C$84, 2, FALSE))</f>
        <v/>
      </c>
      <c r="F218" s="3"/>
      <c r="H218" s="15">
        <f t="shared" si="7"/>
        <v>225000000000014</v>
      </c>
      <c r="I218" s="16" t="str">
        <f t="shared" si="8"/>
        <v/>
      </c>
    </row>
    <row r="219" spans="2:9" x14ac:dyDescent="0.2">
      <c r="B219" s="18">
        <f>IF(EXACT('[1]DataLookUp - InternalCareer(LP)'!$B219, ""), "", '[1]DataLookUp - InternalCareer(LP)'!$B219)</f>
        <v>164000000000216</v>
      </c>
      <c r="C219" s="18" t="str">
        <f>IF(EXACT($B219, ""), "", VLOOKUP(B219, '[1]DataLookUp - InternalCareer(LP)'!$B$4:$D$620, 3, FALSE))</f>
        <v>Isa Anshori</v>
      </c>
      <c r="D219" s="3"/>
      <c r="E219" s="18" t="str">
        <f>IF(EXACT($D219, ""), "", VLOOKUP($D219, [2]DataLookUp!$B$4:$C$84, 2, FALSE))</f>
        <v/>
      </c>
      <c r="F219" s="3"/>
      <c r="H219" s="15">
        <f t="shared" si="7"/>
        <v>225000000000014</v>
      </c>
      <c r="I219" s="16" t="str">
        <f t="shared" si="8"/>
        <v/>
      </c>
    </row>
    <row r="220" spans="2:9" x14ac:dyDescent="0.2">
      <c r="B220" s="18">
        <f>IF(EXACT('[1]DataLookUp - InternalCareer(LP)'!$B220, ""), "", '[1]DataLookUp - InternalCareer(LP)'!$B220)</f>
        <v>164000000000217</v>
      </c>
      <c r="C220" s="18" t="str">
        <f>IF(EXACT($B220, ""), "", VLOOKUP(B220, '[1]DataLookUp - InternalCareer(LP)'!$B$4:$D$620, 3, FALSE))</f>
        <v>Isa Taufiq</v>
      </c>
      <c r="D220" s="3"/>
      <c r="E220" s="18" t="str">
        <f>IF(EXACT($D220, ""), "", VLOOKUP($D220, [2]DataLookUp!$B$4:$C$84, 2, FALSE))</f>
        <v/>
      </c>
      <c r="F220" s="3"/>
      <c r="H220" s="15">
        <f t="shared" si="7"/>
        <v>225000000000014</v>
      </c>
      <c r="I220" s="16" t="str">
        <f t="shared" si="8"/>
        <v/>
      </c>
    </row>
    <row r="221" spans="2:9" x14ac:dyDescent="0.2">
      <c r="B221" s="18">
        <f>IF(EXACT('[1]DataLookUp - InternalCareer(LP)'!$B221, ""), "", '[1]DataLookUp - InternalCareer(LP)'!$B221)</f>
        <v>164000000000218</v>
      </c>
      <c r="C221" s="18" t="str">
        <f>IF(EXACT($B221, ""), "", VLOOKUP(B221, '[1]DataLookUp - InternalCareer(LP)'!$B$4:$D$620, 3, FALSE))</f>
        <v>Iskandarsyah</v>
      </c>
      <c r="D221" s="3"/>
      <c r="E221" s="18" t="str">
        <f>IF(EXACT($D221, ""), "", VLOOKUP($D221, [2]DataLookUp!$B$4:$C$84, 2, FALSE))</f>
        <v/>
      </c>
      <c r="F221" s="3"/>
      <c r="H221" s="15">
        <f t="shared" si="7"/>
        <v>225000000000014</v>
      </c>
      <c r="I221" s="16" t="str">
        <f t="shared" si="8"/>
        <v/>
      </c>
    </row>
    <row r="222" spans="2:9" x14ac:dyDescent="0.2">
      <c r="B222" s="18">
        <f>IF(EXACT('[1]DataLookUp - InternalCareer(LP)'!$B222, ""), "", '[1]DataLookUp - InternalCareer(LP)'!$B222)</f>
        <v>164000000000219</v>
      </c>
      <c r="C222" s="18" t="str">
        <f>IF(EXACT($B222, ""), "", VLOOKUP(B222, '[1]DataLookUp - InternalCareer(LP)'!$B$4:$D$620, 3, FALSE))</f>
        <v>Istanto Istanto</v>
      </c>
      <c r="D222" s="3"/>
      <c r="E222" s="18" t="str">
        <f>IF(EXACT($D222, ""), "", VLOOKUP($D222, [2]DataLookUp!$B$4:$C$84, 2, FALSE))</f>
        <v/>
      </c>
      <c r="F222" s="3"/>
      <c r="H222" s="15">
        <f t="shared" si="7"/>
        <v>225000000000014</v>
      </c>
      <c r="I222" s="16" t="str">
        <f t="shared" si="8"/>
        <v/>
      </c>
    </row>
    <row r="223" spans="2:9" x14ac:dyDescent="0.2">
      <c r="B223" s="18">
        <f>IF(EXACT('[1]DataLookUp - InternalCareer(LP)'!$B223, ""), "", '[1]DataLookUp - InternalCareer(LP)'!$B223)</f>
        <v>164000000000220</v>
      </c>
      <c r="C223" s="18" t="str">
        <f>IF(EXACT($B223, ""), "", VLOOKUP(B223, '[1]DataLookUp - InternalCareer(LP)'!$B$4:$D$620, 3, FALSE))</f>
        <v>Iswahyuni</v>
      </c>
      <c r="D223" s="3"/>
      <c r="E223" s="18" t="str">
        <f>IF(EXACT($D223, ""), "", VLOOKUP($D223, [2]DataLookUp!$B$4:$C$84, 2, FALSE))</f>
        <v/>
      </c>
      <c r="F223" s="3"/>
      <c r="H223" s="15">
        <f t="shared" si="7"/>
        <v>225000000000014</v>
      </c>
      <c r="I223" s="16" t="str">
        <f t="shared" si="8"/>
        <v/>
      </c>
    </row>
    <row r="224" spans="2:9" x14ac:dyDescent="0.2">
      <c r="B224" s="18">
        <f>IF(EXACT('[1]DataLookUp - InternalCareer(LP)'!$B224, ""), "", '[1]DataLookUp - InternalCareer(LP)'!$B224)</f>
        <v>164000000000221</v>
      </c>
      <c r="C224" s="18" t="str">
        <f>IF(EXACT($B224, ""), "", VLOOKUP(B224, '[1]DataLookUp - InternalCareer(LP)'!$B$4:$D$620, 3, FALSE))</f>
        <v>Iva Nurvahayati</v>
      </c>
      <c r="D224" s="3"/>
      <c r="E224" s="18" t="str">
        <f>IF(EXACT($D224, ""), "", VLOOKUP($D224, [2]DataLookUp!$B$4:$C$84, 2, FALSE))</f>
        <v/>
      </c>
      <c r="F224" s="3"/>
      <c r="H224" s="15">
        <f t="shared" si="7"/>
        <v>225000000000014</v>
      </c>
      <c r="I224" s="16" t="str">
        <f t="shared" si="8"/>
        <v/>
      </c>
    </row>
    <row r="225" spans="2:9" x14ac:dyDescent="0.2">
      <c r="B225" s="18">
        <f>IF(EXACT('[1]DataLookUp - InternalCareer(LP)'!$B225, ""), "", '[1]DataLookUp - InternalCareer(LP)'!$B225)</f>
        <v>164000000000222</v>
      </c>
      <c r="C225" s="18" t="str">
        <f>IF(EXACT($B225, ""), "", VLOOKUP(B225, '[1]DataLookUp - InternalCareer(LP)'!$B$4:$D$620, 3, FALSE))</f>
        <v>Iwan Setiawan</v>
      </c>
      <c r="D225" s="3"/>
      <c r="E225" s="18" t="str">
        <f>IF(EXACT($D225, ""), "", VLOOKUP($D225, [2]DataLookUp!$B$4:$C$84, 2, FALSE))</f>
        <v/>
      </c>
      <c r="F225" s="3"/>
      <c r="H225" s="15">
        <f t="shared" si="7"/>
        <v>225000000000014</v>
      </c>
      <c r="I225" s="16" t="str">
        <f t="shared" si="8"/>
        <v/>
      </c>
    </row>
    <row r="226" spans="2:9" x14ac:dyDescent="0.2">
      <c r="B226" s="18">
        <f>IF(EXACT('[1]DataLookUp - InternalCareer(LP)'!$B226, ""), "", '[1]DataLookUp - InternalCareer(LP)'!$B226)</f>
        <v>164000000000223</v>
      </c>
      <c r="C226" s="18" t="str">
        <f>IF(EXACT($B226, ""), "", VLOOKUP(B226, '[1]DataLookUp - InternalCareer(LP)'!$B$4:$D$620, 3, FALSE))</f>
        <v>Iwan Sumantri</v>
      </c>
      <c r="D226" s="3"/>
      <c r="E226" s="18" t="str">
        <f>IF(EXACT($D226, ""), "", VLOOKUP($D226, [2]DataLookUp!$B$4:$C$84, 2, FALSE))</f>
        <v/>
      </c>
      <c r="F226" s="3"/>
      <c r="H226" s="15">
        <f t="shared" si="7"/>
        <v>225000000000014</v>
      </c>
      <c r="I226" s="16" t="str">
        <f t="shared" si="8"/>
        <v/>
      </c>
    </row>
    <row r="227" spans="2:9" x14ac:dyDescent="0.2">
      <c r="B227" s="18">
        <f>IF(EXACT('[1]DataLookUp - InternalCareer(LP)'!$B227, ""), "", '[1]DataLookUp - InternalCareer(LP)'!$B227)</f>
        <v>164000000000224</v>
      </c>
      <c r="C227" s="18" t="str">
        <f>IF(EXACT($B227, ""), "", VLOOKUP(B227, '[1]DataLookUp - InternalCareer(LP)'!$B$4:$D$620, 3, FALSE))</f>
        <v>Iwan Wibawa</v>
      </c>
      <c r="D227" s="3"/>
      <c r="E227" s="18" t="str">
        <f>IF(EXACT($D227, ""), "", VLOOKUP($D227, [2]DataLookUp!$B$4:$C$84, 2, FALSE))</f>
        <v/>
      </c>
      <c r="F227" s="3"/>
      <c r="H227" s="15">
        <f t="shared" si="7"/>
        <v>225000000000014</v>
      </c>
      <c r="I227" s="16" t="str">
        <f t="shared" si="8"/>
        <v/>
      </c>
    </row>
    <row r="228" spans="2:9" x14ac:dyDescent="0.2">
      <c r="B228" s="18">
        <f>IF(EXACT('[1]DataLookUp - InternalCareer(LP)'!$B228, ""), "", '[1]DataLookUp - InternalCareer(LP)'!$B228)</f>
        <v>164000000000225</v>
      </c>
      <c r="C228" s="18" t="str">
        <f>IF(EXACT($B228, ""), "", VLOOKUP(B228, '[1]DataLookUp - InternalCareer(LP)'!$B$4:$D$620, 3, FALSE))</f>
        <v>Iyus Darwin</v>
      </c>
      <c r="D228" s="3"/>
      <c r="E228" s="18" t="str">
        <f>IF(EXACT($D228, ""), "", VLOOKUP($D228, [2]DataLookUp!$B$4:$C$84, 2, FALSE))</f>
        <v/>
      </c>
      <c r="F228" s="3"/>
      <c r="H228" s="15">
        <f t="shared" si="7"/>
        <v>225000000000014</v>
      </c>
      <c r="I228" s="16" t="str">
        <f t="shared" si="8"/>
        <v/>
      </c>
    </row>
    <row r="229" spans="2:9" x14ac:dyDescent="0.2">
      <c r="B229" s="18">
        <f>IF(EXACT('[1]DataLookUp - InternalCareer(LP)'!$B229, ""), "", '[1]DataLookUp - InternalCareer(LP)'!$B229)</f>
        <v>164000000000226</v>
      </c>
      <c r="C229" s="18" t="str">
        <f>IF(EXACT($B229, ""), "", VLOOKUP(B229, '[1]DataLookUp - InternalCareer(LP)'!$B$4:$D$620, 3, FALSE))</f>
        <v>Jaenudin</v>
      </c>
      <c r="D229" s="3"/>
      <c r="E229" s="18" t="str">
        <f>IF(EXACT($D229, ""), "", VLOOKUP($D229, [2]DataLookUp!$B$4:$C$84, 2, FALSE))</f>
        <v/>
      </c>
      <c r="F229" s="3"/>
      <c r="H229" s="15">
        <f t="shared" si="7"/>
        <v>225000000000014</v>
      </c>
      <c r="I229" s="16" t="str">
        <f t="shared" si="8"/>
        <v/>
      </c>
    </row>
    <row r="230" spans="2:9" x14ac:dyDescent="0.2">
      <c r="B230" s="18">
        <f>IF(EXACT('[1]DataLookUp - InternalCareer(LP)'!$B230, ""), "", '[1]DataLookUp - InternalCareer(LP)'!$B230)</f>
        <v>164000000000227</v>
      </c>
      <c r="C230" s="18" t="str">
        <f>IF(EXACT($B230, ""), "", VLOOKUP(B230, '[1]DataLookUp - InternalCareer(LP)'!$B$4:$D$620, 3, FALSE))</f>
        <v>Jaruli Samosir</v>
      </c>
      <c r="D230" s="3"/>
      <c r="E230" s="18" t="str">
        <f>IF(EXACT($D230, ""), "", VLOOKUP($D230, [2]DataLookUp!$B$4:$C$84, 2, FALSE))</f>
        <v/>
      </c>
      <c r="F230" s="3"/>
      <c r="H230" s="15">
        <f t="shared" si="7"/>
        <v>225000000000014</v>
      </c>
      <c r="I230" s="16" t="str">
        <f t="shared" si="8"/>
        <v/>
      </c>
    </row>
    <row r="231" spans="2:9" x14ac:dyDescent="0.2">
      <c r="B231" s="18">
        <f>IF(EXACT('[1]DataLookUp - InternalCareer(LP)'!$B231, ""), "", '[1]DataLookUp - InternalCareer(LP)'!$B231)</f>
        <v>164000000000228</v>
      </c>
      <c r="C231" s="18" t="str">
        <f>IF(EXACT($B231, ""), "", VLOOKUP(B231, '[1]DataLookUp - InternalCareer(LP)'!$B$4:$D$620, 3, FALSE))</f>
        <v>Jaya Ganef</v>
      </c>
      <c r="D231" s="3"/>
      <c r="E231" s="18" t="str">
        <f>IF(EXACT($D231, ""), "", VLOOKUP($D231, [2]DataLookUp!$B$4:$C$84, 2, FALSE))</f>
        <v/>
      </c>
      <c r="F231" s="3"/>
      <c r="H231" s="15">
        <f t="shared" si="7"/>
        <v>225000000000014</v>
      </c>
      <c r="I231" s="16" t="str">
        <f t="shared" si="8"/>
        <v/>
      </c>
    </row>
    <row r="232" spans="2:9" x14ac:dyDescent="0.2">
      <c r="B232" s="18">
        <f>IF(EXACT('[1]DataLookUp - InternalCareer(LP)'!$B232, ""), "", '[1]DataLookUp - InternalCareer(LP)'!$B232)</f>
        <v>164000000000229</v>
      </c>
      <c r="C232" s="18" t="str">
        <f>IF(EXACT($B232, ""), "", VLOOKUP(B232, '[1]DataLookUp - InternalCareer(LP)'!$B$4:$D$620, 3, FALSE))</f>
        <v>Jaya Sitepu</v>
      </c>
      <c r="D232" s="3"/>
      <c r="E232" s="18" t="str">
        <f>IF(EXACT($D232, ""), "", VLOOKUP($D232, [2]DataLookUp!$B$4:$C$84, 2, FALSE))</f>
        <v/>
      </c>
      <c r="F232" s="3"/>
      <c r="H232" s="15">
        <f t="shared" si="7"/>
        <v>225000000000014</v>
      </c>
      <c r="I232" s="16" t="str">
        <f t="shared" si="8"/>
        <v/>
      </c>
    </row>
    <row r="233" spans="2:9" x14ac:dyDescent="0.2">
      <c r="B233" s="18">
        <f>IF(EXACT('[1]DataLookUp - InternalCareer(LP)'!$B233, ""), "", '[1]DataLookUp - InternalCareer(LP)'!$B233)</f>
        <v>164000000000230</v>
      </c>
      <c r="C233" s="18" t="str">
        <f>IF(EXACT($B233, ""), "", VLOOKUP(B233, '[1]DataLookUp - InternalCareer(LP)'!$B$4:$D$620, 3, FALSE))</f>
        <v>Jeefrianda H. P. Sigalingging</v>
      </c>
      <c r="D233" s="3"/>
      <c r="E233" s="18" t="str">
        <f>IF(EXACT($D233, ""), "", VLOOKUP($D233, [2]DataLookUp!$B$4:$C$84, 2, FALSE))</f>
        <v/>
      </c>
      <c r="F233" s="3"/>
      <c r="H233" s="15">
        <f t="shared" si="7"/>
        <v>225000000000014</v>
      </c>
      <c r="I233" s="16" t="str">
        <f t="shared" si="8"/>
        <v/>
      </c>
    </row>
    <row r="234" spans="2:9" x14ac:dyDescent="0.2">
      <c r="B234" s="18">
        <f>IF(EXACT('[1]DataLookUp - InternalCareer(LP)'!$B234, ""), "", '[1]DataLookUp - InternalCareer(LP)'!$B234)</f>
        <v>164000000000231</v>
      </c>
      <c r="C234" s="18" t="str">
        <f>IF(EXACT($B234, ""), "", VLOOKUP(B234, '[1]DataLookUp - InternalCareer(LP)'!$B$4:$D$620, 3, FALSE))</f>
        <v>Jerry Djajasaputra</v>
      </c>
      <c r="D234" s="3"/>
      <c r="E234" s="18" t="str">
        <f>IF(EXACT($D234, ""), "", VLOOKUP($D234, [2]DataLookUp!$B$4:$C$84, 2, FALSE))</f>
        <v/>
      </c>
      <c r="F234" s="3"/>
      <c r="H234" s="15">
        <f t="shared" si="7"/>
        <v>225000000000014</v>
      </c>
      <c r="I234" s="16" t="str">
        <f t="shared" si="8"/>
        <v/>
      </c>
    </row>
    <row r="235" spans="2:9" x14ac:dyDescent="0.2">
      <c r="B235" s="18">
        <f>IF(EXACT('[1]DataLookUp - InternalCareer(LP)'!$B235, ""), "", '[1]DataLookUp - InternalCareer(LP)'!$B235)</f>
        <v>164000000000232</v>
      </c>
      <c r="C235" s="18" t="str">
        <f>IF(EXACT($B235, ""), "", VLOOKUP(B235, '[1]DataLookUp - InternalCareer(LP)'!$B$4:$D$620, 3, FALSE))</f>
        <v>Jimmywal</v>
      </c>
      <c r="D235" s="3">
        <f>[2]MAIN!$D$27</f>
        <v>95000000000019</v>
      </c>
      <c r="E235" s="18" t="str">
        <f>IF(EXACT($D235, ""), "", VLOOKUP($D235, [2]DataLookUp!$B$4:$C$84, 2, FALSE))</f>
        <v>Project Manager</v>
      </c>
      <c r="F235" s="3">
        <v>46000000000033</v>
      </c>
      <c r="H235" s="15">
        <f t="shared" si="7"/>
        <v>225000000000015</v>
      </c>
      <c r="I235" s="16" t="str">
        <f t="shared" si="8"/>
        <v>PERFORM "SchData-OLTP-HumanResource"."Func_TblMapper_WorkerCareerInternalToUserRole_SET"(varSystemLoginSession, null::bigint, null::varchar, null::timestamptz, null::timestamptz, null::varchar, varInstitutionBranchID, varBaseCurrencyID, 164000000000232::bigint, 95000000000019::bigint, 46000000000033::bigint);</v>
      </c>
    </row>
    <row r="236" spans="2:9" x14ac:dyDescent="0.2">
      <c r="B236" s="18">
        <f>IF(EXACT('[1]DataLookUp - InternalCareer(LP)'!$B236, ""), "", '[1]DataLookUp - InternalCareer(LP)'!$B236)</f>
        <v>164000000000233</v>
      </c>
      <c r="C236" s="18" t="str">
        <f>IF(EXACT($B236, ""), "", VLOOKUP(B236, '[1]DataLookUp - InternalCareer(LP)'!$B$4:$D$620, 3, FALSE))</f>
        <v>Jodie Satria</v>
      </c>
      <c r="D236" s="3"/>
      <c r="E236" s="18" t="str">
        <f>IF(EXACT($D236, ""), "", VLOOKUP($D236, [2]DataLookUp!$B$4:$C$84, 2, FALSE))</f>
        <v/>
      </c>
      <c r="F236" s="3"/>
      <c r="H236" s="15">
        <f t="shared" si="7"/>
        <v>225000000000015</v>
      </c>
      <c r="I236" s="16" t="str">
        <f t="shared" si="8"/>
        <v/>
      </c>
    </row>
    <row r="237" spans="2:9" x14ac:dyDescent="0.2">
      <c r="B237" s="18">
        <f>IF(EXACT('[1]DataLookUp - InternalCareer(LP)'!$B237, ""), "", '[1]DataLookUp - InternalCareer(LP)'!$B237)</f>
        <v>164000000000234</v>
      </c>
      <c r="C237" s="18" t="str">
        <f>IF(EXACT($B237, ""), "", VLOOKUP(B237, '[1]DataLookUp - InternalCareer(LP)'!$B$4:$D$620, 3, FALSE))</f>
        <v>Johannes Silalahi</v>
      </c>
      <c r="D237" s="3"/>
      <c r="E237" s="18" t="str">
        <f>IF(EXACT($D237, ""), "", VLOOKUP($D237, [2]DataLookUp!$B$4:$C$84, 2, FALSE))</f>
        <v/>
      </c>
      <c r="F237" s="3"/>
      <c r="H237" s="15">
        <f t="shared" si="7"/>
        <v>225000000000015</v>
      </c>
      <c r="I237" s="16" t="str">
        <f t="shared" si="8"/>
        <v/>
      </c>
    </row>
    <row r="238" spans="2:9" x14ac:dyDescent="0.2">
      <c r="B238" s="18">
        <f>IF(EXACT('[1]DataLookUp - InternalCareer(LP)'!$B238, ""), "", '[1]DataLookUp - InternalCareer(LP)'!$B238)</f>
        <v>164000000000235</v>
      </c>
      <c r="C238" s="18" t="str">
        <f>IF(EXACT($B238, ""), "", VLOOKUP(B238, '[1]DataLookUp - InternalCareer(LP)'!$B$4:$D$620, 3, FALSE))</f>
        <v>Joko Wiyono</v>
      </c>
      <c r="D238" s="3"/>
      <c r="E238" s="18" t="str">
        <f>IF(EXACT($D238, ""), "", VLOOKUP($D238, [2]DataLookUp!$B$4:$C$84, 2, FALSE))</f>
        <v/>
      </c>
      <c r="F238" s="3"/>
      <c r="H238" s="15">
        <f t="shared" si="7"/>
        <v>225000000000015</v>
      </c>
      <c r="I238" s="16" t="str">
        <f t="shared" si="8"/>
        <v/>
      </c>
    </row>
    <row r="239" spans="2:9" x14ac:dyDescent="0.2">
      <c r="B239" s="18">
        <f>IF(EXACT('[1]DataLookUp - InternalCareer(LP)'!$B239, ""), "", '[1]DataLookUp - InternalCareer(LP)'!$B239)</f>
        <v>164000000000236</v>
      </c>
      <c r="C239" s="18" t="str">
        <f>IF(EXACT($B239, ""), "", VLOOKUP(B239, '[1]DataLookUp - InternalCareer(LP)'!$B$4:$D$620, 3, FALSE))</f>
        <v>Jondril Hantoni</v>
      </c>
      <c r="D239" s="3"/>
      <c r="E239" s="18" t="str">
        <f>IF(EXACT($D239, ""), "", VLOOKUP($D239, [2]DataLookUp!$B$4:$C$84, 2, FALSE))</f>
        <v/>
      </c>
      <c r="F239" s="3"/>
      <c r="H239" s="15">
        <f t="shared" si="7"/>
        <v>225000000000015</v>
      </c>
      <c r="I239" s="16" t="str">
        <f t="shared" si="8"/>
        <v/>
      </c>
    </row>
    <row r="240" spans="2:9" x14ac:dyDescent="0.2">
      <c r="B240" s="18">
        <f>IF(EXACT('[1]DataLookUp - InternalCareer(LP)'!$B240, ""), "", '[1]DataLookUp - InternalCareer(LP)'!$B240)</f>
        <v>164000000000237</v>
      </c>
      <c r="C240" s="18" t="str">
        <f>IF(EXACT($B240, ""), "", VLOOKUP(B240, '[1]DataLookUp - InternalCareer(LP)'!$B$4:$D$620, 3, FALSE))</f>
        <v>Jonhar Aziz</v>
      </c>
      <c r="D240" s="3"/>
      <c r="E240" s="18" t="str">
        <f>IF(EXACT($D240, ""), "", VLOOKUP($D240, [2]DataLookUp!$B$4:$C$84, 2, FALSE))</f>
        <v/>
      </c>
      <c r="F240" s="3"/>
      <c r="H240" s="15">
        <f t="shared" si="7"/>
        <v>225000000000015</v>
      </c>
      <c r="I240" s="16" t="str">
        <f t="shared" si="8"/>
        <v/>
      </c>
    </row>
    <row r="241" spans="2:9" x14ac:dyDescent="0.2">
      <c r="B241" s="18">
        <f>IF(EXACT('[1]DataLookUp - InternalCareer(LP)'!$B241, ""), "", '[1]DataLookUp - InternalCareer(LP)'!$B241)</f>
        <v>164000000000238</v>
      </c>
      <c r="C241" s="18" t="str">
        <f>IF(EXACT($B241, ""), "", VLOOKUP(B241, '[1]DataLookUp - InternalCareer(LP)'!$B$4:$D$620, 3, FALSE))</f>
        <v>Juan Talitha</v>
      </c>
      <c r="D241" s="3"/>
      <c r="E241" s="18" t="str">
        <f>IF(EXACT($D241, ""), "", VLOOKUP($D241, [2]DataLookUp!$B$4:$C$84, 2, FALSE))</f>
        <v/>
      </c>
      <c r="F241" s="3"/>
      <c r="H241" s="15">
        <f t="shared" si="7"/>
        <v>225000000000015</v>
      </c>
      <c r="I241" s="16" t="str">
        <f t="shared" si="8"/>
        <v/>
      </c>
    </row>
    <row r="242" spans="2:9" x14ac:dyDescent="0.2">
      <c r="B242" s="18">
        <f>IF(EXACT('[1]DataLookUp - InternalCareer(LP)'!$B242, ""), "", '[1]DataLookUp - InternalCareer(LP)'!$B242)</f>
        <v>164000000000239</v>
      </c>
      <c r="C242" s="18" t="str">
        <f>IF(EXACT($B242, ""), "", VLOOKUP(B242, '[1]DataLookUp - InternalCareer(LP)'!$B$4:$D$620, 3, FALSE))</f>
        <v>Juharja Juharja</v>
      </c>
      <c r="D242" s="3"/>
      <c r="E242" s="18" t="str">
        <f>IF(EXACT($D242, ""), "", VLOOKUP($D242, [2]DataLookUp!$B$4:$C$84, 2, FALSE))</f>
        <v/>
      </c>
      <c r="F242" s="3"/>
      <c r="H242" s="15">
        <f t="shared" si="7"/>
        <v>225000000000015</v>
      </c>
      <c r="I242" s="16" t="str">
        <f t="shared" si="8"/>
        <v/>
      </c>
    </row>
    <row r="243" spans="2:9" x14ac:dyDescent="0.2">
      <c r="B243" s="18">
        <f>IF(EXACT('[1]DataLookUp - InternalCareer(LP)'!$B243, ""), "", '[1]DataLookUp - InternalCareer(LP)'!$B243)</f>
        <v>164000000000240</v>
      </c>
      <c r="C243" s="18" t="str">
        <f>IF(EXACT($B243, ""), "", VLOOKUP(B243, '[1]DataLookUp - InternalCareer(LP)'!$B$4:$D$620, 3, FALSE))</f>
        <v>Juminar</v>
      </c>
      <c r="D243" s="3"/>
      <c r="E243" s="18" t="str">
        <f>IF(EXACT($D243, ""), "", VLOOKUP($D243, [2]DataLookUp!$B$4:$C$84, 2, FALSE))</f>
        <v/>
      </c>
      <c r="F243" s="3"/>
      <c r="H243" s="15">
        <f t="shared" si="7"/>
        <v>225000000000015</v>
      </c>
      <c r="I243" s="16" t="str">
        <f t="shared" si="8"/>
        <v/>
      </c>
    </row>
    <row r="244" spans="2:9" x14ac:dyDescent="0.2">
      <c r="B244" s="18">
        <f>IF(EXACT('[1]DataLookUp - InternalCareer(LP)'!$B244, ""), "", '[1]DataLookUp - InternalCareer(LP)'!$B244)</f>
        <v>164000000000241</v>
      </c>
      <c r="C244" s="18" t="str">
        <f>IF(EXACT($B244, ""), "", VLOOKUP(B244, '[1]DataLookUp - InternalCareer(LP)'!$B$4:$D$620, 3, FALSE))</f>
        <v>Jumino</v>
      </c>
      <c r="D244" s="3"/>
      <c r="E244" s="18" t="str">
        <f>IF(EXACT($D244, ""), "", VLOOKUP($D244, [2]DataLookUp!$B$4:$C$84, 2, FALSE))</f>
        <v/>
      </c>
      <c r="F244" s="3"/>
      <c r="H244" s="15">
        <f t="shared" si="7"/>
        <v>225000000000015</v>
      </c>
      <c r="I244" s="16" t="str">
        <f t="shared" si="8"/>
        <v/>
      </c>
    </row>
    <row r="245" spans="2:9" x14ac:dyDescent="0.2">
      <c r="B245" s="18">
        <f>IF(EXACT('[1]DataLookUp - InternalCareer(LP)'!$B245, ""), "", '[1]DataLookUp - InternalCareer(LP)'!$B245)</f>
        <v>164000000000242</v>
      </c>
      <c r="C245" s="18" t="str">
        <f>IF(EXACT($B245, ""), "", VLOOKUP(B245, '[1]DataLookUp - InternalCareer(LP)'!$B$4:$D$620, 3, FALSE))</f>
        <v>Junaedi</v>
      </c>
      <c r="D245" s="3"/>
      <c r="E245" s="18" t="str">
        <f>IF(EXACT($D245, ""), "", VLOOKUP($D245, [2]DataLookUp!$B$4:$C$84, 2, FALSE))</f>
        <v/>
      </c>
      <c r="F245" s="3"/>
      <c r="H245" s="15">
        <f t="shared" si="7"/>
        <v>225000000000015</v>
      </c>
      <c r="I245" s="16" t="str">
        <f t="shared" si="8"/>
        <v/>
      </c>
    </row>
    <row r="246" spans="2:9" x14ac:dyDescent="0.2">
      <c r="B246" s="18">
        <f>IF(EXACT('[1]DataLookUp - InternalCareer(LP)'!$B246, ""), "", '[1]DataLookUp - InternalCareer(LP)'!$B246)</f>
        <v>164000000000243</v>
      </c>
      <c r="C246" s="18" t="str">
        <f>IF(EXACT($B246, ""), "", VLOOKUP(B246, '[1]DataLookUp - InternalCareer(LP)'!$B$4:$D$620, 3, FALSE))</f>
        <v>Junaidi</v>
      </c>
      <c r="D246" s="3"/>
      <c r="E246" s="18" t="str">
        <f>IF(EXACT($D246, ""), "", VLOOKUP($D246, [2]DataLookUp!$B$4:$C$84, 2, FALSE))</f>
        <v/>
      </c>
      <c r="F246" s="3"/>
      <c r="H246" s="15">
        <f t="shared" si="7"/>
        <v>225000000000015</v>
      </c>
      <c r="I246" s="16" t="str">
        <f t="shared" si="8"/>
        <v/>
      </c>
    </row>
    <row r="247" spans="2:9" x14ac:dyDescent="0.2">
      <c r="B247" s="18">
        <f>IF(EXACT('[1]DataLookUp - InternalCareer(LP)'!$B247, ""), "", '[1]DataLookUp - InternalCareer(LP)'!$B247)</f>
        <v>164000000000244</v>
      </c>
      <c r="C247" s="18" t="str">
        <f>IF(EXACT($B247, ""), "", VLOOKUP(B247, '[1]DataLookUp - InternalCareer(LP)'!$B$4:$D$620, 3, FALSE))</f>
        <v>Jusuf Bobby Putra</v>
      </c>
      <c r="D247" s="3">
        <f>[2]MAIN!$D$27</f>
        <v>95000000000019</v>
      </c>
      <c r="E247" s="18" t="str">
        <f>IF(EXACT($D247, ""), "", VLOOKUP($D247, [2]DataLookUp!$B$4:$C$84, 2, FALSE))</f>
        <v>Project Manager</v>
      </c>
      <c r="F247" s="3"/>
      <c r="H247" s="15">
        <f t="shared" si="7"/>
        <v>225000000000016</v>
      </c>
      <c r="I247" s="16" t="str">
        <f t="shared" si="8"/>
        <v>PERFORM "SchData-OLTP-HumanResource"."Func_TblMapper_WorkerCareerInternalToUserRole_SET"(varSystemLoginSession, null::bigint, null::varchar, null::timestamptz, null::timestamptz, null::varchar, varInstitutionBranchID, varBaseCurrencyID, 164000000000244::bigint, 95000000000019::bigint, null::bigint);</v>
      </c>
    </row>
    <row r="248" spans="2:9" x14ac:dyDescent="0.2">
      <c r="B248" s="18">
        <f>IF(EXACT('[1]DataLookUp - InternalCareer(LP)'!$B248, ""), "", '[1]DataLookUp - InternalCareer(LP)'!$B248)</f>
        <v>164000000000245</v>
      </c>
      <c r="C248" s="18" t="str">
        <f>IF(EXACT($B248, ""), "", VLOOKUP(B248, '[1]DataLookUp - InternalCareer(LP)'!$B$4:$D$620, 3, FALSE))</f>
        <v>Jusuf Gandi</v>
      </c>
      <c r="D248" s="3"/>
      <c r="E248" s="18" t="str">
        <f>IF(EXACT($D248, ""), "", VLOOKUP($D248, [2]DataLookUp!$B$4:$C$84, 2, FALSE))</f>
        <v/>
      </c>
      <c r="F248" s="3"/>
      <c r="H248" s="15">
        <f t="shared" si="7"/>
        <v>225000000000016</v>
      </c>
      <c r="I248" s="16" t="str">
        <f t="shared" si="8"/>
        <v/>
      </c>
    </row>
    <row r="249" spans="2:9" x14ac:dyDescent="0.2">
      <c r="B249" s="18">
        <f>IF(EXACT('[1]DataLookUp - InternalCareer(LP)'!$B249, ""), "", '[1]DataLookUp - InternalCareer(LP)'!$B249)</f>
        <v>164000000000246</v>
      </c>
      <c r="C249" s="18" t="str">
        <f>IF(EXACT($B249, ""), "", VLOOKUP(B249, '[1]DataLookUp - InternalCareer(LP)'!$B$4:$D$620, 3, FALSE))</f>
        <v>Kahar Triyono</v>
      </c>
      <c r="D249" s="3"/>
      <c r="E249" s="18" t="str">
        <f>IF(EXACT($D249, ""), "", VLOOKUP($D249, [2]DataLookUp!$B$4:$C$84, 2, FALSE))</f>
        <v/>
      </c>
      <c r="F249" s="3"/>
      <c r="H249" s="15">
        <f t="shared" si="7"/>
        <v>225000000000016</v>
      </c>
      <c r="I249" s="16" t="str">
        <f t="shared" si="8"/>
        <v/>
      </c>
    </row>
    <row r="250" spans="2:9" x14ac:dyDescent="0.2">
      <c r="B250" s="18">
        <f>IF(EXACT('[1]DataLookUp - InternalCareer(LP)'!$B250, ""), "", '[1]DataLookUp - InternalCareer(LP)'!$B250)</f>
        <v>164000000000247</v>
      </c>
      <c r="C250" s="18" t="str">
        <f>IF(EXACT($B250, ""), "", VLOOKUP(B250, '[1]DataLookUp - InternalCareer(LP)'!$B$4:$D$620, 3, FALSE))</f>
        <v>Keila</v>
      </c>
      <c r="D250" s="3"/>
      <c r="E250" s="18" t="str">
        <f>IF(EXACT($D250, ""), "", VLOOKUP($D250, [2]DataLookUp!$B$4:$C$84, 2, FALSE))</f>
        <v/>
      </c>
      <c r="F250" s="3"/>
      <c r="H250" s="15">
        <f t="shared" si="7"/>
        <v>225000000000016</v>
      </c>
      <c r="I250" s="16" t="str">
        <f t="shared" si="8"/>
        <v/>
      </c>
    </row>
    <row r="251" spans="2:9" x14ac:dyDescent="0.2">
      <c r="B251" s="18">
        <f>IF(EXACT('[1]DataLookUp - InternalCareer(LP)'!$B251, ""), "", '[1]DataLookUp - InternalCareer(LP)'!$B251)</f>
        <v>164000000000248</v>
      </c>
      <c r="C251" s="18" t="str">
        <f>IF(EXACT($B251, ""), "", VLOOKUP(B251, '[1]DataLookUp - InternalCareer(LP)'!$B$4:$D$620, 3, FALSE))</f>
        <v>Kendra Daniswara</v>
      </c>
      <c r="D251" s="3"/>
      <c r="E251" s="18" t="str">
        <f>IF(EXACT($D251, ""), "", VLOOKUP($D251, [2]DataLookUp!$B$4:$C$84, 2, FALSE))</f>
        <v/>
      </c>
      <c r="F251" s="3"/>
      <c r="H251" s="15">
        <f t="shared" si="7"/>
        <v>225000000000016</v>
      </c>
      <c r="I251" s="16" t="str">
        <f t="shared" si="8"/>
        <v/>
      </c>
    </row>
    <row r="252" spans="2:9" x14ac:dyDescent="0.2">
      <c r="B252" s="18">
        <f>IF(EXACT('[1]DataLookUp - InternalCareer(LP)'!$B252, ""), "", '[1]DataLookUp - InternalCareer(LP)'!$B252)</f>
        <v>164000000000249</v>
      </c>
      <c r="C252" s="18" t="str">
        <f>IF(EXACT($B252, ""), "", VLOOKUP(B252, '[1]DataLookUp - InternalCareer(LP)'!$B$4:$D$620, 3, FALSE))</f>
        <v>Kevin Henokh Tambunan</v>
      </c>
      <c r="D252" s="3"/>
      <c r="E252" s="18" t="str">
        <f>IF(EXACT($D252, ""), "", VLOOKUP($D252, [2]DataLookUp!$B$4:$C$84, 2, FALSE))</f>
        <v/>
      </c>
      <c r="F252" s="3"/>
      <c r="H252" s="15">
        <f t="shared" si="7"/>
        <v>225000000000016</v>
      </c>
      <c r="I252" s="16" t="str">
        <f t="shared" si="8"/>
        <v/>
      </c>
    </row>
    <row r="253" spans="2:9" x14ac:dyDescent="0.2">
      <c r="B253" s="18">
        <f>IF(EXACT('[1]DataLookUp - InternalCareer(LP)'!$B253, ""), "", '[1]DataLookUp - InternalCareer(LP)'!$B253)</f>
        <v>164000000000250</v>
      </c>
      <c r="C253" s="18" t="str">
        <f>IF(EXACT($B253, ""), "", VLOOKUP(B253, '[1]DataLookUp - InternalCareer(LP)'!$B$4:$D$620, 3, FALSE))</f>
        <v>Khafid Fahrurrozi</v>
      </c>
      <c r="D253" s="3"/>
      <c r="E253" s="18" t="str">
        <f>IF(EXACT($D253, ""), "", VLOOKUP($D253, [2]DataLookUp!$B$4:$C$84, 2, FALSE))</f>
        <v/>
      </c>
      <c r="F253" s="3"/>
      <c r="H253" s="15">
        <f t="shared" si="7"/>
        <v>225000000000016</v>
      </c>
      <c r="I253" s="16" t="str">
        <f t="shared" si="8"/>
        <v/>
      </c>
    </row>
    <row r="254" spans="2:9" x14ac:dyDescent="0.2">
      <c r="B254" s="18">
        <f>IF(EXACT('[1]DataLookUp - InternalCareer(LP)'!$B254, ""), "", '[1]DataLookUp - InternalCareer(LP)'!$B254)</f>
        <v>164000000000251</v>
      </c>
      <c r="C254" s="18" t="str">
        <f>IF(EXACT($B254, ""), "", VLOOKUP(B254, '[1]DataLookUp - InternalCareer(LP)'!$B$4:$D$620, 3, FALSE))</f>
        <v>Kholik</v>
      </c>
      <c r="D254" s="3"/>
      <c r="E254" s="18" t="str">
        <f>IF(EXACT($D254, ""), "", VLOOKUP($D254, [2]DataLookUp!$B$4:$C$84, 2, FALSE))</f>
        <v/>
      </c>
      <c r="F254" s="3"/>
      <c r="H254" s="15">
        <f t="shared" si="7"/>
        <v>225000000000016</v>
      </c>
      <c r="I254" s="16" t="str">
        <f t="shared" si="8"/>
        <v/>
      </c>
    </row>
    <row r="255" spans="2:9" x14ac:dyDescent="0.2">
      <c r="B255" s="18">
        <f>IF(EXACT('[1]DataLookUp - InternalCareer(LP)'!$B255, ""), "", '[1]DataLookUp - InternalCareer(LP)'!$B255)</f>
        <v>164000000000252</v>
      </c>
      <c r="C255" s="18" t="str">
        <f>IF(EXACT($B255, ""), "", VLOOKUP(B255, '[1]DataLookUp - InternalCareer(LP)'!$B$4:$D$620, 3, FALSE))</f>
        <v>Kiki Mustikawati</v>
      </c>
      <c r="D255" s="3">
        <f>[2]MAIN!$D$23</f>
        <v>95000000000016</v>
      </c>
      <c r="E255" s="18" t="str">
        <f>IF(EXACT($D255, ""), "", VLOOKUP($D255, [2]DataLookUp!$B$4:$C$84, 2, FALSE))</f>
        <v>Finance, Accounting, &amp; Tax General Manager</v>
      </c>
      <c r="F255" s="3"/>
      <c r="H255" s="15">
        <f t="shared" si="7"/>
        <v>225000000000017</v>
      </c>
      <c r="I255" s="16" t="str">
        <f t="shared" si="8"/>
        <v>PERFORM "SchData-OLTP-HumanResource"."Func_TblMapper_WorkerCareerInternalToUserRole_SET"(varSystemLoginSession, null::bigint, null::varchar, null::timestamptz, null::timestamptz, null::varchar, varInstitutionBranchID, varBaseCurrencyID, 164000000000252::bigint, 95000000000016::bigint, null::bigint);</v>
      </c>
    </row>
    <row r="256" spans="2:9" x14ac:dyDescent="0.2">
      <c r="B256" s="18">
        <f>IF(EXACT('[1]DataLookUp - InternalCareer(LP)'!$B256, ""), "", '[1]DataLookUp - InternalCareer(LP)'!$B256)</f>
        <v>164000000000253</v>
      </c>
      <c r="C256" s="18" t="str">
        <f>IF(EXACT($B256, ""), "", VLOOKUP(B256, '[1]DataLookUp - InternalCareer(LP)'!$B$4:$D$620, 3, FALSE))</f>
        <v>Kornelius Sakan</v>
      </c>
      <c r="D256" s="3">
        <f>[2]MAIN!$D$72</f>
        <v>95000000000056</v>
      </c>
      <c r="E256" s="18" t="str">
        <f>IF(EXACT($D256, ""), "", VLOOKUP($D256, [2]DataLookUp!$B$4:$C$84, 2, FALSE))</f>
        <v>General Affairs Staff</v>
      </c>
      <c r="F256" s="3"/>
      <c r="H256" s="15">
        <f t="shared" si="7"/>
        <v>225000000000018</v>
      </c>
      <c r="I256" s="16" t="str">
        <f t="shared" si="8"/>
        <v>PERFORM "SchData-OLTP-HumanResource"."Func_TblMapper_WorkerCareerInternalToUserRole_SET"(varSystemLoginSession, null::bigint, null::varchar, null::timestamptz, null::timestamptz, null::varchar, varInstitutionBranchID, varBaseCurrencyID, 164000000000253::bigint, 95000000000056::bigint, null::bigint);</v>
      </c>
    </row>
    <row r="257" spans="2:9" x14ac:dyDescent="0.2">
      <c r="B257" s="18">
        <f>IF(EXACT('[1]DataLookUp - InternalCareer(LP)'!$B257, ""), "", '[1]DataLookUp - InternalCareer(LP)'!$B257)</f>
        <v>164000000000254</v>
      </c>
      <c r="C257" s="18" t="str">
        <f>IF(EXACT($B257, ""), "", VLOOKUP(B257, '[1]DataLookUp - InternalCareer(LP)'!$B$4:$D$620, 3, FALSE))</f>
        <v>Kosasih</v>
      </c>
      <c r="D257" s="3"/>
      <c r="E257" s="18" t="str">
        <f>IF(EXACT($D257, ""), "", VLOOKUP($D257, [2]DataLookUp!$B$4:$C$84, 2, FALSE))</f>
        <v/>
      </c>
      <c r="F257" s="3"/>
      <c r="H257" s="15">
        <f t="shared" si="7"/>
        <v>225000000000018</v>
      </c>
      <c r="I257" s="16" t="str">
        <f t="shared" si="8"/>
        <v/>
      </c>
    </row>
    <row r="258" spans="2:9" x14ac:dyDescent="0.2">
      <c r="B258" s="18">
        <f>IF(EXACT('[1]DataLookUp - InternalCareer(LP)'!$B258, ""), "", '[1]DataLookUp - InternalCareer(LP)'!$B258)</f>
        <v>164000000000255</v>
      </c>
      <c r="C258" s="18" t="str">
        <f>IF(EXACT($B258, ""), "", VLOOKUP(B258, '[1]DataLookUp - InternalCareer(LP)'!$B$4:$D$620, 3, FALSE))</f>
        <v>Krisnawan</v>
      </c>
      <c r="D258" s="3"/>
      <c r="E258" s="18" t="str">
        <f>IF(EXACT($D258, ""), "", VLOOKUP($D258, [2]DataLookUp!$B$4:$C$84, 2, FALSE))</f>
        <v/>
      </c>
      <c r="F258" s="3"/>
      <c r="H258" s="15">
        <f t="shared" si="7"/>
        <v>225000000000018</v>
      </c>
      <c r="I258" s="16" t="str">
        <f t="shared" si="8"/>
        <v/>
      </c>
    </row>
    <row r="259" spans="2:9" x14ac:dyDescent="0.2">
      <c r="B259" s="18">
        <f>IF(EXACT('[1]DataLookUp - InternalCareer(LP)'!$B259, ""), "", '[1]DataLookUp - InternalCareer(LP)'!$B259)</f>
        <v>164000000000256</v>
      </c>
      <c r="C259" s="18" t="str">
        <f>IF(EXACT($B259, ""), "", VLOOKUP(B259, '[1]DataLookUp - InternalCareer(LP)'!$B$4:$D$620, 3, FALSE))</f>
        <v>Kurniadi</v>
      </c>
      <c r="D259" s="3"/>
      <c r="E259" s="18" t="str">
        <f>IF(EXACT($D259, ""), "", VLOOKUP($D259, [2]DataLookUp!$B$4:$C$84, 2, FALSE))</f>
        <v/>
      </c>
      <c r="F259" s="3"/>
      <c r="H259" s="15">
        <f t="shared" si="7"/>
        <v>225000000000018</v>
      </c>
      <c r="I259" s="16" t="str">
        <f t="shared" si="8"/>
        <v/>
      </c>
    </row>
    <row r="260" spans="2:9" x14ac:dyDescent="0.2">
      <c r="B260" s="18">
        <f>IF(EXACT('[1]DataLookUp - InternalCareer(LP)'!$B260, ""), "", '[1]DataLookUp - InternalCareer(LP)'!$B260)</f>
        <v>164000000000257</v>
      </c>
      <c r="C260" s="18" t="str">
        <f>IF(EXACT($B260, ""), "", VLOOKUP(B260, '[1]DataLookUp - InternalCareer(LP)'!$B$4:$D$620, 3, FALSE))</f>
        <v>Kurniawan</v>
      </c>
      <c r="D260" s="3"/>
      <c r="E260" s="18" t="str">
        <f>IF(EXACT($D260, ""), "", VLOOKUP($D260, [2]DataLookUp!$B$4:$C$84, 2, FALSE))</f>
        <v/>
      </c>
      <c r="F260" s="3"/>
      <c r="H260" s="15">
        <f t="shared" si="7"/>
        <v>225000000000018</v>
      </c>
      <c r="I260" s="16" t="str">
        <f t="shared" si="8"/>
        <v/>
      </c>
    </row>
    <row r="261" spans="2:9" x14ac:dyDescent="0.2">
      <c r="B261" s="18">
        <f>IF(EXACT('[1]DataLookUp - InternalCareer(LP)'!$B261, ""), "", '[1]DataLookUp - InternalCareer(LP)'!$B261)</f>
        <v>164000000000258</v>
      </c>
      <c r="C261" s="18" t="str">
        <f>IF(EXACT($B261, ""), "", VLOOKUP(B261, '[1]DataLookUp - InternalCareer(LP)'!$B$4:$D$620, 3, FALSE))</f>
        <v>Laode</v>
      </c>
      <c r="D261" s="3"/>
      <c r="E261" s="18" t="str">
        <f>IF(EXACT($D261, ""), "", VLOOKUP($D261, [2]DataLookUp!$B$4:$C$84, 2, FALSE))</f>
        <v/>
      </c>
      <c r="F261" s="3"/>
      <c r="H261" s="15">
        <f t="shared" si="7"/>
        <v>225000000000018</v>
      </c>
      <c r="I261" s="16" t="str">
        <f t="shared" si="8"/>
        <v/>
      </c>
    </row>
    <row r="262" spans="2:9" x14ac:dyDescent="0.2">
      <c r="B262" s="18">
        <f>IF(EXACT('[1]DataLookUp - InternalCareer(LP)'!$B262, ""), "", '[1]DataLookUp - InternalCareer(LP)'!$B262)</f>
        <v>164000000000259</v>
      </c>
      <c r="C262" s="18" t="str">
        <f>IF(EXACT($B262, ""), "", VLOOKUP(B262, '[1]DataLookUp - InternalCareer(LP)'!$B$4:$D$620, 3, FALSE))</f>
        <v>Leo Nababan</v>
      </c>
      <c r="D262" s="3"/>
      <c r="E262" s="18" t="str">
        <f>IF(EXACT($D262, ""), "", VLOOKUP($D262, [2]DataLookUp!$B$4:$C$84, 2, FALSE))</f>
        <v/>
      </c>
      <c r="F262" s="3"/>
      <c r="H262" s="15">
        <f t="shared" ref="H262:H325" si="9" xml:space="preserve"> H261 + IF(EXACT(I262, ""), 0, 1)</f>
        <v>225000000000018</v>
      </c>
      <c r="I262" s="16" t="str">
        <f t="shared" si="8"/>
        <v/>
      </c>
    </row>
    <row r="263" spans="2:9" x14ac:dyDescent="0.2">
      <c r="B263" s="18">
        <f>IF(EXACT('[1]DataLookUp - InternalCareer(LP)'!$B263, ""), "", '[1]DataLookUp - InternalCareer(LP)'!$B263)</f>
        <v>164000000000260</v>
      </c>
      <c r="C263" s="18" t="str">
        <f>IF(EXACT($B263, ""), "", VLOOKUP(B263, '[1]DataLookUp - InternalCareer(LP)'!$B$4:$D$620, 3, FALSE))</f>
        <v>Liani Atmaningrum</v>
      </c>
      <c r="D263" s="3"/>
      <c r="E263" s="18" t="str">
        <f>IF(EXACT($D263, ""), "", VLOOKUP($D263, [2]DataLookUp!$B$4:$C$84, 2, FALSE))</f>
        <v/>
      </c>
      <c r="F263" s="3"/>
      <c r="H263" s="15">
        <f t="shared" si="9"/>
        <v>225000000000018</v>
      </c>
      <c r="I263" s="16" t="str">
        <f t="shared" si="8"/>
        <v/>
      </c>
    </row>
    <row r="264" spans="2:9" x14ac:dyDescent="0.2">
      <c r="B264" s="18">
        <f>IF(EXACT('[1]DataLookUp - InternalCareer(LP)'!$B264, ""), "", '[1]DataLookUp - InternalCareer(LP)'!$B264)</f>
        <v>164000000000261</v>
      </c>
      <c r="C264" s="18" t="str">
        <f>IF(EXACT($B264, ""), "", VLOOKUP(B264, '[1]DataLookUp - InternalCareer(LP)'!$B$4:$D$620, 3, FALSE))</f>
        <v>Liaseptriani Liaseptriani</v>
      </c>
      <c r="D264" s="3"/>
      <c r="E264" s="18" t="str">
        <f>IF(EXACT($D264, ""), "", VLOOKUP($D264, [2]DataLookUp!$B$4:$C$84, 2, FALSE))</f>
        <v/>
      </c>
      <c r="F264" s="3"/>
      <c r="H264" s="15">
        <f t="shared" si="9"/>
        <v>225000000000018</v>
      </c>
      <c r="I264" s="16" t="str">
        <f t="shared" si="8"/>
        <v/>
      </c>
    </row>
    <row r="265" spans="2:9" x14ac:dyDescent="0.2">
      <c r="B265" s="18">
        <f>IF(EXACT('[1]DataLookUp - InternalCareer(LP)'!$B265, ""), "", '[1]DataLookUp - InternalCareer(LP)'!$B265)</f>
        <v>164000000000262</v>
      </c>
      <c r="C265" s="18" t="str">
        <f>IF(EXACT($B265, ""), "", VLOOKUP(B265, '[1]DataLookUp - InternalCareer(LP)'!$B$4:$D$620, 3, FALSE))</f>
        <v>Lisma Natalia</v>
      </c>
      <c r="D265" s="3"/>
      <c r="E265" s="18" t="str">
        <f>IF(EXACT($D265, ""), "", VLOOKUP($D265, [2]DataLookUp!$B$4:$C$84, 2, FALSE))</f>
        <v/>
      </c>
      <c r="F265" s="3"/>
      <c r="H265" s="15">
        <f t="shared" si="9"/>
        <v>225000000000018</v>
      </c>
      <c r="I265" s="16" t="str">
        <f t="shared" si="8"/>
        <v/>
      </c>
    </row>
    <row r="266" spans="2:9" x14ac:dyDescent="0.2">
      <c r="B266" s="18">
        <f>IF(EXACT('[1]DataLookUp - InternalCareer(LP)'!$B266, ""), "", '[1]DataLookUp - InternalCareer(LP)'!$B266)</f>
        <v>164000000000263</v>
      </c>
      <c r="C266" s="18" t="str">
        <f>IF(EXACT($B266, ""), "", VLOOKUP(B266, '[1]DataLookUp - InternalCareer(LP)'!$B$4:$D$620, 3, FALSE))</f>
        <v>Listyo Hartanto</v>
      </c>
      <c r="D266" s="3"/>
      <c r="E266" s="18" t="str">
        <f>IF(EXACT($D266, ""), "", VLOOKUP($D266, [2]DataLookUp!$B$4:$C$84, 2, FALSE))</f>
        <v/>
      </c>
      <c r="F266" s="3"/>
      <c r="H266" s="15">
        <f t="shared" si="9"/>
        <v>225000000000018</v>
      </c>
      <c r="I266" s="16" t="str">
        <f t="shared" si="8"/>
        <v/>
      </c>
    </row>
    <row r="267" spans="2:9" x14ac:dyDescent="0.2">
      <c r="B267" s="18">
        <f>IF(EXACT('[1]DataLookUp - InternalCareer(LP)'!$B267, ""), "", '[1]DataLookUp - InternalCareer(LP)'!$B267)</f>
        <v>164000000000264</v>
      </c>
      <c r="C267" s="18" t="str">
        <f>IF(EXACT($B267, ""), "", VLOOKUP(B267, '[1]DataLookUp - InternalCareer(LP)'!$B$4:$D$620, 3, FALSE))</f>
        <v>M. Ari Ardizah Nasution</v>
      </c>
      <c r="D267" s="3"/>
      <c r="E267" s="18" t="str">
        <f>IF(EXACT($D267, ""), "", VLOOKUP($D267, [2]DataLookUp!$B$4:$C$84, 2, FALSE))</f>
        <v/>
      </c>
      <c r="F267" s="3"/>
      <c r="H267" s="15">
        <f t="shared" si="9"/>
        <v>225000000000018</v>
      </c>
      <c r="I267" s="16" t="str">
        <f t="shared" si="8"/>
        <v/>
      </c>
    </row>
    <row r="268" spans="2:9" x14ac:dyDescent="0.2">
      <c r="B268" s="18">
        <f>IF(EXACT('[1]DataLookUp - InternalCareer(LP)'!$B268, ""), "", '[1]DataLookUp - InternalCareer(LP)'!$B268)</f>
        <v>164000000000265</v>
      </c>
      <c r="C268" s="18" t="str">
        <f>IF(EXACT($B268, ""), "", VLOOKUP(B268, '[1]DataLookUp - InternalCareer(LP)'!$B$4:$D$620, 3, FALSE))</f>
        <v>M. Denny  Micrazudin</v>
      </c>
      <c r="D268" s="3"/>
      <c r="E268" s="18" t="str">
        <f>IF(EXACT($D268, ""), "", VLOOKUP($D268, [2]DataLookUp!$B$4:$C$84, 2, FALSE))</f>
        <v/>
      </c>
      <c r="F268" s="3"/>
      <c r="H268" s="15">
        <f t="shared" si="9"/>
        <v>225000000000018</v>
      </c>
      <c r="I268" s="16" t="str">
        <f t="shared" si="8"/>
        <v/>
      </c>
    </row>
    <row r="269" spans="2:9" x14ac:dyDescent="0.2">
      <c r="B269" s="18">
        <f>IF(EXACT('[1]DataLookUp - InternalCareer(LP)'!$B269, ""), "", '[1]DataLookUp - InternalCareer(LP)'!$B269)</f>
        <v>164000000000266</v>
      </c>
      <c r="C269" s="18" t="str">
        <f>IF(EXACT($B269, ""), "", VLOOKUP(B269, '[1]DataLookUp - InternalCareer(LP)'!$B$4:$D$620, 3, FALSE))</f>
        <v>M. Ridho Pramudia</v>
      </c>
      <c r="D269" s="3"/>
      <c r="E269" s="18" t="str">
        <f>IF(EXACT($D269, ""), "", VLOOKUP($D269, [2]DataLookUp!$B$4:$C$84, 2, FALSE))</f>
        <v/>
      </c>
      <c r="F269" s="3"/>
      <c r="H269" s="15">
        <f t="shared" si="9"/>
        <v>225000000000018</v>
      </c>
      <c r="I269" s="16" t="str">
        <f t="shared" si="8"/>
        <v/>
      </c>
    </row>
    <row r="270" spans="2:9" x14ac:dyDescent="0.2">
      <c r="B270" s="18">
        <f>IF(EXACT('[1]DataLookUp - InternalCareer(LP)'!$B270, ""), "", '[1]DataLookUp - InternalCareer(LP)'!$B270)</f>
        <v>164000000000267</v>
      </c>
      <c r="C270" s="18" t="str">
        <f>IF(EXACT($B270, ""), "", VLOOKUP(B270, '[1]DataLookUp - InternalCareer(LP)'!$B$4:$D$620, 3, FALSE))</f>
        <v>M. Rusdi</v>
      </c>
      <c r="D270" s="3"/>
      <c r="E270" s="18" t="str">
        <f>IF(EXACT($D270, ""), "", VLOOKUP($D270, [2]DataLookUp!$B$4:$C$84, 2, FALSE))</f>
        <v/>
      </c>
      <c r="F270" s="3"/>
      <c r="H270" s="15">
        <f t="shared" si="9"/>
        <v>225000000000018</v>
      </c>
      <c r="I270" s="16" t="str">
        <f t="shared" si="8"/>
        <v/>
      </c>
    </row>
    <row r="271" spans="2:9" x14ac:dyDescent="0.2">
      <c r="B271" s="18">
        <f>IF(EXACT('[1]DataLookUp - InternalCareer(LP)'!$B271, ""), "", '[1]DataLookUp - InternalCareer(LP)'!$B271)</f>
        <v>164000000000268</v>
      </c>
      <c r="C271" s="18" t="str">
        <f>IF(EXACT($B271, ""), "", VLOOKUP(B271, '[1]DataLookUp - InternalCareer(LP)'!$B$4:$D$620, 3, FALSE))</f>
        <v>M. Ervan Isyawal Akbar</v>
      </c>
      <c r="D271" s="3"/>
      <c r="E271" s="18" t="str">
        <f>IF(EXACT($D271, ""), "", VLOOKUP($D271, [2]DataLookUp!$B$4:$C$84, 2, FALSE))</f>
        <v/>
      </c>
      <c r="F271" s="3"/>
      <c r="H271" s="15">
        <f t="shared" si="9"/>
        <v>225000000000018</v>
      </c>
      <c r="I271" s="16" t="str">
        <f t="shared" si="8"/>
        <v/>
      </c>
    </row>
    <row r="272" spans="2:9" x14ac:dyDescent="0.2">
      <c r="B272" s="18">
        <f>IF(EXACT('[1]DataLookUp - InternalCareer(LP)'!$B272, ""), "", '[1]DataLookUp - InternalCareer(LP)'!$B272)</f>
        <v>164000000000269</v>
      </c>
      <c r="C272" s="18" t="str">
        <f>IF(EXACT($B272, ""), "", VLOOKUP(B272, '[1]DataLookUp - InternalCareer(LP)'!$B$4:$D$620, 3, FALSE))</f>
        <v>Maharani Tanjungsari</v>
      </c>
      <c r="D272" s="3"/>
      <c r="E272" s="18" t="str">
        <f>IF(EXACT($D272, ""), "", VLOOKUP($D272, [2]DataLookUp!$B$4:$C$84, 2, FALSE))</f>
        <v/>
      </c>
      <c r="F272" s="3"/>
      <c r="H272" s="15">
        <f t="shared" si="9"/>
        <v>225000000000018</v>
      </c>
      <c r="I272" s="16" t="str">
        <f t="shared" ref="I272:I335" si="10">IF(EXACT(D272, ""), "", CONCATENATE("PERFORM ""SchData-OLTP-HumanResource"".""Func_TblMapper_WorkerCareerInternalToUserRole_SET""(varSystemLoginSession, null::bigint, null::varchar, null::timestamptz, null::timestamptz, null::varchar, varInstitutionBranchID, varBaseCurrencyID, ", IF(EXACT(B272, ""), "null", B272), "::bigint, ", IF(EXACT(D272, ""), "null", D272), "::bigint, ", IF(EXACT(F272, ""), "null", F272), "::bigint);"))</f>
        <v/>
      </c>
    </row>
    <row r="273" spans="2:9" x14ac:dyDescent="0.2">
      <c r="B273" s="18">
        <f>IF(EXACT('[1]DataLookUp - InternalCareer(LP)'!$B273, ""), "", '[1]DataLookUp - InternalCareer(LP)'!$B273)</f>
        <v>164000000000270</v>
      </c>
      <c r="C273" s="18" t="str">
        <f>IF(EXACT($B273, ""), "", VLOOKUP(B273, '[1]DataLookUp - InternalCareer(LP)'!$B$4:$D$620, 3, FALSE))</f>
        <v>Maharani Uthmaniah</v>
      </c>
      <c r="D273" s="3"/>
      <c r="E273" s="18" t="str">
        <f>IF(EXACT($D273, ""), "", VLOOKUP($D273, [2]DataLookUp!$B$4:$C$84, 2, FALSE))</f>
        <v/>
      </c>
      <c r="F273" s="3"/>
      <c r="H273" s="15">
        <f t="shared" si="9"/>
        <v>225000000000018</v>
      </c>
      <c r="I273" s="16" t="str">
        <f t="shared" si="10"/>
        <v/>
      </c>
    </row>
    <row r="274" spans="2:9" x14ac:dyDescent="0.2">
      <c r="B274" s="18">
        <f>IF(EXACT('[1]DataLookUp - InternalCareer(LP)'!$B274, ""), "", '[1]DataLookUp - InternalCareer(LP)'!$B274)</f>
        <v>164000000000271</v>
      </c>
      <c r="C274" s="18" t="str">
        <f>IF(EXACT($B274, ""), "", VLOOKUP(B274, '[1]DataLookUp - InternalCareer(LP)'!$B$4:$D$620, 3, FALSE))</f>
        <v>Manotar Tamba</v>
      </c>
      <c r="D274" s="3"/>
      <c r="E274" s="18" t="str">
        <f>IF(EXACT($D274, ""), "", VLOOKUP($D274, [2]DataLookUp!$B$4:$C$84, 2, FALSE))</f>
        <v/>
      </c>
      <c r="F274" s="3"/>
      <c r="H274" s="15">
        <f t="shared" si="9"/>
        <v>225000000000018</v>
      </c>
      <c r="I274" s="16" t="str">
        <f t="shared" si="10"/>
        <v/>
      </c>
    </row>
    <row r="275" spans="2:9" x14ac:dyDescent="0.2">
      <c r="B275" s="18">
        <f>IF(EXACT('[1]DataLookUp - InternalCareer(LP)'!$B275, ""), "", '[1]DataLookUp - InternalCareer(LP)'!$B275)</f>
        <v>164000000000272</v>
      </c>
      <c r="C275" s="18" t="str">
        <f>IF(EXACT($B275, ""), "", VLOOKUP(B275, '[1]DataLookUp - InternalCareer(LP)'!$B$4:$D$620, 3, FALSE))</f>
        <v>Maradona Manurung</v>
      </c>
      <c r="D275" s="3"/>
      <c r="E275" s="18" t="str">
        <f>IF(EXACT($D275, ""), "", VLOOKUP($D275, [2]DataLookUp!$B$4:$C$84, 2, FALSE))</f>
        <v/>
      </c>
      <c r="F275" s="3"/>
      <c r="H275" s="15">
        <f t="shared" si="9"/>
        <v>225000000000018</v>
      </c>
      <c r="I275" s="16" t="str">
        <f t="shared" si="10"/>
        <v/>
      </c>
    </row>
    <row r="276" spans="2:9" x14ac:dyDescent="0.2">
      <c r="B276" s="18">
        <f>IF(EXACT('[1]DataLookUp - InternalCareer(LP)'!$B276, ""), "", '[1]DataLookUp - InternalCareer(LP)'!$B276)</f>
        <v>164000000000273</v>
      </c>
      <c r="C276" s="18" t="str">
        <f>IF(EXACT($B276, ""), "", VLOOKUP(B276, '[1]DataLookUp - InternalCareer(LP)'!$B$4:$D$620, 3, FALSE))</f>
        <v>Pantas Banjarnahor Marbun</v>
      </c>
      <c r="D276" s="3">
        <f>[2]MAIN!$D$29</f>
        <v>95000000000021</v>
      </c>
      <c r="E276" s="18" t="str">
        <f>IF(EXACT($D276, ""), "", VLOOKUP($D276, [2]DataLookUp!$B$4:$C$84, 2, FALSE))</f>
        <v>Project Controller Coordinator</v>
      </c>
      <c r="F276" s="3"/>
      <c r="H276" s="15">
        <f t="shared" si="9"/>
        <v>225000000000019</v>
      </c>
      <c r="I276" s="16" t="str">
        <f t="shared" si="10"/>
        <v>PERFORM "SchData-OLTP-HumanResource"."Func_TblMapper_WorkerCareerInternalToUserRole_SET"(varSystemLoginSession, null::bigint, null::varchar, null::timestamptz, null::timestamptz, null::varchar, varInstitutionBranchID, varBaseCurrencyID, 164000000000273::bigint, 95000000000021::bigint, null::bigint);</v>
      </c>
    </row>
    <row r="277" spans="2:9" x14ac:dyDescent="0.2">
      <c r="B277" s="18">
        <f>IF(EXACT('[1]DataLookUp - InternalCareer(LP)'!$B277, ""), "", '[1]DataLookUp - InternalCareer(LP)'!$B277)</f>
        <v>164000000000274</v>
      </c>
      <c r="C277" s="18" t="str">
        <f>IF(EXACT($B277, ""), "", VLOOKUP(B277, '[1]DataLookUp - InternalCareer(LP)'!$B$4:$D$620, 3, FALSE))</f>
        <v>Marcella Avia Ramadhinaningrum</v>
      </c>
      <c r="D277" s="3"/>
      <c r="E277" s="18" t="str">
        <f>IF(EXACT($D277, ""), "", VLOOKUP($D277, [2]DataLookUp!$B$4:$C$84, 2, FALSE))</f>
        <v/>
      </c>
      <c r="F277" s="3"/>
      <c r="H277" s="15">
        <f t="shared" si="9"/>
        <v>225000000000019</v>
      </c>
      <c r="I277" s="16" t="str">
        <f t="shared" si="10"/>
        <v/>
      </c>
    </row>
    <row r="278" spans="2:9" x14ac:dyDescent="0.2">
      <c r="B278" s="18">
        <f>IF(EXACT('[1]DataLookUp - InternalCareer(LP)'!$B278, ""), "", '[1]DataLookUp - InternalCareer(LP)'!$B278)</f>
        <v>164000000000275</v>
      </c>
      <c r="C278" s="18" t="str">
        <f>IF(EXACT($B278, ""), "", VLOOKUP(B278, '[1]DataLookUp - InternalCareer(LP)'!$B$4:$D$620, 3, FALSE))</f>
        <v>Marissa Watak</v>
      </c>
      <c r="D278" s="3"/>
      <c r="E278" s="18" t="str">
        <f>IF(EXACT($D278, ""), "", VLOOKUP($D278, [2]DataLookUp!$B$4:$C$84, 2, FALSE))</f>
        <v/>
      </c>
      <c r="F278" s="3"/>
      <c r="H278" s="15">
        <f t="shared" si="9"/>
        <v>225000000000019</v>
      </c>
      <c r="I278" s="16" t="str">
        <f t="shared" si="10"/>
        <v/>
      </c>
    </row>
    <row r="279" spans="2:9" x14ac:dyDescent="0.2">
      <c r="B279" s="18">
        <f>IF(EXACT('[1]DataLookUp - InternalCareer(LP)'!$B279, ""), "", '[1]DataLookUp - InternalCareer(LP)'!$B279)</f>
        <v>164000000000276</v>
      </c>
      <c r="C279" s="18" t="str">
        <f>IF(EXACT($B279, ""), "", VLOOKUP(B279, '[1]DataLookUp - InternalCareer(LP)'!$B$4:$D$620, 3, FALSE))</f>
        <v>Marten Tabun</v>
      </c>
      <c r="D279" s="3"/>
      <c r="E279" s="18" t="str">
        <f>IF(EXACT($D279, ""), "", VLOOKUP($D279, [2]DataLookUp!$B$4:$C$84, 2, FALSE))</f>
        <v/>
      </c>
      <c r="F279" s="3"/>
      <c r="H279" s="15">
        <f t="shared" si="9"/>
        <v>225000000000019</v>
      </c>
      <c r="I279" s="16" t="str">
        <f t="shared" si="10"/>
        <v/>
      </c>
    </row>
    <row r="280" spans="2:9" x14ac:dyDescent="0.2">
      <c r="B280" s="18">
        <f>IF(EXACT('[1]DataLookUp - InternalCareer(LP)'!$B280, ""), "", '[1]DataLookUp - InternalCareer(LP)'!$B280)</f>
        <v>164000000000277</v>
      </c>
      <c r="C280" s="18" t="str">
        <f>IF(EXACT($B280, ""), "", VLOOKUP(B280, '[1]DataLookUp - InternalCareer(LP)'!$B$4:$D$620, 3, FALSE))</f>
        <v>Martimbul Rahman</v>
      </c>
      <c r="D280" s="3"/>
      <c r="E280" s="18" t="str">
        <f>IF(EXACT($D280, ""), "", VLOOKUP($D280, [2]DataLookUp!$B$4:$C$84, 2, FALSE))</f>
        <v/>
      </c>
      <c r="F280" s="3"/>
      <c r="H280" s="15">
        <f t="shared" si="9"/>
        <v>225000000000019</v>
      </c>
      <c r="I280" s="16" t="str">
        <f t="shared" si="10"/>
        <v/>
      </c>
    </row>
    <row r="281" spans="2:9" x14ac:dyDescent="0.2">
      <c r="B281" s="18">
        <f>IF(EXACT('[1]DataLookUp - InternalCareer(LP)'!$B281, ""), "", '[1]DataLookUp - InternalCareer(LP)'!$B281)</f>
        <v>164000000000278</v>
      </c>
      <c r="C281" s="18" t="str">
        <f>IF(EXACT($B281, ""), "", VLOOKUP(B281, '[1]DataLookUp - InternalCareer(LP)'!$B$4:$D$620, 3, FALSE))</f>
        <v>T. Marungkil U. S. Sagala</v>
      </c>
      <c r="D281" s="3">
        <f>[2]MAIN!$D$27</f>
        <v>95000000000019</v>
      </c>
      <c r="E281" s="18" t="str">
        <f>IF(EXACT($D281, ""), "", VLOOKUP($D281, [2]DataLookUp!$B$4:$C$84, 2, FALSE))</f>
        <v>Project Manager</v>
      </c>
      <c r="F281" s="3">
        <v>46000000000009</v>
      </c>
      <c r="H281" s="15">
        <f t="shared" si="9"/>
        <v>225000000000020</v>
      </c>
      <c r="I281" s="16" t="str">
        <f t="shared" si="10"/>
        <v>PERFORM "SchData-OLTP-HumanResource"."Func_TblMapper_WorkerCareerInternalToUserRole_SET"(varSystemLoginSession, null::bigint, null::varchar, null::timestamptz, null::timestamptz, null::varchar, varInstitutionBranchID, varBaseCurrencyID, 164000000000278::bigint, 95000000000019::bigint, 46000000000009::bigint);</v>
      </c>
    </row>
    <row r="282" spans="2:9" x14ac:dyDescent="0.2">
      <c r="B282" s="18">
        <f>IF(EXACT('[1]DataLookUp - InternalCareer(LP)'!$B282, ""), "", '[1]DataLookUp - InternalCareer(LP)'!$B282)</f>
        <v>164000000000279</v>
      </c>
      <c r="C282" s="18" t="str">
        <f>IF(EXACT($B282, ""), "", VLOOKUP(B282, '[1]DataLookUp - InternalCareer(LP)'!$B$4:$D$620, 3, FALSE))</f>
        <v>Marzuki</v>
      </c>
      <c r="D282" s="3"/>
      <c r="E282" s="18" t="str">
        <f>IF(EXACT($D282, ""), "", VLOOKUP($D282, [2]DataLookUp!$B$4:$C$84, 2, FALSE))</f>
        <v/>
      </c>
      <c r="F282" s="3"/>
      <c r="H282" s="15">
        <f t="shared" si="9"/>
        <v>225000000000020</v>
      </c>
      <c r="I282" s="16" t="str">
        <f t="shared" si="10"/>
        <v/>
      </c>
    </row>
    <row r="283" spans="2:9" x14ac:dyDescent="0.2">
      <c r="B283" s="18">
        <f>IF(EXACT('[1]DataLookUp - InternalCareer(LP)'!$B283, ""), "", '[1]DataLookUp - InternalCareer(LP)'!$B283)</f>
        <v>164000000000280</v>
      </c>
      <c r="C283" s="18" t="str">
        <f>IF(EXACT($B283, ""), "", VLOOKUP(B283, '[1]DataLookUp - InternalCareer(LP)'!$B$4:$D$620, 3, FALSE))</f>
        <v>Mashuri Mashuri</v>
      </c>
      <c r="D283" s="3"/>
      <c r="E283" s="18" t="str">
        <f>IF(EXACT($D283, ""), "", VLOOKUP($D283, [2]DataLookUp!$B$4:$C$84, 2, FALSE))</f>
        <v/>
      </c>
      <c r="F283" s="3"/>
      <c r="H283" s="15">
        <f t="shared" si="9"/>
        <v>225000000000020</v>
      </c>
      <c r="I283" s="16" t="str">
        <f t="shared" si="10"/>
        <v/>
      </c>
    </row>
    <row r="284" spans="2:9" x14ac:dyDescent="0.2">
      <c r="B284" s="18">
        <f>IF(EXACT('[1]DataLookUp - InternalCareer(LP)'!$B284, ""), "", '[1]DataLookUp - InternalCareer(LP)'!$B284)</f>
        <v>164000000000281</v>
      </c>
      <c r="C284" s="18" t="str">
        <f>IF(EXACT($B284, ""), "", VLOOKUP(B284, '[1]DataLookUp - InternalCareer(LP)'!$B$4:$D$620, 3, FALSE))</f>
        <v>Mat Soleh</v>
      </c>
      <c r="D284" s="3"/>
      <c r="E284" s="18" t="str">
        <f>IF(EXACT($D284, ""), "", VLOOKUP($D284, [2]DataLookUp!$B$4:$C$84, 2, FALSE))</f>
        <v/>
      </c>
      <c r="F284" s="3"/>
      <c r="H284" s="15">
        <f t="shared" si="9"/>
        <v>225000000000020</v>
      </c>
      <c r="I284" s="16" t="str">
        <f t="shared" si="10"/>
        <v/>
      </c>
    </row>
    <row r="285" spans="2:9" x14ac:dyDescent="0.2">
      <c r="B285" s="18">
        <f>IF(EXACT('[1]DataLookUp - InternalCareer(LP)'!$B285, ""), "", '[1]DataLookUp - InternalCareer(LP)'!$B285)</f>
        <v>164000000000282</v>
      </c>
      <c r="C285" s="18" t="str">
        <f>IF(EXACT($B285, ""), "", VLOOKUP(B285, '[1]DataLookUp - InternalCareer(LP)'!$B$4:$D$620, 3, FALSE))</f>
        <v>Mhd Syahputra</v>
      </c>
      <c r="D285" s="3"/>
      <c r="E285" s="18" t="str">
        <f>IF(EXACT($D285, ""), "", VLOOKUP($D285, [2]DataLookUp!$B$4:$C$84, 2, FALSE))</f>
        <v/>
      </c>
      <c r="F285" s="3"/>
      <c r="H285" s="15">
        <f t="shared" si="9"/>
        <v>225000000000020</v>
      </c>
      <c r="I285" s="16" t="str">
        <f t="shared" si="10"/>
        <v/>
      </c>
    </row>
    <row r="286" spans="2:9" x14ac:dyDescent="0.2">
      <c r="B286" s="18">
        <f>IF(EXACT('[1]DataLookUp - InternalCareer(LP)'!$B286, ""), "", '[1]DataLookUp - InternalCareer(LP)'!$B286)</f>
        <v>164000000000283</v>
      </c>
      <c r="C286" s="18" t="str">
        <f>IF(EXACT($B286, ""), "", VLOOKUP(B286, '[1]DataLookUp - InternalCareer(LP)'!$B$4:$D$620, 3, FALSE))</f>
        <v>Mia Puspitasari</v>
      </c>
      <c r="D286" s="3"/>
      <c r="E286" s="18" t="str">
        <f>IF(EXACT($D286, ""), "", VLOOKUP($D286, [2]DataLookUp!$B$4:$C$84, 2, FALSE))</f>
        <v/>
      </c>
      <c r="F286" s="3"/>
      <c r="H286" s="15">
        <f t="shared" si="9"/>
        <v>225000000000020</v>
      </c>
      <c r="I286" s="16" t="str">
        <f t="shared" si="10"/>
        <v/>
      </c>
    </row>
    <row r="287" spans="2:9" x14ac:dyDescent="0.2">
      <c r="B287" s="18">
        <f>IF(EXACT('[1]DataLookUp - InternalCareer(LP)'!$B287, ""), "", '[1]DataLookUp - InternalCareer(LP)'!$B287)</f>
        <v>164000000000284</v>
      </c>
      <c r="C287" s="18" t="str">
        <f>IF(EXACT($B287, ""), "", VLOOKUP(B287, '[1]DataLookUp - InternalCareer(LP)'!$B$4:$D$620, 3, FALSE))</f>
        <v>Midin Ena</v>
      </c>
      <c r="D287" s="3"/>
      <c r="E287" s="18" t="str">
        <f>IF(EXACT($D287, ""), "", VLOOKUP($D287, [2]DataLookUp!$B$4:$C$84, 2, FALSE))</f>
        <v/>
      </c>
      <c r="F287" s="3"/>
      <c r="H287" s="15">
        <f t="shared" si="9"/>
        <v>225000000000020</v>
      </c>
      <c r="I287" s="16" t="str">
        <f t="shared" si="10"/>
        <v/>
      </c>
    </row>
    <row r="288" spans="2:9" x14ac:dyDescent="0.2">
      <c r="B288" s="18">
        <f>IF(EXACT('[1]DataLookUp - InternalCareer(LP)'!$B288, ""), "", '[1]DataLookUp - InternalCareer(LP)'!$B288)</f>
        <v>164000000000285</v>
      </c>
      <c r="C288" s="18" t="str">
        <f>IF(EXACT($B288, ""), "", VLOOKUP(B288, '[1]DataLookUp - InternalCareer(LP)'!$B$4:$D$620, 3, FALSE))</f>
        <v>Miftakhul Muzakky</v>
      </c>
      <c r="D288" s="3"/>
      <c r="E288" s="18" t="str">
        <f>IF(EXACT($D288, ""), "", VLOOKUP($D288, [2]DataLookUp!$B$4:$C$84, 2, FALSE))</f>
        <v/>
      </c>
      <c r="F288" s="3"/>
      <c r="H288" s="15">
        <f t="shared" si="9"/>
        <v>225000000000020</v>
      </c>
      <c r="I288" s="16" t="str">
        <f t="shared" si="10"/>
        <v/>
      </c>
    </row>
    <row r="289" spans="2:9" x14ac:dyDescent="0.2">
      <c r="B289" s="18">
        <f>IF(EXACT('[1]DataLookUp - InternalCareer(LP)'!$B289, ""), "", '[1]DataLookUp - InternalCareer(LP)'!$B289)</f>
        <v>164000000000286</v>
      </c>
      <c r="C289" s="18" t="str">
        <f>IF(EXACT($B289, ""), "", VLOOKUP(B289, '[1]DataLookUp - InternalCareer(LP)'!$B$4:$D$620, 3, FALSE))</f>
        <v>Mista</v>
      </c>
      <c r="D289" s="3"/>
      <c r="E289" s="18" t="str">
        <f>IF(EXACT($D289, ""), "", VLOOKUP($D289, [2]DataLookUp!$B$4:$C$84, 2, FALSE))</f>
        <v/>
      </c>
      <c r="F289" s="3"/>
      <c r="H289" s="15">
        <f t="shared" si="9"/>
        <v>225000000000020</v>
      </c>
      <c r="I289" s="16" t="str">
        <f t="shared" si="10"/>
        <v/>
      </c>
    </row>
    <row r="290" spans="2:9" x14ac:dyDescent="0.2">
      <c r="B290" s="18">
        <f>IF(EXACT('[1]DataLookUp - InternalCareer(LP)'!$B290, ""), "", '[1]DataLookUp - InternalCareer(LP)'!$B290)</f>
        <v>164000000000287</v>
      </c>
      <c r="C290" s="18" t="str">
        <f>IF(EXACT($B290, ""), "", VLOOKUP(B290, '[1]DataLookUp - InternalCareer(LP)'!$B$4:$D$620, 3, FALSE))</f>
        <v>Mochamad Samman</v>
      </c>
      <c r="D290" s="3"/>
      <c r="E290" s="18" t="str">
        <f>IF(EXACT($D290, ""), "", VLOOKUP($D290, [2]DataLookUp!$B$4:$C$84, 2, FALSE))</f>
        <v/>
      </c>
      <c r="F290" s="3"/>
      <c r="H290" s="15">
        <f t="shared" si="9"/>
        <v>225000000000020</v>
      </c>
      <c r="I290" s="16" t="str">
        <f t="shared" si="10"/>
        <v/>
      </c>
    </row>
    <row r="291" spans="2:9" x14ac:dyDescent="0.2">
      <c r="B291" s="18">
        <f>IF(EXACT('[1]DataLookUp - InternalCareer(LP)'!$B291, ""), "", '[1]DataLookUp - InternalCareer(LP)'!$B291)</f>
        <v>164000000000288</v>
      </c>
      <c r="C291" s="18" t="str">
        <f>IF(EXACT($B291, ""), "", VLOOKUP(B291, '[1]DataLookUp - InternalCareer(LP)'!$B$4:$D$620, 3, FALSE))</f>
        <v>Moh. Afif</v>
      </c>
      <c r="D291" s="3"/>
      <c r="E291" s="18" t="str">
        <f>IF(EXACT($D291, ""), "", VLOOKUP($D291, [2]DataLookUp!$B$4:$C$84, 2, FALSE))</f>
        <v/>
      </c>
      <c r="F291" s="3"/>
      <c r="H291" s="15">
        <f t="shared" si="9"/>
        <v>225000000000020</v>
      </c>
      <c r="I291" s="16" t="str">
        <f t="shared" si="10"/>
        <v/>
      </c>
    </row>
    <row r="292" spans="2:9" x14ac:dyDescent="0.2">
      <c r="B292" s="18">
        <f>IF(EXACT('[1]DataLookUp - InternalCareer(LP)'!$B292, ""), "", '[1]DataLookUp - InternalCareer(LP)'!$B292)</f>
        <v>164000000000289</v>
      </c>
      <c r="C292" s="18" t="str">
        <f>IF(EXACT($B292, ""), "", VLOOKUP(B292, '[1]DataLookUp - InternalCareer(LP)'!$B$4:$D$620, 3, FALSE))</f>
        <v>Mohammad Arman Tompo</v>
      </c>
      <c r="D292" s="3"/>
      <c r="E292" s="18" t="str">
        <f>IF(EXACT($D292, ""), "", VLOOKUP($D292, [2]DataLookUp!$B$4:$C$84, 2, FALSE))</f>
        <v/>
      </c>
      <c r="F292" s="3"/>
      <c r="H292" s="15">
        <f t="shared" si="9"/>
        <v>225000000000020</v>
      </c>
      <c r="I292" s="16" t="str">
        <f t="shared" si="10"/>
        <v/>
      </c>
    </row>
    <row r="293" spans="2:9" x14ac:dyDescent="0.2">
      <c r="B293" s="18">
        <f>IF(EXACT('[1]DataLookUp - InternalCareer(LP)'!$B293, ""), "", '[1]DataLookUp - InternalCareer(LP)'!$B293)</f>
        <v>164000000000290</v>
      </c>
      <c r="C293" s="18" t="str">
        <f>IF(EXACT($B293, ""), "", VLOOKUP(B293, '[1]DataLookUp - InternalCareer(LP)'!$B$4:$D$620, 3, FALSE))</f>
        <v>Mohd. Elfan Pratama</v>
      </c>
      <c r="D293" s="3"/>
      <c r="E293" s="18" t="str">
        <f>IF(EXACT($D293, ""), "", VLOOKUP($D293, [2]DataLookUp!$B$4:$C$84, 2, FALSE))</f>
        <v/>
      </c>
      <c r="F293" s="3"/>
      <c r="H293" s="15">
        <f t="shared" si="9"/>
        <v>225000000000020</v>
      </c>
      <c r="I293" s="16" t="str">
        <f t="shared" si="10"/>
        <v/>
      </c>
    </row>
    <row r="294" spans="2:9" x14ac:dyDescent="0.2">
      <c r="B294" s="18">
        <f>IF(EXACT('[1]DataLookUp - InternalCareer(LP)'!$B294, ""), "", '[1]DataLookUp - InternalCareer(LP)'!$B294)</f>
        <v>164000000000291</v>
      </c>
      <c r="C294" s="18" t="str">
        <f>IF(EXACT($B294, ""), "", VLOOKUP(B294, '[1]DataLookUp - InternalCareer(LP)'!$B$4:$D$620, 3, FALSE))</f>
        <v>Monang Simarmata</v>
      </c>
      <c r="D294" s="3"/>
      <c r="E294" s="18" t="str">
        <f>IF(EXACT($D294, ""), "", VLOOKUP($D294, [2]DataLookUp!$B$4:$C$84, 2, FALSE))</f>
        <v/>
      </c>
      <c r="F294" s="3"/>
      <c r="H294" s="15">
        <f t="shared" si="9"/>
        <v>225000000000020</v>
      </c>
      <c r="I294" s="16" t="str">
        <f t="shared" si="10"/>
        <v/>
      </c>
    </row>
    <row r="295" spans="2:9" x14ac:dyDescent="0.2">
      <c r="B295" s="18">
        <f>IF(EXACT('[1]DataLookUp - InternalCareer(LP)'!$B295, ""), "", '[1]DataLookUp - InternalCareer(LP)'!$B295)</f>
        <v>164000000000292</v>
      </c>
      <c r="C295" s="18" t="str">
        <f>IF(EXACT($B295, ""), "", VLOOKUP(B295, '[1]DataLookUp - InternalCareer(LP)'!$B$4:$D$620, 3, FALSE))</f>
        <v>Moritz Thomsen Marbun</v>
      </c>
      <c r="D295" s="3"/>
      <c r="E295" s="18" t="str">
        <f>IF(EXACT($D295, ""), "", VLOOKUP($D295, [2]DataLookUp!$B$4:$C$84, 2, FALSE))</f>
        <v/>
      </c>
      <c r="F295" s="3"/>
      <c r="H295" s="15">
        <f t="shared" si="9"/>
        <v>225000000000020</v>
      </c>
      <c r="I295" s="16" t="str">
        <f t="shared" si="10"/>
        <v/>
      </c>
    </row>
    <row r="296" spans="2:9" x14ac:dyDescent="0.2">
      <c r="B296" s="18">
        <f>IF(EXACT('[1]DataLookUp - InternalCareer(LP)'!$B296, ""), "", '[1]DataLookUp - InternalCareer(LP)'!$B296)</f>
        <v>164000000000293</v>
      </c>
      <c r="C296" s="18" t="str">
        <f>IF(EXACT($B296, ""), "", VLOOKUP(B296, '[1]DataLookUp - InternalCareer(LP)'!$B$4:$D$620, 3, FALSE))</f>
        <v>Muhamad Hamdan Rifai</v>
      </c>
      <c r="D296" s="3"/>
      <c r="E296" s="18" t="str">
        <f>IF(EXACT($D296, ""), "", VLOOKUP($D296, [2]DataLookUp!$B$4:$C$84, 2, FALSE))</f>
        <v/>
      </c>
      <c r="F296" s="3"/>
      <c r="H296" s="15">
        <f t="shared" si="9"/>
        <v>225000000000020</v>
      </c>
      <c r="I296" s="16" t="str">
        <f t="shared" si="10"/>
        <v/>
      </c>
    </row>
    <row r="297" spans="2:9" x14ac:dyDescent="0.2">
      <c r="B297" s="18">
        <f>IF(EXACT('[1]DataLookUp - InternalCareer(LP)'!$B297, ""), "", '[1]DataLookUp - InternalCareer(LP)'!$B297)</f>
        <v>164000000000294</v>
      </c>
      <c r="C297" s="18" t="str">
        <f>IF(EXACT($B297, ""), "", VLOOKUP(B297, '[1]DataLookUp - InternalCareer(LP)'!$B$4:$D$620, 3, FALSE))</f>
        <v>Muhamad Ikhsan</v>
      </c>
      <c r="D297" s="3"/>
      <c r="E297" s="18" t="str">
        <f>IF(EXACT($D297, ""), "", VLOOKUP($D297, [2]DataLookUp!$B$4:$C$84, 2, FALSE))</f>
        <v/>
      </c>
      <c r="F297" s="3"/>
      <c r="H297" s="15">
        <f t="shared" si="9"/>
        <v>225000000000020</v>
      </c>
      <c r="I297" s="16" t="str">
        <f t="shared" si="10"/>
        <v/>
      </c>
    </row>
    <row r="298" spans="2:9" x14ac:dyDescent="0.2">
      <c r="B298" s="18">
        <f>IF(EXACT('[1]DataLookUp - InternalCareer(LP)'!$B298, ""), "", '[1]DataLookUp - InternalCareer(LP)'!$B298)</f>
        <v>164000000000295</v>
      </c>
      <c r="C298" s="18" t="str">
        <f>IF(EXACT($B298, ""), "", VLOOKUP(B298, '[1]DataLookUp - InternalCareer(LP)'!$B$4:$D$620, 3, FALSE))</f>
        <v>Muhamad Nurhamsach</v>
      </c>
      <c r="D298" s="3"/>
      <c r="E298" s="18" t="str">
        <f>IF(EXACT($D298, ""), "", VLOOKUP($D298, [2]DataLookUp!$B$4:$C$84, 2, FALSE))</f>
        <v/>
      </c>
      <c r="F298" s="3"/>
      <c r="H298" s="15">
        <f t="shared" si="9"/>
        <v>225000000000020</v>
      </c>
      <c r="I298" s="16" t="str">
        <f t="shared" si="10"/>
        <v/>
      </c>
    </row>
    <row r="299" spans="2:9" x14ac:dyDescent="0.2">
      <c r="B299" s="18">
        <f>IF(EXACT('[1]DataLookUp - InternalCareer(LP)'!$B299, ""), "", '[1]DataLookUp - InternalCareer(LP)'!$B299)</f>
        <v>164000000000296</v>
      </c>
      <c r="C299" s="18" t="str">
        <f>IF(EXACT($B299, ""), "", VLOOKUP(B299, '[1]DataLookUp - InternalCareer(LP)'!$B$4:$D$620, 3, FALSE))</f>
        <v>Muhammad Ardiansyah</v>
      </c>
      <c r="D299" s="3"/>
      <c r="E299" s="18" t="str">
        <f>IF(EXACT($D299, ""), "", VLOOKUP($D299, [2]DataLookUp!$B$4:$C$84, 2, FALSE))</f>
        <v/>
      </c>
      <c r="F299" s="3"/>
      <c r="H299" s="15">
        <f t="shared" si="9"/>
        <v>225000000000020</v>
      </c>
      <c r="I299" s="16" t="str">
        <f t="shared" si="10"/>
        <v/>
      </c>
    </row>
    <row r="300" spans="2:9" x14ac:dyDescent="0.2">
      <c r="B300" s="18">
        <f>IF(EXACT('[1]DataLookUp - InternalCareer(LP)'!$B300, ""), "", '[1]DataLookUp - InternalCareer(LP)'!$B300)</f>
        <v>164000000000297</v>
      </c>
      <c r="C300" s="18" t="str">
        <f>IF(EXACT($B300, ""), "", VLOOKUP(B300, '[1]DataLookUp - InternalCareer(LP)'!$B$4:$D$620, 3, FALSE))</f>
        <v>Muhammad Khadafy</v>
      </c>
      <c r="D300" s="3"/>
      <c r="E300" s="18" t="str">
        <f>IF(EXACT($D300, ""), "", VLOOKUP($D300, [2]DataLookUp!$B$4:$C$84, 2, FALSE))</f>
        <v/>
      </c>
      <c r="F300" s="3"/>
      <c r="H300" s="15">
        <f t="shared" si="9"/>
        <v>225000000000020</v>
      </c>
      <c r="I300" s="16" t="str">
        <f t="shared" si="10"/>
        <v/>
      </c>
    </row>
    <row r="301" spans="2:9" x14ac:dyDescent="0.2">
      <c r="B301" s="18">
        <f>IF(EXACT('[1]DataLookUp - InternalCareer(LP)'!$B301, ""), "", '[1]DataLookUp - InternalCareer(LP)'!$B301)</f>
        <v>164000000000298</v>
      </c>
      <c r="C301" s="18" t="str">
        <f>IF(EXACT($B301, ""), "", VLOOKUP(B301, '[1]DataLookUp - InternalCareer(LP)'!$B$4:$D$620, 3, FALSE))</f>
        <v>Muhammad Taufan</v>
      </c>
      <c r="D301" s="3"/>
      <c r="E301" s="18" t="str">
        <f>IF(EXACT($D301, ""), "", VLOOKUP($D301, [2]DataLookUp!$B$4:$C$84, 2, FALSE))</f>
        <v/>
      </c>
      <c r="F301" s="3"/>
      <c r="H301" s="15">
        <f t="shared" si="9"/>
        <v>225000000000020</v>
      </c>
      <c r="I301" s="16" t="str">
        <f t="shared" si="10"/>
        <v/>
      </c>
    </row>
    <row r="302" spans="2:9" x14ac:dyDescent="0.2">
      <c r="B302" s="18">
        <f>IF(EXACT('[1]DataLookUp - InternalCareer(LP)'!$B302, ""), "", '[1]DataLookUp - InternalCareer(LP)'!$B302)</f>
        <v>164000000000299</v>
      </c>
      <c r="C302" s="18" t="str">
        <f>IF(EXACT($B302, ""), "", VLOOKUP(B302, '[1]DataLookUp - InternalCareer(LP)'!$B$4:$D$620, 3, FALSE))</f>
        <v>Muklis</v>
      </c>
      <c r="D302" s="3"/>
      <c r="E302" s="18" t="str">
        <f>IF(EXACT($D302, ""), "", VLOOKUP($D302, [2]DataLookUp!$B$4:$C$84, 2, FALSE))</f>
        <v/>
      </c>
      <c r="F302" s="3"/>
      <c r="H302" s="15">
        <f t="shared" si="9"/>
        <v>225000000000020</v>
      </c>
      <c r="I302" s="16" t="str">
        <f t="shared" si="10"/>
        <v/>
      </c>
    </row>
    <row r="303" spans="2:9" x14ac:dyDescent="0.2">
      <c r="B303" s="18">
        <f>IF(EXACT('[1]DataLookUp - InternalCareer(LP)'!$B303, ""), "", '[1]DataLookUp - InternalCareer(LP)'!$B303)</f>
        <v>164000000000300</v>
      </c>
      <c r="C303" s="18" t="str">
        <f>IF(EXACT($B303, ""), "", VLOOKUP(B303, '[1]DataLookUp - InternalCareer(LP)'!$B$4:$D$620, 3, FALSE))</f>
        <v>Mulia Rohanson Harahap</v>
      </c>
      <c r="D303" s="3"/>
      <c r="E303" s="18" t="str">
        <f>IF(EXACT($D303, ""), "", VLOOKUP($D303, [2]DataLookUp!$B$4:$C$84, 2, FALSE))</f>
        <v/>
      </c>
      <c r="F303" s="3"/>
      <c r="H303" s="15">
        <f t="shared" si="9"/>
        <v>225000000000020</v>
      </c>
      <c r="I303" s="16" t="str">
        <f t="shared" si="10"/>
        <v/>
      </c>
    </row>
    <row r="304" spans="2:9" x14ac:dyDescent="0.2">
      <c r="B304" s="18">
        <f>IF(EXACT('[1]DataLookUp - InternalCareer(LP)'!$B304, ""), "", '[1]DataLookUp - InternalCareer(LP)'!$B304)</f>
        <v>164000000000301</v>
      </c>
      <c r="C304" s="18" t="str">
        <f>IF(EXACT($B304, ""), "", VLOOKUP(B304, '[1]DataLookUp - InternalCareer(LP)'!$B$4:$D$620, 3, FALSE))</f>
        <v>Mullan Tresna</v>
      </c>
      <c r="D304" s="3">
        <f>[2]MAIN!$D$42</f>
        <v>95000000000032</v>
      </c>
      <c r="E304" s="18" t="str">
        <f>IF(EXACT($D304, ""), "", VLOOKUP($D304, [2]DataLookUp!$B$4:$C$84, 2, FALSE))</f>
        <v>Accounting &amp; Tax Manager</v>
      </c>
      <c r="F304" s="3"/>
      <c r="H304" s="15">
        <f t="shared" si="9"/>
        <v>225000000000021</v>
      </c>
      <c r="I304" s="16" t="str">
        <f t="shared" si="10"/>
        <v>PERFORM "SchData-OLTP-HumanResource"."Func_TblMapper_WorkerCareerInternalToUserRole_SET"(varSystemLoginSession, null::bigint, null::varchar, null::timestamptz, null::timestamptz, null::varchar, varInstitutionBranchID, varBaseCurrencyID, 164000000000301::bigint, 95000000000032::bigint, null::bigint);</v>
      </c>
    </row>
    <row r="305" spans="2:9" x14ac:dyDescent="0.2">
      <c r="B305" s="18">
        <f>IF(EXACT('[1]DataLookUp - InternalCareer(LP)'!$B305, ""), "", '[1]DataLookUp - InternalCareer(LP)'!$B305)</f>
        <v>164000000000302</v>
      </c>
      <c r="C305" s="18" t="str">
        <f>IF(EXACT($B305, ""), "", VLOOKUP(B305, '[1]DataLookUp - InternalCareer(LP)'!$B$4:$D$620, 3, FALSE))</f>
        <v>Mulyadi</v>
      </c>
      <c r="D305" s="3"/>
      <c r="E305" s="18" t="str">
        <f>IF(EXACT($D305, ""), "", VLOOKUP($D305, [2]DataLookUp!$B$4:$C$84, 2, FALSE))</f>
        <v/>
      </c>
      <c r="F305" s="3"/>
      <c r="H305" s="15">
        <f t="shared" si="9"/>
        <v>225000000000021</v>
      </c>
      <c r="I305" s="16" t="str">
        <f t="shared" si="10"/>
        <v/>
      </c>
    </row>
    <row r="306" spans="2:9" x14ac:dyDescent="0.2">
      <c r="B306" s="18">
        <f>IF(EXACT('[1]DataLookUp - InternalCareer(LP)'!$B306, ""), "", '[1]DataLookUp - InternalCareer(LP)'!$B306)</f>
        <v>164000000000303</v>
      </c>
      <c r="C306" s="18" t="str">
        <f>IF(EXACT($B306, ""), "", VLOOKUP(B306, '[1]DataLookUp - InternalCareer(LP)'!$B$4:$D$620, 3, FALSE))</f>
        <v>Mulyono</v>
      </c>
      <c r="D306" s="3"/>
      <c r="E306" s="18" t="str">
        <f>IF(EXACT($D306, ""), "", VLOOKUP($D306, [2]DataLookUp!$B$4:$C$84, 2, FALSE))</f>
        <v/>
      </c>
      <c r="F306" s="3"/>
      <c r="H306" s="15">
        <f t="shared" si="9"/>
        <v>225000000000021</v>
      </c>
      <c r="I306" s="16" t="str">
        <f t="shared" si="10"/>
        <v/>
      </c>
    </row>
    <row r="307" spans="2:9" x14ac:dyDescent="0.2">
      <c r="B307" s="18">
        <f>IF(EXACT('[1]DataLookUp - InternalCareer(LP)'!$B307, ""), "", '[1]DataLookUp - InternalCareer(LP)'!$B307)</f>
        <v>164000000000304</v>
      </c>
      <c r="C307" s="18" t="str">
        <f>IF(EXACT($B307, ""), "", VLOOKUP(B307, '[1]DataLookUp - InternalCareer(LP)'!$B$4:$D$620, 3, FALSE))</f>
        <v>Murdiansyah</v>
      </c>
      <c r="D307" s="3"/>
      <c r="E307" s="18" t="str">
        <f>IF(EXACT($D307, ""), "", VLOOKUP($D307, [2]DataLookUp!$B$4:$C$84, 2, FALSE))</f>
        <v/>
      </c>
      <c r="F307" s="3"/>
      <c r="H307" s="15">
        <f t="shared" si="9"/>
        <v>225000000000021</v>
      </c>
      <c r="I307" s="16" t="str">
        <f t="shared" si="10"/>
        <v/>
      </c>
    </row>
    <row r="308" spans="2:9" x14ac:dyDescent="0.2">
      <c r="B308" s="18">
        <f>IF(EXACT('[1]DataLookUp - InternalCareer(LP)'!$B308, ""), "", '[1]DataLookUp - InternalCareer(LP)'!$B308)</f>
        <v>164000000000305</v>
      </c>
      <c r="C308" s="18" t="str">
        <f>IF(EXACT($B308, ""), "", VLOOKUP(B308, '[1]DataLookUp - InternalCareer(LP)'!$B$4:$D$620, 3, FALSE))</f>
        <v>Mursalim</v>
      </c>
      <c r="D308" s="3"/>
      <c r="E308" s="18" t="str">
        <f>IF(EXACT($D308, ""), "", VLOOKUP($D308, [2]DataLookUp!$B$4:$C$84, 2, FALSE))</f>
        <v/>
      </c>
      <c r="F308" s="3"/>
      <c r="H308" s="15">
        <f t="shared" si="9"/>
        <v>225000000000021</v>
      </c>
      <c r="I308" s="16" t="str">
        <f t="shared" si="10"/>
        <v/>
      </c>
    </row>
    <row r="309" spans="2:9" x14ac:dyDescent="0.2">
      <c r="B309" s="18">
        <f>IF(EXACT('[1]DataLookUp - InternalCareer(LP)'!$B309, ""), "", '[1]DataLookUp - InternalCareer(LP)'!$B309)</f>
        <v>164000000000306</v>
      </c>
      <c r="C309" s="18" t="str">
        <f>IF(EXACT($B309, ""), "", VLOOKUP(B309, '[1]DataLookUp - InternalCareer(LP)'!$B$4:$D$620, 3, FALSE))</f>
        <v>Nancy Meriana Sinaga</v>
      </c>
      <c r="D309" s="3"/>
      <c r="E309" s="18" t="str">
        <f>IF(EXACT($D309, ""), "", VLOOKUP($D309, [2]DataLookUp!$B$4:$C$84, 2, FALSE))</f>
        <v/>
      </c>
      <c r="F309" s="3"/>
      <c r="H309" s="15">
        <f t="shared" si="9"/>
        <v>225000000000021</v>
      </c>
      <c r="I309" s="16" t="str">
        <f t="shared" si="10"/>
        <v/>
      </c>
    </row>
    <row r="310" spans="2:9" x14ac:dyDescent="0.2">
      <c r="B310" s="18">
        <f>IF(EXACT('[1]DataLookUp - InternalCareer(LP)'!$B310, ""), "", '[1]DataLookUp - InternalCareer(LP)'!$B310)</f>
        <v>164000000000307</v>
      </c>
      <c r="C310" s="18" t="str">
        <f>IF(EXACT($B310, ""), "", VLOOKUP(B310, '[1]DataLookUp - InternalCareer(LP)'!$B$4:$D$620, 3, FALSE))</f>
        <v>Nandang Effendi</v>
      </c>
      <c r="D310" s="3"/>
      <c r="E310" s="18" t="str">
        <f>IF(EXACT($D310, ""), "", VLOOKUP($D310, [2]DataLookUp!$B$4:$C$84, 2, FALSE))</f>
        <v/>
      </c>
      <c r="F310" s="3"/>
      <c r="H310" s="15">
        <f t="shared" si="9"/>
        <v>225000000000021</v>
      </c>
      <c r="I310" s="16" t="str">
        <f t="shared" si="10"/>
        <v/>
      </c>
    </row>
    <row r="311" spans="2:9" x14ac:dyDescent="0.2">
      <c r="B311" s="18">
        <f>IF(EXACT('[1]DataLookUp - InternalCareer(LP)'!$B311, ""), "", '[1]DataLookUp - InternalCareer(LP)'!$B311)</f>
        <v>164000000000308</v>
      </c>
      <c r="C311" s="18" t="str">
        <f>IF(EXACT($B311, ""), "", VLOOKUP(B311, '[1]DataLookUp - InternalCareer(LP)'!$B$4:$D$620, 3, FALSE))</f>
        <v>Narno</v>
      </c>
      <c r="D311" s="3"/>
      <c r="E311" s="18" t="str">
        <f>IF(EXACT($D311, ""), "", VLOOKUP($D311, [2]DataLookUp!$B$4:$C$84, 2, FALSE))</f>
        <v/>
      </c>
      <c r="F311" s="3"/>
      <c r="H311" s="15">
        <f t="shared" si="9"/>
        <v>225000000000021</v>
      </c>
      <c r="I311" s="16" t="str">
        <f t="shared" si="10"/>
        <v/>
      </c>
    </row>
    <row r="312" spans="2:9" x14ac:dyDescent="0.2">
      <c r="B312" s="18">
        <f>IF(EXACT('[1]DataLookUp - InternalCareer(LP)'!$B312, ""), "", '[1]DataLookUp - InternalCareer(LP)'!$B312)</f>
        <v>164000000000309</v>
      </c>
      <c r="C312" s="18" t="str">
        <f>IF(EXACT($B312, ""), "", VLOOKUP(B312, '[1]DataLookUp - InternalCareer(LP)'!$B$4:$D$620, 3, FALSE))</f>
        <v>Nasrul Anwar P.</v>
      </c>
      <c r="D312" s="3"/>
      <c r="E312" s="18" t="str">
        <f>IF(EXACT($D312, ""), "", VLOOKUP($D312, [2]DataLookUp!$B$4:$C$84, 2, FALSE))</f>
        <v/>
      </c>
      <c r="F312" s="3"/>
      <c r="H312" s="15">
        <f t="shared" si="9"/>
        <v>225000000000021</v>
      </c>
      <c r="I312" s="16" t="str">
        <f t="shared" si="10"/>
        <v/>
      </c>
    </row>
    <row r="313" spans="2:9" x14ac:dyDescent="0.2">
      <c r="B313" s="18">
        <f>IF(EXACT('[1]DataLookUp - InternalCareer(LP)'!$B313, ""), "", '[1]DataLookUp - InternalCareer(LP)'!$B313)</f>
        <v>164000000000310</v>
      </c>
      <c r="C313" s="18" t="str">
        <f>IF(EXACT($B313, ""), "", VLOOKUP(B313, '[1]DataLookUp - InternalCareer(LP)'!$B$4:$D$620, 3, FALSE))</f>
        <v>Nawal</v>
      </c>
      <c r="D313" s="3"/>
      <c r="E313" s="18" t="str">
        <f>IF(EXACT($D313, ""), "", VLOOKUP($D313, [2]DataLookUp!$B$4:$C$84, 2, FALSE))</f>
        <v/>
      </c>
      <c r="F313" s="3"/>
      <c r="H313" s="15">
        <f t="shared" si="9"/>
        <v>225000000000021</v>
      </c>
      <c r="I313" s="16" t="str">
        <f t="shared" si="10"/>
        <v/>
      </c>
    </row>
    <row r="314" spans="2:9" x14ac:dyDescent="0.2">
      <c r="B314" s="18">
        <f>IF(EXACT('[1]DataLookUp - InternalCareer(LP)'!$B314, ""), "", '[1]DataLookUp - InternalCareer(LP)'!$B314)</f>
        <v>164000000000311</v>
      </c>
      <c r="C314" s="18" t="str">
        <f>IF(EXACT($B314, ""), "", VLOOKUP(B314, '[1]DataLookUp - InternalCareer(LP)'!$B$4:$D$620, 3, FALSE))</f>
        <v>Nawir Lahamutu</v>
      </c>
      <c r="D314" s="3"/>
      <c r="E314" s="18" t="str">
        <f>IF(EXACT($D314, ""), "", VLOOKUP($D314, [2]DataLookUp!$B$4:$C$84, 2, FALSE))</f>
        <v/>
      </c>
      <c r="F314" s="3"/>
      <c r="H314" s="15">
        <f t="shared" si="9"/>
        <v>225000000000021</v>
      </c>
      <c r="I314" s="16" t="str">
        <f t="shared" si="10"/>
        <v/>
      </c>
    </row>
    <row r="315" spans="2:9" x14ac:dyDescent="0.2">
      <c r="B315" s="18">
        <f>IF(EXACT('[1]DataLookUp - InternalCareer(LP)'!$B315, ""), "", '[1]DataLookUp - InternalCareer(LP)'!$B315)</f>
        <v>164000000000312</v>
      </c>
      <c r="C315" s="18" t="str">
        <f>IF(EXACT($B315, ""), "", VLOOKUP(B315, '[1]DataLookUp - InternalCareer(LP)'!$B$4:$D$620, 3, FALSE))</f>
        <v>Nicky Kurnia</v>
      </c>
      <c r="D315" s="3"/>
      <c r="E315" s="18" t="str">
        <f>IF(EXACT($D315, ""), "", VLOOKUP($D315, [2]DataLookUp!$B$4:$C$84, 2, FALSE))</f>
        <v/>
      </c>
      <c r="F315" s="3"/>
      <c r="H315" s="15">
        <f t="shared" si="9"/>
        <v>225000000000021</v>
      </c>
      <c r="I315" s="16" t="str">
        <f t="shared" si="10"/>
        <v/>
      </c>
    </row>
    <row r="316" spans="2:9" x14ac:dyDescent="0.2">
      <c r="B316" s="18">
        <f>IF(EXACT('[1]DataLookUp - InternalCareer(LP)'!$B316, ""), "", '[1]DataLookUp - InternalCareer(LP)'!$B316)</f>
        <v>164000000000313</v>
      </c>
      <c r="C316" s="18" t="str">
        <f>IF(EXACT($B316, ""), "", VLOOKUP(B316, '[1]DataLookUp - InternalCareer(LP)'!$B$4:$D$620, 3, FALSE))</f>
        <v>Noercholis Firmansyah</v>
      </c>
      <c r="D316" s="3"/>
      <c r="E316" s="18" t="str">
        <f>IF(EXACT($D316, ""), "", VLOOKUP($D316, [2]DataLookUp!$B$4:$C$84, 2, FALSE))</f>
        <v/>
      </c>
      <c r="F316" s="3"/>
      <c r="H316" s="15">
        <f t="shared" si="9"/>
        <v>225000000000021</v>
      </c>
      <c r="I316" s="16" t="str">
        <f t="shared" si="10"/>
        <v/>
      </c>
    </row>
    <row r="317" spans="2:9" x14ac:dyDescent="0.2">
      <c r="B317" s="18">
        <f>IF(EXACT('[1]DataLookUp - InternalCareer(LP)'!$B317, ""), "", '[1]DataLookUp - InternalCareer(LP)'!$B317)</f>
        <v>164000000000314</v>
      </c>
      <c r="C317" s="18" t="str">
        <f>IF(EXACT($B317, ""), "", VLOOKUP(B317, '[1]DataLookUp - InternalCareer(LP)'!$B$4:$D$620, 3, FALSE))</f>
        <v>Nopitasari</v>
      </c>
      <c r="D317" s="3"/>
      <c r="E317" s="18" t="str">
        <f>IF(EXACT($D317, ""), "", VLOOKUP($D317, [2]DataLookUp!$B$4:$C$84, 2, FALSE))</f>
        <v/>
      </c>
      <c r="F317" s="3"/>
      <c r="H317" s="15">
        <f t="shared" si="9"/>
        <v>225000000000021</v>
      </c>
      <c r="I317" s="16" t="str">
        <f t="shared" si="10"/>
        <v/>
      </c>
    </row>
    <row r="318" spans="2:9" x14ac:dyDescent="0.2">
      <c r="B318" s="18">
        <f>IF(EXACT('[1]DataLookUp - InternalCareer(LP)'!$B318, ""), "", '[1]DataLookUp - InternalCareer(LP)'!$B318)</f>
        <v>164000000000315</v>
      </c>
      <c r="C318" s="18" t="str">
        <f>IF(EXACT($B318, ""), "", VLOOKUP(B318, '[1]DataLookUp - InternalCareer(LP)'!$B$4:$D$620, 3, FALSE))</f>
        <v>Nora Meilissa</v>
      </c>
      <c r="D318" s="3"/>
      <c r="E318" s="18" t="str">
        <f>IF(EXACT($D318, ""), "", VLOOKUP($D318, [2]DataLookUp!$B$4:$C$84, 2, FALSE))</f>
        <v/>
      </c>
      <c r="F318" s="3"/>
      <c r="H318" s="15">
        <f t="shared" si="9"/>
        <v>225000000000021</v>
      </c>
      <c r="I318" s="16" t="str">
        <f t="shared" si="10"/>
        <v/>
      </c>
    </row>
    <row r="319" spans="2:9" x14ac:dyDescent="0.2">
      <c r="B319" s="18">
        <f>IF(EXACT('[1]DataLookUp - InternalCareer(LP)'!$B319, ""), "", '[1]DataLookUp - InternalCareer(LP)'!$B319)</f>
        <v>164000000000316</v>
      </c>
      <c r="C319" s="18" t="str">
        <f>IF(EXACT($B319, ""), "", VLOOKUP(B319, '[1]DataLookUp - InternalCareer(LP)'!$B$4:$D$620, 3, FALSE))</f>
        <v>Novalia</v>
      </c>
      <c r="D319" s="3"/>
      <c r="E319" s="18" t="str">
        <f>IF(EXACT($D319, ""), "", VLOOKUP($D319, [2]DataLookUp!$B$4:$C$84, 2, FALSE))</f>
        <v/>
      </c>
      <c r="F319" s="3"/>
      <c r="H319" s="15">
        <f t="shared" si="9"/>
        <v>225000000000021</v>
      </c>
      <c r="I319" s="16" t="str">
        <f t="shared" si="10"/>
        <v/>
      </c>
    </row>
    <row r="320" spans="2:9" x14ac:dyDescent="0.2">
      <c r="B320" s="18">
        <f>IF(EXACT('[1]DataLookUp - InternalCareer(LP)'!$B320, ""), "", '[1]DataLookUp - InternalCareer(LP)'!$B320)</f>
        <v>164000000000317</v>
      </c>
      <c r="C320" s="18" t="str">
        <f>IF(EXACT($B320, ""), "", VLOOKUP(B320, '[1]DataLookUp - InternalCareer(LP)'!$B$4:$D$620, 3, FALSE))</f>
        <v>Novan Nugraha</v>
      </c>
      <c r="D320" s="3"/>
      <c r="E320" s="18" t="str">
        <f>IF(EXACT($D320, ""), "", VLOOKUP($D320, [2]DataLookUp!$B$4:$C$84, 2, FALSE))</f>
        <v/>
      </c>
      <c r="F320" s="3"/>
      <c r="H320" s="15">
        <f t="shared" si="9"/>
        <v>225000000000021</v>
      </c>
      <c r="I320" s="16" t="str">
        <f t="shared" si="10"/>
        <v/>
      </c>
    </row>
    <row r="321" spans="2:9" x14ac:dyDescent="0.2">
      <c r="B321" s="18">
        <f>IF(EXACT('[1]DataLookUp - InternalCareer(LP)'!$B321, ""), "", '[1]DataLookUp - InternalCareer(LP)'!$B321)</f>
        <v>164000000000318</v>
      </c>
      <c r="C321" s="18" t="str">
        <f>IF(EXACT($B321, ""), "", VLOOKUP(B321, '[1]DataLookUp - InternalCareer(LP)'!$B$4:$D$620, 3, FALSE))</f>
        <v>Nugraha</v>
      </c>
      <c r="D321" s="3"/>
      <c r="E321" s="18" t="str">
        <f>IF(EXACT($D321, ""), "", VLOOKUP($D321, [2]DataLookUp!$B$4:$C$84, 2, FALSE))</f>
        <v/>
      </c>
      <c r="F321" s="3"/>
      <c r="H321" s="15">
        <f t="shared" si="9"/>
        <v>225000000000021</v>
      </c>
      <c r="I321" s="16" t="str">
        <f t="shared" si="10"/>
        <v/>
      </c>
    </row>
    <row r="322" spans="2:9" x14ac:dyDescent="0.2">
      <c r="B322" s="18">
        <f>IF(EXACT('[1]DataLookUp - InternalCareer(LP)'!$B322, ""), "", '[1]DataLookUp - InternalCareer(LP)'!$B322)</f>
        <v>164000000000319</v>
      </c>
      <c r="C322" s="18" t="str">
        <f>IF(EXACT($B322, ""), "", VLOOKUP(B322, '[1]DataLookUp - InternalCareer(LP)'!$B$4:$D$620, 3, FALSE))</f>
        <v>Nugroho Putranto</v>
      </c>
      <c r="D322" s="3"/>
      <c r="E322" s="18" t="str">
        <f>IF(EXACT($D322, ""), "", VLOOKUP($D322, [2]DataLookUp!$B$4:$C$84, 2, FALSE))</f>
        <v/>
      </c>
      <c r="F322" s="3"/>
      <c r="H322" s="15">
        <f t="shared" si="9"/>
        <v>225000000000021</v>
      </c>
      <c r="I322" s="16" t="str">
        <f t="shared" si="10"/>
        <v/>
      </c>
    </row>
    <row r="323" spans="2:9" x14ac:dyDescent="0.2">
      <c r="B323" s="18">
        <f>IF(EXACT('[1]DataLookUp - InternalCareer(LP)'!$B323, ""), "", '[1]DataLookUp - InternalCareer(LP)'!$B323)</f>
        <v>164000000000320</v>
      </c>
      <c r="C323" s="18" t="str">
        <f>IF(EXACT($B323, ""), "", VLOOKUP(B323, '[1]DataLookUp - InternalCareer(LP)'!$B$4:$D$620, 3, FALSE))</f>
        <v>Nur Indra Sri Melati</v>
      </c>
      <c r="D323" s="3"/>
      <c r="E323" s="18" t="str">
        <f>IF(EXACT($D323, ""), "", VLOOKUP($D323, [2]DataLookUp!$B$4:$C$84, 2, FALSE))</f>
        <v/>
      </c>
      <c r="F323" s="3"/>
      <c r="H323" s="15">
        <f t="shared" si="9"/>
        <v>225000000000021</v>
      </c>
      <c r="I323" s="16" t="str">
        <f t="shared" si="10"/>
        <v/>
      </c>
    </row>
    <row r="324" spans="2:9" x14ac:dyDescent="0.2">
      <c r="B324" s="18">
        <f>IF(EXACT('[1]DataLookUp - InternalCareer(LP)'!$B324, ""), "", '[1]DataLookUp - InternalCareer(LP)'!$B324)</f>
        <v>164000000000321</v>
      </c>
      <c r="C324" s="18" t="str">
        <f>IF(EXACT($B324, ""), "", VLOOKUP(B324, '[1]DataLookUp - InternalCareer(LP)'!$B$4:$D$620, 3, FALSE))</f>
        <v>Nur Kusumowati</v>
      </c>
      <c r="D324" s="3"/>
      <c r="E324" s="18" t="str">
        <f>IF(EXACT($D324, ""), "", VLOOKUP($D324, [2]DataLookUp!$B$4:$C$84, 2, FALSE))</f>
        <v/>
      </c>
      <c r="F324" s="3"/>
      <c r="H324" s="15">
        <f t="shared" si="9"/>
        <v>225000000000021</v>
      </c>
      <c r="I324" s="16" t="str">
        <f t="shared" si="10"/>
        <v/>
      </c>
    </row>
    <row r="325" spans="2:9" x14ac:dyDescent="0.2">
      <c r="B325" s="18">
        <f>IF(EXACT('[1]DataLookUp - InternalCareer(LP)'!$B325, ""), "", '[1]DataLookUp - InternalCareer(LP)'!$B325)</f>
        <v>164000000000322</v>
      </c>
      <c r="C325" s="18" t="str">
        <f>IF(EXACT($B325, ""), "", VLOOKUP(B325, '[1]DataLookUp - InternalCareer(LP)'!$B$4:$D$620, 3, FALSE))</f>
        <v>Nurhidayat</v>
      </c>
      <c r="D325" s="3"/>
      <c r="E325" s="18" t="str">
        <f>IF(EXACT($D325, ""), "", VLOOKUP($D325, [2]DataLookUp!$B$4:$C$84, 2, FALSE))</f>
        <v/>
      </c>
      <c r="F325" s="3"/>
      <c r="H325" s="15">
        <f t="shared" si="9"/>
        <v>225000000000021</v>
      </c>
      <c r="I325" s="16" t="str">
        <f t="shared" si="10"/>
        <v/>
      </c>
    </row>
    <row r="326" spans="2:9" x14ac:dyDescent="0.2">
      <c r="B326" s="18">
        <f>IF(EXACT('[1]DataLookUp - InternalCareer(LP)'!$B326, ""), "", '[1]DataLookUp - InternalCareer(LP)'!$B326)</f>
        <v>164000000000323</v>
      </c>
      <c r="C326" s="18" t="str">
        <f>IF(EXACT($B326, ""), "", VLOOKUP(B326, '[1]DataLookUp - InternalCareer(LP)'!$B$4:$D$620, 3, FALSE))</f>
        <v>Otong Bustori</v>
      </c>
      <c r="D326" s="3"/>
      <c r="E326" s="18" t="str">
        <f>IF(EXACT($D326, ""), "", VLOOKUP($D326, [2]DataLookUp!$B$4:$C$84, 2, FALSE))</f>
        <v/>
      </c>
      <c r="F326" s="3"/>
      <c r="H326" s="15">
        <f t="shared" ref="H326:H389" si="11" xml:space="preserve"> H325 + IF(EXACT(I326, ""), 0, 1)</f>
        <v>225000000000021</v>
      </c>
      <c r="I326" s="16" t="str">
        <f t="shared" si="10"/>
        <v/>
      </c>
    </row>
    <row r="327" spans="2:9" x14ac:dyDescent="0.2">
      <c r="B327" s="18">
        <f>IF(EXACT('[1]DataLookUp - InternalCareer(LP)'!$B327, ""), "", '[1]DataLookUp - InternalCareer(LP)'!$B327)</f>
        <v>164000000000324</v>
      </c>
      <c r="C327" s="18" t="str">
        <f>IF(EXACT($B327, ""), "", VLOOKUP(B327, '[1]DataLookUp - InternalCareer(LP)'!$B$4:$D$620, 3, FALSE))</f>
        <v>Paino Suprayinto</v>
      </c>
      <c r="D327" s="3"/>
      <c r="E327" s="18" t="str">
        <f>IF(EXACT($D327, ""), "", VLOOKUP($D327, [2]DataLookUp!$B$4:$C$84, 2, FALSE))</f>
        <v/>
      </c>
      <c r="F327" s="3"/>
      <c r="H327" s="15">
        <f t="shared" si="11"/>
        <v>225000000000021</v>
      </c>
      <c r="I327" s="16" t="str">
        <f t="shared" si="10"/>
        <v/>
      </c>
    </row>
    <row r="328" spans="2:9" x14ac:dyDescent="0.2">
      <c r="B328" s="18">
        <f>IF(EXACT('[1]DataLookUp - InternalCareer(LP)'!$B328, ""), "", '[1]DataLookUp - InternalCareer(LP)'!$B328)</f>
        <v>164000000000325</v>
      </c>
      <c r="C328" s="18" t="str">
        <f>IF(EXACT($B328, ""), "", VLOOKUP(B328, '[1]DataLookUp - InternalCareer(LP)'!$B$4:$D$620, 3, FALSE))</f>
        <v>Panca Yudi Baskoro</v>
      </c>
      <c r="D328" s="3"/>
      <c r="E328" s="18" t="str">
        <f>IF(EXACT($D328, ""), "", VLOOKUP($D328, [2]DataLookUp!$B$4:$C$84, 2, FALSE))</f>
        <v/>
      </c>
      <c r="F328" s="3"/>
      <c r="H328" s="15">
        <f t="shared" si="11"/>
        <v>225000000000021</v>
      </c>
      <c r="I328" s="16" t="str">
        <f t="shared" si="10"/>
        <v/>
      </c>
    </row>
    <row r="329" spans="2:9" x14ac:dyDescent="0.2">
      <c r="B329" s="18">
        <f>IF(EXACT('[1]DataLookUp - InternalCareer(LP)'!$B329, ""), "", '[1]DataLookUp - InternalCareer(LP)'!$B329)</f>
        <v>164000000000326</v>
      </c>
      <c r="C329" s="18" t="str">
        <f>IF(EXACT($B329, ""), "", VLOOKUP(B329, '[1]DataLookUp - InternalCareer(LP)'!$B$4:$D$620, 3, FALSE))</f>
        <v>Panji Bima Santri</v>
      </c>
      <c r="D329" s="3"/>
      <c r="E329" s="18" t="str">
        <f>IF(EXACT($D329, ""), "", VLOOKUP($D329, [2]DataLookUp!$B$4:$C$84, 2, FALSE))</f>
        <v/>
      </c>
      <c r="F329" s="3"/>
      <c r="H329" s="15">
        <f t="shared" si="11"/>
        <v>225000000000021</v>
      </c>
      <c r="I329" s="16" t="str">
        <f t="shared" si="10"/>
        <v/>
      </c>
    </row>
    <row r="330" spans="2:9" x14ac:dyDescent="0.2">
      <c r="B330" s="18">
        <f>IF(EXACT('[1]DataLookUp - InternalCareer(LP)'!$B330, ""), "", '[1]DataLookUp - InternalCareer(LP)'!$B330)</f>
        <v>164000000000327</v>
      </c>
      <c r="C330" s="18" t="str">
        <f>IF(EXACT($B330, ""), "", VLOOKUP(B330, '[1]DataLookUp - InternalCareer(LP)'!$B$4:$D$620, 3, FALSE))</f>
        <v>Parulian Napitupulu</v>
      </c>
      <c r="D330" s="3"/>
      <c r="E330" s="18" t="str">
        <f>IF(EXACT($D330, ""), "", VLOOKUP($D330, [2]DataLookUp!$B$4:$C$84, 2, FALSE))</f>
        <v/>
      </c>
      <c r="F330" s="3"/>
      <c r="H330" s="15">
        <f t="shared" si="11"/>
        <v>225000000000021</v>
      </c>
      <c r="I330" s="16" t="str">
        <f t="shared" si="10"/>
        <v/>
      </c>
    </row>
    <row r="331" spans="2:9" x14ac:dyDescent="0.2">
      <c r="B331" s="18">
        <f>IF(EXACT('[1]DataLookUp - InternalCareer(LP)'!$B331, ""), "", '[1]DataLookUp - InternalCareer(LP)'!$B331)</f>
        <v>164000000000328</v>
      </c>
      <c r="C331" s="18" t="str">
        <f>IF(EXACT($B331, ""), "", VLOOKUP(B331, '[1]DataLookUp - InternalCareer(LP)'!$B$4:$D$620, 3, FALSE))</f>
        <v>Paryanto</v>
      </c>
      <c r="D331" s="3"/>
      <c r="E331" s="18" t="str">
        <f>IF(EXACT($D331, ""), "", VLOOKUP($D331, [2]DataLookUp!$B$4:$C$84, 2, FALSE))</f>
        <v/>
      </c>
      <c r="F331" s="3"/>
      <c r="H331" s="15">
        <f t="shared" si="11"/>
        <v>225000000000021</v>
      </c>
      <c r="I331" s="16" t="str">
        <f t="shared" si="10"/>
        <v/>
      </c>
    </row>
    <row r="332" spans="2:9" x14ac:dyDescent="0.2">
      <c r="B332" s="18">
        <f>IF(EXACT('[1]DataLookUp - InternalCareer(LP)'!$B332, ""), "", '[1]DataLookUp - InternalCareer(LP)'!$B332)</f>
        <v>164000000000329</v>
      </c>
      <c r="C332" s="18" t="str">
        <f>IF(EXACT($B332, ""), "", VLOOKUP(B332, '[1]DataLookUp - InternalCareer(LP)'!$B$4:$D$620, 3, FALSE))</f>
        <v>Pikri Hidayat</v>
      </c>
      <c r="D332" s="3"/>
      <c r="E332" s="18" t="str">
        <f>IF(EXACT($D332, ""), "", VLOOKUP($D332, [2]DataLookUp!$B$4:$C$84, 2, FALSE))</f>
        <v/>
      </c>
      <c r="F332" s="3"/>
      <c r="H332" s="15">
        <f t="shared" si="11"/>
        <v>225000000000021</v>
      </c>
      <c r="I332" s="16" t="str">
        <f t="shared" si="10"/>
        <v/>
      </c>
    </row>
    <row r="333" spans="2:9" x14ac:dyDescent="0.2">
      <c r="B333" s="18">
        <f>IF(EXACT('[1]DataLookUp - InternalCareer(LP)'!$B333, ""), "", '[1]DataLookUp - InternalCareer(LP)'!$B333)</f>
        <v>164000000000330</v>
      </c>
      <c r="C333" s="18" t="str">
        <f>IF(EXACT($B333, ""), "", VLOOKUP(B333, '[1]DataLookUp - InternalCareer(LP)'!$B$4:$D$620, 3, FALSE))</f>
        <v>Prayanti Dewi Anggraini</v>
      </c>
      <c r="D333" s="3"/>
      <c r="E333" s="18" t="str">
        <f>IF(EXACT($D333, ""), "", VLOOKUP($D333, [2]DataLookUp!$B$4:$C$84, 2, FALSE))</f>
        <v/>
      </c>
      <c r="F333" s="3"/>
      <c r="H333" s="15">
        <f t="shared" si="11"/>
        <v>225000000000021</v>
      </c>
      <c r="I333" s="16" t="str">
        <f t="shared" si="10"/>
        <v/>
      </c>
    </row>
    <row r="334" spans="2:9" x14ac:dyDescent="0.2">
      <c r="B334" s="18">
        <f>IF(EXACT('[1]DataLookUp - InternalCareer(LP)'!$B334, ""), "", '[1]DataLookUp - InternalCareer(LP)'!$B334)</f>
        <v>164000000000331</v>
      </c>
      <c r="C334" s="18" t="str">
        <f>IF(EXACT($B334, ""), "", VLOOKUP(B334, '[1]DataLookUp - InternalCareer(LP)'!$B$4:$D$620, 3, FALSE))</f>
        <v>Prayati Zai</v>
      </c>
      <c r="D334" s="3"/>
      <c r="E334" s="18" t="str">
        <f>IF(EXACT($D334, ""), "", VLOOKUP($D334, [2]DataLookUp!$B$4:$C$84, 2, FALSE))</f>
        <v/>
      </c>
      <c r="F334" s="3"/>
      <c r="H334" s="15">
        <f t="shared" si="11"/>
        <v>225000000000021</v>
      </c>
      <c r="I334" s="16" t="str">
        <f t="shared" si="10"/>
        <v/>
      </c>
    </row>
    <row r="335" spans="2:9" x14ac:dyDescent="0.2">
      <c r="B335" s="18">
        <f>IF(EXACT('[1]DataLookUp - InternalCareer(LP)'!$B335, ""), "", '[1]DataLookUp - InternalCareer(LP)'!$B335)</f>
        <v>164000000000332</v>
      </c>
      <c r="C335" s="18" t="str">
        <f>IF(EXACT($B335, ""), "", VLOOKUP(B335, '[1]DataLookUp - InternalCareer(LP)'!$B$4:$D$620, 3, FALSE))</f>
        <v>Pristu Andonoto</v>
      </c>
      <c r="D335" s="3"/>
      <c r="E335" s="18" t="str">
        <f>IF(EXACT($D335, ""), "", VLOOKUP($D335, [2]DataLookUp!$B$4:$C$84, 2, FALSE))</f>
        <v/>
      </c>
      <c r="F335" s="3"/>
      <c r="H335" s="15">
        <f t="shared" si="11"/>
        <v>225000000000021</v>
      </c>
      <c r="I335" s="16" t="str">
        <f t="shared" si="10"/>
        <v/>
      </c>
    </row>
    <row r="336" spans="2:9" x14ac:dyDescent="0.2">
      <c r="B336" s="18">
        <f>IF(EXACT('[1]DataLookUp - InternalCareer(LP)'!$B336, ""), "", '[1]DataLookUp - InternalCareer(LP)'!$B336)</f>
        <v>164000000000333</v>
      </c>
      <c r="C336" s="18" t="str">
        <f>IF(EXACT($B336, ""), "", VLOOKUP(B336, '[1]DataLookUp - InternalCareer(LP)'!$B$4:$D$620, 3, FALSE))</f>
        <v>Putra Perdana Tirtomoyo</v>
      </c>
      <c r="D336" s="3"/>
      <c r="E336" s="18" t="str">
        <f>IF(EXACT($D336, ""), "", VLOOKUP($D336, [2]DataLookUp!$B$4:$C$84, 2, FALSE))</f>
        <v/>
      </c>
      <c r="F336" s="3"/>
      <c r="H336" s="15">
        <f t="shared" si="11"/>
        <v>225000000000021</v>
      </c>
      <c r="I336" s="16" t="str">
        <f t="shared" ref="I336:I399" si="12">IF(EXACT(D336, ""), "", CONCATENATE("PERFORM ""SchData-OLTP-HumanResource"".""Func_TblMapper_WorkerCareerInternalToUserRole_SET""(varSystemLoginSession, null::bigint, null::varchar, null::timestamptz, null::timestamptz, null::varchar, varInstitutionBranchID, varBaseCurrencyID, ", IF(EXACT(B336, ""), "null", B336), "::bigint, ", IF(EXACT(D336, ""), "null", D336), "::bigint, ", IF(EXACT(F336, ""), "null", F336), "::bigint);"))</f>
        <v/>
      </c>
    </row>
    <row r="337" spans="2:9" x14ac:dyDescent="0.2">
      <c r="B337" s="18">
        <f>IF(EXACT('[1]DataLookUp - InternalCareer(LP)'!$B337, ""), "", '[1]DataLookUp - InternalCareer(LP)'!$B337)</f>
        <v>164000000000334</v>
      </c>
      <c r="C337" s="18" t="str">
        <f>IF(EXACT($B337, ""), "", VLOOKUP(B337, '[1]DataLookUp - InternalCareer(LP)'!$B$4:$D$620, 3, FALSE))</f>
        <v>R. Lar Kumalaning Tresno</v>
      </c>
      <c r="D337" s="3"/>
      <c r="E337" s="18" t="str">
        <f>IF(EXACT($D337, ""), "", VLOOKUP($D337, [2]DataLookUp!$B$4:$C$84, 2, FALSE))</f>
        <v/>
      </c>
      <c r="F337" s="3"/>
      <c r="H337" s="15">
        <f t="shared" si="11"/>
        <v>225000000000021</v>
      </c>
      <c r="I337" s="16" t="str">
        <f t="shared" si="12"/>
        <v/>
      </c>
    </row>
    <row r="338" spans="2:9" x14ac:dyDescent="0.2">
      <c r="B338" s="18">
        <f>IF(EXACT('[1]DataLookUp - InternalCareer(LP)'!$B338, ""), "", '[1]DataLookUp - InternalCareer(LP)'!$B338)</f>
        <v>164000000000335</v>
      </c>
      <c r="C338" s="18" t="str">
        <f>IF(EXACT($B338, ""), "", VLOOKUP(B338, '[1]DataLookUp - InternalCareer(LP)'!$B$4:$D$620, 3, FALSE))</f>
        <v>Rachmad</v>
      </c>
      <c r="D338" s="3"/>
      <c r="E338" s="18" t="str">
        <f>IF(EXACT($D338, ""), "", VLOOKUP($D338, [2]DataLookUp!$B$4:$C$84, 2, FALSE))</f>
        <v/>
      </c>
      <c r="F338" s="3"/>
      <c r="H338" s="15">
        <f t="shared" si="11"/>
        <v>225000000000021</v>
      </c>
      <c r="I338" s="16" t="str">
        <f t="shared" si="12"/>
        <v/>
      </c>
    </row>
    <row r="339" spans="2:9" x14ac:dyDescent="0.2">
      <c r="B339" s="18">
        <f>IF(EXACT('[1]DataLookUp - InternalCareer(LP)'!$B339, ""), "", '[1]DataLookUp - InternalCareer(LP)'!$B339)</f>
        <v>164000000000336</v>
      </c>
      <c r="C339" s="18" t="str">
        <f>IF(EXACT($B339, ""), "", VLOOKUP(B339, '[1]DataLookUp - InternalCareer(LP)'!$B$4:$D$620, 3, FALSE))</f>
        <v>Radjiman</v>
      </c>
      <c r="D339" s="3"/>
      <c r="E339" s="18" t="str">
        <f>IF(EXACT($D339, ""), "", VLOOKUP($D339, [2]DataLookUp!$B$4:$C$84, 2, FALSE))</f>
        <v/>
      </c>
      <c r="F339" s="3"/>
      <c r="H339" s="15">
        <f t="shared" si="11"/>
        <v>225000000000021</v>
      </c>
      <c r="I339" s="16" t="str">
        <f t="shared" si="12"/>
        <v/>
      </c>
    </row>
    <row r="340" spans="2:9" x14ac:dyDescent="0.2">
      <c r="B340" s="18">
        <f>IF(EXACT('[1]DataLookUp - InternalCareer(LP)'!$B340, ""), "", '[1]DataLookUp - InternalCareer(LP)'!$B340)</f>
        <v>164000000000337</v>
      </c>
      <c r="C340" s="18" t="str">
        <f>IF(EXACT($B340, ""), "", VLOOKUP(B340, '[1]DataLookUp - InternalCareer(LP)'!$B$4:$D$620, 3, FALSE))</f>
        <v>Rafi Firman Saputra</v>
      </c>
      <c r="D340" s="3"/>
      <c r="E340" s="18" t="str">
        <f>IF(EXACT($D340, ""), "", VLOOKUP($D340, [2]DataLookUp!$B$4:$C$84, 2, FALSE))</f>
        <v/>
      </c>
      <c r="F340" s="3"/>
      <c r="H340" s="15">
        <f t="shared" si="11"/>
        <v>225000000000021</v>
      </c>
      <c r="I340" s="16" t="str">
        <f t="shared" si="12"/>
        <v/>
      </c>
    </row>
    <row r="341" spans="2:9" x14ac:dyDescent="0.2">
      <c r="B341" s="18">
        <f>IF(EXACT('[1]DataLookUp - InternalCareer(LP)'!$B341, ""), "", '[1]DataLookUp - InternalCareer(LP)'!$B341)</f>
        <v>164000000000338</v>
      </c>
      <c r="C341" s="18" t="str">
        <f>IF(EXACT($B341, ""), "", VLOOKUP(B341, '[1]DataLookUp - InternalCareer(LP)'!$B$4:$D$620, 3, FALSE))</f>
        <v>Rahmat Riyadi</v>
      </c>
      <c r="D341" s="3"/>
      <c r="E341" s="18" t="str">
        <f>IF(EXACT($D341, ""), "", VLOOKUP($D341, [2]DataLookUp!$B$4:$C$84, 2, FALSE))</f>
        <v/>
      </c>
      <c r="F341" s="3"/>
      <c r="H341" s="15">
        <f t="shared" si="11"/>
        <v>225000000000021</v>
      </c>
      <c r="I341" s="16" t="str">
        <f t="shared" si="12"/>
        <v/>
      </c>
    </row>
    <row r="342" spans="2:9" x14ac:dyDescent="0.2">
      <c r="B342" s="18">
        <f>IF(EXACT('[1]DataLookUp - InternalCareer(LP)'!$B342, ""), "", '[1]DataLookUp - InternalCareer(LP)'!$B342)</f>
        <v>164000000000339</v>
      </c>
      <c r="C342" s="18" t="str">
        <f>IF(EXACT($B342, ""), "", VLOOKUP(B342, '[1]DataLookUp - InternalCareer(LP)'!$B$4:$D$620, 3, FALSE))</f>
        <v>Rahmat Sirfano</v>
      </c>
      <c r="D342" s="3"/>
      <c r="E342" s="18" t="str">
        <f>IF(EXACT($D342, ""), "", VLOOKUP($D342, [2]DataLookUp!$B$4:$C$84, 2, FALSE))</f>
        <v/>
      </c>
      <c r="F342" s="3"/>
      <c r="H342" s="15">
        <f t="shared" si="11"/>
        <v>225000000000021</v>
      </c>
      <c r="I342" s="16" t="str">
        <f t="shared" si="12"/>
        <v/>
      </c>
    </row>
    <row r="343" spans="2:9" x14ac:dyDescent="0.2">
      <c r="B343" s="18">
        <f>IF(EXACT('[1]DataLookUp - InternalCareer(LP)'!$B343, ""), "", '[1]DataLookUp - InternalCareer(LP)'!$B343)</f>
        <v>164000000000340</v>
      </c>
      <c r="C343" s="18" t="str">
        <f>IF(EXACT($B343, ""), "", VLOOKUP(B343, '[1]DataLookUp - InternalCareer(LP)'!$B$4:$D$620, 3, FALSE))</f>
        <v>Rais Indra Noor</v>
      </c>
      <c r="D343" s="3"/>
      <c r="E343" s="18" t="str">
        <f>IF(EXACT($D343, ""), "", VLOOKUP($D343, [2]DataLookUp!$B$4:$C$84, 2, FALSE))</f>
        <v/>
      </c>
      <c r="F343" s="3"/>
      <c r="H343" s="15">
        <f t="shared" si="11"/>
        <v>225000000000021</v>
      </c>
      <c r="I343" s="16" t="str">
        <f t="shared" si="12"/>
        <v/>
      </c>
    </row>
    <row r="344" spans="2:9" x14ac:dyDescent="0.2">
      <c r="B344" s="18">
        <f>IF(EXACT('[1]DataLookUp - InternalCareer(LP)'!$B344, ""), "", '[1]DataLookUp - InternalCareer(LP)'!$B344)</f>
        <v>164000000000341</v>
      </c>
      <c r="C344" s="18" t="str">
        <f>IF(EXACT($B344, ""), "", VLOOKUP(B344, '[1]DataLookUp - InternalCareer(LP)'!$B$4:$D$620, 3, FALSE))</f>
        <v>Rakman A. Hadi</v>
      </c>
      <c r="D344" s="3"/>
      <c r="E344" s="18" t="str">
        <f>IF(EXACT($D344, ""), "", VLOOKUP($D344, [2]DataLookUp!$B$4:$C$84, 2, FALSE))</f>
        <v/>
      </c>
      <c r="F344" s="3"/>
      <c r="H344" s="15">
        <f t="shared" si="11"/>
        <v>225000000000021</v>
      </c>
      <c r="I344" s="16" t="str">
        <f t="shared" si="12"/>
        <v/>
      </c>
    </row>
    <row r="345" spans="2:9" x14ac:dyDescent="0.2">
      <c r="B345" s="18">
        <f>IF(EXACT('[1]DataLookUp - InternalCareer(LP)'!$B345, ""), "", '[1]DataLookUp - InternalCareer(LP)'!$B345)</f>
        <v>164000000000342</v>
      </c>
      <c r="C345" s="18" t="str">
        <f>IF(EXACT($B345, ""), "", VLOOKUP(B345, '[1]DataLookUp - InternalCareer(LP)'!$B$4:$D$620, 3, FALSE))</f>
        <v>Ramaizon</v>
      </c>
      <c r="D345" s="3"/>
      <c r="E345" s="18" t="str">
        <f>IF(EXACT($D345, ""), "", VLOOKUP($D345, [2]DataLookUp!$B$4:$C$84, 2, FALSE))</f>
        <v/>
      </c>
      <c r="F345" s="3"/>
      <c r="H345" s="15">
        <f t="shared" si="11"/>
        <v>225000000000021</v>
      </c>
      <c r="I345" s="16" t="str">
        <f t="shared" si="12"/>
        <v/>
      </c>
    </row>
    <row r="346" spans="2:9" x14ac:dyDescent="0.2">
      <c r="B346" s="18">
        <f>IF(EXACT('[1]DataLookUp - InternalCareer(LP)'!$B346, ""), "", '[1]DataLookUp - InternalCareer(LP)'!$B346)</f>
        <v>164000000000343</v>
      </c>
      <c r="C346" s="18" t="str">
        <f>IF(EXACT($B346, ""), "", VLOOKUP(B346, '[1]DataLookUp - InternalCareer(LP)'!$B$4:$D$620, 3, FALSE))</f>
        <v>Rangga Darmawan</v>
      </c>
      <c r="D346" s="3"/>
      <c r="E346" s="18" t="str">
        <f>IF(EXACT($D346, ""), "", VLOOKUP($D346, [2]DataLookUp!$B$4:$C$84, 2, FALSE))</f>
        <v/>
      </c>
      <c r="F346" s="3"/>
      <c r="H346" s="15">
        <f t="shared" si="11"/>
        <v>225000000000021</v>
      </c>
      <c r="I346" s="16" t="str">
        <f t="shared" si="12"/>
        <v/>
      </c>
    </row>
    <row r="347" spans="2:9" x14ac:dyDescent="0.2">
      <c r="B347" s="18">
        <f>IF(EXACT('[1]DataLookUp - InternalCareer(LP)'!$B347, ""), "", '[1]DataLookUp - InternalCareer(LP)'!$B347)</f>
        <v>164000000000344</v>
      </c>
      <c r="C347" s="18" t="str">
        <f>IF(EXACT($B347, ""), "", VLOOKUP(B347, '[1]DataLookUp - InternalCareer(LP)'!$B$4:$D$620, 3, FALSE))</f>
        <v>Raoli Nainggolan</v>
      </c>
      <c r="D347" s="3"/>
      <c r="E347" s="18" t="str">
        <f>IF(EXACT($D347, ""), "", VLOOKUP($D347, [2]DataLookUp!$B$4:$C$84, 2, FALSE))</f>
        <v/>
      </c>
      <c r="F347" s="3"/>
      <c r="H347" s="15">
        <f t="shared" si="11"/>
        <v>225000000000021</v>
      </c>
      <c r="I347" s="16" t="str">
        <f t="shared" si="12"/>
        <v/>
      </c>
    </row>
    <row r="348" spans="2:9" x14ac:dyDescent="0.2">
      <c r="B348" s="18">
        <f>IF(EXACT('[1]DataLookUp - InternalCareer(LP)'!$B348, ""), "", '[1]DataLookUp - InternalCareer(LP)'!$B348)</f>
        <v>164000000000345</v>
      </c>
      <c r="C348" s="18" t="str">
        <f>IF(EXACT($B348, ""), "", VLOOKUP(B348, '[1]DataLookUp - InternalCareer(LP)'!$B$4:$D$620, 3, FALSE))</f>
        <v>Rayan Suryadikara</v>
      </c>
      <c r="D348" s="3"/>
      <c r="E348" s="18" t="str">
        <f>IF(EXACT($D348, ""), "", VLOOKUP($D348, [2]DataLookUp!$B$4:$C$84, 2, FALSE))</f>
        <v/>
      </c>
      <c r="F348" s="3"/>
      <c r="H348" s="15">
        <f t="shared" si="11"/>
        <v>225000000000021</v>
      </c>
      <c r="I348" s="16" t="str">
        <f t="shared" si="12"/>
        <v/>
      </c>
    </row>
    <row r="349" spans="2:9" x14ac:dyDescent="0.2">
      <c r="B349" s="18">
        <f>IF(EXACT('[1]DataLookUp - InternalCareer(LP)'!$B349, ""), "", '[1]DataLookUp - InternalCareer(LP)'!$B349)</f>
        <v>164000000000346</v>
      </c>
      <c r="C349" s="18" t="str">
        <f>IF(EXACT($B349, ""), "", VLOOKUP(B349, '[1]DataLookUp - InternalCareer(LP)'!$B$4:$D$620, 3, FALSE))</f>
        <v>Redi Setiadi</v>
      </c>
      <c r="D349" s="3"/>
      <c r="E349" s="18" t="str">
        <f>IF(EXACT($D349, ""), "", VLOOKUP($D349, [2]DataLookUp!$B$4:$C$84, 2, FALSE))</f>
        <v/>
      </c>
      <c r="F349" s="3"/>
      <c r="H349" s="15">
        <f t="shared" si="11"/>
        <v>225000000000021</v>
      </c>
      <c r="I349" s="16" t="str">
        <f t="shared" si="12"/>
        <v/>
      </c>
    </row>
    <row r="350" spans="2:9" x14ac:dyDescent="0.2">
      <c r="B350" s="18">
        <f>IF(EXACT('[1]DataLookUp - InternalCareer(LP)'!$B350, ""), "", '[1]DataLookUp - InternalCareer(LP)'!$B350)</f>
        <v>164000000000347</v>
      </c>
      <c r="C350" s="18" t="str">
        <f>IF(EXACT($B350, ""), "", VLOOKUP(B350, '[1]DataLookUp - InternalCareer(LP)'!$B$4:$D$620, 3, FALSE))</f>
        <v>Redi Subekti</v>
      </c>
      <c r="D350" s="3">
        <f>[2]MAIN!$D$15</f>
        <v>95000000000009</v>
      </c>
      <c r="E350" s="18" t="str">
        <f>IF(EXACT($D350, ""), "", VLOOKUP($D350, [2]DataLookUp!$B$4:$C$84, 2, FALSE))</f>
        <v>President Director</v>
      </c>
      <c r="F350" s="3"/>
      <c r="H350" s="15">
        <f t="shared" si="11"/>
        <v>225000000000022</v>
      </c>
      <c r="I350" s="16" t="str">
        <f t="shared" si="12"/>
        <v>PERFORM "SchData-OLTP-HumanResource"."Func_TblMapper_WorkerCareerInternalToUserRole_SET"(varSystemLoginSession, null::bigint, null::varchar, null::timestamptz, null::timestamptz, null::varchar, varInstitutionBranchID, varBaseCurrencyID, 164000000000347::bigint, 95000000000009::bigint, null::bigint);</v>
      </c>
    </row>
    <row r="351" spans="2:9" x14ac:dyDescent="0.2">
      <c r="B351" s="18">
        <f>IF(EXACT('[1]DataLookUp - InternalCareer(LP)'!$B351, ""), "", '[1]DataLookUp - InternalCareer(LP)'!$B351)</f>
        <v>164000000000348</v>
      </c>
      <c r="C351" s="18" t="str">
        <f>IF(EXACT($B351, ""), "", VLOOKUP(B351, '[1]DataLookUp - InternalCareer(LP)'!$B$4:$D$620, 3, FALSE))</f>
        <v>Rendy Prananta Purba</v>
      </c>
      <c r="D351" s="3"/>
      <c r="E351" s="18" t="str">
        <f>IF(EXACT($D351, ""), "", VLOOKUP($D351, [2]DataLookUp!$B$4:$C$84, 2, FALSE))</f>
        <v/>
      </c>
      <c r="F351" s="3"/>
      <c r="H351" s="15">
        <f t="shared" si="11"/>
        <v>225000000000022</v>
      </c>
      <c r="I351" s="16" t="str">
        <f t="shared" si="12"/>
        <v/>
      </c>
    </row>
    <row r="352" spans="2:9" x14ac:dyDescent="0.2">
      <c r="B352" s="18">
        <f>IF(EXACT('[1]DataLookUp - InternalCareer(LP)'!$B352, ""), "", '[1]DataLookUp - InternalCareer(LP)'!$B352)</f>
        <v>164000000000349</v>
      </c>
      <c r="C352" s="18" t="str">
        <f>IF(EXACT($B352, ""), "", VLOOKUP(B352, '[1]DataLookUp - InternalCareer(LP)'!$B$4:$D$620, 3, FALSE))</f>
        <v>Reni Septiana</v>
      </c>
      <c r="D352" s="3"/>
      <c r="E352" s="18" t="str">
        <f>IF(EXACT($D352, ""), "", VLOOKUP($D352, [2]DataLookUp!$B$4:$C$84, 2, FALSE))</f>
        <v/>
      </c>
      <c r="F352" s="3"/>
      <c r="H352" s="15">
        <f t="shared" si="11"/>
        <v>225000000000022</v>
      </c>
      <c r="I352" s="16" t="str">
        <f t="shared" si="12"/>
        <v/>
      </c>
    </row>
    <row r="353" spans="2:9" x14ac:dyDescent="0.2">
      <c r="B353" s="18">
        <f>IF(EXACT('[1]DataLookUp - InternalCareer(LP)'!$B353, ""), "", '[1]DataLookUp - InternalCareer(LP)'!$B353)</f>
        <v>164000000000350</v>
      </c>
      <c r="C353" s="18" t="str">
        <f>IF(EXACT($B353, ""), "", VLOOKUP(B353, '[1]DataLookUp - InternalCareer(LP)'!$B$4:$D$620, 3, FALSE))</f>
        <v>Rere Ronggolawe</v>
      </c>
      <c r="D353" s="3"/>
      <c r="E353" s="18" t="str">
        <f>IF(EXACT($D353, ""), "", VLOOKUP($D353, [2]DataLookUp!$B$4:$C$84, 2, FALSE))</f>
        <v/>
      </c>
      <c r="F353" s="3"/>
      <c r="H353" s="15">
        <f t="shared" si="11"/>
        <v>225000000000022</v>
      </c>
      <c r="I353" s="16" t="str">
        <f t="shared" si="12"/>
        <v/>
      </c>
    </row>
    <row r="354" spans="2:9" x14ac:dyDescent="0.2">
      <c r="B354" s="18">
        <f>IF(EXACT('[1]DataLookUp - InternalCareer(LP)'!$B354, ""), "", '[1]DataLookUp - InternalCareer(LP)'!$B354)</f>
        <v>164000000000351</v>
      </c>
      <c r="C354" s="18" t="str">
        <f>IF(EXACT($B354, ""), "", VLOOKUP(B354, '[1]DataLookUp - InternalCareer(LP)'!$B$4:$D$620, 3, FALSE))</f>
        <v>Retnasha Gameswari</v>
      </c>
      <c r="D354" s="3"/>
      <c r="E354" s="18" t="str">
        <f>IF(EXACT($D354, ""), "", VLOOKUP($D354, [2]DataLookUp!$B$4:$C$84, 2, FALSE))</f>
        <v/>
      </c>
      <c r="F354" s="3"/>
      <c r="H354" s="15">
        <f t="shared" si="11"/>
        <v>225000000000022</v>
      </c>
      <c r="I354" s="16" t="str">
        <f t="shared" si="12"/>
        <v/>
      </c>
    </row>
    <row r="355" spans="2:9" x14ac:dyDescent="0.2">
      <c r="B355" s="18">
        <f>IF(EXACT('[1]DataLookUp - InternalCareer(LP)'!$B355, ""), "", '[1]DataLookUp - InternalCareer(LP)'!$B355)</f>
        <v>164000000000352</v>
      </c>
      <c r="C355" s="18" t="str">
        <f>IF(EXACT($B355, ""), "", VLOOKUP(B355, '[1]DataLookUp - InternalCareer(LP)'!$B$4:$D$620, 3, FALSE))</f>
        <v>Rhino Priawan</v>
      </c>
      <c r="D355" s="3"/>
      <c r="E355" s="18" t="str">
        <f>IF(EXACT($D355, ""), "", VLOOKUP($D355, [2]DataLookUp!$B$4:$C$84, 2, FALSE))</f>
        <v/>
      </c>
      <c r="F355" s="3"/>
      <c r="H355" s="15">
        <f t="shared" si="11"/>
        <v>225000000000022</v>
      </c>
      <c r="I355" s="16" t="str">
        <f t="shared" si="12"/>
        <v/>
      </c>
    </row>
    <row r="356" spans="2:9" x14ac:dyDescent="0.2">
      <c r="B356" s="18">
        <f>IF(EXACT('[1]DataLookUp - InternalCareer(LP)'!$B356, ""), "", '[1]DataLookUp - InternalCareer(LP)'!$B356)</f>
        <v>164000000000353</v>
      </c>
      <c r="C356" s="18" t="str">
        <f>IF(EXACT($B356, ""), "", VLOOKUP(B356, '[1]DataLookUp - InternalCareer(LP)'!$B$4:$D$620, 3, FALSE))</f>
        <v>Rian Yushak</v>
      </c>
      <c r="D356" s="3"/>
      <c r="E356" s="18" t="str">
        <f>IF(EXACT($D356, ""), "", VLOOKUP($D356, [2]DataLookUp!$B$4:$C$84, 2, FALSE))</f>
        <v/>
      </c>
      <c r="F356" s="3"/>
      <c r="H356" s="15">
        <f t="shared" si="11"/>
        <v>225000000000022</v>
      </c>
      <c r="I356" s="16" t="str">
        <f t="shared" si="12"/>
        <v/>
      </c>
    </row>
    <row r="357" spans="2:9" x14ac:dyDescent="0.2">
      <c r="B357" s="18">
        <f>IF(EXACT('[1]DataLookUp - InternalCareer(LP)'!$B357, ""), "", '[1]DataLookUp - InternalCareer(LP)'!$B357)</f>
        <v>164000000000354</v>
      </c>
      <c r="C357" s="18" t="str">
        <f>IF(EXACT($B357, ""), "", VLOOKUP(B357, '[1]DataLookUp - InternalCareer(LP)'!$B$4:$D$620, 3, FALSE))</f>
        <v>Riandi</v>
      </c>
      <c r="D357" s="3"/>
      <c r="E357" s="18" t="str">
        <f>IF(EXACT($D357, ""), "", VLOOKUP($D357, [2]DataLookUp!$B$4:$C$84, 2, FALSE))</f>
        <v/>
      </c>
      <c r="F357" s="3"/>
      <c r="H357" s="15">
        <f t="shared" si="11"/>
        <v>225000000000022</v>
      </c>
      <c r="I357" s="16" t="str">
        <f t="shared" si="12"/>
        <v/>
      </c>
    </row>
    <row r="358" spans="2:9" x14ac:dyDescent="0.2">
      <c r="B358" s="18">
        <f>IF(EXACT('[1]DataLookUp - InternalCareer(LP)'!$B358, ""), "", '[1]DataLookUp - InternalCareer(LP)'!$B358)</f>
        <v>164000000000355</v>
      </c>
      <c r="C358" s="18" t="str">
        <f>IF(EXACT($B358, ""), "", VLOOKUP(B358, '[1]DataLookUp - InternalCareer(LP)'!$B$4:$D$620, 3, FALSE))</f>
        <v>Ricky Samuel</v>
      </c>
      <c r="D358" s="3"/>
      <c r="E358" s="18" t="str">
        <f>IF(EXACT($D358, ""), "", VLOOKUP($D358, [2]DataLookUp!$B$4:$C$84, 2, FALSE))</f>
        <v/>
      </c>
      <c r="F358" s="3"/>
      <c r="H358" s="15">
        <f t="shared" si="11"/>
        <v>225000000000022</v>
      </c>
      <c r="I358" s="16" t="str">
        <f t="shared" si="12"/>
        <v/>
      </c>
    </row>
    <row r="359" spans="2:9" x14ac:dyDescent="0.2">
      <c r="B359" s="18">
        <f>IF(EXACT('[1]DataLookUp - InternalCareer(LP)'!$B359, ""), "", '[1]DataLookUp - InternalCareer(LP)'!$B359)</f>
        <v>164000000000356</v>
      </c>
      <c r="C359" s="18" t="str">
        <f>IF(EXACT($B359, ""), "", VLOOKUP(B359, '[1]DataLookUp - InternalCareer(LP)'!$B$4:$D$620, 3, FALSE))</f>
        <v>Ridwan Nurhadi</v>
      </c>
      <c r="D359" s="3"/>
      <c r="E359" s="18" t="str">
        <f>IF(EXACT($D359, ""), "", VLOOKUP($D359, [2]DataLookUp!$B$4:$C$84, 2, FALSE))</f>
        <v/>
      </c>
      <c r="F359" s="3"/>
      <c r="H359" s="15">
        <f t="shared" si="11"/>
        <v>225000000000022</v>
      </c>
      <c r="I359" s="16" t="str">
        <f t="shared" si="12"/>
        <v/>
      </c>
    </row>
    <row r="360" spans="2:9" x14ac:dyDescent="0.2">
      <c r="B360" s="18">
        <f>IF(EXACT('[1]DataLookUp - InternalCareer(LP)'!$B360, ""), "", '[1]DataLookUp - InternalCareer(LP)'!$B360)</f>
        <v>164000000000357</v>
      </c>
      <c r="C360" s="18" t="str">
        <f>IF(EXACT($B360, ""), "", VLOOKUP(B360, '[1]DataLookUp - InternalCareer(LP)'!$B$4:$D$620, 3, FALSE))</f>
        <v>Rifki</v>
      </c>
      <c r="D360" s="3"/>
      <c r="E360" s="18" t="str">
        <f>IF(EXACT($D360, ""), "", VLOOKUP($D360, [2]DataLookUp!$B$4:$C$84, 2, FALSE))</f>
        <v/>
      </c>
      <c r="F360" s="3"/>
      <c r="H360" s="15">
        <f t="shared" si="11"/>
        <v>225000000000022</v>
      </c>
      <c r="I360" s="16" t="str">
        <f t="shared" si="12"/>
        <v/>
      </c>
    </row>
    <row r="361" spans="2:9" x14ac:dyDescent="0.2">
      <c r="B361" s="18">
        <f>IF(EXACT('[1]DataLookUp - InternalCareer(LP)'!$B361, ""), "", '[1]DataLookUp - InternalCareer(LP)'!$B361)</f>
        <v>164000000000358</v>
      </c>
      <c r="C361" s="18" t="str">
        <f>IF(EXACT($B361, ""), "", VLOOKUP(B361, '[1]DataLookUp - InternalCareer(LP)'!$B$4:$D$620, 3, FALSE))</f>
        <v>Rika Ginting</v>
      </c>
      <c r="D361" s="3"/>
      <c r="E361" s="18" t="str">
        <f>IF(EXACT($D361, ""), "", VLOOKUP($D361, [2]DataLookUp!$B$4:$C$84, 2, FALSE))</f>
        <v/>
      </c>
      <c r="F361" s="3"/>
      <c r="H361" s="15">
        <f t="shared" si="11"/>
        <v>225000000000022</v>
      </c>
      <c r="I361" s="16" t="str">
        <f t="shared" si="12"/>
        <v/>
      </c>
    </row>
    <row r="362" spans="2:9" x14ac:dyDescent="0.2">
      <c r="B362" s="18">
        <f>IF(EXACT('[1]DataLookUp - InternalCareer(LP)'!$B362, ""), "", '[1]DataLookUp - InternalCareer(LP)'!$B362)</f>
        <v>164000000000359</v>
      </c>
      <c r="C362" s="18" t="str">
        <f>IF(EXACT($B362, ""), "", VLOOKUP(B362, '[1]DataLookUp - InternalCareer(LP)'!$B$4:$D$620, 3, FALSE))</f>
        <v>Riki Chairul Anwar</v>
      </c>
      <c r="D362" s="3"/>
      <c r="E362" s="18" t="str">
        <f>IF(EXACT($D362, ""), "", VLOOKUP($D362, [2]DataLookUp!$B$4:$C$84, 2, FALSE))</f>
        <v/>
      </c>
      <c r="F362" s="3"/>
      <c r="H362" s="15">
        <f t="shared" si="11"/>
        <v>225000000000022</v>
      </c>
      <c r="I362" s="16" t="str">
        <f t="shared" si="12"/>
        <v/>
      </c>
    </row>
    <row r="363" spans="2:9" x14ac:dyDescent="0.2">
      <c r="B363" s="18">
        <f>IF(EXACT('[1]DataLookUp - InternalCareer(LP)'!$B363, ""), "", '[1]DataLookUp - InternalCareer(LP)'!$B363)</f>
        <v>164000000000360</v>
      </c>
      <c r="C363" s="18" t="str">
        <f>IF(EXACT($B363, ""), "", VLOOKUP(B363, '[1]DataLookUp - InternalCareer(LP)'!$B$4:$D$620, 3, FALSE))</f>
        <v>Riki Evindra</v>
      </c>
      <c r="D363" s="3"/>
      <c r="E363" s="18" t="str">
        <f>IF(EXACT($D363, ""), "", VLOOKUP($D363, [2]DataLookUp!$B$4:$C$84, 2, FALSE))</f>
        <v/>
      </c>
      <c r="F363" s="3"/>
      <c r="H363" s="15">
        <f t="shared" si="11"/>
        <v>225000000000022</v>
      </c>
      <c r="I363" s="16" t="str">
        <f t="shared" si="12"/>
        <v/>
      </c>
    </row>
    <row r="364" spans="2:9" x14ac:dyDescent="0.2">
      <c r="B364" s="18">
        <f>IF(EXACT('[1]DataLookUp - InternalCareer(LP)'!$B364, ""), "", '[1]DataLookUp - InternalCareer(LP)'!$B364)</f>
        <v>164000000000361</v>
      </c>
      <c r="C364" s="18" t="str">
        <f>IF(EXACT($B364, ""), "", VLOOKUP(B364, '[1]DataLookUp - InternalCareer(LP)'!$B$4:$D$620, 3, FALSE))</f>
        <v>Rinaldi Asrin</v>
      </c>
      <c r="D364" s="3"/>
      <c r="E364" s="18" t="str">
        <f>IF(EXACT($D364, ""), "", VLOOKUP($D364, [2]DataLookUp!$B$4:$C$84, 2, FALSE))</f>
        <v/>
      </c>
      <c r="F364" s="3"/>
      <c r="H364" s="15">
        <f t="shared" si="11"/>
        <v>225000000000022</v>
      </c>
      <c r="I364" s="16" t="str">
        <f t="shared" si="12"/>
        <v/>
      </c>
    </row>
    <row r="365" spans="2:9" x14ac:dyDescent="0.2">
      <c r="B365" s="18">
        <f>IF(EXACT('[1]DataLookUp - InternalCareer(LP)'!$B365, ""), "", '[1]DataLookUp - InternalCareer(LP)'!$B365)</f>
        <v>164000000000362</v>
      </c>
      <c r="C365" s="18" t="str">
        <f>IF(EXACT($B365, ""), "", VLOOKUP(B365, '[1]DataLookUp - InternalCareer(LP)'!$B$4:$D$620, 3, FALSE))</f>
        <v>Rio Hakim</v>
      </c>
      <c r="D365" s="3"/>
      <c r="E365" s="18" t="str">
        <f>IF(EXACT($D365, ""), "", VLOOKUP($D365, [2]DataLookUp!$B$4:$C$84, 2, FALSE))</f>
        <v/>
      </c>
      <c r="F365" s="3"/>
      <c r="H365" s="15">
        <f t="shared" si="11"/>
        <v>225000000000022</v>
      </c>
      <c r="I365" s="16" t="str">
        <f t="shared" si="12"/>
        <v/>
      </c>
    </row>
    <row r="366" spans="2:9" x14ac:dyDescent="0.2">
      <c r="B366" s="18">
        <f>IF(EXACT('[1]DataLookUp - InternalCareer(LP)'!$B366, ""), "", '[1]DataLookUp - InternalCareer(LP)'!$B366)</f>
        <v>164000000000363</v>
      </c>
      <c r="C366" s="18" t="str">
        <f>IF(EXACT($B366, ""), "", VLOOKUP(B366, '[1]DataLookUp - InternalCareer(LP)'!$B$4:$D$620, 3, FALSE))</f>
        <v>Rio Martha</v>
      </c>
      <c r="D366" s="3"/>
      <c r="E366" s="18" t="str">
        <f>IF(EXACT($D366, ""), "", VLOOKUP($D366, [2]DataLookUp!$B$4:$C$84, 2, FALSE))</f>
        <v/>
      </c>
      <c r="F366" s="3"/>
      <c r="H366" s="15">
        <f t="shared" si="11"/>
        <v>225000000000022</v>
      </c>
      <c r="I366" s="16" t="str">
        <f t="shared" si="12"/>
        <v/>
      </c>
    </row>
    <row r="367" spans="2:9" x14ac:dyDescent="0.2">
      <c r="B367" s="18">
        <f>IF(EXACT('[1]DataLookUp - InternalCareer(LP)'!$B367, ""), "", '[1]DataLookUp - InternalCareer(LP)'!$B367)</f>
        <v>164000000000364</v>
      </c>
      <c r="C367" s="18" t="str">
        <f>IF(EXACT($B367, ""), "", VLOOKUP(B367, '[1]DataLookUp - InternalCareer(LP)'!$B$4:$D$620, 3, FALSE))</f>
        <v>Risdyanto Risdyanto</v>
      </c>
      <c r="D367" s="3"/>
      <c r="E367" s="18" t="str">
        <f>IF(EXACT($D367, ""), "", VLOOKUP($D367, [2]DataLookUp!$B$4:$C$84, 2, FALSE))</f>
        <v/>
      </c>
      <c r="F367" s="3"/>
      <c r="H367" s="15">
        <f t="shared" si="11"/>
        <v>225000000000022</v>
      </c>
      <c r="I367" s="16" t="str">
        <f t="shared" si="12"/>
        <v/>
      </c>
    </row>
    <row r="368" spans="2:9" x14ac:dyDescent="0.2">
      <c r="B368" s="18">
        <f>IF(EXACT('[1]DataLookUp - InternalCareer(LP)'!$B368, ""), "", '[1]DataLookUp - InternalCareer(LP)'!$B368)</f>
        <v>164000000000365</v>
      </c>
      <c r="C368" s="18" t="str">
        <f>IF(EXACT($B368, ""), "", VLOOKUP(B368, '[1]DataLookUp - InternalCareer(LP)'!$B$4:$D$620, 3, FALSE))</f>
        <v>Rizak Tri Septian</v>
      </c>
      <c r="D368" s="3"/>
      <c r="E368" s="18" t="str">
        <f>IF(EXACT($D368, ""), "", VLOOKUP($D368, [2]DataLookUp!$B$4:$C$84, 2, FALSE))</f>
        <v/>
      </c>
      <c r="F368" s="3"/>
      <c r="H368" s="15">
        <f t="shared" si="11"/>
        <v>225000000000022</v>
      </c>
      <c r="I368" s="16" t="str">
        <f t="shared" si="12"/>
        <v/>
      </c>
    </row>
    <row r="369" spans="2:9" x14ac:dyDescent="0.2">
      <c r="B369" s="18">
        <f>IF(EXACT('[1]DataLookUp - InternalCareer(LP)'!$B369, ""), "", '[1]DataLookUp - InternalCareer(LP)'!$B369)</f>
        <v>164000000000366</v>
      </c>
      <c r="C369" s="18" t="str">
        <f>IF(EXACT($B369, ""), "", VLOOKUP(B369, '[1]DataLookUp - InternalCareer(LP)'!$B$4:$D$620, 3, FALSE))</f>
        <v>Rizki Akbar</v>
      </c>
      <c r="D369" s="3"/>
      <c r="E369" s="18" t="str">
        <f>IF(EXACT($D369, ""), "", VLOOKUP($D369, [2]DataLookUp!$B$4:$C$84, 2, FALSE))</f>
        <v/>
      </c>
      <c r="F369" s="3"/>
      <c r="H369" s="15">
        <f t="shared" si="11"/>
        <v>225000000000022</v>
      </c>
      <c r="I369" s="16" t="str">
        <f t="shared" si="12"/>
        <v/>
      </c>
    </row>
    <row r="370" spans="2:9" x14ac:dyDescent="0.2">
      <c r="B370" s="18">
        <f>IF(EXACT('[1]DataLookUp - InternalCareer(LP)'!$B370, ""), "", '[1]DataLookUp - InternalCareer(LP)'!$B370)</f>
        <v>164000000000367</v>
      </c>
      <c r="C370" s="18" t="str">
        <f>IF(EXACT($B370, ""), "", VLOOKUP(B370, '[1]DataLookUp - InternalCareer(LP)'!$B$4:$D$620, 3, FALSE))</f>
        <v>Rizky Fauzy</v>
      </c>
      <c r="D370" s="3"/>
      <c r="E370" s="18" t="str">
        <f>IF(EXACT($D370, ""), "", VLOOKUP($D370, [2]DataLookUp!$B$4:$C$84, 2, FALSE))</f>
        <v/>
      </c>
      <c r="F370" s="3"/>
      <c r="H370" s="15">
        <f t="shared" si="11"/>
        <v>225000000000022</v>
      </c>
      <c r="I370" s="16" t="str">
        <f t="shared" si="12"/>
        <v/>
      </c>
    </row>
    <row r="371" spans="2:9" x14ac:dyDescent="0.2">
      <c r="B371" s="18">
        <f>IF(EXACT('[1]DataLookUp - InternalCareer(LP)'!$B371, ""), "", '[1]DataLookUp - InternalCareer(LP)'!$B371)</f>
        <v>164000000000368</v>
      </c>
      <c r="C371" s="18" t="str">
        <f>IF(EXACT($B371, ""), "", VLOOKUP(B371, '[1]DataLookUp - InternalCareer(LP)'!$B$4:$D$620, 3, FALSE))</f>
        <v>Rizky Reza Pradipta</v>
      </c>
      <c r="D371" s="3"/>
      <c r="E371" s="18" t="str">
        <f>IF(EXACT($D371, ""), "", VLOOKUP($D371, [2]DataLookUp!$B$4:$C$84, 2, FALSE))</f>
        <v/>
      </c>
      <c r="F371" s="3"/>
      <c r="H371" s="15">
        <f t="shared" si="11"/>
        <v>225000000000022</v>
      </c>
      <c r="I371" s="16" t="str">
        <f t="shared" si="12"/>
        <v/>
      </c>
    </row>
    <row r="372" spans="2:9" x14ac:dyDescent="0.2">
      <c r="B372" s="18">
        <f>IF(EXACT('[1]DataLookUp - InternalCareer(LP)'!$B372, ""), "", '[1]DataLookUp - InternalCareer(LP)'!$B372)</f>
        <v>164000000000369</v>
      </c>
      <c r="C372" s="18" t="str">
        <f>IF(EXACT($B372, ""), "", VLOOKUP(B372, '[1]DataLookUp - InternalCareer(LP)'!$B$4:$D$620, 3, FALSE))</f>
        <v>Rohendi Rohendi</v>
      </c>
      <c r="D372" s="3"/>
      <c r="E372" s="18" t="str">
        <f>IF(EXACT($D372, ""), "", VLOOKUP($D372, [2]DataLookUp!$B$4:$C$84, 2, FALSE))</f>
        <v/>
      </c>
      <c r="F372" s="3"/>
      <c r="H372" s="15">
        <f t="shared" si="11"/>
        <v>225000000000022</v>
      </c>
      <c r="I372" s="16" t="str">
        <f t="shared" si="12"/>
        <v/>
      </c>
    </row>
    <row r="373" spans="2:9" x14ac:dyDescent="0.2">
      <c r="B373" s="18">
        <f>IF(EXACT('[1]DataLookUp - InternalCareer(LP)'!$B373, ""), "", '[1]DataLookUp - InternalCareer(LP)'!$B373)</f>
        <v>164000000000370</v>
      </c>
      <c r="C373" s="18" t="str">
        <f>IF(EXACT($B373, ""), "", VLOOKUP(B373, '[1]DataLookUp - InternalCareer(LP)'!$B$4:$D$620, 3, FALSE))</f>
        <v>Rohmani</v>
      </c>
      <c r="D373" s="3"/>
      <c r="E373" s="18" t="str">
        <f>IF(EXACT($D373, ""), "", VLOOKUP($D373, [2]DataLookUp!$B$4:$C$84, 2, FALSE))</f>
        <v/>
      </c>
      <c r="F373" s="3"/>
      <c r="H373" s="15">
        <f t="shared" si="11"/>
        <v>225000000000022</v>
      </c>
      <c r="I373" s="16" t="str">
        <f t="shared" si="12"/>
        <v/>
      </c>
    </row>
    <row r="374" spans="2:9" x14ac:dyDescent="0.2">
      <c r="B374" s="18">
        <f>IF(EXACT('[1]DataLookUp - InternalCareer(LP)'!$B374, ""), "", '[1]DataLookUp - InternalCareer(LP)'!$B374)</f>
        <v>164000000000371</v>
      </c>
      <c r="C374" s="18" t="str">
        <f>IF(EXACT($B374, ""), "", VLOOKUP(B374, '[1]DataLookUp - InternalCareer(LP)'!$B$4:$D$620, 3, FALSE))</f>
        <v>Rommel Hutapea</v>
      </c>
      <c r="D374" s="3"/>
      <c r="E374" s="18" t="str">
        <f>IF(EXACT($D374, ""), "", VLOOKUP($D374, [2]DataLookUp!$B$4:$C$84, 2, FALSE))</f>
        <v/>
      </c>
      <c r="F374" s="3"/>
      <c r="H374" s="15">
        <f t="shared" si="11"/>
        <v>225000000000022</v>
      </c>
      <c r="I374" s="16" t="str">
        <f t="shared" si="12"/>
        <v/>
      </c>
    </row>
    <row r="375" spans="2:9" x14ac:dyDescent="0.2">
      <c r="B375" s="18">
        <f>IF(EXACT('[1]DataLookUp - InternalCareer(LP)'!$B375, ""), "", '[1]DataLookUp - InternalCareer(LP)'!$B375)</f>
        <v>164000000000372</v>
      </c>
      <c r="C375" s="18" t="str">
        <f>IF(EXACT($B375, ""), "", VLOOKUP(B375, '[1]DataLookUp - InternalCareer(LP)'!$B$4:$D$620, 3, FALSE))</f>
        <v>Roy Aditya</v>
      </c>
      <c r="D375" s="3"/>
      <c r="E375" s="18" t="str">
        <f>IF(EXACT($D375, ""), "", VLOOKUP($D375, [2]DataLookUp!$B$4:$C$84, 2, FALSE))</f>
        <v/>
      </c>
      <c r="F375" s="3"/>
      <c r="H375" s="15">
        <f t="shared" si="11"/>
        <v>225000000000022</v>
      </c>
      <c r="I375" s="16" t="str">
        <f t="shared" si="12"/>
        <v/>
      </c>
    </row>
    <row r="376" spans="2:9" x14ac:dyDescent="0.2">
      <c r="B376" s="18">
        <f>IF(EXACT('[1]DataLookUp - InternalCareer(LP)'!$B376, ""), "", '[1]DataLookUp - InternalCareer(LP)'!$B376)</f>
        <v>164000000000373</v>
      </c>
      <c r="C376" s="18" t="str">
        <f>IF(EXACT($B376, ""), "", VLOOKUP(B376, '[1]DataLookUp - InternalCareer(LP)'!$B$4:$D$620, 3, FALSE))</f>
        <v>Rubah</v>
      </c>
      <c r="D376" s="3"/>
      <c r="E376" s="18" t="str">
        <f>IF(EXACT($D376, ""), "", VLOOKUP($D376, [2]DataLookUp!$B$4:$C$84, 2, FALSE))</f>
        <v/>
      </c>
      <c r="F376" s="3"/>
      <c r="H376" s="15">
        <f t="shared" si="11"/>
        <v>225000000000022</v>
      </c>
      <c r="I376" s="16" t="str">
        <f t="shared" si="12"/>
        <v/>
      </c>
    </row>
    <row r="377" spans="2:9" x14ac:dyDescent="0.2">
      <c r="B377" s="18">
        <f>IF(EXACT('[1]DataLookUp - InternalCareer(LP)'!$B377, ""), "", '[1]DataLookUp - InternalCareer(LP)'!$B377)</f>
        <v>164000000000374</v>
      </c>
      <c r="C377" s="18" t="str">
        <f>IF(EXACT($B377, ""), "", VLOOKUP(B377, '[1]DataLookUp - InternalCareer(LP)'!$B$4:$D$620, 3, FALSE))</f>
        <v>Rudi Junaedi</v>
      </c>
      <c r="D377" s="3"/>
      <c r="E377" s="18" t="str">
        <f>IF(EXACT($D377, ""), "", VLOOKUP($D377, [2]DataLookUp!$B$4:$C$84, 2, FALSE))</f>
        <v/>
      </c>
      <c r="F377" s="3"/>
      <c r="H377" s="15">
        <f t="shared" si="11"/>
        <v>225000000000022</v>
      </c>
      <c r="I377" s="16" t="str">
        <f t="shared" si="12"/>
        <v/>
      </c>
    </row>
    <row r="378" spans="2:9" x14ac:dyDescent="0.2">
      <c r="B378" s="18">
        <f>IF(EXACT('[1]DataLookUp - InternalCareer(LP)'!$B378, ""), "", '[1]DataLookUp - InternalCareer(LP)'!$B378)</f>
        <v>164000000000375</v>
      </c>
      <c r="C378" s="18" t="str">
        <f>IF(EXACT($B378, ""), "", VLOOKUP(B378, '[1]DataLookUp - InternalCareer(LP)'!$B$4:$D$620, 3, FALSE))</f>
        <v>Ruswandi</v>
      </c>
      <c r="D378" s="3"/>
      <c r="E378" s="18" t="str">
        <f>IF(EXACT($D378, ""), "", VLOOKUP($D378, [2]DataLookUp!$B$4:$C$84, 2, FALSE))</f>
        <v/>
      </c>
      <c r="F378" s="3"/>
      <c r="H378" s="15">
        <f t="shared" si="11"/>
        <v>225000000000022</v>
      </c>
      <c r="I378" s="16" t="str">
        <f t="shared" si="12"/>
        <v/>
      </c>
    </row>
    <row r="379" spans="2:9" x14ac:dyDescent="0.2">
      <c r="B379" s="18">
        <f>IF(EXACT('[1]DataLookUp - InternalCareer(LP)'!$B379, ""), "", '[1]DataLookUp - InternalCareer(LP)'!$B379)</f>
        <v>164000000000376</v>
      </c>
      <c r="C379" s="18" t="str">
        <f>IF(EXACT($B379, ""), "", VLOOKUP(B379, '[1]DataLookUp - InternalCareer(LP)'!$B$4:$D$620, 3, FALSE))</f>
        <v>Ryan Bagus Sasminta</v>
      </c>
      <c r="D379" s="3"/>
      <c r="E379" s="18" t="str">
        <f>IF(EXACT($D379, ""), "", VLOOKUP($D379, [2]DataLookUp!$B$4:$C$84, 2, FALSE))</f>
        <v/>
      </c>
      <c r="F379" s="3"/>
      <c r="H379" s="15">
        <f t="shared" si="11"/>
        <v>225000000000022</v>
      </c>
      <c r="I379" s="16" t="str">
        <f t="shared" si="12"/>
        <v/>
      </c>
    </row>
    <row r="380" spans="2:9" x14ac:dyDescent="0.2">
      <c r="B380" s="18">
        <f>IF(EXACT('[1]DataLookUp - InternalCareer(LP)'!$B380, ""), "", '[1]DataLookUp - InternalCareer(LP)'!$B380)</f>
        <v>164000000000377</v>
      </c>
      <c r="C380" s="18" t="str">
        <f>IF(EXACT($B380, ""), "", VLOOKUP(B380, '[1]DataLookUp - InternalCareer(LP)'!$B$4:$D$620, 3, FALSE))</f>
        <v>Saarah Andriani</v>
      </c>
      <c r="D380" s="3"/>
      <c r="E380" s="18" t="str">
        <f>IF(EXACT($D380, ""), "", VLOOKUP($D380, [2]DataLookUp!$B$4:$C$84, 2, FALSE))</f>
        <v/>
      </c>
      <c r="F380" s="3"/>
      <c r="H380" s="15">
        <f t="shared" si="11"/>
        <v>225000000000022</v>
      </c>
      <c r="I380" s="16" t="str">
        <f t="shared" si="12"/>
        <v/>
      </c>
    </row>
    <row r="381" spans="2:9" x14ac:dyDescent="0.2">
      <c r="B381" s="18">
        <f>IF(EXACT('[1]DataLookUp - InternalCareer(LP)'!$B381, ""), "", '[1]DataLookUp - InternalCareer(LP)'!$B381)</f>
        <v>164000000000378</v>
      </c>
      <c r="C381" s="18" t="str">
        <f>IF(EXACT($B381, ""), "", VLOOKUP(B381, '[1]DataLookUp - InternalCareer(LP)'!$B$4:$D$620, 3, FALSE))</f>
        <v>Safira Nurbaiti</v>
      </c>
      <c r="D381" s="3"/>
      <c r="E381" s="18" t="str">
        <f>IF(EXACT($D381, ""), "", VLOOKUP($D381, [2]DataLookUp!$B$4:$C$84, 2, FALSE))</f>
        <v/>
      </c>
      <c r="F381" s="3"/>
      <c r="H381" s="15">
        <f t="shared" si="11"/>
        <v>225000000000022</v>
      </c>
      <c r="I381" s="16" t="str">
        <f t="shared" si="12"/>
        <v/>
      </c>
    </row>
    <row r="382" spans="2:9" x14ac:dyDescent="0.2">
      <c r="B382" s="18">
        <f>IF(EXACT('[1]DataLookUp - InternalCareer(LP)'!$B382, ""), "", '[1]DataLookUp - InternalCareer(LP)'!$B382)</f>
        <v>164000000000379</v>
      </c>
      <c r="C382" s="18" t="str">
        <f>IF(EXACT($B382, ""), "", VLOOKUP(B382, '[1]DataLookUp - InternalCareer(LP)'!$B$4:$D$620, 3, FALSE))</f>
        <v>Saifulloh</v>
      </c>
      <c r="D382" s="3"/>
      <c r="E382" s="18" t="str">
        <f>IF(EXACT($D382, ""), "", VLOOKUP($D382, [2]DataLookUp!$B$4:$C$84, 2, FALSE))</f>
        <v/>
      </c>
      <c r="F382" s="3"/>
      <c r="H382" s="15">
        <f t="shared" si="11"/>
        <v>225000000000022</v>
      </c>
      <c r="I382" s="16" t="str">
        <f t="shared" si="12"/>
        <v/>
      </c>
    </row>
    <row r="383" spans="2:9" x14ac:dyDescent="0.2">
      <c r="B383" s="18">
        <f>IF(EXACT('[1]DataLookUp - InternalCareer(LP)'!$B383, ""), "", '[1]DataLookUp - InternalCareer(LP)'!$B383)</f>
        <v>164000000000380</v>
      </c>
      <c r="C383" s="18" t="str">
        <f>IF(EXACT($B383, ""), "", VLOOKUP(B383, '[1]DataLookUp - InternalCareer(LP)'!$B$4:$D$620, 3, FALSE))</f>
        <v>Saifuloh</v>
      </c>
      <c r="D383" s="3"/>
      <c r="E383" s="18" t="str">
        <f>IF(EXACT($D383, ""), "", VLOOKUP($D383, [2]DataLookUp!$B$4:$C$84, 2, FALSE))</f>
        <v/>
      </c>
      <c r="F383" s="3"/>
      <c r="H383" s="15">
        <f t="shared" si="11"/>
        <v>225000000000022</v>
      </c>
      <c r="I383" s="16" t="str">
        <f t="shared" si="12"/>
        <v/>
      </c>
    </row>
    <row r="384" spans="2:9" x14ac:dyDescent="0.2">
      <c r="B384" s="18">
        <f>IF(EXACT('[1]DataLookUp - InternalCareer(LP)'!$B384, ""), "", '[1]DataLookUp - InternalCareer(LP)'!$B384)</f>
        <v>164000000000381</v>
      </c>
      <c r="C384" s="18" t="str">
        <f>IF(EXACT($B384, ""), "", VLOOKUP(B384, '[1]DataLookUp - InternalCareer(LP)'!$B$4:$D$620, 3, FALSE))</f>
        <v>Sakinah Tantriani Lubis</v>
      </c>
      <c r="D384" s="3">
        <f>[2]MAIN!$D$38</f>
        <v>95000000000029</v>
      </c>
      <c r="E384" s="18" t="str">
        <f>IF(EXACT($D384, ""), "", VLOOKUP($D384, [2]DataLookUp!$B$4:$C$84, 2, FALSE))</f>
        <v>Cashier &amp; Treasury Staff</v>
      </c>
      <c r="F384" s="3"/>
      <c r="H384" s="15">
        <f t="shared" si="11"/>
        <v>225000000000023</v>
      </c>
      <c r="I384" s="16" t="str">
        <f t="shared" si="12"/>
        <v>PERFORM "SchData-OLTP-HumanResource"."Func_TblMapper_WorkerCareerInternalToUserRole_SET"(varSystemLoginSession, null::bigint, null::varchar, null::timestamptz, null::timestamptz, null::varchar, varInstitutionBranchID, varBaseCurrencyID, 164000000000381::bigint, 95000000000029::bigint, null::bigint);</v>
      </c>
    </row>
    <row r="385" spans="2:9" x14ac:dyDescent="0.2">
      <c r="B385" s="18">
        <f>IF(EXACT('[1]DataLookUp - InternalCareer(LP)'!$B385, ""), "", '[1]DataLookUp - InternalCareer(LP)'!$B385)</f>
        <v>164000000000382</v>
      </c>
      <c r="C385" s="18" t="str">
        <f>IF(EXACT($B385, ""), "", VLOOKUP(B385, '[1]DataLookUp - InternalCareer(LP)'!$B$4:$D$620, 3, FALSE))</f>
        <v>Abdul Samad</v>
      </c>
      <c r="D385" s="3"/>
      <c r="E385" s="18" t="str">
        <f>IF(EXACT($D385, ""), "", VLOOKUP($D385, [2]DataLookUp!$B$4:$C$84, 2, FALSE))</f>
        <v/>
      </c>
      <c r="F385" s="3"/>
      <c r="H385" s="15">
        <f t="shared" si="11"/>
        <v>225000000000023</v>
      </c>
      <c r="I385" s="16" t="str">
        <f t="shared" si="12"/>
        <v/>
      </c>
    </row>
    <row r="386" spans="2:9" x14ac:dyDescent="0.2">
      <c r="B386" s="18">
        <f>IF(EXACT('[1]DataLookUp - InternalCareer(LP)'!$B386, ""), "", '[1]DataLookUp - InternalCareer(LP)'!$B386)</f>
        <v>164000000000383</v>
      </c>
      <c r="C386" s="18" t="str">
        <f>IF(EXACT($B386, ""), "", VLOOKUP(B386, '[1]DataLookUp - InternalCareer(LP)'!$B$4:$D$620, 3, FALSE))</f>
        <v>Samsul Hadi</v>
      </c>
      <c r="D386" s="3"/>
      <c r="E386" s="18" t="str">
        <f>IF(EXACT($D386, ""), "", VLOOKUP($D386, [2]DataLookUp!$B$4:$C$84, 2, FALSE))</f>
        <v/>
      </c>
      <c r="F386" s="3"/>
      <c r="H386" s="15">
        <f t="shared" si="11"/>
        <v>225000000000023</v>
      </c>
      <c r="I386" s="16" t="str">
        <f t="shared" si="12"/>
        <v/>
      </c>
    </row>
    <row r="387" spans="2:9" x14ac:dyDescent="0.2">
      <c r="B387" s="18">
        <f>IF(EXACT('[1]DataLookUp - InternalCareer(LP)'!$B387, ""), "", '[1]DataLookUp - InternalCareer(LP)'!$B387)</f>
        <v>164000000000384</v>
      </c>
      <c r="C387" s="18" t="str">
        <f>IF(EXACT($B387, ""), "", VLOOKUP(B387, '[1]DataLookUp - InternalCareer(LP)'!$B$4:$D$620, 3, FALSE))</f>
        <v>Sandika</v>
      </c>
      <c r="D387" s="3"/>
      <c r="E387" s="18" t="str">
        <f>IF(EXACT($D387, ""), "", VLOOKUP($D387, [2]DataLookUp!$B$4:$C$84, 2, FALSE))</f>
        <v/>
      </c>
      <c r="F387" s="3"/>
      <c r="H387" s="15">
        <f t="shared" si="11"/>
        <v>225000000000023</v>
      </c>
      <c r="I387" s="16" t="str">
        <f t="shared" si="12"/>
        <v/>
      </c>
    </row>
    <row r="388" spans="2:9" x14ac:dyDescent="0.2">
      <c r="B388" s="18">
        <f>IF(EXACT('[1]DataLookUp - InternalCareer(LP)'!$B388, ""), "", '[1]DataLookUp - InternalCareer(LP)'!$B388)</f>
        <v>164000000000385</v>
      </c>
      <c r="C388" s="18" t="str">
        <f>IF(EXACT($B388, ""), "", VLOOKUP(B388, '[1]DataLookUp - InternalCareer(LP)'!$B$4:$D$620, 3, FALSE))</f>
        <v>Sang Toga Sitompul</v>
      </c>
      <c r="D388" s="3"/>
      <c r="E388" s="18" t="str">
        <f>IF(EXACT($D388, ""), "", VLOOKUP($D388, [2]DataLookUp!$B$4:$C$84, 2, FALSE))</f>
        <v/>
      </c>
      <c r="F388" s="3"/>
      <c r="H388" s="15">
        <f t="shared" si="11"/>
        <v>225000000000023</v>
      </c>
      <c r="I388" s="16" t="str">
        <f t="shared" si="12"/>
        <v/>
      </c>
    </row>
    <row r="389" spans="2:9" x14ac:dyDescent="0.2">
      <c r="B389" s="18">
        <f>IF(EXACT('[1]DataLookUp - InternalCareer(LP)'!$B389, ""), "", '[1]DataLookUp - InternalCareer(LP)'!$B389)</f>
        <v>164000000000386</v>
      </c>
      <c r="C389" s="18" t="str">
        <f>IF(EXACT($B389, ""), "", VLOOKUP(B389, '[1]DataLookUp - InternalCareer(LP)'!$B$4:$D$620, 3, FALSE))</f>
        <v>Santi Dewi R. W.</v>
      </c>
      <c r="D389" s="3"/>
      <c r="E389" s="18" t="str">
        <f>IF(EXACT($D389, ""), "", VLOOKUP($D389, [2]DataLookUp!$B$4:$C$84, 2, FALSE))</f>
        <v/>
      </c>
      <c r="F389" s="3"/>
      <c r="H389" s="15">
        <f t="shared" si="11"/>
        <v>225000000000023</v>
      </c>
      <c r="I389" s="16" t="str">
        <f t="shared" si="12"/>
        <v/>
      </c>
    </row>
    <row r="390" spans="2:9" x14ac:dyDescent="0.2">
      <c r="B390" s="18">
        <f>IF(EXACT('[1]DataLookUp - InternalCareer(LP)'!$B390, ""), "", '[1]DataLookUp - InternalCareer(LP)'!$B390)</f>
        <v>164000000000387</v>
      </c>
      <c r="C390" s="18" t="str">
        <f>IF(EXACT($B390, ""), "", VLOOKUP(B390, '[1]DataLookUp - InternalCareer(LP)'!$B$4:$D$620, 3, FALSE))</f>
        <v>Sarah Sibarani</v>
      </c>
      <c r="D390" s="3"/>
      <c r="E390" s="18" t="str">
        <f>IF(EXACT($D390, ""), "", VLOOKUP($D390, [2]DataLookUp!$B$4:$C$84, 2, FALSE))</f>
        <v/>
      </c>
      <c r="F390" s="3"/>
      <c r="H390" s="15">
        <f t="shared" ref="H390:H453" si="13" xml:space="preserve"> H389 + IF(EXACT(I390, ""), 0, 1)</f>
        <v>225000000000023</v>
      </c>
      <c r="I390" s="16" t="str">
        <f t="shared" si="12"/>
        <v/>
      </c>
    </row>
    <row r="391" spans="2:9" x14ac:dyDescent="0.2">
      <c r="B391" s="18">
        <f>IF(EXACT('[1]DataLookUp - InternalCareer(LP)'!$B391, ""), "", '[1]DataLookUp - InternalCareer(LP)'!$B391)</f>
        <v>164000000000388</v>
      </c>
      <c r="C391" s="18" t="str">
        <f>IF(EXACT($B391, ""), "", VLOOKUP(B391, '[1]DataLookUp - InternalCareer(LP)'!$B$4:$D$620, 3, FALSE))</f>
        <v>Sarif Hidayatul Umah</v>
      </c>
      <c r="D391" s="3"/>
      <c r="E391" s="18" t="str">
        <f>IF(EXACT($D391, ""), "", VLOOKUP($D391, [2]DataLookUp!$B$4:$C$84, 2, FALSE))</f>
        <v/>
      </c>
      <c r="F391" s="3"/>
      <c r="H391" s="15">
        <f t="shared" si="13"/>
        <v>225000000000023</v>
      </c>
      <c r="I391" s="16" t="str">
        <f t="shared" si="12"/>
        <v/>
      </c>
    </row>
    <row r="392" spans="2:9" x14ac:dyDescent="0.2">
      <c r="B392" s="18">
        <f>IF(EXACT('[1]DataLookUp - InternalCareer(LP)'!$B392, ""), "", '[1]DataLookUp - InternalCareer(LP)'!$B392)</f>
        <v>164000000000389</v>
      </c>
      <c r="C392" s="18" t="str">
        <f>IF(EXACT($B392, ""), "", VLOOKUP(B392, '[1]DataLookUp - InternalCareer(LP)'!$B$4:$D$620, 3, FALSE))</f>
        <v>Satria Budi Raharja</v>
      </c>
      <c r="D392" s="3"/>
      <c r="E392" s="18" t="str">
        <f>IF(EXACT($D392, ""), "", VLOOKUP($D392, [2]DataLookUp!$B$4:$C$84, 2, FALSE))</f>
        <v/>
      </c>
      <c r="F392" s="3"/>
      <c r="H392" s="15">
        <f t="shared" si="13"/>
        <v>225000000000023</v>
      </c>
      <c r="I392" s="16" t="str">
        <f t="shared" si="12"/>
        <v/>
      </c>
    </row>
    <row r="393" spans="2:9" x14ac:dyDescent="0.2">
      <c r="B393" s="18">
        <f>IF(EXACT('[1]DataLookUp - InternalCareer(LP)'!$B393, ""), "", '[1]DataLookUp - InternalCareer(LP)'!$B393)</f>
        <v>164000000000390</v>
      </c>
      <c r="C393" s="18" t="str">
        <f>IF(EXACT($B393, ""), "", VLOOKUP(B393, '[1]DataLookUp - InternalCareer(LP)'!$B$4:$D$620, 3, FALSE))</f>
        <v>Saut M. P. L. Tobing</v>
      </c>
      <c r="D393" s="3"/>
      <c r="E393" s="18" t="str">
        <f>IF(EXACT($D393, ""), "", VLOOKUP($D393, [2]DataLookUp!$B$4:$C$84, 2, FALSE))</f>
        <v/>
      </c>
      <c r="F393" s="3"/>
      <c r="H393" s="15">
        <f t="shared" si="13"/>
        <v>225000000000023</v>
      </c>
      <c r="I393" s="16" t="str">
        <f t="shared" si="12"/>
        <v/>
      </c>
    </row>
    <row r="394" spans="2:9" x14ac:dyDescent="0.2">
      <c r="B394" s="18">
        <f>IF(EXACT('[1]DataLookUp - InternalCareer(LP)'!$B394, ""), "", '[1]DataLookUp - InternalCareer(LP)'!$B394)</f>
        <v>164000000000391</v>
      </c>
      <c r="C394" s="18" t="str">
        <f>IF(EXACT($B394, ""), "", VLOOKUP(B394, '[1]DataLookUp - InternalCareer(LP)'!$B$4:$D$620, 3, FALSE))</f>
        <v>Seftiyan Hadi Maulana</v>
      </c>
      <c r="D394" s="3">
        <f>[2]MAIN!$D$59</f>
        <v>95000000000046</v>
      </c>
      <c r="E394" s="18" t="str">
        <f>IF(EXACT($D394, ""), "", VLOOKUP($D394, [2]DataLookUp!$B$4:$C$84, 2, FALSE))</f>
        <v>Sales Estimator Coordinator</v>
      </c>
      <c r="F394" s="3"/>
      <c r="H394" s="15">
        <f t="shared" si="13"/>
        <v>225000000000024</v>
      </c>
      <c r="I394" s="16" t="str">
        <f t="shared" si="12"/>
        <v>PERFORM "SchData-OLTP-HumanResource"."Func_TblMapper_WorkerCareerInternalToUserRole_SET"(varSystemLoginSession, null::bigint, null::varchar, null::timestamptz, null::timestamptz, null::varchar, varInstitutionBranchID, varBaseCurrencyID, 164000000000391::bigint, 95000000000046::bigint, null::bigint);</v>
      </c>
    </row>
    <row r="395" spans="2:9" x14ac:dyDescent="0.2">
      <c r="B395" s="18">
        <f>IF(EXACT('[1]DataLookUp - InternalCareer(LP)'!$B395, ""), "", '[1]DataLookUp - InternalCareer(LP)'!$B395)</f>
        <v>164000000000392</v>
      </c>
      <c r="C395" s="18" t="str">
        <f>IF(EXACT($B395, ""), "", VLOOKUP(B395, '[1]DataLookUp - InternalCareer(LP)'!$B$4:$D$620, 3, FALSE))</f>
        <v>Sena Andi Satria</v>
      </c>
      <c r="D395" s="3"/>
      <c r="E395" s="18" t="str">
        <f>IF(EXACT($D395, ""), "", VLOOKUP($D395, [2]DataLookUp!$B$4:$C$84, 2, FALSE))</f>
        <v/>
      </c>
      <c r="F395" s="3"/>
      <c r="H395" s="15">
        <f t="shared" si="13"/>
        <v>225000000000024</v>
      </c>
      <c r="I395" s="16" t="str">
        <f t="shared" si="12"/>
        <v/>
      </c>
    </row>
    <row r="396" spans="2:9" x14ac:dyDescent="0.2">
      <c r="B396" s="18">
        <f>IF(EXACT('[1]DataLookUp - InternalCareer(LP)'!$B396, ""), "", '[1]DataLookUp - InternalCareer(LP)'!$B396)</f>
        <v>164000000000393</v>
      </c>
      <c r="C396" s="18" t="str">
        <f>IF(EXACT($B396, ""), "", VLOOKUP(B396, '[1]DataLookUp - InternalCareer(LP)'!$B$4:$D$620, 3, FALSE))</f>
        <v>Setiadi</v>
      </c>
      <c r="D396" s="3"/>
      <c r="E396" s="18" t="str">
        <f>IF(EXACT($D396, ""), "", VLOOKUP($D396, [2]DataLookUp!$B$4:$C$84, 2, FALSE))</f>
        <v/>
      </c>
      <c r="F396" s="3"/>
      <c r="H396" s="15">
        <f t="shared" si="13"/>
        <v>225000000000024</v>
      </c>
      <c r="I396" s="16" t="str">
        <f t="shared" si="12"/>
        <v/>
      </c>
    </row>
    <row r="397" spans="2:9" x14ac:dyDescent="0.2">
      <c r="B397" s="18">
        <f>IF(EXACT('[1]DataLookUp - InternalCareer(LP)'!$B397, ""), "", '[1]DataLookUp - InternalCareer(LP)'!$B397)</f>
        <v>164000000000394</v>
      </c>
      <c r="C397" s="18" t="str">
        <f>IF(EXACT($B397, ""), "", VLOOKUP(B397, '[1]DataLookUp - InternalCareer(LP)'!$B$4:$D$620, 3, FALSE))</f>
        <v>Sherly Tamira</v>
      </c>
      <c r="D397" s="3"/>
      <c r="E397" s="18" t="str">
        <f>IF(EXACT($D397, ""), "", VLOOKUP($D397, [2]DataLookUp!$B$4:$C$84, 2, FALSE))</f>
        <v/>
      </c>
      <c r="F397" s="3"/>
      <c r="H397" s="15">
        <f t="shared" si="13"/>
        <v>225000000000024</v>
      </c>
      <c r="I397" s="16" t="str">
        <f t="shared" si="12"/>
        <v/>
      </c>
    </row>
    <row r="398" spans="2:9" x14ac:dyDescent="0.2">
      <c r="B398" s="18">
        <f>IF(EXACT('[1]DataLookUp - InternalCareer(LP)'!$B398, ""), "", '[1]DataLookUp - InternalCareer(LP)'!$B398)</f>
        <v>164000000000395</v>
      </c>
      <c r="C398" s="18" t="str">
        <f>IF(EXACT($B398, ""), "", VLOOKUP(B398, '[1]DataLookUp - InternalCareer(LP)'!$B$4:$D$620, 3, FALSE))</f>
        <v>Shihab</v>
      </c>
      <c r="D398" s="3"/>
      <c r="E398" s="18" t="str">
        <f>IF(EXACT($D398, ""), "", VLOOKUP($D398, [2]DataLookUp!$B$4:$C$84, 2, FALSE))</f>
        <v/>
      </c>
      <c r="F398" s="3"/>
      <c r="H398" s="15">
        <f t="shared" si="13"/>
        <v>225000000000024</v>
      </c>
      <c r="I398" s="16" t="str">
        <f t="shared" si="12"/>
        <v/>
      </c>
    </row>
    <row r="399" spans="2:9" x14ac:dyDescent="0.2">
      <c r="B399" s="18">
        <f>IF(EXACT('[1]DataLookUp - InternalCareer(LP)'!$B399, ""), "", '[1]DataLookUp - InternalCareer(LP)'!$B399)</f>
        <v>164000000000396</v>
      </c>
      <c r="C399" s="18" t="str">
        <f>IF(EXACT($B399, ""), "", VLOOKUP(B399, '[1]DataLookUp - InternalCareer(LP)'!$B$4:$D$620, 3, FALSE))</f>
        <v>Shobarin Jabar</v>
      </c>
      <c r="D399" s="3"/>
      <c r="E399" s="18" t="str">
        <f>IF(EXACT($D399, ""), "", VLOOKUP($D399, [2]DataLookUp!$B$4:$C$84, 2, FALSE))</f>
        <v/>
      </c>
      <c r="F399" s="3"/>
      <c r="H399" s="15">
        <f t="shared" si="13"/>
        <v>225000000000024</v>
      </c>
      <c r="I399" s="16" t="str">
        <f t="shared" si="12"/>
        <v/>
      </c>
    </row>
    <row r="400" spans="2:9" x14ac:dyDescent="0.2">
      <c r="B400" s="18">
        <f>IF(EXACT('[1]DataLookUp - InternalCareer(LP)'!$B400, ""), "", '[1]DataLookUp - InternalCareer(LP)'!$B400)</f>
        <v>164000000000397</v>
      </c>
      <c r="C400" s="18" t="str">
        <f>IF(EXACT($B400, ""), "", VLOOKUP(B400, '[1]DataLookUp - InternalCareer(LP)'!$B$4:$D$620, 3, FALSE))</f>
        <v>Sholehah</v>
      </c>
      <c r="D400" s="3">
        <v>95000000000053</v>
      </c>
      <c r="E400" s="18" t="str">
        <f>IF(EXACT($D400, ""), "", VLOOKUP($D400, [2]DataLookUp!$B$4:$C$84, 2, FALSE))</f>
        <v>Human Resource Development Staff</v>
      </c>
      <c r="F400" s="3"/>
      <c r="H400" s="15">
        <f t="shared" si="13"/>
        <v>225000000000025</v>
      </c>
      <c r="I400" s="16" t="str">
        <f t="shared" ref="I400:I463" si="14">IF(EXACT(D400, ""), "", CONCATENATE("PERFORM ""SchData-OLTP-HumanResource"".""Func_TblMapper_WorkerCareerInternalToUserRole_SET""(varSystemLoginSession, null::bigint, null::varchar, null::timestamptz, null::timestamptz, null::varchar, varInstitutionBranchID, varBaseCurrencyID, ", IF(EXACT(B400, ""), "null", B400), "::bigint, ", IF(EXACT(D400, ""), "null", D400), "::bigint, ", IF(EXACT(F400, ""), "null", F400), "::bigint);"))</f>
        <v>PERFORM "SchData-OLTP-HumanResource"."Func_TblMapper_WorkerCareerInternalToUserRole_SET"(varSystemLoginSession, null::bigint, null::varchar, null::timestamptz, null::timestamptz, null::varchar, varInstitutionBranchID, varBaseCurrencyID, 164000000000397::bigint, 95000000000053::bigint, null::bigint);</v>
      </c>
    </row>
    <row r="401" spans="2:9" x14ac:dyDescent="0.2">
      <c r="B401" s="18">
        <f>IF(EXACT('[1]DataLookUp - InternalCareer(LP)'!$B401, ""), "", '[1]DataLookUp - InternalCareer(LP)'!$B401)</f>
        <v>164000000000398</v>
      </c>
      <c r="C401" s="18" t="str">
        <f>IF(EXACT($B401, ""), "", VLOOKUP(B401, '[1]DataLookUp - InternalCareer(LP)'!$B$4:$D$620, 3, FALSE))</f>
        <v>Sigit Rudiantono</v>
      </c>
      <c r="D401" s="3"/>
      <c r="E401" s="18" t="str">
        <f>IF(EXACT($D401, ""), "", VLOOKUP($D401, [2]DataLookUp!$B$4:$C$84, 2, FALSE))</f>
        <v/>
      </c>
      <c r="F401" s="3"/>
      <c r="H401" s="15">
        <f t="shared" si="13"/>
        <v>225000000000025</v>
      </c>
      <c r="I401" s="16" t="str">
        <f t="shared" si="14"/>
        <v/>
      </c>
    </row>
    <row r="402" spans="2:9" x14ac:dyDescent="0.2">
      <c r="B402" s="18">
        <f>IF(EXACT('[1]DataLookUp - InternalCareer(LP)'!$B402, ""), "", '[1]DataLookUp - InternalCareer(LP)'!$B402)</f>
        <v>164000000000399</v>
      </c>
      <c r="C402" s="18" t="str">
        <f>IF(EXACT($B402, ""), "", VLOOKUP(B402, '[1]DataLookUp - InternalCareer(LP)'!$B$4:$D$620, 3, FALSE))</f>
        <v>Silvia Putri</v>
      </c>
      <c r="D402" s="3"/>
      <c r="E402" s="18" t="str">
        <f>IF(EXACT($D402, ""), "", VLOOKUP($D402, [2]DataLookUp!$B$4:$C$84, 2, FALSE))</f>
        <v/>
      </c>
      <c r="F402" s="3"/>
      <c r="H402" s="15">
        <f t="shared" si="13"/>
        <v>225000000000025</v>
      </c>
      <c r="I402" s="16" t="str">
        <f t="shared" si="14"/>
        <v/>
      </c>
    </row>
    <row r="403" spans="2:9" x14ac:dyDescent="0.2">
      <c r="B403" s="18">
        <f>IF(EXACT('[1]DataLookUp - InternalCareer(LP)'!$B403, ""), "", '[1]DataLookUp - InternalCareer(LP)'!$B403)</f>
        <v>164000000000400</v>
      </c>
      <c r="C403" s="18" t="str">
        <f>IF(EXACT($B403, ""), "", VLOOKUP(B403, '[1]DataLookUp - InternalCareer(LP)'!$B$4:$D$620, 3, FALSE))</f>
        <v>Simron Ronaldi Nasution</v>
      </c>
      <c r="D403" s="3"/>
      <c r="E403" s="18" t="str">
        <f>IF(EXACT($D403, ""), "", VLOOKUP($D403, [2]DataLookUp!$B$4:$C$84, 2, FALSE))</f>
        <v/>
      </c>
      <c r="F403" s="3"/>
      <c r="H403" s="15">
        <f t="shared" si="13"/>
        <v>225000000000025</v>
      </c>
      <c r="I403" s="16" t="str">
        <f t="shared" si="14"/>
        <v/>
      </c>
    </row>
    <row r="404" spans="2:9" x14ac:dyDescent="0.2">
      <c r="B404" s="18">
        <f>IF(EXACT('[1]DataLookUp - InternalCareer(LP)'!$B404, ""), "", '[1]DataLookUp - InternalCareer(LP)'!$B404)</f>
        <v>164000000000401</v>
      </c>
      <c r="C404" s="18" t="str">
        <f>IF(EXACT($B404, ""), "", VLOOKUP(B404, '[1]DataLookUp - InternalCareer(LP)'!$B$4:$D$620, 3, FALSE))</f>
        <v>Sinta Vera Trikawati</v>
      </c>
      <c r="D404" s="3"/>
      <c r="E404" s="18" t="str">
        <f>IF(EXACT($D404, ""), "", VLOOKUP($D404, [2]DataLookUp!$B$4:$C$84, 2, FALSE))</f>
        <v/>
      </c>
      <c r="F404" s="3"/>
      <c r="H404" s="15">
        <f t="shared" si="13"/>
        <v>225000000000025</v>
      </c>
      <c r="I404" s="16" t="str">
        <f t="shared" si="14"/>
        <v/>
      </c>
    </row>
    <row r="405" spans="2:9" x14ac:dyDescent="0.2">
      <c r="B405" s="18">
        <f>IF(EXACT('[1]DataLookUp - InternalCareer(LP)'!$B405, ""), "", '[1]DataLookUp - InternalCareer(LP)'!$B405)</f>
        <v>164000000000402</v>
      </c>
      <c r="C405" s="18" t="str">
        <f>IF(EXACT($B405, ""), "", VLOOKUP(B405, '[1]DataLookUp - InternalCareer(LP)'!$B$4:$D$620, 3, FALSE))</f>
        <v>Sir Muhammad Zafrulloh Khan</v>
      </c>
      <c r="D405" s="3"/>
      <c r="E405" s="18" t="str">
        <f>IF(EXACT($D405, ""), "", VLOOKUP($D405, [2]DataLookUp!$B$4:$C$84, 2, FALSE))</f>
        <v/>
      </c>
      <c r="F405" s="3"/>
      <c r="H405" s="15">
        <f t="shared" si="13"/>
        <v>225000000000025</v>
      </c>
      <c r="I405" s="16" t="str">
        <f t="shared" si="14"/>
        <v/>
      </c>
    </row>
    <row r="406" spans="2:9" x14ac:dyDescent="0.2">
      <c r="B406" s="18">
        <f>IF(EXACT('[1]DataLookUp - InternalCareer(LP)'!$B406, ""), "", '[1]DataLookUp - InternalCareer(LP)'!$B406)</f>
        <v>164000000000403</v>
      </c>
      <c r="C406" s="18" t="str">
        <f>IF(EXACT($B406, ""), "", VLOOKUP(B406, '[1]DataLookUp - InternalCareer(LP)'!$B$4:$D$620, 3, FALSE))</f>
        <v>Siska Marlina</v>
      </c>
      <c r="D406" s="3"/>
      <c r="E406" s="18" t="str">
        <f>IF(EXACT($D406, ""), "", VLOOKUP($D406, [2]DataLookUp!$B$4:$C$84, 2, FALSE))</f>
        <v/>
      </c>
      <c r="F406" s="3"/>
      <c r="H406" s="15">
        <f t="shared" si="13"/>
        <v>225000000000025</v>
      </c>
      <c r="I406" s="16" t="str">
        <f t="shared" si="14"/>
        <v/>
      </c>
    </row>
    <row r="407" spans="2:9" x14ac:dyDescent="0.2">
      <c r="B407" s="18">
        <f>IF(EXACT('[1]DataLookUp - InternalCareer(LP)'!$B407, ""), "", '[1]DataLookUp - InternalCareer(LP)'!$B407)</f>
        <v>164000000000404</v>
      </c>
      <c r="C407" s="18" t="str">
        <f>IF(EXACT($B407, ""), "", VLOOKUP(B407, '[1]DataLookUp - InternalCareer(LP)'!$B$4:$D$620, 3, FALSE))</f>
        <v>Siswanto</v>
      </c>
      <c r="D407" s="3"/>
      <c r="E407" s="18" t="str">
        <f>IF(EXACT($D407, ""), "", VLOOKUP($D407, [2]DataLookUp!$B$4:$C$84, 2, FALSE))</f>
        <v/>
      </c>
      <c r="F407" s="3"/>
      <c r="H407" s="15">
        <f t="shared" si="13"/>
        <v>225000000000025</v>
      </c>
      <c r="I407" s="16" t="str">
        <f t="shared" si="14"/>
        <v/>
      </c>
    </row>
    <row r="408" spans="2:9" x14ac:dyDescent="0.2">
      <c r="B408" s="18">
        <f>IF(EXACT('[1]DataLookUp - InternalCareer(LP)'!$B408, ""), "", '[1]DataLookUp - InternalCareer(LP)'!$B408)</f>
        <v>164000000000405</v>
      </c>
      <c r="C408" s="18" t="str">
        <f>IF(EXACT($B408, ""), "", VLOOKUP(B408, '[1]DataLookUp - InternalCareer(LP)'!$B$4:$D$620, 3, FALSE))</f>
        <v>Siti Mulyani</v>
      </c>
      <c r="D408" s="3"/>
      <c r="E408" s="18" t="str">
        <f>IF(EXACT($D408, ""), "", VLOOKUP($D408, [2]DataLookUp!$B$4:$C$84, 2, FALSE))</f>
        <v/>
      </c>
      <c r="F408" s="3"/>
      <c r="H408" s="15">
        <f t="shared" si="13"/>
        <v>225000000000025</v>
      </c>
      <c r="I408" s="16" t="str">
        <f t="shared" si="14"/>
        <v/>
      </c>
    </row>
    <row r="409" spans="2:9" x14ac:dyDescent="0.2">
      <c r="B409" s="18">
        <f>IF(EXACT('[1]DataLookUp - InternalCareer(LP)'!$B409, ""), "", '[1]DataLookUp - InternalCareer(LP)'!$B409)</f>
        <v>164000000000406</v>
      </c>
      <c r="C409" s="18" t="str">
        <f>IF(EXACT($B409, ""), "", VLOOKUP(B409, '[1]DataLookUp - InternalCareer(LP)'!$B$4:$D$620, 3, FALSE))</f>
        <v>Sjanti Devi</v>
      </c>
      <c r="D409" s="3"/>
      <c r="E409" s="18" t="str">
        <f>IF(EXACT($D409, ""), "", VLOOKUP($D409, [2]DataLookUp!$B$4:$C$84, 2, FALSE))</f>
        <v/>
      </c>
      <c r="F409" s="3"/>
      <c r="H409" s="15">
        <f t="shared" si="13"/>
        <v>225000000000025</v>
      </c>
      <c r="I409" s="16" t="str">
        <f t="shared" si="14"/>
        <v/>
      </c>
    </row>
    <row r="410" spans="2:9" x14ac:dyDescent="0.2">
      <c r="B410" s="18">
        <f>IF(EXACT('[1]DataLookUp - InternalCareer(LP)'!$B410, ""), "", '[1]DataLookUp - InternalCareer(LP)'!$B410)</f>
        <v>164000000000407</v>
      </c>
      <c r="C410" s="18" t="str">
        <f>IF(EXACT($B410, ""), "", VLOOKUP(B410, '[1]DataLookUp - InternalCareer(LP)'!$B$4:$D$620, 3, FALSE))</f>
        <v>Slamet Budi Setiawan</v>
      </c>
      <c r="D410" s="3"/>
      <c r="E410" s="18" t="str">
        <f>IF(EXACT($D410, ""), "", VLOOKUP($D410, [2]DataLookUp!$B$4:$C$84, 2, FALSE))</f>
        <v/>
      </c>
      <c r="F410" s="3"/>
      <c r="H410" s="15">
        <f t="shared" si="13"/>
        <v>225000000000025</v>
      </c>
      <c r="I410" s="16" t="str">
        <f t="shared" si="14"/>
        <v/>
      </c>
    </row>
    <row r="411" spans="2:9" x14ac:dyDescent="0.2">
      <c r="B411" s="18">
        <f>IF(EXACT('[1]DataLookUp - InternalCareer(LP)'!$B411, ""), "", '[1]DataLookUp - InternalCareer(LP)'!$B411)</f>
        <v>164000000000408</v>
      </c>
      <c r="C411" s="18" t="str">
        <f>IF(EXACT($B411, ""), "", VLOOKUP(B411, '[1]DataLookUp - InternalCareer(LP)'!$B$4:$D$620, 3, FALSE))</f>
        <v>Sofyan Maulana</v>
      </c>
      <c r="D411" s="3"/>
      <c r="E411" s="18" t="str">
        <f>IF(EXACT($D411, ""), "", VLOOKUP($D411, [2]DataLookUp!$B$4:$C$84, 2, FALSE))</f>
        <v/>
      </c>
      <c r="F411" s="3"/>
      <c r="H411" s="15">
        <f t="shared" si="13"/>
        <v>225000000000025</v>
      </c>
      <c r="I411" s="16" t="str">
        <f t="shared" si="14"/>
        <v/>
      </c>
    </row>
    <row r="412" spans="2:9" x14ac:dyDescent="0.2">
      <c r="B412" s="18">
        <f>IF(EXACT('[1]DataLookUp - InternalCareer(LP)'!$B412, ""), "", '[1]DataLookUp - InternalCareer(LP)'!$B412)</f>
        <v>164000000000409</v>
      </c>
      <c r="C412" s="18" t="str">
        <f>IF(EXACT($B412, ""), "", VLOOKUP(B412, '[1]DataLookUp - InternalCareer(LP)'!$B$4:$D$620, 3, FALSE))</f>
        <v>Subagio</v>
      </c>
      <c r="D412" s="3"/>
      <c r="E412" s="18" t="str">
        <f>IF(EXACT($D412, ""), "", VLOOKUP($D412, [2]DataLookUp!$B$4:$C$84, 2, FALSE))</f>
        <v/>
      </c>
      <c r="F412" s="3"/>
      <c r="H412" s="15">
        <f t="shared" si="13"/>
        <v>225000000000025</v>
      </c>
      <c r="I412" s="16" t="str">
        <f t="shared" si="14"/>
        <v/>
      </c>
    </row>
    <row r="413" spans="2:9" x14ac:dyDescent="0.2">
      <c r="B413" s="18">
        <f>IF(EXACT('[1]DataLookUp - InternalCareer(LP)'!$B413, ""), "", '[1]DataLookUp - InternalCareer(LP)'!$B413)</f>
        <v>164000000000410</v>
      </c>
      <c r="C413" s="18" t="str">
        <f>IF(EXACT($B413, ""), "", VLOOKUP(B413, '[1]DataLookUp - InternalCareer(LP)'!$B$4:$D$620, 3, FALSE))</f>
        <v>Suci Mardiana</v>
      </c>
      <c r="D413" s="3"/>
      <c r="E413" s="18" t="str">
        <f>IF(EXACT($D413, ""), "", VLOOKUP($D413, [2]DataLookUp!$B$4:$C$84, 2, FALSE))</f>
        <v/>
      </c>
      <c r="F413" s="3"/>
      <c r="H413" s="15">
        <f t="shared" si="13"/>
        <v>225000000000025</v>
      </c>
      <c r="I413" s="16" t="str">
        <f t="shared" si="14"/>
        <v/>
      </c>
    </row>
    <row r="414" spans="2:9" x14ac:dyDescent="0.2">
      <c r="B414" s="18">
        <f>IF(EXACT('[1]DataLookUp - InternalCareer(LP)'!$B414, ""), "", '[1]DataLookUp - InternalCareer(LP)'!$B414)</f>
        <v>164000000000411</v>
      </c>
      <c r="C414" s="18" t="str">
        <f>IF(EXACT($B414, ""), "", VLOOKUP(B414, '[1]DataLookUp - InternalCareer(LP)'!$B$4:$D$620, 3, FALSE))</f>
        <v>Suci Rachma Sari</v>
      </c>
      <c r="D414" s="3"/>
      <c r="E414" s="18" t="str">
        <f>IF(EXACT($D414, ""), "", VLOOKUP($D414, [2]DataLookUp!$B$4:$C$84, 2, FALSE))</f>
        <v/>
      </c>
      <c r="F414" s="3"/>
      <c r="H414" s="15">
        <f t="shared" si="13"/>
        <v>225000000000025</v>
      </c>
      <c r="I414" s="16" t="str">
        <f t="shared" si="14"/>
        <v/>
      </c>
    </row>
    <row r="415" spans="2:9" x14ac:dyDescent="0.2">
      <c r="B415" s="18">
        <f>IF(EXACT('[1]DataLookUp - InternalCareer(LP)'!$B415, ""), "", '[1]DataLookUp - InternalCareer(LP)'!$B415)</f>
        <v>164000000000412</v>
      </c>
      <c r="C415" s="18" t="str">
        <f>IF(EXACT($B415, ""), "", VLOOKUP(B415, '[1]DataLookUp - InternalCareer(LP)'!$B$4:$D$620, 3, FALSE))</f>
        <v>Sudarlan</v>
      </c>
      <c r="D415" s="3"/>
      <c r="E415" s="18" t="str">
        <f>IF(EXACT($D415, ""), "", VLOOKUP($D415, [2]DataLookUp!$B$4:$C$84, 2, FALSE))</f>
        <v/>
      </c>
      <c r="F415" s="3"/>
      <c r="H415" s="15">
        <f t="shared" si="13"/>
        <v>225000000000025</v>
      </c>
      <c r="I415" s="16" t="str">
        <f t="shared" si="14"/>
        <v/>
      </c>
    </row>
    <row r="416" spans="2:9" x14ac:dyDescent="0.2">
      <c r="B416" s="18">
        <f>IF(EXACT('[1]DataLookUp - InternalCareer(LP)'!$B416, ""), "", '[1]DataLookUp - InternalCareer(LP)'!$B416)</f>
        <v>164000000000413</v>
      </c>
      <c r="C416" s="18" t="str">
        <f>IF(EXACT($B416, ""), "", VLOOKUP(B416, '[1]DataLookUp - InternalCareer(LP)'!$B$4:$D$620, 3, FALSE))</f>
        <v>Sufie Amalia</v>
      </c>
      <c r="D416" s="3">
        <f>[2]MAIN!$D$68</f>
        <v>95000000000053</v>
      </c>
      <c r="E416" s="18" t="str">
        <f>IF(EXACT($D416, ""), "", VLOOKUP($D416, [2]DataLookUp!$B$4:$C$84, 2, FALSE))</f>
        <v>Human Resource Development Staff</v>
      </c>
      <c r="F416" s="3"/>
      <c r="H416" s="15">
        <f t="shared" si="13"/>
        <v>225000000000026</v>
      </c>
      <c r="I416" s="16" t="str">
        <f t="shared" si="14"/>
        <v>PERFORM "SchData-OLTP-HumanResource"."Func_TblMapper_WorkerCareerInternalToUserRole_SET"(varSystemLoginSession, null::bigint, null::varchar, null::timestamptz, null::timestamptz, null::varchar, varInstitutionBranchID, varBaseCurrencyID, 164000000000413::bigint, 95000000000053::bigint, null::bigint);</v>
      </c>
    </row>
    <row r="417" spans="2:9" x14ac:dyDescent="0.2">
      <c r="B417" s="18">
        <f>IF(EXACT('[1]DataLookUp - InternalCareer(LP)'!$B417, ""), "", '[1]DataLookUp - InternalCareer(LP)'!$B417)</f>
        <v>164000000000414</v>
      </c>
      <c r="C417" s="18" t="str">
        <f>IF(EXACT($B417, ""), "", VLOOKUP(B417, '[1]DataLookUp - InternalCareer(LP)'!$B$4:$D$620, 3, FALSE))</f>
        <v>Sugeng Ismanto</v>
      </c>
      <c r="D417" s="3"/>
      <c r="E417" s="18" t="str">
        <f>IF(EXACT($D417, ""), "", VLOOKUP($D417, [2]DataLookUp!$B$4:$C$84, 2, FALSE))</f>
        <v/>
      </c>
      <c r="F417" s="3"/>
      <c r="H417" s="15">
        <f t="shared" si="13"/>
        <v>225000000000026</v>
      </c>
      <c r="I417" s="16" t="str">
        <f t="shared" si="14"/>
        <v/>
      </c>
    </row>
    <row r="418" spans="2:9" x14ac:dyDescent="0.2">
      <c r="B418" s="18">
        <f>IF(EXACT('[1]DataLookUp - InternalCareer(LP)'!$B418, ""), "", '[1]DataLookUp - InternalCareer(LP)'!$B418)</f>
        <v>164000000000415</v>
      </c>
      <c r="C418" s="18" t="str">
        <f>IF(EXACT($B418, ""), "", VLOOKUP(B418, '[1]DataLookUp - InternalCareer(LP)'!$B$4:$D$620, 3, FALSE))</f>
        <v>Sugiarto</v>
      </c>
      <c r="D418" s="3"/>
      <c r="E418" s="18" t="str">
        <f>IF(EXACT($D418, ""), "", VLOOKUP($D418, [2]DataLookUp!$B$4:$C$84, 2, FALSE))</f>
        <v/>
      </c>
      <c r="F418" s="3"/>
      <c r="H418" s="15">
        <f t="shared" si="13"/>
        <v>225000000000026</v>
      </c>
      <c r="I418" s="16" t="str">
        <f t="shared" si="14"/>
        <v/>
      </c>
    </row>
    <row r="419" spans="2:9" x14ac:dyDescent="0.2">
      <c r="B419" s="18">
        <f>IF(EXACT('[1]DataLookUp - InternalCareer(LP)'!$B419, ""), "", '[1]DataLookUp - InternalCareer(LP)'!$B419)</f>
        <v>164000000000416</v>
      </c>
      <c r="C419" s="18" t="str">
        <f>IF(EXACT($B419, ""), "", VLOOKUP(B419, '[1]DataLookUp - InternalCareer(LP)'!$B$4:$D$620, 3, FALSE))</f>
        <v>Sulih</v>
      </c>
      <c r="D419" s="3"/>
      <c r="E419" s="18" t="str">
        <f>IF(EXACT($D419, ""), "", VLOOKUP($D419, [2]DataLookUp!$B$4:$C$84, 2, FALSE))</f>
        <v/>
      </c>
      <c r="F419" s="3"/>
      <c r="H419" s="15">
        <f t="shared" si="13"/>
        <v>225000000000026</v>
      </c>
      <c r="I419" s="16" t="str">
        <f t="shared" si="14"/>
        <v/>
      </c>
    </row>
    <row r="420" spans="2:9" x14ac:dyDescent="0.2">
      <c r="B420" s="18">
        <f>IF(EXACT('[1]DataLookUp - InternalCareer(LP)'!$B420, ""), "", '[1]DataLookUp - InternalCareer(LP)'!$B420)</f>
        <v>164000000000417</v>
      </c>
      <c r="C420" s="18" t="str">
        <f>IF(EXACT($B420, ""), "", VLOOKUP(B420, '[1]DataLookUp - InternalCareer(LP)'!$B$4:$D$620, 3, FALSE))</f>
        <v>Sumadi</v>
      </c>
      <c r="D420" s="3"/>
      <c r="E420" s="18" t="str">
        <f>IF(EXACT($D420, ""), "", VLOOKUP($D420, [2]DataLookUp!$B$4:$C$84, 2, FALSE))</f>
        <v/>
      </c>
      <c r="F420" s="3"/>
      <c r="H420" s="15">
        <f t="shared" si="13"/>
        <v>225000000000026</v>
      </c>
      <c r="I420" s="16" t="str">
        <f t="shared" si="14"/>
        <v/>
      </c>
    </row>
    <row r="421" spans="2:9" x14ac:dyDescent="0.2">
      <c r="B421" s="18">
        <f>IF(EXACT('[1]DataLookUp - InternalCareer(LP)'!$B421, ""), "", '[1]DataLookUp - InternalCareer(LP)'!$B421)</f>
        <v>164000000000418</v>
      </c>
      <c r="C421" s="18" t="str">
        <f>IF(EXACT($B421, ""), "", VLOOKUP(B421, '[1]DataLookUp - InternalCareer(LP)'!$B$4:$D$620, 3, FALSE))</f>
        <v>Sumirat</v>
      </c>
      <c r="D421" s="3"/>
      <c r="E421" s="18" t="str">
        <f>IF(EXACT($D421, ""), "", VLOOKUP($D421, [2]DataLookUp!$B$4:$C$84, 2, FALSE))</f>
        <v/>
      </c>
      <c r="F421" s="3"/>
      <c r="H421" s="15">
        <f t="shared" si="13"/>
        <v>225000000000026</v>
      </c>
      <c r="I421" s="16" t="str">
        <f t="shared" si="14"/>
        <v/>
      </c>
    </row>
    <row r="422" spans="2:9" x14ac:dyDescent="0.2">
      <c r="B422" s="18">
        <f>IF(EXACT('[1]DataLookUp - InternalCareer(LP)'!$B422, ""), "", '[1]DataLookUp - InternalCareer(LP)'!$B422)</f>
        <v>164000000000419</v>
      </c>
      <c r="C422" s="18" t="str">
        <f>IF(EXACT($B422, ""), "", VLOOKUP(B422, '[1]DataLookUp - InternalCareer(LP)'!$B$4:$D$620, 3, FALSE))</f>
        <v>Sunaryati</v>
      </c>
      <c r="D422" s="3"/>
      <c r="E422" s="18" t="str">
        <f>IF(EXACT($D422, ""), "", VLOOKUP($D422, [2]DataLookUp!$B$4:$C$84, 2, FALSE))</f>
        <v/>
      </c>
      <c r="F422" s="3"/>
      <c r="H422" s="15">
        <f t="shared" si="13"/>
        <v>225000000000026</v>
      </c>
      <c r="I422" s="16" t="str">
        <f t="shared" si="14"/>
        <v/>
      </c>
    </row>
    <row r="423" spans="2:9" x14ac:dyDescent="0.2">
      <c r="B423" s="18">
        <f>IF(EXACT('[1]DataLookUp - InternalCareer(LP)'!$B423, ""), "", '[1]DataLookUp - InternalCareer(LP)'!$B423)</f>
        <v>164000000000420</v>
      </c>
      <c r="C423" s="18" t="str">
        <f>IF(EXACT($B423, ""), "", VLOOKUP(B423, '[1]DataLookUp - InternalCareer(LP)'!$B$4:$D$620, 3, FALSE))</f>
        <v>Supriyadi</v>
      </c>
      <c r="D423" s="3"/>
      <c r="E423" s="18" t="str">
        <f>IF(EXACT($D423, ""), "", VLOOKUP($D423, [2]DataLookUp!$B$4:$C$84, 2, FALSE))</f>
        <v/>
      </c>
      <c r="F423" s="3"/>
      <c r="H423" s="15">
        <f t="shared" si="13"/>
        <v>225000000000026</v>
      </c>
      <c r="I423" s="16" t="str">
        <f t="shared" si="14"/>
        <v/>
      </c>
    </row>
    <row r="424" spans="2:9" x14ac:dyDescent="0.2">
      <c r="B424" s="18">
        <f>IF(EXACT('[1]DataLookUp - InternalCareer(LP)'!$B424, ""), "", '[1]DataLookUp - InternalCareer(LP)'!$B424)</f>
        <v>164000000000421</v>
      </c>
      <c r="C424" s="18" t="str">
        <f>IF(EXACT($B424, ""), "", VLOOKUP(B424, '[1]DataLookUp - InternalCareer(LP)'!$B$4:$D$620, 3, FALSE))</f>
        <v>Suriono Suriono</v>
      </c>
      <c r="D424" s="3"/>
      <c r="E424" s="18" t="str">
        <f>IF(EXACT($D424, ""), "", VLOOKUP($D424, [2]DataLookUp!$B$4:$C$84, 2, FALSE))</f>
        <v/>
      </c>
      <c r="F424" s="3"/>
      <c r="H424" s="15">
        <f t="shared" si="13"/>
        <v>225000000000026</v>
      </c>
      <c r="I424" s="16" t="str">
        <f t="shared" si="14"/>
        <v/>
      </c>
    </row>
    <row r="425" spans="2:9" x14ac:dyDescent="0.2">
      <c r="B425" s="18">
        <f>IF(EXACT('[1]DataLookUp - InternalCareer(LP)'!$B425, ""), "", '[1]DataLookUp - InternalCareer(LP)'!$B425)</f>
        <v>164000000000422</v>
      </c>
      <c r="C425" s="18" t="str">
        <f>IF(EXACT($B425, ""), "", VLOOKUP(B425, '[1]DataLookUp - InternalCareer(LP)'!$B$4:$D$620, 3, FALSE))</f>
        <v>Surono</v>
      </c>
      <c r="D425" s="3"/>
      <c r="E425" s="18" t="str">
        <f>IF(EXACT($D425, ""), "", VLOOKUP($D425, [2]DataLookUp!$B$4:$C$84, 2, FALSE))</f>
        <v/>
      </c>
      <c r="F425" s="3"/>
      <c r="H425" s="15">
        <f t="shared" si="13"/>
        <v>225000000000026</v>
      </c>
      <c r="I425" s="16" t="str">
        <f t="shared" si="14"/>
        <v/>
      </c>
    </row>
    <row r="426" spans="2:9" x14ac:dyDescent="0.2">
      <c r="B426" s="18">
        <f>IF(EXACT('[1]DataLookUp - InternalCareer(LP)'!$B426, ""), "", '[1]DataLookUp - InternalCareer(LP)'!$B426)</f>
        <v>164000000000423</v>
      </c>
      <c r="C426" s="18" t="str">
        <f>IF(EXACT($B426, ""), "", VLOOKUP(B426, '[1]DataLookUp - InternalCareer(LP)'!$B$4:$D$620, 3, FALSE))</f>
        <v>Surtoyo Syukri</v>
      </c>
      <c r="D426" s="3"/>
      <c r="E426" s="18" t="str">
        <f>IF(EXACT($D426, ""), "", VLOOKUP($D426, [2]DataLookUp!$B$4:$C$84, 2, FALSE))</f>
        <v/>
      </c>
      <c r="F426" s="3"/>
      <c r="H426" s="15">
        <f t="shared" si="13"/>
        <v>225000000000026</v>
      </c>
      <c r="I426" s="16" t="str">
        <f t="shared" si="14"/>
        <v/>
      </c>
    </row>
    <row r="427" spans="2:9" x14ac:dyDescent="0.2">
      <c r="B427" s="18">
        <f>IF(EXACT('[1]DataLookUp - InternalCareer(LP)'!$B427, ""), "", '[1]DataLookUp - InternalCareer(LP)'!$B427)</f>
        <v>164000000000424</v>
      </c>
      <c r="C427" s="18" t="str">
        <f>IF(EXACT($B427, ""), "", VLOOKUP(B427, '[1]DataLookUp - InternalCareer(LP)'!$B$4:$D$620, 3, FALSE))</f>
        <v>Suryadi</v>
      </c>
      <c r="D427" s="3"/>
      <c r="E427" s="18" t="str">
        <f>IF(EXACT($D427, ""), "", VLOOKUP($D427, [2]DataLookUp!$B$4:$C$84, 2, FALSE))</f>
        <v/>
      </c>
      <c r="F427" s="3"/>
      <c r="H427" s="15">
        <f t="shared" si="13"/>
        <v>225000000000026</v>
      </c>
      <c r="I427" s="16" t="str">
        <f t="shared" si="14"/>
        <v/>
      </c>
    </row>
    <row r="428" spans="2:9" x14ac:dyDescent="0.2">
      <c r="B428" s="18">
        <f>IF(EXACT('[1]DataLookUp - InternalCareer(LP)'!$B428, ""), "", '[1]DataLookUp - InternalCareer(LP)'!$B428)</f>
        <v>164000000000425</v>
      </c>
      <c r="C428" s="18" t="str">
        <f>IF(EXACT($B428, ""), "", VLOOKUP(B428, '[1]DataLookUp - InternalCareer(LP)'!$B$4:$D$620, 3, FALSE))</f>
        <v>Susilawati</v>
      </c>
      <c r="D428" s="3"/>
      <c r="E428" s="18" t="str">
        <f>IF(EXACT($D428, ""), "", VLOOKUP($D428, [2]DataLookUp!$B$4:$C$84, 2, FALSE))</f>
        <v/>
      </c>
      <c r="F428" s="3"/>
      <c r="H428" s="15">
        <f t="shared" si="13"/>
        <v>225000000000026</v>
      </c>
      <c r="I428" s="16" t="str">
        <f t="shared" si="14"/>
        <v/>
      </c>
    </row>
    <row r="429" spans="2:9" x14ac:dyDescent="0.2">
      <c r="B429" s="18">
        <f>IF(EXACT('[1]DataLookUp - InternalCareer(LP)'!$B429, ""), "", '[1]DataLookUp - InternalCareer(LP)'!$B429)</f>
        <v>164000000000426</v>
      </c>
      <c r="C429" s="18" t="str">
        <f>IF(EXACT($B429, ""), "", VLOOKUP(B429, '[1]DataLookUp - InternalCareer(LP)'!$B$4:$D$620, 3, FALSE))</f>
        <v>Sutarno</v>
      </c>
      <c r="D429" s="3"/>
      <c r="E429" s="18" t="str">
        <f>IF(EXACT($D429, ""), "", VLOOKUP($D429, [2]DataLookUp!$B$4:$C$84, 2, FALSE))</f>
        <v/>
      </c>
      <c r="F429" s="3"/>
      <c r="H429" s="15">
        <f t="shared" si="13"/>
        <v>225000000000026</v>
      </c>
      <c r="I429" s="16" t="str">
        <f t="shared" si="14"/>
        <v/>
      </c>
    </row>
    <row r="430" spans="2:9" x14ac:dyDescent="0.2">
      <c r="B430" s="18">
        <f>IF(EXACT('[1]DataLookUp - InternalCareer(LP)'!$B430, ""), "", '[1]DataLookUp - InternalCareer(LP)'!$B430)</f>
        <v>164000000000427</v>
      </c>
      <c r="C430" s="18" t="str">
        <f>IF(EXACT($B430, ""), "", VLOOKUP(B430, '[1]DataLookUp - InternalCareer(LP)'!$B$4:$D$620, 3, FALSE))</f>
        <v>Sutra Riandi</v>
      </c>
      <c r="D430" s="3"/>
      <c r="E430" s="18" t="str">
        <f>IF(EXACT($D430, ""), "", VLOOKUP($D430, [2]DataLookUp!$B$4:$C$84, 2, FALSE))</f>
        <v/>
      </c>
      <c r="F430" s="3"/>
      <c r="H430" s="15">
        <f t="shared" si="13"/>
        <v>225000000000026</v>
      </c>
      <c r="I430" s="16" t="str">
        <f t="shared" si="14"/>
        <v/>
      </c>
    </row>
    <row r="431" spans="2:9" x14ac:dyDescent="0.2">
      <c r="B431" s="18">
        <f>IF(EXACT('[1]DataLookUp - InternalCareer(LP)'!$B431, ""), "", '[1]DataLookUp - InternalCareer(LP)'!$B431)</f>
        <v>164000000000428</v>
      </c>
      <c r="C431" s="18" t="str">
        <f>IF(EXACT($B431, ""), "", VLOOKUP(B431, '[1]DataLookUp - InternalCareer(LP)'!$B$4:$D$620, 3, FALSE))</f>
        <v>Suyanto</v>
      </c>
      <c r="D431" s="3">
        <f>[2]MAIN!$D$50</f>
        <v>95000000000039</v>
      </c>
      <c r="E431" s="18" t="str">
        <f>IF(EXACT($D431, ""), "", VLOOKUP($D431, [2]DataLookUp!$B$4:$C$84, 2, FALSE))</f>
        <v>IT Software Engineer Staff</v>
      </c>
      <c r="F431" s="3"/>
      <c r="H431" s="15">
        <f t="shared" si="13"/>
        <v>225000000000027</v>
      </c>
      <c r="I431" s="16" t="str">
        <f t="shared" si="14"/>
        <v>PERFORM "SchData-OLTP-HumanResource"."Func_TblMapper_WorkerCareerInternalToUserRole_SET"(varSystemLoginSession, null::bigint, null::varchar, null::timestamptz, null::timestamptz, null::varchar, varInstitutionBranchID, varBaseCurrencyID, 164000000000428::bigint, 95000000000039::bigint, null::bigint);</v>
      </c>
    </row>
    <row r="432" spans="2:9" x14ac:dyDescent="0.2">
      <c r="B432" s="18">
        <f>IF(EXACT('[1]DataLookUp - InternalCareer(LP)'!$B432, ""), "", '[1]DataLookUp - InternalCareer(LP)'!$B432)</f>
        <v>164000000000429</v>
      </c>
      <c r="C432" s="18" t="str">
        <f>IF(EXACT($B432, ""), "", VLOOKUP(B432, '[1]DataLookUp - InternalCareer(LP)'!$B$4:$D$620, 3, FALSE))</f>
        <v>Swar Jono</v>
      </c>
      <c r="D432" s="3"/>
      <c r="E432" s="18" t="str">
        <f>IF(EXACT($D432, ""), "", VLOOKUP($D432, [2]DataLookUp!$B$4:$C$84, 2, FALSE))</f>
        <v/>
      </c>
      <c r="F432" s="3"/>
      <c r="H432" s="15">
        <f t="shared" si="13"/>
        <v>225000000000027</v>
      </c>
      <c r="I432" s="16" t="str">
        <f t="shared" si="14"/>
        <v/>
      </c>
    </row>
    <row r="433" spans="2:9" x14ac:dyDescent="0.2">
      <c r="B433" s="18">
        <f>IF(EXACT('[1]DataLookUp - InternalCareer(LP)'!$B433, ""), "", '[1]DataLookUp - InternalCareer(LP)'!$B433)</f>
        <v>164000000000430</v>
      </c>
      <c r="C433" s="18" t="str">
        <f>IF(EXACT($B433, ""), "", VLOOKUP(B433, '[1]DataLookUp - InternalCareer(LP)'!$B$4:$D$620, 3, FALSE))</f>
        <v>Syafruddin</v>
      </c>
      <c r="D433" s="3"/>
      <c r="E433" s="18" t="str">
        <f>IF(EXACT($D433, ""), "", VLOOKUP($D433, [2]DataLookUp!$B$4:$C$84, 2, FALSE))</f>
        <v/>
      </c>
      <c r="F433" s="3"/>
      <c r="H433" s="15">
        <f t="shared" si="13"/>
        <v>225000000000027</v>
      </c>
      <c r="I433" s="16" t="str">
        <f t="shared" si="14"/>
        <v/>
      </c>
    </row>
    <row r="434" spans="2:9" x14ac:dyDescent="0.2">
      <c r="B434" s="18">
        <f>IF(EXACT('[1]DataLookUp - InternalCareer(LP)'!$B434, ""), "", '[1]DataLookUp - InternalCareer(LP)'!$B434)</f>
        <v>164000000000431</v>
      </c>
      <c r="C434" s="18" t="str">
        <f>IF(EXACT($B434, ""), "", VLOOKUP(B434, '[1]DataLookUp - InternalCareer(LP)'!$B$4:$D$620, 3, FALSE))</f>
        <v>Syafrudin Machmud</v>
      </c>
      <c r="D434" s="3"/>
      <c r="E434" s="18" t="str">
        <f>IF(EXACT($D434, ""), "", VLOOKUP($D434, [2]DataLookUp!$B$4:$C$84, 2, FALSE))</f>
        <v/>
      </c>
      <c r="F434" s="3"/>
      <c r="H434" s="15">
        <f t="shared" si="13"/>
        <v>225000000000027</v>
      </c>
      <c r="I434" s="16" t="str">
        <f t="shared" si="14"/>
        <v/>
      </c>
    </row>
    <row r="435" spans="2:9" x14ac:dyDescent="0.2">
      <c r="B435" s="18">
        <f>IF(EXACT('[1]DataLookUp - InternalCareer(LP)'!$B435, ""), "", '[1]DataLookUp - InternalCareer(LP)'!$B435)</f>
        <v>164000000000432</v>
      </c>
      <c r="C435" s="18" t="str">
        <f>IF(EXACT($B435, ""), "", VLOOKUP(B435, '[1]DataLookUp - InternalCareer(LP)'!$B$4:$D$620, 3, FALSE))</f>
        <v>Syahrizal</v>
      </c>
      <c r="D435" s="3"/>
      <c r="E435" s="18" t="str">
        <f>IF(EXACT($D435, ""), "", VLOOKUP($D435, [2]DataLookUp!$B$4:$C$84, 2, FALSE))</f>
        <v/>
      </c>
      <c r="F435" s="3"/>
      <c r="H435" s="15">
        <f t="shared" si="13"/>
        <v>225000000000027</v>
      </c>
      <c r="I435" s="16" t="str">
        <f t="shared" si="14"/>
        <v/>
      </c>
    </row>
    <row r="436" spans="2:9" x14ac:dyDescent="0.2">
      <c r="B436" s="18">
        <f>IF(EXACT('[1]DataLookUp - InternalCareer(LP)'!$B436, ""), "", '[1]DataLookUp - InternalCareer(LP)'!$B436)</f>
        <v>164000000000433</v>
      </c>
      <c r="C436" s="18" t="str">
        <f>IF(EXACT($B436, ""), "", VLOOKUP(B436, '[1]DataLookUp - InternalCareer(LP)'!$B$4:$D$620, 3, FALSE))</f>
        <v>Syaiful Idjam</v>
      </c>
      <c r="D436" s="3"/>
      <c r="E436" s="18" t="str">
        <f>IF(EXACT($D436, ""), "", VLOOKUP($D436, [2]DataLookUp!$B$4:$C$84, 2, FALSE))</f>
        <v/>
      </c>
      <c r="F436" s="3"/>
      <c r="H436" s="15">
        <f t="shared" si="13"/>
        <v>225000000000027</v>
      </c>
      <c r="I436" s="16" t="str">
        <f t="shared" si="14"/>
        <v/>
      </c>
    </row>
    <row r="437" spans="2:9" x14ac:dyDescent="0.2">
      <c r="B437" s="18">
        <f>IF(EXACT('[1]DataLookUp - InternalCareer(LP)'!$B437, ""), "", '[1]DataLookUp - InternalCareer(LP)'!$B437)</f>
        <v>164000000000434</v>
      </c>
      <c r="C437" s="18" t="str">
        <f>IF(EXACT($B437, ""), "", VLOOKUP(B437, '[1]DataLookUp - InternalCareer(LP)'!$B$4:$D$620, 3, FALSE))</f>
        <v>Tajuddin Assubki Ismail</v>
      </c>
      <c r="D437" s="3"/>
      <c r="E437" s="18" t="str">
        <f>IF(EXACT($D437, ""), "", VLOOKUP($D437, [2]DataLookUp!$B$4:$C$84, 2, FALSE))</f>
        <v/>
      </c>
      <c r="F437" s="3"/>
      <c r="H437" s="15">
        <f t="shared" si="13"/>
        <v>225000000000027</v>
      </c>
      <c r="I437" s="16" t="str">
        <f t="shared" si="14"/>
        <v/>
      </c>
    </row>
    <row r="438" spans="2:9" x14ac:dyDescent="0.2">
      <c r="B438" s="18">
        <f>IF(EXACT('[1]DataLookUp - InternalCareer(LP)'!$B438, ""), "", '[1]DataLookUp - InternalCareer(LP)'!$B438)</f>
        <v>164000000000435</v>
      </c>
      <c r="C438" s="18" t="str">
        <f>IF(EXACT($B438, ""), "", VLOOKUP(B438, '[1]DataLookUp - InternalCareer(LP)'!$B$4:$D$620, 3, FALSE))</f>
        <v>Taslim</v>
      </c>
      <c r="D438" s="3"/>
      <c r="E438" s="18" t="str">
        <f>IF(EXACT($D438, ""), "", VLOOKUP($D438, [2]DataLookUp!$B$4:$C$84, 2, FALSE))</f>
        <v/>
      </c>
      <c r="F438" s="3"/>
      <c r="H438" s="15">
        <f t="shared" si="13"/>
        <v>225000000000027</v>
      </c>
      <c r="I438" s="16" t="str">
        <f t="shared" si="14"/>
        <v/>
      </c>
    </row>
    <row r="439" spans="2:9" x14ac:dyDescent="0.2">
      <c r="B439" s="18">
        <f>IF(EXACT('[1]DataLookUp - InternalCareer(LP)'!$B439, ""), "", '[1]DataLookUp - InternalCareer(LP)'!$B439)</f>
        <v>164000000000436</v>
      </c>
      <c r="C439" s="18" t="str">
        <f>IF(EXACT($B439, ""), "", VLOOKUP(B439, '[1]DataLookUp - InternalCareer(LP)'!$B$4:$D$620, 3, FALSE))</f>
        <v>Taufik Mulia Pane</v>
      </c>
      <c r="D439" s="3"/>
      <c r="E439" s="18" t="str">
        <f>IF(EXACT($D439, ""), "", VLOOKUP($D439, [2]DataLookUp!$B$4:$C$84, 2, FALSE))</f>
        <v/>
      </c>
      <c r="F439" s="3"/>
      <c r="H439" s="15">
        <f t="shared" si="13"/>
        <v>225000000000027</v>
      </c>
      <c r="I439" s="16" t="str">
        <f t="shared" si="14"/>
        <v/>
      </c>
    </row>
    <row r="440" spans="2:9" x14ac:dyDescent="0.2">
      <c r="B440" s="18">
        <f>IF(EXACT('[1]DataLookUp - InternalCareer(LP)'!$B440, ""), "", '[1]DataLookUp - InternalCareer(LP)'!$B440)</f>
        <v>164000000000437</v>
      </c>
      <c r="C440" s="18" t="str">
        <f>IF(EXACT($B440, ""), "", VLOOKUP(B440, '[1]DataLookUp - InternalCareer(LP)'!$B$4:$D$620, 3, FALSE))</f>
        <v>Tedy Harseno</v>
      </c>
      <c r="D440" s="3"/>
      <c r="E440" s="18" t="str">
        <f>IF(EXACT($D440, ""), "", VLOOKUP($D440, [2]DataLookUp!$B$4:$C$84, 2, FALSE))</f>
        <v/>
      </c>
      <c r="F440" s="3"/>
      <c r="H440" s="15">
        <f t="shared" si="13"/>
        <v>225000000000027</v>
      </c>
      <c r="I440" s="16" t="str">
        <f t="shared" si="14"/>
        <v/>
      </c>
    </row>
    <row r="441" spans="2:9" x14ac:dyDescent="0.2">
      <c r="B441" s="18">
        <f>IF(EXACT('[1]DataLookUp - InternalCareer(LP)'!$B441, ""), "", '[1]DataLookUp - InternalCareer(LP)'!$B441)</f>
        <v>164000000000438</v>
      </c>
      <c r="C441" s="18" t="str">
        <f>IF(EXACT($B441, ""), "", VLOOKUP(B441, '[1]DataLookUp - InternalCareer(LP)'!$B$4:$D$620, 3, FALSE))</f>
        <v>Teguh Joko Pamuji</v>
      </c>
      <c r="D441" s="3"/>
      <c r="E441" s="18" t="str">
        <f>IF(EXACT($D441, ""), "", VLOOKUP($D441, [2]DataLookUp!$B$4:$C$84, 2, FALSE))</f>
        <v/>
      </c>
      <c r="F441" s="3"/>
      <c r="H441" s="15">
        <f t="shared" si="13"/>
        <v>225000000000027</v>
      </c>
      <c r="I441" s="16" t="str">
        <f t="shared" si="14"/>
        <v/>
      </c>
    </row>
    <row r="442" spans="2:9" x14ac:dyDescent="0.2">
      <c r="B442" s="18">
        <f>IF(EXACT('[1]DataLookUp - InternalCareer(LP)'!$B442, ""), "", '[1]DataLookUp - InternalCareer(LP)'!$B442)</f>
        <v>164000000000439</v>
      </c>
      <c r="C442" s="18" t="str">
        <f>IF(EXACT($B442, ""), "", VLOOKUP(B442, '[1]DataLookUp - InternalCareer(LP)'!$B$4:$D$620, 3, FALSE))</f>
        <v>Teguh Pratama Januzir Sukin</v>
      </c>
      <c r="D442" s="3">
        <f>[2]MAIN!$D$46</f>
        <v>95000000000035</v>
      </c>
      <c r="E442" s="18" t="str">
        <f>IF(EXACT($D442, ""), "", VLOOKUP($D442, [2]DataLookUp!$B$4:$C$84, 2, FALSE))</f>
        <v>IT System Manager</v>
      </c>
      <c r="F442" s="3"/>
      <c r="H442" s="15">
        <f t="shared" si="13"/>
        <v>225000000000028</v>
      </c>
      <c r="I442" s="16" t="str">
        <f t="shared" si="14"/>
        <v>PERFORM "SchData-OLTP-HumanResource"."Func_TblMapper_WorkerCareerInternalToUserRole_SET"(varSystemLoginSession, null::bigint, null::varchar, null::timestamptz, null::timestamptz, null::varchar, varInstitutionBranchID, varBaseCurrencyID, 164000000000439::bigint, 95000000000035::bigint, null::bigint);</v>
      </c>
    </row>
    <row r="443" spans="2:9" x14ac:dyDescent="0.2">
      <c r="B443" s="18">
        <f>IF(EXACT('[1]DataLookUp - InternalCareer(LP)'!$B443, ""), "", '[1]DataLookUp - InternalCareer(LP)'!$B443)</f>
        <v>164000000000440</v>
      </c>
      <c r="C443" s="18" t="str">
        <f>IF(EXACT($B443, ""), "", VLOOKUP(B443, '[1]DataLookUp - InternalCareer(LP)'!$B$4:$D$620, 3, FALSE))</f>
        <v>Teguh Susanto</v>
      </c>
      <c r="D443" s="3"/>
      <c r="E443" s="18" t="str">
        <f>IF(EXACT($D443, ""), "", VLOOKUP($D443, [2]DataLookUp!$B$4:$C$84, 2, FALSE))</f>
        <v/>
      </c>
      <c r="F443" s="3"/>
      <c r="H443" s="15">
        <f t="shared" si="13"/>
        <v>225000000000028</v>
      </c>
      <c r="I443" s="16" t="str">
        <f t="shared" si="14"/>
        <v/>
      </c>
    </row>
    <row r="444" spans="2:9" x14ac:dyDescent="0.2">
      <c r="B444" s="18">
        <f>IF(EXACT('[1]DataLookUp - InternalCareer(LP)'!$B444, ""), "", '[1]DataLookUp - InternalCareer(LP)'!$B444)</f>
        <v>164000000000441</v>
      </c>
      <c r="C444" s="18" t="str">
        <f>IF(EXACT($B444, ""), "", VLOOKUP(B444, '[1]DataLookUp - InternalCareer(LP)'!$B$4:$D$620, 3, FALSE))</f>
        <v>Tenri Sumange</v>
      </c>
      <c r="D444" s="3"/>
      <c r="E444" s="18" t="str">
        <f>IF(EXACT($D444, ""), "", VLOOKUP($D444, [2]DataLookUp!$B$4:$C$84, 2, FALSE))</f>
        <v/>
      </c>
      <c r="F444" s="3"/>
      <c r="H444" s="15">
        <f t="shared" si="13"/>
        <v>225000000000028</v>
      </c>
      <c r="I444" s="16" t="str">
        <f t="shared" si="14"/>
        <v/>
      </c>
    </row>
    <row r="445" spans="2:9" x14ac:dyDescent="0.2">
      <c r="B445" s="18">
        <f>IF(EXACT('[1]DataLookUp - InternalCareer(LP)'!$B445, ""), "", '[1]DataLookUp - InternalCareer(LP)'!$B445)</f>
        <v>164000000000442</v>
      </c>
      <c r="C445" s="18" t="str">
        <f>IF(EXACT($B445, ""), "", VLOOKUP(B445, '[1]DataLookUp - InternalCareer(LP)'!$B$4:$D$620, 3, FALSE))</f>
        <v>Teuku Zulkifli</v>
      </c>
      <c r="D445" s="3"/>
      <c r="E445" s="18" t="str">
        <f>IF(EXACT($D445, ""), "", VLOOKUP($D445, [2]DataLookUp!$B$4:$C$84, 2, FALSE))</f>
        <v/>
      </c>
      <c r="F445" s="3"/>
      <c r="H445" s="15">
        <f t="shared" si="13"/>
        <v>225000000000028</v>
      </c>
      <c r="I445" s="16" t="str">
        <f t="shared" si="14"/>
        <v/>
      </c>
    </row>
    <row r="446" spans="2:9" x14ac:dyDescent="0.2">
      <c r="B446" s="18">
        <f>IF(EXACT('[1]DataLookUp - InternalCareer(LP)'!$B446, ""), "", '[1]DataLookUp - InternalCareer(LP)'!$B446)</f>
        <v>164000000000443</v>
      </c>
      <c r="C446" s="18" t="str">
        <f>IF(EXACT($B446, ""), "", VLOOKUP(B446, '[1]DataLookUp - InternalCareer(LP)'!$B$4:$D$620, 3, FALSE))</f>
        <v>Tiara Kemalasari</v>
      </c>
      <c r="D446" s="3"/>
      <c r="E446" s="18" t="str">
        <f>IF(EXACT($D446, ""), "", VLOOKUP($D446, [2]DataLookUp!$B$4:$C$84, 2, FALSE))</f>
        <v/>
      </c>
      <c r="F446" s="3"/>
      <c r="H446" s="15">
        <f t="shared" si="13"/>
        <v>225000000000028</v>
      </c>
      <c r="I446" s="16" t="str">
        <f t="shared" si="14"/>
        <v/>
      </c>
    </row>
    <row r="447" spans="2:9" x14ac:dyDescent="0.2">
      <c r="B447" s="18">
        <f>IF(EXACT('[1]DataLookUp - InternalCareer(LP)'!$B447, ""), "", '[1]DataLookUp - InternalCareer(LP)'!$B447)</f>
        <v>164000000000444</v>
      </c>
      <c r="C447" s="18" t="str">
        <f>IF(EXACT($B447, ""), "", VLOOKUP(B447, '[1]DataLookUp - InternalCareer(LP)'!$B$4:$D$620, 3, FALSE))</f>
        <v>Tjhang Linawati</v>
      </c>
      <c r="D447" s="3"/>
      <c r="E447" s="18" t="str">
        <f>IF(EXACT($D447, ""), "", VLOOKUP($D447, [2]DataLookUp!$B$4:$C$84, 2, FALSE))</f>
        <v/>
      </c>
      <c r="F447" s="3"/>
      <c r="H447" s="15">
        <f t="shared" si="13"/>
        <v>225000000000028</v>
      </c>
      <c r="I447" s="16" t="str">
        <f t="shared" si="14"/>
        <v/>
      </c>
    </row>
    <row r="448" spans="2:9" x14ac:dyDescent="0.2">
      <c r="B448" s="18">
        <f>IF(EXACT('[1]DataLookUp - InternalCareer(LP)'!$B448, ""), "", '[1]DataLookUp - InternalCareer(LP)'!$B448)</f>
        <v>164000000000445</v>
      </c>
      <c r="C448" s="18" t="str">
        <f>IF(EXACT($B448, ""), "", VLOOKUP(B448, '[1]DataLookUp - InternalCareer(LP)'!$B$4:$D$620, 3, FALSE))</f>
        <v>Totok Kristianto</v>
      </c>
      <c r="D448" s="3"/>
      <c r="E448" s="18" t="str">
        <f>IF(EXACT($D448, ""), "", VLOOKUP($D448, [2]DataLookUp!$B$4:$C$84, 2, FALSE))</f>
        <v/>
      </c>
      <c r="F448" s="3"/>
      <c r="H448" s="15">
        <f t="shared" si="13"/>
        <v>225000000000028</v>
      </c>
      <c r="I448" s="16" t="str">
        <f t="shared" si="14"/>
        <v/>
      </c>
    </row>
    <row r="449" spans="2:9" x14ac:dyDescent="0.2">
      <c r="B449" s="18">
        <f>IF(EXACT('[1]DataLookUp - InternalCareer(LP)'!$B449, ""), "", '[1]DataLookUp - InternalCareer(LP)'!$B449)</f>
        <v>164000000000446</v>
      </c>
      <c r="C449" s="18" t="str">
        <f>IF(EXACT($B449, ""), "", VLOOKUP(B449, '[1]DataLookUp - InternalCareer(LP)'!$B$4:$D$620, 3, FALSE))</f>
        <v>Tri Aji</v>
      </c>
      <c r="D449" s="3"/>
      <c r="E449" s="18" t="str">
        <f>IF(EXACT($D449, ""), "", VLOOKUP($D449, [2]DataLookUp!$B$4:$C$84, 2, FALSE))</f>
        <v/>
      </c>
      <c r="F449" s="3"/>
      <c r="H449" s="15">
        <f t="shared" si="13"/>
        <v>225000000000028</v>
      </c>
      <c r="I449" s="16" t="str">
        <f t="shared" si="14"/>
        <v/>
      </c>
    </row>
    <row r="450" spans="2:9" x14ac:dyDescent="0.2">
      <c r="B450" s="18">
        <f>IF(EXACT('[1]DataLookUp - InternalCareer(LP)'!$B450, ""), "", '[1]DataLookUp - InternalCareer(LP)'!$B450)</f>
        <v>164000000000447</v>
      </c>
      <c r="C450" s="18" t="str">
        <f>IF(EXACT($B450, ""), "", VLOOKUP(B450, '[1]DataLookUp - InternalCareer(LP)'!$B$4:$D$620, 3, FALSE))</f>
        <v>Tri M. Saputra</v>
      </c>
      <c r="D450" s="3"/>
      <c r="E450" s="18" t="str">
        <f>IF(EXACT($D450, ""), "", VLOOKUP($D450, [2]DataLookUp!$B$4:$C$84, 2, FALSE))</f>
        <v/>
      </c>
      <c r="F450" s="3"/>
      <c r="H450" s="15">
        <f t="shared" si="13"/>
        <v>225000000000028</v>
      </c>
      <c r="I450" s="16" t="str">
        <f t="shared" si="14"/>
        <v/>
      </c>
    </row>
    <row r="451" spans="2:9" x14ac:dyDescent="0.2">
      <c r="B451" s="18">
        <f>IF(EXACT('[1]DataLookUp - InternalCareer(LP)'!$B451, ""), "", '[1]DataLookUp - InternalCareer(LP)'!$B451)</f>
        <v>164000000000448</v>
      </c>
      <c r="C451" s="18" t="str">
        <f>IF(EXACT($B451, ""), "", VLOOKUP(B451, '[1]DataLookUp - InternalCareer(LP)'!$B$4:$D$620, 3, FALSE))</f>
        <v>Triani Irma</v>
      </c>
      <c r="D451" s="3"/>
      <c r="E451" s="18" t="str">
        <f>IF(EXACT($D451, ""), "", VLOOKUP($D451, [2]DataLookUp!$B$4:$C$84, 2, FALSE))</f>
        <v/>
      </c>
      <c r="F451" s="3"/>
      <c r="H451" s="15">
        <f t="shared" si="13"/>
        <v>225000000000028</v>
      </c>
      <c r="I451" s="16" t="str">
        <f t="shared" si="14"/>
        <v/>
      </c>
    </row>
    <row r="452" spans="2:9" x14ac:dyDescent="0.2">
      <c r="B452" s="18">
        <f>IF(EXACT('[1]DataLookUp - InternalCareer(LP)'!$B452, ""), "", '[1]DataLookUp - InternalCareer(LP)'!$B452)</f>
        <v>164000000000449</v>
      </c>
      <c r="C452" s="18" t="str">
        <f>IF(EXACT($B452, ""), "", VLOOKUP(B452, '[1]DataLookUp - InternalCareer(LP)'!$B$4:$D$620, 3, FALSE))</f>
        <v>Trisyanto</v>
      </c>
      <c r="D452" s="3"/>
      <c r="E452" s="18" t="str">
        <f>IF(EXACT($D452, ""), "", VLOOKUP($D452, [2]DataLookUp!$B$4:$C$84, 2, FALSE))</f>
        <v/>
      </c>
      <c r="F452" s="3"/>
      <c r="H452" s="15">
        <f t="shared" si="13"/>
        <v>225000000000028</v>
      </c>
      <c r="I452" s="16" t="str">
        <f t="shared" si="14"/>
        <v/>
      </c>
    </row>
    <row r="453" spans="2:9" x14ac:dyDescent="0.2">
      <c r="B453" s="18">
        <f>IF(EXACT('[1]DataLookUp - InternalCareer(LP)'!$B453, ""), "", '[1]DataLookUp - InternalCareer(LP)'!$B453)</f>
        <v>164000000000450</v>
      </c>
      <c r="C453" s="18" t="str">
        <f>IF(EXACT($B453, ""), "", VLOOKUP(B453, '[1]DataLookUp - InternalCareer(LP)'!$B$4:$D$620, 3, FALSE))</f>
        <v>Triwiarti Dibya</v>
      </c>
      <c r="D453" s="3"/>
      <c r="E453" s="18" t="str">
        <f>IF(EXACT($D453, ""), "", VLOOKUP($D453, [2]DataLookUp!$B$4:$C$84, 2, FALSE))</f>
        <v/>
      </c>
      <c r="F453" s="3"/>
      <c r="H453" s="15">
        <f t="shared" si="13"/>
        <v>225000000000028</v>
      </c>
      <c r="I453" s="16" t="str">
        <f t="shared" si="14"/>
        <v/>
      </c>
    </row>
    <row r="454" spans="2:9" x14ac:dyDescent="0.2">
      <c r="B454" s="18">
        <f>IF(EXACT('[1]DataLookUp - InternalCareer(LP)'!$B454, ""), "", '[1]DataLookUp - InternalCareer(LP)'!$B454)</f>
        <v>164000000000451</v>
      </c>
      <c r="C454" s="18" t="str">
        <f>IF(EXACT($B454, ""), "", VLOOKUP(B454, '[1]DataLookUp - InternalCareer(LP)'!$B$4:$D$620, 3, FALSE))</f>
        <v>Triyono</v>
      </c>
      <c r="D454" s="3"/>
      <c r="E454" s="18" t="str">
        <f>IF(EXACT($D454, ""), "", VLOOKUP($D454, [2]DataLookUp!$B$4:$C$84, 2, FALSE))</f>
        <v/>
      </c>
      <c r="F454" s="3"/>
      <c r="H454" s="15">
        <f t="shared" ref="H454:H517" si="15" xml:space="preserve"> H453 + IF(EXACT(I454, ""), 0, 1)</f>
        <v>225000000000028</v>
      </c>
      <c r="I454" s="16" t="str">
        <f t="shared" si="14"/>
        <v/>
      </c>
    </row>
    <row r="455" spans="2:9" x14ac:dyDescent="0.2">
      <c r="B455" s="18">
        <f>IF(EXACT('[1]DataLookUp - InternalCareer(LP)'!$B455, ""), "", '[1]DataLookUp - InternalCareer(LP)'!$B455)</f>
        <v>164000000000452</v>
      </c>
      <c r="C455" s="18" t="str">
        <f>IF(EXACT($B455, ""), "", VLOOKUP(B455, '[1]DataLookUp - InternalCareer(LP)'!$B$4:$D$620, 3, FALSE))</f>
        <v>Turita Pramuning Marantina</v>
      </c>
      <c r="D455" s="3">
        <f>[2]MAIN!$D$56</f>
        <v>95000000000043</v>
      </c>
      <c r="E455" s="18" t="str">
        <f>IF(EXACT($D455, ""), "", VLOOKUP($D455, [2]DataLookUp!$B$4:$C$84, 2, FALSE))</f>
        <v>Sales Manager</v>
      </c>
      <c r="F455" s="3"/>
      <c r="H455" s="15">
        <f t="shared" si="15"/>
        <v>225000000000029</v>
      </c>
      <c r="I455" s="16" t="str">
        <f t="shared" si="14"/>
        <v>PERFORM "SchData-OLTP-HumanResource"."Func_TblMapper_WorkerCareerInternalToUserRole_SET"(varSystemLoginSession, null::bigint, null::varchar, null::timestamptz, null::timestamptz, null::varchar, varInstitutionBranchID, varBaseCurrencyID, 164000000000452::bigint, 95000000000043::bigint, null::bigint);</v>
      </c>
    </row>
    <row r="456" spans="2:9" x14ac:dyDescent="0.2">
      <c r="B456" s="18">
        <f>IF(EXACT('[1]DataLookUp - InternalCareer(LP)'!$B456, ""), "", '[1]DataLookUp - InternalCareer(LP)'!$B456)</f>
        <v>164000000000453</v>
      </c>
      <c r="C456" s="18" t="str">
        <f>IF(EXACT($B456, ""), "", VLOOKUP(B456, '[1]DataLookUp - InternalCareer(LP)'!$B$4:$D$620, 3, FALSE))</f>
        <v>Tutus Ary</v>
      </c>
      <c r="D456" s="3"/>
      <c r="E456" s="18" t="str">
        <f>IF(EXACT($D456, ""), "", VLOOKUP($D456, [2]DataLookUp!$B$4:$C$84, 2, FALSE))</f>
        <v/>
      </c>
      <c r="F456" s="3"/>
      <c r="H456" s="15">
        <f t="shared" si="15"/>
        <v>225000000000029</v>
      </c>
      <c r="I456" s="16" t="str">
        <f t="shared" si="14"/>
        <v/>
      </c>
    </row>
    <row r="457" spans="2:9" x14ac:dyDescent="0.2">
      <c r="B457" s="18">
        <f>IF(EXACT('[1]DataLookUp - InternalCareer(LP)'!$B457, ""), "", '[1]DataLookUp - InternalCareer(LP)'!$B457)</f>
        <v>164000000000454</v>
      </c>
      <c r="C457" s="18" t="str">
        <f>IF(EXACT($B457, ""), "", VLOOKUP(B457, '[1]DataLookUp - InternalCareer(LP)'!$B$4:$D$620, 3, FALSE))</f>
        <v>Ubaidillah</v>
      </c>
      <c r="D457" s="3"/>
      <c r="E457" s="18" t="str">
        <f>IF(EXACT($D457, ""), "", VLOOKUP($D457, [2]DataLookUp!$B$4:$C$84, 2, FALSE))</f>
        <v/>
      </c>
      <c r="F457" s="3"/>
      <c r="H457" s="15">
        <f t="shared" si="15"/>
        <v>225000000000029</v>
      </c>
      <c r="I457" s="16" t="str">
        <f t="shared" si="14"/>
        <v/>
      </c>
    </row>
    <row r="458" spans="2:9" x14ac:dyDescent="0.2">
      <c r="B458" s="18">
        <f>IF(EXACT('[1]DataLookUp - InternalCareer(LP)'!$B458, ""), "", '[1]DataLookUp - InternalCareer(LP)'!$B458)</f>
        <v>164000000000455</v>
      </c>
      <c r="C458" s="18" t="str">
        <f>IF(EXACT($B458, ""), "", VLOOKUP(B458, '[1]DataLookUp - InternalCareer(LP)'!$B$4:$D$620, 3, FALSE))</f>
        <v>Ujang Barma</v>
      </c>
      <c r="D458" s="3"/>
      <c r="E458" s="18" t="str">
        <f>IF(EXACT($D458, ""), "", VLOOKUP($D458, [2]DataLookUp!$B$4:$C$84, 2, FALSE))</f>
        <v/>
      </c>
      <c r="F458" s="3"/>
      <c r="H458" s="15">
        <f t="shared" si="15"/>
        <v>225000000000029</v>
      </c>
      <c r="I458" s="16" t="str">
        <f t="shared" si="14"/>
        <v/>
      </c>
    </row>
    <row r="459" spans="2:9" x14ac:dyDescent="0.2">
      <c r="B459" s="18">
        <f>IF(EXACT('[1]DataLookUp - InternalCareer(LP)'!$B459, ""), "", '[1]DataLookUp - InternalCareer(LP)'!$B459)</f>
        <v>164000000000456</v>
      </c>
      <c r="C459" s="18" t="str">
        <f>IF(EXACT($B459, ""), "", VLOOKUP(B459, '[1]DataLookUp - InternalCareer(LP)'!$B$4:$D$620, 3, FALSE))</f>
        <v>Ujang Suryana</v>
      </c>
      <c r="D459" s="3"/>
      <c r="E459" s="18" t="str">
        <f>IF(EXACT($D459, ""), "", VLOOKUP($D459, [2]DataLookUp!$B$4:$C$84, 2, FALSE))</f>
        <v/>
      </c>
      <c r="F459" s="3"/>
      <c r="H459" s="15">
        <f t="shared" si="15"/>
        <v>225000000000029</v>
      </c>
      <c r="I459" s="16" t="str">
        <f t="shared" si="14"/>
        <v/>
      </c>
    </row>
    <row r="460" spans="2:9" x14ac:dyDescent="0.2">
      <c r="B460" s="18">
        <f>IF(EXACT('[1]DataLookUp - InternalCareer(LP)'!$B460, ""), "", '[1]DataLookUp - InternalCareer(LP)'!$B460)</f>
        <v>164000000000457</v>
      </c>
      <c r="C460" s="18" t="str">
        <f>IF(EXACT($B460, ""), "", VLOOKUP(B460, '[1]DataLookUp - InternalCareer(LP)'!$B$4:$D$620, 3, FALSE))</f>
        <v>Ulman Juanda</v>
      </c>
      <c r="D460" s="3"/>
      <c r="E460" s="18" t="str">
        <f>IF(EXACT($D460, ""), "", VLOOKUP($D460, [2]DataLookUp!$B$4:$C$84, 2, FALSE))</f>
        <v/>
      </c>
      <c r="F460" s="3"/>
      <c r="H460" s="15">
        <f t="shared" si="15"/>
        <v>225000000000029</v>
      </c>
      <c r="I460" s="16" t="str">
        <f t="shared" si="14"/>
        <v/>
      </c>
    </row>
    <row r="461" spans="2:9" x14ac:dyDescent="0.2">
      <c r="B461" s="18">
        <f>IF(EXACT('[1]DataLookUp - InternalCareer(LP)'!$B461, ""), "", '[1]DataLookUp - InternalCareer(LP)'!$B461)</f>
        <v>164000000000458</v>
      </c>
      <c r="C461" s="18" t="str">
        <f>IF(EXACT($B461, ""), "", VLOOKUP(B461, '[1]DataLookUp - InternalCareer(LP)'!$B$4:$D$620, 3, FALSE))</f>
        <v>Urbanus Boimau</v>
      </c>
      <c r="D461" s="3"/>
      <c r="E461" s="18" t="str">
        <f>IF(EXACT($D461, ""), "", VLOOKUP($D461, [2]DataLookUp!$B$4:$C$84, 2, FALSE))</f>
        <v/>
      </c>
      <c r="F461" s="3"/>
      <c r="H461" s="15">
        <f t="shared" si="15"/>
        <v>225000000000029</v>
      </c>
      <c r="I461" s="16" t="str">
        <f t="shared" si="14"/>
        <v/>
      </c>
    </row>
    <row r="462" spans="2:9" x14ac:dyDescent="0.2">
      <c r="B462" s="18">
        <f>IF(EXACT('[1]DataLookUp - InternalCareer(LP)'!$B462, ""), "", '[1]DataLookUp - InternalCareer(LP)'!$B462)</f>
        <v>164000000000459</v>
      </c>
      <c r="C462" s="18" t="str">
        <f>IF(EXACT($B462, ""), "", VLOOKUP(B462, '[1]DataLookUp - InternalCareer(LP)'!$B$4:$D$620, 3, FALSE))</f>
        <v>Uswatun Hasamah</v>
      </c>
      <c r="D462" s="3"/>
      <c r="E462" s="18" t="str">
        <f>IF(EXACT($D462, ""), "", VLOOKUP($D462, [2]DataLookUp!$B$4:$C$84, 2, FALSE))</f>
        <v/>
      </c>
      <c r="F462" s="3"/>
      <c r="H462" s="15">
        <f t="shared" si="15"/>
        <v>225000000000029</v>
      </c>
      <c r="I462" s="16" t="str">
        <f t="shared" si="14"/>
        <v/>
      </c>
    </row>
    <row r="463" spans="2:9" x14ac:dyDescent="0.2">
      <c r="B463" s="18">
        <f>IF(EXACT('[1]DataLookUp - InternalCareer(LP)'!$B463, ""), "", '[1]DataLookUp - InternalCareer(LP)'!$B463)</f>
        <v>164000000000460</v>
      </c>
      <c r="C463" s="18" t="str">
        <f>IF(EXACT($B463, ""), "", VLOOKUP(B463, '[1]DataLookUp - InternalCareer(LP)'!$B$4:$D$620, 3, FALSE))</f>
        <v>Uswatun Khasanah</v>
      </c>
      <c r="D463" s="3"/>
      <c r="E463" s="18" t="str">
        <f>IF(EXACT($D463, ""), "", VLOOKUP($D463, [2]DataLookUp!$B$4:$C$84, 2, FALSE))</f>
        <v/>
      </c>
      <c r="F463" s="3"/>
      <c r="H463" s="15">
        <f t="shared" si="15"/>
        <v>225000000000029</v>
      </c>
      <c r="I463" s="16" t="str">
        <f t="shared" si="14"/>
        <v/>
      </c>
    </row>
    <row r="464" spans="2:9" x14ac:dyDescent="0.2">
      <c r="B464" s="18">
        <f>IF(EXACT('[1]DataLookUp - InternalCareer(LP)'!$B464, ""), "", '[1]DataLookUp - InternalCareer(LP)'!$B464)</f>
        <v>164000000000461</v>
      </c>
      <c r="C464" s="18" t="str">
        <f>IF(EXACT($B464, ""), "", VLOOKUP(B464, '[1]DataLookUp - InternalCareer(LP)'!$B$4:$D$620, 3, FALSE))</f>
        <v>Utami Dewi</v>
      </c>
      <c r="D464" s="3"/>
      <c r="E464" s="18" t="str">
        <f>IF(EXACT($D464, ""), "", VLOOKUP($D464, [2]DataLookUp!$B$4:$C$84, 2, FALSE))</f>
        <v/>
      </c>
      <c r="F464" s="3"/>
      <c r="H464" s="15">
        <f t="shared" si="15"/>
        <v>225000000000029</v>
      </c>
      <c r="I464" s="16" t="str">
        <f t="shared" ref="I464:I527" si="16">IF(EXACT(D464, ""), "", CONCATENATE("PERFORM ""SchData-OLTP-HumanResource"".""Func_TblMapper_WorkerCareerInternalToUserRole_SET""(varSystemLoginSession, null::bigint, null::varchar, null::timestamptz, null::timestamptz, null::varchar, varInstitutionBranchID, varBaseCurrencyID, ", IF(EXACT(B464, ""), "null", B464), "::bigint, ", IF(EXACT(D464, ""), "null", D464), "::bigint, ", IF(EXACT(F464, ""), "null", F464), "::bigint);"))</f>
        <v/>
      </c>
    </row>
    <row r="465" spans="2:9" x14ac:dyDescent="0.2">
      <c r="B465" s="18">
        <f>IF(EXACT('[1]DataLookUp - InternalCareer(LP)'!$B465, ""), "", '[1]DataLookUp - InternalCareer(LP)'!$B465)</f>
        <v>164000000000462</v>
      </c>
      <c r="C465" s="18" t="str">
        <f>IF(EXACT($B465, ""), "", VLOOKUP(B465, '[1]DataLookUp - InternalCareer(LP)'!$B$4:$D$620, 3, FALSE))</f>
        <v>Utanto</v>
      </c>
      <c r="D465" s="3"/>
      <c r="E465" s="18" t="str">
        <f>IF(EXACT($D465, ""), "", VLOOKUP($D465, [2]DataLookUp!$B$4:$C$84, 2, FALSE))</f>
        <v/>
      </c>
      <c r="F465" s="3"/>
      <c r="H465" s="15">
        <f t="shared" si="15"/>
        <v>225000000000029</v>
      </c>
      <c r="I465" s="16" t="str">
        <f t="shared" si="16"/>
        <v/>
      </c>
    </row>
    <row r="466" spans="2:9" x14ac:dyDescent="0.2">
      <c r="B466" s="18">
        <f>IF(EXACT('[1]DataLookUp - InternalCareer(LP)'!$B466, ""), "", '[1]DataLookUp - InternalCareer(LP)'!$B466)</f>
        <v>164000000000463</v>
      </c>
      <c r="C466" s="18" t="str">
        <f>IF(EXACT($B466, ""), "", VLOOKUP(B466, '[1]DataLookUp - InternalCareer(LP)'!$B$4:$D$620, 3, FALSE))</f>
        <v>Veradita Yulanda</v>
      </c>
      <c r="D466" s="3"/>
      <c r="E466" s="18" t="str">
        <f>IF(EXACT($D466, ""), "", VLOOKUP($D466, [2]DataLookUp!$B$4:$C$84, 2, FALSE))</f>
        <v/>
      </c>
      <c r="F466" s="3"/>
      <c r="H466" s="15">
        <f t="shared" si="15"/>
        <v>225000000000029</v>
      </c>
      <c r="I466" s="16" t="str">
        <f t="shared" si="16"/>
        <v/>
      </c>
    </row>
    <row r="467" spans="2:9" x14ac:dyDescent="0.2">
      <c r="B467" s="18">
        <f>IF(EXACT('[1]DataLookUp - InternalCareer(LP)'!$B467, ""), "", '[1]DataLookUp - InternalCareer(LP)'!$B467)</f>
        <v>164000000000464</v>
      </c>
      <c r="C467" s="18" t="str">
        <f>IF(EXACT($B467, ""), "", VLOOKUP(B467, '[1]DataLookUp - InternalCareer(LP)'!$B$4:$D$620, 3, FALSE))</f>
        <v>Vidhy Kartika Putri</v>
      </c>
      <c r="D467" s="3"/>
      <c r="E467" s="18" t="str">
        <f>IF(EXACT($D467, ""), "", VLOOKUP($D467, [2]DataLookUp!$B$4:$C$84, 2, FALSE))</f>
        <v/>
      </c>
      <c r="F467" s="3"/>
      <c r="H467" s="15">
        <f t="shared" si="15"/>
        <v>225000000000029</v>
      </c>
      <c r="I467" s="16" t="str">
        <f t="shared" si="16"/>
        <v/>
      </c>
    </row>
    <row r="468" spans="2:9" x14ac:dyDescent="0.2">
      <c r="B468" s="18">
        <f>IF(EXACT('[1]DataLookUp - InternalCareer(LP)'!$B468, ""), "", '[1]DataLookUp - InternalCareer(LP)'!$B468)</f>
        <v>164000000000465</v>
      </c>
      <c r="C468" s="18" t="str">
        <f>IF(EXACT($B468, ""), "", VLOOKUP(B468, '[1]DataLookUp - InternalCareer(LP)'!$B$4:$D$620, 3, FALSE))</f>
        <v>Vonny Agram</v>
      </c>
      <c r="D468" s="3"/>
      <c r="E468" s="18" t="str">
        <f>IF(EXACT($D468, ""), "", VLOOKUP($D468, [2]DataLookUp!$B$4:$C$84, 2, FALSE))</f>
        <v/>
      </c>
      <c r="F468" s="3"/>
      <c r="H468" s="15">
        <f t="shared" si="15"/>
        <v>225000000000029</v>
      </c>
      <c r="I468" s="16" t="str">
        <f t="shared" si="16"/>
        <v/>
      </c>
    </row>
    <row r="469" spans="2:9" x14ac:dyDescent="0.2">
      <c r="B469" s="18">
        <f>IF(EXACT('[1]DataLookUp - InternalCareer(LP)'!$B469, ""), "", '[1]DataLookUp - InternalCareer(LP)'!$B469)</f>
        <v>164000000000466</v>
      </c>
      <c r="C469" s="18" t="str">
        <f>IF(EXACT($B469, ""), "", VLOOKUP(B469, '[1]DataLookUp - InternalCareer(LP)'!$B$4:$D$620, 3, FALSE))</f>
        <v>Wahyu</v>
      </c>
      <c r="D469" s="3"/>
      <c r="E469" s="18" t="str">
        <f>IF(EXACT($D469, ""), "", VLOOKUP($D469, [2]DataLookUp!$B$4:$C$84, 2, FALSE))</f>
        <v/>
      </c>
      <c r="F469" s="3"/>
      <c r="H469" s="15">
        <f t="shared" si="15"/>
        <v>225000000000029</v>
      </c>
      <c r="I469" s="16" t="str">
        <f t="shared" si="16"/>
        <v/>
      </c>
    </row>
    <row r="470" spans="2:9" x14ac:dyDescent="0.2">
      <c r="B470" s="18">
        <f>IF(EXACT('[1]DataLookUp - InternalCareer(LP)'!$B470, ""), "", '[1]DataLookUp - InternalCareer(LP)'!$B470)</f>
        <v>164000000000467</v>
      </c>
      <c r="C470" s="18" t="str">
        <f>IF(EXACT($B470, ""), "", VLOOKUP(B470, '[1]DataLookUp - InternalCareer(LP)'!$B$4:$D$620, 3, FALSE))</f>
        <v>Wahyu Ramadhani</v>
      </c>
      <c r="D470" s="3"/>
      <c r="E470" s="18" t="str">
        <f>IF(EXACT($D470, ""), "", VLOOKUP($D470, [2]DataLookUp!$B$4:$C$84, 2, FALSE))</f>
        <v/>
      </c>
      <c r="F470" s="3"/>
      <c r="H470" s="15">
        <f t="shared" si="15"/>
        <v>225000000000029</v>
      </c>
      <c r="I470" s="16" t="str">
        <f t="shared" si="16"/>
        <v/>
      </c>
    </row>
    <row r="471" spans="2:9" x14ac:dyDescent="0.2">
      <c r="B471" s="18">
        <f>IF(EXACT('[1]DataLookUp - InternalCareer(LP)'!$B471, ""), "", '[1]DataLookUp - InternalCareer(LP)'!$B471)</f>
        <v>164000000000468</v>
      </c>
      <c r="C471" s="18" t="str">
        <f>IF(EXACT($B471, ""), "", VLOOKUP(B471, '[1]DataLookUp - InternalCareer(LP)'!$B$4:$D$620, 3, FALSE))</f>
        <v>Wahyu Widodo</v>
      </c>
      <c r="D471" s="3"/>
      <c r="E471" s="18" t="str">
        <f>IF(EXACT($D471, ""), "", VLOOKUP($D471, [2]DataLookUp!$B$4:$C$84, 2, FALSE))</f>
        <v/>
      </c>
      <c r="F471" s="3"/>
      <c r="H471" s="15">
        <f t="shared" si="15"/>
        <v>225000000000029</v>
      </c>
      <c r="I471" s="16" t="str">
        <f t="shared" si="16"/>
        <v/>
      </c>
    </row>
    <row r="472" spans="2:9" x14ac:dyDescent="0.2">
      <c r="B472" s="18">
        <f>IF(EXACT('[1]DataLookUp - InternalCareer(LP)'!$B472, ""), "", '[1]DataLookUp - InternalCareer(LP)'!$B472)</f>
        <v>164000000000469</v>
      </c>
      <c r="C472" s="18" t="str">
        <f>IF(EXACT($B472, ""), "", VLOOKUP(B472, '[1]DataLookUp - InternalCareer(LP)'!$B$4:$D$620, 3, FALSE))</f>
        <v>Warsito Edy Saputra</v>
      </c>
      <c r="D472" s="3"/>
      <c r="E472" s="18" t="str">
        <f>IF(EXACT($D472, ""), "", VLOOKUP($D472, [2]DataLookUp!$B$4:$C$84, 2, FALSE))</f>
        <v/>
      </c>
      <c r="F472" s="3"/>
      <c r="H472" s="15">
        <f t="shared" si="15"/>
        <v>225000000000029</v>
      </c>
      <c r="I472" s="16" t="str">
        <f t="shared" si="16"/>
        <v/>
      </c>
    </row>
    <row r="473" spans="2:9" x14ac:dyDescent="0.2">
      <c r="B473" s="18">
        <f>IF(EXACT('[1]DataLookUp - InternalCareer(LP)'!$B473, ""), "", '[1]DataLookUp - InternalCareer(LP)'!$B473)</f>
        <v>164000000000470</v>
      </c>
      <c r="C473" s="18" t="str">
        <f>IF(EXACT($B473, ""), "", VLOOKUP(B473, '[1]DataLookUp - InternalCareer(LP)'!$B$4:$D$620, 3, FALSE))</f>
        <v>Weldi Wimar</v>
      </c>
      <c r="D473" s="3"/>
      <c r="E473" s="18" t="str">
        <f>IF(EXACT($D473, ""), "", VLOOKUP($D473, [2]DataLookUp!$B$4:$C$84, 2, FALSE))</f>
        <v/>
      </c>
      <c r="F473" s="3"/>
      <c r="H473" s="15">
        <f t="shared" si="15"/>
        <v>225000000000029</v>
      </c>
      <c r="I473" s="16" t="str">
        <f t="shared" si="16"/>
        <v/>
      </c>
    </row>
    <row r="474" spans="2:9" x14ac:dyDescent="0.2">
      <c r="B474" s="18">
        <f>IF(EXACT('[1]DataLookUp - InternalCareer(LP)'!$B474, ""), "", '[1]DataLookUp - InternalCareer(LP)'!$B474)</f>
        <v>164000000000471</v>
      </c>
      <c r="C474" s="18" t="str">
        <f>IF(EXACT($B474, ""), "", VLOOKUP(B474, '[1]DataLookUp - InternalCareer(LP)'!$B$4:$D$620, 3, FALSE))</f>
        <v>Wendy Septiyan</v>
      </c>
      <c r="D474" s="3"/>
      <c r="E474" s="18" t="str">
        <f>IF(EXACT($D474, ""), "", VLOOKUP($D474, [2]DataLookUp!$B$4:$C$84, 2, FALSE))</f>
        <v/>
      </c>
      <c r="F474" s="3"/>
      <c r="H474" s="15">
        <f t="shared" si="15"/>
        <v>225000000000029</v>
      </c>
      <c r="I474" s="16" t="str">
        <f t="shared" si="16"/>
        <v/>
      </c>
    </row>
    <row r="475" spans="2:9" x14ac:dyDescent="0.2">
      <c r="B475" s="18">
        <f>IF(EXACT('[1]DataLookUp - InternalCareer(LP)'!$B475, ""), "", '[1]DataLookUp - InternalCareer(LP)'!$B475)</f>
        <v>164000000000472</v>
      </c>
      <c r="C475" s="18" t="str">
        <f>IF(EXACT($B475, ""), "", VLOOKUP(B475, '[1]DataLookUp - InternalCareer(LP)'!$B$4:$D$620, 3, FALSE))</f>
        <v>Willy Indarto</v>
      </c>
      <c r="D475" s="3"/>
      <c r="E475" s="18" t="str">
        <f>IF(EXACT($D475, ""), "", VLOOKUP($D475, [2]DataLookUp!$B$4:$C$84, 2, FALSE))</f>
        <v/>
      </c>
      <c r="F475" s="3"/>
      <c r="H475" s="15">
        <f t="shared" si="15"/>
        <v>225000000000029</v>
      </c>
      <c r="I475" s="16" t="str">
        <f t="shared" si="16"/>
        <v/>
      </c>
    </row>
    <row r="476" spans="2:9" x14ac:dyDescent="0.2">
      <c r="B476" s="18">
        <f>IF(EXACT('[1]DataLookUp - InternalCareer(LP)'!$B476, ""), "", '[1]DataLookUp - InternalCareer(LP)'!$B476)</f>
        <v>164000000000473</v>
      </c>
      <c r="C476" s="18" t="str">
        <f>IF(EXACT($B476, ""), "", VLOOKUP(B476, '[1]DataLookUp - InternalCareer(LP)'!$B$4:$D$620, 3, FALSE))</f>
        <v>Winda Suherman</v>
      </c>
      <c r="D476" s="3"/>
      <c r="E476" s="18" t="str">
        <f>IF(EXACT($D476, ""), "", VLOOKUP($D476, [2]DataLookUp!$B$4:$C$84, 2, FALSE))</f>
        <v/>
      </c>
      <c r="F476" s="3"/>
      <c r="H476" s="15">
        <f t="shared" si="15"/>
        <v>225000000000029</v>
      </c>
      <c r="I476" s="16" t="str">
        <f t="shared" si="16"/>
        <v/>
      </c>
    </row>
    <row r="477" spans="2:9" x14ac:dyDescent="0.2">
      <c r="B477" s="18">
        <f>IF(EXACT('[1]DataLookUp - InternalCareer(LP)'!$B477, ""), "", '[1]DataLookUp - InternalCareer(LP)'!$B477)</f>
        <v>164000000000474</v>
      </c>
      <c r="C477" s="18" t="str">
        <f>IF(EXACT($B477, ""), "", VLOOKUP(B477, '[1]DataLookUp - InternalCareer(LP)'!$B$4:$D$620, 3, FALSE))</f>
        <v>Wisnu Ardian</v>
      </c>
      <c r="D477" s="3"/>
      <c r="E477" s="18" t="str">
        <f>IF(EXACT($D477, ""), "", VLOOKUP($D477, [2]DataLookUp!$B$4:$C$84, 2, FALSE))</f>
        <v/>
      </c>
      <c r="F477" s="3"/>
      <c r="H477" s="15">
        <f t="shared" si="15"/>
        <v>225000000000029</v>
      </c>
      <c r="I477" s="16" t="str">
        <f t="shared" si="16"/>
        <v/>
      </c>
    </row>
    <row r="478" spans="2:9" x14ac:dyDescent="0.2">
      <c r="B478" s="18">
        <f>IF(EXACT('[1]DataLookUp - InternalCareer(LP)'!$B478, ""), "", '[1]DataLookUp - InternalCareer(LP)'!$B478)</f>
        <v>164000000000475</v>
      </c>
      <c r="C478" s="18" t="str">
        <f>IF(EXACT($B478, ""), "", VLOOKUP(B478, '[1]DataLookUp - InternalCareer(LP)'!$B$4:$D$620, 3, FALSE))</f>
        <v>Wisudanto C. Suntoyo</v>
      </c>
      <c r="D478" s="3"/>
      <c r="E478" s="18" t="str">
        <f>IF(EXACT($D478, ""), "", VLOOKUP($D478, [2]DataLookUp!$B$4:$C$84, 2, FALSE))</f>
        <v/>
      </c>
      <c r="F478" s="3"/>
      <c r="H478" s="15">
        <f t="shared" si="15"/>
        <v>225000000000029</v>
      </c>
      <c r="I478" s="16" t="str">
        <f t="shared" si="16"/>
        <v/>
      </c>
    </row>
    <row r="479" spans="2:9" x14ac:dyDescent="0.2">
      <c r="B479" s="18">
        <f>IF(EXACT('[1]DataLookUp - InternalCareer(LP)'!$B479, ""), "", '[1]DataLookUp - InternalCareer(LP)'!$B479)</f>
        <v>164000000000476</v>
      </c>
      <c r="C479" s="18" t="str">
        <f>IF(EXACT($B479, ""), "", VLOOKUP(B479, '[1]DataLookUp - InternalCareer(LP)'!$B$4:$D$620, 3, FALSE))</f>
        <v>Yahya Adyasa Febriansyah</v>
      </c>
      <c r="D479" s="3"/>
      <c r="E479" s="18" t="str">
        <f>IF(EXACT($D479, ""), "", VLOOKUP($D479, [2]DataLookUp!$B$4:$C$84, 2, FALSE))</f>
        <v/>
      </c>
      <c r="F479" s="3"/>
      <c r="H479" s="15">
        <f t="shared" si="15"/>
        <v>225000000000029</v>
      </c>
      <c r="I479" s="16" t="str">
        <f t="shared" si="16"/>
        <v/>
      </c>
    </row>
    <row r="480" spans="2:9" x14ac:dyDescent="0.2">
      <c r="B480" s="18">
        <f>IF(EXACT('[1]DataLookUp - InternalCareer(LP)'!$B480, ""), "", '[1]DataLookUp - InternalCareer(LP)'!$B480)</f>
        <v>164000000000477</v>
      </c>
      <c r="C480" s="18" t="str">
        <f>IF(EXACT($B480, ""), "", VLOOKUP(B480, '[1]DataLookUp - InternalCareer(LP)'!$B$4:$D$620, 3, FALSE))</f>
        <v>Yakup Sunaryo</v>
      </c>
      <c r="D480" s="3"/>
      <c r="E480" s="18" t="str">
        <f>IF(EXACT($D480, ""), "", VLOOKUP($D480, [2]DataLookUp!$B$4:$C$84, 2, FALSE))</f>
        <v/>
      </c>
      <c r="F480" s="3"/>
      <c r="H480" s="15">
        <f t="shared" si="15"/>
        <v>225000000000029</v>
      </c>
      <c r="I480" s="16" t="str">
        <f t="shared" si="16"/>
        <v/>
      </c>
    </row>
    <row r="481" spans="2:9" x14ac:dyDescent="0.2">
      <c r="B481" s="18">
        <f>IF(EXACT('[1]DataLookUp - InternalCareer(LP)'!$B481, ""), "", '[1]DataLookUp - InternalCareer(LP)'!$B481)</f>
        <v>164000000000478</v>
      </c>
      <c r="C481" s="18" t="str">
        <f>IF(EXACT($B481, ""), "", VLOOKUP(B481, '[1]DataLookUp - InternalCareer(LP)'!$B$4:$D$620, 3, FALSE))</f>
        <v>Yanuar Tri Ananda</v>
      </c>
      <c r="D481" s="3"/>
      <c r="E481" s="18" t="str">
        <f>IF(EXACT($D481, ""), "", VLOOKUP($D481, [2]DataLookUp!$B$4:$C$84, 2, FALSE))</f>
        <v/>
      </c>
      <c r="F481" s="3"/>
      <c r="H481" s="15">
        <f t="shared" si="15"/>
        <v>225000000000029</v>
      </c>
      <c r="I481" s="16" t="str">
        <f t="shared" si="16"/>
        <v/>
      </c>
    </row>
    <row r="482" spans="2:9" x14ac:dyDescent="0.2">
      <c r="B482" s="18">
        <f>IF(EXACT('[1]DataLookUp - InternalCareer(LP)'!$B482, ""), "", '[1]DataLookUp - InternalCareer(LP)'!$B482)</f>
        <v>164000000000479</v>
      </c>
      <c r="C482" s="18" t="str">
        <f>IF(EXACT($B482, ""), "", VLOOKUP(B482, '[1]DataLookUp - InternalCareer(LP)'!$B$4:$D$620, 3, FALSE))</f>
        <v>Yasir Liem</v>
      </c>
      <c r="D482" s="3"/>
      <c r="E482" s="18" t="str">
        <f>IF(EXACT($D482, ""), "", VLOOKUP($D482, [2]DataLookUp!$B$4:$C$84, 2, FALSE))</f>
        <v/>
      </c>
      <c r="F482" s="3"/>
      <c r="H482" s="15">
        <f t="shared" si="15"/>
        <v>225000000000029</v>
      </c>
      <c r="I482" s="16" t="str">
        <f t="shared" si="16"/>
        <v/>
      </c>
    </row>
    <row r="483" spans="2:9" x14ac:dyDescent="0.2">
      <c r="B483" s="18">
        <f>IF(EXACT('[1]DataLookUp - InternalCareer(LP)'!$B483, ""), "", '[1]DataLookUp - InternalCareer(LP)'!$B483)</f>
        <v>164000000000480</v>
      </c>
      <c r="C483" s="18" t="str">
        <f>IF(EXACT($B483, ""), "", VLOOKUP(B483, '[1]DataLookUp - InternalCareer(LP)'!$B$4:$D$620, 3, FALSE))</f>
        <v>Yefri Hendrayani</v>
      </c>
      <c r="D483" s="3"/>
      <c r="E483" s="18" t="str">
        <f>IF(EXACT($D483, ""), "", VLOOKUP($D483, [2]DataLookUp!$B$4:$C$84, 2, FALSE))</f>
        <v/>
      </c>
      <c r="F483" s="3"/>
      <c r="H483" s="15">
        <f t="shared" si="15"/>
        <v>225000000000029</v>
      </c>
      <c r="I483" s="16" t="str">
        <f t="shared" si="16"/>
        <v/>
      </c>
    </row>
    <row r="484" spans="2:9" x14ac:dyDescent="0.2">
      <c r="B484" s="18">
        <f>IF(EXACT('[1]DataLookUp - InternalCareer(LP)'!$B484, ""), "", '[1]DataLookUp - InternalCareer(LP)'!$B484)</f>
        <v>164000000000481</v>
      </c>
      <c r="C484" s="18" t="str">
        <f>IF(EXACT($B484, ""), "", VLOOKUP(B484, '[1]DataLookUp - InternalCareer(LP)'!$B$4:$D$620, 3, FALSE))</f>
        <v>Yessi Setiarini</v>
      </c>
      <c r="D484" s="3"/>
      <c r="E484" s="18" t="str">
        <f>IF(EXACT($D484, ""), "", VLOOKUP($D484, [2]DataLookUp!$B$4:$C$84, 2, FALSE))</f>
        <v/>
      </c>
      <c r="F484" s="3"/>
      <c r="H484" s="15">
        <f t="shared" si="15"/>
        <v>225000000000029</v>
      </c>
      <c r="I484" s="16" t="str">
        <f t="shared" si="16"/>
        <v/>
      </c>
    </row>
    <row r="485" spans="2:9" x14ac:dyDescent="0.2">
      <c r="B485" s="18">
        <f>IF(EXACT('[1]DataLookUp - InternalCareer(LP)'!$B485, ""), "", '[1]DataLookUp - InternalCareer(LP)'!$B485)</f>
        <v>164000000000482</v>
      </c>
      <c r="C485" s="18" t="str">
        <f>IF(EXACT($B485, ""), "", VLOOKUP(B485, '[1]DataLookUp - InternalCareer(LP)'!$B$4:$D$620, 3, FALSE))</f>
        <v>Yorid Fae</v>
      </c>
      <c r="D485" s="3"/>
      <c r="E485" s="18" t="str">
        <f>IF(EXACT($D485, ""), "", VLOOKUP($D485, [2]DataLookUp!$B$4:$C$84, 2, FALSE))</f>
        <v/>
      </c>
      <c r="F485" s="3"/>
      <c r="H485" s="15">
        <f t="shared" si="15"/>
        <v>225000000000029</v>
      </c>
      <c r="I485" s="16" t="str">
        <f t="shared" si="16"/>
        <v/>
      </c>
    </row>
    <row r="486" spans="2:9" x14ac:dyDescent="0.2">
      <c r="B486" s="18">
        <f>IF(EXACT('[1]DataLookUp - InternalCareer(LP)'!$B486, ""), "", '[1]DataLookUp - InternalCareer(LP)'!$B486)</f>
        <v>164000000000483</v>
      </c>
      <c r="C486" s="18" t="str">
        <f>IF(EXACT($B486, ""), "", VLOOKUP(B486, '[1]DataLookUp - InternalCareer(LP)'!$B$4:$D$620, 3, FALSE))</f>
        <v>Yosef Hang Wan</v>
      </c>
      <c r="D486" s="3"/>
      <c r="E486" s="18" t="str">
        <f>IF(EXACT($D486, ""), "", VLOOKUP($D486, [2]DataLookUp!$B$4:$C$84, 2, FALSE))</f>
        <v/>
      </c>
      <c r="F486" s="3"/>
      <c r="H486" s="15">
        <f t="shared" si="15"/>
        <v>225000000000029</v>
      </c>
      <c r="I486" s="16" t="str">
        <f t="shared" si="16"/>
        <v/>
      </c>
    </row>
    <row r="487" spans="2:9" x14ac:dyDescent="0.2">
      <c r="B487" s="18">
        <f>IF(EXACT('[1]DataLookUp - InternalCareer(LP)'!$B487, ""), "", '[1]DataLookUp - InternalCareer(LP)'!$B487)</f>
        <v>164000000000484</v>
      </c>
      <c r="C487" s="18" t="str">
        <f>IF(EXACT($B487, ""), "", VLOOKUP(B487, '[1]DataLookUp - InternalCareer(LP)'!$B$4:$D$620, 3, FALSE))</f>
        <v>Yossie Deliana</v>
      </c>
      <c r="D487" s="3"/>
      <c r="E487" s="18" t="str">
        <f>IF(EXACT($D487, ""), "", VLOOKUP($D487, [2]DataLookUp!$B$4:$C$84, 2, FALSE))</f>
        <v/>
      </c>
      <c r="F487" s="3"/>
      <c r="H487" s="15">
        <f t="shared" si="15"/>
        <v>225000000000029</v>
      </c>
      <c r="I487" s="16" t="str">
        <f t="shared" si="16"/>
        <v/>
      </c>
    </row>
    <row r="488" spans="2:9" x14ac:dyDescent="0.2">
      <c r="B488" s="18">
        <f>IF(EXACT('[1]DataLookUp - InternalCareer(LP)'!$B488, ""), "", '[1]DataLookUp - InternalCareer(LP)'!$B488)</f>
        <v>164000000000485</v>
      </c>
      <c r="C488" s="18" t="str">
        <f>IF(EXACT($B488, ""), "", VLOOKUP(B488, '[1]DataLookUp - InternalCareer(LP)'!$B$4:$D$620, 3, FALSE))</f>
        <v>Yudi Rahmadi</v>
      </c>
      <c r="D488" s="3"/>
      <c r="E488" s="18" t="str">
        <f>IF(EXACT($D488, ""), "", VLOOKUP($D488, [2]DataLookUp!$B$4:$C$84, 2, FALSE))</f>
        <v/>
      </c>
      <c r="F488" s="3"/>
      <c r="H488" s="15">
        <f t="shared" si="15"/>
        <v>225000000000029</v>
      </c>
      <c r="I488" s="16" t="str">
        <f t="shared" si="16"/>
        <v/>
      </c>
    </row>
    <row r="489" spans="2:9" x14ac:dyDescent="0.2">
      <c r="B489" s="18">
        <f>IF(EXACT('[1]DataLookUp - InternalCareer(LP)'!$B489, ""), "", '[1]DataLookUp - InternalCareer(LP)'!$B489)</f>
        <v>164000000000486</v>
      </c>
      <c r="C489" s="18" t="str">
        <f>IF(EXACT($B489, ""), "", VLOOKUP(B489, '[1]DataLookUp - InternalCareer(LP)'!$B$4:$D$620, 3, FALSE))</f>
        <v>Yudo Jati Rahmat Satrio</v>
      </c>
      <c r="D489" s="3"/>
      <c r="E489" s="18" t="str">
        <f>IF(EXACT($D489, ""), "", VLOOKUP($D489, [2]DataLookUp!$B$4:$C$84, 2, FALSE))</f>
        <v/>
      </c>
      <c r="F489" s="3"/>
      <c r="H489" s="15">
        <f t="shared" si="15"/>
        <v>225000000000029</v>
      </c>
      <c r="I489" s="16" t="str">
        <f t="shared" si="16"/>
        <v/>
      </c>
    </row>
    <row r="490" spans="2:9" x14ac:dyDescent="0.2">
      <c r="B490" s="18">
        <f>IF(EXACT('[1]DataLookUp - InternalCareer(LP)'!$B490, ""), "", '[1]DataLookUp - InternalCareer(LP)'!$B490)</f>
        <v>164000000000487</v>
      </c>
      <c r="C490" s="18" t="str">
        <f>IF(EXACT($B490, ""), "", VLOOKUP(B490, '[1]DataLookUp - InternalCareer(LP)'!$B$4:$D$620, 3, FALSE))</f>
        <v>Yuliandaru Suryoatmodjo</v>
      </c>
      <c r="D490" s="3">
        <f>[2]MAIN!$D$57</f>
        <v>95000000000044</v>
      </c>
      <c r="E490" s="18" t="str">
        <f>IF(EXACT($D490, ""), "", VLOOKUP($D490, [2]DataLookUp!$B$4:$C$84, 2, FALSE))</f>
        <v>Sales Coordinator</v>
      </c>
      <c r="F490" s="3"/>
      <c r="H490" s="15">
        <f t="shared" si="15"/>
        <v>225000000000030</v>
      </c>
      <c r="I490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164000000000487::bigint, 95000000000044::bigint, null::bigint);</v>
      </c>
    </row>
    <row r="491" spans="2:9" x14ac:dyDescent="0.2">
      <c r="B491" s="18">
        <f>IF(EXACT('[1]DataLookUp - InternalCareer(LP)'!$B491, ""), "", '[1]DataLookUp - InternalCareer(LP)'!$B491)</f>
        <v>164000000000488</v>
      </c>
      <c r="C491" s="18" t="str">
        <f>IF(EXACT($B491, ""), "", VLOOKUP(B491, '[1]DataLookUp - InternalCareer(LP)'!$B$4:$D$620, 3, FALSE))</f>
        <v>Yulianta</v>
      </c>
      <c r="D491" s="3"/>
      <c r="E491" s="18" t="str">
        <f>IF(EXACT($D491, ""), "", VLOOKUP($D491, [2]DataLookUp!$B$4:$C$84, 2, FALSE))</f>
        <v/>
      </c>
      <c r="F491" s="3"/>
      <c r="H491" s="15">
        <f t="shared" si="15"/>
        <v>225000000000030</v>
      </c>
      <c r="I491" s="16" t="str">
        <f t="shared" si="16"/>
        <v/>
      </c>
    </row>
    <row r="492" spans="2:9" x14ac:dyDescent="0.2">
      <c r="B492" s="18">
        <f>IF(EXACT('[1]DataLookUp - InternalCareer(LP)'!$B492, ""), "", '[1]DataLookUp - InternalCareer(LP)'!$B492)</f>
        <v>164000000000489</v>
      </c>
      <c r="C492" s="18" t="str">
        <f>IF(EXACT($B492, ""), "", VLOOKUP(B492, '[1]DataLookUp - InternalCareer(LP)'!$B$4:$D$620, 3, FALSE))</f>
        <v>Yulianti</v>
      </c>
      <c r="D492" s="3"/>
      <c r="E492" s="18" t="str">
        <f>IF(EXACT($D492, ""), "", VLOOKUP($D492, [2]DataLookUp!$B$4:$C$84, 2, FALSE))</f>
        <v/>
      </c>
      <c r="F492" s="3"/>
      <c r="H492" s="15">
        <f t="shared" si="15"/>
        <v>225000000000030</v>
      </c>
      <c r="I492" s="16" t="str">
        <f t="shared" si="16"/>
        <v/>
      </c>
    </row>
    <row r="493" spans="2:9" x14ac:dyDescent="0.2">
      <c r="B493" s="18">
        <f>IF(EXACT('[1]DataLookUp - InternalCareer(LP)'!$B493, ""), "", '[1]DataLookUp - InternalCareer(LP)'!$B493)</f>
        <v>164000000000490</v>
      </c>
      <c r="C493" s="18" t="str">
        <f>IF(EXACT($B493, ""), "", VLOOKUP(B493, '[1]DataLookUp - InternalCareer(LP)'!$B$4:$D$620, 3, FALSE))</f>
        <v>Yulius</v>
      </c>
      <c r="D493" s="3"/>
      <c r="E493" s="18" t="str">
        <f>IF(EXACT($D493, ""), "", VLOOKUP($D493, [2]DataLookUp!$B$4:$C$84, 2, FALSE))</f>
        <v/>
      </c>
      <c r="F493" s="3"/>
      <c r="H493" s="15">
        <f t="shared" si="15"/>
        <v>225000000000030</v>
      </c>
      <c r="I493" s="16" t="str">
        <f t="shared" si="16"/>
        <v/>
      </c>
    </row>
    <row r="494" spans="2:9" x14ac:dyDescent="0.2">
      <c r="B494" s="18">
        <f>IF(EXACT('[1]DataLookUp - InternalCareer(LP)'!$B494, ""), "", '[1]DataLookUp - InternalCareer(LP)'!$B494)</f>
        <v>164000000000491</v>
      </c>
      <c r="C494" s="18" t="str">
        <f>IF(EXACT($B494, ""), "", VLOOKUP(B494, '[1]DataLookUp - InternalCareer(LP)'!$B$4:$D$620, 3, FALSE))</f>
        <v>Yunni Sazili</v>
      </c>
      <c r="D494" s="3"/>
      <c r="E494" s="18" t="str">
        <f>IF(EXACT($D494, ""), "", VLOOKUP($D494, [2]DataLookUp!$B$4:$C$84, 2, FALSE))</f>
        <v/>
      </c>
      <c r="F494" s="3"/>
      <c r="H494" s="15">
        <f t="shared" si="15"/>
        <v>225000000000030</v>
      </c>
      <c r="I494" s="16" t="str">
        <f t="shared" si="16"/>
        <v/>
      </c>
    </row>
    <row r="495" spans="2:9" x14ac:dyDescent="0.2">
      <c r="B495" s="18">
        <f>IF(EXACT('[1]DataLookUp - InternalCareer(LP)'!$B495, ""), "", '[1]DataLookUp - InternalCareer(LP)'!$B495)</f>
        <v>164000000000492</v>
      </c>
      <c r="C495" s="18" t="str">
        <f>IF(EXACT($B495, ""), "", VLOOKUP(B495, '[1]DataLookUp - InternalCareer(LP)'!$B$4:$D$620, 3, FALSE))</f>
        <v>Yusman</v>
      </c>
      <c r="D495" s="3"/>
      <c r="E495" s="18" t="str">
        <f>IF(EXACT($D495, ""), "", VLOOKUP($D495, [2]DataLookUp!$B$4:$C$84, 2, FALSE))</f>
        <v/>
      </c>
      <c r="F495" s="3"/>
      <c r="H495" s="15">
        <f t="shared" si="15"/>
        <v>225000000000030</v>
      </c>
      <c r="I495" s="16" t="str">
        <f t="shared" si="16"/>
        <v/>
      </c>
    </row>
    <row r="496" spans="2:9" x14ac:dyDescent="0.2">
      <c r="B496" s="18">
        <f>IF(EXACT('[1]DataLookUp - InternalCareer(LP)'!$B496, ""), "", '[1]DataLookUp - InternalCareer(LP)'!$B496)</f>
        <v>164000000000493</v>
      </c>
      <c r="C496" s="18" t="str">
        <f>IF(EXACT($B496, ""), "", VLOOKUP(B496, '[1]DataLookUp - InternalCareer(LP)'!$B$4:$D$620, 3, FALSE))</f>
        <v>Yusri Azhar</v>
      </c>
      <c r="D496" s="3"/>
      <c r="E496" s="18" t="str">
        <f>IF(EXACT($D496, ""), "", VLOOKUP($D496, [2]DataLookUp!$B$4:$C$84, 2, FALSE))</f>
        <v/>
      </c>
      <c r="F496" s="3"/>
      <c r="H496" s="15">
        <f t="shared" si="15"/>
        <v>225000000000030</v>
      </c>
      <c r="I496" s="16" t="str">
        <f t="shared" si="16"/>
        <v/>
      </c>
    </row>
    <row r="497" spans="2:9" x14ac:dyDescent="0.2">
      <c r="B497" s="18">
        <f>IF(EXACT('[1]DataLookUp - InternalCareer(LP)'!$B497, ""), "", '[1]DataLookUp - InternalCareer(LP)'!$B497)</f>
        <v>164000000000494</v>
      </c>
      <c r="C497" s="18" t="str">
        <f>IF(EXACT($B497, ""), "", VLOOKUP(B497, '[1]DataLookUp - InternalCareer(LP)'!$B$4:$D$620, 3, FALSE))</f>
        <v>Zafrizal</v>
      </c>
      <c r="D497" s="3"/>
      <c r="E497" s="18" t="str">
        <f>IF(EXACT($D497, ""), "", VLOOKUP($D497, [2]DataLookUp!$B$4:$C$84, 2, FALSE))</f>
        <v/>
      </c>
      <c r="F497" s="3"/>
      <c r="H497" s="15">
        <f t="shared" si="15"/>
        <v>225000000000030</v>
      </c>
      <c r="I497" s="16" t="str">
        <f t="shared" si="16"/>
        <v/>
      </c>
    </row>
    <row r="498" spans="2:9" x14ac:dyDescent="0.2">
      <c r="B498" s="18">
        <f>IF(EXACT('[1]DataLookUp - InternalCareer(LP)'!$B498, ""), "", '[1]DataLookUp - InternalCareer(LP)'!$B498)</f>
        <v>164000000000495</v>
      </c>
      <c r="C498" s="18" t="str">
        <f>IF(EXACT($B498, ""), "", VLOOKUP(B498, '[1]DataLookUp - InternalCareer(LP)'!$B$4:$D$620, 3, FALSE))</f>
        <v>Zafrizal Rifla (Ucok)</v>
      </c>
      <c r="D498" s="3"/>
      <c r="E498" s="18" t="str">
        <f>IF(EXACT($D498, ""), "", VLOOKUP($D498, [2]DataLookUp!$B$4:$C$84, 2, FALSE))</f>
        <v/>
      </c>
      <c r="F498" s="3"/>
      <c r="H498" s="15">
        <f t="shared" si="15"/>
        <v>225000000000030</v>
      </c>
      <c r="I498" s="16" t="str">
        <f t="shared" si="16"/>
        <v/>
      </c>
    </row>
    <row r="499" spans="2:9" x14ac:dyDescent="0.2">
      <c r="B499" s="18">
        <f>IF(EXACT('[1]DataLookUp - InternalCareer(LP)'!$B499, ""), "", '[1]DataLookUp - InternalCareer(LP)'!$B499)</f>
        <v>164000000000496</v>
      </c>
      <c r="C499" s="18" t="str">
        <f>IF(EXACT($B499, ""), "", VLOOKUP(B499, '[1]DataLookUp - InternalCareer(LP)'!$B$4:$D$620, 3, FALSE))</f>
        <v>Zainuddin</v>
      </c>
      <c r="D499" s="3"/>
      <c r="E499" s="18" t="str">
        <f>IF(EXACT($D499, ""), "", VLOOKUP($D499, [2]DataLookUp!$B$4:$C$84, 2, FALSE))</f>
        <v/>
      </c>
      <c r="F499" s="3"/>
      <c r="H499" s="15">
        <f t="shared" si="15"/>
        <v>225000000000030</v>
      </c>
      <c r="I499" s="16" t="str">
        <f t="shared" si="16"/>
        <v/>
      </c>
    </row>
    <row r="500" spans="2:9" x14ac:dyDescent="0.2">
      <c r="B500" s="18">
        <f>IF(EXACT('[1]DataLookUp - InternalCareer(LP)'!$B500, ""), "", '[1]DataLookUp - InternalCareer(LP)'!$B500)</f>
        <v>164000000000497</v>
      </c>
      <c r="C500" s="18" t="str">
        <f>IF(EXACT($B500, ""), "", VLOOKUP(B500, '[1]DataLookUp - InternalCareer(LP)'!$B$4:$D$620, 3, FALSE))</f>
        <v>Zainudin Anwar</v>
      </c>
      <c r="D500" s="3">
        <f>[2]MAIN!$D$48</f>
        <v>95000000000037</v>
      </c>
      <c r="E500" s="18" t="str">
        <f>IF(EXACT($D500, ""), "", VLOOKUP($D500, [2]DataLookUp!$B$4:$C$84, 2, FALSE))</f>
        <v>IT System Engineer Staff</v>
      </c>
      <c r="F500" s="3"/>
      <c r="H500" s="15">
        <f t="shared" si="15"/>
        <v>225000000000031</v>
      </c>
      <c r="I500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164000000000497::bigint, 95000000000037::bigint, null::bigint);</v>
      </c>
    </row>
    <row r="501" spans="2:9" x14ac:dyDescent="0.2">
      <c r="B501" s="18">
        <f>IF(EXACT('[1]DataLookUp - InternalCareer(LP)'!$B501, ""), "", '[1]DataLookUp - InternalCareer(LP)'!$B501)</f>
        <v>164000000000498</v>
      </c>
      <c r="C501" s="18" t="str">
        <f>IF(EXACT($B501, ""), "", VLOOKUP(B501, '[1]DataLookUp - InternalCareer(LP)'!$B$4:$D$620, 3, FALSE))</f>
        <v>Zaire Dite Biscaya</v>
      </c>
      <c r="D501" s="3">
        <f>[2]MAIN!$D$32</f>
        <v>95000000000024</v>
      </c>
      <c r="E501" s="18" t="str">
        <f>IF(EXACT($D501, ""), "", VLOOKUP($D501, [2]DataLookUp!$B$4:$C$84, 2, FALSE))</f>
        <v>Project Administrator Staff</v>
      </c>
      <c r="F501" s="3"/>
      <c r="H501" s="15">
        <f t="shared" si="15"/>
        <v>225000000000032</v>
      </c>
      <c r="I501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164000000000498::bigint, 95000000000024::bigint, null::bigint);</v>
      </c>
    </row>
    <row r="502" spans="2:9" x14ac:dyDescent="0.2">
      <c r="B502" s="18">
        <f>IF(EXACT('[1]DataLookUp - InternalCareer(LP)'!$B502, ""), "", '[1]DataLookUp - InternalCareer(LP)'!$B502)</f>
        <v>164000000000499</v>
      </c>
      <c r="C502" s="18" t="str">
        <f>IF(EXACT($B502, ""), "", VLOOKUP(B502, '[1]DataLookUp - InternalCareer(LP)'!$B$4:$D$620, 3, FALSE))</f>
        <v>Zalfi Yandri</v>
      </c>
      <c r="D502" s="3"/>
      <c r="E502" s="18" t="str">
        <f>IF(EXACT($D502, ""), "", VLOOKUP($D502, [2]DataLookUp!$B$4:$C$84, 2, FALSE))</f>
        <v/>
      </c>
      <c r="F502" s="3"/>
      <c r="H502" s="15">
        <f t="shared" si="15"/>
        <v>225000000000032</v>
      </c>
      <c r="I502" s="16" t="str">
        <f t="shared" si="16"/>
        <v/>
      </c>
    </row>
    <row r="503" spans="2:9" x14ac:dyDescent="0.2">
      <c r="B503" s="18">
        <f>IF(EXACT('[1]DataLookUp - InternalCareer(LP)'!$B503, ""), "", '[1]DataLookUp - InternalCareer(LP)'!$B503)</f>
        <v>164000000000500</v>
      </c>
      <c r="C503" s="18" t="str">
        <f>IF(EXACT($B503, ""), "", VLOOKUP(B503, '[1]DataLookUp - InternalCareer(LP)'!$B$4:$D$620, 3, FALSE))</f>
        <v>Zam Roji</v>
      </c>
      <c r="D503" s="3"/>
      <c r="E503" s="18" t="str">
        <f>IF(EXACT($D503, ""), "", VLOOKUP($D503, [2]DataLookUp!$B$4:$C$84, 2, FALSE))</f>
        <v/>
      </c>
      <c r="F503" s="3"/>
      <c r="H503" s="15">
        <f t="shared" si="15"/>
        <v>225000000000032</v>
      </c>
      <c r="I503" s="16" t="str">
        <f t="shared" si="16"/>
        <v/>
      </c>
    </row>
    <row r="504" spans="2:9" x14ac:dyDescent="0.2">
      <c r="B504" s="18">
        <f>IF(EXACT('[1]DataLookUp - InternalCareer(LP)'!$B504, ""), "", '[1]DataLookUp - InternalCareer(LP)'!$B504)</f>
        <v>164000000000501</v>
      </c>
      <c r="C504" s="18" t="str">
        <f>IF(EXACT($B504, ""), "", VLOOKUP(B504, '[1]DataLookUp - InternalCareer(LP)'!$B$4:$D$620, 3, FALSE))</f>
        <v>Zulfikar K. Siregar</v>
      </c>
      <c r="D504" s="3"/>
      <c r="E504" s="18" t="str">
        <f>IF(EXACT($D504, ""), "", VLOOKUP($D504, [2]DataLookUp!$B$4:$C$84, 2, FALSE))</f>
        <v/>
      </c>
      <c r="F504" s="3"/>
      <c r="H504" s="15">
        <f t="shared" si="15"/>
        <v>225000000000032</v>
      </c>
      <c r="I504" s="16" t="str">
        <f t="shared" si="16"/>
        <v/>
      </c>
    </row>
    <row r="505" spans="2:9" x14ac:dyDescent="0.2">
      <c r="B505" s="18">
        <f>IF(EXACT('[1]DataLookUp - InternalCareer(LP)'!$B505, ""), "", '[1]DataLookUp - InternalCareer(LP)'!$B505)</f>
        <v>164000000000502</v>
      </c>
      <c r="C505" s="18" t="str">
        <f>IF(EXACT($B505, ""), "", VLOOKUP(B505, '[1]DataLookUp - InternalCareer(LP)'!$B$4:$D$620, 3, FALSE))</f>
        <v>Adythia Adikara</v>
      </c>
      <c r="D505" s="3"/>
      <c r="E505" s="18" t="str">
        <f>IF(EXACT($D505, ""), "", VLOOKUP($D505, [2]DataLookUp!$B$4:$C$84, 2, FALSE))</f>
        <v/>
      </c>
      <c r="F505" s="3"/>
      <c r="H505" s="15">
        <f t="shared" si="15"/>
        <v>225000000000032</v>
      </c>
      <c r="I505" s="16" t="str">
        <f t="shared" si="16"/>
        <v/>
      </c>
    </row>
    <row r="506" spans="2:9" x14ac:dyDescent="0.2">
      <c r="B506" s="18">
        <f>IF(EXACT('[1]DataLookUp - InternalCareer(LP)'!$B506, ""), "", '[1]DataLookUp - InternalCareer(LP)'!$B506)</f>
        <v>164000000000503</v>
      </c>
      <c r="C506" s="18" t="str">
        <f>IF(EXACT($B506, ""), "", VLOOKUP(B506, '[1]DataLookUp - InternalCareer(LP)'!$B$4:$D$620, 3, FALSE))</f>
        <v>Agus Sopyan Hadi</v>
      </c>
      <c r="D506" s="3"/>
      <c r="E506" s="18" t="str">
        <f>IF(EXACT($D506, ""), "", VLOOKUP($D506, [2]DataLookUp!$B$4:$C$84, 2, FALSE))</f>
        <v/>
      </c>
      <c r="F506" s="3"/>
      <c r="H506" s="15">
        <f t="shared" si="15"/>
        <v>225000000000032</v>
      </c>
      <c r="I506" s="16" t="str">
        <f t="shared" si="16"/>
        <v/>
      </c>
    </row>
    <row r="507" spans="2:9" x14ac:dyDescent="0.2">
      <c r="B507" s="18">
        <f>IF(EXACT('[1]DataLookUp - InternalCareer(LP)'!$B507, ""), "", '[1]DataLookUp - InternalCareer(LP)'!$B507)</f>
        <v>164000000000504</v>
      </c>
      <c r="C507" s="18" t="str">
        <f>IF(EXACT($B507, ""), "", VLOOKUP(B507, '[1]DataLookUp - InternalCareer(LP)'!$B$4:$D$620, 3, FALSE))</f>
        <v>Azis Purwandana</v>
      </c>
      <c r="D507" s="3"/>
      <c r="E507" s="18" t="str">
        <f>IF(EXACT($D507, ""), "", VLOOKUP($D507, [2]DataLookUp!$B$4:$C$84, 2, FALSE))</f>
        <v/>
      </c>
      <c r="F507" s="3"/>
      <c r="H507" s="15">
        <f t="shared" si="15"/>
        <v>225000000000032</v>
      </c>
      <c r="I507" s="16" t="str">
        <f t="shared" si="16"/>
        <v/>
      </c>
    </row>
    <row r="508" spans="2:9" x14ac:dyDescent="0.2">
      <c r="B508" s="18">
        <f>IF(EXACT('[1]DataLookUp - InternalCareer(LP)'!$B508, ""), "", '[1]DataLookUp - InternalCareer(LP)'!$B508)</f>
        <v>164000000000505</v>
      </c>
      <c r="C508" s="18" t="str">
        <f>IF(EXACT($B508, ""), "", VLOOKUP(B508, '[1]DataLookUp - InternalCareer(LP)'!$B$4:$D$620, 3, FALSE))</f>
        <v>Heryanto</v>
      </c>
      <c r="D508" s="3"/>
      <c r="E508" s="18" t="str">
        <f>IF(EXACT($D508, ""), "", VLOOKUP($D508, [2]DataLookUp!$B$4:$C$84, 2, FALSE))</f>
        <v/>
      </c>
      <c r="F508" s="3"/>
      <c r="H508" s="15">
        <f t="shared" si="15"/>
        <v>225000000000032</v>
      </c>
      <c r="I508" s="16" t="str">
        <f t="shared" si="16"/>
        <v/>
      </c>
    </row>
    <row r="509" spans="2:9" x14ac:dyDescent="0.2">
      <c r="B509" s="18">
        <f>IF(EXACT('[1]DataLookUp - InternalCareer(LP)'!$B509, ""), "", '[1]DataLookUp - InternalCareer(LP)'!$B509)</f>
        <v>164000000000506</v>
      </c>
      <c r="C509" s="18" t="str">
        <f>IF(EXACT($B509, ""), "", VLOOKUP(B509, '[1]DataLookUp - InternalCareer(LP)'!$B$4:$D$620, 3, FALSE))</f>
        <v>Imran</v>
      </c>
      <c r="D509" s="3"/>
      <c r="E509" s="18" t="str">
        <f>IF(EXACT($D509, ""), "", VLOOKUP($D509, [2]DataLookUp!$B$4:$C$84, 2, FALSE))</f>
        <v/>
      </c>
      <c r="F509" s="3"/>
      <c r="H509" s="15">
        <f t="shared" si="15"/>
        <v>225000000000032</v>
      </c>
      <c r="I509" s="16" t="str">
        <f t="shared" si="16"/>
        <v/>
      </c>
    </row>
    <row r="510" spans="2:9" x14ac:dyDescent="0.2">
      <c r="B510" s="18">
        <f>IF(EXACT('[1]DataLookUp - InternalCareer(LP)'!$B510, ""), "", '[1]DataLookUp - InternalCareer(LP)'!$B510)</f>
        <v>164000000000507</v>
      </c>
      <c r="C510" s="18" t="str">
        <f>IF(EXACT($B510, ""), "", VLOOKUP(B510, '[1]DataLookUp - InternalCareer(LP)'!$B$4:$D$620, 3, FALSE))</f>
        <v>Khamim Taryono</v>
      </c>
      <c r="D510" s="3"/>
      <c r="E510" s="18" t="str">
        <f>IF(EXACT($D510, ""), "", VLOOKUP($D510, [2]DataLookUp!$B$4:$C$84, 2, FALSE))</f>
        <v/>
      </c>
      <c r="F510" s="3"/>
      <c r="H510" s="15">
        <f t="shared" si="15"/>
        <v>225000000000032</v>
      </c>
      <c r="I510" s="16" t="str">
        <f t="shared" si="16"/>
        <v/>
      </c>
    </row>
    <row r="511" spans="2:9" x14ac:dyDescent="0.2">
      <c r="B511" s="18">
        <f>IF(EXACT('[1]DataLookUp - InternalCareer(LP)'!$B511, ""), "", '[1]DataLookUp - InternalCareer(LP)'!$B511)</f>
        <v>164000000000508</v>
      </c>
      <c r="C511" s="18" t="str">
        <f>IF(EXACT($B511, ""), "", VLOOKUP(B511, '[1]DataLookUp - InternalCareer(LP)'!$B$4:$D$620, 3, FALSE))</f>
        <v>Rafi Artman Siddiq</v>
      </c>
      <c r="D511" s="3"/>
      <c r="E511" s="18" t="str">
        <f>IF(EXACT($D511, ""), "", VLOOKUP($D511, [2]DataLookUp!$B$4:$C$84, 2, FALSE))</f>
        <v/>
      </c>
      <c r="F511" s="3"/>
      <c r="H511" s="15">
        <f t="shared" si="15"/>
        <v>225000000000032</v>
      </c>
      <c r="I511" s="16" t="str">
        <f t="shared" si="16"/>
        <v/>
      </c>
    </row>
    <row r="512" spans="2:9" x14ac:dyDescent="0.2">
      <c r="B512" s="18">
        <f>IF(EXACT('[1]DataLookUp - InternalCareer(LP)'!$B512, ""), "", '[1]DataLookUp - InternalCareer(LP)'!$B512)</f>
        <v>164000000000509</v>
      </c>
      <c r="C512" s="18" t="str">
        <f>IF(EXACT($B512, ""), "", VLOOKUP(B512, '[1]DataLookUp - InternalCareer(LP)'!$B$4:$D$620, 3, FALSE))</f>
        <v>Riza Emir Subekti</v>
      </c>
      <c r="D512" s="3">
        <f>[2]MAIN!$D$27</f>
        <v>95000000000019</v>
      </c>
      <c r="E512" s="18" t="str">
        <f>IF(EXACT($D512, ""), "", VLOOKUP($D512, [2]DataLookUp!$B$4:$C$84, 2, FALSE))</f>
        <v>Project Manager</v>
      </c>
      <c r="F512" s="3"/>
      <c r="H512" s="15">
        <f t="shared" si="15"/>
        <v>225000000000033</v>
      </c>
      <c r="I512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164000000000509::bigint, 95000000000019::bigint, null::bigint);</v>
      </c>
    </row>
    <row r="513" spans="2:9" x14ac:dyDescent="0.2">
      <c r="B513" s="18">
        <f>IF(EXACT('[1]DataLookUp - InternalCareer(LP)'!$B513, ""), "", '[1]DataLookUp - InternalCareer(LP)'!$B513)</f>
        <v>164000000000510</v>
      </c>
      <c r="C513" s="18" t="str">
        <f>IF(EXACT($B513, ""), "", VLOOKUP(B513, '[1]DataLookUp - InternalCareer(LP)'!$B$4:$D$620, 3, FALSE))</f>
        <v>Slamet Riadi</v>
      </c>
      <c r="D513" s="3"/>
      <c r="E513" s="18" t="str">
        <f>IF(EXACT($D513, ""), "", VLOOKUP($D513, [2]DataLookUp!$B$4:$C$84, 2, FALSE))</f>
        <v/>
      </c>
      <c r="F513" s="3"/>
      <c r="H513" s="15">
        <f t="shared" si="15"/>
        <v>225000000000033</v>
      </c>
      <c r="I513" s="16" t="str">
        <f t="shared" si="16"/>
        <v/>
      </c>
    </row>
    <row r="514" spans="2:9" x14ac:dyDescent="0.2">
      <c r="B514" s="18">
        <f>IF(EXACT('[1]DataLookUp - InternalCareer(LP)'!$B514, ""), "", '[1]DataLookUp - InternalCareer(LP)'!$B514)</f>
        <v>164000000000511</v>
      </c>
      <c r="C514" s="18" t="str">
        <f>IF(EXACT($B514, ""), "", VLOOKUP(B514, '[1]DataLookUp - InternalCareer(LP)'!$B$4:$D$620, 3, FALSE))</f>
        <v>Wisnu Andra Isdianto</v>
      </c>
      <c r="D514" s="3"/>
      <c r="E514" s="18" t="str">
        <f>IF(EXACT($D514, ""), "", VLOOKUP($D514, [2]DataLookUp!$B$4:$C$84, 2, FALSE))</f>
        <v/>
      </c>
      <c r="F514" s="3"/>
      <c r="H514" s="15">
        <f t="shared" si="15"/>
        <v>225000000000033</v>
      </c>
      <c r="I514" s="16" t="str">
        <f t="shared" si="16"/>
        <v/>
      </c>
    </row>
    <row r="515" spans="2:9" x14ac:dyDescent="0.2">
      <c r="B515" s="18">
        <f>IF(EXACT('[1]DataLookUp - InternalCareer(LP)'!$B515, ""), "", '[1]DataLookUp - InternalCareer(LP)'!$B515)</f>
        <v>164000000000512</v>
      </c>
      <c r="C515" s="18" t="str">
        <f>IF(EXACT($B515, ""), "", VLOOKUP(B515, '[1]DataLookUp - InternalCareer(LP)'!$B$4:$D$620, 3, FALSE))</f>
        <v>Agus Budi Setiawan</v>
      </c>
      <c r="D515" s="3"/>
      <c r="E515" s="18" t="str">
        <f>IF(EXACT($D515, ""), "", VLOOKUP($D515, [2]DataLookUp!$B$4:$C$84, 2, FALSE))</f>
        <v/>
      </c>
      <c r="F515" s="3"/>
      <c r="H515" s="15">
        <f t="shared" si="15"/>
        <v>225000000000033</v>
      </c>
      <c r="I515" s="16" t="str">
        <f t="shared" si="16"/>
        <v/>
      </c>
    </row>
    <row r="516" spans="2:9" x14ac:dyDescent="0.2">
      <c r="B516" s="18">
        <f>IF(EXACT('[1]DataLookUp - InternalCareer(LP)'!$B516, ""), "", '[1]DataLookUp - InternalCareer(LP)'!$B516)</f>
        <v>164000000000513</v>
      </c>
      <c r="C516" s="18" t="str">
        <f>IF(EXACT($B516, ""), "", VLOOKUP(B516, '[1]DataLookUp - InternalCareer(LP)'!$B$4:$D$620, 3, FALSE))</f>
        <v>Ahmad Choerul</v>
      </c>
      <c r="D516" s="3">
        <f>[2]MAIN!$D$60</f>
        <v>95000000000047</v>
      </c>
      <c r="E516" s="18" t="str">
        <f>IF(EXACT($D516, ""), "", VLOOKUP($D516, [2]DataLookUp!$B$4:$C$84, 2, FALSE))</f>
        <v>Sales Estimator Staff</v>
      </c>
      <c r="F516" s="3"/>
      <c r="H516" s="15">
        <f t="shared" si="15"/>
        <v>225000000000034</v>
      </c>
      <c r="I516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164000000000513::bigint, 95000000000047::bigint, null::bigint);</v>
      </c>
    </row>
    <row r="517" spans="2:9" x14ac:dyDescent="0.2">
      <c r="B517" s="18">
        <f>IF(EXACT('[1]DataLookUp - InternalCareer(LP)'!$B517, ""), "", '[1]DataLookUp - InternalCareer(LP)'!$B517)</f>
        <v>164000000000514</v>
      </c>
      <c r="C517" s="18" t="str">
        <f>IF(EXACT($B517, ""), "", VLOOKUP(B517, '[1]DataLookUp - InternalCareer(LP)'!$B$4:$D$620, 3, FALSE))</f>
        <v>Achmad Yunadi</v>
      </c>
      <c r="D517" s="3"/>
      <c r="E517" s="18" t="str">
        <f>IF(EXACT($D517, ""), "", VLOOKUP($D517, [2]DataLookUp!$B$4:$C$84, 2, FALSE))</f>
        <v/>
      </c>
      <c r="F517" s="3"/>
      <c r="H517" s="15">
        <f t="shared" si="15"/>
        <v>225000000000034</v>
      </c>
      <c r="I517" s="16" t="str">
        <f t="shared" si="16"/>
        <v/>
      </c>
    </row>
    <row r="518" spans="2:9" x14ac:dyDescent="0.2">
      <c r="B518" s="18">
        <f>IF(EXACT('[1]DataLookUp - InternalCareer(LP)'!$B518, ""), "", '[1]DataLookUp - InternalCareer(LP)'!$B518)</f>
        <v>164000000000515</v>
      </c>
      <c r="C518" s="18" t="str">
        <f>IF(EXACT($B518, ""), "", VLOOKUP(B518, '[1]DataLookUp - InternalCareer(LP)'!$B$4:$D$620, 3, FALSE))</f>
        <v>Asep mulyana</v>
      </c>
      <c r="D518" s="3"/>
      <c r="E518" s="18" t="str">
        <f>IF(EXACT($D518, ""), "", VLOOKUP($D518, [2]DataLookUp!$B$4:$C$84, 2, FALSE))</f>
        <v/>
      </c>
      <c r="F518" s="3"/>
      <c r="H518" s="15">
        <f t="shared" ref="H518:H581" si="17" xml:space="preserve"> H517 + IF(EXACT(I518, ""), 0, 1)</f>
        <v>225000000000034</v>
      </c>
      <c r="I518" s="16" t="str">
        <f t="shared" si="16"/>
        <v/>
      </c>
    </row>
    <row r="519" spans="2:9" x14ac:dyDescent="0.2">
      <c r="B519" s="18">
        <f>IF(EXACT('[1]DataLookUp - InternalCareer(LP)'!$B519, ""), "", '[1]DataLookUp - InternalCareer(LP)'!$B519)</f>
        <v>164000000000516</v>
      </c>
      <c r="C519" s="18" t="str">
        <f>IF(EXACT($B519, ""), "", VLOOKUP(B519, '[1]DataLookUp - InternalCareer(LP)'!$B$4:$D$620, 3, FALSE))</f>
        <v>Bagus Isdiantara</v>
      </c>
      <c r="D519" s="3"/>
      <c r="E519" s="18" t="str">
        <f>IF(EXACT($D519, ""), "", VLOOKUP($D519, [2]DataLookUp!$B$4:$C$84, 2, FALSE))</f>
        <v/>
      </c>
      <c r="F519" s="3"/>
      <c r="H519" s="15">
        <f t="shared" si="17"/>
        <v>225000000000034</v>
      </c>
      <c r="I519" s="16" t="str">
        <f t="shared" si="16"/>
        <v/>
      </c>
    </row>
    <row r="520" spans="2:9" x14ac:dyDescent="0.2">
      <c r="B520" s="18">
        <f>IF(EXACT('[1]DataLookUp - InternalCareer(LP)'!$B520, ""), "", '[1]DataLookUp - InternalCareer(LP)'!$B520)</f>
        <v>164000000000517</v>
      </c>
      <c r="C520" s="18" t="str">
        <f>IF(EXACT($B520, ""), "", VLOOKUP(B520, '[1]DataLookUp - InternalCareer(LP)'!$B$4:$D$620, 3, FALSE))</f>
        <v>Cahyana</v>
      </c>
      <c r="D520" s="3">
        <f>[2]MAIN!$D$7</f>
        <v>95000000000003</v>
      </c>
      <c r="E520" s="18" t="str">
        <f>IF(EXACT($D520, ""), "", VLOOKUP($D520, [2]DataLookUp!$B$4:$C$84, 2, FALSE))</f>
        <v>Default Employee Role</v>
      </c>
      <c r="F520" s="3"/>
      <c r="H520" s="15">
        <f t="shared" si="17"/>
        <v>225000000000035</v>
      </c>
      <c r="I520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164000000000517::bigint, 95000000000003::bigint, null::bigint);</v>
      </c>
    </row>
    <row r="521" spans="2:9" x14ac:dyDescent="0.2">
      <c r="B521" s="18">
        <f>IF(EXACT('[1]DataLookUp - InternalCareer(LP)'!$B521, ""), "", '[1]DataLookUp - InternalCareer(LP)'!$B521)</f>
        <v>164000000000518</v>
      </c>
      <c r="C521" s="18" t="str">
        <f>IF(EXACT($B521, ""), "", VLOOKUP(B521, '[1]DataLookUp - InternalCareer(LP)'!$B$4:$D$620, 3, FALSE))</f>
        <v>Dede Hartanto</v>
      </c>
      <c r="D521" s="3"/>
      <c r="E521" s="18" t="str">
        <f>IF(EXACT($D521, ""), "", VLOOKUP($D521, [2]DataLookUp!$B$4:$C$84, 2, FALSE))</f>
        <v/>
      </c>
      <c r="F521" s="3"/>
      <c r="H521" s="15">
        <f t="shared" si="17"/>
        <v>225000000000035</v>
      </c>
      <c r="I521" s="16" t="str">
        <f t="shared" si="16"/>
        <v/>
      </c>
    </row>
    <row r="522" spans="2:9" x14ac:dyDescent="0.2">
      <c r="B522" s="18">
        <f>IF(EXACT('[1]DataLookUp - InternalCareer(LP)'!$B522, ""), "", '[1]DataLookUp - InternalCareer(LP)'!$B522)</f>
        <v>164000000000519</v>
      </c>
      <c r="C522" s="18" t="str">
        <f>IF(EXACT($B522, ""), "", VLOOKUP(B522, '[1]DataLookUp - InternalCareer(LP)'!$B$4:$D$620, 3, FALSE))</f>
        <v>Denny Achmad Ferlando</v>
      </c>
      <c r="D522" s="3"/>
      <c r="E522" s="18" t="str">
        <f>IF(EXACT($D522, ""), "", VLOOKUP($D522, [2]DataLookUp!$B$4:$C$84, 2, FALSE))</f>
        <v/>
      </c>
      <c r="F522" s="3"/>
      <c r="H522" s="15">
        <f t="shared" si="17"/>
        <v>225000000000035</v>
      </c>
      <c r="I522" s="16" t="str">
        <f t="shared" si="16"/>
        <v/>
      </c>
    </row>
    <row r="523" spans="2:9" x14ac:dyDescent="0.2">
      <c r="B523" s="18">
        <f>IF(EXACT('[1]DataLookUp - InternalCareer(LP)'!$B523, ""), "", '[1]DataLookUp - InternalCareer(LP)'!$B523)</f>
        <v>164000000000520</v>
      </c>
      <c r="C523" s="18" t="str">
        <f>IF(EXACT($B523, ""), "", VLOOKUP(B523, '[1]DataLookUp - InternalCareer(LP)'!$B$4:$D$620, 3, FALSE))</f>
        <v>Dian Setiawan</v>
      </c>
      <c r="D523" s="3"/>
      <c r="E523" s="18" t="str">
        <f>IF(EXACT($D523, ""), "", VLOOKUP($D523, [2]DataLookUp!$B$4:$C$84, 2, FALSE))</f>
        <v/>
      </c>
      <c r="F523" s="3"/>
      <c r="H523" s="15">
        <f t="shared" si="17"/>
        <v>225000000000035</v>
      </c>
      <c r="I523" s="16" t="str">
        <f t="shared" si="16"/>
        <v/>
      </c>
    </row>
    <row r="524" spans="2:9" x14ac:dyDescent="0.2">
      <c r="B524" s="18">
        <f>IF(EXACT('[1]DataLookUp - InternalCareer(LP)'!$B524, ""), "", '[1]DataLookUp - InternalCareer(LP)'!$B524)</f>
        <v>164000000000521</v>
      </c>
      <c r="C524" s="18" t="str">
        <f>IF(EXACT($B524, ""), "", VLOOKUP(B524, '[1]DataLookUp - InternalCareer(LP)'!$B$4:$D$620, 3, FALSE))</f>
        <v>Fabrian Danang Destiyara</v>
      </c>
      <c r="D524" s="3"/>
      <c r="E524" s="18" t="str">
        <f>IF(EXACT($D524, ""), "", VLOOKUP($D524, [2]DataLookUp!$B$4:$C$84, 2, FALSE))</f>
        <v/>
      </c>
      <c r="F524" s="3"/>
      <c r="H524" s="15">
        <f t="shared" si="17"/>
        <v>225000000000035</v>
      </c>
      <c r="I524" s="16" t="str">
        <f t="shared" si="16"/>
        <v/>
      </c>
    </row>
    <row r="525" spans="2:9" x14ac:dyDescent="0.2">
      <c r="B525" s="18">
        <f>IF(EXACT('[1]DataLookUp - InternalCareer(LP)'!$B525, ""), "", '[1]DataLookUp - InternalCareer(LP)'!$B525)</f>
        <v>164000000000522</v>
      </c>
      <c r="C525" s="18" t="str">
        <f>IF(EXACT($B525, ""), "", VLOOKUP(B525, '[1]DataLookUp - InternalCareer(LP)'!$B$4:$D$620, 3, FALSE))</f>
        <v>Ferdian Kriswantoro</v>
      </c>
      <c r="D525" s="3">
        <f>[2]MAIN!$D$53</f>
        <v>95000000000041</v>
      </c>
      <c r="E525" s="18" t="str">
        <f>IF(EXACT($D525, ""), "", VLOOKUP($D525, [2]DataLookUp!$B$4:$C$84, 2, FALSE))</f>
        <v>Procurement Coordinator</v>
      </c>
      <c r="F525" s="3"/>
      <c r="H525" s="15">
        <f t="shared" si="17"/>
        <v>225000000000036</v>
      </c>
      <c r="I525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164000000000522::bigint, 95000000000041::bigint, null::bigint);</v>
      </c>
    </row>
    <row r="526" spans="2:9" x14ac:dyDescent="0.2">
      <c r="B526" s="18">
        <f>IF(EXACT('[1]DataLookUp - InternalCareer(LP)'!$B526, ""), "", '[1]DataLookUp - InternalCareer(LP)'!$B526)</f>
        <v>164000000000523</v>
      </c>
      <c r="C526" s="18" t="str">
        <f>IF(EXACT($B526, ""), "", VLOOKUP(B526, '[1]DataLookUp - InternalCareer(LP)'!$B$4:$D$620, 3, FALSE))</f>
        <v>Fuzi Mafrozi</v>
      </c>
      <c r="D526" s="3">
        <f>[2]MAIN!$D$54</f>
        <v>95000000000042</v>
      </c>
      <c r="E526" s="18" t="str">
        <f>IF(EXACT($D526, ""), "", VLOOKUP($D526, [2]DataLookUp!$B$4:$C$84, 2, FALSE))</f>
        <v>Procurement Staff</v>
      </c>
      <c r="F526" s="3"/>
      <c r="H526" s="15">
        <f t="shared" si="17"/>
        <v>225000000000037</v>
      </c>
      <c r="I526" s="16" t="str">
        <f t="shared" si="16"/>
        <v>PERFORM "SchData-OLTP-HumanResource"."Func_TblMapper_WorkerCareerInternalToUserRole_SET"(varSystemLoginSession, null::bigint, null::varchar, null::timestamptz, null::timestamptz, null::varchar, varInstitutionBranchID, varBaseCurrencyID, 164000000000523::bigint, 95000000000042::bigint, null::bigint);</v>
      </c>
    </row>
    <row r="527" spans="2:9" x14ac:dyDescent="0.2">
      <c r="B527" s="18">
        <f>IF(EXACT('[1]DataLookUp - InternalCareer(LP)'!$B527, ""), "", '[1]DataLookUp - InternalCareer(LP)'!$B527)</f>
        <v>164000000000524</v>
      </c>
      <c r="C527" s="18" t="str">
        <f>IF(EXACT($B527, ""), "", VLOOKUP(B527, '[1]DataLookUp - InternalCareer(LP)'!$B$4:$D$620, 3, FALSE))</f>
        <v>Gilang Setiawan</v>
      </c>
      <c r="D527" s="3"/>
      <c r="E527" s="18" t="str">
        <f>IF(EXACT($D527, ""), "", VLOOKUP($D527, [2]DataLookUp!$B$4:$C$84, 2, FALSE))</f>
        <v/>
      </c>
      <c r="F527" s="3"/>
      <c r="H527" s="15">
        <f t="shared" si="17"/>
        <v>225000000000037</v>
      </c>
      <c r="I527" s="16" t="str">
        <f t="shared" si="16"/>
        <v/>
      </c>
    </row>
    <row r="528" spans="2:9" x14ac:dyDescent="0.2">
      <c r="B528" s="18">
        <f>IF(EXACT('[1]DataLookUp - InternalCareer(LP)'!$B528, ""), "", '[1]DataLookUp - InternalCareer(LP)'!$B528)</f>
        <v>164000000000525</v>
      </c>
      <c r="C528" s="18" t="str">
        <f>IF(EXACT($B528, ""), "", VLOOKUP(B528, '[1]DataLookUp - InternalCareer(LP)'!$B$4:$D$620, 3, FALSE))</f>
        <v>Idris Affandi</v>
      </c>
      <c r="D528" s="3"/>
      <c r="E528" s="18" t="str">
        <f>IF(EXACT($D528, ""), "", VLOOKUP($D528, [2]DataLookUp!$B$4:$C$84, 2, FALSE))</f>
        <v/>
      </c>
      <c r="F528" s="3"/>
      <c r="H528" s="15">
        <f t="shared" si="17"/>
        <v>225000000000037</v>
      </c>
      <c r="I528" s="16" t="str">
        <f t="shared" ref="I528:I591" si="18">IF(EXACT(D528, ""), "", CONCATENATE("PERFORM ""SchData-OLTP-HumanResource"".""Func_TblMapper_WorkerCareerInternalToUserRole_SET""(varSystemLoginSession, null::bigint, null::varchar, null::timestamptz, null::timestamptz, null::varchar, varInstitutionBranchID, varBaseCurrencyID, ", IF(EXACT(B528, ""), "null", B528), "::bigint, ", IF(EXACT(D528, ""), "null", D528), "::bigint, ", IF(EXACT(F528, ""), "null", F528), "::bigint);"))</f>
        <v/>
      </c>
    </row>
    <row r="529" spans="2:9" x14ac:dyDescent="0.2">
      <c r="B529" s="18">
        <f>IF(EXACT('[1]DataLookUp - InternalCareer(LP)'!$B529, ""), "", '[1]DataLookUp - InternalCareer(LP)'!$B529)</f>
        <v>164000000000526</v>
      </c>
      <c r="C529" s="18" t="str">
        <f>IF(EXACT($B529, ""), "", VLOOKUP(B529, '[1]DataLookUp - InternalCareer(LP)'!$B$4:$D$620, 3, FALSE))</f>
        <v>Indra Wijaya</v>
      </c>
      <c r="D529" s="3"/>
      <c r="E529" s="18" t="str">
        <f>IF(EXACT($D529, ""), "", VLOOKUP($D529, [2]DataLookUp!$B$4:$C$84, 2, FALSE))</f>
        <v/>
      </c>
      <c r="F529" s="3"/>
      <c r="H529" s="15">
        <f t="shared" si="17"/>
        <v>225000000000037</v>
      </c>
      <c r="I529" s="16" t="str">
        <f t="shared" si="18"/>
        <v/>
      </c>
    </row>
    <row r="530" spans="2:9" x14ac:dyDescent="0.2">
      <c r="B530" s="18">
        <f>IF(EXACT('[1]DataLookUp - InternalCareer(LP)'!$B530, ""), "", '[1]DataLookUp - InternalCareer(LP)'!$B530)</f>
        <v>164000000000527</v>
      </c>
      <c r="C530" s="18" t="str">
        <f>IF(EXACT($B530, ""), "", VLOOKUP(B530, '[1]DataLookUp - InternalCareer(LP)'!$B$4:$D$620, 3, FALSE))</f>
        <v>Irma Maulidawati</v>
      </c>
      <c r="D530" s="3">
        <f>[2]MAIN!$D$44</f>
        <v>95000000000034</v>
      </c>
      <c r="E530" s="18" t="str">
        <f>IF(EXACT($D530, ""), "", VLOOKUP($D530, [2]DataLookUp!$B$4:$C$84, 2, FALSE))</f>
        <v>Accounting &amp; Tax Staff</v>
      </c>
      <c r="F530" s="3"/>
      <c r="H530" s="15">
        <f t="shared" si="17"/>
        <v>225000000000038</v>
      </c>
      <c r="I530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164000000000527::bigint, 95000000000034::bigint, null::bigint);</v>
      </c>
    </row>
    <row r="531" spans="2:9" x14ac:dyDescent="0.2">
      <c r="B531" s="18">
        <f>IF(EXACT('[1]DataLookUp - InternalCareer(LP)'!$B531, ""), "", '[1]DataLookUp - InternalCareer(LP)'!$B531)</f>
        <v>164000000000528</v>
      </c>
      <c r="C531" s="18" t="str">
        <f>IF(EXACT($B531, ""), "", VLOOKUP(B531, '[1]DataLookUp - InternalCareer(LP)'!$B$4:$D$620, 3, FALSE))</f>
        <v>Istikaro Fauziah</v>
      </c>
      <c r="D531" s="3">
        <f>[2]MAIN!$D$68</f>
        <v>95000000000053</v>
      </c>
      <c r="E531" s="18" t="str">
        <f>IF(EXACT($D531, ""), "", VLOOKUP($D531, [2]DataLookUp!$B$4:$C$84, 2, FALSE))</f>
        <v>Human Resource Development Staff</v>
      </c>
      <c r="F531" s="3"/>
      <c r="H531" s="15">
        <f t="shared" si="17"/>
        <v>225000000000039</v>
      </c>
      <c r="I531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164000000000528::bigint, 95000000000053::bigint, null::bigint);</v>
      </c>
    </row>
    <row r="532" spans="2:9" x14ac:dyDescent="0.2">
      <c r="B532" s="18">
        <f>IF(EXACT('[1]DataLookUp - InternalCareer(LP)'!$B532, ""), "", '[1]DataLookUp - InternalCareer(LP)'!$B532)</f>
        <v>164000000000529</v>
      </c>
      <c r="C532" s="18" t="str">
        <f>IF(EXACT($B532, ""), "", VLOOKUP(B532, '[1]DataLookUp - InternalCareer(LP)'!$B$4:$D$620, 3, FALSE))</f>
        <v>Muhammad Lukbani</v>
      </c>
      <c r="D532" s="3"/>
      <c r="E532" s="18" t="str">
        <f>IF(EXACT($D532, ""), "", VLOOKUP($D532, [2]DataLookUp!$B$4:$C$84, 2, FALSE))</f>
        <v/>
      </c>
      <c r="F532" s="3"/>
      <c r="H532" s="15">
        <f t="shared" si="17"/>
        <v>225000000000039</v>
      </c>
      <c r="I532" s="16" t="str">
        <f t="shared" si="18"/>
        <v/>
      </c>
    </row>
    <row r="533" spans="2:9" x14ac:dyDescent="0.2">
      <c r="B533" s="18">
        <f>IF(EXACT('[1]DataLookUp - InternalCareer(LP)'!$B533, ""), "", '[1]DataLookUp - InternalCareer(LP)'!$B533)</f>
        <v>164000000000530</v>
      </c>
      <c r="C533" s="18" t="str">
        <f>IF(EXACT($B533, ""), "", VLOOKUP(B533, '[1]DataLookUp - InternalCareer(LP)'!$B$4:$D$620, 3, FALSE))</f>
        <v>Muhammad Sholikhun</v>
      </c>
      <c r="D533" s="3"/>
      <c r="E533" s="18" t="str">
        <f>IF(EXACT($D533, ""), "", VLOOKUP($D533, [2]DataLookUp!$B$4:$C$84, 2, FALSE))</f>
        <v/>
      </c>
      <c r="F533" s="3"/>
      <c r="H533" s="15">
        <f t="shared" si="17"/>
        <v>225000000000039</v>
      </c>
      <c r="I533" s="16" t="str">
        <f t="shared" si="18"/>
        <v/>
      </c>
    </row>
    <row r="534" spans="2:9" x14ac:dyDescent="0.2">
      <c r="B534" s="18">
        <f>IF(EXACT('[1]DataLookUp - InternalCareer(LP)'!$B534, ""), "", '[1]DataLookUp - InternalCareer(LP)'!$B534)</f>
        <v>164000000000531</v>
      </c>
      <c r="C534" s="18" t="str">
        <f>IF(EXACT($B534, ""), "", VLOOKUP(B534, '[1]DataLookUp - InternalCareer(LP)'!$B$4:$D$620, 3, FALSE))</f>
        <v>Muhammad Syarifudin</v>
      </c>
      <c r="D534" s="3"/>
      <c r="E534" s="18" t="str">
        <f>IF(EXACT($D534, ""), "", VLOOKUP($D534, [2]DataLookUp!$B$4:$C$84, 2, FALSE))</f>
        <v/>
      </c>
      <c r="F534" s="3"/>
      <c r="H534" s="15">
        <f t="shared" si="17"/>
        <v>225000000000039</v>
      </c>
      <c r="I534" s="16" t="str">
        <f t="shared" si="18"/>
        <v/>
      </c>
    </row>
    <row r="535" spans="2:9" x14ac:dyDescent="0.2">
      <c r="B535" s="18">
        <f>IF(EXACT('[1]DataLookUp - InternalCareer(LP)'!$B535, ""), "", '[1]DataLookUp - InternalCareer(LP)'!$B535)</f>
        <v>164000000000532</v>
      </c>
      <c r="C535" s="18" t="str">
        <f>IF(EXACT($B535, ""), "", VLOOKUP(B535, '[1]DataLookUp - InternalCareer(LP)'!$B$4:$D$620, 3, FALSE))</f>
        <v>Nadia Rizkiah</v>
      </c>
      <c r="D535" s="3"/>
      <c r="E535" s="18" t="str">
        <f>IF(EXACT($D535, ""), "", VLOOKUP($D535, [2]DataLookUp!$B$4:$C$84, 2, FALSE))</f>
        <v/>
      </c>
      <c r="F535" s="3"/>
      <c r="H535" s="15">
        <f t="shared" si="17"/>
        <v>225000000000039</v>
      </c>
      <c r="I535" s="16" t="str">
        <f t="shared" si="18"/>
        <v/>
      </c>
    </row>
    <row r="536" spans="2:9" x14ac:dyDescent="0.2">
      <c r="B536" s="18">
        <f>IF(EXACT('[1]DataLookUp - InternalCareer(LP)'!$B536, ""), "", '[1]DataLookUp - InternalCareer(LP)'!$B536)</f>
        <v>164000000000533</v>
      </c>
      <c r="C536" s="18" t="str">
        <f>IF(EXACT($B536, ""), "", VLOOKUP(B536, '[1]DataLookUp - InternalCareer(LP)'!$B$4:$D$620, 3, FALSE))</f>
        <v>Nikko Septian</v>
      </c>
      <c r="D536" s="3"/>
      <c r="E536" s="18" t="str">
        <f>IF(EXACT($D536, ""), "", VLOOKUP($D536, [2]DataLookUp!$B$4:$C$84, 2, FALSE))</f>
        <v/>
      </c>
      <c r="F536" s="3"/>
      <c r="H536" s="15">
        <f t="shared" si="17"/>
        <v>225000000000039</v>
      </c>
      <c r="I536" s="16" t="str">
        <f t="shared" si="18"/>
        <v/>
      </c>
    </row>
    <row r="537" spans="2:9" x14ac:dyDescent="0.2">
      <c r="B537" s="18">
        <f>IF(EXACT('[1]DataLookUp - InternalCareer(LP)'!$B537, ""), "", '[1]DataLookUp - InternalCareer(LP)'!$B537)</f>
        <v>164000000000534</v>
      </c>
      <c r="C537" s="18" t="str">
        <f>IF(EXACT($B537, ""), "", VLOOKUP(B537, '[1]DataLookUp - InternalCareer(LP)'!$B$4:$D$620, 3, FALSE))</f>
        <v>Novizan</v>
      </c>
      <c r="D537" s="3"/>
      <c r="E537" s="18" t="str">
        <f>IF(EXACT($D537, ""), "", VLOOKUP($D537, [2]DataLookUp!$B$4:$C$84, 2, FALSE))</f>
        <v/>
      </c>
      <c r="F537" s="3"/>
      <c r="H537" s="15">
        <f t="shared" si="17"/>
        <v>225000000000039</v>
      </c>
      <c r="I537" s="16" t="str">
        <f t="shared" si="18"/>
        <v/>
      </c>
    </row>
    <row r="538" spans="2:9" x14ac:dyDescent="0.2">
      <c r="B538" s="18">
        <f>IF(EXACT('[1]DataLookUp - InternalCareer(LP)'!$B538, ""), "", '[1]DataLookUp - InternalCareer(LP)'!$B538)</f>
        <v>164000000000535</v>
      </c>
      <c r="C538" s="18" t="str">
        <f>IF(EXACT($B538, ""), "", VLOOKUP(B538, '[1]DataLookUp - InternalCareer(LP)'!$B$4:$D$620, 3, FALSE))</f>
        <v>Oqi Suhaqi Yunus</v>
      </c>
      <c r="D538" s="3"/>
      <c r="E538" s="18" t="str">
        <f>IF(EXACT($D538, ""), "", VLOOKUP($D538, [2]DataLookUp!$B$4:$C$84, 2, FALSE))</f>
        <v/>
      </c>
      <c r="F538" s="3"/>
      <c r="H538" s="15">
        <f t="shared" si="17"/>
        <v>225000000000039</v>
      </c>
      <c r="I538" s="16" t="str">
        <f t="shared" si="18"/>
        <v/>
      </c>
    </row>
    <row r="539" spans="2:9" x14ac:dyDescent="0.2">
      <c r="B539" s="18">
        <f>IF(EXACT('[1]DataLookUp - InternalCareer(LP)'!$B539, ""), "", '[1]DataLookUp - InternalCareer(LP)'!$B539)</f>
        <v>164000000000536</v>
      </c>
      <c r="C539" s="18" t="str">
        <f>IF(EXACT($B539, ""), "", VLOOKUP(B539, '[1]DataLookUp - InternalCareer(LP)'!$B$4:$D$620, 3, FALSE))</f>
        <v>Restu Dwi Anjayani</v>
      </c>
      <c r="D539" s="3">
        <f>[2]MAIN!$D$64</f>
        <v>95000000000050</v>
      </c>
      <c r="E539" s="18" t="str">
        <f>IF(EXACT($D539, ""), "", VLOOKUP($D539, [2]DataLookUp!$B$4:$C$84, 2, FALSE))</f>
        <v>Health Safety Environment Staff</v>
      </c>
      <c r="F539" s="3"/>
      <c r="H539" s="15">
        <f t="shared" si="17"/>
        <v>225000000000040</v>
      </c>
      <c r="I539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164000000000536::bigint, 95000000000050::bigint, null::bigint);</v>
      </c>
    </row>
    <row r="540" spans="2:9" x14ac:dyDescent="0.2">
      <c r="B540" s="18">
        <f>IF(EXACT('[1]DataLookUp - InternalCareer(LP)'!$B540, ""), "", '[1]DataLookUp - InternalCareer(LP)'!$B540)</f>
        <v>164000000000537</v>
      </c>
      <c r="C540" s="18" t="str">
        <f>IF(EXACT($B540, ""), "", VLOOKUP(B540, '[1]DataLookUp - InternalCareer(LP)'!$B$4:$D$620, 3, FALSE))</f>
        <v>Rizal Amri</v>
      </c>
      <c r="D540" s="3"/>
      <c r="E540" s="18" t="str">
        <f>IF(EXACT($D540, ""), "", VLOOKUP($D540, [2]DataLookUp!$B$4:$C$84, 2, FALSE))</f>
        <v/>
      </c>
      <c r="F540" s="3"/>
      <c r="H540" s="15">
        <f t="shared" si="17"/>
        <v>225000000000040</v>
      </c>
      <c r="I540" s="16" t="str">
        <f t="shared" si="18"/>
        <v/>
      </c>
    </row>
    <row r="541" spans="2:9" x14ac:dyDescent="0.2">
      <c r="B541" s="18">
        <f>IF(EXACT('[1]DataLookUp - InternalCareer(LP)'!$B541, ""), "", '[1]DataLookUp - InternalCareer(LP)'!$B541)</f>
        <v>164000000000538</v>
      </c>
      <c r="C541" s="18" t="str">
        <f>IF(EXACT($B541, ""), "", VLOOKUP(B541, '[1]DataLookUp - InternalCareer(LP)'!$B$4:$D$620, 3, FALSE))</f>
        <v>Ronny Anindika Arnold</v>
      </c>
      <c r="D541" s="3"/>
      <c r="E541" s="18" t="str">
        <f>IF(EXACT($D541, ""), "", VLOOKUP($D541, [2]DataLookUp!$B$4:$C$84, 2, FALSE))</f>
        <v/>
      </c>
      <c r="F541" s="3"/>
      <c r="H541" s="15">
        <f t="shared" si="17"/>
        <v>225000000000040</v>
      </c>
      <c r="I541" s="16" t="str">
        <f t="shared" si="18"/>
        <v/>
      </c>
    </row>
    <row r="542" spans="2:9" x14ac:dyDescent="0.2">
      <c r="B542" s="18">
        <f>IF(EXACT('[1]DataLookUp - InternalCareer(LP)'!$B542, ""), "", '[1]DataLookUp - InternalCareer(LP)'!$B542)</f>
        <v>164000000000539</v>
      </c>
      <c r="C542" s="18" t="str">
        <f>IF(EXACT($B542, ""), "", VLOOKUP(B542, '[1]DataLookUp - InternalCareer(LP)'!$B$4:$D$620, 3, FALSE))</f>
        <v>Samta Harahap</v>
      </c>
      <c r="D542" s="3"/>
      <c r="E542" s="18" t="str">
        <f>IF(EXACT($D542, ""), "", VLOOKUP($D542, [2]DataLookUp!$B$4:$C$84, 2, FALSE))</f>
        <v/>
      </c>
      <c r="F542" s="3"/>
      <c r="H542" s="15">
        <f t="shared" si="17"/>
        <v>225000000000040</v>
      </c>
      <c r="I542" s="16" t="str">
        <f t="shared" si="18"/>
        <v/>
      </c>
    </row>
    <row r="543" spans="2:9" x14ac:dyDescent="0.2">
      <c r="B543" s="18">
        <f>IF(EXACT('[1]DataLookUp - InternalCareer(LP)'!$B543, ""), "", '[1]DataLookUp - InternalCareer(LP)'!$B543)</f>
        <v>164000000000540</v>
      </c>
      <c r="C543" s="18" t="str">
        <f>IF(EXACT($B543, ""), "", VLOOKUP(B543, '[1]DataLookUp - InternalCareer(LP)'!$B$4:$D$620, 3, FALSE))</f>
        <v>Vingky Hendriek Yomerlin</v>
      </c>
      <c r="D543" s="3"/>
      <c r="E543" s="18" t="str">
        <f>IF(EXACT($D543, ""), "", VLOOKUP($D543, [2]DataLookUp!$B$4:$C$84, 2, FALSE))</f>
        <v/>
      </c>
      <c r="F543" s="3"/>
      <c r="H543" s="15">
        <f t="shared" si="17"/>
        <v>225000000000040</v>
      </c>
      <c r="I543" s="16" t="str">
        <f t="shared" si="18"/>
        <v/>
      </c>
    </row>
    <row r="544" spans="2:9" x14ac:dyDescent="0.2">
      <c r="B544" s="18">
        <f>IF(EXACT('[1]DataLookUp - InternalCareer(LP)'!$B544, ""), "", '[1]DataLookUp - InternalCareer(LP)'!$B544)</f>
        <v>164000000000541</v>
      </c>
      <c r="C544" s="18" t="str">
        <f>IF(EXACT($B544, ""), "", VLOOKUP(B544, '[1]DataLookUp - InternalCareer(LP)'!$B$4:$D$620, 3, FALSE))</f>
        <v>Wahyu Teluk Naga</v>
      </c>
      <c r="D544" s="3"/>
      <c r="E544" s="18" t="str">
        <f>IF(EXACT($D544, ""), "", VLOOKUP($D544, [2]DataLookUp!$B$4:$C$84, 2, FALSE))</f>
        <v/>
      </c>
      <c r="F544" s="3"/>
      <c r="H544" s="15">
        <f t="shared" si="17"/>
        <v>225000000000040</v>
      </c>
      <c r="I544" s="16" t="str">
        <f t="shared" si="18"/>
        <v/>
      </c>
    </row>
    <row r="545" spans="2:9" x14ac:dyDescent="0.2">
      <c r="B545" s="18">
        <f>IF(EXACT('[1]DataLookUp - InternalCareer(LP)'!$B545, ""), "", '[1]DataLookUp - InternalCareer(LP)'!$B545)</f>
        <v>164000000000542</v>
      </c>
      <c r="C545" s="18" t="str">
        <f>IF(EXACT($B545, ""), "", VLOOKUP(B545, '[1]DataLookUp - InternalCareer(LP)'!$B$4:$D$620, 3, FALSE))</f>
        <v>Wardah Laily Khoiriyah</v>
      </c>
      <c r="D545" s="3">
        <f>[2]MAIN!$D$32</f>
        <v>95000000000024</v>
      </c>
      <c r="E545" s="18" t="str">
        <f>IF(EXACT($D545, ""), "", VLOOKUP($D545, [2]DataLookUp!$B$4:$C$84, 2, FALSE))</f>
        <v>Project Administrator Staff</v>
      </c>
      <c r="F545" s="3">
        <v>46000000000033</v>
      </c>
      <c r="H545" s="15">
        <f t="shared" si="17"/>
        <v>225000000000041</v>
      </c>
      <c r="I545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164000000000542::bigint, 95000000000024::bigint, 46000000000033::bigint);</v>
      </c>
    </row>
    <row r="546" spans="2:9" x14ac:dyDescent="0.2">
      <c r="B546" s="18">
        <f>IF(EXACT('[1]DataLookUp - InternalCareer(LP)'!$B546, ""), "", '[1]DataLookUp - InternalCareer(LP)'!$B546)</f>
        <v>164000000000543</v>
      </c>
      <c r="C546" s="18" t="str">
        <f>IF(EXACT($B546, ""), "", VLOOKUP(B546, '[1]DataLookUp - InternalCareer(LP)'!$B$4:$D$620, 3, FALSE))</f>
        <v>Wawan Kusworo</v>
      </c>
      <c r="D546" s="3"/>
      <c r="E546" s="18" t="str">
        <f>IF(EXACT($D546, ""), "", VLOOKUP($D546, [2]DataLookUp!$B$4:$C$84, 2, FALSE))</f>
        <v/>
      </c>
      <c r="F546" s="3"/>
      <c r="H546" s="15">
        <f t="shared" si="17"/>
        <v>225000000000041</v>
      </c>
      <c r="I546" s="16" t="str">
        <f t="shared" si="18"/>
        <v/>
      </c>
    </row>
    <row r="547" spans="2:9" x14ac:dyDescent="0.2">
      <c r="B547" s="18">
        <f>IF(EXACT('[1]DataLookUp - InternalCareer(LP)'!$B547, ""), "", '[1]DataLookUp - InternalCareer(LP)'!$B547)</f>
        <v>164000000000544</v>
      </c>
      <c r="C547" s="18" t="str">
        <f>IF(EXACT($B547, ""), "", VLOOKUP(B547, '[1]DataLookUp - InternalCareer(LP)'!$B$4:$D$620, 3, FALSE))</f>
        <v>Wulanraniasih</v>
      </c>
      <c r="D547" s="3"/>
      <c r="E547" s="18" t="str">
        <f>IF(EXACT($D547, ""), "", VLOOKUP($D547, [2]DataLookUp!$B$4:$C$84, 2, FALSE))</f>
        <v/>
      </c>
      <c r="F547" s="3"/>
      <c r="H547" s="15">
        <f t="shared" si="17"/>
        <v>225000000000041</v>
      </c>
      <c r="I547" s="16" t="str">
        <f t="shared" si="18"/>
        <v/>
      </c>
    </row>
    <row r="548" spans="2:9" x14ac:dyDescent="0.2">
      <c r="B548" s="18">
        <f>IF(EXACT('[1]DataLookUp - InternalCareer(LP)'!$B548, ""), "", '[1]DataLookUp - InternalCareer(LP)'!$B548)</f>
        <v>164000000000545</v>
      </c>
      <c r="C548" s="18" t="str">
        <f>IF(EXACT($B548, ""), "", VLOOKUP(B548, '[1]DataLookUp - InternalCareer(LP)'!$B$4:$D$620, 3, FALSE))</f>
        <v>Yogi Perbangkara</v>
      </c>
      <c r="D548" s="3">
        <f>[2]MAIN!$D$58</f>
        <v>95000000000045</v>
      </c>
      <c r="E548" s="18" t="str">
        <f>IF(EXACT($D548, ""), "", VLOOKUP($D548, [2]DataLookUp!$B$4:$C$84, 2, FALSE))</f>
        <v>Bid And Sales Administrator Staff</v>
      </c>
      <c r="F548" s="3"/>
      <c r="H548" s="15">
        <f t="shared" si="17"/>
        <v>225000000000042</v>
      </c>
      <c r="I548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164000000000545::bigint, 95000000000045::bigint, null::bigint);</v>
      </c>
    </row>
    <row r="549" spans="2:9" x14ac:dyDescent="0.2">
      <c r="B549" s="18">
        <f>IF(EXACT('[1]DataLookUp - InternalCareer(LP)'!$B549, ""), "", '[1]DataLookUp - InternalCareer(LP)'!$B549)</f>
        <v>164000000000546</v>
      </c>
      <c r="C549" s="18" t="str">
        <f>IF(EXACT($B549, ""), "", VLOOKUP(B549, '[1]DataLookUp - InternalCareer(LP)'!$B$4:$D$620, 3, FALSE))</f>
        <v>Yusuf Fathurahman</v>
      </c>
      <c r="D549" s="3"/>
      <c r="E549" s="18" t="str">
        <f>IF(EXACT($D549, ""), "", VLOOKUP($D549, [2]DataLookUp!$B$4:$C$84, 2, FALSE))</f>
        <v/>
      </c>
      <c r="F549" s="3"/>
      <c r="H549" s="15">
        <f t="shared" si="17"/>
        <v>225000000000042</v>
      </c>
      <c r="I549" s="16" t="str">
        <f t="shared" si="18"/>
        <v/>
      </c>
    </row>
    <row r="550" spans="2:9" x14ac:dyDescent="0.2">
      <c r="B550" s="18">
        <f>IF(EXACT('[1]DataLookUp - InternalCareer(LP)'!$B550, ""), "", '[1]DataLookUp - InternalCareer(LP)'!$B550)</f>
        <v>164000000000547</v>
      </c>
      <c r="C550" s="18" t="str">
        <f>IF(EXACT($B550, ""), "", VLOOKUP(B550, '[1]DataLookUp - InternalCareer(LP)'!$B$4:$D$620, 3, FALSE))</f>
        <v>Zeinurani</v>
      </c>
      <c r="D550" s="3">
        <f>[2]MAIN!$D$38</f>
        <v>95000000000029</v>
      </c>
      <c r="E550" s="18" t="str">
        <f>IF(EXACT($D550, ""), "", VLOOKUP($D550, [2]DataLookUp!$B$4:$C$84, 2, FALSE))</f>
        <v>Cashier &amp; Treasury Staff</v>
      </c>
      <c r="F550" s="3"/>
      <c r="H550" s="15">
        <f t="shared" si="17"/>
        <v>225000000000043</v>
      </c>
      <c r="I550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164000000000547::bigint, 95000000000029::bigint, null::bigint);</v>
      </c>
    </row>
    <row r="551" spans="2:9" x14ac:dyDescent="0.2">
      <c r="B551" s="18">
        <f>IF(EXACT('[1]DataLookUp - InternalCareer(LP)'!$B551, ""), "", '[1]DataLookUp - InternalCareer(LP)'!$B551)</f>
        <v>164000000000548</v>
      </c>
      <c r="C551" s="18" t="str">
        <f>IF(EXACT($B551, ""), "", VLOOKUP(B551, '[1]DataLookUp - InternalCareer(LP)'!$B$4:$D$620, 3, FALSE))</f>
        <v>Sulaeman</v>
      </c>
      <c r="D551" s="3">
        <f>[2]MAIN!$D$7</f>
        <v>95000000000003</v>
      </c>
      <c r="E551" s="18" t="str">
        <f>IF(EXACT($D551, ""), "", VLOOKUP($D551, [2]DataLookUp!$B$4:$C$84, 2, FALSE))</f>
        <v>Default Employee Role</v>
      </c>
      <c r="F551" s="3"/>
      <c r="H551" s="15">
        <f t="shared" si="17"/>
        <v>225000000000044</v>
      </c>
      <c r="I551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164000000000548::bigint, 95000000000003::bigint, null::bigint);</v>
      </c>
    </row>
    <row r="552" spans="2:9" x14ac:dyDescent="0.2">
      <c r="B552" s="18">
        <f>IF(EXACT('[1]DataLookUp - InternalCareer(LP)'!$B552, ""), "", '[1]DataLookUp - InternalCareer(LP)'!$B552)</f>
        <v>164000000000549</v>
      </c>
      <c r="C552" s="18" t="str">
        <f>IF(EXACT($B552, ""), "", VLOOKUP(B552, '[1]DataLookUp - InternalCareer(LP)'!$B$4:$D$620, 3, FALSE))</f>
        <v>Agus Nuryadi</v>
      </c>
      <c r="D552" s="3"/>
      <c r="E552" s="18" t="str">
        <f>IF(EXACT($D552, ""), "", VLOOKUP($D552, [2]DataLookUp!$B$4:$C$84, 2, FALSE))</f>
        <v/>
      </c>
      <c r="F552" s="3"/>
      <c r="H552" s="15">
        <f t="shared" si="17"/>
        <v>225000000000044</v>
      </c>
      <c r="I552" s="16" t="str">
        <f t="shared" si="18"/>
        <v/>
      </c>
    </row>
    <row r="553" spans="2:9" x14ac:dyDescent="0.2">
      <c r="B553" s="18">
        <f>IF(EXACT('[1]DataLookUp - InternalCareer(LP)'!$B553, ""), "", '[1]DataLookUp - InternalCareer(LP)'!$B553)</f>
        <v>164000000000550</v>
      </c>
      <c r="C553" s="18" t="str">
        <f>IF(EXACT($B553, ""), "", VLOOKUP(B553, '[1]DataLookUp - InternalCareer(LP)'!$B$4:$D$620, 3, FALSE))</f>
        <v>Dian Tri Rahmawati</v>
      </c>
      <c r="D553" s="3"/>
      <c r="E553" s="18" t="str">
        <f>IF(EXACT($D553, ""), "", VLOOKUP($D553, [2]DataLookUp!$B$4:$C$84, 2, FALSE))</f>
        <v/>
      </c>
      <c r="F553" s="3"/>
      <c r="H553" s="15">
        <f t="shared" si="17"/>
        <v>225000000000044</v>
      </c>
      <c r="I553" s="16" t="str">
        <f t="shared" si="18"/>
        <v/>
      </c>
    </row>
    <row r="554" spans="2:9" x14ac:dyDescent="0.2">
      <c r="B554" s="18">
        <f>IF(EXACT('[1]DataLookUp - InternalCareer(LP)'!$B554, ""), "", '[1]DataLookUp - InternalCareer(LP)'!$B554)</f>
        <v>164000000000551</v>
      </c>
      <c r="C554" s="18" t="str">
        <f>IF(EXACT($B554, ""), "", VLOOKUP(B554, '[1]DataLookUp - InternalCareer(LP)'!$B$4:$D$620, 3, FALSE))</f>
        <v>Langgeng Eko Dwiantoro</v>
      </c>
      <c r="D554" s="3">
        <f>[2]MAIN!$D$7</f>
        <v>95000000000003</v>
      </c>
      <c r="E554" s="18" t="str">
        <f>IF(EXACT($D554, ""), "", VLOOKUP($D554, [2]DataLookUp!$B$4:$C$84, 2, FALSE))</f>
        <v>Default Employee Role</v>
      </c>
      <c r="F554" s="3"/>
      <c r="H554" s="15">
        <f t="shared" si="17"/>
        <v>225000000000045</v>
      </c>
      <c r="I554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164000000000551::bigint, 95000000000003::bigint, null::bigint);</v>
      </c>
    </row>
    <row r="555" spans="2:9" x14ac:dyDescent="0.2">
      <c r="B555" s="18">
        <f>IF(EXACT('[1]DataLookUp - InternalCareer(LP)'!$B555, ""), "", '[1]DataLookUp - InternalCareer(LP)'!$B555)</f>
        <v>164000000000552</v>
      </c>
      <c r="C555" s="18" t="str">
        <f>IF(EXACT($B555, ""), "", VLOOKUP(B555, '[1]DataLookUp - InternalCareer(LP)'!$B$4:$D$620, 3, FALSE))</f>
        <v>Aldi Rizaldi</v>
      </c>
      <c r="D555" s="3">
        <f>[2]MAIN!$D$7</f>
        <v>95000000000003</v>
      </c>
      <c r="E555" s="18" t="str">
        <f>IF(EXACT($D555, ""), "", VLOOKUP($D555, [2]DataLookUp!$B$4:$C$84, 2, FALSE))</f>
        <v>Default Employee Role</v>
      </c>
      <c r="F555" s="3"/>
      <c r="H555" s="15">
        <f t="shared" si="17"/>
        <v>225000000000046</v>
      </c>
      <c r="I555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164000000000552::bigint, 95000000000003::bigint, null::bigint);</v>
      </c>
    </row>
    <row r="556" spans="2:9" x14ac:dyDescent="0.2">
      <c r="B556" s="18">
        <f>IF(EXACT('[1]DataLookUp - InternalCareer(LP)'!$B556, ""), "", '[1]DataLookUp - InternalCareer(LP)'!$B556)</f>
        <v>164000000000553</v>
      </c>
      <c r="C556" s="18" t="str">
        <f>IF(EXACT($B556, ""), "", VLOOKUP(B556, '[1]DataLookUp - InternalCareer(LP)'!$B$4:$D$620, 3, FALSE))</f>
        <v>Masimin</v>
      </c>
      <c r="D556" s="3">
        <f>[2]MAIN!$D$7</f>
        <v>95000000000003</v>
      </c>
      <c r="E556" s="18" t="str">
        <f>IF(EXACT($D556, ""), "", VLOOKUP($D556, [2]DataLookUp!$B$4:$C$84, 2, FALSE))</f>
        <v>Default Employee Role</v>
      </c>
      <c r="F556" s="3"/>
      <c r="H556" s="15">
        <f t="shared" si="17"/>
        <v>225000000000047</v>
      </c>
      <c r="I556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164000000000553::bigint, 95000000000003::bigint, null::bigint);</v>
      </c>
    </row>
    <row r="557" spans="2:9" x14ac:dyDescent="0.2">
      <c r="B557" s="18">
        <f>IF(EXACT('[1]DataLookUp - InternalCareer(LP)'!$B557, ""), "", '[1]DataLookUp - InternalCareer(LP)'!$B557)</f>
        <v>164000000000554</v>
      </c>
      <c r="C557" s="18" t="str">
        <f>IF(EXACT($B557, ""), "", VLOOKUP(B557, '[1]DataLookUp - InternalCareer(LP)'!$B$4:$D$620, 3, FALSE))</f>
        <v>Santoso Dwi Cahyo</v>
      </c>
      <c r="D557" s="3">
        <f>[2]MAIN!$D$48</f>
        <v>95000000000037</v>
      </c>
      <c r="E557" s="18" t="str">
        <f>IF(EXACT($D557, ""), "", VLOOKUP($D557, [2]DataLookUp!$B$4:$C$84, 2, FALSE))</f>
        <v>IT System Engineer Staff</v>
      </c>
      <c r="F557" s="3"/>
      <c r="H557" s="15">
        <f t="shared" si="17"/>
        <v>225000000000048</v>
      </c>
      <c r="I557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164000000000554::bigint, 95000000000037::bigint, null::bigint);</v>
      </c>
    </row>
    <row r="558" spans="2:9" x14ac:dyDescent="0.2">
      <c r="B558" s="18">
        <f>IF(EXACT('[1]DataLookUp - InternalCareer(LP)'!$B558, ""), "", '[1]DataLookUp - InternalCareer(LP)'!$B558)</f>
        <v>164000000000555</v>
      </c>
      <c r="C558" s="18" t="str">
        <f>IF(EXACT($B558, ""), "", VLOOKUP(B558, '[1]DataLookUp - InternalCareer(LP)'!$B$4:$D$620, 3, FALSE))</f>
        <v>Wartono</v>
      </c>
      <c r="D558" s="3"/>
      <c r="E558" s="18" t="str">
        <f>IF(EXACT($D558, ""), "", VLOOKUP($D558, [2]DataLookUp!$B$4:$C$84, 2, FALSE))</f>
        <v/>
      </c>
      <c r="F558" s="3"/>
      <c r="H558" s="15">
        <f t="shared" si="17"/>
        <v>225000000000048</v>
      </c>
      <c r="I558" s="16" t="str">
        <f t="shared" si="18"/>
        <v/>
      </c>
    </row>
    <row r="559" spans="2:9" x14ac:dyDescent="0.2">
      <c r="B559" s="18">
        <f>IF(EXACT('[1]DataLookUp - InternalCareer(LP)'!$B559, ""), "", '[1]DataLookUp - InternalCareer(LP)'!$B559)</f>
        <v>164000000000556</v>
      </c>
      <c r="C559" s="18" t="str">
        <f>IF(EXACT($B559, ""), "", VLOOKUP(B559, '[1]DataLookUp - InternalCareer(LP)'!$B$4:$D$620, 3, FALSE))</f>
        <v>Yusarman</v>
      </c>
      <c r="D559" s="3"/>
      <c r="E559" s="18" t="str">
        <f>IF(EXACT($D559, ""), "", VLOOKUP($D559, [2]DataLookUp!$B$4:$C$84, 2, FALSE))</f>
        <v/>
      </c>
      <c r="F559" s="3"/>
      <c r="H559" s="15">
        <f t="shared" si="17"/>
        <v>225000000000048</v>
      </c>
      <c r="I559" s="16" t="str">
        <f t="shared" si="18"/>
        <v/>
      </c>
    </row>
    <row r="560" spans="2:9" x14ac:dyDescent="0.2">
      <c r="B560" s="18">
        <f>IF(EXACT('[1]DataLookUp - InternalCareer(LP)'!$B560, ""), "", '[1]DataLookUp - InternalCareer(LP)'!$B560)</f>
        <v>164000000000557</v>
      </c>
      <c r="C560" s="18" t="str">
        <f>IF(EXACT($B560, ""), "", VLOOKUP(B560, '[1]DataLookUp - InternalCareer(LP)'!$B$4:$D$620, 3, FALSE))</f>
        <v>Abdul Rachman</v>
      </c>
      <c r="D560" s="3"/>
      <c r="E560" s="18" t="str">
        <f>IF(EXACT($D560, ""), "", VLOOKUP($D560, [2]DataLookUp!$B$4:$C$84, 2, FALSE))</f>
        <v/>
      </c>
      <c r="F560" s="3"/>
      <c r="H560" s="15">
        <f t="shared" si="17"/>
        <v>225000000000048</v>
      </c>
      <c r="I560" s="16" t="str">
        <f t="shared" si="18"/>
        <v/>
      </c>
    </row>
    <row r="561" spans="2:9" x14ac:dyDescent="0.2">
      <c r="B561" s="18">
        <f>IF(EXACT('[1]DataLookUp - InternalCareer(LP)'!$B561, ""), "", '[1]DataLookUp - InternalCareer(LP)'!$B561)</f>
        <v>164000000000558</v>
      </c>
      <c r="C561" s="18" t="str">
        <f>IF(EXACT($B561, ""), "", VLOOKUP(B561, '[1]DataLookUp - InternalCareer(LP)'!$B$4:$D$620, 3, FALSE))</f>
        <v>Aden Bagus</v>
      </c>
      <c r="D561" s="3"/>
      <c r="E561" s="18" t="str">
        <f>IF(EXACT($D561, ""), "", VLOOKUP($D561, [2]DataLookUp!$B$4:$C$84, 2, FALSE))</f>
        <v/>
      </c>
      <c r="F561" s="3"/>
      <c r="H561" s="15">
        <f t="shared" si="17"/>
        <v>225000000000048</v>
      </c>
      <c r="I561" s="16" t="str">
        <f t="shared" si="18"/>
        <v/>
      </c>
    </row>
    <row r="562" spans="2:9" x14ac:dyDescent="0.2">
      <c r="B562" s="18">
        <f>IF(EXACT('[1]DataLookUp - InternalCareer(LP)'!$B562, ""), "", '[1]DataLookUp - InternalCareer(LP)'!$B562)</f>
        <v>164000000000559</v>
      </c>
      <c r="C562" s="18" t="str">
        <f>IF(EXACT($B562, ""), "", VLOOKUP(B562, '[1]DataLookUp - InternalCareer(LP)'!$B$4:$D$620, 3, FALSE))</f>
        <v>Adhe Kurniawan</v>
      </c>
      <c r="D562" s="3">
        <f>[2]MAIN!$D$23</f>
        <v>95000000000016</v>
      </c>
      <c r="E562" s="18" t="str">
        <f>IF(EXACT($D562, ""), "", VLOOKUP($D562, [2]DataLookUp!$B$4:$C$84, 2, FALSE))</f>
        <v>Finance, Accounting, &amp; Tax General Manager</v>
      </c>
      <c r="F562" s="3"/>
      <c r="H562" s="15">
        <f t="shared" si="17"/>
        <v>225000000000049</v>
      </c>
      <c r="I562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164000000000559::bigint, 95000000000016::bigint, null::bigint);</v>
      </c>
    </row>
    <row r="563" spans="2:9" x14ac:dyDescent="0.2">
      <c r="B563" s="18">
        <f>IF(EXACT('[1]DataLookUp - InternalCareer(LP)'!$B563, ""), "", '[1]DataLookUp - InternalCareer(LP)'!$B563)</f>
        <v>164000000000560</v>
      </c>
      <c r="C563" s="18" t="str">
        <f>IF(EXACT($B563, ""), "", VLOOKUP(B563, '[1]DataLookUp - InternalCareer(LP)'!$B$4:$D$620, 3, FALSE))</f>
        <v>Ahmad Fauzi</v>
      </c>
      <c r="D563" s="3"/>
      <c r="E563" s="18" t="str">
        <f>IF(EXACT($D563, ""), "", VLOOKUP($D563, [2]DataLookUp!$B$4:$C$84, 2, FALSE))</f>
        <v/>
      </c>
      <c r="F563" s="3"/>
      <c r="H563" s="15">
        <f t="shared" si="17"/>
        <v>225000000000049</v>
      </c>
      <c r="I563" s="16" t="str">
        <f t="shared" si="18"/>
        <v/>
      </c>
    </row>
    <row r="564" spans="2:9" x14ac:dyDescent="0.2">
      <c r="B564" s="18">
        <f>IF(EXACT('[1]DataLookUp - InternalCareer(LP)'!$B564, ""), "", '[1]DataLookUp - InternalCareer(LP)'!$B564)</f>
        <v>164000000000561</v>
      </c>
      <c r="C564" s="18" t="str">
        <f>IF(EXACT($B564, ""), "", VLOOKUP(B564, '[1]DataLookUp - InternalCareer(LP)'!$B$4:$D$620, 3, FALSE))</f>
        <v>Ahmad Gunawan</v>
      </c>
      <c r="D564" s="3"/>
      <c r="E564" s="18" t="str">
        <f>IF(EXACT($D564, ""), "", VLOOKUP($D564, [2]DataLookUp!$B$4:$C$84, 2, FALSE))</f>
        <v/>
      </c>
      <c r="F564" s="3"/>
      <c r="H564" s="15">
        <f t="shared" si="17"/>
        <v>225000000000049</v>
      </c>
      <c r="I564" s="16" t="str">
        <f t="shared" si="18"/>
        <v/>
      </c>
    </row>
    <row r="565" spans="2:9" x14ac:dyDescent="0.2">
      <c r="B565" s="18">
        <f>IF(EXACT('[1]DataLookUp - InternalCareer(LP)'!$B565, ""), "", '[1]DataLookUp - InternalCareer(LP)'!$B565)</f>
        <v>164000000000562</v>
      </c>
      <c r="C565" s="18" t="str">
        <f>IF(EXACT($B565, ""), "", VLOOKUP(B565, '[1]DataLookUp - InternalCareer(LP)'!$B$4:$D$620, 3, FALSE))</f>
        <v>Andri Andriyan</v>
      </c>
      <c r="D565" s="3"/>
      <c r="E565" s="18" t="str">
        <f>IF(EXACT($D565, ""), "", VLOOKUP($D565, [2]DataLookUp!$B$4:$C$84, 2, FALSE))</f>
        <v/>
      </c>
      <c r="F565" s="3"/>
      <c r="H565" s="15">
        <f t="shared" si="17"/>
        <v>225000000000049</v>
      </c>
      <c r="I565" s="16" t="str">
        <f t="shared" si="18"/>
        <v/>
      </c>
    </row>
    <row r="566" spans="2:9" x14ac:dyDescent="0.2">
      <c r="B566" s="18">
        <f>IF(EXACT('[1]DataLookUp - InternalCareer(LP)'!$B566, ""), "", '[1]DataLookUp - InternalCareer(LP)'!$B566)</f>
        <v>164000000000563</v>
      </c>
      <c r="C566" s="18" t="str">
        <f>IF(EXACT($B566, ""), "", VLOOKUP(B566, '[1]DataLookUp - InternalCareer(LP)'!$B$4:$D$620, 3, FALSE))</f>
        <v>Budi Sulistianto</v>
      </c>
      <c r="D566" s="3"/>
      <c r="E566" s="18" t="str">
        <f>IF(EXACT($D566, ""), "", VLOOKUP($D566, [2]DataLookUp!$B$4:$C$84, 2, FALSE))</f>
        <v/>
      </c>
      <c r="F566" s="3"/>
      <c r="H566" s="15">
        <f t="shared" si="17"/>
        <v>225000000000049</v>
      </c>
      <c r="I566" s="16" t="str">
        <f t="shared" si="18"/>
        <v/>
      </c>
    </row>
    <row r="567" spans="2:9" x14ac:dyDescent="0.2">
      <c r="B567" s="18">
        <f>IF(EXACT('[1]DataLookUp - InternalCareer(LP)'!$B567, ""), "", '[1]DataLookUp - InternalCareer(LP)'!$B567)</f>
        <v>164000000000564</v>
      </c>
      <c r="C567" s="18" t="str">
        <f>IF(EXACT($B567, ""), "", VLOOKUP(B567, '[1]DataLookUp - InternalCareer(LP)'!$B$4:$D$620, 3, FALSE))</f>
        <v>Eka Budi</v>
      </c>
      <c r="D567" s="3"/>
      <c r="E567" s="18" t="str">
        <f>IF(EXACT($D567, ""), "", VLOOKUP($D567, [2]DataLookUp!$B$4:$C$84, 2, FALSE))</f>
        <v/>
      </c>
      <c r="F567" s="3"/>
      <c r="H567" s="15">
        <f t="shared" si="17"/>
        <v>225000000000049</v>
      </c>
      <c r="I567" s="16" t="str">
        <f t="shared" si="18"/>
        <v/>
      </c>
    </row>
    <row r="568" spans="2:9" x14ac:dyDescent="0.2">
      <c r="B568" s="18">
        <f>IF(EXACT('[1]DataLookUp - InternalCareer(LP)'!$B568, ""), "", '[1]DataLookUp - InternalCareer(LP)'!$B568)</f>
        <v>164000000000565</v>
      </c>
      <c r="C568" s="18" t="str">
        <f>IF(EXACT($B568, ""), "", VLOOKUP(B568, '[1]DataLookUp - InternalCareer(LP)'!$B$4:$D$620, 3, FALSE))</f>
        <v>Haerul Gunawan</v>
      </c>
      <c r="D568" s="3"/>
      <c r="E568" s="18" t="str">
        <f>IF(EXACT($D568, ""), "", VLOOKUP($D568, [2]DataLookUp!$B$4:$C$84, 2, FALSE))</f>
        <v/>
      </c>
      <c r="F568" s="3"/>
      <c r="H568" s="15">
        <f t="shared" si="17"/>
        <v>225000000000049</v>
      </c>
      <c r="I568" s="16" t="str">
        <f t="shared" si="18"/>
        <v/>
      </c>
    </row>
    <row r="569" spans="2:9" x14ac:dyDescent="0.2">
      <c r="B569" s="18">
        <f>IF(EXACT('[1]DataLookUp - InternalCareer(LP)'!$B569, ""), "", '[1]DataLookUp - InternalCareer(LP)'!$B569)</f>
        <v>164000000000566</v>
      </c>
      <c r="C569" s="18" t="str">
        <f>IF(EXACT($B569, ""), "", VLOOKUP(B569, '[1]DataLookUp - InternalCareer(LP)'!$B$4:$D$620, 3, FALSE))</f>
        <v>Irvan Agus</v>
      </c>
      <c r="D569" s="3"/>
      <c r="E569" s="18" t="str">
        <f>IF(EXACT($D569, ""), "", VLOOKUP($D569, [2]DataLookUp!$B$4:$C$84, 2, FALSE))</f>
        <v/>
      </c>
      <c r="F569" s="3"/>
      <c r="H569" s="15">
        <f t="shared" si="17"/>
        <v>225000000000049</v>
      </c>
      <c r="I569" s="16" t="str">
        <f t="shared" si="18"/>
        <v/>
      </c>
    </row>
    <row r="570" spans="2:9" x14ac:dyDescent="0.2">
      <c r="B570" s="18">
        <f>IF(EXACT('[1]DataLookUp - InternalCareer(LP)'!$B570, ""), "", '[1]DataLookUp - InternalCareer(LP)'!$B570)</f>
        <v>164000000000567</v>
      </c>
      <c r="C570" s="18" t="str">
        <f>IF(EXACT($B570, ""), "", VLOOKUP(B570, '[1]DataLookUp - InternalCareer(LP)'!$B$4:$D$620, 3, FALSE))</f>
        <v>Joshika Pradirga</v>
      </c>
      <c r="D570" s="3"/>
      <c r="E570" s="18" t="str">
        <f>IF(EXACT($D570, ""), "", VLOOKUP($D570, [2]DataLookUp!$B$4:$C$84, 2, FALSE))</f>
        <v/>
      </c>
      <c r="F570" s="3"/>
      <c r="H570" s="15">
        <f t="shared" si="17"/>
        <v>225000000000049</v>
      </c>
      <c r="I570" s="16" t="str">
        <f t="shared" si="18"/>
        <v/>
      </c>
    </row>
    <row r="571" spans="2:9" x14ac:dyDescent="0.2">
      <c r="B571" s="18">
        <f>IF(EXACT('[1]DataLookUp - InternalCareer(LP)'!$B571, ""), "", '[1]DataLookUp - InternalCareer(LP)'!$B571)</f>
        <v>164000000000568</v>
      </c>
      <c r="C571" s="18" t="str">
        <f>IF(EXACT($B571, ""), "", VLOOKUP(B571, '[1]DataLookUp - InternalCareer(LP)'!$B$4:$D$620, 3, FALSE))</f>
        <v>Khaidir</v>
      </c>
      <c r="D571" s="3"/>
      <c r="E571" s="18" t="str">
        <f>IF(EXACT($D571, ""), "", VLOOKUP($D571, [2]DataLookUp!$B$4:$C$84, 2, FALSE))</f>
        <v/>
      </c>
      <c r="F571" s="3"/>
      <c r="H571" s="15">
        <f t="shared" si="17"/>
        <v>225000000000049</v>
      </c>
      <c r="I571" s="16" t="str">
        <f t="shared" si="18"/>
        <v/>
      </c>
    </row>
    <row r="572" spans="2:9" x14ac:dyDescent="0.2">
      <c r="B572" s="18">
        <f>IF(EXACT('[1]DataLookUp - InternalCareer(LP)'!$B572, ""), "", '[1]DataLookUp - InternalCareer(LP)'!$B572)</f>
        <v>164000000000569</v>
      </c>
      <c r="C572" s="18" t="str">
        <f>IF(EXACT($B572, ""), "", VLOOKUP(B572, '[1]DataLookUp - InternalCareer(LP)'!$B$4:$D$620, 3, FALSE))</f>
        <v>Latip Muhlanto</v>
      </c>
      <c r="D572" s="3"/>
      <c r="E572" s="18" t="str">
        <f>IF(EXACT($D572, ""), "", VLOOKUP($D572, [2]DataLookUp!$B$4:$C$84, 2, FALSE))</f>
        <v/>
      </c>
      <c r="F572" s="3"/>
      <c r="H572" s="15">
        <f t="shared" si="17"/>
        <v>225000000000049</v>
      </c>
      <c r="I572" s="16" t="str">
        <f t="shared" si="18"/>
        <v/>
      </c>
    </row>
    <row r="573" spans="2:9" x14ac:dyDescent="0.2">
      <c r="B573" s="18">
        <f>IF(EXACT('[1]DataLookUp - InternalCareer(LP)'!$B573, ""), "", '[1]DataLookUp - InternalCareer(LP)'!$B573)</f>
        <v>164000000000570</v>
      </c>
      <c r="C573" s="18" t="str">
        <f>IF(EXACT($B573, ""), "", VLOOKUP(B573, '[1]DataLookUp - InternalCareer(LP)'!$B$4:$D$620, 3, FALSE))</f>
        <v>Leonardo Putra</v>
      </c>
      <c r="D573" s="3"/>
      <c r="E573" s="18" t="str">
        <f>IF(EXACT($D573, ""), "", VLOOKUP($D573, [2]DataLookUp!$B$4:$C$84, 2, FALSE))</f>
        <v/>
      </c>
      <c r="F573" s="3"/>
      <c r="H573" s="15">
        <f t="shared" si="17"/>
        <v>225000000000049</v>
      </c>
      <c r="I573" s="16" t="str">
        <f t="shared" si="18"/>
        <v/>
      </c>
    </row>
    <row r="574" spans="2:9" x14ac:dyDescent="0.2">
      <c r="B574" s="18">
        <f>IF(EXACT('[1]DataLookUp - InternalCareer(LP)'!$B574, ""), "", '[1]DataLookUp - InternalCareer(LP)'!$B574)</f>
        <v>164000000000571</v>
      </c>
      <c r="C574" s="18" t="str">
        <f>IF(EXACT($B574, ""), "", VLOOKUP(B574, '[1]DataLookUp - InternalCareer(LP)'!$B$4:$D$620, 3, FALSE))</f>
        <v>Muhammad Ramadani</v>
      </c>
      <c r="D574" s="3"/>
      <c r="E574" s="18" t="str">
        <f>IF(EXACT($D574, ""), "", VLOOKUP($D574, [2]DataLookUp!$B$4:$C$84, 2, FALSE))</f>
        <v/>
      </c>
      <c r="F574" s="3"/>
      <c r="H574" s="15">
        <f t="shared" si="17"/>
        <v>225000000000049</v>
      </c>
      <c r="I574" s="16" t="str">
        <f t="shared" si="18"/>
        <v/>
      </c>
    </row>
    <row r="575" spans="2:9" x14ac:dyDescent="0.2">
      <c r="B575" s="18">
        <f>IF(EXACT('[1]DataLookUp - InternalCareer(LP)'!$B575, ""), "", '[1]DataLookUp - InternalCareer(LP)'!$B575)</f>
        <v>164000000000572</v>
      </c>
      <c r="C575" s="18" t="str">
        <f>IF(EXACT($B575, ""), "", VLOOKUP(B575, '[1]DataLookUp - InternalCareer(LP)'!$B$4:$D$620, 3, FALSE))</f>
        <v>Musdalipa</v>
      </c>
      <c r="D575" s="3"/>
      <c r="E575" s="18" t="str">
        <f>IF(EXACT($D575, ""), "", VLOOKUP($D575, [2]DataLookUp!$B$4:$C$84, 2, FALSE))</f>
        <v/>
      </c>
      <c r="F575" s="3"/>
      <c r="H575" s="15">
        <f t="shared" si="17"/>
        <v>225000000000049</v>
      </c>
      <c r="I575" s="16" t="str">
        <f t="shared" si="18"/>
        <v/>
      </c>
    </row>
    <row r="576" spans="2:9" x14ac:dyDescent="0.2">
      <c r="B576" s="18">
        <f>IF(EXACT('[1]DataLookUp - InternalCareer(LP)'!$B576, ""), "", '[1]DataLookUp - InternalCareer(LP)'!$B576)</f>
        <v>164000000000573</v>
      </c>
      <c r="C576" s="18" t="str">
        <f>IF(EXACT($B576, ""), "", VLOOKUP(B576, '[1]DataLookUp - InternalCareer(LP)'!$B$4:$D$620, 3, FALSE))</f>
        <v>Nico Melky</v>
      </c>
      <c r="D576" s="3"/>
      <c r="E576" s="18" t="str">
        <f>IF(EXACT($D576, ""), "", VLOOKUP($D576, [2]DataLookUp!$B$4:$C$84, 2, FALSE))</f>
        <v/>
      </c>
      <c r="F576" s="3"/>
      <c r="H576" s="15">
        <f t="shared" si="17"/>
        <v>225000000000049</v>
      </c>
      <c r="I576" s="16" t="str">
        <f t="shared" si="18"/>
        <v/>
      </c>
    </row>
    <row r="577" spans="2:9" x14ac:dyDescent="0.2">
      <c r="B577" s="18">
        <f>IF(EXACT('[1]DataLookUp - InternalCareer(LP)'!$B577, ""), "", '[1]DataLookUp - InternalCareer(LP)'!$B577)</f>
        <v>164000000000574</v>
      </c>
      <c r="C577" s="18" t="str">
        <f>IF(EXACT($B577, ""), "", VLOOKUP(B577, '[1]DataLookUp - InternalCareer(LP)'!$B$4:$D$620, 3, FALSE))</f>
        <v>Rahmata Novanisa</v>
      </c>
      <c r="D577" s="3">
        <f>[2]MAIN!$D$40</f>
        <v>95000000000031</v>
      </c>
      <c r="E577" s="18" t="str">
        <f>IF(EXACT($D577, ""), "", VLOOKUP($D577, [2]DataLookUp!$B$4:$C$84, 2, FALSE))</f>
        <v>Cost Controller Staff</v>
      </c>
      <c r="F577" s="3"/>
      <c r="H577" s="15">
        <f t="shared" si="17"/>
        <v>225000000000050</v>
      </c>
      <c r="I577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164000000000574::bigint, 95000000000031::bigint, null::bigint);</v>
      </c>
    </row>
    <row r="578" spans="2:9" x14ac:dyDescent="0.2">
      <c r="B578" s="18">
        <f>IF(EXACT('[1]DataLookUp - InternalCareer(LP)'!$B578, ""), "", '[1]DataLookUp - InternalCareer(LP)'!$B578)</f>
        <v>164000000000575</v>
      </c>
      <c r="C578" s="18" t="str">
        <f>IF(EXACT($B578, ""), "", VLOOKUP(B578, '[1]DataLookUp - InternalCareer(LP)'!$B$4:$D$620, 3, FALSE))</f>
        <v>Satrio Dhiaputra</v>
      </c>
      <c r="D578" s="3">
        <f>[2]MAIN!$D$68</f>
        <v>95000000000053</v>
      </c>
      <c r="E578" s="18" t="str">
        <f>IF(EXACT($D578, ""), "", VLOOKUP($D578, [2]DataLookUp!$B$4:$C$84, 2, FALSE))</f>
        <v>Human Resource Development Staff</v>
      </c>
      <c r="F578" s="3"/>
      <c r="H578" s="15">
        <f t="shared" si="17"/>
        <v>225000000000051</v>
      </c>
      <c r="I578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164000000000575::bigint, 95000000000053::bigint, null::bigint);</v>
      </c>
    </row>
    <row r="579" spans="2:9" x14ac:dyDescent="0.2">
      <c r="B579" s="18">
        <f>IF(EXACT('[1]DataLookUp - InternalCareer(LP)'!$B579, ""), "", '[1]DataLookUp - InternalCareer(LP)'!$B579)</f>
        <v>164000000000576</v>
      </c>
      <c r="C579" s="18" t="str">
        <f>IF(EXACT($B579, ""), "", VLOOKUP(B579, '[1]DataLookUp - InternalCareer(LP)'!$B$4:$D$620, 3, FALSE))</f>
        <v>Sudirman</v>
      </c>
      <c r="D579" s="3"/>
      <c r="E579" s="18" t="str">
        <f>IF(EXACT($D579, ""), "", VLOOKUP($D579, [2]DataLookUp!$B$4:$C$84, 2, FALSE))</f>
        <v/>
      </c>
      <c r="F579" s="3"/>
      <c r="H579" s="15">
        <f t="shared" si="17"/>
        <v>225000000000051</v>
      </c>
      <c r="I579" s="16" t="str">
        <f t="shared" si="18"/>
        <v/>
      </c>
    </row>
    <row r="580" spans="2:9" x14ac:dyDescent="0.2">
      <c r="B580" s="18">
        <f>IF(EXACT('[1]DataLookUp - InternalCareer(LP)'!$B580, ""), "", '[1]DataLookUp - InternalCareer(LP)'!$B580)</f>
        <v>164000000000577</v>
      </c>
      <c r="C580" s="18" t="str">
        <f>IF(EXACT($B580, ""), "", VLOOKUP(B580, '[1]DataLookUp - InternalCareer(LP)'!$B$4:$D$620, 3, FALSE))</f>
        <v>Suparji</v>
      </c>
      <c r="D580" s="3"/>
      <c r="E580" s="18" t="str">
        <f>IF(EXACT($D580, ""), "", VLOOKUP($D580, [2]DataLookUp!$B$4:$C$84, 2, FALSE))</f>
        <v/>
      </c>
      <c r="F580" s="3"/>
      <c r="H580" s="15">
        <f t="shared" si="17"/>
        <v>225000000000051</v>
      </c>
      <c r="I580" s="16" t="str">
        <f t="shared" si="18"/>
        <v/>
      </c>
    </row>
    <row r="581" spans="2:9" x14ac:dyDescent="0.2">
      <c r="B581" s="18">
        <f>IF(EXACT('[1]DataLookUp - InternalCareer(LP)'!$B581, ""), "", '[1]DataLookUp - InternalCareer(LP)'!$B581)</f>
        <v>164000000000578</v>
      </c>
      <c r="C581" s="18" t="str">
        <f>IF(EXACT($B581, ""), "", VLOOKUP(B581, '[1]DataLookUp - InternalCareer(LP)'!$B$4:$D$620, 3, FALSE))</f>
        <v>Taufik Iskandar</v>
      </c>
      <c r="D581" s="3"/>
      <c r="E581" s="18" t="str">
        <f>IF(EXACT($D581, ""), "", VLOOKUP($D581, [2]DataLookUp!$B$4:$C$84, 2, FALSE))</f>
        <v/>
      </c>
      <c r="F581" s="3"/>
      <c r="H581" s="15">
        <f t="shared" si="17"/>
        <v>225000000000051</v>
      </c>
      <c r="I581" s="16" t="str">
        <f t="shared" si="18"/>
        <v/>
      </c>
    </row>
    <row r="582" spans="2:9" x14ac:dyDescent="0.2">
      <c r="B582" s="18">
        <f>IF(EXACT('[1]DataLookUp - InternalCareer(LP)'!$B582, ""), "", '[1]DataLookUp - InternalCareer(LP)'!$B582)</f>
        <v>164000000000579</v>
      </c>
      <c r="C582" s="18" t="str">
        <f>IF(EXACT($B582, ""), "", VLOOKUP(B582, '[1]DataLookUp - InternalCareer(LP)'!$B$4:$D$620, 3, FALSE))</f>
        <v>Tegar Hersaputra</v>
      </c>
      <c r="D582" s="3">
        <f>[2]MAIN!$D$83</f>
        <v>95000000000064</v>
      </c>
      <c r="E582" s="18" t="str">
        <f>IF(EXACT($D582, ""), "", VLOOKUP($D582, [2]DataLookUp!$B$4:$C$84, 2, FALSE))</f>
        <v>Engineering Coordinator</v>
      </c>
      <c r="F582" s="3"/>
      <c r="H582" s="15">
        <f t="shared" ref="H582:H592" si="19" xml:space="preserve"> H581 + IF(EXACT(I582, ""), 0, 1)</f>
        <v>225000000000052</v>
      </c>
      <c r="I582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164000000000579::bigint, 95000000000064::bigint, null::bigint);</v>
      </c>
    </row>
    <row r="583" spans="2:9" x14ac:dyDescent="0.2">
      <c r="B583" s="18">
        <f>IF(EXACT('[1]DataLookUp - InternalCareer(LP)'!$B583, ""), "", '[1]DataLookUp - InternalCareer(LP)'!$B583)</f>
        <v>164000000000580</v>
      </c>
      <c r="C583" s="18" t="str">
        <f>IF(EXACT($B583, ""), "", VLOOKUP(B583, '[1]DataLookUp - InternalCareer(LP)'!$B$4:$D$620, 3, FALSE))</f>
        <v>Togar Sihombing</v>
      </c>
      <c r="D583" s="3"/>
      <c r="E583" s="18" t="str">
        <f>IF(EXACT($D583, ""), "", VLOOKUP($D583, [2]DataLookUp!$B$4:$C$84, 2, FALSE))</f>
        <v/>
      </c>
      <c r="F583" s="3"/>
      <c r="H583" s="15">
        <f t="shared" si="19"/>
        <v>225000000000052</v>
      </c>
      <c r="I583" s="16" t="str">
        <f t="shared" si="18"/>
        <v/>
      </c>
    </row>
    <row r="584" spans="2:9" x14ac:dyDescent="0.2">
      <c r="B584" s="18">
        <f>IF(EXACT('[1]DataLookUp - InternalCareer(LP)'!$B584, ""), "", '[1]DataLookUp - InternalCareer(LP)'!$B584)</f>
        <v>164000000000581</v>
      </c>
      <c r="C584" s="18" t="str">
        <f>IF(EXACT($B584, ""), "", VLOOKUP(B584, '[1]DataLookUp - InternalCareer(LP)'!$B$4:$D$620, 3, FALSE))</f>
        <v>Wisnu Trenggono Wirayuda</v>
      </c>
      <c r="D584" s="3">
        <f>[2]MAIN!$D$50</f>
        <v>95000000000039</v>
      </c>
      <c r="E584" s="18" t="str">
        <f>IF(EXACT($D584, ""), "", VLOOKUP($D584, [2]DataLookUp!$B$4:$C$84, 2, FALSE))</f>
        <v>IT Software Engineer Staff</v>
      </c>
      <c r="F584" s="3"/>
      <c r="H584" s="15">
        <f t="shared" si="19"/>
        <v>225000000000053</v>
      </c>
      <c r="I584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164000000000581::bigint, 95000000000039::bigint, null::bigint);</v>
      </c>
    </row>
    <row r="585" spans="2:9" x14ac:dyDescent="0.2">
      <c r="B585" s="18">
        <f>IF(EXACT('[1]DataLookUp - InternalCareer(LP)'!$B585, ""), "", '[1]DataLookUp - InternalCareer(LP)'!$B585)</f>
        <v>164000000000582</v>
      </c>
      <c r="C585" s="18" t="str">
        <f>IF(EXACT($B585, ""), "", VLOOKUP(B585, '[1]DataLookUp - InternalCareer(LP)'!$B$4:$D$620, 3, FALSE))</f>
        <v>Yogo</v>
      </c>
      <c r="D585" s="3"/>
      <c r="E585" s="18" t="str">
        <f>IF(EXACT($D585, ""), "", VLOOKUP($D585, [2]DataLookUp!$B$4:$C$84, 2, FALSE))</f>
        <v/>
      </c>
      <c r="F585" s="3"/>
      <c r="H585" s="15">
        <f t="shared" si="19"/>
        <v>225000000000053</v>
      </c>
      <c r="I585" s="16" t="str">
        <f t="shared" si="18"/>
        <v/>
      </c>
    </row>
    <row r="586" spans="2:9" x14ac:dyDescent="0.2">
      <c r="B586" s="18">
        <f>IF(EXACT('[1]DataLookUp - InternalCareer(LP)'!$B586, ""), "", '[1]DataLookUp - InternalCareer(LP)'!$B586)</f>
        <v>164000000000583</v>
      </c>
      <c r="C586" s="18" t="str">
        <f>IF(EXACT($B586, ""), "", VLOOKUP(B586, '[1]DataLookUp - InternalCareer(LP)'!$B$4:$D$620, 3, FALSE))</f>
        <v>Yustiana Firda</v>
      </c>
      <c r="D586" s="3"/>
      <c r="E586" s="18" t="str">
        <f>IF(EXACT($D586, ""), "", VLOOKUP($D586, [2]DataLookUp!$B$4:$C$84, 2, FALSE))</f>
        <v/>
      </c>
      <c r="F586" s="3"/>
      <c r="H586" s="15">
        <f t="shared" si="19"/>
        <v>225000000000053</v>
      </c>
      <c r="I586" s="16" t="str">
        <f t="shared" si="18"/>
        <v/>
      </c>
    </row>
    <row r="587" spans="2:9" x14ac:dyDescent="0.2">
      <c r="B587" s="18">
        <f>IF(EXACT('[1]DataLookUp - InternalCareer(LP)'!$B587, ""), "", '[1]DataLookUp - InternalCareer(LP)'!$B587)</f>
        <v>164000000000584</v>
      </c>
      <c r="C587" s="18" t="str">
        <f>IF(EXACT($B587, ""), "", VLOOKUP(B587, '[1]DataLookUp - InternalCareer(LP)'!$B$4:$D$620, 3, FALSE))</f>
        <v>Zainal Abidin</v>
      </c>
      <c r="D587" s="3"/>
      <c r="E587" s="18" t="str">
        <f>IF(EXACT($D587, ""), "", VLOOKUP($D587, [2]DataLookUp!$B$4:$C$84, 2, FALSE))</f>
        <v/>
      </c>
      <c r="F587" s="3"/>
      <c r="H587" s="15">
        <f t="shared" si="19"/>
        <v>225000000000053</v>
      </c>
      <c r="I587" s="16" t="str">
        <f t="shared" si="18"/>
        <v/>
      </c>
    </row>
    <row r="588" spans="2:9" x14ac:dyDescent="0.2">
      <c r="B588" s="18">
        <f>IF(EXACT('[1]DataLookUp - InternalCareer(LP)'!$B588, ""), "", '[1]DataLookUp - InternalCareer(LP)'!$B588)</f>
        <v>164000000000585</v>
      </c>
      <c r="C588" s="18" t="str">
        <f>IF(EXACT($B588, ""), "", VLOOKUP(B588, '[1]DataLookUp - InternalCareer(LP)'!$B$4:$D$620, 3, FALSE))</f>
        <v>Budi Sandika</v>
      </c>
      <c r="D588" s="3"/>
      <c r="E588" s="18" t="str">
        <f>IF(EXACT($D588, ""), "", VLOOKUP($D588, [2]DataLookUp!$B$4:$C$84, 2, FALSE))</f>
        <v/>
      </c>
      <c r="F588" s="3"/>
      <c r="H588" s="15">
        <f t="shared" si="19"/>
        <v>225000000000053</v>
      </c>
      <c r="I588" s="16" t="str">
        <f t="shared" si="18"/>
        <v/>
      </c>
    </row>
    <row r="589" spans="2:9" x14ac:dyDescent="0.2">
      <c r="B589" s="18">
        <f>IF(EXACT('[1]DataLookUp - InternalCareer(LP)'!$B589, ""), "", '[1]DataLookUp - InternalCareer(LP)'!$B589)</f>
        <v>164000000000586</v>
      </c>
      <c r="C589" s="18" t="str">
        <f>IF(EXACT($B589, ""), "", VLOOKUP(B589, '[1]DataLookUp - InternalCareer(LP)'!$B$4:$D$620, 3, FALSE))</f>
        <v>Fachri Azhar</v>
      </c>
      <c r="D589" s="3"/>
      <c r="E589" s="18" t="str">
        <f>IF(EXACT($D589, ""), "", VLOOKUP($D589, [2]DataLookUp!$B$4:$C$84, 2, FALSE))</f>
        <v/>
      </c>
      <c r="F589" s="3"/>
      <c r="H589" s="15">
        <f t="shared" si="19"/>
        <v>225000000000053</v>
      </c>
      <c r="I589" s="16" t="str">
        <f t="shared" si="18"/>
        <v/>
      </c>
    </row>
    <row r="590" spans="2:9" x14ac:dyDescent="0.2">
      <c r="B590" s="18">
        <f>IF(EXACT('[1]DataLookUp - InternalCareer(LP)'!$B590, ""), "", '[1]DataLookUp - InternalCareer(LP)'!$B590)</f>
        <v>164000000000587</v>
      </c>
      <c r="C590" s="18" t="str">
        <f>IF(EXACT($B590, ""), "", VLOOKUP(B590, '[1]DataLookUp - InternalCareer(LP)'!$B$4:$D$620, 3, FALSE))</f>
        <v>Firmansyah Awaludin</v>
      </c>
      <c r="D590" s="3">
        <f>[2]MAIN!$D$38</f>
        <v>95000000000029</v>
      </c>
      <c r="E590" s="18" t="str">
        <f>IF(EXACT($D590, ""), "", VLOOKUP($D590, [2]DataLookUp!$B$4:$C$84, 2, FALSE))</f>
        <v>Cashier &amp; Treasury Staff</v>
      </c>
      <c r="F590" s="3"/>
      <c r="H590" s="15">
        <f t="shared" si="19"/>
        <v>225000000000054</v>
      </c>
      <c r="I590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164000000000587::bigint, 95000000000029::bigint, null::bigint);</v>
      </c>
    </row>
    <row r="591" spans="2:9" x14ac:dyDescent="0.2">
      <c r="B591" s="18">
        <f>IF(EXACT('[1]DataLookUp - InternalCareer(LP)'!$B591, ""), "", '[1]DataLookUp - InternalCareer(LP)'!$B591)</f>
        <v>164000000000588</v>
      </c>
      <c r="C591" s="18" t="str">
        <f>IF(EXACT($B591, ""), "", VLOOKUP(B591, '[1]DataLookUp - InternalCareer(LP)'!$B$4:$D$620, 3, FALSE))</f>
        <v>Iman Faisal Abdurahman</v>
      </c>
      <c r="D591" s="3">
        <f>[2]MAIN!$D$14</f>
        <v>95000000000008</v>
      </c>
      <c r="E591" s="18" t="str">
        <f>IF(EXACT($D591, ""), "", VLOOKUP($D591, [2]DataLookUp!$B$4:$C$84, 2, FALSE))</f>
        <v>Director</v>
      </c>
      <c r="F591" s="3"/>
      <c r="H591" s="15">
        <f t="shared" si="19"/>
        <v>225000000000055</v>
      </c>
      <c r="I591" s="16" t="str">
        <f t="shared" si="18"/>
        <v>PERFORM "SchData-OLTP-HumanResource"."Func_TblMapper_WorkerCareerInternalToUserRole_SET"(varSystemLoginSession, null::bigint, null::varchar, null::timestamptz, null::timestamptz, null::varchar, varInstitutionBranchID, varBaseCurrencyID, 164000000000588::bigint, 95000000000008::bigint, null::bigint);</v>
      </c>
    </row>
    <row r="592" spans="2:9" x14ac:dyDescent="0.2">
      <c r="B592" s="18">
        <f>IF(EXACT('[1]DataLookUp - InternalCareer(LP)'!$B592, ""), "", '[1]DataLookUp - InternalCareer(LP)'!$B592)</f>
        <v>164000000000589</v>
      </c>
      <c r="C592" s="18" t="str">
        <f>IF(EXACT($B592, ""), "", VLOOKUP(B592, '[1]DataLookUp - InternalCareer(LP)'!$B$4:$D$620, 3, FALSE))</f>
        <v>Muhammad Irfan Alfikri Rayana</v>
      </c>
      <c r="D592" s="3"/>
      <c r="E592" s="18" t="str">
        <f>IF(EXACT($D592, ""), "", VLOOKUP($D592, [2]DataLookUp!$B$4:$C$84, 2, FALSE))</f>
        <v/>
      </c>
      <c r="F592" s="3"/>
      <c r="H592" s="15">
        <f t="shared" si="19"/>
        <v>225000000000055</v>
      </c>
      <c r="I592" s="16" t="str">
        <f t="shared" ref="I592" si="20">IF(EXACT(D592, ""), "", CONCATENATE("PERFORM ""SchData-OLTP-HumanResource"".""Func_TblMapper_WorkerCareerInternalToUserRole_SET""(varSystemLoginSession, null::bigint, null::varchar, null::timestamptz, null::timestamptz, null::varchar, varInstitutionBranchID, varBaseCurrencyID, ", IF(EXACT(B592, ""), "null", B592), "::bigint, ", IF(EXACT(D592, ""), "null", D592), "::bigint, ", IF(EXACT(F592, ""), "null", F592), "::bigint);"))</f>
        <v/>
      </c>
    </row>
    <row r="593" spans="2:9" x14ac:dyDescent="0.2">
      <c r="B593" s="18">
        <f>IF(EXACT('[1]DataLookUp - InternalCareer(LP)'!$B593, ""), "", '[1]DataLookUp - InternalCareer(LP)'!$B593)</f>
        <v>164000000000590</v>
      </c>
      <c r="C593" s="18" t="str">
        <f>IF(EXACT($B593, ""), "", VLOOKUP(B593, '[1]DataLookUp - InternalCareer(LP)'!$B$4:$D$620, 3, FALSE))</f>
        <v>Syafri Johansah</v>
      </c>
      <c r="D593" s="3"/>
      <c r="E593" s="18" t="str">
        <f>IF(EXACT($D593, ""), "", VLOOKUP($D593, [2]DataLookUp!$B$4:$C$84, 2, FALSE))</f>
        <v/>
      </c>
      <c r="F593" s="3"/>
      <c r="H593" s="15">
        <f t="shared" ref="H593:H620" si="21" xml:space="preserve"> H592 + IF(EXACT(I593, ""), 0, 1)</f>
        <v>225000000000055</v>
      </c>
      <c r="I593" s="16" t="str">
        <f t="shared" ref="I593:I622" si="22">IF(EXACT(D593, ""), "", CONCATENATE("PERFORM ""SchData-OLTP-HumanResource"".""Func_TblMapper_WorkerCareerInternalToUserRole_SET""(varSystemLoginSession, null::bigint, null::varchar, null::timestamptz, null::timestamptz, null::varchar, varInstitutionBranchID, varBaseCurrencyID, ", IF(EXACT(B593, ""), "null", B593), "::bigint, ", IF(EXACT(D593, ""), "null", D593), "::bigint, ", IF(EXACT(F593, ""), "null", F593), "::bigint);"))</f>
        <v/>
      </c>
    </row>
    <row r="594" spans="2:9" x14ac:dyDescent="0.2">
      <c r="B594" s="18">
        <f>IF(EXACT('[1]DataLookUp - InternalCareer(LP)'!$B594, ""), "", '[1]DataLookUp - InternalCareer(LP)'!$B594)</f>
        <v>164000000000591</v>
      </c>
      <c r="C594" s="18" t="str">
        <f>IF(EXACT($B594, ""), "", VLOOKUP(B594, '[1]DataLookUp - InternalCareer(LP)'!$B$4:$D$620, 3, FALSE))</f>
        <v>Agus Sobar</v>
      </c>
      <c r="D594" s="3"/>
      <c r="E594" s="18" t="str">
        <f>IF(EXACT($D594, ""), "", VLOOKUP($D594, [2]DataLookUp!$B$4:$C$84, 2, FALSE))</f>
        <v/>
      </c>
      <c r="F594" s="3"/>
      <c r="H594" s="15">
        <f t="shared" si="21"/>
        <v>225000000000055</v>
      </c>
      <c r="I594" s="16" t="str">
        <f t="shared" si="22"/>
        <v/>
      </c>
    </row>
    <row r="595" spans="2:9" x14ac:dyDescent="0.2">
      <c r="B595" s="18">
        <f>IF(EXACT('[1]DataLookUp - InternalCareer(LP)'!$B595, ""), "", '[1]DataLookUp - InternalCareer(LP)'!$B595)</f>
        <v>164000000000592</v>
      </c>
      <c r="C595" s="18" t="str">
        <f>IF(EXACT($B595, ""), "", VLOOKUP(B595, '[1]DataLookUp - InternalCareer(LP)'!$B$4:$D$620, 3, FALSE))</f>
        <v>Ahmad Sandi Asyuri</v>
      </c>
      <c r="D595" s="3">
        <f>[2]MAIN!$D$84</f>
        <v>95000000000065</v>
      </c>
      <c r="E595" s="18" t="str">
        <f>IF(EXACT($D595, ""), "", VLOOKUP($D595, [2]DataLookUp!$B$4:$C$84, 2, FALSE))</f>
        <v>Engineering Staff</v>
      </c>
      <c r="F595" s="3"/>
      <c r="H595" s="15">
        <f t="shared" si="21"/>
        <v>225000000000056</v>
      </c>
      <c r="I595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164000000000592::bigint, 95000000000065::bigint, null::bigint);</v>
      </c>
    </row>
    <row r="596" spans="2:9" x14ac:dyDescent="0.2">
      <c r="B596" s="18">
        <f>IF(EXACT('[1]DataLookUp - InternalCareer(LP)'!$B596, ""), "", '[1]DataLookUp - InternalCareer(LP)'!$B596)</f>
        <v>164000000000593</v>
      </c>
      <c r="C596" s="18" t="str">
        <f>IF(EXACT($B596, ""), "", VLOOKUP(B596, '[1]DataLookUp - InternalCareer(LP)'!$B$4:$D$620, 3, FALSE))</f>
        <v>Andi Mapasoro</v>
      </c>
      <c r="D596" s="3">
        <f>[2]MAIN!$D$27</f>
        <v>95000000000019</v>
      </c>
      <c r="E596" s="18" t="str">
        <f>IF(EXACT($D596, ""), "", VLOOKUP($D596, [2]DataLookUp!$B$4:$C$84, 2, FALSE))</f>
        <v>Project Manager</v>
      </c>
      <c r="F596" s="3"/>
      <c r="H596" s="15">
        <f t="shared" si="21"/>
        <v>225000000000057</v>
      </c>
      <c r="I596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164000000000593::bigint, 95000000000019::bigint, null::bigint);</v>
      </c>
    </row>
    <row r="597" spans="2:9" x14ac:dyDescent="0.2">
      <c r="B597" s="18">
        <f>IF(EXACT('[1]DataLookUp - InternalCareer(LP)'!$B597, ""), "", '[1]DataLookUp - InternalCareer(LP)'!$B597)</f>
        <v>164000000000594</v>
      </c>
      <c r="C597" s="18" t="str">
        <f>IF(EXACT($B597, ""), "", VLOOKUP(B597, '[1]DataLookUp - InternalCareer(LP)'!$B$4:$D$620, 3, FALSE))</f>
        <v>Arie Gustaman</v>
      </c>
      <c r="D597" s="3"/>
      <c r="E597" s="18" t="str">
        <f>IF(EXACT($D597, ""), "", VLOOKUP($D597, [2]DataLookUp!$B$4:$C$84, 2, FALSE))</f>
        <v/>
      </c>
      <c r="F597" s="3"/>
      <c r="H597" s="15">
        <f t="shared" si="21"/>
        <v>225000000000057</v>
      </c>
      <c r="I597" s="16" t="str">
        <f t="shared" si="22"/>
        <v/>
      </c>
    </row>
    <row r="598" spans="2:9" x14ac:dyDescent="0.2">
      <c r="B598" s="18">
        <f>IF(EXACT('[1]DataLookUp - InternalCareer(LP)'!$B598, ""), "", '[1]DataLookUp - InternalCareer(LP)'!$B598)</f>
        <v>164000000000595</v>
      </c>
      <c r="C598" s="18" t="str">
        <f>IF(EXACT($B598, ""), "", VLOOKUP(B598, '[1]DataLookUp - InternalCareer(LP)'!$B$4:$D$620, 3, FALSE))</f>
        <v>Arief Yulianto</v>
      </c>
      <c r="D598" s="3"/>
      <c r="E598" s="18" t="str">
        <f>IF(EXACT($D598, ""), "", VLOOKUP($D598, [2]DataLookUp!$B$4:$C$84, 2, FALSE))</f>
        <v/>
      </c>
      <c r="F598" s="3"/>
      <c r="H598" s="15">
        <f t="shared" si="21"/>
        <v>225000000000057</v>
      </c>
      <c r="I598" s="16" t="str">
        <f t="shared" si="22"/>
        <v/>
      </c>
    </row>
    <row r="599" spans="2:9" x14ac:dyDescent="0.2">
      <c r="B599" s="18">
        <f>IF(EXACT('[1]DataLookUp - InternalCareer(LP)'!$B599, ""), "", '[1]DataLookUp - InternalCareer(LP)'!$B599)</f>
        <v>164000000000596</v>
      </c>
      <c r="C599" s="18" t="str">
        <f>IF(EXACT($B599, ""), "", VLOOKUP(B599, '[1]DataLookUp - InternalCareer(LP)'!$B$4:$D$620, 3, FALSE))</f>
        <v>Burhan</v>
      </c>
      <c r="D599" s="3">
        <f>[2]MAIN!$D$7</f>
        <v>95000000000003</v>
      </c>
      <c r="E599" s="18" t="str">
        <f>IF(EXACT($D599, ""), "", VLOOKUP($D599, [2]DataLookUp!$B$4:$C$84, 2, FALSE))</f>
        <v>Default Employee Role</v>
      </c>
      <c r="F599" s="3"/>
      <c r="H599" s="15">
        <f t="shared" si="21"/>
        <v>225000000000058</v>
      </c>
      <c r="I599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164000000000596::bigint, 95000000000003::bigint, null::bigint);</v>
      </c>
    </row>
    <row r="600" spans="2:9" x14ac:dyDescent="0.2">
      <c r="B600" s="18">
        <f>IF(EXACT('[1]DataLookUp - InternalCareer(LP)'!$B600, ""), "", '[1]DataLookUp - InternalCareer(LP)'!$B600)</f>
        <v>164000000000597</v>
      </c>
      <c r="C600" s="18" t="str">
        <f>IF(EXACT($B600, ""), "", VLOOKUP(B600, '[1]DataLookUp - InternalCareer(LP)'!$B$4:$D$620, 3, FALSE))</f>
        <v>Deby Syahputa</v>
      </c>
      <c r="D600" s="3"/>
      <c r="E600" s="18" t="str">
        <f>IF(EXACT($D600, ""), "", VLOOKUP($D600, [2]DataLookUp!$B$4:$C$84, 2, FALSE))</f>
        <v/>
      </c>
      <c r="F600" s="3"/>
      <c r="H600" s="15">
        <f t="shared" si="21"/>
        <v>225000000000058</v>
      </c>
      <c r="I600" s="16" t="str">
        <f t="shared" si="22"/>
        <v/>
      </c>
    </row>
    <row r="601" spans="2:9" x14ac:dyDescent="0.2">
      <c r="B601" s="18">
        <f>IF(EXACT('[1]DataLookUp - InternalCareer(LP)'!$B601, ""), "", '[1]DataLookUp - InternalCareer(LP)'!$B601)</f>
        <v>164000000000598</v>
      </c>
      <c r="C601" s="18" t="str">
        <f>IF(EXACT($B601, ""), "", VLOOKUP(B601, '[1]DataLookUp - InternalCareer(LP)'!$B$4:$D$620, 3, FALSE))</f>
        <v>Ibrahim Arya Yuda</v>
      </c>
      <c r="D601" s="3">
        <f>[2]MAIN!$D$84</f>
        <v>95000000000065</v>
      </c>
      <c r="E601" s="18" t="str">
        <f>IF(EXACT($D601, ""), "", VLOOKUP($D601, [2]DataLookUp!$B$4:$C$84, 2, FALSE))</f>
        <v>Engineering Staff</v>
      </c>
      <c r="F601" s="3"/>
      <c r="H601" s="15">
        <f t="shared" si="21"/>
        <v>225000000000059</v>
      </c>
      <c r="I601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164000000000598::bigint, 95000000000065::bigint, null::bigint);</v>
      </c>
    </row>
    <row r="602" spans="2:9" x14ac:dyDescent="0.2">
      <c r="B602" s="18">
        <f>IF(EXACT('[1]DataLookUp - InternalCareer(LP)'!$B602, ""), "", '[1]DataLookUp - InternalCareer(LP)'!$B602)</f>
        <v>164000000000599</v>
      </c>
      <c r="C602" s="18" t="str">
        <f>IF(EXACT($B602, ""), "", VLOOKUP(B602, '[1]DataLookUp - InternalCareer(LP)'!$B$4:$D$620, 3, FALSE))</f>
        <v>Jamil</v>
      </c>
      <c r="D602" s="3"/>
      <c r="E602" s="18" t="str">
        <f>IF(EXACT($D602, ""), "", VLOOKUP($D602, [2]DataLookUp!$B$4:$C$84, 2, FALSE))</f>
        <v/>
      </c>
      <c r="F602" s="3"/>
      <c r="H602" s="15">
        <f t="shared" si="21"/>
        <v>225000000000059</v>
      </c>
      <c r="I602" s="16" t="str">
        <f t="shared" si="22"/>
        <v/>
      </c>
    </row>
    <row r="603" spans="2:9" x14ac:dyDescent="0.2">
      <c r="B603" s="18">
        <f>IF(EXACT('[1]DataLookUp - InternalCareer(LP)'!$B603, ""), "", '[1]DataLookUp - InternalCareer(LP)'!$B603)</f>
        <v>164000000000600</v>
      </c>
      <c r="C603" s="18" t="str">
        <f>IF(EXACT($B603, ""), "", VLOOKUP(B603, '[1]DataLookUp - InternalCareer(LP)'!$B$4:$D$620, 3, FALSE))</f>
        <v>Kiki Prasetyo</v>
      </c>
      <c r="D603" s="3"/>
      <c r="E603" s="18" t="str">
        <f>IF(EXACT($D603, ""), "", VLOOKUP($D603, [2]DataLookUp!$B$4:$C$84, 2, FALSE))</f>
        <v/>
      </c>
      <c r="F603" s="3"/>
      <c r="H603" s="15">
        <f t="shared" si="21"/>
        <v>225000000000059</v>
      </c>
      <c r="I603" s="16" t="str">
        <f t="shared" si="22"/>
        <v/>
      </c>
    </row>
    <row r="604" spans="2:9" x14ac:dyDescent="0.2">
      <c r="B604" s="18">
        <f>IF(EXACT('[1]DataLookUp - InternalCareer(LP)'!$B604, ""), "", '[1]DataLookUp - InternalCareer(LP)'!$B604)</f>
        <v>164000000000601</v>
      </c>
      <c r="C604" s="18" t="str">
        <f>IF(EXACT($B604, ""), "", VLOOKUP(B604, '[1]DataLookUp - InternalCareer(LP)'!$B$4:$D$620, 3, FALSE))</f>
        <v>Mochamad Ulul Azmi Wira Utama</v>
      </c>
      <c r="D604" s="3">
        <f>[2]MAIN!$D$68</f>
        <v>95000000000053</v>
      </c>
      <c r="E604" s="18" t="str">
        <f>IF(EXACT($D604, ""), "", VLOOKUP($D604, [2]DataLookUp!$B$4:$C$84, 2, FALSE))</f>
        <v>Human Resource Development Staff</v>
      </c>
      <c r="F604" s="3"/>
      <c r="H604" s="15">
        <f t="shared" si="21"/>
        <v>225000000000060</v>
      </c>
      <c r="I604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164000000000601::bigint, 95000000000053::bigint, null::bigint);</v>
      </c>
    </row>
    <row r="605" spans="2:9" x14ac:dyDescent="0.2">
      <c r="B605" s="18">
        <f>IF(EXACT('[1]DataLookUp - InternalCareer(LP)'!$B605, ""), "", '[1]DataLookUp - InternalCareer(LP)'!$B605)</f>
        <v>164000000000602</v>
      </c>
      <c r="C605" s="18" t="str">
        <f>IF(EXACT($B605, ""), "", VLOOKUP(B605, '[1]DataLookUp - InternalCareer(LP)'!$B$4:$D$620, 3, FALSE))</f>
        <v>Muhammad Bilal Sharony</v>
      </c>
      <c r="D605" s="3">
        <f>[2]MAIN!$D$84</f>
        <v>95000000000065</v>
      </c>
      <c r="E605" s="18" t="str">
        <f>IF(EXACT($D605, ""), "", VLOOKUP($D605, [2]DataLookUp!$B$4:$C$84, 2, FALSE))</f>
        <v>Engineering Staff</v>
      </c>
      <c r="F605" s="3"/>
      <c r="H605" s="15">
        <f t="shared" si="21"/>
        <v>225000000000061</v>
      </c>
      <c r="I605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164000000000602::bigint, 95000000000065::bigint, null::bigint);</v>
      </c>
    </row>
    <row r="606" spans="2:9" x14ac:dyDescent="0.2">
      <c r="B606" s="18">
        <f>IF(EXACT('[1]DataLookUp - InternalCareer(LP)'!$B606, ""), "", '[1]DataLookUp - InternalCareer(LP)'!$B606)</f>
        <v>164000000000603</v>
      </c>
      <c r="C606" s="18" t="str">
        <f>IF(EXACT($B606, ""), "", VLOOKUP(B606, '[1]DataLookUp - InternalCareer(LP)'!$B$4:$D$620, 3, FALSE))</f>
        <v>Muhammad Hairul</v>
      </c>
      <c r="D606" s="3"/>
      <c r="E606" s="18" t="str">
        <f>IF(EXACT($D606, ""), "", VLOOKUP($D606, [2]DataLookUp!$B$4:$C$84, 2, FALSE))</f>
        <v/>
      </c>
      <c r="F606" s="3"/>
      <c r="H606" s="15">
        <f t="shared" si="21"/>
        <v>225000000000061</v>
      </c>
      <c r="I606" s="16" t="str">
        <f t="shared" si="22"/>
        <v/>
      </c>
    </row>
    <row r="607" spans="2:9" x14ac:dyDescent="0.2">
      <c r="B607" s="18">
        <f>IF(EXACT('[1]DataLookUp - InternalCareer(LP)'!$B607, ""), "", '[1]DataLookUp - InternalCareer(LP)'!$B607)</f>
        <v>164000000000604</v>
      </c>
      <c r="C607" s="18" t="str">
        <f>IF(EXACT($B607, ""), "", VLOOKUP(B607, '[1]DataLookUp - InternalCareer(LP)'!$B$4:$D$620, 3, FALSE))</f>
        <v>Muhammad Rizal</v>
      </c>
      <c r="D607" s="3">
        <f>[2]MAIN!$D$50</f>
        <v>95000000000039</v>
      </c>
      <c r="E607" s="18" t="str">
        <f>IF(EXACT($D607, ""), "", VLOOKUP($D607, [2]DataLookUp!$B$4:$C$84, 2, FALSE))</f>
        <v>IT Software Engineer Staff</v>
      </c>
      <c r="F607" s="3"/>
      <c r="H607" s="15">
        <f t="shared" si="21"/>
        <v>225000000000062</v>
      </c>
      <c r="I607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164000000000604::bigint, 95000000000039::bigint, null::bigint);</v>
      </c>
    </row>
    <row r="608" spans="2:9" x14ac:dyDescent="0.2">
      <c r="B608" s="18">
        <f>IF(EXACT('[1]DataLookUp - InternalCareer(LP)'!$B608, ""), "", '[1]DataLookUp - InternalCareer(LP)'!$B608)</f>
        <v>164000000000605</v>
      </c>
      <c r="C608" s="18" t="str">
        <f>IF(EXACT($B608, ""), "", VLOOKUP(B608, '[1]DataLookUp - InternalCareer(LP)'!$B$4:$D$620, 3, FALSE))</f>
        <v>Rahmad Dwifar</v>
      </c>
      <c r="D608" s="3">
        <f>[2]MAIN!$D$32</f>
        <v>95000000000024</v>
      </c>
      <c r="E608" s="18" t="str">
        <f>IF(EXACT($D608, ""), "", VLOOKUP($D608, [2]DataLookUp!$B$4:$C$84, 2, FALSE))</f>
        <v>Project Administrator Staff</v>
      </c>
      <c r="F608" s="3"/>
      <c r="H608" s="15">
        <f t="shared" si="21"/>
        <v>225000000000063</v>
      </c>
      <c r="I608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164000000000605::bigint, 95000000000024::bigint, null::bigint);</v>
      </c>
    </row>
    <row r="609" spans="2:9" x14ac:dyDescent="0.2">
      <c r="B609" s="18">
        <f>IF(EXACT('[1]DataLookUp - InternalCareer(LP)'!$B609, ""), "", '[1]DataLookUp - InternalCareer(LP)'!$B609)</f>
        <v>164000000000606</v>
      </c>
      <c r="C609" s="18" t="str">
        <f>IF(EXACT($B609, ""), "", VLOOKUP(B609, '[1]DataLookUp - InternalCareer(LP)'!$B$4:$D$620, 3, FALSE))</f>
        <v>Reza Sanjaya</v>
      </c>
      <c r="D609" s="3"/>
      <c r="E609" s="18" t="str">
        <f>IF(EXACT($D609, ""), "", VLOOKUP($D609, [2]DataLookUp!$B$4:$C$84, 2, FALSE))</f>
        <v/>
      </c>
      <c r="F609" s="3"/>
      <c r="H609" s="15">
        <f t="shared" si="21"/>
        <v>225000000000063</v>
      </c>
      <c r="I609" s="16" t="str">
        <f t="shared" si="22"/>
        <v/>
      </c>
    </row>
    <row r="610" spans="2:9" x14ac:dyDescent="0.2">
      <c r="B610" s="18">
        <f>IF(EXACT('[1]DataLookUp - InternalCareer(LP)'!$B610, ""), "", '[1]DataLookUp - InternalCareer(LP)'!$B610)</f>
        <v>164000000000607</v>
      </c>
      <c r="C610" s="18" t="str">
        <f>IF(EXACT($B610, ""), "", VLOOKUP(B610, '[1]DataLookUp - InternalCareer(LP)'!$B$4:$D$620, 3, FALSE))</f>
        <v>Ridwan Nur Muttaqin</v>
      </c>
      <c r="D610" s="3">
        <f>[2]MAIN!$D$54</f>
        <v>95000000000042</v>
      </c>
      <c r="E610" s="18" t="str">
        <f>IF(EXACT($D610, ""), "", VLOOKUP($D610, [2]DataLookUp!$B$4:$C$84, 2, FALSE))</f>
        <v>Procurement Staff</v>
      </c>
      <c r="F610" s="3"/>
      <c r="H610" s="15">
        <f t="shared" si="21"/>
        <v>225000000000064</v>
      </c>
      <c r="I610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164000000000607::bigint, 95000000000042::bigint, null::bigint);</v>
      </c>
    </row>
    <row r="611" spans="2:9" x14ac:dyDescent="0.2">
      <c r="B611" s="18">
        <f>IF(EXACT('[1]DataLookUp - InternalCareer(LP)'!$B611, ""), "", '[1]DataLookUp - InternalCareer(LP)'!$B611)</f>
        <v>164000000000608</v>
      </c>
      <c r="C611" s="18" t="str">
        <f>IF(EXACT($B611, ""), "", VLOOKUP(B611, '[1]DataLookUp - InternalCareer(LP)'!$B$4:$D$620, 3, FALSE))</f>
        <v xml:space="preserve">Risaldi </v>
      </c>
      <c r="D611" s="3"/>
      <c r="E611" s="18" t="str">
        <f>IF(EXACT($D611, ""), "", VLOOKUP($D611, [2]DataLookUp!$B$4:$C$84, 2, FALSE))</f>
        <v/>
      </c>
      <c r="F611" s="3"/>
      <c r="H611" s="15">
        <f t="shared" si="21"/>
        <v>225000000000064</v>
      </c>
      <c r="I611" s="16" t="str">
        <f t="shared" si="22"/>
        <v/>
      </c>
    </row>
    <row r="612" spans="2:9" x14ac:dyDescent="0.2">
      <c r="B612" s="18">
        <f>IF(EXACT('[1]DataLookUp - InternalCareer(LP)'!$B612, ""), "", '[1]DataLookUp - InternalCareer(LP)'!$B612)</f>
        <v>164000000000609</v>
      </c>
      <c r="C612" s="18" t="str">
        <f>IF(EXACT($B612, ""), "", VLOOKUP(B612, '[1]DataLookUp - InternalCareer(LP)'!$B$4:$D$620, 3, FALSE))</f>
        <v>Risty Alawiyah</v>
      </c>
      <c r="D612" s="3">
        <f>[2]MAIN!$D$32</f>
        <v>95000000000024</v>
      </c>
      <c r="E612" s="18" t="str">
        <f>IF(EXACT($D612, ""), "", VLOOKUP($D612, [2]DataLookUp!$B$4:$C$84, 2, FALSE))</f>
        <v>Project Administrator Staff</v>
      </c>
      <c r="F612" s="3"/>
      <c r="H612" s="15">
        <f t="shared" si="21"/>
        <v>225000000000065</v>
      </c>
      <c r="I612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164000000000609::bigint, 95000000000024::bigint, null::bigint);</v>
      </c>
    </row>
    <row r="613" spans="2:9" x14ac:dyDescent="0.2">
      <c r="B613" s="18">
        <f>IF(EXACT('[1]DataLookUp - InternalCareer(LP)'!$B613, ""), "", '[1]DataLookUp - InternalCareer(LP)'!$B613)</f>
        <v>164000000000610</v>
      </c>
      <c r="C613" s="18" t="str">
        <f>IF(EXACT($B613, ""), "", VLOOKUP(B613, '[1]DataLookUp - InternalCareer(LP)'!$B$4:$D$620, 3, FALSE))</f>
        <v>Rustono</v>
      </c>
      <c r="D613" s="3">
        <f>[2]MAIN!$D$7</f>
        <v>95000000000003</v>
      </c>
      <c r="E613" s="18" t="str">
        <f>IF(EXACT($D613, ""), "", VLOOKUP($D613, [2]DataLookUp!$B$4:$C$84, 2, FALSE))</f>
        <v>Default Employee Role</v>
      </c>
      <c r="F613" s="3"/>
      <c r="H613" s="15">
        <f t="shared" si="21"/>
        <v>225000000000066</v>
      </c>
      <c r="I613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164000000000610::bigint, 95000000000003::bigint, null::bigint);</v>
      </c>
    </row>
    <row r="614" spans="2:9" x14ac:dyDescent="0.2">
      <c r="B614" s="18">
        <f>IF(EXACT('[1]DataLookUp - InternalCareer(LP)'!$B614, ""), "", '[1]DataLookUp - InternalCareer(LP)'!$B614)</f>
        <v>164000000000611</v>
      </c>
      <c r="C614" s="18" t="str">
        <f>IF(EXACT($B614, ""), "", VLOOKUP(B614, '[1]DataLookUp - InternalCareer(LP)'!$B$4:$D$620, 3, FALSE))</f>
        <v>Solihin</v>
      </c>
      <c r="D614" s="3">
        <f>[2]MAIN!$D$7</f>
        <v>95000000000003</v>
      </c>
      <c r="E614" s="18" t="str">
        <f>IF(EXACT($D614, ""), "", VLOOKUP($D614, [2]DataLookUp!$B$4:$C$84, 2, FALSE))</f>
        <v>Default Employee Role</v>
      </c>
      <c r="F614" s="3"/>
      <c r="H614" s="15">
        <f t="shared" si="21"/>
        <v>225000000000067</v>
      </c>
      <c r="I614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164000000000611::bigint, 95000000000003::bigint, null::bigint);</v>
      </c>
    </row>
    <row r="615" spans="2:9" x14ac:dyDescent="0.2">
      <c r="B615" s="18">
        <f>IF(EXACT('[1]DataLookUp - InternalCareer(LP)'!$B615, ""), "", '[1]DataLookUp - InternalCareer(LP)'!$B615)</f>
        <v>164000000000612</v>
      </c>
      <c r="C615" s="18" t="str">
        <f>IF(EXACT($B615, ""), "", VLOOKUP(B615, '[1]DataLookUp - InternalCareer(LP)'!$B$4:$D$620, 3, FALSE))</f>
        <v>Supriatna</v>
      </c>
      <c r="D615" s="3">
        <f>[2]MAIN!$D$7</f>
        <v>95000000000003</v>
      </c>
      <c r="E615" s="18" t="str">
        <f>IF(EXACT($D615, ""), "", VLOOKUP($D615, [2]DataLookUp!$B$4:$C$84, 2, FALSE))</f>
        <v>Default Employee Role</v>
      </c>
      <c r="F615" s="3"/>
      <c r="H615" s="15">
        <f t="shared" si="21"/>
        <v>225000000000068</v>
      </c>
      <c r="I615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164000000000612::bigint, 95000000000003::bigint, null::bigint);</v>
      </c>
    </row>
    <row r="616" spans="2:9" x14ac:dyDescent="0.2">
      <c r="B616" s="18">
        <f>IF(EXACT('[1]DataLookUp - InternalCareer(LP)'!$B616, ""), "", '[1]DataLookUp - InternalCareer(LP)'!$B616)</f>
        <v>164000000000613</v>
      </c>
      <c r="C616" s="18" t="str">
        <f>IF(EXACT($B616, ""), "", VLOOKUP(B616, '[1]DataLookUp - InternalCareer(LP)'!$B$4:$D$620, 3, FALSE))</f>
        <v>Taufik Aminudin</v>
      </c>
      <c r="D616" s="3"/>
      <c r="E616" s="18" t="str">
        <f>IF(EXACT($D616, ""), "", VLOOKUP($D616, [2]DataLookUp!$B$4:$C$84, 2, FALSE))</f>
        <v/>
      </c>
      <c r="F616" s="3"/>
      <c r="H616" s="15">
        <f t="shared" si="21"/>
        <v>225000000000068</v>
      </c>
      <c r="I616" s="16" t="str">
        <f t="shared" si="22"/>
        <v/>
      </c>
    </row>
    <row r="617" spans="2:9" x14ac:dyDescent="0.2">
      <c r="B617" s="18">
        <f>IF(EXACT('[1]DataLookUp - InternalCareer(LP)'!$B617, ""), "", '[1]DataLookUp - InternalCareer(LP)'!$B617)</f>
        <v>164000000000614</v>
      </c>
      <c r="C617" s="18" t="str">
        <f>IF(EXACT($B617, ""), "", VLOOKUP(B617, '[1]DataLookUp - InternalCareer(LP)'!$B$4:$D$620, 3, FALSE))</f>
        <v>Timotius Tabun</v>
      </c>
      <c r="D617" s="3">
        <f>[2]MAIN!$D$7</f>
        <v>95000000000003</v>
      </c>
      <c r="E617" s="18" t="str">
        <f>IF(EXACT($D617, ""), "", VLOOKUP($D617, [2]DataLookUp!$B$4:$C$84, 2, FALSE))</f>
        <v>Default Employee Role</v>
      </c>
      <c r="F617" s="3"/>
      <c r="H617" s="15">
        <f t="shared" si="21"/>
        <v>225000000000069</v>
      </c>
      <c r="I617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164000000000614::bigint, 95000000000003::bigint, null::bigint);</v>
      </c>
    </row>
    <row r="618" spans="2:9" x14ac:dyDescent="0.2">
      <c r="B618" s="18">
        <f>IF(EXACT('[1]DataLookUp - InternalCareer(LP)'!$B618, ""), "", '[1]DataLookUp - InternalCareer(LP)'!$B618)</f>
        <v>164000000000615</v>
      </c>
      <c r="C618" s="18" t="str">
        <f>IF(EXACT($B618, ""), "", VLOOKUP(B618, '[1]DataLookUp - InternalCareer(LP)'!$B$4:$D$620, 3, FALSE))</f>
        <v>Adi</v>
      </c>
      <c r="D618" s="3">
        <f>[2]MAIN!$D$7</f>
        <v>95000000000003</v>
      </c>
      <c r="E618" s="18" t="str">
        <f>IF(EXACT($D618, ""), "", VLOOKUP($D618, [2]DataLookUp!$B$4:$C$84, 2, FALSE))</f>
        <v>Default Employee Role</v>
      </c>
      <c r="F618" s="3"/>
      <c r="H618" s="15">
        <f t="shared" si="21"/>
        <v>225000000000070</v>
      </c>
      <c r="I618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164000000000615::bigint, 95000000000003::bigint, null::bigint);</v>
      </c>
    </row>
    <row r="619" spans="2:9" x14ac:dyDescent="0.2">
      <c r="B619" s="18">
        <f>IF(EXACT('[1]DataLookUp - InternalCareer(LP)'!$B619, ""), "", '[1]DataLookUp - InternalCareer(LP)'!$B619)</f>
        <v>164000000000616</v>
      </c>
      <c r="C619" s="18" t="str">
        <f>IF(EXACT($B619, ""), "", VLOOKUP(B619, '[1]DataLookUp - InternalCareer(LP)'!$B$4:$D$620, 3, FALSE))</f>
        <v>Andrean Fahrizi</v>
      </c>
      <c r="D619" s="3">
        <f>[2]MAIN!$D$50</f>
        <v>95000000000039</v>
      </c>
      <c r="E619" s="18" t="str">
        <f>IF(EXACT($D619, ""), "", VLOOKUP($D619, [2]DataLookUp!$B$4:$C$84, 2, FALSE))</f>
        <v>IT Software Engineer Staff</v>
      </c>
      <c r="F619" s="3"/>
      <c r="H619" s="15">
        <f t="shared" si="21"/>
        <v>225000000000071</v>
      </c>
      <c r="I619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164000000000616::bigint, 95000000000039::bigint, null::bigint);</v>
      </c>
    </row>
    <row r="620" spans="2:9" x14ac:dyDescent="0.2">
      <c r="B620" s="18">
        <f>IF(EXACT('[1]DataLookUp - InternalCareer(LP)'!$B620, ""), "", '[1]DataLookUp - InternalCareer(LP)'!$B620)</f>
        <v>164000000000617</v>
      </c>
      <c r="C620" s="18" t="str">
        <f>IF(EXACT($B620, ""), "", VLOOKUP(B620, '[1]DataLookUp - InternalCareer(LP)'!$B$4:$D$620, 3, FALSE))</f>
        <v>Amar Abdilah</v>
      </c>
      <c r="D620" s="3">
        <f>[2]MAIN!$D$50</f>
        <v>95000000000039</v>
      </c>
      <c r="E620" s="18" t="str">
        <f>IF(EXACT($D620, ""), "", VLOOKUP($D620, [2]DataLookUp!$B$4:$C$84, 2, FALSE))</f>
        <v>IT Software Engineer Staff</v>
      </c>
      <c r="F620" s="3">
        <v>46000000000009</v>
      </c>
      <c r="H620" s="15">
        <f t="shared" si="21"/>
        <v>225000000000072</v>
      </c>
      <c r="I620" s="16" t="str">
        <f t="shared" si="22"/>
        <v>PERFORM "SchData-OLTP-HumanResource"."Func_TblMapper_WorkerCareerInternalToUserRole_SET"(varSystemLoginSession, null::bigint, null::varchar, null::timestamptz, null::timestamptz, null::varchar, varInstitutionBranchID, varBaseCurrencyID, 164000000000617::bigint, 95000000000039::bigint, 46000000000009::bigint);</v>
      </c>
    </row>
    <row r="621" spans="2:9" x14ac:dyDescent="0.2">
      <c r="B621" s="18">
        <v>164000000000617</v>
      </c>
      <c r="C621" s="18" t="str">
        <f>IF(EXACT($B621, ""), "", VLOOKUP(B621, '[1]DataLookUp - InternalCareer(LP)'!$B$4:$D$620, 3, FALSE))</f>
        <v>Amar Abdilah</v>
      </c>
      <c r="D621" s="3">
        <f>[2]MAIN!$D$50</f>
        <v>95000000000039</v>
      </c>
      <c r="E621" s="18" t="str">
        <f>IF(EXACT($D621, ""), "", VLOOKUP($D621, [2]DataLookUp!$B$4:$C$84, 2, FALSE))</f>
        <v>IT Software Engineer Staff</v>
      </c>
      <c r="F621" s="3">
        <v>46000000000033</v>
      </c>
      <c r="H621" s="15">
        <f t="shared" ref="H621" si="23" xml:space="preserve"> H620 + IF(EXACT(I621, ""), 0, 1)</f>
        <v>225000000000073</v>
      </c>
      <c r="I621" s="16" t="str">
        <f t="shared" ref="I621" si="24">IF(EXACT(D621, ""), "", CONCATENATE("PERFORM ""SchData-OLTP-HumanResource"".""Func_TblMapper_WorkerCareerInternalToUserRole_SET""(varSystemLoginSession, null::bigint, null::varchar, null::timestamptz, null::timestamptz, null::varchar, varInstitutionBranchID, varBaseCurrencyID, ", IF(EXACT(B621, ""), "null", B621), "::bigint, ", IF(EXACT(D621, ""), "null", D621), "::bigint, ", IF(EXACT(F621, ""), "null", F621), "::bigint);"))</f>
        <v>PERFORM "SchData-OLTP-HumanResource"."Func_TblMapper_WorkerCareerInternalToUserRole_SET"(varSystemLoginSession, null::bigint, null::varchar, null::timestamptz, null::timestamptz, null::varchar, varInstitutionBranchID, varBaseCurrencyID, 164000000000617::bigint, 95000000000039::bigint, 46000000000033::bigint);</v>
      </c>
    </row>
    <row r="622" spans="2:9" x14ac:dyDescent="0.2">
      <c r="B622" s="26"/>
      <c r="C622" s="26"/>
      <c r="D622" s="4"/>
      <c r="E622" s="4"/>
      <c r="F622" s="4"/>
      <c r="H622" s="28"/>
      <c r="I622" s="17" t="str">
        <f t="shared" si="22"/>
        <v/>
      </c>
    </row>
  </sheetData>
  <conditionalFormatting sqref="H12">
    <cfRule type="expression" dxfId="8" priority="15">
      <formula>H11</formula>
    </cfRule>
  </conditionalFormatting>
  <conditionalFormatting sqref="H13">
    <cfRule type="expression" dxfId="7" priority="14">
      <formula>H12</formula>
    </cfRule>
  </conditionalFormatting>
  <conditionalFormatting sqref="H5:H18 H29:H620">
    <cfRule type="expression" dxfId="6" priority="13">
      <formula>EXACT(H4, H5)</formula>
    </cfRule>
  </conditionalFormatting>
  <conditionalFormatting sqref="H14">
    <cfRule type="expression" dxfId="5" priority="12">
      <formula>EXACT(H13, H14)</formula>
    </cfRule>
  </conditionalFormatting>
  <conditionalFormatting sqref="H16">
    <cfRule type="expression" dxfId="4" priority="11">
      <formula>EXACT(H15, H16)</formula>
    </cfRule>
  </conditionalFormatting>
  <conditionalFormatting sqref="H19:H28">
    <cfRule type="expression" dxfId="3" priority="10">
      <formula>EXACT(H18, H19)</formula>
    </cfRule>
  </conditionalFormatting>
  <conditionalFormatting sqref="H4:H28">
    <cfRule type="expression" dxfId="2" priority="8">
      <formula>EXACT(H3, H4)</formula>
    </cfRule>
  </conditionalFormatting>
  <conditionalFormatting sqref="H622">
    <cfRule type="expression" dxfId="1" priority="17">
      <formula>EXACT(#REF!, H622)</formula>
    </cfRule>
  </conditionalFormatting>
  <conditionalFormatting sqref="H621">
    <cfRule type="expression" dxfId="0" priority="1">
      <formula>EXACT(H620, H621)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F619"/>
  <sheetViews>
    <sheetView workbookViewId="0">
      <pane xSplit="2" ySplit="3" topLeftCell="C70" activePane="bottomRight" state="frozen"/>
      <selection pane="topRight" activeCell="C1" sqref="C1"/>
      <selection pane="bottomLeft" activeCell="A4" sqref="A4"/>
      <selection pane="bottomRight" activeCell="B618" sqref="B618"/>
    </sheetView>
  </sheetViews>
  <sheetFormatPr defaultRowHeight="12.75" x14ac:dyDescent="0.2"/>
  <cols>
    <col min="1" max="1" width="2.85546875" style="1" customWidth="1"/>
    <col min="2" max="3" width="14" style="2" bestFit="1" customWidth="1"/>
    <col min="4" max="4" width="21.140625" style="1" bestFit="1" customWidth="1"/>
    <col min="5" max="5" width="13.140625" style="1" bestFit="1" customWidth="1"/>
    <col min="6" max="6" width="8.7109375" style="1" bestFit="1" customWidth="1"/>
    <col min="7" max="16384" width="9.140625" style="1"/>
  </cols>
  <sheetData>
    <row r="1" spans="2:6" ht="13.5" thickBot="1" x14ac:dyDescent="0.25"/>
    <row r="2" spans="2:6" ht="38.25" x14ac:dyDescent="0.2">
      <c r="B2" s="23" t="s">
        <v>6</v>
      </c>
      <c r="C2" s="7" t="str">
        <f>MAIN!B2</f>
        <v>Ref ID
Worker Career Internal</v>
      </c>
      <c r="D2" s="7" t="str">
        <f>MAIN!C2</f>
        <v>Worker Name</v>
      </c>
      <c r="E2" s="7" t="str">
        <f>MAIN!D2</f>
        <v>Ref ID
User Role</v>
      </c>
      <c r="F2" s="8" t="str">
        <f>MAIN!F2</f>
        <v>Ref ID
Combined Budget</v>
      </c>
    </row>
    <row r="3" spans="2:6" ht="13.5" thickBot="1" x14ac:dyDescent="0.25">
      <c r="B3" s="24"/>
      <c r="C3" s="11"/>
      <c r="D3" s="11"/>
      <c r="E3" s="11"/>
      <c r="F3" s="12"/>
    </row>
    <row r="4" spans="2:6" x14ac:dyDescent="0.2">
      <c r="B4" s="25" t="str">
        <f>IF(EXACT(MAIN!I4, ""), "", MAIN!H4)</f>
        <v/>
      </c>
      <c r="C4" s="3" t="str">
        <f>IF(EXACT(MAIN!$I4, ""), "", MAIN!$B4)</f>
        <v/>
      </c>
      <c r="D4" s="3" t="str">
        <f>IF(EXACT(MAIN!$I4, ""), "", MAIN!$C4)</f>
        <v/>
      </c>
      <c r="E4" s="3" t="str">
        <f>IF(EXACT(MAIN!$I4, ""), "", MAIN!$D4)</f>
        <v/>
      </c>
      <c r="F4" s="27" t="str">
        <f>IF(EXACT(MAIN!$I4, ""), "", ""&amp;MAIN!$F4)</f>
        <v/>
      </c>
    </row>
    <row r="5" spans="2:6" x14ac:dyDescent="0.2">
      <c r="B5" s="25" t="str">
        <f>IF(EXACT(MAIN!I5, ""), "", MAIN!H5)</f>
        <v/>
      </c>
      <c r="C5" s="3" t="str">
        <f>IF(EXACT(MAIN!$I5, ""), "", MAIN!$B5)</f>
        <v/>
      </c>
      <c r="D5" s="3" t="str">
        <f>IF(EXACT(MAIN!$I5, ""), "", MAIN!$C5)</f>
        <v/>
      </c>
      <c r="E5" s="3" t="str">
        <f>IF(EXACT(MAIN!$I5, ""), "", MAIN!$D5)</f>
        <v/>
      </c>
      <c r="F5" s="27" t="str">
        <f>IF(EXACT(MAIN!$I5, ""), "", ""&amp;MAIN!$F5)</f>
        <v/>
      </c>
    </row>
    <row r="6" spans="2:6" x14ac:dyDescent="0.2">
      <c r="B6" s="25" t="str">
        <f>IF(EXACT(MAIN!I6, ""), "", MAIN!H6)</f>
        <v/>
      </c>
      <c r="C6" s="3" t="str">
        <f>IF(EXACT(MAIN!$I6, ""), "", MAIN!$B6)</f>
        <v/>
      </c>
      <c r="D6" s="3" t="str">
        <f>IF(EXACT(MAIN!$I6, ""), "", MAIN!$C6)</f>
        <v/>
      </c>
      <c r="E6" s="3" t="str">
        <f>IF(EXACT(MAIN!$I6, ""), "", MAIN!$D6)</f>
        <v/>
      </c>
      <c r="F6" s="27" t="str">
        <f>IF(EXACT(MAIN!$I6, ""), "", ""&amp;MAIN!$F6)</f>
        <v/>
      </c>
    </row>
    <row r="7" spans="2:6" x14ac:dyDescent="0.2">
      <c r="B7" s="25" t="str">
        <f>IF(EXACT(MAIN!I7, ""), "", MAIN!H7)</f>
        <v/>
      </c>
      <c r="C7" s="3" t="str">
        <f>IF(EXACT(MAIN!$I7, ""), "", MAIN!$B7)</f>
        <v/>
      </c>
      <c r="D7" s="3" t="str">
        <f>IF(EXACT(MAIN!$I7, ""), "", MAIN!$C7)</f>
        <v/>
      </c>
      <c r="E7" s="3" t="str">
        <f>IF(EXACT(MAIN!$I7, ""), "", MAIN!$D7)</f>
        <v/>
      </c>
      <c r="F7" s="27" t="str">
        <f>IF(EXACT(MAIN!$I7, ""), "", ""&amp;MAIN!$F7)</f>
        <v/>
      </c>
    </row>
    <row r="8" spans="2:6" x14ac:dyDescent="0.2">
      <c r="B8" s="25" t="str">
        <f>IF(EXACT(MAIN!I8, ""), "", MAIN!H8)</f>
        <v/>
      </c>
      <c r="C8" s="3" t="str">
        <f>IF(EXACT(MAIN!$I8, ""), "", MAIN!$B8)</f>
        <v/>
      </c>
      <c r="D8" s="3" t="str">
        <f>IF(EXACT(MAIN!$I8, ""), "", MAIN!$C8)</f>
        <v/>
      </c>
      <c r="E8" s="3" t="str">
        <f>IF(EXACT(MAIN!$I8, ""), "", MAIN!$D8)</f>
        <v/>
      </c>
      <c r="F8" s="27" t="str">
        <f>IF(EXACT(MAIN!$I8, ""), "", ""&amp;MAIN!$F8)</f>
        <v/>
      </c>
    </row>
    <row r="9" spans="2:6" x14ac:dyDescent="0.2">
      <c r="B9" s="25" t="str">
        <f>IF(EXACT(MAIN!I9, ""), "", MAIN!H9)</f>
        <v/>
      </c>
      <c r="C9" s="3" t="str">
        <f>IF(EXACT(MAIN!$I9, ""), "", MAIN!$B9)</f>
        <v/>
      </c>
      <c r="D9" s="3" t="str">
        <f>IF(EXACT(MAIN!$I9, ""), "", MAIN!$C9)</f>
        <v/>
      </c>
      <c r="E9" s="3" t="str">
        <f>IF(EXACT(MAIN!$I9, ""), "", MAIN!$D9)</f>
        <v/>
      </c>
      <c r="F9" s="27" t="str">
        <f>IF(EXACT(MAIN!$I9, ""), "", ""&amp;MAIN!$F9)</f>
        <v/>
      </c>
    </row>
    <row r="10" spans="2:6" x14ac:dyDescent="0.2">
      <c r="B10" s="25" t="str">
        <f>IF(EXACT(MAIN!I10, ""), "", MAIN!H10)</f>
        <v/>
      </c>
      <c r="C10" s="3" t="str">
        <f>IF(EXACT(MAIN!$I10, ""), "", MAIN!$B10)</f>
        <v/>
      </c>
      <c r="D10" s="3" t="str">
        <f>IF(EXACT(MAIN!$I10, ""), "", MAIN!$C10)</f>
        <v/>
      </c>
      <c r="E10" s="3" t="str">
        <f>IF(EXACT(MAIN!$I10, ""), "", MAIN!$D10)</f>
        <v/>
      </c>
      <c r="F10" s="27" t="str">
        <f>IF(EXACT(MAIN!$I10, ""), "", ""&amp;MAIN!$F10)</f>
        <v/>
      </c>
    </row>
    <row r="11" spans="2:6" x14ac:dyDescent="0.2">
      <c r="B11" s="25" t="str">
        <f>IF(EXACT(MAIN!I11, ""), "", MAIN!H11)</f>
        <v/>
      </c>
      <c r="C11" s="3" t="str">
        <f>IF(EXACT(MAIN!$I11, ""), "", MAIN!$B11)</f>
        <v/>
      </c>
      <c r="D11" s="3" t="str">
        <f>IF(EXACT(MAIN!$I11, ""), "", MAIN!$C11)</f>
        <v/>
      </c>
      <c r="E11" s="3" t="str">
        <f>IF(EXACT(MAIN!$I11, ""), "", MAIN!$D11)</f>
        <v/>
      </c>
      <c r="F11" s="27" t="str">
        <f>IF(EXACT(MAIN!$I11, ""), "", ""&amp;MAIN!$F11)</f>
        <v/>
      </c>
    </row>
    <row r="12" spans="2:6" x14ac:dyDescent="0.2">
      <c r="B12" s="25" t="str">
        <f>IF(EXACT(MAIN!I12, ""), "", MAIN!H12)</f>
        <v/>
      </c>
      <c r="C12" s="3" t="str">
        <f>IF(EXACT(MAIN!$I12, ""), "", MAIN!$B12)</f>
        <v/>
      </c>
      <c r="D12" s="3" t="str">
        <f>IF(EXACT(MAIN!$I12, ""), "", MAIN!$C12)</f>
        <v/>
      </c>
      <c r="E12" s="3" t="str">
        <f>IF(EXACT(MAIN!$I12, ""), "", MAIN!$D12)</f>
        <v/>
      </c>
      <c r="F12" s="27" t="str">
        <f>IF(EXACT(MAIN!$I12, ""), "", ""&amp;MAIN!$F12)</f>
        <v/>
      </c>
    </row>
    <row r="13" spans="2:6" x14ac:dyDescent="0.2">
      <c r="B13" s="25" t="str">
        <f>IF(EXACT(MAIN!I13, ""), "", MAIN!H13)</f>
        <v/>
      </c>
      <c r="C13" s="3" t="str">
        <f>IF(EXACT(MAIN!$I13, ""), "", MAIN!$B13)</f>
        <v/>
      </c>
      <c r="D13" s="3" t="str">
        <f>IF(EXACT(MAIN!$I13, ""), "", MAIN!$C13)</f>
        <v/>
      </c>
      <c r="E13" s="3" t="str">
        <f>IF(EXACT(MAIN!$I13, ""), "", MAIN!$D13)</f>
        <v/>
      </c>
      <c r="F13" s="27" t="str">
        <f>IF(EXACT(MAIN!$I13, ""), "", ""&amp;MAIN!$F13)</f>
        <v/>
      </c>
    </row>
    <row r="14" spans="2:6" x14ac:dyDescent="0.2">
      <c r="B14" s="25" t="str">
        <f>IF(EXACT(MAIN!I14, ""), "", MAIN!H14)</f>
        <v/>
      </c>
      <c r="C14" s="3" t="str">
        <f>IF(EXACT(MAIN!$I14, ""), "", MAIN!$B14)</f>
        <v/>
      </c>
      <c r="D14" s="3" t="str">
        <f>IF(EXACT(MAIN!$I14, ""), "", MAIN!$C14)</f>
        <v/>
      </c>
      <c r="E14" s="3" t="str">
        <f>IF(EXACT(MAIN!$I14, ""), "", MAIN!$D14)</f>
        <v/>
      </c>
      <c r="F14" s="27" t="str">
        <f>IF(EXACT(MAIN!$I14, ""), "", ""&amp;MAIN!$F14)</f>
        <v/>
      </c>
    </row>
    <row r="15" spans="2:6" x14ac:dyDescent="0.2">
      <c r="B15" s="25">
        <f>IF(EXACT(MAIN!$I15, ""), "", MAIN!$H15)</f>
        <v>225000000000001</v>
      </c>
      <c r="C15" s="3">
        <f>IF(EXACT(MAIN!$I15, ""), "", MAIN!$B15)</f>
        <v>164000000000012</v>
      </c>
      <c r="D15" s="3" t="str">
        <f>IF(EXACT(MAIN!$I15, ""), "", MAIN!$C15)</f>
        <v>Agnes Sutedja</v>
      </c>
      <c r="E15" s="3">
        <f>IF(EXACT(MAIN!$I15, ""), "", MAIN!$D15)</f>
        <v>95000000000048</v>
      </c>
      <c r="F15" s="27" t="str">
        <f>IF(EXACT(MAIN!$I15, ""), "", ""&amp;MAIN!$F15)</f>
        <v/>
      </c>
    </row>
    <row r="16" spans="2:6" x14ac:dyDescent="0.2">
      <c r="B16" s="25" t="str">
        <f>IF(EXACT(MAIN!I16, ""), "", MAIN!H16)</f>
        <v/>
      </c>
      <c r="C16" s="3" t="str">
        <f>IF(EXACT(MAIN!$I16, ""), "", MAIN!$B16)</f>
        <v/>
      </c>
      <c r="D16" s="3" t="str">
        <f>IF(EXACT(MAIN!$I16, ""), "", MAIN!$C16)</f>
        <v/>
      </c>
      <c r="E16" s="3" t="str">
        <f>IF(EXACT(MAIN!$I16, ""), "", MAIN!$D16)</f>
        <v/>
      </c>
      <c r="F16" s="27" t="str">
        <f>IF(EXACT(MAIN!$I16, ""), "", ""&amp;MAIN!$F16)</f>
        <v/>
      </c>
    </row>
    <row r="17" spans="2:6" x14ac:dyDescent="0.2">
      <c r="B17" s="25" t="str">
        <f>IF(EXACT(MAIN!I17, ""), "", MAIN!H17)</f>
        <v/>
      </c>
      <c r="C17" s="3" t="str">
        <f>IF(EXACT(MAIN!$I17, ""), "", MAIN!$B17)</f>
        <v/>
      </c>
      <c r="D17" s="3" t="str">
        <f>IF(EXACT(MAIN!$I17, ""), "", MAIN!$C17)</f>
        <v/>
      </c>
      <c r="E17" s="3" t="str">
        <f>IF(EXACT(MAIN!$I17, ""), "", MAIN!$D17)</f>
        <v/>
      </c>
      <c r="F17" s="27" t="str">
        <f>IF(EXACT(MAIN!$I17, ""), "", ""&amp;MAIN!$F17)</f>
        <v/>
      </c>
    </row>
    <row r="18" spans="2:6" x14ac:dyDescent="0.2">
      <c r="B18" s="25" t="str">
        <f>IF(EXACT(MAIN!I18, ""), "", MAIN!H18)</f>
        <v/>
      </c>
      <c r="C18" s="3" t="str">
        <f>IF(EXACT(MAIN!$I18, ""), "", MAIN!$B18)</f>
        <v/>
      </c>
      <c r="D18" s="3" t="str">
        <f>IF(EXACT(MAIN!$I18, ""), "", MAIN!$C18)</f>
        <v/>
      </c>
      <c r="E18" s="3" t="str">
        <f>IF(EXACT(MAIN!$I18, ""), "", MAIN!$D18)</f>
        <v/>
      </c>
      <c r="F18" s="27" t="str">
        <f>IF(EXACT(MAIN!$I18, ""), "", ""&amp;MAIN!$F18)</f>
        <v/>
      </c>
    </row>
    <row r="19" spans="2:6" x14ac:dyDescent="0.2">
      <c r="B19" s="25" t="str">
        <f>IF(EXACT(MAIN!I19, ""), "", MAIN!H19)</f>
        <v/>
      </c>
      <c r="C19" s="3" t="str">
        <f>IF(EXACT(MAIN!$I19, ""), "", MAIN!$B19)</f>
        <v/>
      </c>
      <c r="D19" s="3" t="str">
        <f>IF(EXACT(MAIN!$I19, ""), "", MAIN!$C19)</f>
        <v/>
      </c>
      <c r="E19" s="3" t="str">
        <f>IF(EXACT(MAIN!$I19, ""), "", MAIN!$D19)</f>
        <v/>
      </c>
      <c r="F19" s="27" t="str">
        <f>IF(EXACT(MAIN!$I19, ""), "", ""&amp;MAIN!$F19)</f>
        <v/>
      </c>
    </row>
    <row r="20" spans="2:6" x14ac:dyDescent="0.2">
      <c r="B20" s="25">
        <f>IF(EXACT(MAIN!I20, ""), "", MAIN!H20)</f>
        <v>225000000000002</v>
      </c>
      <c r="C20" s="3">
        <f>IF(EXACT(MAIN!$I20, ""), "", MAIN!$B20)</f>
        <v>164000000000017</v>
      </c>
      <c r="D20" s="3" t="str">
        <f>IF(EXACT(MAIN!$I20, ""), "", MAIN!$C20)</f>
        <v>Ahmad Faiz Haems Muda</v>
      </c>
      <c r="E20" s="3">
        <f>IF(EXACT(MAIN!$I20, ""), "", MAIN!$D20)</f>
        <v>95000000000017</v>
      </c>
      <c r="F20" s="27" t="str">
        <f>IF(EXACT(MAIN!$I20, ""), "", ""&amp;MAIN!$F20)</f>
        <v/>
      </c>
    </row>
    <row r="21" spans="2:6" x14ac:dyDescent="0.2">
      <c r="B21" s="25" t="str">
        <f>IF(EXACT(MAIN!I21, ""), "", MAIN!H21)</f>
        <v/>
      </c>
      <c r="C21" s="3" t="str">
        <f>IF(EXACT(MAIN!$I21, ""), "", MAIN!$B21)</f>
        <v/>
      </c>
      <c r="D21" s="3" t="str">
        <f>IF(EXACT(MAIN!$I21, ""), "", MAIN!$C21)</f>
        <v/>
      </c>
      <c r="E21" s="3" t="str">
        <f>IF(EXACT(MAIN!$I21, ""), "", MAIN!$D21)</f>
        <v/>
      </c>
      <c r="F21" s="27" t="str">
        <f>IF(EXACT(MAIN!$I21, ""), "", ""&amp;MAIN!$F21)</f>
        <v/>
      </c>
    </row>
    <row r="22" spans="2:6" x14ac:dyDescent="0.2">
      <c r="B22" s="25" t="str">
        <f>IF(EXACT(MAIN!I22, ""), "", MAIN!H22)</f>
        <v/>
      </c>
      <c r="C22" s="3" t="str">
        <f>IF(EXACT(MAIN!$I22, ""), "", MAIN!$B22)</f>
        <v/>
      </c>
      <c r="D22" s="3" t="str">
        <f>IF(EXACT(MAIN!$I22, ""), "", MAIN!$C22)</f>
        <v/>
      </c>
      <c r="E22" s="3" t="str">
        <f>IF(EXACT(MAIN!$I22, ""), "", MAIN!$D22)</f>
        <v/>
      </c>
      <c r="F22" s="27" t="str">
        <f>IF(EXACT(MAIN!$I22, ""), "", ""&amp;MAIN!$F22)</f>
        <v/>
      </c>
    </row>
    <row r="23" spans="2:6" x14ac:dyDescent="0.2">
      <c r="B23" s="25" t="str">
        <f>IF(EXACT(MAIN!I23, ""), "", MAIN!H23)</f>
        <v/>
      </c>
      <c r="C23" s="3" t="str">
        <f>IF(EXACT(MAIN!$I23, ""), "", MAIN!$B23)</f>
        <v/>
      </c>
      <c r="D23" s="3" t="str">
        <f>IF(EXACT(MAIN!$I23, ""), "", MAIN!$C23)</f>
        <v/>
      </c>
      <c r="E23" s="3" t="str">
        <f>IF(EXACT(MAIN!$I23, ""), "", MAIN!$D23)</f>
        <v/>
      </c>
      <c r="F23" s="27" t="str">
        <f>IF(EXACT(MAIN!$I23, ""), "", ""&amp;MAIN!$F23)</f>
        <v/>
      </c>
    </row>
    <row r="24" spans="2:6" x14ac:dyDescent="0.2">
      <c r="B24" s="25" t="str">
        <f>IF(EXACT(MAIN!I24, ""), "", MAIN!H24)</f>
        <v/>
      </c>
      <c r="C24" s="3" t="str">
        <f>IF(EXACT(MAIN!$I24, ""), "", MAIN!$B24)</f>
        <v/>
      </c>
      <c r="D24" s="3" t="str">
        <f>IF(EXACT(MAIN!$I24, ""), "", MAIN!$C24)</f>
        <v/>
      </c>
      <c r="E24" s="3" t="str">
        <f>IF(EXACT(MAIN!$I24, ""), "", MAIN!$D24)</f>
        <v/>
      </c>
      <c r="F24" s="27" t="str">
        <f>IF(EXACT(MAIN!$I24, ""), "", ""&amp;MAIN!$F24)</f>
        <v/>
      </c>
    </row>
    <row r="25" spans="2:6" x14ac:dyDescent="0.2">
      <c r="B25" s="25" t="str">
        <f>IF(EXACT(MAIN!I25, ""), "", MAIN!H25)</f>
        <v/>
      </c>
      <c r="C25" s="3" t="str">
        <f>IF(EXACT(MAIN!$I25, ""), "", MAIN!$B25)</f>
        <v/>
      </c>
      <c r="D25" s="3" t="str">
        <f>IF(EXACT(MAIN!$I25, ""), "", MAIN!$C25)</f>
        <v/>
      </c>
      <c r="E25" s="3" t="str">
        <f>IF(EXACT(MAIN!$I25, ""), "", MAIN!$D25)</f>
        <v/>
      </c>
      <c r="F25" s="27" t="str">
        <f>IF(EXACT(MAIN!$I25, ""), "", ""&amp;MAIN!$F25)</f>
        <v/>
      </c>
    </row>
    <row r="26" spans="2:6" x14ac:dyDescent="0.2">
      <c r="B26" s="25">
        <f>IF(EXACT(MAIN!I26, ""), "", MAIN!H26)</f>
        <v>225000000000003</v>
      </c>
      <c r="C26" s="3">
        <f>IF(EXACT(MAIN!$I26, ""), "", MAIN!$B26)</f>
        <v>164000000000023</v>
      </c>
      <c r="D26" s="3" t="str">
        <f>IF(EXACT(MAIN!$I26, ""), "", MAIN!$C26)</f>
        <v>Aldi Mulyadi</v>
      </c>
      <c r="E26" s="3">
        <f>IF(EXACT(MAIN!$I26, ""), "", MAIN!$D26)</f>
        <v>95000000000039</v>
      </c>
      <c r="F26" s="27" t="str">
        <f>IF(EXACT(MAIN!$I26, ""), "", ""&amp;MAIN!$F26)</f>
        <v/>
      </c>
    </row>
    <row r="27" spans="2:6" x14ac:dyDescent="0.2">
      <c r="B27" s="25" t="str">
        <f>IF(EXACT(MAIN!I27, ""), "", MAIN!H27)</f>
        <v/>
      </c>
      <c r="C27" s="3" t="str">
        <f>IF(EXACT(MAIN!$I27, ""), "", MAIN!$B27)</f>
        <v/>
      </c>
      <c r="D27" s="3" t="str">
        <f>IF(EXACT(MAIN!$I27, ""), "", MAIN!$C27)</f>
        <v/>
      </c>
      <c r="E27" s="3" t="str">
        <f>IF(EXACT(MAIN!$I27, ""), "", MAIN!$D27)</f>
        <v/>
      </c>
      <c r="F27" s="27" t="str">
        <f>IF(EXACT(MAIN!$I27, ""), "", ""&amp;MAIN!$F27)</f>
        <v/>
      </c>
    </row>
    <row r="28" spans="2:6" x14ac:dyDescent="0.2">
      <c r="B28" s="25" t="str">
        <f>IF(EXACT(MAIN!I28, ""), "", MAIN!H28)</f>
        <v/>
      </c>
      <c r="C28" s="3" t="str">
        <f>IF(EXACT(MAIN!$I28, ""), "", MAIN!$B28)</f>
        <v/>
      </c>
      <c r="D28" s="3" t="str">
        <f>IF(EXACT(MAIN!$I28, ""), "", MAIN!$C28)</f>
        <v/>
      </c>
      <c r="E28" s="3" t="str">
        <f>IF(EXACT(MAIN!$I28, ""), "", MAIN!$D28)</f>
        <v/>
      </c>
      <c r="F28" s="27" t="str">
        <f>IF(EXACT(MAIN!$I28, ""), "", ""&amp;MAIN!$F28)</f>
        <v/>
      </c>
    </row>
    <row r="29" spans="2:6" x14ac:dyDescent="0.2">
      <c r="B29" s="25" t="str">
        <f>IF(EXACT(MAIN!I29, ""), "", MAIN!H29)</f>
        <v/>
      </c>
      <c r="C29" s="3" t="str">
        <f>IF(EXACT(MAIN!$I29, ""), "", MAIN!$B29)</f>
        <v/>
      </c>
      <c r="D29" s="3" t="str">
        <f>IF(EXACT(MAIN!$I29, ""), "", MAIN!$C29)</f>
        <v/>
      </c>
      <c r="E29" s="3" t="str">
        <f>IF(EXACT(MAIN!$I29, ""), "", MAIN!$D29)</f>
        <v/>
      </c>
      <c r="F29" s="27" t="str">
        <f>IF(EXACT(MAIN!$I29, ""), "", ""&amp;MAIN!$F29)</f>
        <v/>
      </c>
    </row>
    <row r="30" spans="2:6" x14ac:dyDescent="0.2">
      <c r="B30" s="25" t="str">
        <f>IF(EXACT(MAIN!I30, ""), "", MAIN!H30)</f>
        <v/>
      </c>
      <c r="C30" s="3" t="str">
        <f>IF(EXACT(MAIN!$I30, ""), "", MAIN!$B30)</f>
        <v/>
      </c>
      <c r="D30" s="3" t="str">
        <f>IF(EXACT(MAIN!$I30, ""), "", MAIN!$C30)</f>
        <v/>
      </c>
      <c r="E30" s="3" t="str">
        <f>IF(EXACT(MAIN!$I30, ""), "", MAIN!$D30)</f>
        <v/>
      </c>
      <c r="F30" s="27" t="str">
        <f>IF(EXACT(MAIN!$I30, ""), "", ""&amp;MAIN!$F30)</f>
        <v/>
      </c>
    </row>
    <row r="31" spans="2:6" x14ac:dyDescent="0.2">
      <c r="B31" s="25" t="str">
        <f>IF(EXACT(MAIN!I31, ""), "", MAIN!H31)</f>
        <v/>
      </c>
      <c r="C31" s="3" t="str">
        <f>IF(EXACT(MAIN!$I31, ""), "", MAIN!$B31)</f>
        <v/>
      </c>
      <c r="D31" s="3" t="str">
        <f>IF(EXACT(MAIN!$I31, ""), "", MAIN!$C31)</f>
        <v/>
      </c>
      <c r="E31" s="3" t="str">
        <f>IF(EXACT(MAIN!$I31, ""), "", MAIN!$D31)</f>
        <v/>
      </c>
      <c r="F31" s="27" t="str">
        <f>IF(EXACT(MAIN!$I31, ""), "", ""&amp;MAIN!$F31)</f>
        <v/>
      </c>
    </row>
    <row r="32" spans="2:6" x14ac:dyDescent="0.2">
      <c r="B32" s="25" t="str">
        <f>IF(EXACT(MAIN!I32, ""), "", MAIN!H32)</f>
        <v/>
      </c>
      <c r="C32" s="3" t="str">
        <f>IF(EXACT(MAIN!$I32, ""), "", MAIN!$B32)</f>
        <v/>
      </c>
      <c r="D32" s="3" t="str">
        <f>IF(EXACT(MAIN!$I32, ""), "", MAIN!$C32)</f>
        <v/>
      </c>
      <c r="E32" s="3" t="str">
        <f>IF(EXACT(MAIN!$I32, ""), "", MAIN!$D32)</f>
        <v/>
      </c>
      <c r="F32" s="27" t="str">
        <f>IF(EXACT(MAIN!$I32, ""), "", ""&amp;MAIN!$F32)</f>
        <v/>
      </c>
    </row>
    <row r="33" spans="2:6" x14ac:dyDescent="0.2">
      <c r="B33" s="25" t="str">
        <f>IF(EXACT(MAIN!I33, ""), "", MAIN!H33)</f>
        <v/>
      </c>
      <c r="C33" s="3" t="str">
        <f>IF(EXACT(MAIN!$I33, ""), "", MAIN!$B33)</f>
        <v/>
      </c>
      <c r="D33" s="3" t="str">
        <f>IF(EXACT(MAIN!$I33, ""), "", MAIN!$C33)</f>
        <v/>
      </c>
      <c r="E33" s="3" t="str">
        <f>IF(EXACT(MAIN!$I33, ""), "", MAIN!$D33)</f>
        <v/>
      </c>
      <c r="F33" s="27" t="str">
        <f>IF(EXACT(MAIN!$I33, ""), "", ""&amp;MAIN!$F33)</f>
        <v/>
      </c>
    </row>
    <row r="34" spans="2:6" x14ac:dyDescent="0.2">
      <c r="B34" s="25" t="str">
        <f>IF(EXACT(MAIN!I34, ""), "", MAIN!H34)</f>
        <v/>
      </c>
      <c r="C34" s="3" t="str">
        <f>IF(EXACT(MAIN!$I34, ""), "", MAIN!$B34)</f>
        <v/>
      </c>
      <c r="D34" s="3" t="str">
        <f>IF(EXACT(MAIN!$I34, ""), "", MAIN!$C34)</f>
        <v/>
      </c>
      <c r="E34" s="3" t="str">
        <f>IF(EXACT(MAIN!$I34, ""), "", MAIN!$D34)</f>
        <v/>
      </c>
      <c r="F34" s="27" t="str">
        <f>IF(EXACT(MAIN!$I34, ""), "", ""&amp;MAIN!$F34)</f>
        <v/>
      </c>
    </row>
    <row r="35" spans="2:6" x14ac:dyDescent="0.2">
      <c r="B35" s="25" t="str">
        <f>IF(EXACT(MAIN!I35, ""), "", MAIN!H35)</f>
        <v/>
      </c>
      <c r="C35" s="3" t="str">
        <f>IF(EXACT(MAIN!$I35, ""), "", MAIN!$B35)</f>
        <v/>
      </c>
      <c r="D35" s="3" t="str">
        <f>IF(EXACT(MAIN!$I35, ""), "", MAIN!$C35)</f>
        <v/>
      </c>
      <c r="E35" s="3" t="str">
        <f>IF(EXACT(MAIN!$I35, ""), "", MAIN!$D35)</f>
        <v/>
      </c>
      <c r="F35" s="27" t="str">
        <f>IF(EXACT(MAIN!$I35, ""), "", ""&amp;MAIN!$F35)</f>
        <v/>
      </c>
    </row>
    <row r="36" spans="2:6" x14ac:dyDescent="0.2">
      <c r="B36" s="25" t="str">
        <f>IF(EXACT(MAIN!I36, ""), "", MAIN!H36)</f>
        <v/>
      </c>
      <c r="C36" s="3" t="str">
        <f>IF(EXACT(MAIN!$I36, ""), "", MAIN!$B36)</f>
        <v/>
      </c>
      <c r="D36" s="3" t="str">
        <f>IF(EXACT(MAIN!$I36, ""), "", MAIN!$C36)</f>
        <v/>
      </c>
      <c r="E36" s="3" t="str">
        <f>IF(EXACT(MAIN!$I36, ""), "", MAIN!$D36)</f>
        <v/>
      </c>
      <c r="F36" s="27" t="str">
        <f>IF(EXACT(MAIN!$I36, ""), "", ""&amp;MAIN!$F36)</f>
        <v/>
      </c>
    </row>
    <row r="37" spans="2:6" x14ac:dyDescent="0.2">
      <c r="B37" s="25" t="str">
        <f>IF(EXACT(MAIN!I37, ""), "", MAIN!H37)</f>
        <v/>
      </c>
      <c r="C37" s="3" t="str">
        <f>IF(EXACT(MAIN!$I37, ""), "", MAIN!$B37)</f>
        <v/>
      </c>
      <c r="D37" s="3" t="str">
        <f>IF(EXACT(MAIN!$I37, ""), "", MAIN!$C37)</f>
        <v/>
      </c>
      <c r="E37" s="3" t="str">
        <f>IF(EXACT(MAIN!$I37, ""), "", MAIN!$D37)</f>
        <v/>
      </c>
      <c r="F37" s="27" t="str">
        <f>IF(EXACT(MAIN!$I37, ""), "", ""&amp;MAIN!$F37)</f>
        <v/>
      </c>
    </row>
    <row r="38" spans="2:6" x14ac:dyDescent="0.2">
      <c r="B38" s="25" t="str">
        <f>IF(EXACT(MAIN!I38, ""), "", MAIN!H38)</f>
        <v/>
      </c>
      <c r="C38" s="3" t="str">
        <f>IF(EXACT(MAIN!$I38, ""), "", MAIN!$B38)</f>
        <v/>
      </c>
      <c r="D38" s="3" t="str">
        <f>IF(EXACT(MAIN!$I38, ""), "", MAIN!$C38)</f>
        <v/>
      </c>
      <c r="E38" s="3" t="str">
        <f>IF(EXACT(MAIN!$I38, ""), "", MAIN!$D38)</f>
        <v/>
      </c>
      <c r="F38" s="27" t="str">
        <f>IF(EXACT(MAIN!$I38, ""), "", ""&amp;MAIN!$F38)</f>
        <v/>
      </c>
    </row>
    <row r="39" spans="2:6" x14ac:dyDescent="0.2">
      <c r="B39" s="25" t="str">
        <f>IF(EXACT(MAIN!I39, ""), "", MAIN!H39)</f>
        <v/>
      </c>
      <c r="C39" s="3" t="str">
        <f>IF(EXACT(MAIN!$I39, ""), "", MAIN!$B39)</f>
        <v/>
      </c>
      <c r="D39" s="3" t="str">
        <f>IF(EXACT(MAIN!$I39, ""), "", MAIN!$C39)</f>
        <v/>
      </c>
      <c r="E39" s="3" t="str">
        <f>IF(EXACT(MAIN!$I39, ""), "", MAIN!$D39)</f>
        <v/>
      </c>
      <c r="F39" s="27" t="str">
        <f>IF(EXACT(MAIN!$I39, ""), "", ""&amp;MAIN!$F39)</f>
        <v/>
      </c>
    </row>
    <row r="40" spans="2:6" x14ac:dyDescent="0.2">
      <c r="B40" s="25" t="str">
        <f>IF(EXACT(MAIN!I40, ""), "", MAIN!H40)</f>
        <v/>
      </c>
      <c r="C40" s="3" t="str">
        <f>IF(EXACT(MAIN!$I40, ""), "", MAIN!$B40)</f>
        <v/>
      </c>
      <c r="D40" s="3" t="str">
        <f>IF(EXACT(MAIN!$I40, ""), "", MAIN!$C40)</f>
        <v/>
      </c>
      <c r="E40" s="3" t="str">
        <f>IF(EXACT(MAIN!$I40, ""), "", MAIN!$D40)</f>
        <v/>
      </c>
      <c r="F40" s="27" t="str">
        <f>IF(EXACT(MAIN!$I40, ""), "", ""&amp;MAIN!$F40)</f>
        <v/>
      </c>
    </row>
    <row r="41" spans="2:6" x14ac:dyDescent="0.2">
      <c r="B41" s="25" t="str">
        <f>IF(EXACT(MAIN!I41, ""), "", MAIN!H41)</f>
        <v/>
      </c>
      <c r="C41" s="3" t="str">
        <f>IF(EXACT(MAIN!$I41, ""), "", MAIN!$B41)</f>
        <v/>
      </c>
      <c r="D41" s="3" t="str">
        <f>IF(EXACT(MAIN!$I41, ""), "", MAIN!$C41)</f>
        <v/>
      </c>
      <c r="E41" s="3" t="str">
        <f>IF(EXACT(MAIN!$I41, ""), "", MAIN!$D41)</f>
        <v/>
      </c>
      <c r="F41" s="27" t="str">
        <f>IF(EXACT(MAIN!$I41, ""), "", ""&amp;MAIN!$F41)</f>
        <v/>
      </c>
    </row>
    <row r="42" spans="2:6" x14ac:dyDescent="0.2">
      <c r="B42" s="25" t="str">
        <f>IF(EXACT(MAIN!I42, ""), "", MAIN!H42)</f>
        <v/>
      </c>
      <c r="C42" s="3" t="str">
        <f>IF(EXACT(MAIN!$I42, ""), "", MAIN!$B42)</f>
        <v/>
      </c>
      <c r="D42" s="3" t="str">
        <f>IF(EXACT(MAIN!$I42, ""), "", MAIN!$C42)</f>
        <v/>
      </c>
      <c r="E42" s="3" t="str">
        <f>IF(EXACT(MAIN!$I42, ""), "", MAIN!$D42)</f>
        <v/>
      </c>
      <c r="F42" s="27" t="str">
        <f>IF(EXACT(MAIN!$I42, ""), "", ""&amp;MAIN!$F42)</f>
        <v/>
      </c>
    </row>
    <row r="43" spans="2:6" x14ac:dyDescent="0.2">
      <c r="B43" s="25" t="str">
        <f>IF(EXACT(MAIN!I43, ""), "", MAIN!H43)</f>
        <v/>
      </c>
      <c r="C43" s="3" t="str">
        <f>IF(EXACT(MAIN!$I43, ""), "", MAIN!$B43)</f>
        <v/>
      </c>
      <c r="D43" s="3" t="str">
        <f>IF(EXACT(MAIN!$I43, ""), "", MAIN!$C43)</f>
        <v/>
      </c>
      <c r="E43" s="3" t="str">
        <f>IF(EXACT(MAIN!$I43, ""), "", MAIN!$D43)</f>
        <v/>
      </c>
      <c r="F43" s="27" t="str">
        <f>IF(EXACT(MAIN!$I43, ""), "", ""&amp;MAIN!$F43)</f>
        <v/>
      </c>
    </row>
    <row r="44" spans="2:6" x14ac:dyDescent="0.2">
      <c r="B44" s="25" t="str">
        <f>IF(EXACT(MAIN!I44, ""), "", MAIN!H44)</f>
        <v/>
      </c>
      <c r="C44" s="3" t="str">
        <f>IF(EXACT(MAIN!$I44, ""), "", MAIN!$B44)</f>
        <v/>
      </c>
      <c r="D44" s="3" t="str">
        <f>IF(EXACT(MAIN!$I44, ""), "", MAIN!$C44)</f>
        <v/>
      </c>
      <c r="E44" s="3" t="str">
        <f>IF(EXACT(MAIN!$I44, ""), "", MAIN!$D44)</f>
        <v/>
      </c>
      <c r="F44" s="27" t="str">
        <f>IF(EXACT(MAIN!$I44, ""), "", ""&amp;MAIN!$F44)</f>
        <v/>
      </c>
    </row>
    <row r="45" spans="2:6" x14ac:dyDescent="0.2">
      <c r="B45" s="25" t="str">
        <f>IF(EXACT(MAIN!I45, ""), "", MAIN!H45)</f>
        <v/>
      </c>
      <c r="C45" s="3" t="str">
        <f>IF(EXACT(MAIN!$I45, ""), "", MAIN!$B45)</f>
        <v/>
      </c>
      <c r="D45" s="3" t="str">
        <f>IF(EXACT(MAIN!$I45, ""), "", MAIN!$C45)</f>
        <v/>
      </c>
      <c r="E45" s="3" t="str">
        <f>IF(EXACT(MAIN!$I45, ""), "", MAIN!$D45)</f>
        <v/>
      </c>
      <c r="F45" s="27" t="str">
        <f>IF(EXACT(MAIN!$I45, ""), "", ""&amp;MAIN!$F45)</f>
        <v/>
      </c>
    </row>
    <row r="46" spans="2:6" x14ac:dyDescent="0.2">
      <c r="B46" s="25" t="str">
        <f>IF(EXACT(MAIN!I46, ""), "", MAIN!H46)</f>
        <v/>
      </c>
      <c r="C46" s="3" t="str">
        <f>IF(EXACT(MAIN!$I46, ""), "", MAIN!$B46)</f>
        <v/>
      </c>
      <c r="D46" s="3" t="str">
        <f>IF(EXACT(MAIN!$I46, ""), "", MAIN!$C46)</f>
        <v/>
      </c>
      <c r="E46" s="3" t="str">
        <f>IF(EXACT(MAIN!$I46, ""), "", MAIN!$D46)</f>
        <v/>
      </c>
      <c r="F46" s="27" t="str">
        <f>IF(EXACT(MAIN!$I46, ""), "", ""&amp;MAIN!$F46)</f>
        <v/>
      </c>
    </row>
    <row r="47" spans="2:6" x14ac:dyDescent="0.2">
      <c r="B47" s="25" t="str">
        <f>IF(EXACT(MAIN!I47, ""), "", MAIN!H47)</f>
        <v/>
      </c>
      <c r="C47" s="3" t="str">
        <f>IF(EXACT(MAIN!$I47, ""), "", MAIN!$B47)</f>
        <v/>
      </c>
      <c r="D47" s="3" t="str">
        <f>IF(EXACT(MAIN!$I47, ""), "", MAIN!$C47)</f>
        <v/>
      </c>
      <c r="E47" s="3" t="str">
        <f>IF(EXACT(MAIN!$I47, ""), "", MAIN!$D47)</f>
        <v/>
      </c>
      <c r="F47" s="27" t="str">
        <f>IF(EXACT(MAIN!$I47, ""), "", ""&amp;MAIN!$F47)</f>
        <v/>
      </c>
    </row>
    <row r="48" spans="2:6" x14ac:dyDescent="0.2">
      <c r="B48" s="25" t="str">
        <f>IF(EXACT(MAIN!I48, ""), "", MAIN!H48)</f>
        <v/>
      </c>
      <c r="C48" s="3" t="str">
        <f>IF(EXACT(MAIN!$I48, ""), "", MAIN!$B48)</f>
        <v/>
      </c>
      <c r="D48" s="3" t="str">
        <f>IF(EXACT(MAIN!$I48, ""), "", MAIN!$C48)</f>
        <v/>
      </c>
      <c r="E48" s="3" t="str">
        <f>IF(EXACT(MAIN!$I48, ""), "", MAIN!$D48)</f>
        <v/>
      </c>
      <c r="F48" s="27" t="str">
        <f>IF(EXACT(MAIN!$I48, ""), "", ""&amp;MAIN!$F48)</f>
        <v/>
      </c>
    </row>
    <row r="49" spans="2:6" x14ac:dyDescent="0.2">
      <c r="B49" s="25" t="str">
        <f>IF(EXACT(MAIN!I49, ""), "", MAIN!H49)</f>
        <v/>
      </c>
      <c r="C49" s="3" t="str">
        <f>IF(EXACT(MAIN!$I49, ""), "", MAIN!$B49)</f>
        <v/>
      </c>
      <c r="D49" s="3" t="str">
        <f>IF(EXACT(MAIN!$I49, ""), "", MAIN!$C49)</f>
        <v/>
      </c>
      <c r="E49" s="3" t="str">
        <f>IF(EXACT(MAIN!$I49, ""), "", MAIN!$D49)</f>
        <v/>
      </c>
      <c r="F49" s="27" t="str">
        <f>IF(EXACT(MAIN!$I49, ""), "", ""&amp;MAIN!$F49)</f>
        <v/>
      </c>
    </row>
    <row r="50" spans="2:6" x14ac:dyDescent="0.2">
      <c r="B50" s="25" t="str">
        <f>IF(EXACT(MAIN!I50, ""), "", MAIN!H50)</f>
        <v/>
      </c>
      <c r="C50" s="3" t="str">
        <f>IF(EXACT(MAIN!$I50, ""), "", MAIN!$B50)</f>
        <v/>
      </c>
      <c r="D50" s="3" t="str">
        <f>IF(EXACT(MAIN!$I50, ""), "", MAIN!$C50)</f>
        <v/>
      </c>
      <c r="E50" s="3" t="str">
        <f>IF(EXACT(MAIN!$I50, ""), "", MAIN!$D50)</f>
        <v/>
      </c>
      <c r="F50" s="27" t="str">
        <f>IF(EXACT(MAIN!$I50, ""), "", ""&amp;MAIN!$F50)</f>
        <v/>
      </c>
    </row>
    <row r="51" spans="2:6" x14ac:dyDescent="0.2">
      <c r="B51" s="25" t="str">
        <f>IF(EXACT(MAIN!I51, ""), "", MAIN!H51)</f>
        <v/>
      </c>
      <c r="C51" s="3" t="str">
        <f>IF(EXACT(MAIN!$I51, ""), "", MAIN!$B51)</f>
        <v/>
      </c>
      <c r="D51" s="3" t="str">
        <f>IF(EXACT(MAIN!$I51, ""), "", MAIN!$C51)</f>
        <v/>
      </c>
      <c r="E51" s="3" t="str">
        <f>IF(EXACT(MAIN!$I51, ""), "", MAIN!$D51)</f>
        <v/>
      </c>
      <c r="F51" s="27" t="str">
        <f>IF(EXACT(MAIN!$I51, ""), "", ""&amp;MAIN!$F51)</f>
        <v/>
      </c>
    </row>
    <row r="52" spans="2:6" x14ac:dyDescent="0.2">
      <c r="B52" s="25" t="str">
        <f>IF(EXACT(MAIN!I52, ""), "", MAIN!H52)</f>
        <v/>
      </c>
      <c r="C52" s="3" t="str">
        <f>IF(EXACT(MAIN!$I52, ""), "", MAIN!$B52)</f>
        <v/>
      </c>
      <c r="D52" s="3" t="str">
        <f>IF(EXACT(MAIN!$I52, ""), "", MAIN!$C52)</f>
        <v/>
      </c>
      <c r="E52" s="3" t="str">
        <f>IF(EXACT(MAIN!$I52, ""), "", MAIN!$D52)</f>
        <v/>
      </c>
      <c r="F52" s="27" t="str">
        <f>IF(EXACT(MAIN!$I52, ""), "", ""&amp;MAIN!$F52)</f>
        <v/>
      </c>
    </row>
    <row r="53" spans="2:6" x14ac:dyDescent="0.2">
      <c r="B53" s="25" t="str">
        <f>IF(EXACT(MAIN!I53, ""), "", MAIN!H53)</f>
        <v/>
      </c>
      <c r="C53" s="3" t="str">
        <f>IF(EXACT(MAIN!$I53, ""), "", MAIN!$B53)</f>
        <v/>
      </c>
      <c r="D53" s="3" t="str">
        <f>IF(EXACT(MAIN!$I53, ""), "", MAIN!$C53)</f>
        <v/>
      </c>
      <c r="E53" s="3" t="str">
        <f>IF(EXACT(MAIN!$I53, ""), "", MAIN!$D53)</f>
        <v/>
      </c>
      <c r="F53" s="27" t="str">
        <f>IF(EXACT(MAIN!$I53, ""), "", ""&amp;MAIN!$F53)</f>
        <v/>
      </c>
    </row>
    <row r="54" spans="2:6" x14ac:dyDescent="0.2">
      <c r="B54" s="25" t="str">
        <f>IF(EXACT(MAIN!I54, ""), "", MAIN!H54)</f>
        <v/>
      </c>
      <c r="C54" s="3" t="str">
        <f>IF(EXACT(MAIN!$I54, ""), "", MAIN!$B54)</f>
        <v/>
      </c>
      <c r="D54" s="3" t="str">
        <f>IF(EXACT(MAIN!$I54, ""), "", MAIN!$C54)</f>
        <v/>
      </c>
      <c r="E54" s="3" t="str">
        <f>IF(EXACT(MAIN!$I54, ""), "", MAIN!$D54)</f>
        <v/>
      </c>
      <c r="F54" s="27" t="str">
        <f>IF(EXACT(MAIN!$I54, ""), "", ""&amp;MAIN!$F54)</f>
        <v/>
      </c>
    </row>
    <row r="55" spans="2:6" x14ac:dyDescent="0.2">
      <c r="B55" s="25" t="str">
        <f>IF(EXACT(MAIN!I55, ""), "", MAIN!H55)</f>
        <v/>
      </c>
      <c r="C55" s="3" t="str">
        <f>IF(EXACT(MAIN!$I55, ""), "", MAIN!$B55)</f>
        <v/>
      </c>
      <c r="D55" s="3" t="str">
        <f>IF(EXACT(MAIN!$I55, ""), "", MAIN!$C55)</f>
        <v/>
      </c>
      <c r="E55" s="3" t="str">
        <f>IF(EXACT(MAIN!$I55, ""), "", MAIN!$D55)</f>
        <v/>
      </c>
      <c r="F55" s="27" t="str">
        <f>IF(EXACT(MAIN!$I55, ""), "", ""&amp;MAIN!$F55)</f>
        <v/>
      </c>
    </row>
    <row r="56" spans="2:6" x14ac:dyDescent="0.2">
      <c r="B56" s="25" t="str">
        <f>IF(EXACT(MAIN!I56, ""), "", MAIN!H56)</f>
        <v/>
      </c>
      <c r="C56" s="3" t="str">
        <f>IF(EXACT(MAIN!$I56, ""), "", MAIN!$B56)</f>
        <v/>
      </c>
      <c r="D56" s="3" t="str">
        <f>IF(EXACT(MAIN!$I56, ""), "", MAIN!$C56)</f>
        <v/>
      </c>
      <c r="E56" s="3" t="str">
        <f>IF(EXACT(MAIN!$I56, ""), "", MAIN!$D56)</f>
        <v/>
      </c>
      <c r="F56" s="27" t="str">
        <f>IF(EXACT(MAIN!$I56, ""), "", ""&amp;MAIN!$F56)</f>
        <v/>
      </c>
    </row>
    <row r="57" spans="2:6" x14ac:dyDescent="0.2">
      <c r="B57" s="25" t="str">
        <f>IF(EXACT(MAIN!I57, ""), "", MAIN!H57)</f>
        <v/>
      </c>
      <c r="C57" s="3" t="str">
        <f>IF(EXACT(MAIN!$I57, ""), "", MAIN!$B57)</f>
        <v/>
      </c>
      <c r="D57" s="3" t="str">
        <f>IF(EXACT(MAIN!$I57, ""), "", MAIN!$C57)</f>
        <v/>
      </c>
      <c r="E57" s="3" t="str">
        <f>IF(EXACT(MAIN!$I57, ""), "", MAIN!$D57)</f>
        <v/>
      </c>
      <c r="F57" s="27" t="str">
        <f>IF(EXACT(MAIN!$I57, ""), "", ""&amp;MAIN!$F57)</f>
        <v/>
      </c>
    </row>
    <row r="58" spans="2:6" x14ac:dyDescent="0.2">
      <c r="B58" s="25" t="str">
        <f>IF(EXACT(MAIN!I58, ""), "", MAIN!H58)</f>
        <v/>
      </c>
      <c r="C58" s="3" t="str">
        <f>IF(EXACT(MAIN!$I58, ""), "", MAIN!$B58)</f>
        <v/>
      </c>
      <c r="D58" s="3" t="str">
        <f>IF(EXACT(MAIN!$I58, ""), "", MAIN!$C58)</f>
        <v/>
      </c>
      <c r="E58" s="3" t="str">
        <f>IF(EXACT(MAIN!$I58, ""), "", MAIN!$D58)</f>
        <v/>
      </c>
      <c r="F58" s="27" t="str">
        <f>IF(EXACT(MAIN!$I58, ""), "", ""&amp;MAIN!$F58)</f>
        <v/>
      </c>
    </row>
    <row r="59" spans="2:6" x14ac:dyDescent="0.2">
      <c r="B59" s="25" t="str">
        <f>IF(EXACT(MAIN!I59, ""), "", MAIN!H59)</f>
        <v/>
      </c>
      <c r="C59" s="3" t="str">
        <f>IF(EXACT(MAIN!$I59, ""), "", MAIN!$B59)</f>
        <v/>
      </c>
      <c r="D59" s="3" t="str">
        <f>IF(EXACT(MAIN!$I59, ""), "", MAIN!$C59)</f>
        <v/>
      </c>
      <c r="E59" s="3" t="str">
        <f>IF(EXACT(MAIN!$I59, ""), "", MAIN!$D59)</f>
        <v/>
      </c>
      <c r="F59" s="27" t="str">
        <f>IF(EXACT(MAIN!$I59, ""), "", ""&amp;MAIN!$F59)</f>
        <v/>
      </c>
    </row>
    <row r="60" spans="2:6" x14ac:dyDescent="0.2">
      <c r="B60" s="25" t="str">
        <f>IF(EXACT(MAIN!I60, ""), "", MAIN!H60)</f>
        <v/>
      </c>
      <c r="C60" s="3" t="str">
        <f>IF(EXACT(MAIN!$I60, ""), "", MAIN!$B60)</f>
        <v/>
      </c>
      <c r="D60" s="3" t="str">
        <f>IF(EXACT(MAIN!$I60, ""), "", MAIN!$C60)</f>
        <v/>
      </c>
      <c r="E60" s="3" t="str">
        <f>IF(EXACT(MAIN!$I60, ""), "", MAIN!$D60)</f>
        <v/>
      </c>
      <c r="F60" s="27" t="str">
        <f>IF(EXACT(MAIN!$I60, ""), "", ""&amp;MAIN!$F60)</f>
        <v/>
      </c>
    </row>
    <row r="61" spans="2:6" x14ac:dyDescent="0.2">
      <c r="B61" s="25" t="str">
        <f>IF(EXACT(MAIN!I61, ""), "", MAIN!H61)</f>
        <v/>
      </c>
      <c r="C61" s="3" t="str">
        <f>IF(EXACT(MAIN!$I61, ""), "", MAIN!$B61)</f>
        <v/>
      </c>
      <c r="D61" s="3" t="str">
        <f>IF(EXACT(MAIN!$I61, ""), "", MAIN!$C61)</f>
        <v/>
      </c>
      <c r="E61" s="3" t="str">
        <f>IF(EXACT(MAIN!$I61, ""), "", MAIN!$D61)</f>
        <v/>
      </c>
      <c r="F61" s="27" t="str">
        <f>IF(EXACT(MAIN!$I61, ""), "", ""&amp;MAIN!$F61)</f>
        <v/>
      </c>
    </row>
    <row r="62" spans="2:6" x14ac:dyDescent="0.2">
      <c r="B62" s="25" t="str">
        <f>IF(EXACT(MAIN!I62, ""), "", MAIN!H62)</f>
        <v/>
      </c>
      <c r="C62" s="3" t="str">
        <f>IF(EXACT(MAIN!$I62, ""), "", MAIN!$B62)</f>
        <v/>
      </c>
      <c r="D62" s="3" t="str">
        <f>IF(EXACT(MAIN!$I62, ""), "", MAIN!$C62)</f>
        <v/>
      </c>
      <c r="E62" s="3" t="str">
        <f>IF(EXACT(MAIN!$I62, ""), "", MAIN!$D62)</f>
        <v/>
      </c>
      <c r="F62" s="27" t="str">
        <f>IF(EXACT(MAIN!$I62, ""), "", ""&amp;MAIN!$F62)</f>
        <v/>
      </c>
    </row>
    <row r="63" spans="2:6" x14ac:dyDescent="0.2">
      <c r="B63" s="25" t="str">
        <f>IF(EXACT(MAIN!I63, ""), "", MAIN!H63)</f>
        <v/>
      </c>
      <c r="C63" s="3" t="str">
        <f>IF(EXACT(MAIN!$I63, ""), "", MAIN!$B63)</f>
        <v/>
      </c>
      <c r="D63" s="3" t="str">
        <f>IF(EXACT(MAIN!$I63, ""), "", MAIN!$C63)</f>
        <v/>
      </c>
      <c r="E63" s="3" t="str">
        <f>IF(EXACT(MAIN!$I63, ""), "", MAIN!$D63)</f>
        <v/>
      </c>
      <c r="F63" s="27" t="str">
        <f>IF(EXACT(MAIN!$I63, ""), "", ""&amp;MAIN!$F63)</f>
        <v/>
      </c>
    </row>
    <row r="64" spans="2:6" x14ac:dyDescent="0.2">
      <c r="B64" s="25" t="str">
        <f>IF(EXACT(MAIN!I64, ""), "", MAIN!H64)</f>
        <v/>
      </c>
      <c r="C64" s="3" t="str">
        <f>IF(EXACT(MAIN!$I64, ""), "", MAIN!$B64)</f>
        <v/>
      </c>
      <c r="D64" s="3" t="str">
        <f>IF(EXACT(MAIN!$I64, ""), "", MAIN!$C64)</f>
        <v/>
      </c>
      <c r="E64" s="3" t="str">
        <f>IF(EXACT(MAIN!$I64, ""), "", MAIN!$D64)</f>
        <v/>
      </c>
      <c r="F64" s="27" t="str">
        <f>IF(EXACT(MAIN!$I64, ""), "", ""&amp;MAIN!$F64)</f>
        <v/>
      </c>
    </row>
    <row r="65" spans="2:6" x14ac:dyDescent="0.2">
      <c r="B65" s="25" t="str">
        <f>IF(EXACT(MAIN!I65, ""), "", MAIN!H65)</f>
        <v/>
      </c>
      <c r="C65" s="3" t="str">
        <f>IF(EXACT(MAIN!$I65, ""), "", MAIN!$B65)</f>
        <v/>
      </c>
      <c r="D65" s="3" t="str">
        <f>IF(EXACT(MAIN!$I65, ""), "", MAIN!$C65)</f>
        <v/>
      </c>
      <c r="E65" s="3" t="str">
        <f>IF(EXACT(MAIN!$I65, ""), "", MAIN!$D65)</f>
        <v/>
      </c>
      <c r="F65" s="27" t="str">
        <f>IF(EXACT(MAIN!$I65, ""), "", ""&amp;MAIN!$F65)</f>
        <v/>
      </c>
    </row>
    <row r="66" spans="2:6" x14ac:dyDescent="0.2">
      <c r="B66" s="25" t="str">
        <f>IF(EXACT(MAIN!I66, ""), "", MAIN!H66)</f>
        <v/>
      </c>
      <c r="C66" s="3" t="str">
        <f>IF(EXACT(MAIN!$I66, ""), "", MAIN!$B66)</f>
        <v/>
      </c>
      <c r="D66" s="3" t="str">
        <f>IF(EXACT(MAIN!$I66, ""), "", MAIN!$C66)</f>
        <v/>
      </c>
      <c r="E66" s="3" t="str">
        <f>IF(EXACT(MAIN!$I66, ""), "", MAIN!$D66)</f>
        <v/>
      </c>
      <c r="F66" s="27" t="str">
        <f>IF(EXACT(MAIN!$I66, ""), "", ""&amp;MAIN!$F66)</f>
        <v/>
      </c>
    </row>
    <row r="67" spans="2:6" x14ac:dyDescent="0.2">
      <c r="B67" s="25" t="str">
        <f>IF(EXACT(MAIN!I67, ""), "", MAIN!H67)</f>
        <v/>
      </c>
      <c r="C67" s="3" t="str">
        <f>IF(EXACT(MAIN!$I67, ""), "", MAIN!$B67)</f>
        <v/>
      </c>
      <c r="D67" s="3" t="str">
        <f>IF(EXACT(MAIN!$I67, ""), "", MAIN!$C67)</f>
        <v/>
      </c>
      <c r="E67" s="3" t="str">
        <f>IF(EXACT(MAIN!$I67, ""), "", MAIN!$D67)</f>
        <v/>
      </c>
      <c r="F67" s="27" t="str">
        <f>IF(EXACT(MAIN!$I67, ""), "", ""&amp;MAIN!$F67)</f>
        <v/>
      </c>
    </row>
    <row r="68" spans="2:6" x14ac:dyDescent="0.2">
      <c r="B68" s="25" t="str">
        <f>IF(EXACT(MAIN!I68, ""), "", MAIN!H68)</f>
        <v/>
      </c>
      <c r="C68" s="3" t="str">
        <f>IF(EXACT(MAIN!$I68, ""), "", MAIN!$B68)</f>
        <v/>
      </c>
      <c r="D68" s="3" t="str">
        <f>IF(EXACT(MAIN!$I68, ""), "", MAIN!$C68)</f>
        <v/>
      </c>
      <c r="E68" s="3" t="str">
        <f>IF(EXACT(MAIN!$I68, ""), "", MAIN!$D68)</f>
        <v/>
      </c>
      <c r="F68" s="27" t="str">
        <f>IF(EXACT(MAIN!$I68, ""), "", ""&amp;MAIN!$F68)</f>
        <v/>
      </c>
    </row>
    <row r="69" spans="2:6" x14ac:dyDescent="0.2">
      <c r="B69" s="25" t="str">
        <f>IF(EXACT(MAIN!I69, ""), "", MAIN!H69)</f>
        <v/>
      </c>
      <c r="C69" s="3" t="str">
        <f>IF(EXACT(MAIN!$I69, ""), "", MAIN!$B69)</f>
        <v/>
      </c>
      <c r="D69" s="3" t="str">
        <f>IF(EXACT(MAIN!$I69, ""), "", MAIN!$C69)</f>
        <v/>
      </c>
      <c r="E69" s="3" t="str">
        <f>IF(EXACT(MAIN!$I69, ""), "", MAIN!$D69)</f>
        <v/>
      </c>
      <c r="F69" s="27" t="str">
        <f>IF(EXACT(MAIN!$I69, ""), "", ""&amp;MAIN!$F69)</f>
        <v/>
      </c>
    </row>
    <row r="70" spans="2:6" x14ac:dyDescent="0.2">
      <c r="B70" s="25" t="str">
        <f>IF(EXACT(MAIN!I70, ""), "", MAIN!H70)</f>
        <v/>
      </c>
      <c r="C70" s="3" t="str">
        <f>IF(EXACT(MAIN!$I70, ""), "", MAIN!$B70)</f>
        <v/>
      </c>
      <c r="D70" s="3" t="str">
        <f>IF(EXACT(MAIN!$I70, ""), "", MAIN!$C70)</f>
        <v/>
      </c>
      <c r="E70" s="3" t="str">
        <f>IF(EXACT(MAIN!$I70, ""), "", MAIN!$D70)</f>
        <v/>
      </c>
      <c r="F70" s="27" t="str">
        <f>IF(EXACT(MAIN!$I70, ""), "", ""&amp;MAIN!$F70)</f>
        <v/>
      </c>
    </row>
    <row r="71" spans="2:6" x14ac:dyDescent="0.2">
      <c r="B71" s="25" t="str">
        <f>IF(EXACT(MAIN!I71, ""), "", MAIN!H71)</f>
        <v/>
      </c>
      <c r="C71" s="3" t="str">
        <f>IF(EXACT(MAIN!$I71, ""), "", MAIN!$B71)</f>
        <v/>
      </c>
      <c r="D71" s="3" t="str">
        <f>IF(EXACT(MAIN!$I71, ""), "", MAIN!$C71)</f>
        <v/>
      </c>
      <c r="E71" s="3" t="str">
        <f>IF(EXACT(MAIN!$I71, ""), "", MAIN!$D71)</f>
        <v/>
      </c>
      <c r="F71" s="27" t="str">
        <f>IF(EXACT(MAIN!$I71, ""), "", ""&amp;MAIN!$F71)</f>
        <v/>
      </c>
    </row>
    <row r="72" spans="2:6" x14ac:dyDescent="0.2">
      <c r="B72" s="25" t="str">
        <f>IF(EXACT(MAIN!I72, ""), "", MAIN!H72)</f>
        <v/>
      </c>
      <c r="C72" s="3" t="str">
        <f>IF(EXACT(MAIN!$I72, ""), "", MAIN!$B72)</f>
        <v/>
      </c>
      <c r="D72" s="3" t="str">
        <f>IF(EXACT(MAIN!$I72, ""), "", MAIN!$C72)</f>
        <v/>
      </c>
      <c r="E72" s="3" t="str">
        <f>IF(EXACT(MAIN!$I72, ""), "", MAIN!$D72)</f>
        <v/>
      </c>
      <c r="F72" s="27" t="str">
        <f>IF(EXACT(MAIN!$I72, ""), "", ""&amp;MAIN!$F72)</f>
        <v/>
      </c>
    </row>
    <row r="73" spans="2:6" x14ac:dyDescent="0.2">
      <c r="B73" s="25" t="str">
        <f>IF(EXACT(MAIN!I73, ""), "", MAIN!H73)</f>
        <v/>
      </c>
      <c r="C73" s="3" t="str">
        <f>IF(EXACT(MAIN!$I73, ""), "", MAIN!$B73)</f>
        <v/>
      </c>
      <c r="D73" s="3" t="str">
        <f>IF(EXACT(MAIN!$I73, ""), "", MAIN!$C73)</f>
        <v/>
      </c>
      <c r="E73" s="3" t="str">
        <f>IF(EXACT(MAIN!$I73, ""), "", MAIN!$D73)</f>
        <v/>
      </c>
      <c r="F73" s="27" t="str">
        <f>IF(EXACT(MAIN!$I73, ""), "", ""&amp;MAIN!$F73)</f>
        <v/>
      </c>
    </row>
    <row r="74" spans="2:6" x14ac:dyDescent="0.2">
      <c r="B74" s="25" t="str">
        <f>IF(EXACT(MAIN!I74, ""), "", MAIN!H74)</f>
        <v/>
      </c>
      <c r="C74" s="3" t="str">
        <f>IF(EXACT(MAIN!$I74, ""), "", MAIN!$B74)</f>
        <v/>
      </c>
      <c r="D74" s="3" t="str">
        <f>IF(EXACT(MAIN!$I74, ""), "", MAIN!$C74)</f>
        <v/>
      </c>
      <c r="E74" s="3" t="str">
        <f>IF(EXACT(MAIN!$I74, ""), "", MAIN!$D74)</f>
        <v/>
      </c>
      <c r="F74" s="27" t="str">
        <f>IF(EXACT(MAIN!$I74, ""), "", ""&amp;MAIN!$F74)</f>
        <v/>
      </c>
    </row>
    <row r="75" spans="2:6" x14ac:dyDescent="0.2">
      <c r="B75" s="25" t="str">
        <f>IF(EXACT(MAIN!I75, ""), "", MAIN!H75)</f>
        <v/>
      </c>
      <c r="C75" s="3" t="str">
        <f>IF(EXACT(MAIN!$I75, ""), "", MAIN!$B75)</f>
        <v/>
      </c>
      <c r="D75" s="3" t="str">
        <f>IF(EXACT(MAIN!$I75, ""), "", MAIN!$C75)</f>
        <v/>
      </c>
      <c r="E75" s="3" t="str">
        <f>IF(EXACT(MAIN!$I75, ""), "", MAIN!$D75)</f>
        <v/>
      </c>
      <c r="F75" s="27" t="str">
        <f>IF(EXACT(MAIN!$I75, ""), "", ""&amp;MAIN!$F75)</f>
        <v/>
      </c>
    </row>
    <row r="76" spans="2:6" x14ac:dyDescent="0.2">
      <c r="B76" s="25" t="str">
        <f>IF(EXACT(MAIN!I76, ""), "", MAIN!H76)</f>
        <v/>
      </c>
      <c r="C76" s="3" t="str">
        <f>IF(EXACT(MAIN!$I76, ""), "", MAIN!$B76)</f>
        <v/>
      </c>
      <c r="D76" s="3" t="str">
        <f>IF(EXACT(MAIN!$I76, ""), "", MAIN!$C76)</f>
        <v/>
      </c>
      <c r="E76" s="3" t="str">
        <f>IF(EXACT(MAIN!$I76, ""), "", MAIN!$D76)</f>
        <v/>
      </c>
      <c r="F76" s="27" t="str">
        <f>IF(EXACT(MAIN!$I76, ""), "", ""&amp;MAIN!$F76)</f>
        <v/>
      </c>
    </row>
    <row r="77" spans="2:6" x14ac:dyDescent="0.2">
      <c r="B77" s="25" t="str">
        <f>IF(EXACT(MAIN!I77, ""), "", MAIN!H77)</f>
        <v/>
      </c>
      <c r="C77" s="3" t="str">
        <f>IF(EXACT(MAIN!$I77, ""), "", MAIN!$B77)</f>
        <v/>
      </c>
      <c r="D77" s="3" t="str">
        <f>IF(EXACT(MAIN!$I77, ""), "", MAIN!$C77)</f>
        <v/>
      </c>
      <c r="E77" s="3" t="str">
        <f>IF(EXACT(MAIN!$I77, ""), "", MAIN!$D77)</f>
        <v/>
      </c>
      <c r="F77" s="27" t="str">
        <f>IF(EXACT(MAIN!$I77, ""), "", ""&amp;MAIN!$F77)</f>
        <v/>
      </c>
    </row>
    <row r="78" spans="2:6" x14ac:dyDescent="0.2">
      <c r="B78" s="25">
        <f>IF(EXACT(MAIN!I78, ""), "", MAIN!H78)</f>
        <v>225000000000004</v>
      </c>
      <c r="C78" s="3">
        <f>IF(EXACT(MAIN!$I78, ""), "", MAIN!$B78)</f>
        <v>164000000000075</v>
      </c>
      <c r="D78" s="3" t="str">
        <f>IF(EXACT(MAIN!$I78, ""), "", MAIN!$C78)</f>
        <v>Belina Lindarwani</v>
      </c>
      <c r="E78" s="3">
        <f>IF(EXACT(MAIN!$I78, ""), "", MAIN!$D78)</f>
        <v>95000000000034</v>
      </c>
      <c r="F78" s="27" t="str">
        <f>IF(EXACT(MAIN!$I78, ""), "", ""&amp;MAIN!$F78)</f>
        <v/>
      </c>
    </row>
    <row r="79" spans="2:6" x14ac:dyDescent="0.2">
      <c r="B79" s="25" t="str">
        <f>IF(EXACT(MAIN!I79, ""), "", MAIN!H79)</f>
        <v/>
      </c>
      <c r="C79" s="3" t="str">
        <f>IF(EXACT(MAIN!$I79, ""), "", MAIN!$B79)</f>
        <v/>
      </c>
      <c r="D79" s="3" t="str">
        <f>IF(EXACT(MAIN!$I79, ""), "", MAIN!$C79)</f>
        <v/>
      </c>
      <c r="E79" s="3" t="str">
        <f>IF(EXACT(MAIN!$I79, ""), "", MAIN!$D79)</f>
        <v/>
      </c>
      <c r="F79" s="27" t="str">
        <f>IF(EXACT(MAIN!$I79, ""), "", ""&amp;MAIN!$F79)</f>
        <v/>
      </c>
    </row>
    <row r="80" spans="2:6" x14ac:dyDescent="0.2">
      <c r="B80" s="25" t="str">
        <f>IF(EXACT(MAIN!I80, ""), "", MAIN!H80)</f>
        <v/>
      </c>
      <c r="C80" s="3" t="str">
        <f>IF(EXACT(MAIN!$I80, ""), "", MAIN!$B80)</f>
        <v/>
      </c>
      <c r="D80" s="3" t="str">
        <f>IF(EXACT(MAIN!$I80, ""), "", MAIN!$C80)</f>
        <v/>
      </c>
      <c r="E80" s="3" t="str">
        <f>IF(EXACT(MAIN!$I80, ""), "", MAIN!$D80)</f>
        <v/>
      </c>
      <c r="F80" s="27" t="str">
        <f>IF(EXACT(MAIN!$I80, ""), "", ""&amp;MAIN!$F80)</f>
        <v/>
      </c>
    </row>
    <row r="81" spans="2:6" x14ac:dyDescent="0.2">
      <c r="B81" s="25" t="str">
        <f>IF(EXACT(MAIN!I81, ""), "", MAIN!H81)</f>
        <v/>
      </c>
      <c r="C81" s="3" t="str">
        <f>IF(EXACT(MAIN!$I81, ""), "", MAIN!$B81)</f>
        <v/>
      </c>
      <c r="D81" s="3" t="str">
        <f>IF(EXACT(MAIN!$I81, ""), "", MAIN!$C81)</f>
        <v/>
      </c>
      <c r="E81" s="3" t="str">
        <f>IF(EXACT(MAIN!$I81, ""), "", MAIN!$D81)</f>
        <v/>
      </c>
      <c r="F81" s="27" t="str">
        <f>IF(EXACT(MAIN!$I81, ""), "", ""&amp;MAIN!$F81)</f>
        <v/>
      </c>
    </row>
    <row r="82" spans="2:6" x14ac:dyDescent="0.2">
      <c r="B82" s="25" t="str">
        <f>IF(EXACT(MAIN!I82, ""), "", MAIN!H82)</f>
        <v/>
      </c>
      <c r="C82" s="3" t="str">
        <f>IF(EXACT(MAIN!$I82, ""), "", MAIN!$B82)</f>
        <v/>
      </c>
      <c r="D82" s="3" t="str">
        <f>IF(EXACT(MAIN!$I82, ""), "", MAIN!$C82)</f>
        <v/>
      </c>
      <c r="E82" s="3" t="str">
        <f>IF(EXACT(MAIN!$I82, ""), "", MAIN!$D82)</f>
        <v/>
      </c>
      <c r="F82" s="27" t="str">
        <f>IF(EXACT(MAIN!$I82, ""), "", ""&amp;MAIN!$F82)</f>
        <v/>
      </c>
    </row>
    <row r="83" spans="2:6" x14ac:dyDescent="0.2">
      <c r="B83" s="25" t="str">
        <f>IF(EXACT(MAIN!I83, ""), "", MAIN!H83)</f>
        <v/>
      </c>
      <c r="C83" s="3" t="str">
        <f>IF(EXACT(MAIN!$I83, ""), "", MAIN!$B83)</f>
        <v/>
      </c>
      <c r="D83" s="3" t="str">
        <f>IF(EXACT(MAIN!$I83, ""), "", MAIN!$C83)</f>
        <v/>
      </c>
      <c r="E83" s="3" t="str">
        <f>IF(EXACT(MAIN!$I83, ""), "", MAIN!$D83)</f>
        <v/>
      </c>
      <c r="F83" s="27" t="str">
        <f>IF(EXACT(MAIN!$I83, ""), "", ""&amp;MAIN!$F83)</f>
        <v/>
      </c>
    </row>
    <row r="84" spans="2:6" x14ac:dyDescent="0.2">
      <c r="B84" s="25" t="str">
        <f>IF(EXACT(MAIN!I84, ""), "", MAIN!H84)</f>
        <v/>
      </c>
      <c r="C84" s="3" t="str">
        <f>IF(EXACT(MAIN!$I84, ""), "", MAIN!$B84)</f>
        <v/>
      </c>
      <c r="D84" s="3" t="str">
        <f>IF(EXACT(MAIN!$I84, ""), "", MAIN!$C84)</f>
        <v/>
      </c>
      <c r="E84" s="3" t="str">
        <f>IF(EXACT(MAIN!$I84, ""), "", MAIN!$D84)</f>
        <v/>
      </c>
      <c r="F84" s="27" t="str">
        <f>IF(EXACT(MAIN!$I84, ""), "", ""&amp;MAIN!$F84)</f>
        <v/>
      </c>
    </row>
    <row r="85" spans="2:6" x14ac:dyDescent="0.2">
      <c r="B85" s="25">
        <f>IF(EXACT(MAIN!I85, ""), "", MAIN!H85)</f>
        <v>225000000000005</v>
      </c>
      <c r="C85" s="3">
        <f>IF(EXACT(MAIN!$I85, ""), "", MAIN!$B85)</f>
        <v>164000000000082</v>
      </c>
      <c r="D85" s="3" t="str">
        <f>IF(EXACT(MAIN!$I85, ""), "", MAIN!$C85)</f>
        <v>Budianto</v>
      </c>
      <c r="E85" s="3">
        <f>IF(EXACT(MAIN!$I85, ""), "", MAIN!$D85)</f>
        <v>95000000000032</v>
      </c>
      <c r="F85" s="27" t="str">
        <f>IF(EXACT(MAIN!$I85, ""), "", ""&amp;MAIN!$F85)</f>
        <v/>
      </c>
    </row>
    <row r="86" spans="2:6" x14ac:dyDescent="0.2">
      <c r="B86" s="25" t="str">
        <f>IF(EXACT(MAIN!I86, ""), "", MAIN!H86)</f>
        <v/>
      </c>
      <c r="C86" s="3" t="str">
        <f>IF(EXACT(MAIN!$I86, ""), "", MAIN!$B86)</f>
        <v/>
      </c>
      <c r="D86" s="3" t="str">
        <f>IF(EXACT(MAIN!$I86, ""), "", MAIN!$C86)</f>
        <v/>
      </c>
      <c r="E86" s="3" t="str">
        <f>IF(EXACT(MAIN!$I86, ""), "", MAIN!$D86)</f>
        <v/>
      </c>
      <c r="F86" s="27" t="str">
        <f>IF(EXACT(MAIN!$I86, ""), "", ""&amp;MAIN!$F86)</f>
        <v/>
      </c>
    </row>
    <row r="87" spans="2:6" x14ac:dyDescent="0.2">
      <c r="B87" s="25" t="str">
        <f>IF(EXACT(MAIN!I87, ""), "", MAIN!H87)</f>
        <v/>
      </c>
      <c r="C87" s="3" t="str">
        <f>IF(EXACT(MAIN!$I87, ""), "", MAIN!$B87)</f>
        <v/>
      </c>
      <c r="D87" s="3" t="str">
        <f>IF(EXACT(MAIN!$I87, ""), "", MAIN!$C87)</f>
        <v/>
      </c>
      <c r="E87" s="3" t="str">
        <f>IF(EXACT(MAIN!$I87, ""), "", MAIN!$D87)</f>
        <v/>
      </c>
      <c r="F87" s="27" t="str">
        <f>IF(EXACT(MAIN!$I87, ""), "", ""&amp;MAIN!$F87)</f>
        <v/>
      </c>
    </row>
    <row r="88" spans="2:6" x14ac:dyDescent="0.2">
      <c r="B88" s="25" t="str">
        <f>IF(EXACT(MAIN!I88, ""), "", MAIN!H88)</f>
        <v/>
      </c>
      <c r="C88" s="3" t="str">
        <f>IF(EXACT(MAIN!$I88, ""), "", MAIN!$B88)</f>
        <v/>
      </c>
      <c r="D88" s="3" t="str">
        <f>IF(EXACT(MAIN!$I88, ""), "", MAIN!$C88)</f>
        <v/>
      </c>
      <c r="E88" s="3" t="str">
        <f>IF(EXACT(MAIN!$I88, ""), "", MAIN!$D88)</f>
        <v/>
      </c>
      <c r="F88" s="27" t="str">
        <f>IF(EXACT(MAIN!$I88, ""), "", ""&amp;MAIN!$F88)</f>
        <v/>
      </c>
    </row>
    <row r="89" spans="2:6" x14ac:dyDescent="0.2">
      <c r="B89" s="25" t="str">
        <f>IF(EXACT(MAIN!I89, ""), "", MAIN!H89)</f>
        <v/>
      </c>
      <c r="C89" s="3" t="str">
        <f>IF(EXACT(MAIN!$I89, ""), "", MAIN!$B89)</f>
        <v/>
      </c>
      <c r="D89" s="3" t="str">
        <f>IF(EXACT(MAIN!$I89, ""), "", MAIN!$C89)</f>
        <v/>
      </c>
      <c r="E89" s="3" t="str">
        <f>IF(EXACT(MAIN!$I89, ""), "", MAIN!$D89)</f>
        <v/>
      </c>
      <c r="F89" s="27" t="str">
        <f>IF(EXACT(MAIN!$I89, ""), "", ""&amp;MAIN!$F89)</f>
        <v/>
      </c>
    </row>
    <row r="90" spans="2:6" x14ac:dyDescent="0.2">
      <c r="B90" s="25" t="str">
        <f>IF(EXACT(MAIN!I90, ""), "", MAIN!H90)</f>
        <v/>
      </c>
      <c r="C90" s="3" t="str">
        <f>IF(EXACT(MAIN!$I90, ""), "", MAIN!$B90)</f>
        <v/>
      </c>
      <c r="D90" s="3" t="str">
        <f>IF(EXACT(MAIN!$I90, ""), "", MAIN!$C90)</f>
        <v/>
      </c>
      <c r="E90" s="3" t="str">
        <f>IF(EXACT(MAIN!$I90, ""), "", MAIN!$D90)</f>
        <v/>
      </c>
      <c r="F90" s="27" t="str">
        <f>IF(EXACT(MAIN!$I90, ""), "", ""&amp;MAIN!$F90)</f>
        <v/>
      </c>
    </row>
    <row r="91" spans="2:6" x14ac:dyDescent="0.2">
      <c r="B91" s="25" t="str">
        <f>IF(EXACT(MAIN!I91, ""), "", MAIN!H91)</f>
        <v/>
      </c>
      <c r="C91" s="3" t="str">
        <f>IF(EXACT(MAIN!$I91, ""), "", MAIN!$B91)</f>
        <v/>
      </c>
      <c r="D91" s="3" t="str">
        <f>IF(EXACT(MAIN!$I91, ""), "", MAIN!$C91)</f>
        <v/>
      </c>
      <c r="E91" s="3" t="str">
        <f>IF(EXACT(MAIN!$I91, ""), "", MAIN!$D91)</f>
        <v/>
      </c>
      <c r="F91" s="27" t="str">
        <f>IF(EXACT(MAIN!$I91, ""), "", ""&amp;MAIN!$F91)</f>
        <v/>
      </c>
    </row>
    <row r="92" spans="2:6" x14ac:dyDescent="0.2">
      <c r="B92" s="25" t="str">
        <f>IF(EXACT(MAIN!I92, ""), "", MAIN!H92)</f>
        <v/>
      </c>
      <c r="C92" s="3" t="str">
        <f>IF(EXACT(MAIN!$I92, ""), "", MAIN!$B92)</f>
        <v/>
      </c>
      <c r="D92" s="3" t="str">
        <f>IF(EXACT(MAIN!$I92, ""), "", MAIN!$C92)</f>
        <v/>
      </c>
      <c r="E92" s="3" t="str">
        <f>IF(EXACT(MAIN!$I92, ""), "", MAIN!$D92)</f>
        <v/>
      </c>
      <c r="F92" s="27" t="str">
        <f>IF(EXACT(MAIN!$I92, ""), "", ""&amp;MAIN!$F92)</f>
        <v/>
      </c>
    </row>
    <row r="93" spans="2:6" x14ac:dyDescent="0.2">
      <c r="B93" s="25" t="str">
        <f>IF(EXACT(MAIN!I93, ""), "", MAIN!H93)</f>
        <v/>
      </c>
      <c r="C93" s="3" t="str">
        <f>IF(EXACT(MAIN!$I93, ""), "", MAIN!$B93)</f>
        <v/>
      </c>
      <c r="D93" s="3" t="str">
        <f>IF(EXACT(MAIN!$I93, ""), "", MAIN!$C93)</f>
        <v/>
      </c>
      <c r="E93" s="3" t="str">
        <f>IF(EXACT(MAIN!$I93, ""), "", MAIN!$D93)</f>
        <v/>
      </c>
      <c r="F93" s="27" t="str">
        <f>IF(EXACT(MAIN!$I93, ""), "", ""&amp;MAIN!$F93)</f>
        <v/>
      </c>
    </row>
    <row r="94" spans="2:6" x14ac:dyDescent="0.2">
      <c r="B94" s="25" t="str">
        <f>IF(EXACT(MAIN!I94, ""), "", MAIN!H94)</f>
        <v/>
      </c>
      <c r="C94" s="3" t="str">
        <f>IF(EXACT(MAIN!$I94, ""), "", MAIN!$B94)</f>
        <v/>
      </c>
      <c r="D94" s="3" t="str">
        <f>IF(EXACT(MAIN!$I94, ""), "", MAIN!$C94)</f>
        <v/>
      </c>
      <c r="E94" s="3" t="str">
        <f>IF(EXACT(MAIN!$I94, ""), "", MAIN!$D94)</f>
        <v/>
      </c>
      <c r="F94" s="27" t="str">
        <f>IF(EXACT(MAIN!$I94, ""), "", ""&amp;MAIN!$F94)</f>
        <v/>
      </c>
    </row>
    <row r="95" spans="2:6" x14ac:dyDescent="0.2">
      <c r="B95" s="25" t="str">
        <f>IF(EXACT(MAIN!I95, ""), "", MAIN!H95)</f>
        <v/>
      </c>
      <c r="C95" s="3" t="str">
        <f>IF(EXACT(MAIN!$I95, ""), "", MAIN!$B95)</f>
        <v/>
      </c>
      <c r="D95" s="3" t="str">
        <f>IF(EXACT(MAIN!$I95, ""), "", MAIN!$C95)</f>
        <v/>
      </c>
      <c r="E95" s="3" t="str">
        <f>IF(EXACT(MAIN!$I95, ""), "", MAIN!$D95)</f>
        <v/>
      </c>
      <c r="F95" s="27" t="str">
        <f>IF(EXACT(MAIN!$I95, ""), "", ""&amp;MAIN!$F95)</f>
        <v/>
      </c>
    </row>
    <row r="96" spans="2:6" x14ac:dyDescent="0.2">
      <c r="B96" s="25" t="str">
        <f>IF(EXACT(MAIN!I96, ""), "", MAIN!H96)</f>
        <v/>
      </c>
      <c r="C96" s="3" t="str">
        <f>IF(EXACT(MAIN!$I96, ""), "", MAIN!$B96)</f>
        <v/>
      </c>
      <c r="D96" s="3" t="str">
        <f>IF(EXACT(MAIN!$I96, ""), "", MAIN!$C96)</f>
        <v/>
      </c>
      <c r="E96" s="3" t="str">
        <f>IF(EXACT(MAIN!$I96, ""), "", MAIN!$D96)</f>
        <v/>
      </c>
      <c r="F96" s="27" t="str">
        <f>IF(EXACT(MAIN!$I96, ""), "", ""&amp;MAIN!$F96)</f>
        <v/>
      </c>
    </row>
    <row r="97" spans="2:6" x14ac:dyDescent="0.2">
      <c r="B97" s="25" t="str">
        <f>IF(EXACT(MAIN!I97, ""), "", MAIN!H97)</f>
        <v/>
      </c>
      <c r="C97" s="3" t="str">
        <f>IF(EXACT(MAIN!$I97, ""), "", MAIN!$B97)</f>
        <v/>
      </c>
      <c r="D97" s="3" t="str">
        <f>IF(EXACT(MAIN!$I97, ""), "", MAIN!$C97)</f>
        <v/>
      </c>
      <c r="E97" s="3" t="str">
        <f>IF(EXACT(MAIN!$I97, ""), "", MAIN!$D97)</f>
        <v/>
      </c>
      <c r="F97" s="27" t="str">
        <f>IF(EXACT(MAIN!$I97, ""), "", ""&amp;MAIN!$F97)</f>
        <v/>
      </c>
    </row>
    <row r="98" spans="2:6" x14ac:dyDescent="0.2">
      <c r="B98" s="25" t="str">
        <f>IF(EXACT(MAIN!I98, ""), "", MAIN!H98)</f>
        <v/>
      </c>
      <c r="C98" s="3" t="str">
        <f>IF(EXACT(MAIN!$I98, ""), "", MAIN!$B98)</f>
        <v/>
      </c>
      <c r="D98" s="3" t="str">
        <f>IF(EXACT(MAIN!$I98, ""), "", MAIN!$C98)</f>
        <v/>
      </c>
      <c r="E98" s="3" t="str">
        <f>IF(EXACT(MAIN!$I98, ""), "", MAIN!$D98)</f>
        <v/>
      </c>
      <c r="F98" s="27" t="str">
        <f>IF(EXACT(MAIN!$I98, ""), "", ""&amp;MAIN!$F98)</f>
        <v/>
      </c>
    </row>
    <row r="99" spans="2:6" x14ac:dyDescent="0.2">
      <c r="B99" s="25" t="str">
        <f>IF(EXACT(MAIN!I99, ""), "", MAIN!H99)</f>
        <v/>
      </c>
      <c r="C99" s="3" t="str">
        <f>IF(EXACT(MAIN!$I99, ""), "", MAIN!$B99)</f>
        <v/>
      </c>
      <c r="D99" s="3" t="str">
        <f>IF(EXACT(MAIN!$I99, ""), "", MAIN!$C99)</f>
        <v/>
      </c>
      <c r="E99" s="3" t="str">
        <f>IF(EXACT(MAIN!$I99, ""), "", MAIN!$D99)</f>
        <v/>
      </c>
      <c r="F99" s="27" t="str">
        <f>IF(EXACT(MAIN!$I99, ""), "", ""&amp;MAIN!$F99)</f>
        <v/>
      </c>
    </row>
    <row r="100" spans="2:6" x14ac:dyDescent="0.2">
      <c r="B100" s="25" t="str">
        <f>IF(EXACT(MAIN!I100, ""), "", MAIN!H100)</f>
        <v/>
      </c>
      <c r="C100" s="3" t="str">
        <f>IF(EXACT(MAIN!$I100, ""), "", MAIN!$B100)</f>
        <v/>
      </c>
      <c r="D100" s="3" t="str">
        <f>IF(EXACT(MAIN!$I100, ""), "", MAIN!$C100)</f>
        <v/>
      </c>
      <c r="E100" s="3" t="str">
        <f>IF(EXACT(MAIN!$I100, ""), "", MAIN!$D100)</f>
        <v/>
      </c>
      <c r="F100" s="27" t="str">
        <f>IF(EXACT(MAIN!$I100, ""), "", ""&amp;MAIN!$F100)</f>
        <v/>
      </c>
    </row>
    <row r="101" spans="2:6" x14ac:dyDescent="0.2">
      <c r="B101" s="25" t="str">
        <f>IF(EXACT(MAIN!I101, ""), "", MAIN!H101)</f>
        <v/>
      </c>
      <c r="C101" s="3" t="str">
        <f>IF(EXACT(MAIN!$I101, ""), "", MAIN!$B101)</f>
        <v/>
      </c>
      <c r="D101" s="3" t="str">
        <f>IF(EXACT(MAIN!$I101, ""), "", MAIN!$C101)</f>
        <v/>
      </c>
      <c r="E101" s="3" t="str">
        <f>IF(EXACT(MAIN!$I101, ""), "", MAIN!$D101)</f>
        <v/>
      </c>
      <c r="F101" s="27" t="str">
        <f>IF(EXACT(MAIN!$I101, ""), "", ""&amp;MAIN!$F101)</f>
        <v/>
      </c>
    </row>
    <row r="102" spans="2:6" x14ac:dyDescent="0.2">
      <c r="B102" s="25" t="str">
        <f>IF(EXACT(MAIN!I102, ""), "", MAIN!H102)</f>
        <v/>
      </c>
      <c r="C102" s="3" t="str">
        <f>IF(EXACT(MAIN!$I102, ""), "", MAIN!$B102)</f>
        <v/>
      </c>
      <c r="D102" s="3" t="str">
        <f>IF(EXACT(MAIN!$I102, ""), "", MAIN!$C102)</f>
        <v/>
      </c>
      <c r="E102" s="3" t="str">
        <f>IF(EXACT(MAIN!$I102, ""), "", MAIN!$D102)</f>
        <v/>
      </c>
      <c r="F102" s="27" t="str">
        <f>IF(EXACT(MAIN!$I102, ""), "", ""&amp;MAIN!$F102)</f>
        <v/>
      </c>
    </row>
    <row r="103" spans="2:6" x14ac:dyDescent="0.2">
      <c r="B103" s="25">
        <f>IF(EXACT(MAIN!I103, ""), "", MAIN!H103)</f>
        <v>225000000000006</v>
      </c>
      <c r="C103" s="3">
        <f>IF(EXACT(MAIN!$I103, ""), "", MAIN!$B103)</f>
        <v>164000000000100</v>
      </c>
      <c r="D103" s="3" t="str">
        <f>IF(EXACT(MAIN!$I103, ""), "", MAIN!$C103)</f>
        <v>Deny Adi Purnama</v>
      </c>
      <c r="E103" s="3">
        <f>IF(EXACT(MAIN!$I103, ""), "", MAIN!$D103)</f>
        <v>95000000000029</v>
      </c>
      <c r="F103" s="27" t="str">
        <f>IF(EXACT(MAIN!$I103, ""), "", ""&amp;MAIN!$F103)</f>
        <v/>
      </c>
    </row>
    <row r="104" spans="2:6" x14ac:dyDescent="0.2">
      <c r="B104" s="25" t="str">
        <f>IF(EXACT(MAIN!I104, ""), "", MAIN!H104)</f>
        <v/>
      </c>
      <c r="C104" s="3" t="str">
        <f>IF(EXACT(MAIN!$I104, ""), "", MAIN!$B104)</f>
        <v/>
      </c>
      <c r="D104" s="3" t="str">
        <f>IF(EXACT(MAIN!$I104, ""), "", MAIN!$C104)</f>
        <v/>
      </c>
      <c r="E104" s="3" t="str">
        <f>IF(EXACT(MAIN!$I104, ""), "", MAIN!$D104)</f>
        <v/>
      </c>
      <c r="F104" s="27" t="str">
        <f>IF(EXACT(MAIN!$I104, ""), "", ""&amp;MAIN!$F104)</f>
        <v/>
      </c>
    </row>
    <row r="105" spans="2:6" x14ac:dyDescent="0.2">
      <c r="B105" s="25" t="str">
        <f>IF(EXACT(MAIN!I105, ""), "", MAIN!H105)</f>
        <v/>
      </c>
      <c r="C105" s="3" t="str">
        <f>IF(EXACT(MAIN!$I105, ""), "", MAIN!$B105)</f>
        <v/>
      </c>
      <c r="D105" s="3" t="str">
        <f>IF(EXACT(MAIN!$I105, ""), "", MAIN!$C105)</f>
        <v/>
      </c>
      <c r="E105" s="3" t="str">
        <f>IF(EXACT(MAIN!$I105, ""), "", MAIN!$D105)</f>
        <v/>
      </c>
      <c r="F105" s="27" t="str">
        <f>IF(EXACT(MAIN!$I105, ""), "", ""&amp;MAIN!$F105)</f>
        <v/>
      </c>
    </row>
    <row r="106" spans="2:6" x14ac:dyDescent="0.2">
      <c r="B106" s="25" t="str">
        <f>IF(EXACT(MAIN!I106, ""), "", MAIN!H106)</f>
        <v/>
      </c>
      <c r="C106" s="3" t="str">
        <f>IF(EXACT(MAIN!$I106, ""), "", MAIN!$B106)</f>
        <v/>
      </c>
      <c r="D106" s="3" t="str">
        <f>IF(EXACT(MAIN!$I106, ""), "", MAIN!$C106)</f>
        <v/>
      </c>
      <c r="E106" s="3" t="str">
        <f>IF(EXACT(MAIN!$I106, ""), "", MAIN!$D106)</f>
        <v/>
      </c>
      <c r="F106" s="27" t="str">
        <f>IF(EXACT(MAIN!$I106, ""), "", ""&amp;MAIN!$F106)</f>
        <v/>
      </c>
    </row>
    <row r="107" spans="2:6" x14ac:dyDescent="0.2">
      <c r="B107" s="25" t="str">
        <f>IF(EXACT(MAIN!I107, ""), "", MAIN!H107)</f>
        <v/>
      </c>
      <c r="C107" s="3" t="str">
        <f>IF(EXACT(MAIN!$I107, ""), "", MAIN!$B107)</f>
        <v/>
      </c>
      <c r="D107" s="3" t="str">
        <f>IF(EXACT(MAIN!$I107, ""), "", MAIN!$C107)</f>
        <v/>
      </c>
      <c r="E107" s="3" t="str">
        <f>IF(EXACT(MAIN!$I107, ""), "", MAIN!$D107)</f>
        <v/>
      </c>
      <c r="F107" s="27" t="str">
        <f>IF(EXACT(MAIN!$I107, ""), "", ""&amp;MAIN!$F107)</f>
        <v/>
      </c>
    </row>
    <row r="108" spans="2:6" x14ac:dyDescent="0.2">
      <c r="B108" s="25" t="str">
        <f>IF(EXACT(MAIN!I108, ""), "", MAIN!H108)</f>
        <v/>
      </c>
      <c r="C108" s="3" t="str">
        <f>IF(EXACT(MAIN!$I108, ""), "", MAIN!$B108)</f>
        <v/>
      </c>
      <c r="D108" s="3" t="str">
        <f>IF(EXACT(MAIN!$I108, ""), "", MAIN!$C108)</f>
        <v/>
      </c>
      <c r="E108" s="3" t="str">
        <f>IF(EXACT(MAIN!$I108, ""), "", MAIN!$D108)</f>
        <v/>
      </c>
      <c r="F108" s="27" t="str">
        <f>IF(EXACT(MAIN!$I108, ""), "", ""&amp;MAIN!$F108)</f>
        <v/>
      </c>
    </row>
    <row r="109" spans="2:6" x14ac:dyDescent="0.2">
      <c r="B109" s="25" t="str">
        <f>IF(EXACT(MAIN!I109, ""), "", MAIN!H109)</f>
        <v/>
      </c>
      <c r="C109" s="3" t="str">
        <f>IF(EXACT(MAIN!$I109, ""), "", MAIN!$B109)</f>
        <v/>
      </c>
      <c r="D109" s="3" t="str">
        <f>IF(EXACT(MAIN!$I109, ""), "", MAIN!$C109)</f>
        <v/>
      </c>
      <c r="E109" s="3" t="str">
        <f>IF(EXACT(MAIN!$I109, ""), "", MAIN!$D109)</f>
        <v/>
      </c>
      <c r="F109" s="27" t="str">
        <f>IF(EXACT(MAIN!$I109, ""), "", ""&amp;MAIN!$F109)</f>
        <v/>
      </c>
    </row>
    <row r="110" spans="2:6" x14ac:dyDescent="0.2">
      <c r="B110" s="25" t="str">
        <f>IF(EXACT(MAIN!I110, ""), "", MAIN!H110)</f>
        <v/>
      </c>
      <c r="C110" s="3" t="str">
        <f>IF(EXACT(MAIN!$I110, ""), "", MAIN!$B110)</f>
        <v/>
      </c>
      <c r="D110" s="3" t="str">
        <f>IF(EXACT(MAIN!$I110, ""), "", MAIN!$C110)</f>
        <v/>
      </c>
      <c r="E110" s="3" t="str">
        <f>IF(EXACT(MAIN!$I110, ""), "", MAIN!$D110)</f>
        <v/>
      </c>
      <c r="F110" s="27" t="str">
        <f>IF(EXACT(MAIN!$I110, ""), "", ""&amp;MAIN!$F110)</f>
        <v/>
      </c>
    </row>
    <row r="111" spans="2:6" x14ac:dyDescent="0.2">
      <c r="B111" s="25" t="str">
        <f>IF(EXACT(MAIN!I111, ""), "", MAIN!H111)</f>
        <v/>
      </c>
      <c r="C111" s="3" t="str">
        <f>IF(EXACT(MAIN!$I111, ""), "", MAIN!$B111)</f>
        <v/>
      </c>
      <c r="D111" s="3" t="str">
        <f>IF(EXACT(MAIN!$I111, ""), "", MAIN!$C111)</f>
        <v/>
      </c>
      <c r="E111" s="3" t="str">
        <f>IF(EXACT(MAIN!$I111, ""), "", MAIN!$D111)</f>
        <v/>
      </c>
      <c r="F111" s="27" t="str">
        <f>IF(EXACT(MAIN!$I111, ""), "", ""&amp;MAIN!$F111)</f>
        <v/>
      </c>
    </row>
    <row r="112" spans="2:6" x14ac:dyDescent="0.2">
      <c r="B112" s="25" t="str">
        <f>IF(EXACT(MAIN!I112, ""), "", MAIN!H112)</f>
        <v/>
      </c>
      <c r="C112" s="3" t="str">
        <f>IF(EXACT(MAIN!$I112, ""), "", MAIN!$B112)</f>
        <v/>
      </c>
      <c r="D112" s="3" t="str">
        <f>IF(EXACT(MAIN!$I112, ""), "", MAIN!$C112)</f>
        <v/>
      </c>
      <c r="E112" s="3" t="str">
        <f>IF(EXACT(MAIN!$I112, ""), "", MAIN!$D112)</f>
        <v/>
      </c>
      <c r="F112" s="27" t="str">
        <f>IF(EXACT(MAIN!$I112, ""), "", ""&amp;MAIN!$F112)</f>
        <v/>
      </c>
    </row>
    <row r="113" spans="2:6" x14ac:dyDescent="0.2">
      <c r="B113" s="25" t="str">
        <f>IF(EXACT(MAIN!I113, ""), "", MAIN!H113)</f>
        <v/>
      </c>
      <c r="C113" s="3" t="str">
        <f>IF(EXACT(MAIN!$I113, ""), "", MAIN!$B113)</f>
        <v/>
      </c>
      <c r="D113" s="3" t="str">
        <f>IF(EXACT(MAIN!$I113, ""), "", MAIN!$C113)</f>
        <v/>
      </c>
      <c r="E113" s="3" t="str">
        <f>IF(EXACT(MAIN!$I113, ""), "", MAIN!$D113)</f>
        <v/>
      </c>
      <c r="F113" s="27" t="str">
        <f>IF(EXACT(MAIN!$I113, ""), "", ""&amp;MAIN!$F113)</f>
        <v/>
      </c>
    </row>
    <row r="114" spans="2:6" x14ac:dyDescent="0.2">
      <c r="B114" s="25" t="str">
        <f>IF(EXACT(MAIN!I114, ""), "", MAIN!H114)</f>
        <v/>
      </c>
      <c r="C114" s="3" t="str">
        <f>IF(EXACT(MAIN!$I114, ""), "", MAIN!$B114)</f>
        <v/>
      </c>
      <c r="D114" s="3" t="str">
        <f>IF(EXACT(MAIN!$I114, ""), "", MAIN!$C114)</f>
        <v/>
      </c>
      <c r="E114" s="3" t="str">
        <f>IF(EXACT(MAIN!$I114, ""), "", MAIN!$D114)</f>
        <v/>
      </c>
      <c r="F114" s="27" t="str">
        <f>IF(EXACT(MAIN!$I114, ""), "", ""&amp;MAIN!$F114)</f>
        <v/>
      </c>
    </row>
    <row r="115" spans="2:6" x14ac:dyDescent="0.2">
      <c r="B115" s="25" t="str">
        <f>IF(EXACT(MAIN!I115, ""), "", MAIN!H115)</f>
        <v/>
      </c>
      <c r="C115" s="3" t="str">
        <f>IF(EXACT(MAIN!$I115, ""), "", MAIN!$B115)</f>
        <v/>
      </c>
      <c r="D115" s="3" t="str">
        <f>IF(EXACT(MAIN!$I115, ""), "", MAIN!$C115)</f>
        <v/>
      </c>
      <c r="E115" s="3" t="str">
        <f>IF(EXACT(MAIN!$I115, ""), "", MAIN!$D115)</f>
        <v/>
      </c>
      <c r="F115" s="27" t="str">
        <f>IF(EXACT(MAIN!$I115, ""), "", ""&amp;MAIN!$F115)</f>
        <v/>
      </c>
    </row>
    <row r="116" spans="2:6" x14ac:dyDescent="0.2">
      <c r="B116" s="25" t="str">
        <f>IF(EXACT(MAIN!I116, ""), "", MAIN!H116)</f>
        <v/>
      </c>
      <c r="C116" s="3" t="str">
        <f>IF(EXACT(MAIN!$I116, ""), "", MAIN!$B116)</f>
        <v/>
      </c>
      <c r="D116" s="3" t="str">
        <f>IF(EXACT(MAIN!$I116, ""), "", MAIN!$C116)</f>
        <v/>
      </c>
      <c r="E116" s="3" t="str">
        <f>IF(EXACT(MAIN!$I116, ""), "", MAIN!$D116)</f>
        <v/>
      </c>
      <c r="F116" s="27" t="str">
        <f>IF(EXACT(MAIN!$I116, ""), "", ""&amp;MAIN!$F116)</f>
        <v/>
      </c>
    </row>
    <row r="117" spans="2:6" x14ac:dyDescent="0.2">
      <c r="B117" s="25" t="str">
        <f>IF(EXACT(MAIN!I117, ""), "", MAIN!H117)</f>
        <v/>
      </c>
      <c r="C117" s="3" t="str">
        <f>IF(EXACT(MAIN!$I117, ""), "", MAIN!$B117)</f>
        <v/>
      </c>
      <c r="D117" s="3" t="str">
        <f>IF(EXACT(MAIN!$I117, ""), "", MAIN!$C117)</f>
        <v/>
      </c>
      <c r="E117" s="3" t="str">
        <f>IF(EXACT(MAIN!$I117, ""), "", MAIN!$D117)</f>
        <v/>
      </c>
      <c r="F117" s="27" t="str">
        <f>IF(EXACT(MAIN!$I117, ""), "", ""&amp;MAIN!$F117)</f>
        <v/>
      </c>
    </row>
    <row r="118" spans="2:6" x14ac:dyDescent="0.2">
      <c r="B118" s="25" t="str">
        <f>IF(EXACT(MAIN!I118, ""), "", MAIN!H118)</f>
        <v/>
      </c>
      <c r="C118" s="3" t="str">
        <f>IF(EXACT(MAIN!$I118, ""), "", MAIN!$B118)</f>
        <v/>
      </c>
      <c r="D118" s="3" t="str">
        <f>IF(EXACT(MAIN!$I118, ""), "", MAIN!$C118)</f>
        <v/>
      </c>
      <c r="E118" s="3" t="str">
        <f>IF(EXACT(MAIN!$I118, ""), "", MAIN!$D118)</f>
        <v/>
      </c>
      <c r="F118" s="27" t="str">
        <f>IF(EXACT(MAIN!$I118, ""), "", ""&amp;MAIN!$F118)</f>
        <v/>
      </c>
    </row>
    <row r="119" spans="2:6" x14ac:dyDescent="0.2">
      <c r="B119" s="25" t="str">
        <f>IF(EXACT(MAIN!I119, ""), "", MAIN!H119)</f>
        <v/>
      </c>
      <c r="C119" s="3" t="str">
        <f>IF(EXACT(MAIN!$I119, ""), "", MAIN!$B119)</f>
        <v/>
      </c>
      <c r="D119" s="3" t="str">
        <f>IF(EXACT(MAIN!$I119, ""), "", MAIN!$C119)</f>
        <v/>
      </c>
      <c r="E119" s="3" t="str">
        <f>IF(EXACT(MAIN!$I119, ""), "", MAIN!$D119)</f>
        <v/>
      </c>
      <c r="F119" s="27" t="str">
        <f>IF(EXACT(MAIN!$I119, ""), "", ""&amp;MAIN!$F119)</f>
        <v/>
      </c>
    </row>
    <row r="120" spans="2:6" x14ac:dyDescent="0.2">
      <c r="B120" s="25" t="str">
        <f>IF(EXACT(MAIN!I120, ""), "", MAIN!H120)</f>
        <v/>
      </c>
      <c r="C120" s="3" t="str">
        <f>IF(EXACT(MAIN!$I120, ""), "", MAIN!$B120)</f>
        <v/>
      </c>
      <c r="D120" s="3" t="str">
        <f>IF(EXACT(MAIN!$I120, ""), "", MAIN!$C120)</f>
        <v/>
      </c>
      <c r="E120" s="3" t="str">
        <f>IF(EXACT(MAIN!$I120, ""), "", MAIN!$D120)</f>
        <v/>
      </c>
      <c r="F120" s="27" t="str">
        <f>IF(EXACT(MAIN!$I120, ""), "", ""&amp;MAIN!$F120)</f>
        <v/>
      </c>
    </row>
    <row r="121" spans="2:6" x14ac:dyDescent="0.2">
      <c r="B121" s="25" t="str">
        <f>IF(EXACT(MAIN!I121, ""), "", MAIN!H121)</f>
        <v/>
      </c>
      <c r="C121" s="3" t="str">
        <f>IF(EXACT(MAIN!$I121, ""), "", MAIN!$B121)</f>
        <v/>
      </c>
      <c r="D121" s="3" t="str">
        <f>IF(EXACT(MAIN!$I121, ""), "", MAIN!$C121)</f>
        <v/>
      </c>
      <c r="E121" s="3" t="str">
        <f>IF(EXACT(MAIN!$I121, ""), "", MAIN!$D121)</f>
        <v/>
      </c>
      <c r="F121" s="27" t="str">
        <f>IF(EXACT(MAIN!$I121, ""), "", ""&amp;MAIN!$F121)</f>
        <v/>
      </c>
    </row>
    <row r="122" spans="2:6" x14ac:dyDescent="0.2">
      <c r="B122" s="25" t="str">
        <f>IF(EXACT(MAIN!I122, ""), "", MAIN!H122)</f>
        <v/>
      </c>
      <c r="C122" s="3" t="str">
        <f>IF(EXACT(MAIN!$I122, ""), "", MAIN!$B122)</f>
        <v/>
      </c>
      <c r="D122" s="3" t="str">
        <f>IF(EXACT(MAIN!$I122, ""), "", MAIN!$C122)</f>
        <v/>
      </c>
      <c r="E122" s="3" t="str">
        <f>IF(EXACT(MAIN!$I122, ""), "", MAIN!$D122)</f>
        <v/>
      </c>
      <c r="F122" s="27" t="str">
        <f>IF(EXACT(MAIN!$I122, ""), "", ""&amp;MAIN!$F122)</f>
        <v/>
      </c>
    </row>
    <row r="123" spans="2:6" x14ac:dyDescent="0.2">
      <c r="B123" s="25" t="str">
        <f>IF(EXACT(MAIN!I123, ""), "", MAIN!H123)</f>
        <v/>
      </c>
      <c r="C123" s="3" t="str">
        <f>IF(EXACT(MAIN!$I123, ""), "", MAIN!$B123)</f>
        <v/>
      </c>
      <c r="D123" s="3" t="str">
        <f>IF(EXACT(MAIN!$I123, ""), "", MAIN!$C123)</f>
        <v/>
      </c>
      <c r="E123" s="3" t="str">
        <f>IF(EXACT(MAIN!$I123, ""), "", MAIN!$D123)</f>
        <v/>
      </c>
      <c r="F123" s="27" t="str">
        <f>IF(EXACT(MAIN!$I123, ""), "", ""&amp;MAIN!$F123)</f>
        <v/>
      </c>
    </row>
    <row r="124" spans="2:6" x14ac:dyDescent="0.2">
      <c r="B124" s="25" t="str">
        <f>IF(EXACT(MAIN!I124, ""), "", MAIN!H124)</f>
        <v/>
      </c>
      <c r="C124" s="3" t="str">
        <f>IF(EXACT(MAIN!$I124, ""), "", MAIN!$B124)</f>
        <v/>
      </c>
      <c r="D124" s="3" t="str">
        <f>IF(EXACT(MAIN!$I124, ""), "", MAIN!$C124)</f>
        <v/>
      </c>
      <c r="E124" s="3" t="str">
        <f>IF(EXACT(MAIN!$I124, ""), "", MAIN!$D124)</f>
        <v/>
      </c>
      <c r="F124" s="27" t="str">
        <f>IF(EXACT(MAIN!$I124, ""), "", ""&amp;MAIN!$F124)</f>
        <v/>
      </c>
    </row>
    <row r="125" spans="2:6" x14ac:dyDescent="0.2">
      <c r="B125" s="25" t="str">
        <f>IF(EXACT(MAIN!I125, ""), "", MAIN!H125)</f>
        <v/>
      </c>
      <c r="C125" s="3" t="str">
        <f>IF(EXACT(MAIN!$I125, ""), "", MAIN!$B125)</f>
        <v/>
      </c>
      <c r="D125" s="3" t="str">
        <f>IF(EXACT(MAIN!$I125, ""), "", MAIN!$C125)</f>
        <v/>
      </c>
      <c r="E125" s="3" t="str">
        <f>IF(EXACT(MAIN!$I125, ""), "", MAIN!$D125)</f>
        <v/>
      </c>
      <c r="F125" s="27" t="str">
        <f>IF(EXACT(MAIN!$I125, ""), "", ""&amp;MAIN!$F125)</f>
        <v/>
      </c>
    </row>
    <row r="126" spans="2:6" x14ac:dyDescent="0.2">
      <c r="B126" s="25">
        <f>IF(EXACT(MAIN!I126, ""), "", MAIN!H126)</f>
        <v>225000000000007</v>
      </c>
      <c r="C126" s="3">
        <f>IF(EXACT(MAIN!$I126, ""), "", MAIN!$B126)</f>
        <v>164000000000123</v>
      </c>
      <c r="D126" s="3" t="str">
        <f>IF(EXACT(MAIN!$I126, ""), "", MAIN!$C126)</f>
        <v>Eka Bagus Dwi Putra</v>
      </c>
      <c r="E126" s="3">
        <f>IF(EXACT(MAIN!$I126, ""), "", MAIN!$D126)</f>
        <v>95000000000024</v>
      </c>
      <c r="F126" s="27" t="str">
        <f>IF(EXACT(MAIN!$I126, ""), "", ""&amp;MAIN!$F126)</f>
        <v/>
      </c>
    </row>
    <row r="127" spans="2:6" x14ac:dyDescent="0.2">
      <c r="B127" s="25" t="str">
        <f>IF(EXACT(MAIN!I127, ""), "", MAIN!H127)</f>
        <v/>
      </c>
      <c r="C127" s="3" t="str">
        <f>IF(EXACT(MAIN!$I127, ""), "", MAIN!$B127)</f>
        <v/>
      </c>
      <c r="D127" s="3" t="str">
        <f>IF(EXACT(MAIN!$I127, ""), "", MAIN!$C127)</f>
        <v/>
      </c>
      <c r="E127" s="3" t="str">
        <f>IF(EXACT(MAIN!$I127, ""), "", MAIN!$D127)</f>
        <v/>
      </c>
      <c r="F127" s="27" t="str">
        <f>IF(EXACT(MAIN!$I127, ""), "", ""&amp;MAIN!$F127)</f>
        <v/>
      </c>
    </row>
    <row r="128" spans="2:6" x14ac:dyDescent="0.2">
      <c r="B128" s="25">
        <f>IF(EXACT(MAIN!I128, ""), "", MAIN!H128)</f>
        <v>225000000000008</v>
      </c>
      <c r="C128" s="3">
        <f>IF(EXACT(MAIN!$I128, ""), "", MAIN!$B128)</f>
        <v>164000000000125</v>
      </c>
      <c r="D128" s="3" t="str">
        <f>IF(EXACT(MAIN!$I128, ""), "", MAIN!$C128)</f>
        <v>Eka Purwanti</v>
      </c>
      <c r="E128" s="3">
        <f>IF(EXACT(MAIN!$I128, ""), "", MAIN!$D128)</f>
        <v>95000000000024</v>
      </c>
      <c r="F128" s="27" t="str">
        <f>IF(EXACT(MAIN!$I128, ""), "", ""&amp;MAIN!$F128)</f>
        <v>46000000000009</v>
      </c>
    </row>
    <row r="129" spans="2:6" x14ac:dyDescent="0.2">
      <c r="B129" s="25">
        <f>IF(EXACT(MAIN!I129, ""), "", MAIN!H129)</f>
        <v>225000000000009</v>
      </c>
      <c r="C129" s="3">
        <f>IF(EXACT(MAIN!$I129, ""), "", MAIN!$B129)</f>
        <v>164000000000126</v>
      </c>
      <c r="D129" s="3" t="str">
        <f>IF(EXACT(MAIN!$I129, ""), "", MAIN!$C129)</f>
        <v>Eka Kurniawan Hidayatullah</v>
      </c>
      <c r="E129" s="3">
        <f>IF(EXACT(MAIN!$I129, ""), "", MAIN!$D129)</f>
        <v>95000000000041</v>
      </c>
      <c r="F129" s="27" t="str">
        <f>IF(EXACT(MAIN!$I129, ""), "", ""&amp;MAIN!$F129)</f>
        <v/>
      </c>
    </row>
    <row r="130" spans="2:6" x14ac:dyDescent="0.2">
      <c r="B130" s="25" t="str">
        <f>IF(EXACT(MAIN!I130, ""), "", MAIN!H130)</f>
        <v/>
      </c>
      <c r="C130" s="3" t="str">
        <f>IF(EXACT(MAIN!$I130, ""), "", MAIN!$B130)</f>
        <v/>
      </c>
      <c r="D130" s="3" t="str">
        <f>IF(EXACT(MAIN!$I130, ""), "", MAIN!$C130)</f>
        <v/>
      </c>
      <c r="E130" s="3" t="str">
        <f>IF(EXACT(MAIN!$I130, ""), "", MAIN!$D130)</f>
        <v/>
      </c>
      <c r="F130" s="27" t="str">
        <f>IF(EXACT(MAIN!$I130, ""), "", ""&amp;MAIN!$F130)</f>
        <v/>
      </c>
    </row>
    <row r="131" spans="2:6" x14ac:dyDescent="0.2">
      <c r="B131" s="25" t="str">
        <f>IF(EXACT(MAIN!I131, ""), "", MAIN!H131)</f>
        <v/>
      </c>
      <c r="C131" s="3" t="str">
        <f>IF(EXACT(MAIN!$I131, ""), "", MAIN!$B131)</f>
        <v/>
      </c>
      <c r="D131" s="3" t="str">
        <f>IF(EXACT(MAIN!$I131, ""), "", MAIN!$C131)</f>
        <v/>
      </c>
      <c r="E131" s="3" t="str">
        <f>IF(EXACT(MAIN!$I131, ""), "", MAIN!$D131)</f>
        <v/>
      </c>
      <c r="F131" s="27" t="str">
        <f>IF(EXACT(MAIN!$I131, ""), "", ""&amp;MAIN!$F131)</f>
        <v/>
      </c>
    </row>
    <row r="132" spans="2:6" x14ac:dyDescent="0.2">
      <c r="B132" s="25" t="str">
        <f>IF(EXACT(MAIN!I132, ""), "", MAIN!H132)</f>
        <v/>
      </c>
      <c r="C132" s="3" t="str">
        <f>IF(EXACT(MAIN!$I132, ""), "", MAIN!$B132)</f>
        <v/>
      </c>
      <c r="D132" s="3" t="str">
        <f>IF(EXACT(MAIN!$I132, ""), "", MAIN!$C132)</f>
        <v/>
      </c>
      <c r="E132" s="3" t="str">
        <f>IF(EXACT(MAIN!$I132, ""), "", MAIN!$D132)</f>
        <v/>
      </c>
      <c r="F132" s="27" t="str">
        <f>IF(EXACT(MAIN!$I132, ""), "", ""&amp;MAIN!$F132)</f>
        <v/>
      </c>
    </row>
    <row r="133" spans="2:6" x14ac:dyDescent="0.2">
      <c r="B133" s="25" t="str">
        <f>IF(EXACT(MAIN!I133, ""), "", MAIN!H133)</f>
        <v/>
      </c>
      <c r="C133" s="3" t="str">
        <f>IF(EXACT(MAIN!$I133, ""), "", MAIN!$B133)</f>
        <v/>
      </c>
      <c r="D133" s="3" t="str">
        <f>IF(EXACT(MAIN!$I133, ""), "", MAIN!$C133)</f>
        <v/>
      </c>
      <c r="E133" s="3" t="str">
        <f>IF(EXACT(MAIN!$I133, ""), "", MAIN!$D133)</f>
        <v/>
      </c>
      <c r="F133" s="27" t="str">
        <f>IF(EXACT(MAIN!$I133, ""), "", ""&amp;MAIN!$F133)</f>
        <v/>
      </c>
    </row>
    <row r="134" spans="2:6" x14ac:dyDescent="0.2">
      <c r="B134" s="25" t="str">
        <f>IF(EXACT(MAIN!I134, ""), "", MAIN!H134)</f>
        <v/>
      </c>
      <c r="C134" s="3" t="str">
        <f>IF(EXACT(MAIN!$I134, ""), "", MAIN!$B134)</f>
        <v/>
      </c>
      <c r="D134" s="3" t="str">
        <f>IF(EXACT(MAIN!$I134, ""), "", MAIN!$C134)</f>
        <v/>
      </c>
      <c r="E134" s="3" t="str">
        <f>IF(EXACT(MAIN!$I134, ""), "", MAIN!$D134)</f>
        <v/>
      </c>
      <c r="F134" s="27" t="str">
        <f>IF(EXACT(MAIN!$I134, ""), "", ""&amp;MAIN!$F134)</f>
        <v/>
      </c>
    </row>
    <row r="135" spans="2:6" x14ac:dyDescent="0.2">
      <c r="B135" s="25" t="str">
        <f>IF(EXACT(MAIN!I135, ""), "", MAIN!H135)</f>
        <v/>
      </c>
      <c r="C135" s="3" t="str">
        <f>IF(EXACT(MAIN!$I135, ""), "", MAIN!$B135)</f>
        <v/>
      </c>
      <c r="D135" s="3" t="str">
        <f>IF(EXACT(MAIN!$I135, ""), "", MAIN!$C135)</f>
        <v/>
      </c>
      <c r="E135" s="3" t="str">
        <f>IF(EXACT(MAIN!$I135, ""), "", MAIN!$D135)</f>
        <v/>
      </c>
      <c r="F135" s="27" t="str">
        <f>IF(EXACT(MAIN!$I135, ""), "", ""&amp;MAIN!$F135)</f>
        <v/>
      </c>
    </row>
    <row r="136" spans="2:6" x14ac:dyDescent="0.2">
      <c r="B136" s="25" t="str">
        <f>IF(EXACT(MAIN!I136, ""), "", MAIN!H136)</f>
        <v/>
      </c>
      <c r="C136" s="3" t="str">
        <f>IF(EXACT(MAIN!$I136, ""), "", MAIN!$B136)</f>
        <v/>
      </c>
      <c r="D136" s="3" t="str">
        <f>IF(EXACT(MAIN!$I136, ""), "", MAIN!$C136)</f>
        <v/>
      </c>
      <c r="E136" s="3" t="str">
        <f>IF(EXACT(MAIN!$I136, ""), "", MAIN!$D136)</f>
        <v/>
      </c>
      <c r="F136" s="27" t="str">
        <f>IF(EXACT(MAIN!$I136, ""), "", ""&amp;MAIN!$F136)</f>
        <v/>
      </c>
    </row>
    <row r="137" spans="2:6" x14ac:dyDescent="0.2">
      <c r="B137" s="25" t="str">
        <f>IF(EXACT(MAIN!I137, ""), "", MAIN!H137)</f>
        <v/>
      </c>
      <c r="C137" s="3" t="str">
        <f>IF(EXACT(MAIN!$I137, ""), "", MAIN!$B137)</f>
        <v/>
      </c>
      <c r="D137" s="3" t="str">
        <f>IF(EXACT(MAIN!$I137, ""), "", MAIN!$C137)</f>
        <v/>
      </c>
      <c r="E137" s="3" t="str">
        <f>IF(EXACT(MAIN!$I137, ""), "", MAIN!$D137)</f>
        <v/>
      </c>
      <c r="F137" s="27" t="str">
        <f>IF(EXACT(MAIN!$I137, ""), "", ""&amp;MAIN!$F137)</f>
        <v/>
      </c>
    </row>
    <row r="138" spans="2:6" x14ac:dyDescent="0.2">
      <c r="B138" s="25" t="str">
        <f>IF(EXACT(MAIN!I138, ""), "", MAIN!H138)</f>
        <v/>
      </c>
      <c r="C138" s="3" t="str">
        <f>IF(EXACT(MAIN!$I138, ""), "", MAIN!$B138)</f>
        <v/>
      </c>
      <c r="D138" s="3" t="str">
        <f>IF(EXACT(MAIN!$I138, ""), "", MAIN!$C138)</f>
        <v/>
      </c>
      <c r="E138" s="3" t="str">
        <f>IF(EXACT(MAIN!$I138, ""), "", MAIN!$D138)</f>
        <v/>
      </c>
      <c r="F138" s="27" t="str">
        <f>IF(EXACT(MAIN!$I138, ""), "", ""&amp;MAIN!$F138)</f>
        <v/>
      </c>
    </row>
    <row r="139" spans="2:6" x14ac:dyDescent="0.2">
      <c r="B139" s="25" t="str">
        <f>IF(EXACT(MAIN!I139, ""), "", MAIN!H139)</f>
        <v/>
      </c>
      <c r="C139" s="3" t="str">
        <f>IF(EXACT(MAIN!$I139, ""), "", MAIN!$B139)</f>
        <v/>
      </c>
      <c r="D139" s="3" t="str">
        <f>IF(EXACT(MAIN!$I139, ""), "", MAIN!$C139)</f>
        <v/>
      </c>
      <c r="E139" s="3" t="str">
        <f>IF(EXACT(MAIN!$I139, ""), "", MAIN!$D139)</f>
        <v/>
      </c>
      <c r="F139" s="27" t="str">
        <f>IF(EXACT(MAIN!$I139, ""), "", ""&amp;MAIN!$F139)</f>
        <v/>
      </c>
    </row>
    <row r="140" spans="2:6" x14ac:dyDescent="0.2">
      <c r="B140" s="25" t="str">
        <f>IF(EXACT(MAIN!I140, ""), "", MAIN!H140)</f>
        <v/>
      </c>
      <c r="C140" s="3" t="str">
        <f>IF(EXACT(MAIN!$I140, ""), "", MAIN!$B140)</f>
        <v/>
      </c>
      <c r="D140" s="3" t="str">
        <f>IF(EXACT(MAIN!$I140, ""), "", MAIN!$C140)</f>
        <v/>
      </c>
      <c r="E140" s="3" t="str">
        <f>IF(EXACT(MAIN!$I140, ""), "", MAIN!$D140)</f>
        <v/>
      </c>
      <c r="F140" s="27" t="str">
        <f>IF(EXACT(MAIN!$I140, ""), "", ""&amp;MAIN!$F140)</f>
        <v/>
      </c>
    </row>
    <row r="141" spans="2:6" x14ac:dyDescent="0.2">
      <c r="B141" s="25" t="str">
        <f>IF(EXACT(MAIN!I141, ""), "", MAIN!H141)</f>
        <v/>
      </c>
      <c r="C141" s="3" t="str">
        <f>IF(EXACT(MAIN!$I141, ""), "", MAIN!$B141)</f>
        <v/>
      </c>
      <c r="D141" s="3" t="str">
        <f>IF(EXACT(MAIN!$I141, ""), "", MAIN!$C141)</f>
        <v/>
      </c>
      <c r="E141" s="3" t="str">
        <f>IF(EXACT(MAIN!$I141, ""), "", MAIN!$D141)</f>
        <v/>
      </c>
      <c r="F141" s="27" t="str">
        <f>IF(EXACT(MAIN!$I141, ""), "", ""&amp;MAIN!$F141)</f>
        <v/>
      </c>
    </row>
    <row r="142" spans="2:6" x14ac:dyDescent="0.2">
      <c r="B142" s="25" t="str">
        <f>IF(EXACT(MAIN!I142, ""), "", MAIN!H142)</f>
        <v/>
      </c>
      <c r="C142" s="3" t="str">
        <f>IF(EXACT(MAIN!$I142, ""), "", MAIN!$B142)</f>
        <v/>
      </c>
      <c r="D142" s="3" t="str">
        <f>IF(EXACT(MAIN!$I142, ""), "", MAIN!$C142)</f>
        <v/>
      </c>
      <c r="E142" s="3" t="str">
        <f>IF(EXACT(MAIN!$I142, ""), "", MAIN!$D142)</f>
        <v/>
      </c>
      <c r="F142" s="27" t="str">
        <f>IF(EXACT(MAIN!$I142, ""), "", ""&amp;MAIN!$F142)</f>
        <v/>
      </c>
    </row>
    <row r="143" spans="2:6" x14ac:dyDescent="0.2">
      <c r="B143" s="25" t="str">
        <f>IF(EXACT(MAIN!I143, ""), "", MAIN!H143)</f>
        <v/>
      </c>
      <c r="C143" s="3" t="str">
        <f>IF(EXACT(MAIN!$I143, ""), "", MAIN!$B143)</f>
        <v/>
      </c>
      <c r="D143" s="3" t="str">
        <f>IF(EXACT(MAIN!$I143, ""), "", MAIN!$C143)</f>
        <v/>
      </c>
      <c r="E143" s="3" t="str">
        <f>IF(EXACT(MAIN!$I143, ""), "", MAIN!$D143)</f>
        <v/>
      </c>
      <c r="F143" s="27" t="str">
        <f>IF(EXACT(MAIN!$I143, ""), "", ""&amp;MAIN!$F143)</f>
        <v/>
      </c>
    </row>
    <row r="144" spans="2:6" x14ac:dyDescent="0.2">
      <c r="B144" s="25" t="str">
        <f>IF(EXACT(MAIN!I144, ""), "", MAIN!H144)</f>
        <v/>
      </c>
      <c r="C144" s="3" t="str">
        <f>IF(EXACT(MAIN!$I144, ""), "", MAIN!$B144)</f>
        <v/>
      </c>
      <c r="D144" s="3" t="str">
        <f>IF(EXACT(MAIN!$I144, ""), "", MAIN!$C144)</f>
        <v/>
      </c>
      <c r="E144" s="3" t="str">
        <f>IF(EXACT(MAIN!$I144, ""), "", MAIN!$D144)</f>
        <v/>
      </c>
      <c r="F144" s="27" t="str">
        <f>IF(EXACT(MAIN!$I144, ""), "", ""&amp;MAIN!$F144)</f>
        <v/>
      </c>
    </row>
    <row r="145" spans="2:6" x14ac:dyDescent="0.2">
      <c r="B145" s="25" t="str">
        <f>IF(EXACT(MAIN!I145, ""), "", MAIN!H145)</f>
        <v/>
      </c>
      <c r="C145" s="3" t="str">
        <f>IF(EXACT(MAIN!$I145, ""), "", MAIN!$B145)</f>
        <v/>
      </c>
      <c r="D145" s="3" t="str">
        <f>IF(EXACT(MAIN!$I145, ""), "", MAIN!$C145)</f>
        <v/>
      </c>
      <c r="E145" s="3" t="str">
        <f>IF(EXACT(MAIN!$I145, ""), "", MAIN!$D145)</f>
        <v/>
      </c>
      <c r="F145" s="27" t="str">
        <f>IF(EXACT(MAIN!$I145, ""), "", ""&amp;MAIN!$F145)</f>
        <v/>
      </c>
    </row>
    <row r="146" spans="2:6" x14ac:dyDescent="0.2">
      <c r="B146" s="25" t="str">
        <f>IF(EXACT(MAIN!I146, ""), "", MAIN!H146)</f>
        <v/>
      </c>
      <c r="C146" s="3" t="str">
        <f>IF(EXACT(MAIN!$I146, ""), "", MAIN!$B146)</f>
        <v/>
      </c>
      <c r="D146" s="3" t="str">
        <f>IF(EXACT(MAIN!$I146, ""), "", MAIN!$C146)</f>
        <v/>
      </c>
      <c r="E146" s="3" t="str">
        <f>IF(EXACT(MAIN!$I146, ""), "", MAIN!$D146)</f>
        <v/>
      </c>
      <c r="F146" s="27" t="str">
        <f>IF(EXACT(MAIN!$I146, ""), "", ""&amp;MAIN!$F146)</f>
        <v/>
      </c>
    </row>
    <row r="147" spans="2:6" x14ac:dyDescent="0.2">
      <c r="B147" s="25" t="str">
        <f>IF(EXACT(MAIN!I147, ""), "", MAIN!H147)</f>
        <v/>
      </c>
      <c r="C147" s="3" t="str">
        <f>IF(EXACT(MAIN!$I147, ""), "", MAIN!$B147)</f>
        <v/>
      </c>
      <c r="D147" s="3" t="str">
        <f>IF(EXACT(MAIN!$I147, ""), "", MAIN!$C147)</f>
        <v/>
      </c>
      <c r="E147" s="3" t="str">
        <f>IF(EXACT(MAIN!$I147, ""), "", MAIN!$D147)</f>
        <v/>
      </c>
      <c r="F147" s="27" t="str">
        <f>IF(EXACT(MAIN!$I147, ""), "", ""&amp;MAIN!$F147)</f>
        <v/>
      </c>
    </row>
    <row r="148" spans="2:6" x14ac:dyDescent="0.2">
      <c r="B148" s="25" t="str">
        <f>IF(EXACT(MAIN!I148, ""), "", MAIN!H148)</f>
        <v/>
      </c>
      <c r="C148" s="3" t="str">
        <f>IF(EXACT(MAIN!$I148, ""), "", MAIN!$B148)</f>
        <v/>
      </c>
      <c r="D148" s="3" t="str">
        <f>IF(EXACT(MAIN!$I148, ""), "", MAIN!$C148)</f>
        <v/>
      </c>
      <c r="E148" s="3" t="str">
        <f>IF(EXACT(MAIN!$I148, ""), "", MAIN!$D148)</f>
        <v/>
      </c>
      <c r="F148" s="27" t="str">
        <f>IF(EXACT(MAIN!$I148, ""), "", ""&amp;MAIN!$F148)</f>
        <v/>
      </c>
    </row>
    <row r="149" spans="2:6" x14ac:dyDescent="0.2">
      <c r="B149" s="25" t="str">
        <f>IF(EXACT(MAIN!I149, ""), "", MAIN!H149)</f>
        <v/>
      </c>
      <c r="C149" s="3" t="str">
        <f>IF(EXACT(MAIN!$I149, ""), "", MAIN!$B149)</f>
        <v/>
      </c>
      <c r="D149" s="3" t="str">
        <f>IF(EXACT(MAIN!$I149, ""), "", MAIN!$C149)</f>
        <v/>
      </c>
      <c r="E149" s="3" t="str">
        <f>IF(EXACT(MAIN!$I149, ""), "", MAIN!$D149)</f>
        <v/>
      </c>
      <c r="F149" s="27" t="str">
        <f>IF(EXACT(MAIN!$I149, ""), "", ""&amp;MAIN!$F149)</f>
        <v/>
      </c>
    </row>
    <row r="150" spans="2:6" x14ac:dyDescent="0.2">
      <c r="B150" s="25" t="str">
        <f>IF(EXACT(MAIN!I150, ""), "", MAIN!H150)</f>
        <v/>
      </c>
      <c r="C150" s="3" t="str">
        <f>IF(EXACT(MAIN!$I150, ""), "", MAIN!$B150)</f>
        <v/>
      </c>
      <c r="D150" s="3" t="str">
        <f>IF(EXACT(MAIN!$I150, ""), "", MAIN!$C150)</f>
        <v/>
      </c>
      <c r="E150" s="3" t="str">
        <f>IF(EXACT(MAIN!$I150, ""), "", MAIN!$D150)</f>
        <v/>
      </c>
      <c r="F150" s="27" t="str">
        <f>IF(EXACT(MAIN!$I150, ""), "", ""&amp;MAIN!$F150)</f>
        <v/>
      </c>
    </row>
    <row r="151" spans="2:6" x14ac:dyDescent="0.2">
      <c r="B151" s="25" t="str">
        <f>IF(EXACT(MAIN!I151, ""), "", MAIN!H151)</f>
        <v/>
      </c>
      <c r="C151" s="3" t="str">
        <f>IF(EXACT(MAIN!$I151, ""), "", MAIN!$B151)</f>
        <v/>
      </c>
      <c r="D151" s="3" t="str">
        <f>IF(EXACT(MAIN!$I151, ""), "", MAIN!$C151)</f>
        <v/>
      </c>
      <c r="E151" s="3" t="str">
        <f>IF(EXACT(MAIN!$I151, ""), "", MAIN!$D151)</f>
        <v/>
      </c>
      <c r="F151" s="27" t="str">
        <f>IF(EXACT(MAIN!$I151, ""), "", ""&amp;MAIN!$F151)</f>
        <v/>
      </c>
    </row>
    <row r="152" spans="2:6" x14ac:dyDescent="0.2">
      <c r="B152" s="25" t="str">
        <f>IF(EXACT(MAIN!I152, ""), "", MAIN!H152)</f>
        <v/>
      </c>
      <c r="C152" s="3" t="str">
        <f>IF(EXACT(MAIN!$I152, ""), "", MAIN!$B152)</f>
        <v/>
      </c>
      <c r="D152" s="3" t="str">
        <f>IF(EXACT(MAIN!$I152, ""), "", MAIN!$C152)</f>
        <v/>
      </c>
      <c r="E152" s="3" t="str">
        <f>IF(EXACT(MAIN!$I152, ""), "", MAIN!$D152)</f>
        <v/>
      </c>
      <c r="F152" s="27" t="str">
        <f>IF(EXACT(MAIN!$I152, ""), "", ""&amp;MAIN!$F152)</f>
        <v/>
      </c>
    </row>
    <row r="153" spans="2:6" x14ac:dyDescent="0.2">
      <c r="B153" s="25" t="str">
        <f>IF(EXACT(MAIN!I153, ""), "", MAIN!H153)</f>
        <v/>
      </c>
      <c r="C153" s="3" t="str">
        <f>IF(EXACT(MAIN!$I153, ""), "", MAIN!$B153)</f>
        <v/>
      </c>
      <c r="D153" s="3" t="str">
        <f>IF(EXACT(MAIN!$I153, ""), "", MAIN!$C153)</f>
        <v/>
      </c>
      <c r="E153" s="3" t="str">
        <f>IF(EXACT(MAIN!$I153, ""), "", MAIN!$D153)</f>
        <v/>
      </c>
      <c r="F153" s="27" t="str">
        <f>IF(EXACT(MAIN!$I153, ""), "", ""&amp;MAIN!$F153)</f>
        <v/>
      </c>
    </row>
    <row r="154" spans="2:6" x14ac:dyDescent="0.2">
      <c r="B154" s="25" t="str">
        <f>IF(EXACT(MAIN!I154, ""), "", MAIN!H154)</f>
        <v/>
      </c>
      <c r="C154" s="3" t="str">
        <f>IF(EXACT(MAIN!$I154, ""), "", MAIN!$B154)</f>
        <v/>
      </c>
      <c r="D154" s="3" t="str">
        <f>IF(EXACT(MAIN!$I154, ""), "", MAIN!$C154)</f>
        <v/>
      </c>
      <c r="E154" s="3" t="str">
        <f>IF(EXACT(MAIN!$I154, ""), "", MAIN!$D154)</f>
        <v/>
      </c>
      <c r="F154" s="27" t="str">
        <f>IF(EXACT(MAIN!$I154, ""), "", ""&amp;MAIN!$F154)</f>
        <v/>
      </c>
    </row>
    <row r="155" spans="2:6" x14ac:dyDescent="0.2">
      <c r="B155" s="25" t="str">
        <f>IF(EXACT(MAIN!I155, ""), "", MAIN!H155)</f>
        <v/>
      </c>
      <c r="C155" s="3" t="str">
        <f>IF(EXACT(MAIN!$I155, ""), "", MAIN!$B155)</f>
        <v/>
      </c>
      <c r="D155" s="3" t="str">
        <f>IF(EXACT(MAIN!$I155, ""), "", MAIN!$C155)</f>
        <v/>
      </c>
      <c r="E155" s="3" t="str">
        <f>IF(EXACT(MAIN!$I155, ""), "", MAIN!$D155)</f>
        <v/>
      </c>
      <c r="F155" s="27" t="str">
        <f>IF(EXACT(MAIN!$I155, ""), "", ""&amp;MAIN!$F155)</f>
        <v/>
      </c>
    </row>
    <row r="156" spans="2:6" x14ac:dyDescent="0.2">
      <c r="B156" s="25" t="str">
        <f>IF(EXACT(MAIN!I156, ""), "", MAIN!H156)</f>
        <v/>
      </c>
      <c r="C156" s="3" t="str">
        <f>IF(EXACT(MAIN!$I156, ""), "", MAIN!$B156)</f>
        <v/>
      </c>
      <c r="D156" s="3" t="str">
        <f>IF(EXACT(MAIN!$I156, ""), "", MAIN!$C156)</f>
        <v/>
      </c>
      <c r="E156" s="3" t="str">
        <f>IF(EXACT(MAIN!$I156, ""), "", MAIN!$D156)</f>
        <v/>
      </c>
      <c r="F156" s="27" t="str">
        <f>IF(EXACT(MAIN!$I156, ""), "", ""&amp;MAIN!$F156)</f>
        <v/>
      </c>
    </row>
    <row r="157" spans="2:6" x14ac:dyDescent="0.2">
      <c r="B157" s="25" t="str">
        <f>IF(EXACT(MAIN!I157, ""), "", MAIN!H157)</f>
        <v/>
      </c>
      <c r="C157" s="3" t="str">
        <f>IF(EXACT(MAIN!$I157, ""), "", MAIN!$B157)</f>
        <v/>
      </c>
      <c r="D157" s="3" t="str">
        <f>IF(EXACT(MAIN!$I157, ""), "", MAIN!$C157)</f>
        <v/>
      </c>
      <c r="E157" s="3" t="str">
        <f>IF(EXACT(MAIN!$I157, ""), "", MAIN!$D157)</f>
        <v/>
      </c>
      <c r="F157" s="27" t="str">
        <f>IF(EXACT(MAIN!$I157, ""), "", ""&amp;MAIN!$F157)</f>
        <v/>
      </c>
    </row>
    <row r="158" spans="2:6" x14ac:dyDescent="0.2">
      <c r="B158" s="25">
        <f>IF(EXACT(MAIN!I158, ""), "", MAIN!H158)</f>
        <v>225000000000010</v>
      </c>
      <c r="C158" s="3">
        <f>IF(EXACT(MAIN!$I158, ""), "", MAIN!$B158)</f>
        <v>164000000000155</v>
      </c>
      <c r="D158" s="3" t="str">
        <f>IF(EXACT(MAIN!$I158, ""), "", MAIN!$C158)</f>
        <v>M. Fikri Caesarandi Hasibuan</v>
      </c>
      <c r="E158" s="3">
        <f>IF(EXACT(MAIN!$I158, ""), "", MAIN!$D158)</f>
        <v>95000000000024</v>
      </c>
      <c r="F158" s="27" t="str">
        <f>IF(EXACT(MAIN!$I158, ""), "", ""&amp;MAIN!$F158)</f>
        <v>46000000000033</v>
      </c>
    </row>
    <row r="159" spans="2:6" x14ac:dyDescent="0.2">
      <c r="B159" s="25" t="str">
        <f>IF(EXACT(MAIN!I159, ""), "", MAIN!H159)</f>
        <v/>
      </c>
      <c r="C159" s="3" t="str">
        <f>IF(EXACT(MAIN!$I159, ""), "", MAIN!$B159)</f>
        <v/>
      </c>
      <c r="D159" s="3" t="str">
        <f>IF(EXACT(MAIN!$I159, ""), "", MAIN!$C159)</f>
        <v/>
      </c>
      <c r="E159" s="3" t="str">
        <f>IF(EXACT(MAIN!$I159, ""), "", MAIN!$D159)</f>
        <v/>
      </c>
      <c r="F159" s="27" t="str">
        <f>IF(EXACT(MAIN!$I159, ""), "", ""&amp;MAIN!$F159)</f>
        <v/>
      </c>
    </row>
    <row r="160" spans="2:6" x14ac:dyDescent="0.2">
      <c r="B160" s="25">
        <f>IF(EXACT(MAIN!I160, ""), "", MAIN!H160)</f>
        <v>225000000000011</v>
      </c>
      <c r="C160" s="3">
        <f>IF(EXACT(MAIN!$I160, ""), "", MAIN!$B160)</f>
        <v>164000000000157</v>
      </c>
      <c r="D160" s="3" t="str">
        <f>IF(EXACT(MAIN!$I160, ""), "", MAIN!$C160)</f>
        <v>Fitriastuti Kurnia</v>
      </c>
      <c r="E160" s="3">
        <f>IF(EXACT(MAIN!$I160, ""), "", MAIN!$D160)</f>
        <v>95000000000024</v>
      </c>
      <c r="F160" s="27" t="str">
        <f>IF(EXACT(MAIN!$I160, ""), "", ""&amp;MAIN!$F160)</f>
        <v/>
      </c>
    </row>
    <row r="161" spans="2:6" x14ac:dyDescent="0.2">
      <c r="B161" s="25" t="str">
        <f>IF(EXACT(MAIN!I161, ""), "", MAIN!H161)</f>
        <v/>
      </c>
      <c r="C161" s="3" t="str">
        <f>IF(EXACT(MAIN!$I161, ""), "", MAIN!$B161)</f>
        <v/>
      </c>
      <c r="D161" s="3" t="str">
        <f>IF(EXACT(MAIN!$I161, ""), "", MAIN!$C161)</f>
        <v/>
      </c>
      <c r="E161" s="3" t="str">
        <f>IF(EXACT(MAIN!$I161, ""), "", MAIN!$D161)</f>
        <v/>
      </c>
      <c r="F161" s="27" t="str">
        <f>IF(EXACT(MAIN!$I161, ""), "", ""&amp;MAIN!$F161)</f>
        <v/>
      </c>
    </row>
    <row r="162" spans="2:6" x14ac:dyDescent="0.2">
      <c r="B162" s="25" t="str">
        <f>IF(EXACT(MAIN!I162, ""), "", MAIN!H162)</f>
        <v/>
      </c>
      <c r="C162" s="3" t="str">
        <f>IF(EXACT(MAIN!$I162, ""), "", MAIN!$B162)</f>
        <v/>
      </c>
      <c r="D162" s="3" t="str">
        <f>IF(EXACT(MAIN!$I162, ""), "", MAIN!$C162)</f>
        <v/>
      </c>
      <c r="E162" s="3" t="str">
        <f>IF(EXACT(MAIN!$I162, ""), "", MAIN!$D162)</f>
        <v/>
      </c>
      <c r="F162" s="27" t="str">
        <f>IF(EXACT(MAIN!$I162, ""), "", ""&amp;MAIN!$F162)</f>
        <v/>
      </c>
    </row>
    <row r="163" spans="2:6" x14ac:dyDescent="0.2">
      <c r="B163" s="25" t="str">
        <f>IF(EXACT(MAIN!I163, ""), "", MAIN!H163)</f>
        <v/>
      </c>
      <c r="C163" s="3" t="str">
        <f>IF(EXACT(MAIN!$I163, ""), "", MAIN!$B163)</f>
        <v/>
      </c>
      <c r="D163" s="3" t="str">
        <f>IF(EXACT(MAIN!$I163, ""), "", MAIN!$C163)</f>
        <v/>
      </c>
      <c r="E163" s="3" t="str">
        <f>IF(EXACT(MAIN!$I163, ""), "", MAIN!$D163)</f>
        <v/>
      </c>
      <c r="F163" s="27" t="str">
        <f>IF(EXACT(MAIN!$I163, ""), "", ""&amp;MAIN!$F163)</f>
        <v/>
      </c>
    </row>
    <row r="164" spans="2:6" x14ac:dyDescent="0.2">
      <c r="B164" s="25" t="str">
        <f>IF(EXACT(MAIN!I164, ""), "", MAIN!H164)</f>
        <v/>
      </c>
      <c r="C164" s="3" t="str">
        <f>IF(EXACT(MAIN!$I164, ""), "", MAIN!$B164)</f>
        <v/>
      </c>
      <c r="D164" s="3" t="str">
        <f>IF(EXACT(MAIN!$I164, ""), "", MAIN!$C164)</f>
        <v/>
      </c>
      <c r="E164" s="3" t="str">
        <f>IF(EXACT(MAIN!$I164, ""), "", MAIN!$D164)</f>
        <v/>
      </c>
      <c r="F164" s="27" t="str">
        <f>IF(EXACT(MAIN!$I164, ""), "", ""&amp;MAIN!$F164)</f>
        <v/>
      </c>
    </row>
    <row r="165" spans="2:6" x14ac:dyDescent="0.2">
      <c r="B165" s="25" t="str">
        <f>IF(EXACT(MAIN!I165, ""), "", MAIN!H165)</f>
        <v/>
      </c>
      <c r="C165" s="3" t="str">
        <f>IF(EXACT(MAIN!$I165, ""), "", MAIN!$B165)</f>
        <v/>
      </c>
      <c r="D165" s="3" t="str">
        <f>IF(EXACT(MAIN!$I165, ""), "", MAIN!$C165)</f>
        <v/>
      </c>
      <c r="E165" s="3" t="str">
        <f>IF(EXACT(MAIN!$I165, ""), "", MAIN!$D165)</f>
        <v/>
      </c>
      <c r="F165" s="27" t="str">
        <f>IF(EXACT(MAIN!$I165, ""), "", ""&amp;MAIN!$F165)</f>
        <v/>
      </c>
    </row>
    <row r="166" spans="2:6" x14ac:dyDescent="0.2">
      <c r="B166" s="25" t="str">
        <f>IF(EXACT(MAIN!I166, ""), "", MAIN!H166)</f>
        <v/>
      </c>
      <c r="C166" s="3" t="str">
        <f>IF(EXACT(MAIN!$I166, ""), "", MAIN!$B166)</f>
        <v/>
      </c>
      <c r="D166" s="3" t="str">
        <f>IF(EXACT(MAIN!$I166, ""), "", MAIN!$C166)</f>
        <v/>
      </c>
      <c r="E166" s="3" t="str">
        <f>IF(EXACT(MAIN!$I166, ""), "", MAIN!$D166)</f>
        <v/>
      </c>
      <c r="F166" s="27" t="str">
        <f>IF(EXACT(MAIN!$I166, ""), "", ""&amp;MAIN!$F166)</f>
        <v/>
      </c>
    </row>
    <row r="167" spans="2:6" x14ac:dyDescent="0.2">
      <c r="B167" s="25" t="str">
        <f>IF(EXACT(MAIN!I167, ""), "", MAIN!H167)</f>
        <v/>
      </c>
      <c r="C167" s="3" t="str">
        <f>IF(EXACT(MAIN!$I167, ""), "", MAIN!$B167)</f>
        <v/>
      </c>
      <c r="D167" s="3" t="str">
        <f>IF(EXACT(MAIN!$I167, ""), "", MAIN!$C167)</f>
        <v/>
      </c>
      <c r="E167" s="3" t="str">
        <f>IF(EXACT(MAIN!$I167, ""), "", MAIN!$D167)</f>
        <v/>
      </c>
      <c r="F167" s="27" t="str">
        <f>IF(EXACT(MAIN!$I167, ""), "", ""&amp;MAIN!$F167)</f>
        <v/>
      </c>
    </row>
    <row r="168" spans="2:6" x14ac:dyDescent="0.2">
      <c r="B168" s="25" t="str">
        <f>IF(EXACT(MAIN!I168, ""), "", MAIN!H168)</f>
        <v/>
      </c>
      <c r="C168" s="3" t="str">
        <f>IF(EXACT(MAIN!$I168, ""), "", MAIN!$B168)</f>
        <v/>
      </c>
      <c r="D168" s="3" t="str">
        <f>IF(EXACT(MAIN!$I168, ""), "", MAIN!$C168)</f>
        <v/>
      </c>
      <c r="E168" s="3" t="str">
        <f>IF(EXACT(MAIN!$I168, ""), "", MAIN!$D168)</f>
        <v/>
      </c>
      <c r="F168" s="27" t="str">
        <f>IF(EXACT(MAIN!$I168, ""), "", ""&amp;MAIN!$F168)</f>
        <v/>
      </c>
    </row>
    <row r="169" spans="2:6" x14ac:dyDescent="0.2">
      <c r="B169" s="25" t="str">
        <f>IF(EXACT(MAIN!I169, ""), "", MAIN!H169)</f>
        <v/>
      </c>
      <c r="C169" s="3" t="str">
        <f>IF(EXACT(MAIN!$I169, ""), "", MAIN!$B169)</f>
        <v/>
      </c>
      <c r="D169" s="3" t="str">
        <f>IF(EXACT(MAIN!$I169, ""), "", MAIN!$C169)</f>
        <v/>
      </c>
      <c r="E169" s="3" t="str">
        <f>IF(EXACT(MAIN!$I169, ""), "", MAIN!$D169)</f>
        <v/>
      </c>
      <c r="F169" s="27" t="str">
        <f>IF(EXACT(MAIN!$I169, ""), "", ""&amp;MAIN!$F169)</f>
        <v/>
      </c>
    </row>
    <row r="170" spans="2:6" x14ac:dyDescent="0.2">
      <c r="B170" s="25">
        <f>IF(EXACT(MAIN!I170, ""), "", MAIN!H170)</f>
        <v>225000000000012</v>
      </c>
      <c r="C170" s="3">
        <f>IF(EXACT(MAIN!$I170, ""), "", MAIN!$B170)</f>
        <v>164000000000167</v>
      </c>
      <c r="D170" s="3" t="str">
        <f>IF(EXACT(MAIN!$I170, ""), "", MAIN!$C170)</f>
        <v>Grace Kurniawan</v>
      </c>
      <c r="E170" s="3">
        <f>IF(EXACT(MAIN!$I170, ""), "", MAIN!$D170)</f>
        <v>95000000000018</v>
      </c>
      <c r="F170" s="27" t="str">
        <f>IF(EXACT(MAIN!$I170, ""), "", ""&amp;MAIN!$F170)</f>
        <v/>
      </c>
    </row>
    <row r="171" spans="2:6" x14ac:dyDescent="0.2">
      <c r="B171" s="25">
        <f>IF(EXACT(MAIN!I171, ""), "", MAIN!H171)</f>
        <v>225000000000013</v>
      </c>
      <c r="C171" s="3">
        <f>IF(EXACT(MAIN!$I171, ""), "", MAIN!$B171)</f>
        <v>164000000000168</v>
      </c>
      <c r="D171" s="3" t="str">
        <f>IF(EXACT(MAIN!$I171, ""), "", MAIN!$C171)</f>
        <v>Gunawan</v>
      </c>
      <c r="E171" s="3">
        <f>IF(EXACT(MAIN!$I171, ""), "", MAIN!$D171)</f>
        <v>95000000000050</v>
      </c>
      <c r="F171" s="27" t="str">
        <f>IF(EXACT(MAIN!$I171, ""), "", ""&amp;MAIN!$F171)</f>
        <v/>
      </c>
    </row>
    <row r="172" spans="2:6" x14ac:dyDescent="0.2">
      <c r="B172" s="25" t="str">
        <f>IF(EXACT(MAIN!I172, ""), "", MAIN!H172)</f>
        <v/>
      </c>
      <c r="C172" s="3" t="str">
        <f>IF(EXACT(MAIN!$I172, ""), "", MAIN!$B172)</f>
        <v/>
      </c>
      <c r="D172" s="3" t="str">
        <f>IF(EXACT(MAIN!$I172, ""), "", MAIN!$C172)</f>
        <v/>
      </c>
      <c r="E172" s="3" t="str">
        <f>IF(EXACT(MAIN!$I172, ""), "", MAIN!$D172)</f>
        <v/>
      </c>
      <c r="F172" s="27" t="str">
        <f>IF(EXACT(MAIN!$I172, ""), "", ""&amp;MAIN!$F172)</f>
        <v/>
      </c>
    </row>
    <row r="173" spans="2:6" x14ac:dyDescent="0.2">
      <c r="B173" s="25" t="str">
        <f>IF(EXACT(MAIN!I173, ""), "", MAIN!H173)</f>
        <v/>
      </c>
      <c r="C173" s="3" t="str">
        <f>IF(EXACT(MAIN!$I173, ""), "", MAIN!$B173)</f>
        <v/>
      </c>
      <c r="D173" s="3" t="str">
        <f>IF(EXACT(MAIN!$I173, ""), "", MAIN!$C173)</f>
        <v/>
      </c>
      <c r="E173" s="3" t="str">
        <f>IF(EXACT(MAIN!$I173, ""), "", MAIN!$D173)</f>
        <v/>
      </c>
      <c r="F173" s="27" t="str">
        <f>IF(EXACT(MAIN!$I173, ""), "", ""&amp;MAIN!$F173)</f>
        <v/>
      </c>
    </row>
    <row r="174" spans="2:6" x14ac:dyDescent="0.2">
      <c r="B174" s="25" t="str">
        <f>IF(EXACT(MAIN!I174, ""), "", MAIN!H174)</f>
        <v/>
      </c>
      <c r="C174" s="3" t="str">
        <f>IF(EXACT(MAIN!$I174, ""), "", MAIN!$B174)</f>
        <v/>
      </c>
      <c r="D174" s="3" t="str">
        <f>IF(EXACT(MAIN!$I174, ""), "", MAIN!$C174)</f>
        <v/>
      </c>
      <c r="E174" s="3" t="str">
        <f>IF(EXACT(MAIN!$I174, ""), "", MAIN!$D174)</f>
        <v/>
      </c>
      <c r="F174" s="27" t="str">
        <f>IF(EXACT(MAIN!$I174, ""), "", ""&amp;MAIN!$F174)</f>
        <v/>
      </c>
    </row>
    <row r="175" spans="2:6" x14ac:dyDescent="0.2">
      <c r="B175" s="25" t="str">
        <f>IF(EXACT(MAIN!I175, ""), "", MAIN!H175)</f>
        <v/>
      </c>
      <c r="C175" s="3" t="str">
        <f>IF(EXACT(MAIN!$I175, ""), "", MAIN!$B175)</f>
        <v/>
      </c>
      <c r="D175" s="3" t="str">
        <f>IF(EXACT(MAIN!$I175, ""), "", MAIN!$C175)</f>
        <v/>
      </c>
      <c r="E175" s="3" t="str">
        <f>IF(EXACT(MAIN!$I175, ""), "", MAIN!$D175)</f>
        <v/>
      </c>
      <c r="F175" s="27" t="str">
        <f>IF(EXACT(MAIN!$I175, ""), "", ""&amp;MAIN!$F175)</f>
        <v/>
      </c>
    </row>
    <row r="176" spans="2:6" x14ac:dyDescent="0.2">
      <c r="B176" s="25" t="str">
        <f>IF(EXACT(MAIN!I176, ""), "", MAIN!H176)</f>
        <v/>
      </c>
      <c r="C176" s="3" t="str">
        <f>IF(EXACT(MAIN!$I176, ""), "", MAIN!$B176)</f>
        <v/>
      </c>
      <c r="D176" s="3" t="str">
        <f>IF(EXACT(MAIN!$I176, ""), "", MAIN!$C176)</f>
        <v/>
      </c>
      <c r="E176" s="3" t="str">
        <f>IF(EXACT(MAIN!$I176, ""), "", MAIN!$D176)</f>
        <v/>
      </c>
      <c r="F176" s="27" t="str">
        <f>IF(EXACT(MAIN!$I176, ""), "", ""&amp;MAIN!$F176)</f>
        <v/>
      </c>
    </row>
    <row r="177" spans="2:6" x14ac:dyDescent="0.2">
      <c r="B177" s="25" t="str">
        <f>IF(EXACT(MAIN!I177, ""), "", MAIN!H177)</f>
        <v/>
      </c>
      <c r="C177" s="3" t="str">
        <f>IF(EXACT(MAIN!$I177, ""), "", MAIN!$B177)</f>
        <v/>
      </c>
      <c r="D177" s="3" t="str">
        <f>IF(EXACT(MAIN!$I177, ""), "", MAIN!$C177)</f>
        <v/>
      </c>
      <c r="E177" s="3" t="str">
        <f>IF(EXACT(MAIN!$I177, ""), "", MAIN!$D177)</f>
        <v/>
      </c>
      <c r="F177" s="27" t="str">
        <f>IF(EXACT(MAIN!$I177, ""), "", ""&amp;MAIN!$F177)</f>
        <v/>
      </c>
    </row>
    <row r="178" spans="2:6" x14ac:dyDescent="0.2">
      <c r="B178" s="25" t="str">
        <f>IF(EXACT(MAIN!I178, ""), "", MAIN!H178)</f>
        <v/>
      </c>
      <c r="C178" s="3" t="str">
        <f>IF(EXACT(MAIN!$I178, ""), "", MAIN!$B178)</f>
        <v/>
      </c>
      <c r="D178" s="3" t="str">
        <f>IF(EXACT(MAIN!$I178, ""), "", MAIN!$C178)</f>
        <v/>
      </c>
      <c r="E178" s="3" t="str">
        <f>IF(EXACT(MAIN!$I178, ""), "", MAIN!$D178)</f>
        <v/>
      </c>
      <c r="F178" s="27" t="str">
        <f>IF(EXACT(MAIN!$I178, ""), "", ""&amp;MAIN!$F178)</f>
        <v/>
      </c>
    </row>
    <row r="179" spans="2:6" x14ac:dyDescent="0.2">
      <c r="B179" s="25" t="str">
        <f>IF(EXACT(MAIN!I179, ""), "", MAIN!H179)</f>
        <v/>
      </c>
      <c r="C179" s="3" t="str">
        <f>IF(EXACT(MAIN!$I179, ""), "", MAIN!$B179)</f>
        <v/>
      </c>
      <c r="D179" s="3" t="str">
        <f>IF(EXACT(MAIN!$I179, ""), "", MAIN!$C179)</f>
        <v/>
      </c>
      <c r="E179" s="3" t="str">
        <f>IF(EXACT(MAIN!$I179, ""), "", MAIN!$D179)</f>
        <v/>
      </c>
      <c r="F179" s="27" t="str">
        <f>IF(EXACT(MAIN!$I179, ""), "", ""&amp;MAIN!$F179)</f>
        <v/>
      </c>
    </row>
    <row r="180" spans="2:6" x14ac:dyDescent="0.2">
      <c r="B180" s="25" t="str">
        <f>IF(EXACT(MAIN!I180, ""), "", MAIN!H180)</f>
        <v/>
      </c>
      <c r="C180" s="3" t="str">
        <f>IF(EXACT(MAIN!$I180, ""), "", MAIN!$B180)</f>
        <v/>
      </c>
      <c r="D180" s="3" t="str">
        <f>IF(EXACT(MAIN!$I180, ""), "", MAIN!$C180)</f>
        <v/>
      </c>
      <c r="E180" s="3" t="str">
        <f>IF(EXACT(MAIN!$I180, ""), "", MAIN!$D180)</f>
        <v/>
      </c>
      <c r="F180" s="27" t="str">
        <f>IF(EXACT(MAIN!$I180, ""), "", ""&amp;MAIN!$F180)</f>
        <v/>
      </c>
    </row>
    <row r="181" spans="2:6" x14ac:dyDescent="0.2">
      <c r="B181" s="25" t="str">
        <f>IF(EXACT(MAIN!I181, ""), "", MAIN!H181)</f>
        <v/>
      </c>
      <c r="C181" s="3" t="str">
        <f>IF(EXACT(MAIN!$I181, ""), "", MAIN!$B181)</f>
        <v/>
      </c>
      <c r="D181" s="3" t="str">
        <f>IF(EXACT(MAIN!$I181, ""), "", MAIN!$C181)</f>
        <v/>
      </c>
      <c r="E181" s="3" t="str">
        <f>IF(EXACT(MAIN!$I181, ""), "", MAIN!$D181)</f>
        <v/>
      </c>
      <c r="F181" s="27" t="str">
        <f>IF(EXACT(MAIN!$I181, ""), "", ""&amp;MAIN!$F181)</f>
        <v/>
      </c>
    </row>
    <row r="182" spans="2:6" x14ac:dyDescent="0.2">
      <c r="B182" s="25" t="str">
        <f>IF(EXACT(MAIN!I182, ""), "", MAIN!H182)</f>
        <v/>
      </c>
      <c r="C182" s="3" t="str">
        <f>IF(EXACT(MAIN!$I182, ""), "", MAIN!$B182)</f>
        <v/>
      </c>
      <c r="D182" s="3" t="str">
        <f>IF(EXACT(MAIN!$I182, ""), "", MAIN!$C182)</f>
        <v/>
      </c>
      <c r="E182" s="3" t="str">
        <f>IF(EXACT(MAIN!$I182, ""), "", MAIN!$D182)</f>
        <v/>
      </c>
      <c r="F182" s="27" t="str">
        <f>IF(EXACT(MAIN!$I182, ""), "", ""&amp;MAIN!$F182)</f>
        <v/>
      </c>
    </row>
    <row r="183" spans="2:6" x14ac:dyDescent="0.2">
      <c r="B183" s="25" t="str">
        <f>IF(EXACT(MAIN!I183, ""), "", MAIN!H183)</f>
        <v/>
      </c>
      <c r="C183" s="3" t="str">
        <f>IF(EXACT(MAIN!$I183, ""), "", MAIN!$B183)</f>
        <v/>
      </c>
      <c r="D183" s="3" t="str">
        <f>IF(EXACT(MAIN!$I183, ""), "", MAIN!$C183)</f>
        <v/>
      </c>
      <c r="E183" s="3" t="str">
        <f>IF(EXACT(MAIN!$I183, ""), "", MAIN!$D183)</f>
        <v/>
      </c>
      <c r="F183" s="27" t="str">
        <f>IF(EXACT(MAIN!$I183, ""), "", ""&amp;MAIN!$F183)</f>
        <v/>
      </c>
    </row>
    <row r="184" spans="2:6" x14ac:dyDescent="0.2">
      <c r="B184" s="25" t="str">
        <f>IF(EXACT(MAIN!I184, ""), "", MAIN!H184)</f>
        <v/>
      </c>
      <c r="C184" s="3" t="str">
        <f>IF(EXACT(MAIN!$I184, ""), "", MAIN!$B184)</f>
        <v/>
      </c>
      <c r="D184" s="3" t="str">
        <f>IF(EXACT(MAIN!$I184, ""), "", MAIN!$C184)</f>
        <v/>
      </c>
      <c r="E184" s="3" t="str">
        <f>IF(EXACT(MAIN!$I184, ""), "", MAIN!$D184)</f>
        <v/>
      </c>
      <c r="F184" s="27" t="str">
        <f>IF(EXACT(MAIN!$I184, ""), "", ""&amp;MAIN!$F184)</f>
        <v/>
      </c>
    </row>
    <row r="185" spans="2:6" x14ac:dyDescent="0.2">
      <c r="B185" s="25" t="str">
        <f>IF(EXACT(MAIN!I185, ""), "", MAIN!H185)</f>
        <v/>
      </c>
      <c r="C185" s="3" t="str">
        <f>IF(EXACT(MAIN!$I185, ""), "", MAIN!$B185)</f>
        <v/>
      </c>
      <c r="D185" s="3" t="str">
        <f>IF(EXACT(MAIN!$I185, ""), "", MAIN!$C185)</f>
        <v/>
      </c>
      <c r="E185" s="3" t="str">
        <f>IF(EXACT(MAIN!$I185, ""), "", MAIN!$D185)</f>
        <v/>
      </c>
      <c r="F185" s="27" t="str">
        <f>IF(EXACT(MAIN!$I185, ""), "", ""&amp;MAIN!$F185)</f>
        <v/>
      </c>
    </row>
    <row r="186" spans="2:6" x14ac:dyDescent="0.2">
      <c r="B186" s="25" t="str">
        <f>IF(EXACT(MAIN!I186, ""), "", MAIN!H186)</f>
        <v/>
      </c>
      <c r="C186" s="3" t="str">
        <f>IF(EXACT(MAIN!$I186, ""), "", MAIN!$B186)</f>
        <v/>
      </c>
      <c r="D186" s="3" t="str">
        <f>IF(EXACT(MAIN!$I186, ""), "", MAIN!$C186)</f>
        <v/>
      </c>
      <c r="E186" s="3" t="str">
        <f>IF(EXACT(MAIN!$I186, ""), "", MAIN!$D186)</f>
        <v/>
      </c>
      <c r="F186" s="27" t="str">
        <f>IF(EXACT(MAIN!$I186, ""), "", ""&amp;MAIN!$F186)</f>
        <v/>
      </c>
    </row>
    <row r="187" spans="2:6" x14ac:dyDescent="0.2">
      <c r="B187" s="25" t="str">
        <f>IF(EXACT(MAIN!I187, ""), "", MAIN!H187)</f>
        <v/>
      </c>
      <c r="C187" s="3" t="str">
        <f>IF(EXACT(MAIN!$I187, ""), "", MAIN!$B187)</f>
        <v/>
      </c>
      <c r="D187" s="3" t="str">
        <f>IF(EXACT(MAIN!$I187, ""), "", MAIN!$C187)</f>
        <v/>
      </c>
      <c r="E187" s="3" t="str">
        <f>IF(EXACT(MAIN!$I187, ""), "", MAIN!$D187)</f>
        <v/>
      </c>
      <c r="F187" s="27" t="str">
        <f>IF(EXACT(MAIN!$I187, ""), "", ""&amp;MAIN!$F187)</f>
        <v/>
      </c>
    </row>
    <row r="188" spans="2:6" x14ac:dyDescent="0.2">
      <c r="B188" s="25" t="str">
        <f>IF(EXACT(MAIN!I188, ""), "", MAIN!H188)</f>
        <v/>
      </c>
      <c r="C188" s="3" t="str">
        <f>IF(EXACT(MAIN!$I188, ""), "", MAIN!$B188)</f>
        <v/>
      </c>
      <c r="D188" s="3" t="str">
        <f>IF(EXACT(MAIN!$I188, ""), "", MAIN!$C188)</f>
        <v/>
      </c>
      <c r="E188" s="3" t="str">
        <f>IF(EXACT(MAIN!$I188, ""), "", MAIN!$D188)</f>
        <v/>
      </c>
      <c r="F188" s="27" t="str">
        <f>IF(EXACT(MAIN!$I188, ""), "", ""&amp;MAIN!$F188)</f>
        <v/>
      </c>
    </row>
    <row r="189" spans="2:6" x14ac:dyDescent="0.2">
      <c r="B189" s="25" t="str">
        <f>IF(EXACT(MAIN!I189, ""), "", MAIN!H189)</f>
        <v/>
      </c>
      <c r="C189" s="3" t="str">
        <f>IF(EXACT(MAIN!$I189, ""), "", MAIN!$B189)</f>
        <v/>
      </c>
      <c r="D189" s="3" t="str">
        <f>IF(EXACT(MAIN!$I189, ""), "", MAIN!$C189)</f>
        <v/>
      </c>
      <c r="E189" s="3" t="str">
        <f>IF(EXACT(MAIN!$I189, ""), "", MAIN!$D189)</f>
        <v/>
      </c>
      <c r="F189" s="27" t="str">
        <f>IF(EXACT(MAIN!$I189, ""), "", ""&amp;MAIN!$F189)</f>
        <v/>
      </c>
    </row>
    <row r="190" spans="2:6" x14ac:dyDescent="0.2">
      <c r="B190" s="25" t="str">
        <f>IF(EXACT(MAIN!I190, ""), "", MAIN!H190)</f>
        <v/>
      </c>
      <c r="C190" s="3" t="str">
        <f>IF(EXACT(MAIN!$I190, ""), "", MAIN!$B190)</f>
        <v/>
      </c>
      <c r="D190" s="3" t="str">
        <f>IF(EXACT(MAIN!$I190, ""), "", MAIN!$C190)</f>
        <v/>
      </c>
      <c r="E190" s="3" t="str">
        <f>IF(EXACT(MAIN!$I190, ""), "", MAIN!$D190)</f>
        <v/>
      </c>
      <c r="F190" s="27" t="str">
        <f>IF(EXACT(MAIN!$I190, ""), "", ""&amp;MAIN!$F190)</f>
        <v/>
      </c>
    </row>
    <row r="191" spans="2:6" x14ac:dyDescent="0.2">
      <c r="B191" s="25" t="str">
        <f>IF(EXACT(MAIN!I191, ""), "", MAIN!H191)</f>
        <v/>
      </c>
      <c r="C191" s="3" t="str">
        <f>IF(EXACT(MAIN!$I191, ""), "", MAIN!$B191)</f>
        <v/>
      </c>
      <c r="D191" s="3" t="str">
        <f>IF(EXACT(MAIN!$I191, ""), "", MAIN!$C191)</f>
        <v/>
      </c>
      <c r="E191" s="3" t="str">
        <f>IF(EXACT(MAIN!$I191, ""), "", MAIN!$D191)</f>
        <v/>
      </c>
      <c r="F191" s="27" t="str">
        <f>IF(EXACT(MAIN!$I191, ""), "", ""&amp;MAIN!$F191)</f>
        <v/>
      </c>
    </row>
    <row r="192" spans="2:6" x14ac:dyDescent="0.2">
      <c r="B192" s="25" t="str">
        <f>IF(EXACT(MAIN!I192, ""), "", MAIN!H192)</f>
        <v/>
      </c>
      <c r="C192" s="3" t="str">
        <f>IF(EXACT(MAIN!$I192, ""), "", MAIN!$B192)</f>
        <v/>
      </c>
      <c r="D192" s="3" t="str">
        <f>IF(EXACT(MAIN!$I192, ""), "", MAIN!$C192)</f>
        <v/>
      </c>
      <c r="E192" s="3" t="str">
        <f>IF(EXACT(MAIN!$I192, ""), "", MAIN!$D192)</f>
        <v/>
      </c>
      <c r="F192" s="27" t="str">
        <f>IF(EXACT(MAIN!$I192, ""), "", ""&amp;MAIN!$F192)</f>
        <v/>
      </c>
    </row>
    <row r="193" spans="2:6" x14ac:dyDescent="0.2">
      <c r="B193" s="25" t="str">
        <f>IF(EXACT(MAIN!I193, ""), "", MAIN!H193)</f>
        <v/>
      </c>
      <c r="C193" s="3" t="str">
        <f>IF(EXACT(MAIN!$I193, ""), "", MAIN!$B193)</f>
        <v/>
      </c>
      <c r="D193" s="3" t="str">
        <f>IF(EXACT(MAIN!$I193, ""), "", MAIN!$C193)</f>
        <v/>
      </c>
      <c r="E193" s="3" t="str">
        <f>IF(EXACT(MAIN!$I193, ""), "", MAIN!$D193)</f>
        <v/>
      </c>
      <c r="F193" s="27" t="str">
        <f>IF(EXACT(MAIN!$I193, ""), "", ""&amp;MAIN!$F193)</f>
        <v/>
      </c>
    </row>
    <row r="194" spans="2:6" x14ac:dyDescent="0.2">
      <c r="B194" s="25" t="str">
        <f>IF(EXACT(MAIN!I194, ""), "", MAIN!H194)</f>
        <v/>
      </c>
      <c r="C194" s="3" t="str">
        <f>IF(EXACT(MAIN!$I194, ""), "", MAIN!$B194)</f>
        <v/>
      </c>
      <c r="D194" s="3" t="str">
        <f>IF(EXACT(MAIN!$I194, ""), "", MAIN!$C194)</f>
        <v/>
      </c>
      <c r="E194" s="3" t="str">
        <f>IF(EXACT(MAIN!$I194, ""), "", MAIN!$D194)</f>
        <v/>
      </c>
      <c r="F194" s="27" t="str">
        <f>IF(EXACT(MAIN!$I194, ""), "", ""&amp;MAIN!$F194)</f>
        <v/>
      </c>
    </row>
    <row r="195" spans="2:6" x14ac:dyDescent="0.2">
      <c r="B195" s="25" t="str">
        <f>IF(EXACT(MAIN!I195, ""), "", MAIN!H195)</f>
        <v/>
      </c>
      <c r="C195" s="3" t="str">
        <f>IF(EXACT(MAIN!$I195, ""), "", MAIN!$B195)</f>
        <v/>
      </c>
      <c r="D195" s="3" t="str">
        <f>IF(EXACT(MAIN!$I195, ""), "", MAIN!$C195)</f>
        <v/>
      </c>
      <c r="E195" s="3" t="str">
        <f>IF(EXACT(MAIN!$I195, ""), "", MAIN!$D195)</f>
        <v/>
      </c>
      <c r="F195" s="27" t="str">
        <f>IF(EXACT(MAIN!$I195, ""), "", ""&amp;MAIN!$F195)</f>
        <v/>
      </c>
    </row>
    <row r="196" spans="2:6" x14ac:dyDescent="0.2">
      <c r="B196" s="25" t="str">
        <f>IF(EXACT(MAIN!I196, ""), "", MAIN!H196)</f>
        <v/>
      </c>
      <c r="C196" s="3" t="str">
        <f>IF(EXACT(MAIN!$I196, ""), "", MAIN!$B196)</f>
        <v/>
      </c>
      <c r="D196" s="3" t="str">
        <f>IF(EXACT(MAIN!$I196, ""), "", MAIN!$C196)</f>
        <v/>
      </c>
      <c r="E196" s="3" t="str">
        <f>IF(EXACT(MAIN!$I196, ""), "", MAIN!$D196)</f>
        <v/>
      </c>
      <c r="F196" s="27" t="str">
        <f>IF(EXACT(MAIN!$I196, ""), "", ""&amp;MAIN!$F196)</f>
        <v/>
      </c>
    </row>
    <row r="197" spans="2:6" x14ac:dyDescent="0.2">
      <c r="B197" s="25" t="str">
        <f>IF(EXACT(MAIN!I197, ""), "", MAIN!H197)</f>
        <v/>
      </c>
      <c r="C197" s="3" t="str">
        <f>IF(EXACT(MAIN!$I197, ""), "", MAIN!$B197)</f>
        <v/>
      </c>
      <c r="D197" s="3" t="str">
        <f>IF(EXACT(MAIN!$I197, ""), "", MAIN!$C197)</f>
        <v/>
      </c>
      <c r="E197" s="3" t="str">
        <f>IF(EXACT(MAIN!$I197, ""), "", MAIN!$D197)</f>
        <v/>
      </c>
      <c r="F197" s="27" t="str">
        <f>IF(EXACT(MAIN!$I197, ""), "", ""&amp;MAIN!$F197)</f>
        <v/>
      </c>
    </row>
    <row r="198" spans="2:6" x14ac:dyDescent="0.2">
      <c r="B198" s="25" t="str">
        <f>IF(EXACT(MAIN!I198, ""), "", MAIN!H198)</f>
        <v/>
      </c>
      <c r="C198" s="3" t="str">
        <f>IF(EXACT(MAIN!$I198, ""), "", MAIN!$B198)</f>
        <v/>
      </c>
      <c r="D198" s="3" t="str">
        <f>IF(EXACT(MAIN!$I198, ""), "", MAIN!$C198)</f>
        <v/>
      </c>
      <c r="E198" s="3" t="str">
        <f>IF(EXACT(MAIN!$I198, ""), "", MAIN!$D198)</f>
        <v/>
      </c>
      <c r="F198" s="27" t="str">
        <f>IF(EXACT(MAIN!$I198, ""), "", ""&amp;MAIN!$F198)</f>
        <v/>
      </c>
    </row>
    <row r="199" spans="2:6" x14ac:dyDescent="0.2">
      <c r="B199" s="25">
        <f>IF(EXACT(MAIN!I199, ""), "", MAIN!H199)</f>
        <v>225000000000014</v>
      </c>
      <c r="C199" s="3">
        <f>IF(EXACT(MAIN!$I199, ""), "", MAIN!$B199)</f>
        <v>164000000000196</v>
      </c>
      <c r="D199" s="3" t="str">
        <f>IF(EXACT(MAIN!$I199, ""), "", MAIN!$C199)</f>
        <v>Icha Mailinda Syamsoedin</v>
      </c>
      <c r="E199" s="3">
        <f>IF(EXACT(MAIN!$I199, ""), "", MAIN!$D199)</f>
        <v>95000000000038</v>
      </c>
      <c r="F199" s="27" t="str">
        <f>IF(EXACT(MAIN!$I199, ""), "", ""&amp;MAIN!$F199)</f>
        <v/>
      </c>
    </row>
    <row r="200" spans="2:6" x14ac:dyDescent="0.2">
      <c r="B200" s="25" t="str">
        <f>IF(EXACT(MAIN!I200, ""), "", MAIN!H200)</f>
        <v/>
      </c>
      <c r="C200" s="3" t="str">
        <f>IF(EXACT(MAIN!$I200, ""), "", MAIN!$B200)</f>
        <v/>
      </c>
      <c r="D200" s="3" t="str">
        <f>IF(EXACT(MAIN!$I200, ""), "", MAIN!$C200)</f>
        <v/>
      </c>
      <c r="E200" s="3" t="str">
        <f>IF(EXACT(MAIN!$I200, ""), "", MAIN!$D200)</f>
        <v/>
      </c>
      <c r="F200" s="27" t="str">
        <f>IF(EXACT(MAIN!$I200, ""), "", ""&amp;MAIN!$F200)</f>
        <v/>
      </c>
    </row>
    <row r="201" spans="2:6" x14ac:dyDescent="0.2">
      <c r="B201" s="25" t="str">
        <f>IF(EXACT(MAIN!I201, ""), "", MAIN!H201)</f>
        <v/>
      </c>
      <c r="C201" s="3" t="str">
        <f>IF(EXACT(MAIN!$I201, ""), "", MAIN!$B201)</f>
        <v/>
      </c>
      <c r="D201" s="3" t="str">
        <f>IF(EXACT(MAIN!$I201, ""), "", MAIN!$C201)</f>
        <v/>
      </c>
      <c r="E201" s="3" t="str">
        <f>IF(EXACT(MAIN!$I201, ""), "", MAIN!$D201)</f>
        <v/>
      </c>
      <c r="F201" s="27" t="str">
        <f>IF(EXACT(MAIN!$I201, ""), "", ""&amp;MAIN!$F201)</f>
        <v/>
      </c>
    </row>
    <row r="202" spans="2:6" x14ac:dyDescent="0.2">
      <c r="B202" s="25" t="str">
        <f>IF(EXACT(MAIN!I202, ""), "", MAIN!H202)</f>
        <v/>
      </c>
      <c r="C202" s="3" t="str">
        <f>IF(EXACT(MAIN!$I202, ""), "", MAIN!$B202)</f>
        <v/>
      </c>
      <c r="D202" s="3" t="str">
        <f>IF(EXACT(MAIN!$I202, ""), "", MAIN!$C202)</f>
        <v/>
      </c>
      <c r="E202" s="3" t="str">
        <f>IF(EXACT(MAIN!$I202, ""), "", MAIN!$D202)</f>
        <v/>
      </c>
      <c r="F202" s="27" t="str">
        <f>IF(EXACT(MAIN!$I202, ""), "", ""&amp;MAIN!$F202)</f>
        <v/>
      </c>
    </row>
    <row r="203" spans="2:6" x14ac:dyDescent="0.2">
      <c r="B203" s="25" t="str">
        <f>IF(EXACT(MAIN!I203, ""), "", MAIN!H203)</f>
        <v/>
      </c>
      <c r="C203" s="3" t="str">
        <f>IF(EXACT(MAIN!$I203, ""), "", MAIN!$B203)</f>
        <v/>
      </c>
      <c r="D203" s="3" t="str">
        <f>IF(EXACT(MAIN!$I203, ""), "", MAIN!$C203)</f>
        <v/>
      </c>
      <c r="E203" s="3" t="str">
        <f>IF(EXACT(MAIN!$I203, ""), "", MAIN!$D203)</f>
        <v/>
      </c>
      <c r="F203" s="27" t="str">
        <f>IF(EXACT(MAIN!$I203, ""), "", ""&amp;MAIN!$F203)</f>
        <v/>
      </c>
    </row>
    <row r="204" spans="2:6" x14ac:dyDescent="0.2">
      <c r="B204" s="25" t="str">
        <f>IF(EXACT(MAIN!I204, ""), "", MAIN!H204)</f>
        <v/>
      </c>
      <c r="C204" s="3" t="str">
        <f>IF(EXACT(MAIN!$I204, ""), "", MAIN!$B204)</f>
        <v/>
      </c>
      <c r="D204" s="3" t="str">
        <f>IF(EXACT(MAIN!$I204, ""), "", MAIN!$C204)</f>
        <v/>
      </c>
      <c r="E204" s="3" t="str">
        <f>IF(EXACT(MAIN!$I204, ""), "", MAIN!$D204)</f>
        <v/>
      </c>
      <c r="F204" s="27" t="str">
        <f>IF(EXACT(MAIN!$I204, ""), "", ""&amp;MAIN!$F204)</f>
        <v/>
      </c>
    </row>
    <row r="205" spans="2:6" x14ac:dyDescent="0.2">
      <c r="B205" s="25" t="str">
        <f>IF(EXACT(MAIN!I205, ""), "", MAIN!H205)</f>
        <v/>
      </c>
      <c r="C205" s="3" t="str">
        <f>IF(EXACT(MAIN!$I205, ""), "", MAIN!$B205)</f>
        <v/>
      </c>
      <c r="D205" s="3" t="str">
        <f>IF(EXACT(MAIN!$I205, ""), "", MAIN!$C205)</f>
        <v/>
      </c>
      <c r="E205" s="3" t="str">
        <f>IF(EXACT(MAIN!$I205, ""), "", MAIN!$D205)</f>
        <v/>
      </c>
      <c r="F205" s="27" t="str">
        <f>IF(EXACT(MAIN!$I205, ""), "", ""&amp;MAIN!$F205)</f>
        <v/>
      </c>
    </row>
    <row r="206" spans="2:6" x14ac:dyDescent="0.2">
      <c r="B206" s="25" t="str">
        <f>IF(EXACT(MAIN!I206, ""), "", MAIN!H206)</f>
        <v/>
      </c>
      <c r="C206" s="3" t="str">
        <f>IF(EXACT(MAIN!$I206, ""), "", MAIN!$B206)</f>
        <v/>
      </c>
      <c r="D206" s="3" t="str">
        <f>IF(EXACT(MAIN!$I206, ""), "", MAIN!$C206)</f>
        <v/>
      </c>
      <c r="E206" s="3" t="str">
        <f>IF(EXACT(MAIN!$I206, ""), "", MAIN!$D206)</f>
        <v/>
      </c>
      <c r="F206" s="27" t="str">
        <f>IF(EXACT(MAIN!$I206, ""), "", ""&amp;MAIN!$F206)</f>
        <v/>
      </c>
    </row>
    <row r="207" spans="2:6" x14ac:dyDescent="0.2">
      <c r="B207" s="25" t="str">
        <f>IF(EXACT(MAIN!I207, ""), "", MAIN!H207)</f>
        <v/>
      </c>
      <c r="C207" s="3" t="str">
        <f>IF(EXACT(MAIN!$I207, ""), "", MAIN!$B207)</f>
        <v/>
      </c>
      <c r="D207" s="3" t="str">
        <f>IF(EXACT(MAIN!$I207, ""), "", MAIN!$C207)</f>
        <v/>
      </c>
      <c r="E207" s="3" t="str">
        <f>IF(EXACT(MAIN!$I207, ""), "", MAIN!$D207)</f>
        <v/>
      </c>
      <c r="F207" s="27" t="str">
        <f>IF(EXACT(MAIN!$I207, ""), "", ""&amp;MAIN!$F207)</f>
        <v/>
      </c>
    </row>
    <row r="208" spans="2:6" x14ac:dyDescent="0.2">
      <c r="B208" s="25" t="str">
        <f>IF(EXACT(MAIN!I208, ""), "", MAIN!H208)</f>
        <v/>
      </c>
      <c r="C208" s="3" t="str">
        <f>IF(EXACT(MAIN!$I208, ""), "", MAIN!$B208)</f>
        <v/>
      </c>
      <c r="D208" s="3" t="str">
        <f>IF(EXACT(MAIN!$I208, ""), "", MAIN!$C208)</f>
        <v/>
      </c>
      <c r="E208" s="3" t="str">
        <f>IF(EXACT(MAIN!$I208, ""), "", MAIN!$D208)</f>
        <v/>
      </c>
      <c r="F208" s="27" t="str">
        <f>IF(EXACT(MAIN!$I208, ""), "", ""&amp;MAIN!$F208)</f>
        <v/>
      </c>
    </row>
    <row r="209" spans="2:6" x14ac:dyDescent="0.2">
      <c r="B209" s="25" t="str">
        <f>IF(EXACT(MAIN!I209, ""), "", MAIN!H209)</f>
        <v/>
      </c>
      <c r="C209" s="3" t="str">
        <f>IF(EXACT(MAIN!$I209, ""), "", MAIN!$B209)</f>
        <v/>
      </c>
      <c r="D209" s="3" t="str">
        <f>IF(EXACT(MAIN!$I209, ""), "", MAIN!$C209)</f>
        <v/>
      </c>
      <c r="E209" s="3" t="str">
        <f>IF(EXACT(MAIN!$I209, ""), "", MAIN!$D209)</f>
        <v/>
      </c>
      <c r="F209" s="27" t="str">
        <f>IF(EXACT(MAIN!$I209, ""), "", ""&amp;MAIN!$F209)</f>
        <v/>
      </c>
    </row>
    <row r="210" spans="2:6" x14ac:dyDescent="0.2">
      <c r="B210" s="25" t="str">
        <f>IF(EXACT(MAIN!I210, ""), "", MAIN!H210)</f>
        <v/>
      </c>
      <c r="C210" s="3" t="str">
        <f>IF(EXACT(MAIN!$I210, ""), "", MAIN!$B210)</f>
        <v/>
      </c>
      <c r="D210" s="3" t="str">
        <f>IF(EXACT(MAIN!$I210, ""), "", MAIN!$C210)</f>
        <v/>
      </c>
      <c r="E210" s="3" t="str">
        <f>IF(EXACT(MAIN!$I210, ""), "", MAIN!$D210)</f>
        <v/>
      </c>
      <c r="F210" s="27" t="str">
        <f>IF(EXACT(MAIN!$I210, ""), "", ""&amp;MAIN!$F210)</f>
        <v/>
      </c>
    </row>
    <row r="211" spans="2:6" x14ac:dyDescent="0.2">
      <c r="B211" s="25" t="str">
        <f>IF(EXACT(MAIN!I211, ""), "", MAIN!H211)</f>
        <v/>
      </c>
      <c r="C211" s="3" t="str">
        <f>IF(EXACT(MAIN!$I211, ""), "", MAIN!$B211)</f>
        <v/>
      </c>
      <c r="D211" s="3" t="str">
        <f>IF(EXACT(MAIN!$I211, ""), "", MAIN!$C211)</f>
        <v/>
      </c>
      <c r="E211" s="3" t="str">
        <f>IF(EXACT(MAIN!$I211, ""), "", MAIN!$D211)</f>
        <v/>
      </c>
      <c r="F211" s="27" t="str">
        <f>IF(EXACT(MAIN!$I211, ""), "", ""&amp;MAIN!$F211)</f>
        <v/>
      </c>
    </row>
    <row r="212" spans="2:6" x14ac:dyDescent="0.2">
      <c r="B212" s="25" t="str">
        <f>IF(EXACT(MAIN!I212, ""), "", MAIN!H212)</f>
        <v/>
      </c>
      <c r="C212" s="3" t="str">
        <f>IF(EXACT(MAIN!$I212, ""), "", MAIN!$B212)</f>
        <v/>
      </c>
      <c r="D212" s="3" t="str">
        <f>IF(EXACT(MAIN!$I212, ""), "", MAIN!$C212)</f>
        <v/>
      </c>
      <c r="E212" s="3" t="str">
        <f>IF(EXACT(MAIN!$I212, ""), "", MAIN!$D212)</f>
        <v/>
      </c>
      <c r="F212" s="27" t="str">
        <f>IF(EXACT(MAIN!$I212, ""), "", ""&amp;MAIN!$F212)</f>
        <v/>
      </c>
    </row>
    <row r="213" spans="2:6" x14ac:dyDescent="0.2">
      <c r="B213" s="25" t="str">
        <f>IF(EXACT(MAIN!I213, ""), "", MAIN!H213)</f>
        <v/>
      </c>
      <c r="C213" s="3" t="str">
        <f>IF(EXACT(MAIN!$I213, ""), "", MAIN!$B213)</f>
        <v/>
      </c>
      <c r="D213" s="3" t="str">
        <f>IF(EXACT(MAIN!$I213, ""), "", MAIN!$C213)</f>
        <v/>
      </c>
      <c r="E213" s="3" t="str">
        <f>IF(EXACT(MAIN!$I213, ""), "", MAIN!$D213)</f>
        <v/>
      </c>
      <c r="F213" s="27" t="str">
        <f>IF(EXACT(MAIN!$I213, ""), "", ""&amp;MAIN!$F213)</f>
        <v/>
      </c>
    </row>
    <row r="214" spans="2:6" x14ac:dyDescent="0.2">
      <c r="B214" s="25" t="str">
        <f>IF(EXACT(MAIN!I214, ""), "", MAIN!H214)</f>
        <v/>
      </c>
      <c r="C214" s="3" t="str">
        <f>IF(EXACT(MAIN!$I214, ""), "", MAIN!$B214)</f>
        <v/>
      </c>
      <c r="D214" s="3" t="str">
        <f>IF(EXACT(MAIN!$I214, ""), "", MAIN!$C214)</f>
        <v/>
      </c>
      <c r="E214" s="3" t="str">
        <f>IF(EXACT(MAIN!$I214, ""), "", MAIN!$D214)</f>
        <v/>
      </c>
      <c r="F214" s="27" t="str">
        <f>IF(EXACT(MAIN!$I214, ""), "", ""&amp;MAIN!$F214)</f>
        <v/>
      </c>
    </row>
    <row r="215" spans="2:6" x14ac:dyDescent="0.2">
      <c r="B215" s="25" t="str">
        <f>IF(EXACT(MAIN!I215, ""), "", MAIN!H215)</f>
        <v/>
      </c>
      <c r="C215" s="3" t="str">
        <f>IF(EXACT(MAIN!$I215, ""), "", MAIN!$B215)</f>
        <v/>
      </c>
      <c r="D215" s="3" t="str">
        <f>IF(EXACT(MAIN!$I215, ""), "", MAIN!$C215)</f>
        <v/>
      </c>
      <c r="E215" s="3" t="str">
        <f>IF(EXACT(MAIN!$I215, ""), "", MAIN!$D215)</f>
        <v/>
      </c>
      <c r="F215" s="27" t="str">
        <f>IF(EXACT(MAIN!$I215, ""), "", ""&amp;MAIN!$F215)</f>
        <v/>
      </c>
    </row>
    <row r="216" spans="2:6" x14ac:dyDescent="0.2">
      <c r="B216" s="25" t="str">
        <f>IF(EXACT(MAIN!I216, ""), "", MAIN!H216)</f>
        <v/>
      </c>
      <c r="C216" s="3" t="str">
        <f>IF(EXACT(MAIN!$I216, ""), "", MAIN!$B216)</f>
        <v/>
      </c>
      <c r="D216" s="3" t="str">
        <f>IF(EXACT(MAIN!$I216, ""), "", MAIN!$C216)</f>
        <v/>
      </c>
      <c r="E216" s="3" t="str">
        <f>IF(EXACT(MAIN!$I216, ""), "", MAIN!$D216)</f>
        <v/>
      </c>
      <c r="F216" s="27" t="str">
        <f>IF(EXACT(MAIN!$I216, ""), "", ""&amp;MAIN!$F216)</f>
        <v/>
      </c>
    </row>
    <row r="217" spans="2:6" x14ac:dyDescent="0.2">
      <c r="B217" s="25" t="str">
        <f>IF(EXACT(MAIN!I217, ""), "", MAIN!H217)</f>
        <v/>
      </c>
      <c r="C217" s="3" t="str">
        <f>IF(EXACT(MAIN!$I217, ""), "", MAIN!$B217)</f>
        <v/>
      </c>
      <c r="D217" s="3" t="str">
        <f>IF(EXACT(MAIN!$I217, ""), "", MAIN!$C217)</f>
        <v/>
      </c>
      <c r="E217" s="3" t="str">
        <f>IF(EXACT(MAIN!$I217, ""), "", MAIN!$D217)</f>
        <v/>
      </c>
      <c r="F217" s="27" t="str">
        <f>IF(EXACT(MAIN!$I217, ""), "", ""&amp;MAIN!$F217)</f>
        <v/>
      </c>
    </row>
    <row r="218" spans="2:6" x14ac:dyDescent="0.2">
      <c r="B218" s="25" t="str">
        <f>IF(EXACT(MAIN!I218, ""), "", MAIN!H218)</f>
        <v/>
      </c>
      <c r="C218" s="3" t="str">
        <f>IF(EXACT(MAIN!$I218, ""), "", MAIN!$B218)</f>
        <v/>
      </c>
      <c r="D218" s="3" t="str">
        <f>IF(EXACT(MAIN!$I218, ""), "", MAIN!$C218)</f>
        <v/>
      </c>
      <c r="E218" s="3" t="str">
        <f>IF(EXACT(MAIN!$I218, ""), "", MAIN!$D218)</f>
        <v/>
      </c>
      <c r="F218" s="27" t="str">
        <f>IF(EXACT(MAIN!$I218, ""), "", ""&amp;MAIN!$F218)</f>
        <v/>
      </c>
    </row>
    <row r="219" spans="2:6" x14ac:dyDescent="0.2">
      <c r="B219" s="25" t="str">
        <f>IF(EXACT(MAIN!I219, ""), "", MAIN!H219)</f>
        <v/>
      </c>
      <c r="C219" s="3" t="str">
        <f>IF(EXACT(MAIN!$I219, ""), "", MAIN!$B219)</f>
        <v/>
      </c>
      <c r="D219" s="3" t="str">
        <f>IF(EXACT(MAIN!$I219, ""), "", MAIN!$C219)</f>
        <v/>
      </c>
      <c r="E219" s="3" t="str">
        <f>IF(EXACT(MAIN!$I219, ""), "", MAIN!$D219)</f>
        <v/>
      </c>
      <c r="F219" s="27" t="str">
        <f>IF(EXACT(MAIN!$I219, ""), "", ""&amp;MAIN!$F219)</f>
        <v/>
      </c>
    </row>
    <row r="220" spans="2:6" x14ac:dyDescent="0.2">
      <c r="B220" s="25" t="str">
        <f>IF(EXACT(MAIN!I220, ""), "", MAIN!H220)</f>
        <v/>
      </c>
      <c r="C220" s="3" t="str">
        <f>IF(EXACT(MAIN!$I220, ""), "", MAIN!$B220)</f>
        <v/>
      </c>
      <c r="D220" s="3" t="str">
        <f>IF(EXACT(MAIN!$I220, ""), "", MAIN!$C220)</f>
        <v/>
      </c>
      <c r="E220" s="3" t="str">
        <f>IF(EXACT(MAIN!$I220, ""), "", MAIN!$D220)</f>
        <v/>
      </c>
      <c r="F220" s="27" t="str">
        <f>IF(EXACT(MAIN!$I220, ""), "", ""&amp;MAIN!$F220)</f>
        <v/>
      </c>
    </row>
    <row r="221" spans="2:6" x14ac:dyDescent="0.2">
      <c r="B221" s="25" t="str">
        <f>IF(EXACT(MAIN!I221, ""), "", MAIN!H221)</f>
        <v/>
      </c>
      <c r="C221" s="3" t="str">
        <f>IF(EXACT(MAIN!$I221, ""), "", MAIN!$B221)</f>
        <v/>
      </c>
      <c r="D221" s="3" t="str">
        <f>IF(EXACT(MAIN!$I221, ""), "", MAIN!$C221)</f>
        <v/>
      </c>
      <c r="E221" s="3" t="str">
        <f>IF(EXACT(MAIN!$I221, ""), "", MAIN!$D221)</f>
        <v/>
      </c>
      <c r="F221" s="27" t="str">
        <f>IF(EXACT(MAIN!$I221, ""), "", ""&amp;MAIN!$F221)</f>
        <v/>
      </c>
    </row>
    <row r="222" spans="2:6" x14ac:dyDescent="0.2">
      <c r="B222" s="25" t="str">
        <f>IF(EXACT(MAIN!I222, ""), "", MAIN!H222)</f>
        <v/>
      </c>
      <c r="C222" s="3" t="str">
        <f>IF(EXACT(MAIN!$I222, ""), "", MAIN!$B222)</f>
        <v/>
      </c>
      <c r="D222" s="3" t="str">
        <f>IF(EXACT(MAIN!$I222, ""), "", MAIN!$C222)</f>
        <v/>
      </c>
      <c r="E222" s="3" t="str">
        <f>IF(EXACT(MAIN!$I222, ""), "", MAIN!$D222)</f>
        <v/>
      </c>
      <c r="F222" s="27" t="str">
        <f>IF(EXACT(MAIN!$I222, ""), "", ""&amp;MAIN!$F222)</f>
        <v/>
      </c>
    </row>
    <row r="223" spans="2:6" x14ac:dyDescent="0.2">
      <c r="B223" s="25" t="str">
        <f>IF(EXACT(MAIN!I223, ""), "", MAIN!H223)</f>
        <v/>
      </c>
      <c r="C223" s="3" t="str">
        <f>IF(EXACT(MAIN!$I223, ""), "", MAIN!$B223)</f>
        <v/>
      </c>
      <c r="D223" s="3" t="str">
        <f>IF(EXACT(MAIN!$I223, ""), "", MAIN!$C223)</f>
        <v/>
      </c>
      <c r="E223" s="3" t="str">
        <f>IF(EXACT(MAIN!$I223, ""), "", MAIN!$D223)</f>
        <v/>
      </c>
      <c r="F223" s="27" t="str">
        <f>IF(EXACT(MAIN!$I223, ""), "", ""&amp;MAIN!$F223)</f>
        <v/>
      </c>
    </row>
    <row r="224" spans="2:6" x14ac:dyDescent="0.2">
      <c r="B224" s="25" t="str">
        <f>IF(EXACT(MAIN!I224, ""), "", MAIN!H224)</f>
        <v/>
      </c>
      <c r="C224" s="3" t="str">
        <f>IF(EXACT(MAIN!$I224, ""), "", MAIN!$B224)</f>
        <v/>
      </c>
      <c r="D224" s="3" t="str">
        <f>IF(EXACT(MAIN!$I224, ""), "", MAIN!$C224)</f>
        <v/>
      </c>
      <c r="E224" s="3" t="str">
        <f>IF(EXACT(MAIN!$I224, ""), "", MAIN!$D224)</f>
        <v/>
      </c>
      <c r="F224" s="27" t="str">
        <f>IF(EXACT(MAIN!$I224, ""), "", ""&amp;MAIN!$F224)</f>
        <v/>
      </c>
    </row>
    <row r="225" spans="2:6" x14ac:dyDescent="0.2">
      <c r="B225" s="25" t="str">
        <f>IF(EXACT(MAIN!I225, ""), "", MAIN!H225)</f>
        <v/>
      </c>
      <c r="C225" s="3" t="str">
        <f>IF(EXACT(MAIN!$I225, ""), "", MAIN!$B225)</f>
        <v/>
      </c>
      <c r="D225" s="3" t="str">
        <f>IF(EXACT(MAIN!$I225, ""), "", MAIN!$C225)</f>
        <v/>
      </c>
      <c r="E225" s="3" t="str">
        <f>IF(EXACT(MAIN!$I225, ""), "", MAIN!$D225)</f>
        <v/>
      </c>
      <c r="F225" s="27" t="str">
        <f>IF(EXACT(MAIN!$I225, ""), "", ""&amp;MAIN!$F225)</f>
        <v/>
      </c>
    </row>
    <row r="226" spans="2:6" x14ac:dyDescent="0.2">
      <c r="B226" s="25" t="str">
        <f>IF(EXACT(MAIN!I226, ""), "", MAIN!H226)</f>
        <v/>
      </c>
      <c r="C226" s="3" t="str">
        <f>IF(EXACT(MAIN!$I226, ""), "", MAIN!$B226)</f>
        <v/>
      </c>
      <c r="D226" s="3" t="str">
        <f>IF(EXACT(MAIN!$I226, ""), "", MAIN!$C226)</f>
        <v/>
      </c>
      <c r="E226" s="3" t="str">
        <f>IF(EXACT(MAIN!$I226, ""), "", MAIN!$D226)</f>
        <v/>
      </c>
      <c r="F226" s="27" t="str">
        <f>IF(EXACT(MAIN!$I226, ""), "", ""&amp;MAIN!$F226)</f>
        <v/>
      </c>
    </row>
    <row r="227" spans="2:6" x14ac:dyDescent="0.2">
      <c r="B227" s="25" t="str">
        <f>IF(EXACT(MAIN!I227, ""), "", MAIN!H227)</f>
        <v/>
      </c>
      <c r="C227" s="3" t="str">
        <f>IF(EXACT(MAIN!$I227, ""), "", MAIN!$B227)</f>
        <v/>
      </c>
      <c r="D227" s="3" t="str">
        <f>IF(EXACT(MAIN!$I227, ""), "", MAIN!$C227)</f>
        <v/>
      </c>
      <c r="E227" s="3" t="str">
        <f>IF(EXACT(MAIN!$I227, ""), "", MAIN!$D227)</f>
        <v/>
      </c>
      <c r="F227" s="27" t="str">
        <f>IF(EXACT(MAIN!$I227, ""), "", ""&amp;MAIN!$F227)</f>
        <v/>
      </c>
    </row>
    <row r="228" spans="2:6" x14ac:dyDescent="0.2">
      <c r="B228" s="25" t="str">
        <f>IF(EXACT(MAIN!I228, ""), "", MAIN!H228)</f>
        <v/>
      </c>
      <c r="C228" s="3" t="str">
        <f>IF(EXACT(MAIN!$I228, ""), "", MAIN!$B228)</f>
        <v/>
      </c>
      <c r="D228" s="3" t="str">
        <f>IF(EXACT(MAIN!$I228, ""), "", MAIN!$C228)</f>
        <v/>
      </c>
      <c r="E228" s="3" t="str">
        <f>IF(EXACT(MAIN!$I228, ""), "", MAIN!$D228)</f>
        <v/>
      </c>
      <c r="F228" s="27" t="str">
        <f>IF(EXACT(MAIN!$I228, ""), "", ""&amp;MAIN!$F228)</f>
        <v/>
      </c>
    </row>
    <row r="229" spans="2:6" x14ac:dyDescent="0.2">
      <c r="B229" s="25" t="str">
        <f>IF(EXACT(MAIN!I229, ""), "", MAIN!H229)</f>
        <v/>
      </c>
      <c r="C229" s="3" t="str">
        <f>IF(EXACT(MAIN!$I229, ""), "", MAIN!$B229)</f>
        <v/>
      </c>
      <c r="D229" s="3" t="str">
        <f>IF(EXACT(MAIN!$I229, ""), "", MAIN!$C229)</f>
        <v/>
      </c>
      <c r="E229" s="3" t="str">
        <f>IF(EXACT(MAIN!$I229, ""), "", MAIN!$D229)</f>
        <v/>
      </c>
      <c r="F229" s="27" t="str">
        <f>IF(EXACT(MAIN!$I229, ""), "", ""&amp;MAIN!$F229)</f>
        <v/>
      </c>
    </row>
    <row r="230" spans="2:6" x14ac:dyDescent="0.2">
      <c r="B230" s="25" t="str">
        <f>IF(EXACT(MAIN!I230, ""), "", MAIN!H230)</f>
        <v/>
      </c>
      <c r="C230" s="3" t="str">
        <f>IF(EXACT(MAIN!$I230, ""), "", MAIN!$B230)</f>
        <v/>
      </c>
      <c r="D230" s="3" t="str">
        <f>IF(EXACT(MAIN!$I230, ""), "", MAIN!$C230)</f>
        <v/>
      </c>
      <c r="E230" s="3" t="str">
        <f>IF(EXACT(MAIN!$I230, ""), "", MAIN!$D230)</f>
        <v/>
      </c>
      <c r="F230" s="27" t="str">
        <f>IF(EXACT(MAIN!$I230, ""), "", ""&amp;MAIN!$F230)</f>
        <v/>
      </c>
    </row>
    <row r="231" spans="2:6" x14ac:dyDescent="0.2">
      <c r="B231" s="25" t="str">
        <f>IF(EXACT(MAIN!I231, ""), "", MAIN!H231)</f>
        <v/>
      </c>
      <c r="C231" s="3" t="str">
        <f>IF(EXACT(MAIN!$I231, ""), "", MAIN!$B231)</f>
        <v/>
      </c>
      <c r="D231" s="3" t="str">
        <f>IF(EXACT(MAIN!$I231, ""), "", MAIN!$C231)</f>
        <v/>
      </c>
      <c r="E231" s="3" t="str">
        <f>IF(EXACT(MAIN!$I231, ""), "", MAIN!$D231)</f>
        <v/>
      </c>
      <c r="F231" s="27" t="str">
        <f>IF(EXACT(MAIN!$I231, ""), "", ""&amp;MAIN!$F231)</f>
        <v/>
      </c>
    </row>
    <row r="232" spans="2:6" x14ac:dyDescent="0.2">
      <c r="B232" s="25" t="str">
        <f>IF(EXACT(MAIN!I232, ""), "", MAIN!H232)</f>
        <v/>
      </c>
      <c r="C232" s="3" t="str">
        <f>IF(EXACT(MAIN!$I232, ""), "", MAIN!$B232)</f>
        <v/>
      </c>
      <c r="D232" s="3" t="str">
        <f>IF(EXACT(MAIN!$I232, ""), "", MAIN!$C232)</f>
        <v/>
      </c>
      <c r="E232" s="3" t="str">
        <f>IF(EXACT(MAIN!$I232, ""), "", MAIN!$D232)</f>
        <v/>
      </c>
      <c r="F232" s="27" t="str">
        <f>IF(EXACT(MAIN!$I232, ""), "", ""&amp;MAIN!$F232)</f>
        <v/>
      </c>
    </row>
    <row r="233" spans="2:6" x14ac:dyDescent="0.2">
      <c r="B233" s="25" t="str">
        <f>IF(EXACT(MAIN!I233, ""), "", MAIN!H233)</f>
        <v/>
      </c>
      <c r="C233" s="3" t="str">
        <f>IF(EXACT(MAIN!$I233, ""), "", MAIN!$B233)</f>
        <v/>
      </c>
      <c r="D233" s="3" t="str">
        <f>IF(EXACT(MAIN!$I233, ""), "", MAIN!$C233)</f>
        <v/>
      </c>
      <c r="E233" s="3" t="str">
        <f>IF(EXACT(MAIN!$I233, ""), "", MAIN!$D233)</f>
        <v/>
      </c>
      <c r="F233" s="27" t="str">
        <f>IF(EXACT(MAIN!$I233, ""), "", ""&amp;MAIN!$F233)</f>
        <v/>
      </c>
    </row>
    <row r="234" spans="2:6" x14ac:dyDescent="0.2">
      <c r="B234" s="25" t="str">
        <f>IF(EXACT(MAIN!I234, ""), "", MAIN!H234)</f>
        <v/>
      </c>
      <c r="C234" s="3" t="str">
        <f>IF(EXACT(MAIN!$I234, ""), "", MAIN!$B234)</f>
        <v/>
      </c>
      <c r="D234" s="3" t="str">
        <f>IF(EXACT(MAIN!$I234, ""), "", MAIN!$C234)</f>
        <v/>
      </c>
      <c r="E234" s="3" t="str">
        <f>IF(EXACT(MAIN!$I234, ""), "", MAIN!$D234)</f>
        <v/>
      </c>
      <c r="F234" s="27" t="str">
        <f>IF(EXACT(MAIN!$I234, ""), "", ""&amp;MAIN!$F234)</f>
        <v/>
      </c>
    </row>
    <row r="235" spans="2:6" x14ac:dyDescent="0.2">
      <c r="B235" s="25">
        <f>IF(EXACT(MAIN!I235, ""), "", MAIN!H235)</f>
        <v>225000000000015</v>
      </c>
      <c r="C235" s="3">
        <f>IF(EXACT(MAIN!$I235, ""), "", MAIN!$B235)</f>
        <v>164000000000232</v>
      </c>
      <c r="D235" s="3" t="str">
        <f>IF(EXACT(MAIN!$I235, ""), "", MAIN!$C235)</f>
        <v>Jimmywal</v>
      </c>
      <c r="E235" s="3">
        <f>IF(EXACT(MAIN!$I235, ""), "", MAIN!$D235)</f>
        <v>95000000000019</v>
      </c>
      <c r="F235" s="27" t="str">
        <f>IF(EXACT(MAIN!$I235, ""), "", ""&amp;MAIN!$F235)</f>
        <v>46000000000033</v>
      </c>
    </row>
    <row r="236" spans="2:6" x14ac:dyDescent="0.2">
      <c r="B236" s="25" t="str">
        <f>IF(EXACT(MAIN!I236, ""), "", MAIN!H236)</f>
        <v/>
      </c>
      <c r="C236" s="3" t="str">
        <f>IF(EXACT(MAIN!$I236, ""), "", MAIN!$B236)</f>
        <v/>
      </c>
      <c r="D236" s="3" t="str">
        <f>IF(EXACT(MAIN!$I236, ""), "", MAIN!$C236)</f>
        <v/>
      </c>
      <c r="E236" s="3" t="str">
        <f>IF(EXACT(MAIN!$I236, ""), "", MAIN!$D236)</f>
        <v/>
      </c>
      <c r="F236" s="27" t="str">
        <f>IF(EXACT(MAIN!$I236, ""), "", ""&amp;MAIN!$F236)</f>
        <v/>
      </c>
    </row>
    <row r="237" spans="2:6" x14ac:dyDescent="0.2">
      <c r="B237" s="25" t="str">
        <f>IF(EXACT(MAIN!I237, ""), "", MAIN!H237)</f>
        <v/>
      </c>
      <c r="C237" s="3" t="str">
        <f>IF(EXACT(MAIN!$I237, ""), "", MAIN!$B237)</f>
        <v/>
      </c>
      <c r="D237" s="3" t="str">
        <f>IF(EXACT(MAIN!$I237, ""), "", MAIN!$C237)</f>
        <v/>
      </c>
      <c r="E237" s="3" t="str">
        <f>IF(EXACT(MAIN!$I237, ""), "", MAIN!$D237)</f>
        <v/>
      </c>
      <c r="F237" s="27" t="str">
        <f>IF(EXACT(MAIN!$I237, ""), "", ""&amp;MAIN!$F237)</f>
        <v/>
      </c>
    </row>
    <row r="238" spans="2:6" x14ac:dyDescent="0.2">
      <c r="B238" s="25" t="str">
        <f>IF(EXACT(MAIN!I238, ""), "", MAIN!H238)</f>
        <v/>
      </c>
      <c r="C238" s="3" t="str">
        <f>IF(EXACT(MAIN!$I238, ""), "", MAIN!$B238)</f>
        <v/>
      </c>
      <c r="D238" s="3" t="str">
        <f>IF(EXACT(MAIN!$I238, ""), "", MAIN!$C238)</f>
        <v/>
      </c>
      <c r="E238" s="3" t="str">
        <f>IF(EXACT(MAIN!$I238, ""), "", MAIN!$D238)</f>
        <v/>
      </c>
      <c r="F238" s="27" t="str">
        <f>IF(EXACT(MAIN!$I238, ""), "", ""&amp;MAIN!$F238)</f>
        <v/>
      </c>
    </row>
    <row r="239" spans="2:6" x14ac:dyDescent="0.2">
      <c r="B239" s="25" t="str">
        <f>IF(EXACT(MAIN!I239, ""), "", MAIN!H239)</f>
        <v/>
      </c>
      <c r="C239" s="3" t="str">
        <f>IF(EXACT(MAIN!$I239, ""), "", MAIN!$B239)</f>
        <v/>
      </c>
      <c r="D239" s="3" t="str">
        <f>IF(EXACT(MAIN!$I239, ""), "", MAIN!$C239)</f>
        <v/>
      </c>
      <c r="E239" s="3" t="str">
        <f>IF(EXACT(MAIN!$I239, ""), "", MAIN!$D239)</f>
        <v/>
      </c>
      <c r="F239" s="27" t="str">
        <f>IF(EXACT(MAIN!$I239, ""), "", ""&amp;MAIN!$F239)</f>
        <v/>
      </c>
    </row>
    <row r="240" spans="2:6" x14ac:dyDescent="0.2">
      <c r="B240" s="25" t="str">
        <f>IF(EXACT(MAIN!I240, ""), "", MAIN!H240)</f>
        <v/>
      </c>
      <c r="C240" s="3" t="str">
        <f>IF(EXACT(MAIN!$I240, ""), "", MAIN!$B240)</f>
        <v/>
      </c>
      <c r="D240" s="3" t="str">
        <f>IF(EXACT(MAIN!$I240, ""), "", MAIN!$C240)</f>
        <v/>
      </c>
      <c r="E240" s="3" t="str">
        <f>IF(EXACT(MAIN!$I240, ""), "", MAIN!$D240)</f>
        <v/>
      </c>
      <c r="F240" s="27" t="str">
        <f>IF(EXACT(MAIN!$I240, ""), "", ""&amp;MAIN!$F240)</f>
        <v/>
      </c>
    </row>
    <row r="241" spans="2:6" x14ac:dyDescent="0.2">
      <c r="B241" s="25" t="str">
        <f>IF(EXACT(MAIN!I241, ""), "", MAIN!H241)</f>
        <v/>
      </c>
      <c r="C241" s="3" t="str">
        <f>IF(EXACT(MAIN!$I241, ""), "", MAIN!$B241)</f>
        <v/>
      </c>
      <c r="D241" s="3" t="str">
        <f>IF(EXACT(MAIN!$I241, ""), "", MAIN!$C241)</f>
        <v/>
      </c>
      <c r="E241" s="3" t="str">
        <f>IF(EXACT(MAIN!$I241, ""), "", MAIN!$D241)</f>
        <v/>
      </c>
      <c r="F241" s="27" t="str">
        <f>IF(EXACT(MAIN!$I241, ""), "", ""&amp;MAIN!$F241)</f>
        <v/>
      </c>
    </row>
    <row r="242" spans="2:6" x14ac:dyDescent="0.2">
      <c r="B242" s="25" t="str">
        <f>IF(EXACT(MAIN!I242, ""), "", MAIN!H242)</f>
        <v/>
      </c>
      <c r="C242" s="3" t="str">
        <f>IF(EXACT(MAIN!$I242, ""), "", MAIN!$B242)</f>
        <v/>
      </c>
      <c r="D242" s="3" t="str">
        <f>IF(EXACT(MAIN!$I242, ""), "", MAIN!$C242)</f>
        <v/>
      </c>
      <c r="E242" s="3" t="str">
        <f>IF(EXACT(MAIN!$I242, ""), "", MAIN!$D242)</f>
        <v/>
      </c>
      <c r="F242" s="27" t="str">
        <f>IF(EXACT(MAIN!$I242, ""), "", ""&amp;MAIN!$F242)</f>
        <v/>
      </c>
    </row>
    <row r="243" spans="2:6" x14ac:dyDescent="0.2">
      <c r="B243" s="25" t="str">
        <f>IF(EXACT(MAIN!I243, ""), "", MAIN!H243)</f>
        <v/>
      </c>
      <c r="C243" s="3" t="str">
        <f>IF(EXACT(MAIN!$I243, ""), "", MAIN!$B243)</f>
        <v/>
      </c>
      <c r="D243" s="3" t="str">
        <f>IF(EXACT(MAIN!$I243, ""), "", MAIN!$C243)</f>
        <v/>
      </c>
      <c r="E243" s="3" t="str">
        <f>IF(EXACT(MAIN!$I243, ""), "", MAIN!$D243)</f>
        <v/>
      </c>
      <c r="F243" s="27" t="str">
        <f>IF(EXACT(MAIN!$I243, ""), "", ""&amp;MAIN!$F243)</f>
        <v/>
      </c>
    </row>
    <row r="244" spans="2:6" x14ac:dyDescent="0.2">
      <c r="B244" s="25" t="str">
        <f>IF(EXACT(MAIN!I244, ""), "", MAIN!H244)</f>
        <v/>
      </c>
      <c r="C244" s="3" t="str">
        <f>IF(EXACT(MAIN!$I244, ""), "", MAIN!$B244)</f>
        <v/>
      </c>
      <c r="D244" s="3" t="str">
        <f>IF(EXACT(MAIN!$I244, ""), "", MAIN!$C244)</f>
        <v/>
      </c>
      <c r="E244" s="3" t="str">
        <f>IF(EXACT(MAIN!$I244, ""), "", MAIN!$D244)</f>
        <v/>
      </c>
      <c r="F244" s="27" t="str">
        <f>IF(EXACT(MAIN!$I244, ""), "", ""&amp;MAIN!$F244)</f>
        <v/>
      </c>
    </row>
    <row r="245" spans="2:6" x14ac:dyDescent="0.2">
      <c r="B245" s="25" t="str">
        <f>IF(EXACT(MAIN!I245, ""), "", MAIN!H245)</f>
        <v/>
      </c>
      <c r="C245" s="3" t="str">
        <f>IF(EXACT(MAIN!$I245, ""), "", MAIN!$B245)</f>
        <v/>
      </c>
      <c r="D245" s="3" t="str">
        <f>IF(EXACT(MAIN!$I245, ""), "", MAIN!$C245)</f>
        <v/>
      </c>
      <c r="E245" s="3" t="str">
        <f>IF(EXACT(MAIN!$I245, ""), "", MAIN!$D245)</f>
        <v/>
      </c>
      <c r="F245" s="27" t="str">
        <f>IF(EXACT(MAIN!$I245, ""), "", ""&amp;MAIN!$F245)</f>
        <v/>
      </c>
    </row>
    <row r="246" spans="2:6" x14ac:dyDescent="0.2">
      <c r="B246" s="25" t="str">
        <f>IF(EXACT(MAIN!I246, ""), "", MAIN!H246)</f>
        <v/>
      </c>
      <c r="C246" s="3" t="str">
        <f>IF(EXACT(MAIN!$I246, ""), "", MAIN!$B246)</f>
        <v/>
      </c>
      <c r="D246" s="3" t="str">
        <f>IF(EXACT(MAIN!$I246, ""), "", MAIN!$C246)</f>
        <v/>
      </c>
      <c r="E246" s="3" t="str">
        <f>IF(EXACT(MAIN!$I246, ""), "", MAIN!$D246)</f>
        <v/>
      </c>
      <c r="F246" s="27" t="str">
        <f>IF(EXACT(MAIN!$I246, ""), "", ""&amp;MAIN!$F246)</f>
        <v/>
      </c>
    </row>
    <row r="247" spans="2:6" x14ac:dyDescent="0.2">
      <c r="B247" s="25">
        <f>IF(EXACT(MAIN!I247, ""), "", MAIN!H247)</f>
        <v>225000000000016</v>
      </c>
      <c r="C247" s="3">
        <f>IF(EXACT(MAIN!$I247, ""), "", MAIN!$B247)</f>
        <v>164000000000244</v>
      </c>
      <c r="D247" s="3" t="str">
        <f>IF(EXACT(MAIN!$I247, ""), "", MAIN!$C247)</f>
        <v>Jusuf Bobby Putra</v>
      </c>
      <c r="E247" s="3">
        <f>IF(EXACT(MAIN!$I247, ""), "", MAIN!$D247)</f>
        <v>95000000000019</v>
      </c>
      <c r="F247" s="27" t="str">
        <f>IF(EXACT(MAIN!$I247, ""), "", ""&amp;MAIN!$F247)</f>
        <v/>
      </c>
    </row>
    <row r="248" spans="2:6" x14ac:dyDescent="0.2">
      <c r="B248" s="25" t="str">
        <f>IF(EXACT(MAIN!I248, ""), "", MAIN!H248)</f>
        <v/>
      </c>
      <c r="C248" s="3" t="str">
        <f>IF(EXACT(MAIN!$I248, ""), "", MAIN!$B248)</f>
        <v/>
      </c>
      <c r="D248" s="3" t="str">
        <f>IF(EXACT(MAIN!$I248, ""), "", MAIN!$C248)</f>
        <v/>
      </c>
      <c r="E248" s="3" t="str">
        <f>IF(EXACT(MAIN!$I248, ""), "", MAIN!$D248)</f>
        <v/>
      </c>
      <c r="F248" s="27" t="str">
        <f>IF(EXACT(MAIN!$I248, ""), "", ""&amp;MAIN!$F248)</f>
        <v/>
      </c>
    </row>
    <row r="249" spans="2:6" x14ac:dyDescent="0.2">
      <c r="B249" s="25" t="str">
        <f>IF(EXACT(MAIN!I249, ""), "", MAIN!H249)</f>
        <v/>
      </c>
      <c r="C249" s="3" t="str">
        <f>IF(EXACT(MAIN!$I249, ""), "", MAIN!$B249)</f>
        <v/>
      </c>
      <c r="D249" s="3" t="str">
        <f>IF(EXACT(MAIN!$I249, ""), "", MAIN!$C249)</f>
        <v/>
      </c>
      <c r="E249" s="3" t="str">
        <f>IF(EXACT(MAIN!$I249, ""), "", MAIN!$D249)</f>
        <v/>
      </c>
      <c r="F249" s="27" t="str">
        <f>IF(EXACT(MAIN!$I249, ""), "", ""&amp;MAIN!$F249)</f>
        <v/>
      </c>
    </row>
    <row r="250" spans="2:6" x14ac:dyDescent="0.2">
      <c r="B250" s="25" t="str">
        <f>IF(EXACT(MAIN!I250, ""), "", MAIN!H250)</f>
        <v/>
      </c>
      <c r="C250" s="3" t="str">
        <f>IF(EXACT(MAIN!$I250, ""), "", MAIN!$B250)</f>
        <v/>
      </c>
      <c r="D250" s="3" t="str">
        <f>IF(EXACT(MAIN!$I250, ""), "", MAIN!$C250)</f>
        <v/>
      </c>
      <c r="E250" s="3" t="str">
        <f>IF(EXACT(MAIN!$I250, ""), "", MAIN!$D250)</f>
        <v/>
      </c>
      <c r="F250" s="27" t="str">
        <f>IF(EXACT(MAIN!$I250, ""), "", ""&amp;MAIN!$F250)</f>
        <v/>
      </c>
    </row>
    <row r="251" spans="2:6" x14ac:dyDescent="0.2">
      <c r="B251" s="25" t="str">
        <f>IF(EXACT(MAIN!I251, ""), "", MAIN!H251)</f>
        <v/>
      </c>
      <c r="C251" s="3" t="str">
        <f>IF(EXACT(MAIN!$I251, ""), "", MAIN!$B251)</f>
        <v/>
      </c>
      <c r="D251" s="3" t="str">
        <f>IF(EXACT(MAIN!$I251, ""), "", MAIN!$C251)</f>
        <v/>
      </c>
      <c r="E251" s="3" t="str">
        <f>IF(EXACT(MAIN!$I251, ""), "", MAIN!$D251)</f>
        <v/>
      </c>
      <c r="F251" s="27" t="str">
        <f>IF(EXACT(MAIN!$I251, ""), "", ""&amp;MAIN!$F251)</f>
        <v/>
      </c>
    </row>
    <row r="252" spans="2:6" x14ac:dyDescent="0.2">
      <c r="B252" s="25" t="str">
        <f>IF(EXACT(MAIN!I252, ""), "", MAIN!H252)</f>
        <v/>
      </c>
      <c r="C252" s="3" t="str">
        <f>IF(EXACT(MAIN!$I252, ""), "", MAIN!$B252)</f>
        <v/>
      </c>
      <c r="D252" s="3" t="str">
        <f>IF(EXACT(MAIN!$I252, ""), "", MAIN!$C252)</f>
        <v/>
      </c>
      <c r="E252" s="3" t="str">
        <f>IF(EXACT(MAIN!$I252, ""), "", MAIN!$D252)</f>
        <v/>
      </c>
      <c r="F252" s="27" t="str">
        <f>IF(EXACT(MAIN!$I252, ""), "", ""&amp;MAIN!$F252)</f>
        <v/>
      </c>
    </row>
    <row r="253" spans="2:6" x14ac:dyDescent="0.2">
      <c r="B253" s="25" t="str">
        <f>IF(EXACT(MAIN!I253, ""), "", MAIN!H253)</f>
        <v/>
      </c>
      <c r="C253" s="3" t="str">
        <f>IF(EXACT(MAIN!$I253, ""), "", MAIN!$B253)</f>
        <v/>
      </c>
      <c r="D253" s="3" t="str">
        <f>IF(EXACT(MAIN!$I253, ""), "", MAIN!$C253)</f>
        <v/>
      </c>
      <c r="E253" s="3" t="str">
        <f>IF(EXACT(MAIN!$I253, ""), "", MAIN!$D253)</f>
        <v/>
      </c>
      <c r="F253" s="27" t="str">
        <f>IF(EXACT(MAIN!$I253, ""), "", ""&amp;MAIN!$F253)</f>
        <v/>
      </c>
    </row>
    <row r="254" spans="2:6" x14ac:dyDescent="0.2">
      <c r="B254" s="25" t="str">
        <f>IF(EXACT(MAIN!I254, ""), "", MAIN!H254)</f>
        <v/>
      </c>
      <c r="C254" s="3" t="str">
        <f>IF(EXACT(MAIN!$I254, ""), "", MAIN!$B254)</f>
        <v/>
      </c>
      <c r="D254" s="3" t="str">
        <f>IF(EXACT(MAIN!$I254, ""), "", MAIN!$C254)</f>
        <v/>
      </c>
      <c r="E254" s="3" t="str">
        <f>IF(EXACT(MAIN!$I254, ""), "", MAIN!$D254)</f>
        <v/>
      </c>
      <c r="F254" s="27" t="str">
        <f>IF(EXACT(MAIN!$I254, ""), "", ""&amp;MAIN!$F254)</f>
        <v/>
      </c>
    </row>
    <row r="255" spans="2:6" x14ac:dyDescent="0.2">
      <c r="B255" s="25">
        <f>IF(EXACT(MAIN!I255, ""), "", MAIN!H255)</f>
        <v>225000000000017</v>
      </c>
      <c r="C255" s="3">
        <f>IF(EXACT(MAIN!$I255, ""), "", MAIN!$B255)</f>
        <v>164000000000252</v>
      </c>
      <c r="D255" s="3" t="str">
        <f>IF(EXACT(MAIN!$I255, ""), "", MAIN!$C255)</f>
        <v>Kiki Mustikawati</v>
      </c>
      <c r="E255" s="3">
        <f>IF(EXACT(MAIN!$I255, ""), "", MAIN!$D255)</f>
        <v>95000000000016</v>
      </c>
      <c r="F255" s="27" t="str">
        <f>IF(EXACT(MAIN!$I255, ""), "", ""&amp;MAIN!$F255)</f>
        <v/>
      </c>
    </row>
    <row r="256" spans="2:6" x14ac:dyDescent="0.2">
      <c r="B256" s="25">
        <f>IF(EXACT(MAIN!I256, ""), "", MAIN!H256)</f>
        <v>225000000000018</v>
      </c>
      <c r="C256" s="3">
        <f>IF(EXACT(MAIN!$I256, ""), "", MAIN!$B256)</f>
        <v>164000000000253</v>
      </c>
      <c r="D256" s="3" t="str">
        <f>IF(EXACT(MAIN!$I256, ""), "", MAIN!$C256)</f>
        <v>Kornelius Sakan</v>
      </c>
      <c r="E256" s="3">
        <f>IF(EXACT(MAIN!$I256, ""), "", MAIN!$D256)</f>
        <v>95000000000056</v>
      </c>
      <c r="F256" s="27" t="str">
        <f>IF(EXACT(MAIN!$I256, ""), "", ""&amp;MAIN!$F256)</f>
        <v/>
      </c>
    </row>
    <row r="257" spans="2:6" x14ac:dyDescent="0.2">
      <c r="B257" s="25" t="str">
        <f>IF(EXACT(MAIN!I257, ""), "", MAIN!H257)</f>
        <v/>
      </c>
      <c r="C257" s="3" t="str">
        <f>IF(EXACT(MAIN!$I257, ""), "", MAIN!$B257)</f>
        <v/>
      </c>
      <c r="D257" s="3" t="str">
        <f>IF(EXACT(MAIN!$I257, ""), "", MAIN!$C257)</f>
        <v/>
      </c>
      <c r="E257" s="3" t="str">
        <f>IF(EXACT(MAIN!$I257, ""), "", MAIN!$D257)</f>
        <v/>
      </c>
      <c r="F257" s="27" t="str">
        <f>IF(EXACT(MAIN!$I257, ""), "", ""&amp;MAIN!$F257)</f>
        <v/>
      </c>
    </row>
    <row r="258" spans="2:6" x14ac:dyDescent="0.2">
      <c r="B258" s="25" t="str">
        <f>IF(EXACT(MAIN!I258, ""), "", MAIN!H258)</f>
        <v/>
      </c>
      <c r="C258" s="3" t="str">
        <f>IF(EXACT(MAIN!$I258, ""), "", MAIN!$B258)</f>
        <v/>
      </c>
      <c r="D258" s="3" t="str">
        <f>IF(EXACT(MAIN!$I258, ""), "", MAIN!$C258)</f>
        <v/>
      </c>
      <c r="E258" s="3" t="str">
        <f>IF(EXACT(MAIN!$I258, ""), "", MAIN!$D258)</f>
        <v/>
      </c>
      <c r="F258" s="27" t="str">
        <f>IF(EXACT(MAIN!$I258, ""), "", ""&amp;MAIN!$F258)</f>
        <v/>
      </c>
    </row>
    <row r="259" spans="2:6" x14ac:dyDescent="0.2">
      <c r="B259" s="25" t="str">
        <f>IF(EXACT(MAIN!I259, ""), "", MAIN!H259)</f>
        <v/>
      </c>
      <c r="C259" s="3" t="str">
        <f>IF(EXACT(MAIN!$I259, ""), "", MAIN!$B259)</f>
        <v/>
      </c>
      <c r="D259" s="3" t="str">
        <f>IF(EXACT(MAIN!$I259, ""), "", MAIN!$C259)</f>
        <v/>
      </c>
      <c r="E259" s="3" t="str">
        <f>IF(EXACT(MAIN!$I259, ""), "", MAIN!$D259)</f>
        <v/>
      </c>
      <c r="F259" s="27" t="str">
        <f>IF(EXACT(MAIN!$I259, ""), "", ""&amp;MAIN!$F259)</f>
        <v/>
      </c>
    </row>
    <row r="260" spans="2:6" x14ac:dyDescent="0.2">
      <c r="B260" s="25" t="str">
        <f>IF(EXACT(MAIN!I260, ""), "", MAIN!H260)</f>
        <v/>
      </c>
      <c r="C260" s="3" t="str">
        <f>IF(EXACT(MAIN!$I260, ""), "", MAIN!$B260)</f>
        <v/>
      </c>
      <c r="D260" s="3" t="str">
        <f>IF(EXACT(MAIN!$I260, ""), "", MAIN!$C260)</f>
        <v/>
      </c>
      <c r="E260" s="3" t="str">
        <f>IF(EXACT(MAIN!$I260, ""), "", MAIN!$D260)</f>
        <v/>
      </c>
      <c r="F260" s="27" t="str">
        <f>IF(EXACT(MAIN!$I260, ""), "", ""&amp;MAIN!$F260)</f>
        <v/>
      </c>
    </row>
    <row r="261" spans="2:6" x14ac:dyDescent="0.2">
      <c r="B261" s="25" t="str">
        <f>IF(EXACT(MAIN!I261, ""), "", MAIN!H261)</f>
        <v/>
      </c>
      <c r="C261" s="3" t="str">
        <f>IF(EXACT(MAIN!$I261, ""), "", MAIN!$B261)</f>
        <v/>
      </c>
      <c r="D261" s="3" t="str">
        <f>IF(EXACT(MAIN!$I261, ""), "", MAIN!$C261)</f>
        <v/>
      </c>
      <c r="E261" s="3" t="str">
        <f>IF(EXACT(MAIN!$I261, ""), "", MAIN!$D261)</f>
        <v/>
      </c>
      <c r="F261" s="27" t="str">
        <f>IF(EXACT(MAIN!$I261, ""), "", ""&amp;MAIN!$F261)</f>
        <v/>
      </c>
    </row>
    <row r="262" spans="2:6" x14ac:dyDescent="0.2">
      <c r="B262" s="25" t="str">
        <f>IF(EXACT(MAIN!I262, ""), "", MAIN!H262)</f>
        <v/>
      </c>
      <c r="C262" s="3" t="str">
        <f>IF(EXACT(MAIN!$I262, ""), "", MAIN!$B262)</f>
        <v/>
      </c>
      <c r="D262" s="3" t="str">
        <f>IF(EXACT(MAIN!$I262, ""), "", MAIN!$C262)</f>
        <v/>
      </c>
      <c r="E262" s="3" t="str">
        <f>IF(EXACT(MAIN!$I262, ""), "", MAIN!$D262)</f>
        <v/>
      </c>
      <c r="F262" s="27" t="str">
        <f>IF(EXACT(MAIN!$I262, ""), "", ""&amp;MAIN!$F262)</f>
        <v/>
      </c>
    </row>
    <row r="263" spans="2:6" x14ac:dyDescent="0.2">
      <c r="B263" s="25" t="str">
        <f>IF(EXACT(MAIN!I263, ""), "", MAIN!H263)</f>
        <v/>
      </c>
      <c r="C263" s="3" t="str">
        <f>IF(EXACT(MAIN!$I263, ""), "", MAIN!$B263)</f>
        <v/>
      </c>
      <c r="D263" s="3" t="str">
        <f>IF(EXACT(MAIN!$I263, ""), "", MAIN!$C263)</f>
        <v/>
      </c>
      <c r="E263" s="3" t="str">
        <f>IF(EXACT(MAIN!$I263, ""), "", MAIN!$D263)</f>
        <v/>
      </c>
      <c r="F263" s="27" t="str">
        <f>IF(EXACT(MAIN!$I263, ""), "", ""&amp;MAIN!$F263)</f>
        <v/>
      </c>
    </row>
    <row r="264" spans="2:6" x14ac:dyDescent="0.2">
      <c r="B264" s="25" t="str">
        <f>IF(EXACT(MAIN!I264, ""), "", MAIN!H264)</f>
        <v/>
      </c>
      <c r="C264" s="3" t="str">
        <f>IF(EXACT(MAIN!$I264, ""), "", MAIN!$B264)</f>
        <v/>
      </c>
      <c r="D264" s="3" t="str">
        <f>IF(EXACT(MAIN!$I264, ""), "", MAIN!$C264)</f>
        <v/>
      </c>
      <c r="E264" s="3" t="str">
        <f>IF(EXACT(MAIN!$I264, ""), "", MAIN!$D264)</f>
        <v/>
      </c>
      <c r="F264" s="27" t="str">
        <f>IF(EXACT(MAIN!$I264, ""), "", ""&amp;MAIN!$F264)</f>
        <v/>
      </c>
    </row>
    <row r="265" spans="2:6" x14ac:dyDescent="0.2">
      <c r="B265" s="25" t="str">
        <f>IF(EXACT(MAIN!I265, ""), "", MAIN!H265)</f>
        <v/>
      </c>
      <c r="C265" s="3" t="str">
        <f>IF(EXACT(MAIN!$I265, ""), "", MAIN!$B265)</f>
        <v/>
      </c>
      <c r="D265" s="3" t="str">
        <f>IF(EXACT(MAIN!$I265, ""), "", MAIN!$C265)</f>
        <v/>
      </c>
      <c r="E265" s="3" t="str">
        <f>IF(EXACT(MAIN!$I265, ""), "", MAIN!$D265)</f>
        <v/>
      </c>
      <c r="F265" s="27" t="str">
        <f>IF(EXACT(MAIN!$I265, ""), "", ""&amp;MAIN!$F265)</f>
        <v/>
      </c>
    </row>
    <row r="266" spans="2:6" x14ac:dyDescent="0.2">
      <c r="B266" s="25" t="str">
        <f>IF(EXACT(MAIN!I266, ""), "", MAIN!H266)</f>
        <v/>
      </c>
      <c r="C266" s="3" t="str">
        <f>IF(EXACT(MAIN!$I266, ""), "", MAIN!$B266)</f>
        <v/>
      </c>
      <c r="D266" s="3" t="str">
        <f>IF(EXACT(MAIN!$I266, ""), "", MAIN!$C266)</f>
        <v/>
      </c>
      <c r="E266" s="3" t="str">
        <f>IF(EXACT(MAIN!$I266, ""), "", MAIN!$D266)</f>
        <v/>
      </c>
      <c r="F266" s="27" t="str">
        <f>IF(EXACT(MAIN!$I266, ""), "", ""&amp;MAIN!$F266)</f>
        <v/>
      </c>
    </row>
    <row r="267" spans="2:6" x14ac:dyDescent="0.2">
      <c r="B267" s="25" t="str">
        <f>IF(EXACT(MAIN!I267, ""), "", MAIN!H267)</f>
        <v/>
      </c>
      <c r="C267" s="3" t="str">
        <f>IF(EXACT(MAIN!$I267, ""), "", MAIN!$B267)</f>
        <v/>
      </c>
      <c r="D267" s="3" t="str">
        <f>IF(EXACT(MAIN!$I267, ""), "", MAIN!$C267)</f>
        <v/>
      </c>
      <c r="E267" s="3" t="str">
        <f>IF(EXACT(MAIN!$I267, ""), "", MAIN!$D267)</f>
        <v/>
      </c>
      <c r="F267" s="27" t="str">
        <f>IF(EXACT(MAIN!$I267, ""), "", ""&amp;MAIN!$F267)</f>
        <v/>
      </c>
    </row>
    <row r="268" spans="2:6" x14ac:dyDescent="0.2">
      <c r="B268" s="25" t="str">
        <f>IF(EXACT(MAIN!I268, ""), "", MAIN!H268)</f>
        <v/>
      </c>
      <c r="C268" s="3" t="str">
        <f>IF(EXACT(MAIN!$I268, ""), "", MAIN!$B268)</f>
        <v/>
      </c>
      <c r="D268" s="3" t="str">
        <f>IF(EXACT(MAIN!$I268, ""), "", MAIN!$C268)</f>
        <v/>
      </c>
      <c r="E268" s="3" t="str">
        <f>IF(EXACT(MAIN!$I268, ""), "", MAIN!$D268)</f>
        <v/>
      </c>
      <c r="F268" s="27" t="str">
        <f>IF(EXACT(MAIN!$I268, ""), "", ""&amp;MAIN!$F268)</f>
        <v/>
      </c>
    </row>
    <row r="269" spans="2:6" x14ac:dyDescent="0.2">
      <c r="B269" s="25" t="str">
        <f>IF(EXACT(MAIN!I269, ""), "", MAIN!H269)</f>
        <v/>
      </c>
      <c r="C269" s="3" t="str">
        <f>IF(EXACT(MAIN!$I269, ""), "", MAIN!$B269)</f>
        <v/>
      </c>
      <c r="D269" s="3" t="str">
        <f>IF(EXACT(MAIN!$I269, ""), "", MAIN!$C269)</f>
        <v/>
      </c>
      <c r="E269" s="3" t="str">
        <f>IF(EXACT(MAIN!$I269, ""), "", MAIN!$D269)</f>
        <v/>
      </c>
      <c r="F269" s="27" t="str">
        <f>IF(EXACT(MAIN!$I269, ""), "", ""&amp;MAIN!$F269)</f>
        <v/>
      </c>
    </row>
    <row r="270" spans="2:6" x14ac:dyDescent="0.2">
      <c r="B270" s="25" t="str">
        <f>IF(EXACT(MAIN!I270, ""), "", MAIN!H270)</f>
        <v/>
      </c>
      <c r="C270" s="3" t="str">
        <f>IF(EXACT(MAIN!$I270, ""), "", MAIN!$B270)</f>
        <v/>
      </c>
      <c r="D270" s="3" t="str">
        <f>IF(EXACT(MAIN!$I270, ""), "", MAIN!$C270)</f>
        <v/>
      </c>
      <c r="E270" s="3" t="str">
        <f>IF(EXACT(MAIN!$I270, ""), "", MAIN!$D270)</f>
        <v/>
      </c>
      <c r="F270" s="27" t="str">
        <f>IF(EXACT(MAIN!$I270, ""), "", ""&amp;MAIN!$F270)</f>
        <v/>
      </c>
    </row>
    <row r="271" spans="2:6" x14ac:dyDescent="0.2">
      <c r="B271" s="25" t="str">
        <f>IF(EXACT(MAIN!I271, ""), "", MAIN!H271)</f>
        <v/>
      </c>
      <c r="C271" s="3" t="str">
        <f>IF(EXACT(MAIN!$I271, ""), "", MAIN!$B271)</f>
        <v/>
      </c>
      <c r="D271" s="3" t="str">
        <f>IF(EXACT(MAIN!$I271, ""), "", MAIN!$C271)</f>
        <v/>
      </c>
      <c r="E271" s="3" t="str">
        <f>IF(EXACT(MAIN!$I271, ""), "", MAIN!$D271)</f>
        <v/>
      </c>
      <c r="F271" s="27" t="str">
        <f>IF(EXACT(MAIN!$I271, ""), "", ""&amp;MAIN!$F271)</f>
        <v/>
      </c>
    </row>
    <row r="272" spans="2:6" x14ac:dyDescent="0.2">
      <c r="B272" s="25" t="str">
        <f>IF(EXACT(MAIN!I272, ""), "", MAIN!H272)</f>
        <v/>
      </c>
      <c r="C272" s="3" t="str">
        <f>IF(EXACT(MAIN!$I272, ""), "", MAIN!$B272)</f>
        <v/>
      </c>
      <c r="D272" s="3" t="str">
        <f>IF(EXACT(MAIN!$I272, ""), "", MAIN!$C272)</f>
        <v/>
      </c>
      <c r="E272" s="3" t="str">
        <f>IF(EXACT(MAIN!$I272, ""), "", MAIN!$D272)</f>
        <v/>
      </c>
      <c r="F272" s="27" t="str">
        <f>IF(EXACT(MAIN!$I272, ""), "", ""&amp;MAIN!$F272)</f>
        <v/>
      </c>
    </row>
    <row r="273" spans="2:6" x14ac:dyDescent="0.2">
      <c r="B273" s="25" t="str">
        <f>IF(EXACT(MAIN!I273, ""), "", MAIN!H273)</f>
        <v/>
      </c>
      <c r="C273" s="3" t="str">
        <f>IF(EXACT(MAIN!$I273, ""), "", MAIN!$B273)</f>
        <v/>
      </c>
      <c r="D273" s="3" t="str">
        <f>IF(EXACT(MAIN!$I273, ""), "", MAIN!$C273)</f>
        <v/>
      </c>
      <c r="E273" s="3" t="str">
        <f>IF(EXACT(MAIN!$I273, ""), "", MAIN!$D273)</f>
        <v/>
      </c>
      <c r="F273" s="27" t="str">
        <f>IF(EXACT(MAIN!$I273, ""), "", ""&amp;MAIN!$F273)</f>
        <v/>
      </c>
    </row>
    <row r="274" spans="2:6" x14ac:dyDescent="0.2">
      <c r="B274" s="25" t="str">
        <f>IF(EXACT(MAIN!I274, ""), "", MAIN!H274)</f>
        <v/>
      </c>
      <c r="C274" s="3" t="str">
        <f>IF(EXACT(MAIN!$I274, ""), "", MAIN!$B274)</f>
        <v/>
      </c>
      <c r="D274" s="3" t="str">
        <f>IF(EXACT(MAIN!$I274, ""), "", MAIN!$C274)</f>
        <v/>
      </c>
      <c r="E274" s="3" t="str">
        <f>IF(EXACT(MAIN!$I274, ""), "", MAIN!$D274)</f>
        <v/>
      </c>
      <c r="F274" s="27" t="str">
        <f>IF(EXACT(MAIN!$I274, ""), "", ""&amp;MAIN!$F274)</f>
        <v/>
      </c>
    </row>
    <row r="275" spans="2:6" x14ac:dyDescent="0.2">
      <c r="B275" s="25" t="str">
        <f>IF(EXACT(MAIN!I275, ""), "", MAIN!H275)</f>
        <v/>
      </c>
      <c r="C275" s="3" t="str">
        <f>IF(EXACT(MAIN!$I275, ""), "", MAIN!$B275)</f>
        <v/>
      </c>
      <c r="D275" s="3" t="str">
        <f>IF(EXACT(MAIN!$I275, ""), "", MAIN!$C275)</f>
        <v/>
      </c>
      <c r="E275" s="3" t="str">
        <f>IF(EXACT(MAIN!$I275, ""), "", MAIN!$D275)</f>
        <v/>
      </c>
      <c r="F275" s="27" t="str">
        <f>IF(EXACT(MAIN!$I275, ""), "", ""&amp;MAIN!$F275)</f>
        <v/>
      </c>
    </row>
    <row r="276" spans="2:6" x14ac:dyDescent="0.2">
      <c r="B276" s="25">
        <f>IF(EXACT(MAIN!I276, ""), "", MAIN!H276)</f>
        <v>225000000000019</v>
      </c>
      <c r="C276" s="3">
        <f>IF(EXACT(MAIN!$I276, ""), "", MAIN!$B276)</f>
        <v>164000000000273</v>
      </c>
      <c r="D276" s="3" t="str">
        <f>IF(EXACT(MAIN!$I276, ""), "", MAIN!$C276)</f>
        <v>Pantas Banjarnahor Marbun</v>
      </c>
      <c r="E276" s="3">
        <f>IF(EXACT(MAIN!$I276, ""), "", MAIN!$D276)</f>
        <v>95000000000021</v>
      </c>
      <c r="F276" s="27" t="str">
        <f>IF(EXACT(MAIN!$I276, ""), "", ""&amp;MAIN!$F276)</f>
        <v/>
      </c>
    </row>
    <row r="277" spans="2:6" x14ac:dyDescent="0.2">
      <c r="B277" s="25" t="str">
        <f>IF(EXACT(MAIN!I277, ""), "", MAIN!H277)</f>
        <v/>
      </c>
      <c r="C277" s="3" t="str">
        <f>IF(EXACT(MAIN!$I277, ""), "", MAIN!$B277)</f>
        <v/>
      </c>
      <c r="D277" s="3" t="str">
        <f>IF(EXACT(MAIN!$I277, ""), "", MAIN!$C277)</f>
        <v/>
      </c>
      <c r="E277" s="3" t="str">
        <f>IF(EXACT(MAIN!$I277, ""), "", MAIN!$D277)</f>
        <v/>
      </c>
      <c r="F277" s="27" t="str">
        <f>IF(EXACT(MAIN!$I277, ""), "", ""&amp;MAIN!$F277)</f>
        <v/>
      </c>
    </row>
    <row r="278" spans="2:6" x14ac:dyDescent="0.2">
      <c r="B278" s="25" t="str">
        <f>IF(EXACT(MAIN!I278, ""), "", MAIN!H278)</f>
        <v/>
      </c>
      <c r="C278" s="3" t="str">
        <f>IF(EXACT(MAIN!$I278, ""), "", MAIN!$B278)</f>
        <v/>
      </c>
      <c r="D278" s="3" t="str">
        <f>IF(EXACT(MAIN!$I278, ""), "", MAIN!$C278)</f>
        <v/>
      </c>
      <c r="E278" s="3" t="str">
        <f>IF(EXACT(MAIN!$I278, ""), "", MAIN!$D278)</f>
        <v/>
      </c>
      <c r="F278" s="27" t="str">
        <f>IF(EXACT(MAIN!$I278, ""), "", ""&amp;MAIN!$F278)</f>
        <v/>
      </c>
    </row>
    <row r="279" spans="2:6" x14ac:dyDescent="0.2">
      <c r="B279" s="25" t="str">
        <f>IF(EXACT(MAIN!I279, ""), "", MAIN!H279)</f>
        <v/>
      </c>
      <c r="C279" s="3" t="str">
        <f>IF(EXACT(MAIN!$I279, ""), "", MAIN!$B279)</f>
        <v/>
      </c>
      <c r="D279" s="3" t="str">
        <f>IF(EXACT(MAIN!$I279, ""), "", MAIN!$C279)</f>
        <v/>
      </c>
      <c r="E279" s="3" t="str">
        <f>IF(EXACT(MAIN!$I279, ""), "", MAIN!$D279)</f>
        <v/>
      </c>
      <c r="F279" s="27" t="str">
        <f>IF(EXACT(MAIN!$I279, ""), "", ""&amp;MAIN!$F279)</f>
        <v/>
      </c>
    </row>
    <row r="280" spans="2:6" x14ac:dyDescent="0.2">
      <c r="B280" s="25" t="str">
        <f>IF(EXACT(MAIN!I280, ""), "", MAIN!H280)</f>
        <v/>
      </c>
      <c r="C280" s="3" t="str">
        <f>IF(EXACT(MAIN!$I280, ""), "", MAIN!$B280)</f>
        <v/>
      </c>
      <c r="D280" s="3" t="str">
        <f>IF(EXACT(MAIN!$I280, ""), "", MAIN!$C280)</f>
        <v/>
      </c>
      <c r="E280" s="3" t="str">
        <f>IF(EXACT(MAIN!$I280, ""), "", MAIN!$D280)</f>
        <v/>
      </c>
      <c r="F280" s="27" t="str">
        <f>IF(EXACT(MAIN!$I280, ""), "", ""&amp;MAIN!$F280)</f>
        <v/>
      </c>
    </row>
    <row r="281" spans="2:6" x14ac:dyDescent="0.2">
      <c r="B281" s="25">
        <f>IF(EXACT(MAIN!I281, ""), "", MAIN!H281)</f>
        <v>225000000000020</v>
      </c>
      <c r="C281" s="3">
        <f>IF(EXACT(MAIN!$I281, ""), "", MAIN!$B281)</f>
        <v>164000000000278</v>
      </c>
      <c r="D281" s="3" t="str">
        <f>IF(EXACT(MAIN!$I281, ""), "", MAIN!$C281)</f>
        <v>T. Marungkil U. S. Sagala</v>
      </c>
      <c r="E281" s="3">
        <f>IF(EXACT(MAIN!$I281, ""), "", MAIN!$D281)</f>
        <v>95000000000019</v>
      </c>
      <c r="F281" s="27" t="str">
        <f>IF(EXACT(MAIN!$I281, ""), "", ""&amp;MAIN!$F281)</f>
        <v>46000000000009</v>
      </c>
    </row>
    <row r="282" spans="2:6" x14ac:dyDescent="0.2">
      <c r="B282" s="25" t="str">
        <f>IF(EXACT(MAIN!I282, ""), "", MAIN!H282)</f>
        <v/>
      </c>
      <c r="C282" s="3" t="str">
        <f>IF(EXACT(MAIN!$I282, ""), "", MAIN!$B282)</f>
        <v/>
      </c>
      <c r="D282" s="3" t="str">
        <f>IF(EXACT(MAIN!$I282, ""), "", MAIN!$C282)</f>
        <v/>
      </c>
      <c r="E282" s="3" t="str">
        <f>IF(EXACT(MAIN!$I282, ""), "", MAIN!$D282)</f>
        <v/>
      </c>
      <c r="F282" s="27" t="str">
        <f>IF(EXACT(MAIN!$I282, ""), "", ""&amp;MAIN!$F282)</f>
        <v/>
      </c>
    </row>
    <row r="283" spans="2:6" x14ac:dyDescent="0.2">
      <c r="B283" s="25" t="str">
        <f>IF(EXACT(MAIN!I283, ""), "", MAIN!H283)</f>
        <v/>
      </c>
      <c r="C283" s="3" t="str">
        <f>IF(EXACT(MAIN!$I283, ""), "", MAIN!$B283)</f>
        <v/>
      </c>
      <c r="D283" s="3" t="str">
        <f>IF(EXACT(MAIN!$I283, ""), "", MAIN!$C283)</f>
        <v/>
      </c>
      <c r="E283" s="3" t="str">
        <f>IF(EXACT(MAIN!$I283, ""), "", MAIN!$D283)</f>
        <v/>
      </c>
      <c r="F283" s="27" t="str">
        <f>IF(EXACT(MAIN!$I283, ""), "", ""&amp;MAIN!$F283)</f>
        <v/>
      </c>
    </row>
    <row r="284" spans="2:6" x14ac:dyDescent="0.2">
      <c r="B284" s="25" t="str">
        <f>IF(EXACT(MAIN!I284, ""), "", MAIN!H284)</f>
        <v/>
      </c>
      <c r="C284" s="3" t="str">
        <f>IF(EXACT(MAIN!$I284, ""), "", MAIN!$B284)</f>
        <v/>
      </c>
      <c r="D284" s="3" t="str">
        <f>IF(EXACT(MAIN!$I284, ""), "", MAIN!$C284)</f>
        <v/>
      </c>
      <c r="E284" s="3" t="str">
        <f>IF(EXACT(MAIN!$I284, ""), "", MAIN!$D284)</f>
        <v/>
      </c>
      <c r="F284" s="27" t="str">
        <f>IF(EXACT(MAIN!$I284, ""), "", ""&amp;MAIN!$F284)</f>
        <v/>
      </c>
    </row>
    <row r="285" spans="2:6" x14ac:dyDescent="0.2">
      <c r="B285" s="25" t="str">
        <f>IF(EXACT(MAIN!I285, ""), "", MAIN!H285)</f>
        <v/>
      </c>
      <c r="C285" s="3" t="str">
        <f>IF(EXACT(MAIN!$I285, ""), "", MAIN!$B285)</f>
        <v/>
      </c>
      <c r="D285" s="3" t="str">
        <f>IF(EXACT(MAIN!$I285, ""), "", MAIN!$C285)</f>
        <v/>
      </c>
      <c r="E285" s="3" t="str">
        <f>IF(EXACT(MAIN!$I285, ""), "", MAIN!$D285)</f>
        <v/>
      </c>
      <c r="F285" s="27" t="str">
        <f>IF(EXACT(MAIN!$I285, ""), "", ""&amp;MAIN!$F285)</f>
        <v/>
      </c>
    </row>
    <row r="286" spans="2:6" x14ac:dyDescent="0.2">
      <c r="B286" s="25" t="str">
        <f>IF(EXACT(MAIN!I286, ""), "", MAIN!H286)</f>
        <v/>
      </c>
      <c r="C286" s="3" t="str">
        <f>IF(EXACT(MAIN!$I286, ""), "", MAIN!$B286)</f>
        <v/>
      </c>
      <c r="D286" s="3" t="str">
        <f>IF(EXACT(MAIN!$I286, ""), "", MAIN!$C286)</f>
        <v/>
      </c>
      <c r="E286" s="3" t="str">
        <f>IF(EXACT(MAIN!$I286, ""), "", MAIN!$D286)</f>
        <v/>
      </c>
      <c r="F286" s="27" t="str">
        <f>IF(EXACT(MAIN!$I286, ""), "", ""&amp;MAIN!$F286)</f>
        <v/>
      </c>
    </row>
    <row r="287" spans="2:6" x14ac:dyDescent="0.2">
      <c r="B287" s="25" t="str">
        <f>IF(EXACT(MAIN!I287, ""), "", MAIN!H287)</f>
        <v/>
      </c>
      <c r="C287" s="3" t="str">
        <f>IF(EXACT(MAIN!$I287, ""), "", MAIN!$B287)</f>
        <v/>
      </c>
      <c r="D287" s="3" t="str">
        <f>IF(EXACT(MAIN!$I287, ""), "", MAIN!$C287)</f>
        <v/>
      </c>
      <c r="E287" s="3" t="str">
        <f>IF(EXACT(MAIN!$I287, ""), "", MAIN!$D287)</f>
        <v/>
      </c>
      <c r="F287" s="27" t="str">
        <f>IF(EXACT(MAIN!$I287, ""), "", ""&amp;MAIN!$F287)</f>
        <v/>
      </c>
    </row>
    <row r="288" spans="2:6" x14ac:dyDescent="0.2">
      <c r="B288" s="25" t="str">
        <f>IF(EXACT(MAIN!I288, ""), "", MAIN!H288)</f>
        <v/>
      </c>
      <c r="C288" s="3" t="str">
        <f>IF(EXACT(MAIN!$I288, ""), "", MAIN!$B288)</f>
        <v/>
      </c>
      <c r="D288" s="3" t="str">
        <f>IF(EXACT(MAIN!$I288, ""), "", MAIN!$C288)</f>
        <v/>
      </c>
      <c r="E288" s="3" t="str">
        <f>IF(EXACT(MAIN!$I288, ""), "", MAIN!$D288)</f>
        <v/>
      </c>
      <c r="F288" s="27" t="str">
        <f>IF(EXACT(MAIN!$I288, ""), "", ""&amp;MAIN!$F288)</f>
        <v/>
      </c>
    </row>
    <row r="289" spans="2:6" x14ac:dyDescent="0.2">
      <c r="B289" s="25" t="str">
        <f>IF(EXACT(MAIN!I289, ""), "", MAIN!H289)</f>
        <v/>
      </c>
      <c r="C289" s="3" t="str">
        <f>IF(EXACT(MAIN!$I289, ""), "", MAIN!$B289)</f>
        <v/>
      </c>
      <c r="D289" s="3" t="str">
        <f>IF(EXACT(MAIN!$I289, ""), "", MAIN!$C289)</f>
        <v/>
      </c>
      <c r="E289" s="3" t="str">
        <f>IF(EXACT(MAIN!$I289, ""), "", MAIN!$D289)</f>
        <v/>
      </c>
      <c r="F289" s="27" t="str">
        <f>IF(EXACT(MAIN!$I289, ""), "", ""&amp;MAIN!$F289)</f>
        <v/>
      </c>
    </row>
    <row r="290" spans="2:6" x14ac:dyDescent="0.2">
      <c r="B290" s="25" t="str">
        <f>IF(EXACT(MAIN!I290, ""), "", MAIN!H290)</f>
        <v/>
      </c>
      <c r="C290" s="3" t="str">
        <f>IF(EXACT(MAIN!$I290, ""), "", MAIN!$B290)</f>
        <v/>
      </c>
      <c r="D290" s="3" t="str">
        <f>IF(EXACT(MAIN!$I290, ""), "", MAIN!$C290)</f>
        <v/>
      </c>
      <c r="E290" s="3" t="str">
        <f>IF(EXACT(MAIN!$I290, ""), "", MAIN!$D290)</f>
        <v/>
      </c>
      <c r="F290" s="27" t="str">
        <f>IF(EXACT(MAIN!$I290, ""), "", ""&amp;MAIN!$F290)</f>
        <v/>
      </c>
    </row>
    <row r="291" spans="2:6" x14ac:dyDescent="0.2">
      <c r="B291" s="25" t="str">
        <f>IF(EXACT(MAIN!I291, ""), "", MAIN!H291)</f>
        <v/>
      </c>
      <c r="C291" s="3" t="str">
        <f>IF(EXACT(MAIN!$I291, ""), "", MAIN!$B291)</f>
        <v/>
      </c>
      <c r="D291" s="3" t="str">
        <f>IF(EXACT(MAIN!$I291, ""), "", MAIN!$C291)</f>
        <v/>
      </c>
      <c r="E291" s="3" t="str">
        <f>IF(EXACT(MAIN!$I291, ""), "", MAIN!$D291)</f>
        <v/>
      </c>
      <c r="F291" s="27" t="str">
        <f>IF(EXACT(MAIN!$I291, ""), "", ""&amp;MAIN!$F291)</f>
        <v/>
      </c>
    </row>
    <row r="292" spans="2:6" x14ac:dyDescent="0.2">
      <c r="B292" s="25" t="str">
        <f>IF(EXACT(MAIN!I292, ""), "", MAIN!H292)</f>
        <v/>
      </c>
      <c r="C292" s="3" t="str">
        <f>IF(EXACT(MAIN!$I292, ""), "", MAIN!$B292)</f>
        <v/>
      </c>
      <c r="D292" s="3" t="str">
        <f>IF(EXACT(MAIN!$I292, ""), "", MAIN!$C292)</f>
        <v/>
      </c>
      <c r="E292" s="3" t="str">
        <f>IF(EXACT(MAIN!$I292, ""), "", MAIN!$D292)</f>
        <v/>
      </c>
      <c r="F292" s="27" t="str">
        <f>IF(EXACT(MAIN!$I292, ""), "", ""&amp;MAIN!$F292)</f>
        <v/>
      </c>
    </row>
    <row r="293" spans="2:6" x14ac:dyDescent="0.2">
      <c r="B293" s="25" t="str">
        <f>IF(EXACT(MAIN!I293, ""), "", MAIN!H293)</f>
        <v/>
      </c>
      <c r="C293" s="3" t="str">
        <f>IF(EXACT(MAIN!$I293, ""), "", MAIN!$B293)</f>
        <v/>
      </c>
      <c r="D293" s="3" t="str">
        <f>IF(EXACT(MAIN!$I293, ""), "", MAIN!$C293)</f>
        <v/>
      </c>
      <c r="E293" s="3" t="str">
        <f>IF(EXACT(MAIN!$I293, ""), "", MAIN!$D293)</f>
        <v/>
      </c>
      <c r="F293" s="27" t="str">
        <f>IF(EXACT(MAIN!$I293, ""), "", ""&amp;MAIN!$F293)</f>
        <v/>
      </c>
    </row>
    <row r="294" spans="2:6" x14ac:dyDescent="0.2">
      <c r="B294" s="25" t="str">
        <f>IF(EXACT(MAIN!I294, ""), "", MAIN!H294)</f>
        <v/>
      </c>
      <c r="C294" s="3" t="str">
        <f>IF(EXACT(MAIN!$I294, ""), "", MAIN!$B294)</f>
        <v/>
      </c>
      <c r="D294" s="3" t="str">
        <f>IF(EXACT(MAIN!$I294, ""), "", MAIN!$C294)</f>
        <v/>
      </c>
      <c r="E294" s="3" t="str">
        <f>IF(EXACT(MAIN!$I294, ""), "", MAIN!$D294)</f>
        <v/>
      </c>
      <c r="F294" s="27" t="str">
        <f>IF(EXACT(MAIN!$I294, ""), "", ""&amp;MAIN!$F294)</f>
        <v/>
      </c>
    </row>
    <row r="295" spans="2:6" x14ac:dyDescent="0.2">
      <c r="B295" s="25" t="str">
        <f>IF(EXACT(MAIN!I295, ""), "", MAIN!H295)</f>
        <v/>
      </c>
      <c r="C295" s="3" t="str">
        <f>IF(EXACT(MAIN!$I295, ""), "", MAIN!$B295)</f>
        <v/>
      </c>
      <c r="D295" s="3" t="str">
        <f>IF(EXACT(MAIN!$I295, ""), "", MAIN!$C295)</f>
        <v/>
      </c>
      <c r="E295" s="3" t="str">
        <f>IF(EXACT(MAIN!$I295, ""), "", MAIN!$D295)</f>
        <v/>
      </c>
      <c r="F295" s="27" t="str">
        <f>IF(EXACT(MAIN!$I295, ""), "", ""&amp;MAIN!$F295)</f>
        <v/>
      </c>
    </row>
    <row r="296" spans="2:6" x14ac:dyDescent="0.2">
      <c r="B296" s="25" t="str">
        <f>IF(EXACT(MAIN!I296, ""), "", MAIN!H296)</f>
        <v/>
      </c>
      <c r="C296" s="3" t="str">
        <f>IF(EXACT(MAIN!$I296, ""), "", MAIN!$B296)</f>
        <v/>
      </c>
      <c r="D296" s="3" t="str">
        <f>IF(EXACT(MAIN!$I296, ""), "", MAIN!$C296)</f>
        <v/>
      </c>
      <c r="E296" s="3" t="str">
        <f>IF(EXACT(MAIN!$I296, ""), "", MAIN!$D296)</f>
        <v/>
      </c>
      <c r="F296" s="27" t="str">
        <f>IF(EXACT(MAIN!$I296, ""), "", ""&amp;MAIN!$F296)</f>
        <v/>
      </c>
    </row>
    <row r="297" spans="2:6" x14ac:dyDescent="0.2">
      <c r="B297" s="25" t="str">
        <f>IF(EXACT(MAIN!I297, ""), "", MAIN!H297)</f>
        <v/>
      </c>
      <c r="C297" s="3" t="str">
        <f>IF(EXACT(MAIN!$I297, ""), "", MAIN!$B297)</f>
        <v/>
      </c>
      <c r="D297" s="3" t="str">
        <f>IF(EXACT(MAIN!$I297, ""), "", MAIN!$C297)</f>
        <v/>
      </c>
      <c r="E297" s="3" t="str">
        <f>IF(EXACT(MAIN!$I297, ""), "", MAIN!$D297)</f>
        <v/>
      </c>
      <c r="F297" s="27" t="str">
        <f>IF(EXACT(MAIN!$I297, ""), "", ""&amp;MAIN!$F297)</f>
        <v/>
      </c>
    </row>
    <row r="298" spans="2:6" x14ac:dyDescent="0.2">
      <c r="B298" s="25" t="str">
        <f>IF(EXACT(MAIN!I298, ""), "", MAIN!H298)</f>
        <v/>
      </c>
      <c r="C298" s="3" t="str">
        <f>IF(EXACT(MAIN!$I298, ""), "", MAIN!$B298)</f>
        <v/>
      </c>
      <c r="D298" s="3" t="str">
        <f>IF(EXACT(MAIN!$I298, ""), "", MAIN!$C298)</f>
        <v/>
      </c>
      <c r="E298" s="3" t="str">
        <f>IF(EXACT(MAIN!$I298, ""), "", MAIN!$D298)</f>
        <v/>
      </c>
      <c r="F298" s="27" t="str">
        <f>IF(EXACT(MAIN!$I298, ""), "", ""&amp;MAIN!$F298)</f>
        <v/>
      </c>
    </row>
    <row r="299" spans="2:6" x14ac:dyDescent="0.2">
      <c r="B299" s="25" t="str">
        <f>IF(EXACT(MAIN!I299, ""), "", MAIN!H299)</f>
        <v/>
      </c>
      <c r="C299" s="3" t="str">
        <f>IF(EXACT(MAIN!$I299, ""), "", MAIN!$B299)</f>
        <v/>
      </c>
      <c r="D299" s="3" t="str">
        <f>IF(EXACT(MAIN!$I299, ""), "", MAIN!$C299)</f>
        <v/>
      </c>
      <c r="E299" s="3" t="str">
        <f>IF(EXACT(MAIN!$I299, ""), "", MAIN!$D299)</f>
        <v/>
      </c>
      <c r="F299" s="27" t="str">
        <f>IF(EXACT(MAIN!$I299, ""), "", ""&amp;MAIN!$F299)</f>
        <v/>
      </c>
    </row>
    <row r="300" spans="2:6" x14ac:dyDescent="0.2">
      <c r="B300" s="25" t="str">
        <f>IF(EXACT(MAIN!I300, ""), "", MAIN!H300)</f>
        <v/>
      </c>
      <c r="C300" s="3" t="str">
        <f>IF(EXACT(MAIN!$I300, ""), "", MAIN!$B300)</f>
        <v/>
      </c>
      <c r="D300" s="3" t="str">
        <f>IF(EXACT(MAIN!$I300, ""), "", MAIN!$C300)</f>
        <v/>
      </c>
      <c r="E300" s="3" t="str">
        <f>IF(EXACT(MAIN!$I300, ""), "", MAIN!$D300)</f>
        <v/>
      </c>
      <c r="F300" s="27" t="str">
        <f>IF(EXACT(MAIN!$I300, ""), "", ""&amp;MAIN!$F300)</f>
        <v/>
      </c>
    </row>
    <row r="301" spans="2:6" x14ac:dyDescent="0.2">
      <c r="B301" s="25" t="str">
        <f>IF(EXACT(MAIN!I301, ""), "", MAIN!H301)</f>
        <v/>
      </c>
      <c r="C301" s="3" t="str">
        <f>IF(EXACT(MAIN!$I301, ""), "", MAIN!$B301)</f>
        <v/>
      </c>
      <c r="D301" s="3" t="str">
        <f>IF(EXACT(MAIN!$I301, ""), "", MAIN!$C301)</f>
        <v/>
      </c>
      <c r="E301" s="3" t="str">
        <f>IF(EXACT(MAIN!$I301, ""), "", MAIN!$D301)</f>
        <v/>
      </c>
      <c r="F301" s="27" t="str">
        <f>IF(EXACT(MAIN!$I301, ""), "", ""&amp;MAIN!$F301)</f>
        <v/>
      </c>
    </row>
    <row r="302" spans="2:6" x14ac:dyDescent="0.2">
      <c r="B302" s="25" t="str">
        <f>IF(EXACT(MAIN!I302, ""), "", MAIN!H302)</f>
        <v/>
      </c>
      <c r="C302" s="3" t="str">
        <f>IF(EXACT(MAIN!$I302, ""), "", MAIN!$B302)</f>
        <v/>
      </c>
      <c r="D302" s="3" t="str">
        <f>IF(EXACT(MAIN!$I302, ""), "", MAIN!$C302)</f>
        <v/>
      </c>
      <c r="E302" s="3" t="str">
        <f>IF(EXACT(MAIN!$I302, ""), "", MAIN!$D302)</f>
        <v/>
      </c>
      <c r="F302" s="27" t="str">
        <f>IF(EXACT(MAIN!$I302, ""), "", ""&amp;MAIN!$F302)</f>
        <v/>
      </c>
    </row>
    <row r="303" spans="2:6" x14ac:dyDescent="0.2">
      <c r="B303" s="25" t="str">
        <f>IF(EXACT(MAIN!I303, ""), "", MAIN!H303)</f>
        <v/>
      </c>
      <c r="C303" s="3" t="str">
        <f>IF(EXACT(MAIN!$I303, ""), "", MAIN!$B303)</f>
        <v/>
      </c>
      <c r="D303" s="3" t="str">
        <f>IF(EXACT(MAIN!$I303, ""), "", MAIN!$C303)</f>
        <v/>
      </c>
      <c r="E303" s="3" t="str">
        <f>IF(EXACT(MAIN!$I303, ""), "", MAIN!$D303)</f>
        <v/>
      </c>
      <c r="F303" s="27" t="str">
        <f>IF(EXACT(MAIN!$I303, ""), "", ""&amp;MAIN!$F303)</f>
        <v/>
      </c>
    </row>
    <row r="304" spans="2:6" x14ac:dyDescent="0.2">
      <c r="B304" s="25">
        <f>IF(EXACT(MAIN!I304, ""), "", MAIN!H304)</f>
        <v>225000000000021</v>
      </c>
      <c r="C304" s="3">
        <f>IF(EXACT(MAIN!$I304, ""), "", MAIN!$B304)</f>
        <v>164000000000301</v>
      </c>
      <c r="D304" s="3" t="str">
        <f>IF(EXACT(MAIN!$I304, ""), "", MAIN!$C304)</f>
        <v>Mullan Tresna</v>
      </c>
      <c r="E304" s="3">
        <f>IF(EXACT(MAIN!$I304, ""), "", MAIN!$D304)</f>
        <v>95000000000032</v>
      </c>
      <c r="F304" s="27" t="str">
        <f>IF(EXACT(MAIN!$I304, ""), "", ""&amp;MAIN!$F304)</f>
        <v/>
      </c>
    </row>
    <row r="305" spans="2:6" x14ac:dyDescent="0.2">
      <c r="B305" s="25" t="str">
        <f>IF(EXACT(MAIN!I305, ""), "", MAIN!H305)</f>
        <v/>
      </c>
      <c r="C305" s="3" t="str">
        <f>IF(EXACT(MAIN!$I305, ""), "", MAIN!$B305)</f>
        <v/>
      </c>
      <c r="D305" s="3" t="str">
        <f>IF(EXACT(MAIN!$I305, ""), "", MAIN!$C305)</f>
        <v/>
      </c>
      <c r="E305" s="3" t="str">
        <f>IF(EXACT(MAIN!$I305, ""), "", MAIN!$D305)</f>
        <v/>
      </c>
      <c r="F305" s="27" t="str">
        <f>IF(EXACT(MAIN!$I305, ""), "", ""&amp;MAIN!$F305)</f>
        <v/>
      </c>
    </row>
    <row r="306" spans="2:6" x14ac:dyDescent="0.2">
      <c r="B306" s="25" t="str">
        <f>IF(EXACT(MAIN!I306, ""), "", MAIN!H306)</f>
        <v/>
      </c>
      <c r="C306" s="3" t="str">
        <f>IF(EXACT(MAIN!$I306, ""), "", MAIN!$B306)</f>
        <v/>
      </c>
      <c r="D306" s="3" t="str">
        <f>IF(EXACT(MAIN!$I306, ""), "", MAIN!$C306)</f>
        <v/>
      </c>
      <c r="E306" s="3" t="str">
        <f>IF(EXACT(MAIN!$I306, ""), "", MAIN!$D306)</f>
        <v/>
      </c>
      <c r="F306" s="27" t="str">
        <f>IF(EXACT(MAIN!$I306, ""), "", ""&amp;MAIN!$F306)</f>
        <v/>
      </c>
    </row>
    <row r="307" spans="2:6" x14ac:dyDescent="0.2">
      <c r="B307" s="25" t="str">
        <f>IF(EXACT(MAIN!I307, ""), "", MAIN!H307)</f>
        <v/>
      </c>
      <c r="C307" s="3" t="str">
        <f>IF(EXACT(MAIN!$I307, ""), "", MAIN!$B307)</f>
        <v/>
      </c>
      <c r="D307" s="3" t="str">
        <f>IF(EXACT(MAIN!$I307, ""), "", MAIN!$C307)</f>
        <v/>
      </c>
      <c r="E307" s="3" t="str">
        <f>IF(EXACT(MAIN!$I307, ""), "", MAIN!$D307)</f>
        <v/>
      </c>
      <c r="F307" s="27" t="str">
        <f>IF(EXACT(MAIN!$I307, ""), "", ""&amp;MAIN!$F307)</f>
        <v/>
      </c>
    </row>
    <row r="308" spans="2:6" x14ac:dyDescent="0.2">
      <c r="B308" s="25" t="str">
        <f>IF(EXACT(MAIN!I308, ""), "", MAIN!H308)</f>
        <v/>
      </c>
      <c r="C308" s="3" t="str">
        <f>IF(EXACT(MAIN!$I308, ""), "", MAIN!$B308)</f>
        <v/>
      </c>
      <c r="D308" s="3" t="str">
        <f>IF(EXACT(MAIN!$I308, ""), "", MAIN!$C308)</f>
        <v/>
      </c>
      <c r="E308" s="3" t="str">
        <f>IF(EXACT(MAIN!$I308, ""), "", MAIN!$D308)</f>
        <v/>
      </c>
      <c r="F308" s="27" t="str">
        <f>IF(EXACT(MAIN!$I308, ""), "", ""&amp;MAIN!$F308)</f>
        <v/>
      </c>
    </row>
    <row r="309" spans="2:6" x14ac:dyDescent="0.2">
      <c r="B309" s="25" t="str">
        <f>IF(EXACT(MAIN!I309, ""), "", MAIN!H309)</f>
        <v/>
      </c>
      <c r="C309" s="3" t="str">
        <f>IF(EXACT(MAIN!$I309, ""), "", MAIN!$B309)</f>
        <v/>
      </c>
      <c r="D309" s="3" t="str">
        <f>IF(EXACT(MAIN!$I309, ""), "", MAIN!$C309)</f>
        <v/>
      </c>
      <c r="E309" s="3" t="str">
        <f>IF(EXACT(MAIN!$I309, ""), "", MAIN!$D309)</f>
        <v/>
      </c>
      <c r="F309" s="27" t="str">
        <f>IF(EXACT(MAIN!$I309, ""), "", ""&amp;MAIN!$F309)</f>
        <v/>
      </c>
    </row>
    <row r="310" spans="2:6" x14ac:dyDescent="0.2">
      <c r="B310" s="25" t="str">
        <f>IF(EXACT(MAIN!I310, ""), "", MAIN!H310)</f>
        <v/>
      </c>
      <c r="C310" s="3" t="str">
        <f>IF(EXACT(MAIN!$I310, ""), "", MAIN!$B310)</f>
        <v/>
      </c>
      <c r="D310" s="3" t="str">
        <f>IF(EXACT(MAIN!$I310, ""), "", MAIN!$C310)</f>
        <v/>
      </c>
      <c r="E310" s="3" t="str">
        <f>IF(EXACT(MAIN!$I310, ""), "", MAIN!$D310)</f>
        <v/>
      </c>
      <c r="F310" s="27" t="str">
        <f>IF(EXACT(MAIN!$I310, ""), "", ""&amp;MAIN!$F310)</f>
        <v/>
      </c>
    </row>
    <row r="311" spans="2:6" x14ac:dyDescent="0.2">
      <c r="B311" s="25" t="str">
        <f>IF(EXACT(MAIN!I311, ""), "", MAIN!H311)</f>
        <v/>
      </c>
      <c r="C311" s="3" t="str">
        <f>IF(EXACT(MAIN!$I311, ""), "", MAIN!$B311)</f>
        <v/>
      </c>
      <c r="D311" s="3" t="str">
        <f>IF(EXACT(MAIN!$I311, ""), "", MAIN!$C311)</f>
        <v/>
      </c>
      <c r="E311" s="3" t="str">
        <f>IF(EXACT(MAIN!$I311, ""), "", MAIN!$D311)</f>
        <v/>
      </c>
      <c r="F311" s="27" t="str">
        <f>IF(EXACT(MAIN!$I311, ""), "", ""&amp;MAIN!$F311)</f>
        <v/>
      </c>
    </row>
    <row r="312" spans="2:6" x14ac:dyDescent="0.2">
      <c r="B312" s="25" t="str">
        <f>IF(EXACT(MAIN!I312, ""), "", MAIN!H312)</f>
        <v/>
      </c>
      <c r="C312" s="3" t="str">
        <f>IF(EXACT(MAIN!$I312, ""), "", MAIN!$B312)</f>
        <v/>
      </c>
      <c r="D312" s="3" t="str">
        <f>IF(EXACT(MAIN!$I312, ""), "", MAIN!$C312)</f>
        <v/>
      </c>
      <c r="E312" s="3" t="str">
        <f>IF(EXACT(MAIN!$I312, ""), "", MAIN!$D312)</f>
        <v/>
      </c>
      <c r="F312" s="27" t="str">
        <f>IF(EXACT(MAIN!$I312, ""), "", ""&amp;MAIN!$F312)</f>
        <v/>
      </c>
    </row>
    <row r="313" spans="2:6" x14ac:dyDescent="0.2">
      <c r="B313" s="25" t="str">
        <f>IF(EXACT(MAIN!I313, ""), "", MAIN!H313)</f>
        <v/>
      </c>
      <c r="C313" s="3" t="str">
        <f>IF(EXACT(MAIN!$I313, ""), "", MAIN!$B313)</f>
        <v/>
      </c>
      <c r="D313" s="3" t="str">
        <f>IF(EXACT(MAIN!$I313, ""), "", MAIN!$C313)</f>
        <v/>
      </c>
      <c r="E313" s="3" t="str">
        <f>IF(EXACT(MAIN!$I313, ""), "", MAIN!$D313)</f>
        <v/>
      </c>
      <c r="F313" s="27" t="str">
        <f>IF(EXACT(MAIN!$I313, ""), "", ""&amp;MAIN!$F313)</f>
        <v/>
      </c>
    </row>
    <row r="314" spans="2:6" x14ac:dyDescent="0.2">
      <c r="B314" s="25" t="str">
        <f>IF(EXACT(MAIN!I314, ""), "", MAIN!H314)</f>
        <v/>
      </c>
      <c r="C314" s="3" t="str">
        <f>IF(EXACT(MAIN!$I314, ""), "", MAIN!$B314)</f>
        <v/>
      </c>
      <c r="D314" s="3" t="str">
        <f>IF(EXACT(MAIN!$I314, ""), "", MAIN!$C314)</f>
        <v/>
      </c>
      <c r="E314" s="3" t="str">
        <f>IF(EXACT(MAIN!$I314, ""), "", MAIN!$D314)</f>
        <v/>
      </c>
      <c r="F314" s="27" t="str">
        <f>IF(EXACT(MAIN!$I314, ""), "", ""&amp;MAIN!$F314)</f>
        <v/>
      </c>
    </row>
    <row r="315" spans="2:6" x14ac:dyDescent="0.2">
      <c r="B315" s="25" t="str">
        <f>IF(EXACT(MAIN!I315, ""), "", MAIN!H315)</f>
        <v/>
      </c>
      <c r="C315" s="3" t="str">
        <f>IF(EXACT(MAIN!$I315, ""), "", MAIN!$B315)</f>
        <v/>
      </c>
      <c r="D315" s="3" t="str">
        <f>IF(EXACT(MAIN!$I315, ""), "", MAIN!$C315)</f>
        <v/>
      </c>
      <c r="E315" s="3" t="str">
        <f>IF(EXACT(MAIN!$I315, ""), "", MAIN!$D315)</f>
        <v/>
      </c>
      <c r="F315" s="27" t="str">
        <f>IF(EXACT(MAIN!$I315, ""), "", ""&amp;MAIN!$F315)</f>
        <v/>
      </c>
    </row>
    <row r="316" spans="2:6" x14ac:dyDescent="0.2">
      <c r="B316" s="25" t="str">
        <f>IF(EXACT(MAIN!I316, ""), "", MAIN!H316)</f>
        <v/>
      </c>
      <c r="C316" s="3" t="str">
        <f>IF(EXACT(MAIN!$I316, ""), "", MAIN!$B316)</f>
        <v/>
      </c>
      <c r="D316" s="3" t="str">
        <f>IF(EXACT(MAIN!$I316, ""), "", MAIN!$C316)</f>
        <v/>
      </c>
      <c r="E316" s="3" t="str">
        <f>IF(EXACT(MAIN!$I316, ""), "", MAIN!$D316)</f>
        <v/>
      </c>
      <c r="F316" s="27" t="str">
        <f>IF(EXACT(MAIN!$I316, ""), "", ""&amp;MAIN!$F316)</f>
        <v/>
      </c>
    </row>
    <row r="317" spans="2:6" x14ac:dyDescent="0.2">
      <c r="B317" s="25" t="str">
        <f>IF(EXACT(MAIN!I317, ""), "", MAIN!H317)</f>
        <v/>
      </c>
      <c r="C317" s="3" t="str">
        <f>IF(EXACT(MAIN!$I317, ""), "", MAIN!$B317)</f>
        <v/>
      </c>
      <c r="D317" s="3" t="str">
        <f>IF(EXACT(MAIN!$I317, ""), "", MAIN!$C317)</f>
        <v/>
      </c>
      <c r="E317" s="3" t="str">
        <f>IF(EXACT(MAIN!$I317, ""), "", MAIN!$D317)</f>
        <v/>
      </c>
      <c r="F317" s="27" t="str">
        <f>IF(EXACT(MAIN!$I317, ""), "", ""&amp;MAIN!$F317)</f>
        <v/>
      </c>
    </row>
    <row r="318" spans="2:6" x14ac:dyDescent="0.2">
      <c r="B318" s="25" t="str">
        <f>IF(EXACT(MAIN!I318, ""), "", MAIN!H318)</f>
        <v/>
      </c>
      <c r="C318" s="3" t="str">
        <f>IF(EXACT(MAIN!$I318, ""), "", MAIN!$B318)</f>
        <v/>
      </c>
      <c r="D318" s="3" t="str">
        <f>IF(EXACT(MAIN!$I318, ""), "", MAIN!$C318)</f>
        <v/>
      </c>
      <c r="E318" s="3" t="str">
        <f>IF(EXACT(MAIN!$I318, ""), "", MAIN!$D318)</f>
        <v/>
      </c>
      <c r="F318" s="27" t="str">
        <f>IF(EXACT(MAIN!$I318, ""), "", ""&amp;MAIN!$F318)</f>
        <v/>
      </c>
    </row>
    <row r="319" spans="2:6" x14ac:dyDescent="0.2">
      <c r="B319" s="25" t="str">
        <f>IF(EXACT(MAIN!I319, ""), "", MAIN!H319)</f>
        <v/>
      </c>
      <c r="C319" s="3" t="str">
        <f>IF(EXACT(MAIN!$I319, ""), "", MAIN!$B319)</f>
        <v/>
      </c>
      <c r="D319" s="3" t="str">
        <f>IF(EXACT(MAIN!$I319, ""), "", MAIN!$C319)</f>
        <v/>
      </c>
      <c r="E319" s="3" t="str">
        <f>IF(EXACT(MAIN!$I319, ""), "", MAIN!$D319)</f>
        <v/>
      </c>
      <c r="F319" s="27" t="str">
        <f>IF(EXACT(MAIN!$I319, ""), "", ""&amp;MAIN!$F319)</f>
        <v/>
      </c>
    </row>
    <row r="320" spans="2:6" x14ac:dyDescent="0.2">
      <c r="B320" s="25" t="str">
        <f>IF(EXACT(MAIN!I320, ""), "", MAIN!H320)</f>
        <v/>
      </c>
      <c r="C320" s="3" t="str">
        <f>IF(EXACT(MAIN!$I320, ""), "", MAIN!$B320)</f>
        <v/>
      </c>
      <c r="D320" s="3" t="str">
        <f>IF(EXACT(MAIN!$I320, ""), "", MAIN!$C320)</f>
        <v/>
      </c>
      <c r="E320" s="3" t="str">
        <f>IF(EXACT(MAIN!$I320, ""), "", MAIN!$D320)</f>
        <v/>
      </c>
      <c r="F320" s="27" t="str">
        <f>IF(EXACT(MAIN!$I320, ""), "", ""&amp;MAIN!$F320)</f>
        <v/>
      </c>
    </row>
    <row r="321" spans="2:6" x14ac:dyDescent="0.2">
      <c r="B321" s="25" t="str">
        <f>IF(EXACT(MAIN!I321, ""), "", MAIN!H321)</f>
        <v/>
      </c>
      <c r="C321" s="3" t="str">
        <f>IF(EXACT(MAIN!$I321, ""), "", MAIN!$B321)</f>
        <v/>
      </c>
      <c r="D321" s="3" t="str">
        <f>IF(EXACT(MAIN!$I321, ""), "", MAIN!$C321)</f>
        <v/>
      </c>
      <c r="E321" s="3" t="str">
        <f>IF(EXACT(MAIN!$I321, ""), "", MAIN!$D321)</f>
        <v/>
      </c>
      <c r="F321" s="27" t="str">
        <f>IF(EXACT(MAIN!$I321, ""), "", ""&amp;MAIN!$F321)</f>
        <v/>
      </c>
    </row>
    <row r="322" spans="2:6" x14ac:dyDescent="0.2">
      <c r="B322" s="25" t="str">
        <f>IF(EXACT(MAIN!I322, ""), "", MAIN!H322)</f>
        <v/>
      </c>
      <c r="C322" s="3" t="str">
        <f>IF(EXACT(MAIN!$I322, ""), "", MAIN!$B322)</f>
        <v/>
      </c>
      <c r="D322" s="3" t="str">
        <f>IF(EXACT(MAIN!$I322, ""), "", MAIN!$C322)</f>
        <v/>
      </c>
      <c r="E322" s="3" t="str">
        <f>IF(EXACT(MAIN!$I322, ""), "", MAIN!$D322)</f>
        <v/>
      </c>
      <c r="F322" s="27" t="str">
        <f>IF(EXACT(MAIN!$I322, ""), "", ""&amp;MAIN!$F322)</f>
        <v/>
      </c>
    </row>
    <row r="323" spans="2:6" x14ac:dyDescent="0.2">
      <c r="B323" s="25" t="str">
        <f>IF(EXACT(MAIN!I323, ""), "", MAIN!H323)</f>
        <v/>
      </c>
      <c r="C323" s="3" t="str">
        <f>IF(EXACT(MAIN!$I323, ""), "", MAIN!$B323)</f>
        <v/>
      </c>
      <c r="D323" s="3" t="str">
        <f>IF(EXACT(MAIN!$I323, ""), "", MAIN!$C323)</f>
        <v/>
      </c>
      <c r="E323" s="3" t="str">
        <f>IF(EXACT(MAIN!$I323, ""), "", MAIN!$D323)</f>
        <v/>
      </c>
      <c r="F323" s="27" t="str">
        <f>IF(EXACT(MAIN!$I323, ""), "", ""&amp;MAIN!$F323)</f>
        <v/>
      </c>
    </row>
    <row r="324" spans="2:6" x14ac:dyDescent="0.2">
      <c r="B324" s="25" t="str">
        <f>IF(EXACT(MAIN!I324, ""), "", MAIN!H324)</f>
        <v/>
      </c>
      <c r="C324" s="3" t="str">
        <f>IF(EXACT(MAIN!$I324, ""), "", MAIN!$B324)</f>
        <v/>
      </c>
      <c r="D324" s="3" t="str">
        <f>IF(EXACT(MAIN!$I324, ""), "", MAIN!$C324)</f>
        <v/>
      </c>
      <c r="E324" s="3" t="str">
        <f>IF(EXACT(MAIN!$I324, ""), "", MAIN!$D324)</f>
        <v/>
      </c>
      <c r="F324" s="27" t="str">
        <f>IF(EXACT(MAIN!$I324, ""), "", ""&amp;MAIN!$F324)</f>
        <v/>
      </c>
    </row>
    <row r="325" spans="2:6" x14ac:dyDescent="0.2">
      <c r="B325" s="25" t="str">
        <f>IF(EXACT(MAIN!I325, ""), "", MAIN!H325)</f>
        <v/>
      </c>
      <c r="C325" s="3" t="str">
        <f>IF(EXACT(MAIN!$I325, ""), "", MAIN!$B325)</f>
        <v/>
      </c>
      <c r="D325" s="3" t="str">
        <f>IF(EXACT(MAIN!$I325, ""), "", MAIN!$C325)</f>
        <v/>
      </c>
      <c r="E325" s="3" t="str">
        <f>IF(EXACT(MAIN!$I325, ""), "", MAIN!$D325)</f>
        <v/>
      </c>
      <c r="F325" s="27" t="str">
        <f>IF(EXACT(MAIN!$I325, ""), "", ""&amp;MAIN!$F325)</f>
        <v/>
      </c>
    </row>
    <row r="326" spans="2:6" x14ac:dyDescent="0.2">
      <c r="B326" s="25" t="str">
        <f>IF(EXACT(MAIN!I326, ""), "", MAIN!H326)</f>
        <v/>
      </c>
      <c r="C326" s="3" t="str">
        <f>IF(EXACT(MAIN!$I326, ""), "", MAIN!$B326)</f>
        <v/>
      </c>
      <c r="D326" s="3" t="str">
        <f>IF(EXACT(MAIN!$I326, ""), "", MAIN!$C326)</f>
        <v/>
      </c>
      <c r="E326" s="3" t="str">
        <f>IF(EXACT(MAIN!$I326, ""), "", MAIN!$D326)</f>
        <v/>
      </c>
      <c r="F326" s="27" t="str">
        <f>IF(EXACT(MAIN!$I326, ""), "", ""&amp;MAIN!$F326)</f>
        <v/>
      </c>
    </row>
    <row r="327" spans="2:6" x14ac:dyDescent="0.2">
      <c r="B327" s="25" t="str">
        <f>IF(EXACT(MAIN!I327, ""), "", MAIN!H327)</f>
        <v/>
      </c>
      <c r="C327" s="3" t="str">
        <f>IF(EXACT(MAIN!$I327, ""), "", MAIN!$B327)</f>
        <v/>
      </c>
      <c r="D327" s="3" t="str">
        <f>IF(EXACT(MAIN!$I327, ""), "", MAIN!$C327)</f>
        <v/>
      </c>
      <c r="E327" s="3" t="str">
        <f>IF(EXACT(MAIN!$I327, ""), "", MAIN!$D327)</f>
        <v/>
      </c>
      <c r="F327" s="27" t="str">
        <f>IF(EXACT(MAIN!$I327, ""), "", ""&amp;MAIN!$F327)</f>
        <v/>
      </c>
    </row>
    <row r="328" spans="2:6" x14ac:dyDescent="0.2">
      <c r="B328" s="25" t="str">
        <f>IF(EXACT(MAIN!I328, ""), "", MAIN!H328)</f>
        <v/>
      </c>
      <c r="C328" s="3" t="str">
        <f>IF(EXACT(MAIN!$I328, ""), "", MAIN!$B328)</f>
        <v/>
      </c>
      <c r="D328" s="3" t="str">
        <f>IF(EXACT(MAIN!$I328, ""), "", MAIN!$C328)</f>
        <v/>
      </c>
      <c r="E328" s="3" t="str">
        <f>IF(EXACT(MAIN!$I328, ""), "", MAIN!$D328)</f>
        <v/>
      </c>
      <c r="F328" s="27" t="str">
        <f>IF(EXACT(MAIN!$I328, ""), "", ""&amp;MAIN!$F328)</f>
        <v/>
      </c>
    </row>
    <row r="329" spans="2:6" x14ac:dyDescent="0.2">
      <c r="B329" s="25" t="str">
        <f>IF(EXACT(MAIN!I329, ""), "", MAIN!H329)</f>
        <v/>
      </c>
      <c r="C329" s="3" t="str">
        <f>IF(EXACT(MAIN!$I329, ""), "", MAIN!$B329)</f>
        <v/>
      </c>
      <c r="D329" s="3" t="str">
        <f>IF(EXACT(MAIN!$I329, ""), "", MAIN!$C329)</f>
        <v/>
      </c>
      <c r="E329" s="3" t="str">
        <f>IF(EXACT(MAIN!$I329, ""), "", MAIN!$D329)</f>
        <v/>
      </c>
      <c r="F329" s="27" t="str">
        <f>IF(EXACT(MAIN!$I329, ""), "", ""&amp;MAIN!$F329)</f>
        <v/>
      </c>
    </row>
    <row r="330" spans="2:6" x14ac:dyDescent="0.2">
      <c r="B330" s="25" t="str">
        <f>IF(EXACT(MAIN!I330, ""), "", MAIN!H330)</f>
        <v/>
      </c>
      <c r="C330" s="3" t="str">
        <f>IF(EXACT(MAIN!$I330, ""), "", MAIN!$B330)</f>
        <v/>
      </c>
      <c r="D330" s="3" t="str">
        <f>IF(EXACT(MAIN!$I330, ""), "", MAIN!$C330)</f>
        <v/>
      </c>
      <c r="E330" s="3" t="str">
        <f>IF(EXACT(MAIN!$I330, ""), "", MAIN!$D330)</f>
        <v/>
      </c>
      <c r="F330" s="27" t="str">
        <f>IF(EXACT(MAIN!$I330, ""), "", ""&amp;MAIN!$F330)</f>
        <v/>
      </c>
    </row>
    <row r="331" spans="2:6" x14ac:dyDescent="0.2">
      <c r="B331" s="25" t="str">
        <f>IF(EXACT(MAIN!I331, ""), "", MAIN!H331)</f>
        <v/>
      </c>
      <c r="C331" s="3" t="str">
        <f>IF(EXACT(MAIN!$I331, ""), "", MAIN!$B331)</f>
        <v/>
      </c>
      <c r="D331" s="3" t="str">
        <f>IF(EXACT(MAIN!$I331, ""), "", MAIN!$C331)</f>
        <v/>
      </c>
      <c r="E331" s="3" t="str">
        <f>IF(EXACT(MAIN!$I331, ""), "", MAIN!$D331)</f>
        <v/>
      </c>
      <c r="F331" s="27" t="str">
        <f>IF(EXACT(MAIN!$I331, ""), "", ""&amp;MAIN!$F331)</f>
        <v/>
      </c>
    </row>
    <row r="332" spans="2:6" x14ac:dyDescent="0.2">
      <c r="B332" s="25" t="str">
        <f>IF(EXACT(MAIN!I332, ""), "", MAIN!H332)</f>
        <v/>
      </c>
      <c r="C332" s="3" t="str">
        <f>IF(EXACT(MAIN!$I332, ""), "", MAIN!$B332)</f>
        <v/>
      </c>
      <c r="D332" s="3" t="str">
        <f>IF(EXACT(MAIN!$I332, ""), "", MAIN!$C332)</f>
        <v/>
      </c>
      <c r="E332" s="3" t="str">
        <f>IF(EXACT(MAIN!$I332, ""), "", MAIN!$D332)</f>
        <v/>
      </c>
      <c r="F332" s="27" t="str">
        <f>IF(EXACT(MAIN!$I332, ""), "", ""&amp;MAIN!$F332)</f>
        <v/>
      </c>
    </row>
    <row r="333" spans="2:6" x14ac:dyDescent="0.2">
      <c r="B333" s="25" t="str">
        <f>IF(EXACT(MAIN!I333, ""), "", MAIN!H333)</f>
        <v/>
      </c>
      <c r="C333" s="3" t="str">
        <f>IF(EXACT(MAIN!$I333, ""), "", MAIN!$B333)</f>
        <v/>
      </c>
      <c r="D333" s="3" t="str">
        <f>IF(EXACT(MAIN!$I333, ""), "", MAIN!$C333)</f>
        <v/>
      </c>
      <c r="E333" s="3" t="str">
        <f>IF(EXACT(MAIN!$I333, ""), "", MAIN!$D333)</f>
        <v/>
      </c>
      <c r="F333" s="27" t="str">
        <f>IF(EXACT(MAIN!$I333, ""), "", ""&amp;MAIN!$F333)</f>
        <v/>
      </c>
    </row>
    <row r="334" spans="2:6" x14ac:dyDescent="0.2">
      <c r="B334" s="25" t="str">
        <f>IF(EXACT(MAIN!I334, ""), "", MAIN!H334)</f>
        <v/>
      </c>
      <c r="C334" s="3" t="str">
        <f>IF(EXACT(MAIN!$I334, ""), "", MAIN!$B334)</f>
        <v/>
      </c>
      <c r="D334" s="3" t="str">
        <f>IF(EXACT(MAIN!$I334, ""), "", MAIN!$C334)</f>
        <v/>
      </c>
      <c r="E334" s="3" t="str">
        <f>IF(EXACT(MAIN!$I334, ""), "", MAIN!$D334)</f>
        <v/>
      </c>
      <c r="F334" s="27" t="str">
        <f>IF(EXACT(MAIN!$I334, ""), "", ""&amp;MAIN!$F334)</f>
        <v/>
      </c>
    </row>
    <row r="335" spans="2:6" x14ac:dyDescent="0.2">
      <c r="B335" s="25" t="str">
        <f>IF(EXACT(MAIN!I335, ""), "", MAIN!H335)</f>
        <v/>
      </c>
      <c r="C335" s="3" t="str">
        <f>IF(EXACT(MAIN!$I335, ""), "", MAIN!$B335)</f>
        <v/>
      </c>
      <c r="D335" s="3" t="str">
        <f>IF(EXACT(MAIN!$I335, ""), "", MAIN!$C335)</f>
        <v/>
      </c>
      <c r="E335" s="3" t="str">
        <f>IF(EXACT(MAIN!$I335, ""), "", MAIN!$D335)</f>
        <v/>
      </c>
      <c r="F335" s="27" t="str">
        <f>IF(EXACT(MAIN!$I335, ""), "", ""&amp;MAIN!$F335)</f>
        <v/>
      </c>
    </row>
    <row r="336" spans="2:6" x14ac:dyDescent="0.2">
      <c r="B336" s="25" t="str">
        <f>IF(EXACT(MAIN!I336, ""), "", MAIN!H336)</f>
        <v/>
      </c>
      <c r="C336" s="3" t="str">
        <f>IF(EXACT(MAIN!$I336, ""), "", MAIN!$B336)</f>
        <v/>
      </c>
      <c r="D336" s="3" t="str">
        <f>IF(EXACT(MAIN!$I336, ""), "", MAIN!$C336)</f>
        <v/>
      </c>
      <c r="E336" s="3" t="str">
        <f>IF(EXACT(MAIN!$I336, ""), "", MAIN!$D336)</f>
        <v/>
      </c>
      <c r="F336" s="27" t="str">
        <f>IF(EXACT(MAIN!$I336, ""), "", ""&amp;MAIN!$F336)</f>
        <v/>
      </c>
    </row>
    <row r="337" spans="2:6" x14ac:dyDescent="0.2">
      <c r="B337" s="25" t="str">
        <f>IF(EXACT(MAIN!I337, ""), "", MAIN!H337)</f>
        <v/>
      </c>
      <c r="C337" s="3" t="str">
        <f>IF(EXACT(MAIN!$I337, ""), "", MAIN!$B337)</f>
        <v/>
      </c>
      <c r="D337" s="3" t="str">
        <f>IF(EXACT(MAIN!$I337, ""), "", MAIN!$C337)</f>
        <v/>
      </c>
      <c r="E337" s="3" t="str">
        <f>IF(EXACT(MAIN!$I337, ""), "", MAIN!$D337)</f>
        <v/>
      </c>
      <c r="F337" s="27" t="str">
        <f>IF(EXACT(MAIN!$I337, ""), "", ""&amp;MAIN!$F337)</f>
        <v/>
      </c>
    </row>
    <row r="338" spans="2:6" x14ac:dyDescent="0.2">
      <c r="B338" s="25" t="str">
        <f>IF(EXACT(MAIN!I338, ""), "", MAIN!H338)</f>
        <v/>
      </c>
      <c r="C338" s="3" t="str">
        <f>IF(EXACT(MAIN!$I338, ""), "", MAIN!$B338)</f>
        <v/>
      </c>
      <c r="D338" s="3" t="str">
        <f>IF(EXACT(MAIN!$I338, ""), "", MAIN!$C338)</f>
        <v/>
      </c>
      <c r="E338" s="3" t="str">
        <f>IF(EXACT(MAIN!$I338, ""), "", MAIN!$D338)</f>
        <v/>
      </c>
      <c r="F338" s="27" t="str">
        <f>IF(EXACT(MAIN!$I338, ""), "", ""&amp;MAIN!$F338)</f>
        <v/>
      </c>
    </row>
    <row r="339" spans="2:6" x14ac:dyDescent="0.2">
      <c r="B339" s="25" t="str">
        <f>IF(EXACT(MAIN!I339, ""), "", MAIN!H339)</f>
        <v/>
      </c>
      <c r="C339" s="3" t="str">
        <f>IF(EXACT(MAIN!$I339, ""), "", MAIN!$B339)</f>
        <v/>
      </c>
      <c r="D339" s="3" t="str">
        <f>IF(EXACT(MAIN!$I339, ""), "", MAIN!$C339)</f>
        <v/>
      </c>
      <c r="E339" s="3" t="str">
        <f>IF(EXACT(MAIN!$I339, ""), "", MAIN!$D339)</f>
        <v/>
      </c>
      <c r="F339" s="27" t="str">
        <f>IF(EXACT(MAIN!$I339, ""), "", ""&amp;MAIN!$F339)</f>
        <v/>
      </c>
    </row>
    <row r="340" spans="2:6" x14ac:dyDescent="0.2">
      <c r="B340" s="25" t="str">
        <f>IF(EXACT(MAIN!I340, ""), "", MAIN!H340)</f>
        <v/>
      </c>
      <c r="C340" s="3" t="str">
        <f>IF(EXACT(MAIN!$I340, ""), "", MAIN!$B340)</f>
        <v/>
      </c>
      <c r="D340" s="3" t="str">
        <f>IF(EXACT(MAIN!$I340, ""), "", MAIN!$C340)</f>
        <v/>
      </c>
      <c r="E340" s="3" t="str">
        <f>IF(EXACT(MAIN!$I340, ""), "", MAIN!$D340)</f>
        <v/>
      </c>
      <c r="F340" s="27" t="str">
        <f>IF(EXACT(MAIN!$I340, ""), "", ""&amp;MAIN!$F340)</f>
        <v/>
      </c>
    </row>
    <row r="341" spans="2:6" x14ac:dyDescent="0.2">
      <c r="B341" s="25" t="str">
        <f>IF(EXACT(MAIN!I341, ""), "", MAIN!H341)</f>
        <v/>
      </c>
      <c r="C341" s="3" t="str">
        <f>IF(EXACT(MAIN!$I341, ""), "", MAIN!$B341)</f>
        <v/>
      </c>
      <c r="D341" s="3" t="str">
        <f>IF(EXACT(MAIN!$I341, ""), "", MAIN!$C341)</f>
        <v/>
      </c>
      <c r="E341" s="3" t="str">
        <f>IF(EXACT(MAIN!$I341, ""), "", MAIN!$D341)</f>
        <v/>
      </c>
      <c r="F341" s="27" t="str">
        <f>IF(EXACT(MAIN!$I341, ""), "", ""&amp;MAIN!$F341)</f>
        <v/>
      </c>
    </row>
    <row r="342" spans="2:6" x14ac:dyDescent="0.2">
      <c r="B342" s="25" t="str">
        <f>IF(EXACT(MAIN!I342, ""), "", MAIN!H342)</f>
        <v/>
      </c>
      <c r="C342" s="3" t="str">
        <f>IF(EXACT(MAIN!$I342, ""), "", MAIN!$B342)</f>
        <v/>
      </c>
      <c r="D342" s="3" t="str">
        <f>IF(EXACT(MAIN!$I342, ""), "", MAIN!$C342)</f>
        <v/>
      </c>
      <c r="E342" s="3" t="str">
        <f>IF(EXACT(MAIN!$I342, ""), "", MAIN!$D342)</f>
        <v/>
      </c>
      <c r="F342" s="27" t="str">
        <f>IF(EXACT(MAIN!$I342, ""), "", ""&amp;MAIN!$F342)</f>
        <v/>
      </c>
    </row>
    <row r="343" spans="2:6" x14ac:dyDescent="0.2">
      <c r="B343" s="25" t="str">
        <f>IF(EXACT(MAIN!I343, ""), "", MAIN!H343)</f>
        <v/>
      </c>
      <c r="C343" s="3" t="str">
        <f>IF(EXACT(MAIN!$I343, ""), "", MAIN!$B343)</f>
        <v/>
      </c>
      <c r="D343" s="3" t="str">
        <f>IF(EXACT(MAIN!$I343, ""), "", MAIN!$C343)</f>
        <v/>
      </c>
      <c r="E343" s="3" t="str">
        <f>IF(EXACT(MAIN!$I343, ""), "", MAIN!$D343)</f>
        <v/>
      </c>
      <c r="F343" s="27" t="str">
        <f>IF(EXACT(MAIN!$I343, ""), "", ""&amp;MAIN!$F343)</f>
        <v/>
      </c>
    </row>
    <row r="344" spans="2:6" x14ac:dyDescent="0.2">
      <c r="B344" s="25" t="str">
        <f>IF(EXACT(MAIN!I344, ""), "", MAIN!H344)</f>
        <v/>
      </c>
      <c r="C344" s="3" t="str">
        <f>IF(EXACT(MAIN!$I344, ""), "", MAIN!$B344)</f>
        <v/>
      </c>
      <c r="D344" s="3" t="str">
        <f>IF(EXACT(MAIN!$I344, ""), "", MAIN!$C344)</f>
        <v/>
      </c>
      <c r="E344" s="3" t="str">
        <f>IF(EXACT(MAIN!$I344, ""), "", MAIN!$D344)</f>
        <v/>
      </c>
      <c r="F344" s="27" t="str">
        <f>IF(EXACT(MAIN!$I344, ""), "", ""&amp;MAIN!$F344)</f>
        <v/>
      </c>
    </row>
    <row r="345" spans="2:6" x14ac:dyDescent="0.2">
      <c r="B345" s="25" t="str">
        <f>IF(EXACT(MAIN!I345, ""), "", MAIN!H345)</f>
        <v/>
      </c>
      <c r="C345" s="3" t="str">
        <f>IF(EXACT(MAIN!$I345, ""), "", MAIN!$B345)</f>
        <v/>
      </c>
      <c r="D345" s="3" t="str">
        <f>IF(EXACT(MAIN!$I345, ""), "", MAIN!$C345)</f>
        <v/>
      </c>
      <c r="E345" s="3" t="str">
        <f>IF(EXACT(MAIN!$I345, ""), "", MAIN!$D345)</f>
        <v/>
      </c>
      <c r="F345" s="27" t="str">
        <f>IF(EXACT(MAIN!$I345, ""), "", ""&amp;MAIN!$F345)</f>
        <v/>
      </c>
    </row>
    <row r="346" spans="2:6" x14ac:dyDescent="0.2">
      <c r="B346" s="25" t="str">
        <f>IF(EXACT(MAIN!I346, ""), "", MAIN!H346)</f>
        <v/>
      </c>
      <c r="C346" s="3" t="str">
        <f>IF(EXACT(MAIN!$I346, ""), "", MAIN!$B346)</f>
        <v/>
      </c>
      <c r="D346" s="3" t="str">
        <f>IF(EXACT(MAIN!$I346, ""), "", MAIN!$C346)</f>
        <v/>
      </c>
      <c r="E346" s="3" t="str">
        <f>IF(EXACT(MAIN!$I346, ""), "", MAIN!$D346)</f>
        <v/>
      </c>
      <c r="F346" s="27" t="str">
        <f>IF(EXACT(MAIN!$I346, ""), "", ""&amp;MAIN!$F346)</f>
        <v/>
      </c>
    </row>
    <row r="347" spans="2:6" x14ac:dyDescent="0.2">
      <c r="B347" s="25" t="str">
        <f>IF(EXACT(MAIN!I347, ""), "", MAIN!H347)</f>
        <v/>
      </c>
      <c r="C347" s="3" t="str">
        <f>IF(EXACT(MAIN!$I347, ""), "", MAIN!$B347)</f>
        <v/>
      </c>
      <c r="D347" s="3" t="str">
        <f>IF(EXACT(MAIN!$I347, ""), "", MAIN!$C347)</f>
        <v/>
      </c>
      <c r="E347" s="3" t="str">
        <f>IF(EXACT(MAIN!$I347, ""), "", MAIN!$D347)</f>
        <v/>
      </c>
      <c r="F347" s="27" t="str">
        <f>IF(EXACT(MAIN!$I347, ""), "", ""&amp;MAIN!$F347)</f>
        <v/>
      </c>
    </row>
    <row r="348" spans="2:6" x14ac:dyDescent="0.2">
      <c r="B348" s="25" t="str">
        <f>IF(EXACT(MAIN!I348, ""), "", MAIN!H348)</f>
        <v/>
      </c>
      <c r="C348" s="3" t="str">
        <f>IF(EXACT(MAIN!$I348, ""), "", MAIN!$B348)</f>
        <v/>
      </c>
      <c r="D348" s="3" t="str">
        <f>IF(EXACT(MAIN!$I348, ""), "", MAIN!$C348)</f>
        <v/>
      </c>
      <c r="E348" s="3" t="str">
        <f>IF(EXACT(MAIN!$I348, ""), "", MAIN!$D348)</f>
        <v/>
      </c>
      <c r="F348" s="27" t="str">
        <f>IF(EXACT(MAIN!$I348, ""), "", ""&amp;MAIN!$F348)</f>
        <v/>
      </c>
    </row>
    <row r="349" spans="2:6" x14ac:dyDescent="0.2">
      <c r="B349" s="25" t="str">
        <f>IF(EXACT(MAIN!I349, ""), "", MAIN!H349)</f>
        <v/>
      </c>
      <c r="C349" s="3" t="str">
        <f>IF(EXACT(MAIN!$I349, ""), "", MAIN!$B349)</f>
        <v/>
      </c>
      <c r="D349" s="3" t="str">
        <f>IF(EXACT(MAIN!$I349, ""), "", MAIN!$C349)</f>
        <v/>
      </c>
      <c r="E349" s="3" t="str">
        <f>IF(EXACT(MAIN!$I349, ""), "", MAIN!$D349)</f>
        <v/>
      </c>
      <c r="F349" s="27" t="str">
        <f>IF(EXACT(MAIN!$I349, ""), "", ""&amp;MAIN!$F349)</f>
        <v/>
      </c>
    </row>
    <row r="350" spans="2:6" x14ac:dyDescent="0.2">
      <c r="B350" s="25">
        <f>IF(EXACT(MAIN!I350, ""), "", MAIN!H350)</f>
        <v>225000000000022</v>
      </c>
      <c r="C350" s="3">
        <f>IF(EXACT(MAIN!$I350, ""), "", MAIN!$B350)</f>
        <v>164000000000347</v>
      </c>
      <c r="D350" s="3" t="str">
        <f>IF(EXACT(MAIN!$I350, ""), "", MAIN!$C350)</f>
        <v>Redi Subekti</v>
      </c>
      <c r="E350" s="3">
        <f>IF(EXACT(MAIN!$I350, ""), "", MAIN!$D350)</f>
        <v>95000000000009</v>
      </c>
      <c r="F350" s="27" t="str">
        <f>IF(EXACT(MAIN!$I350, ""), "", ""&amp;MAIN!$F350)</f>
        <v/>
      </c>
    </row>
    <row r="351" spans="2:6" x14ac:dyDescent="0.2">
      <c r="B351" s="25" t="str">
        <f>IF(EXACT(MAIN!I351, ""), "", MAIN!H351)</f>
        <v/>
      </c>
      <c r="C351" s="3" t="str">
        <f>IF(EXACT(MAIN!$I351, ""), "", MAIN!$B351)</f>
        <v/>
      </c>
      <c r="D351" s="3" t="str">
        <f>IF(EXACT(MAIN!$I351, ""), "", MAIN!$C351)</f>
        <v/>
      </c>
      <c r="E351" s="3" t="str">
        <f>IF(EXACT(MAIN!$I351, ""), "", MAIN!$D351)</f>
        <v/>
      </c>
      <c r="F351" s="27" t="str">
        <f>IF(EXACT(MAIN!$I351, ""), "", ""&amp;MAIN!$F351)</f>
        <v/>
      </c>
    </row>
    <row r="352" spans="2:6" x14ac:dyDescent="0.2">
      <c r="B352" s="25" t="str">
        <f>IF(EXACT(MAIN!I352, ""), "", MAIN!H352)</f>
        <v/>
      </c>
      <c r="C352" s="3" t="str">
        <f>IF(EXACT(MAIN!$I352, ""), "", MAIN!$B352)</f>
        <v/>
      </c>
      <c r="D352" s="3" t="str">
        <f>IF(EXACT(MAIN!$I352, ""), "", MAIN!$C352)</f>
        <v/>
      </c>
      <c r="E352" s="3" t="str">
        <f>IF(EXACT(MAIN!$I352, ""), "", MAIN!$D352)</f>
        <v/>
      </c>
      <c r="F352" s="27" t="str">
        <f>IF(EXACT(MAIN!$I352, ""), "", ""&amp;MAIN!$F352)</f>
        <v/>
      </c>
    </row>
    <row r="353" spans="2:6" x14ac:dyDescent="0.2">
      <c r="B353" s="25" t="str">
        <f>IF(EXACT(MAIN!I353, ""), "", MAIN!H353)</f>
        <v/>
      </c>
      <c r="C353" s="3" t="str">
        <f>IF(EXACT(MAIN!$I353, ""), "", MAIN!$B353)</f>
        <v/>
      </c>
      <c r="D353" s="3" t="str">
        <f>IF(EXACT(MAIN!$I353, ""), "", MAIN!$C353)</f>
        <v/>
      </c>
      <c r="E353" s="3" t="str">
        <f>IF(EXACT(MAIN!$I353, ""), "", MAIN!$D353)</f>
        <v/>
      </c>
      <c r="F353" s="27" t="str">
        <f>IF(EXACT(MAIN!$I353, ""), "", ""&amp;MAIN!$F353)</f>
        <v/>
      </c>
    </row>
    <row r="354" spans="2:6" x14ac:dyDescent="0.2">
      <c r="B354" s="25" t="str">
        <f>IF(EXACT(MAIN!I354, ""), "", MAIN!H354)</f>
        <v/>
      </c>
      <c r="C354" s="3" t="str">
        <f>IF(EXACT(MAIN!$I354, ""), "", MAIN!$B354)</f>
        <v/>
      </c>
      <c r="D354" s="3" t="str">
        <f>IF(EXACT(MAIN!$I354, ""), "", MAIN!$C354)</f>
        <v/>
      </c>
      <c r="E354" s="3" t="str">
        <f>IF(EXACT(MAIN!$I354, ""), "", MAIN!$D354)</f>
        <v/>
      </c>
      <c r="F354" s="27" t="str">
        <f>IF(EXACT(MAIN!$I354, ""), "", ""&amp;MAIN!$F354)</f>
        <v/>
      </c>
    </row>
    <row r="355" spans="2:6" x14ac:dyDescent="0.2">
      <c r="B355" s="25" t="str">
        <f>IF(EXACT(MAIN!I355, ""), "", MAIN!H355)</f>
        <v/>
      </c>
      <c r="C355" s="3" t="str">
        <f>IF(EXACT(MAIN!$I355, ""), "", MAIN!$B355)</f>
        <v/>
      </c>
      <c r="D355" s="3" t="str">
        <f>IF(EXACT(MAIN!$I355, ""), "", MAIN!$C355)</f>
        <v/>
      </c>
      <c r="E355" s="3" t="str">
        <f>IF(EXACT(MAIN!$I355, ""), "", MAIN!$D355)</f>
        <v/>
      </c>
      <c r="F355" s="27" t="str">
        <f>IF(EXACT(MAIN!$I355, ""), "", ""&amp;MAIN!$F355)</f>
        <v/>
      </c>
    </row>
    <row r="356" spans="2:6" x14ac:dyDescent="0.2">
      <c r="B356" s="25" t="str">
        <f>IF(EXACT(MAIN!I356, ""), "", MAIN!H356)</f>
        <v/>
      </c>
      <c r="C356" s="3" t="str">
        <f>IF(EXACT(MAIN!$I356, ""), "", MAIN!$B356)</f>
        <v/>
      </c>
      <c r="D356" s="3" t="str">
        <f>IF(EXACT(MAIN!$I356, ""), "", MAIN!$C356)</f>
        <v/>
      </c>
      <c r="E356" s="3" t="str">
        <f>IF(EXACT(MAIN!$I356, ""), "", MAIN!$D356)</f>
        <v/>
      </c>
      <c r="F356" s="27" t="str">
        <f>IF(EXACT(MAIN!$I356, ""), "", ""&amp;MAIN!$F356)</f>
        <v/>
      </c>
    </row>
    <row r="357" spans="2:6" x14ac:dyDescent="0.2">
      <c r="B357" s="25" t="str">
        <f>IF(EXACT(MAIN!I357, ""), "", MAIN!H357)</f>
        <v/>
      </c>
      <c r="C357" s="3" t="str">
        <f>IF(EXACT(MAIN!$I357, ""), "", MAIN!$B357)</f>
        <v/>
      </c>
      <c r="D357" s="3" t="str">
        <f>IF(EXACT(MAIN!$I357, ""), "", MAIN!$C357)</f>
        <v/>
      </c>
      <c r="E357" s="3" t="str">
        <f>IF(EXACT(MAIN!$I357, ""), "", MAIN!$D357)</f>
        <v/>
      </c>
      <c r="F357" s="27" t="str">
        <f>IF(EXACT(MAIN!$I357, ""), "", ""&amp;MAIN!$F357)</f>
        <v/>
      </c>
    </row>
    <row r="358" spans="2:6" x14ac:dyDescent="0.2">
      <c r="B358" s="25" t="str">
        <f>IF(EXACT(MAIN!I358, ""), "", MAIN!H358)</f>
        <v/>
      </c>
      <c r="C358" s="3" t="str">
        <f>IF(EXACT(MAIN!$I358, ""), "", MAIN!$B358)</f>
        <v/>
      </c>
      <c r="D358" s="3" t="str">
        <f>IF(EXACT(MAIN!$I358, ""), "", MAIN!$C358)</f>
        <v/>
      </c>
      <c r="E358" s="3" t="str">
        <f>IF(EXACT(MAIN!$I358, ""), "", MAIN!$D358)</f>
        <v/>
      </c>
      <c r="F358" s="27" t="str">
        <f>IF(EXACT(MAIN!$I358, ""), "", ""&amp;MAIN!$F358)</f>
        <v/>
      </c>
    </row>
    <row r="359" spans="2:6" x14ac:dyDescent="0.2">
      <c r="B359" s="25" t="str">
        <f>IF(EXACT(MAIN!I359, ""), "", MAIN!H359)</f>
        <v/>
      </c>
      <c r="C359" s="3" t="str">
        <f>IF(EXACT(MAIN!$I359, ""), "", MAIN!$B359)</f>
        <v/>
      </c>
      <c r="D359" s="3" t="str">
        <f>IF(EXACT(MAIN!$I359, ""), "", MAIN!$C359)</f>
        <v/>
      </c>
      <c r="E359" s="3" t="str">
        <f>IF(EXACT(MAIN!$I359, ""), "", MAIN!$D359)</f>
        <v/>
      </c>
      <c r="F359" s="27" t="str">
        <f>IF(EXACT(MAIN!$I359, ""), "", ""&amp;MAIN!$F359)</f>
        <v/>
      </c>
    </row>
    <row r="360" spans="2:6" x14ac:dyDescent="0.2">
      <c r="B360" s="25" t="str">
        <f>IF(EXACT(MAIN!I360, ""), "", MAIN!H360)</f>
        <v/>
      </c>
      <c r="C360" s="3" t="str">
        <f>IF(EXACT(MAIN!$I360, ""), "", MAIN!$B360)</f>
        <v/>
      </c>
      <c r="D360" s="3" t="str">
        <f>IF(EXACT(MAIN!$I360, ""), "", MAIN!$C360)</f>
        <v/>
      </c>
      <c r="E360" s="3" t="str">
        <f>IF(EXACT(MAIN!$I360, ""), "", MAIN!$D360)</f>
        <v/>
      </c>
      <c r="F360" s="27" t="str">
        <f>IF(EXACT(MAIN!$I360, ""), "", ""&amp;MAIN!$F360)</f>
        <v/>
      </c>
    </row>
    <row r="361" spans="2:6" x14ac:dyDescent="0.2">
      <c r="B361" s="25" t="str">
        <f>IF(EXACT(MAIN!I361, ""), "", MAIN!H361)</f>
        <v/>
      </c>
      <c r="C361" s="3" t="str">
        <f>IF(EXACT(MAIN!$I361, ""), "", MAIN!$B361)</f>
        <v/>
      </c>
      <c r="D361" s="3" t="str">
        <f>IF(EXACT(MAIN!$I361, ""), "", MAIN!$C361)</f>
        <v/>
      </c>
      <c r="E361" s="3" t="str">
        <f>IF(EXACT(MAIN!$I361, ""), "", MAIN!$D361)</f>
        <v/>
      </c>
      <c r="F361" s="27" t="str">
        <f>IF(EXACT(MAIN!$I361, ""), "", ""&amp;MAIN!$F361)</f>
        <v/>
      </c>
    </row>
    <row r="362" spans="2:6" x14ac:dyDescent="0.2">
      <c r="B362" s="25" t="str">
        <f>IF(EXACT(MAIN!I362, ""), "", MAIN!H362)</f>
        <v/>
      </c>
      <c r="C362" s="3" t="str">
        <f>IF(EXACT(MAIN!$I362, ""), "", MAIN!$B362)</f>
        <v/>
      </c>
      <c r="D362" s="3" t="str">
        <f>IF(EXACT(MAIN!$I362, ""), "", MAIN!$C362)</f>
        <v/>
      </c>
      <c r="E362" s="3" t="str">
        <f>IF(EXACT(MAIN!$I362, ""), "", MAIN!$D362)</f>
        <v/>
      </c>
      <c r="F362" s="27" t="str">
        <f>IF(EXACT(MAIN!$I362, ""), "", ""&amp;MAIN!$F362)</f>
        <v/>
      </c>
    </row>
    <row r="363" spans="2:6" x14ac:dyDescent="0.2">
      <c r="B363" s="25" t="str">
        <f>IF(EXACT(MAIN!I363, ""), "", MAIN!H363)</f>
        <v/>
      </c>
      <c r="C363" s="3" t="str">
        <f>IF(EXACT(MAIN!$I363, ""), "", MAIN!$B363)</f>
        <v/>
      </c>
      <c r="D363" s="3" t="str">
        <f>IF(EXACT(MAIN!$I363, ""), "", MAIN!$C363)</f>
        <v/>
      </c>
      <c r="E363" s="3" t="str">
        <f>IF(EXACT(MAIN!$I363, ""), "", MAIN!$D363)</f>
        <v/>
      </c>
      <c r="F363" s="27" t="str">
        <f>IF(EXACT(MAIN!$I363, ""), "", ""&amp;MAIN!$F363)</f>
        <v/>
      </c>
    </row>
    <row r="364" spans="2:6" x14ac:dyDescent="0.2">
      <c r="B364" s="25" t="str">
        <f>IF(EXACT(MAIN!I364, ""), "", MAIN!H364)</f>
        <v/>
      </c>
      <c r="C364" s="3" t="str">
        <f>IF(EXACT(MAIN!$I364, ""), "", MAIN!$B364)</f>
        <v/>
      </c>
      <c r="D364" s="3" t="str">
        <f>IF(EXACT(MAIN!$I364, ""), "", MAIN!$C364)</f>
        <v/>
      </c>
      <c r="E364" s="3" t="str">
        <f>IF(EXACT(MAIN!$I364, ""), "", MAIN!$D364)</f>
        <v/>
      </c>
      <c r="F364" s="27" t="str">
        <f>IF(EXACT(MAIN!$I364, ""), "", ""&amp;MAIN!$F364)</f>
        <v/>
      </c>
    </row>
    <row r="365" spans="2:6" x14ac:dyDescent="0.2">
      <c r="B365" s="25" t="str">
        <f>IF(EXACT(MAIN!I365, ""), "", MAIN!H365)</f>
        <v/>
      </c>
      <c r="C365" s="3" t="str">
        <f>IF(EXACT(MAIN!$I365, ""), "", MAIN!$B365)</f>
        <v/>
      </c>
      <c r="D365" s="3" t="str">
        <f>IF(EXACT(MAIN!$I365, ""), "", MAIN!$C365)</f>
        <v/>
      </c>
      <c r="E365" s="3" t="str">
        <f>IF(EXACT(MAIN!$I365, ""), "", MAIN!$D365)</f>
        <v/>
      </c>
      <c r="F365" s="27" t="str">
        <f>IF(EXACT(MAIN!$I365, ""), "", ""&amp;MAIN!$F365)</f>
        <v/>
      </c>
    </row>
    <row r="366" spans="2:6" x14ac:dyDescent="0.2">
      <c r="B366" s="25" t="str">
        <f>IF(EXACT(MAIN!I366, ""), "", MAIN!H366)</f>
        <v/>
      </c>
      <c r="C366" s="3" t="str">
        <f>IF(EXACT(MAIN!$I366, ""), "", MAIN!$B366)</f>
        <v/>
      </c>
      <c r="D366" s="3" t="str">
        <f>IF(EXACT(MAIN!$I366, ""), "", MAIN!$C366)</f>
        <v/>
      </c>
      <c r="E366" s="3" t="str">
        <f>IF(EXACT(MAIN!$I366, ""), "", MAIN!$D366)</f>
        <v/>
      </c>
      <c r="F366" s="27" t="str">
        <f>IF(EXACT(MAIN!$I366, ""), "", ""&amp;MAIN!$F366)</f>
        <v/>
      </c>
    </row>
    <row r="367" spans="2:6" x14ac:dyDescent="0.2">
      <c r="B367" s="25" t="str">
        <f>IF(EXACT(MAIN!I367, ""), "", MAIN!H367)</f>
        <v/>
      </c>
      <c r="C367" s="3" t="str">
        <f>IF(EXACT(MAIN!$I367, ""), "", MAIN!$B367)</f>
        <v/>
      </c>
      <c r="D367" s="3" t="str">
        <f>IF(EXACT(MAIN!$I367, ""), "", MAIN!$C367)</f>
        <v/>
      </c>
      <c r="E367" s="3" t="str">
        <f>IF(EXACT(MAIN!$I367, ""), "", MAIN!$D367)</f>
        <v/>
      </c>
      <c r="F367" s="27" t="str">
        <f>IF(EXACT(MAIN!$I367, ""), "", ""&amp;MAIN!$F367)</f>
        <v/>
      </c>
    </row>
    <row r="368" spans="2:6" x14ac:dyDescent="0.2">
      <c r="B368" s="25" t="str">
        <f>IF(EXACT(MAIN!I368, ""), "", MAIN!H368)</f>
        <v/>
      </c>
      <c r="C368" s="3" t="str">
        <f>IF(EXACT(MAIN!$I368, ""), "", MAIN!$B368)</f>
        <v/>
      </c>
      <c r="D368" s="3" t="str">
        <f>IF(EXACT(MAIN!$I368, ""), "", MAIN!$C368)</f>
        <v/>
      </c>
      <c r="E368" s="3" t="str">
        <f>IF(EXACT(MAIN!$I368, ""), "", MAIN!$D368)</f>
        <v/>
      </c>
      <c r="F368" s="27" t="str">
        <f>IF(EXACT(MAIN!$I368, ""), "", ""&amp;MAIN!$F368)</f>
        <v/>
      </c>
    </row>
    <row r="369" spans="2:6" x14ac:dyDescent="0.2">
      <c r="B369" s="25" t="str">
        <f>IF(EXACT(MAIN!I369, ""), "", MAIN!H369)</f>
        <v/>
      </c>
      <c r="C369" s="3" t="str">
        <f>IF(EXACT(MAIN!$I369, ""), "", MAIN!$B369)</f>
        <v/>
      </c>
      <c r="D369" s="3" t="str">
        <f>IF(EXACT(MAIN!$I369, ""), "", MAIN!$C369)</f>
        <v/>
      </c>
      <c r="E369" s="3" t="str">
        <f>IF(EXACT(MAIN!$I369, ""), "", MAIN!$D369)</f>
        <v/>
      </c>
      <c r="F369" s="27" t="str">
        <f>IF(EXACT(MAIN!$I369, ""), "", ""&amp;MAIN!$F369)</f>
        <v/>
      </c>
    </row>
    <row r="370" spans="2:6" x14ac:dyDescent="0.2">
      <c r="B370" s="25" t="str">
        <f>IF(EXACT(MAIN!I370, ""), "", MAIN!H370)</f>
        <v/>
      </c>
      <c r="C370" s="3" t="str">
        <f>IF(EXACT(MAIN!$I370, ""), "", MAIN!$B370)</f>
        <v/>
      </c>
      <c r="D370" s="3" t="str">
        <f>IF(EXACT(MAIN!$I370, ""), "", MAIN!$C370)</f>
        <v/>
      </c>
      <c r="E370" s="3" t="str">
        <f>IF(EXACT(MAIN!$I370, ""), "", MAIN!$D370)</f>
        <v/>
      </c>
      <c r="F370" s="27" t="str">
        <f>IF(EXACT(MAIN!$I370, ""), "", ""&amp;MAIN!$F370)</f>
        <v/>
      </c>
    </row>
    <row r="371" spans="2:6" x14ac:dyDescent="0.2">
      <c r="B371" s="25" t="str">
        <f>IF(EXACT(MAIN!I371, ""), "", MAIN!H371)</f>
        <v/>
      </c>
      <c r="C371" s="3" t="str">
        <f>IF(EXACT(MAIN!$I371, ""), "", MAIN!$B371)</f>
        <v/>
      </c>
      <c r="D371" s="3" t="str">
        <f>IF(EXACT(MAIN!$I371, ""), "", MAIN!$C371)</f>
        <v/>
      </c>
      <c r="E371" s="3" t="str">
        <f>IF(EXACT(MAIN!$I371, ""), "", MAIN!$D371)</f>
        <v/>
      </c>
      <c r="F371" s="27" t="str">
        <f>IF(EXACT(MAIN!$I371, ""), "", ""&amp;MAIN!$F371)</f>
        <v/>
      </c>
    </row>
    <row r="372" spans="2:6" x14ac:dyDescent="0.2">
      <c r="B372" s="25" t="str">
        <f>IF(EXACT(MAIN!I372, ""), "", MAIN!H372)</f>
        <v/>
      </c>
      <c r="C372" s="3" t="str">
        <f>IF(EXACT(MAIN!$I372, ""), "", MAIN!$B372)</f>
        <v/>
      </c>
      <c r="D372" s="3" t="str">
        <f>IF(EXACT(MAIN!$I372, ""), "", MAIN!$C372)</f>
        <v/>
      </c>
      <c r="E372" s="3" t="str">
        <f>IF(EXACT(MAIN!$I372, ""), "", MAIN!$D372)</f>
        <v/>
      </c>
      <c r="F372" s="27" t="str">
        <f>IF(EXACT(MAIN!$I372, ""), "", ""&amp;MAIN!$F372)</f>
        <v/>
      </c>
    </row>
    <row r="373" spans="2:6" x14ac:dyDescent="0.2">
      <c r="B373" s="25" t="str">
        <f>IF(EXACT(MAIN!I373, ""), "", MAIN!H373)</f>
        <v/>
      </c>
      <c r="C373" s="3" t="str">
        <f>IF(EXACT(MAIN!$I373, ""), "", MAIN!$B373)</f>
        <v/>
      </c>
      <c r="D373" s="3" t="str">
        <f>IF(EXACT(MAIN!$I373, ""), "", MAIN!$C373)</f>
        <v/>
      </c>
      <c r="E373" s="3" t="str">
        <f>IF(EXACT(MAIN!$I373, ""), "", MAIN!$D373)</f>
        <v/>
      </c>
      <c r="F373" s="27" t="str">
        <f>IF(EXACT(MAIN!$I373, ""), "", ""&amp;MAIN!$F373)</f>
        <v/>
      </c>
    </row>
    <row r="374" spans="2:6" x14ac:dyDescent="0.2">
      <c r="B374" s="25" t="str">
        <f>IF(EXACT(MAIN!I374, ""), "", MAIN!H374)</f>
        <v/>
      </c>
      <c r="C374" s="3" t="str">
        <f>IF(EXACT(MAIN!$I374, ""), "", MAIN!$B374)</f>
        <v/>
      </c>
      <c r="D374" s="3" t="str">
        <f>IF(EXACT(MAIN!$I374, ""), "", MAIN!$C374)</f>
        <v/>
      </c>
      <c r="E374" s="3" t="str">
        <f>IF(EXACT(MAIN!$I374, ""), "", MAIN!$D374)</f>
        <v/>
      </c>
      <c r="F374" s="27" t="str">
        <f>IF(EXACT(MAIN!$I374, ""), "", ""&amp;MAIN!$F374)</f>
        <v/>
      </c>
    </row>
    <row r="375" spans="2:6" x14ac:dyDescent="0.2">
      <c r="B375" s="25" t="str">
        <f>IF(EXACT(MAIN!I375, ""), "", MAIN!H375)</f>
        <v/>
      </c>
      <c r="C375" s="3" t="str">
        <f>IF(EXACT(MAIN!$I375, ""), "", MAIN!$B375)</f>
        <v/>
      </c>
      <c r="D375" s="3" t="str">
        <f>IF(EXACT(MAIN!$I375, ""), "", MAIN!$C375)</f>
        <v/>
      </c>
      <c r="E375" s="3" t="str">
        <f>IF(EXACT(MAIN!$I375, ""), "", MAIN!$D375)</f>
        <v/>
      </c>
      <c r="F375" s="27" t="str">
        <f>IF(EXACT(MAIN!$I375, ""), "", ""&amp;MAIN!$F375)</f>
        <v/>
      </c>
    </row>
    <row r="376" spans="2:6" x14ac:dyDescent="0.2">
      <c r="B376" s="25" t="str">
        <f>IF(EXACT(MAIN!I376, ""), "", MAIN!H376)</f>
        <v/>
      </c>
      <c r="C376" s="3" t="str">
        <f>IF(EXACT(MAIN!$I376, ""), "", MAIN!$B376)</f>
        <v/>
      </c>
      <c r="D376" s="3" t="str">
        <f>IF(EXACT(MAIN!$I376, ""), "", MAIN!$C376)</f>
        <v/>
      </c>
      <c r="E376" s="3" t="str">
        <f>IF(EXACT(MAIN!$I376, ""), "", MAIN!$D376)</f>
        <v/>
      </c>
      <c r="F376" s="27" t="str">
        <f>IF(EXACT(MAIN!$I376, ""), "", ""&amp;MAIN!$F376)</f>
        <v/>
      </c>
    </row>
    <row r="377" spans="2:6" x14ac:dyDescent="0.2">
      <c r="B377" s="25" t="str">
        <f>IF(EXACT(MAIN!I377, ""), "", MAIN!H377)</f>
        <v/>
      </c>
      <c r="C377" s="3" t="str">
        <f>IF(EXACT(MAIN!$I377, ""), "", MAIN!$B377)</f>
        <v/>
      </c>
      <c r="D377" s="3" t="str">
        <f>IF(EXACT(MAIN!$I377, ""), "", MAIN!$C377)</f>
        <v/>
      </c>
      <c r="E377" s="3" t="str">
        <f>IF(EXACT(MAIN!$I377, ""), "", MAIN!$D377)</f>
        <v/>
      </c>
      <c r="F377" s="27" t="str">
        <f>IF(EXACT(MAIN!$I377, ""), "", ""&amp;MAIN!$F377)</f>
        <v/>
      </c>
    </row>
    <row r="378" spans="2:6" x14ac:dyDescent="0.2">
      <c r="B378" s="25" t="str">
        <f>IF(EXACT(MAIN!I378, ""), "", MAIN!H378)</f>
        <v/>
      </c>
      <c r="C378" s="3" t="str">
        <f>IF(EXACT(MAIN!$I378, ""), "", MAIN!$B378)</f>
        <v/>
      </c>
      <c r="D378" s="3" t="str">
        <f>IF(EXACT(MAIN!$I378, ""), "", MAIN!$C378)</f>
        <v/>
      </c>
      <c r="E378" s="3" t="str">
        <f>IF(EXACT(MAIN!$I378, ""), "", MAIN!$D378)</f>
        <v/>
      </c>
      <c r="F378" s="27" t="str">
        <f>IF(EXACT(MAIN!$I378, ""), "", ""&amp;MAIN!$F378)</f>
        <v/>
      </c>
    </row>
    <row r="379" spans="2:6" x14ac:dyDescent="0.2">
      <c r="B379" s="25" t="str">
        <f>IF(EXACT(MAIN!I379, ""), "", MAIN!H379)</f>
        <v/>
      </c>
      <c r="C379" s="3" t="str">
        <f>IF(EXACT(MAIN!$I379, ""), "", MAIN!$B379)</f>
        <v/>
      </c>
      <c r="D379" s="3" t="str">
        <f>IF(EXACT(MAIN!$I379, ""), "", MAIN!$C379)</f>
        <v/>
      </c>
      <c r="E379" s="3" t="str">
        <f>IF(EXACT(MAIN!$I379, ""), "", MAIN!$D379)</f>
        <v/>
      </c>
      <c r="F379" s="27" t="str">
        <f>IF(EXACT(MAIN!$I379, ""), "", ""&amp;MAIN!$F379)</f>
        <v/>
      </c>
    </row>
    <row r="380" spans="2:6" x14ac:dyDescent="0.2">
      <c r="B380" s="25" t="str">
        <f>IF(EXACT(MAIN!I380, ""), "", MAIN!H380)</f>
        <v/>
      </c>
      <c r="C380" s="3" t="str">
        <f>IF(EXACT(MAIN!$I380, ""), "", MAIN!$B380)</f>
        <v/>
      </c>
      <c r="D380" s="3" t="str">
        <f>IF(EXACT(MAIN!$I380, ""), "", MAIN!$C380)</f>
        <v/>
      </c>
      <c r="E380" s="3" t="str">
        <f>IF(EXACT(MAIN!$I380, ""), "", MAIN!$D380)</f>
        <v/>
      </c>
      <c r="F380" s="27" t="str">
        <f>IF(EXACT(MAIN!$I380, ""), "", ""&amp;MAIN!$F380)</f>
        <v/>
      </c>
    </row>
    <row r="381" spans="2:6" x14ac:dyDescent="0.2">
      <c r="B381" s="25" t="str">
        <f>IF(EXACT(MAIN!I381, ""), "", MAIN!H381)</f>
        <v/>
      </c>
      <c r="C381" s="3" t="str">
        <f>IF(EXACT(MAIN!$I381, ""), "", MAIN!$B381)</f>
        <v/>
      </c>
      <c r="D381" s="3" t="str">
        <f>IF(EXACT(MAIN!$I381, ""), "", MAIN!$C381)</f>
        <v/>
      </c>
      <c r="E381" s="3" t="str">
        <f>IF(EXACT(MAIN!$I381, ""), "", MAIN!$D381)</f>
        <v/>
      </c>
      <c r="F381" s="27" t="str">
        <f>IF(EXACT(MAIN!$I381, ""), "", ""&amp;MAIN!$F381)</f>
        <v/>
      </c>
    </row>
    <row r="382" spans="2:6" x14ac:dyDescent="0.2">
      <c r="B382" s="25" t="str">
        <f>IF(EXACT(MAIN!I382, ""), "", MAIN!H382)</f>
        <v/>
      </c>
      <c r="C382" s="3" t="str">
        <f>IF(EXACT(MAIN!$I382, ""), "", MAIN!$B382)</f>
        <v/>
      </c>
      <c r="D382" s="3" t="str">
        <f>IF(EXACT(MAIN!$I382, ""), "", MAIN!$C382)</f>
        <v/>
      </c>
      <c r="E382" s="3" t="str">
        <f>IF(EXACT(MAIN!$I382, ""), "", MAIN!$D382)</f>
        <v/>
      </c>
      <c r="F382" s="27" t="str">
        <f>IF(EXACT(MAIN!$I382, ""), "", ""&amp;MAIN!$F382)</f>
        <v/>
      </c>
    </row>
    <row r="383" spans="2:6" x14ac:dyDescent="0.2">
      <c r="B383" s="25" t="str">
        <f>IF(EXACT(MAIN!I383, ""), "", MAIN!H383)</f>
        <v/>
      </c>
      <c r="C383" s="3" t="str">
        <f>IF(EXACT(MAIN!$I383, ""), "", MAIN!$B383)</f>
        <v/>
      </c>
      <c r="D383" s="3" t="str">
        <f>IF(EXACT(MAIN!$I383, ""), "", MAIN!$C383)</f>
        <v/>
      </c>
      <c r="E383" s="3" t="str">
        <f>IF(EXACT(MAIN!$I383, ""), "", MAIN!$D383)</f>
        <v/>
      </c>
      <c r="F383" s="27" t="str">
        <f>IF(EXACT(MAIN!$I383, ""), "", ""&amp;MAIN!$F383)</f>
        <v/>
      </c>
    </row>
    <row r="384" spans="2:6" x14ac:dyDescent="0.2">
      <c r="B384" s="25">
        <f>IF(EXACT(MAIN!I384, ""), "", MAIN!H384)</f>
        <v>225000000000023</v>
      </c>
      <c r="C384" s="3">
        <f>IF(EXACT(MAIN!$I384, ""), "", MAIN!$B384)</f>
        <v>164000000000381</v>
      </c>
      <c r="D384" s="3" t="str">
        <f>IF(EXACT(MAIN!$I384, ""), "", MAIN!$C384)</f>
        <v>Sakinah Tantriani Lubis</v>
      </c>
      <c r="E384" s="3">
        <f>IF(EXACT(MAIN!$I384, ""), "", MAIN!$D384)</f>
        <v>95000000000029</v>
      </c>
      <c r="F384" s="27" t="str">
        <f>IF(EXACT(MAIN!$I384, ""), "", ""&amp;MAIN!$F384)</f>
        <v/>
      </c>
    </row>
    <row r="385" spans="2:6" x14ac:dyDescent="0.2">
      <c r="B385" s="25" t="str">
        <f>IF(EXACT(MAIN!I385, ""), "", MAIN!H385)</f>
        <v/>
      </c>
      <c r="C385" s="3" t="str">
        <f>IF(EXACT(MAIN!$I385, ""), "", MAIN!$B385)</f>
        <v/>
      </c>
      <c r="D385" s="3" t="str">
        <f>IF(EXACT(MAIN!$I385, ""), "", MAIN!$C385)</f>
        <v/>
      </c>
      <c r="E385" s="3" t="str">
        <f>IF(EXACT(MAIN!$I385, ""), "", MAIN!$D385)</f>
        <v/>
      </c>
      <c r="F385" s="27" t="str">
        <f>IF(EXACT(MAIN!$I385, ""), "", ""&amp;MAIN!$F385)</f>
        <v/>
      </c>
    </row>
    <row r="386" spans="2:6" x14ac:dyDescent="0.2">
      <c r="B386" s="25" t="str">
        <f>IF(EXACT(MAIN!I386, ""), "", MAIN!H386)</f>
        <v/>
      </c>
      <c r="C386" s="3" t="str">
        <f>IF(EXACT(MAIN!$I386, ""), "", MAIN!$B386)</f>
        <v/>
      </c>
      <c r="D386" s="3" t="str">
        <f>IF(EXACT(MAIN!$I386, ""), "", MAIN!$C386)</f>
        <v/>
      </c>
      <c r="E386" s="3" t="str">
        <f>IF(EXACT(MAIN!$I386, ""), "", MAIN!$D386)</f>
        <v/>
      </c>
      <c r="F386" s="27" t="str">
        <f>IF(EXACT(MAIN!$I386, ""), "", ""&amp;MAIN!$F386)</f>
        <v/>
      </c>
    </row>
    <row r="387" spans="2:6" x14ac:dyDescent="0.2">
      <c r="B387" s="25" t="str">
        <f>IF(EXACT(MAIN!I387, ""), "", MAIN!H387)</f>
        <v/>
      </c>
      <c r="C387" s="3" t="str">
        <f>IF(EXACT(MAIN!$I387, ""), "", MAIN!$B387)</f>
        <v/>
      </c>
      <c r="D387" s="3" t="str">
        <f>IF(EXACT(MAIN!$I387, ""), "", MAIN!$C387)</f>
        <v/>
      </c>
      <c r="E387" s="3" t="str">
        <f>IF(EXACT(MAIN!$I387, ""), "", MAIN!$D387)</f>
        <v/>
      </c>
      <c r="F387" s="27" t="str">
        <f>IF(EXACT(MAIN!$I387, ""), "", ""&amp;MAIN!$F387)</f>
        <v/>
      </c>
    </row>
    <row r="388" spans="2:6" x14ac:dyDescent="0.2">
      <c r="B388" s="25" t="str">
        <f>IF(EXACT(MAIN!I388, ""), "", MAIN!H388)</f>
        <v/>
      </c>
      <c r="C388" s="3" t="str">
        <f>IF(EXACT(MAIN!$I388, ""), "", MAIN!$B388)</f>
        <v/>
      </c>
      <c r="D388" s="3" t="str">
        <f>IF(EXACT(MAIN!$I388, ""), "", MAIN!$C388)</f>
        <v/>
      </c>
      <c r="E388" s="3" t="str">
        <f>IF(EXACT(MAIN!$I388, ""), "", MAIN!$D388)</f>
        <v/>
      </c>
      <c r="F388" s="27" t="str">
        <f>IF(EXACT(MAIN!$I388, ""), "", ""&amp;MAIN!$F388)</f>
        <v/>
      </c>
    </row>
    <row r="389" spans="2:6" x14ac:dyDescent="0.2">
      <c r="B389" s="25" t="str">
        <f>IF(EXACT(MAIN!I389, ""), "", MAIN!H389)</f>
        <v/>
      </c>
      <c r="C389" s="3" t="str">
        <f>IF(EXACT(MAIN!$I389, ""), "", MAIN!$B389)</f>
        <v/>
      </c>
      <c r="D389" s="3" t="str">
        <f>IF(EXACT(MAIN!$I389, ""), "", MAIN!$C389)</f>
        <v/>
      </c>
      <c r="E389" s="3" t="str">
        <f>IF(EXACT(MAIN!$I389, ""), "", MAIN!$D389)</f>
        <v/>
      </c>
      <c r="F389" s="27" t="str">
        <f>IF(EXACT(MAIN!$I389, ""), "", ""&amp;MAIN!$F389)</f>
        <v/>
      </c>
    </row>
    <row r="390" spans="2:6" x14ac:dyDescent="0.2">
      <c r="B390" s="25" t="str">
        <f>IF(EXACT(MAIN!I390, ""), "", MAIN!H390)</f>
        <v/>
      </c>
      <c r="C390" s="3" t="str">
        <f>IF(EXACT(MAIN!$I390, ""), "", MAIN!$B390)</f>
        <v/>
      </c>
      <c r="D390" s="3" t="str">
        <f>IF(EXACT(MAIN!$I390, ""), "", MAIN!$C390)</f>
        <v/>
      </c>
      <c r="E390" s="3" t="str">
        <f>IF(EXACT(MAIN!$I390, ""), "", MAIN!$D390)</f>
        <v/>
      </c>
      <c r="F390" s="27" t="str">
        <f>IF(EXACT(MAIN!$I390, ""), "", ""&amp;MAIN!$F390)</f>
        <v/>
      </c>
    </row>
    <row r="391" spans="2:6" x14ac:dyDescent="0.2">
      <c r="B391" s="25" t="str">
        <f>IF(EXACT(MAIN!I391, ""), "", MAIN!H391)</f>
        <v/>
      </c>
      <c r="C391" s="3" t="str">
        <f>IF(EXACT(MAIN!$I391, ""), "", MAIN!$B391)</f>
        <v/>
      </c>
      <c r="D391" s="3" t="str">
        <f>IF(EXACT(MAIN!$I391, ""), "", MAIN!$C391)</f>
        <v/>
      </c>
      <c r="E391" s="3" t="str">
        <f>IF(EXACT(MAIN!$I391, ""), "", MAIN!$D391)</f>
        <v/>
      </c>
      <c r="F391" s="27" t="str">
        <f>IF(EXACT(MAIN!$I391, ""), "", ""&amp;MAIN!$F391)</f>
        <v/>
      </c>
    </row>
    <row r="392" spans="2:6" x14ac:dyDescent="0.2">
      <c r="B392" s="25" t="str">
        <f>IF(EXACT(MAIN!I392, ""), "", MAIN!H392)</f>
        <v/>
      </c>
      <c r="C392" s="3" t="str">
        <f>IF(EXACT(MAIN!$I392, ""), "", MAIN!$B392)</f>
        <v/>
      </c>
      <c r="D392" s="3" t="str">
        <f>IF(EXACT(MAIN!$I392, ""), "", MAIN!$C392)</f>
        <v/>
      </c>
      <c r="E392" s="3" t="str">
        <f>IF(EXACT(MAIN!$I392, ""), "", MAIN!$D392)</f>
        <v/>
      </c>
      <c r="F392" s="27" t="str">
        <f>IF(EXACT(MAIN!$I392, ""), "", ""&amp;MAIN!$F392)</f>
        <v/>
      </c>
    </row>
    <row r="393" spans="2:6" x14ac:dyDescent="0.2">
      <c r="B393" s="25" t="str">
        <f>IF(EXACT(MAIN!I393, ""), "", MAIN!H393)</f>
        <v/>
      </c>
      <c r="C393" s="3" t="str">
        <f>IF(EXACT(MAIN!$I393, ""), "", MAIN!$B393)</f>
        <v/>
      </c>
      <c r="D393" s="3" t="str">
        <f>IF(EXACT(MAIN!$I393, ""), "", MAIN!$C393)</f>
        <v/>
      </c>
      <c r="E393" s="3" t="str">
        <f>IF(EXACT(MAIN!$I393, ""), "", MAIN!$D393)</f>
        <v/>
      </c>
      <c r="F393" s="27" t="str">
        <f>IF(EXACT(MAIN!$I393, ""), "", ""&amp;MAIN!$F393)</f>
        <v/>
      </c>
    </row>
    <row r="394" spans="2:6" x14ac:dyDescent="0.2">
      <c r="B394" s="25">
        <f>IF(EXACT(MAIN!I394, ""), "", MAIN!H394)</f>
        <v>225000000000024</v>
      </c>
      <c r="C394" s="3">
        <f>IF(EXACT(MAIN!$I394, ""), "", MAIN!$B394)</f>
        <v>164000000000391</v>
      </c>
      <c r="D394" s="3" t="str">
        <f>IF(EXACT(MAIN!$I394, ""), "", MAIN!$C394)</f>
        <v>Seftiyan Hadi Maulana</v>
      </c>
      <c r="E394" s="3">
        <f>IF(EXACT(MAIN!$I394, ""), "", MAIN!$D394)</f>
        <v>95000000000046</v>
      </c>
      <c r="F394" s="27" t="str">
        <f>IF(EXACT(MAIN!$I394, ""), "", ""&amp;MAIN!$F394)</f>
        <v/>
      </c>
    </row>
    <row r="395" spans="2:6" x14ac:dyDescent="0.2">
      <c r="B395" s="25" t="str">
        <f>IF(EXACT(MAIN!I395, ""), "", MAIN!H395)</f>
        <v/>
      </c>
      <c r="C395" s="3" t="str">
        <f>IF(EXACT(MAIN!$I395, ""), "", MAIN!$B395)</f>
        <v/>
      </c>
      <c r="D395" s="3" t="str">
        <f>IF(EXACT(MAIN!$I395, ""), "", MAIN!$C395)</f>
        <v/>
      </c>
      <c r="E395" s="3" t="str">
        <f>IF(EXACT(MAIN!$I395, ""), "", MAIN!$D395)</f>
        <v/>
      </c>
      <c r="F395" s="27" t="str">
        <f>IF(EXACT(MAIN!$I395, ""), "", ""&amp;MAIN!$F395)</f>
        <v/>
      </c>
    </row>
    <row r="396" spans="2:6" x14ac:dyDescent="0.2">
      <c r="B396" s="25" t="str">
        <f>IF(EXACT(MAIN!I396, ""), "", MAIN!H396)</f>
        <v/>
      </c>
      <c r="C396" s="3" t="str">
        <f>IF(EXACT(MAIN!$I396, ""), "", MAIN!$B396)</f>
        <v/>
      </c>
      <c r="D396" s="3" t="str">
        <f>IF(EXACT(MAIN!$I396, ""), "", MAIN!$C396)</f>
        <v/>
      </c>
      <c r="E396" s="3" t="str">
        <f>IF(EXACT(MAIN!$I396, ""), "", MAIN!$D396)</f>
        <v/>
      </c>
      <c r="F396" s="27" t="str">
        <f>IF(EXACT(MAIN!$I396, ""), "", ""&amp;MAIN!$F396)</f>
        <v/>
      </c>
    </row>
    <row r="397" spans="2:6" x14ac:dyDescent="0.2">
      <c r="B397" s="25" t="str">
        <f>IF(EXACT(MAIN!I397, ""), "", MAIN!H397)</f>
        <v/>
      </c>
      <c r="C397" s="3" t="str">
        <f>IF(EXACT(MAIN!$I397, ""), "", MAIN!$B397)</f>
        <v/>
      </c>
      <c r="D397" s="3" t="str">
        <f>IF(EXACT(MAIN!$I397, ""), "", MAIN!$C397)</f>
        <v/>
      </c>
      <c r="E397" s="3" t="str">
        <f>IF(EXACT(MAIN!$I397, ""), "", MAIN!$D397)</f>
        <v/>
      </c>
      <c r="F397" s="27" t="str">
        <f>IF(EXACT(MAIN!$I397, ""), "", ""&amp;MAIN!$F397)</f>
        <v/>
      </c>
    </row>
    <row r="398" spans="2:6" x14ac:dyDescent="0.2">
      <c r="B398" s="25" t="str">
        <f>IF(EXACT(MAIN!I398, ""), "", MAIN!H398)</f>
        <v/>
      </c>
      <c r="C398" s="3" t="str">
        <f>IF(EXACT(MAIN!$I398, ""), "", MAIN!$B398)</f>
        <v/>
      </c>
      <c r="D398" s="3" t="str">
        <f>IF(EXACT(MAIN!$I398, ""), "", MAIN!$C398)</f>
        <v/>
      </c>
      <c r="E398" s="3" t="str">
        <f>IF(EXACT(MAIN!$I398, ""), "", MAIN!$D398)</f>
        <v/>
      </c>
      <c r="F398" s="27" t="str">
        <f>IF(EXACT(MAIN!$I398, ""), "", ""&amp;MAIN!$F398)</f>
        <v/>
      </c>
    </row>
    <row r="399" spans="2:6" x14ac:dyDescent="0.2">
      <c r="B399" s="25" t="str">
        <f>IF(EXACT(MAIN!I399, ""), "", MAIN!H399)</f>
        <v/>
      </c>
      <c r="C399" s="3" t="str">
        <f>IF(EXACT(MAIN!$I399, ""), "", MAIN!$B399)</f>
        <v/>
      </c>
      <c r="D399" s="3" t="str">
        <f>IF(EXACT(MAIN!$I399, ""), "", MAIN!$C399)</f>
        <v/>
      </c>
      <c r="E399" s="3" t="str">
        <f>IF(EXACT(MAIN!$I399, ""), "", MAIN!$D399)</f>
        <v/>
      </c>
      <c r="F399" s="27" t="str">
        <f>IF(EXACT(MAIN!$I399, ""), "", ""&amp;MAIN!$F399)</f>
        <v/>
      </c>
    </row>
    <row r="400" spans="2:6" x14ac:dyDescent="0.2">
      <c r="B400" s="25">
        <f>IF(EXACT(MAIN!I400, ""), "", MAIN!H400)</f>
        <v>225000000000025</v>
      </c>
      <c r="C400" s="3">
        <f>IF(EXACT(MAIN!$I400, ""), "", MAIN!$B400)</f>
        <v>164000000000397</v>
      </c>
      <c r="D400" s="3" t="str">
        <f>IF(EXACT(MAIN!$I400, ""), "", MAIN!$C400)</f>
        <v>Sholehah</v>
      </c>
      <c r="E400" s="3">
        <f>IF(EXACT(MAIN!$I400, ""), "", MAIN!$D400)</f>
        <v>95000000000053</v>
      </c>
      <c r="F400" s="27" t="str">
        <f>IF(EXACT(MAIN!$I400, ""), "", ""&amp;MAIN!$F400)</f>
        <v/>
      </c>
    </row>
    <row r="401" spans="2:6" x14ac:dyDescent="0.2">
      <c r="B401" s="25" t="str">
        <f>IF(EXACT(MAIN!I401, ""), "", MAIN!H401)</f>
        <v/>
      </c>
      <c r="C401" s="3" t="str">
        <f>IF(EXACT(MAIN!$I401, ""), "", MAIN!$B401)</f>
        <v/>
      </c>
      <c r="D401" s="3" t="str">
        <f>IF(EXACT(MAIN!$I401, ""), "", MAIN!$C401)</f>
        <v/>
      </c>
      <c r="E401" s="3" t="str">
        <f>IF(EXACT(MAIN!$I401, ""), "", MAIN!$D401)</f>
        <v/>
      </c>
      <c r="F401" s="27" t="str">
        <f>IF(EXACT(MAIN!$I401, ""), "", ""&amp;MAIN!$F401)</f>
        <v/>
      </c>
    </row>
    <row r="402" spans="2:6" x14ac:dyDescent="0.2">
      <c r="B402" s="25" t="str">
        <f>IF(EXACT(MAIN!I402, ""), "", MAIN!H402)</f>
        <v/>
      </c>
      <c r="C402" s="3" t="str">
        <f>IF(EXACT(MAIN!$I402, ""), "", MAIN!$B402)</f>
        <v/>
      </c>
      <c r="D402" s="3" t="str">
        <f>IF(EXACT(MAIN!$I402, ""), "", MAIN!$C402)</f>
        <v/>
      </c>
      <c r="E402" s="3" t="str">
        <f>IF(EXACT(MAIN!$I402, ""), "", MAIN!$D402)</f>
        <v/>
      </c>
      <c r="F402" s="27" t="str">
        <f>IF(EXACT(MAIN!$I402, ""), "", ""&amp;MAIN!$F402)</f>
        <v/>
      </c>
    </row>
    <row r="403" spans="2:6" x14ac:dyDescent="0.2">
      <c r="B403" s="25" t="str">
        <f>IF(EXACT(MAIN!I403, ""), "", MAIN!H403)</f>
        <v/>
      </c>
      <c r="C403" s="3" t="str">
        <f>IF(EXACT(MAIN!$I403, ""), "", MAIN!$B403)</f>
        <v/>
      </c>
      <c r="D403" s="3" t="str">
        <f>IF(EXACT(MAIN!$I403, ""), "", MAIN!$C403)</f>
        <v/>
      </c>
      <c r="E403" s="3" t="str">
        <f>IF(EXACT(MAIN!$I403, ""), "", MAIN!$D403)</f>
        <v/>
      </c>
      <c r="F403" s="27" t="str">
        <f>IF(EXACT(MAIN!$I403, ""), "", ""&amp;MAIN!$F403)</f>
        <v/>
      </c>
    </row>
    <row r="404" spans="2:6" x14ac:dyDescent="0.2">
      <c r="B404" s="25" t="str">
        <f>IF(EXACT(MAIN!I404, ""), "", MAIN!H404)</f>
        <v/>
      </c>
      <c r="C404" s="3" t="str">
        <f>IF(EXACT(MAIN!$I404, ""), "", MAIN!$B404)</f>
        <v/>
      </c>
      <c r="D404" s="3" t="str">
        <f>IF(EXACT(MAIN!$I404, ""), "", MAIN!$C404)</f>
        <v/>
      </c>
      <c r="E404" s="3" t="str">
        <f>IF(EXACT(MAIN!$I404, ""), "", MAIN!$D404)</f>
        <v/>
      </c>
      <c r="F404" s="27" t="str">
        <f>IF(EXACT(MAIN!$I404, ""), "", ""&amp;MAIN!$F404)</f>
        <v/>
      </c>
    </row>
    <row r="405" spans="2:6" x14ac:dyDescent="0.2">
      <c r="B405" s="25" t="str">
        <f>IF(EXACT(MAIN!I405, ""), "", MAIN!H405)</f>
        <v/>
      </c>
      <c r="C405" s="3" t="str">
        <f>IF(EXACT(MAIN!$I405, ""), "", MAIN!$B405)</f>
        <v/>
      </c>
      <c r="D405" s="3" t="str">
        <f>IF(EXACT(MAIN!$I405, ""), "", MAIN!$C405)</f>
        <v/>
      </c>
      <c r="E405" s="3" t="str">
        <f>IF(EXACT(MAIN!$I405, ""), "", MAIN!$D405)</f>
        <v/>
      </c>
      <c r="F405" s="27" t="str">
        <f>IF(EXACT(MAIN!$I405, ""), "", ""&amp;MAIN!$F405)</f>
        <v/>
      </c>
    </row>
    <row r="406" spans="2:6" x14ac:dyDescent="0.2">
      <c r="B406" s="25" t="str">
        <f>IF(EXACT(MAIN!I406, ""), "", MAIN!H406)</f>
        <v/>
      </c>
      <c r="C406" s="3" t="str">
        <f>IF(EXACT(MAIN!$I406, ""), "", MAIN!$B406)</f>
        <v/>
      </c>
      <c r="D406" s="3" t="str">
        <f>IF(EXACT(MAIN!$I406, ""), "", MAIN!$C406)</f>
        <v/>
      </c>
      <c r="E406" s="3" t="str">
        <f>IF(EXACT(MAIN!$I406, ""), "", MAIN!$D406)</f>
        <v/>
      </c>
      <c r="F406" s="27" t="str">
        <f>IF(EXACT(MAIN!$I406, ""), "", ""&amp;MAIN!$F406)</f>
        <v/>
      </c>
    </row>
    <row r="407" spans="2:6" x14ac:dyDescent="0.2">
      <c r="B407" s="25" t="str">
        <f>IF(EXACT(MAIN!I407, ""), "", MAIN!H407)</f>
        <v/>
      </c>
      <c r="C407" s="3" t="str">
        <f>IF(EXACT(MAIN!$I407, ""), "", MAIN!$B407)</f>
        <v/>
      </c>
      <c r="D407" s="3" t="str">
        <f>IF(EXACT(MAIN!$I407, ""), "", MAIN!$C407)</f>
        <v/>
      </c>
      <c r="E407" s="3" t="str">
        <f>IF(EXACT(MAIN!$I407, ""), "", MAIN!$D407)</f>
        <v/>
      </c>
      <c r="F407" s="27" t="str">
        <f>IF(EXACT(MAIN!$I407, ""), "", ""&amp;MAIN!$F407)</f>
        <v/>
      </c>
    </row>
    <row r="408" spans="2:6" x14ac:dyDescent="0.2">
      <c r="B408" s="25" t="str">
        <f>IF(EXACT(MAIN!I408, ""), "", MAIN!H408)</f>
        <v/>
      </c>
      <c r="C408" s="3" t="str">
        <f>IF(EXACT(MAIN!$I408, ""), "", MAIN!$B408)</f>
        <v/>
      </c>
      <c r="D408" s="3" t="str">
        <f>IF(EXACT(MAIN!$I408, ""), "", MAIN!$C408)</f>
        <v/>
      </c>
      <c r="E408" s="3" t="str">
        <f>IF(EXACT(MAIN!$I408, ""), "", MAIN!$D408)</f>
        <v/>
      </c>
      <c r="F408" s="27" t="str">
        <f>IF(EXACT(MAIN!$I408, ""), "", ""&amp;MAIN!$F408)</f>
        <v/>
      </c>
    </row>
    <row r="409" spans="2:6" x14ac:dyDescent="0.2">
      <c r="B409" s="25" t="str">
        <f>IF(EXACT(MAIN!I409, ""), "", MAIN!H409)</f>
        <v/>
      </c>
      <c r="C409" s="3" t="str">
        <f>IF(EXACT(MAIN!$I409, ""), "", MAIN!$B409)</f>
        <v/>
      </c>
      <c r="D409" s="3" t="str">
        <f>IF(EXACT(MAIN!$I409, ""), "", MAIN!$C409)</f>
        <v/>
      </c>
      <c r="E409" s="3" t="str">
        <f>IF(EXACT(MAIN!$I409, ""), "", MAIN!$D409)</f>
        <v/>
      </c>
      <c r="F409" s="27" t="str">
        <f>IF(EXACT(MAIN!$I409, ""), "", ""&amp;MAIN!$F409)</f>
        <v/>
      </c>
    </row>
    <row r="410" spans="2:6" x14ac:dyDescent="0.2">
      <c r="B410" s="25" t="str">
        <f>IF(EXACT(MAIN!I410, ""), "", MAIN!H410)</f>
        <v/>
      </c>
      <c r="C410" s="3" t="str">
        <f>IF(EXACT(MAIN!$I410, ""), "", MAIN!$B410)</f>
        <v/>
      </c>
      <c r="D410" s="3" t="str">
        <f>IF(EXACT(MAIN!$I410, ""), "", MAIN!$C410)</f>
        <v/>
      </c>
      <c r="E410" s="3" t="str">
        <f>IF(EXACT(MAIN!$I410, ""), "", MAIN!$D410)</f>
        <v/>
      </c>
      <c r="F410" s="27" t="str">
        <f>IF(EXACT(MAIN!$I410, ""), "", ""&amp;MAIN!$F410)</f>
        <v/>
      </c>
    </row>
    <row r="411" spans="2:6" x14ac:dyDescent="0.2">
      <c r="B411" s="25" t="str">
        <f>IF(EXACT(MAIN!I411, ""), "", MAIN!H411)</f>
        <v/>
      </c>
      <c r="C411" s="3" t="str">
        <f>IF(EXACT(MAIN!$I411, ""), "", MAIN!$B411)</f>
        <v/>
      </c>
      <c r="D411" s="3" t="str">
        <f>IF(EXACT(MAIN!$I411, ""), "", MAIN!$C411)</f>
        <v/>
      </c>
      <c r="E411" s="3" t="str">
        <f>IF(EXACT(MAIN!$I411, ""), "", MAIN!$D411)</f>
        <v/>
      </c>
      <c r="F411" s="27" t="str">
        <f>IF(EXACT(MAIN!$I411, ""), "", ""&amp;MAIN!$F411)</f>
        <v/>
      </c>
    </row>
    <row r="412" spans="2:6" x14ac:dyDescent="0.2">
      <c r="B412" s="25" t="str">
        <f>IF(EXACT(MAIN!I412, ""), "", MAIN!H412)</f>
        <v/>
      </c>
      <c r="C412" s="3" t="str">
        <f>IF(EXACT(MAIN!$I412, ""), "", MAIN!$B412)</f>
        <v/>
      </c>
      <c r="D412" s="3" t="str">
        <f>IF(EXACT(MAIN!$I412, ""), "", MAIN!$C412)</f>
        <v/>
      </c>
      <c r="E412" s="3" t="str">
        <f>IF(EXACT(MAIN!$I412, ""), "", MAIN!$D412)</f>
        <v/>
      </c>
      <c r="F412" s="27" t="str">
        <f>IF(EXACT(MAIN!$I412, ""), "", ""&amp;MAIN!$F412)</f>
        <v/>
      </c>
    </row>
    <row r="413" spans="2:6" x14ac:dyDescent="0.2">
      <c r="B413" s="25" t="str">
        <f>IF(EXACT(MAIN!I413, ""), "", MAIN!H413)</f>
        <v/>
      </c>
      <c r="C413" s="3" t="str">
        <f>IF(EXACT(MAIN!$I413, ""), "", MAIN!$B413)</f>
        <v/>
      </c>
      <c r="D413" s="3" t="str">
        <f>IF(EXACT(MAIN!$I413, ""), "", MAIN!$C413)</f>
        <v/>
      </c>
      <c r="E413" s="3" t="str">
        <f>IF(EXACT(MAIN!$I413, ""), "", MAIN!$D413)</f>
        <v/>
      </c>
      <c r="F413" s="27" t="str">
        <f>IF(EXACT(MAIN!$I413, ""), "", ""&amp;MAIN!$F413)</f>
        <v/>
      </c>
    </row>
    <row r="414" spans="2:6" x14ac:dyDescent="0.2">
      <c r="B414" s="25" t="str">
        <f>IF(EXACT(MAIN!I414, ""), "", MAIN!H414)</f>
        <v/>
      </c>
      <c r="C414" s="3" t="str">
        <f>IF(EXACT(MAIN!$I414, ""), "", MAIN!$B414)</f>
        <v/>
      </c>
      <c r="D414" s="3" t="str">
        <f>IF(EXACT(MAIN!$I414, ""), "", MAIN!$C414)</f>
        <v/>
      </c>
      <c r="E414" s="3" t="str">
        <f>IF(EXACT(MAIN!$I414, ""), "", MAIN!$D414)</f>
        <v/>
      </c>
      <c r="F414" s="27" t="str">
        <f>IF(EXACT(MAIN!$I414, ""), "", ""&amp;MAIN!$F414)</f>
        <v/>
      </c>
    </row>
    <row r="415" spans="2:6" x14ac:dyDescent="0.2">
      <c r="B415" s="25" t="str">
        <f>IF(EXACT(MAIN!I415, ""), "", MAIN!H415)</f>
        <v/>
      </c>
      <c r="C415" s="3" t="str">
        <f>IF(EXACT(MAIN!$I415, ""), "", MAIN!$B415)</f>
        <v/>
      </c>
      <c r="D415" s="3" t="str">
        <f>IF(EXACT(MAIN!$I415, ""), "", MAIN!$C415)</f>
        <v/>
      </c>
      <c r="E415" s="3" t="str">
        <f>IF(EXACT(MAIN!$I415, ""), "", MAIN!$D415)</f>
        <v/>
      </c>
      <c r="F415" s="27" t="str">
        <f>IF(EXACT(MAIN!$I415, ""), "", ""&amp;MAIN!$F415)</f>
        <v/>
      </c>
    </row>
    <row r="416" spans="2:6" x14ac:dyDescent="0.2">
      <c r="B416" s="25">
        <f>IF(EXACT(MAIN!I416, ""), "", MAIN!H416)</f>
        <v>225000000000026</v>
      </c>
      <c r="C416" s="3">
        <f>IF(EXACT(MAIN!$I416, ""), "", MAIN!$B416)</f>
        <v>164000000000413</v>
      </c>
      <c r="D416" s="3" t="str">
        <f>IF(EXACT(MAIN!$I416, ""), "", MAIN!$C416)</f>
        <v>Sufie Amalia</v>
      </c>
      <c r="E416" s="3">
        <f>IF(EXACT(MAIN!$I416, ""), "", MAIN!$D416)</f>
        <v>95000000000053</v>
      </c>
      <c r="F416" s="27" t="str">
        <f>IF(EXACT(MAIN!$I416, ""), "", ""&amp;MAIN!$F416)</f>
        <v/>
      </c>
    </row>
    <row r="417" spans="2:6" x14ac:dyDescent="0.2">
      <c r="B417" s="25" t="str">
        <f>IF(EXACT(MAIN!I417, ""), "", MAIN!H417)</f>
        <v/>
      </c>
      <c r="C417" s="3" t="str">
        <f>IF(EXACT(MAIN!$I417, ""), "", MAIN!$B417)</f>
        <v/>
      </c>
      <c r="D417" s="3" t="str">
        <f>IF(EXACT(MAIN!$I417, ""), "", MAIN!$C417)</f>
        <v/>
      </c>
      <c r="E417" s="3" t="str">
        <f>IF(EXACT(MAIN!$I417, ""), "", MAIN!$D417)</f>
        <v/>
      </c>
      <c r="F417" s="27" t="str">
        <f>IF(EXACT(MAIN!$I417, ""), "", ""&amp;MAIN!$F417)</f>
        <v/>
      </c>
    </row>
    <row r="418" spans="2:6" x14ac:dyDescent="0.2">
      <c r="B418" s="25" t="str">
        <f>IF(EXACT(MAIN!I418, ""), "", MAIN!H418)</f>
        <v/>
      </c>
      <c r="C418" s="3" t="str">
        <f>IF(EXACT(MAIN!$I418, ""), "", MAIN!$B418)</f>
        <v/>
      </c>
      <c r="D418" s="3" t="str">
        <f>IF(EXACT(MAIN!$I418, ""), "", MAIN!$C418)</f>
        <v/>
      </c>
      <c r="E418" s="3" t="str">
        <f>IF(EXACT(MAIN!$I418, ""), "", MAIN!$D418)</f>
        <v/>
      </c>
      <c r="F418" s="27" t="str">
        <f>IF(EXACT(MAIN!$I418, ""), "", ""&amp;MAIN!$F418)</f>
        <v/>
      </c>
    </row>
    <row r="419" spans="2:6" x14ac:dyDescent="0.2">
      <c r="B419" s="25" t="str">
        <f>IF(EXACT(MAIN!I419, ""), "", MAIN!H419)</f>
        <v/>
      </c>
      <c r="C419" s="3" t="str">
        <f>IF(EXACT(MAIN!$I419, ""), "", MAIN!$B419)</f>
        <v/>
      </c>
      <c r="D419" s="3" t="str">
        <f>IF(EXACT(MAIN!$I419, ""), "", MAIN!$C419)</f>
        <v/>
      </c>
      <c r="E419" s="3" t="str">
        <f>IF(EXACT(MAIN!$I419, ""), "", MAIN!$D419)</f>
        <v/>
      </c>
      <c r="F419" s="27" t="str">
        <f>IF(EXACT(MAIN!$I419, ""), "", ""&amp;MAIN!$F419)</f>
        <v/>
      </c>
    </row>
    <row r="420" spans="2:6" x14ac:dyDescent="0.2">
      <c r="B420" s="25" t="str">
        <f>IF(EXACT(MAIN!I420, ""), "", MAIN!H420)</f>
        <v/>
      </c>
      <c r="C420" s="3" t="str">
        <f>IF(EXACT(MAIN!$I420, ""), "", MAIN!$B420)</f>
        <v/>
      </c>
      <c r="D420" s="3" t="str">
        <f>IF(EXACT(MAIN!$I420, ""), "", MAIN!$C420)</f>
        <v/>
      </c>
      <c r="E420" s="3" t="str">
        <f>IF(EXACT(MAIN!$I420, ""), "", MAIN!$D420)</f>
        <v/>
      </c>
      <c r="F420" s="27" t="str">
        <f>IF(EXACT(MAIN!$I420, ""), "", ""&amp;MAIN!$F420)</f>
        <v/>
      </c>
    </row>
    <row r="421" spans="2:6" x14ac:dyDescent="0.2">
      <c r="B421" s="25" t="str">
        <f>IF(EXACT(MAIN!I421, ""), "", MAIN!H421)</f>
        <v/>
      </c>
      <c r="C421" s="3" t="str">
        <f>IF(EXACT(MAIN!$I421, ""), "", MAIN!$B421)</f>
        <v/>
      </c>
      <c r="D421" s="3" t="str">
        <f>IF(EXACT(MAIN!$I421, ""), "", MAIN!$C421)</f>
        <v/>
      </c>
      <c r="E421" s="3" t="str">
        <f>IF(EXACT(MAIN!$I421, ""), "", MAIN!$D421)</f>
        <v/>
      </c>
      <c r="F421" s="27" t="str">
        <f>IF(EXACT(MAIN!$I421, ""), "", ""&amp;MAIN!$F421)</f>
        <v/>
      </c>
    </row>
    <row r="422" spans="2:6" x14ac:dyDescent="0.2">
      <c r="B422" s="25" t="str">
        <f>IF(EXACT(MAIN!I422, ""), "", MAIN!H422)</f>
        <v/>
      </c>
      <c r="C422" s="3" t="str">
        <f>IF(EXACT(MAIN!$I422, ""), "", MAIN!$B422)</f>
        <v/>
      </c>
      <c r="D422" s="3" t="str">
        <f>IF(EXACT(MAIN!$I422, ""), "", MAIN!$C422)</f>
        <v/>
      </c>
      <c r="E422" s="3" t="str">
        <f>IF(EXACT(MAIN!$I422, ""), "", MAIN!$D422)</f>
        <v/>
      </c>
      <c r="F422" s="27" t="str">
        <f>IF(EXACT(MAIN!$I422, ""), "", ""&amp;MAIN!$F422)</f>
        <v/>
      </c>
    </row>
    <row r="423" spans="2:6" x14ac:dyDescent="0.2">
      <c r="B423" s="25" t="str">
        <f>IF(EXACT(MAIN!I423, ""), "", MAIN!H423)</f>
        <v/>
      </c>
      <c r="C423" s="3" t="str">
        <f>IF(EXACT(MAIN!$I423, ""), "", MAIN!$B423)</f>
        <v/>
      </c>
      <c r="D423" s="3" t="str">
        <f>IF(EXACT(MAIN!$I423, ""), "", MAIN!$C423)</f>
        <v/>
      </c>
      <c r="E423" s="3" t="str">
        <f>IF(EXACT(MAIN!$I423, ""), "", MAIN!$D423)</f>
        <v/>
      </c>
      <c r="F423" s="27" t="str">
        <f>IF(EXACT(MAIN!$I423, ""), "", ""&amp;MAIN!$F423)</f>
        <v/>
      </c>
    </row>
    <row r="424" spans="2:6" x14ac:dyDescent="0.2">
      <c r="B424" s="25" t="str">
        <f>IF(EXACT(MAIN!I424, ""), "", MAIN!H424)</f>
        <v/>
      </c>
      <c r="C424" s="3" t="str">
        <f>IF(EXACT(MAIN!$I424, ""), "", MAIN!$B424)</f>
        <v/>
      </c>
      <c r="D424" s="3" t="str">
        <f>IF(EXACT(MAIN!$I424, ""), "", MAIN!$C424)</f>
        <v/>
      </c>
      <c r="E424" s="3" t="str">
        <f>IF(EXACT(MAIN!$I424, ""), "", MAIN!$D424)</f>
        <v/>
      </c>
      <c r="F424" s="27" t="str">
        <f>IF(EXACT(MAIN!$I424, ""), "", ""&amp;MAIN!$F424)</f>
        <v/>
      </c>
    </row>
    <row r="425" spans="2:6" x14ac:dyDescent="0.2">
      <c r="B425" s="25" t="str">
        <f>IF(EXACT(MAIN!I425, ""), "", MAIN!H425)</f>
        <v/>
      </c>
      <c r="C425" s="3" t="str">
        <f>IF(EXACT(MAIN!$I425, ""), "", MAIN!$B425)</f>
        <v/>
      </c>
      <c r="D425" s="3" t="str">
        <f>IF(EXACT(MAIN!$I425, ""), "", MAIN!$C425)</f>
        <v/>
      </c>
      <c r="E425" s="3" t="str">
        <f>IF(EXACT(MAIN!$I425, ""), "", MAIN!$D425)</f>
        <v/>
      </c>
      <c r="F425" s="27" t="str">
        <f>IF(EXACT(MAIN!$I425, ""), "", ""&amp;MAIN!$F425)</f>
        <v/>
      </c>
    </row>
    <row r="426" spans="2:6" x14ac:dyDescent="0.2">
      <c r="B426" s="25" t="str">
        <f>IF(EXACT(MAIN!I426, ""), "", MAIN!H426)</f>
        <v/>
      </c>
      <c r="C426" s="3" t="str">
        <f>IF(EXACT(MAIN!$I426, ""), "", MAIN!$B426)</f>
        <v/>
      </c>
      <c r="D426" s="3" t="str">
        <f>IF(EXACT(MAIN!$I426, ""), "", MAIN!$C426)</f>
        <v/>
      </c>
      <c r="E426" s="3" t="str">
        <f>IF(EXACT(MAIN!$I426, ""), "", MAIN!$D426)</f>
        <v/>
      </c>
      <c r="F426" s="27" t="str">
        <f>IF(EXACT(MAIN!$I426, ""), "", ""&amp;MAIN!$F426)</f>
        <v/>
      </c>
    </row>
    <row r="427" spans="2:6" x14ac:dyDescent="0.2">
      <c r="B427" s="25" t="str">
        <f>IF(EXACT(MAIN!I427, ""), "", MAIN!H427)</f>
        <v/>
      </c>
      <c r="C427" s="3" t="str">
        <f>IF(EXACT(MAIN!$I427, ""), "", MAIN!$B427)</f>
        <v/>
      </c>
      <c r="D427" s="3" t="str">
        <f>IF(EXACT(MAIN!$I427, ""), "", MAIN!$C427)</f>
        <v/>
      </c>
      <c r="E427" s="3" t="str">
        <f>IF(EXACT(MAIN!$I427, ""), "", MAIN!$D427)</f>
        <v/>
      </c>
      <c r="F427" s="27" t="str">
        <f>IF(EXACT(MAIN!$I427, ""), "", ""&amp;MAIN!$F427)</f>
        <v/>
      </c>
    </row>
    <row r="428" spans="2:6" x14ac:dyDescent="0.2">
      <c r="B428" s="25" t="str">
        <f>IF(EXACT(MAIN!I428, ""), "", MAIN!H428)</f>
        <v/>
      </c>
      <c r="C428" s="3" t="str">
        <f>IF(EXACT(MAIN!$I428, ""), "", MAIN!$B428)</f>
        <v/>
      </c>
      <c r="D428" s="3" t="str">
        <f>IF(EXACT(MAIN!$I428, ""), "", MAIN!$C428)</f>
        <v/>
      </c>
      <c r="E428" s="3" t="str">
        <f>IF(EXACT(MAIN!$I428, ""), "", MAIN!$D428)</f>
        <v/>
      </c>
      <c r="F428" s="27" t="str">
        <f>IF(EXACT(MAIN!$I428, ""), "", ""&amp;MAIN!$F428)</f>
        <v/>
      </c>
    </row>
    <row r="429" spans="2:6" x14ac:dyDescent="0.2">
      <c r="B429" s="25" t="str">
        <f>IF(EXACT(MAIN!I429, ""), "", MAIN!H429)</f>
        <v/>
      </c>
      <c r="C429" s="3" t="str">
        <f>IF(EXACT(MAIN!$I429, ""), "", MAIN!$B429)</f>
        <v/>
      </c>
      <c r="D429" s="3" t="str">
        <f>IF(EXACT(MAIN!$I429, ""), "", MAIN!$C429)</f>
        <v/>
      </c>
      <c r="E429" s="3" t="str">
        <f>IF(EXACT(MAIN!$I429, ""), "", MAIN!$D429)</f>
        <v/>
      </c>
      <c r="F429" s="27" t="str">
        <f>IF(EXACT(MAIN!$I429, ""), "", ""&amp;MAIN!$F429)</f>
        <v/>
      </c>
    </row>
    <row r="430" spans="2:6" x14ac:dyDescent="0.2">
      <c r="B430" s="25" t="str">
        <f>IF(EXACT(MAIN!I430, ""), "", MAIN!H430)</f>
        <v/>
      </c>
      <c r="C430" s="3" t="str">
        <f>IF(EXACT(MAIN!$I430, ""), "", MAIN!$B430)</f>
        <v/>
      </c>
      <c r="D430" s="3" t="str">
        <f>IF(EXACT(MAIN!$I430, ""), "", MAIN!$C430)</f>
        <v/>
      </c>
      <c r="E430" s="3" t="str">
        <f>IF(EXACT(MAIN!$I430, ""), "", MAIN!$D430)</f>
        <v/>
      </c>
      <c r="F430" s="27" t="str">
        <f>IF(EXACT(MAIN!$I430, ""), "", ""&amp;MAIN!$F430)</f>
        <v/>
      </c>
    </row>
    <row r="431" spans="2:6" x14ac:dyDescent="0.2">
      <c r="B431" s="25">
        <f>IF(EXACT(MAIN!I431, ""), "", MAIN!H431)</f>
        <v>225000000000027</v>
      </c>
      <c r="C431" s="3">
        <f>IF(EXACT(MAIN!$I431, ""), "", MAIN!$B431)</f>
        <v>164000000000428</v>
      </c>
      <c r="D431" s="3" t="str">
        <f>IF(EXACT(MAIN!$I431, ""), "", MAIN!$C431)</f>
        <v>Suyanto</v>
      </c>
      <c r="E431" s="3">
        <f>IF(EXACT(MAIN!$I431, ""), "", MAIN!$D431)</f>
        <v>95000000000039</v>
      </c>
      <c r="F431" s="27" t="str">
        <f>IF(EXACT(MAIN!$I431, ""), "", ""&amp;MAIN!$F431)</f>
        <v/>
      </c>
    </row>
    <row r="432" spans="2:6" x14ac:dyDescent="0.2">
      <c r="B432" s="25" t="str">
        <f>IF(EXACT(MAIN!I432, ""), "", MAIN!H432)</f>
        <v/>
      </c>
      <c r="C432" s="3" t="str">
        <f>IF(EXACT(MAIN!$I432, ""), "", MAIN!$B432)</f>
        <v/>
      </c>
      <c r="D432" s="3" t="str">
        <f>IF(EXACT(MAIN!$I432, ""), "", MAIN!$C432)</f>
        <v/>
      </c>
      <c r="E432" s="3" t="str">
        <f>IF(EXACT(MAIN!$I432, ""), "", MAIN!$D432)</f>
        <v/>
      </c>
      <c r="F432" s="27" t="str">
        <f>IF(EXACT(MAIN!$I432, ""), "", ""&amp;MAIN!$F432)</f>
        <v/>
      </c>
    </row>
    <row r="433" spans="2:6" x14ac:dyDescent="0.2">
      <c r="B433" s="25" t="str">
        <f>IF(EXACT(MAIN!I433, ""), "", MAIN!H433)</f>
        <v/>
      </c>
      <c r="C433" s="3" t="str">
        <f>IF(EXACT(MAIN!$I433, ""), "", MAIN!$B433)</f>
        <v/>
      </c>
      <c r="D433" s="3" t="str">
        <f>IF(EXACT(MAIN!$I433, ""), "", MAIN!$C433)</f>
        <v/>
      </c>
      <c r="E433" s="3" t="str">
        <f>IF(EXACT(MAIN!$I433, ""), "", MAIN!$D433)</f>
        <v/>
      </c>
      <c r="F433" s="27" t="str">
        <f>IF(EXACT(MAIN!$I433, ""), "", ""&amp;MAIN!$F433)</f>
        <v/>
      </c>
    </row>
    <row r="434" spans="2:6" x14ac:dyDescent="0.2">
      <c r="B434" s="25" t="str">
        <f>IF(EXACT(MAIN!I434, ""), "", MAIN!H434)</f>
        <v/>
      </c>
      <c r="C434" s="3" t="str">
        <f>IF(EXACT(MAIN!$I434, ""), "", MAIN!$B434)</f>
        <v/>
      </c>
      <c r="D434" s="3" t="str">
        <f>IF(EXACT(MAIN!$I434, ""), "", MAIN!$C434)</f>
        <v/>
      </c>
      <c r="E434" s="3" t="str">
        <f>IF(EXACT(MAIN!$I434, ""), "", MAIN!$D434)</f>
        <v/>
      </c>
      <c r="F434" s="27" t="str">
        <f>IF(EXACT(MAIN!$I434, ""), "", ""&amp;MAIN!$F434)</f>
        <v/>
      </c>
    </row>
    <row r="435" spans="2:6" x14ac:dyDescent="0.2">
      <c r="B435" s="25" t="str">
        <f>IF(EXACT(MAIN!I435, ""), "", MAIN!H435)</f>
        <v/>
      </c>
      <c r="C435" s="3" t="str">
        <f>IF(EXACT(MAIN!$I435, ""), "", MAIN!$B435)</f>
        <v/>
      </c>
      <c r="D435" s="3" t="str">
        <f>IF(EXACT(MAIN!$I435, ""), "", MAIN!$C435)</f>
        <v/>
      </c>
      <c r="E435" s="3" t="str">
        <f>IF(EXACT(MAIN!$I435, ""), "", MAIN!$D435)</f>
        <v/>
      </c>
      <c r="F435" s="27" t="str">
        <f>IF(EXACT(MAIN!$I435, ""), "", ""&amp;MAIN!$F435)</f>
        <v/>
      </c>
    </row>
    <row r="436" spans="2:6" x14ac:dyDescent="0.2">
      <c r="B436" s="25" t="str">
        <f>IF(EXACT(MAIN!I436, ""), "", MAIN!H436)</f>
        <v/>
      </c>
      <c r="C436" s="3" t="str">
        <f>IF(EXACT(MAIN!$I436, ""), "", MAIN!$B436)</f>
        <v/>
      </c>
      <c r="D436" s="3" t="str">
        <f>IF(EXACT(MAIN!$I436, ""), "", MAIN!$C436)</f>
        <v/>
      </c>
      <c r="E436" s="3" t="str">
        <f>IF(EXACT(MAIN!$I436, ""), "", MAIN!$D436)</f>
        <v/>
      </c>
      <c r="F436" s="27" t="str">
        <f>IF(EXACT(MAIN!$I436, ""), "", ""&amp;MAIN!$F436)</f>
        <v/>
      </c>
    </row>
    <row r="437" spans="2:6" x14ac:dyDescent="0.2">
      <c r="B437" s="25" t="str">
        <f>IF(EXACT(MAIN!I437, ""), "", MAIN!H437)</f>
        <v/>
      </c>
      <c r="C437" s="3" t="str">
        <f>IF(EXACT(MAIN!$I437, ""), "", MAIN!$B437)</f>
        <v/>
      </c>
      <c r="D437" s="3" t="str">
        <f>IF(EXACT(MAIN!$I437, ""), "", MAIN!$C437)</f>
        <v/>
      </c>
      <c r="E437" s="3" t="str">
        <f>IF(EXACT(MAIN!$I437, ""), "", MAIN!$D437)</f>
        <v/>
      </c>
      <c r="F437" s="27" t="str">
        <f>IF(EXACT(MAIN!$I437, ""), "", ""&amp;MAIN!$F437)</f>
        <v/>
      </c>
    </row>
    <row r="438" spans="2:6" x14ac:dyDescent="0.2">
      <c r="B438" s="25" t="str">
        <f>IF(EXACT(MAIN!I438, ""), "", MAIN!H438)</f>
        <v/>
      </c>
      <c r="C438" s="3" t="str">
        <f>IF(EXACT(MAIN!$I438, ""), "", MAIN!$B438)</f>
        <v/>
      </c>
      <c r="D438" s="3" t="str">
        <f>IF(EXACT(MAIN!$I438, ""), "", MAIN!$C438)</f>
        <v/>
      </c>
      <c r="E438" s="3" t="str">
        <f>IF(EXACT(MAIN!$I438, ""), "", MAIN!$D438)</f>
        <v/>
      </c>
      <c r="F438" s="27" t="str">
        <f>IF(EXACT(MAIN!$I438, ""), "", ""&amp;MAIN!$F438)</f>
        <v/>
      </c>
    </row>
    <row r="439" spans="2:6" x14ac:dyDescent="0.2">
      <c r="B439" s="25" t="str">
        <f>IF(EXACT(MAIN!I439, ""), "", MAIN!H439)</f>
        <v/>
      </c>
      <c r="C439" s="3" t="str">
        <f>IF(EXACT(MAIN!$I439, ""), "", MAIN!$B439)</f>
        <v/>
      </c>
      <c r="D439" s="3" t="str">
        <f>IF(EXACT(MAIN!$I439, ""), "", MAIN!$C439)</f>
        <v/>
      </c>
      <c r="E439" s="3" t="str">
        <f>IF(EXACT(MAIN!$I439, ""), "", MAIN!$D439)</f>
        <v/>
      </c>
      <c r="F439" s="27" t="str">
        <f>IF(EXACT(MAIN!$I439, ""), "", ""&amp;MAIN!$F439)</f>
        <v/>
      </c>
    </row>
    <row r="440" spans="2:6" x14ac:dyDescent="0.2">
      <c r="B440" s="25" t="str">
        <f>IF(EXACT(MAIN!I440, ""), "", MAIN!H440)</f>
        <v/>
      </c>
      <c r="C440" s="3" t="str">
        <f>IF(EXACT(MAIN!$I440, ""), "", MAIN!$B440)</f>
        <v/>
      </c>
      <c r="D440" s="3" t="str">
        <f>IF(EXACT(MAIN!$I440, ""), "", MAIN!$C440)</f>
        <v/>
      </c>
      <c r="E440" s="3" t="str">
        <f>IF(EXACT(MAIN!$I440, ""), "", MAIN!$D440)</f>
        <v/>
      </c>
      <c r="F440" s="27" t="str">
        <f>IF(EXACT(MAIN!$I440, ""), "", ""&amp;MAIN!$F440)</f>
        <v/>
      </c>
    </row>
    <row r="441" spans="2:6" x14ac:dyDescent="0.2">
      <c r="B441" s="25" t="str">
        <f>IF(EXACT(MAIN!I441, ""), "", MAIN!H441)</f>
        <v/>
      </c>
      <c r="C441" s="3" t="str">
        <f>IF(EXACT(MAIN!$I441, ""), "", MAIN!$B441)</f>
        <v/>
      </c>
      <c r="D441" s="3" t="str">
        <f>IF(EXACT(MAIN!$I441, ""), "", MAIN!$C441)</f>
        <v/>
      </c>
      <c r="E441" s="3" t="str">
        <f>IF(EXACT(MAIN!$I441, ""), "", MAIN!$D441)</f>
        <v/>
      </c>
      <c r="F441" s="27" t="str">
        <f>IF(EXACT(MAIN!$I441, ""), "", ""&amp;MAIN!$F441)</f>
        <v/>
      </c>
    </row>
    <row r="442" spans="2:6" x14ac:dyDescent="0.2">
      <c r="B442" s="25">
        <f>IF(EXACT(MAIN!I442, ""), "", MAIN!H442)</f>
        <v>225000000000028</v>
      </c>
      <c r="C442" s="3">
        <f>IF(EXACT(MAIN!$I442, ""), "", MAIN!$B442)</f>
        <v>164000000000439</v>
      </c>
      <c r="D442" s="3" t="str">
        <f>IF(EXACT(MAIN!$I442, ""), "", MAIN!$C442)</f>
        <v>Teguh Pratama Januzir Sukin</v>
      </c>
      <c r="E442" s="3">
        <f>IF(EXACT(MAIN!$I442, ""), "", MAIN!$D442)</f>
        <v>95000000000035</v>
      </c>
      <c r="F442" s="27" t="str">
        <f>IF(EXACT(MAIN!$I442, ""), "", ""&amp;MAIN!$F442)</f>
        <v/>
      </c>
    </row>
    <row r="443" spans="2:6" x14ac:dyDescent="0.2">
      <c r="B443" s="25" t="str">
        <f>IF(EXACT(MAIN!I443, ""), "", MAIN!H443)</f>
        <v/>
      </c>
      <c r="C443" s="3" t="str">
        <f>IF(EXACT(MAIN!$I443, ""), "", MAIN!$B443)</f>
        <v/>
      </c>
      <c r="D443" s="3" t="str">
        <f>IF(EXACT(MAIN!$I443, ""), "", MAIN!$C443)</f>
        <v/>
      </c>
      <c r="E443" s="3" t="str">
        <f>IF(EXACT(MAIN!$I443, ""), "", MAIN!$D443)</f>
        <v/>
      </c>
      <c r="F443" s="27" t="str">
        <f>IF(EXACT(MAIN!$I443, ""), "", ""&amp;MAIN!$F443)</f>
        <v/>
      </c>
    </row>
    <row r="444" spans="2:6" x14ac:dyDescent="0.2">
      <c r="B444" s="25" t="str">
        <f>IF(EXACT(MAIN!I444, ""), "", MAIN!H444)</f>
        <v/>
      </c>
      <c r="C444" s="3" t="str">
        <f>IF(EXACT(MAIN!$I444, ""), "", MAIN!$B444)</f>
        <v/>
      </c>
      <c r="D444" s="3" t="str">
        <f>IF(EXACT(MAIN!$I444, ""), "", MAIN!$C444)</f>
        <v/>
      </c>
      <c r="E444" s="3" t="str">
        <f>IF(EXACT(MAIN!$I444, ""), "", MAIN!$D444)</f>
        <v/>
      </c>
      <c r="F444" s="27" t="str">
        <f>IF(EXACT(MAIN!$I444, ""), "", ""&amp;MAIN!$F444)</f>
        <v/>
      </c>
    </row>
    <row r="445" spans="2:6" x14ac:dyDescent="0.2">
      <c r="B445" s="25" t="str">
        <f>IF(EXACT(MAIN!I445, ""), "", MAIN!H445)</f>
        <v/>
      </c>
      <c r="C445" s="3" t="str">
        <f>IF(EXACT(MAIN!$I445, ""), "", MAIN!$B445)</f>
        <v/>
      </c>
      <c r="D445" s="3" t="str">
        <f>IF(EXACT(MAIN!$I445, ""), "", MAIN!$C445)</f>
        <v/>
      </c>
      <c r="E445" s="3" t="str">
        <f>IF(EXACT(MAIN!$I445, ""), "", MAIN!$D445)</f>
        <v/>
      </c>
      <c r="F445" s="27" t="str">
        <f>IF(EXACT(MAIN!$I445, ""), "", ""&amp;MAIN!$F445)</f>
        <v/>
      </c>
    </row>
    <row r="446" spans="2:6" x14ac:dyDescent="0.2">
      <c r="B446" s="25" t="str">
        <f>IF(EXACT(MAIN!I446, ""), "", MAIN!H446)</f>
        <v/>
      </c>
      <c r="C446" s="3" t="str">
        <f>IF(EXACT(MAIN!$I446, ""), "", MAIN!$B446)</f>
        <v/>
      </c>
      <c r="D446" s="3" t="str">
        <f>IF(EXACT(MAIN!$I446, ""), "", MAIN!$C446)</f>
        <v/>
      </c>
      <c r="E446" s="3" t="str">
        <f>IF(EXACT(MAIN!$I446, ""), "", MAIN!$D446)</f>
        <v/>
      </c>
      <c r="F446" s="27" t="str">
        <f>IF(EXACT(MAIN!$I446, ""), "", ""&amp;MAIN!$F446)</f>
        <v/>
      </c>
    </row>
    <row r="447" spans="2:6" x14ac:dyDescent="0.2">
      <c r="B447" s="25" t="str">
        <f>IF(EXACT(MAIN!I447, ""), "", MAIN!H447)</f>
        <v/>
      </c>
      <c r="C447" s="3" t="str">
        <f>IF(EXACT(MAIN!$I447, ""), "", MAIN!$B447)</f>
        <v/>
      </c>
      <c r="D447" s="3" t="str">
        <f>IF(EXACT(MAIN!$I447, ""), "", MAIN!$C447)</f>
        <v/>
      </c>
      <c r="E447" s="3" t="str">
        <f>IF(EXACT(MAIN!$I447, ""), "", MAIN!$D447)</f>
        <v/>
      </c>
      <c r="F447" s="27" t="str">
        <f>IF(EXACT(MAIN!$I447, ""), "", ""&amp;MAIN!$F447)</f>
        <v/>
      </c>
    </row>
    <row r="448" spans="2:6" x14ac:dyDescent="0.2">
      <c r="B448" s="25" t="str">
        <f>IF(EXACT(MAIN!I448, ""), "", MAIN!H448)</f>
        <v/>
      </c>
      <c r="C448" s="3" t="str">
        <f>IF(EXACT(MAIN!$I448, ""), "", MAIN!$B448)</f>
        <v/>
      </c>
      <c r="D448" s="3" t="str">
        <f>IF(EXACT(MAIN!$I448, ""), "", MAIN!$C448)</f>
        <v/>
      </c>
      <c r="E448" s="3" t="str">
        <f>IF(EXACT(MAIN!$I448, ""), "", MAIN!$D448)</f>
        <v/>
      </c>
      <c r="F448" s="27" t="str">
        <f>IF(EXACT(MAIN!$I448, ""), "", ""&amp;MAIN!$F448)</f>
        <v/>
      </c>
    </row>
    <row r="449" spans="2:6" x14ac:dyDescent="0.2">
      <c r="B449" s="25" t="str">
        <f>IF(EXACT(MAIN!I449, ""), "", MAIN!H449)</f>
        <v/>
      </c>
      <c r="C449" s="3" t="str">
        <f>IF(EXACT(MAIN!$I449, ""), "", MAIN!$B449)</f>
        <v/>
      </c>
      <c r="D449" s="3" t="str">
        <f>IF(EXACT(MAIN!$I449, ""), "", MAIN!$C449)</f>
        <v/>
      </c>
      <c r="E449" s="3" t="str">
        <f>IF(EXACT(MAIN!$I449, ""), "", MAIN!$D449)</f>
        <v/>
      </c>
      <c r="F449" s="27" t="str">
        <f>IF(EXACT(MAIN!$I449, ""), "", ""&amp;MAIN!$F449)</f>
        <v/>
      </c>
    </row>
    <row r="450" spans="2:6" x14ac:dyDescent="0.2">
      <c r="B450" s="25" t="str">
        <f>IF(EXACT(MAIN!I450, ""), "", MAIN!H450)</f>
        <v/>
      </c>
      <c r="C450" s="3" t="str">
        <f>IF(EXACT(MAIN!$I450, ""), "", MAIN!$B450)</f>
        <v/>
      </c>
      <c r="D450" s="3" t="str">
        <f>IF(EXACT(MAIN!$I450, ""), "", MAIN!$C450)</f>
        <v/>
      </c>
      <c r="E450" s="3" t="str">
        <f>IF(EXACT(MAIN!$I450, ""), "", MAIN!$D450)</f>
        <v/>
      </c>
      <c r="F450" s="27" t="str">
        <f>IF(EXACT(MAIN!$I450, ""), "", ""&amp;MAIN!$F450)</f>
        <v/>
      </c>
    </row>
    <row r="451" spans="2:6" x14ac:dyDescent="0.2">
      <c r="B451" s="25" t="str">
        <f>IF(EXACT(MAIN!I451, ""), "", MAIN!H451)</f>
        <v/>
      </c>
      <c r="C451" s="3" t="str">
        <f>IF(EXACT(MAIN!$I451, ""), "", MAIN!$B451)</f>
        <v/>
      </c>
      <c r="D451" s="3" t="str">
        <f>IF(EXACT(MAIN!$I451, ""), "", MAIN!$C451)</f>
        <v/>
      </c>
      <c r="E451" s="3" t="str">
        <f>IF(EXACT(MAIN!$I451, ""), "", MAIN!$D451)</f>
        <v/>
      </c>
      <c r="F451" s="27" t="str">
        <f>IF(EXACT(MAIN!$I451, ""), "", ""&amp;MAIN!$F451)</f>
        <v/>
      </c>
    </row>
    <row r="452" spans="2:6" x14ac:dyDescent="0.2">
      <c r="B452" s="25" t="str">
        <f>IF(EXACT(MAIN!I452, ""), "", MAIN!H452)</f>
        <v/>
      </c>
      <c r="C452" s="3" t="str">
        <f>IF(EXACT(MAIN!$I452, ""), "", MAIN!$B452)</f>
        <v/>
      </c>
      <c r="D452" s="3" t="str">
        <f>IF(EXACT(MAIN!$I452, ""), "", MAIN!$C452)</f>
        <v/>
      </c>
      <c r="E452" s="3" t="str">
        <f>IF(EXACT(MAIN!$I452, ""), "", MAIN!$D452)</f>
        <v/>
      </c>
      <c r="F452" s="27" t="str">
        <f>IF(EXACT(MAIN!$I452, ""), "", ""&amp;MAIN!$F452)</f>
        <v/>
      </c>
    </row>
    <row r="453" spans="2:6" x14ac:dyDescent="0.2">
      <c r="B453" s="25" t="str">
        <f>IF(EXACT(MAIN!I453, ""), "", MAIN!H453)</f>
        <v/>
      </c>
      <c r="C453" s="3" t="str">
        <f>IF(EXACT(MAIN!$I453, ""), "", MAIN!$B453)</f>
        <v/>
      </c>
      <c r="D453" s="3" t="str">
        <f>IF(EXACT(MAIN!$I453, ""), "", MAIN!$C453)</f>
        <v/>
      </c>
      <c r="E453" s="3" t="str">
        <f>IF(EXACT(MAIN!$I453, ""), "", MAIN!$D453)</f>
        <v/>
      </c>
      <c r="F453" s="27" t="str">
        <f>IF(EXACT(MAIN!$I453, ""), "", ""&amp;MAIN!$F453)</f>
        <v/>
      </c>
    </row>
    <row r="454" spans="2:6" x14ac:dyDescent="0.2">
      <c r="B454" s="25" t="str">
        <f>IF(EXACT(MAIN!I454, ""), "", MAIN!H454)</f>
        <v/>
      </c>
      <c r="C454" s="3" t="str">
        <f>IF(EXACT(MAIN!$I454, ""), "", MAIN!$B454)</f>
        <v/>
      </c>
      <c r="D454" s="3" t="str">
        <f>IF(EXACT(MAIN!$I454, ""), "", MAIN!$C454)</f>
        <v/>
      </c>
      <c r="E454" s="3" t="str">
        <f>IF(EXACT(MAIN!$I454, ""), "", MAIN!$D454)</f>
        <v/>
      </c>
      <c r="F454" s="27" t="str">
        <f>IF(EXACT(MAIN!$I454, ""), "", ""&amp;MAIN!$F454)</f>
        <v/>
      </c>
    </row>
    <row r="455" spans="2:6" x14ac:dyDescent="0.2">
      <c r="B455" s="25">
        <f>IF(EXACT(MAIN!I455, ""), "", MAIN!H455)</f>
        <v>225000000000029</v>
      </c>
      <c r="C455" s="3">
        <f>IF(EXACT(MAIN!$I455, ""), "", MAIN!$B455)</f>
        <v>164000000000452</v>
      </c>
      <c r="D455" s="3" t="str">
        <f>IF(EXACT(MAIN!$I455, ""), "", MAIN!$C455)</f>
        <v>Turita Pramuning Marantina</v>
      </c>
      <c r="E455" s="3">
        <f>IF(EXACT(MAIN!$I455, ""), "", MAIN!$D455)</f>
        <v>95000000000043</v>
      </c>
      <c r="F455" s="27" t="str">
        <f>IF(EXACT(MAIN!$I455, ""), "", ""&amp;MAIN!$F455)</f>
        <v/>
      </c>
    </row>
    <row r="456" spans="2:6" x14ac:dyDescent="0.2">
      <c r="B456" s="25" t="str">
        <f>IF(EXACT(MAIN!I456, ""), "", MAIN!H456)</f>
        <v/>
      </c>
      <c r="C456" s="3" t="str">
        <f>IF(EXACT(MAIN!$I456, ""), "", MAIN!$B456)</f>
        <v/>
      </c>
      <c r="D456" s="3" t="str">
        <f>IF(EXACT(MAIN!$I456, ""), "", MAIN!$C456)</f>
        <v/>
      </c>
      <c r="E456" s="3" t="str">
        <f>IF(EXACT(MAIN!$I456, ""), "", MAIN!$D456)</f>
        <v/>
      </c>
      <c r="F456" s="27" t="str">
        <f>IF(EXACT(MAIN!$I456, ""), "", ""&amp;MAIN!$F456)</f>
        <v/>
      </c>
    </row>
    <row r="457" spans="2:6" x14ac:dyDescent="0.2">
      <c r="B457" s="25" t="str">
        <f>IF(EXACT(MAIN!I457, ""), "", MAIN!H457)</f>
        <v/>
      </c>
      <c r="C457" s="3" t="str">
        <f>IF(EXACT(MAIN!$I457, ""), "", MAIN!$B457)</f>
        <v/>
      </c>
      <c r="D457" s="3" t="str">
        <f>IF(EXACT(MAIN!$I457, ""), "", MAIN!$C457)</f>
        <v/>
      </c>
      <c r="E457" s="3" t="str">
        <f>IF(EXACT(MAIN!$I457, ""), "", MAIN!$D457)</f>
        <v/>
      </c>
      <c r="F457" s="27" t="str">
        <f>IF(EXACT(MAIN!$I457, ""), "", ""&amp;MAIN!$F457)</f>
        <v/>
      </c>
    </row>
    <row r="458" spans="2:6" x14ac:dyDescent="0.2">
      <c r="B458" s="25" t="str">
        <f>IF(EXACT(MAIN!I458, ""), "", MAIN!H458)</f>
        <v/>
      </c>
      <c r="C458" s="3" t="str">
        <f>IF(EXACT(MAIN!$I458, ""), "", MAIN!$B458)</f>
        <v/>
      </c>
      <c r="D458" s="3" t="str">
        <f>IF(EXACT(MAIN!$I458, ""), "", MAIN!$C458)</f>
        <v/>
      </c>
      <c r="E458" s="3" t="str">
        <f>IF(EXACT(MAIN!$I458, ""), "", MAIN!$D458)</f>
        <v/>
      </c>
      <c r="F458" s="27" t="str">
        <f>IF(EXACT(MAIN!$I458, ""), "", ""&amp;MAIN!$F458)</f>
        <v/>
      </c>
    </row>
    <row r="459" spans="2:6" x14ac:dyDescent="0.2">
      <c r="B459" s="25" t="str">
        <f>IF(EXACT(MAIN!I459, ""), "", MAIN!H459)</f>
        <v/>
      </c>
      <c r="C459" s="3" t="str">
        <f>IF(EXACT(MAIN!$I459, ""), "", MAIN!$B459)</f>
        <v/>
      </c>
      <c r="D459" s="3" t="str">
        <f>IF(EXACT(MAIN!$I459, ""), "", MAIN!$C459)</f>
        <v/>
      </c>
      <c r="E459" s="3" t="str">
        <f>IF(EXACT(MAIN!$I459, ""), "", MAIN!$D459)</f>
        <v/>
      </c>
      <c r="F459" s="27" t="str">
        <f>IF(EXACT(MAIN!$I459, ""), "", ""&amp;MAIN!$F459)</f>
        <v/>
      </c>
    </row>
    <row r="460" spans="2:6" x14ac:dyDescent="0.2">
      <c r="B460" s="25" t="str">
        <f>IF(EXACT(MAIN!I460, ""), "", MAIN!H460)</f>
        <v/>
      </c>
      <c r="C460" s="3" t="str">
        <f>IF(EXACT(MAIN!$I460, ""), "", MAIN!$B460)</f>
        <v/>
      </c>
      <c r="D460" s="3" t="str">
        <f>IF(EXACT(MAIN!$I460, ""), "", MAIN!$C460)</f>
        <v/>
      </c>
      <c r="E460" s="3" t="str">
        <f>IF(EXACT(MAIN!$I460, ""), "", MAIN!$D460)</f>
        <v/>
      </c>
      <c r="F460" s="27" t="str">
        <f>IF(EXACT(MAIN!$I460, ""), "", ""&amp;MAIN!$F460)</f>
        <v/>
      </c>
    </row>
    <row r="461" spans="2:6" x14ac:dyDescent="0.2">
      <c r="B461" s="25" t="str">
        <f>IF(EXACT(MAIN!I461, ""), "", MAIN!H461)</f>
        <v/>
      </c>
      <c r="C461" s="3" t="str">
        <f>IF(EXACT(MAIN!$I461, ""), "", MAIN!$B461)</f>
        <v/>
      </c>
      <c r="D461" s="3" t="str">
        <f>IF(EXACT(MAIN!$I461, ""), "", MAIN!$C461)</f>
        <v/>
      </c>
      <c r="E461" s="3" t="str">
        <f>IF(EXACT(MAIN!$I461, ""), "", MAIN!$D461)</f>
        <v/>
      </c>
      <c r="F461" s="27" t="str">
        <f>IF(EXACT(MAIN!$I461, ""), "", ""&amp;MAIN!$F461)</f>
        <v/>
      </c>
    </row>
    <row r="462" spans="2:6" x14ac:dyDescent="0.2">
      <c r="B462" s="25" t="str">
        <f>IF(EXACT(MAIN!I462, ""), "", MAIN!H462)</f>
        <v/>
      </c>
      <c r="C462" s="3" t="str">
        <f>IF(EXACT(MAIN!$I462, ""), "", MAIN!$B462)</f>
        <v/>
      </c>
      <c r="D462" s="3" t="str">
        <f>IF(EXACT(MAIN!$I462, ""), "", MAIN!$C462)</f>
        <v/>
      </c>
      <c r="E462" s="3" t="str">
        <f>IF(EXACT(MAIN!$I462, ""), "", MAIN!$D462)</f>
        <v/>
      </c>
      <c r="F462" s="27" t="str">
        <f>IF(EXACT(MAIN!$I462, ""), "", ""&amp;MAIN!$F462)</f>
        <v/>
      </c>
    </row>
    <row r="463" spans="2:6" x14ac:dyDescent="0.2">
      <c r="B463" s="25" t="str">
        <f>IF(EXACT(MAIN!I463, ""), "", MAIN!H463)</f>
        <v/>
      </c>
      <c r="C463" s="3" t="str">
        <f>IF(EXACT(MAIN!$I463, ""), "", MAIN!$B463)</f>
        <v/>
      </c>
      <c r="D463" s="3" t="str">
        <f>IF(EXACT(MAIN!$I463, ""), "", MAIN!$C463)</f>
        <v/>
      </c>
      <c r="E463" s="3" t="str">
        <f>IF(EXACT(MAIN!$I463, ""), "", MAIN!$D463)</f>
        <v/>
      </c>
      <c r="F463" s="27" t="str">
        <f>IF(EXACT(MAIN!$I463, ""), "", ""&amp;MAIN!$F463)</f>
        <v/>
      </c>
    </row>
    <row r="464" spans="2:6" x14ac:dyDescent="0.2">
      <c r="B464" s="25" t="str">
        <f>IF(EXACT(MAIN!I464, ""), "", MAIN!H464)</f>
        <v/>
      </c>
      <c r="C464" s="3" t="str">
        <f>IF(EXACT(MAIN!$I464, ""), "", MAIN!$B464)</f>
        <v/>
      </c>
      <c r="D464" s="3" t="str">
        <f>IF(EXACT(MAIN!$I464, ""), "", MAIN!$C464)</f>
        <v/>
      </c>
      <c r="E464" s="3" t="str">
        <f>IF(EXACT(MAIN!$I464, ""), "", MAIN!$D464)</f>
        <v/>
      </c>
      <c r="F464" s="27" t="str">
        <f>IF(EXACT(MAIN!$I464, ""), "", ""&amp;MAIN!$F464)</f>
        <v/>
      </c>
    </row>
    <row r="465" spans="2:6" x14ac:dyDescent="0.2">
      <c r="B465" s="25" t="str">
        <f>IF(EXACT(MAIN!I465, ""), "", MAIN!H465)</f>
        <v/>
      </c>
      <c r="C465" s="3" t="str">
        <f>IF(EXACT(MAIN!$I465, ""), "", MAIN!$B465)</f>
        <v/>
      </c>
      <c r="D465" s="3" t="str">
        <f>IF(EXACT(MAIN!$I465, ""), "", MAIN!$C465)</f>
        <v/>
      </c>
      <c r="E465" s="3" t="str">
        <f>IF(EXACT(MAIN!$I465, ""), "", MAIN!$D465)</f>
        <v/>
      </c>
      <c r="F465" s="27" t="str">
        <f>IF(EXACT(MAIN!$I465, ""), "", ""&amp;MAIN!$F465)</f>
        <v/>
      </c>
    </row>
    <row r="466" spans="2:6" x14ac:dyDescent="0.2">
      <c r="B466" s="25" t="str">
        <f>IF(EXACT(MAIN!I466, ""), "", MAIN!H466)</f>
        <v/>
      </c>
      <c r="C466" s="3" t="str">
        <f>IF(EXACT(MAIN!$I466, ""), "", MAIN!$B466)</f>
        <v/>
      </c>
      <c r="D466" s="3" t="str">
        <f>IF(EXACT(MAIN!$I466, ""), "", MAIN!$C466)</f>
        <v/>
      </c>
      <c r="E466" s="3" t="str">
        <f>IF(EXACT(MAIN!$I466, ""), "", MAIN!$D466)</f>
        <v/>
      </c>
      <c r="F466" s="27" t="str">
        <f>IF(EXACT(MAIN!$I466, ""), "", ""&amp;MAIN!$F466)</f>
        <v/>
      </c>
    </row>
    <row r="467" spans="2:6" x14ac:dyDescent="0.2">
      <c r="B467" s="25" t="str">
        <f>IF(EXACT(MAIN!I467, ""), "", MAIN!H467)</f>
        <v/>
      </c>
      <c r="C467" s="3" t="str">
        <f>IF(EXACT(MAIN!$I467, ""), "", MAIN!$B467)</f>
        <v/>
      </c>
      <c r="D467" s="3" t="str">
        <f>IF(EXACT(MAIN!$I467, ""), "", MAIN!$C467)</f>
        <v/>
      </c>
      <c r="E467" s="3" t="str">
        <f>IF(EXACT(MAIN!$I467, ""), "", MAIN!$D467)</f>
        <v/>
      </c>
      <c r="F467" s="27" t="str">
        <f>IF(EXACT(MAIN!$I467, ""), "", ""&amp;MAIN!$F467)</f>
        <v/>
      </c>
    </row>
    <row r="468" spans="2:6" x14ac:dyDescent="0.2">
      <c r="B468" s="25" t="str">
        <f>IF(EXACT(MAIN!I468, ""), "", MAIN!H468)</f>
        <v/>
      </c>
      <c r="C468" s="3" t="str">
        <f>IF(EXACT(MAIN!$I468, ""), "", MAIN!$B468)</f>
        <v/>
      </c>
      <c r="D468" s="3" t="str">
        <f>IF(EXACT(MAIN!$I468, ""), "", MAIN!$C468)</f>
        <v/>
      </c>
      <c r="E468" s="3" t="str">
        <f>IF(EXACT(MAIN!$I468, ""), "", MAIN!$D468)</f>
        <v/>
      </c>
      <c r="F468" s="27" t="str">
        <f>IF(EXACT(MAIN!$I468, ""), "", ""&amp;MAIN!$F468)</f>
        <v/>
      </c>
    </row>
    <row r="469" spans="2:6" x14ac:dyDescent="0.2">
      <c r="B469" s="25" t="str">
        <f>IF(EXACT(MAIN!I469, ""), "", MAIN!H469)</f>
        <v/>
      </c>
      <c r="C469" s="3" t="str">
        <f>IF(EXACT(MAIN!$I469, ""), "", MAIN!$B469)</f>
        <v/>
      </c>
      <c r="D469" s="3" t="str">
        <f>IF(EXACT(MAIN!$I469, ""), "", MAIN!$C469)</f>
        <v/>
      </c>
      <c r="E469" s="3" t="str">
        <f>IF(EXACT(MAIN!$I469, ""), "", MAIN!$D469)</f>
        <v/>
      </c>
      <c r="F469" s="27" t="str">
        <f>IF(EXACT(MAIN!$I469, ""), "", ""&amp;MAIN!$F469)</f>
        <v/>
      </c>
    </row>
    <row r="470" spans="2:6" x14ac:dyDescent="0.2">
      <c r="B470" s="25" t="str">
        <f>IF(EXACT(MAIN!I470, ""), "", MAIN!H470)</f>
        <v/>
      </c>
      <c r="C470" s="3" t="str">
        <f>IF(EXACT(MAIN!$I470, ""), "", MAIN!$B470)</f>
        <v/>
      </c>
      <c r="D470" s="3" t="str">
        <f>IF(EXACT(MAIN!$I470, ""), "", MAIN!$C470)</f>
        <v/>
      </c>
      <c r="E470" s="3" t="str">
        <f>IF(EXACT(MAIN!$I470, ""), "", MAIN!$D470)</f>
        <v/>
      </c>
      <c r="F470" s="27" t="str">
        <f>IF(EXACT(MAIN!$I470, ""), "", ""&amp;MAIN!$F470)</f>
        <v/>
      </c>
    </row>
    <row r="471" spans="2:6" x14ac:dyDescent="0.2">
      <c r="B471" s="25" t="str">
        <f>IF(EXACT(MAIN!I471, ""), "", MAIN!H471)</f>
        <v/>
      </c>
      <c r="C471" s="3" t="str">
        <f>IF(EXACT(MAIN!$I471, ""), "", MAIN!$B471)</f>
        <v/>
      </c>
      <c r="D471" s="3" t="str">
        <f>IF(EXACT(MAIN!$I471, ""), "", MAIN!$C471)</f>
        <v/>
      </c>
      <c r="E471" s="3" t="str">
        <f>IF(EXACT(MAIN!$I471, ""), "", MAIN!$D471)</f>
        <v/>
      </c>
      <c r="F471" s="27" t="str">
        <f>IF(EXACT(MAIN!$I471, ""), "", ""&amp;MAIN!$F471)</f>
        <v/>
      </c>
    </row>
    <row r="472" spans="2:6" x14ac:dyDescent="0.2">
      <c r="B472" s="25" t="str">
        <f>IF(EXACT(MAIN!I472, ""), "", MAIN!H472)</f>
        <v/>
      </c>
      <c r="C472" s="3" t="str">
        <f>IF(EXACT(MAIN!$I472, ""), "", MAIN!$B472)</f>
        <v/>
      </c>
      <c r="D472" s="3" t="str">
        <f>IF(EXACT(MAIN!$I472, ""), "", MAIN!$C472)</f>
        <v/>
      </c>
      <c r="E472" s="3" t="str">
        <f>IF(EXACT(MAIN!$I472, ""), "", MAIN!$D472)</f>
        <v/>
      </c>
      <c r="F472" s="27" t="str">
        <f>IF(EXACT(MAIN!$I472, ""), "", ""&amp;MAIN!$F472)</f>
        <v/>
      </c>
    </row>
    <row r="473" spans="2:6" x14ac:dyDescent="0.2">
      <c r="B473" s="25" t="str">
        <f>IF(EXACT(MAIN!I473, ""), "", MAIN!H473)</f>
        <v/>
      </c>
      <c r="C473" s="3" t="str">
        <f>IF(EXACT(MAIN!$I473, ""), "", MAIN!$B473)</f>
        <v/>
      </c>
      <c r="D473" s="3" t="str">
        <f>IF(EXACT(MAIN!$I473, ""), "", MAIN!$C473)</f>
        <v/>
      </c>
      <c r="E473" s="3" t="str">
        <f>IF(EXACT(MAIN!$I473, ""), "", MAIN!$D473)</f>
        <v/>
      </c>
      <c r="F473" s="27" t="str">
        <f>IF(EXACT(MAIN!$I473, ""), "", ""&amp;MAIN!$F473)</f>
        <v/>
      </c>
    </row>
    <row r="474" spans="2:6" x14ac:dyDescent="0.2">
      <c r="B474" s="25" t="str">
        <f>IF(EXACT(MAIN!I474, ""), "", MAIN!H474)</f>
        <v/>
      </c>
      <c r="C474" s="3" t="str">
        <f>IF(EXACT(MAIN!$I474, ""), "", MAIN!$B474)</f>
        <v/>
      </c>
      <c r="D474" s="3" t="str">
        <f>IF(EXACT(MAIN!$I474, ""), "", MAIN!$C474)</f>
        <v/>
      </c>
      <c r="E474" s="3" t="str">
        <f>IF(EXACT(MAIN!$I474, ""), "", MAIN!$D474)</f>
        <v/>
      </c>
      <c r="F474" s="27" t="str">
        <f>IF(EXACT(MAIN!$I474, ""), "", ""&amp;MAIN!$F474)</f>
        <v/>
      </c>
    </row>
    <row r="475" spans="2:6" x14ac:dyDescent="0.2">
      <c r="B475" s="25" t="str">
        <f>IF(EXACT(MAIN!I475, ""), "", MAIN!H475)</f>
        <v/>
      </c>
      <c r="C475" s="3" t="str">
        <f>IF(EXACT(MAIN!$I475, ""), "", MAIN!$B475)</f>
        <v/>
      </c>
      <c r="D475" s="3" t="str">
        <f>IF(EXACT(MAIN!$I475, ""), "", MAIN!$C475)</f>
        <v/>
      </c>
      <c r="E475" s="3" t="str">
        <f>IF(EXACT(MAIN!$I475, ""), "", MAIN!$D475)</f>
        <v/>
      </c>
      <c r="F475" s="27" t="str">
        <f>IF(EXACT(MAIN!$I475, ""), "", ""&amp;MAIN!$F475)</f>
        <v/>
      </c>
    </row>
    <row r="476" spans="2:6" x14ac:dyDescent="0.2">
      <c r="B476" s="25" t="str">
        <f>IF(EXACT(MAIN!I476, ""), "", MAIN!H476)</f>
        <v/>
      </c>
      <c r="C476" s="3" t="str">
        <f>IF(EXACT(MAIN!$I476, ""), "", MAIN!$B476)</f>
        <v/>
      </c>
      <c r="D476" s="3" t="str">
        <f>IF(EXACT(MAIN!$I476, ""), "", MAIN!$C476)</f>
        <v/>
      </c>
      <c r="E476" s="3" t="str">
        <f>IF(EXACT(MAIN!$I476, ""), "", MAIN!$D476)</f>
        <v/>
      </c>
      <c r="F476" s="27" t="str">
        <f>IF(EXACT(MAIN!$I476, ""), "", ""&amp;MAIN!$F476)</f>
        <v/>
      </c>
    </row>
    <row r="477" spans="2:6" x14ac:dyDescent="0.2">
      <c r="B477" s="25" t="str">
        <f>IF(EXACT(MAIN!I477, ""), "", MAIN!H477)</f>
        <v/>
      </c>
      <c r="C477" s="3" t="str">
        <f>IF(EXACT(MAIN!$I477, ""), "", MAIN!$B477)</f>
        <v/>
      </c>
      <c r="D477" s="3" t="str">
        <f>IF(EXACT(MAIN!$I477, ""), "", MAIN!$C477)</f>
        <v/>
      </c>
      <c r="E477" s="3" t="str">
        <f>IF(EXACT(MAIN!$I477, ""), "", MAIN!$D477)</f>
        <v/>
      </c>
      <c r="F477" s="27" t="str">
        <f>IF(EXACT(MAIN!$I477, ""), "", ""&amp;MAIN!$F477)</f>
        <v/>
      </c>
    </row>
    <row r="478" spans="2:6" x14ac:dyDescent="0.2">
      <c r="B478" s="25" t="str">
        <f>IF(EXACT(MAIN!I478, ""), "", MAIN!H478)</f>
        <v/>
      </c>
      <c r="C478" s="3" t="str">
        <f>IF(EXACT(MAIN!$I478, ""), "", MAIN!$B478)</f>
        <v/>
      </c>
      <c r="D478" s="3" t="str">
        <f>IF(EXACT(MAIN!$I478, ""), "", MAIN!$C478)</f>
        <v/>
      </c>
      <c r="E478" s="3" t="str">
        <f>IF(EXACT(MAIN!$I478, ""), "", MAIN!$D478)</f>
        <v/>
      </c>
      <c r="F478" s="27" t="str">
        <f>IF(EXACT(MAIN!$I478, ""), "", ""&amp;MAIN!$F478)</f>
        <v/>
      </c>
    </row>
    <row r="479" spans="2:6" x14ac:dyDescent="0.2">
      <c r="B479" s="25" t="str">
        <f>IF(EXACT(MAIN!I479, ""), "", MAIN!H479)</f>
        <v/>
      </c>
      <c r="C479" s="3" t="str">
        <f>IF(EXACT(MAIN!$I479, ""), "", MAIN!$B479)</f>
        <v/>
      </c>
      <c r="D479" s="3" t="str">
        <f>IF(EXACT(MAIN!$I479, ""), "", MAIN!$C479)</f>
        <v/>
      </c>
      <c r="E479" s="3" t="str">
        <f>IF(EXACT(MAIN!$I479, ""), "", MAIN!$D479)</f>
        <v/>
      </c>
      <c r="F479" s="27" t="str">
        <f>IF(EXACT(MAIN!$I479, ""), "", ""&amp;MAIN!$F479)</f>
        <v/>
      </c>
    </row>
    <row r="480" spans="2:6" x14ac:dyDescent="0.2">
      <c r="B480" s="25" t="str">
        <f>IF(EXACT(MAIN!I480, ""), "", MAIN!H480)</f>
        <v/>
      </c>
      <c r="C480" s="3" t="str">
        <f>IF(EXACT(MAIN!$I480, ""), "", MAIN!$B480)</f>
        <v/>
      </c>
      <c r="D480" s="3" t="str">
        <f>IF(EXACT(MAIN!$I480, ""), "", MAIN!$C480)</f>
        <v/>
      </c>
      <c r="E480" s="3" t="str">
        <f>IF(EXACT(MAIN!$I480, ""), "", MAIN!$D480)</f>
        <v/>
      </c>
      <c r="F480" s="27" t="str">
        <f>IF(EXACT(MAIN!$I480, ""), "", ""&amp;MAIN!$F480)</f>
        <v/>
      </c>
    </row>
    <row r="481" spans="2:6" x14ac:dyDescent="0.2">
      <c r="B481" s="25" t="str">
        <f>IF(EXACT(MAIN!I481, ""), "", MAIN!H481)</f>
        <v/>
      </c>
      <c r="C481" s="3" t="str">
        <f>IF(EXACT(MAIN!$I481, ""), "", MAIN!$B481)</f>
        <v/>
      </c>
      <c r="D481" s="3" t="str">
        <f>IF(EXACT(MAIN!$I481, ""), "", MAIN!$C481)</f>
        <v/>
      </c>
      <c r="E481" s="3" t="str">
        <f>IF(EXACT(MAIN!$I481, ""), "", MAIN!$D481)</f>
        <v/>
      </c>
      <c r="F481" s="27" t="str">
        <f>IF(EXACT(MAIN!$I481, ""), "", ""&amp;MAIN!$F481)</f>
        <v/>
      </c>
    </row>
    <row r="482" spans="2:6" x14ac:dyDescent="0.2">
      <c r="B482" s="25" t="str">
        <f>IF(EXACT(MAIN!I482, ""), "", MAIN!H482)</f>
        <v/>
      </c>
      <c r="C482" s="3" t="str">
        <f>IF(EXACT(MAIN!$I482, ""), "", MAIN!$B482)</f>
        <v/>
      </c>
      <c r="D482" s="3" t="str">
        <f>IF(EXACT(MAIN!$I482, ""), "", MAIN!$C482)</f>
        <v/>
      </c>
      <c r="E482" s="3" t="str">
        <f>IF(EXACT(MAIN!$I482, ""), "", MAIN!$D482)</f>
        <v/>
      </c>
      <c r="F482" s="27" t="str">
        <f>IF(EXACT(MAIN!$I482, ""), "", ""&amp;MAIN!$F482)</f>
        <v/>
      </c>
    </row>
    <row r="483" spans="2:6" x14ac:dyDescent="0.2">
      <c r="B483" s="25" t="str">
        <f>IF(EXACT(MAIN!I483, ""), "", MAIN!H483)</f>
        <v/>
      </c>
      <c r="C483" s="3" t="str">
        <f>IF(EXACT(MAIN!$I483, ""), "", MAIN!$B483)</f>
        <v/>
      </c>
      <c r="D483" s="3" t="str">
        <f>IF(EXACT(MAIN!$I483, ""), "", MAIN!$C483)</f>
        <v/>
      </c>
      <c r="E483" s="3" t="str">
        <f>IF(EXACT(MAIN!$I483, ""), "", MAIN!$D483)</f>
        <v/>
      </c>
      <c r="F483" s="27" t="str">
        <f>IF(EXACT(MAIN!$I483, ""), "", ""&amp;MAIN!$F483)</f>
        <v/>
      </c>
    </row>
    <row r="484" spans="2:6" x14ac:dyDescent="0.2">
      <c r="B484" s="25" t="str">
        <f>IF(EXACT(MAIN!I484, ""), "", MAIN!H484)</f>
        <v/>
      </c>
      <c r="C484" s="3" t="str">
        <f>IF(EXACT(MAIN!$I484, ""), "", MAIN!$B484)</f>
        <v/>
      </c>
      <c r="D484" s="3" t="str">
        <f>IF(EXACT(MAIN!$I484, ""), "", MAIN!$C484)</f>
        <v/>
      </c>
      <c r="E484" s="3" t="str">
        <f>IF(EXACT(MAIN!$I484, ""), "", MAIN!$D484)</f>
        <v/>
      </c>
      <c r="F484" s="27" t="str">
        <f>IF(EXACT(MAIN!$I484, ""), "", ""&amp;MAIN!$F484)</f>
        <v/>
      </c>
    </row>
    <row r="485" spans="2:6" x14ac:dyDescent="0.2">
      <c r="B485" s="25" t="str">
        <f>IF(EXACT(MAIN!I485, ""), "", MAIN!H485)</f>
        <v/>
      </c>
      <c r="C485" s="3" t="str">
        <f>IF(EXACT(MAIN!$I485, ""), "", MAIN!$B485)</f>
        <v/>
      </c>
      <c r="D485" s="3" t="str">
        <f>IF(EXACT(MAIN!$I485, ""), "", MAIN!$C485)</f>
        <v/>
      </c>
      <c r="E485" s="3" t="str">
        <f>IF(EXACT(MAIN!$I485, ""), "", MAIN!$D485)</f>
        <v/>
      </c>
      <c r="F485" s="27" t="str">
        <f>IF(EXACT(MAIN!$I485, ""), "", ""&amp;MAIN!$F485)</f>
        <v/>
      </c>
    </row>
    <row r="486" spans="2:6" x14ac:dyDescent="0.2">
      <c r="B486" s="25" t="str">
        <f>IF(EXACT(MAIN!I486, ""), "", MAIN!H486)</f>
        <v/>
      </c>
      <c r="C486" s="3" t="str">
        <f>IF(EXACT(MAIN!$I486, ""), "", MAIN!$B486)</f>
        <v/>
      </c>
      <c r="D486" s="3" t="str">
        <f>IF(EXACT(MAIN!$I486, ""), "", MAIN!$C486)</f>
        <v/>
      </c>
      <c r="E486" s="3" t="str">
        <f>IF(EXACT(MAIN!$I486, ""), "", MAIN!$D486)</f>
        <v/>
      </c>
      <c r="F486" s="27" t="str">
        <f>IF(EXACT(MAIN!$I486, ""), "", ""&amp;MAIN!$F486)</f>
        <v/>
      </c>
    </row>
    <row r="487" spans="2:6" x14ac:dyDescent="0.2">
      <c r="B487" s="25" t="str">
        <f>IF(EXACT(MAIN!I487, ""), "", MAIN!H487)</f>
        <v/>
      </c>
      <c r="C487" s="3" t="str">
        <f>IF(EXACT(MAIN!$I487, ""), "", MAIN!$B487)</f>
        <v/>
      </c>
      <c r="D487" s="3" t="str">
        <f>IF(EXACT(MAIN!$I487, ""), "", MAIN!$C487)</f>
        <v/>
      </c>
      <c r="E487" s="3" t="str">
        <f>IF(EXACT(MAIN!$I487, ""), "", MAIN!$D487)</f>
        <v/>
      </c>
      <c r="F487" s="27" t="str">
        <f>IF(EXACT(MAIN!$I487, ""), "", ""&amp;MAIN!$F487)</f>
        <v/>
      </c>
    </row>
    <row r="488" spans="2:6" x14ac:dyDescent="0.2">
      <c r="B488" s="25" t="str">
        <f>IF(EXACT(MAIN!I488, ""), "", MAIN!H488)</f>
        <v/>
      </c>
      <c r="C488" s="3" t="str">
        <f>IF(EXACT(MAIN!$I488, ""), "", MAIN!$B488)</f>
        <v/>
      </c>
      <c r="D488" s="3" t="str">
        <f>IF(EXACT(MAIN!$I488, ""), "", MAIN!$C488)</f>
        <v/>
      </c>
      <c r="E488" s="3" t="str">
        <f>IF(EXACT(MAIN!$I488, ""), "", MAIN!$D488)</f>
        <v/>
      </c>
      <c r="F488" s="27" t="str">
        <f>IF(EXACT(MAIN!$I488, ""), "", ""&amp;MAIN!$F488)</f>
        <v/>
      </c>
    </row>
    <row r="489" spans="2:6" x14ac:dyDescent="0.2">
      <c r="B489" s="25" t="str">
        <f>IF(EXACT(MAIN!I489, ""), "", MAIN!H489)</f>
        <v/>
      </c>
      <c r="C489" s="3" t="str">
        <f>IF(EXACT(MAIN!$I489, ""), "", MAIN!$B489)</f>
        <v/>
      </c>
      <c r="D489" s="3" t="str">
        <f>IF(EXACT(MAIN!$I489, ""), "", MAIN!$C489)</f>
        <v/>
      </c>
      <c r="E489" s="3" t="str">
        <f>IF(EXACT(MAIN!$I489, ""), "", MAIN!$D489)</f>
        <v/>
      </c>
      <c r="F489" s="27" t="str">
        <f>IF(EXACT(MAIN!$I489, ""), "", ""&amp;MAIN!$F489)</f>
        <v/>
      </c>
    </row>
    <row r="490" spans="2:6" x14ac:dyDescent="0.2">
      <c r="B490" s="25">
        <f>IF(EXACT(MAIN!I490, ""), "", MAIN!H490)</f>
        <v>225000000000030</v>
      </c>
      <c r="C490" s="3">
        <f>IF(EXACT(MAIN!$I490, ""), "", MAIN!$B490)</f>
        <v>164000000000487</v>
      </c>
      <c r="D490" s="3" t="str">
        <f>IF(EXACT(MAIN!$I490, ""), "", MAIN!$C490)</f>
        <v>Yuliandaru Suryoatmodjo</v>
      </c>
      <c r="E490" s="3">
        <f>IF(EXACT(MAIN!$I490, ""), "", MAIN!$D490)</f>
        <v>95000000000044</v>
      </c>
      <c r="F490" s="27" t="str">
        <f>IF(EXACT(MAIN!$I490, ""), "", ""&amp;MAIN!$F490)</f>
        <v/>
      </c>
    </row>
    <row r="491" spans="2:6" x14ac:dyDescent="0.2">
      <c r="B491" s="25" t="str">
        <f>IF(EXACT(MAIN!I491, ""), "", MAIN!H491)</f>
        <v/>
      </c>
      <c r="C491" s="3" t="str">
        <f>IF(EXACT(MAIN!$I491, ""), "", MAIN!$B491)</f>
        <v/>
      </c>
      <c r="D491" s="3" t="str">
        <f>IF(EXACT(MAIN!$I491, ""), "", MAIN!$C491)</f>
        <v/>
      </c>
      <c r="E491" s="3" t="str">
        <f>IF(EXACT(MAIN!$I491, ""), "", MAIN!$D491)</f>
        <v/>
      </c>
      <c r="F491" s="27" t="str">
        <f>IF(EXACT(MAIN!$I491, ""), "", ""&amp;MAIN!$F491)</f>
        <v/>
      </c>
    </row>
    <row r="492" spans="2:6" x14ac:dyDescent="0.2">
      <c r="B492" s="25" t="str">
        <f>IF(EXACT(MAIN!I492, ""), "", MAIN!H492)</f>
        <v/>
      </c>
      <c r="C492" s="3" t="str">
        <f>IF(EXACT(MAIN!$I492, ""), "", MAIN!$B492)</f>
        <v/>
      </c>
      <c r="D492" s="3" t="str">
        <f>IF(EXACT(MAIN!$I492, ""), "", MAIN!$C492)</f>
        <v/>
      </c>
      <c r="E492" s="3" t="str">
        <f>IF(EXACT(MAIN!$I492, ""), "", MAIN!$D492)</f>
        <v/>
      </c>
      <c r="F492" s="27" t="str">
        <f>IF(EXACT(MAIN!$I492, ""), "", ""&amp;MAIN!$F492)</f>
        <v/>
      </c>
    </row>
    <row r="493" spans="2:6" x14ac:dyDescent="0.2">
      <c r="B493" s="25" t="str">
        <f>IF(EXACT(MAIN!I493, ""), "", MAIN!H493)</f>
        <v/>
      </c>
      <c r="C493" s="3" t="str">
        <f>IF(EXACT(MAIN!$I493, ""), "", MAIN!$B493)</f>
        <v/>
      </c>
      <c r="D493" s="3" t="str">
        <f>IF(EXACT(MAIN!$I493, ""), "", MAIN!$C493)</f>
        <v/>
      </c>
      <c r="E493" s="3" t="str">
        <f>IF(EXACT(MAIN!$I493, ""), "", MAIN!$D493)</f>
        <v/>
      </c>
      <c r="F493" s="27" t="str">
        <f>IF(EXACT(MAIN!$I493, ""), "", ""&amp;MAIN!$F493)</f>
        <v/>
      </c>
    </row>
    <row r="494" spans="2:6" x14ac:dyDescent="0.2">
      <c r="B494" s="25" t="str">
        <f>IF(EXACT(MAIN!I494, ""), "", MAIN!H494)</f>
        <v/>
      </c>
      <c r="C494" s="3" t="str">
        <f>IF(EXACT(MAIN!$I494, ""), "", MAIN!$B494)</f>
        <v/>
      </c>
      <c r="D494" s="3" t="str">
        <f>IF(EXACT(MAIN!$I494, ""), "", MAIN!$C494)</f>
        <v/>
      </c>
      <c r="E494" s="3" t="str">
        <f>IF(EXACT(MAIN!$I494, ""), "", MAIN!$D494)</f>
        <v/>
      </c>
      <c r="F494" s="27" t="str">
        <f>IF(EXACT(MAIN!$I494, ""), "", ""&amp;MAIN!$F494)</f>
        <v/>
      </c>
    </row>
    <row r="495" spans="2:6" x14ac:dyDescent="0.2">
      <c r="B495" s="25" t="str">
        <f>IF(EXACT(MAIN!I495, ""), "", MAIN!H495)</f>
        <v/>
      </c>
      <c r="C495" s="3" t="str">
        <f>IF(EXACT(MAIN!$I495, ""), "", MAIN!$B495)</f>
        <v/>
      </c>
      <c r="D495" s="3" t="str">
        <f>IF(EXACT(MAIN!$I495, ""), "", MAIN!$C495)</f>
        <v/>
      </c>
      <c r="E495" s="3" t="str">
        <f>IF(EXACT(MAIN!$I495, ""), "", MAIN!$D495)</f>
        <v/>
      </c>
      <c r="F495" s="27" t="str">
        <f>IF(EXACT(MAIN!$I495, ""), "", ""&amp;MAIN!$F495)</f>
        <v/>
      </c>
    </row>
    <row r="496" spans="2:6" x14ac:dyDescent="0.2">
      <c r="B496" s="25" t="str">
        <f>IF(EXACT(MAIN!I496, ""), "", MAIN!H496)</f>
        <v/>
      </c>
      <c r="C496" s="3" t="str">
        <f>IF(EXACT(MAIN!$I496, ""), "", MAIN!$B496)</f>
        <v/>
      </c>
      <c r="D496" s="3" t="str">
        <f>IF(EXACT(MAIN!$I496, ""), "", MAIN!$C496)</f>
        <v/>
      </c>
      <c r="E496" s="3" t="str">
        <f>IF(EXACT(MAIN!$I496, ""), "", MAIN!$D496)</f>
        <v/>
      </c>
      <c r="F496" s="27" t="str">
        <f>IF(EXACT(MAIN!$I496, ""), "", ""&amp;MAIN!$F496)</f>
        <v/>
      </c>
    </row>
    <row r="497" spans="2:6" x14ac:dyDescent="0.2">
      <c r="B497" s="25" t="str">
        <f>IF(EXACT(MAIN!I497, ""), "", MAIN!H497)</f>
        <v/>
      </c>
      <c r="C497" s="3" t="str">
        <f>IF(EXACT(MAIN!$I497, ""), "", MAIN!$B497)</f>
        <v/>
      </c>
      <c r="D497" s="3" t="str">
        <f>IF(EXACT(MAIN!$I497, ""), "", MAIN!$C497)</f>
        <v/>
      </c>
      <c r="E497" s="3" t="str">
        <f>IF(EXACT(MAIN!$I497, ""), "", MAIN!$D497)</f>
        <v/>
      </c>
      <c r="F497" s="27" t="str">
        <f>IF(EXACT(MAIN!$I497, ""), "", ""&amp;MAIN!$F497)</f>
        <v/>
      </c>
    </row>
    <row r="498" spans="2:6" x14ac:dyDescent="0.2">
      <c r="B498" s="25" t="str">
        <f>IF(EXACT(MAIN!I498, ""), "", MAIN!H498)</f>
        <v/>
      </c>
      <c r="C498" s="3" t="str">
        <f>IF(EXACT(MAIN!$I498, ""), "", MAIN!$B498)</f>
        <v/>
      </c>
      <c r="D498" s="3" t="str">
        <f>IF(EXACT(MAIN!$I498, ""), "", MAIN!$C498)</f>
        <v/>
      </c>
      <c r="E498" s="3" t="str">
        <f>IF(EXACT(MAIN!$I498, ""), "", MAIN!$D498)</f>
        <v/>
      </c>
      <c r="F498" s="27" t="str">
        <f>IF(EXACT(MAIN!$I498, ""), "", ""&amp;MAIN!$F498)</f>
        <v/>
      </c>
    </row>
    <row r="499" spans="2:6" x14ac:dyDescent="0.2">
      <c r="B499" s="25" t="str">
        <f>IF(EXACT(MAIN!I499, ""), "", MAIN!H499)</f>
        <v/>
      </c>
      <c r="C499" s="3" t="str">
        <f>IF(EXACT(MAIN!$I499, ""), "", MAIN!$B499)</f>
        <v/>
      </c>
      <c r="D499" s="3" t="str">
        <f>IF(EXACT(MAIN!$I499, ""), "", MAIN!$C499)</f>
        <v/>
      </c>
      <c r="E499" s="3" t="str">
        <f>IF(EXACT(MAIN!$I499, ""), "", MAIN!$D499)</f>
        <v/>
      </c>
      <c r="F499" s="27" t="str">
        <f>IF(EXACT(MAIN!$I499, ""), "", ""&amp;MAIN!$F499)</f>
        <v/>
      </c>
    </row>
    <row r="500" spans="2:6" x14ac:dyDescent="0.2">
      <c r="B500" s="25">
        <f>IF(EXACT(MAIN!I500, ""), "", MAIN!H500)</f>
        <v>225000000000031</v>
      </c>
      <c r="C500" s="3">
        <f>IF(EXACT(MAIN!$I500, ""), "", MAIN!$B500)</f>
        <v>164000000000497</v>
      </c>
      <c r="D500" s="3" t="str">
        <f>IF(EXACT(MAIN!$I500, ""), "", MAIN!$C500)</f>
        <v>Zainudin Anwar</v>
      </c>
      <c r="E500" s="3">
        <f>IF(EXACT(MAIN!$I500, ""), "", MAIN!$D500)</f>
        <v>95000000000037</v>
      </c>
      <c r="F500" s="27" t="str">
        <f>IF(EXACT(MAIN!$I500, ""), "", ""&amp;MAIN!$F500)</f>
        <v/>
      </c>
    </row>
    <row r="501" spans="2:6" x14ac:dyDescent="0.2">
      <c r="B501" s="25">
        <f>IF(EXACT(MAIN!I501, ""), "", MAIN!H501)</f>
        <v>225000000000032</v>
      </c>
      <c r="C501" s="3">
        <f>IF(EXACT(MAIN!$I501, ""), "", MAIN!$B501)</f>
        <v>164000000000498</v>
      </c>
      <c r="D501" s="3" t="str">
        <f>IF(EXACT(MAIN!$I501, ""), "", MAIN!$C501)</f>
        <v>Zaire Dite Biscaya</v>
      </c>
      <c r="E501" s="3">
        <f>IF(EXACT(MAIN!$I501, ""), "", MAIN!$D501)</f>
        <v>95000000000024</v>
      </c>
      <c r="F501" s="27" t="str">
        <f>IF(EXACT(MAIN!$I501, ""), "", ""&amp;MAIN!$F501)</f>
        <v/>
      </c>
    </row>
    <row r="502" spans="2:6" x14ac:dyDescent="0.2">
      <c r="B502" s="25" t="str">
        <f>IF(EXACT(MAIN!I502, ""), "", MAIN!H502)</f>
        <v/>
      </c>
      <c r="C502" s="3" t="str">
        <f>IF(EXACT(MAIN!$I502, ""), "", MAIN!$B502)</f>
        <v/>
      </c>
      <c r="D502" s="3" t="str">
        <f>IF(EXACT(MAIN!$I502, ""), "", MAIN!$C502)</f>
        <v/>
      </c>
      <c r="E502" s="3" t="str">
        <f>IF(EXACT(MAIN!$I502, ""), "", MAIN!$D502)</f>
        <v/>
      </c>
      <c r="F502" s="27" t="str">
        <f>IF(EXACT(MAIN!$I502, ""), "", ""&amp;MAIN!$F502)</f>
        <v/>
      </c>
    </row>
    <row r="503" spans="2:6" x14ac:dyDescent="0.2">
      <c r="B503" s="25" t="str">
        <f>IF(EXACT(MAIN!I503, ""), "", MAIN!H503)</f>
        <v/>
      </c>
      <c r="C503" s="3" t="str">
        <f>IF(EXACT(MAIN!$I503, ""), "", MAIN!$B503)</f>
        <v/>
      </c>
      <c r="D503" s="3" t="str">
        <f>IF(EXACT(MAIN!$I503, ""), "", MAIN!$C503)</f>
        <v/>
      </c>
      <c r="E503" s="3" t="str">
        <f>IF(EXACT(MAIN!$I503, ""), "", MAIN!$D503)</f>
        <v/>
      </c>
      <c r="F503" s="27" t="str">
        <f>IF(EXACT(MAIN!$I503, ""), "", ""&amp;MAIN!$F503)</f>
        <v/>
      </c>
    </row>
    <row r="504" spans="2:6" x14ac:dyDescent="0.2">
      <c r="B504" s="25" t="str">
        <f>IF(EXACT(MAIN!I504, ""), "", MAIN!H504)</f>
        <v/>
      </c>
      <c r="C504" s="3" t="str">
        <f>IF(EXACT(MAIN!$I504, ""), "", MAIN!$B504)</f>
        <v/>
      </c>
      <c r="D504" s="3" t="str">
        <f>IF(EXACT(MAIN!$I504, ""), "", MAIN!$C504)</f>
        <v/>
      </c>
      <c r="E504" s="3" t="str">
        <f>IF(EXACT(MAIN!$I504, ""), "", MAIN!$D504)</f>
        <v/>
      </c>
      <c r="F504" s="27" t="str">
        <f>IF(EXACT(MAIN!$I504, ""), "", ""&amp;MAIN!$F504)</f>
        <v/>
      </c>
    </row>
    <row r="505" spans="2:6" x14ac:dyDescent="0.2">
      <c r="B505" s="25" t="str">
        <f>IF(EXACT(MAIN!I505, ""), "", MAIN!H505)</f>
        <v/>
      </c>
      <c r="C505" s="3" t="str">
        <f>IF(EXACT(MAIN!$I505, ""), "", MAIN!$B505)</f>
        <v/>
      </c>
      <c r="D505" s="3" t="str">
        <f>IF(EXACT(MAIN!$I505, ""), "", MAIN!$C505)</f>
        <v/>
      </c>
      <c r="E505" s="3" t="str">
        <f>IF(EXACT(MAIN!$I505, ""), "", MAIN!$D505)</f>
        <v/>
      </c>
      <c r="F505" s="27" t="str">
        <f>IF(EXACT(MAIN!$I505, ""), "", ""&amp;MAIN!$F505)</f>
        <v/>
      </c>
    </row>
    <row r="506" spans="2:6" x14ac:dyDescent="0.2">
      <c r="B506" s="25" t="str">
        <f>IF(EXACT(MAIN!I506, ""), "", MAIN!H506)</f>
        <v/>
      </c>
      <c r="C506" s="3" t="str">
        <f>IF(EXACT(MAIN!$I506, ""), "", MAIN!$B506)</f>
        <v/>
      </c>
      <c r="D506" s="3" t="str">
        <f>IF(EXACT(MAIN!$I506, ""), "", MAIN!$C506)</f>
        <v/>
      </c>
      <c r="E506" s="3" t="str">
        <f>IF(EXACT(MAIN!$I506, ""), "", MAIN!$D506)</f>
        <v/>
      </c>
      <c r="F506" s="27" t="str">
        <f>IF(EXACT(MAIN!$I506, ""), "", ""&amp;MAIN!$F506)</f>
        <v/>
      </c>
    </row>
    <row r="507" spans="2:6" x14ac:dyDescent="0.2">
      <c r="B507" s="25" t="str">
        <f>IF(EXACT(MAIN!I507, ""), "", MAIN!H507)</f>
        <v/>
      </c>
      <c r="C507" s="3" t="str">
        <f>IF(EXACT(MAIN!$I507, ""), "", MAIN!$B507)</f>
        <v/>
      </c>
      <c r="D507" s="3" t="str">
        <f>IF(EXACT(MAIN!$I507, ""), "", MAIN!$C507)</f>
        <v/>
      </c>
      <c r="E507" s="3" t="str">
        <f>IF(EXACT(MAIN!$I507, ""), "", MAIN!$D507)</f>
        <v/>
      </c>
      <c r="F507" s="27" t="str">
        <f>IF(EXACT(MAIN!$I507, ""), "", ""&amp;MAIN!$F507)</f>
        <v/>
      </c>
    </row>
    <row r="508" spans="2:6" x14ac:dyDescent="0.2">
      <c r="B508" s="25" t="str">
        <f>IF(EXACT(MAIN!I508, ""), "", MAIN!H508)</f>
        <v/>
      </c>
      <c r="C508" s="3" t="str">
        <f>IF(EXACT(MAIN!$I508, ""), "", MAIN!$B508)</f>
        <v/>
      </c>
      <c r="D508" s="3" t="str">
        <f>IF(EXACT(MAIN!$I508, ""), "", MAIN!$C508)</f>
        <v/>
      </c>
      <c r="E508" s="3" t="str">
        <f>IF(EXACT(MAIN!$I508, ""), "", MAIN!$D508)</f>
        <v/>
      </c>
      <c r="F508" s="27" t="str">
        <f>IF(EXACT(MAIN!$I508, ""), "", ""&amp;MAIN!$F508)</f>
        <v/>
      </c>
    </row>
    <row r="509" spans="2:6" x14ac:dyDescent="0.2">
      <c r="B509" s="25" t="str">
        <f>IF(EXACT(MAIN!I509, ""), "", MAIN!H509)</f>
        <v/>
      </c>
      <c r="C509" s="3" t="str">
        <f>IF(EXACT(MAIN!$I509, ""), "", MAIN!$B509)</f>
        <v/>
      </c>
      <c r="D509" s="3" t="str">
        <f>IF(EXACT(MAIN!$I509, ""), "", MAIN!$C509)</f>
        <v/>
      </c>
      <c r="E509" s="3" t="str">
        <f>IF(EXACT(MAIN!$I509, ""), "", MAIN!$D509)</f>
        <v/>
      </c>
      <c r="F509" s="27" t="str">
        <f>IF(EXACT(MAIN!$I509, ""), "", ""&amp;MAIN!$F509)</f>
        <v/>
      </c>
    </row>
    <row r="510" spans="2:6" x14ac:dyDescent="0.2">
      <c r="B510" s="25" t="str">
        <f>IF(EXACT(MAIN!I510, ""), "", MAIN!H510)</f>
        <v/>
      </c>
      <c r="C510" s="3" t="str">
        <f>IF(EXACT(MAIN!$I510, ""), "", MAIN!$B510)</f>
        <v/>
      </c>
      <c r="D510" s="3" t="str">
        <f>IF(EXACT(MAIN!$I510, ""), "", MAIN!$C510)</f>
        <v/>
      </c>
      <c r="E510" s="3" t="str">
        <f>IF(EXACT(MAIN!$I510, ""), "", MAIN!$D510)</f>
        <v/>
      </c>
      <c r="F510" s="27" t="str">
        <f>IF(EXACT(MAIN!$I510, ""), "", ""&amp;MAIN!$F510)</f>
        <v/>
      </c>
    </row>
    <row r="511" spans="2:6" x14ac:dyDescent="0.2">
      <c r="B511" s="25" t="str">
        <f>IF(EXACT(MAIN!I511, ""), "", MAIN!H511)</f>
        <v/>
      </c>
      <c r="C511" s="3" t="str">
        <f>IF(EXACT(MAIN!$I511, ""), "", MAIN!$B511)</f>
        <v/>
      </c>
      <c r="D511" s="3" t="str">
        <f>IF(EXACT(MAIN!$I511, ""), "", MAIN!$C511)</f>
        <v/>
      </c>
      <c r="E511" s="3" t="str">
        <f>IF(EXACT(MAIN!$I511, ""), "", MAIN!$D511)</f>
        <v/>
      </c>
      <c r="F511" s="27" t="str">
        <f>IF(EXACT(MAIN!$I511, ""), "", ""&amp;MAIN!$F511)</f>
        <v/>
      </c>
    </row>
    <row r="512" spans="2:6" x14ac:dyDescent="0.2">
      <c r="B512" s="25">
        <f>IF(EXACT(MAIN!I512, ""), "", MAIN!H512)</f>
        <v>225000000000033</v>
      </c>
      <c r="C512" s="3">
        <f>IF(EXACT(MAIN!$I512, ""), "", MAIN!$B512)</f>
        <v>164000000000509</v>
      </c>
      <c r="D512" s="3" t="str">
        <f>IF(EXACT(MAIN!$I512, ""), "", MAIN!$C512)</f>
        <v>Riza Emir Subekti</v>
      </c>
      <c r="E512" s="3">
        <f>IF(EXACT(MAIN!$I512, ""), "", MAIN!$D512)</f>
        <v>95000000000019</v>
      </c>
      <c r="F512" s="27" t="str">
        <f>IF(EXACT(MAIN!$I512, ""), "", ""&amp;MAIN!$F512)</f>
        <v/>
      </c>
    </row>
    <row r="513" spans="2:6" x14ac:dyDescent="0.2">
      <c r="B513" s="25" t="str">
        <f>IF(EXACT(MAIN!I513, ""), "", MAIN!H513)</f>
        <v/>
      </c>
      <c r="C513" s="3" t="str">
        <f>IF(EXACT(MAIN!$I513, ""), "", MAIN!$B513)</f>
        <v/>
      </c>
      <c r="D513" s="3" t="str">
        <f>IF(EXACT(MAIN!$I513, ""), "", MAIN!$C513)</f>
        <v/>
      </c>
      <c r="E513" s="3" t="str">
        <f>IF(EXACT(MAIN!$I513, ""), "", MAIN!$D513)</f>
        <v/>
      </c>
      <c r="F513" s="27" t="str">
        <f>IF(EXACT(MAIN!$I513, ""), "", ""&amp;MAIN!$F513)</f>
        <v/>
      </c>
    </row>
    <row r="514" spans="2:6" x14ac:dyDescent="0.2">
      <c r="B514" s="25" t="str">
        <f>IF(EXACT(MAIN!I514, ""), "", MAIN!H514)</f>
        <v/>
      </c>
      <c r="C514" s="3" t="str">
        <f>IF(EXACT(MAIN!$I514, ""), "", MAIN!$B514)</f>
        <v/>
      </c>
      <c r="D514" s="3" t="str">
        <f>IF(EXACT(MAIN!$I514, ""), "", MAIN!$C514)</f>
        <v/>
      </c>
      <c r="E514" s="3" t="str">
        <f>IF(EXACT(MAIN!$I514, ""), "", MAIN!$D514)</f>
        <v/>
      </c>
      <c r="F514" s="27" t="str">
        <f>IF(EXACT(MAIN!$I514, ""), "", ""&amp;MAIN!$F514)</f>
        <v/>
      </c>
    </row>
    <row r="515" spans="2:6" x14ac:dyDescent="0.2">
      <c r="B515" s="25" t="str">
        <f>IF(EXACT(MAIN!I515, ""), "", MAIN!H515)</f>
        <v/>
      </c>
      <c r="C515" s="3" t="str">
        <f>IF(EXACT(MAIN!$I515, ""), "", MAIN!$B515)</f>
        <v/>
      </c>
      <c r="D515" s="3" t="str">
        <f>IF(EXACT(MAIN!$I515, ""), "", MAIN!$C515)</f>
        <v/>
      </c>
      <c r="E515" s="3" t="str">
        <f>IF(EXACT(MAIN!$I515, ""), "", MAIN!$D515)</f>
        <v/>
      </c>
      <c r="F515" s="27" t="str">
        <f>IF(EXACT(MAIN!$I515, ""), "", ""&amp;MAIN!$F515)</f>
        <v/>
      </c>
    </row>
    <row r="516" spans="2:6" x14ac:dyDescent="0.2">
      <c r="B516" s="25">
        <f>IF(EXACT(MAIN!I516, ""), "", MAIN!H516)</f>
        <v>225000000000034</v>
      </c>
      <c r="C516" s="3">
        <f>IF(EXACT(MAIN!$I516, ""), "", MAIN!$B516)</f>
        <v>164000000000513</v>
      </c>
      <c r="D516" s="3" t="str">
        <f>IF(EXACT(MAIN!$I516, ""), "", MAIN!$C516)</f>
        <v>Ahmad Choerul</v>
      </c>
      <c r="E516" s="3">
        <f>IF(EXACT(MAIN!$I516, ""), "", MAIN!$D516)</f>
        <v>95000000000047</v>
      </c>
      <c r="F516" s="27" t="str">
        <f>IF(EXACT(MAIN!$I516, ""), "", ""&amp;MAIN!$F516)</f>
        <v/>
      </c>
    </row>
    <row r="517" spans="2:6" x14ac:dyDescent="0.2">
      <c r="B517" s="25" t="str">
        <f>IF(EXACT(MAIN!I517, ""), "", MAIN!H517)</f>
        <v/>
      </c>
      <c r="C517" s="3" t="str">
        <f>IF(EXACT(MAIN!$I517, ""), "", MAIN!$B517)</f>
        <v/>
      </c>
      <c r="D517" s="3" t="str">
        <f>IF(EXACT(MAIN!$I517, ""), "", MAIN!$C517)</f>
        <v/>
      </c>
      <c r="E517" s="3" t="str">
        <f>IF(EXACT(MAIN!$I517, ""), "", MAIN!$D517)</f>
        <v/>
      </c>
      <c r="F517" s="27" t="str">
        <f>IF(EXACT(MAIN!$I517, ""), "", ""&amp;MAIN!$F517)</f>
        <v/>
      </c>
    </row>
    <row r="518" spans="2:6" x14ac:dyDescent="0.2">
      <c r="B518" s="25" t="str">
        <f>IF(EXACT(MAIN!I518, ""), "", MAIN!H518)</f>
        <v/>
      </c>
      <c r="C518" s="3" t="str">
        <f>IF(EXACT(MAIN!$I518, ""), "", MAIN!$B518)</f>
        <v/>
      </c>
      <c r="D518" s="3" t="str">
        <f>IF(EXACT(MAIN!$I518, ""), "", MAIN!$C518)</f>
        <v/>
      </c>
      <c r="E518" s="3" t="str">
        <f>IF(EXACT(MAIN!$I518, ""), "", MAIN!$D518)</f>
        <v/>
      </c>
      <c r="F518" s="27" t="str">
        <f>IF(EXACT(MAIN!$I518, ""), "", ""&amp;MAIN!$F518)</f>
        <v/>
      </c>
    </row>
    <row r="519" spans="2:6" x14ac:dyDescent="0.2">
      <c r="B519" s="25" t="str">
        <f>IF(EXACT(MAIN!I519, ""), "", MAIN!H519)</f>
        <v/>
      </c>
      <c r="C519" s="3" t="str">
        <f>IF(EXACT(MAIN!$I519, ""), "", MAIN!$B519)</f>
        <v/>
      </c>
      <c r="D519" s="3" t="str">
        <f>IF(EXACT(MAIN!$I519, ""), "", MAIN!$C519)</f>
        <v/>
      </c>
      <c r="E519" s="3" t="str">
        <f>IF(EXACT(MAIN!$I519, ""), "", MAIN!$D519)</f>
        <v/>
      </c>
      <c r="F519" s="27" t="str">
        <f>IF(EXACT(MAIN!$I519, ""), "", ""&amp;MAIN!$F519)</f>
        <v/>
      </c>
    </row>
    <row r="520" spans="2:6" x14ac:dyDescent="0.2">
      <c r="B520" s="25">
        <f>IF(EXACT(MAIN!I520, ""), "", MAIN!H520)</f>
        <v>225000000000035</v>
      </c>
      <c r="C520" s="3">
        <f>IF(EXACT(MAIN!$I520, ""), "", MAIN!$B520)</f>
        <v>164000000000517</v>
      </c>
      <c r="D520" s="3" t="str">
        <f>IF(EXACT(MAIN!$I520, ""), "", MAIN!$C520)</f>
        <v>Cahyana</v>
      </c>
      <c r="E520" s="3">
        <f>IF(EXACT(MAIN!$I520, ""), "", MAIN!$D520)</f>
        <v>95000000000003</v>
      </c>
      <c r="F520" s="27" t="str">
        <f>IF(EXACT(MAIN!$I520, ""), "", ""&amp;MAIN!$F520)</f>
        <v/>
      </c>
    </row>
    <row r="521" spans="2:6" x14ac:dyDescent="0.2">
      <c r="B521" s="25" t="str">
        <f>IF(EXACT(MAIN!I521, ""), "", MAIN!H521)</f>
        <v/>
      </c>
      <c r="C521" s="3" t="str">
        <f>IF(EXACT(MAIN!$I521, ""), "", MAIN!$B521)</f>
        <v/>
      </c>
      <c r="D521" s="3" t="str">
        <f>IF(EXACT(MAIN!$I521, ""), "", MAIN!$C521)</f>
        <v/>
      </c>
      <c r="E521" s="3" t="str">
        <f>IF(EXACT(MAIN!$I521, ""), "", MAIN!$D521)</f>
        <v/>
      </c>
      <c r="F521" s="27" t="str">
        <f>IF(EXACT(MAIN!$I521, ""), "", ""&amp;MAIN!$F521)</f>
        <v/>
      </c>
    </row>
    <row r="522" spans="2:6" x14ac:dyDescent="0.2">
      <c r="B522" s="25" t="str">
        <f>IF(EXACT(MAIN!I522, ""), "", MAIN!H522)</f>
        <v/>
      </c>
      <c r="C522" s="3" t="str">
        <f>IF(EXACT(MAIN!$I522, ""), "", MAIN!$B522)</f>
        <v/>
      </c>
      <c r="D522" s="3" t="str">
        <f>IF(EXACT(MAIN!$I522, ""), "", MAIN!$C522)</f>
        <v/>
      </c>
      <c r="E522" s="3" t="str">
        <f>IF(EXACT(MAIN!$I522, ""), "", MAIN!$D522)</f>
        <v/>
      </c>
      <c r="F522" s="27" t="str">
        <f>IF(EXACT(MAIN!$I522, ""), "", ""&amp;MAIN!$F522)</f>
        <v/>
      </c>
    </row>
    <row r="523" spans="2:6" x14ac:dyDescent="0.2">
      <c r="B523" s="25" t="str">
        <f>IF(EXACT(MAIN!I523, ""), "", MAIN!H523)</f>
        <v/>
      </c>
      <c r="C523" s="3" t="str">
        <f>IF(EXACT(MAIN!$I523, ""), "", MAIN!$B523)</f>
        <v/>
      </c>
      <c r="D523" s="3" t="str">
        <f>IF(EXACT(MAIN!$I523, ""), "", MAIN!$C523)</f>
        <v/>
      </c>
      <c r="E523" s="3" t="str">
        <f>IF(EXACT(MAIN!$I523, ""), "", MAIN!$D523)</f>
        <v/>
      </c>
      <c r="F523" s="27" t="str">
        <f>IF(EXACT(MAIN!$I523, ""), "", ""&amp;MAIN!$F523)</f>
        <v/>
      </c>
    </row>
    <row r="524" spans="2:6" x14ac:dyDescent="0.2">
      <c r="B524" s="25" t="str">
        <f>IF(EXACT(MAIN!I524, ""), "", MAIN!H524)</f>
        <v/>
      </c>
      <c r="C524" s="3" t="str">
        <f>IF(EXACT(MAIN!$I524, ""), "", MAIN!$B524)</f>
        <v/>
      </c>
      <c r="D524" s="3" t="str">
        <f>IF(EXACT(MAIN!$I524, ""), "", MAIN!$C524)</f>
        <v/>
      </c>
      <c r="E524" s="3" t="str">
        <f>IF(EXACT(MAIN!$I524, ""), "", MAIN!$D524)</f>
        <v/>
      </c>
      <c r="F524" s="27" t="str">
        <f>IF(EXACT(MAIN!$I524, ""), "", ""&amp;MAIN!$F524)</f>
        <v/>
      </c>
    </row>
    <row r="525" spans="2:6" x14ac:dyDescent="0.2">
      <c r="B525" s="25">
        <f>IF(EXACT(MAIN!I525, ""), "", MAIN!H525)</f>
        <v>225000000000036</v>
      </c>
      <c r="C525" s="3">
        <f>IF(EXACT(MAIN!$I525, ""), "", MAIN!$B525)</f>
        <v>164000000000522</v>
      </c>
      <c r="D525" s="3" t="str">
        <f>IF(EXACT(MAIN!$I525, ""), "", MAIN!$C525)</f>
        <v>Ferdian Kriswantoro</v>
      </c>
      <c r="E525" s="3">
        <f>IF(EXACT(MAIN!$I525, ""), "", MAIN!$D525)</f>
        <v>95000000000041</v>
      </c>
      <c r="F525" s="27" t="str">
        <f>IF(EXACT(MAIN!$I525, ""), "", ""&amp;MAIN!$F525)</f>
        <v/>
      </c>
    </row>
    <row r="526" spans="2:6" x14ac:dyDescent="0.2">
      <c r="B526" s="25">
        <f>IF(EXACT(MAIN!I526, ""), "", MAIN!H526)</f>
        <v>225000000000037</v>
      </c>
      <c r="C526" s="3">
        <f>IF(EXACT(MAIN!$I526, ""), "", MAIN!$B526)</f>
        <v>164000000000523</v>
      </c>
      <c r="D526" s="3" t="str">
        <f>IF(EXACT(MAIN!$I526, ""), "", MAIN!$C526)</f>
        <v>Fuzi Mafrozi</v>
      </c>
      <c r="E526" s="3">
        <f>IF(EXACT(MAIN!$I526, ""), "", MAIN!$D526)</f>
        <v>95000000000042</v>
      </c>
      <c r="F526" s="27" t="str">
        <f>IF(EXACT(MAIN!$I526, ""), "", ""&amp;MAIN!$F526)</f>
        <v/>
      </c>
    </row>
    <row r="527" spans="2:6" x14ac:dyDescent="0.2">
      <c r="B527" s="25" t="str">
        <f>IF(EXACT(MAIN!I527, ""), "", MAIN!H527)</f>
        <v/>
      </c>
      <c r="C527" s="3" t="str">
        <f>IF(EXACT(MAIN!$I527, ""), "", MAIN!$B527)</f>
        <v/>
      </c>
      <c r="D527" s="3" t="str">
        <f>IF(EXACT(MAIN!$I527, ""), "", MAIN!$C527)</f>
        <v/>
      </c>
      <c r="E527" s="3" t="str">
        <f>IF(EXACT(MAIN!$I527, ""), "", MAIN!$D527)</f>
        <v/>
      </c>
      <c r="F527" s="27" t="str">
        <f>IF(EXACT(MAIN!$I527, ""), "", ""&amp;MAIN!$F527)</f>
        <v/>
      </c>
    </row>
    <row r="528" spans="2:6" x14ac:dyDescent="0.2">
      <c r="B528" s="25" t="str">
        <f>IF(EXACT(MAIN!I528, ""), "", MAIN!H528)</f>
        <v/>
      </c>
      <c r="C528" s="3" t="str">
        <f>IF(EXACT(MAIN!$I528, ""), "", MAIN!$B528)</f>
        <v/>
      </c>
      <c r="D528" s="3" t="str">
        <f>IF(EXACT(MAIN!$I528, ""), "", MAIN!$C528)</f>
        <v/>
      </c>
      <c r="E528" s="3" t="str">
        <f>IF(EXACT(MAIN!$I528, ""), "", MAIN!$D528)</f>
        <v/>
      </c>
      <c r="F528" s="27" t="str">
        <f>IF(EXACT(MAIN!$I528, ""), "", ""&amp;MAIN!$F528)</f>
        <v/>
      </c>
    </row>
    <row r="529" spans="2:6" x14ac:dyDescent="0.2">
      <c r="B529" s="25" t="str">
        <f>IF(EXACT(MAIN!I529, ""), "", MAIN!H529)</f>
        <v/>
      </c>
      <c r="C529" s="3" t="str">
        <f>IF(EXACT(MAIN!$I529, ""), "", MAIN!$B529)</f>
        <v/>
      </c>
      <c r="D529" s="3" t="str">
        <f>IF(EXACT(MAIN!$I529, ""), "", MAIN!$C529)</f>
        <v/>
      </c>
      <c r="E529" s="3" t="str">
        <f>IF(EXACT(MAIN!$I529, ""), "", MAIN!$D529)</f>
        <v/>
      </c>
      <c r="F529" s="27" t="str">
        <f>IF(EXACT(MAIN!$I529, ""), "", ""&amp;MAIN!$F529)</f>
        <v/>
      </c>
    </row>
    <row r="530" spans="2:6" x14ac:dyDescent="0.2">
      <c r="B530" s="25">
        <f>IF(EXACT(MAIN!I530, ""), "", MAIN!H530)</f>
        <v>225000000000038</v>
      </c>
      <c r="C530" s="3">
        <f>IF(EXACT(MAIN!$I530, ""), "", MAIN!$B530)</f>
        <v>164000000000527</v>
      </c>
      <c r="D530" s="3" t="str">
        <f>IF(EXACT(MAIN!$I530, ""), "", MAIN!$C530)</f>
        <v>Irma Maulidawati</v>
      </c>
      <c r="E530" s="3">
        <f>IF(EXACT(MAIN!$I530, ""), "", MAIN!$D530)</f>
        <v>95000000000034</v>
      </c>
      <c r="F530" s="27" t="str">
        <f>IF(EXACT(MAIN!$I530, ""), "", ""&amp;MAIN!$F530)</f>
        <v/>
      </c>
    </row>
    <row r="531" spans="2:6" x14ac:dyDescent="0.2">
      <c r="B531" s="25">
        <f>IF(EXACT(MAIN!I531, ""), "", MAIN!H531)</f>
        <v>225000000000039</v>
      </c>
      <c r="C531" s="3">
        <f>IF(EXACT(MAIN!$I531, ""), "", MAIN!$B531)</f>
        <v>164000000000528</v>
      </c>
      <c r="D531" s="3" t="str">
        <f>IF(EXACT(MAIN!$I531, ""), "", MAIN!$C531)</f>
        <v>Istikaro Fauziah</v>
      </c>
      <c r="E531" s="3">
        <f>IF(EXACT(MAIN!$I531, ""), "", MAIN!$D531)</f>
        <v>95000000000053</v>
      </c>
      <c r="F531" s="27" t="str">
        <f>IF(EXACT(MAIN!$I531, ""), "", ""&amp;MAIN!$F531)</f>
        <v/>
      </c>
    </row>
    <row r="532" spans="2:6" x14ac:dyDescent="0.2">
      <c r="B532" s="25" t="str">
        <f>IF(EXACT(MAIN!I532, ""), "", MAIN!H532)</f>
        <v/>
      </c>
      <c r="C532" s="3" t="str">
        <f>IF(EXACT(MAIN!$I532, ""), "", MAIN!$B532)</f>
        <v/>
      </c>
      <c r="D532" s="3" t="str">
        <f>IF(EXACT(MAIN!$I532, ""), "", MAIN!$C532)</f>
        <v/>
      </c>
      <c r="E532" s="3" t="str">
        <f>IF(EXACT(MAIN!$I532, ""), "", MAIN!$D532)</f>
        <v/>
      </c>
      <c r="F532" s="27" t="str">
        <f>IF(EXACT(MAIN!$I532, ""), "", ""&amp;MAIN!$F532)</f>
        <v/>
      </c>
    </row>
    <row r="533" spans="2:6" x14ac:dyDescent="0.2">
      <c r="B533" s="25" t="str">
        <f>IF(EXACT(MAIN!I533, ""), "", MAIN!H533)</f>
        <v/>
      </c>
      <c r="C533" s="3" t="str">
        <f>IF(EXACT(MAIN!$I533, ""), "", MAIN!$B533)</f>
        <v/>
      </c>
      <c r="D533" s="3" t="str">
        <f>IF(EXACT(MAIN!$I533, ""), "", MAIN!$C533)</f>
        <v/>
      </c>
      <c r="E533" s="3" t="str">
        <f>IF(EXACT(MAIN!$I533, ""), "", MAIN!$D533)</f>
        <v/>
      </c>
      <c r="F533" s="27" t="str">
        <f>IF(EXACT(MAIN!$I533, ""), "", ""&amp;MAIN!$F533)</f>
        <v/>
      </c>
    </row>
    <row r="534" spans="2:6" x14ac:dyDescent="0.2">
      <c r="B534" s="25" t="str">
        <f>IF(EXACT(MAIN!I534, ""), "", MAIN!H534)</f>
        <v/>
      </c>
      <c r="C534" s="3" t="str">
        <f>IF(EXACT(MAIN!$I534, ""), "", MAIN!$B534)</f>
        <v/>
      </c>
      <c r="D534" s="3" t="str">
        <f>IF(EXACT(MAIN!$I534, ""), "", MAIN!$C534)</f>
        <v/>
      </c>
      <c r="E534" s="3" t="str">
        <f>IF(EXACT(MAIN!$I534, ""), "", MAIN!$D534)</f>
        <v/>
      </c>
      <c r="F534" s="27" t="str">
        <f>IF(EXACT(MAIN!$I534, ""), "", ""&amp;MAIN!$F534)</f>
        <v/>
      </c>
    </row>
    <row r="535" spans="2:6" x14ac:dyDescent="0.2">
      <c r="B535" s="25" t="str">
        <f>IF(EXACT(MAIN!I535, ""), "", MAIN!H535)</f>
        <v/>
      </c>
      <c r="C535" s="3" t="str">
        <f>IF(EXACT(MAIN!$I535, ""), "", MAIN!$B535)</f>
        <v/>
      </c>
      <c r="D535" s="3" t="str">
        <f>IF(EXACT(MAIN!$I535, ""), "", MAIN!$C535)</f>
        <v/>
      </c>
      <c r="E535" s="3" t="str">
        <f>IF(EXACT(MAIN!$I535, ""), "", MAIN!$D535)</f>
        <v/>
      </c>
      <c r="F535" s="27" t="str">
        <f>IF(EXACT(MAIN!$I535, ""), "", ""&amp;MAIN!$F535)</f>
        <v/>
      </c>
    </row>
    <row r="536" spans="2:6" x14ac:dyDescent="0.2">
      <c r="B536" s="25" t="str">
        <f>IF(EXACT(MAIN!I536, ""), "", MAIN!H536)</f>
        <v/>
      </c>
      <c r="C536" s="3" t="str">
        <f>IF(EXACT(MAIN!$I536, ""), "", MAIN!$B536)</f>
        <v/>
      </c>
      <c r="D536" s="3" t="str">
        <f>IF(EXACT(MAIN!$I536, ""), "", MAIN!$C536)</f>
        <v/>
      </c>
      <c r="E536" s="3" t="str">
        <f>IF(EXACT(MAIN!$I536, ""), "", MAIN!$D536)</f>
        <v/>
      </c>
      <c r="F536" s="27" t="str">
        <f>IF(EXACT(MAIN!$I536, ""), "", ""&amp;MAIN!$F536)</f>
        <v/>
      </c>
    </row>
    <row r="537" spans="2:6" x14ac:dyDescent="0.2">
      <c r="B537" s="25" t="str">
        <f>IF(EXACT(MAIN!I537, ""), "", MAIN!H537)</f>
        <v/>
      </c>
      <c r="C537" s="3" t="str">
        <f>IF(EXACT(MAIN!$I537, ""), "", MAIN!$B537)</f>
        <v/>
      </c>
      <c r="D537" s="3" t="str">
        <f>IF(EXACT(MAIN!$I537, ""), "", MAIN!$C537)</f>
        <v/>
      </c>
      <c r="E537" s="3" t="str">
        <f>IF(EXACT(MAIN!$I537, ""), "", MAIN!$D537)</f>
        <v/>
      </c>
      <c r="F537" s="27" t="str">
        <f>IF(EXACT(MAIN!$I537, ""), "", ""&amp;MAIN!$F537)</f>
        <v/>
      </c>
    </row>
    <row r="538" spans="2:6" x14ac:dyDescent="0.2">
      <c r="B538" s="25" t="str">
        <f>IF(EXACT(MAIN!I538, ""), "", MAIN!H538)</f>
        <v/>
      </c>
      <c r="C538" s="3" t="str">
        <f>IF(EXACT(MAIN!$I538, ""), "", MAIN!$B538)</f>
        <v/>
      </c>
      <c r="D538" s="3" t="str">
        <f>IF(EXACT(MAIN!$I538, ""), "", MAIN!$C538)</f>
        <v/>
      </c>
      <c r="E538" s="3" t="str">
        <f>IF(EXACT(MAIN!$I538, ""), "", MAIN!$D538)</f>
        <v/>
      </c>
      <c r="F538" s="27" t="str">
        <f>IF(EXACT(MAIN!$I538, ""), "", ""&amp;MAIN!$F538)</f>
        <v/>
      </c>
    </row>
    <row r="539" spans="2:6" x14ac:dyDescent="0.2">
      <c r="B539" s="25">
        <f>IF(EXACT(MAIN!I539, ""), "", MAIN!H539)</f>
        <v>225000000000040</v>
      </c>
      <c r="C539" s="3">
        <f>IF(EXACT(MAIN!$I539, ""), "", MAIN!$B539)</f>
        <v>164000000000536</v>
      </c>
      <c r="D539" s="3" t="str">
        <f>IF(EXACT(MAIN!$I539, ""), "", MAIN!$C539)</f>
        <v>Restu Dwi Anjayani</v>
      </c>
      <c r="E539" s="3">
        <f>IF(EXACT(MAIN!$I539, ""), "", MAIN!$D539)</f>
        <v>95000000000050</v>
      </c>
      <c r="F539" s="27" t="str">
        <f>IF(EXACT(MAIN!$I539, ""), "", ""&amp;MAIN!$F539)</f>
        <v/>
      </c>
    </row>
    <row r="540" spans="2:6" x14ac:dyDescent="0.2">
      <c r="B540" s="25" t="str">
        <f>IF(EXACT(MAIN!I540, ""), "", MAIN!H540)</f>
        <v/>
      </c>
      <c r="C540" s="3" t="str">
        <f>IF(EXACT(MAIN!$I540, ""), "", MAIN!$B540)</f>
        <v/>
      </c>
      <c r="D540" s="3" t="str">
        <f>IF(EXACT(MAIN!$I540, ""), "", MAIN!$C540)</f>
        <v/>
      </c>
      <c r="E540" s="3" t="str">
        <f>IF(EXACT(MAIN!$I540, ""), "", MAIN!$D540)</f>
        <v/>
      </c>
      <c r="F540" s="27" t="str">
        <f>IF(EXACT(MAIN!$I540, ""), "", ""&amp;MAIN!$F540)</f>
        <v/>
      </c>
    </row>
    <row r="541" spans="2:6" x14ac:dyDescent="0.2">
      <c r="B541" s="25" t="str">
        <f>IF(EXACT(MAIN!I541, ""), "", MAIN!H541)</f>
        <v/>
      </c>
      <c r="C541" s="3" t="str">
        <f>IF(EXACT(MAIN!$I541, ""), "", MAIN!$B541)</f>
        <v/>
      </c>
      <c r="D541" s="3" t="str">
        <f>IF(EXACT(MAIN!$I541, ""), "", MAIN!$C541)</f>
        <v/>
      </c>
      <c r="E541" s="3" t="str">
        <f>IF(EXACT(MAIN!$I541, ""), "", MAIN!$D541)</f>
        <v/>
      </c>
      <c r="F541" s="27" t="str">
        <f>IF(EXACT(MAIN!$I541, ""), "", ""&amp;MAIN!$F541)</f>
        <v/>
      </c>
    </row>
    <row r="542" spans="2:6" x14ac:dyDescent="0.2">
      <c r="B542" s="25" t="str">
        <f>IF(EXACT(MAIN!I542, ""), "", MAIN!H542)</f>
        <v/>
      </c>
      <c r="C542" s="3" t="str">
        <f>IF(EXACT(MAIN!$I542, ""), "", MAIN!$B542)</f>
        <v/>
      </c>
      <c r="D542" s="3" t="str">
        <f>IF(EXACT(MAIN!$I542, ""), "", MAIN!$C542)</f>
        <v/>
      </c>
      <c r="E542" s="3" t="str">
        <f>IF(EXACT(MAIN!$I542, ""), "", MAIN!$D542)</f>
        <v/>
      </c>
      <c r="F542" s="27" t="str">
        <f>IF(EXACT(MAIN!$I542, ""), "", ""&amp;MAIN!$F542)</f>
        <v/>
      </c>
    </row>
    <row r="543" spans="2:6" x14ac:dyDescent="0.2">
      <c r="B543" s="25" t="str">
        <f>IF(EXACT(MAIN!I543, ""), "", MAIN!H543)</f>
        <v/>
      </c>
      <c r="C543" s="3" t="str">
        <f>IF(EXACT(MAIN!$I543, ""), "", MAIN!$B543)</f>
        <v/>
      </c>
      <c r="D543" s="3" t="str">
        <f>IF(EXACT(MAIN!$I543, ""), "", MAIN!$C543)</f>
        <v/>
      </c>
      <c r="E543" s="3" t="str">
        <f>IF(EXACT(MAIN!$I543, ""), "", MAIN!$D543)</f>
        <v/>
      </c>
      <c r="F543" s="27" t="str">
        <f>IF(EXACT(MAIN!$I543, ""), "", ""&amp;MAIN!$F543)</f>
        <v/>
      </c>
    </row>
    <row r="544" spans="2:6" x14ac:dyDescent="0.2">
      <c r="B544" s="25" t="str">
        <f>IF(EXACT(MAIN!I544, ""), "", MAIN!H544)</f>
        <v/>
      </c>
      <c r="C544" s="3" t="str">
        <f>IF(EXACT(MAIN!$I544, ""), "", MAIN!$B544)</f>
        <v/>
      </c>
      <c r="D544" s="3" t="str">
        <f>IF(EXACT(MAIN!$I544, ""), "", MAIN!$C544)</f>
        <v/>
      </c>
      <c r="E544" s="3" t="str">
        <f>IF(EXACT(MAIN!$I544, ""), "", MAIN!$D544)</f>
        <v/>
      </c>
      <c r="F544" s="27" t="str">
        <f>IF(EXACT(MAIN!$I544, ""), "", ""&amp;MAIN!$F544)</f>
        <v/>
      </c>
    </row>
    <row r="545" spans="2:6" x14ac:dyDescent="0.2">
      <c r="B545" s="25">
        <f>IF(EXACT(MAIN!I545, ""), "", MAIN!H545)</f>
        <v>225000000000041</v>
      </c>
      <c r="C545" s="3">
        <f>IF(EXACT(MAIN!$I545, ""), "", MAIN!$B545)</f>
        <v>164000000000542</v>
      </c>
      <c r="D545" s="3" t="str">
        <f>IF(EXACT(MAIN!$I545, ""), "", MAIN!$C545)</f>
        <v>Wardah Laily Khoiriyah</v>
      </c>
      <c r="E545" s="3">
        <f>IF(EXACT(MAIN!$I545, ""), "", MAIN!$D545)</f>
        <v>95000000000024</v>
      </c>
      <c r="F545" s="27" t="str">
        <f>IF(EXACT(MAIN!$I545, ""), "", ""&amp;MAIN!$F545)</f>
        <v>46000000000033</v>
      </c>
    </row>
    <row r="546" spans="2:6" x14ac:dyDescent="0.2">
      <c r="B546" s="25" t="str">
        <f>IF(EXACT(MAIN!I546, ""), "", MAIN!H546)</f>
        <v/>
      </c>
      <c r="C546" s="3" t="str">
        <f>IF(EXACT(MAIN!$I546, ""), "", MAIN!$B546)</f>
        <v/>
      </c>
      <c r="D546" s="3" t="str">
        <f>IF(EXACT(MAIN!$I546, ""), "", MAIN!$C546)</f>
        <v/>
      </c>
      <c r="E546" s="3" t="str">
        <f>IF(EXACT(MAIN!$I546, ""), "", MAIN!$D546)</f>
        <v/>
      </c>
      <c r="F546" s="27" t="str">
        <f>IF(EXACT(MAIN!$I546, ""), "", ""&amp;MAIN!$F546)</f>
        <v/>
      </c>
    </row>
    <row r="547" spans="2:6" x14ac:dyDescent="0.2">
      <c r="B547" s="25" t="str">
        <f>IF(EXACT(MAIN!I547, ""), "", MAIN!H547)</f>
        <v/>
      </c>
      <c r="C547" s="3" t="str">
        <f>IF(EXACT(MAIN!$I547, ""), "", MAIN!$B547)</f>
        <v/>
      </c>
      <c r="D547" s="3" t="str">
        <f>IF(EXACT(MAIN!$I547, ""), "", MAIN!$C547)</f>
        <v/>
      </c>
      <c r="E547" s="3" t="str">
        <f>IF(EXACT(MAIN!$I547, ""), "", MAIN!$D547)</f>
        <v/>
      </c>
      <c r="F547" s="27" t="str">
        <f>IF(EXACT(MAIN!$I547, ""), "", ""&amp;MAIN!$F547)</f>
        <v/>
      </c>
    </row>
    <row r="548" spans="2:6" x14ac:dyDescent="0.2">
      <c r="B548" s="25">
        <f>IF(EXACT(MAIN!I548, ""), "", MAIN!H548)</f>
        <v>225000000000042</v>
      </c>
      <c r="C548" s="3">
        <f>IF(EXACT(MAIN!$I548, ""), "", MAIN!$B548)</f>
        <v>164000000000545</v>
      </c>
      <c r="D548" s="3" t="str">
        <f>IF(EXACT(MAIN!$I548, ""), "", MAIN!$C548)</f>
        <v>Yogi Perbangkara</v>
      </c>
      <c r="E548" s="3">
        <f>IF(EXACT(MAIN!$I548, ""), "", MAIN!$D548)</f>
        <v>95000000000045</v>
      </c>
      <c r="F548" s="27" t="str">
        <f>IF(EXACT(MAIN!$I548, ""), "", ""&amp;MAIN!$F548)</f>
        <v/>
      </c>
    </row>
    <row r="549" spans="2:6" x14ac:dyDescent="0.2">
      <c r="B549" s="25" t="str">
        <f>IF(EXACT(MAIN!I549, ""), "", MAIN!H549)</f>
        <v/>
      </c>
      <c r="C549" s="3" t="str">
        <f>IF(EXACT(MAIN!$I549, ""), "", MAIN!$B549)</f>
        <v/>
      </c>
      <c r="D549" s="3" t="str">
        <f>IF(EXACT(MAIN!$I549, ""), "", MAIN!$C549)</f>
        <v/>
      </c>
      <c r="E549" s="3" t="str">
        <f>IF(EXACT(MAIN!$I549, ""), "", MAIN!$D549)</f>
        <v/>
      </c>
      <c r="F549" s="27" t="str">
        <f>IF(EXACT(MAIN!$I549, ""), "", ""&amp;MAIN!$F549)</f>
        <v/>
      </c>
    </row>
    <row r="550" spans="2:6" x14ac:dyDescent="0.2">
      <c r="B550" s="25">
        <f>IF(EXACT(MAIN!I550, ""), "", MAIN!H550)</f>
        <v>225000000000043</v>
      </c>
      <c r="C550" s="3">
        <f>IF(EXACT(MAIN!$I550, ""), "", MAIN!$B550)</f>
        <v>164000000000547</v>
      </c>
      <c r="D550" s="3" t="str">
        <f>IF(EXACT(MAIN!$I550, ""), "", MAIN!$C550)</f>
        <v>Zeinurani</v>
      </c>
      <c r="E550" s="3">
        <f>IF(EXACT(MAIN!$I550, ""), "", MAIN!$D550)</f>
        <v>95000000000029</v>
      </c>
      <c r="F550" s="27" t="str">
        <f>IF(EXACT(MAIN!$I550, ""), "", ""&amp;MAIN!$F550)</f>
        <v/>
      </c>
    </row>
    <row r="551" spans="2:6" x14ac:dyDescent="0.2">
      <c r="B551" s="25">
        <f>IF(EXACT(MAIN!I551, ""), "", MAIN!H551)</f>
        <v>225000000000044</v>
      </c>
      <c r="C551" s="3">
        <f>IF(EXACT(MAIN!$I551, ""), "", MAIN!$B551)</f>
        <v>164000000000548</v>
      </c>
      <c r="D551" s="3" t="str">
        <f>IF(EXACT(MAIN!$I551, ""), "", MAIN!$C551)</f>
        <v>Sulaeman</v>
      </c>
      <c r="E551" s="3">
        <f>IF(EXACT(MAIN!$I551, ""), "", MAIN!$D551)</f>
        <v>95000000000003</v>
      </c>
      <c r="F551" s="27" t="str">
        <f>IF(EXACT(MAIN!$I551, ""), "", ""&amp;MAIN!$F551)</f>
        <v/>
      </c>
    </row>
    <row r="552" spans="2:6" x14ac:dyDescent="0.2">
      <c r="B552" s="25" t="str">
        <f>IF(EXACT(MAIN!I552, ""), "", MAIN!H552)</f>
        <v/>
      </c>
      <c r="C552" s="3" t="str">
        <f>IF(EXACT(MAIN!$I552, ""), "", MAIN!$B552)</f>
        <v/>
      </c>
      <c r="D552" s="3" t="str">
        <f>IF(EXACT(MAIN!$I552, ""), "", MAIN!$C552)</f>
        <v/>
      </c>
      <c r="E552" s="3" t="str">
        <f>IF(EXACT(MAIN!$I552, ""), "", MAIN!$D552)</f>
        <v/>
      </c>
      <c r="F552" s="27" t="str">
        <f>IF(EXACT(MAIN!$I552, ""), "", ""&amp;MAIN!$F552)</f>
        <v/>
      </c>
    </row>
    <row r="553" spans="2:6" x14ac:dyDescent="0.2">
      <c r="B553" s="25" t="str">
        <f>IF(EXACT(MAIN!I553, ""), "", MAIN!H553)</f>
        <v/>
      </c>
      <c r="C553" s="3" t="str">
        <f>IF(EXACT(MAIN!$I553, ""), "", MAIN!$B553)</f>
        <v/>
      </c>
      <c r="D553" s="3" t="str">
        <f>IF(EXACT(MAIN!$I553, ""), "", MAIN!$C553)</f>
        <v/>
      </c>
      <c r="E553" s="3" t="str">
        <f>IF(EXACT(MAIN!$I553, ""), "", MAIN!$D553)</f>
        <v/>
      </c>
      <c r="F553" s="27" t="str">
        <f>IF(EXACT(MAIN!$I553, ""), "", ""&amp;MAIN!$F553)</f>
        <v/>
      </c>
    </row>
    <row r="554" spans="2:6" x14ac:dyDescent="0.2">
      <c r="B554" s="25">
        <f>IF(EXACT(MAIN!I554, ""), "", MAIN!H554)</f>
        <v>225000000000045</v>
      </c>
      <c r="C554" s="3">
        <f>IF(EXACT(MAIN!$I554, ""), "", MAIN!$B554)</f>
        <v>164000000000551</v>
      </c>
      <c r="D554" s="3" t="str">
        <f>IF(EXACT(MAIN!$I554, ""), "", MAIN!$C554)</f>
        <v>Langgeng Eko Dwiantoro</v>
      </c>
      <c r="E554" s="3">
        <f>IF(EXACT(MAIN!$I554, ""), "", MAIN!$D554)</f>
        <v>95000000000003</v>
      </c>
      <c r="F554" s="27" t="str">
        <f>IF(EXACT(MAIN!$I554, ""), "", ""&amp;MAIN!$F554)</f>
        <v/>
      </c>
    </row>
    <row r="555" spans="2:6" x14ac:dyDescent="0.2">
      <c r="B555" s="25">
        <f>IF(EXACT(MAIN!I555, ""), "", MAIN!H555)</f>
        <v>225000000000046</v>
      </c>
      <c r="C555" s="3">
        <f>IF(EXACT(MAIN!$I555, ""), "", MAIN!$B555)</f>
        <v>164000000000552</v>
      </c>
      <c r="D555" s="3" t="str">
        <f>IF(EXACT(MAIN!$I555, ""), "", MAIN!$C555)</f>
        <v>Aldi Rizaldi</v>
      </c>
      <c r="E555" s="3">
        <f>IF(EXACT(MAIN!$I555, ""), "", MAIN!$D555)</f>
        <v>95000000000003</v>
      </c>
      <c r="F555" s="27" t="str">
        <f>IF(EXACT(MAIN!$I555, ""), "", ""&amp;MAIN!$F555)</f>
        <v/>
      </c>
    </row>
    <row r="556" spans="2:6" x14ac:dyDescent="0.2">
      <c r="B556" s="25">
        <f>IF(EXACT(MAIN!I556, ""), "", MAIN!H556)</f>
        <v>225000000000047</v>
      </c>
      <c r="C556" s="3">
        <f>IF(EXACT(MAIN!$I556, ""), "", MAIN!$B556)</f>
        <v>164000000000553</v>
      </c>
      <c r="D556" s="3" t="str">
        <f>IF(EXACT(MAIN!$I556, ""), "", MAIN!$C556)</f>
        <v>Masimin</v>
      </c>
      <c r="E556" s="3">
        <f>IF(EXACT(MAIN!$I556, ""), "", MAIN!$D556)</f>
        <v>95000000000003</v>
      </c>
      <c r="F556" s="27" t="str">
        <f>IF(EXACT(MAIN!$I556, ""), "", ""&amp;MAIN!$F556)</f>
        <v/>
      </c>
    </row>
    <row r="557" spans="2:6" x14ac:dyDescent="0.2">
      <c r="B557" s="25">
        <f>IF(EXACT(MAIN!I557, ""), "", MAIN!H557)</f>
        <v>225000000000048</v>
      </c>
      <c r="C557" s="3">
        <f>IF(EXACT(MAIN!$I557, ""), "", MAIN!$B557)</f>
        <v>164000000000554</v>
      </c>
      <c r="D557" s="3" t="str">
        <f>IF(EXACT(MAIN!$I557, ""), "", MAIN!$C557)</f>
        <v>Santoso Dwi Cahyo</v>
      </c>
      <c r="E557" s="3">
        <f>IF(EXACT(MAIN!$I557, ""), "", MAIN!$D557)</f>
        <v>95000000000037</v>
      </c>
      <c r="F557" s="27" t="str">
        <f>IF(EXACT(MAIN!$I557, ""), "", ""&amp;MAIN!$F557)</f>
        <v/>
      </c>
    </row>
    <row r="558" spans="2:6" x14ac:dyDescent="0.2">
      <c r="B558" s="25" t="str">
        <f>IF(EXACT(MAIN!I558, ""), "", MAIN!H558)</f>
        <v/>
      </c>
      <c r="C558" s="3" t="str">
        <f>IF(EXACT(MAIN!$I558, ""), "", MAIN!$B558)</f>
        <v/>
      </c>
      <c r="D558" s="3" t="str">
        <f>IF(EXACT(MAIN!$I558, ""), "", MAIN!$C558)</f>
        <v/>
      </c>
      <c r="E558" s="3" t="str">
        <f>IF(EXACT(MAIN!$I558, ""), "", MAIN!$D558)</f>
        <v/>
      </c>
      <c r="F558" s="27" t="str">
        <f>IF(EXACT(MAIN!$I558, ""), "", ""&amp;MAIN!$F558)</f>
        <v/>
      </c>
    </row>
    <row r="559" spans="2:6" x14ac:dyDescent="0.2">
      <c r="B559" s="25" t="str">
        <f>IF(EXACT(MAIN!I559, ""), "", MAIN!H559)</f>
        <v/>
      </c>
      <c r="C559" s="3" t="str">
        <f>IF(EXACT(MAIN!$I559, ""), "", MAIN!$B559)</f>
        <v/>
      </c>
      <c r="D559" s="3" t="str">
        <f>IF(EXACT(MAIN!$I559, ""), "", MAIN!$C559)</f>
        <v/>
      </c>
      <c r="E559" s="3" t="str">
        <f>IF(EXACT(MAIN!$I559, ""), "", MAIN!$D559)</f>
        <v/>
      </c>
      <c r="F559" s="27" t="str">
        <f>IF(EXACT(MAIN!$I559, ""), "", ""&amp;MAIN!$F559)</f>
        <v/>
      </c>
    </row>
    <row r="560" spans="2:6" x14ac:dyDescent="0.2">
      <c r="B560" s="25" t="str">
        <f>IF(EXACT(MAIN!I560, ""), "", MAIN!H560)</f>
        <v/>
      </c>
      <c r="C560" s="3" t="str">
        <f>IF(EXACT(MAIN!$I560, ""), "", MAIN!$B560)</f>
        <v/>
      </c>
      <c r="D560" s="3" t="str">
        <f>IF(EXACT(MAIN!$I560, ""), "", MAIN!$C560)</f>
        <v/>
      </c>
      <c r="E560" s="3" t="str">
        <f>IF(EXACT(MAIN!$I560, ""), "", MAIN!$D560)</f>
        <v/>
      </c>
      <c r="F560" s="27" t="str">
        <f>IF(EXACT(MAIN!$I560, ""), "", ""&amp;MAIN!$F560)</f>
        <v/>
      </c>
    </row>
    <row r="561" spans="2:6" x14ac:dyDescent="0.2">
      <c r="B561" s="25" t="str">
        <f>IF(EXACT(MAIN!I561, ""), "", MAIN!H561)</f>
        <v/>
      </c>
      <c r="C561" s="3" t="str">
        <f>IF(EXACT(MAIN!$I561, ""), "", MAIN!$B561)</f>
        <v/>
      </c>
      <c r="D561" s="3" t="str">
        <f>IF(EXACT(MAIN!$I561, ""), "", MAIN!$C561)</f>
        <v/>
      </c>
      <c r="E561" s="3" t="str">
        <f>IF(EXACT(MAIN!$I561, ""), "", MAIN!$D561)</f>
        <v/>
      </c>
      <c r="F561" s="27" t="str">
        <f>IF(EXACT(MAIN!$I561, ""), "", ""&amp;MAIN!$F561)</f>
        <v/>
      </c>
    </row>
    <row r="562" spans="2:6" x14ac:dyDescent="0.2">
      <c r="B562" s="25">
        <f>IF(EXACT(MAIN!I562, ""), "", MAIN!H562)</f>
        <v>225000000000049</v>
      </c>
      <c r="C562" s="3">
        <f>IF(EXACT(MAIN!$I562, ""), "", MAIN!$B562)</f>
        <v>164000000000559</v>
      </c>
      <c r="D562" s="3" t="str">
        <f>IF(EXACT(MAIN!$I562, ""), "", MAIN!$C562)</f>
        <v>Adhe Kurniawan</v>
      </c>
      <c r="E562" s="3">
        <f>IF(EXACT(MAIN!$I562, ""), "", MAIN!$D562)</f>
        <v>95000000000016</v>
      </c>
      <c r="F562" s="27" t="str">
        <f>IF(EXACT(MAIN!$I562, ""), "", ""&amp;MAIN!$F562)</f>
        <v/>
      </c>
    </row>
    <row r="563" spans="2:6" x14ac:dyDescent="0.2">
      <c r="B563" s="25" t="str">
        <f>IF(EXACT(MAIN!I563, ""), "", MAIN!H563)</f>
        <v/>
      </c>
      <c r="C563" s="3" t="str">
        <f>IF(EXACT(MAIN!$I563, ""), "", MAIN!$B563)</f>
        <v/>
      </c>
      <c r="D563" s="3" t="str">
        <f>IF(EXACT(MAIN!$I563, ""), "", MAIN!$C563)</f>
        <v/>
      </c>
      <c r="E563" s="3" t="str">
        <f>IF(EXACT(MAIN!$I563, ""), "", MAIN!$D563)</f>
        <v/>
      </c>
      <c r="F563" s="27" t="str">
        <f>IF(EXACT(MAIN!$I563, ""), "", ""&amp;MAIN!$F563)</f>
        <v/>
      </c>
    </row>
    <row r="564" spans="2:6" x14ac:dyDescent="0.2">
      <c r="B564" s="25" t="str">
        <f>IF(EXACT(MAIN!I564, ""), "", MAIN!H564)</f>
        <v/>
      </c>
      <c r="C564" s="3" t="str">
        <f>IF(EXACT(MAIN!$I564, ""), "", MAIN!$B564)</f>
        <v/>
      </c>
      <c r="D564" s="3" t="str">
        <f>IF(EXACT(MAIN!$I564, ""), "", MAIN!$C564)</f>
        <v/>
      </c>
      <c r="E564" s="3" t="str">
        <f>IF(EXACT(MAIN!$I564, ""), "", MAIN!$D564)</f>
        <v/>
      </c>
      <c r="F564" s="27" t="str">
        <f>IF(EXACT(MAIN!$I564, ""), "", ""&amp;MAIN!$F564)</f>
        <v/>
      </c>
    </row>
    <row r="565" spans="2:6" x14ac:dyDescent="0.2">
      <c r="B565" s="25" t="str">
        <f>IF(EXACT(MAIN!I565, ""), "", MAIN!H565)</f>
        <v/>
      </c>
      <c r="C565" s="3" t="str">
        <f>IF(EXACT(MAIN!$I565, ""), "", MAIN!$B565)</f>
        <v/>
      </c>
      <c r="D565" s="3" t="str">
        <f>IF(EXACT(MAIN!$I565, ""), "", MAIN!$C565)</f>
        <v/>
      </c>
      <c r="E565" s="3" t="str">
        <f>IF(EXACT(MAIN!$I565, ""), "", MAIN!$D565)</f>
        <v/>
      </c>
      <c r="F565" s="27" t="str">
        <f>IF(EXACT(MAIN!$I565, ""), "", ""&amp;MAIN!$F565)</f>
        <v/>
      </c>
    </row>
    <row r="566" spans="2:6" x14ac:dyDescent="0.2">
      <c r="B566" s="25" t="str">
        <f>IF(EXACT(MAIN!I566, ""), "", MAIN!H566)</f>
        <v/>
      </c>
      <c r="C566" s="3" t="str">
        <f>IF(EXACT(MAIN!$I566, ""), "", MAIN!$B566)</f>
        <v/>
      </c>
      <c r="D566" s="3" t="str">
        <f>IF(EXACT(MAIN!$I566, ""), "", MAIN!$C566)</f>
        <v/>
      </c>
      <c r="E566" s="3" t="str">
        <f>IF(EXACT(MAIN!$I566, ""), "", MAIN!$D566)</f>
        <v/>
      </c>
      <c r="F566" s="27" t="str">
        <f>IF(EXACT(MAIN!$I566, ""), "", ""&amp;MAIN!$F566)</f>
        <v/>
      </c>
    </row>
    <row r="567" spans="2:6" x14ac:dyDescent="0.2">
      <c r="B567" s="25" t="str">
        <f>IF(EXACT(MAIN!I567, ""), "", MAIN!H567)</f>
        <v/>
      </c>
      <c r="C567" s="3" t="str">
        <f>IF(EXACT(MAIN!$I567, ""), "", MAIN!$B567)</f>
        <v/>
      </c>
      <c r="D567" s="3" t="str">
        <f>IF(EXACT(MAIN!$I567, ""), "", MAIN!$C567)</f>
        <v/>
      </c>
      <c r="E567" s="3" t="str">
        <f>IF(EXACT(MAIN!$I567, ""), "", MAIN!$D567)</f>
        <v/>
      </c>
      <c r="F567" s="27" t="str">
        <f>IF(EXACT(MAIN!$I567, ""), "", ""&amp;MAIN!$F567)</f>
        <v/>
      </c>
    </row>
    <row r="568" spans="2:6" x14ac:dyDescent="0.2">
      <c r="B568" s="25" t="str">
        <f>IF(EXACT(MAIN!I568, ""), "", MAIN!H568)</f>
        <v/>
      </c>
      <c r="C568" s="3" t="str">
        <f>IF(EXACT(MAIN!$I568, ""), "", MAIN!$B568)</f>
        <v/>
      </c>
      <c r="D568" s="3" t="str">
        <f>IF(EXACT(MAIN!$I568, ""), "", MAIN!$C568)</f>
        <v/>
      </c>
      <c r="E568" s="3" t="str">
        <f>IF(EXACT(MAIN!$I568, ""), "", MAIN!$D568)</f>
        <v/>
      </c>
      <c r="F568" s="27" t="str">
        <f>IF(EXACT(MAIN!$I568, ""), "", ""&amp;MAIN!$F568)</f>
        <v/>
      </c>
    </row>
    <row r="569" spans="2:6" x14ac:dyDescent="0.2">
      <c r="B569" s="25" t="str">
        <f>IF(EXACT(MAIN!I569, ""), "", MAIN!H569)</f>
        <v/>
      </c>
      <c r="C569" s="3" t="str">
        <f>IF(EXACT(MAIN!$I569, ""), "", MAIN!$B569)</f>
        <v/>
      </c>
      <c r="D569" s="3" t="str">
        <f>IF(EXACT(MAIN!$I569, ""), "", MAIN!$C569)</f>
        <v/>
      </c>
      <c r="E569" s="3" t="str">
        <f>IF(EXACT(MAIN!$I569, ""), "", MAIN!$D569)</f>
        <v/>
      </c>
      <c r="F569" s="27" t="str">
        <f>IF(EXACT(MAIN!$I569, ""), "", ""&amp;MAIN!$F569)</f>
        <v/>
      </c>
    </row>
    <row r="570" spans="2:6" x14ac:dyDescent="0.2">
      <c r="B570" s="25" t="str">
        <f>IF(EXACT(MAIN!I570, ""), "", MAIN!H570)</f>
        <v/>
      </c>
      <c r="C570" s="3" t="str">
        <f>IF(EXACT(MAIN!$I570, ""), "", MAIN!$B570)</f>
        <v/>
      </c>
      <c r="D570" s="3" t="str">
        <f>IF(EXACT(MAIN!$I570, ""), "", MAIN!$C570)</f>
        <v/>
      </c>
      <c r="E570" s="3" t="str">
        <f>IF(EXACT(MAIN!$I570, ""), "", MAIN!$D570)</f>
        <v/>
      </c>
      <c r="F570" s="27" t="str">
        <f>IF(EXACT(MAIN!$I570, ""), "", ""&amp;MAIN!$F570)</f>
        <v/>
      </c>
    </row>
    <row r="571" spans="2:6" x14ac:dyDescent="0.2">
      <c r="B571" s="25" t="str">
        <f>IF(EXACT(MAIN!I571, ""), "", MAIN!H571)</f>
        <v/>
      </c>
      <c r="C571" s="3" t="str">
        <f>IF(EXACT(MAIN!$I571, ""), "", MAIN!$B571)</f>
        <v/>
      </c>
      <c r="D571" s="3" t="str">
        <f>IF(EXACT(MAIN!$I571, ""), "", MAIN!$C571)</f>
        <v/>
      </c>
      <c r="E571" s="3" t="str">
        <f>IF(EXACT(MAIN!$I571, ""), "", MAIN!$D571)</f>
        <v/>
      </c>
      <c r="F571" s="27" t="str">
        <f>IF(EXACT(MAIN!$I571, ""), "", ""&amp;MAIN!$F571)</f>
        <v/>
      </c>
    </row>
    <row r="572" spans="2:6" x14ac:dyDescent="0.2">
      <c r="B572" s="25" t="str">
        <f>IF(EXACT(MAIN!I572, ""), "", MAIN!H572)</f>
        <v/>
      </c>
      <c r="C572" s="3" t="str">
        <f>IF(EXACT(MAIN!$I572, ""), "", MAIN!$B572)</f>
        <v/>
      </c>
      <c r="D572" s="3" t="str">
        <f>IF(EXACT(MAIN!$I572, ""), "", MAIN!$C572)</f>
        <v/>
      </c>
      <c r="E572" s="3" t="str">
        <f>IF(EXACT(MAIN!$I572, ""), "", MAIN!$D572)</f>
        <v/>
      </c>
      <c r="F572" s="27" t="str">
        <f>IF(EXACT(MAIN!$I572, ""), "", ""&amp;MAIN!$F572)</f>
        <v/>
      </c>
    </row>
    <row r="573" spans="2:6" x14ac:dyDescent="0.2">
      <c r="B573" s="25" t="str">
        <f>IF(EXACT(MAIN!I573, ""), "", MAIN!H573)</f>
        <v/>
      </c>
      <c r="C573" s="3" t="str">
        <f>IF(EXACT(MAIN!$I573, ""), "", MAIN!$B573)</f>
        <v/>
      </c>
      <c r="D573" s="3" t="str">
        <f>IF(EXACT(MAIN!$I573, ""), "", MAIN!$C573)</f>
        <v/>
      </c>
      <c r="E573" s="3" t="str">
        <f>IF(EXACT(MAIN!$I573, ""), "", MAIN!$D573)</f>
        <v/>
      </c>
      <c r="F573" s="27" t="str">
        <f>IF(EXACT(MAIN!$I573, ""), "", ""&amp;MAIN!$F573)</f>
        <v/>
      </c>
    </row>
    <row r="574" spans="2:6" x14ac:dyDescent="0.2">
      <c r="B574" s="25" t="str">
        <f>IF(EXACT(MAIN!I574, ""), "", MAIN!H574)</f>
        <v/>
      </c>
      <c r="C574" s="3" t="str">
        <f>IF(EXACT(MAIN!$I574, ""), "", MAIN!$B574)</f>
        <v/>
      </c>
      <c r="D574" s="3" t="str">
        <f>IF(EXACT(MAIN!$I574, ""), "", MAIN!$C574)</f>
        <v/>
      </c>
      <c r="E574" s="3" t="str">
        <f>IF(EXACT(MAIN!$I574, ""), "", MAIN!$D574)</f>
        <v/>
      </c>
      <c r="F574" s="27" t="str">
        <f>IF(EXACT(MAIN!$I574, ""), "", ""&amp;MAIN!$F574)</f>
        <v/>
      </c>
    </row>
    <row r="575" spans="2:6" x14ac:dyDescent="0.2">
      <c r="B575" s="25" t="str">
        <f>IF(EXACT(MAIN!I575, ""), "", MAIN!H575)</f>
        <v/>
      </c>
      <c r="C575" s="3" t="str">
        <f>IF(EXACT(MAIN!$I575, ""), "", MAIN!$B575)</f>
        <v/>
      </c>
      <c r="D575" s="3" t="str">
        <f>IF(EXACT(MAIN!$I575, ""), "", MAIN!$C575)</f>
        <v/>
      </c>
      <c r="E575" s="3" t="str">
        <f>IF(EXACT(MAIN!$I575, ""), "", MAIN!$D575)</f>
        <v/>
      </c>
      <c r="F575" s="27" t="str">
        <f>IF(EXACT(MAIN!$I575, ""), "", ""&amp;MAIN!$F575)</f>
        <v/>
      </c>
    </row>
    <row r="576" spans="2:6" x14ac:dyDescent="0.2">
      <c r="B576" s="25" t="str">
        <f>IF(EXACT(MAIN!I576, ""), "", MAIN!H576)</f>
        <v/>
      </c>
      <c r="C576" s="3" t="str">
        <f>IF(EXACT(MAIN!$I576, ""), "", MAIN!$B576)</f>
        <v/>
      </c>
      <c r="D576" s="3" t="str">
        <f>IF(EXACT(MAIN!$I576, ""), "", MAIN!$C576)</f>
        <v/>
      </c>
      <c r="E576" s="3" t="str">
        <f>IF(EXACT(MAIN!$I576, ""), "", MAIN!$D576)</f>
        <v/>
      </c>
      <c r="F576" s="27" t="str">
        <f>IF(EXACT(MAIN!$I576, ""), "", ""&amp;MAIN!$F576)</f>
        <v/>
      </c>
    </row>
    <row r="577" spans="2:6" x14ac:dyDescent="0.2">
      <c r="B577" s="25">
        <f>IF(EXACT(MAIN!I577, ""), "", MAIN!H577)</f>
        <v>225000000000050</v>
      </c>
      <c r="C577" s="3">
        <f>IF(EXACT(MAIN!$I577, ""), "", MAIN!$B577)</f>
        <v>164000000000574</v>
      </c>
      <c r="D577" s="3" t="str">
        <f>IF(EXACT(MAIN!$I577, ""), "", MAIN!$C577)</f>
        <v>Rahmata Novanisa</v>
      </c>
      <c r="E577" s="3">
        <f>IF(EXACT(MAIN!$I577, ""), "", MAIN!$D577)</f>
        <v>95000000000031</v>
      </c>
      <c r="F577" s="27" t="str">
        <f>IF(EXACT(MAIN!$I577, ""), "", ""&amp;MAIN!$F577)</f>
        <v/>
      </c>
    </row>
    <row r="578" spans="2:6" x14ac:dyDescent="0.2">
      <c r="B578" s="25">
        <f>IF(EXACT(MAIN!I578, ""), "", MAIN!H578)</f>
        <v>225000000000051</v>
      </c>
      <c r="C578" s="3">
        <f>IF(EXACT(MAIN!$I578, ""), "", MAIN!$B578)</f>
        <v>164000000000575</v>
      </c>
      <c r="D578" s="3" t="str">
        <f>IF(EXACT(MAIN!$I578, ""), "", MAIN!$C578)</f>
        <v>Satrio Dhiaputra</v>
      </c>
      <c r="E578" s="3">
        <f>IF(EXACT(MAIN!$I578, ""), "", MAIN!$D578)</f>
        <v>95000000000053</v>
      </c>
      <c r="F578" s="27" t="str">
        <f>IF(EXACT(MAIN!$I578, ""), "", ""&amp;MAIN!$F578)</f>
        <v/>
      </c>
    </row>
    <row r="579" spans="2:6" x14ac:dyDescent="0.2">
      <c r="B579" s="25" t="str">
        <f>IF(EXACT(MAIN!I579, ""), "", MAIN!H579)</f>
        <v/>
      </c>
      <c r="C579" s="3" t="str">
        <f>IF(EXACT(MAIN!$I579, ""), "", MAIN!$B579)</f>
        <v/>
      </c>
      <c r="D579" s="3" t="str">
        <f>IF(EXACT(MAIN!$I579, ""), "", MAIN!$C579)</f>
        <v/>
      </c>
      <c r="E579" s="3" t="str">
        <f>IF(EXACT(MAIN!$I579, ""), "", MAIN!$D579)</f>
        <v/>
      </c>
      <c r="F579" s="27" t="str">
        <f>IF(EXACT(MAIN!$I579, ""), "", ""&amp;MAIN!$F579)</f>
        <v/>
      </c>
    </row>
    <row r="580" spans="2:6" x14ac:dyDescent="0.2">
      <c r="B580" s="25" t="str">
        <f>IF(EXACT(MAIN!I580, ""), "", MAIN!H580)</f>
        <v/>
      </c>
      <c r="C580" s="3" t="str">
        <f>IF(EXACT(MAIN!$I580, ""), "", MAIN!$B580)</f>
        <v/>
      </c>
      <c r="D580" s="3" t="str">
        <f>IF(EXACT(MAIN!$I580, ""), "", MAIN!$C580)</f>
        <v/>
      </c>
      <c r="E580" s="3" t="str">
        <f>IF(EXACT(MAIN!$I580, ""), "", MAIN!$D580)</f>
        <v/>
      </c>
      <c r="F580" s="27" t="str">
        <f>IF(EXACT(MAIN!$I580, ""), "", ""&amp;MAIN!$F580)</f>
        <v/>
      </c>
    </row>
    <row r="581" spans="2:6" x14ac:dyDescent="0.2">
      <c r="B581" s="25" t="str">
        <f>IF(EXACT(MAIN!I581, ""), "", MAIN!H581)</f>
        <v/>
      </c>
      <c r="C581" s="3" t="str">
        <f>IF(EXACT(MAIN!$I581, ""), "", MAIN!$B581)</f>
        <v/>
      </c>
      <c r="D581" s="3" t="str">
        <f>IF(EXACT(MAIN!$I581, ""), "", MAIN!$C581)</f>
        <v/>
      </c>
      <c r="E581" s="3" t="str">
        <f>IF(EXACT(MAIN!$I581, ""), "", MAIN!$D581)</f>
        <v/>
      </c>
      <c r="F581" s="27" t="str">
        <f>IF(EXACT(MAIN!$I581, ""), "", ""&amp;MAIN!$F581)</f>
        <v/>
      </c>
    </row>
    <row r="582" spans="2:6" x14ac:dyDescent="0.2">
      <c r="B582" s="25">
        <f>IF(EXACT(MAIN!I582, ""), "", MAIN!H582)</f>
        <v>225000000000052</v>
      </c>
      <c r="C582" s="3">
        <f>IF(EXACT(MAIN!$I582, ""), "", MAIN!$B582)</f>
        <v>164000000000579</v>
      </c>
      <c r="D582" s="3" t="str">
        <f>IF(EXACT(MAIN!$I582, ""), "", MAIN!$C582)</f>
        <v>Tegar Hersaputra</v>
      </c>
      <c r="E582" s="3">
        <f>IF(EXACT(MAIN!$I582, ""), "", MAIN!$D582)</f>
        <v>95000000000064</v>
      </c>
      <c r="F582" s="27" t="str">
        <f>IF(EXACT(MAIN!$I582, ""), "", ""&amp;MAIN!$F582)</f>
        <v/>
      </c>
    </row>
    <row r="583" spans="2:6" x14ac:dyDescent="0.2">
      <c r="B583" s="25" t="str">
        <f>IF(EXACT(MAIN!I583, ""), "", MAIN!H583)</f>
        <v/>
      </c>
      <c r="C583" s="3" t="str">
        <f>IF(EXACT(MAIN!$I583, ""), "", MAIN!$B583)</f>
        <v/>
      </c>
      <c r="D583" s="3" t="str">
        <f>IF(EXACT(MAIN!$I583, ""), "", MAIN!$C583)</f>
        <v/>
      </c>
      <c r="E583" s="3" t="str">
        <f>IF(EXACT(MAIN!$I583, ""), "", MAIN!$D583)</f>
        <v/>
      </c>
      <c r="F583" s="27" t="str">
        <f>IF(EXACT(MAIN!$I583, ""), "", ""&amp;MAIN!$F583)</f>
        <v/>
      </c>
    </row>
    <row r="584" spans="2:6" x14ac:dyDescent="0.2">
      <c r="B584" s="25">
        <f>IF(EXACT(MAIN!I584, ""), "", MAIN!H584)</f>
        <v>225000000000053</v>
      </c>
      <c r="C584" s="3">
        <f>IF(EXACT(MAIN!$I584, ""), "", MAIN!$B584)</f>
        <v>164000000000581</v>
      </c>
      <c r="D584" s="3" t="str">
        <f>IF(EXACT(MAIN!$I584, ""), "", MAIN!$C584)</f>
        <v>Wisnu Trenggono Wirayuda</v>
      </c>
      <c r="E584" s="3">
        <f>IF(EXACT(MAIN!$I584, ""), "", MAIN!$D584)</f>
        <v>95000000000039</v>
      </c>
      <c r="F584" s="27" t="str">
        <f>IF(EXACT(MAIN!$I584, ""), "", ""&amp;MAIN!$F584)</f>
        <v/>
      </c>
    </row>
    <row r="585" spans="2:6" x14ac:dyDescent="0.2">
      <c r="B585" s="25" t="str">
        <f>IF(EXACT(MAIN!I585, ""), "", MAIN!H585)</f>
        <v/>
      </c>
      <c r="C585" s="3" t="str">
        <f>IF(EXACT(MAIN!$I585, ""), "", MAIN!$B585)</f>
        <v/>
      </c>
      <c r="D585" s="3" t="str">
        <f>IF(EXACT(MAIN!$I585, ""), "", MAIN!$C585)</f>
        <v/>
      </c>
      <c r="E585" s="3" t="str">
        <f>IF(EXACT(MAIN!$I585, ""), "", MAIN!$D585)</f>
        <v/>
      </c>
      <c r="F585" s="27" t="str">
        <f>IF(EXACT(MAIN!$I585, ""), "", ""&amp;MAIN!$F585)</f>
        <v/>
      </c>
    </row>
    <row r="586" spans="2:6" x14ac:dyDescent="0.2">
      <c r="B586" s="25" t="str">
        <f>IF(EXACT(MAIN!I586, ""), "", MAIN!H586)</f>
        <v/>
      </c>
      <c r="C586" s="3" t="str">
        <f>IF(EXACT(MAIN!$I586, ""), "", MAIN!$B586)</f>
        <v/>
      </c>
      <c r="D586" s="3" t="str">
        <f>IF(EXACT(MAIN!$I586, ""), "", MAIN!$C586)</f>
        <v/>
      </c>
      <c r="E586" s="3" t="str">
        <f>IF(EXACT(MAIN!$I586, ""), "", MAIN!$D586)</f>
        <v/>
      </c>
      <c r="F586" s="27" t="str">
        <f>IF(EXACT(MAIN!$I586, ""), "", ""&amp;MAIN!$F586)</f>
        <v/>
      </c>
    </row>
    <row r="587" spans="2:6" x14ac:dyDescent="0.2">
      <c r="B587" s="25" t="str">
        <f>IF(EXACT(MAIN!I587, ""), "", MAIN!H587)</f>
        <v/>
      </c>
      <c r="C587" s="3" t="str">
        <f>IF(EXACT(MAIN!$I587, ""), "", MAIN!$B587)</f>
        <v/>
      </c>
      <c r="D587" s="3" t="str">
        <f>IF(EXACT(MAIN!$I587, ""), "", MAIN!$C587)</f>
        <v/>
      </c>
      <c r="E587" s="3" t="str">
        <f>IF(EXACT(MAIN!$I587, ""), "", MAIN!$D587)</f>
        <v/>
      </c>
      <c r="F587" s="27"/>
    </row>
    <row r="588" spans="2:6" x14ac:dyDescent="0.2">
      <c r="B588" s="25" t="str">
        <f>IF(EXACT(MAIN!I588, ""), "", MAIN!H588)</f>
        <v/>
      </c>
      <c r="C588" s="3" t="str">
        <f>IF(EXACT(MAIN!$I588, ""), "", MAIN!$B588)</f>
        <v/>
      </c>
      <c r="D588" s="3" t="str">
        <f>IF(EXACT(MAIN!$I588, ""), "", MAIN!$C588)</f>
        <v/>
      </c>
      <c r="E588" s="3" t="str">
        <f>IF(EXACT(MAIN!$I588, ""), "", MAIN!$D588)</f>
        <v/>
      </c>
      <c r="F588" s="27"/>
    </row>
    <row r="589" spans="2:6" x14ac:dyDescent="0.2">
      <c r="B589" s="25" t="str">
        <f>IF(EXACT(MAIN!I589, ""), "", MAIN!H589)</f>
        <v/>
      </c>
      <c r="C589" s="3" t="str">
        <f>IF(EXACT(MAIN!$I589, ""), "", MAIN!$B589)</f>
        <v/>
      </c>
      <c r="D589" s="3" t="str">
        <f>IF(EXACT(MAIN!$I589, ""), "", MAIN!$C589)</f>
        <v/>
      </c>
      <c r="E589" s="3" t="str">
        <f>IF(EXACT(MAIN!$I589, ""), "", MAIN!$D589)</f>
        <v/>
      </c>
      <c r="F589" s="27"/>
    </row>
    <row r="590" spans="2:6" x14ac:dyDescent="0.2">
      <c r="B590" s="25">
        <f>IF(EXACT(MAIN!I590, ""), "", MAIN!H590)</f>
        <v>225000000000054</v>
      </c>
      <c r="C590" s="3">
        <f>IF(EXACT(MAIN!$I590, ""), "", MAIN!$B590)</f>
        <v>164000000000587</v>
      </c>
      <c r="D590" s="3" t="str">
        <f>IF(EXACT(MAIN!$I590, ""), "", MAIN!$C590)</f>
        <v>Firmansyah Awaludin</v>
      </c>
      <c r="E590" s="3">
        <f>IF(EXACT(MAIN!$I590, ""), "", MAIN!$D590)</f>
        <v>95000000000029</v>
      </c>
      <c r="F590" s="27"/>
    </row>
    <row r="591" spans="2:6" x14ac:dyDescent="0.2">
      <c r="B591" s="25">
        <f>IF(EXACT(MAIN!I591, ""), "", MAIN!H591)</f>
        <v>225000000000055</v>
      </c>
      <c r="C591" s="3">
        <f>IF(EXACT(MAIN!$I591, ""), "", MAIN!$B591)</f>
        <v>164000000000588</v>
      </c>
      <c r="D591" s="3" t="str">
        <f>IF(EXACT(MAIN!$I591, ""), "", MAIN!$C591)</f>
        <v>Iman Faisal Abdurahman</v>
      </c>
      <c r="E591" s="3">
        <f>IF(EXACT(MAIN!$I591, ""), "", MAIN!$D591)</f>
        <v>95000000000008</v>
      </c>
      <c r="F591" s="27" t="str">
        <f>IF(EXACT(MAIN!$I587, ""), "", ""&amp;MAIN!$F587)</f>
        <v/>
      </c>
    </row>
    <row r="592" spans="2:6" x14ac:dyDescent="0.2">
      <c r="B592" s="25" t="str">
        <f>IF(EXACT(MAIN!I592, ""), "", MAIN!H592)</f>
        <v/>
      </c>
      <c r="C592" s="3" t="str">
        <f>IF(EXACT(MAIN!$I592, ""), "", MAIN!$B592)</f>
        <v/>
      </c>
      <c r="D592" s="3" t="str">
        <f>IF(EXACT(MAIN!$I592, ""), "", MAIN!$C592)</f>
        <v/>
      </c>
      <c r="E592" s="3" t="str">
        <f>IF(EXACT(MAIN!$I592, ""), "", MAIN!$D592)</f>
        <v/>
      </c>
      <c r="F592" s="27" t="str">
        <f>IF(EXACT(MAIN!$I588, ""), "", ""&amp;MAIN!$F588)</f>
        <v/>
      </c>
    </row>
    <row r="593" spans="2:6" x14ac:dyDescent="0.2">
      <c r="B593" s="25" t="str">
        <f>IF(EXACT(MAIN!I593, ""), "", MAIN!H593)</f>
        <v/>
      </c>
      <c r="C593" s="3" t="str">
        <f>IF(EXACT(MAIN!$I593, ""), "", MAIN!$B593)</f>
        <v/>
      </c>
      <c r="D593" s="3" t="str">
        <f>IF(EXACT(MAIN!$I593, ""), "", MAIN!$C593)</f>
        <v/>
      </c>
      <c r="E593" s="3" t="str">
        <f>IF(EXACT(MAIN!$I593, ""), "", MAIN!$D593)</f>
        <v/>
      </c>
      <c r="F593" s="27" t="str">
        <f>IF(EXACT(MAIN!$I589, ""), "", ""&amp;MAIN!$F589)</f>
        <v/>
      </c>
    </row>
    <row r="594" spans="2:6" x14ac:dyDescent="0.2">
      <c r="B594" s="25" t="str">
        <f>IF(EXACT(MAIN!I594, ""), "", MAIN!H594)</f>
        <v/>
      </c>
      <c r="C594" s="3" t="str">
        <f>IF(EXACT(MAIN!$I594, ""), "", MAIN!$B594)</f>
        <v/>
      </c>
      <c r="D594" s="3" t="str">
        <f>IF(EXACT(MAIN!$I594, ""), "", MAIN!$C594)</f>
        <v/>
      </c>
      <c r="E594" s="3" t="str">
        <f>IF(EXACT(MAIN!$I594, ""), "", MAIN!$D594)</f>
        <v/>
      </c>
      <c r="F594" s="27" t="str">
        <f>IF(EXACT(MAIN!$I590, ""), "", ""&amp;MAIN!$F590)</f>
        <v/>
      </c>
    </row>
    <row r="595" spans="2:6" x14ac:dyDescent="0.2">
      <c r="B595" s="25">
        <f>IF(EXACT(MAIN!I595, ""), "", MAIN!H595)</f>
        <v>225000000000056</v>
      </c>
      <c r="C595" s="3">
        <f>IF(EXACT(MAIN!$I595, ""), "", MAIN!$B595)</f>
        <v>164000000000592</v>
      </c>
      <c r="D595" s="3" t="str">
        <f>IF(EXACT(MAIN!$I595, ""), "", MAIN!$C595)</f>
        <v>Ahmad Sandi Asyuri</v>
      </c>
      <c r="E595" s="3">
        <f>IF(EXACT(MAIN!$I595, ""), "", MAIN!$D595)</f>
        <v>95000000000065</v>
      </c>
      <c r="F595" s="27" t="str">
        <f>IF(EXACT(MAIN!$I591, ""), "", ""&amp;MAIN!$F591)</f>
        <v/>
      </c>
    </row>
    <row r="596" spans="2:6" x14ac:dyDescent="0.2">
      <c r="B596" s="25">
        <f>IF(EXACT(MAIN!I596, ""), "", MAIN!H596)</f>
        <v>225000000000057</v>
      </c>
      <c r="C596" s="3">
        <f>IF(EXACT(MAIN!$I596, ""), "", MAIN!$B596)</f>
        <v>164000000000593</v>
      </c>
      <c r="D596" s="3" t="str">
        <f>IF(EXACT(MAIN!$I596, ""), "", MAIN!$C596)</f>
        <v>Andi Mapasoro</v>
      </c>
      <c r="E596" s="3">
        <f>IF(EXACT(MAIN!$I596, ""), "", MAIN!$D596)</f>
        <v>95000000000019</v>
      </c>
      <c r="F596" s="27" t="str">
        <f>IF(EXACT(MAIN!$I592, ""), "", ""&amp;MAIN!$F592)</f>
        <v/>
      </c>
    </row>
    <row r="597" spans="2:6" x14ac:dyDescent="0.2">
      <c r="B597" s="25" t="str">
        <f>IF(EXACT(MAIN!I597, ""), "", MAIN!H597)</f>
        <v/>
      </c>
      <c r="C597" s="3" t="str">
        <f>IF(EXACT(MAIN!$I597, ""), "", MAIN!$B597)</f>
        <v/>
      </c>
      <c r="D597" s="3" t="str">
        <f>IF(EXACT(MAIN!$I597, ""), "", MAIN!$C597)</f>
        <v/>
      </c>
      <c r="E597" s="3" t="str">
        <f>IF(EXACT(MAIN!$I597, ""), "", MAIN!$D597)</f>
        <v/>
      </c>
      <c r="F597" s="27" t="str">
        <f>IF(EXACT(MAIN!$I593, ""), "", ""&amp;MAIN!$F593)</f>
        <v/>
      </c>
    </row>
    <row r="598" spans="2:6" x14ac:dyDescent="0.2">
      <c r="B598" s="25" t="str">
        <f>IF(EXACT(MAIN!I598, ""), "", MAIN!H598)</f>
        <v/>
      </c>
      <c r="C598" s="3" t="str">
        <f>IF(EXACT(MAIN!$I598, ""), "", MAIN!$B598)</f>
        <v/>
      </c>
      <c r="D598" s="3" t="str">
        <f>IF(EXACT(MAIN!$I598, ""), "", MAIN!$C598)</f>
        <v/>
      </c>
      <c r="E598" s="3" t="str">
        <f>IF(EXACT(MAIN!$I598, ""), "", MAIN!$D598)</f>
        <v/>
      </c>
      <c r="F598" s="27" t="str">
        <f>IF(EXACT(MAIN!$I594, ""), "", ""&amp;MAIN!$F594)</f>
        <v/>
      </c>
    </row>
    <row r="599" spans="2:6" x14ac:dyDescent="0.2">
      <c r="B599" s="25">
        <f>IF(EXACT(MAIN!I599, ""), "", MAIN!H599)</f>
        <v>225000000000058</v>
      </c>
      <c r="C599" s="3">
        <f>IF(EXACT(MAIN!$I599, ""), "", MAIN!$B599)</f>
        <v>164000000000596</v>
      </c>
      <c r="D599" s="3" t="str">
        <f>IF(EXACT(MAIN!$I599, ""), "", MAIN!$C599)</f>
        <v>Burhan</v>
      </c>
      <c r="E599" s="3">
        <f>IF(EXACT(MAIN!$I599, ""), "", MAIN!$D599)</f>
        <v>95000000000003</v>
      </c>
      <c r="F599" s="27" t="str">
        <f>IF(EXACT(MAIN!$I595, ""), "", ""&amp;MAIN!$F595)</f>
        <v/>
      </c>
    </row>
    <row r="600" spans="2:6" x14ac:dyDescent="0.2">
      <c r="B600" s="25" t="str">
        <f>IF(EXACT(MAIN!I600, ""), "", MAIN!H600)</f>
        <v/>
      </c>
      <c r="C600" s="3" t="str">
        <f>IF(EXACT(MAIN!$I600, ""), "", MAIN!$B600)</f>
        <v/>
      </c>
      <c r="D600" s="3" t="str">
        <f>IF(EXACT(MAIN!$I600, ""), "", MAIN!$C600)</f>
        <v/>
      </c>
      <c r="E600" s="3" t="str">
        <f>IF(EXACT(MAIN!$I600, ""), "", MAIN!$D600)</f>
        <v/>
      </c>
      <c r="F600" s="27" t="str">
        <f>IF(EXACT(MAIN!$I596, ""), "", ""&amp;MAIN!$F596)</f>
        <v/>
      </c>
    </row>
    <row r="601" spans="2:6" x14ac:dyDescent="0.2">
      <c r="B601" s="25">
        <f>IF(EXACT(MAIN!I601, ""), "", MAIN!H601)</f>
        <v>225000000000059</v>
      </c>
      <c r="C601" s="3">
        <f>IF(EXACT(MAIN!$I601, ""), "", MAIN!$B601)</f>
        <v>164000000000598</v>
      </c>
      <c r="D601" s="3" t="str">
        <f>IF(EXACT(MAIN!$I601, ""), "", MAIN!$C601)</f>
        <v>Ibrahim Arya Yuda</v>
      </c>
      <c r="E601" s="3">
        <f>IF(EXACT(MAIN!$I601, ""), "", MAIN!$D601)</f>
        <v>95000000000065</v>
      </c>
      <c r="F601" s="27" t="str">
        <f>IF(EXACT(MAIN!$I597, ""), "", ""&amp;MAIN!$F597)</f>
        <v/>
      </c>
    </row>
    <row r="602" spans="2:6" x14ac:dyDescent="0.2">
      <c r="B602" s="25" t="str">
        <f>IF(EXACT(MAIN!I602, ""), "", MAIN!H602)</f>
        <v/>
      </c>
      <c r="C602" s="3" t="str">
        <f>IF(EXACT(MAIN!$I602, ""), "", MAIN!$B602)</f>
        <v/>
      </c>
      <c r="D602" s="3" t="str">
        <f>IF(EXACT(MAIN!$I602, ""), "", MAIN!$C602)</f>
        <v/>
      </c>
      <c r="E602" s="3" t="str">
        <f>IF(EXACT(MAIN!$I602, ""), "", MAIN!$D602)</f>
        <v/>
      </c>
      <c r="F602" s="27" t="str">
        <f>IF(EXACT(MAIN!$I598, ""), "", ""&amp;MAIN!$F598)</f>
        <v/>
      </c>
    </row>
    <row r="603" spans="2:6" x14ac:dyDescent="0.2">
      <c r="B603" s="25" t="str">
        <f>IF(EXACT(MAIN!I603, ""), "", MAIN!H603)</f>
        <v/>
      </c>
      <c r="C603" s="3" t="str">
        <f>IF(EXACT(MAIN!$I603, ""), "", MAIN!$B603)</f>
        <v/>
      </c>
      <c r="D603" s="3" t="str">
        <f>IF(EXACT(MAIN!$I603, ""), "", MAIN!$C603)</f>
        <v/>
      </c>
      <c r="E603" s="3" t="str">
        <f>IF(EXACT(MAIN!$I603, ""), "", MAIN!$D603)</f>
        <v/>
      </c>
      <c r="F603" s="27" t="str">
        <f>IF(EXACT(MAIN!$I599, ""), "", ""&amp;MAIN!$F599)</f>
        <v/>
      </c>
    </row>
    <row r="604" spans="2:6" x14ac:dyDescent="0.2">
      <c r="B604" s="25">
        <f>IF(EXACT(MAIN!I604, ""), "", MAIN!H604)</f>
        <v>225000000000060</v>
      </c>
      <c r="C604" s="3">
        <f>IF(EXACT(MAIN!$I604, ""), "", MAIN!$B604)</f>
        <v>164000000000601</v>
      </c>
      <c r="D604" s="3" t="str">
        <f>IF(EXACT(MAIN!$I604, ""), "", MAIN!$C604)</f>
        <v>Mochamad Ulul Azmi Wira Utama</v>
      </c>
      <c r="E604" s="3">
        <f>IF(EXACT(MAIN!$I604, ""), "", MAIN!$D604)</f>
        <v>95000000000053</v>
      </c>
      <c r="F604" s="27" t="str">
        <f>IF(EXACT(MAIN!$I600, ""), "", ""&amp;MAIN!$F600)</f>
        <v/>
      </c>
    </row>
    <row r="605" spans="2:6" x14ac:dyDescent="0.2">
      <c r="B605" s="25">
        <f>IF(EXACT(MAIN!I605, ""), "", MAIN!H605)</f>
        <v>225000000000061</v>
      </c>
      <c r="C605" s="3">
        <f>IF(EXACT(MAIN!$I605, ""), "", MAIN!$B605)</f>
        <v>164000000000602</v>
      </c>
      <c r="D605" s="3" t="str">
        <f>IF(EXACT(MAIN!$I605, ""), "", MAIN!$C605)</f>
        <v>Muhammad Bilal Sharony</v>
      </c>
      <c r="E605" s="3">
        <f>IF(EXACT(MAIN!$I605, ""), "", MAIN!$D605)</f>
        <v>95000000000065</v>
      </c>
      <c r="F605" s="27" t="str">
        <f>IF(EXACT(MAIN!$I601, ""), "", ""&amp;MAIN!$F601)</f>
        <v/>
      </c>
    </row>
    <row r="606" spans="2:6" x14ac:dyDescent="0.2">
      <c r="B606" s="25" t="str">
        <f>IF(EXACT(MAIN!I606, ""), "", MAIN!H606)</f>
        <v/>
      </c>
      <c r="C606" s="3" t="str">
        <f>IF(EXACT(MAIN!$I606, ""), "", MAIN!$B606)</f>
        <v/>
      </c>
      <c r="D606" s="3" t="str">
        <f>IF(EXACT(MAIN!$I606, ""), "", MAIN!$C606)</f>
        <v/>
      </c>
      <c r="E606" s="3" t="str">
        <f>IF(EXACT(MAIN!$I606, ""), "", MAIN!$D606)</f>
        <v/>
      </c>
      <c r="F606" s="27" t="str">
        <f>IF(EXACT(MAIN!$I602, ""), "", ""&amp;MAIN!$F602)</f>
        <v/>
      </c>
    </row>
    <row r="607" spans="2:6" x14ac:dyDescent="0.2">
      <c r="B607" s="25">
        <f>IF(EXACT(MAIN!I607, ""), "", MAIN!H607)</f>
        <v>225000000000062</v>
      </c>
      <c r="C607" s="3">
        <f>IF(EXACT(MAIN!$I607, ""), "", MAIN!$B607)</f>
        <v>164000000000604</v>
      </c>
      <c r="D607" s="3" t="str">
        <f>IF(EXACT(MAIN!$I607, ""), "", MAIN!$C607)</f>
        <v>Muhammad Rizal</v>
      </c>
      <c r="E607" s="3">
        <f>IF(EXACT(MAIN!$I607, ""), "", MAIN!$D607)</f>
        <v>95000000000039</v>
      </c>
      <c r="F607" s="27" t="str">
        <f>IF(EXACT(MAIN!$I603, ""), "", ""&amp;MAIN!$F603)</f>
        <v/>
      </c>
    </row>
    <row r="608" spans="2:6" x14ac:dyDescent="0.2">
      <c r="B608" s="25">
        <f>IF(EXACT(MAIN!I608, ""), "", MAIN!H608)</f>
        <v>225000000000063</v>
      </c>
      <c r="C608" s="3">
        <f>IF(EXACT(MAIN!$I608, ""), "", MAIN!$B608)</f>
        <v>164000000000605</v>
      </c>
      <c r="D608" s="3" t="str">
        <f>IF(EXACT(MAIN!$I608, ""), "", MAIN!$C608)</f>
        <v>Rahmad Dwifar</v>
      </c>
      <c r="E608" s="3">
        <f>IF(EXACT(MAIN!$I608, ""), "", MAIN!$D608)</f>
        <v>95000000000024</v>
      </c>
      <c r="F608" s="27" t="str">
        <f>IF(EXACT(MAIN!$I604, ""), "", ""&amp;MAIN!$F604)</f>
        <v/>
      </c>
    </row>
    <row r="609" spans="2:6" x14ac:dyDescent="0.2">
      <c r="B609" s="25" t="str">
        <f>IF(EXACT(MAIN!I609, ""), "", MAIN!H609)</f>
        <v/>
      </c>
      <c r="C609" s="3" t="str">
        <f>IF(EXACT(MAIN!$I609, ""), "", MAIN!$B609)</f>
        <v/>
      </c>
      <c r="D609" s="3" t="str">
        <f>IF(EXACT(MAIN!$I609, ""), "", MAIN!$C609)</f>
        <v/>
      </c>
      <c r="E609" s="3" t="str">
        <f>IF(EXACT(MAIN!$I609, ""), "", MAIN!$D609)</f>
        <v/>
      </c>
      <c r="F609" s="27" t="str">
        <f>IF(EXACT(MAIN!$I605, ""), "", ""&amp;MAIN!$F605)</f>
        <v/>
      </c>
    </row>
    <row r="610" spans="2:6" x14ac:dyDescent="0.2">
      <c r="B610" s="25">
        <f>IF(EXACT(MAIN!I610, ""), "", MAIN!H610)</f>
        <v>225000000000064</v>
      </c>
      <c r="C610" s="3">
        <f>IF(EXACT(MAIN!$I610, ""), "", MAIN!$B610)</f>
        <v>164000000000607</v>
      </c>
      <c r="D610" s="3" t="str">
        <f>IF(EXACT(MAIN!$I610, ""), "", MAIN!$C610)</f>
        <v>Ridwan Nur Muttaqin</v>
      </c>
      <c r="E610" s="3">
        <f>IF(EXACT(MAIN!$I610, ""), "", MAIN!$D610)</f>
        <v>95000000000042</v>
      </c>
      <c r="F610" s="27" t="str">
        <f>IF(EXACT(MAIN!$I606, ""), "", ""&amp;MAIN!$F606)</f>
        <v/>
      </c>
    </row>
    <row r="611" spans="2:6" x14ac:dyDescent="0.2">
      <c r="B611" s="25" t="str">
        <f>IF(EXACT(MAIN!I611, ""), "", MAIN!H611)</f>
        <v/>
      </c>
      <c r="C611" s="3" t="str">
        <f>IF(EXACT(MAIN!$I611, ""), "", MAIN!$B611)</f>
        <v/>
      </c>
      <c r="D611" s="3" t="str">
        <f>IF(EXACT(MAIN!$I611, ""), "", MAIN!$C611)</f>
        <v/>
      </c>
      <c r="E611" s="3" t="str">
        <f>IF(EXACT(MAIN!$I611, ""), "", MAIN!$D611)</f>
        <v/>
      </c>
      <c r="F611" s="27" t="str">
        <f>IF(EXACT(MAIN!$I607, ""), "", ""&amp;MAIN!$F607)</f>
        <v/>
      </c>
    </row>
    <row r="612" spans="2:6" x14ac:dyDescent="0.2">
      <c r="B612" s="25">
        <f>IF(EXACT(MAIN!I612, ""), "", MAIN!H612)</f>
        <v>225000000000065</v>
      </c>
      <c r="C612" s="3">
        <f>IF(EXACT(MAIN!$I612, ""), "", MAIN!$B612)</f>
        <v>164000000000609</v>
      </c>
      <c r="D612" s="3" t="str">
        <f>IF(EXACT(MAIN!$I612, ""), "", MAIN!$C612)</f>
        <v>Risty Alawiyah</v>
      </c>
      <c r="E612" s="3">
        <f>IF(EXACT(MAIN!$I612, ""), "", MAIN!$D612)</f>
        <v>95000000000024</v>
      </c>
      <c r="F612" s="27" t="str">
        <f>IF(EXACT(MAIN!$I608, ""), "", ""&amp;MAIN!$F608)</f>
        <v/>
      </c>
    </row>
    <row r="613" spans="2:6" x14ac:dyDescent="0.2">
      <c r="B613" s="25">
        <f>IF(EXACT(MAIN!I613, ""), "", MAIN!H613)</f>
        <v>225000000000066</v>
      </c>
      <c r="C613" s="3">
        <f>IF(EXACT(MAIN!$I613, ""), "", MAIN!$B613)</f>
        <v>164000000000610</v>
      </c>
      <c r="D613" s="3" t="str">
        <f>IF(EXACT(MAIN!$I613, ""), "", MAIN!$C613)</f>
        <v>Rustono</v>
      </c>
      <c r="E613" s="3">
        <f>IF(EXACT(MAIN!$I613, ""), "", MAIN!$D613)</f>
        <v>95000000000003</v>
      </c>
      <c r="F613" s="27" t="str">
        <f>IF(EXACT(MAIN!$I609, ""), "", ""&amp;MAIN!$F609)</f>
        <v/>
      </c>
    </row>
    <row r="614" spans="2:6" x14ac:dyDescent="0.2">
      <c r="B614" s="25">
        <f>IF(EXACT(MAIN!I614, ""), "", MAIN!H614)</f>
        <v>225000000000067</v>
      </c>
      <c r="C614" s="3">
        <f>IF(EXACT(MAIN!$I614, ""), "", MAIN!$B614)</f>
        <v>164000000000611</v>
      </c>
      <c r="D614" s="3" t="str">
        <f>IF(EXACT(MAIN!$I614, ""), "", MAIN!$C614)</f>
        <v>Solihin</v>
      </c>
      <c r="E614" s="3">
        <f>IF(EXACT(MAIN!$I614, ""), "", MAIN!$D614)</f>
        <v>95000000000003</v>
      </c>
      <c r="F614" s="27" t="str">
        <f>IF(EXACT(MAIN!$I610, ""), "", ""&amp;MAIN!$F610)</f>
        <v/>
      </c>
    </row>
    <row r="615" spans="2:6" x14ac:dyDescent="0.2">
      <c r="B615" s="25">
        <f>IF(EXACT(MAIN!I615, ""), "", MAIN!H615)</f>
        <v>225000000000068</v>
      </c>
      <c r="C615" s="3">
        <f>IF(EXACT(MAIN!$I615, ""), "", MAIN!$B615)</f>
        <v>164000000000612</v>
      </c>
      <c r="D615" s="3" t="str">
        <f>IF(EXACT(MAIN!$I615, ""), "", MAIN!$C615)</f>
        <v>Supriatna</v>
      </c>
      <c r="E615" s="3">
        <f>IF(EXACT(MAIN!$I615, ""), "", MAIN!$D615)</f>
        <v>95000000000003</v>
      </c>
      <c r="F615" s="27" t="str">
        <f>IF(EXACT(MAIN!$I611, ""), "", ""&amp;MAIN!$F611)</f>
        <v/>
      </c>
    </row>
    <row r="616" spans="2:6" x14ac:dyDescent="0.2">
      <c r="B616" s="25" t="str">
        <f>IF(EXACT(MAIN!I616, ""), "", MAIN!H616)</f>
        <v/>
      </c>
      <c r="C616" s="3" t="str">
        <f>IF(EXACT(MAIN!$I616, ""), "", MAIN!$B616)</f>
        <v/>
      </c>
      <c r="D616" s="3" t="str">
        <f>IF(EXACT(MAIN!$I616, ""), "", MAIN!$C616)</f>
        <v/>
      </c>
      <c r="E616" s="3" t="str">
        <f>IF(EXACT(MAIN!$I616, ""), "", MAIN!$D616)</f>
        <v/>
      </c>
      <c r="F616" s="27" t="str">
        <f>IF(EXACT(MAIN!$I612, ""), "", ""&amp;MAIN!$F612)</f>
        <v/>
      </c>
    </row>
    <row r="617" spans="2:6" x14ac:dyDescent="0.2">
      <c r="B617" s="25">
        <f>IF(EXACT(MAIN!I617, ""), "", MAIN!H617)</f>
        <v>225000000000069</v>
      </c>
      <c r="C617" s="3">
        <f>IF(EXACT(MAIN!$I617, ""), "", MAIN!$B617)</f>
        <v>164000000000614</v>
      </c>
      <c r="D617" s="3" t="str">
        <f>IF(EXACT(MAIN!$I617, ""), "", MAIN!$C617)</f>
        <v>Timotius Tabun</v>
      </c>
      <c r="E617" s="3">
        <f>IF(EXACT(MAIN!$I617, ""), "", MAIN!$D617)</f>
        <v>95000000000003</v>
      </c>
      <c r="F617" s="27" t="str">
        <f>IF(EXACT(MAIN!$I613, ""), "", ""&amp;MAIN!$F613)</f>
        <v/>
      </c>
    </row>
    <row r="618" spans="2:6" x14ac:dyDescent="0.2">
      <c r="B618" s="25">
        <f>IF(EXACT(MAIN!I618, ""), "", MAIN!H618)</f>
        <v>225000000000070</v>
      </c>
      <c r="C618" s="3">
        <f>IF(EXACT(MAIN!$I618, ""), "", MAIN!$B618)</f>
        <v>164000000000615</v>
      </c>
      <c r="D618" s="3" t="str">
        <f>IF(EXACT(MAIN!$I618, ""), "", MAIN!$C618)</f>
        <v>Adi</v>
      </c>
      <c r="E618" s="3">
        <f>IF(EXACT(MAIN!$I618, ""), "", MAIN!$D618)</f>
        <v>95000000000003</v>
      </c>
      <c r="F618" s="27" t="str">
        <f>IF(EXACT(MAIN!$I614, ""), "", ""&amp;MAIN!$F614)</f>
        <v/>
      </c>
    </row>
    <row r="619" spans="2:6" x14ac:dyDescent="0.2">
      <c r="B619" s="29" t="str">
        <f>IF(EXACT(MAIN!I622, ""), "", MAIN!H622)</f>
        <v/>
      </c>
      <c r="C619" s="4" t="str">
        <f>IF(EXACT(MAIN!$I622, ""), "", MAIN!$B622)</f>
        <v/>
      </c>
      <c r="D619" s="4" t="str">
        <f>IF(EXACT(MAIN!$I622, ""), "", MAIN!$C622)</f>
        <v/>
      </c>
      <c r="E619" s="4" t="str">
        <f>IF(EXACT(MAIN!$I622, ""), "", MAIN!$D622)</f>
        <v/>
      </c>
      <c r="F619" s="30" t="str">
        <f>IF(EXACT(MAIN!$I615, ""), "", ""&amp;MAIN!$F615)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2026-03-03T06:59:10Z</dcterms:modified>
</cp:coreProperties>
</file>