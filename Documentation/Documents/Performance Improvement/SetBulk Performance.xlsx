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9360" windowHeight="462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M18" i="1" l="1"/>
  <c r="M16" i="1"/>
  <c r="M13" i="1"/>
  <c r="I17" i="1" l="1"/>
  <c r="J17" i="1" s="1"/>
  <c r="F17" i="1"/>
  <c r="G17" i="1" s="1"/>
  <c r="L17" i="1" s="1"/>
  <c r="M17" i="1" s="1"/>
  <c r="I14" i="1" l="1"/>
  <c r="J14" i="1" s="1"/>
  <c r="F13" i="1" l="1"/>
  <c r="G13" i="1" s="1"/>
  <c r="F14" i="1" l="1"/>
  <c r="G14" i="1" s="1"/>
  <c r="L14" i="1" s="1"/>
  <c r="M14" i="1" s="1"/>
  <c r="I12" i="1" l="1"/>
  <c r="J12" i="1" s="1"/>
  <c r="F12" i="1"/>
  <c r="G12" i="1" s="1"/>
  <c r="L12" i="1" l="1"/>
  <c r="M12" i="1" s="1"/>
  <c r="F10" i="1"/>
  <c r="G10" i="1" s="1"/>
  <c r="J10" i="1"/>
  <c r="I10" i="1"/>
  <c r="L10" i="1" l="1"/>
  <c r="M10" i="1" s="1"/>
  <c r="I9" i="1" l="1"/>
  <c r="J9" i="1" s="1"/>
  <c r="I8" i="1"/>
  <c r="J8" i="1" s="1"/>
  <c r="I6" i="1"/>
  <c r="J6" i="1" s="1"/>
  <c r="I5" i="1"/>
  <c r="J5" i="1" s="1"/>
  <c r="I7" i="1"/>
  <c r="J7" i="1" s="1"/>
  <c r="F9" i="1" l="1"/>
  <c r="G9" i="1" s="1"/>
  <c r="L9" i="1" s="1"/>
  <c r="M9" i="1" s="1"/>
  <c r="F6" i="1"/>
  <c r="G6" i="1" s="1"/>
  <c r="L6" i="1" s="1"/>
  <c r="M6" i="1" s="1"/>
  <c r="F8" i="1"/>
  <c r="G8" i="1" s="1"/>
  <c r="L8" i="1" s="1"/>
  <c r="M8" i="1" s="1"/>
  <c r="F7" i="1"/>
  <c r="G7" i="1" s="1"/>
  <c r="L7" i="1" s="1"/>
  <c r="M7" i="1" s="1"/>
  <c r="F5" i="1"/>
  <c r="G5" i="1" s="1"/>
  <c r="L5" i="1" s="1"/>
  <c r="M5" i="1" s="1"/>
  <c r="F11" i="1"/>
  <c r="G11" i="1"/>
  <c r="I11" i="1" l="1"/>
  <c r="J11" i="1" s="1"/>
  <c r="L11" i="1" s="1"/>
  <c r="M11" i="1" s="1"/>
  <c r="I15" i="1"/>
  <c r="J15" i="1" s="1"/>
  <c r="F15" i="1"/>
  <c r="G15" i="1"/>
  <c r="L15" i="1" s="1"/>
  <c r="M15" i="1" s="1"/>
</calcChain>
</file>

<file path=xl/sharedStrings.xml><?xml version="1.0" encoding="utf-8"?>
<sst xmlns="http://schemas.openxmlformats.org/spreadsheetml/2006/main" count="62" uniqueCount="55">
  <si>
    <t>SET</t>
  </si>
  <si>
    <t>SET_BULK</t>
  </si>
  <si>
    <t>RECORD</t>
  </si>
  <si>
    <t>TABLE</t>
  </si>
  <si>
    <t>00:02:36.530</t>
  </si>
  <si>
    <t>INTERVAL</t>
  </si>
  <si>
    <t>MILISECOND</t>
  </si>
  <si>
    <t>00:00:03.322</t>
  </si>
  <si>
    <t>00:00:05.272</t>
  </si>
  <si>
    <t>SINGLE DATA</t>
  </si>
  <si>
    <t>ACCUMULATED DATA</t>
  </si>
  <si>
    <t>00:00:00.357</t>
  </si>
  <si>
    <t>PERFORMANCE
INCREASE</t>
  </si>
  <si>
    <t>SchMaster.TblBank</t>
  </si>
  <si>
    <t>SchSysConfig.TblAppObject_Menu</t>
  </si>
  <si>
    <t>SchSysConfig.TblAppObject_MenuGroup</t>
  </si>
  <si>
    <t>SchSysConfig.TblAppObject_MenuGroupMember</t>
  </si>
  <si>
    <t>SchSysConfig.TblAppObject_MenuAction</t>
  </si>
  <si>
    <t>SchSysConfig.TblAppObject_UserRolePrivilegesMenu</t>
  </si>
  <si>
    <t>00:00:01.744</t>
  </si>
  <si>
    <t>00:00:15.116</t>
  </si>
  <si>
    <t>00:00:14.586</t>
  </si>
  <si>
    <t>00:00:00.397</t>
  </si>
  <si>
    <t>00:00:01.284</t>
  </si>
  <si>
    <t>00:00:00.677</t>
  </si>
  <si>
    <t>00:00:15.617</t>
  </si>
  <si>
    <t>00:00:00.767</t>
  </si>
  <si>
    <t>SchSysConfig.TblDBObject_User</t>
  </si>
  <si>
    <t>00:03:43.480</t>
  </si>
  <si>
    <t>SchMaster.TblPerson</t>
  </si>
  <si>
    <t>00:00:32.412</t>
  </si>
  <si>
    <t>00:00:00.850</t>
  </si>
  <si>
    <t>SchMaster.TblBusinessDocumentType</t>
  </si>
  <si>
    <t>SchData-OLTP-Finance.Func_TblAdvance_SET</t>
  </si>
  <si>
    <t>SchMaster.TblInstitutionType</t>
  </si>
  <si>
    <t>SchMaster.TblCountry</t>
  </si>
  <si>
    <t>00:00:26.821</t>
  </si>
  <si>
    <t>00:00:09.309</t>
  </si>
  <si>
    <t>00:00:00.393</t>
  </si>
  <si>
    <t>00:00:00.774</t>
  </si>
  <si>
    <t>00:00:10.520</t>
  </si>
  <si>
    <t>FUNCTION</t>
  </si>
  <si>
    <t>SchSysConfig-Initialize.Func_SysConf_TblAppObject_Menu</t>
  </si>
  <si>
    <t>SchSysConfig-Initialize.Func_SysConf_TblAppObject_MenuAction</t>
  </si>
  <si>
    <t>SchSysConfig-Initialize.Func_SysConf_TblAppObject_MenuGroup</t>
  </si>
  <si>
    <t>SchSysConfig-Initialize.Func_SysConf_TblAppObject_UserRolePrivilegesMenu</t>
  </si>
  <si>
    <t>SchSysConfig-Initialize.Func_SysConf_TblDBObject_User</t>
  </si>
  <si>
    <t>SchSysConfig-Initialize.Func_SysConf_TblAppObject_MenuMember</t>
  </si>
  <si>
    <t>SchSysConfig-Initialize.Func_DtOLTP_Mstr_TblBank</t>
  </si>
  <si>
    <t>SchSysConfig-Initialize.Func_DtOLTP_Mstr_TblBusinessDocumentType</t>
  </si>
  <si>
    <t>SchSysConfig-Initialize.Func_DtOLTP_Mstr_TblCountry</t>
  </si>
  <si>
    <t>SchSysConfig-Initialize.Func_DtOLTP_Mstr_TblInstitutionType</t>
  </si>
  <si>
    <t>SchSysConfig-Initialize.Func_DtOLTP_Mstr_TblPerson</t>
  </si>
  <si>
    <t>00:10:58.431</t>
  </si>
  <si>
    <t>00:00:15.155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</si>
</sst>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3" fontId="3" fillId="2" borderId="13" xfId="0" applyNumberFormat="1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18" xfId="0" applyFont="1" applyBorder="1" applyAlignment="1">
      <alignment horizontal="center"/>
    </xf>
    <xf numFmtId="0" fontId="2" fillId="0" borderId="25" xfId="0" applyFont="1" applyBorder="1"/>
    <xf numFmtId="0" fontId="2" fillId="0" borderId="19" xfId="0" applyFont="1" applyBorder="1" applyAlignment="1">
      <alignment horizontal="center"/>
    </xf>
    <xf numFmtId="4" fontId="2" fillId="0" borderId="0" xfId="0" applyNumberFormat="1" applyFont="1" applyAlignment="1">
      <alignment horizontal="center"/>
    </xf>
    <xf numFmtId="4" fontId="3" fillId="2" borderId="14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3" fillId="2" borderId="12" xfId="0" applyNumberFormat="1" applyFont="1" applyFill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/>
    </xf>
    <xf numFmtId="49" fontId="2" fillId="0" borderId="7" xfId="0" quotePrefix="1" applyNumberFormat="1" applyFont="1" applyBorder="1" applyAlignment="1">
      <alignment horizontal="center"/>
    </xf>
    <xf numFmtId="49" fontId="2" fillId="0" borderId="9" xfId="0" applyNumberFormat="1" applyFont="1" applyBorder="1" applyAlignment="1">
      <alignment horizontal="center"/>
    </xf>
    <xf numFmtId="4" fontId="2" fillId="0" borderId="2" xfId="0" applyNumberFormat="1" applyFont="1" applyBorder="1" applyAlignment="1">
      <alignment horizontal="right"/>
    </xf>
    <xf numFmtId="4" fontId="2" fillId="0" borderId="8" xfId="0" applyNumberFormat="1" applyFont="1" applyBorder="1" applyAlignment="1">
      <alignment horizontal="right"/>
    </xf>
    <xf numFmtId="3" fontId="2" fillId="0" borderId="8" xfId="0" applyNumberFormat="1" applyFont="1" applyBorder="1" applyAlignment="1">
      <alignment horizontal="right"/>
    </xf>
    <xf numFmtId="4" fontId="2" fillId="0" borderId="20" xfId="0" applyNumberFormat="1" applyFont="1" applyBorder="1" applyAlignment="1">
      <alignment horizontal="right"/>
    </xf>
    <xf numFmtId="3" fontId="2" fillId="0" borderId="10" xfId="0" applyNumberFormat="1" applyFont="1" applyBorder="1" applyAlignment="1">
      <alignment horizontal="right"/>
    </xf>
    <xf numFmtId="10" fontId="2" fillId="0" borderId="26" xfId="1" applyNumberFormat="1" applyFont="1" applyBorder="1" applyAlignment="1">
      <alignment horizontal="right"/>
    </xf>
    <xf numFmtId="10" fontId="2" fillId="0" borderId="7" xfId="1" applyNumberFormat="1" applyFont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0" fontId="3" fillId="2" borderId="28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4" borderId="24" xfId="0" applyFont="1" applyFill="1" applyBorder="1"/>
    <xf numFmtId="0" fontId="2" fillId="4" borderId="18" xfId="0" applyFont="1" applyFill="1" applyBorder="1" applyAlignment="1">
      <alignment horizontal="center"/>
    </xf>
    <xf numFmtId="49" fontId="2" fillId="4" borderId="7" xfId="0" applyNumberFormat="1" applyFont="1" applyFill="1" applyBorder="1" applyAlignment="1">
      <alignment horizontal="center"/>
    </xf>
    <xf numFmtId="4" fontId="2" fillId="4" borderId="2" xfId="0" applyNumberFormat="1" applyFont="1" applyFill="1" applyBorder="1" applyAlignment="1">
      <alignment horizontal="right"/>
    </xf>
    <xf numFmtId="4" fontId="2" fillId="4" borderId="8" xfId="0" applyNumberFormat="1" applyFont="1" applyFill="1" applyBorder="1" applyAlignment="1">
      <alignment horizontal="right"/>
    </xf>
    <xf numFmtId="3" fontId="2" fillId="4" borderId="8" xfId="0" applyNumberFormat="1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2" fillId="3" borderId="27" xfId="0" applyFont="1" applyFill="1" applyBorder="1" applyAlignment="1">
      <alignment horizontal="right"/>
    </xf>
    <xf numFmtId="0" fontId="2" fillId="3" borderId="10" xfId="0" applyFont="1" applyFill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9"/>
  <sheetViews>
    <sheetView tabSelected="1"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10" sqref="H10"/>
    </sheetView>
  </sheetViews>
  <sheetFormatPr defaultRowHeight="12.75" x14ac:dyDescent="0.2"/>
  <cols>
    <col min="1" max="1" width="1.42578125" style="1" customWidth="1"/>
    <col min="2" max="3" width="25.28515625" style="1" customWidth="1"/>
    <col min="4" max="4" width="7.7109375" style="2" bestFit="1" customWidth="1"/>
    <col min="5" max="5" width="10" style="13" bestFit="1" customWidth="1"/>
    <col min="6" max="6" width="11.140625" style="11" bestFit="1" customWidth="1"/>
    <col min="7" max="7" width="11.42578125" style="3" bestFit="1" customWidth="1"/>
    <col min="8" max="8" width="10" style="13" bestFit="1" customWidth="1"/>
    <col min="9" max="9" width="11.140625" style="11" bestFit="1" customWidth="1"/>
    <col min="10" max="10" width="11.42578125" style="3" bestFit="1" customWidth="1"/>
    <col min="11" max="11" width="2.28515625" style="1" customWidth="1"/>
    <col min="12" max="12" width="10.140625" style="2" customWidth="1"/>
    <col min="13" max="13" width="8.28515625" style="2" customWidth="1"/>
    <col min="14" max="16384" width="9.140625" style="1"/>
  </cols>
  <sheetData>
    <row r="1" spans="2:13" ht="7.5" customHeight="1" thickBot="1" x14ac:dyDescent="0.25"/>
    <row r="2" spans="2:13" s="4" customFormat="1" ht="12.75" customHeight="1" x14ac:dyDescent="0.25">
      <c r="B2" s="37" t="s">
        <v>41</v>
      </c>
      <c r="C2" s="37" t="s">
        <v>3</v>
      </c>
      <c r="D2" s="40" t="s">
        <v>2</v>
      </c>
      <c r="E2" s="34" t="s">
        <v>0</v>
      </c>
      <c r="F2" s="35"/>
      <c r="G2" s="36"/>
      <c r="H2" s="34" t="s">
        <v>1</v>
      </c>
      <c r="I2" s="35"/>
      <c r="J2" s="36"/>
      <c r="L2" s="28" t="s">
        <v>12</v>
      </c>
      <c r="M2" s="29"/>
    </row>
    <row r="3" spans="2:13" s="4" customFormat="1" ht="15" customHeight="1" x14ac:dyDescent="0.25">
      <c r="B3" s="38"/>
      <c r="C3" s="38"/>
      <c r="D3" s="41"/>
      <c r="E3" s="43" t="s">
        <v>10</v>
      </c>
      <c r="F3" s="44"/>
      <c r="G3" s="5" t="s">
        <v>9</v>
      </c>
      <c r="H3" s="43" t="s">
        <v>10</v>
      </c>
      <c r="I3" s="44"/>
      <c r="J3" s="5" t="s">
        <v>9</v>
      </c>
      <c r="L3" s="30"/>
      <c r="M3" s="31"/>
    </row>
    <row r="4" spans="2:13" s="4" customFormat="1" ht="15.75" customHeight="1" thickBot="1" x14ac:dyDescent="0.3">
      <c r="B4" s="39"/>
      <c r="C4" s="39"/>
      <c r="D4" s="42"/>
      <c r="E4" s="14" t="s">
        <v>5</v>
      </c>
      <c r="F4" s="12" t="s">
        <v>6</v>
      </c>
      <c r="G4" s="6" t="s">
        <v>6</v>
      </c>
      <c r="H4" s="14" t="s">
        <v>5</v>
      </c>
      <c r="I4" s="12" t="s">
        <v>6</v>
      </c>
      <c r="J4" s="6" t="s">
        <v>6</v>
      </c>
      <c r="L4" s="32"/>
      <c r="M4" s="33"/>
    </row>
    <row r="5" spans="2:13" x14ac:dyDescent="0.2">
      <c r="B5" s="7" t="s">
        <v>42</v>
      </c>
      <c r="C5" s="7" t="s">
        <v>14</v>
      </c>
      <c r="D5" s="8">
        <v>97</v>
      </c>
      <c r="E5" s="15" t="s">
        <v>21</v>
      </c>
      <c r="F5" s="18">
        <f t="shared" ref="F5:F10" si="0">IF(EXACT($E5, ""), "", (RIGHT($E5, 3)*1)+(MID($E5, 7, 2)*1000)+(MID($E5, 4, 2)*1000*60)+(LEFT($E5, 2)*1000*60*60))</f>
        <v>14586</v>
      </c>
      <c r="G5" s="19">
        <f t="shared" ref="G5:G9" si="1">IF(EXACT($E5, ""), "", (F5/$D5))</f>
        <v>150.37113402061857</v>
      </c>
      <c r="H5" s="15" t="s">
        <v>24</v>
      </c>
      <c r="I5" s="18">
        <f t="shared" ref="I5:I6" si="2">IF(EXACT($H5, ""), "", (RIGHT($H5, 3)*1)+(MID($H5, 7, 2)*1000)+(MID($H5, 4, 2)*1000*60)+(LEFT($H5, 2)*1000*60*60))</f>
        <v>677</v>
      </c>
      <c r="J5" s="19">
        <f t="shared" ref="J5:J6" si="3">IF(EXACT($H5, ""), "", (I5/$D5))</f>
        <v>6.9793814432989691</v>
      </c>
      <c r="L5" s="23">
        <f t="shared" ref="L5:L6" si="4">IFERROR(G5/J5, "")</f>
        <v>21.545051698670608</v>
      </c>
      <c r="M5" s="53" t="str">
        <f>IF(EXACT(L5, ""), "", CONCATENATE(TEXT(L5, "##.##"), " x"))</f>
        <v>21.55 x</v>
      </c>
    </row>
    <row r="6" spans="2:13" x14ac:dyDescent="0.2">
      <c r="B6" s="7" t="s">
        <v>43</v>
      </c>
      <c r="C6" s="7" t="s">
        <v>17</v>
      </c>
      <c r="D6" s="8">
        <v>97</v>
      </c>
      <c r="E6" s="15" t="s">
        <v>25</v>
      </c>
      <c r="F6" s="18">
        <f t="shared" si="0"/>
        <v>15617</v>
      </c>
      <c r="G6" s="19">
        <f t="shared" si="1"/>
        <v>161</v>
      </c>
      <c r="H6" s="15" t="s">
        <v>26</v>
      </c>
      <c r="I6" s="18">
        <f t="shared" si="2"/>
        <v>767</v>
      </c>
      <c r="J6" s="19">
        <f t="shared" si="3"/>
        <v>7.9072164948453612</v>
      </c>
      <c r="L6" s="24">
        <f t="shared" si="4"/>
        <v>20.361147327249022</v>
      </c>
      <c r="M6" s="25" t="str">
        <f t="shared" ref="M6:M18" si="5">IF(EXACT(L6, ""), "", CONCATENATE(TEXT(L6, "##.##"), " x"))</f>
        <v>20.36 x</v>
      </c>
    </row>
    <row r="7" spans="2:13" x14ac:dyDescent="0.2">
      <c r="B7" s="7" t="s">
        <v>44</v>
      </c>
      <c r="C7" s="7" t="s">
        <v>15</v>
      </c>
      <c r="D7" s="8">
        <v>10</v>
      </c>
      <c r="E7" s="15" t="s">
        <v>19</v>
      </c>
      <c r="F7" s="18">
        <f t="shared" si="0"/>
        <v>1744</v>
      </c>
      <c r="G7" s="19">
        <f t="shared" si="1"/>
        <v>174.4</v>
      </c>
      <c r="H7" s="15" t="s">
        <v>22</v>
      </c>
      <c r="I7" s="18">
        <f>IF(EXACT($H7, ""), "", (RIGHT($H7, 3)*1)+(MID($H7, 7, 2)*1000)+(MID($H7, 4, 2)*1000*60)+(LEFT($H7, 2)*1000*60*60))</f>
        <v>397</v>
      </c>
      <c r="J7" s="19">
        <f>IF(EXACT($H7, ""), "", (I7/$D7))</f>
        <v>39.700000000000003</v>
      </c>
      <c r="L7" s="24">
        <f>IFERROR(G7/J7, "")</f>
        <v>4.3929471032745591</v>
      </c>
      <c r="M7" s="25" t="str">
        <f t="shared" si="5"/>
        <v>4.39 x</v>
      </c>
    </row>
    <row r="8" spans="2:13" x14ac:dyDescent="0.2">
      <c r="B8" s="7" t="s">
        <v>47</v>
      </c>
      <c r="C8" s="7" t="s">
        <v>16</v>
      </c>
      <c r="D8" s="8">
        <v>97</v>
      </c>
      <c r="E8" s="15" t="s">
        <v>20</v>
      </c>
      <c r="F8" s="18">
        <f t="shared" si="0"/>
        <v>15116</v>
      </c>
      <c r="G8" s="19">
        <f t="shared" si="1"/>
        <v>155.83505154639175</v>
      </c>
      <c r="H8" s="15" t="s">
        <v>23</v>
      </c>
      <c r="I8" s="18">
        <f t="shared" ref="I8:I10" si="6">IF(EXACT($H8, ""), "", (RIGHT($H8, 3)*1)+(MID($H8, 7, 2)*1000)+(MID($H8, 4, 2)*1000*60)+(LEFT($H8, 2)*1000*60*60))</f>
        <v>1284</v>
      </c>
      <c r="J8" s="19">
        <f t="shared" ref="J8:J10" si="7">IF(EXACT($H8, ""), "", (I8/$D8))</f>
        <v>13.237113402061855</v>
      </c>
      <c r="L8" s="24">
        <f t="shared" ref="L8:L9" si="8">IFERROR(G8/J8, "")</f>
        <v>11.772585669781932</v>
      </c>
      <c r="M8" s="25" t="str">
        <f t="shared" si="5"/>
        <v>11.77 x</v>
      </c>
    </row>
    <row r="9" spans="2:13" x14ac:dyDescent="0.2">
      <c r="B9" s="7" t="s">
        <v>45</v>
      </c>
      <c r="C9" s="7" t="s">
        <v>18</v>
      </c>
      <c r="D9" s="8">
        <v>2659</v>
      </c>
      <c r="E9" s="16" t="s">
        <v>53</v>
      </c>
      <c r="F9" s="18">
        <f t="shared" si="0"/>
        <v>658431</v>
      </c>
      <c r="G9" s="19">
        <f t="shared" si="1"/>
        <v>247.62354268522</v>
      </c>
      <c r="H9" s="16" t="s">
        <v>54</v>
      </c>
      <c r="I9" s="18">
        <f t="shared" si="6"/>
        <v>15155</v>
      </c>
      <c r="J9" s="19">
        <f t="shared" si="7"/>
        <v>5.6995110943963896</v>
      </c>
      <c r="L9" s="24">
        <f t="shared" si="8"/>
        <v>43.446453315737379</v>
      </c>
      <c r="M9" s="25" t="str">
        <f t="shared" si="5"/>
        <v>43.45 x</v>
      </c>
    </row>
    <row r="10" spans="2:13" x14ac:dyDescent="0.2">
      <c r="B10" s="7" t="s">
        <v>46</v>
      </c>
      <c r="C10" s="7" t="s">
        <v>27</v>
      </c>
      <c r="D10" s="8">
        <v>614</v>
      </c>
      <c r="E10" s="15" t="s">
        <v>28</v>
      </c>
      <c r="F10" s="18">
        <f t="shared" si="0"/>
        <v>223480</v>
      </c>
      <c r="G10" s="19">
        <f t="shared" ref="G10" si="9">IF(EXACT($E10, ""), "", (F10/$D10))</f>
        <v>363.97394136807816</v>
      </c>
      <c r="H10" s="15"/>
      <c r="I10" s="18" t="str">
        <f t="shared" si="6"/>
        <v/>
      </c>
      <c r="J10" s="19" t="str">
        <f t="shared" si="7"/>
        <v/>
      </c>
      <c r="L10" s="24" t="str">
        <f t="shared" ref="L10" si="10">IFERROR(G10/J10, "")</f>
        <v/>
      </c>
      <c r="M10" s="25" t="str">
        <f t="shared" si="5"/>
        <v/>
      </c>
    </row>
    <row r="11" spans="2:13" x14ac:dyDescent="0.2">
      <c r="B11" s="7" t="s">
        <v>48</v>
      </c>
      <c r="C11" s="7" t="s">
        <v>13</v>
      </c>
      <c r="D11" s="8">
        <v>22</v>
      </c>
      <c r="E11" s="15" t="s">
        <v>8</v>
      </c>
      <c r="F11" s="18">
        <f>IF(EXACT($E11, ""), "", (RIGHT($E11, 3)*1)+(MID($E11, 7, 2)*1000)+(MID($E11, 4, 2)*1000*60)+(LEFT($E11, 2)*1000*60*60))</f>
        <v>5272</v>
      </c>
      <c r="G11" s="19">
        <f>IF(EXACT($E11, ""), "", (F11/$D11))</f>
        <v>239.63636363636363</v>
      </c>
      <c r="H11" s="15" t="s">
        <v>11</v>
      </c>
      <c r="I11" s="18">
        <f>IF(EXACT($H11, ""), "", (RIGHT($H11, 3)*1)+(MID($H11, 7, 2)*1000)+(MID($H11, 4, 2)*1000*60)+(LEFT($H11, 2)*1000*60*60))</f>
        <v>357</v>
      </c>
      <c r="J11" s="19">
        <f>IF(EXACT($H11, ""), "", (I11/$D11))</f>
        <v>16.227272727272727</v>
      </c>
      <c r="L11" s="24">
        <f>IFERROR(G11/J11, "")</f>
        <v>14.767507002801121</v>
      </c>
      <c r="M11" s="25" t="str">
        <f t="shared" si="5"/>
        <v>14.77 x</v>
      </c>
    </row>
    <row r="12" spans="2:13" x14ac:dyDescent="0.2">
      <c r="B12" s="7" t="s">
        <v>49</v>
      </c>
      <c r="C12" s="7" t="s">
        <v>32</v>
      </c>
      <c r="D12" s="8">
        <v>148</v>
      </c>
      <c r="E12" s="15" t="s">
        <v>30</v>
      </c>
      <c r="F12" s="18">
        <f>IF(EXACT($E12, ""), "", (RIGHT($E12, 3)*1)+(MID($E12, 7, 2)*1000)+(MID($E12, 4, 2)*1000*60)+(LEFT($E12, 2)*1000*60*60))</f>
        <v>32412</v>
      </c>
      <c r="G12" s="19">
        <f>IF(EXACT($E12, ""), "", (F12/$D12))</f>
        <v>219</v>
      </c>
      <c r="H12" s="15" t="s">
        <v>31</v>
      </c>
      <c r="I12" s="18">
        <f>IF(EXACT($H12, ""), "", (RIGHT($H12, 3)*1)+(MID($H12, 7, 2)*1000)+(MID($H12, 4, 2)*1000*60)+(LEFT($H12, 2)*1000*60*60))</f>
        <v>850</v>
      </c>
      <c r="J12" s="19">
        <f>IF(EXACT($H12, ""), "", (I12/$D12))</f>
        <v>5.743243243243243</v>
      </c>
      <c r="L12" s="24">
        <f>IFERROR(G12/J12, "")</f>
        <v>38.131764705882354</v>
      </c>
      <c r="M12" s="25" t="str">
        <f t="shared" si="5"/>
        <v>38.13 x</v>
      </c>
    </row>
    <row r="13" spans="2:13" x14ac:dyDescent="0.2">
      <c r="B13" s="7" t="s">
        <v>50</v>
      </c>
      <c r="C13" s="7" t="s">
        <v>35</v>
      </c>
      <c r="D13" s="8">
        <v>197</v>
      </c>
      <c r="E13" s="16" t="s">
        <v>36</v>
      </c>
      <c r="F13" s="18">
        <f>IF(EXACT($E13, ""), "", (RIGHT($E13, 3)*1)+(MID($E13, 7, 2)*1000)+(MID($E13, 4, 2)*1000*60)+(LEFT($E13, 2)*1000*60*60))</f>
        <v>26821</v>
      </c>
      <c r="G13" s="19">
        <f>IF(EXACT($E13, ""), "", (F13/$D13))</f>
        <v>136.14720812182742</v>
      </c>
      <c r="H13" s="15"/>
      <c r="I13" s="18"/>
      <c r="J13" s="19"/>
      <c r="L13" s="24"/>
      <c r="M13" s="25" t="str">
        <f t="shared" si="5"/>
        <v/>
      </c>
    </row>
    <row r="14" spans="2:13" x14ac:dyDescent="0.2">
      <c r="B14" s="7" t="s">
        <v>51</v>
      </c>
      <c r="C14" s="7" t="s">
        <v>34</v>
      </c>
      <c r="D14" s="8">
        <v>43</v>
      </c>
      <c r="E14" s="16" t="s">
        <v>37</v>
      </c>
      <c r="F14" s="18">
        <f>IF(EXACT($E14, ""), "", (RIGHT($E14, 3)*1)+(MID($E14, 7, 2)*1000)+(MID($E14, 4, 2)*1000*60)+(LEFT($E14, 2)*1000*60*60))</f>
        <v>9309</v>
      </c>
      <c r="G14" s="19">
        <f>IF(EXACT($E14, ""), "", (F14/$D14))</f>
        <v>216.48837209302326</v>
      </c>
      <c r="H14" s="16" t="s">
        <v>38</v>
      </c>
      <c r="I14" s="18">
        <f>IF(EXACT($H14, ""), "", (RIGHT($H14, 3)*1)+(MID($H14, 7, 2)*1000)+(MID($H14, 4, 2)*1000*60)+(LEFT($H14, 2)*1000*60*60))</f>
        <v>393</v>
      </c>
      <c r="J14" s="19">
        <f>IF(EXACT($H14, ""), "", (I14/$D14))</f>
        <v>9.1395348837209305</v>
      </c>
      <c r="L14" s="24">
        <f>IFERROR(G14/J14, "")</f>
        <v>23.68702290076336</v>
      </c>
      <c r="M14" s="25" t="str">
        <f t="shared" si="5"/>
        <v>23.69 x</v>
      </c>
    </row>
    <row r="15" spans="2:13" x14ac:dyDescent="0.2">
      <c r="B15" s="7" t="s">
        <v>52</v>
      </c>
      <c r="C15" s="7" t="s">
        <v>29</v>
      </c>
      <c r="D15" s="8">
        <v>617</v>
      </c>
      <c r="E15" s="15" t="s">
        <v>4</v>
      </c>
      <c r="F15" s="18">
        <f>IF(EXACT($E15, ""), "", (RIGHT($E15, 3)*1)+(MID($E15, 7, 2)*1000)+(MID($E15, 4, 2)*1000*60)+(LEFT($E15, 2)*1000*60*60))</f>
        <v>156530</v>
      </c>
      <c r="G15" s="19">
        <f>IF(EXACT($E15, ""), "", (F15/$D15))</f>
        <v>253.69529983792543</v>
      </c>
      <c r="H15" s="15" t="s">
        <v>7</v>
      </c>
      <c r="I15" s="18">
        <f>IF(EXACT($H15, ""), "", (RIGHT($H15, 3)*1)+(MID($H15, 7, 2)*1000)+(MID($H15, 4, 2)*1000*60)+(LEFT($H15, 2)*1000*60*60))</f>
        <v>3322</v>
      </c>
      <c r="J15" s="19">
        <f>IF(EXACT($H15, ""), "", (I15/$D15))</f>
        <v>5.3841166936790925</v>
      </c>
      <c r="L15" s="24">
        <f>IFERROR(G15/J15, "")</f>
        <v>47.119205298013242</v>
      </c>
      <c r="M15" s="25" t="str">
        <f t="shared" si="5"/>
        <v>47.12 x</v>
      </c>
    </row>
    <row r="16" spans="2:13" ht="4.5" customHeight="1" x14ac:dyDescent="0.2">
      <c r="B16" s="45"/>
      <c r="C16" s="45"/>
      <c r="D16" s="46"/>
      <c r="E16" s="47"/>
      <c r="F16" s="48"/>
      <c r="G16" s="49"/>
      <c r="H16" s="47"/>
      <c r="I16" s="48"/>
      <c r="J16" s="50"/>
      <c r="L16" s="51"/>
      <c r="M16" s="52" t="str">
        <f t="shared" si="5"/>
        <v/>
      </c>
    </row>
    <row r="17" spans="2:13" x14ac:dyDescent="0.2">
      <c r="B17" s="7" t="s">
        <v>33</v>
      </c>
      <c r="C17" s="7" t="s">
        <v>33</v>
      </c>
      <c r="D17" s="8">
        <v>1</v>
      </c>
      <c r="E17" s="15" t="s">
        <v>40</v>
      </c>
      <c r="F17" s="18">
        <f>IF(EXACT($E17, ""), "", (RIGHT($E17, 3)*1)+(MID($E17, 7, 2)*1000)+(MID($E17, 4, 2)*1000*60)+(LEFT($E17, 2)*1000*60*60))</f>
        <v>10520</v>
      </c>
      <c r="G17" s="19">
        <f>IF(EXACT($E17, ""), "", (F17/$D17))</f>
        <v>10520</v>
      </c>
      <c r="H17" s="15" t="s">
        <v>39</v>
      </c>
      <c r="I17" s="18">
        <f>IF(EXACT($H17, ""), "", (RIGHT($H17, 3)*1)+(MID($H17, 7, 2)*1000)+(MID($H17, 4, 2)*1000*60)+(LEFT($H17, 2)*1000*60*60))</f>
        <v>774</v>
      </c>
      <c r="J17" s="19">
        <f>IF(EXACT($H17, ""), "", (I17/$D17))</f>
        <v>774</v>
      </c>
      <c r="L17" s="24">
        <f>IFERROR(G17/J17, "")</f>
        <v>13.591731266149871</v>
      </c>
      <c r="M17" s="25" t="str">
        <f t="shared" si="5"/>
        <v>13.59 x</v>
      </c>
    </row>
    <row r="18" spans="2:13" x14ac:dyDescent="0.2">
      <c r="B18" s="7"/>
      <c r="C18" s="7"/>
      <c r="D18" s="8"/>
      <c r="E18" s="15"/>
      <c r="F18" s="18"/>
      <c r="G18" s="19"/>
      <c r="H18" s="15"/>
      <c r="I18" s="18"/>
      <c r="J18" s="20"/>
      <c r="L18" s="26"/>
      <c r="M18" s="25" t="str">
        <f t="shared" si="5"/>
        <v/>
      </c>
    </row>
    <row r="19" spans="2:13" ht="13.5" thickBot="1" x14ac:dyDescent="0.25">
      <c r="B19" s="9"/>
      <c r="C19" s="9"/>
      <c r="D19" s="10"/>
      <c r="E19" s="17"/>
      <c r="F19" s="21"/>
      <c r="G19" s="22"/>
      <c r="H19" s="17"/>
      <c r="I19" s="21"/>
      <c r="J19" s="22"/>
      <c r="L19" s="27"/>
      <c r="M19" s="54"/>
    </row>
  </sheetData>
  <mergeCells count="8">
    <mergeCell ref="L2:M4"/>
    <mergeCell ref="E2:G2"/>
    <mergeCell ref="H2:J2"/>
    <mergeCell ref="B2:B4"/>
    <mergeCell ref="D2:D4"/>
    <mergeCell ref="E3:F3"/>
    <mergeCell ref="H3:I3"/>
    <mergeCell ref="C2:C4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2026-06-10T07:21:00Z</dcterms:modified>
</cp:coreProperties>
</file>