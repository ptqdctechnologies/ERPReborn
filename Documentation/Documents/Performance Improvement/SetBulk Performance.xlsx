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12" i="1" l="1"/>
  <c r="I12" i="1" s="1"/>
  <c r="K12" i="1" s="1"/>
  <c r="E12" i="1"/>
  <c r="F12" i="1" s="1"/>
  <c r="E10" i="1" l="1"/>
  <c r="F10" i="1" s="1"/>
  <c r="I10" i="1"/>
  <c r="H10" i="1"/>
  <c r="K10" i="1" l="1"/>
  <c r="H9" i="1" l="1"/>
  <c r="I9" i="1" s="1"/>
  <c r="H8" i="1"/>
  <c r="I8" i="1" s="1"/>
  <c r="K8" i="1" s="1"/>
  <c r="H6" i="1"/>
  <c r="I6" i="1" s="1"/>
  <c r="H5" i="1"/>
  <c r="I5" i="1" s="1"/>
  <c r="K5" i="1" s="1"/>
  <c r="H7" i="1"/>
  <c r="I7" i="1" s="1"/>
  <c r="K7" i="1" s="1"/>
  <c r="E9" i="1" l="1"/>
  <c r="F9" i="1" s="1"/>
  <c r="K9" i="1" s="1"/>
  <c r="E6" i="1"/>
  <c r="F6" i="1" s="1"/>
  <c r="K6" i="1" s="1"/>
  <c r="E8" i="1"/>
  <c r="F8" i="1" s="1"/>
  <c r="E7" i="1"/>
  <c r="F7" i="1" s="1"/>
  <c r="E5" i="1"/>
  <c r="F5" i="1" s="1"/>
  <c r="E11" i="1"/>
  <c r="F11" i="1"/>
  <c r="H11" i="1" l="1"/>
  <c r="I11" i="1" s="1"/>
  <c r="K11" i="1" s="1"/>
  <c r="K13" i="1"/>
  <c r="I13" i="1"/>
  <c r="H13" i="1"/>
  <c r="E13" i="1"/>
  <c r="F13" i="1"/>
</calcChain>
</file>

<file path=xl/sharedStrings.xml><?xml version="1.0" encoding="utf-8"?>
<sst xmlns="http://schemas.openxmlformats.org/spreadsheetml/2006/main" count="41" uniqueCount="35">
  <si>
    <t>SET</t>
  </si>
  <si>
    <t>SET_BULK</t>
  </si>
  <si>
    <t>RECORD</t>
  </si>
  <si>
    <t>TABLE</t>
  </si>
  <si>
    <t>00:02:36.530</t>
  </si>
  <si>
    <t>INTERVAL</t>
  </si>
  <si>
    <t>MILISECOND</t>
  </si>
  <si>
    <t>00:00:03.322</t>
  </si>
  <si>
    <t>00:00:05.272</t>
  </si>
  <si>
    <t>SINGLE DATA</t>
  </si>
  <si>
    <t>ACCUMULATED DATA</t>
  </si>
  <si>
    <t>00:00:00.357</t>
  </si>
  <si>
    <t>PERFORMANCE
INCREASE</t>
  </si>
  <si>
    <t>SchMaster.TblBank</t>
  </si>
  <si>
    <t>SchSysConfig.TblAppObject_Menu</t>
  </si>
  <si>
    <t>SchSysConfig.TblAppObject_MenuGroup</t>
  </si>
  <si>
    <t>SchSysConfig.TblAppObject_MenuGroupMember</t>
  </si>
  <si>
    <t>SchSysConfig.TblAppObject_MenuAction</t>
  </si>
  <si>
    <t>SchSysConfig.TblAppObject_UserRolePrivilegesMenu</t>
  </si>
  <si>
    <t>00:09:31.538</t>
  </si>
  <si>
    <t>00:00:01.744</t>
  </si>
  <si>
    <t>00:00:15.116</t>
  </si>
  <si>
    <t>00:00:14.586</t>
  </si>
  <si>
    <t>00:00:00.397</t>
  </si>
  <si>
    <t>00:00:01.284</t>
  </si>
  <si>
    <t>00:00:00.677</t>
  </si>
  <si>
    <t>00:00:15.617</t>
  </si>
  <si>
    <t>00:00:00.767</t>
  </si>
  <si>
    <t>00:00:14.078</t>
  </si>
  <si>
    <t>SchSysConfig.TblDBObject_User</t>
  </si>
  <si>
    <t>00:03:43.480</t>
  </si>
  <si>
    <t>SchMaster.TblPerson</t>
  </si>
  <si>
    <t>00:00:32.412</t>
  </si>
  <si>
    <t>00:00:00.850</t>
  </si>
  <si>
    <t>SchMaster.TblBusinessDocumentType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</si>
</sst>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3" fontId="3" fillId="2" borderId="14" xfId="0" applyNumberFormat="1" applyFont="1" applyFill="1" applyBorder="1" applyAlignment="1">
      <alignment horizontal="center" vertical="center"/>
    </xf>
    <xf numFmtId="3" fontId="3" fillId="2" borderId="13" xfId="0" applyNumberFormat="1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10" fontId="2" fillId="0" borderId="18" xfId="1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0" fontId="2" fillId="0" borderId="25" xfId="0" applyFont="1" applyBorder="1"/>
    <xf numFmtId="0" fontId="2" fillId="0" borderId="1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2" fillId="0" borderId="20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tabSelected="1" workbookViewId="0">
      <selection activeCell="C9" sqref="C9"/>
    </sheetView>
  </sheetViews>
  <sheetFormatPr defaultRowHeight="12.75" x14ac:dyDescent="0.2"/>
  <cols>
    <col min="1" max="1" width="1.42578125" style="1" customWidth="1"/>
    <col min="2" max="2" width="38.5703125" style="1" bestFit="1" customWidth="1"/>
    <col min="3" max="3" width="7.7109375" style="2" bestFit="1" customWidth="1"/>
    <col min="4" max="4" width="10" style="2" bestFit="1" customWidth="1"/>
    <col min="5" max="5" width="11.140625" style="3" bestFit="1" customWidth="1"/>
    <col min="6" max="6" width="11.42578125" style="3" bestFit="1" customWidth="1"/>
    <col min="7" max="7" width="10" style="2" bestFit="1" customWidth="1"/>
    <col min="8" max="8" width="11.140625" style="3" bestFit="1" customWidth="1"/>
    <col min="9" max="9" width="11.42578125" style="3" bestFit="1" customWidth="1"/>
    <col min="10" max="10" width="2.28515625" style="1" customWidth="1"/>
    <col min="11" max="11" width="13.140625" style="2" bestFit="1" customWidth="1"/>
    <col min="12" max="16384" width="9.140625" style="1"/>
  </cols>
  <sheetData>
    <row r="1" spans="2:11" ht="7.5" customHeight="1" thickBot="1" x14ac:dyDescent="0.25"/>
    <row r="2" spans="2:11" s="4" customFormat="1" x14ac:dyDescent="0.25">
      <c r="B2" s="27" t="s">
        <v>3</v>
      </c>
      <c r="C2" s="30" t="s">
        <v>2</v>
      </c>
      <c r="D2" s="24" t="s">
        <v>0</v>
      </c>
      <c r="E2" s="25"/>
      <c r="F2" s="26"/>
      <c r="G2" s="24" t="s">
        <v>1</v>
      </c>
      <c r="H2" s="25"/>
      <c r="I2" s="26"/>
      <c r="K2" s="21" t="s">
        <v>12</v>
      </c>
    </row>
    <row r="3" spans="2:11" s="4" customFormat="1" x14ac:dyDescent="0.25">
      <c r="B3" s="28"/>
      <c r="C3" s="31"/>
      <c r="D3" s="33" t="s">
        <v>10</v>
      </c>
      <c r="E3" s="34"/>
      <c r="F3" s="5" t="s">
        <v>9</v>
      </c>
      <c r="G3" s="33" t="s">
        <v>10</v>
      </c>
      <c r="H3" s="34"/>
      <c r="I3" s="5" t="s">
        <v>9</v>
      </c>
      <c r="K3" s="22"/>
    </row>
    <row r="4" spans="2:11" s="4" customFormat="1" ht="13.5" thickBot="1" x14ac:dyDescent="0.3">
      <c r="B4" s="29"/>
      <c r="C4" s="32"/>
      <c r="D4" s="6" t="s">
        <v>5</v>
      </c>
      <c r="E4" s="7" t="s">
        <v>6</v>
      </c>
      <c r="F4" s="8" t="s">
        <v>6</v>
      </c>
      <c r="G4" s="6" t="s">
        <v>5</v>
      </c>
      <c r="H4" s="7" t="s">
        <v>6</v>
      </c>
      <c r="I4" s="8" t="s">
        <v>6</v>
      </c>
      <c r="K4" s="23"/>
    </row>
    <row r="5" spans="2:11" x14ac:dyDescent="0.2">
      <c r="B5" s="9" t="s">
        <v>14</v>
      </c>
      <c r="C5" s="10">
        <v>97</v>
      </c>
      <c r="D5" s="11" t="s">
        <v>22</v>
      </c>
      <c r="E5" s="12">
        <f t="shared" ref="E5:E10" si="0">IF(EXACT($D5, ""), "", (RIGHT($D5, 3)*1)+(MID($D5, 7, 2)*1000)+(MID($D5, 4, 2)*1000*60)+(LEFT($D5, 2)*1000*60*60))</f>
        <v>14586</v>
      </c>
      <c r="F5" s="13">
        <f t="shared" ref="F5:F9" si="1">IF(EXACT($D5, ""), "", (E5/$C5))</f>
        <v>150.37113402061857</v>
      </c>
      <c r="G5" s="11" t="s">
        <v>25</v>
      </c>
      <c r="H5" s="12">
        <f t="shared" ref="H5:H6" si="2">IF(EXACT($G5, ""), "", (RIGHT($G5, 3)*1)+(MID($G5, 7, 2)*1000)+(MID($G5, 4, 2)*1000*60)+(LEFT($G5, 2)*1000*60*60))</f>
        <v>677</v>
      </c>
      <c r="I5" s="13">
        <f t="shared" ref="I5:I6" si="3">IF(EXACT($G5, ""), "", (H5/$C5))</f>
        <v>6.9793814432989691</v>
      </c>
      <c r="K5" s="14">
        <f t="shared" ref="K5:K6" si="4">IFERROR(F5/I5, "")</f>
        <v>21.545051698670608</v>
      </c>
    </row>
    <row r="6" spans="2:11" x14ac:dyDescent="0.2">
      <c r="B6" s="9" t="s">
        <v>17</v>
      </c>
      <c r="C6" s="10">
        <v>97</v>
      </c>
      <c r="D6" s="11" t="s">
        <v>26</v>
      </c>
      <c r="E6" s="12">
        <f t="shared" si="0"/>
        <v>15617</v>
      </c>
      <c r="F6" s="13">
        <f t="shared" si="1"/>
        <v>161</v>
      </c>
      <c r="G6" s="11" t="s">
        <v>27</v>
      </c>
      <c r="H6" s="12">
        <f t="shared" si="2"/>
        <v>767</v>
      </c>
      <c r="I6" s="13">
        <f t="shared" si="3"/>
        <v>7.9072164948453612</v>
      </c>
      <c r="K6" s="14">
        <f t="shared" si="4"/>
        <v>20.361147327249022</v>
      </c>
    </row>
    <row r="7" spans="2:11" x14ac:dyDescent="0.2">
      <c r="B7" s="9" t="s">
        <v>15</v>
      </c>
      <c r="C7" s="10">
        <v>10</v>
      </c>
      <c r="D7" s="11" t="s">
        <v>20</v>
      </c>
      <c r="E7" s="12">
        <f t="shared" si="0"/>
        <v>1744</v>
      </c>
      <c r="F7" s="13">
        <f t="shared" si="1"/>
        <v>174.4</v>
      </c>
      <c r="G7" s="11" t="s">
        <v>23</v>
      </c>
      <c r="H7" s="12">
        <f>IF(EXACT($G7, ""), "", (RIGHT($G7, 3)*1)+(MID($G7, 7, 2)*1000)+(MID($G7, 4, 2)*1000*60)+(LEFT($G7, 2)*1000*60*60))</f>
        <v>397</v>
      </c>
      <c r="I7" s="13">
        <f>IF(EXACT($G7, ""), "", (H7/$C7))</f>
        <v>39.700000000000003</v>
      </c>
      <c r="K7" s="14">
        <f>IFERROR(F7/I7, "")</f>
        <v>4.3929471032745591</v>
      </c>
    </row>
    <row r="8" spans="2:11" x14ac:dyDescent="0.2">
      <c r="B8" s="9" t="s">
        <v>16</v>
      </c>
      <c r="C8" s="10">
        <v>97</v>
      </c>
      <c r="D8" s="11" t="s">
        <v>21</v>
      </c>
      <c r="E8" s="12">
        <f t="shared" si="0"/>
        <v>15116</v>
      </c>
      <c r="F8" s="13">
        <f t="shared" si="1"/>
        <v>155.83505154639175</v>
      </c>
      <c r="G8" s="11" t="s">
        <v>24</v>
      </c>
      <c r="H8" s="12">
        <f t="shared" ref="H8:H10" si="5">IF(EXACT($G8, ""), "", (RIGHT($G8, 3)*1)+(MID($G8, 7, 2)*1000)+(MID($G8, 4, 2)*1000*60)+(LEFT($G8, 2)*1000*60*60))</f>
        <v>1284</v>
      </c>
      <c r="I8" s="13">
        <f t="shared" ref="I8:I10" si="6">IF(EXACT($G8, ""), "", (H8/$C8))</f>
        <v>13.237113402061855</v>
      </c>
      <c r="K8" s="14">
        <f t="shared" ref="K8:K9" si="7">IFERROR(F8/I8, "")</f>
        <v>11.772585669781932</v>
      </c>
    </row>
    <row r="9" spans="2:11" x14ac:dyDescent="0.2">
      <c r="B9" s="9" t="s">
        <v>18</v>
      </c>
      <c r="C9" s="10">
        <v>2659</v>
      </c>
      <c r="D9" s="11" t="s">
        <v>19</v>
      </c>
      <c r="E9" s="12">
        <f t="shared" si="0"/>
        <v>571538</v>
      </c>
      <c r="F9" s="13">
        <f t="shared" si="1"/>
        <v>214.94471605866866</v>
      </c>
      <c r="G9" s="11" t="s">
        <v>28</v>
      </c>
      <c r="H9" s="12">
        <f t="shared" si="5"/>
        <v>14078</v>
      </c>
      <c r="I9" s="13">
        <f t="shared" si="6"/>
        <v>5.2944716058668675</v>
      </c>
      <c r="K9" s="14">
        <f t="shared" si="7"/>
        <v>40.597954254865741</v>
      </c>
    </row>
    <row r="10" spans="2:11" x14ac:dyDescent="0.2">
      <c r="B10" s="9" t="s">
        <v>29</v>
      </c>
      <c r="C10" s="10">
        <v>614</v>
      </c>
      <c r="D10" s="11" t="s">
        <v>30</v>
      </c>
      <c r="E10" s="12">
        <f t="shared" si="0"/>
        <v>223480</v>
      </c>
      <c r="F10" s="13">
        <f t="shared" ref="F10" si="8">IF(EXACT($D10, ""), "", (E10/$C10))</f>
        <v>363.97394136807816</v>
      </c>
      <c r="G10" s="11"/>
      <c r="H10" s="12" t="str">
        <f t="shared" si="5"/>
        <v/>
      </c>
      <c r="I10" s="13" t="str">
        <f t="shared" si="6"/>
        <v/>
      </c>
      <c r="K10" s="14" t="str">
        <f t="shared" ref="K10" si="9">IFERROR(F10/I10, "")</f>
        <v/>
      </c>
    </row>
    <row r="11" spans="2:11" x14ac:dyDescent="0.2">
      <c r="B11" s="9" t="s">
        <v>13</v>
      </c>
      <c r="C11" s="10">
        <v>22</v>
      </c>
      <c r="D11" s="11" t="s">
        <v>8</v>
      </c>
      <c r="E11" s="12">
        <f>IF(EXACT($D11, ""), "", (RIGHT($D11, 3)*1)+(MID($D11, 7, 2)*1000)+(MID($D11, 4, 2)*1000*60)+(LEFT($D11, 2)*1000*60*60))</f>
        <v>5272</v>
      </c>
      <c r="F11" s="13">
        <f>IF(EXACT($D11, ""), "", (E11/$C11))</f>
        <v>239.63636363636363</v>
      </c>
      <c r="G11" s="11" t="s">
        <v>11</v>
      </c>
      <c r="H11" s="12">
        <f>IF(EXACT($G11, ""), "", (RIGHT($G11, 3)*1)+(MID($G11, 7, 2)*1000)+(MID($G11, 4, 2)*1000*60)+(LEFT($G11, 2)*1000*60*60))</f>
        <v>357</v>
      </c>
      <c r="I11" s="13">
        <f>IF(EXACT($G11, ""), "", (H11/$C11))</f>
        <v>16.227272727272727</v>
      </c>
      <c r="K11" s="14">
        <f>IFERROR(F11/I11, "")</f>
        <v>14.767507002801121</v>
      </c>
    </row>
    <row r="12" spans="2:11" x14ac:dyDescent="0.2">
      <c r="B12" s="9" t="s">
        <v>34</v>
      </c>
      <c r="C12" s="10">
        <v>148</v>
      </c>
      <c r="D12" s="11" t="s">
        <v>32</v>
      </c>
      <c r="E12" s="12">
        <f>IF(EXACT($D12, ""), "", (RIGHT($D12, 3)*1)+(MID($D12, 7, 2)*1000)+(MID($D12, 4, 2)*1000*60)+(LEFT($D12, 2)*1000*60*60))</f>
        <v>32412</v>
      </c>
      <c r="F12" s="13">
        <f>IF(EXACT($D12, ""), "", (E12/$C12))</f>
        <v>219</v>
      </c>
      <c r="G12" s="11" t="s">
        <v>33</v>
      </c>
      <c r="H12" s="12">
        <f>IF(EXACT($G12, ""), "", (RIGHT($G12, 3)*1)+(MID($G12, 7, 2)*1000)+(MID($G12, 4, 2)*1000*60)+(LEFT($G12, 2)*1000*60*60))</f>
        <v>850</v>
      </c>
      <c r="I12" s="13">
        <f>IF(EXACT($G12, ""), "", (H12/$C12))</f>
        <v>5.743243243243243</v>
      </c>
      <c r="K12" s="14">
        <f>IFERROR(F12/I12, "")</f>
        <v>38.131764705882354</v>
      </c>
    </row>
    <row r="13" spans="2:11" x14ac:dyDescent="0.2">
      <c r="B13" s="9" t="s">
        <v>31</v>
      </c>
      <c r="C13" s="10">
        <v>617</v>
      </c>
      <c r="D13" s="11" t="s">
        <v>4</v>
      </c>
      <c r="E13" s="12">
        <f>IF(EXACT($D13, ""), "", (RIGHT($D13, 3)*1)+(MID($D13, 7, 2)*1000)+(MID($D13, 4, 2)*1000*60)+(LEFT($D13, 2)*1000*60*60))</f>
        <v>156530</v>
      </c>
      <c r="F13" s="13">
        <f>IF(EXACT($D13, ""), "", (E13/$C13))</f>
        <v>253.69529983792543</v>
      </c>
      <c r="G13" s="11" t="s">
        <v>7</v>
      </c>
      <c r="H13" s="12">
        <f>IF(EXACT($G13, ""), "", (RIGHT($G13, 3)*1)+(MID($G13, 7, 2)*1000)+(MID($G13, 4, 2)*1000*60)+(LEFT($G13, 2)*1000*60*60))</f>
        <v>3322</v>
      </c>
      <c r="I13" s="13">
        <f>IF(EXACT($G13, ""), "", (H13/$C13))</f>
        <v>5.3841166936790925</v>
      </c>
      <c r="K13" s="14">
        <f>IFERROR(F13/I13, "")</f>
        <v>47.119205298013242</v>
      </c>
    </row>
    <row r="14" spans="2:11" x14ac:dyDescent="0.2">
      <c r="B14" s="9"/>
      <c r="C14" s="10"/>
      <c r="D14" s="11"/>
      <c r="E14" s="12"/>
      <c r="F14" s="15"/>
      <c r="G14" s="11"/>
      <c r="H14" s="12"/>
      <c r="I14" s="15"/>
      <c r="K14" s="10"/>
    </row>
    <row r="15" spans="2:11" x14ac:dyDescent="0.2">
      <c r="B15" s="9"/>
      <c r="C15" s="10"/>
      <c r="D15" s="11"/>
      <c r="E15" s="12"/>
      <c r="F15" s="15"/>
      <c r="G15" s="11"/>
      <c r="H15" s="12"/>
      <c r="I15" s="15"/>
      <c r="K15" s="10"/>
    </row>
    <row r="16" spans="2:11" x14ac:dyDescent="0.2">
      <c r="B16" s="9"/>
      <c r="C16" s="10"/>
      <c r="D16" s="11"/>
      <c r="E16" s="12"/>
      <c r="F16" s="15"/>
      <c r="G16" s="11"/>
      <c r="H16" s="12"/>
      <c r="I16" s="15"/>
      <c r="K16" s="10"/>
    </row>
    <row r="17" spans="2:11" x14ac:dyDescent="0.2">
      <c r="B17" s="9"/>
      <c r="C17" s="10"/>
      <c r="D17" s="11"/>
      <c r="E17" s="12"/>
      <c r="F17" s="15"/>
      <c r="G17" s="11"/>
      <c r="H17" s="12"/>
      <c r="I17" s="15"/>
      <c r="K17" s="10"/>
    </row>
    <row r="18" spans="2:11" ht="13.5" thickBot="1" x14ac:dyDescent="0.25">
      <c r="B18" s="16"/>
      <c r="C18" s="17"/>
      <c r="D18" s="18"/>
      <c r="E18" s="19"/>
      <c r="F18" s="20"/>
      <c r="G18" s="18"/>
      <c r="H18" s="19"/>
      <c r="I18" s="20"/>
      <c r="K18" s="17"/>
    </row>
  </sheetData>
  <mergeCells count="7">
    <mergeCell ref="K2:K4"/>
    <mergeCell ref="D2:F2"/>
    <mergeCell ref="G2:I2"/>
    <mergeCell ref="B2:B4"/>
    <mergeCell ref="C2:C4"/>
    <mergeCell ref="D3:E3"/>
    <mergeCell ref="G3:H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2026-05-13T11:45:44Z</dcterms:modified>
</cp:coreProperties>
</file>